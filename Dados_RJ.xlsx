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Original"/>
    <sheet r:id="rId2" sheetId="2" name="Dados_Redação"/>
    <sheet r:id="rId3" sheetId="3" name="Dados_Objetivas"/>
    <sheet r:id="rId4" sheetId="4" name="Dados_Participação"/>
    <sheet r:id="rId5" sheetId="5" name="Dados_Acesso_Detalhado"/>
    <sheet r:id="rId6" sheetId="6" name="Original_Objetivas"/>
    <sheet r:id="rId7" sheetId="7" name="Original_Redação"/>
  </sheets>
  <definedNames>
    <definedName name="_xlnm._FilterDatabase" localSheetId="0">Original!$A$1:$U$1146</definedName>
    <definedName name="_xlnm._FilterDatabase" localSheetId="1">'Dados_Redação'!$A$1:$O$1134</definedName>
    <definedName name="_xlnm._FilterDatabase" localSheetId="4">Dados_Acesso_Detalhado!$A$1:$J$1159</definedName>
  </definedNames>
  <calcPr fullCalcOnLoad="1"/>
</workbook>
</file>

<file path=xl/sharedStrings.xml><?xml version="1.0" encoding="utf-8"?>
<sst xmlns="http://schemas.openxmlformats.org/spreadsheetml/2006/main" count="46959" uniqueCount="14510">
  <si>
    <t>Código Interno</t>
  </si>
  <si>
    <t>Regional</t>
  </si>
  <si>
    <t>Escola</t>
  </si>
  <si>
    <t>1º Simulado: Participação (%)</t>
  </si>
  <si>
    <t>1º Simulado: Nota</t>
  </si>
  <si>
    <t>1º Teste de Redação: Participação (%)</t>
  </si>
  <si>
    <t>1º Teste de Redação: Nota</t>
  </si>
  <si>
    <t>2º Teste de Redação: Participação (%)</t>
  </si>
  <si>
    <t>2º Teste de Redação: Nota</t>
  </si>
  <si>
    <t>2º Simulado: Participação (%)</t>
  </si>
  <si>
    <t>2º Simulado: Nota</t>
  </si>
  <si>
    <t>3º Teste de Redação: Participação (%)</t>
  </si>
  <si>
    <t>3º Teste de Redação: Nota</t>
  </si>
  <si>
    <t>4º Teste de Redação: Participação (%)</t>
  </si>
  <si>
    <t>4º Teste de Redação: Nota</t>
  </si>
  <si>
    <t>Objetivas - 1º Simulado: Participação (%)</t>
  </si>
  <si>
    <t>Objetivas - 1º Simulado: Acertos (%)</t>
  </si>
  <si>
    <t>Objetivas - 2º Simulado: Participação (%)</t>
  </si>
  <si>
    <t>Objetivas - 2º Simulado: Acertos (%)</t>
  </si>
  <si>
    <t>% Alunos c/Acesso</t>
  </si>
  <si>
    <t>% Prof. com Acesso</t>
  </si>
  <si>
    <t>% Gestores com Acesso</t>
  </si>
  <si>
    <t>% Utiliza Livros</t>
  </si>
  <si>
    <t>% Utiliza Aulas</t>
  </si>
  <si>
    <t>% Utiliza Trilha</t>
  </si>
  <si>
    <t>% Utiliza Treino Redação</t>
  </si>
  <si>
    <t>% Utiliza Tira-dúvidas</t>
  </si>
  <si>
    <t>BAIXADAS LITORANEAS</t>
  </si>
  <si>
    <t>CE CONSELHEIRO JOSINO - 25278</t>
  </si>
  <si>
    <t>0,00%</t>
  </si>
  <si>
    <t>20,83%</t>
  </si>
  <si>
    <t>20,00%</t>
  </si>
  <si>
    <t>CE MARIA PEREIRA DAS NEVES - 25293</t>
  </si>
  <si>
    <t>13,64%</t>
  </si>
  <si>
    <t>50,00%</t>
  </si>
  <si>
    <t>CE MENEZES VIEIRA - 25295</t>
  </si>
  <si>
    <t>11,11%</t>
  </si>
  <si>
    <t>33,33%</t>
  </si>
  <si>
    <t>DE UNIDADES ESCOLARES PRISIONAIS E SOCIOEDUCATIVAS</t>
  </si>
  <si>
    <t>CE ANGENOR DE OLIVEIRA (CARTOLA) - 25343</t>
  </si>
  <si>
    <t>CE CANDEIA - 25344</t>
  </si>
  <si>
    <t>CE ESCRITOR E JORNALISTA GRACILIANO RAMOS - 25345</t>
  </si>
  <si>
    <t>9,09%</t>
  </si>
  <si>
    <t>25,00%</t>
  </si>
  <si>
    <t>CE EVANDRO JOAO DA SILVA - 25346</t>
  </si>
  <si>
    <t>CE GILDO CANDIDO DA SILVA - 25341</t>
  </si>
  <si>
    <t>CE IRMA TEREZINHA DE BARROS - 25362</t>
  </si>
  <si>
    <t>8,00%</t>
  </si>
  <si>
    <t>CE JORNALISTA BARBOSA LIMA SOBRINHO - 25336</t>
  </si>
  <si>
    <t>CE JOSE LEWGOY - 25348</t>
  </si>
  <si>
    <t>10,00%</t>
  </si>
  <si>
    <t>CE MARIA MONTESSORI - 25350</t>
  </si>
  <si>
    <t>8,33%</t>
  </si>
  <si>
    <t>CE MARINHEIRO JOAO CANDIDO - 25351</t>
  </si>
  <si>
    <t>18,18%</t>
  </si>
  <si>
    <t>CE MARIO LAGO - 25352</t>
  </si>
  <si>
    <t>CE PADRE BRUNO TROMBETTA - 25354</t>
  </si>
  <si>
    <t>40,00%</t>
  </si>
  <si>
    <t>CE PADRE CARLOS LEONCIO DA SILVA - 25355</t>
  </si>
  <si>
    <t>CE PRIMEIRO TENENTE PM HAILTON DOS SANTOS - 25356</t>
  </si>
  <si>
    <t>CE PROFESSOR CARLOS DA COSTA - 25357</t>
  </si>
  <si>
    <t>CE PROFESSORA ALDA LINS FREIRE - 25358</t>
  </si>
  <si>
    <t>CE PROFESSORA SONIA MARIA MENEZES SOARES - 25359</t>
  </si>
  <si>
    <t>22,22%</t>
  </si>
  <si>
    <t>CE RUBEM BRAGA - 25361</t>
  </si>
  <si>
    <t>CE RUI BARBOSA - 25337</t>
  </si>
  <si>
    <t>METROPOLITANA II</t>
  </si>
  <si>
    <t>CE PROFESSORA ABIGAIL CARDOSO - 25698</t>
  </si>
  <si>
    <t>CIEP 408 SERGIO CARDOSO - 25725</t>
  </si>
  <si>
    <t>METROPOLITANA III</t>
  </si>
  <si>
    <t>CE BERNARDO DE VASCONCELOS - 25447</t>
  </si>
  <si>
    <t>CE CHARLES CHAPLIN - 25452</t>
  </si>
  <si>
    <t>CE CYRO MONTEIRO - 25460</t>
  </si>
  <si>
    <t>CE GUADALUPE - 25470</t>
  </si>
  <si>
    <t>100,00%</t>
  </si>
  <si>
    <t>CE JOAO KOPKE - 25474</t>
  </si>
  <si>
    <t>CE LEONEL AZEVEDO - 25482</t>
  </si>
  <si>
    <t>6,90%</t>
  </si>
  <si>
    <t>16,67%</t>
  </si>
  <si>
    <t>CE OSWALDO TEIXEIRA - 25496</t>
  </si>
  <si>
    <t>15,79%</t>
  </si>
  <si>
    <t>66,67%</t>
  </si>
  <si>
    <t>CE PARANA - 25498</t>
  </si>
  <si>
    <t>CE ROTARY - 25523</t>
  </si>
  <si>
    <t>7,69%</t>
  </si>
  <si>
    <t>CE SENADOR FRANCISCO GALLOTTI - 25527</t>
  </si>
  <si>
    <t>CE TERESA CRISTINA - 25529</t>
  </si>
  <si>
    <t>15,38%</t>
  </si>
  <si>
    <t>60,00%</t>
  </si>
  <si>
    <t>CIEP 379 RAUL SEIXAS - 25542</t>
  </si>
  <si>
    <t>26,32%</t>
  </si>
  <si>
    <t>METROPOLITANA IV</t>
  </si>
  <si>
    <t>CE BARONESA DE SAAVEDRA - 25564</t>
  </si>
  <si>
    <t>14,29%</t>
  </si>
  <si>
    <t>CE FREIRE ALLEMAO - 25579</t>
  </si>
  <si>
    <t>10,53%</t>
  </si>
  <si>
    <t>CE NICARAGUA - 25600</t>
  </si>
  <si>
    <t>6,25%</t>
  </si>
  <si>
    <t>CE PROFESSOR DALTRO SANTOS - 25603</t>
  </si>
  <si>
    <t>5,88%</t>
  </si>
  <si>
    <t>CE PROFESSOR GONCALVES - 25605</t>
  </si>
  <si>
    <t>CE PROFESSORA ALBA CANIZARES DO NASCIMENTO - 25608</t>
  </si>
  <si>
    <t>CE RAINHA VITORIA - 25612</t>
  </si>
  <si>
    <t>METROPOLITANA VI</t>
  </si>
  <si>
    <t>CE DEODORO - 25382</t>
  </si>
  <si>
    <t>13,33%</t>
  </si>
  <si>
    <t>CE FREDERICO EYER - 25389</t>
  </si>
  <si>
    <t>CE HONDURAS - 25395</t>
  </si>
  <si>
    <t>CE NILO PECANHA - 25408</t>
  </si>
  <si>
    <t>NOROESTE FLUMINENSE</t>
  </si>
  <si>
    <t>CE LUIZ TITO DE ALMEIDA - 25006</t>
  </si>
  <si>
    <t>27,27%</t>
  </si>
  <si>
    <t>CE MARIA DA CONCEICAO PEREIRA PINTO - 25008</t>
  </si>
  <si>
    <t>CE SENADOR SA TINOCO - 25033</t>
  </si>
  <si>
    <t>CIEP 267 MARIA APARECIDA LIMA SOUTO TOSTES - 25040</t>
  </si>
  <si>
    <t>42,86%</t>
  </si>
  <si>
    <t>SUL FLUMINENSE</t>
  </si>
  <si>
    <t>CE GECY VIEIRA GONCALVES - 26213</t>
  </si>
  <si>
    <t>18,75%</t>
  </si>
  <si>
    <t>CE NOSSA SENHORA DO AMPARO - 26169</t>
  </si>
  <si>
    <t>CE ALINA DE BRITO - 25367</t>
  </si>
  <si>
    <t>0,32%</t>
  </si>
  <si>
    <t>75,00%</t>
  </si>
  <si>
    <t>CE OLEGARIO MARIANO - 25492</t>
  </si>
  <si>
    <t>0,49%</t>
  </si>
  <si>
    <t>15,00%</t>
  </si>
  <si>
    <t>METROPOLITANA V</t>
  </si>
  <si>
    <t>CE GUADALAJARA - 25828</t>
  </si>
  <si>
    <t>0,70%</t>
  </si>
  <si>
    <t>METROPOLITANA VII</t>
  </si>
  <si>
    <t>CIEP 374 AUGUSTO RODRIGUES - 25925</t>
  </si>
  <si>
    <t>0,71%</t>
  </si>
  <si>
    <t>30,77%</t>
  </si>
  <si>
    <t>CE PESTALOZZI - 25601</t>
  </si>
  <si>
    <t>0,75%</t>
  </si>
  <si>
    <t>3,57%</t>
  </si>
  <si>
    <t>CE RAYMUNDO CORRÊA - 25614</t>
  </si>
  <si>
    <t>0,79%</t>
  </si>
  <si>
    <t>CE MARANHAO - 25484</t>
  </si>
  <si>
    <t>0,83%</t>
  </si>
  <si>
    <t>CIEP 183 JOÃO VITTA - 25622</t>
  </si>
  <si>
    <t>0,85%</t>
  </si>
  <si>
    <t>5,66%</t>
  </si>
  <si>
    <t>28,57%</t>
  </si>
  <si>
    <t>CE EDUARDO MONDLANE - 25383</t>
  </si>
  <si>
    <t>0,91%</t>
  </si>
  <si>
    <t>CE JOAO MARQUES DOS REIS - 25475</t>
  </si>
  <si>
    <t>0,92%</t>
  </si>
  <si>
    <t>CE ROSA DO POVO - 25418</t>
  </si>
  <si>
    <t>0,93%</t>
  </si>
  <si>
    <t>4,17%</t>
  </si>
  <si>
    <t>CE HERMINIA DE OLIVEIRA MATTOS - 26181</t>
  </si>
  <si>
    <t>CE JUREMA PECANHA GIRAUD - 25588</t>
  </si>
  <si>
    <t>0,96%</t>
  </si>
  <si>
    <t>4,76%</t>
  </si>
  <si>
    <t>CE AGOSTINHO NETO - 25556</t>
  </si>
  <si>
    <t>0,97%</t>
  </si>
  <si>
    <t>CE CARDEAL DOM EUGENIO DE ARAUJO SALES - 25374</t>
  </si>
  <si>
    <t>1,01%</t>
  </si>
  <si>
    <t>CE ALMIRANTE TAMANDARE - 25368</t>
  </si>
  <si>
    <t>1,14%</t>
  </si>
  <si>
    <t>CIEP 418 ANTONIO CARLOS BERNARDES - MUSSUM - 25636</t>
  </si>
  <si>
    <t>1,16%</t>
  </si>
  <si>
    <t>CE CARLOS LACERDA - 25375</t>
  </si>
  <si>
    <t>CE ANA NERI - 25933</t>
  </si>
  <si>
    <t>1,17%</t>
  </si>
  <si>
    <t>27,78%</t>
  </si>
  <si>
    <t>CE COELHO NETO - 25568</t>
  </si>
  <si>
    <t>1,19%</t>
  </si>
  <si>
    <t>CE ALMIRANTE FRONTIN - 25558</t>
  </si>
  <si>
    <t>1,20%</t>
  </si>
  <si>
    <t>CE LAURO SODRE - 25481</t>
  </si>
  <si>
    <t>1,23%</t>
  </si>
  <si>
    <t>CE ESTADO DE ISRAEL - 25577</t>
  </si>
  <si>
    <t>CE REVERENDO HUGH CLARENCE TUCKER - 25417</t>
  </si>
  <si>
    <t>1,34%</t>
  </si>
  <si>
    <t>3,85%</t>
  </si>
  <si>
    <t>CE PRESIDENTE ANTONIO CARLOS - 25602</t>
  </si>
  <si>
    <t>1,35%</t>
  </si>
  <si>
    <t>7,14%</t>
  </si>
  <si>
    <t>CE ROSARIA TROTTA - 25616</t>
  </si>
  <si>
    <t>1,37%</t>
  </si>
  <si>
    <t>CE PROFESSOR CLOVIS SALGADO - 25414</t>
  </si>
  <si>
    <t>1,38%</t>
  </si>
  <si>
    <t>METROPOLITANA I</t>
  </si>
  <si>
    <t>CIEP 387 HANS CRISTIAN ANDERSEN - 26075</t>
  </si>
  <si>
    <t>1,45%</t>
  </si>
  <si>
    <t>CE PROFESSOR MANUEL MAURICIO DE ALBUQUERQUE - 25510</t>
  </si>
  <si>
    <t>1,47%</t>
  </si>
  <si>
    <t>CIEP 030 MARINHEIRO JOÃO CÂNDIDO - 25978</t>
  </si>
  <si>
    <t>1,49%</t>
  </si>
  <si>
    <t>5,56%</t>
  </si>
  <si>
    <t>CIEP 356 AUGUSTO RUSCHI - 26070</t>
  </si>
  <si>
    <t>1,52%</t>
  </si>
  <si>
    <t>21,05%</t>
  </si>
  <si>
    <t>CE VILA MARIA - 26173</t>
  </si>
  <si>
    <t>CE IRINEU MARINHO - 25832</t>
  </si>
  <si>
    <t>1,60%</t>
  </si>
  <si>
    <t>SERRANA I</t>
  </si>
  <si>
    <t>CE GUILHERMINA GUINLE - 25801</t>
  </si>
  <si>
    <t>1,61%</t>
  </si>
  <si>
    <t>12,50%</t>
  </si>
  <si>
    <t>CE PASTOR MIRANDA PINTO - 25499</t>
  </si>
  <si>
    <t>1,64%</t>
  </si>
  <si>
    <t>6,67%</t>
  </si>
  <si>
    <t>CE JOÃO CARDOSO - BRASIL-ARGENTINA - 25947</t>
  </si>
  <si>
    <t>1,65%</t>
  </si>
  <si>
    <t>CE SAO JOAO BATISTA - 25526</t>
  </si>
  <si>
    <t>1,67%</t>
  </si>
  <si>
    <t>CE CORA CORALINA - 25570</t>
  </si>
  <si>
    <t>23,08%</t>
  </si>
  <si>
    <t>CE TOMAS ANTONIO GONZAGA - 25426</t>
  </si>
  <si>
    <t>CE SARMIENTO - 25419</t>
  </si>
  <si>
    <t>1,68%</t>
  </si>
  <si>
    <t>CE OLAVO JOSINO DE SALLES - 25491</t>
  </si>
  <si>
    <t>1,71%</t>
  </si>
  <si>
    <t>11,54%</t>
  </si>
  <si>
    <t>CE EUCLIDES DA CUNHA - 25822</t>
  </si>
  <si>
    <t>1,72%</t>
  </si>
  <si>
    <t>CE MOACYR PADILHA - 25597</t>
  </si>
  <si>
    <t>1,74%</t>
  </si>
  <si>
    <t>CE ENGENHEIRO JOAO THOME - 25575</t>
  </si>
  <si>
    <t>1,76%</t>
  </si>
  <si>
    <t>CE PROFESSOR JOAO BORGES DE MORAES - 25506</t>
  </si>
  <si>
    <t>1,86%</t>
  </si>
  <si>
    <t>CE JOSE EDUARDO DE MACEDO SOARES - 25478</t>
  </si>
  <si>
    <t>1,89%</t>
  </si>
  <si>
    <t>NORTE FLUMINENSE</t>
  </si>
  <si>
    <t>CE DOUTOR FELIX MIRANDA - 25071</t>
  </si>
  <si>
    <t>1,90%</t>
  </si>
  <si>
    <t>CE CHILE - 25453</t>
  </si>
  <si>
    <t>1,91%</t>
  </si>
  <si>
    <t>CE BALTAZAR BERNARDINO - 25275</t>
  </si>
  <si>
    <t>1,92%</t>
  </si>
  <si>
    <t>44,44%</t>
  </si>
  <si>
    <t>CIEP 025 GETULIO SALES RODRIGUES - 26047</t>
  </si>
  <si>
    <t>CE VICTOR HUGO - 25428</t>
  </si>
  <si>
    <t>1,96%</t>
  </si>
  <si>
    <t>CE LIBERDADE - 25590</t>
  </si>
  <si>
    <t>2,02%</t>
  </si>
  <si>
    <t>8,70%</t>
  </si>
  <si>
    <t>CE ANITA GARIBALDI - 25442</t>
  </si>
  <si>
    <t>2,03%</t>
  </si>
  <si>
    <t>CE AMAPA - 25441</t>
  </si>
  <si>
    <t>2,04%</t>
  </si>
  <si>
    <t>CE CORONEL JOAO BATISTA DE PAULA BARROSO - 25066</t>
  </si>
  <si>
    <t>2,16%</t>
  </si>
  <si>
    <t>6,45%</t>
  </si>
  <si>
    <t>CE JOSUE DE CASTRO - 25480</t>
  </si>
  <si>
    <t>2,22%</t>
  </si>
  <si>
    <t>5,00%</t>
  </si>
  <si>
    <t>CE MARQUES REBELO - 25486</t>
  </si>
  <si>
    <t>2,24%</t>
  </si>
  <si>
    <t>CE REPUBLICA DE MOCAMBIQUE - 25615</t>
  </si>
  <si>
    <t>2,25%</t>
  </si>
  <si>
    <t>CE PROFESSORA LUIZA MARINHO - 25514</t>
  </si>
  <si>
    <t>2,28%</t>
  </si>
  <si>
    <t>CE RIO DE AREIA - 25333</t>
  </si>
  <si>
    <t>2,29%</t>
  </si>
  <si>
    <t>18,52%</t>
  </si>
  <si>
    <t>CIEP 498 IRMÃ DULCE - 25554</t>
  </si>
  <si>
    <t>2,33%</t>
  </si>
  <si>
    <t>CE JOSE MARTI - 25479</t>
  </si>
  <si>
    <t>2,35%</t>
  </si>
  <si>
    <t>CE BOLIVAR - 25448</t>
  </si>
  <si>
    <t>2,38%</t>
  </si>
  <si>
    <t>CIEP 173 RAINHA NZINGA DE ANGOLA - 25537</t>
  </si>
  <si>
    <t>CE PRESIDENTE JOAO GOULART - 25907</t>
  </si>
  <si>
    <t>2,40%</t>
  </si>
  <si>
    <t>CE JOAO PROENCA - 25584</t>
  </si>
  <si>
    <t>CIEP 344 ADONIRAN BARBOSA - 26094</t>
  </si>
  <si>
    <t>2,44%</t>
  </si>
  <si>
    <t>CE BERNARDINO DA COSTA LOPES - 25316</t>
  </si>
  <si>
    <t>2,47%</t>
  </si>
  <si>
    <t>CE ARTHUR ANTONIO SENDAS - 25371</t>
  </si>
  <si>
    <t>2,50%</t>
  </si>
  <si>
    <t>CE MINISTRO MARCOS FREIRE - 25595</t>
  </si>
  <si>
    <t>2,63%</t>
  </si>
  <si>
    <t>9,52%</t>
  </si>
  <si>
    <t>CE GILSON AMADO - 25391</t>
  </si>
  <si>
    <t>2,71%</t>
  </si>
  <si>
    <t>CE BAHIA - 25444</t>
  </si>
  <si>
    <t>2,72%</t>
  </si>
  <si>
    <t>21,21%</t>
  </si>
  <si>
    <t>CE CHRISANTO HENRIQUE DE SOUZA - 25151</t>
  </si>
  <si>
    <t>2,74%</t>
  </si>
  <si>
    <t>CIEP 326 PROFESSOR CESAR PERNETTA - 25540</t>
  </si>
  <si>
    <t>2,77%</t>
  </si>
  <si>
    <t>19,05%</t>
  </si>
  <si>
    <t>CIEP 391 PROFESSOR ROBSON MENDONCA LOU - 25272</t>
  </si>
  <si>
    <t>2,82%</t>
  </si>
  <si>
    <t>CE JACINTHO XAVIER MARTINS - 25131</t>
  </si>
  <si>
    <t>2,84%</t>
  </si>
  <si>
    <t>13,85%</t>
  </si>
  <si>
    <t>6,06%</t>
  </si>
  <si>
    <t>3,03%</t>
  </si>
  <si>
    <t>CE GRACILIANO RAMOS - 25469</t>
  </si>
  <si>
    <t>2,86%</t>
  </si>
  <si>
    <t>CE PROFESSOR SOUSA DA SILVEIRA - 25511</t>
  </si>
  <si>
    <t>CE PROFESSOR ERNESTO FARIA - 25415</t>
  </si>
  <si>
    <t>2,87%</t>
  </si>
  <si>
    <t>CIEP 119 AUSTIN - 26052</t>
  </si>
  <si>
    <t>8,16%</t>
  </si>
  <si>
    <t>30,00%</t>
  </si>
  <si>
    <t>CE GOLDA MEIR - 25392</t>
  </si>
  <si>
    <t>2,88%</t>
  </si>
  <si>
    <t>CIEP 372 PAULO LEMINSKY - 25335</t>
  </si>
  <si>
    <t>2,90%</t>
  </si>
  <si>
    <t>23,53%</t>
  </si>
  <si>
    <t>CE MAX FLEIUSS - 25488</t>
  </si>
  <si>
    <t>CE BELGICA - 25446</t>
  </si>
  <si>
    <t>2,94%</t>
  </si>
  <si>
    <t>CE MEM DE SA - 25405</t>
  </si>
  <si>
    <t>CE CASTELNUOVO - 25376</t>
  </si>
  <si>
    <t>3,05%</t>
  </si>
  <si>
    <t>CE PROFESSOR AUGUSTO MOTTA - 25503</t>
  </si>
  <si>
    <t>3,08%</t>
  </si>
  <si>
    <t>CE PROFESSORA MARIA NAZARETH CAVALCANTI SILVA - 25516</t>
  </si>
  <si>
    <t>3,13%</t>
  </si>
  <si>
    <t>3,64%</t>
  </si>
  <si>
    <t>CE BARÃO DE SANTA MARGARIDA - 25562</t>
  </si>
  <si>
    <t>CE BOCAINA - 25112</t>
  </si>
  <si>
    <t>CIEP 327 PEDRO AMERICO - 25767</t>
  </si>
  <si>
    <t>3,14%</t>
  </si>
  <si>
    <t>CE ROBERTO COELHO PEDROSO - 25804</t>
  </si>
  <si>
    <t>3,16%</t>
  </si>
  <si>
    <t>CE SAO FRANCISCO DE ASSIS - 25761</t>
  </si>
  <si>
    <t>3,17%</t>
  </si>
  <si>
    <t>CE LARA VILLELA - 25833</t>
  </si>
  <si>
    <t>3,19%</t>
  </si>
  <si>
    <t>CE PAULO DE FRONTIN - 25410</t>
  </si>
  <si>
    <t>21,74%</t>
  </si>
  <si>
    <t>4,35%</t>
  </si>
  <si>
    <t>CE GENERAL CARLOS CAETANO MIRAGAYA - 25390</t>
  </si>
  <si>
    <t>3,23%</t>
  </si>
  <si>
    <t>CE NOTIVAL PEDRO MOLL - 25090</t>
  </si>
  <si>
    <t>CE CONDE PEREIRA CARNEIRO - 25458</t>
  </si>
  <si>
    <t>3,25%</t>
  </si>
  <si>
    <t>CE ENGENHEIRO BERNARDO SAYAO - 25385</t>
  </si>
  <si>
    <t>3,26%</t>
  </si>
  <si>
    <t>CE QUINZE DE NOVEMBRO - 25093</t>
  </si>
  <si>
    <t>3,33%</t>
  </si>
  <si>
    <t>CE NOBU YAMAGATA - 25324</t>
  </si>
  <si>
    <t>3,36%</t>
  </si>
  <si>
    <t>11,76%</t>
  </si>
  <si>
    <t>CIEP 375 WILSON GREY - 25926</t>
  </si>
  <si>
    <t>3,37%</t>
  </si>
  <si>
    <t>10,71%</t>
  </si>
  <si>
    <t>CE GONCALVES DIAS - 25393</t>
  </si>
  <si>
    <t>3,39%</t>
  </si>
  <si>
    <t>80,00%</t>
  </si>
  <si>
    <t>CAIC THEOPHILO DE SOUZA PINTO - 25437</t>
  </si>
  <si>
    <t>3,45%</t>
  </si>
  <si>
    <t>CE ATILANO CHRYSOSTOMO DE OLIVEIRA - 25062</t>
  </si>
  <si>
    <t>3,48%</t>
  </si>
  <si>
    <t>CE DUNSHEE DE ABRANCHES - 25463</t>
  </si>
  <si>
    <t>CIEP 135 AFONSO HENRIQUES LIMA BARRETO - 25982</t>
  </si>
  <si>
    <t>CE MONTESE - 25139</t>
  </si>
  <si>
    <t>3,59%</t>
  </si>
  <si>
    <t>CE BRANT HORTA - 25449</t>
  </si>
  <si>
    <t>3,61%</t>
  </si>
  <si>
    <t>17,65%</t>
  </si>
  <si>
    <t>CIEP 205 FREI AGOSTINHO FINCIAS - 25433</t>
  </si>
  <si>
    <t>CE TELIO BARRETO - 25125</t>
  </si>
  <si>
    <t>CE MARECHAL FLORIANO PEIXOTO - 26168</t>
  </si>
  <si>
    <t>CAIC 1003 DONA DARCY VARGAS - 25894</t>
  </si>
  <si>
    <t>3,66%</t>
  </si>
  <si>
    <t>CE ITALIA - 25473</t>
  </si>
  <si>
    <t>3,68%</t>
  </si>
  <si>
    <t>55,00%</t>
  </si>
  <si>
    <t>CE PERNAMBUCO - 25501</t>
  </si>
  <si>
    <t>3,72%</t>
  </si>
  <si>
    <t>CE PROFESSORA CACILDA SILVA - 25270</t>
  </si>
  <si>
    <t>3,75%</t>
  </si>
  <si>
    <t>CE MARCILIO DIAS - 25903</t>
  </si>
  <si>
    <t>3,79%</t>
  </si>
  <si>
    <t>CE GENERAL DUTRA - 25079</t>
  </si>
  <si>
    <t>3,88%</t>
  </si>
  <si>
    <t>CE MARECHAL RONDON - 25592</t>
  </si>
  <si>
    <t>3,95%</t>
  </si>
  <si>
    <t>14,81%</t>
  </si>
  <si>
    <t>CE TEOFILO MOREIRA DA COSTA - 25425</t>
  </si>
  <si>
    <t>3,96%</t>
  </si>
  <si>
    <t>CIEP 352 SENADOR SEVERO GOMES - 26068</t>
  </si>
  <si>
    <t>3,98%</t>
  </si>
  <si>
    <t>CIEP 244 OSWALDO ARANHA - 25626</t>
  </si>
  <si>
    <t>4,02%</t>
  </si>
  <si>
    <t>8,89%</t>
  </si>
  <si>
    <t>5,26%</t>
  </si>
  <si>
    <t>CE REPUBLICA DE GUINE BISSAU - 25519</t>
  </si>
  <si>
    <t>4,05%</t>
  </si>
  <si>
    <t>SERRANA II</t>
  </si>
  <si>
    <t>CE PROFESSORA ZELIA DOS SANTOS CORTES - 25217</t>
  </si>
  <si>
    <t>4,08%</t>
  </si>
  <si>
    <t>CIEP 216 PREFEITO JUAREZ ANTUNES - 26061</t>
  </si>
  <si>
    <t>4,15%</t>
  </si>
  <si>
    <t>CIEP 451 ELIZA ANTONIA RAINHO DIAS - 25665</t>
  </si>
  <si>
    <t>CE ROSA LUXEMBURGO - 25522</t>
  </si>
  <si>
    <t>CE CIZINIO SOARES PINTO - 25277</t>
  </si>
  <si>
    <t>4,23%</t>
  </si>
  <si>
    <t>7,50%</t>
  </si>
  <si>
    <t>CE MILTON CAMPOS - 25594</t>
  </si>
  <si>
    <t>CE MINAS GERAIS - 25838</t>
  </si>
  <si>
    <t>4,26%</t>
  </si>
  <si>
    <t>16,00%</t>
  </si>
  <si>
    <t>CE DOUTOR VICENTE DE MORAES - 25207</t>
  </si>
  <si>
    <t>4,30%</t>
  </si>
  <si>
    <t>CE MARECHAL RONDON - 25836</t>
  </si>
  <si>
    <t>CE JOSE MARTINS DA COSTA - 25211</t>
  </si>
  <si>
    <t>21,43%</t>
  </si>
  <si>
    <t>CE CONDE DE AGROLONGO - 25457</t>
  </si>
  <si>
    <t>4,40%</t>
  </si>
  <si>
    <t>CE ARMANDO GONCALVES - 25669</t>
  </si>
  <si>
    <t>4,44%</t>
  </si>
  <si>
    <t>CE LEOPOLDO FROES - 25290</t>
  </si>
  <si>
    <t>4,49%</t>
  </si>
  <si>
    <t>CE BRANDAO MONTEIRO - 25899</t>
  </si>
  <si>
    <t>4,52%</t>
  </si>
  <si>
    <t>CE CHARLES DICKENS - 25567</t>
  </si>
  <si>
    <t>4,60%</t>
  </si>
  <si>
    <t>CE MULLULO DA VEIGA - 25296</t>
  </si>
  <si>
    <t>4,64%</t>
  </si>
  <si>
    <t>CE FRANCISCO CAMPOS - 25388</t>
  </si>
  <si>
    <t>4,72%</t>
  </si>
  <si>
    <t>CE BAIRRO JARDIM AMERICA - 25896</t>
  </si>
  <si>
    <t>CIEP 388 LASAR SEGALL - 25930</t>
  </si>
  <si>
    <t>4,79%</t>
  </si>
  <si>
    <t>CE ALEMY TAVARES DA SILVA - 25811</t>
  </si>
  <si>
    <t>4,80%</t>
  </si>
  <si>
    <t>CIEP 333 CACILDA BECKER - 26064</t>
  </si>
  <si>
    <t>4,85%</t>
  </si>
  <si>
    <t>CE FINLANDIA - 25387</t>
  </si>
  <si>
    <t>4,92%</t>
  </si>
  <si>
    <t>4,00%</t>
  </si>
  <si>
    <t>CE DOUTOR CESAR TINOCO - 25070</t>
  </si>
  <si>
    <t>5,06%</t>
  </si>
  <si>
    <t>CE PROFESSOR WALDEMAR RAYTHE - 25648</t>
  </si>
  <si>
    <t>5,10%</t>
  </si>
  <si>
    <t>CE MINISTRO OROZIMBO NONATO - 25489</t>
  </si>
  <si>
    <t>5,13%</t>
  </si>
  <si>
    <t>CE SANTOS DUMONT - 25525</t>
  </si>
  <si>
    <t>5,15%</t>
  </si>
  <si>
    <t>CE BARAO DE MACAUBAS - 25445</t>
  </si>
  <si>
    <t>41,67%</t>
  </si>
  <si>
    <t>CE BANANAL - 25643</t>
  </si>
  <si>
    <t>CE NOVA ALVORADA - 25904</t>
  </si>
  <si>
    <t>CE NICOLAO BASTOS FILHO - 25030</t>
  </si>
  <si>
    <t>63,16%</t>
  </si>
  <si>
    <t>CIEP 053 DOUTOR NELSON DOS SANTOS GONÇALVES - 26228</t>
  </si>
  <si>
    <t>CE BANGU - 25560</t>
  </si>
  <si>
    <t>5,32%</t>
  </si>
  <si>
    <t>12,16%</t>
  </si>
  <si>
    <t>2,08%</t>
  </si>
  <si>
    <t>CE FRANCISCO PALHETA - 25466</t>
  </si>
  <si>
    <t>35,71%</t>
  </si>
  <si>
    <t>CE DOUTOR JOAO MURILO CARNEIRO DE OLIVEIRA - 25072</t>
  </si>
  <si>
    <t>5,36%</t>
  </si>
  <si>
    <t>CE LUIZ DE CAMOES - 25483</t>
  </si>
  <si>
    <t>5,38%</t>
  </si>
  <si>
    <t>CIEP 357 JOSE DE DOME - 25257</t>
  </si>
  <si>
    <t>5,41%</t>
  </si>
  <si>
    <t>CE PROFESSOR DARCY RIBEIRO - 25269</t>
  </si>
  <si>
    <t>5,42%</t>
  </si>
  <si>
    <t>3,28%</t>
  </si>
  <si>
    <t>19,64%</t>
  </si>
  <si>
    <t>16,07%</t>
  </si>
  <si>
    <t>CIEP 115 ANTONIO FRANCISCO LISBOA - 25980</t>
  </si>
  <si>
    <t>5,43%</t>
  </si>
  <si>
    <t>29,41%</t>
  </si>
  <si>
    <t>CE ALCEBIADES SCHUARTZ - 25060</t>
  </si>
  <si>
    <t>5,45%</t>
  </si>
  <si>
    <t>CE PROFESSORA ODYSSEA SILVEIRA DE SIQUEIRA - 25703</t>
  </si>
  <si>
    <t>5,49%</t>
  </si>
  <si>
    <t>CIEP 383 MAXIMO GORKI - 26074</t>
  </si>
  <si>
    <t>CE MAHATMA GANDHI - 25402</t>
  </si>
  <si>
    <t>CE MONTEIRO LOBATO - 25599</t>
  </si>
  <si>
    <t>5,51%</t>
  </si>
  <si>
    <t>CE REPUBLICA DO PERU - 25520</t>
  </si>
  <si>
    <t>CE MONTEIRO DE CARVALHO - 25407</t>
  </si>
  <si>
    <t>5,61%</t>
  </si>
  <si>
    <t>CIEP 171 JOSE AMERICO PESSANHA - 25865</t>
  </si>
  <si>
    <t>5,62%</t>
  </si>
  <si>
    <t>CE MINISTRO JOSE DE MOURA E SILVA - 25691</t>
  </si>
  <si>
    <t>5,65%</t>
  </si>
  <si>
    <t>CE MANOEL RODRIGUES DE BARROS - 25038</t>
  </si>
  <si>
    <t>88,89%</t>
  </si>
  <si>
    <t>CE DOM OTAVIANO DE ALBUQUERQUE - 25068</t>
  </si>
  <si>
    <t>5,71%</t>
  </si>
  <si>
    <t>CE MARIETA CUNHA DA SILVA - 25593</t>
  </si>
  <si>
    <t>5,72%</t>
  </si>
  <si>
    <t>15,15%</t>
  </si>
  <si>
    <t>CE INFANTE DOM HENRIQUE - 25397</t>
  </si>
  <si>
    <t>5,74%</t>
  </si>
  <si>
    <t>CE CORONEL SERRADO - 25676</t>
  </si>
  <si>
    <t>CE JOSE FRANCISCO SALES - 25082</t>
  </si>
  <si>
    <t>CIEP 430 CARLOS MARIGHELLA - 25733</t>
  </si>
  <si>
    <t>5,77%</t>
  </si>
  <si>
    <t>CE ACARI - 25438</t>
  </si>
  <si>
    <t>36,36%</t>
  </si>
  <si>
    <t>CIEP 351 MINISTRO SALGADO FILHO - 26067</t>
  </si>
  <si>
    <t>5,79%</t>
  </si>
  <si>
    <t>CIEP 457 DOUTOR JOSÉ ELIAS MELLO DOS SANTOS - 25262</t>
  </si>
  <si>
    <t>5,83%</t>
  </si>
  <si>
    <t>26,67%</t>
  </si>
  <si>
    <t>CE JORNALISTA RODOLFO FERNANDES - 25476</t>
  </si>
  <si>
    <t>5,86%</t>
  </si>
  <si>
    <t>15,69%</t>
  </si>
  <si>
    <t>2,78%</t>
  </si>
  <si>
    <t>CE DUQUE DE CAXIAS - 25283</t>
  </si>
  <si>
    <t>CIEP 458 HERMES BARCELOS - 25258</t>
  </si>
  <si>
    <t>37,50%</t>
  </si>
  <si>
    <t>CIEP 057 DOUTOR NILO PEÇANHA - 25099</t>
  </si>
  <si>
    <t>CENTRO SUL</t>
  </si>
  <si>
    <t>CE JOAQUIM DE MACEDO - 26100</t>
  </si>
  <si>
    <t>5,90%</t>
  </si>
  <si>
    <t>CE FRANCISCO CALDEIRA DE ALVARENGA - 25578</t>
  </si>
  <si>
    <t>5,93%</t>
  </si>
  <si>
    <t>21,95%</t>
  </si>
  <si>
    <t>CE AGOSTINHO PORTO - 25956</t>
  </si>
  <si>
    <t>5,95%</t>
  </si>
  <si>
    <t>9,68%</t>
  </si>
  <si>
    <t>CIEP 248 PROFESSOR TULIO RODRIGUES PERLINGEIRO - 25721</t>
  </si>
  <si>
    <t>5,97%</t>
  </si>
  <si>
    <t>CE GANDHI - 25580</t>
  </si>
  <si>
    <t>5,98%</t>
  </si>
  <si>
    <t>CIEP 260 BARBOSA PORTO - BRASIL-CHILE - 25766</t>
  </si>
  <si>
    <t>CE ISMENIA DE BARROS BARROSO - 25330</t>
  </si>
  <si>
    <t>6,09%</t>
  </si>
  <si>
    <t>CIEP 121 PROFESSOR JOADELIO CODECO - 25714</t>
  </si>
  <si>
    <t>6,10%</t>
  </si>
  <si>
    <t>CE AMBAÍ - 26007</t>
  </si>
  <si>
    <t>6,12%</t>
  </si>
  <si>
    <t>CE PROFESSOR CORDELINO TEIXEIRA PAULO - 25253</t>
  </si>
  <si>
    <t>6,15%</t>
  </si>
  <si>
    <t>CE JOAO DE MORAES MARTINS - 25233</t>
  </si>
  <si>
    <t>CIEP 313 RUBEM BRAGA - 25630</t>
  </si>
  <si>
    <t>6,27%</t>
  </si>
  <si>
    <t>8,57%</t>
  </si>
  <si>
    <t>15,63%</t>
  </si>
  <si>
    <t>9,38%</t>
  </si>
  <si>
    <t>CE BUARQUE DE NAZARETH - 25022</t>
  </si>
  <si>
    <t>6,30%</t>
  </si>
  <si>
    <t>CIEP 118 VEREADOR VILSON CAMPOS DE MACEDO - 25863</t>
  </si>
  <si>
    <t>6,37%</t>
  </si>
  <si>
    <t>CE NILO FERNANDES PEREIRA - 25088</t>
  </si>
  <si>
    <t>6,38%</t>
  </si>
  <si>
    <t>CE EDMUNDO BITTENCOURT - 25790</t>
  </si>
  <si>
    <t>6,44%</t>
  </si>
  <si>
    <t>7,02%</t>
  </si>
  <si>
    <t>7,89%</t>
  </si>
  <si>
    <t>CIEP 207 GILSON AMADO - 26003</t>
  </si>
  <si>
    <t>6,48%</t>
  </si>
  <si>
    <t>CIEP 037 ERNESTO GUEVARA - 25916</t>
  </si>
  <si>
    <t>6,63%</t>
  </si>
  <si>
    <t>34,62%</t>
  </si>
  <si>
    <t>CE GOMES FREIRE DE ANDRADE - 25468</t>
  </si>
  <si>
    <t>6,65%</t>
  </si>
  <si>
    <t>22,58%</t>
  </si>
  <si>
    <t>10,77%</t>
  </si>
  <si>
    <t>CE PROFESSOR ADELINO TERRA - 26102</t>
  </si>
  <si>
    <t>CE VILA GUARANI - 25707</t>
  </si>
  <si>
    <t>CE CARDEAL ARCOVERDE - 25450</t>
  </si>
  <si>
    <t>CE DOUTOR MAXIMO DE AZEVEDO - 25074</t>
  </si>
  <si>
    <t>CE WALDEMIRO POTSCH - 25532</t>
  </si>
  <si>
    <t>6,78%</t>
  </si>
  <si>
    <t>CE SENOR ABRAVANEL - 25421</t>
  </si>
  <si>
    <t>6,79%</t>
  </si>
  <si>
    <t>7,55%</t>
  </si>
  <si>
    <t>CE GOVERNADOR ROBERTO SILVEIRA - 25963</t>
  </si>
  <si>
    <t>CIEP 224 TARSO DE CASTRO - 25624</t>
  </si>
  <si>
    <t>6,83%</t>
  </si>
  <si>
    <t>21,62%</t>
  </si>
  <si>
    <t>CE CAETANO BELLONI - 25958</t>
  </si>
  <si>
    <t>19,23%</t>
  </si>
  <si>
    <t>CIEP 439 LUIZ GONZAGA JUNIOR - GONZAGUINHA - 25734</t>
  </si>
  <si>
    <t>CE RUI BARBOSA - 25850</t>
  </si>
  <si>
    <t>CIEP 311 DEPUTADO BOCAYUVA CUNHA - 25628</t>
  </si>
  <si>
    <t>7,18%</t>
  </si>
  <si>
    <t>9,62%</t>
  </si>
  <si>
    <t>CE PROFESSOR RENATO AZEVEDO - 25254</t>
  </si>
  <si>
    <t>7,19%</t>
  </si>
  <si>
    <t>2,00%</t>
  </si>
  <si>
    <t>CE DOUTOR JOAO GOMES DE MATTOS SOBRINHO - 25265</t>
  </si>
  <si>
    <t>7,27%</t>
  </si>
  <si>
    <t>10,81%</t>
  </si>
  <si>
    <t>CE DOM JOÃO VI - 26087</t>
  </si>
  <si>
    <t>7,31%</t>
  </si>
  <si>
    <t>13,51%</t>
  </si>
  <si>
    <t>1,79%</t>
  </si>
  <si>
    <t>CE PAULO ROBERTO DUARTE DE MENDONCA - 25091</t>
  </si>
  <si>
    <t>7,32%</t>
  </si>
  <si>
    <t>CE PEDRO SOARES - 26155</t>
  </si>
  <si>
    <t>CIEP 131 PROFESSORA ARMANDA ALVARO ALBERTO - 25864</t>
  </si>
  <si>
    <t>7,33%</t>
  </si>
  <si>
    <t>CE PRESIDENTE BERNARDES - 25795</t>
  </si>
  <si>
    <t>7,34%</t>
  </si>
  <si>
    <t>CE ALDEBARA - 25557</t>
  </si>
  <si>
    <t>7,35%</t>
  </si>
  <si>
    <t>CE PROFESSOR JOSE DE SOUZA MARQUES - 25509</t>
  </si>
  <si>
    <t>7,36%</t>
  </si>
  <si>
    <t>6,82%</t>
  </si>
  <si>
    <t>CE ALVARO NEGROMONTE - 25813</t>
  </si>
  <si>
    <t>7,38%</t>
  </si>
  <si>
    <t>CE NELSON PEREIRA REBEL - 25087</t>
  </si>
  <si>
    <t>7,39%</t>
  </si>
  <si>
    <t>17,39%</t>
  </si>
  <si>
    <t>CIEP 336 OCTAVIO MALTA - 25631</t>
  </si>
  <si>
    <t>7,40%</t>
  </si>
  <si>
    <t>14,06%</t>
  </si>
  <si>
    <t>4,69%</t>
  </si>
  <si>
    <t>1,56%</t>
  </si>
  <si>
    <t>CE INDAIAÇU - 25183</t>
  </si>
  <si>
    <t>7,41%</t>
  </si>
  <si>
    <t>CE IRENE MEIRELLES - 25118</t>
  </si>
  <si>
    <t>7,44%</t>
  </si>
  <si>
    <t>3,70%</t>
  </si>
  <si>
    <t>CE CUBA - 25459</t>
  </si>
  <si>
    <t>7,46%</t>
  </si>
  <si>
    <t>CE CAPITÃO OSWALDO ORNELLAS - 25671</t>
  </si>
  <si>
    <t>16,13%</t>
  </si>
  <si>
    <t>CE BRASÍLIA - 26212</t>
  </si>
  <si>
    <t>7,53%</t>
  </si>
  <si>
    <t>CE HERBERT MOSES - 25830</t>
  </si>
  <si>
    <t>7,59%</t>
  </si>
  <si>
    <t>CIEP 031 LIRIO DO LAGUNA - 25857</t>
  </si>
  <si>
    <t>7,74%</t>
  </si>
  <si>
    <t>25,71%</t>
  </si>
  <si>
    <t>29,17%</t>
  </si>
  <si>
    <t>CE DOUTOR ARTUR VARGAS - 26151</t>
  </si>
  <si>
    <t>7,79%</t>
  </si>
  <si>
    <t>10,20%</t>
  </si>
  <si>
    <t>CE BOM PASTOR - 25898</t>
  </si>
  <si>
    <t>7,81%</t>
  </si>
  <si>
    <t>CE EMBAIXADOR DIAS CARNEIRO - 25384</t>
  </si>
  <si>
    <t>CE ALMIRANTE FREDERICO VILLAR - 25248</t>
  </si>
  <si>
    <t>7,97%</t>
  </si>
  <si>
    <t>CE PROFESSOR JOEL DE OLIVEIRA - 25507</t>
  </si>
  <si>
    <t>8,09%</t>
  </si>
  <si>
    <t>12,12%</t>
  </si>
  <si>
    <t>CE BERTHA D ALESSANDRO - 25946</t>
  </si>
  <si>
    <t>8,10%</t>
  </si>
  <si>
    <t>12,00%</t>
  </si>
  <si>
    <t>CE FRANCISCO JOSE DO NASCIMENTO - 25268</t>
  </si>
  <si>
    <t>8,15%</t>
  </si>
  <si>
    <t>CIEP 210 MARIO ALVES DE SOUZA VIEIRA - 25921</t>
  </si>
  <si>
    <t>8,23%</t>
  </si>
  <si>
    <t>CIEP 317 AURELIO BUARQUE DE HOLANDA - 26062</t>
  </si>
  <si>
    <t>CE DOUTOR FRANCISCO DE PAULA PARANHOS - 25261</t>
  </si>
  <si>
    <t>8,26%</t>
  </si>
  <si>
    <t>8,82%</t>
  </si>
  <si>
    <t>2,17%</t>
  </si>
  <si>
    <t>CE VIRIATO CORREA - 25618</t>
  </si>
  <si>
    <t>8,28%</t>
  </si>
  <si>
    <t>CE PROFESSOR UBIRATAN REIS BARBOSA - 25952</t>
  </si>
  <si>
    <t>CIEP 075 JARDIM CABUÇU - 26049</t>
  </si>
  <si>
    <t>8,30%</t>
  </si>
  <si>
    <t>13,04%</t>
  </si>
  <si>
    <t>CIEP 462 NACAO GOITACA - 25104</t>
  </si>
  <si>
    <t>CIEP 432 ALBERTO CAVALCANTI - 25637</t>
  </si>
  <si>
    <t>8,40%</t>
  </si>
  <si>
    <t>CE BACCOPARO MARTINS - 25161</t>
  </si>
  <si>
    <t>CE AFFONSINA MAZZILLO TEIXEIRA CAMPOS - 26190</t>
  </si>
  <si>
    <t>8,43%</t>
  </si>
  <si>
    <t>CE TRASILBO FILGUEIRAS - 25706</t>
  </si>
  <si>
    <t>CE COMPOSITOR LUIZ GONZAGA - 25380</t>
  </si>
  <si>
    <t>8,49%</t>
  </si>
  <si>
    <t>CIEP 167 JARDIM PARAÍSO - 26055</t>
  </si>
  <si>
    <t>8,52%</t>
  </si>
  <si>
    <t>43,59%</t>
  </si>
  <si>
    <t>CE DALVA DE OLIVEIRA - 25572</t>
  </si>
  <si>
    <t>8,55%</t>
  </si>
  <si>
    <t>CE SAO BERNARDO - 25912</t>
  </si>
  <si>
    <t>8,58%</t>
  </si>
  <si>
    <t>CE DOUTOR JOSE BASTOS FRANCA - 25025</t>
  </si>
  <si>
    <t>8,62%</t>
  </si>
  <si>
    <t>CIEP 228 DARCY VARGAS - 25874</t>
  </si>
  <si>
    <t>8,65%</t>
  </si>
  <si>
    <t>CE JOAO ALFREDO - 25398</t>
  </si>
  <si>
    <t>8,68%</t>
  </si>
  <si>
    <t>13,43%</t>
  </si>
  <si>
    <t>CE FREDERICO AZEVEDO - 25685</t>
  </si>
  <si>
    <t>8,73%</t>
  </si>
  <si>
    <t>CIEP 262 CURVELINA DIAS CURVELLO - 25327</t>
  </si>
  <si>
    <t>8,81%</t>
  </si>
  <si>
    <t>CE PROFESSOR ARAGAO GOMES - 26112</t>
  </si>
  <si>
    <t>30,43%</t>
  </si>
  <si>
    <t>CE BARAO DE TINGUA - 26010</t>
  </si>
  <si>
    <t>8,84%</t>
  </si>
  <si>
    <t>13,79%</t>
  </si>
  <si>
    <t>CE MACHADO DE ASSIS - 25291</t>
  </si>
  <si>
    <t>8,88%</t>
  </si>
  <si>
    <t>CE RACHEL REID PEREIRA DE SOUZA - 25124</t>
  </si>
  <si>
    <t>CE ANTÔNIO HOUAISS - 25443</t>
  </si>
  <si>
    <t>8,90%</t>
  </si>
  <si>
    <t>6,00%</t>
  </si>
  <si>
    <t>CIEP 198 PROFESSORA ROZA FERREIRA DE MATTOS - 25867</t>
  </si>
  <si>
    <t>57,14%</t>
  </si>
  <si>
    <t>CIEP 337 BERTA LUTZ - 25924</t>
  </si>
  <si>
    <t>CE CORONEL JOSÉ ROSA DA SILVA - 25042</t>
  </si>
  <si>
    <t>38,46%</t>
  </si>
  <si>
    <t>CE PEDRO ALVARES CABRAL - 25411</t>
  </si>
  <si>
    <t>9,14%</t>
  </si>
  <si>
    <t>CE DOM PEDRO I - 25935</t>
  </si>
  <si>
    <t>9,18%</t>
  </si>
  <si>
    <t>37,04%</t>
  </si>
  <si>
    <t>59,57%</t>
  </si>
  <si>
    <t>CIEP 197 MINISTRO MARCOS DE BARROS FREIRE - 25920</t>
  </si>
  <si>
    <t>9,20%</t>
  </si>
  <si>
    <t>CIEP 241 NACAO MANGUEIRENSE GOVERNADOR LEONEL DE MOURA BRIZOLA - 25434</t>
  </si>
  <si>
    <t>9,24%</t>
  </si>
  <si>
    <t>2,27%</t>
  </si>
  <si>
    <t>CIEP 302 CHARLES DICKENS - 26160</t>
  </si>
  <si>
    <t>9,29%</t>
  </si>
  <si>
    <t>CE SANTO ANTONIO DE PÁDUA - 26038</t>
  </si>
  <si>
    <t>9,35%</t>
  </si>
  <si>
    <t>CE VILA BELA - 25939</t>
  </si>
  <si>
    <t>9,37%</t>
  </si>
  <si>
    <t>4,88%</t>
  </si>
  <si>
    <t>CE FRANCISCO JOBIM - 25465</t>
  </si>
  <si>
    <t>CIEP 316 GENERAL LADARIO PEREIRA TELLES - 25923</t>
  </si>
  <si>
    <t>CE OPERARIO JOAO VICENTE - 25841</t>
  </si>
  <si>
    <t>9,56%</t>
  </si>
  <si>
    <t>CE CARLOS ARNOLDO ABRUZZINI DA FONSECA - 25565</t>
  </si>
  <si>
    <t>9,61%</t>
  </si>
  <si>
    <t>8,47%</t>
  </si>
  <si>
    <t>8,41%</t>
  </si>
  <si>
    <t>4,67%</t>
  </si>
  <si>
    <t>3,74%</t>
  </si>
  <si>
    <t>7,48%</t>
  </si>
  <si>
    <t>CIEP 178 JOÃO SALDANHA - 25919</t>
  </si>
  <si>
    <t>CE BARÃO DE ITARARÉ - 25561</t>
  </si>
  <si>
    <t>9,64%</t>
  </si>
  <si>
    <t>CE PROFESSOR JAMIL EL JAICK - 25216</t>
  </si>
  <si>
    <t>9,69%</t>
  </si>
  <si>
    <t>14,71%</t>
  </si>
  <si>
    <t>CE ANTONIO PRADO JUNIOR - 25370</t>
  </si>
  <si>
    <t>9,72%</t>
  </si>
  <si>
    <t>13,70%</t>
  </si>
  <si>
    <t>CE MADRE TERESA DE CALCUTA - 25591</t>
  </si>
  <si>
    <t>9,74%</t>
  </si>
  <si>
    <t>19,70%</t>
  </si>
  <si>
    <t>CE AUGUSTO RUSCHI - 25372</t>
  </si>
  <si>
    <t>9,76%</t>
  </si>
  <si>
    <t>CE PROFESSORA REGINA CELIA DOS REIS OLIVEIRA - 25971</t>
  </si>
  <si>
    <t>CE PROFESSOR CLOVIS MONTEIRO - 25504</t>
  </si>
  <si>
    <t>9,89%</t>
  </si>
  <si>
    <t>11,43%</t>
  </si>
  <si>
    <t>1,43%</t>
  </si>
  <si>
    <t>CE AMAZONAS - 25559</t>
  </si>
  <si>
    <t>9,94%</t>
  </si>
  <si>
    <t>2,70%</t>
  </si>
  <si>
    <t>CE DOM HELDER CAMARA - 25462</t>
  </si>
  <si>
    <t>10,61%</t>
  </si>
  <si>
    <t>14,52%</t>
  </si>
  <si>
    <t>4,84%</t>
  </si>
  <si>
    <t>CE SÃO JUDAS TADEU - 26041</t>
  </si>
  <si>
    <t>CIEP 299 JIULIO CARUSO - 26231</t>
  </si>
  <si>
    <t>10,17%</t>
  </si>
  <si>
    <t>41,18%</t>
  </si>
  <si>
    <t>CE CARLOS MAGNO NAZARETH CERQUEIRA - 25566</t>
  </si>
  <si>
    <t>10,29%</t>
  </si>
  <si>
    <t>CE ANTONIO FRANCISCO LEAL - 25743</t>
  </si>
  <si>
    <t>10,37%</t>
  </si>
  <si>
    <t>CE JOAQUIM DE ALMEIDA FLORES - 25948</t>
  </si>
  <si>
    <t>10,38%</t>
  </si>
  <si>
    <t>CIEP 305 HEITOR DOS PRAZERES - 25627</t>
  </si>
  <si>
    <t>10,40%</t>
  </si>
  <si>
    <t>6,72%</t>
  </si>
  <si>
    <t>4,48%</t>
  </si>
  <si>
    <t>CE STUART EDGAR ANGEL JONES - 25617</t>
  </si>
  <si>
    <t>10,46%</t>
  </si>
  <si>
    <t>8,06%</t>
  </si>
  <si>
    <t>7,37%</t>
  </si>
  <si>
    <t>1,05%</t>
  </si>
  <si>
    <t>2,11%</t>
  </si>
  <si>
    <t>CIEP 463 JOÃO BORGES BARRETO - 25105</t>
  </si>
  <si>
    <t>10,48%</t>
  </si>
  <si>
    <t>34,78%</t>
  </si>
  <si>
    <t>CIEP 270 PREFEITO JOSE ALVES DE AZEVEDO - 25101</t>
  </si>
  <si>
    <t>CE PAULINO BARBOSA - 25906</t>
  </si>
  <si>
    <t>10,65%</t>
  </si>
  <si>
    <t>CIEP 331 LYSIA BERNARDES - 25256</t>
  </si>
  <si>
    <t>10,68%</t>
  </si>
  <si>
    <t>24,24%</t>
  </si>
  <si>
    <t>CIEP 386 GUILHERME DA SILVEIRA FILHO - 25634</t>
  </si>
  <si>
    <t>10,72%</t>
  </si>
  <si>
    <t>10,09%</t>
  </si>
  <si>
    <t>4,59%</t>
  </si>
  <si>
    <t>CE ROSELANDIA - 26171</t>
  </si>
  <si>
    <t>10,76%</t>
  </si>
  <si>
    <t>CE URBANO CARLOS DE ALMEIDA - 25805</t>
  </si>
  <si>
    <t>10,78%</t>
  </si>
  <si>
    <t>CIEP 394 VEREADOR CÂNDIDO AUGUSTO RIBEIRO NETO - 26077</t>
  </si>
  <si>
    <t>10,86%</t>
  </si>
  <si>
    <t>4,65%</t>
  </si>
  <si>
    <t>CE BARAO DO RIO BRANCO - 25563</t>
  </si>
  <si>
    <t>10,91%</t>
  </si>
  <si>
    <t>13,95%</t>
  </si>
  <si>
    <t>3,55%</t>
  </si>
  <si>
    <t>CIEP 240 PROFESSOR HAROLDO TEIXEIRA VALLADAO - 25719</t>
  </si>
  <si>
    <t>10,94%</t>
  </si>
  <si>
    <t>CIEP 279 PROFESSORA GUIOMAR GONCALVES NEVES - 25236</t>
  </si>
  <si>
    <t>CE CONDE AFONSO CELSO - 25456</t>
  </si>
  <si>
    <t>10,98%</t>
  </si>
  <si>
    <t>CE SOARES PEREIRA - 25422</t>
  </si>
  <si>
    <t>10,99%</t>
  </si>
  <si>
    <t>CIEP 334 MOACYR JOSE PEREIRA GERK - 26065</t>
  </si>
  <si>
    <t>CE POETA MARIO QUINTANA - 25937</t>
  </si>
  <si>
    <t>CE FLAVIO RIBEIRO DE REZENDE - 25043</t>
  </si>
  <si>
    <t>35,00%</t>
  </si>
  <si>
    <t>62,50%</t>
  </si>
  <si>
    <t>CE DELFIM MOREIRA - 25381</t>
  </si>
  <si>
    <t>11,23%</t>
  </si>
  <si>
    <t>CE CORONEL FRANCISCO RIBEIRO DA MOTTA VASCONCELOS - 25065</t>
  </si>
  <si>
    <t>11,25%</t>
  </si>
  <si>
    <t>CE PAULO ASSIS RIBEIRO - 25297</t>
  </si>
  <si>
    <t>11,26%</t>
  </si>
  <si>
    <t>CIEP 354 MARTINS PENA - 26069</t>
  </si>
  <si>
    <t>11,37%</t>
  </si>
  <si>
    <t>CE PROFESSOR MURILO BRAGA - 25968</t>
  </si>
  <si>
    <t>11,40%</t>
  </si>
  <si>
    <t>11,35%</t>
  </si>
  <si>
    <t>9,93%</t>
  </si>
  <si>
    <t>CE CONDESSA DO RIO NOVO - 25799</t>
  </si>
  <si>
    <t>11,42%</t>
  </si>
  <si>
    <t>CE RUBENS FARRULLA - 25973</t>
  </si>
  <si>
    <t>11,45%</t>
  </si>
  <si>
    <t>CE ADLAI STEVENSON - 25439</t>
  </si>
  <si>
    <t>CIEP 346 BELARMINO ALFREDO DOS SANTOS - 26095</t>
  </si>
  <si>
    <t>11,57%</t>
  </si>
  <si>
    <t>54,84%</t>
  </si>
  <si>
    <t>CIEP 021 GENERAL OSÓRIO - 26046</t>
  </si>
  <si>
    <t>11,63%</t>
  </si>
  <si>
    <t>CE PARAIBA - 25497</t>
  </si>
  <si>
    <t>CE PROFESSORA DIUMA MADEIRA SALLES DE SOUZA - 25512</t>
  </si>
  <si>
    <t>11,65%</t>
  </si>
  <si>
    <t>32,26%</t>
  </si>
  <si>
    <t>CE EUCLYDES PAULO DA SILVA - 25267</t>
  </si>
  <si>
    <t>11,69%</t>
  </si>
  <si>
    <t>CE CAPITAO JOAQUIM QUARESMA DE OLIVEIRA - 26013</t>
  </si>
  <si>
    <t>11,70%</t>
  </si>
  <si>
    <t>CIEP 460 THIOPHYLA BRAGANCA - 25246</t>
  </si>
  <si>
    <t>CE PROFESSORA ANTONIETA PALMEIRA - 25700</t>
  </si>
  <si>
    <t>CIEP 421 DEPUTADA CRISTINA TAVARES - 25730</t>
  </si>
  <si>
    <t>CE JOSE RASCAO - 25323</t>
  </si>
  <si>
    <t>11,78%</t>
  </si>
  <si>
    <t>8,11%</t>
  </si>
  <si>
    <t>CE ANTONIO DA SILVA - 26008</t>
  </si>
  <si>
    <t>9,80%</t>
  </si>
  <si>
    <t>3,92%</t>
  </si>
  <si>
    <t>CE OLAVO BILAC - 25409</t>
  </si>
  <si>
    <t>11,83%</t>
  </si>
  <si>
    <t>CE ANDRE MAUROIS - 25369</t>
  </si>
  <si>
    <t>11,90%</t>
  </si>
  <si>
    <t>1,00%</t>
  </si>
  <si>
    <t>CIEP 134 VEREADOR JOSÉ LOPES DE ARAÚJO - 26053</t>
  </si>
  <si>
    <t>11,93%</t>
  </si>
  <si>
    <t>53,85%</t>
  </si>
  <si>
    <t>CE MARECHAL CANROBERT PEREIRA DA COSTA - 25404</t>
  </si>
  <si>
    <t>11,94%</t>
  </si>
  <si>
    <t>CE EMBAIXADOR BARROS HURTADO - 25464</t>
  </si>
  <si>
    <t>CE SAO PEDRO - 26172</t>
  </si>
  <si>
    <t>CE SÃO CRISTÓVÃO - 26090</t>
  </si>
  <si>
    <t>CE PADRE MELLO - 25009</t>
  </si>
  <si>
    <t>12,20%</t>
  </si>
  <si>
    <t>CIEP 324 MAHATMA GANDHI - 26063</t>
  </si>
  <si>
    <t>12,21%</t>
  </si>
  <si>
    <t>CE RICARDA LEON - 25910</t>
  </si>
  <si>
    <t>CIEP 172 NELSON RODRIGUES - 26057</t>
  </si>
  <si>
    <t>12,22%</t>
  </si>
  <si>
    <t>4,55%</t>
  </si>
  <si>
    <t>CIEP 113 PROFESSOR WALDICK PEREIRA - 26050</t>
  </si>
  <si>
    <t>12,24%</t>
  </si>
  <si>
    <t>CIEP 208 ALCEU AMOROSO LIMA - 25870</t>
  </si>
  <si>
    <t>12,27%</t>
  </si>
  <si>
    <t>CIEP 257 JOAQUIM DO REGO BARROS - 25134</t>
  </si>
  <si>
    <t>12,36%</t>
  </si>
  <si>
    <t>4,95%</t>
  </si>
  <si>
    <t>2,97%</t>
  </si>
  <si>
    <t>0,99%</t>
  </si>
  <si>
    <t>1,98%</t>
  </si>
  <si>
    <t>CIEP 223 OLYMPIO MARQUES DOS SANTOS - 25623</t>
  </si>
  <si>
    <t>29,79%</t>
  </si>
  <si>
    <t>CIEP 056 DOUTOR CUSTODIO SIQUEIRA - 25098</t>
  </si>
  <si>
    <t>12,40%</t>
  </si>
  <si>
    <t>12,90%</t>
  </si>
  <si>
    <t>6,52%</t>
  </si>
  <si>
    <t>CIEP 415 MIGUEL DE CERVANTES - 25662</t>
  </si>
  <si>
    <t>12,44%</t>
  </si>
  <si>
    <t>25,49%</t>
  </si>
  <si>
    <t>CIEP 230 MANOEL MALAQUIAS GURGEL DA SILVA - 25953</t>
  </si>
  <si>
    <t>12,55%</t>
  </si>
  <si>
    <t>20,69%</t>
  </si>
  <si>
    <t>CE RUY BARBOSA - 25524</t>
  </si>
  <si>
    <t>12,56%</t>
  </si>
  <si>
    <t>CE JORNALISTA ALVARO BASTOS - 25119</t>
  </si>
  <si>
    <t>12,57%</t>
  </si>
  <si>
    <t>7,25%</t>
  </si>
  <si>
    <t>CE PAULINO PINHEIRO BAPTISTA - 25696</t>
  </si>
  <si>
    <t>12,59%</t>
  </si>
  <si>
    <t>CIEP 199 GINÁSIO PÚBLICO CHARLES CHAPLIN - 25868</t>
  </si>
  <si>
    <t>12,60%</t>
  </si>
  <si>
    <t>CE HELIO RANGEL - 25829</t>
  </si>
  <si>
    <t>12,65%</t>
  </si>
  <si>
    <t>CE CHIQUINHA GONZAGA - 25378</t>
  </si>
  <si>
    <t>12,73%</t>
  </si>
  <si>
    <t>CE DOUTOR FELICIANO SODRE - 25322</t>
  </si>
  <si>
    <t>12,83%</t>
  </si>
  <si>
    <t>12,28%</t>
  </si>
  <si>
    <t>42,05%</t>
  </si>
  <si>
    <t>CIEP 129 JOSE MARIA NANCI - 25659</t>
  </si>
  <si>
    <t>12,87%</t>
  </si>
  <si>
    <t>CE ZULEIKA RAPOSO VALLADARES - 25301</t>
  </si>
  <si>
    <t>CE JARDIM ALVORADA - 26022</t>
  </si>
  <si>
    <t>20,51%</t>
  </si>
  <si>
    <t>CIEP 513 GEORGE SAVALLA GOMES - PALHACO CAREQUINHA - 25736</t>
  </si>
  <si>
    <t>CE PROFESSOR OZEAS GOMES LARANGEIRAS - 25606</t>
  </si>
  <si>
    <t>13,16%</t>
  </si>
  <si>
    <t>CE VITAL BRASIL - 25708</t>
  </si>
  <si>
    <t>13,18%</t>
  </si>
  <si>
    <t>CE EUNICE WEAVER - 25386</t>
  </si>
  <si>
    <t>13,21%</t>
  </si>
  <si>
    <t>CIEP 297 PADRE SALESIO SCHIMID - 26146</t>
  </si>
  <si>
    <t>13,24%</t>
  </si>
  <si>
    <t>29,63%</t>
  </si>
  <si>
    <t>CE MIGUEL COUTO - 25251</t>
  </si>
  <si>
    <t>13,30%</t>
  </si>
  <si>
    <t>18,64%</t>
  </si>
  <si>
    <t>18,37%</t>
  </si>
  <si>
    <t>CE EMBAIXADOR RAUL FERNANDES - 25284</t>
  </si>
  <si>
    <t>CE THOMAZ GOMES - 25109</t>
  </si>
  <si>
    <t>13,38%</t>
  </si>
  <si>
    <t>CIEP 434 PROFESSORA MARIA JOSE MACHADO - 25883</t>
  </si>
  <si>
    <t>CE ELISIARIO MATTA - 25266</t>
  </si>
  <si>
    <t>13,40%</t>
  </si>
  <si>
    <t>6,85%</t>
  </si>
  <si>
    <t>6,35%</t>
  </si>
  <si>
    <t>CE DEPUTADO CARLOS PINTO FILHO - 25046</t>
  </si>
  <si>
    <t>13,41%</t>
  </si>
  <si>
    <t>CE PROFESSORA MARIA TEREZINHA DE CARVALHO MACHADO - 25416</t>
  </si>
  <si>
    <t>13,42%</t>
  </si>
  <si>
    <t>14,49%</t>
  </si>
  <si>
    <t>1,36%</t>
  </si>
  <si>
    <t>0,68%</t>
  </si>
  <si>
    <t>5,44%</t>
  </si>
  <si>
    <t>CE ARRUDA NEGREIROS - 26009</t>
  </si>
  <si>
    <t>13,45%</t>
  </si>
  <si>
    <t>29,03%</t>
  </si>
  <si>
    <t>CE MARECHAL JOAO BAPTISTA DE MATTOS - 25485</t>
  </si>
  <si>
    <t>13,50%</t>
  </si>
  <si>
    <t>8,93%</t>
  </si>
  <si>
    <t>71,43%</t>
  </si>
  <si>
    <t>2,96%</t>
  </si>
  <si>
    <t>0,74%</t>
  </si>
  <si>
    <t>CIEP 126 ALMEDORINA AZEREDO - 25716</t>
  </si>
  <si>
    <t>CE SÃO PAULO - 26226</t>
  </si>
  <si>
    <t>CE DOMICIO DA GAMA - 25264</t>
  </si>
  <si>
    <t>13,52%</t>
  </si>
  <si>
    <t>CE REPUBLICA DE ANGOLA - 25518</t>
  </si>
  <si>
    <t>13,53%</t>
  </si>
  <si>
    <t>CE ALMIRANTE BARROSO - 25061</t>
  </si>
  <si>
    <t>13,61%</t>
  </si>
  <si>
    <t>CE PROFESSORA JEANNETTE DE SOUZA COELHO MANNARINO - 25609</t>
  </si>
  <si>
    <t>13,63%</t>
  </si>
  <si>
    <t>CAIC NACOES UNIDAS - 25555</t>
  </si>
  <si>
    <t>39,39%</t>
  </si>
  <si>
    <t>7,84%</t>
  </si>
  <si>
    <t>CE CORONEL JOAO TARCISIO BUENO - 25674</t>
  </si>
  <si>
    <t>13,67%</t>
  </si>
  <si>
    <t>CIEP 246 PROFESSORA ADALGISA CABRAL DE FARIA - 25720</t>
  </si>
  <si>
    <t>13,73%</t>
  </si>
  <si>
    <t>CE STELLA MATUTINA - 25424</t>
  </si>
  <si>
    <t>13,75%</t>
  </si>
  <si>
    <t>6,17%</t>
  </si>
  <si>
    <t>CE DOUTOR OSCAR PIMENTA SOARES - 25961</t>
  </si>
  <si>
    <t>13,82%</t>
  </si>
  <si>
    <t>CE ALICE DE SOUZA BRUNO - 25641</t>
  </si>
  <si>
    <t>13,83%</t>
  </si>
  <si>
    <t>CIEP 476 ELIAS LAZARONI - 25884</t>
  </si>
  <si>
    <t>13,90%</t>
  </si>
  <si>
    <t>10,34%</t>
  </si>
  <si>
    <t>CE MARIA ISABEL RANGEL DE ARAUJO - 25086</t>
  </si>
  <si>
    <t>CIEP 229 CANDIDO PORTINARI - 25875</t>
  </si>
  <si>
    <t>13,97%</t>
  </si>
  <si>
    <t>CE JOSE BONIFACIO - 25289</t>
  </si>
  <si>
    <t>14,00%</t>
  </si>
  <si>
    <t>CIEP 390 CHAO DE ESTRELAS - 26076</t>
  </si>
  <si>
    <t>14,05%</t>
  </si>
  <si>
    <t>16,28%</t>
  </si>
  <si>
    <t>6,98%</t>
  </si>
  <si>
    <t>CIEP 382 ASPIRANTE FRANCISCO MEGA - 25633</t>
  </si>
  <si>
    <t>14,12%</t>
  </si>
  <si>
    <t>17,46%</t>
  </si>
  <si>
    <t>2,73%</t>
  </si>
  <si>
    <t>CE PROFESSOR MÁRIO CAMPOS - 25951</t>
  </si>
  <si>
    <t>14,14%</t>
  </si>
  <si>
    <t>41,38%</t>
  </si>
  <si>
    <t>CE DOUTOR LEONEL HOMEM DA COSTA - 25051</t>
  </si>
  <si>
    <t>14,17%</t>
  </si>
  <si>
    <t>23,81%</t>
  </si>
  <si>
    <t>CE ISMAEL BRANCO - 25686</t>
  </si>
  <si>
    <t>14,22%</t>
  </si>
  <si>
    <t>CE PIERRE PLANCHER - 25936</t>
  </si>
  <si>
    <t>14,24%</t>
  </si>
  <si>
    <t>14,58%</t>
  </si>
  <si>
    <t>CIEP 402 APARICIO TORELLI - 26004</t>
  </si>
  <si>
    <t>14,25%</t>
  </si>
  <si>
    <t>16,22%</t>
  </si>
  <si>
    <t>19,35%</t>
  </si>
  <si>
    <t>CE ALMIRANTE TAMANDARE - 25321</t>
  </si>
  <si>
    <t>CIEP 200 PROFESSOR TERLI FIORAVANTE DA ROCHA - 26060</t>
  </si>
  <si>
    <t>CIEP 433 TOGO RENAN SOARES KANELA - 25638</t>
  </si>
  <si>
    <t>14,30%</t>
  </si>
  <si>
    <t>23,40%</t>
  </si>
  <si>
    <t>9,43%</t>
  </si>
  <si>
    <t>CE DOUTOR THIERS CARDOSO - 25077</t>
  </si>
  <si>
    <t>14,33%</t>
  </si>
  <si>
    <t>17,95%</t>
  </si>
  <si>
    <t>CE MANUEL DE ABREU - 25292</t>
  </si>
  <si>
    <t>14,42%</t>
  </si>
  <si>
    <t>19,44%</t>
  </si>
  <si>
    <t>8,51%</t>
  </si>
  <si>
    <t>2,13%</t>
  </si>
  <si>
    <t>CE FIGUEIRA - 26020</t>
  </si>
  <si>
    <t>14,46%</t>
  </si>
  <si>
    <t>CE OLINTO DA GAMA BOTELHO - 25495</t>
  </si>
  <si>
    <t>6,94%</t>
  </si>
  <si>
    <t>CIEP 339 MARIO TAMBORINDEGUY - 25541</t>
  </si>
  <si>
    <t>14,50%</t>
  </si>
  <si>
    <t>2,60%</t>
  </si>
  <si>
    <t>1,30%</t>
  </si>
  <si>
    <t>3,90%</t>
  </si>
  <si>
    <t>CE BRIGADEIRO SCHORCHT - 25373</t>
  </si>
  <si>
    <t>14,54%</t>
  </si>
  <si>
    <t>11,24%</t>
  </si>
  <si>
    <t>2,37%</t>
  </si>
  <si>
    <t>1,18%</t>
  </si>
  <si>
    <t>4,14%</t>
  </si>
  <si>
    <t>CE PREFEITO LUIZ GUIMARÃES - 26088</t>
  </si>
  <si>
    <t>14,61%</t>
  </si>
  <si>
    <t>4,62%</t>
  </si>
  <si>
    <t>1,54%</t>
  </si>
  <si>
    <t>CIEP 395 LUIZ HENRIQUE REZENDE NOVAES - 26078</t>
  </si>
  <si>
    <t>14,63%</t>
  </si>
  <si>
    <t>CE NUTA BARTHLET JAMES - 25950</t>
  </si>
  <si>
    <t>CE NILO PECANHA - 26101</t>
  </si>
  <si>
    <t>14,69%</t>
  </si>
  <si>
    <t>54,17%</t>
  </si>
  <si>
    <t>CE TENENTE GENERAL NAPION - 25528</t>
  </si>
  <si>
    <t>CIEP 268 LUIZ CARLOS DE LACERDA - 25100</t>
  </si>
  <si>
    <t>14,77%</t>
  </si>
  <si>
    <t>CIEP 303 GP AYRTON SENNA - 25435</t>
  </si>
  <si>
    <t>14,78%</t>
  </si>
  <si>
    <t>7,94%</t>
  </si>
  <si>
    <t>0,98%</t>
  </si>
  <si>
    <t>CE PREFEITO MENDES DE MORAES - 25502</t>
  </si>
  <si>
    <t>16,90%</t>
  </si>
  <si>
    <t>4,31%</t>
  </si>
  <si>
    <t>0,86%</t>
  </si>
  <si>
    <t>CIEP 089 GRACILIANO RAMOS - 25861</t>
  </si>
  <si>
    <t>1,75%</t>
  </si>
  <si>
    <t>CE JARDIM GLAUCIA - 25901</t>
  </si>
  <si>
    <t>14,88%</t>
  </si>
  <si>
    <t>CE RAUL VIDAL - 25300</t>
  </si>
  <si>
    <t>14,91%</t>
  </si>
  <si>
    <t>5,17%</t>
  </si>
  <si>
    <t>CE CRISTOVAO COLOMBO - 25571</t>
  </si>
  <si>
    <t>14,93%</t>
  </si>
  <si>
    <t>CE ENGENHEIRO PEDREIRA - 26000</t>
  </si>
  <si>
    <t>15,07%</t>
  </si>
  <si>
    <t>6,49%</t>
  </si>
  <si>
    <t>CE PROFESSORA MARINA BENTO - 26035</t>
  </si>
  <si>
    <t>15,14%</t>
  </si>
  <si>
    <t>CE PROFESSORA MARIA JOSÉ RAUNHEITTI DUCCINI - 26034</t>
  </si>
  <si>
    <t>15,19%</t>
  </si>
  <si>
    <t>CE DOM ADRIANO HIPÓLITO - 26015</t>
  </si>
  <si>
    <t>15,20%</t>
  </si>
  <si>
    <t>CE DESEMBARGADOR ALVARO FERREIRA PINTO - 25067</t>
  </si>
  <si>
    <t>CE CENTRAL DO BRASIL - 25451</t>
  </si>
  <si>
    <t>15,21%</t>
  </si>
  <si>
    <t>4,24%</t>
  </si>
  <si>
    <t>1,69%</t>
  </si>
  <si>
    <t>CE ZUMBI DOS PALMARES - 25855</t>
  </si>
  <si>
    <t>15,22%</t>
  </si>
  <si>
    <t>CE CIDADE DE LISBOA - 25454</t>
  </si>
  <si>
    <t>15,29%</t>
  </si>
  <si>
    <t>CE PROFESSOR AMAZOR VIEIRA BORGES - 26031</t>
  </si>
  <si>
    <t>15,30%</t>
  </si>
  <si>
    <t>CE RODRIGO OTÁVIO FILHO - 25521</t>
  </si>
  <si>
    <t>15,54%</t>
  </si>
  <si>
    <t>CIEP 055 JOAO GREGORIO GALINDO - 26159</t>
  </si>
  <si>
    <t>15,64%</t>
  </si>
  <si>
    <t>CE DOUTOR IGNACIO BEZERRA DE MENEZES - 25818</t>
  </si>
  <si>
    <t>15,73%</t>
  </si>
  <si>
    <t>CIEP 092 FEDERICO FELLINI - 25536</t>
  </si>
  <si>
    <t>19,15%</t>
  </si>
  <si>
    <t>1,28%</t>
  </si>
  <si>
    <t>CE DOUTOR BARROS BARRETO - 25069</t>
  </si>
  <si>
    <t>15,82%</t>
  </si>
  <si>
    <t>32,00%</t>
  </si>
  <si>
    <t>CIEP 314 GALILEU GALILEI - 25922</t>
  </si>
  <si>
    <t>15,91%</t>
  </si>
  <si>
    <t>CE ANTONIO FIGUEIRA DE ALMEIDA - 25944</t>
  </si>
  <si>
    <t>15,93%</t>
  </si>
  <si>
    <t>10,60%</t>
  </si>
  <si>
    <t>3,97%</t>
  </si>
  <si>
    <t>2,65%</t>
  </si>
  <si>
    <t>7,95%</t>
  </si>
  <si>
    <t>CE JULIA KUBITSCHEK - 25401</t>
  </si>
  <si>
    <t>15,95%</t>
  </si>
  <si>
    <t>10,59%</t>
  </si>
  <si>
    <t>4,71%</t>
  </si>
  <si>
    <t>8,24%</t>
  </si>
  <si>
    <t>CE PROFESSORA ELIANA DE ALMEIDA SANTOS - 25547</t>
  </si>
  <si>
    <t>15,98%</t>
  </si>
  <si>
    <t>CE NUNO ALVARES PEREIRA - 25490</t>
  </si>
  <si>
    <t>CIEP 277 JOÃO NICOLÁO FILHO - JANJÃO - 25174</t>
  </si>
  <si>
    <t>CE BARAO DE SANTA MARIA MADALENA - 25225</t>
  </si>
  <si>
    <t>CE LUIZ REID - 25120</t>
  </si>
  <si>
    <t>16,24%</t>
  </si>
  <si>
    <t>6,43%</t>
  </si>
  <si>
    <t>2,14%</t>
  </si>
  <si>
    <t>CEI AGROECOLOGICO BARAO DE LANGSDORFF - 25763</t>
  </si>
  <si>
    <t>CE JORGE ZARUR - 25586</t>
  </si>
  <si>
    <t>16,26%</t>
  </si>
  <si>
    <t>3,49%</t>
  </si>
  <si>
    <t>CIEP 087 CLEMENTINA DE JESUS - 25860</t>
  </si>
  <si>
    <t>CE DOM WALMOR - 26016</t>
  </si>
  <si>
    <t>16,33%</t>
  </si>
  <si>
    <t>CE BARAO DE MACAUBAS - 25135</t>
  </si>
  <si>
    <t>16,39%</t>
  </si>
  <si>
    <t>CE JARDIM MERITI - 25965</t>
  </si>
  <si>
    <t>16,51%</t>
  </si>
  <si>
    <t>12,07%</t>
  </si>
  <si>
    <t>8,07%</t>
  </si>
  <si>
    <t>6,21%</t>
  </si>
  <si>
    <t>CIEP 495 ALBERTO DA VEIGA GUIGNARD - 26161</t>
  </si>
  <si>
    <t>3,77%</t>
  </si>
  <si>
    <t>CE DOUTOR ALBERT SABIN - 25574</t>
  </si>
  <si>
    <t>8,45%</t>
  </si>
  <si>
    <t>4,74%</t>
  </si>
  <si>
    <t>CIEP 249 PASTOR WALDEMAR ZARRO - 25722</t>
  </si>
  <si>
    <t>16,55%</t>
  </si>
  <si>
    <t>55,56%</t>
  </si>
  <si>
    <t>CE AGRIPINO GRIECO - 25440</t>
  </si>
  <si>
    <t>16,58%</t>
  </si>
  <si>
    <t>CE FERNANDO FIGUEIREDO - 25824</t>
  </si>
  <si>
    <t>16,60%</t>
  </si>
  <si>
    <t>23,17%</t>
  </si>
  <si>
    <t>CIA MONSENHOR TOMÁS TEJERINA DE PRADO - 26142</t>
  </si>
  <si>
    <t>CIEP 370 PROFESSOR SYLVIO GNECCO DE CARVALHO - BRASIL-MÉXICO - 25881</t>
  </si>
  <si>
    <t>31,82%</t>
  </si>
  <si>
    <t>CIEP 377 CARMEM DA SILVA - 25928</t>
  </si>
  <si>
    <t>39,13%</t>
  </si>
  <si>
    <t>CE IRACEMA LEITE NADER - 26166</t>
  </si>
  <si>
    <t>CE MOACYR PADILHA - 25802</t>
  </si>
  <si>
    <t>16,73%</t>
  </si>
  <si>
    <t>65,91%</t>
  </si>
  <si>
    <t>CE ELIZA MARIA DUTRA - 25684</t>
  </si>
  <si>
    <t>16,76%</t>
  </si>
  <si>
    <t>CIEP 461 CLOVIS TAVARES - 25103</t>
  </si>
  <si>
    <t>16,85%</t>
  </si>
  <si>
    <t>CE PROFESSORA ALCINA RODRIGUES DE LIMA - 25299</t>
  </si>
  <si>
    <t>16,89%</t>
  </si>
  <si>
    <t>CE JOSE DO PATROCINIO - 25081</t>
  </si>
  <si>
    <t>17,02%</t>
  </si>
  <si>
    <t>CE LEOPOLDINA DA SILVEIRA - 25589</t>
  </si>
  <si>
    <t>17,11%</t>
  </si>
  <si>
    <t>1,11%</t>
  </si>
  <si>
    <t>0,56%</t>
  </si>
  <si>
    <t>CE IRINEU JOSE FERREIRA - 25583</t>
  </si>
  <si>
    <t>17,13%</t>
  </si>
  <si>
    <t>3,06%</t>
  </si>
  <si>
    <t>1,02%</t>
  </si>
  <si>
    <t>CE CARMEM DE LUCA ANDREIOLO - 26114</t>
  </si>
  <si>
    <t>17,14%</t>
  </si>
  <si>
    <t>CE JORNALISTA TIM LOPES - 25477</t>
  </si>
  <si>
    <t>17,18%</t>
  </si>
  <si>
    <t>24,59%</t>
  </si>
  <si>
    <t>0,67%</t>
  </si>
  <si>
    <t>CE PROFESSORA ALVINA VALERIO DA SILVA - 25750</t>
  </si>
  <si>
    <t>17,19%</t>
  </si>
  <si>
    <t>CE OSWALDO CRUZ - 25756</t>
  </si>
  <si>
    <t>17,22%</t>
  </si>
  <si>
    <t>CE PRESIDENTE JOAO GOULART - 25412</t>
  </si>
  <si>
    <t>CIEP 168 HILDA SILVEIRA RODRIGUES - 26056</t>
  </si>
  <si>
    <t>17,26%</t>
  </si>
  <si>
    <t>25,81%</t>
  </si>
  <si>
    <t>6,02%</t>
  </si>
  <si>
    <t>4,82%</t>
  </si>
  <si>
    <t>CE MINISTRO RAUL FERNANDES - 26145</t>
  </si>
  <si>
    <t>17,27%</t>
  </si>
  <si>
    <t>CE BALTAZAR CARNEIRO - 25110</t>
  </si>
  <si>
    <t>17,29%</t>
  </si>
  <si>
    <t>24,32%</t>
  </si>
  <si>
    <t>CIEP 201 AARAO STEINBRUCH - 25869</t>
  </si>
  <si>
    <t>17,30%</t>
  </si>
  <si>
    <t>11,38%</t>
  </si>
  <si>
    <t>10,57%</t>
  </si>
  <si>
    <t>0,81%</t>
  </si>
  <si>
    <t>CE SANDRA ROLDAN BARBOZA - 25549</t>
  </si>
  <si>
    <t>17,34%</t>
  </si>
  <si>
    <t>18,60%</t>
  </si>
  <si>
    <t>9,30%</t>
  </si>
  <si>
    <t>CE JOAQUIM TAVORA - 25288</t>
  </si>
  <si>
    <t>10,42%</t>
  </si>
  <si>
    <t>CE PROFESSOR JOSE DE SOUZA HERDY - 25846</t>
  </si>
  <si>
    <t>17,48%</t>
  </si>
  <si>
    <t>CE PROFESSORA ADELIA MARTINS - 25699</t>
  </si>
  <si>
    <t>CE REPÚBLICA ITALIANA - 26193</t>
  </si>
  <si>
    <t>17,49%</t>
  </si>
  <si>
    <t>34,48%</t>
  </si>
  <si>
    <t>19,57%</t>
  </si>
  <si>
    <t>CE HERVALINA DINIZ PIRES - 25831</t>
  </si>
  <si>
    <t>17,50%</t>
  </si>
  <si>
    <t>CE SERVULO MELO - 25230</t>
  </si>
  <si>
    <t>5,19%</t>
  </si>
  <si>
    <t>CE ROTARY - 25032</t>
  </si>
  <si>
    <t>17,54%</t>
  </si>
  <si>
    <t>CIEP 398 MARIO LIMA - 25989</t>
  </si>
  <si>
    <t>17,60%</t>
  </si>
  <si>
    <t>CE CORONEL CAMISAO - 26191</t>
  </si>
  <si>
    <t>17,61%</t>
  </si>
  <si>
    <t>CE DOUTOR LUCIANO PESTRE - 25281</t>
  </si>
  <si>
    <t>CIEP 444 ISRAEL JACOB AVERBACK - 25769</t>
  </si>
  <si>
    <t>CE DOUTOR SYLVIO BASTOS TAVARES - 25076</t>
  </si>
  <si>
    <t>17,69%</t>
  </si>
  <si>
    <t>73,68%</t>
  </si>
  <si>
    <t>CE NATIVIDADE PATRICIO ANTUNES - 26030</t>
  </si>
  <si>
    <t>17,71%</t>
  </si>
  <si>
    <t>26,09%</t>
  </si>
  <si>
    <t>CE OLIMPIA DO COUTO - 25494</t>
  </si>
  <si>
    <t>17,74%</t>
  </si>
  <si>
    <t>CE PROFESSOR FRANCISCO PORTUGAL NEVES - 25845</t>
  </si>
  <si>
    <t>17,75%</t>
  </si>
  <si>
    <t>4,41%</t>
  </si>
  <si>
    <t>CE OLGA BENARIO PRESTES - 25493</t>
  </si>
  <si>
    <t>17,79%</t>
  </si>
  <si>
    <t>12,03%</t>
  </si>
  <si>
    <t>7,05%</t>
  </si>
  <si>
    <t>CIEP 196 SÃO TEODORO - 26059</t>
  </si>
  <si>
    <t>17,86%</t>
  </si>
  <si>
    <t>CIEP 114 PROFESSORA MARIA GAVAZIO MARTINS - 25979</t>
  </si>
  <si>
    <t>CIEP 329 JUAN MARTINHO CARRASCO - 25552</t>
  </si>
  <si>
    <t>17,89%</t>
  </si>
  <si>
    <t>CE PROFESSOR ALFREDO BALTHAZAR DA SILVEIRA - 25757</t>
  </si>
  <si>
    <t>32,61%</t>
  </si>
  <si>
    <t>7,58%</t>
  </si>
  <si>
    <t>CE PROFESSORA FRANCISCA JEREMIAS DA SILVEIRA MENEZES - 25970</t>
  </si>
  <si>
    <t>17,92%</t>
  </si>
  <si>
    <t>3,51%</t>
  </si>
  <si>
    <t>14,04%</t>
  </si>
  <si>
    <t>CE CONSELHEIRO MACEDO SOARES - 25279</t>
  </si>
  <si>
    <t>CE ALECRIM - 25667</t>
  </si>
  <si>
    <t>17,98%</t>
  </si>
  <si>
    <t>CIEP 052 PROFESSORA ROMANDA GOUVEIA GONÇALVES - 25713</t>
  </si>
  <si>
    <t>18,00%</t>
  </si>
  <si>
    <t>CE MONSENHOR BARENCO COELHO - 25692</t>
  </si>
  <si>
    <t>18,04%</t>
  </si>
  <si>
    <t>CIEP 285 LUIZ JOSE DAFLON GOMES - 25788</t>
  </si>
  <si>
    <t>18,05%</t>
  </si>
  <si>
    <t>CE RIO GRANDE DO SUL - 26222</t>
  </si>
  <si>
    <t>18,11%</t>
  </si>
  <si>
    <t>CE DOUTOR VALMIR PECANHA - 25800</t>
  </si>
  <si>
    <t>CE YONNE MARIA SIQUEIRA DE ANDRADE - 26045</t>
  </si>
  <si>
    <t>18,21%</t>
  </si>
  <si>
    <t>9,84%</t>
  </si>
  <si>
    <t>CE PANDIA CALOGERAS - 25695</t>
  </si>
  <si>
    <t>18,27%</t>
  </si>
  <si>
    <t>17,81%</t>
  </si>
  <si>
    <t>9,33%</t>
  </si>
  <si>
    <t>5,33%</t>
  </si>
  <si>
    <t>2,67%</t>
  </si>
  <si>
    <t>1,33%</t>
  </si>
  <si>
    <t>CE PRESIDENTE DUTRA - 25646</t>
  </si>
  <si>
    <t>18,29%</t>
  </si>
  <si>
    <t>CIEP 404 CLARICE LISPECTOR - 25882</t>
  </si>
  <si>
    <t>18,31%</t>
  </si>
  <si>
    <t>2,56%</t>
  </si>
  <si>
    <t>12,82%</t>
  </si>
  <si>
    <t>CE JOAO DE OLIVEIRA BOTAS - 25247</t>
  </si>
  <si>
    <t>18,38%</t>
  </si>
  <si>
    <t>3,67%</t>
  </si>
  <si>
    <t>6,42%</t>
  </si>
  <si>
    <t>CE PROFESSORA LUIZA HONORIA DO PRADO - 25702</t>
  </si>
  <si>
    <t>18,42%</t>
  </si>
  <si>
    <t>CE DEPUTADO PEDRO FERNANDES - 25461</t>
  </si>
  <si>
    <t>18,49%</t>
  </si>
  <si>
    <t>16,95%</t>
  </si>
  <si>
    <t>0,87%</t>
  </si>
  <si>
    <t>CIEP 409 PROFESSORA ALAIDE DE FIGUEREDO SANTOS - 25726</t>
  </si>
  <si>
    <t>18,50%</t>
  </si>
  <si>
    <t>CE AYDANO DE ALMEIDA - 25945</t>
  </si>
  <si>
    <t>18,54%</t>
  </si>
  <si>
    <t>24,66%</t>
  </si>
  <si>
    <t>5,85%</t>
  </si>
  <si>
    <t>2,66%</t>
  </si>
  <si>
    <t>CE CORTUME CARIOCA - 25749</t>
  </si>
  <si>
    <t>18,55%</t>
  </si>
  <si>
    <t>CE SANTA TEREZA - 25911</t>
  </si>
  <si>
    <t>CE PROFESSOR JOSÉ MEDEIROS DE CAMARGO - 26204</t>
  </si>
  <si>
    <t>18,56%</t>
  </si>
  <si>
    <t>CE FRANCESCA CAREY - 25652</t>
  </si>
  <si>
    <t>CE VINICIUS DE MORAES - 25854</t>
  </si>
  <si>
    <t>CE NILO PECANHA - 25089</t>
  </si>
  <si>
    <t>18,62%</t>
  </si>
  <si>
    <t>21,77%</t>
  </si>
  <si>
    <t>2,42%</t>
  </si>
  <si>
    <t>CIEP 435 HELIO PELLEGRINO - 25639</t>
  </si>
  <si>
    <t>18,63%</t>
  </si>
  <si>
    <t>6,56%</t>
  </si>
  <si>
    <t>0,82%</t>
  </si>
  <si>
    <t>CE SAO JOSE - 25165</t>
  </si>
  <si>
    <t>CE MONTEBELLO BONDIM - 26183</t>
  </si>
  <si>
    <t>18,66%</t>
  </si>
  <si>
    <t>CE VICENTE JANNUZZI - 25427</t>
  </si>
  <si>
    <t>18,70%</t>
  </si>
  <si>
    <t>11,39%</t>
  </si>
  <si>
    <t>7,30%</t>
  </si>
  <si>
    <t>1,09%</t>
  </si>
  <si>
    <t>0,36%</t>
  </si>
  <si>
    <t>5,11%</t>
  </si>
  <si>
    <t>CE GUSTAVO BARROSO - 25900</t>
  </si>
  <si>
    <t>18,78%</t>
  </si>
  <si>
    <t>CE FRANCISCO ASSUMPÇÃO - 26021</t>
  </si>
  <si>
    <t>18,84%</t>
  </si>
  <si>
    <t>10,26%</t>
  </si>
  <si>
    <t>CE DOUTOR ADINO XAVIER - 25680</t>
  </si>
  <si>
    <t>4,29%</t>
  </si>
  <si>
    <t>2,52%</t>
  </si>
  <si>
    <t>0,63%</t>
  </si>
  <si>
    <t>6,29%</t>
  </si>
  <si>
    <t>CE COMENDADOR PEREIRA IGNACIO - 26165</t>
  </si>
  <si>
    <t>18,89%</t>
  </si>
  <si>
    <t>CE DUCLER LAUREANO MATOS - 25329</t>
  </si>
  <si>
    <t>18,98%</t>
  </si>
  <si>
    <t>CE ELVIDIO COSTA - 25137</t>
  </si>
  <si>
    <t>19,01%</t>
  </si>
  <si>
    <t>CE PRIMEIRO DE MAIO - 25122</t>
  </si>
  <si>
    <t>19,08%</t>
  </si>
  <si>
    <t>CE RAIMUNDO DE MAGALHAES - 25155</t>
  </si>
  <si>
    <t>19,11%</t>
  </si>
  <si>
    <t>23,33%</t>
  </si>
  <si>
    <t>CIEP 122 ERMEZINDA DIONISIO NECCO - 25715</t>
  </si>
  <si>
    <t>19,18%</t>
  </si>
  <si>
    <t>46,15%</t>
  </si>
  <si>
    <t>CE PROFESSORA ALZIRA DOS SANTOS DA SILVA - 25969</t>
  </si>
  <si>
    <t>43,48%</t>
  </si>
  <si>
    <t>83,33%</t>
  </si>
  <si>
    <t>36,67%</t>
  </si>
  <si>
    <t>CE VISCONDE DE ITABORAÍ - 25657</t>
  </si>
  <si>
    <t>19,26%</t>
  </si>
  <si>
    <t>9,27%</t>
  </si>
  <si>
    <t>1,99%</t>
  </si>
  <si>
    <t>7,28%</t>
  </si>
  <si>
    <t>IE CARMELA DUTRA - 25543</t>
  </si>
  <si>
    <t>19,31%</t>
  </si>
  <si>
    <t>0,66%</t>
  </si>
  <si>
    <t>CE ENGENHEIRO AREA LEAO - 26019</t>
  </si>
  <si>
    <t>19,32%</t>
  </si>
  <si>
    <t>4,39%</t>
  </si>
  <si>
    <t>CIEP 259 PROFESSORA MARIA DO AMPARO RANGEL DE SOUZA - 25271</t>
  </si>
  <si>
    <t>0,65%</t>
  </si>
  <si>
    <t>CIEP 308 PASCOAL CARLOS MAGNO - 25661</t>
  </si>
  <si>
    <t>1,85%</t>
  </si>
  <si>
    <t>12,96%</t>
  </si>
  <si>
    <t>CE VIRGILIO DE MELO FRANCO - 25530</t>
  </si>
  <si>
    <t>19,58%</t>
  </si>
  <si>
    <t>CE VISCONDE DE CAIRU - 25531</t>
  </si>
  <si>
    <t>19,66%</t>
  </si>
  <si>
    <t>CE SENADOR TEOTONIO VILELA - 25420</t>
  </si>
  <si>
    <t>19,67%</t>
  </si>
  <si>
    <t>CE SARGENTO WOLFF - 25913</t>
  </si>
  <si>
    <t>19,76%</t>
  </si>
  <si>
    <t>3,00%</t>
  </si>
  <si>
    <t>CE LOURENCA GUIMARAES - 25001</t>
  </si>
  <si>
    <t>19,77%</t>
  </si>
  <si>
    <t>CIEP 111 GELSON FREITAS - 25942</t>
  </si>
  <si>
    <t>19,81%</t>
  </si>
  <si>
    <t>10,84%</t>
  </si>
  <si>
    <t>CE NITERÓI - 26215</t>
  </si>
  <si>
    <t>19,86%</t>
  </si>
  <si>
    <t>CE JULIAO NOGUEIRA - 25083</t>
  </si>
  <si>
    <t>CE INDEPENDENCIA - 25177</t>
  </si>
  <si>
    <t>CE DOUTOR MOACYR MEIRELLES PADILHA - 25651</t>
  </si>
  <si>
    <t>20,08%</t>
  </si>
  <si>
    <t>CIEP 396 LUIZ PEIXOTO - 26097</t>
  </si>
  <si>
    <t>20,11%</t>
  </si>
  <si>
    <t>CE RAYMUNDO CORRÊA - 26089</t>
  </si>
  <si>
    <t>20,19%</t>
  </si>
  <si>
    <t>28,13%</t>
  </si>
  <si>
    <t>3,53%</t>
  </si>
  <si>
    <t>CE ALBERTO RANGEL - 25366</t>
  </si>
  <si>
    <t>20,24%</t>
  </si>
  <si>
    <t>CE HONORIO LIMA - 26152</t>
  </si>
  <si>
    <t>20,25%</t>
  </si>
  <si>
    <t>CIEP 292 PROFESSORA JANDIRA REIS DE OLIVEIRA - 26175</t>
  </si>
  <si>
    <t>CE PROFESSORA VILMA ATANAZIO - 25611</t>
  </si>
  <si>
    <t>20,36%</t>
  </si>
  <si>
    <t>26,92%</t>
  </si>
  <si>
    <t>CE ETELVINA SCHOTTZ - 25210</t>
  </si>
  <si>
    <t>20,37%</t>
  </si>
  <si>
    <t>IE PROFESSORA ISMAR GOMES DE AZEVEDO - 25260</t>
  </si>
  <si>
    <t>20,41%</t>
  </si>
  <si>
    <t>CIEP 423 MORA GUIMARAES - 25732</t>
  </si>
  <si>
    <t>CIEP 399 JEAN BAPTISTE DEBRET - 25990</t>
  </si>
  <si>
    <t>CE NOVA AMÉRICA - 25840</t>
  </si>
  <si>
    <t>20,45%</t>
  </si>
  <si>
    <t>CE SAO SEBASTIAO - 25229</t>
  </si>
  <si>
    <t>CE PROFESSORA CLARICE COELHO MOREIRA CALDAS - 25241</t>
  </si>
  <si>
    <t>20,47%</t>
  </si>
  <si>
    <t>CE SACRA FAMILIA DO TINGUA - 26110</t>
  </si>
  <si>
    <t>CE AUGUSTO CEZÁRIO DIAZ ANDRÉ - 25670</t>
  </si>
  <si>
    <t>20,53%</t>
  </si>
  <si>
    <t>CIEP 206 PROFESSORA CYRENE MORAES COSTA - 26002</t>
  </si>
  <si>
    <t>20,57%</t>
  </si>
  <si>
    <t>52,63%</t>
  </si>
  <si>
    <t>CE MISSIONÁRIO MÁRIO WAY - 25596</t>
  </si>
  <si>
    <t>20,66%</t>
  </si>
  <si>
    <t>90,00%</t>
  </si>
  <si>
    <t>3,02%</t>
  </si>
  <si>
    <t>1,29%</t>
  </si>
  <si>
    <t>CE PROFESSOR FERNANDO ANTONIO RAJA GABAGLIA - 25604</t>
  </si>
  <si>
    <t>10,45%</t>
  </si>
  <si>
    <t>8,98%</t>
  </si>
  <si>
    <t>4,19%</t>
  </si>
  <si>
    <t>1,80%</t>
  </si>
  <si>
    <t>7,78%</t>
  </si>
  <si>
    <t>CE DOUTOR GALDINO DO VALLE FILHO - 25204</t>
  </si>
  <si>
    <t>20,80%</t>
  </si>
  <si>
    <t>CE PROFESSORA MARIA DE LOURDES DE OLIVEIRA LAVOR - TIA LAVOR - 25515</t>
  </si>
  <si>
    <t>20,97%</t>
  </si>
  <si>
    <t>12,86%</t>
  </si>
  <si>
    <t>2,21%</t>
  </si>
  <si>
    <t>0,55%</t>
  </si>
  <si>
    <t>4,97%</t>
  </si>
  <si>
    <t>CIEP 355 ROQUETE PINTO - 26096</t>
  </si>
  <si>
    <t>21,02%</t>
  </si>
  <si>
    <t>2,61%</t>
  </si>
  <si>
    <t>CIEP 358 ALBERTO PASQUALINI - 26071</t>
  </si>
  <si>
    <t>CIEP 239 PROFESSORA ELZA VIANNA FIALHO - 25718</t>
  </si>
  <si>
    <t>21,10%</t>
  </si>
  <si>
    <t>34,00%</t>
  </si>
  <si>
    <t>CE PROFESSORA MARIA INOCÊNCIA FERREIRA - 25655</t>
  </si>
  <si>
    <t>21,12%</t>
  </si>
  <si>
    <t>CE SANTA RITA DE CÁSSIA - 26037</t>
  </si>
  <si>
    <t>21,13%</t>
  </si>
  <si>
    <t>CE PEDRO ALVARES CABRAL - 25967</t>
  </si>
  <si>
    <t>21,17%</t>
  </si>
  <si>
    <t>24,39%</t>
  </si>
  <si>
    <t>11,22%</t>
  </si>
  <si>
    <t>CE PROFESSORA EVANGELINA SOARES DE MOURA - 26032</t>
  </si>
  <si>
    <t>21,25%</t>
  </si>
  <si>
    <t>CIEP 364 NELSON RAMOS - 25943</t>
  </si>
  <si>
    <t>21,26%</t>
  </si>
  <si>
    <t>25,93%</t>
  </si>
  <si>
    <t>CE ALFREDO PUJOL - 26207</t>
  </si>
  <si>
    <t>21,31%</t>
  </si>
  <si>
    <t>CIEP 384 GONCALVES DIAS - 25245</t>
  </si>
  <si>
    <t>21,36%</t>
  </si>
  <si>
    <t>48,15%</t>
  </si>
  <si>
    <t>CE JOSE FONSECA - 26138</t>
  </si>
  <si>
    <t>21,50%</t>
  </si>
  <si>
    <t>60,98%</t>
  </si>
  <si>
    <t>CE COMPOSITOR LUIZ CARLOS DA VILA - 25379</t>
  </si>
  <si>
    <t>21,52%</t>
  </si>
  <si>
    <t>7,96%</t>
  </si>
  <si>
    <t>0,88%</t>
  </si>
  <si>
    <t>5,31%</t>
  </si>
  <si>
    <t>CE SARGENTO ANTÔNIO ERNESTO - 26042</t>
  </si>
  <si>
    <t>21,55%</t>
  </si>
  <si>
    <t>2,91%</t>
  </si>
  <si>
    <t>9,71%</t>
  </si>
  <si>
    <t>CE DOUTOR HUMBERTO SOEIRO DE CARVALHO - 25682</t>
  </si>
  <si>
    <t>21,59%</t>
  </si>
  <si>
    <t>CE AFONSO PENA - 25365</t>
  </si>
  <si>
    <t>21,61%</t>
  </si>
  <si>
    <t>CIEP 225 MARIO QUINTANA - 25625</t>
  </si>
  <si>
    <t>21,66%</t>
  </si>
  <si>
    <t>9,78%</t>
  </si>
  <si>
    <t>3,56%</t>
  </si>
  <si>
    <t>1,78%</t>
  </si>
  <si>
    <t>CE GENERAL OSORIO - 25467</t>
  </si>
  <si>
    <t>21,69%</t>
  </si>
  <si>
    <t>CIEP 238 DOUTOR ILTON FARIA DA COSTA - 25717</t>
  </si>
  <si>
    <t>21,78%</t>
  </si>
  <si>
    <t>CE COMPOSITOR MANACEIA JOSE DE ANDRADE - 25455</t>
  </si>
  <si>
    <t>21,82%</t>
  </si>
  <si>
    <t>8,96%</t>
  </si>
  <si>
    <t>CIEP 155 MARIA JOAQUINA DE OLIVEIRA - 25649</t>
  </si>
  <si>
    <t>21,83%</t>
  </si>
  <si>
    <t>CE PROFESSORA MARIA IZABEL DO COUTO BRANDAO - 25548</t>
  </si>
  <si>
    <t>21,90%</t>
  </si>
  <si>
    <t>CE MARECHAL ZENOBIO DA COSTA - 25949</t>
  </si>
  <si>
    <t>31,43%</t>
  </si>
  <si>
    <t>18,33%</t>
  </si>
  <si>
    <t>CE VICENTINA GOULART - 26044</t>
  </si>
  <si>
    <t>21,91%</t>
  </si>
  <si>
    <t>7,56%</t>
  </si>
  <si>
    <t>4,07%</t>
  </si>
  <si>
    <t>CE ROTARY II - ENILDA BARRETO RANGEL - 25094</t>
  </si>
  <si>
    <t>21,93%</t>
  </si>
  <si>
    <t>17,78%</t>
  </si>
  <si>
    <t>9,85%</t>
  </si>
  <si>
    <t>CE CORONEL ANTONIO PECANHA - 25747</t>
  </si>
  <si>
    <t>84,62%</t>
  </si>
  <si>
    <t>CIEP 347 DOUTOR JORGE MIGUEL JAYME - 26206</t>
  </si>
  <si>
    <t>72,73%</t>
  </si>
  <si>
    <t>CE PROFESSORA SONIA REGINA SCUDESE DESSIMONI PINTO - 25517</t>
  </si>
  <si>
    <t>21,96%</t>
  </si>
  <si>
    <t>CE DUQUE DE CAXIAS - 25820</t>
  </si>
  <si>
    <t>22,04%</t>
  </si>
  <si>
    <t>8,18%</t>
  </si>
  <si>
    <t>CIEP 175 JOSE LINS DO REGO - 25986</t>
  </si>
  <si>
    <t>22,09%</t>
  </si>
  <si>
    <t>4,46%</t>
  </si>
  <si>
    <t>CE EMBAIXADOR RAUL FERNANDES - 25821</t>
  </si>
  <si>
    <t>22,15%</t>
  </si>
  <si>
    <t>CE ABDIAS NASCIMENTO - 26005</t>
  </si>
  <si>
    <t>CE BARAO DO RIO BONITO - 26098</t>
  </si>
  <si>
    <t>22,27%</t>
  </si>
  <si>
    <t>77,42%</t>
  </si>
  <si>
    <t>CE DOUTOR JOÃO MAIA - 26198</t>
  </si>
  <si>
    <t>CE COLLECCHIO - 25569</t>
  </si>
  <si>
    <t>22,30%</t>
  </si>
  <si>
    <t>23,21%</t>
  </si>
  <si>
    <t>1,27%</t>
  </si>
  <si>
    <t>3,18%</t>
  </si>
  <si>
    <t>0,64%</t>
  </si>
  <si>
    <t>CE CONDE PEREIRA CARNEIRO - 26150</t>
  </si>
  <si>
    <t>22,33%</t>
  </si>
  <si>
    <t>10,14%</t>
  </si>
  <si>
    <t>CE RAMIZ GALVAO - 25613</t>
  </si>
  <si>
    <t>22,40%</t>
  </si>
  <si>
    <t>IE CLELIA NANCI - 25742</t>
  </si>
  <si>
    <t>22,42%</t>
  </si>
  <si>
    <t>12,70%</t>
  </si>
  <si>
    <t>3,91%</t>
  </si>
  <si>
    <t>CE VISCONDE DE ARAUJO - 25126</t>
  </si>
  <si>
    <t>22,47%</t>
  </si>
  <si>
    <t>1,41%</t>
  </si>
  <si>
    <t>CE JOAO PAULO II - 26182</t>
  </si>
  <si>
    <t>22,55%</t>
  </si>
  <si>
    <t>21,88%</t>
  </si>
  <si>
    <t>0,94%</t>
  </si>
  <si>
    <t>CE JOSÉ BONIFÁCIO - 26024</t>
  </si>
  <si>
    <t>CE PROFESSOR VIEIRA FAZENDA - 25607</t>
  </si>
  <si>
    <t>22,73%</t>
  </si>
  <si>
    <t>36,84%</t>
  </si>
  <si>
    <t>CIEP 140 MÁRIO CESAR GOMES DA SILVA - 25167</t>
  </si>
  <si>
    <t>CIEP 400 GP OSWALD DE ANDRADE - 25991</t>
  </si>
  <si>
    <t>22,77%</t>
  </si>
  <si>
    <t>CIEP 424 PEDRO AMORIM - 25663</t>
  </si>
  <si>
    <t>22,78%</t>
  </si>
  <si>
    <t>CE VARZEA DA ALEGRIA - 25915</t>
  </si>
  <si>
    <t>22,83%</t>
  </si>
  <si>
    <t>47,83%</t>
  </si>
  <si>
    <t>5,63%</t>
  </si>
  <si>
    <t>CIEP 376 CLAUDIO COUTINHO - 25927</t>
  </si>
  <si>
    <t>22,88%</t>
  </si>
  <si>
    <t>CIEP 176 CHICO MENDES - 25866</t>
  </si>
  <si>
    <t>45,45%</t>
  </si>
  <si>
    <t>77,78%</t>
  </si>
  <si>
    <t>CIEP 320 ERCILIA ANTONIA DA SILVA - 25876</t>
  </si>
  <si>
    <t>1,32%</t>
  </si>
  <si>
    <t>CIEP 362 ROBERTO BURLE MARX - 25632</t>
  </si>
  <si>
    <t>CE NAZIRA SALOMAO - 26154</t>
  </si>
  <si>
    <t>23,26%</t>
  </si>
  <si>
    <t>7,26%</t>
  </si>
  <si>
    <t>4,03%</t>
  </si>
  <si>
    <t>CE PREFEITO FRANCISCO FONTES TORRES - 26218</t>
  </si>
  <si>
    <t>23,29%</t>
  </si>
  <si>
    <t>47,06%</t>
  </si>
  <si>
    <t>CE CORONEL JOAO LIMONGI - 25782</t>
  </si>
  <si>
    <t>23,31%</t>
  </si>
  <si>
    <t>CE SOUZA AGUIAR - 25423</t>
  </si>
  <si>
    <t>23,32%</t>
  </si>
  <si>
    <t>13,56%</t>
  </si>
  <si>
    <t>CIEP 448 RUY FRAZAO SOARES - 25305</t>
  </si>
  <si>
    <t>23,43%</t>
  </si>
  <si>
    <t>CIEP 258 ASTROGILDO PEREIRA - 25334</t>
  </si>
  <si>
    <t>23,65%</t>
  </si>
  <si>
    <t>6,97%</t>
  </si>
  <si>
    <t>0,50%</t>
  </si>
  <si>
    <t>CE PADRE ANCHIETA - 25842</t>
  </si>
  <si>
    <t>23,66%</t>
  </si>
  <si>
    <t>17,05%</t>
  </si>
  <si>
    <t>CE PEDRO CERQUEIRA - 25146</t>
  </si>
  <si>
    <t>23,73%</t>
  </si>
  <si>
    <t>CE QUINTINO BOCAIUVA - 25164</t>
  </si>
  <si>
    <t>23,79%</t>
  </si>
  <si>
    <t>CE PROFESSORA VANIA DO AMARAL MATIAS EDDE - 25610</t>
  </si>
  <si>
    <t>CE SÃO FRANCISCO DE PAULA - 26039</t>
  </si>
  <si>
    <t>23,83%</t>
  </si>
  <si>
    <t>17,24%</t>
  </si>
  <si>
    <t>CE HILARIO RIBEIRO - 25287</t>
  </si>
  <si>
    <t>23,85%</t>
  </si>
  <si>
    <t>CIEP 466 NINA ARUEIRA - 25106</t>
  </si>
  <si>
    <t>23,91%</t>
  </si>
  <si>
    <t>CIEP 152 GARRINCHA ALEGRIA DO POVO - 26119</t>
  </si>
  <si>
    <t>23,98%</t>
  </si>
  <si>
    <t>59,38%</t>
  </si>
  <si>
    <t>CE GUANABARA - 26214</t>
  </si>
  <si>
    <t>24,00%</t>
  </si>
  <si>
    <t>CE LIONS CLUBE DE PARAIBA DO SUL - 26123</t>
  </si>
  <si>
    <t>24,06%</t>
  </si>
  <si>
    <t>32,14%</t>
  </si>
  <si>
    <t>CIEP 272 GABRIEL JOAQUIM DOS SANTOS - 25328</t>
  </si>
  <si>
    <t>24,10%</t>
  </si>
  <si>
    <t>CE SANTO ANTONIO - 25851</t>
  </si>
  <si>
    <t>24,18%</t>
  </si>
  <si>
    <t>5,08%</t>
  </si>
  <si>
    <t>CE ROTARY - 26224</t>
  </si>
  <si>
    <t>24,19%</t>
  </si>
  <si>
    <t>CAIC EUCLYDES DA CUNHA - 25363</t>
  </si>
  <si>
    <t>24,20%</t>
  </si>
  <si>
    <t>6,19%</t>
  </si>
  <si>
    <t>1,55%</t>
  </si>
  <si>
    <t>0,52%</t>
  </si>
  <si>
    <t>3,09%</t>
  </si>
  <si>
    <t>0,26%</t>
  </si>
  <si>
    <t>CE CLODOMIRO VASCONCELOS - 25544</t>
  </si>
  <si>
    <t>24,27%</t>
  </si>
  <si>
    <t>29,58%</t>
  </si>
  <si>
    <t>3,52%</t>
  </si>
  <si>
    <t>CE EDMUNDO SILVA - 25239</t>
  </si>
  <si>
    <t>24,58%</t>
  </si>
  <si>
    <t>13,15%</t>
  </si>
  <si>
    <t>0,80%</t>
  </si>
  <si>
    <t>CE HERBERT DE SOUZA - 25394</t>
  </si>
  <si>
    <t>24,65%</t>
  </si>
  <si>
    <t>CE WALTER ORLANDINE - 25709</t>
  </si>
  <si>
    <t>24,74%</t>
  </si>
  <si>
    <t>27,59%</t>
  </si>
  <si>
    <t>0,53%</t>
  </si>
  <si>
    <t>CIEP 032 CORA CORALINA - 25858</t>
  </si>
  <si>
    <t>24,75%</t>
  </si>
  <si>
    <t>13,27%</t>
  </si>
  <si>
    <t>CE FIDELIS MEDEIROS - 25825</t>
  </si>
  <si>
    <t>24,76%</t>
  </si>
  <si>
    <t>CE PRESIDENTE ROOSEVELT - 26219</t>
  </si>
  <si>
    <t>24,77%</t>
  </si>
  <si>
    <t>1,82%</t>
  </si>
  <si>
    <t>CE HEITOR LIRA - 25471</t>
  </si>
  <si>
    <t>24,78%</t>
  </si>
  <si>
    <t>1,42%</t>
  </si>
  <si>
    <t>CE JOSE CARLOS BOARETTO - 25199</t>
  </si>
  <si>
    <t>24,81%</t>
  </si>
  <si>
    <t>CE EUCLIDES FELICIANO TARDIN - 25004</t>
  </si>
  <si>
    <t>24,86%</t>
  </si>
  <si>
    <t>15,56%</t>
  </si>
  <si>
    <t>CE ALVARO ALVIM - 26113</t>
  </si>
  <si>
    <t>CIEP 050 PABLO NERUDA - 25712</t>
  </si>
  <si>
    <t>CE SAO FRANCISCO DE PAULA - 25147</t>
  </si>
  <si>
    <t>25,20%</t>
  </si>
  <si>
    <t>14,74%</t>
  </si>
  <si>
    <t>6,32%</t>
  </si>
  <si>
    <t>CE LEONCIO PEREIRA GOMES - 25084</t>
  </si>
  <si>
    <t>CIEP 453 DOUTOR MILTON RODRIGUES ROCHA - 25666</t>
  </si>
  <si>
    <t>25,23%</t>
  </si>
  <si>
    <t>3,62%</t>
  </si>
  <si>
    <t>CIEP 323 MARIA WERNECK DE CASTRO - 25539</t>
  </si>
  <si>
    <t>25,24%</t>
  </si>
  <si>
    <t>13,89%</t>
  </si>
  <si>
    <t>8,75%</t>
  </si>
  <si>
    <t>45,00%</t>
  </si>
  <si>
    <t>1,25%</t>
  </si>
  <si>
    <t>CE EVANGELINA PORTO DA MOTTA - 25823</t>
  </si>
  <si>
    <t>25,32%</t>
  </si>
  <si>
    <t>CE PROFESSORA DALILA DE OLIVEIRA COSTA - 25701</t>
  </si>
  <si>
    <t>CIEP 488 EZEQUIEL FREIRE - 26179</t>
  </si>
  <si>
    <t>25,38%</t>
  </si>
  <si>
    <t>58,33%</t>
  </si>
  <si>
    <t>CE CONSTANTINO FERNANDES - 25064</t>
  </si>
  <si>
    <t>25,47%</t>
  </si>
  <si>
    <t>CE OLIVEIRA BOTELHO - 26202</t>
  </si>
  <si>
    <t>25,57%</t>
  </si>
  <si>
    <t>2,53%</t>
  </si>
  <si>
    <t>CE HILTON GAMA - 25964</t>
  </si>
  <si>
    <t>25,58%</t>
  </si>
  <si>
    <t>2,46%</t>
  </si>
  <si>
    <t>CIEP 312 RAUL RYFF - 25629</t>
  </si>
  <si>
    <t>25,80%</t>
  </si>
  <si>
    <t>5,29%</t>
  </si>
  <si>
    <t>CE BARÃO DO RIO BRANCO - 25999</t>
  </si>
  <si>
    <t>25,82%</t>
  </si>
  <si>
    <t>52,94%</t>
  </si>
  <si>
    <t>15,87%</t>
  </si>
  <si>
    <t>CE RIO GRANDE DO NORTE - 26221</t>
  </si>
  <si>
    <t>26,02%</t>
  </si>
  <si>
    <t>23,60%</t>
  </si>
  <si>
    <t>8,99%</t>
  </si>
  <si>
    <t>CIEP 369 JORNALISTA SANDRO MOREYRA - 25880</t>
  </si>
  <si>
    <t>26,05%</t>
  </si>
  <si>
    <t>0,95%</t>
  </si>
  <si>
    <t>7,62%</t>
  </si>
  <si>
    <t>CE BRASIL - 25934</t>
  </si>
  <si>
    <t>26,42%</t>
  </si>
  <si>
    <t>22,00%</t>
  </si>
  <si>
    <t>CE CALIFÓRNIA - 26012</t>
  </si>
  <si>
    <t>26,43%</t>
  </si>
  <si>
    <t>9,46%</t>
  </si>
  <si>
    <t>CE CAIO FRANCISCO DE FIGUEIREDO - 25263</t>
  </si>
  <si>
    <t>27,01%</t>
  </si>
  <si>
    <t>CE MATO GROSSO - 25487</t>
  </si>
  <si>
    <t>27,12%</t>
  </si>
  <si>
    <t>60,44%</t>
  </si>
  <si>
    <t>9,39%</t>
  </si>
  <si>
    <t>0,28%</t>
  </si>
  <si>
    <t>4,42%</t>
  </si>
  <si>
    <t>CE DOUTOR FELICIANO COSTA - 25203</t>
  </si>
  <si>
    <t>27,23%</t>
  </si>
  <si>
    <t>30,30%</t>
  </si>
  <si>
    <t>CE CAETANO DE OLIVEIRA - 26180</t>
  </si>
  <si>
    <t>CE MAUA - 25755</t>
  </si>
  <si>
    <t>27,41%</t>
  </si>
  <si>
    <t>1,06%</t>
  </si>
  <si>
    <t>CE BAIRRO NOVA AURORA - 25897</t>
  </si>
  <si>
    <t>27,42%</t>
  </si>
  <si>
    <t>CE EMILIA ROSCHEMANT - 25209</t>
  </si>
  <si>
    <t>27,43%</t>
  </si>
  <si>
    <t>CIEP 165 BRIGADEIRO SERGIO CARVALHO - 25621</t>
  </si>
  <si>
    <t>27,44%</t>
  </si>
  <si>
    <t>21,57%</t>
  </si>
  <si>
    <t>4,61%</t>
  </si>
  <si>
    <t>CE VEREADOR PERCY BATISTA CRISPIN - 26043</t>
  </si>
  <si>
    <t>27,53%</t>
  </si>
  <si>
    <t>CE MAUA - 25689</t>
  </si>
  <si>
    <t>CE VISCONDE DE QUISSAMA - 25129</t>
  </si>
  <si>
    <t>27,73%</t>
  </si>
  <si>
    <t>8,08%</t>
  </si>
  <si>
    <t>CE ALMIRANTE TAMANDARE - 25273</t>
  </si>
  <si>
    <t>27,82%</t>
  </si>
  <si>
    <t>CE SAO JOAO - 26091</t>
  </si>
  <si>
    <t>27,84%</t>
  </si>
  <si>
    <t>42,11%</t>
  </si>
  <si>
    <t>17,20%</t>
  </si>
  <si>
    <t>CIEP 306 DEPUTADO DAVID QUINDERÉ - 25723</t>
  </si>
  <si>
    <t>27,85%</t>
  </si>
  <si>
    <t>CE BRIGADEIRO NOBREGA - 26149</t>
  </si>
  <si>
    <t>27,87%</t>
  </si>
  <si>
    <t>CE MARIANO PROCOPIO - 25746</t>
  </si>
  <si>
    <t>27,91%</t>
  </si>
  <si>
    <t>1,39%</t>
  </si>
  <si>
    <t>CIEP 359 CHARLES PERRAULT - 26072</t>
  </si>
  <si>
    <t>27,93%</t>
  </si>
  <si>
    <t>CE PRESIDENTE CASTELO BRANCO - 25938</t>
  </si>
  <si>
    <t>27,94%</t>
  </si>
  <si>
    <t>CE OSCAR BATISTA - 25011</t>
  </si>
  <si>
    <t>CIEP 146 PROFESSOR CORDELINO TEIXEIRA PAULO - 25326</t>
  </si>
  <si>
    <t>28,03%</t>
  </si>
  <si>
    <t>3,60%</t>
  </si>
  <si>
    <t>0,90%</t>
  </si>
  <si>
    <t>CE MARIA VERALBA FERRAZ - 25162</t>
  </si>
  <si>
    <t>28,06%</t>
  </si>
  <si>
    <t>38,89%</t>
  </si>
  <si>
    <t>CIEP 426 EDUARDO RIBEIRO DE CARVALHO - 25664</t>
  </si>
  <si>
    <t>28,07%</t>
  </si>
  <si>
    <t>CE MARECHAL SOUZA DANTAS - 26200</t>
  </si>
  <si>
    <t>28,08%</t>
  </si>
  <si>
    <t>1,12%</t>
  </si>
  <si>
    <t>CE PAULO FREIRE - 25500</t>
  </si>
  <si>
    <t>28,10%</t>
  </si>
  <si>
    <t>CIEP 412 DOUTOR ZERBINI - 25728</t>
  </si>
  <si>
    <t>CE CASIMIRO DE ABREU - 25182</t>
  </si>
  <si>
    <t>28,19%</t>
  </si>
  <si>
    <t>CE ADALGISA MONTEIRO - 25364</t>
  </si>
  <si>
    <t>28,21%</t>
  </si>
  <si>
    <t>CE SAO BENTO - 25853</t>
  </si>
  <si>
    <t>28,27%</t>
  </si>
  <si>
    <t>26,19%</t>
  </si>
  <si>
    <t>5,52%</t>
  </si>
  <si>
    <t>4,83%</t>
  </si>
  <si>
    <t>2,07%</t>
  </si>
  <si>
    <t>CE ENGENHEIRO MARIO MOURA BRASIL DO AMARAL - 26185</t>
  </si>
  <si>
    <t>28,33%</t>
  </si>
  <si>
    <t>4,27%</t>
  </si>
  <si>
    <t>CIEP 456 PROFESSOR MARCOS COSTA REIS DUTRA - 25807</t>
  </si>
  <si>
    <t>28,42%</t>
  </si>
  <si>
    <t>CE DOUTOR TUFFY EL JAICK - 25206</t>
  </si>
  <si>
    <t>28,46%</t>
  </si>
  <si>
    <t>6,58%</t>
  </si>
  <si>
    <t>CIEP 417 GINÁSIO PÚBLICO JOSÉ DO PATROCÍNIO - 25102</t>
  </si>
  <si>
    <t>CE DE MAGE - 25752</t>
  </si>
  <si>
    <t>28,60%</t>
  </si>
  <si>
    <t>10,16%</t>
  </si>
  <si>
    <t>1,63%</t>
  </si>
  <si>
    <t>CE GUILHERME BRIGGS - BRASIL-ESPANHA - 25286</t>
  </si>
  <si>
    <t>28,63%</t>
  </si>
  <si>
    <t>CE CANADA - 25201</t>
  </si>
  <si>
    <t>28,64%</t>
  </si>
  <si>
    <t>8,77%</t>
  </si>
  <si>
    <t>CE MONSENHOR MIGUEL DE SANTA MARIA MOCHON - 25598</t>
  </si>
  <si>
    <t>28,65%</t>
  </si>
  <si>
    <t>LICEU DE HUMANIDADES DE CAMPOS - 25108</t>
  </si>
  <si>
    <t>28,68%</t>
  </si>
  <si>
    <t>CIEP 293 WALMIR DE FREITAS MONTEIRO - 26229</t>
  </si>
  <si>
    <t>28,91%</t>
  </si>
  <si>
    <t>CE DOUTOR OLIMPIO SATURNINO DE BRITO - 25153</t>
  </si>
  <si>
    <t>28,95%</t>
  </si>
  <si>
    <t>59,09%</t>
  </si>
  <si>
    <t>CE MARIA EMÍLIA AMARAL FONTOURA - 26027</t>
  </si>
  <si>
    <t>8,64%</t>
  </si>
  <si>
    <t>CE PIRANEMA - 25645</t>
  </si>
  <si>
    <t>29,06%</t>
  </si>
  <si>
    <t>CE PROFESSORA MINERVINA BARBOSA DE CASTRO - 25847</t>
  </si>
  <si>
    <t>29,08%</t>
  </si>
  <si>
    <t>IE PROFESSOR MANUEL MARINHO - 26235</t>
  </si>
  <si>
    <t>29,25%</t>
  </si>
  <si>
    <t>0,40%</t>
  </si>
  <si>
    <t>CE OSCAR DE MACEDO SOARES - 25332</t>
  </si>
  <si>
    <t>29,34%</t>
  </si>
  <si>
    <t>CIEP 116 VILA MAIA - 25918</t>
  </si>
  <si>
    <t>CIEP 493 PROFESSORA ANTONIETA SALINAS DE CASTRO - 26178</t>
  </si>
  <si>
    <t>29,43%</t>
  </si>
  <si>
    <t>2,41%</t>
  </si>
  <si>
    <t>CE SANTOS DUMONT - 26225</t>
  </si>
  <si>
    <t>29,44%</t>
  </si>
  <si>
    <t>11,32%</t>
  </si>
  <si>
    <t>2,83%</t>
  </si>
  <si>
    <t>CE GOVERNADOR ROBERTO SILVEIRA - 25005</t>
  </si>
  <si>
    <t>29,49%</t>
  </si>
  <si>
    <t>40,91%</t>
  </si>
  <si>
    <t>CIEP 281 GABRIELA MISTRAL - 25780</t>
  </si>
  <si>
    <t>29,60%</t>
  </si>
  <si>
    <t>CE AURELINO LEAL - 25274</t>
  </si>
  <si>
    <t>87,50%</t>
  </si>
  <si>
    <t>CE MARIO TAMBORINDEGUY - 25688</t>
  </si>
  <si>
    <t>29,82%</t>
  </si>
  <si>
    <t>CE CINAMOMO - 25130</t>
  </si>
  <si>
    <t>29,83%</t>
  </si>
  <si>
    <t>37,93%</t>
  </si>
  <si>
    <t>CIEP 298 MANUEL DUARTE - 26130</t>
  </si>
  <si>
    <t>29,91%</t>
  </si>
  <si>
    <t>CE MEXICO - 25406</t>
  </si>
  <si>
    <t>CE DOM BOSCO - 26086</t>
  </si>
  <si>
    <t>30,21%</t>
  </si>
  <si>
    <t>CE PROFESSOR FONSECA - 25240</t>
  </si>
  <si>
    <t>30,23%</t>
  </si>
  <si>
    <t>CE LIA MARCIA GONÇALVES PANARO - 25834</t>
  </si>
  <si>
    <t>30,27%</t>
  </si>
  <si>
    <t>2,68%</t>
  </si>
  <si>
    <t>LICEU NILO PECANHA - 25313</t>
  </si>
  <si>
    <t>30,34%</t>
  </si>
  <si>
    <t>11,92%</t>
  </si>
  <si>
    <t>4,36%</t>
  </si>
  <si>
    <t>0,29%</t>
  </si>
  <si>
    <t>CIEP 350 TULIO ROBERTO QUINTILIANO CARDOSO - 25879</t>
  </si>
  <si>
    <t>30,36%</t>
  </si>
  <si>
    <t>46,43%</t>
  </si>
  <si>
    <t>37,25%</t>
  </si>
  <si>
    <t>CE DOUTOR PHILLIPPE UEBE - 25075</t>
  </si>
  <si>
    <t>30,38%</t>
  </si>
  <si>
    <t>CE ALMIRANTE TAMANDARE - 25997</t>
  </si>
  <si>
    <t>30,51%</t>
  </si>
  <si>
    <t>CE ANTÔNIO QUIRINO - 26197</t>
  </si>
  <si>
    <t>30,61%</t>
  </si>
  <si>
    <t>31,25%</t>
  </si>
  <si>
    <t>CE ANTONIO GONCALVES - 25957</t>
  </si>
  <si>
    <t>30,65%</t>
  </si>
  <si>
    <t>31,03%</t>
  </si>
  <si>
    <t>6,14%</t>
  </si>
  <si>
    <t>CIEP 368 JOAO CONCEICAO CANUTO - 25553</t>
  </si>
  <si>
    <t>30,74%</t>
  </si>
  <si>
    <t>CE DEBORAH MENDES DE MORAES - 25573</t>
  </si>
  <si>
    <t>30,82%</t>
  </si>
  <si>
    <t>7,98%</t>
  </si>
  <si>
    <t>CE HIGINO DA SILVEIRA - 25793</t>
  </si>
  <si>
    <t>30,87%</t>
  </si>
  <si>
    <t>CE PEDRO BRAILE NETO - 26203</t>
  </si>
  <si>
    <t>30,97%</t>
  </si>
  <si>
    <t>3,27%</t>
  </si>
  <si>
    <t>CE BENTA PEREIRA - 25063</t>
  </si>
  <si>
    <t>46,88%</t>
  </si>
  <si>
    <t>CIEP 166 ABILIO AUGUSTO TAVORA - 26054</t>
  </si>
  <si>
    <t>56,00%</t>
  </si>
  <si>
    <t>20,20%</t>
  </si>
  <si>
    <t>4,04%</t>
  </si>
  <si>
    <t>CE EDUARDO BREDER - 25208</t>
  </si>
  <si>
    <t>31,07%</t>
  </si>
  <si>
    <t>CE BARRA DE SAO JOAO - 25181</t>
  </si>
  <si>
    <t>31,44%</t>
  </si>
  <si>
    <t>3,81%</t>
  </si>
  <si>
    <t>CE SARGENTO PM ANTONIO CARLOS OLIVEIRA DE MOURA - 25242</t>
  </si>
  <si>
    <t>31,62%</t>
  </si>
  <si>
    <t>CE BARAO DO RIO BRANCO - 25315</t>
  </si>
  <si>
    <t>31,71%</t>
  </si>
  <si>
    <t>CE PROFESSORA VANILDE NATALINO MATTOS - 25123</t>
  </si>
  <si>
    <t>31,74%</t>
  </si>
  <si>
    <t>CE ANA NUNES VIANA - 25142</t>
  </si>
  <si>
    <t>CIEP 156 DOUTOR ALBERT SABIN - 25650</t>
  </si>
  <si>
    <t>31,86%</t>
  </si>
  <si>
    <t>CE PARADA ANGÉLICA - 25843</t>
  </si>
  <si>
    <t>31,88%</t>
  </si>
  <si>
    <t>CE MARECHAL JUAREZ TAVORA - 26026</t>
  </si>
  <si>
    <t>47,62%</t>
  </si>
  <si>
    <t>CE MATIAS NETO - 25121</t>
  </si>
  <si>
    <t>32,09%</t>
  </si>
  <si>
    <t>31,58%</t>
  </si>
  <si>
    <t>5,16%</t>
  </si>
  <si>
    <t>3,87%</t>
  </si>
  <si>
    <t>CE SANTOS DIAS - 25704</t>
  </si>
  <si>
    <t>32,18%</t>
  </si>
  <si>
    <t>9,23%</t>
  </si>
  <si>
    <t>CE VISCONDE DE CAIRU - 25975</t>
  </si>
  <si>
    <t>32,20%</t>
  </si>
  <si>
    <t>CIEP 274 MARIA AMELIA DAFLON FERRO - 25228</t>
  </si>
  <si>
    <t>32,35%</t>
  </si>
  <si>
    <t>CE JOAO SALIM MIGUEL - 25585</t>
  </si>
  <si>
    <t>32,39%</t>
  </si>
  <si>
    <t>8,03%</t>
  </si>
  <si>
    <t>2,19%</t>
  </si>
  <si>
    <t>11,68%</t>
  </si>
  <si>
    <t>CIEP 310 PROFESSORA ALICE AIEX - 26107</t>
  </si>
  <si>
    <t>32,43%</t>
  </si>
  <si>
    <t>CE ERCILIA MUYLAERT DE MENEZES - 25144</t>
  </si>
  <si>
    <t>CE MARIA ZULMIRA TORRES - 25173</t>
  </si>
  <si>
    <t>32,53%</t>
  </si>
  <si>
    <t>24,07%</t>
  </si>
  <si>
    <t>CE LIONS CLUB - 25028</t>
  </si>
  <si>
    <t>CE CELIO BARBOSA ANCHITE - 26188</t>
  </si>
  <si>
    <t>32,76%</t>
  </si>
  <si>
    <t>CIEP 309 ZUZU ANGEL - BRASIL-COLÔMBIA - 25724</t>
  </si>
  <si>
    <t>32,86%</t>
  </si>
  <si>
    <t>24,14%</t>
  </si>
  <si>
    <t>CE TENENTE OTAVIO PINHEIRO - BRASIL-RUSSIA - 25914</t>
  </si>
  <si>
    <t>32,88%</t>
  </si>
  <si>
    <t>CE LAURO CORREA - 25687</t>
  </si>
  <si>
    <t>32,99%</t>
  </si>
  <si>
    <t>CIEP 393 PREFEITO CARLOS EMIR MUSSI - 25128</t>
  </si>
  <si>
    <t>33,16%</t>
  </si>
  <si>
    <t>6,99%</t>
  </si>
  <si>
    <t>1,08%</t>
  </si>
  <si>
    <t>CE JOSÉ DO PATROCÍNIO - 25966</t>
  </si>
  <si>
    <t>33,19%</t>
  </si>
  <si>
    <t>CIEP 440 MAJOR JOAQUIM DE AZEVEDO COUTINHO - 25735</t>
  </si>
  <si>
    <t>CE LEOPOLDO OSCAR STUTZ - 25157</t>
  </si>
  <si>
    <t>CE DAVID CAPISTRANO - 25280</t>
  </si>
  <si>
    <t>33,55%</t>
  </si>
  <si>
    <t>CE DESEMBARGADOR JOSE AUGUSTO COELHO ROCHA JUNIOR - 25318</t>
  </si>
  <si>
    <t>33,57%</t>
  </si>
  <si>
    <t>1,57%</t>
  </si>
  <si>
    <t>7,85%</t>
  </si>
  <si>
    <t>CE ALVARINA DE CARVALHO JANOTTI - 25642</t>
  </si>
  <si>
    <t>33,67%</t>
  </si>
  <si>
    <t>CE DULCE PETRI - 25819</t>
  </si>
  <si>
    <t>CE BARAO DE MAUA - 25815</t>
  </si>
  <si>
    <t>33,71%</t>
  </si>
  <si>
    <t>CE GEORGE WASHINGTON - 25581</t>
  </si>
  <si>
    <t>33,96%</t>
  </si>
  <si>
    <t>CIEP 195 ANIBAL MACHADO - 25538</t>
  </si>
  <si>
    <t>34,04%</t>
  </si>
  <si>
    <t>93,75%</t>
  </si>
  <si>
    <t>CE PATRONO DUQUE DE CAXIAS - 25844</t>
  </si>
  <si>
    <t>34,13%</t>
  </si>
  <si>
    <t>CIEP 253 GUIMARÃES ROSA - 25244</t>
  </si>
  <si>
    <t>34,15%</t>
  </si>
  <si>
    <t>CE CASEMIRO MEIRELLES - 25959</t>
  </si>
  <si>
    <t>34,23%</t>
  </si>
  <si>
    <t>CE JOSE VERISSIMO - 25754</t>
  </si>
  <si>
    <t>34,25%</t>
  </si>
  <si>
    <t>39,58%</t>
  </si>
  <si>
    <t>26,58%</t>
  </si>
  <si>
    <t>5,91%</t>
  </si>
  <si>
    <t>2,95%</t>
  </si>
  <si>
    <t>10,13%</t>
  </si>
  <si>
    <t>IE GOVERNADOR ROBERTO SILVEIRA - 25893</t>
  </si>
  <si>
    <t>34,36%</t>
  </si>
  <si>
    <t>1,22%</t>
  </si>
  <si>
    <t>CE JARDIM IPE - 25902</t>
  </si>
  <si>
    <t>34,50%</t>
  </si>
  <si>
    <t>6,33%</t>
  </si>
  <si>
    <t>CE SOL NASCENTE - 25166</t>
  </si>
  <si>
    <t>34,55%</t>
  </si>
  <si>
    <t>CIEP 365 ASA BRANCA - 26073</t>
  </si>
  <si>
    <t>CE DOUTOR RODOLPHO SIQUEIRA - 25683</t>
  </si>
  <si>
    <t>1,59%</t>
  </si>
  <si>
    <t>CE ETELVINA ALVES DA SILVA - 25026</t>
  </si>
  <si>
    <t>CE ELSA BARBOSA DAUMAS - 25113</t>
  </si>
  <si>
    <t>CIEP 128 MAGEPE MIRIM - 25765</t>
  </si>
  <si>
    <t>34,65%</t>
  </si>
  <si>
    <t>CE ALEXANDER GRAHAM BELL - 25812</t>
  </si>
  <si>
    <t>34,72%</t>
  </si>
  <si>
    <t>52,00%</t>
  </si>
  <si>
    <t>4,50%</t>
  </si>
  <si>
    <t>CIEP 470 CELSO MARTINS CORDEIRO - 25148</t>
  </si>
  <si>
    <t>34,74%</t>
  </si>
  <si>
    <t>CE CENTENARIO - 26144</t>
  </si>
  <si>
    <t>CE LIONS CLUB - 25794</t>
  </si>
  <si>
    <t>34,86%</t>
  </si>
  <si>
    <t>CIA JOSE FRANCISCO LIPPI - 25797</t>
  </si>
  <si>
    <t>34,99%</t>
  </si>
  <si>
    <t>3,38%</t>
  </si>
  <si>
    <t>CE DOUTOR JOAO BAZET - 25205</t>
  </si>
  <si>
    <t>CIEP 472 CANDIDO PORTINARI - 25781</t>
  </si>
  <si>
    <t>35,06%</t>
  </si>
  <si>
    <t>1,70%</t>
  </si>
  <si>
    <t>0,57%</t>
  </si>
  <si>
    <t>CIEP 464 ADMAR FERREIRA DE MEDEIROS - 25111</t>
  </si>
  <si>
    <t>35,09%</t>
  </si>
  <si>
    <t>70,00%</t>
  </si>
  <si>
    <t>CE DOM ANTÔNIO DE ALMEIDA MORAES JUNIOR - 25678</t>
  </si>
  <si>
    <t>35,14%</t>
  </si>
  <si>
    <t>CE CIRCULO OPERARIO - 25816</t>
  </si>
  <si>
    <t>35,15%</t>
  </si>
  <si>
    <t>5,50%</t>
  </si>
  <si>
    <t>CE EUCLYDES DA CUNHA - 25791</t>
  </si>
  <si>
    <t>35,17%</t>
  </si>
  <si>
    <t>0,54%</t>
  </si>
  <si>
    <t>7,03%</t>
  </si>
  <si>
    <t>CE DEODATO LINHARES - 25037</t>
  </si>
  <si>
    <t>35,25%</t>
  </si>
  <si>
    <t>7,61%</t>
  </si>
  <si>
    <t>CE PROFESSORA RUTH TALDO FRANCA - 25759</t>
  </si>
  <si>
    <t>35,27%</t>
  </si>
  <si>
    <t>4,11%</t>
  </si>
  <si>
    <t>CE JOSE GARCIA DE FREITAS - 25027</t>
  </si>
  <si>
    <t>35,29%</t>
  </si>
  <si>
    <t>CE JOAO PESSOA - 25080</t>
  </si>
  <si>
    <t>35,39%</t>
  </si>
  <si>
    <t>0,76%</t>
  </si>
  <si>
    <t>CIEP 280 PROFESSOR VASCO FERNANDES DA SILVA PORTO - 25180</t>
  </si>
  <si>
    <t>35,58%</t>
  </si>
  <si>
    <t>CE MONSENHOR FRANCISCO - 26125</t>
  </si>
  <si>
    <t>35,75%</t>
  </si>
  <si>
    <t>5,80%</t>
  </si>
  <si>
    <t>CE ANTONIO PECLY - 25189</t>
  </si>
  <si>
    <t>35,82%</t>
  </si>
  <si>
    <t>IE CARLOS PASQUALE - 25955</t>
  </si>
  <si>
    <t>35,85%</t>
  </si>
  <si>
    <t>17,07%</t>
  </si>
  <si>
    <t>IE RANGEL PESTANA - 26085</t>
  </si>
  <si>
    <t>35,88%</t>
  </si>
  <si>
    <t>12,68%</t>
  </si>
  <si>
    <t>9,13%</t>
  </si>
  <si>
    <t>0,43%</t>
  </si>
  <si>
    <t>CE ADELINA CASTRO - 25810</t>
  </si>
  <si>
    <t>36,00%</t>
  </si>
  <si>
    <t>18,06%</t>
  </si>
  <si>
    <t>CE DUQUE COSTA - 25962</t>
  </si>
  <si>
    <t>36,01%</t>
  </si>
  <si>
    <t>7,43%</t>
  </si>
  <si>
    <t>CIEP 410 PATRÍCIA GALVÃO-PAGU - 25727</t>
  </si>
  <si>
    <t>36,04%</t>
  </si>
  <si>
    <t>CIEP 145 DOUTOR OSWALDO CRUZ - 25192</t>
  </si>
  <si>
    <t>36,11%</t>
  </si>
  <si>
    <t>CE PROFESSOR JOSE ANTONIO MAIA VINAGRE - 26103</t>
  </si>
  <si>
    <t>CE JORNALISTA ARTUR DA TAVOLA - 25587</t>
  </si>
  <si>
    <t>36,39%</t>
  </si>
  <si>
    <t>CIEP 048 DJALMA MARANHAO - 25551</t>
  </si>
  <si>
    <t>36,42%</t>
  </si>
  <si>
    <t>CE DESEMBARGADOR FERREIRA PINTO - 25677</t>
  </si>
  <si>
    <t>36,47%</t>
  </si>
  <si>
    <t>CIEP 193 WILSON MENDES - 25255</t>
  </si>
  <si>
    <t>36,49%</t>
  </si>
  <si>
    <t>CE VERA CRUZ - 25974</t>
  </si>
  <si>
    <t>36,60%</t>
  </si>
  <si>
    <t>7,04%</t>
  </si>
  <si>
    <t>CIEP 100 SAO FRANCISCO DE ASSIS BRASIL FRANCA - 25941</t>
  </si>
  <si>
    <t>CE PRESIDENTE RODRIGUES ALVES - 26118</t>
  </si>
  <si>
    <t>36,73%</t>
  </si>
  <si>
    <t>CE LEOPOLDO MACHADO - 26025</t>
  </si>
  <si>
    <t>37,06%</t>
  </si>
  <si>
    <t>CE CAMPINAS II - 25231</t>
  </si>
  <si>
    <t>37,11%</t>
  </si>
  <si>
    <t>CE PRINCESA ISABEL - 25775</t>
  </si>
  <si>
    <t>37,24%</t>
  </si>
  <si>
    <t>27,66%</t>
  </si>
  <si>
    <t>CIEP 263 DOUTOR JAIR DE SIQUEIRA BITTENCOURT - 25035</t>
  </si>
  <si>
    <t>37,38%</t>
  </si>
  <si>
    <t>20,93%</t>
  </si>
  <si>
    <t>5,30%</t>
  </si>
  <si>
    <t>CE SANTA MARIA - 25186</t>
  </si>
  <si>
    <t>37,53%</t>
  </si>
  <si>
    <t>2,23%</t>
  </si>
  <si>
    <t>CIEP 127 FREI ACURSIO ALOISIO GONZAGA BOLWER - 25764</t>
  </si>
  <si>
    <t>37,63%</t>
  </si>
  <si>
    <t>12,38%</t>
  </si>
  <si>
    <t>CE JOSE MATOSO MAIA FORTE - 25319</t>
  </si>
  <si>
    <t>37,66%</t>
  </si>
  <si>
    <t>CE ANTONIO DIAS LIMA - 26148</t>
  </si>
  <si>
    <t>37,78%</t>
  </si>
  <si>
    <t>CE DOUTOR MÁRIO GUIMARÃES - 26018</t>
  </si>
  <si>
    <t>37,82%</t>
  </si>
  <si>
    <t>9,59%</t>
  </si>
  <si>
    <t>12,33%</t>
  </si>
  <si>
    <t>5,48%</t>
  </si>
  <si>
    <t>CE DOUTOR ALVARO ROCHA - 26099</t>
  </si>
  <si>
    <t>53,33%</t>
  </si>
  <si>
    <t>CE ALCINDO GUANABARA - 25748</t>
  </si>
  <si>
    <t>37,98%</t>
  </si>
  <si>
    <t>0,59%</t>
  </si>
  <si>
    <t>CE PROFESSORA MARIA APARECIDA BASTOS - 25785</t>
  </si>
  <si>
    <t>38,10%</t>
  </si>
  <si>
    <t>CE RUI GUIMARÃES DE ALMEIDA - 25054</t>
  </si>
  <si>
    <t>38,27%</t>
  </si>
  <si>
    <t>CIEP 130 DOUTOR ELIAS DE MIRANDA SARAIVA - 25660</t>
  </si>
  <si>
    <t>38,35%</t>
  </si>
  <si>
    <t>2,45%</t>
  </si>
  <si>
    <t>CE AMANDA VELASCO - 25668</t>
  </si>
  <si>
    <t>38,41%</t>
  </si>
  <si>
    <t>CE BARAO DE AIURUOCA - 26163</t>
  </si>
  <si>
    <t>38,50%</t>
  </si>
  <si>
    <t>9,77%</t>
  </si>
  <si>
    <t>0,39%</t>
  </si>
  <si>
    <t>CE TOBIAS TOSTES MACHADO - 25115</t>
  </si>
  <si>
    <t>38,56%</t>
  </si>
  <si>
    <t>8,94%</t>
  </si>
  <si>
    <t>CIEP 137 CECILIA MEIRELES - 25779</t>
  </si>
  <si>
    <t>38,57%</t>
  </si>
  <si>
    <t>1,48%</t>
  </si>
  <si>
    <t>CE RUI BARBOSA - 25776</t>
  </si>
  <si>
    <t>28,85%</t>
  </si>
  <si>
    <t>1,51%</t>
  </si>
  <si>
    <t>13,07%</t>
  </si>
  <si>
    <t>CE OLIVEIRA VIANA - 25331</t>
  </si>
  <si>
    <t>38,60%</t>
  </si>
  <si>
    <t>CIEP 419 BENIGNO BAIRRAL - 25002</t>
  </si>
  <si>
    <t>38,66%</t>
  </si>
  <si>
    <t>CE PROFESSOR ANTONIO MARIA TEIXEIRA FILHO - 25413</t>
  </si>
  <si>
    <t>38,71%</t>
  </si>
  <si>
    <t>1,04%</t>
  </si>
  <si>
    <t>CE IRMA CECILIA JARDIM - 25774</t>
  </si>
  <si>
    <t>38,87%</t>
  </si>
  <si>
    <t>0,69%</t>
  </si>
  <si>
    <t>2,76%</t>
  </si>
  <si>
    <t>CE PARQUE AMORIM - 25905</t>
  </si>
  <si>
    <t>38,91%</t>
  </si>
  <si>
    <t>CIEP 343 PROFESSORA EMILIA DINIZ LIGIERO - 25036</t>
  </si>
  <si>
    <t>39,01%</t>
  </si>
  <si>
    <t>CE MARIA JUSTINIANO FERNANDES - 26028</t>
  </si>
  <si>
    <t>39,02%</t>
  </si>
  <si>
    <t>CE JOHENIR HENRIQUES VIEGAS - 25018</t>
  </si>
  <si>
    <t>CE JOSE CARDOSO DE MORAES - 25227</t>
  </si>
  <si>
    <t>CE DOUTOR ALFREDO BACKER - 25817</t>
  </si>
  <si>
    <t>39,18%</t>
  </si>
  <si>
    <t>10,49%</t>
  </si>
  <si>
    <t>2,10%</t>
  </si>
  <si>
    <t>CE DOUTOR OSWALDO TERRA - 26137</t>
  </si>
  <si>
    <t>39,20%</t>
  </si>
  <si>
    <t>47,37%</t>
  </si>
  <si>
    <t>CE JOAO SANTOS SOUTO - 26001</t>
  </si>
  <si>
    <t>39,29%</t>
  </si>
  <si>
    <t>56,25%</t>
  </si>
  <si>
    <t>11,36%</t>
  </si>
  <si>
    <t>CE SÃO JORGE - 26040</t>
  </si>
  <si>
    <t>39,33%</t>
  </si>
  <si>
    <t>7,45%</t>
  </si>
  <si>
    <t>CIEP 026 SAO VICENTE DE PAULA - BRASIL-SUECIA - 26048</t>
  </si>
  <si>
    <t>39,60%</t>
  </si>
  <si>
    <t>CE ALMIRANTE PROTOGENES - 25194</t>
  </si>
  <si>
    <t>39,73%</t>
  </si>
  <si>
    <t>CE ABDALA CHAMA - 25809</t>
  </si>
  <si>
    <t>CIEP 340 PROFESSORA LAIS MARTINS - 25877</t>
  </si>
  <si>
    <t>CE PROFESSOR KOPKE - 25803</t>
  </si>
  <si>
    <t>CIEP 278  JOAQUIM OSORIO DUQUE ESTRADA - 26128</t>
  </si>
  <si>
    <t>40,08%</t>
  </si>
  <si>
    <t>32,50%</t>
  </si>
  <si>
    <t>CE CORONEL SERGIO JOSE DO AMARAL - 25751</t>
  </si>
  <si>
    <t>40,31%</t>
  </si>
  <si>
    <t>CE PROFESSOR DYRCEU RODRIGUES DA COSTA - 25320</t>
  </si>
  <si>
    <t>40,38%</t>
  </si>
  <si>
    <t>CIEP 348 EUGENIA MOREYRA - 25878</t>
  </si>
  <si>
    <t>40,40%</t>
  </si>
  <si>
    <t>CIEP 148 PROFESSOR CARLOS ELIO VOGAS DA SILVA - 25243</t>
  </si>
  <si>
    <t>40,44%</t>
  </si>
  <si>
    <t>75,68%</t>
  </si>
  <si>
    <t>CE MELCHIADES PICANÇO - 25690</t>
  </si>
  <si>
    <t>40,57%</t>
  </si>
  <si>
    <t>CE JOAQUIM GOMES CRESPO - 25145</t>
  </si>
  <si>
    <t>40,63%</t>
  </si>
  <si>
    <t>CIEP 480 PROFESSOR LUIZ CARLOS VERONESE - 25222</t>
  </si>
  <si>
    <t>40,74%</t>
  </si>
  <si>
    <t>CIEP 422 NICANOR FERREIRA NUNES - 25731</t>
  </si>
  <si>
    <t>CE MARIA ZULMIRA TORRES - 26124</t>
  </si>
  <si>
    <t>41,30%</t>
  </si>
  <si>
    <t>8,42%</t>
  </si>
  <si>
    <t>4,21%</t>
  </si>
  <si>
    <t>22,11%</t>
  </si>
  <si>
    <t>CE NILO PEÇANHA - 25693</t>
  </si>
  <si>
    <t>0,44%</t>
  </si>
  <si>
    <t>CE PROFESSORA NORMA TOOP URUGUAY - 25848</t>
  </si>
  <si>
    <t>CIEP 485 PROFESSOR JOAO BATISTA DE BARROS - 26176</t>
  </si>
  <si>
    <t>CE CABO PM ELISÂNGELA BESSA CORDEIRO - 25745</t>
  </si>
  <si>
    <t>41,86%</t>
  </si>
  <si>
    <t>CE JANUARIO DE TOLEDO PIZZA - 25226</t>
  </si>
  <si>
    <t>43,75%</t>
  </si>
  <si>
    <t>CE DOS LÍRIOS - 26017</t>
  </si>
  <si>
    <t>42,31%</t>
  </si>
  <si>
    <t>CE MARIA MARINA PINTO SILVA - 25235</t>
  </si>
  <si>
    <t>42,37%</t>
  </si>
  <si>
    <t>CE HISPANO BRASILEIRO JOAO CABRAL DE MELO NETO - 25472</t>
  </si>
  <si>
    <t>42,53%</t>
  </si>
  <si>
    <t>CIEP 321 DOUTOR ULYSSES GUIMARAES - 25436</t>
  </si>
  <si>
    <t>42,57%</t>
  </si>
  <si>
    <t>8,05%</t>
  </si>
  <si>
    <t>0,17%</t>
  </si>
  <si>
    <t>CE PROFESSORA HILKA DE ARAÚJO PEÇANHA - 25654</t>
  </si>
  <si>
    <t>42,62%</t>
  </si>
  <si>
    <t>14,10%</t>
  </si>
  <si>
    <t>CIEP 389 GP HAROLDO BARBOSA - 25954</t>
  </si>
  <si>
    <t>CE FERNANDO MAGALHAES - 25285</t>
  </si>
  <si>
    <t>42,72%</t>
  </si>
  <si>
    <t>CIEP 139 MANUEL BANDEIRA - 25983</t>
  </si>
  <si>
    <t>CE ARMANDO DIAS - BRASIL-ARGENTINA - 25998</t>
  </si>
  <si>
    <t>CIEP 291 DOM MARTINHO SCHLUDE - 26189</t>
  </si>
  <si>
    <t>43,52%</t>
  </si>
  <si>
    <t>3,31%</t>
  </si>
  <si>
    <t>CE ADMARDO ALVES TORRES - 25149</t>
  </si>
  <si>
    <t>43,70%</t>
  </si>
  <si>
    <t>CIEP 252 JOAO BAPTISTA CAFFARO - 25744</t>
  </si>
  <si>
    <t>43,79%</t>
  </si>
  <si>
    <t>7,09%</t>
  </si>
  <si>
    <t>4,96%</t>
  </si>
  <si>
    <t>CE BEZERRA DE MENEZES - 26122</t>
  </si>
  <si>
    <t>43,97%</t>
  </si>
  <si>
    <t>CE BERNARDINO MELO JUNIOR - 26011</t>
  </si>
  <si>
    <t>43,99%</t>
  </si>
  <si>
    <t>4,32%</t>
  </si>
  <si>
    <t>1,44%</t>
  </si>
  <si>
    <t>7,91%</t>
  </si>
  <si>
    <t>CE DE SAO FIDELIS - 25136</t>
  </si>
  <si>
    <t>44,11%</t>
  </si>
  <si>
    <t>24,44%</t>
  </si>
  <si>
    <t>1,24%</t>
  </si>
  <si>
    <t>11,18%</t>
  </si>
  <si>
    <t>CE PAULINO FERNANDES - 25784</t>
  </si>
  <si>
    <t>44,12%</t>
  </si>
  <si>
    <t>IE PROFESSOR ISMAEL COUTINHO - 25312</t>
  </si>
  <si>
    <t>44,26%</t>
  </si>
  <si>
    <t>9,26%</t>
  </si>
  <si>
    <t>CE MILTON CAMPOS - 26029</t>
  </si>
  <si>
    <t>44,33%</t>
  </si>
  <si>
    <t>CIEP 295 PROFESSORA GLORIA ROUSSIM GUEDES PINTO - 26230</t>
  </si>
  <si>
    <t>44,41%</t>
  </si>
  <si>
    <t>36,54%</t>
  </si>
  <si>
    <t>1,15%</t>
  </si>
  <si>
    <t>4,58%</t>
  </si>
  <si>
    <t>CE SALVADOR DE MENDONÇA - 25656</t>
  </si>
  <si>
    <t>44,52%</t>
  </si>
  <si>
    <t>9,42%</t>
  </si>
  <si>
    <t>5,07%</t>
  </si>
  <si>
    <t>10,87%</t>
  </si>
  <si>
    <t>CE JOSE DE LANNES DANTAS BRANDAO - 25048</t>
  </si>
  <si>
    <t>44,68%</t>
  </si>
  <si>
    <t>CE AGRICOLA PROFESSOR LUIZ PAULO RODRIGUES - 25021</t>
  </si>
  <si>
    <t>44,90%</t>
  </si>
  <si>
    <t>CIEP 275 LENINE CORTES FALANTE - 25020</t>
  </si>
  <si>
    <t>CE PROFESSORA ALDA BERNARDO DOS SANTOS TAVARES - 25758</t>
  </si>
  <si>
    <t>45,03%</t>
  </si>
  <si>
    <t>6,88%</t>
  </si>
  <si>
    <t>CE JOAQUIM LEITAO - 25753</t>
  </si>
  <si>
    <t>45,12%</t>
  </si>
  <si>
    <t>6,76%</t>
  </si>
  <si>
    <t>CIEP 392 MARIO DE ANDRADE - 25635</t>
  </si>
  <si>
    <t>45,18%</t>
  </si>
  <si>
    <t>7,20%</t>
  </si>
  <si>
    <t>CIEP 271 JOSE BONIFACIO TASSARA - 25116</t>
  </si>
  <si>
    <t>CE PROFESSOR HORACIO MACEDO - 25505</t>
  </si>
  <si>
    <t>45,59%</t>
  </si>
  <si>
    <t>CE PROFESSOR ROBERTO LYRA - 25647</t>
  </si>
  <si>
    <t>45,95%</t>
  </si>
  <si>
    <t>CE MANOEL PEREIRA GONCALVES - 25085</t>
  </si>
  <si>
    <t>46,07%</t>
  </si>
  <si>
    <t>76,47%</t>
  </si>
  <si>
    <t>5,68%</t>
  </si>
  <si>
    <t>3,41%</t>
  </si>
  <si>
    <t>CE BARAO DE JUPARANA - 26134</t>
  </si>
  <si>
    <t>CE JORNALISTA MAURÍCIO AZÊDO - BRASIL-ÍNDIA - 25399</t>
  </si>
  <si>
    <t>46,24%</t>
  </si>
  <si>
    <t>CIEP 286 MURILO PORTUGAL - 26105</t>
  </si>
  <si>
    <t>CE BALDOMERO BARBARA - 26162</t>
  </si>
  <si>
    <t>46,58%</t>
  </si>
  <si>
    <t>3,43%</t>
  </si>
  <si>
    <t>5,39%</t>
  </si>
  <si>
    <t>CE CARLOS MARIA MARCHON - 25202</t>
  </si>
  <si>
    <t>46,67%</t>
  </si>
  <si>
    <t>CE MARIA ZULMIRA TORRES - 25163</t>
  </si>
  <si>
    <t>46,77%</t>
  </si>
  <si>
    <t>CE PROFESSOR JOSE ACCIOLI - 25508</t>
  </si>
  <si>
    <t>47,04%</t>
  </si>
  <si>
    <t>8,66%</t>
  </si>
  <si>
    <t>CE FARMACEUTICO RODOLFO ALBINO - 25198</t>
  </si>
  <si>
    <t>CE JOAO MAURICIO BRUM - 25052</t>
  </si>
  <si>
    <t>47,13%</t>
  </si>
  <si>
    <t>CE DOM PEDRO II - 25772</t>
  </si>
  <si>
    <t>3,99%</t>
  </si>
  <si>
    <t>0,89%</t>
  </si>
  <si>
    <t>0,22%</t>
  </si>
  <si>
    <t>CE CORONEL FRANCISCO LIMA - 25673</t>
  </si>
  <si>
    <t>CE DOUTOR NEWTON ALVES - 25152</t>
  </si>
  <si>
    <t>47,55%</t>
  </si>
  <si>
    <t>CE CAMPOS SALLES - 25789</t>
  </si>
  <si>
    <t>47,58%</t>
  </si>
  <si>
    <t>IE DE NOVA FRIBURGO - 25224</t>
  </si>
  <si>
    <t>47,59%</t>
  </si>
  <si>
    <t>18,99%</t>
  </si>
  <si>
    <t>CIEP 170 GREGORIO BEZERRA - 25985</t>
  </si>
  <si>
    <t>47,75%</t>
  </si>
  <si>
    <t>CE PINTO LIMA - 25298</t>
  </si>
  <si>
    <t>47,78%</t>
  </si>
  <si>
    <t>37,21%</t>
  </si>
  <si>
    <t>CIEP 341 SEBASTIÃO PEREIRA PORTES - 26093</t>
  </si>
  <si>
    <t>47,85%</t>
  </si>
  <si>
    <t>CE FREI HENRIQUE DE COIMBRA - 25826</t>
  </si>
  <si>
    <t>47,86%</t>
  </si>
  <si>
    <t>CE JAYME SILVESTRE CAMARGO - 26167</t>
  </si>
  <si>
    <t>47,92%</t>
  </si>
  <si>
    <t>69,57%</t>
  </si>
  <si>
    <t>CE PADRE FRANCA - 25213</t>
  </si>
  <si>
    <t>CE PADRE MADUREIRA - 25214</t>
  </si>
  <si>
    <t>CE DOUTOR GUILHERME MILWARD - 26136</t>
  </si>
  <si>
    <t>48,33%</t>
  </si>
  <si>
    <t>CE JULIO SALUSSE - 25212</t>
  </si>
  <si>
    <t>48,53%</t>
  </si>
  <si>
    <t>CIEP 486 PROFESSOR LUIZ VALLEJO - 26177</t>
  </si>
  <si>
    <t>48,61%</t>
  </si>
  <si>
    <t>22,86%</t>
  </si>
  <si>
    <t>CIEP 403 MARIA DE LOURDES GIOVANETTI CÍVICO MILITAR - 26232</t>
  </si>
  <si>
    <t>48,78%</t>
  </si>
  <si>
    <t>CE ESTEFANIA PEREIRA PINTO - 25078</t>
  </si>
  <si>
    <t>48,84%</t>
  </si>
  <si>
    <t>CIEP 169 MARIA AUGUSTA CORREIA - 25984</t>
  </si>
  <si>
    <t>49,08%</t>
  </si>
  <si>
    <t>3,32%</t>
  </si>
  <si>
    <t>1,66%</t>
  </si>
  <si>
    <t>6,64%</t>
  </si>
  <si>
    <t>CE PADRE MANUEL DA NÓBREGA - 25694</t>
  </si>
  <si>
    <t>49,17%</t>
  </si>
  <si>
    <t>CE COMENDADOR SOARES - 26014</t>
  </si>
  <si>
    <t>49,32%</t>
  </si>
  <si>
    <t>12,04%</t>
  </si>
  <si>
    <t>49,07%</t>
  </si>
  <si>
    <t>CIEP MARLENE ABIB DE OLIVEIRA FABRI - 25059</t>
  </si>
  <si>
    <t>49,33%</t>
  </si>
  <si>
    <t>74,55%</t>
  </si>
  <si>
    <t>CE LEOPOLDO AMERICO M DE MELLO - 26153</t>
  </si>
  <si>
    <t>49,44%</t>
  </si>
  <si>
    <t>CE OCTÁVIO TEIXEIRA CAMPOS - 26192</t>
  </si>
  <si>
    <t>49,59%</t>
  </si>
  <si>
    <t>11,67%</t>
  </si>
  <si>
    <t>CE PROFESSORA SONIA MARIA PIEDADE DE MOURA - 25760</t>
  </si>
  <si>
    <t>49,65%</t>
  </si>
  <si>
    <t>CE ALMIRANTE ALVARO ALBERTO - 26184</t>
  </si>
  <si>
    <t>49,82%</t>
  </si>
  <si>
    <t>CE CARDOSO FONTES - 25770</t>
  </si>
  <si>
    <t>49,86%</t>
  </si>
  <si>
    <t>27,50%</t>
  </si>
  <si>
    <t>CE MIGUEL COUTO - 25837</t>
  </si>
  <si>
    <t>CE PROFESSORA VERA LUCIA TAVARES ROMAO - 25849</t>
  </si>
  <si>
    <t>7,64%</t>
  </si>
  <si>
    <t>5,73%</t>
  </si>
  <si>
    <t>CE PRESIDENTE KENNEDY - 25908</t>
  </si>
  <si>
    <t>37,72%</t>
  </si>
  <si>
    <t>CE FRANCISCO PORTELLA - 25044</t>
  </si>
  <si>
    <t>CE WALDEMIRO PITA - 25012</t>
  </si>
  <si>
    <t>CE FANY NISKIER - 25792</t>
  </si>
  <si>
    <t>CE ACACIA AMARELA - 26210</t>
  </si>
  <si>
    <t>CE FREI TOMAS - 25016</t>
  </si>
  <si>
    <t>50,31%</t>
  </si>
  <si>
    <t>CE MARIA LENY VIEIRA FERREIRA SILVA - 25058</t>
  </si>
  <si>
    <t>50,57%</t>
  </si>
  <si>
    <t>CIEP 335 PROFESSOR JOAQUIM DE FREITAS - 26092</t>
  </si>
  <si>
    <t>50,63%</t>
  </si>
  <si>
    <t>81,82%</t>
  </si>
  <si>
    <t>52,50%</t>
  </si>
  <si>
    <t>CE DE ARARAS - 25771</t>
  </si>
  <si>
    <t>50,68%</t>
  </si>
  <si>
    <t>CE CHICO ANYSIO - 25377</t>
  </si>
  <si>
    <t>50,76%</t>
  </si>
  <si>
    <t>7,00%</t>
  </si>
  <si>
    <t>CIEP 112 MONSENHOR SOLANO DANTAS MENEZES - 25917</t>
  </si>
  <si>
    <t>50,88%</t>
  </si>
  <si>
    <t>13,22%</t>
  </si>
  <si>
    <t>14,94%</t>
  </si>
  <si>
    <t>CIEP 441 MANÉ GARRINCHA - 25768</t>
  </si>
  <si>
    <t>51,12%</t>
  </si>
  <si>
    <t>10,95%</t>
  </si>
  <si>
    <t>3,65%</t>
  </si>
  <si>
    <t>1,46%</t>
  </si>
  <si>
    <t>9,49%</t>
  </si>
  <si>
    <t>CE THEOTONIO FERREIRA DE ARAUJO - 25095</t>
  </si>
  <si>
    <t>51,20%</t>
  </si>
  <si>
    <t>26,56%</t>
  </si>
  <si>
    <t>CE ROBERTO MONTENEGRO - 26156</t>
  </si>
  <si>
    <t>51,30%</t>
  </si>
  <si>
    <t>CE ALBERTO TORRES - 25150</t>
  </si>
  <si>
    <t>51,56%</t>
  </si>
  <si>
    <t>CE DOMIRES MACHADO - 25143</t>
  </si>
  <si>
    <t>52,03%</t>
  </si>
  <si>
    <t>CE RAMIRO BRAGA - 25159</t>
  </si>
  <si>
    <t>CE AURA BARRETO - 25814</t>
  </si>
  <si>
    <t>CE GERAQUE COLET - 25138</t>
  </si>
  <si>
    <t>IE EBER TEIXEIRA DE FIGUEIREDO - 25010</t>
  </si>
  <si>
    <t>52,76%</t>
  </si>
  <si>
    <t>51,43%</t>
  </si>
  <si>
    <t>CE PROFESSOR ANDRE CAVALCANTE DE CARVALHO - 25909</t>
  </si>
  <si>
    <t>52,80%</t>
  </si>
  <si>
    <t>CE DOUTOR SOUZA SOARES - 25282</t>
  </si>
  <si>
    <t>CIEP 511 ALAIDE ARAUJO STORCK MELLOR MARQUES - 25197</t>
  </si>
  <si>
    <t>CE DOUTOR ANIBAL VIRIATO DE AZEVEDO - 25960</t>
  </si>
  <si>
    <t>53,13%</t>
  </si>
  <si>
    <t>CE ERICH WALTER HEINE - 25576</t>
  </si>
  <si>
    <t>53,20%</t>
  </si>
  <si>
    <t>5,24%</t>
  </si>
  <si>
    <t>17,28%</t>
  </si>
  <si>
    <t>CE RONDONIA - 26223</t>
  </si>
  <si>
    <t>53,70%</t>
  </si>
  <si>
    <t>CE JOVINA AMARAL DE OLIVEIRA - 25653</t>
  </si>
  <si>
    <t>78,57%</t>
  </si>
  <si>
    <t>CE ARNOR SILVESTRE VIEIRA - 26133</t>
  </si>
  <si>
    <t>54,24%</t>
  </si>
  <si>
    <t>CE MARIA ROSA TEIXEIRA - 25195</t>
  </si>
  <si>
    <t>54,90%</t>
  </si>
  <si>
    <t>54,55%</t>
  </si>
  <si>
    <t>CE VISCONDE DO RIO BRANCO - 25096</t>
  </si>
  <si>
    <t>54,95%</t>
  </si>
  <si>
    <t>CE BARAO DE TEFE - 25644</t>
  </si>
  <si>
    <t>55,10%</t>
  </si>
  <si>
    <t>4,94%</t>
  </si>
  <si>
    <t>0,62%</t>
  </si>
  <si>
    <t>25,31%</t>
  </si>
  <si>
    <t>CE CHEQUER JORGE - 25023</t>
  </si>
  <si>
    <t>55,25%</t>
  </si>
  <si>
    <t>17,36%</t>
  </si>
  <si>
    <t>2,48%</t>
  </si>
  <si>
    <t>CE VISCONDE DE SEPETIBA - 25762</t>
  </si>
  <si>
    <t>55,34%</t>
  </si>
  <si>
    <t>7,92%</t>
  </si>
  <si>
    <t>57,92%</t>
  </si>
  <si>
    <t>CE JOAO GUIMARAES - 25014</t>
  </si>
  <si>
    <t>55,47%</t>
  </si>
  <si>
    <t>CE DOUTOR ARMANDO SA COUTO - 25681</t>
  </si>
  <si>
    <t>55,84%</t>
  </si>
  <si>
    <t>CENTRO FAMILIAR DE FORMAÇÃO POR ALTERNANCIA COLEGIO ESTADUAL AGRICOLA REI ALBERTO I - 25221</t>
  </si>
  <si>
    <t>55,86%</t>
  </si>
  <si>
    <t>CE PROFESSOR CARLOS CORTES - 25215</t>
  </si>
  <si>
    <t>55,88%</t>
  </si>
  <si>
    <t>CE PROFESSOR NEY CIDADE PALMEIRO - 25546</t>
  </si>
  <si>
    <t>55,96%</t>
  </si>
  <si>
    <t>1,94%</t>
  </si>
  <si>
    <t>CE JOÃO COELHO DA SILVA - 25154</t>
  </si>
  <si>
    <t>CE GETÚLIO VARGAS - 25827</t>
  </si>
  <si>
    <t>56,19%</t>
  </si>
  <si>
    <t>14,68%</t>
  </si>
  <si>
    <t>11,01%</t>
  </si>
  <si>
    <t>CE FRANCISCO VARELLA - 25176</t>
  </si>
  <si>
    <t>56,60%</t>
  </si>
  <si>
    <t>59,26%</t>
  </si>
  <si>
    <t>CIEP 353 BROCHADO DA ROCHA - 25168</t>
  </si>
  <si>
    <t>56,76%</t>
  </si>
  <si>
    <t>CIEP 016 PROFESSORA LUCILENE DE SOUZA PECLAT - 25976</t>
  </si>
  <si>
    <t>CE PEDRO RAYMUNDO DE MAGALHÃES - 26216</t>
  </si>
  <si>
    <t>57,41%</t>
  </si>
  <si>
    <t>CE SALUSTIANO JOSE RIBEIRO SERAFIM - 25219</t>
  </si>
  <si>
    <t>57,53%</t>
  </si>
  <si>
    <t>CIEP 307 DJANIRA - 25304</t>
  </si>
  <si>
    <t>57,55%</t>
  </si>
  <si>
    <t>28,00%</t>
  </si>
  <si>
    <t>IE ELIANA DUARTE DA SILVA BREIJAO - 25049</t>
  </si>
  <si>
    <t>68,42%</t>
  </si>
  <si>
    <t>CE RAPHAEL LUIZ DE SIQUEIRA JACCOUD - 25218</t>
  </si>
  <si>
    <t>57,69%</t>
  </si>
  <si>
    <t>CE MAURICIO DE ABREU - 25783</t>
  </si>
  <si>
    <t>58,21%</t>
  </si>
  <si>
    <t>CE RIO DE JANEIRO - 26220</t>
  </si>
  <si>
    <t>58,67%</t>
  </si>
  <si>
    <t>CE JARDIM MARILICE - BRASIL-URUGUAI - 26023</t>
  </si>
  <si>
    <t>58,90%</t>
  </si>
  <si>
    <t>CE DEZ DE MAIO - 25024</t>
  </si>
  <si>
    <t>59,13%</t>
  </si>
  <si>
    <t>39,47%</t>
  </si>
  <si>
    <t>19,85%</t>
  </si>
  <si>
    <t>CE PROFESSOR LUIZ GONZAGA DE MATTOS - 26170</t>
  </si>
  <si>
    <t>59,22%</t>
  </si>
  <si>
    <t>52,46%</t>
  </si>
  <si>
    <t>IE INOCÊNCIO DE ANDRADE - 25193</t>
  </si>
  <si>
    <t>59,46%</t>
  </si>
  <si>
    <t>CE MONTEIRO LOBATO - 25839</t>
  </si>
  <si>
    <t>59,64%</t>
  </si>
  <si>
    <t>CE PROFESSOR HERVAL DE SOUZA TAVARES - 25092</t>
  </si>
  <si>
    <t>59,76%</t>
  </si>
  <si>
    <t>CE JOSE MARIA DE BRITO BRASIL JAPAO - 25545</t>
  </si>
  <si>
    <t>80,77%</t>
  </si>
  <si>
    <t>CE REPUBLICA DO LIBANO - 25786</t>
  </si>
  <si>
    <t>CE BARÃO DE MAUÁ - 26211</t>
  </si>
  <si>
    <t>53,57%</t>
  </si>
  <si>
    <t>11,85%</t>
  </si>
  <si>
    <t>23,70%</t>
  </si>
  <si>
    <t>CE ALICE PACCINI GELIO - 25895</t>
  </si>
  <si>
    <t>60,09%</t>
  </si>
  <si>
    <t>CE PADRE SEBASTIAO DA SILVA PEREIRA - 26139</t>
  </si>
  <si>
    <t>60,33%</t>
  </si>
  <si>
    <t>7,21%</t>
  </si>
  <si>
    <t>9,91%</t>
  </si>
  <si>
    <t>CE ANTONIO PINTO DE MORAES - 25238</t>
  </si>
  <si>
    <t>60,87%</t>
  </si>
  <si>
    <t>CE IGNACIO AZEVEDO DO AMARAL - 25396</t>
  </si>
  <si>
    <t>61,11%</t>
  </si>
  <si>
    <t>4,33%</t>
  </si>
  <si>
    <t>CE VINTE DE JULHO - 25249</t>
  </si>
  <si>
    <t>61,44%</t>
  </si>
  <si>
    <t>17,93%</t>
  </si>
  <si>
    <t>CE ANÍBAL BENÉVOLO - 26195</t>
  </si>
  <si>
    <t>61,54%</t>
  </si>
  <si>
    <t>CIEP 133 OSWALDO JOSE LOURENCO - 25981</t>
  </si>
  <si>
    <t>CIEP 276 ERNESTO PAIVA - 25013</t>
  </si>
  <si>
    <t>63,08%</t>
  </si>
  <si>
    <t>26,83%</t>
  </si>
  <si>
    <t>CE CONSTANCA SOARES TEIXEIRA - 25190</t>
  </si>
  <si>
    <t>CE PEDRO BAPTISTA DE SOUZA - 25053</t>
  </si>
  <si>
    <t>63,69%</t>
  </si>
  <si>
    <t>24,30%</t>
  </si>
  <si>
    <t>2,80%</t>
  </si>
  <si>
    <t>1,87%</t>
  </si>
  <si>
    <t>CE TEMISTOCLES DE ALMEIDA - 25056</t>
  </si>
  <si>
    <t>63,89%</t>
  </si>
  <si>
    <t>CE JAIME QUEIROZ DE SOUZA - 25017</t>
  </si>
  <si>
    <t>63,93%</t>
  </si>
  <si>
    <t>41,03%</t>
  </si>
  <si>
    <t>CIEP 188 MARIANO FLOR CAVALCANTE - 26058</t>
  </si>
  <si>
    <t>64,00%</t>
  </si>
  <si>
    <t>CE EDMUNDO PERALTA BERNARDES - 26126</t>
  </si>
  <si>
    <t>64,43%</t>
  </si>
  <si>
    <t>CE MATEMATICO JOAQUIM GOMES DE SOUSA - INTER-CULTURAL BRASIL-CHINA - 25294</t>
  </si>
  <si>
    <t>64,49%</t>
  </si>
  <si>
    <t>CE PROFESSOR FRANCISCO DE PAULA ACHILLES - 25697</t>
  </si>
  <si>
    <t>64,71%</t>
  </si>
  <si>
    <t>CE EMBAIXADOR JOSE BONIFACIO - 25773</t>
  </si>
  <si>
    <t>4,13%</t>
  </si>
  <si>
    <t>CE ANTONINA RAMOS FREIRE - 26196</t>
  </si>
  <si>
    <t>64,74%</t>
  </si>
  <si>
    <t>52,17%</t>
  </si>
  <si>
    <t>CIEP 283 MARIA AMELIA PACHECO - 25232</t>
  </si>
  <si>
    <t>64,89%</t>
  </si>
  <si>
    <t>8,20%</t>
  </si>
  <si>
    <t>CE RIO DOURADO - 25185</t>
  </si>
  <si>
    <t>65,17%</t>
  </si>
  <si>
    <t>CE FAGUNDES VARELA - 26208</t>
  </si>
  <si>
    <t>65,22%</t>
  </si>
  <si>
    <t>CE ANTONIO LOPES DE CAMPOS FILHO - 25314</t>
  </si>
  <si>
    <t>65,52%</t>
  </si>
  <si>
    <t>CE OLAVO BILAC - 26201</t>
  </si>
  <si>
    <t>65,79%</t>
  </si>
  <si>
    <t>19,51%</t>
  </si>
  <si>
    <t>CE CORONEL BENJAMIN GUIMARAES - 26135</t>
  </si>
  <si>
    <t>65,89%</t>
  </si>
  <si>
    <t>7,06%</t>
  </si>
  <si>
    <t>CIEP 179 PROFESSOR CLAUDIO GAMA - 25987</t>
  </si>
  <si>
    <t>66,18%</t>
  </si>
  <si>
    <t>8,39%</t>
  </si>
  <si>
    <t>7,66%</t>
  </si>
  <si>
    <t>CE ALMIRANTE RODRIGUES SILVA - 26132</t>
  </si>
  <si>
    <t>66,20%</t>
  </si>
  <si>
    <t>61,70%</t>
  </si>
  <si>
    <t>CE MANOEL BANDEIRA - 25835</t>
  </si>
  <si>
    <t>66,27%</t>
  </si>
  <si>
    <t>58,18%</t>
  </si>
  <si>
    <t>CIEP 484 GINÁSIO PÚBLICO TONINHO MARQUES - 26233</t>
  </si>
  <si>
    <t>CE AMERICO PIMENTA - 26194</t>
  </si>
  <si>
    <t>67,36%</t>
  </si>
  <si>
    <t>1,84%</t>
  </si>
  <si>
    <t>0,61%</t>
  </si>
  <si>
    <t>IE DE MIRACEMA - 25041</t>
  </si>
  <si>
    <t>67,37%</t>
  </si>
  <si>
    <t>35,16%</t>
  </si>
  <si>
    <t>0,78%</t>
  </si>
  <si>
    <t>CE BARAO DE PALMEIRAS - 26121</t>
  </si>
  <si>
    <t>67,41%</t>
  </si>
  <si>
    <t>16,48%</t>
  </si>
  <si>
    <t>2,20%</t>
  </si>
  <si>
    <t>1,10%</t>
  </si>
  <si>
    <t>CE PROFESSOR JOAO BRASIL - 25158</t>
  </si>
  <si>
    <t>67,74%</t>
  </si>
  <si>
    <t>40,48%</t>
  </si>
  <si>
    <t>CE SANTO INACIO - 25852</t>
  </si>
  <si>
    <t>67,88%</t>
  </si>
  <si>
    <t>CE SUBTENENTE PM MARCO ANTONIO GRIPP - 25705</t>
  </si>
  <si>
    <t>67,92%</t>
  </si>
  <si>
    <t>CE PROFESSORA SANDRA MARIA SANTOS DE SOUSA - 25972</t>
  </si>
  <si>
    <t>68,06%</t>
  </si>
  <si>
    <t>53,06%</t>
  </si>
  <si>
    <t>CE PROFESSOR SOUZA - 25184</t>
  </si>
  <si>
    <t>CE ALMIRANTE BARÃO DE TEFFE - 25050</t>
  </si>
  <si>
    <t>68,21%</t>
  </si>
  <si>
    <t>7,77%</t>
  </si>
  <si>
    <t>CIEP 397 PAULO PONTES - 25988</t>
  </si>
  <si>
    <t>68,27%</t>
  </si>
  <si>
    <t>26,47%</t>
  </si>
  <si>
    <t>IE PROFESSOR JOEL MONNERAT - 25808</t>
  </si>
  <si>
    <t>68,55%</t>
  </si>
  <si>
    <t>CE HEBE CAMARGO - 25582</t>
  </si>
  <si>
    <t>68,56%</t>
  </si>
  <si>
    <t>12,71%</t>
  </si>
  <si>
    <t>32,60%</t>
  </si>
  <si>
    <t>CE ENGENHEIRO PASSOS - 26199</t>
  </si>
  <si>
    <t>68,92%</t>
  </si>
  <si>
    <t>CE NEPHTALINA CARVALHO AVILA - 26129</t>
  </si>
  <si>
    <t>69,07%</t>
  </si>
  <si>
    <t>76,92%</t>
  </si>
  <si>
    <t>2,99%</t>
  </si>
  <si>
    <t>CE THEODORICO FONSECA - 26140</t>
  </si>
  <si>
    <t>69,15%</t>
  </si>
  <si>
    <t>51,85%</t>
  </si>
  <si>
    <t>2,31%</t>
  </si>
  <si>
    <t>0,77%</t>
  </si>
  <si>
    <t>CE RIBEIRO DE AVELAR - 26127</t>
  </si>
  <si>
    <t>69,33%</t>
  </si>
  <si>
    <t>17,31%</t>
  </si>
  <si>
    <t>CE ALFREDO GOMES - 26131</t>
  </si>
  <si>
    <t>69,88%</t>
  </si>
  <si>
    <t>72,22%</t>
  </si>
  <si>
    <t>CIEP 413 ADAO PEREIRA NUNES BRASIL MEXICO - 25729</t>
  </si>
  <si>
    <t>69,93%</t>
  </si>
  <si>
    <t>CIEP 345 Y-JUCA PIRAMA - BRASIL-SUECIA - 26066</t>
  </si>
  <si>
    <t>CE DOUTOR JOAO NERY - 26111</t>
  </si>
  <si>
    <t>70,73%</t>
  </si>
  <si>
    <t>CE LUIZ FERRAZ - 25029</t>
  </si>
  <si>
    <t>70,77%</t>
  </si>
  <si>
    <t>36,96%</t>
  </si>
  <si>
    <t>CE ALCINDA LOPES PEREIRA PINTO - 25003</t>
  </si>
  <si>
    <t>CE DOUTOR JOSE PEREIRA PINTO - 25073</t>
  </si>
  <si>
    <t>71,70%</t>
  </si>
  <si>
    <t>CE CABO PM RAPHAEL DE OLIVEIRA MONTEIRO - 25317</t>
  </si>
  <si>
    <t>CE BOA VISTA - 26164</t>
  </si>
  <si>
    <t>72,26%</t>
  </si>
  <si>
    <t>5,05%</t>
  </si>
  <si>
    <t>CIEP 380 JORACI CAMARGO - 25929</t>
  </si>
  <si>
    <t>72,43%</t>
  </si>
  <si>
    <t>5,22%</t>
  </si>
  <si>
    <t>23,13%</t>
  </si>
  <si>
    <t>CIE MIECIMO DA SILVA - 25620</t>
  </si>
  <si>
    <t>74,25%</t>
  </si>
  <si>
    <t>0,45%</t>
  </si>
  <si>
    <t>CIEP 226 PORTO DA ESTRELA - 25873</t>
  </si>
  <si>
    <t>74,51%</t>
  </si>
  <si>
    <t>68,75%</t>
  </si>
  <si>
    <t>CE AUGUSTO SPINELLI - 25200</t>
  </si>
  <si>
    <t>74,60%</t>
  </si>
  <si>
    <t>CIEP 449 GOVERNADOR LEONEL DE MOURA BRIZOLA BRASIL FRANCA - 25306</t>
  </si>
  <si>
    <t>4,90%</t>
  </si>
  <si>
    <t>IE SARAH KUBITSCHEK - 25640</t>
  </si>
  <si>
    <t>0,09%</t>
  </si>
  <si>
    <t>CE PROFESSOR AURELIO DUARTE - 25178</t>
  </si>
  <si>
    <t>75,79%</t>
  </si>
  <si>
    <t>CE PROFESSORA VENINA CORREA TORRES - 26036</t>
  </si>
  <si>
    <t>76,23%</t>
  </si>
  <si>
    <t>2,69%</t>
  </si>
  <si>
    <t>CIEP 296 PRESIDENTE BENES - 26209</t>
  </si>
  <si>
    <t>76,79%</t>
  </si>
  <si>
    <t>86,67%</t>
  </si>
  <si>
    <t>CE JOSE LEITE LOPES - 25400</t>
  </si>
  <si>
    <t>78,24%</t>
  </si>
  <si>
    <t>5,92%</t>
  </si>
  <si>
    <t>CIEP FILINTO MULLER - BRASIL-CHINA - 25885</t>
  </si>
  <si>
    <t>78,95%</t>
  </si>
  <si>
    <t>CE AGOSTINHO CHRYZANTO DE ARAUJO - 25141</t>
  </si>
  <si>
    <t>79,00%</t>
  </si>
  <si>
    <t>16,46%</t>
  </si>
  <si>
    <t>CE DOUTOR FRANCISCO LEITE TEIXEIRA - 25171</t>
  </si>
  <si>
    <t>79,41%</t>
  </si>
  <si>
    <t>CIEP 251 DONA MARIA PORTUGAL - BRASIL-PARAGUAI - 25303</t>
  </si>
  <si>
    <t>CE PRAIA DO SIQUEIRA - 25252</t>
  </si>
  <si>
    <t>80,39%</t>
  </si>
  <si>
    <t>73,17%</t>
  </si>
  <si>
    <t>CE JOAO DE ABREU JUNIOR - 25172</t>
  </si>
  <si>
    <t>80,56%</t>
  </si>
  <si>
    <t>CE PROFESSORA MARIA HELENA AMARAL ALARCÃO - 26033</t>
  </si>
  <si>
    <t>81,48%</t>
  </si>
  <si>
    <t>CIEP 999 DOM PEDRO D'ALCANTARA DE BRAGANCA, PRIMEIRO IMPERADOR DO BRASIL - 26187</t>
  </si>
  <si>
    <t>81,78%</t>
  </si>
  <si>
    <t>3,80%</t>
  </si>
  <si>
    <t>84,78%</t>
  </si>
  <si>
    <t>CIEP 479 DOUTOR MARIO SIMAO ASSAF - 25169</t>
  </si>
  <si>
    <t>CE PROFESSORA SONIA DO AMARAL TORRES - 25039</t>
  </si>
  <si>
    <t>82,14%</t>
  </si>
  <si>
    <t>CIEP 500 ANTONIO BOTELHO - 26120</t>
  </si>
  <si>
    <t>82,28%</t>
  </si>
  <si>
    <t>73,85%</t>
  </si>
  <si>
    <t>69,23%</t>
  </si>
  <si>
    <t>CE BRIGADEIRO CASTRIOTO - BRASIL-ESPANHA - 25276</t>
  </si>
  <si>
    <t>83,21%</t>
  </si>
  <si>
    <t>68,81%</t>
  </si>
  <si>
    <t>CE DOUTOR ANTONIO FERNANDES - 26115</t>
  </si>
  <si>
    <t>1,21%</t>
  </si>
  <si>
    <t>CIEP 098 PROFESSORA HILDA DO CARMO SIQUEIRA - 25862</t>
  </si>
  <si>
    <t>CE VERA CRUZ - 26116</t>
  </si>
  <si>
    <t>83,78%</t>
  </si>
  <si>
    <t>CIEP 117 CARLOS DRUMMOND DE ANDRADE BRASIL ESTADOS UNIDOS - 26051</t>
  </si>
  <si>
    <t>84,21%</t>
  </si>
  <si>
    <t>CIEP 494 ALEXANDRE CARVALHO CÍVICO MILITAR - 26117</t>
  </si>
  <si>
    <t>84,26%</t>
  </si>
  <si>
    <t>3,30%</t>
  </si>
  <si>
    <t>CE SENADOR PAULO FERNANDES - 26104</t>
  </si>
  <si>
    <t>84,29%</t>
  </si>
  <si>
    <t>81,36%</t>
  </si>
  <si>
    <t>CE COMENDADOR VALENTIM DOS SANTOS DINIZ - 25672</t>
  </si>
  <si>
    <t>CIEP 218 MINISTRO HERMES LIMA BRASIL-TURQUIA - 25872</t>
  </si>
  <si>
    <t>85,04%</t>
  </si>
  <si>
    <t>45,83%</t>
  </si>
  <si>
    <t>8,54%</t>
  </si>
  <si>
    <t>6,03%</t>
  </si>
  <si>
    <t>2,01%</t>
  </si>
  <si>
    <t>17,09%</t>
  </si>
  <si>
    <t>CE MARCILIO DIAS - 25007</t>
  </si>
  <si>
    <t>85,71%</t>
  </si>
  <si>
    <t>CE 2º TENENTE BM SÉRGIO RODRIGUES DA SILVA - 25188</t>
  </si>
  <si>
    <t>CE CORONEL PM MARCUS JARDIM - 25675</t>
  </si>
  <si>
    <t>85,82%</t>
  </si>
  <si>
    <t>12,17%</t>
  </si>
  <si>
    <t>20,87%</t>
  </si>
  <si>
    <t>CE DÔRVAL FERREIRA DA CUNHA - 25679</t>
  </si>
  <si>
    <t>85,90%</t>
  </si>
  <si>
    <t>CE LAURINDO PITA - 25019</t>
  </si>
  <si>
    <t>86,21%</t>
  </si>
  <si>
    <t>CIEP 322 MOZART CUNHA GUIMARAES - 25160</t>
  </si>
  <si>
    <t>86,49%</t>
  </si>
  <si>
    <t>78,13%</t>
  </si>
  <si>
    <t>CIEP 141 VEREADOR SAID TANUS JOSÉ - 25015</t>
  </si>
  <si>
    <t>86,84%</t>
  </si>
  <si>
    <t>CIEP 468 OLGA THURLER MENDONÇA DA FONSECA - 25045</t>
  </si>
  <si>
    <t>87,10%</t>
  </si>
  <si>
    <t>CE ROCHA LEAO - 25132</t>
  </si>
  <si>
    <t>87,91%</t>
  </si>
  <si>
    <t>58,75%</t>
  </si>
  <si>
    <t>CE PROFESSORA ELIANE MARTINS DANTAS BRASIL ALEMANHA - 25513</t>
  </si>
  <si>
    <t>90,67%</t>
  </si>
  <si>
    <t>CE ANTÔNIO DE JESUS GOMES - BRASIL-MÉXICO - 26143</t>
  </si>
  <si>
    <t>91,49%</t>
  </si>
  <si>
    <t>CE CABO BM FLÁVIO UANDERSON RODRIGUES DE FREITAS - 25798</t>
  </si>
  <si>
    <t>93,85%</t>
  </si>
  <si>
    <t>78,69%</t>
  </si>
  <si>
    <t>CE 1º SARGENTO BM LUIZ CARLOS GONÇALVES FISCHER - 25175</t>
  </si>
  <si>
    <t>93,88%</t>
  </si>
  <si>
    <t>CE JOAO KOPKE - 26109</t>
  </si>
  <si>
    <t>93,98%</t>
  </si>
  <si>
    <t>16,03%</t>
  </si>
  <si>
    <t>CE GERALDINO SILVA - 25047</t>
  </si>
  <si>
    <t>94,74%</t>
  </si>
  <si>
    <t>CIEP 287 ANGELINA TEIXEIRA NETTO SYM - 26106</t>
  </si>
  <si>
    <t>95,83%</t>
  </si>
  <si>
    <t>CE SUBTENENTE PM CLAUDIO HENTZY FERREIRA - 25055</t>
  </si>
  <si>
    <t>96,00%</t>
  </si>
  <si>
    <t>97,92%</t>
  </si>
  <si>
    <t>CE DOUTOR PERICLES CORREA DA ROCHA - 25156</t>
  </si>
  <si>
    <t>98,04%</t>
  </si>
  <si>
    <t>CE PIAUÍ - BRASIL-FRANÇA - 26217</t>
  </si>
  <si>
    <t>98,31%</t>
  </si>
  <si>
    <t>56,90%</t>
  </si>
  <si>
    <t>22,41%</t>
  </si>
  <si>
    <t>36,21%</t>
  </si>
  <si>
    <t>CE ALFREDO NEVES - 26006</t>
  </si>
  <si>
    <t>4,20%</t>
  </si>
  <si>
    <t>0,84%</t>
  </si>
  <si>
    <t>5,04%</t>
  </si>
  <si>
    <t>CE ROMUALDO MONTEIRO DE BARROS - 25031</t>
  </si>
  <si>
    <t>CIEP 038 SANTOS DUMONT - BRASIL-ALEMANHA - 25778</t>
  </si>
  <si>
    <t>CE CONDE DE NOVA FRIBURGO - 25170</t>
  </si>
  <si>
    <t>23,71%</t>
  </si>
  <si>
    <t>40,09%</t>
  </si>
  <si>
    <t>8,19%</t>
  </si>
  <si>
    <t>3,82%</t>
  </si>
  <si>
    <t>0,60%</t>
  </si>
  <si>
    <t>8,48%</t>
  </si>
  <si>
    <t>0,20%</t>
  </si>
  <si>
    <t>47,08%</t>
  </si>
  <si>
    <t>45,35%</t>
  </si>
  <si>
    <t>10,56%</t>
  </si>
  <si>
    <t>3,69%</t>
  </si>
  <si>
    <t>0,18%</t>
  </si>
  <si>
    <t>23,87%</t>
  </si>
  <si>
    <t>23,49%</t>
  </si>
  <si>
    <t>38,55%</t>
  </si>
  <si>
    <t>12,47%</t>
  </si>
  <si>
    <t>4,09%</t>
  </si>
  <si>
    <t>0,15%</t>
  </si>
  <si>
    <t>25,63%</t>
  </si>
  <si>
    <t>17,57%</t>
  </si>
  <si>
    <t>39,05%</t>
  </si>
  <si>
    <t>3,34%</t>
  </si>
  <si>
    <t>0,13%</t>
  </si>
  <si>
    <t>10,07%</t>
  </si>
  <si>
    <t>14,55%</t>
  </si>
  <si>
    <t>37,90%</t>
  </si>
  <si>
    <t>6,08%</t>
  </si>
  <si>
    <t>0,41%</t>
  </si>
  <si>
    <t>16,01%</t>
  </si>
  <si>
    <t>36,63%</t>
  </si>
  <si>
    <t>6,39%</t>
  </si>
  <si>
    <t>0,46%</t>
  </si>
  <si>
    <t>26,70%</t>
  </si>
  <si>
    <t>48,51%</t>
  </si>
  <si>
    <t>11,82%</t>
  </si>
  <si>
    <t>12,62%</t>
  </si>
  <si>
    <t>36,78%</t>
  </si>
  <si>
    <t>11,96%</t>
  </si>
  <si>
    <t>0,47%</t>
  </si>
  <si>
    <t>22,36%</t>
  </si>
  <si>
    <t>20,92%</t>
  </si>
  <si>
    <t>38,16%</t>
  </si>
  <si>
    <t>43,84%</t>
  </si>
  <si>
    <t>28,15%</t>
  </si>
  <si>
    <t>46,98%</t>
  </si>
  <si>
    <t>11,09%</t>
  </si>
  <si>
    <t>16,87%</t>
  </si>
  <si>
    <t>0,24%</t>
  </si>
  <si>
    <t>23,97%</t>
  </si>
  <si>
    <t>25,59%</t>
  </si>
  <si>
    <t>46,06%</t>
  </si>
  <si>
    <t>13,05%</t>
  </si>
  <si>
    <t>34,05%</t>
  </si>
  <si>
    <t>1,97%</t>
  </si>
  <si>
    <t>42,42%</t>
  </si>
  <si>
    <t>26,99%</t>
  </si>
  <si>
    <t>47,63%</t>
  </si>
  <si>
    <t>9,92%</t>
  </si>
  <si>
    <t>33,00%</t>
  </si>
  <si>
    <t>28,05%</t>
  </si>
  <si>
    <t>52,20%</t>
  </si>
  <si>
    <t>9,70%</t>
  </si>
  <si>
    <t>0,06%</t>
  </si>
  <si>
    <t>Tempo Médio por Aluno</t>
  </si>
  <si>
    <t>Número de Participantes: 1º Simulado</t>
  </si>
  <si>
    <t>Número de Participantes: 1º Teste de Redação</t>
  </si>
  <si>
    <t>Número de Participantes: 2º Teste de Redação</t>
  </si>
  <si>
    <t>Número de Participantes: 2º Simulado</t>
  </si>
  <si>
    <t>Número de Participantes: 3º Teste de Redação</t>
  </si>
  <si>
    <t>Número de Participantes: 4º Teste de Redação</t>
  </si>
  <si>
    <t>04h26</t>
  </si>
  <si>
    <t>338</t>
  </si>
  <si>
    <t>6</t>
  </si>
  <si>
    <t>432</t>
  </si>
  <si>
    <t>123</t>
  </si>
  <si>
    <t>308</t>
  </si>
  <si>
    <t>4</t>
  </si>
  <si>
    <t>05h00</t>
  </si>
  <si>
    <t>139</t>
  </si>
  <si>
    <t>436</t>
  </si>
  <si>
    <t>515</t>
  </si>
  <si>
    <t>386</t>
  </si>
  <si>
    <t>458</t>
  </si>
  <si>
    <t>05h50</t>
  </si>
  <si>
    <t>125</t>
  </si>
  <si>
    <t>0</t>
  </si>
  <si>
    <t>78</t>
  </si>
  <si>
    <t>1</t>
  </si>
  <si>
    <t>06h41</t>
  </si>
  <si>
    <t>26</t>
  </si>
  <si>
    <t>35</t>
  </si>
  <si>
    <t>25</t>
  </si>
  <si>
    <t>22</t>
  </si>
  <si>
    <t>06h57</t>
  </si>
  <si>
    <t>11</t>
  </si>
  <si>
    <t>7</t>
  </si>
  <si>
    <t>9</t>
  </si>
  <si>
    <t>07h29</t>
  </si>
  <si>
    <t>46</t>
  </si>
  <si>
    <t>47</t>
  </si>
  <si>
    <t>37</t>
  </si>
  <si>
    <t>08h04</t>
  </si>
  <si>
    <t>347</t>
  </si>
  <si>
    <t>626</t>
  </si>
  <si>
    <t>324</t>
  </si>
  <si>
    <t>231</t>
  </si>
  <si>
    <t>377</t>
  </si>
  <si>
    <t>293</t>
  </si>
  <si>
    <t>08h08</t>
  </si>
  <si>
    <t>416</t>
  </si>
  <si>
    <t>447</t>
  </si>
  <si>
    <t>340</t>
  </si>
  <si>
    <t>244</t>
  </si>
  <si>
    <t>371</t>
  </si>
  <si>
    <t>216</t>
  </si>
  <si>
    <t>08h15</t>
  </si>
  <si>
    <t>632</t>
  </si>
  <si>
    <t>583</t>
  </si>
  <si>
    <t>596</t>
  </si>
  <si>
    <t>292</t>
  </si>
  <si>
    <t>457</t>
  </si>
  <si>
    <t>406</t>
  </si>
  <si>
    <t>07h49</t>
  </si>
  <si>
    <t>351</t>
  </si>
  <si>
    <t>127</t>
  </si>
  <si>
    <t>300</t>
  </si>
  <si>
    <t>243</t>
  </si>
  <si>
    <t>184</t>
  </si>
  <si>
    <t>09h08</t>
  </si>
  <si>
    <t>82</t>
  </si>
  <si>
    <t>42</t>
  </si>
  <si>
    <t>52</t>
  </si>
  <si>
    <t>2</t>
  </si>
  <si>
    <t>77</t>
  </si>
  <si>
    <t>76</t>
  </si>
  <si>
    <t>53</t>
  </si>
  <si>
    <t>61</t>
  </si>
  <si>
    <t>79</t>
  </si>
  <si>
    <t>09h11</t>
  </si>
  <si>
    <t>106</t>
  </si>
  <si>
    <t>92</t>
  </si>
  <si>
    <t>64</t>
  </si>
  <si>
    <t>72</t>
  </si>
  <si>
    <t>08h44</t>
  </si>
  <si>
    <t>33</t>
  </si>
  <si>
    <t>30</t>
  </si>
  <si>
    <t>29</t>
  </si>
  <si>
    <t>24</t>
  </si>
  <si>
    <t>08h46</t>
  </si>
  <si>
    <t>647</t>
  </si>
  <si>
    <t>811</t>
  </si>
  <si>
    <t>346</t>
  </si>
  <si>
    <t>282</t>
  </si>
  <si>
    <t>3</t>
  </si>
  <si>
    <t>08h48</t>
  </si>
  <si>
    <t>71</t>
  </si>
  <si>
    <t>51</t>
  </si>
  <si>
    <t>57</t>
  </si>
  <si>
    <t>08h50</t>
  </si>
  <si>
    <t>146</t>
  </si>
  <si>
    <t>66</t>
  </si>
  <si>
    <t>116</t>
  </si>
  <si>
    <t>102</t>
  </si>
  <si>
    <t>120</t>
  </si>
  <si>
    <t>09h22</t>
  </si>
  <si>
    <t>198</t>
  </si>
  <si>
    <t>176</t>
  </si>
  <si>
    <t>142</t>
  </si>
  <si>
    <t>164</t>
  </si>
  <si>
    <t>151</t>
  </si>
  <si>
    <t>09h33</t>
  </si>
  <si>
    <t>230</t>
  </si>
  <si>
    <t>153</t>
  </si>
  <si>
    <t>160</t>
  </si>
  <si>
    <t>90</t>
  </si>
  <si>
    <t>121</t>
  </si>
  <si>
    <t>10h13</t>
  </si>
  <si>
    <t>170</t>
  </si>
  <si>
    <t>141</t>
  </si>
  <si>
    <t>112</t>
  </si>
  <si>
    <t>128</t>
  </si>
  <si>
    <t>137</t>
  </si>
  <si>
    <t>99</t>
  </si>
  <si>
    <t>10h14</t>
  </si>
  <si>
    <t>45</t>
  </si>
  <si>
    <t>39</t>
  </si>
  <si>
    <t>09h53</t>
  </si>
  <si>
    <t>363</t>
  </si>
  <si>
    <t>332</t>
  </si>
  <si>
    <t>301</t>
  </si>
  <si>
    <t>325</t>
  </si>
  <si>
    <t>328</t>
  </si>
  <si>
    <t>27</t>
  </si>
  <si>
    <t>28</t>
  </si>
  <si>
    <t>10h26</t>
  </si>
  <si>
    <t>488</t>
  </si>
  <si>
    <t>263</t>
  </si>
  <si>
    <t>224</t>
  </si>
  <si>
    <t>247</t>
  </si>
  <si>
    <t>195</t>
  </si>
  <si>
    <t>09h59</t>
  </si>
  <si>
    <t>145</t>
  </si>
  <si>
    <t>144</t>
  </si>
  <si>
    <t>134</t>
  </si>
  <si>
    <t>138</t>
  </si>
  <si>
    <t>117</t>
  </si>
  <si>
    <t>172</t>
  </si>
  <si>
    <t>98</t>
  </si>
  <si>
    <t>103</t>
  </si>
  <si>
    <t>10h32</t>
  </si>
  <si>
    <t>89</t>
  </si>
  <si>
    <t>84</t>
  </si>
  <si>
    <t>75</t>
  </si>
  <si>
    <t>68</t>
  </si>
  <si>
    <t>10h33</t>
  </si>
  <si>
    <t>271</t>
  </si>
  <si>
    <t>192</t>
  </si>
  <si>
    <t>233</t>
  </si>
  <si>
    <t>242</t>
  </si>
  <si>
    <t>240</t>
  </si>
  <si>
    <t>11h04</t>
  </si>
  <si>
    <t>54</t>
  </si>
  <si>
    <t>41</t>
  </si>
  <si>
    <t>50</t>
  </si>
  <si>
    <t>58</t>
  </si>
  <si>
    <t>44</t>
  </si>
  <si>
    <t>10h35</t>
  </si>
  <si>
    <t>211</t>
  </si>
  <si>
    <t>207</t>
  </si>
  <si>
    <t>175</t>
  </si>
  <si>
    <t>167</t>
  </si>
  <si>
    <t>179</t>
  </si>
  <si>
    <t>65</t>
  </si>
  <si>
    <t>60</t>
  </si>
  <si>
    <t>73</t>
  </si>
  <si>
    <t>11h07</t>
  </si>
  <si>
    <t>269</t>
  </si>
  <si>
    <t>161</t>
  </si>
  <si>
    <t>11h08</t>
  </si>
  <si>
    <t>21</t>
  </si>
  <si>
    <t>18</t>
  </si>
  <si>
    <t>13</t>
  </si>
  <si>
    <t>19</t>
  </si>
  <si>
    <t>11h09</t>
  </si>
  <si>
    <t>478</t>
  </si>
  <si>
    <t>330</t>
  </si>
  <si>
    <t>455</t>
  </si>
  <si>
    <t>490</t>
  </si>
  <si>
    <t>476</t>
  </si>
  <si>
    <t>420</t>
  </si>
  <si>
    <t>10h41</t>
  </si>
  <si>
    <t>227</t>
  </si>
  <si>
    <t>219</t>
  </si>
  <si>
    <t>185</t>
  </si>
  <si>
    <t>171</t>
  </si>
  <si>
    <t>11h13</t>
  </si>
  <si>
    <t>1.024</t>
  </si>
  <si>
    <t>1.040</t>
  </si>
  <si>
    <t>562</t>
  </si>
  <si>
    <t>491</t>
  </si>
  <si>
    <t>93</t>
  </si>
  <si>
    <t>8</t>
  </si>
  <si>
    <t>11h14</t>
  </si>
  <si>
    <t>111</t>
  </si>
  <si>
    <t>132</t>
  </si>
  <si>
    <t>104</t>
  </si>
  <si>
    <t>69</t>
  </si>
  <si>
    <t>10h47</t>
  </si>
  <si>
    <t>304</t>
  </si>
  <si>
    <t>307</t>
  </si>
  <si>
    <t>173</t>
  </si>
  <si>
    <t>124</t>
  </si>
  <si>
    <t>162</t>
  </si>
  <si>
    <t>158</t>
  </si>
  <si>
    <t>11h19</t>
  </si>
  <si>
    <t>131</t>
  </si>
  <si>
    <t>11h21</t>
  </si>
  <si>
    <t>249</t>
  </si>
  <si>
    <t>238</t>
  </si>
  <si>
    <t>218</t>
  </si>
  <si>
    <t>217</t>
  </si>
  <si>
    <t>10h52</t>
  </si>
  <si>
    <t>429</t>
  </si>
  <si>
    <t>220</t>
  </si>
  <si>
    <t>314</t>
  </si>
  <si>
    <t>265</t>
  </si>
  <si>
    <t>10h53</t>
  </si>
  <si>
    <t>237</t>
  </si>
  <si>
    <t>194</t>
  </si>
  <si>
    <t>196</t>
  </si>
  <si>
    <t>215</t>
  </si>
  <si>
    <t>10h58</t>
  </si>
  <si>
    <t>48</t>
  </si>
  <si>
    <t>31</t>
  </si>
  <si>
    <t>49</t>
  </si>
  <si>
    <t>56</t>
  </si>
  <si>
    <t>11h28</t>
  </si>
  <si>
    <t>12</t>
  </si>
  <si>
    <t>10</t>
  </si>
  <si>
    <t>12h00</t>
  </si>
  <si>
    <t>91</t>
  </si>
  <si>
    <t>11h31</t>
  </si>
  <si>
    <t>107</t>
  </si>
  <si>
    <t>12h03</t>
  </si>
  <si>
    <t>234</t>
  </si>
  <si>
    <t>152</t>
  </si>
  <si>
    <t>149</t>
  </si>
  <si>
    <t>12h04</t>
  </si>
  <si>
    <t>70</t>
  </si>
  <si>
    <t>63</t>
  </si>
  <si>
    <t>11h36</t>
  </si>
  <si>
    <t>291</t>
  </si>
  <si>
    <t>267</t>
  </si>
  <si>
    <t>266</t>
  </si>
  <si>
    <t>12h10</t>
  </si>
  <si>
    <t>88</t>
  </si>
  <si>
    <t>86</t>
  </si>
  <si>
    <t>94</t>
  </si>
  <si>
    <t>11h41</t>
  </si>
  <si>
    <t>213</t>
  </si>
  <si>
    <t>182</t>
  </si>
  <si>
    <t>168</t>
  </si>
  <si>
    <t>200</t>
  </si>
  <si>
    <t>190</t>
  </si>
  <si>
    <t>191</t>
  </si>
  <si>
    <t>12h11</t>
  </si>
  <si>
    <t>12h15</t>
  </si>
  <si>
    <t>221</t>
  </si>
  <si>
    <t>115</t>
  </si>
  <si>
    <t>140</t>
  </si>
  <si>
    <t>135</t>
  </si>
  <si>
    <t>12h17</t>
  </si>
  <si>
    <t>12h23</t>
  </si>
  <si>
    <t>206</t>
  </si>
  <si>
    <t>165</t>
  </si>
  <si>
    <t>12h24</t>
  </si>
  <si>
    <t>229</t>
  </si>
  <si>
    <t>178</t>
  </si>
  <si>
    <t>12h25</t>
  </si>
  <si>
    <t>11h55</t>
  </si>
  <si>
    <t>12h26</t>
  </si>
  <si>
    <t>108</t>
  </si>
  <si>
    <t>97</t>
  </si>
  <si>
    <t>105</t>
  </si>
  <si>
    <t>12h27</t>
  </si>
  <si>
    <t>156</t>
  </si>
  <si>
    <t>12h29</t>
  </si>
  <si>
    <t>201</t>
  </si>
  <si>
    <t>199</t>
  </si>
  <si>
    <t>130</t>
  </si>
  <si>
    <t>13h01</t>
  </si>
  <si>
    <t>258</t>
  </si>
  <si>
    <t>239</t>
  </si>
  <si>
    <t>205</t>
  </si>
  <si>
    <t>143</t>
  </si>
  <si>
    <t>12h31</t>
  </si>
  <si>
    <t>96</t>
  </si>
  <si>
    <t>113</t>
  </si>
  <si>
    <t>12h33</t>
  </si>
  <si>
    <t>484</t>
  </si>
  <si>
    <t>495</t>
  </si>
  <si>
    <t>352</t>
  </si>
  <si>
    <t>305</t>
  </si>
  <si>
    <t>13h03</t>
  </si>
  <si>
    <t>114</t>
  </si>
  <si>
    <t>12h35</t>
  </si>
  <si>
    <t>80</t>
  </si>
  <si>
    <t>209</t>
  </si>
  <si>
    <t>13h08</t>
  </si>
  <si>
    <t>210</t>
  </si>
  <si>
    <t>257</t>
  </si>
  <si>
    <t>312</t>
  </si>
  <si>
    <t>13h13</t>
  </si>
  <si>
    <t>306</t>
  </si>
  <si>
    <t>203</t>
  </si>
  <si>
    <t>13h19</t>
  </si>
  <si>
    <t>136</t>
  </si>
  <si>
    <t>12h52</t>
  </si>
  <si>
    <t>36</t>
  </si>
  <si>
    <t>40</t>
  </si>
  <si>
    <t>38</t>
  </si>
  <si>
    <t>13h23</t>
  </si>
  <si>
    <t>81</t>
  </si>
  <si>
    <t>59</t>
  </si>
  <si>
    <t>12h58</t>
  </si>
  <si>
    <t>235</t>
  </si>
  <si>
    <t>133</t>
  </si>
  <si>
    <t>159</t>
  </si>
  <si>
    <t>14h02</t>
  </si>
  <si>
    <t>186</t>
  </si>
  <si>
    <t>208</t>
  </si>
  <si>
    <t>197</t>
  </si>
  <si>
    <t>14h03</t>
  </si>
  <si>
    <t>23</t>
  </si>
  <si>
    <t>16</t>
  </si>
  <si>
    <t>14h06</t>
  </si>
  <si>
    <t>95</t>
  </si>
  <si>
    <t>13h42</t>
  </si>
  <si>
    <t>43</t>
  </si>
  <si>
    <t>13h43</t>
  </si>
  <si>
    <t>189</t>
  </si>
  <si>
    <t>110</t>
  </si>
  <si>
    <t>13h45</t>
  </si>
  <si>
    <t>13h46</t>
  </si>
  <si>
    <t>148</t>
  </si>
  <si>
    <t>155</t>
  </si>
  <si>
    <t>13h47</t>
  </si>
  <si>
    <t>87</t>
  </si>
  <si>
    <t>101</t>
  </si>
  <si>
    <t>13h50</t>
  </si>
  <si>
    <t>67</t>
  </si>
  <si>
    <t>13h51</t>
  </si>
  <si>
    <t>62</t>
  </si>
  <si>
    <t>14h44</t>
  </si>
  <si>
    <t>254</t>
  </si>
  <si>
    <t>279</t>
  </si>
  <si>
    <t>16h03</t>
  </si>
  <si>
    <t>74</t>
  </si>
  <si>
    <t>15h44</t>
  </si>
  <si>
    <t>15h46</t>
  </si>
  <si>
    <t>16h27</t>
  </si>
  <si>
    <t>17</t>
  </si>
  <si>
    <t>14</t>
  </si>
  <si>
    <t>16h30</t>
  </si>
  <si>
    <t>07h05</t>
  </si>
  <si>
    <t>08h30</t>
  </si>
  <si>
    <t>119</t>
  </si>
  <si>
    <t>09h25</t>
  </si>
  <si>
    <t>154</t>
  </si>
  <si>
    <t>126</t>
  </si>
  <si>
    <t>10h01</t>
  </si>
  <si>
    <t>09h55</t>
  </si>
  <si>
    <t>11h05</t>
  </si>
  <si>
    <t>118</t>
  </si>
  <si>
    <t>10h42</t>
  </si>
  <si>
    <t>32</t>
  </si>
  <si>
    <t>11h16</t>
  </si>
  <si>
    <t>11h23</t>
  </si>
  <si>
    <t>100</t>
  </si>
  <si>
    <t>129</t>
  </si>
  <si>
    <t>11h34</t>
  </si>
  <si>
    <t>12h08</t>
  </si>
  <si>
    <t>11h39</t>
  </si>
  <si>
    <t>157</t>
  </si>
  <si>
    <t>11h56</t>
  </si>
  <si>
    <t>83</t>
  </si>
  <si>
    <t>11h57</t>
  </si>
  <si>
    <t>13h00</t>
  </si>
  <si>
    <t>13h04</t>
  </si>
  <si>
    <t>12h37</t>
  </si>
  <si>
    <t>13h12</t>
  </si>
  <si>
    <t>150</t>
  </si>
  <si>
    <t>13h14</t>
  </si>
  <si>
    <t>12h48</t>
  </si>
  <si>
    <t>327</t>
  </si>
  <si>
    <t>12h51</t>
  </si>
  <si>
    <t>166</t>
  </si>
  <si>
    <t>174</t>
  </si>
  <si>
    <t>55</t>
  </si>
  <si>
    <t>13h33</t>
  </si>
  <si>
    <t>13h38</t>
  </si>
  <si>
    <t>13h40</t>
  </si>
  <si>
    <t>13h48</t>
  </si>
  <si>
    <t>14h33</t>
  </si>
  <si>
    <t>109</t>
  </si>
  <si>
    <t>15h10</t>
  </si>
  <si>
    <t>14h41</t>
  </si>
  <si>
    <t>183</t>
  </si>
  <si>
    <t>14h42</t>
  </si>
  <si>
    <t>14h45</t>
  </si>
  <si>
    <t>14h46</t>
  </si>
  <si>
    <t>15h17</t>
  </si>
  <si>
    <t>14h56</t>
  </si>
  <si>
    <t>15h27</t>
  </si>
  <si>
    <t>15h30</t>
  </si>
  <si>
    <t>15h32</t>
  </si>
  <si>
    <t>16h21</t>
  </si>
  <si>
    <t>15h53</t>
  </si>
  <si>
    <t>00h00</t>
  </si>
  <si>
    <t>04h30</t>
  </si>
  <si>
    <t>281</t>
  </si>
  <si>
    <t>08h06</t>
  </si>
  <si>
    <t>268</t>
  </si>
  <si>
    <t>214</t>
  </si>
  <si>
    <t>08h32</t>
  </si>
  <si>
    <t>147</t>
  </si>
  <si>
    <t>08h36</t>
  </si>
  <si>
    <t>181</t>
  </si>
  <si>
    <t>09h18</t>
  </si>
  <si>
    <t>09h23</t>
  </si>
  <si>
    <t>361</t>
  </si>
  <si>
    <t>451</t>
  </si>
  <si>
    <t>483</t>
  </si>
  <si>
    <t>554</t>
  </si>
  <si>
    <t>518</t>
  </si>
  <si>
    <t>10h02</t>
  </si>
  <si>
    <t>10h05</t>
  </si>
  <si>
    <t>10h07</t>
  </si>
  <si>
    <t>228</t>
  </si>
  <si>
    <t>10h11</t>
  </si>
  <si>
    <t>09h42</t>
  </si>
  <si>
    <t>09h49</t>
  </si>
  <si>
    <t>09h50</t>
  </si>
  <si>
    <t>10h21</t>
  </si>
  <si>
    <t>272</t>
  </si>
  <si>
    <t>277</t>
  </si>
  <si>
    <t>284</t>
  </si>
  <si>
    <t>261</t>
  </si>
  <si>
    <t>09h58</t>
  </si>
  <si>
    <t>223</t>
  </si>
  <si>
    <t>11h02</t>
  </si>
  <si>
    <t>11h03</t>
  </si>
  <si>
    <t>298</t>
  </si>
  <si>
    <t>232</t>
  </si>
  <si>
    <t>280</t>
  </si>
  <si>
    <t>250</t>
  </si>
  <si>
    <t>10h37</t>
  </si>
  <si>
    <t>163</t>
  </si>
  <si>
    <t>15</t>
  </si>
  <si>
    <t>11h11</t>
  </si>
  <si>
    <t>187</t>
  </si>
  <si>
    <t>10h43</t>
  </si>
  <si>
    <t>567</t>
  </si>
  <si>
    <t>456</t>
  </si>
  <si>
    <t>466</t>
  </si>
  <si>
    <t>424</t>
  </si>
  <si>
    <t>10h44</t>
  </si>
  <si>
    <t>122</t>
  </si>
  <si>
    <t>11h15</t>
  </si>
  <si>
    <t>465</t>
  </si>
  <si>
    <t>439</t>
  </si>
  <si>
    <t>370</t>
  </si>
  <si>
    <t>388</t>
  </si>
  <si>
    <t>10h45</t>
  </si>
  <si>
    <t>11h22</t>
  </si>
  <si>
    <t>11h26</t>
  </si>
  <si>
    <t>169</t>
  </si>
  <si>
    <t>193</t>
  </si>
  <si>
    <t>180</t>
  </si>
  <si>
    <t>11h38</t>
  </si>
  <si>
    <t>11h40</t>
  </si>
  <si>
    <t>11h42</t>
  </si>
  <si>
    <t>12h12</t>
  </si>
  <si>
    <t>85</t>
  </si>
  <si>
    <t>12h13</t>
  </si>
  <si>
    <t>407</t>
  </si>
  <si>
    <t>442</t>
  </si>
  <si>
    <t>275</t>
  </si>
  <si>
    <t>445</t>
  </si>
  <si>
    <t>11h50</t>
  </si>
  <si>
    <t>11h51</t>
  </si>
  <si>
    <t>12h21</t>
  </si>
  <si>
    <t>11h58</t>
  </si>
  <si>
    <t>364</t>
  </si>
  <si>
    <t>342</t>
  </si>
  <si>
    <t>311</t>
  </si>
  <si>
    <t>322</t>
  </si>
  <si>
    <t>12h28</t>
  </si>
  <si>
    <t>256</t>
  </si>
  <si>
    <t>225</t>
  </si>
  <si>
    <t>283</t>
  </si>
  <si>
    <t>273</t>
  </si>
  <si>
    <t>260</t>
  </si>
  <si>
    <t>13h09</t>
  </si>
  <si>
    <t>12h40</t>
  </si>
  <si>
    <t>13h10</t>
  </si>
  <si>
    <t>12h44</t>
  </si>
  <si>
    <t>391</t>
  </si>
  <si>
    <t>469</t>
  </si>
  <si>
    <t>400</t>
  </si>
  <si>
    <t>427</t>
  </si>
  <si>
    <t>415</t>
  </si>
  <si>
    <t>13h15</t>
  </si>
  <si>
    <t>12h47</t>
  </si>
  <si>
    <t>12h54</t>
  </si>
  <si>
    <t>255</t>
  </si>
  <si>
    <t>246</t>
  </si>
  <si>
    <t>13h28</t>
  </si>
  <si>
    <t>13h31</t>
  </si>
  <si>
    <t>13h32</t>
  </si>
  <si>
    <t>425</t>
  </si>
  <si>
    <t>421</t>
  </si>
  <si>
    <t>405</t>
  </si>
  <si>
    <t>14h11</t>
  </si>
  <si>
    <t>14h12</t>
  </si>
  <si>
    <t>264</t>
  </si>
  <si>
    <t>14h22</t>
  </si>
  <si>
    <t>177</t>
  </si>
  <si>
    <t>253</t>
  </si>
  <si>
    <t>226</t>
  </si>
  <si>
    <t>13h55</t>
  </si>
  <si>
    <t>13h59</t>
  </si>
  <si>
    <t>15h04</t>
  </si>
  <si>
    <t>20</t>
  </si>
  <si>
    <t>14h43</t>
  </si>
  <si>
    <t>34</t>
  </si>
  <si>
    <t>15h15</t>
  </si>
  <si>
    <t>288</t>
  </si>
  <si>
    <t>15h21</t>
  </si>
  <si>
    <t>14h52</t>
  </si>
  <si>
    <t>473</t>
  </si>
  <si>
    <t>502</t>
  </si>
  <si>
    <t>413</t>
  </si>
  <si>
    <t>365</t>
  </si>
  <si>
    <t>15h25</t>
  </si>
  <si>
    <t>507</t>
  </si>
  <si>
    <t>523</t>
  </si>
  <si>
    <t>525</t>
  </si>
  <si>
    <t>489</t>
  </si>
  <si>
    <t>357</t>
  </si>
  <si>
    <t>15h34</t>
  </si>
  <si>
    <t>262</t>
  </si>
  <si>
    <t>302</t>
  </si>
  <si>
    <t>16h05</t>
  </si>
  <si>
    <t>241</t>
  </si>
  <si>
    <t>236</t>
  </si>
  <si>
    <t>15h36</t>
  </si>
  <si>
    <t>16h12</t>
  </si>
  <si>
    <t>380</t>
  </si>
  <si>
    <t>381</t>
  </si>
  <si>
    <t>375</t>
  </si>
  <si>
    <t>404</t>
  </si>
  <si>
    <t>398</t>
  </si>
  <si>
    <t>15h43</t>
  </si>
  <si>
    <t>270</t>
  </si>
  <si>
    <t>15h54</t>
  </si>
  <si>
    <t>204</t>
  </si>
  <si>
    <t>05h58</t>
  </si>
  <si>
    <t>08h21</t>
  </si>
  <si>
    <t>08h27</t>
  </si>
  <si>
    <t>222</t>
  </si>
  <si>
    <t>09h01</t>
  </si>
  <si>
    <t>440</t>
  </si>
  <si>
    <t>461</t>
  </si>
  <si>
    <t>453</t>
  </si>
  <si>
    <t>339</t>
  </si>
  <si>
    <t>510</t>
  </si>
  <si>
    <t>437</t>
  </si>
  <si>
    <t>08h49</t>
  </si>
  <si>
    <t>09h29</t>
  </si>
  <si>
    <t>09h31</t>
  </si>
  <si>
    <t>323</t>
  </si>
  <si>
    <t>313</t>
  </si>
  <si>
    <t>321</t>
  </si>
  <si>
    <t>09h38</t>
  </si>
  <si>
    <t>09h48</t>
  </si>
  <si>
    <t>297</t>
  </si>
  <si>
    <t>10h18</t>
  </si>
  <si>
    <t>09h51</t>
  </si>
  <si>
    <t>09h54</t>
  </si>
  <si>
    <t>09h56</t>
  </si>
  <si>
    <t>09h57</t>
  </si>
  <si>
    <t>524</t>
  </si>
  <si>
    <t>541</t>
  </si>
  <si>
    <t>394</t>
  </si>
  <si>
    <t>438</t>
  </si>
  <si>
    <t>10h29</t>
  </si>
  <si>
    <t>10h31</t>
  </si>
  <si>
    <t>11h01</t>
  </si>
  <si>
    <t>581</t>
  </si>
  <si>
    <t>10h51</t>
  </si>
  <si>
    <t>11h24</t>
  </si>
  <si>
    <t>334</t>
  </si>
  <si>
    <t>285</t>
  </si>
  <si>
    <t>252</t>
  </si>
  <si>
    <t>10h56</t>
  </si>
  <si>
    <t>10h59</t>
  </si>
  <si>
    <t>188</t>
  </si>
  <si>
    <t>12h05</t>
  </si>
  <si>
    <t>12h06</t>
  </si>
  <si>
    <t>668</t>
  </si>
  <si>
    <t>354</t>
  </si>
  <si>
    <t>358</t>
  </si>
  <si>
    <t>11h45</t>
  </si>
  <si>
    <t>212</t>
  </si>
  <si>
    <t>11h49</t>
  </si>
  <si>
    <t>12h20</t>
  </si>
  <si>
    <t>11h54</t>
  </si>
  <si>
    <t>318</t>
  </si>
  <si>
    <t>369</t>
  </si>
  <si>
    <t>13h02</t>
  </si>
  <si>
    <t>12h38</t>
  </si>
  <si>
    <t>13h11</t>
  </si>
  <si>
    <t>12h49</t>
  </si>
  <si>
    <t>13h27</t>
  </si>
  <si>
    <t>13h37</t>
  </si>
  <si>
    <t>13h41</t>
  </si>
  <si>
    <t>14h21</t>
  </si>
  <si>
    <t>13h56</t>
  </si>
  <si>
    <t>13h58</t>
  </si>
  <si>
    <t>14h28</t>
  </si>
  <si>
    <t>15h18</t>
  </si>
  <si>
    <t>14h55</t>
  </si>
  <si>
    <t>16h20</t>
  </si>
  <si>
    <t>15h50</t>
  </si>
  <si>
    <t>04h12</t>
  </si>
  <si>
    <t>03h56</t>
  </si>
  <si>
    <t>05h27</t>
  </si>
  <si>
    <t>06h03</t>
  </si>
  <si>
    <t>05h41</t>
  </si>
  <si>
    <t>06h15</t>
  </si>
  <si>
    <t>05h53</t>
  </si>
  <si>
    <t>658</t>
  </si>
  <si>
    <t>570</t>
  </si>
  <si>
    <t>610</t>
  </si>
  <si>
    <t>616</t>
  </si>
  <si>
    <t>513</t>
  </si>
  <si>
    <t>06h23</t>
  </si>
  <si>
    <t>06h26</t>
  </si>
  <si>
    <t>07h08</t>
  </si>
  <si>
    <t>07h09</t>
  </si>
  <si>
    <t>06h42</t>
  </si>
  <si>
    <t>06h48</t>
  </si>
  <si>
    <t>07h20</t>
  </si>
  <si>
    <t>08h02</t>
  </si>
  <si>
    <t>08h09</t>
  </si>
  <si>
    <t>08h12</t>
  </si>
  <si>
    <t>07h45</t>
  </si>
  <si>
    <t>546</t>
  </si>
  <si>
    <t>535</t>
  </si>
  <si>
    <t>656</t>
  </si>
  <si>
    <t>07h46</t>
  </si>
  <si>
    <t>08h17</t>
  </si>
  <si>
    <t>08h18</t>
  </si>
  <si>
    <t>290</t>
  </si>
  <si>
    <t>578</t>
  </si>
  <si>
    <t>259</t>
  </si>
  <si>
    <t>09h02</t>
  </si>
  <si>
    <t>09h04</t>
  </si>
  <si>
    <t>08h34</t>
  </si>
  <si>
    <t>09h06</t>
  </si>
  <si>
    <t>543</t>
  </si>
  <si>
    <t>493</t>
  </si>
  <si>
    <t>349</t>
  </si>
  <si>
    <t>459</t>
  </si>
  <si>
    <t>296</t>
  </si>
  <si>
    <t>09h13</t>
  </si>
  <si>
    <t>09h14</t>
  </si>
  <si>
    <t>335</t>
  </si>
  <si>
    <t>333</t>
  </si>
  <si>
    <t>368</t>
  </si>
  <si>
    <t>08h45</t>
  </si>
  <si>
    <t>09h16</t>
  </si>
  <si>
    <t>278</t>
  </si>
  <si>
    <t>303</t>
  </si>
  <si>
    <t>09h17</t>
  </si>
  <si>
    <t>08h55</t>
  </si>
  <si>
    <t>496</t>
  </si>
  <si>
    <t>500</t>
  </si>
  <si>
    <t>341</t>
  </si>
  <si>
    <t>09h27</t>
  </si>
  <si>
    <t>09h30</t>
  </si>
  <si>
    <t>382</t>
  </si>
  <si>
    <t>331</t>
  </si>
  <si>
    <t>09h32</t>
  </si>
  <si>
    <t>09h34</t>
  </si>
  <si>
    <t>09h35</t>
  </si>
  <si>
    <t>09h41</t>
  </si>
  <si>
    <t>10h15</t>
  </si>
  <si>
    <t>379</t>
  </si>
  <si>
    <t>353</t>
  </si>
  <si>
    <t>10h17</t>
  </si>
  <si>
    <t>10h20</t>
  </si>
  <si>
    <t>09h52</t>
  </si>
  <si>
    <t>10h24</t>
  </si>
  <si>
    <t>10h28</t>
  </si>
  <si>
    <t>402</t>
  </si>
  <si>
    <t>582</t>
  </si>
  <si>
    <t>11h10</t>
  </si>
  <si>
    <t>10h49</t>
  </si>
  <si>
    <t>10h55</t>
  </si>
  <si>
    <t>11h25</t>
  </si>
  <si>
    <t>11h27</t>
  </si>
  <si>
    <t>430</t>
  </si>
  <si>
    <t>433</t>
  </si>
  <si>
    <t>678</t>
  </si>
  <si>
    <t>591</t>
  </si>
  <si>
    <t>631</t>
  </si>
  <si>
    <t>625</t>
  </si>
  <si>
    <t>605</t>
  </si>
  <si>
    <t>584</t>
  </si>
  <si>
    <t>11h33</t>
  </si>
  <si>
    <t>11h35</t>
  </si>
  <si>
    <t>940</t>
  </si>
  <si>
    <t>813</t>
  </si>
  <si>
    <t>889</t>
  </si>
  <si>
    <t>871</t>
  </si>
  <si>
    <t>830</t>
  </si>
  <si>
    <t>355</t>
  </si>
  <si>
    <t>11h46</t>
  </si>
  <si>
    <t>498</t>
  </si>
  <si>
    <t>359</t>
  </si>
  <si>
    <t>1.032</t>
  </si>
  <si>
    <t>1.116</t>
  </si>
  <si>
    <t>1.075</t>
  </si>
  <si>
    <t>896</t>
  </si>
  <si>
    <t>991</t>
  </si>
  <si>
    <t>965</t>
  </si>
  <si>
    <t>13h07</t>
  </si>
  <si>
    <t>12h39</t>
  </si>
  <si>
    <t>12h46</t>
  </si>
  <si>
    <t>13h18</t>
  </si>
  <si>
    <t>13h26</t>
  </si>
  <si>
    <t>615</t>
  </si>
  <si>
    <t>661</t>
  </si>
  <si>
    <t>614</t>
  </si>
  <si>
    <t>648</t>
  </si>
  <si>
    <t>721</t>
  </si>
  <si>
    <t>14h31</t>
  </si>
  <si>
    <t>14h47</t>
  </si>
  <si>
    <t>16h00</t>
  </si>
  <si>
    <t>274</t>
  </si>
  <si>
    <t>16h11</t>
  </si>
  <si>
    <t>03h42</t>
  </si>
  <si>
    <t>04h45</t>
  </si>
  <si>
    <t>06h02</t>
  </si>
  <si>
    <t>06h31</t>
  </si>
  <si>
    <t>06h32</t>
  </si>
  <si>
    <t>06h34</t>
  </si>
  <si>
    <t>06h44</t>
  </si>
  <si>
    <t>06h45</t>
  </si>
  <si>
    <t>07h18</t>
  </si>
  <si>
    <t>392</t>
  </si>
  <si>
    <t>401</t>
  </si>
  <si>
    <t>06h54</t>
  </si>
  <si>
    <t>06h59</t>
  </si>
  <si>
    <t>08h07</t>
  </si>
  <si>
    <t>669</t>
  </si>
  <si>
    <t>628</t>
  </si>
  <si>
    <t>657</t>
  </si>
  <si>
    <t>560</t>
  </si>
  <si>
    <t>508</t>
  </si>
  <si>
    <t>08h14</t>
  </si>
  <si>
    <t>356</t>
  </si>
  <si>
    <t>08h19</t>
  </si>
  <si>
    <t>435</t>
  </si>
  <si>
    <t>462</t>
  </si>
  <si>
    <t>08h22</t>
  </si>
  <si>
    <t>08h23</t>
  </si>
  <si>
    <t>07h54</t>
  </si>
  <si>
    <t>640</t>
  </si>
  <si>
    <t>344</t>
  </si>
  <si>
    <t>511</t>
  </si>
  <si>
    <t>530</t>
  </si>
  <si>
    <t>07h57</t>
  </si>
  <si>
    <t>452</t>
  </si>
  <si>
    <t>403</t>
  </si>
  <si>
    <t>251</t>
  </si>
  <si>
    <t>09h05</t>
  </si>
  <si>
    <t>410</t>
  </si>
  <si>
    <t>450</t>
  </si>
  <si>
    <t>08h37</t>
  </si>
  <si>
    <t>692</t>
  </si>
  <si>
    <t>693</t>
  </si>
  <si>
    <t>781</t>
  </si>
  <si>
    <t>575</t>
  </si>
  <si>
    <t>672</t>
  </si>
  <si>
    <t>09h07</t>
  </si>
  <si>
    <t>09h12</t>
  </si>
  <si>
    <t>09h15</t>
  </si>
  <si>
    <t>202</t>
  </si>
  <si>
    <t>09h24</t>
  </si>
  <si>
    <t>08h56</t>
  </si>
  <si>
    <t>470</t>
  </si>
  <si>
    <t>310</t>
  </si>
  <si>
    <t>477</t>
  </si>
  <si>
    <t>299</t>
  </si>
  <si>
    <t>534</t>
  </si>
  <si>
    <t>384</t>
  </si>
  <si>
    <t>618</t>
  </si>
  <si>
    <t>566</t>
  </si>
  <si>
    <t>568</t>
  </si>
  <si>
    <t>499</t>
  </si>
  <si>
    <t>559</t>
  </si>
  <si>
    <t>10h10</t>
  </si>
  <si>
    <t>376</t>
  </si>
  <si>
    <t>385</t>
  </si>
  <si>
    <t>350</t>
  </si>
  <si>
    <t>09h43</t>
  </si>
  <si>
    <t>10h22</t>
  </si>
  <si>
    <t>248</t>
  </si>
  <si>
    <t>319</t>
  </si>
  <si>
    <t>10h30</t>
  </si>
  <si>
    <t>1.248</t>
  </si>
  <si>
    <t>1.274</t>
  </si>
  <si>
    <t>979</t>
  </si>
  <si>
    <t>1.094</t>
  </si>
  <si>
    <t>1.236</t>
  </si>
  <si>
    <t>487</t>
  </si>
  <si>
    <t>423</t>
  </si>
  <si>
    <t>10h40</t>
  </si>
  <si>
    <t>418</t>
  </si>
  <si>
    <t>412</t>
  </si>
  <si>
    <t>411</t>
  </si>
  <si>
    <t>10h48</t>
  </si>
  <si>
    <t>397</t>
  </si>
  <si>
    <t>390</t>
  </si>
  <si>
    <t>343</t>
  </si>
  <si>
    <t>399</t>
  </si>
  <si>
    <t>711</t>
  </si>
  <si>
    <t>694</t>
  </si>
  <si>
    <t>875</t>
  </si>
  <si>
    <t>679</t>
  </si>
  <si>
    <t>634</t>
  </si>
  <si>
    <t>11h48</t>
  </si>
  <si>
    <t>564</t>
  </si>
  <si>
    <t>922</t>
  </si>
  <si>
    <t>964</t>
  </si>
  <si>
    <t>710</t>
  </si>
  <si>
    <t>557</t>
  </si>
  <si>
    <t>514</t>
  </si>
  <si>
    <t>326</t>
  </si>
  <si>
    <t>11h52</t>
  </si>
  <si>
    <t>713</t>
  </si>
  <si>
    <t>526</t>
  </si>
  <si>
    <t>503</t>
  </si>
  <si>
    <t>479</t>
  </si>
  <si>
    <t>12h34</t>
  </si>
  <si>
    <t>408</t>
  </si>
  <si>
    <t>1.037</t>
  </si>
  <si>
    <t>1.084</t>
  </si>
  <si>
    <t>801</t>
  </si>
  <si>
    <t>760</t>
  </si>
  <si>
    <t>709</t>
  </si>
  <si>
    <t>759</t>
  </si>
  <si>
    <t>417</t>
  </si>
  <si>
    <t>393</t>
  </si>
  <si>
    <t>345</t>
  </si>
  <si>
    <t>12h42</t>
  </si>
  <si>
    <t>13h20</t>
  </si>
  <si>
    <t>1.334</t>
  </si>
  <si>
    <t>1.159</t>
  </si>
  <si>
    <t>1.097</t>
  </si>
  <si>
    <t>1.117</t>
  </si>
  <si>
    <t>980</t>
  </si>
  <si>
    <t>1.059</t>
  </si>
  <si>
    <t>13h25</t>
  </si>
  <si>
    <t>674</t>
  </si>
  <si>
    <t>684</t>
  </si>
  <si>
    <t>472</t>
  </si>
  <si>
    <t>471</t>
  </si>
  <si>
    <t>464</t>
  </si>
  <si>
    <t>12h55</t>
  </si>
  <si>
    <t>12h56</t>
  </si>
  <si>
    <t>12h57</t>
  </si>
  <si>
    <t>12h59</t>
  </si>
  <si>
    <t>13h54</t>
  </si>
  <si>
    <t>419</t>
  </si>
  <si>
    <t>15h12</t>
  </si>
  <si>
    <t>969</t>
  </si>
  <si>
    <t>1.014</t>
  </si>
  <si>
    <t>671</t>
  </si>
  <si>
    <t>981</t>
  </si>
  <si>
    <t>590</t>
  </si>
  <si>
    <t>15h26</t>
  </si>
  <si>
    <t>07h02</t>
  </si>
  <si>
    <t>426</t>
  </si>
  <si>
    <t>07h15</t>
  </si>
  <si>
    <t>09h10</t>
  </si>
  <si>
    <t>08h40</t>
  </si>
  <si>
    <t>09h26</t>
  </si>
  <si>
    <t>10h03</t>
  </si>
  <si>
    <t>10h12</t>
  </si>
  <si>
    <t>336</t>
  </si>
  <si>
    <t>276</t>
  </si>
  <si>
    <t>10h39</t>
  </si>
  <si>
    <t>10h46</t>
  </si>
  <si>
    <t>10h54</t>
  </si>
  <si>
    <t>11h29</t>
  </si>
  <si>
    <t>11h30</t>
  </si>
  <si>
    <t>12h02</t>
  </si>
  <si>
    <t>11h32</t>
  </si>
  <si>
    <t>12h07</t>
  </si>
  <si>
    <t>383</t>
  </si>
  <si>
    <t>12h18</t>
  </si>
  <si>
    <t>12h22</t>
  </si>
  <si>
    <t>13h05</t>
  </si>
  <si>
    <t>315</t>
  </si>
  <si>
    <t>624</t>
  </si>
  <si>
    <t>504</t>
  </si>
  <si>
    <t>532</t>
  </si>
  <si>
    <t>12h50</t>
  </si>
  <si>
    <t>13h21</t>
  </si>
  <si>
    <t>13h24</t>
  </si>
  <si>
    <t>14h10</t>
  </si>
  <si>
    <t>13h49</t>
  </si>
  <si>
    <t>14h32</t>
  </si>
  <si>
    <t>16h04</t>
  </si>
  <si>
    <t>16h07</t>
  </si>
  <si>
    <t>16h08</t>
  </si>
  <si>
    <t>03h14</t>
  </si>
  <si>
    <t>02h54</t>
  </si>
  <si>
    <t>03h37</t>
  </si>
  <si>
    <t>04h15</t>
  </si>
  <si>
    <t>04h20</t>
  </si>
  <si>
    <t>04h35</t>
  </si>
  <si>
    <t>04h56</t>
  </si>
  <si>
    <t>317</t>
  </si>
  <si>
    <t>05h38</t>
  </si>
  <si>
    <t>05h40</t>
  </si>
  <si>
    <t>06h16</t>
  </si>
  <si>
    <t>05h56</t>
  </si>
  <si>
    <t>07h26</t>
  </si>
  <si>
    <t>641</t>
  </si>
  <si>
    <t>482</t>
  </si>
  <si>
    <t>07h35</t>
  </si>
  <si>
    <t>07h44</t>
  </si>
  <si>
    <t>07h51</t>
  </si>
  <si>
    <t>367</t>
  </si>
  <si>
    <t>08h39</t>
  </si>
  <si>
    <t>08h42</t>
  </si>
  <si>
    <t>485</t>
  </si>
  <si>
    <t>665</t>
  </si>
  <si>
    <t>588</t>
  </si>
  <si>
    <t>5</t>
  </si>
  <si>
    <t>994</t>
  </si>
  <si>
    <t>828</t>
  </si>
  <si>
    <t>587</t>
  </si>
  <si>
    <t>791</t>
  </si>
  <si>
    <t>10h06</t>
  </si>
  <si>
    <t>09h37</t>
  </si>
  <si>
    <t>316</t>
  </si>
  <si>
    <t>09h46</t>
  </si>
  <si>
    <t>09h47</t>
  </si>
  <si>
    <t>10h25</t>
  </si>
  <si>
    <t>1.008</t>
  </si>
  <si>
    <t>815</t>
  </si>
  <si>
    <t>803</t>
  </si>
  <si>
    <t>739</t>
  </si>
  <si>
    <t>606</t>
  </si>
  <si>
    <t>10h27</t>
  </si>
  <si>
    <t>362</t>
  </si>
  <si>
    <t>1.474</t>
  </si>
  <si>
    <t>1.510</t>
  </si>
  <si>
    <t>579</t>
  </si>
  <si>
    <t>10h34</t>
  </si>
  <si>
    <t>10h50</t>
  </si>
  <si>
    <t>289</t>
  </si>
  <si>
    <t>15h01</t>
  </si>
  <si>
    <t>15h11</t>
  </si>
  <si>
    <t>475</t>
  </si>
  <si>
    <t>15h39</t>
  </si>
  <si>
    <t>07h27</t>
  </si>
  <si>
    <t>07h30</t>
  </si>
  <si>
    <t>08h25</t>
  </si>
  <si>
    <t>08h33</t>
  </si>
  <si>
    <t>09h03</t>
  </si>
  <si>
    <t>627</t>
  </si>
  <si>
    <t>621</t>
  </si>
  <si>
    <t>449</t>
  </si>
  <si>
    <t>542</t>
  </si>
  <si>
    <t>09h09</t>
  </si>
  <si>
    <t>549</t>
  </si>
  <si>
    <t>655</t>
  </si>
  <si>
    <t>630</t>
  </si>
  <si>
    <t>10h04</t>
  </si>
  <si>
    <t>09h44</t>
  </si>
  <si>
    <t>10h16</t>
  </si>
  <si>
    <t>10h19</t>
  </si>
  <si>
    <t>663</t>
  </si>
  <si>
    <t>569</t>
  </si>
  <si>
    <t>561</t>
  </si>
  <si>
    <t>540</t>
  </si>
  <si>
    <t>556</t>
  </si>
  <si>
    <t>619</t>
  </si>
  <si>
    <t>592</t>
  </si>
  <si>
    <t>245</t>
  </si>
  <si>
    <t>11h17</t>
  </si>
  <si>
    <t>11h20</t>
  </si>
  <si>
    <t>378</t>
  </si>
  <si>
    <t>10h57</t>
  </si>
  <si>
    <t>12h01</t>
  </si>
  <si>
    <t>295</t>
  </si>
  <si>
    <t>12h14</t>
  </si>
  <si>
    <t>309</t>
  </si>
  <si>
    <t>11h44</t>
  </si>
  <si>
    <t>294</t>
  </si>
  <si>
    <t>387</t>
  </si>
  <si>
    <t>11h53</t>
  </si>
  <si>
    <t>13h29</t>
  </si>
  <si>
    <t>12h32</t>
  </si>
  <si>
    <t>12h41</t>
  </si>
  <si>
    <t>14h00</t>
  </si>
  <si>
    <t>14h05</t>
  </si>
  <si>
    <t>13h36</t>
  </si>
  <si>
    <t>14h08</t>
  </si>
  <si>
    <t>14h16</t>
  </si>
  <si>
    <t>366</t>
  </si>
  <si>
    <t>13h53</t>
  </si>
  <si>
    <t>15h02</t>
  </si>
  <si>
    <t>14h34</t>
  </si>
  <si>
    <t>15h06</t>
  </si>
  <si>
    <t>14h36</t>
  </si>
  <si>
    <t>15h08</t>
  </si>
  <si>
    <t>15h13</t>
  </si>
  <si>
    <t>15h19</t>
  </si>
  <si>
    <t>14h51</t>
  </si>
  <si>
    <t>14h53</t>
  </si>
  <si>
    <t>15h23</t>
  </si>
  <si>
    <t>15h28</t>
  </si>
  <si>
    <t>15h31</t>
  </si>
  <si>
    <t>16h02</t>
  </si>
  <si>
    <t>15h33</t>
  </si>
  <si>
    <t>15h35</t>
  </si>
  <si>
    <t>16h15</t>
  </si>
  <si>
    <t>16h19</t>
  </si>
  <si>
    <t>15h58</t>
  </si>
  <si>
    <t>16h28</t>
  </si>
  <si>
    <t>00h14</t>
  </si>
  <si>
    <t>03h22</t>
  </si>
  <si>
    <t>07h38</t>
  </si>
  <si>
    <t>509</t>
  </si>
  <si>
    <t>528</t>
  </si>
  <si>
    <t>506</t>
  </si>
  <si>
    <t>09h00</t>
  </si>
  <si>
    <t>422</t>
  </si>
  <si>
    <t>329</t>
  </si>
  <si>
    <t>09h36</t>
  </si>
  <si>
    <t>11h00</t>
  </si>
  <si>
    <t>10h38</t>
  </si>
  <si>
    <t>12h09</t>
  </si>
  <si>
    <t>441</t>
  </si>
  <si>
    <t>12h19</t>
  </si>
  <si>
    <t>443</t>
  </si>
  <si>
    <t>286</t>
  </si>
  <si>
    <t>12h45</t>
  </si>
  <si>
    <t>13h16</t>
  </si>
  <si>
    <t>13h22</t>
  </si>
  <si>
    <t>13h30</t>
  </si>
  <si>
    <t>14h07</t>
  </si>
  <si>
    <t>414</t>
  </si>
  <si>
    <t>14h49</t>
  </si>
  <si>
    <t>15h38</t>
  </si>
  <si>
    <t>597</t>
  </si>
  <si>
    <t>599</t>
  </si>
  <si>
    <t>601</t>
  </si>
  <si>
    <t>598</t>
  </si>
  <si>
    <t>16h23</t>
  </si>
  <si>
    <t>16h24</t>
  </si>
  <si>
    <t>16h25</t>
  </si>
  <si>
    <t>544</t>
  </si>
  <si>
    <t>11h37</t>
  </si>
  <si>
    <t>752</t>
  </si>
  <si>
    <t>847</t>
  </si>
  <si>
    <t>538</t>
  </si>
  <si>
    <t>527</t>
  </si>
  <si>
    <t>585</t>
  </si>
  <si>
    <t>745</t>
  </si>
  <si>
    <t>448</t>
  </si>
  <si>
    <t>505</t>
  </si>
  <si>
    <t>360</t>
  </si>
  <si>
    <t>389</t>
  </si>
  <si>
    <t>635</t>
  </si>
  <si>
    <t>497</t>
  </si>
  <si>
    <t>287</t>
  </si>
  <si>
    <t>14h13</t>
  </si>
  <si>
    <t>14h15</t>
  </si>
  <si>
    <t>14h18</t>
  </si>
  <si>
    <t>14h27</t>
  </si>
  <si>
    <t>14h30</t>
  </si>
  <si>
    <t>15h00</t>
  </si>
  <si>
    <t>15h05</t>
  </si>
  <si>
    <t>14h37</t>
  </si>
  <si>
    <t>15h07</t>
  </si>
  <si>
    <t>576</t>
  </si>
  <si>
    <t>16h06</t>
  </si>
  <si>
    <t>16h09</t>
  </si>
  <si>
    <t>15h40</t>
  </si>
  <si>
    <t>16h26</t>
  </si>
  <si>
    <t>08h28</t>
  </si>
  <si>
    <t>11h18</t>
  </si>
  <si>
    <t>11h47</t>
  </si>
  <si>
    <t>12h36</t>
  </si>
  <si>
    <t>14h04</t>
  </si>
  <si>
    <t>13h34</t>
  </si>
  <si>
    <t>13h39</t>
  </si>
  <si>
    <t>14h09</t>
  </si>
  <si>
    <t>14h24</t>
  </si>
  <si>
    <t>14h25</t>
  </si>
  <si>
    <t>15h22</t>
  </si>
  <si>
    <t>15h29</t>
  </si>
  <si>
    <t>15h45</t>
  </si>
  <si>
    <t>16h18</t>
  </si>
  <si>
    <t>15h52</t>
  </si>
  <si>
    <t>15h57</t>
  </si>
  <si>
    <t>04h22</t>
  </si>
  <si>
    <t>337</t>
  </si>
  <si>
    <t>CIE GUARANI KARAI KUERY RENDA - 26158</t>
  </si>
  <si>
    <t>05h35</t>
  </si>
  <si>
    <t>06h22</t>
  </si>
  <si>
    <t>08h38</t>
  </si>
  <si>
    <t>08h41</t>
  </si>
  <si>
    <t>09h28</t>
  </si>
  <si>
    <t>10h09</t>
  </si>
  <si>
    <t>10h36</t>
  </si>
  <si>
    <t>467</t>
  </si>
  <si>
    <t>13h06</t>
  </si>
  <si>
    <t>14h19</t>
  </si>
  <si>
    <t>14h20</t>
  </si>
  <si>
    <t>779</t>
  </si>
  <si>
    <t>574</t>
  </si>
  <si>
    <t>812</t>
  </si>
  <si>
    <t>836</t>
  </si>
  <si>
    <t>833</t>
  </si>
  <si>
    <t>15h42</t>
  </si>
  <si>
    <t>16.248</t>
  </si>
  <si>
    <t>13.971</t>
  </si>
  <si>
    <t>13.425</t>
  </si>
  <si>
    <t>11.678</t>
  </si>
  <si>
    <t>10.945</t>
  </si>
  <si>
    <t>7.996</t>
  </si>
  <si>
    <t>06h40</t>
  </si>
  <si>
    <t>4.806</t>
  </si>
  <si>
    <t>4.314</t>
  </si>
  <si>
    <t>4.388</t>
  </si>
  <si>
    <t>4.160</t>
  </si>
  <si>
    <t>4.192</t>
  </si>
  <si>
    <t>4.189</t>
  </si>
  <si>
    <t>06h21</t>
  </si>
  <si>
    <t>16.933</t>
  </si>
  <si>
    <t>14.543</t>
  </si>
  <si>
    <t>15.591</t>
  </si>
  <si>
    <t>14.742</t>
  </si>
  <si>
    <t>14.971</t>
  </si>
  <si>
    <t>14.347</t>
  </si>
  <si>
    <t>06h10</t>
  </si>
  <si>
    <t>11.775</t>
  </si>
  <si>
    <t>9.694</t>
  </si>
  <si>
    <t>9.994</t>
  </si>
  <si>
    <t>9.372</t>
  </si>
  <si>
    <t>9.772</t>
  </si>
  <si>
    <t>9.102</t>
  </si>
  <si>
    <t>05h14</t>
  </si>
  <si>
    <t>17.085</t>
  </si>
  <si>
    <t>16.571</t>
  </si>
  <si>
    <t>15.990</t>
  </si>
  <si>
    <t>14.932</t>
  </si>
  <si>
    <t>15.238</t>
  </si>
  <si>
    <t>14.650</t>
  </si>
  <si>
    <t>05h24</t>
  </si>
  <si>
    <t>28.110</t>
  </si>
  <si>
    <t>25.187</t>
  </si>
  <si>
    <t>23.668</t>
  </si>
  <si>
    <t>21.427</t>
  </si>
  <si>
    <t>21.302</t>
  </si>
  <si>
    <t>18.850</t>
  </si>
  <si>
    <t>06h01</t>
  </si>
  <si>
    <t>12.862</t>
  </si>
  <si>
    <t>10.799</t>
  </si>
  <si>
    <t>10.939</t>
  </si>
  <si>
    <t>10.027</t>
  </si>
  <si>
    <t>9.949</t>
  </si>
  <si>
    <t>9.146</t>
  </si>
  <si>
    <t>04h52</t>
  </si>
  <si>
    <t>13.944</t>
  </si>
  <si>
    <t>11.798</t>
  </si>
  <si>
    <t>12.407</t>
  </si>
  <si>
    <t>10.546</t>
  </si>
  <si>
    <t>11.191</t>
  </si>
  <si>
    <t>1.711</t>
  </si>
  <si>
    <t>15.378</t>
  </si>
  <si>
    <t>13.705</t>
  </si>
  <si>
    <t>14.594</t>
  </si>
  <si>
    <t>12.863</t>
  </si>
  <si>
    <t>14.645</t>
  </si>
  <si>
    <t>13.809</t>
  </si>
  <si>
    <t>07h10</t>
  </si>
  <si>
    <t>4.740</t>
  </si>
  <si>
    <t>4.090</t>
  </si>
  <si>
    <t>4.240</t>
  </si>
  <si>
    <t>4.191</t>
  </si>
  <si>
    <t>4.099</t>
  </si>
  <si>
    <t>3.810</t>
  </si>
  <si>
    <t>06h25</t>
  </si>
  <si>
    <t>13.437</t>
  </si>
  <si>
    <t>11.468</t>
  </si>
  <si>
    <t>11.685</t>
  </si>
  <si>
    <t>10.537</t>
  </si>
  <si>
    <t>10.604</t>
  </si>
  <si>
    <t>9.650</t>
  </si>
  <si>
    <t>07h04</t>
  </si>
  <si>
    <t>14.799</t>
  </si>
  <si>
    <t>11.012</t>
  </si>
  <si>
    <t>11.437</t>
  </si>
  <si>
    <t>11.043</t>
  </si>
  <si>
    <t>11.061</t>
  </si>
  <si>
    <t>9.791</t>
  </si>
  <si>
    <t>06h51</t>
  </si>
  <si>
    <t>6.375</t>
  </si>
  <si>
    <t>5.553</t>
  </si>
  <si>
    <t>5.676</t>
  </si>
  <si>
    <t>5.514</t>
  </si>
  <si>
    <t>5.436</t>
  </si>
  <si>
    <t>5.176</t>
  </si>
  <si>
    <t>05h54</t>
  </si>
  <si>
    <t>12.458</t>
  </si>
  <si>
    <t>11.293</t>
  </si>
  <si>
    <t>10.947</t>
  </si>
  <si>
    <t>9.963</t>
  </si>
  <si>
    <t>11.366</t>
  </si>
  <si>
    <t>10.624</t>
  </si>
  <si>
    <t>CE ALMIRANTE FREDERICO VILLAR</t>
  </si>
  <si>
    <t>85,12%</t>
  </si>
  <si>
    <t>72,02%</t>
  </si>
  <si>
    <t>CE ANTONIO LOPES DE CAMPOS FILHO</t>
  </si>
  <si>
    <t>96,55%</t>
  </si>
  <si>
    <t>24,54%</t>
  </si>
  <si>
    <t>82,76%</t>
  </si>
  <si>
    <t>CE ANTONIO PINTO DE MORAES</t>
  </si>
  <si>
    <t>89,86%</t>
  </si>
  <si>
    <t>24,48%</t>
  </si>
  <si>
    <t>82,61%</t>
  </si>
  <si>
    <t>CE AURELINO LEAL</t>
  </si>
  <si>
    <t>94,40%</t>
  </si>
  <si>
    <t>14,99%</t>
  </si>
  <si>
    <t>69,05%</t>
  </si>
  <si>
    <t>32,51%</t>
  </si>
  <si>
    <t>CE BALTAZAR BERNARDINO</t>
  </si>
  <si>
    <t>74,05%</t>
  </si>
  <si>
    <t>15,34%</t>
  </si>
  <si>
    <t>CE BARAO DO RIO BRANCO</t>
  </si>
  <si>
    <t>95,12%</t>
  </si>
  <si>
    <t>22,35%</t>
  </si>
  <si>
    <t>86,59%</t>
  </si>
  <si>
    <t>15,92%</t>
  </si>
  <si>
    <t>CE BERNARDINO DA COSTA LOPES</t>
  </si>
  <si>
    <t>56,79%</t>
  </si>
  <si>
    <t>19,28%</t>
  </si>
  <si>
    <t>70,37%</t>
  </si>
  <si>
    <t>CE BRIGADEIRO CASTRIOTO - BRASIL-ESPANHA</t>
  </si>
  <si>
    <t>96,95%</t>
  </si>
  <si>
    <t>20,04%</t>
  </si>
  <si>
    <t>77,10%</t>
  </si>
  <si>
    <t>24,42%</t>
  </si>
  <si>
    <t>CE CABO PM RAPHAEL DE OLIVEIRA MONTEIRO</t>
  </si>
  <si>
    <t>97,22%</t>
  </si>
  <si>
    <t>94,44%</t>
  </si>
  <si>
    <t>27,88%</t>
  </si>
  <si>
    <t>CE CAIO FRANCISCO DE FIGUEIREDO</t>
  </si>
  <si>
    <t>72,99%</t>
  </si>
  <si>
    <t>22,79%</t>
  </si>
  <si>
    <t>67,52%</t>
  </si>
  <si>
    <t>CE CIZINIO SOARES PINTO</t>
  </si>
  <si>
    <t>65,43%</t>
  </si>
  <si>
    <t>23,24%</t>
  </si>
  <si>
    <t>50,35%</t>
  </si>
  <si>
    <t>18,95%</t>
  </si>
  <si>
    <t>CE CONSELHEIRO JOSINO</t>
  </si>
  <si>
    <t>52,08%</t>
  </si>
  <si>
    <t>20,61%</t>
  </si>
  <si>
    <t>20,06%</t>
  </si>
  <si>
    <t>CE CONSELHEIRO MACEDO SOARES</t>
  </si>
  <si>
    <t>96,17%</t>
  </si>
  <si>
    <t>58,70%</t>
  </si>
  <si>
    <t>21,73%</t>
  </si>
  <si>
    <t>CE DAVID CAPISTRANO</t>
  </si>
  <si>
    <t>98,39%</t>
  </si>
  <si>
    <t>18,87%</t>
  </si>
  <si>
    <t>75,16%</t>
  </si>
  <si>
    <t>19,80%</t>
  </si>
  <si>
    <t>CE DESEMBARGADOR JOSE AUGUSTO COELHO ROCHA JUNIOR</t>
  </si>
  <si>
    <t>96,02%</t>
  </si>
  <si>
    <t>19,04%</t>
  </si>
  <si>
    <t>59,62%</t>
  </si>
  <si>
    <t>CE DOMICIO DA GAMA</t>
  </si>
  <si>
    <t>94,67%</t>
  </si>
  <si>
    <t>21,29%</t>
  </si>
  <si>
    <t>99,18%</t>
  </si>
  <si>
    <t>12,51%</t>
  </si>
  <si>
    <t>CE DOUTOR FELICIANO SODRE</t>
  </si>
  <si>
    <t>67,49%</t>
  </si>
  <si>
    <t>23,41%</t>
  </si>
  <si>
    <t>45,77%</t>
  </si>
  <si>
    <t>CE DOUTOR FRANCISCO DE PAULA PARANHOS</t>
  </si>
  <si>
    <t>54,58%</t>
  </si>
  <si>
    <t>55,48%</t>
  </si>
  <si>
    <t>CE DOUTOR JOAO GOMES DE MATTOS SOBRINHO</t>
  </si>
  <si>
    <t>81,00%</t>
  </si>
  <si>
    <t>17,91%</t>
  </si>
  <si>
    <t>71,25%</t>
  </si>
  <si>
    <t>19,72%</t>
  </si>
  <si>
    <t>CE DOUTOR LUCIANO PESTRE</t>
  </si>
  <si>
    <t>72,46%</t>
  </si>
  <si>
    <t>22,45%</t>
  </si>
  <si>
    <t>56,10%</t>
  </si>
  <si>
    <t>19,78%</t>
  </si>
  <si>
    <t>CE DOUTOR SOUZA SOARES</t>
  </si>
  <si>
    <t>24,45%</t>
  </si>
  <si>
    <t>18,07%</t>
  </si>
  <si>
    <t>CE DUCLER LAUREANO MATOS</t>
  </si>
  <si>
    <t>97,08%</t>
  </si>
  <si>
    <t>19,73%</t>
  </si>
  <si>
    <t>60,58%</t>
  </si>
  <si>
    <t>20,58%</t>
  </si>
  <si>
    <t>CE EDMUNDO SILVA</t>
  </si>
  <si>
    <t>67,43%</t>
  </si>
  <si>
    <t>24,98%</t>
  </si>
  <si>
    <t>37,54%</t>
  </si>
  <si>
    <t>19,98%</t>
  </si>
  <si>
    <t>CE ELISIARIO MATTA</t>
  </si>
  <si>
    <t>28,47%</t>
  </si>
  <si>
    <t>22,62%</t>
  </si>
  <si>
    <t>28,32%</t>
  </si>
  <si>
    <t>CE EMBAIXADOR RAUL FERNANDES</t>
  </si>
  <si>
    <t>29,07%</t>
  </si>
  <si>
    <t>21,71%</t>
  </si>
  <si>
    <t>CE EUCLYDES PAULO DA SILVA</t>
  </si>
  <si>
    <t>78,25%</t>
  </si>
  <si>
    <t>11,08%</t>
  </si>
  <si>
    <t>CE FERNANDO MAGALHAES</t>
  </si>
  <si>
    <t>77,67%</t>
  </si>
  <si>
    <t>78,64%</t>
  </si>
  <si>
    <t>19,14%</t>
  </si>
  <si>
    <t>CE FRANCISCO JOSE DO NASCIMENTO</t>
  </si>
  <si>
    <t>84,81%</t>
  </si>
  <si>
    <t>17,83%</t>
  </si>
  <si>
    <t>21,03%</t>
  </si>
  <si>
    <t>CE GUILHERME BRIGGS - BRASIL-ESPANHA</t>
  </si>
  <si>
    <t>98,44%</t>
  </si>
  <si>
    <t>20,81%</t>
  </si>
  <si>
    <t>67,48%</t>
  </si>
  <si>
    <t>CE HILARIO RIBEIRO</t>
  </si>
  <si>
    <t>73,08%</t>
  </si>
  <si>
    <t>21,54%</t>
  </si>
  <si>
    <t>59,23%</t>
  </si>
  <si>
    <t>18,68%</t>
  </si>
  <si>
    <t>CE ISMENIA DE BARROS BARROSO</t>
  </si>
  <si>
    <t>94,92%</t>
  </si>
  <si>
    <t>16,86%</t>
  </si>
  <si>
    <t>64,47%</t>
  </si>
  <si>
    <t>20,12%</t>
  </si>
  <si>
    <t>CE JOAO DE OLIVEIRA BOTAS</t>
  </si>
  <si>
    <t>89,07%</t>
  </si>
  <si>
    <t>18,90%</t>
  </si>
  <si>
    <t>CE JOAQUIM TAVORA</t>
  </si>
  <si>
    <t>95,10%</t>
  </si>
  <si>
    <t>16,16%</t>
  </si>
  <si>
    <t>47,60%</t>
  </si>
  <si>
    <t>17,25%</t>
  </si>
  <si>
    <t>CE JOSE BONIFACIO</t>
  </si>
  <si>
    <t>86,00%</t>
  </si>
  <si>
    <t>82,00%</t>
  </si>
  <si>
    <t>20,14%</t>
  </si>
  <si>
    <t>CE JOSE MATOSO MAIA FORTE</t>
  </si>
  <si>
    <t>96,10%</t>
  </si>
  <si>
    <t>22,52%</t>
  </si>
  <si>
    <t>CE JOSE RASCAO</t>
  </si>
  <si>
    <t>94,59%</t>
  </si>
  <si>
    <t>87,58%</t>
  </si>
  <si>
    <t>CE LEOPOLDO FROES</t>
  </si>
  <si>
    <t>61,98%</t>
  </si>
  <si>
    <t>22,81%</t>
  </si>
  <si>
    <t>16,81%</t>
  </si>
  <si>
    <t>CE MACHADO DE ASSIS</t>
  </si>
  <si>
    <t>59,73%</t>
  </si>
  <si>
    <t>22,89%</t>
  </si>
  <si>
    <t>48,07%</t>
  </si>
  <si>
    <t>19,71%</t>
  </si>
  <si>
    <t>CE MANUEL DE ABREU</t>
  </si>
  <si>
    <t>78,53%</t>
  </si>
  <si>
    <t>27,07%</t>
  </si>
  <si>
    <t>20,10%</t>
  </si>
  <si>
    <t>CE MARIA PEREIRA DAS NEVES</t>
  </si>
  <si>
    <t>63,33%</t>
  </si>
  <si>
    <t>31,34%</t>
  </si>
  <si>
    <t>18,61%</t>
  </si>
  <si>
    <t>CE MATEMATICO JOAQUIM GOMES DE SOUSA - INTER-CULTURAL BRASIL-CHINA</t>
  </si>
  <si>
    <t>32,22%</t>
  </si>
  <si>
    <t>77,57%</t>
  </si>
  <si>
    <t>25,68%</t>
  </si>
  <si>
    <t>CE MIGUEL COUTO</t>
  </si>
  <si>
    <t>59,29%</t>
  </si>
  <si>
    <t>50,37%</t>
  </si>
  <si>
    <t>18,85%</t>
  </si>
  <si>
    <t>CE MULLULO DA VEIGA</t>
  </si>
  <si>
    <t>72,32%</t>
  </si>
  <si>
    <t>59,06%</t>
  </si>
  <si>
    <t>16,97%</t>
  </si>
  <si>
    <t>CE NOBU YAMAGATA</t>
  </si>
  <si>
    <t>19,87%</t>
  </si>
  <si>
    <t>CE OLIVEIRA VIANA</t>
  </si>
  <si>
    <t>82,18%</t>
  </si>
  <si>
    <t>20,96%</t>
  </si>
  <si>
    <t>69,82%</t>
  </si>
  <si>
    <t>CE OSCAR DE MACEDO SOARES</t>
  </si>
  <si>
    <t>79,94%</t>
  </si>
  <si>
    <t>28,34%</t>
  </si>
  <si>
    <t>64,67%</t>
  </si>
  <si>
    <t>CE PAULO ASSIS RIBEIRO</t>
  </si>
  <si>
    <t>71,19%</t>
  </si>
  <si>
    <t>22,72%</t>
  </si>
  <si>
    <t>19,82%</t>
  </si>
  <si>
    <t>CE PINTO LIMA</t>
  </si>
  <si>
    <t>26,27%</t>
  </si>
  <si>
    <t>68,89%</t>
  </si>
  <si>
    <t>CE PRAIA DO SIQUEIRA</t>
  </si>
  <si>
    <t>91,18%</t>
  </si>
  <si>
    <t>26,23%</t>
  </si>
  <si>
    <t>60,78%</t>
  </si>
  <si>
    <t>19,88%</t>
  </si>
  <si>
    <t>CE PROFESSOR CORDELINO TEIXEIRA PAULO</t>
  </si>
  <si>
    <t>58,46%</t>
  </si>
  <si>
    <t>18,92%</t>
  </si>
  <si>
    <t>CE PROFESSOR DARCY RIBEIRO</t>
  </si>
  <si>
    <t>23,96%</t>
  </si>
  <si>
    <t>17,77%</t>
  </si>
  <si>
    <t>CE PROFESSOR DYRCEU RODRIGUES DA COSTA</t>
  </si>
  <si>
    <t>81,41%</t>
  </si>
  <si>
    <t>23,84%</t>
  </si>
  <si>
    <t>55,13%</t>
  </si>
  <si>
    <t>21,06%</t>
  </si>
  <si>
    <t>CE PROFESSOR FONSECA</t>
  </si>
  <si>
    <t>96,90%</t>
  </si>
  <si>
    <t>19,97%</t>
  </si>
  <si>
    <t>76,74%</t>
  </si>
  <si>
    <t>CE PROFESSOR RENATO AZEVEDO</t>
  </si>
  <si>
    <t>64,62%</t>
  </si>
  <si>
    <t>39,68%</t>
  </si>
  <si>
    <t>CE PROFESSORA ALCINA RODRIGUES DE LIMA</t>
  </si>
  <si>
    <t>65,04%</t>
  </si>
  <si>
    <t>42,48%</t>
  </si>
  <si>
    <t>CE PROFESSORA CACILDA SILVA</t>
  </si>
  <si>
    <t>92,50%</t>
  </si>
  <si>
    <t>27,11%</t>
  </si>
  <si>
    <t>81,25%</t>
  </si>
  <si>
    <t>22,12%</t>
  </si>
  <si>
    <t>CE PROFESSORA CLARICE COELHO MOREIRA CALDAS</t>
  </si>
  <si>
    <t>94,03%</t>
  </si>
  <si>
    <t>83,39%</t>
  </si>
  <si>
    <t>20,79%</t>
  </si>
  <si>
    <t>CE RAUL VIDAL</t>
  </si>
  <si>
    <t>90,42%</t>
  </si>
  <si>
    <t>16,10%</t>
  </si>
  <si>
    <t>CE RIO DE AREIA</t>
  </si>
  <si>
    <t>74,47%</t>
  </si>
  <si>
    <t>22,74%</t>
  </si>
  <si>
    <t>56,21%</t>
  </si>
  <si>
    <t>20,03%</t>
  </si>
  <si>
    <t>CE SARGENTO PM ANTONIO CARLOS OLIVEIRA DE MOURA</t>
  </si>
  <si>
    <t>83,76%</t>
  </si>
  <si>
    <t>31,64%</t>
  </si>
  <si>
    <t>CE VINTE DE JULHO</t>
  </si>
  <si>
    <t>98,73%</t>
  </si>
  <si>
    <t>63,56%</t>
  </si>
  <si>
    <t>21,81%</t>
  </si>
  <si>
    <t>CE ZULEIKA RAPOSO VALLADARES</t>
  </si>
  <si>
    <t>61,29%</t>
  </si>
  <si>
    <t>20,29%</t>
  </si>
  <si>
    <t>CIEP 146 PROFESSOR CORDELINO TEIXEIRA PAULO</t>
  </si>
  <si>
    <t>60,61%</t>
  </si>
  <si>
    <t>22,39%</t>
  </si>
  <si>
    <t>62,37%</t>
  </si>
  <si>
    <t>21,22%</t>
  </si>
  <si>
    <t>CIEP 148 PROFESSOR CARLOS ELIO VOGAS DA SILVA</t>
  </si>
  <si>
    <t>86,89%</t>
  </si>
  <si>
    <t>24,79%</t>
  </si>
  <si>
    <t>85,79%</t>
  </si>
  <si>
    <t>23,76%</t>
  </si>
  <si>
    <t>CIEP 193 WILSON MENDES</t>
  </si>
  <si>
    <t>69,09%</t>
  </si>
  <si>
    <t>28,09%</t>
  </si>
  <si>
    <t>73,33%</t>
  </si>
  <si>
    <t>19,75%</t>
  </si>
  <si>
    <t>CIEP 251 DONA MARIA PORTUGAL - BRASIL-PARAGUAI</t>
  </si>
  <si>
    <t>26,81%</t>
  </si>
  <si>
    <t>20,74%</t>
  </si>
  <si>
    <t>CIEP 253 GUIMARÃES ROSA</t>
  </si>
  <si>
    <t>98,78%</t>
  </si>
  <si>
    <t>74,39%</t>
  </si>
  <si>
    <t>21,07%</t>
  </si>
  <si>
    <t>CIEP 258 ASTROGILDO PEREIRA</t>
  </si>
  <si>
    <t>70,27%</t>
  </si>
  <si>
    <t>47,36%</t>
  </si>
  <si>
    <t>18,34%</t>
  </si>
  <si>
    <t>CIEP 259 PROFESSORA MARIA DO AMPARO RANGEL DE SOUZA</t>
  </si>
  <si>
    <t>80,36%</t>
  </si>
  <si>
    <t>17,85%</t>
  </si>
  <si>
    <t>65,33%</t>
  </si>
  <si>
    <t>CIEP 262 CURVELINA DIAS CURVELLO</t>
  </si>
  <si>
    <t>15,10%</t>
  </si>
  <si>
    <t>50,85%</t>
  </si>
  <si>
    <t>13,91%</t>
  </si>
  <si>
    <t>CIEP 272 GABRIEL JOAQUIM DOS SANTOS</t>
  </si>
  <si>
    <t>88,68%</t>
  </si>
  <si>
    <t>14,37%</t>
  </si>
  <si>
    <t>18,19%</t>
  </si>
  <si>
    <t>CIEP 307 DJANIRA</t>
  </si>
  <si>
    <t>78,42%</t>
  </si>
  <si>
    <t>25,60%</t>
  </si>
  <si>
    <t>76,26%</t>
  </si>
  <si>
    <t>21,37%</t>
  </si>
  <si>
    <t>CIEP 331 LYSIA BERNARDES</t>
  </si>
  <si>
    <t>74,75%</t>
  </si>
  <si>
    <t>44,42%</t>
  </si>
  <si>
    <t>CIEP 357 JOSE DE DOME</t>
  </si>
  <si>
    <t>20,17%</t>
  </si>
  <si>
    <t>18,94%</t>
  </si>
  <si>
    <t>CIEP 384 GONCALVES DIAS</t>
  </si>
  <si>
    <t>73,74%</t>
  </si>
  <si>
    <t>23,28%</t>
  </si>
  <si>
    <t>CIEP 391 PROFESSOR ROBSON MENDONCA LOU</t>
  </si>
  <si>
    <t>71,94%</t>
  </si>
  <si>
    <t>59,43%</t>
  </si>
  <si>
    <t>CIEP 448 RUY FRAZAO SOARES</t>
  </si>
  <si>
    <t>53,24%</t>
  </si>
  <si>
    <t>22,85%</t>
  </si>
  <si>
    <t>66,37%</t>
  </si>
  <si>
    <t>20,48%</t>
  </si>
  <si>
    <t>CIEP 449 GOVERNADOR LEONEL DE MOURA BRIZOLA BRASIL FRANCA</t>
  </si>
  <si>
    <t>31,14%</t>
  </si>
  <si>
    <t>67,65%</t>
  </si>
  <si>
    <t>21,79%</t>
  </si>
  <si>
    <t>CIEP 457 DOUTOR JOSÉ ELIAS MELLO DOS SANTOS</t>
  </si>
  <si>
    <t>81,63%</t>
  </si>
  <si>
    <t>24,47%</t>
  </si>
  <si>
    <t>75,17%</t>
  </si>
  <si>
    <t>CIEP 458 HERMES BARCELOS</t>
  </si>
  <si>
    <t>77,66%</t>
  </si>
  <si>
    <t>14,59%</t>
  </si>
  <si>
    <t>18,71%</t>
  </si>
  <si>
    <t>CIEP 460 THIOPHYLA BRAGANCA</t>
  </si>
  <si>
    <t>75,21%</t>
  </si>
  <si>
    <t>19,91%</t>
  </si>
  <si>
    <t>IE PROFESSOR ISMAEL COUTINHO</t>
  </si>
  <si>
    <t>68,03%</t>
  </si>
  <si>
    <t>26,77%</t>
  </si>
  <si>
    <t>83,61%</t>
  </si>
  <si>
    <t>IE PROFESSORA ISMAR GOMES DE AZEVEDO</t>
  </si>
  <si>
    <t>66,33%</t>
  </si>
  <si>
    <t>58,50%</t>
  </si>
  <si>
    <t>20,28%</t>
  </si>
  <si>
    <t>LICEU NILO PECANHA</t>
  </si>
  <si>
    <t>95,19%</t>
  </si>
  <si>
    <t>43,61%</t>
  </si>
  <si>
    <t>21,14%</t>
  </si>
  <si>
    <t>CE ALFREDO GOMES</t>
  </si>
  <si>
    <t>85,54%</t>
  </si>
  <si>
    <t>26,62%</t>
  </si>
  <si>
    <t>81,93%</t>
  </si>
  <si>
    <t>CE ALMIRANTE RODRIGUES SILVA</t>
  </si>
  <si>
    <t>97,18%</t>
  </si>
  <si>
    <t>94,37%</t>
  </si>
  <si>
    <t>CE ALVARO ALVIM</t>
  </si>
  <si>
    <t>84,25%</t>
  </si>
  <si>
    <t>CE ANTÔNIO DE JESUS GOMES - BRASIL-MÉXICO</t>
  </si>
  <si>
    <t>97,87%</t>
  </si>
  <si>
    <t>27,74%</t>
  </si>
  <si>
    <t>89,36%</t>
  </si>
  <si>
    <t>24,51%</t>
  </si>
  <si>
    <t>CE ARNOR SILVESTRE VIEIRA</t>
  </si>
  <si>
    <t>88,33%</t>
  </si>
  <si>
    <t>33,30%</t>
  </si>
  <si>
    <t>78,33%</t>
  </si>
  <si>
    <t>22,70%</t>
  </si>
  <si>
    <t>CE BARAO DE JUPARANA</t>
  </si>
  <si>
    <t>28,20%</t>
  </si>
  <si>
    <t>20,77%</t>
  </si>
  <si>
    <t>CE BARAO DE PALMEIRAS</t>
  </si>
  <si>
    <t>99,26%</t>
  </si>
  <si>
    <t>84,44%</t>
  </si>
  <si>
    <t>CE BARAO DO RIO BONITO</t>
  </si>
  <si>
    <t>60,26%</t>
  </si>
  <si>
    <t>26,54%</t>
  </si>
  <si>
    <t>58,52%</t>
  </si>
  <si>
    <t>24,85%</t>
  </si>
  <si>
    <t>CE BEZERRA DE MENEZES</t>
  </si>
  <si>
    <t>68,09%</t>
  </si>
  <si>
    <t>26,46%</t>
  </si>
  <si>
    <t>79,43%</t>
  </si>
  <si>
    <t>23,51%</t>
  </si>
  <si>
    <t>CE CARMEM DE LUCA ANDREIOLO</t>
  </si>
  <si>
    <t>82,86%</t>
  </si>
  <si>
    <t>19,47%</t>
  </si>
  <si>
    <t>CE CENTENARIO</t>
  </si>
  <si>
    <t>25,95%</t>
  </si>
  <si>
    <t>79,71%</t>
  </si>
  <si>
    <t>CE CORONEL BENJAMIN GUIMARAES</t>
  </si>
  <si>
    <t>98,15%</t>
  </si>
  <si>
    <t>23,86%</t>
  </si>
  <si>
    <t>19,36%</t>
  </si>
  <si>
    <t>CE DOUTOR ALVARO ROCHA</t>
  </si>
  <si>
    <t>27,34%</t>
  </si>
  <si>
    <t>68,97%</t>
  </si>
  <si>
    <t>CE DOUTOR ANTONIO FERNANDES</t>
  </si>
  <si>
    <t>97,95%</t>
  </si>
  <si>
    <t>20,62%</t>
  </si>
  <si>
    <t>CE DOUTOR GUILHERME MILWARD</t>
  </si>
  <si>
    <t>18,23%</t>
  </si>
  <si>
    <t>68,33%</t>
  </si>
  <si>
    <t>25,77%</t>
  </si>
  <si>
    <t>CE DOUTOR JOAO NERY</t>
  </si>
  <si>
    <t>82,43%</t>
  </si>
  <si>
    <t>27,17%</t>
  </si>
  <si>
    <t>85,92%</t>
  </si>
  <si>
    <t>21,47%</t>
  </si>
  <si>
    <t>CE DOUTOR OSWALDO TERRA</t>
  </si>
  <si>
    <t>94,23%</t>
  </si>
  <si>
    <t>27,64%</t>
  </si>
  <si>
    <t>95,20%</t>
  </si>
  <si>
    <t>29,15%</t>
  </si>
  <si>
    <t>CE EDMUNDO PERALTA BERNARDES</t>
  </si>
  <si>
    <t>89,69%</t>
  </si>
  <si>
    <t>28,14%</t>
  </si>
  <si>
    <t>82,99%</t>
  </si>
  <si>
    <t>CE JOAO KOPKE</t>
  </si>
  <si>
    <t>98,59%</t>
  </si>
  <si>
    <t>99,39%</t>
  </si>
  <si>
    <t>31,02%</t>
  </si>
  <si>
    <t>CE JOAQUIM DE MACEDO</t>
  </si>
  <si>
    <t>23,99%</t>
  </si>
  <si>
    <t>51,88%</t>
  </si>
  <si>
    <t>20,54%</t>
  </si>
  <si>
    <t>CE JOSE FONSECA</t>
  </si>
  <si>
    <t>76,27%</t>
  </si>
  <si>
    <t>25,86%</t>
  </si>
  <si>
    <t>66,13%</t>
  </si>
  <si>
    <t>37,80%</t>
  </si>
  <si>
    <t>CE LIONS CLUBE DE PARAIBA DO SUL</t>
  </si>
  <si>
    <t>60,12%</t>
  </si>
  <si>
    <t>16,44%</t>
  </si>
  <si>
    <t>60,80%</t>
  </si>
  <si>
    <t>21,72%</t>
  </si>
  <si>
    <t>CE MARIA ZULMIRA TORRES</t>
  </si>
  <si>
    <t>83,48%</t>
  </si>
  <si>
    <t>25,53%</t>
  </si>
  <si>
    <t>80,43%</t>
  </si>
  <si>
    <t>CE MINISTRO RAUL FERNANDES</t>
  </si>
  <si>
    <t>75,81%</t>
  </si>
  <si>
    <t>23,04%</t>
  </si>
  <si>
    <t>66,02%</t>
  </si>
  <si>
    <t>CE MONSENHOR FRANCISCO</t>
  </si>
  <si>
    <t>64,81%</t>
  </si>
  <si>
    <t>11,50%</t>
  </si>
  <si>
    <t>72,18%</t>
  </si>
  <si>
    <t>CE NEPHTALINA CARVALHO AVILA</t>
  </si>
  <si>
    <t>29,59%</t>
  </si>
  <si>
    <t>84,54%</t>
  </si>
  <si>
    <t>23,63%</t>
  </si>
  <si>
    <t>CE NILO PECANHA</t>
  </si>
  <si>
    <t>24,01%</t>
  </si>
  <si>
    <t>55,37%</t>
  </si>
  <si>
    <t>CE PADRE SEBASTIAO DA SILVA PEREIRA</t>
  </si>
  <si>
    <t>99,46%</t>
  </si>
  <si>
    <t>23,72%</t>
  </si>
  <si>
    <t>78,26%</t>
  </si>
  <si>
    <t>22,75%</t>
  </si>
  <si>
    <t>CE PRESIDENTE RODRIGUES ALVES</t>
  </si>
  <si>
    <t>98,49%</t>
  </si>
  <si>
    <t>65,48%</t>
  </si>
  <si>
    <t>20,43%</t>
  </si>
  <si>
    <t>CE PROFESSOR ADELINO TERRA</t>
  </si>
  <si>
    <t>23,47%</t>
  </si>
  <si>
    <t>CE PROFESSOR ARAGAO GOMES</t>
  </si>
  <si>
    <t>71,32%</t>
  </si>
  <si>
    <t>61,76%</t>
  </si>
  <si>
    <t>CE PROFESSOR JOSE ANTONIO MAIA VINAGRE</t>
  </si>
  <si>
    <t>22,66%</t>
  </si>
  <si>
    <t>CE RIBEIRO DE AVELAR</t>
  </si>
  <si>
    <t>94,85%</t>
  </si>
  <si>
    <t>26,15%</t>
  </si>
  <si>
    <t>CE SACRA FAMILIA DO TINGUA</t>
  </si>
  <si>
    <t>22,92%</t>
  </si>
  <si>
    <t>87,18%</t>
  </si>
  <si>
    <t>30,48%</t>
  </si>
  <si>
    <t>CE SENADOR PAULO FERNANDES</t>
  </si>
  <si>
    <t>80,65%</t>
  </si>
  <si>
    <t>22,94%</t>
  </si>
  <si>
    <t>20,34%</t>
  </si>
  <si>
    <t>21,28%</t>
  </si>
  <si>
    <t>CE THEODORICO FONSECA</t>
  </si>
  <si>
    <t>98,94%</t>
  </si>
  <si>
    <t>28,28%</t>
  </si>
  <si>
    <t>78,19%</t>
  </si>
  <si>
    <t>CE VERA CRUZ</t>
  </si>
  <si>
    <t>22,34%</t>
  </si>
  <si>
    <t>81,08%</t>
  </si>
  <si>
    <t>CIA MONSENHOR TOMÁS TEJERINA DE PRADO</t>
  </si>
  <si>
    <t>26,61%</t>
  </si>
  <si>
    <t>91,67%</t>
  </si>
  <si>
    <t>CIEP 152 GARRINCHA ALEGRIA DO POVO</t>
  </si>
  <si>
    <t>77,56%</t>
  </si>
  <si>
    <t>22,61%</t>
  </si>
  <si>
    <t>68,14%</t>
  </si>
  <si>
    <t>21,19%</t>
  </si>
  <si>
    <t>CIEP 278  JOAQUIM OSORIO DUQUE ESTRADA</t>
  </si>
  <si>
    <t>69,64%</t>
  </si>
  <si>
    <t>27,19%</t>
  </si>
  <si>
    <t>59,84%</t>
  </si>
  <si>
    <t>22,76%</t>
  </si>
  <si>
    <t>CIEP 286 MURILO PORTUGAL</t>
  </si>
  <si>
    <t>73,91%</t>
  </si>
  <si>
    <t>23,02%</t>
  </si>
  <si>
    <t>74,00%</t>
  </si>
  <si>
    <t>22,46%</t>
  </si>
  <si>
    <t>CIEP 287 ANGELINA TEIXEIRA NETTO SYM</t>
  </si>
  <si>
    <t>23,61%</t>
  </si>
  <si>
    <t>CIEP 297 PADRE SALESIO SCHIMID</t>
  </si>
  <si>
    <t>82,25%</t>
  </si>
  <si>
    <t>26,63%</t>
  </si>
  <si>
    <t>86,30%</t>
  </si>
  <si>
    <t>36,75%</t>
  </si>
  <si>
    <t>CIEP 298 MANUEL DUARTE</t>
  </si>
  <si>
    <t>27,63%</t>
  </si>
  <si>
    <t>65,35%</t>
  </si>
  <si>
    <t>27,10%</t>
  </si>
  <si>
    <t>CIEP 310 PROFESSORA ALICE AIEX</t>
  </si>
  <si>
    <t>51,35%</t>
  </si>
  <si>
    <t>20,60%</t>
  </si>
  <si>
    <t>CIEP 494 ALEXANDRE CARVALHO CÍVICO MILITAR</t>
  </si>
  <si>
    <t>32,32%</t>
  </si>
  <si>
    <t>96,30%</t>
  </si>
  <si>
    <t>CIEP 500 ANTONIO BOTELHO</t>
  </si>
  <si>
    <t>96,20%</t>
  </si>
  <si>
    <t>25,46%</t>
  </si>
  <si>
    <t>91,14%</t>
  </si>
  <si>
    <t>21,27%</t>
  </si>
  <si>
    <t>CE ABDIAS NASCIMENTO</t>
  </si>
  <si>
    <t>CE ALFREDO NEVES</t>
  </si>
  <si>
    <t>23,59%</t>
  </si>
  <si>
    <t>91,60%</t>
  </si>
  <si>
    <t>22,69%</t>
  </si>
  <si>
    <t>CE ALMIRANTE TAMANDARE</t>
  </si>
  <si>
    <t>98,16%</t>
  </si>
  <si>
    <t>21,34%</t>
  </si>
  <si>
    <t>CE AMBAÍ</t>
  </si>
  <si>
    <t>97,73%</t>
  </si>
  <si>
    <t>CE ANTONIO DA SILVA</t>
  </si>
  <si>
    <t>65,13%</t>
  </si>
  <si>
    <t>30,95%</t>
  </si>
  <si>
    <t>CE ARMANDO DIAS - BRASIL-ARGENTINA</t>
  </si>
  <si>
    <t>95,65%</t>
  </si>
  <si>
    <t>25,96%</t>
  </si>
  <si>
    <t>91,30%</t>
  </si>
  <si>
    <t>21,65%</t>
  </si>
  <si>
    <t>CE ARRUDA NEGREIROS</t>
  </si>
  <si>
    <t>84,75%</t>
  </si>
  <si>
    <t>57,40%</t>
  </si>
  <si>
    <t>CE BARAO DE TINGUA</t>
  </si>
  <si>
    <t>88,16%</t>
  </si>
  <si>
    <t>15,60%</t>
  </si>
  <si>
    <t>63,96%</t>
  </si>
  <si>
    <t>CE BARÃO DO RIO BRANCO</t>
  </si>
  <si>
    <t>80,74%</t>
  </si>
  <si>
    <t>61,89%</t>
  </si>
  <si>
    <t>19,92%</t>
  </si>
  <si>
    <t>CE BERNARDINO MELO JUNIOR</t>
  </si>
  <si>
    <t>81,65%</t>
  </si>
  <si>
    <t>28,41%</t>
  </si>
  <si>
    <t>84,49%</t>
  </si>
  <si>
    <t>21,76%</t>
  </si>
  <si>
    <t>CE CALIFÓRNIA</t>
  </si>
  <si>
    <t>70,71%</t>
  </si>
  <si>
    <t>66,07%</t>
  </si>
  <si>
    <t>CE CAPITAO JOAQUIM QUARESMA DE OLIVEIRA</t>
  </si>
  <si>
    <t>21,70%</t>
  </si>
  <si>
    <t>45,74%</t>
  </si>
  <si>
    <t>20,05%</t>
  </si>
  <si>
    <t>CE COMENDADOR SOARES</t>
  </si>
  <si>
    <t>77,17%</t>
  </si>
  <si>
    <t>20,68%</t>
  </si>
  <si>
    <t>51,14%</t>
  </si>
  <si>
    <t>CE DOM ADRIANO HIPÓLITO</t>
  </si>
  <si>
    <t>25,83%</t>
  </si>
  <si>
    <t>76,90%</t>
  </si>
  <si>
    <t>CE DOM BOSCO</t>
  </si>
  <si>
    <t>82,29%</t>
  </si>
  <si>
    <t>CE DOM JOÃO VI</t>
  </si>
  <si>
    <t>65,40%</t>
  </si>
  <si>
    <t>66,45%</t>
  </si>
  <si>
    <t>CE DOM WALMOR</t>
  </si>
  <si>
    <t>62,29%</t>
  </si>
  <si>
    <t>45,34%</t>
  </si>
  <si>
    <t>18,80%</t>
  </si>
  <si>
    <t>CE DOS LÍRIOS</t>
  </si>
  <si>
    <t>80,89%</t>
  </si>
  <si>
    <t>23,95%</t>
  </si>
  <si>
    <t>72,61%</t>
  </si>
  <si>
    <t>21,16%</t>
  </si>
  <si>
    <t>CE DOUTOR MÁRIO GUIMARÃES</t>
  </si>
  <si>
    <t>89,58%</t>
  </si>
  <si>
    <t>89,06%</t>
  </si>
  <si>
    <t>20,33%</t>
  </si>
  <si>
    <t>CE ENGENHEIRO AREA LEAO</t>
  </si>
  <si>
    <t>91,86%</t>
  </si>
  <si>
    <t>18,36%</t>
  </si>
  <si>
    <t>16,02%</t>
  </si>
  <si>
    <t>CE ENGENHEIRO PEDREIRA</t>
  </si>
  <si>
    <t>79,68%</t>
  </si>
  <si>
    <t>23,06%</t>
  </si>
  <si>
    <t>60,54%</t>
  </si>
  <si>
    <t>CE FIGUEIRA</t>
  </si>
  <si>
    <t>87,95%</t>
  </si>
  <si>
    <t>25,61%</t>
  </si>
  <si>
    <t>74,10%</t>
  </si>
  <si>
    <t>CE FRANCISCO ASSUMPÇÃO</t>
  </si>
  <si>
    <t>32,77%</t>
  </si>
  <si>
    <t>22,82%</t>
  </si>
  <si>
    <t>68,19%</t>
  </si>
  <si>
    <t>20,38%</t>
  </si>
  <si>
    <t>CE JARDIM ALVORADA</t>
  </si>
  <si>
    <t>71,55%</t>
  </si>
  <si>
    <t>54,31%</t>
  </si>
  <si>
    <t>CE JARDIM MARILICE - BRASIL-URUGUAI</t>
  </si>
  <si>
    <t>27,33%</t>
  </si>
  <si>
    <t>89,04%</t>
  </si>
  <si>
    <t>21,23%</t>
  </si>
  <si>
    <t>CE JOAO SANTOS SOUTO</t>
  </si>
  <si>
    <t>24,57%</t>
  </si>
  <si>
    <t>65,63%</t>
  </si>
  <si>
    <t>21,60%</t>
  </si>
  <si>
    <t>CE JOSÉ BONIFÁCIO</t>
  </si>
  <si>
    <t>87,75%</t>
  </si>
  <si>
    <t>59,31%</t>
  </si>
  <si>
    <t>19,69%</t>
  </si>
  <si>
    <t>CE LEOPOLDO MACHADO</t>
  </si>
  <si>
    <t>94,71%</t>
  </si>
  <si>
    <t>23,44%</t>
  </si>
  <si>
    <t>64,12%</t>
  </si>
  <si>
    <t>CE MARECHAL JUAREZ TAVORA</t>
  </si>
  <si>
    <t>84,38%</t>
  </si>
  <si>
    <t>63,75%</t>
  </si>
  <si>
    <t>CE MARIA EMÍLIA AMARAL FONTOURA</t>
  </si>
  <si>
    <t>92,43%</t>
  </si>
  <si>
    <t>86,38%</t>
  </si>
  <si>
    <t>18,73%</t>
  </si>
  <si>
    <t>CE MARIA JUSTINIANO FERNANDES</t>
  </si>
  <si>
    <t>99,19%</t>
  </si>
  <si>
    <t>12,78%</t>
  </si>
  <si>
    <t>CE MILTON CAMPOS</t>
  </si>
  <si>
    <t>76,85%</t>
  </si>
  <si>
    <t>67,00%</t>
  </si>
  <si>
    <t>22,14%</t>
  </si>
  <si>
    <t>CE NATIVIDADE PATRICIO ANTUNES</t>
  </si>
  <si>
    <t>96,05%</t>
  </si>
  <si>
    <t>66,32%</t>
  </si>
  <si>
    <t>20,88%</t>
  </si>
  <si>
    <t>CE PREFEITO LUIZ GUIMARÃES</t>
  </si>
  <si>
    <t>71,03%</t>
  </si>
  <si>
    <t>21,45%</t>
  </si>
  <si>
    <t>53,32%</t>
  </si>
  <si>
    <t>20,31%</t>
  </si>
  <si>
    <t>CE PROFESSOR AMAZOR VIEIRA BORGES</t>
  </si>
  <si>
    <t>92,17%</t>
  </si>
  <si>
    <t>83,27%</t>
  </si>
  <si>
    <t>CE PROFESSORA EVANGELINA SOARES DE MOURA</t>
  </si>
  <si>
    <t>57,50%</t>
  </si>
  <si>
    <t>CE PROFESSORA MARIA HELENA AMARAL ALARCÃO</t>
  </si>
  <si>
    <t>24,41%</t>
  </si>
  <si>
    <t>85,19%</t>
  </si>
  <si>
    <t>CE PROFESSORA MARIA JOSÉ RAUNHEITTI DUCCINI</t>
  </si>
  <si>
    <t>96,53%</t>
  </si>
  <si>
    <t>21,85%</t>
  </si>
  <si>
    <t>64,56%</t>
  </si>
  <si>
    <t>CE PROFESSORA MARINA BENTO</t>
  </si>
  <si>
    <t>74,65%</t>
  </si>
  <si>
    <t>62,32%</t>
  </si>
  <si>
    <t>CE PROFESSORA VENINA CORREA TORRES</t>
  </si>
  <si>
    <t>27,38%</t>
  </si>
  <si>
    <t>96,31%</t>
  </si>
  <si>
    <t>21,32%</t>
  </si>
  <si>
    <t>CE RAYMUNDO CORRÊA</t>
  </si>
  <si>
    <t>73,16%</t>
  </si>
  <si>
    <t>23,77%</t>
  </si>
  <si>
    <t>70,31%</t>
  </si>
  <si>
    <t>CE SANTA RITA DE CÁSSIA</t>
  </si>
  <si>
    <t>78,89%</t>
  </si>
  <si>
    <t>22,91%</t>
  </si>
  <si>
    <t>67,01%</t>
  </si>
  <si>
    <t>19,59%</t>
  </si>
  <si>
    <t>CE SANTO ANTONIO DE PÁDUA</t>
  </si>
  <si>
    <t>58,43%</t>
  </si>
  <si>
    <t>23,64%</t>
  </si>
  <si>
    <t>21,33%</t>
  </si>
  <si>
    <t>CE SÃO CRISTÓVÃO</t>
  </si>
  <si>
    <t>18,08%</t>
  </si>
  <si>
    <t>87,12%</t>
  </si>
  <si>
    <t>16,52%</t>
  </si>
  <si>
    <t>CE SÃO FRANCISCO DE PAULA</t>
  </si>
  <si>
    <t>75,11%</t>
  </si>
  <si>
    <t>CE SAO JOAO</t>
  </si>
  <si>
    <t>89,30%</t>
  </si>
  <si>
    <t>68,86%</t>
  </si>
  <si>
    <t>CE SÃO JORGE</t>
  </si>
  <si>
    <t>92,47%</t>
  </si>
  <si>
    <t>56,07%</t>
  </si>
  <si>
    <t>CE SÃO JUDAS TADEU</t>
  </si>
  <si>
    <t>66,84%</t>
  </si>
  <si>
    <t>CE SARGENTO ANTÔNIO ERNESTO</t>
  </si>
  <si>
    <t>81,17%</t>
  </si>
  <si>
    <t>70,08%</t>
  </si>
  <si>
    <t>20,32%</t>
  </si>
  <si>
    <t>CE VEREADOR PERCY BATISTA CRISPIN</t>
  </si>
  <si>
    <t>19,84%</t>
  </si>
  <si>
    <t>66,40%</t>
  </si>
  <si>
    <t>20,67%</t>
  </si>
  <si>
    <t>CE VICENTINA GOULART</t>
  </si>
  <si>
    <t>76,82%</t>
  </si>
  <si>
    <t>24,11%</t>
  </si>
  <si>
    <t>61,53%</t>
  </si>
  <si>
    <t>CE YONNE MARIA SIQUEIRA DE ANDRADE</t>
  </si>
  <si>
    <t>94,94%</t>
  </si>
  <si>
    <t>20,16%</t>
  </si>
  <si>
    <t>94,93%</t>
  </si>
  <si>
    <t>19,40%</t>
  </si>
  <si>
    <t>CIEP 021 GENERAL OSÓRIO</t>
  </si>
  <si>
    <t>95,35%</t>
  </si>
  <si>
    <t>20,44%</t>
  </si>
  <si>
    <t>72,09%</t>
  </si>
  <si>
    <t>20,42%</t>
  </si>
  <si>
    <t>CIEP 025 GETULIO SALES RODRIGUES</t>
  </si>
  <si>
    <t>20,30%</t>
  </si>
  <si>
    <t>CIEP 026 SAO VICENTE DE PAULA - BRASIL-SUECIA</t>
  </si>
  <si>
    <t>91,09%</t>
  </si>
  <si>
    <t>43,56%</t>
  </si>
  <si>
    <t>16,43%</t>
  </si>
  <si>
    <t>CIEP 075 JARDIM CABUÇU</t>
  </si>
  <si>
    <t>20,70%</t>
  </si>
  <si>
    <t>59,15%</t>
  </si>
  <si>
    <t>19,56%</t>
  </si>
  <si>
    <t>CIEP 113 PROFESSOR WALDICK PEREIRA</t>
  </si>
  <si>
    <t>86,73%</t>
  </si>
  <si>
    <t>22,48%</t>
  </si>
  <si>
    <t>CIEP 117 CARLOS DRUMMOND DE ANDRADE BRASIL ESTADOS UNIDOS</t>
  </si>
  <si>
    <t>96,65%</t>
  </si>
  <si>
    <t>32,67%</t>
  </si>
  <si>
    <t>95,22%</t>
  </si>
  <si>
    <t>22,63%</t>
  </si>
  <si>
    <t>CIEP 119 AUSTIN</t>
  </si>
  <si>
    <t>29,73%</t>
  </si>
  <si>
    <t>9,02%</t>
  </si>
  <si>
    <t>19,19%</t>
  </si>
  <si>
    <t>CIEP 134 VEREADOR JOSÉ LOPES DE ARAÚJO</t>
  </si>
  <si>
    <t>90,13%</t>
  </si>
  <si>
    <t>40,78%</t>
  </si>
  <si>
    <t>18,22%</t>
  </si>
  <si>
    <t>CIEP 166 ABILIO AUGUSTO TAVORA</t>
  </si>
  <si>
    <t>63,00%</t>
  </si>
  <si>
    <t>60,24%</t>
  </si>
  <si>
    <t>CIEP 167 JARDIM PARAÍSO</t>
  </si>
  <si>
    <t>52,67%</t>
  </si>
  <si>
    <t>21,68%</t>
  </si>
  <si>
    <t>58,54%</t>
  </si>
  <si>
    <t>19,33%</t>
  </si>
  <si>
    <t>CIEP 168 HILDA SILVEIRA RODRIGUES</t>
  </si>
  <si>
    <t>19,62%</t>
  </si>
  <si>
    <t>67,55%</t>
  </si>
  <si>
    <t>CIEP 172 NELSON RODRIGUES</t>
  </si>
  <si>
    <t>77,22%</t>
  </si>
  <si>
    <t>24,03%</t>
  </si>
  <si>
    <t>57,22%</t>
  </si>
  <si>
    <t>20,18%</t>
  </si>
  <si>
    <t>CIEP 188 MARIANO FLOR CAVALCANTE</t>
  </si>
  <si>
    <t>84,00%</t>
  </si>
  <si>
    <t>CIEP 196 SÃO TEODORO</t>
  </si>
  <si>
    <t>89,02%</t>
  </si>
  <si>
    <t>94,83%</t>
  </si>
  <si>
    <t>CIEP 200 PROFESSOR TERLI FIORAVANTE DA ROCHA</t>
  </si>
  <si>
    <t>84,52%</t>
  </si>
  <si>
    <t>24,68%</t>
  </si>
  <si>
    <t>56,75%</t>
  </si>
  <si>
    <t>20,56%</t>
  </si>
  <si>
    <t>CIEP 206 PROFESSORA CYRENE MORAES COSTA</t>
  </si>
  <si>
    <t>65,00%</t>
  </si>
  <si>
    <t>18,97%</t>
  </si>
  <si>
    <t>CIEP 207 GILSON AMADO</t>
  </si>
  <si>
    <t>78,54%</t>
  </si>
  <si>
    <t>11,16%</t>
  </si>
  <si>
    <t>87,04%</t>
  </si>
  <si>
    <t>10,10%</t>
  </si>
  <si>
    <t>CIEP 216 PREFEITO JUAREZ ANTUNES</t>
  </si>
  <si>
    <t>76,07%</t>
  </si>
  <si>
    <t>CIEP 317 AURELIO BUARQUE DE HOLANDA</t>
  </si>
  <si>
    <t>82,32%</t>
  </si>
  <si>
    <t>73,64%</t>
  </si>
  <si>
    <t>CIEP 324 MAHATMA GANDHI</t>
  </si>
  <si>
    <t>85,07%</t>
  </si>
  <si>
    <t>13,36%</t>
  </si>
  <si>
    <t>CIEP 333 CACILDA BECKER</t>
  </si>
  <si>
    <t>54,37%</t>
  </si>
  <si>
    <t>19,24%</t>
  </si>
  <si>
    <t>52,86%</t>
  </si>
  <si>
    <t>CIEP 334 MOACYR JOSE PEREIRA GERK</t>
  </si>
  <si>
    <t>23,50%</t>
  </si>
  <si>
    <t>CIEP 335 PROFESSOR JOAQUIM DE FREITAS</t>
  </si>
  <si>
    <t>81,01%</t>
  </si>
  <si>
    <t>CIEP 341 SEBASTIÃO PEREIRA PORTES</t>
  </si>
  <si>
    <t>92,02%</t>
  </si>
  <si>
    <t>23,00%</t>
  </si>
  <si>
    <t>90,18%</t>
  </si>
  <si>
    <t>CIEP 344 ADONIRAN BARBOSA</t>
  </si>
  <si>
    <t>68,29%</t>
  </si>
  <si>
    <t>69,51%</t>
  </si>
  <si>
    <t>19,20%</t>
  </si>
  <si>
    <t>CIEP 345 Y-JUCA PIRAMA - BRASIL-SUECIA</t>
  </si>
  <si>
    <t>27,04%</t>
  </si>
  <si>
    <t>CIEP 346 BELARMINO ALFREDO DOS SANTOS</t>
  </si>
  <si>
    <t>21,04%</t>
  </si>
  <si>
    <t>36,93%</t>
  </si>
  <si>
    <t>24,34%</t>
  </si>
  <si>
    <t>CIEP 351 MINISTRO SALGADO FILHO</t>
  </si>
  <si>
    <t>12,85%</t>
  </si>
  <si>
    <t>80,99%</t>
  </si>
  <si>
    <t>CIEP 352 SENADOR SEVERO GOMES</t>
  </si>
  <si>
    <t>87,61%</t>
  </si>
  <si>
    <t>14,07%</t>
  </si>
  <si>
    <t>49,56%</t>
  </si>
  <si>
    <t>CIEP 354 MARTINS PENA</t>
  </si>
  <si>
    <t>57,19%</t>
  </si>
  <si>
    <t>21,40%</t>
  </si>
  <si>
    <t>CIEP 355 ROQUETE PINTO</t>
  </si>
  <si>
    <t>97,10%</t>
  </si>
  <si>
    <t>18,03%</t>
  </si>
  <si>
    <t>85,57%</t>
  </si>
  <si>
    <t>CIEP 356 AUGUSTO RUSCHI</t>
  </si>
  <si>
    <t>68,53%</t>
  </si>
  <si>
    <t>22,80%</t>
  </si>
  <si>
    <t>62,44%</t>
  </si>
  <si>
    <t>CIEP 358 ALBERTO PASQUALINI</t>
  </si>
  <si>
    <t>85,65%</t>
  </si>
  <si>
    <t>24,83%</t>
  </si>
  <si>
    <t>69,38%</t>
  </si>
  <si>
    <t>CIEP 359 CHARLES PERRAULT</t>
  </si>
  <si>
    <t>45,81%</t>
  </si>
  <si>
    <t>22,25%</t>
  </si>
  <si>
    <t>73,18%</t>
  </si>
  <si>
    <t>CIEP 365 ASA BRANCA</t>
  </si>
  <si>
    <t>65,38%</t>
  </si>
  <si>
    <t>23,54%</t>
  </si>
  <si>
    <t>CIEP 383 MAXIMO GORKI</t>
  </si>
  <si>
    <t>68,57%</t>
  </si>
  <si>
    <t>CIEP 387 HANS CRISTIAN ANDERSEN</t>
  </si>
  <si>
    <t>65,45%</t>
  </si>
  <si>
    <t>21,48%</t>
  </si>
  <si>
    <t>74,42%</t>
  </si>
  <si>
    <t>20,65%</t>
  </si>
  <si>
    <t>CIEP 390 CHAO DE ESTRELAS</t>
  </si>
  <si>
    <t>93,18%</t>
  </si>
  <si>
    <t>99,03%</t>
  </si>
  <si>
    <t>11,74%</t>
  </si>
  <si>
    <t>CIEP 394 VEREADOR CÂNDIDO AUGUSTO RIBEIRO NETO</t>
  </si>
  <si>
    <t>76,51%</t>
  </si>
  <si>
    <t>19,90%</t>
  </si>
  <si>
    <t>62,61%</t>
  </si>
  <si>
    <t>18,74%</t>
  </si>
  <si>
    <t>CIEP 395 LUIZ HENRIQUE REZENDE NOVAES</t>
  </si>
  <si>
    <t>87,80%</t>
  </si>
  <si>
    <t>18,82%</t>
  </si>
  <si>
    <t>CIEP 396 LUIZ PEIXOTO</t>
  </si>
  <si>
    <t>85,47%</t>
  </si>
  <si>
    <t>69,27%</t>
  </si>
  <si>
    <t>19,65%</t>
  </si>
  <si>
    <t>CIEP 402 APARICIO TORELLI</t>
  </si>
  <si>
    <t>89,88%</t>
  </si>
  <si>
    <t>IE RANGEL PESTANA</t>
  </si>
  <si>
    <t>78,62%</t>
  </si>
  <si>
    <t>26,28%</t>
  </si>
  <si>
    <t>62,77%</t>
  </si>
  <si>
    <t>19,45%</t>
  </si>
  <si>
    <t>CE PROFESSORA ABIGAIL CARDOSO</t>
  </si>
  <si>
    <t>CE PROFESSORA LUIZA HONORIA DO PRADO</t>
  </si>
  <si>
    <t>20,94%</t>
  </si>
  <si>
    <t>74,07%</t>
  </si>
  <si>
    <t>19,17%</t>
  </si>
  <si>
    <t>CAIC THEOPHILO DE SOUZA PINTO</t>
  </si>
  <si>
    <t>71,14%</t>
  </si>
  <si>
    <t>22,99%</t>
  </si>
  <si>
    <t>63,55%</t>
  </si>
  <si>
    <t>18,09%</t>
  </si>
  <si>
    <t>CE ACARI</t>
  </si>
  <si>
    <t>CE ADLAI STEVENSON</t>
  </si>
  <si>
    <t>CE AGRIPINO GRIECO</t>
  </si>
  <si>
    <t>89,84%</t>
  </si>
  <si>
    <t>60,96%</t>
  </si>
  <si>
    <t>16,80%</t>
  </si>
  <si>
    <t>CE AMAPA</t>
  </si>
  <si>
    <t>63,51%</t>
  </si>
  <si>
    <t>CE ANITA GARIBALDI</t>
  </si>
  <si>
    <t>77,83%</t>
  </si>
  <si>
    <t>22,17%</t>
  </si>
  <si>
    <t>62,68%</t>
  </si>
  <si>
    <t>CE ANTÔNIO HOUAISS</t>
  </si>
  <si>
    <t>61,48%</t>
  </si>
  <si>
    <t>20,89%</t>
  </si>
  <si>
    <t>54,61%</t>
  </si>
  <si>
    <t>CE BAHIA</t>
  </si>
  <si>
    <t>70,39%</t>
  </si>
  <si>
    <t>15,70%</t>
  </si>
  <si>
    <t>56,05%</t>
  </si>
  <si>
    <t>19,49%</t>
  </si>
  <si>
    <t>CE BARAO DE MACAUBAS</t>
  </si>
  <si>
    <t>25,14%</t>
  </si>
  <si>
    <t>70,59%</t>
  </si>
  <si>
    <t>18,79%</t>
  </si>
  <si>
    <t>CE BELGICA</t>
  </si>
  <si>
    <t>66,39%</t>
  </si>
  <si>
    <t>21,38%</t>
  </si>
  <si>
    <t>56,72%</t>
  </si>
  <si>
    <t>CE BERNARDO DE VASCONCELOS</t>
  </si>
  <si>
    <t>66,47%</t>
  </si>
  <si>
    <t>17,90%</t>
  </si>
  <si>
    <t>62,43%</t>
  </si>
  <si>
    <t>CE BOLIVAR</t>
  </si>
  <si>
    <t>64,29%</t>
  </si>
  <si>
    <t>73,81%</t>
  </si>
  <si>
    <t>19,39%</t>
  </si>
  <si>
    <t>CE BRANT HORTA</t>
  </si>
  <si>
    <t>95,52%</t>
  </si>
  <si>
    <t>13,49%</t>
  </si>
  <si>
    <t>93,94%</t>
  </si>
  <si>
    <t>16,34%</t>
  </si>
  <si>
    <t>CE CARDEAL ARCOVERDE</t>
  </si>
  <si>
    <t>58,89%</t>
  </si>
  <si>
    <t>20,15%</t>
  </si>
  <si>
    <t>CE CENTRAL DO BRASIL</t>
  </si>
  <si>
    <t>42,01%</t>
  </si>
  <si>
    <t>1,03%</t>
  </si>
  <si>
    <t>CE CHARLES CHAPLIN</t>
  </si>
  <si>
    <t>43,18%</t>
  </si>
  <si>
    <t>CE CHILE</t>
  </si>
  <si>
    <t>66,88%</t>
  </si>
  <si>
    <t>66,24%</t>
  </si>
  <si>
    <t>CE CIDADE DE LISBOA</t>
  </si>
  <si>
    <t>74,31%</t>
  </si>
  <si>
    <t>19,89%</t>
  </si>
  <si>
    <t>19,53%</t>
  </si>
  <si>
    <t>CE COMPOSITOR MANACEIA JOSE DE ANDRADE</t>
  </si>
  <si>
    <t>92,20%</t>
  </si>
  <si>
    <t>15,16%</t>
  </si>
  <si>
    <t>99,67%</t>
  </si>
  <si>
    <t>12,25%</t>
  </si>
  <si>
    <t>CE CONDE AFONSO CELSO</t>
  </si>
  <si>
    <t>67,07%</t>
  </si>
  <si>
    <t>CE CONDE DE AGROLONGO</t>
  </si>
  <si>
    <t>59,21%</t>
  </si>
  <si>
    <t>18,43%</t>
  </si>
  <si>
    <t>CE CONDE PEREIRA CARNEIRO</t>
  </si>
  <si>
    <t>43,09%</t>
  </si>
  <si>
    <t>56,91%</t>
  </si>
  <si>
    <t>19,12%</t>
  </si>
  <si>
    <t>CE CUBA</t>
  </si>
  <si>
    <t>77,61%</t>
  </si>
  <si>
    <t>22,71%</t>
  </si>
  <si>
    <t>68,66%</t>
  </si>
  <si>
    <t>22,67%</t>
  </si>
  <si>
    <t>CE CYRO MONTEIRO</t>
  </si>
  <si>
    <t>18,14%</t>
  </si>
  <si>
    <t>CE DEPUTADO PEDRO FERNANDES</t>
  </si>
  <si>
    <t>92,73%</t>
  </si>
  <si>
    <t>15,66%</t>
  </si>
  <si>
    <t>58,04%</t>
  </si>
  <si>
    <t>19,93%</t>
  </si>
  <si>
    <t>CE DOM HELDER CAMARA</t>
  </si>
  <si>
    <t>57,01%</t>
  </si>
  <si>
    <t>CE DUNSHEE DE ABRANCHES</t>
  </si>
  <si>
    <t>21,84%</t>
  </si>
  <si>
    <t>67,86%</t>
  </si>
  <si>
    <t>17,66%</t>
  </si>
  <si>
    <t>CE EMBAIXADOR BARROS HURTADO</t>
  </si>
  <si>
    <t>61,90%</t>
  </si>
  <si>
    <t>CE FRANCISCO JOBIM</t>
  </si>
  <si>
    <t>52,38%</t>
  </si>
  <si>
    <t>51,28%</t>
  </si>
  <si>
    <t>CE FRANCISCO PALHETA</t>
  </si>
  <si>
    <t>61,62%</t>
  </si>
  <si>
    <t>CE GENERAL OSORIO</t>
  </si>
  <si>
    <t>18,93%</t>
  </si>
  <si>
    <t>17,23%</t>
  </si>
  <si>
    <t>CE GOMES FREIRE DE ANDRADE</t>
  </si>
  <si>
    <t>71,79%</t>
  </si>
  <si>
    <t>67,84%</t>
  </si>
  <si>
    <t>CE GRACILIANO RAMOS</t>
  </si>
  <si>
    <t>46,00%</t>
  </si>
  <si>
    <t>19,96%</t>
  </si>
  <si>
    <t>CE GUADALUPE</t>
  </si>
  <si>
    <t>62,86%</t>
  </si>
  <si>
    <t>49,38%</t>
  </si>
  <si>
    <t>19,63%</t>
  </si>
  <si>
    <t>CE HEITOR LIRA</t>
  </si>
  <si>
    <t>68,11%</t>
  </si>
  <si>
    <t>24,89%</t>
  </si>
  <si>
    <t>78,93%</t>
  </si>
  <si>
    <t>CE HISPANO BRASILEIRO JOAO CABRAL DE MELO NETO</t>
  </si>
  <si>
    <t>92,53%</t>
  </si>
  <si>
    <t>28,12%</t>
  </si>
  <si>
    <t>89,08%</t>
  </si>
  <si>
    <t>20,82%</t>
  </si>
  <si>
    <t>CE ITALIA</t>
  </si>
  <si>
    <t>58,28%</t>
  </si>
  <si>
    <t>53,37%</t>
  </si>
  <si>
    <t>67,31%</t>
  </si>
  <si>
    <t>57,89%</t>
  </si>
  <si>
    <t>CE JOAO MARQUES DOS REIS</t>
  </si>
  <si>
    <t>65,88%</t>
  </si>
  <si>
    <t>CE JORNALISTA RODOLFO FERNANDES</t>
  </si>
  <si>
    <t>90,37%</t>
  </si>
  <si>
    <t>41,55%</t>
  </si>
  <si>
    <t>CE JORNALISTA TIM LOPES</t>
  </si>
  <si>
    <t>68,94%</t>
  </si>
  <si>
    <t>20,35%</t>
  </si>
  <si>
    <t>CE JOSE EDUARDO DE MACEDO SOARES</t>
  </si>
  <si>
    <t>91,51%</t>
  </si>
  <si>
    <t>16,68%</t>
  </si>
  <si>
    <t>63,21%</t>
  </si>
  <si>
    <t>CE JOSE MARTI</t>
  </si>
  <si>
    <t>19,00%</t>
  </si>
  <si>
    <t>CE JOSUE DE CASTRO</t>
  </si>
  <si>
    <t>49,26%</t>
  </si>
  <si>
    <t>33,82%</t>
  </si>
  <si>
    <t>CE LAURO SODRE</t>
  </si>
  <si>
    <t>78,43%</t>
  </si>
  <si>
    <t>19,06%</t>
  </si>
  <si>
    <t>CE LEONEL AZEVEDO</t>
  </si>
  <si>
    <t>66,43%</t>
  </si>
  <si>
    <t>CE LUIZ DE CAMOES</t>
  </si>
  <si>
    <t>74,81%</t>
  </si>
  <si>
    <t>22,18%</t>
  </si>
  <si>
    <t>69,47%</t>
  </si>
  <si>
    <t>20,23%</t>
  </si>
  <si>
    <t>CE MARANHAO</t>
  </si>
  <si>
    <t>68,60%</t>
  </si>
  <si>
    <t>69,42%</t>
  </si>
  <si>
    <t>CE MARECHAL JOAO BAPTISTA DE MATTOS</t>
  </si>
  <si>
    <t>10,51%</t>
  </si>
  <si>
    <t>63,80%</t>
  </si>
  <si>
    <t>CE MARQUES REBELO</t>
  </si>
  <si>
    <t>65,74%</t>
  </si>
  <si>
    <t>63,79%</t>
  </si>
  <si>
    <t>19,43%</t>
  </si>
  <si>
    <t>CE MATO GROSSO</t>
  </si>
  <si>
    <t>69,67%</t>
  </si>
  <si>
    <t>23,67%</t>
  </si>
  <si>
    <t>CE MAX FLEIUSS</t>
  </si>
  <si>
    <t>59,42%</t>
  </si>
  <si>
    <t>CE MINISTRO OROZIMBO NONATO</t>
  </si>
  <si>
    <t>25,21%</t>
  </si>
  <si>
    <t>58,97%</t>
  </si>
  <si>
    <t>18,41%</t>
  </si>
  <si>
    <t>CE NUNO ALVARES PEREIRA</t>
  </si>
  <si>
    <t>20,50%</t>
  </si>
  <si>
    <t>CE OLAVO JOSINO DE SALLES</t>
  </si>
  <si>
    <t>75,43%</t>
  </si>
  <si>
    <t>CE OLEGARIO MARIANO</t>
  </si>
  <si>
    <t>58,57%</t>
  </si>
  <si>
    <t>19,83%</t>
  </si>
  <si>
    <t>CE OLGA BENARIO PRESTES</t>
  </si>
  <si>
    <t>79,10%</t>
  </si>
  <si>
    <t>69,87%</t>
  </si>
  <si>
    <t>20,55%</t>
  </si>
  <si>
    <t>CE OLIMPIA DO COUTO</t>
  </si>
  <si>
    <t>67,17%</t>
  </si>
  <si>
    <t>20,63%</t>
  </si>
  <si>
    <t>75,09%</t>
  </si>
  <si>
    <t>CE OLINTO DA GAMA BOTELHO</t>
  </si>
  <si>
    <t>64,46%</t>
  </si>
  <si>
    <t>24,64%</t>
  </si>
  <si>
    <t>58,23%</t>
  </si>
  <si>
    <t>CE OSWALDO TEIXEIRA</t>
  </si>
  <si>
    <t>40,21%</t>
  </si>
  <si>
    <t>68,13%</t>
  </si>
  <si>
    <t>19,30%</t>
  </si>
  <si>
    <t>CE PARAIBA</t>
  </si>
  <si>
    <t>55,81%</t>
  </si>
  <si>
    <t>20,90%</t>
  </si>
  <si>
    <t>53,49%</t>
  </si>
  <si>
    <t>CE PARANA</t>
  </si>
  <si>
    <t>56,82%</t>
  </si>
  <si>
    <t>61,36%</t>
  </si>
  <si>
    <t>CE PASTOR MIRANDA PINTO</t>
  </si>
  <si>
    <t>22,28%</t>
  </si>
  <si>
    <t>50,98%</t>
  </si>
  <si>
    <t>CE PAULO FREIRE</t>
  </si>
  <si>
    <t>75,91%</t>
  </si>
  <si>
    <t>23,46%</t>
  </si>
  <si>
    <t>70,07%</t>
  </si>
  <si>
    <t>CE PERNAMBUCO</t>
  </si>
  <si>
    <t>61,96%</t>
  </si>
  <si>
    <t>20,40%</t>
  </si>
  <si>
    <t>60,34%</t>
  </si>
  <si>
    <t>CE PREFEITO MENDES DE MORAES</t>
  </si>
  <si>
    <t>68,62%</t>
  </si>
  <si>
    <t>25,41%</t>
  </si>
  <si>
    <t>34,69%</t>
  </si>
  <si>
    <t>19,37%</t>
  </si>
  <si>
    <t>CE PROFESSOR AUGUSTO MOTTA</t>
  </si>
  <si>
    <t>36,92%</t>
  </si>
  <si>
    <t>35,38%</t>
  </si>
  <si>
    <t>CE PROFESSOR CLOVIS MONTEIRO</t>
  </si>
  <si>
    <t>52,47%</t>
  </si>
  <si>
    <t>20,52%</t>
  </si>
  <si>
    <t>CE PROFESSOR HORACIO MACEDO</t>
  </si>
  <si>
    <t>88,24%</t>
  </si>
  <si>
    <t>30,13%</t>
  </si>
  <si>
    <t>75,74%</t>
  </si>
  <si>
    <t>CE PROFESSOR JOAO BORGES DE MORAES</t>
  </si>
  <si>
    <t>96,27%</t>
  </si>
  <si>
    <t>16,75%</t>
  </si>
  <si>
    <t>18,15%</t>
  </si>
  <si>
    <t>CE PROFESSOR JOEL DE OLIVEIRA</t>
  </si>
  <si>
    <t>92,97%</t>
  </si>
  <si>
    <t>16,94%</t>
  </si>
  <si>
    <t>58,07%</t>
  </si>
  <si>
    <t>CE PROFESSOR JOSE ACCIOLI</t>
  </si>
  <si>
    <t>99,63%</t>
  </si>
  <si>
    <t>22,07%</t>
  </si>
  <si>
    <t>21,63%</t>
  </si>
  <si>
    <t>CE PROFESSOR JOSE DE SOUZA MARQUES</t>
  </si>
  <si>
    <t>71,47%</t>
  </si>
  <si>
    <t>23,36%</t>
  </si>
  <si>
    <t>73,39%</t>
  </si>
  <si>
    <t>CE PROFESSOR MANUEL MAURICIO DE ALBUQUERQUE</t>
  </si>
  <si>
    <t>53,48%</t>
  </si>
  <si>
    <t>19,46%</t>
  </si>
  <si>
    <t>21,98%</t>
  </si>
  <si>
    <t>19,16%</t>
  </si>
  <si>
    <t>CE PROFESSOR SOUSA DA SILVEIRA</t>
  </si>
  <si>
    <t>23,37%</t>
  </si>
  <si>
    <t>20,49%</t>
  </si>
  <si>
    <t>CE PROFESSORA DIUMA MADEIRA SALLES DE SOUZA</t>
  </si>
  <si>
    <t>57,75%</t>
  </si>
  <si>
    <t>55,06%</t>
  </si>
  <si>
    <t>19,13%</t>
  </si>
  <si>
    <t>CE PROFESSORA ELIANE MARTINS DANTAS BRASIL ALEMANHA</t>
  </si>
  <si>
    <t>89,33%</t>
  </si>
  <si>
    <t>CE PROFESSORA LUIZA MARINHO</t>
  </si>
  <si>
    <t>73,96%</t>
  </si>
  <si>
    <t>22,68%</t>
  </si>
  <si>
    <t>19,34%</t>
  </si>
  <si>
    <t>CE PROFESSORA MARIA DE LOURDES DE OLIVEIRA LAVOR - TIA LAVOR</t>
  </si>
  <si>
    <t>65,49%</t>
  </si>
  <si>
    <t>23,09%</t>
  </si>
  <si>
    <t>53,14%</t>
  </si>
  <si>
    <t>CE PROFESSORA MARIA NAZARETH CAVALCANTI SILVA</t>
  </si>
  <si>
    <t>62,53%</t>
  </si>
  <si>
    <t>51,51%</t>
  </si>
  <si>
    <t>CE PROFESSORA SONIA REGINA SCUDESE DESSIMONI PINTO</t>
  </si>
  <si>
    <t>75,70%</t>
  </si>
  <si>
    <t>21,00%</t>
  </si>
  <si>
    <t>CE REPUBLICA DE ANGOLA</t>
  </si>
  <si>
    <t>41,89%</t>
  </si>
  <si>
    <t>20,01%</t>
  </si>
  <si>
    <t>CE REPUBLICA DE GUINE BISSAU</t>
  </si>
  <si>
    <t>95,41%</t>
  </si>
  <si>
    <t>19,48%</t>
  </si>
  <si>
    <t>CE REPUBLICA DO PERU</t>
  </si>
  <si>
    <t>19,38%</t>
  </si>
  <si>
    <t>48,57%</t>
  </si>
  <si>
    <t>19,27%</t>
  </si>
  <si>
    <t>CE RODRIGO OTÁVIO FILHO</t>
  </si>
  <si>
    <t>16,11%</t>
  </si>
  <si>
    <t>67,12%</t>
  </si>
  <si>
    <t>CE ROSA LUXEMBURGO</t>
  </si>
  <si>
    <t>65,06%</t>
  </si>
  <si>
    <t>CE RUY BARBOSA</t>
  </si>
  <si>
    <t>73,04%</t>
  </si>
  <si>
    <t>CE SANTOS DUMONT</t>
  </si>
  <si>
    <t>73,20%</t>
  </si>
  <si>
    <t>21,35%</t>
  </si>
  <si>
    <t>63,92%</t>
  </si>
  <si>
    <t>CE SAO JOAO BATISTA</t>
  </si>
  <si>
    <t>CE SENADOR FRANCISCO GALLOTTI</t>
  </si>
  <si>
    <t>CE TENENTE GENERAL NAPION</t>
  </si>
  <si>
    <t>70,10%</t>
  </si>
  <si>
    <t>20,98%</t>
  </si>
  <si>
    <t>CE TERESA CRISTINA</t>
  </si>
  <si>
    <t>74,32%</t>
  </si>
  <si>
    <t>CE VIRGILIO DE MELO FRANCO</t>
  </si>
  <si>
    <t>81,10%</t>
  </si>
  <si>
    <t>73,23%</t>
  </si>
  <si>
    <t>CE VISCONDE DE CAIRU</t>
  </si>
  <si>
    <t>58,98%</t>
  </si>
  <si>
    <t>25,26%</t>
  </si>
  <si>
    <t>62,71%</t>
  </si>
  <si>
    <t>CE WALDEMIRO POTSCH</t>
  </si>
  <si>
    <t>38,98%</t>
  </si>
  <si>
    <t>CIEP 092 FEDERICO FELLINI</t>
  </si>
  <si>
    <t>50,65%</t>
  </si>
  <si>
    <t>22,98%</t>
  </si>
  <si>
    <t>CIEP 173 RAINHA NZINGA DE ANGOLA</t>
  </si>
  <si>
    <t>20,72%</t>
  </si>
  <si>
    <t>45,71%</t>
  </si>
  <si>
    <t>19,54%</t>
  </si>
  <si>
    <t>CIEP 195 ANIBAL MACHADO</t>
  </si>
  <si>
    <t>88,00%</t>
  </si>
  <si>
    <t>77,50%</t>
  </si>
  <si>
    <t>CIEP 323 MARIA WERNECK DE CASTRO</t>
  </si>
  <si>
    <t>62,02%</t>
  </si>
  <si>
    <t>62,45%</t>
  </si>
  <si>
    <t>CIEP 326 PROFESSOR CESAR PERNETTA</t>
  </si>
  <si>
    <t>65,19%</t>
  </si>
  <si>
    <t>99,51%</t>
  </si>
  <si>
    <t>10,28%</t>
  </si>
  <si>
    <t>CIEP 339 MARIO TAMBORINDEGUY</t>
  </si>
  <si>
    <t>57,25%</t>
  </si>
  <si>
    <t>CIEP 379 RAUL SEIXAS</t>
  </si>
  <si>
    <t>71,33%</t>
  </si>
  <si>
    <t>31,05%</t>
  </si>
  <si>
    <t>19,10%</t>
  </si>
  <si>
    <t>IE CARMELA DUTRA</t>
  </si>
  <si>
    <t>62,18%</t>
  </si>
  <si>
    <t>25,34%</t>
  </si>
  <si>
    <t>47,17%</t>
  </si>
  <si>
    <t>CAIC NACOES UNIDAS</t>
  </si>
  <si>
    <t>56,68%</t>
  </si>
  <si>
    <t>17,96%</t>
  </si>
  <si>
    <t>CE AGOSTINHO NETO</t>
  </si>
  <si>
    <t>63,87%</t>
  </si>
  <si>
    <t>20,13%</t>
  </si>
  <si>
    <t>CE ALDEBARA</t>
  </si>
  <si>
    <t>84,48%</t>
  </si>
  <si>
    <t>16,78%</t>
  </si>
  <si>
    <t>CE ALICE DE SOUZA BRUNO</t>
  </si>
  <si>
    <t>24,49%</t>
  </si>
  <si>
    <t>CE ALMIRANTE FRONTIN</t>
  </si>
  <si>
    <t>21,86%</t>
  </si>
  <si>
    <t>59,48%</t>
  </si>
  <si>
    <t>CE ALVARINA DE CARVALHO JANOTTI</t>
  </si>
  <si>
    <t>88,51%</t>
  </si>
  <si>
    <t>82,35%</t>
  </si>
  <si>
    <t>20,02%</t>
  </si>
  <si>
    <t>CE AMAZONAS</t>
  </si>
  <si>
    <t>95,47%</t>
  </si>
  <si>
    <t>56,94%</t>
  </si>
  <si>
    <t>20,27%</t>
  </si>
  <si>
    <t>CE BANANAL</t>
  </si>
  <si>
    <t>89,47%</t>
  </si>
  <si>
    <t>19,02%</t>
  </si>
  <si>
    <t>CE BANGU</t>
  </si>
  <si>
    <t>48,48%</t>
  </si>
  <si>
    <t>47,12%</t>
  </si>
  <si>
    <t>CE BARÃO DE ITARARÉ</t>
  </si>
  <si>
    <t>60,53%</t>
  </si>
  <si>
    <t>CE BARÃO DE SANTA MARGARIDA</t>
  </si>
  <si>
    <t>18,28%</t>
  </si>
  <si>
    <t>CE BARAO DE TEFE</t>
  </si>
  <si>
    <t>81,43%</t>
  </si>
  <si>
    <t>26,18%</t>
  </si>
  <si>
    <t>76,19%</t>
  </si>
  <si>
    <t>88,31%</t>
  </si>
  <si>
    <t>62,54%</t>
  </si>
  <si>
    <t>CE BARONESA DE SAAVEDRA</t>
  </si>
  <si>
    <t>11,52%</t>
  </si>
  <si>
    <t>70,51%</t>
  </si>
  <si>
    <t>CE CARLOS ARNOLDO ABRUZZINI DA FONSECA</t>
  </si>
  <si>
    <t>61,41%</t>
  </si>
  <si>
    <t>21,53%</t>
  </si>
  <si>
    <t>38,36%</t>
  </si>
  <si>
    <t>19,21%</t>
  </si>
  <si>
    <t>CE CARLOS MAGNO NAZARETH CERQUEIRA</t>
  </si>
  <si>
    <t>95,25%</t>
  </si>
  <si>
    <t>14,40%</t>
  </si>
  <si>
    <t>46,44%</t>
  </si>
  <si>
    <t>CE CHARLES DICKENS</t>
  </si>
  <si>
    <t>68,00%</t>
  </si>
  <si>
    <t>CE CLODOMIRO VASCONCELOS</t>
  </si>
  <si>
    <t>78,44%</t>
  </si>
  <si>
    <t>24,15%</t>
  </si>
  <si>
    <t>CE COELHO NETO</t>
  </si>
  <si>
    <t>63,10%</t>
  </si>
  <si>
    <t>24,16%</t>
  </si>
  <si>
    <t>CE COLLECCHIO</t>
  </si>
  <si>
    <t>64,82%</t>
  </si>
  <si>
    <t>36,74%</t>
  </si>
  <si>
    <t>CE CORA CORALINA</t>
  </si>
  <si>
    <t>56,67%</t>
  </si>
  <si>
    <t>35,83%</t>
  </si>
  <si>
    <t>19,61%</t>
  </si>
  <si>
    <t>CE CRISTOVAO COLOMBO</t>
  </si>
  <si>
    <t>CE DALVA DE OLIVEIRA</t>
  </si>
  <si>
    <t>70,53%</t>
  </si>
  <si>
    <t>19,22%</t>
  </si>
  <si>
    <t>CE DEBORAH MENDES DE MORAES</t>
  </si>
  <si>
    <t>82,58%</t>
  </si>
  <si>
    <t>70,47%</t>
  </si>
  <si>
    <t>20,46%</t>
  </si>
  <si>
    <t>CE DOUTOR ALBERT SABIN</t>
  </si>
  <si>
    <t>63,63%</t>
  </si>
  <si>
    <t>46,70%</t>
  </si>
  <si>
    <t>CE ENGENHEIRO JOAO THOME</t>
  </si>
  <si>
    <t>41,48%</t>
  </si>
  <si>
    <t>CE ERICH WALTER HEINE</t>
  </si>
  <si>
    <t>27,80%</t>
  </si>
  <si>
    <t>74,44%</t>
  </si>
  <si>
    <t>CE FRANCISCO CALDEIRA DE ALVARENGA</t>
  </si>
  <si>
    <t>92,92%</t>
  </si>
  <si>
    <t>14,89%</t>
  </si>
  <si>
    <t>CE FREIRE ALLEMAO</t>
  </si>
  <si>
    <t>44,32%</t>
  </si>
  <si>
    <t>CE GANDHI</t>
  </si>
  <si>
    <t>77,03%</t>
  </si>
  <si>
    <t>20,75%</t>
  </si>
  <si>
    <t>60,50%</t>
  </si>
  <si>
    <t>19,52%</t>
  </si>
  <si>
    <t>CE GEORGE WASHINGTON</t>
  </si>
  <si>
    <t>64,15%</t>
  </si>
  <si>
    <t>62,26%</t>
  </si>
  <si>
    <t>CE HEBE CAMARGO</t>
  </si>
  <si>
    <t>94,70%</t>
  </si>
  <si>
    <t>93,56%</t>
  </si>
  <si>
    <t>23,23%</t>
  </si>
  <si>
    <t>CE IRINEU JOSE FERREIRA</t>
  </si>
  <si>
    <t>68,36%</t>
  </si>
  <si>
    <t>66,26%</t>
  </si>
  <si>
    <t>20,59%</t>
  </si>
  <si>
    <t>CE JOAO PROENCA</t>
  </si>
  <si>
    <t>52,10%</t>
  </si>
  <si>
    <t>49,70%</t>
  </si>
  <si>
    <t>CE JOAO SALIM MIGUEL</t>
  </si>
  <si>
    <t>98,58%</t>
  </si>
  <si>
    <t>19,29%</t>
  </si>
  <si>
    <t>74,23%</t>
  </si>
  <si>
    <t>CE JORGE ZARUR</t>
  </si>
  <si>
    <t>83,01%</t>
  </si>
  <si>
    <t>64,53%</t>
  </si>
  <si>
    <t>CE JORNALISTA ARTUR DA TAVOLA</t>
  </si>
  <si>
    <t>79,75%</t>
  </si>
  <si>
    <t>23,01%</t>
  </si>
  <si>
    <t>74,20%</t>
  </si>
  <si>
    <t>CE JOSE MARIA DE BRITO BRASIL JAPAO</t>
  </si>
  <si>
    <t>24,82%</t>
  </si>
  <si>
    <t>CE JUREMA PECANHA GIRAUD</t>
  </si>
  <si>
    <t>55,68%</t>
  </si>
  <si>
    <t>22,02%</t>
  </si>
  <si>
    <t>43,65%</t>
  </si>
  <si>
    <t>18,02%</t>
  </si>
  <si>
    <t>CE LEOPOLDINA DA SILVEIRA</t>
  </si>
  <si>
    <t>93,63%</t>
  </si>
  <si>
    <t>16,27%</t>
  </si>
  <si>
    <t>88,97%</t>
  </si>
  <si>
    <t>12,41%</t>
  </si>
  <si>
    <t>CE LIBERDADE</t>
  </si>
  <si>
    <t>68,68%</t>
  </si>
  <si>
    <t>43,39%</t>
  </si>
  <si>
    <t>CE MADRE TERESA DE CALCUTA</t>
  </si>
  <si>
    <t>96,85%</t>
  </si>
  <si>
    <t>15,71%</t>
  </si>
  <si>
    <t>67,05%</t>
  </si>
  <si>
    <t>CE MARECHAL RONDON</t>
  </si>
  <si>
    <t>55,67%</t>
  </si>
  <si>
    <t>58,16%</t>
  </si>
  <si>
    <t>CE MARIETA CUNHA DA SILVA</t>
  </si>
  <si>
    <t>55,24%</t>
  </si>
  <si>
    <t>CE MINISTRO MARCOS FREIRE</t>
  </si>
  <si>
    <t>52,81%</t>
  </si>
  <si>
    <t>34,21%</t>
  </si>
  <si>
    <t>CE MISSIONÁRIO MÁRIO WAY</t>
  </si>
  <si>
    <t>56,17%</t>
  </si>
  <si>
    <t>21,15%</t>
  </si>
  <si>
    <t>CE MOACYR PADILHA</t>
  </si>
  <si>
    <t>33,04%</t>
  </si>
  <si>
    <t>49,57%</t>
  </si>
  <si>
    <t>CE MONSENHOR MIGUEL DE SANTA MARIA MOCHON</t>
  </si>
  <si>
    <t>69,59%</t>
  </si>
  <si>
    <t>27,14%</t>
  </si>
  <si>
    <t>73,10%</t>
  </si>
  <si>
    <t>CE MONTEIRO LOBATO</t>
  </si>
  <si>
    <t>22,24%</t>
  </si>
  <si>
    <t>CE NICARAGUA</t>
  </si>
  <si>
    <t>56,15%</t>
  </si>
  <si>
    <t>40,77%</t>
  </si>
  <si>
    <t>CE PESTALOZZI</t>
  </si>
  <si>
    <t>64,93%</t>
  </si>
  <si>
    <t>29,85%</t>
  </si>
  <si>
    <t>17,67%</t>
  </si>
  <si>
    <t>CE PIRANEMA</t>
  </si>
  <si>
    <t>94,64%</t>
  </si>
  <si>
    <t>86,11%</t>
  </si>
  <si>
    <t>CE PRESIDENTE ANTONIO CARLOS</t>
  </si>
  <si>
    <t>46,62%</t>
  </si>
  <si>
    <t>CE PRESIDENTE DUTRA</t>
  </si>
  <si>
    <t>16,71%</t>
  </si>
  <si>
    <t>51,33%</t>
  </si>
  <si>
    <t>CE PROFESSOR DALTRO SANTOS</t>
  </si>
  <si>
    <t>52,54%</t>
  </si>
  <si>
    <t>CE PROFESSOR FERNANDO ANTONIO RAJA GABAGLIA</t>
  </si>
  <si>
    <t>15,81%</t>
  </si>
  <si>
    <t>67,09%</t>
  </si>
  <si>
    <t>CE PROFESSOR GONCALVES</t>
  </si>
  <si>
    <t>43,90%</t>
  </si>
  <si>
    <t>CE PROFESSOR NEY CIDADE PALMEIRO</t>
  </si>
  <si>
    <t>86,64%</t>
  </si>
  <si>
    <t>26,01%</t>
  </si>
  <si>
    <t>77,62%</t>
  </si>
  <si>
    <t>CE PROFESSOR OZEAS GOMES LARANGEIRAS</t>
  </si>
  <si>
    <t>62,57%</t>
  </si>
  <si>
    <t>68,71%</t>
  </si>
  <si>
    <t>CE PROFESSOR ROBERTO LYRA</t>
  </si>
  <si>
    <t>CE PROFESSOR VIEIRA FAZENDA</t>
  </si>
  <si>
    <t>73,48%</t>
  </si>
  <si>
    <t>CE PROFESSOR WALDEMAR RAYTHE</t>
  </si>
  <si>
    <t>73,89%</t>
  </si>
  <si>
    <t>49,04%</t>
  </si>
  <si>
    <t>CE PROFESSORA ALBA CANIZARES DO NASCIMENTO</t>
  </si>
  <si>
    <t>18,57%</t>
  </si>
  <si>
    <t>23,57%</t>
  </si>
  <si>
    <t>CE PROFESSORA ELIANA DE ALMEIDA SANTOS</t>
  </si>
  <si>
    <t>78,98%</t>
  </si>
  <si>
    <t>80,12%</t>
  </si>
  <si>
    <t>19,99%</t>
  </si>
  <si>
    <t>CE PROFESSORA JEANNETTE DE SOUZA COELHO MANNARINO</t>
  </si>
  <si>
    <t>85,60%</t>
  </si>
  <si>
    <t>15,28%</t>
  </si>
  <si>
    <t>25,30%</t>
  </si>
  <si>
    <t>CE PROFESSORA MARIA IZABEL DO COUTO BRANDAO</t>
  </si>
  <si>
    <t>69,49%</t>
  </si>
  <si>
    <t>64,44%</t>
  </si>
  <si>
    <t>CE PROFESSORA VANIA DO AMARAL MATIAS EDDE</t>
  </si>
  <si>
    <t>72,79%</t>
  </si>
  <si>
    <t>57,05%</t>
  </si>
  <si>
    <t>CE PROFESSORA VILMA ATANAZIO</t>
  </si>
  <si>
    <t>93,89%</t>
  </si>
  <si>
    <t>54,98%</t>
  </si>
  <si>
    <t>CE RAINHA VITORIA</t>
  </si>
  <si>
    <t>79,31%</t>
  </si>
  <si>
    <t>12,74%</t>
  </si>
  <si>
    <t>46,55%</t>
  </si>
  <si>
    <t>CE RAMIZ GALVAO</t>
  </si>
  <si>
    <t>48,80%</t>
  </si>
  <si>
    <t>21,44%</t>
  </si>
  <si>
    <t>42,40%</t>
  </si>
  <si>
    <t>48,94%</t>
  </si>
  <si>
    <t>20,64%</t>
  </si>
  <si>
    <t>56,96%</t>
  </si>
  <si>
    <t>19,25%</t>
  </si>
  <si>
    <t>CE REPUBLICA DE MOCAMBIQUE</t>
  </si>
  <si>
    <t>70,90%</t>
  </si>
  <si>
    <t>53,79%</t>
  </si>
  <si>
    <t>CE ROSARIA TROTTA</t>
  </si>
  <si>
    <t>44,59%</t>
  </si>
  <si>
    <t>CE SANDRA ROLDAN BARBOZA</t>
  </si>
  <si>
    <t>62,99%</t>
  </si>
  <si>
    <t>55,91%</t>
  </si>
  <si>
    <t>CE STUART EDGAR ANGEL JONES</t>
  </si>
  <si>
    <t>70,84%</t>
  </si>
  <si>
    <t>47,01%</t>
  </si>
  <si>
    <t>CE VIRIATO CORREA</t>
  </si>
  <si>
    <t>15,88%</t>
  </si>
  <si>
    <t>34,91%</t>
  </si>
  <si>
    <t>CIE MIECIMO DA SILVA</t>
  </si>
  <si>
    <t>94,69%</t>
  </si>
  <si>
    <t>86,96%</t>
  </si>
  <si>
    <t>22,26%</t>
  </si>
  <si>
    <t>CIEP 048 DJALMA MARANHAO</t>
  </si>
  <si>
    <t>67,69%</t>
  </si>
  <si>
    <t>22,20%</t>
  </si>
  <si>
    <t>CIEP 155 MARIA JOAQUINA DE OLIVEIRA</t>
  </si>
  <si>
    <t>97,76%</t>
  </si>
  <si>
    <t>14,79%</t>
  </si>
  <si>
    <t>52,69%</t>
  </si>
  <si>
    <t>CIEP 156 DOUTOR ALBERT SABIN</t>
  </si>
  <si>
    <t>26,39%</t>
  </si>
  <si>
    <t>46,78%</t>
  </si>
  <si>
    <t>CIEP 165 BRIGADEIRO SERGIO CARVALHO</t>
  </si>
  <si>
    <t>45,56%</t>
  </si>
  <si>
    <t>54,02%</t>
  </si>
  <si>
    <t>CIEP 183 JOÃO VITTA</t>
  </si>
  <si>
    <t>64,75%</t>
  </si>
  <si>
    <t>47,97%</t>
  </si>
  <si>
    <t>CIEP 223 OLYMPIO MARQUES DOS SANTOS</t>
  </si>
  <si>
    <t>69,18%</t>
  </si>
  <si>
    <t>24,25%</t>
  </si>
  <si>
    <t>20,71%</t>
  </si>
  <si>
    <t>CIEP 224 TARSO DE CASTRO</t>
  </si>
  <si>
    <t>48,62%</t>
  </si>
  <si>
    <t>CIEP 225 MARIO QUINTANA</t>
  </si>
  <si>
    <t>75,10%</t>
  </si>
  <si>
    <t>69,78%</t>
  </si>
  <si>
    <t>CIEP 244 OSWALDO ARANHA</t>
  </si>
  <si>
    <t>60,93%</t>
  </si>
  <si>
    <t>22,90%</t>
  </si>
  <si>
    <t>48,70%</t>
  </si>
  <si>
    <t>CIEP 305 HEITOR DOS PRAZERES</t>
  </si>
  <si>
    <t>CIEP 311 DEPUTADO BOCAYUVA CUNHA</t>
  </si>
  <si>
    <t>63,11%</t>
  </si>
  <si>
    <t>50,27%</t>
  </si>
  <si>
    <t>CIEP 312 RAUL RYFF</t>
  </si>
  <si>
    <t>66,55%</t>
  </si>
  <si>
    <t>24,31%</t>
  </si>
  <si>
    <t>CIEP 313 RUBEM BRAGA</t>
  </si>
  <si>
    <t>54,67%</t>
  </si>
  <si>
    <t>23,15%</t>
  </si>
  <si>
    <t>28,78%</t>
  </si>
  <si>
    <t>CIEP 329 JUAN MARTINHO CARRASCO</t>
  </si>
  <si>
    <t>77,52%</t>
  </si>
  <si>
    <t>57,80%</t>
  </si>
  <si>
    <t>CIEP 336 OCTAVIO MALTA</t>
  </si>
  <si>
    <t>59,24%</t>
  </si>
  <si>
    <t>56,12%</t>
  </si>
  <si>
    <t>CIEP 362 ROBERTO BURLE MARX</t>
  </si>
  <si>
    <t>66,03%</t>
  </si>
  <si>
    <t>54,22%</t>
  </si>
  <si>
    <t>CIEP 368 JOAO CONCEICAO CANUTO</t>
  </si>
  <si>
    <t>64,07%</t>
  </si>
  <si>
    <t>CIEP 382 ASPIRANTE FRANCISCO MEGA</t>
  </si>
  <si>
    <t>68,26%</t>
  </si>
  <si>
    <t>CIEP 386 GUILHERME DA SILVEIRA FILHO</t>
  </si>
  <si>
    <t>69,43%</t>
  </si>
  <si>
    <t>22,53%</t>
  </si>
  <si>
    <t>55,66%</t>
  </si>
  <si>
    <t>CIEP 392 MARIO DE ANDRADE</t>
  </si>
  <si>
    <t>22,64%</t>
  </si>
  <si>
    <t>59,07%</t>
  </si>
  <si>
    <t>CIEP 418 ANTONIO CARLOS BERNARDES - MUSSUM</t>
  </si>
  <si>
    <t>60,27%</t>
  </si>
  <si>
    <t>CIEP 432 ALBERTO CAVALCANTI</t>
  </si>
  <si>
    <t>73,02%</t>
  </si>
  <si>
    <t>46,03%</t>
  </si>
  <si>
    <t>CIEP 433 TOGO RENAN SOARES KANELA</t>
  </si>
  <si>
    <t>48,52%</t>
  </si>
  <si>
    <t>CIEP 435 HELIO PELLEGRINO</t>
  </si>
  <si>
    <t>76,49%</t>
  </si>
  <si>
    <t>23,42%</t>
  </si>
  <si>
    <t>66,72%</t>
  </si>
  <si>
    <t>CIEP 498 IRMÃ DULCE</t>
  </si>
  <si>
    <t>67,81%</t>
  </si>
  <si>
    <t>20,78%</t>
  </si>
  <si>
    <t>51,03%</t>
  </si>
  <si>
    <t>20,21%</t>
  </si>
  <si>
    <t>IE SARAH KUBITSCHEK</t>
  </si>
  <si>
    <t>90,33%</t>
  </si>
  <si>
    <t>28,76%</t>
  </si>
  <si>
    <t>79,25%</t>
  </si>
  <si>
    <t>22,56%</t>
  </si>
  <si>
    <t>CE ABDALA CHAMA</t>
  </si>
  <si>
    <t>77,12%</t>
  </si>
  <si>
    <t>27,13%</t>
  </si>
  <si>
    <t>51,55%</t>
  </si>
  <si>
    <t>CE ADELINA CASTRO</t>
  </si>
  <si>
    <t>78,50%</t>
  </si>
  <si>
    <t>24,71%</t>
  </si>
  <si>
    <t>64,50%</t>
  </si>
  <si>
    <t>CE ALEMY TAVARES DA SILVA</t>
  </si>
  <si>
    <t>81,60%</t>
  </si>
  <si>
    <t>68,80%</t>
  </si>
  <si>
    <t>CE ALEXANDER GRAHAM BELL</t>
  </si>
  <si>
    <t>68,58%</t>
  </si>
  <si>
    <t>21,01%</t>
  </si>
  <si>
    <t>CE ALVARO NEGROMONTE</t>
  </si>
  <si>
    <t>54,69%</t>
  </si>
  <si>
    <t>CE AURA BARRETO</t>
  </si>
  <si>
    <t>98,25%</t>
  </si>
  <si>
    <t>20,95%</t>
  </si>
  <si>
    <t>CE BARAO DE MAUA</t>
  </si>
  <si>
    <t>86,60%</t>
  </si>
  <si>
    <t>64,08%</t>
  </si>
  <si>
    <t>CE CIRCULO OPERARIO</t>
  </si>
  <si>
    <t>71,35%</t>
  </si>
  <si>
    <t>50,79%</t>
  </si>
  <si>
    <t>21,46%</t>
  </si>
  <si>
    <t>CE DOUTOR ALFREDO BACKER</t>
  </si>
  <si>
    <t>70,14%</t>
  </si>
  <si>
    <t>CE DOUTOR IGNACIO BEZERRA DE MENEZES</t>
  </si>
  <si>
    <t>78,09%</t>
  </si>
  <si>
    <t>57,87%</t>
  </si>
  <si>
    <t>21,67%</t>
  </si>
  <si>
    <t>CE DULCE PETRI</t>
  </si>
  <si>
    <t>82,65%</t>
  </si>
  <si>
    <t>29,69%</t>
  </si>
  <si>
    <t>65,31%</t>
  </si>
  <si>
    <t>19,95%</t>
  </si>
  <si>
    <t>CE DUQUE DE CAXIAS</t>
  </si>
  <si>
    <t>77,35%</t>
  </si>
  <si>
    <t>74,35%</t>
  </si>
  <si>
    <t>79,87%</t>
  </si>
  <si>
    <t>71,81%</t>
  </si>
  <si>
    <t>CE EVANGELINA PORTO DA MOTTA</t>
  </si>
  <si>
    <t>73,50%</t>
  </si>
  <si>
    <t>67,95%</t>
  </si>
  <si>
    <t>21,64%</t>
  </si>
  <si>
    <t>CE FERNANDO FIGUEIREDO</t>
  </si>
  <si>
    <t>71,31%</t>
  </si>
  <si>
    <t>CE FIDELIS MEDEIROS</t>
  </si>
  <si>
    <t>75,24%</t>
  </si>
  <si>
    <t>60,95%</t>
  </si>
  <si>
    <t>CE FREI HENRIQUE DE COIMBRA</t>
  </si>
  <si>
    <t>80,34%</t>
  </si>
  <si>
    <t>27,20%</t>
  </si>
  <si>
    <t>CE GETÚLIO VARGAS</t>
  </si>
  <si>
    <t>28,01%</t>
  </si>
  <si>
    <t>83,64%</t>
  </si>
  <si>
    <t>CE GUADALAJARA</t>
  </si>
  <si>
    <t>16,25%</t>
  </si>
  <si>
    <t>44,16%</t>
  </si>
  <si>
    <t>CE HELIO RANGEL</t>
  </si>
  <si>
    <t>75,57%</t>
  </si>
  <si>
    <t>76,24%</t>
  </si>
  <si>
    <t>CE HERBERT MOSES</t>
  </si>
  <si>
    <t>95,57%</t>
  </si>
  <si>
    <t>17,62%</t>
  </si>
  <si>
    <t>14,73%</t>
  </si>
  <si>
    <t>CE HERVALINA DINIZ PIRES</t>
  </si>
  <si>
    <t>24,99%</t>
  </si>
  <si>
    <t>CE IRINEU MARINHO</t>
  </si>
  <si>
    <t>59,20%</t>
  </si>
  <si>
    <t>74,40%</t>
  </si>
  <si>
    <t>CE LARA VILLELA</t>
  </si>
  <si>
    <t>52,78%</t>
  </si>
  <si>
    <t>17,73%</t>
  </si>
  <si>
    <t>CE LIA MARCIA GONÇALVES PANARO</t>
  </si>
  <si>
    <t>94,61%</t>
  </si>
  <si>
    <t>CE MANOEL BANDEIRA</t>
  </si>
  <si>
    <t>86,75%</t>
  </si>
  <si>
    <t>77,11%</t>
  </si>
  <si>
    <t>68,32%</t>
  </si>
  <si>
    <t>21,11%</t>
  </si>
  <si>
    <t>55,90%</t>
  </si>
  <si>
    <t>94,00%</t>
  </si>
  <si>
    <t>22,16%</t>
  </si>
  <si>
    <t>CE MINAS GERAIS</t>
  </si>
  <si>
    <t>63,14%</t>
  </si>
  <si>
    <t>63,98%</t>
  </si>
  <si>
    <t>95,78%</t>
  </si>
  <si>
    <t>77,71%</t>
  </si>
  <si>
    <t>20,86%</t>
  </si>
  <si>
    <t>CE NOVA AMÉRICA</t>
  </si>
  <si>
    <t>82,55%</t>
  </si>
  <si>
    <t>65,53%</t>
  </si>
  <si>
    <t>20,39%</t>
  </si>
  <si>
    <t>CE OPERARIO JOAO VICENTE</t>
  </si>
  <si>
    <t>86,03%</t>
  </si>
  <si>
    <t>66,91%</t>
  </si>
  <si>
    <t>CE PADRE ANCHIETA</t>
  </si>
  <si>
    <t>79,57%</t>
  </si>
  <si>
    <t>74,73%</t>
  </si>
  <si>
    <t>CE PARADA ANGÉLICA</t>
  </si>
  <si>
    <t>78,06%</t>
  </si>
  <si>
    <t>CE PATRONO DUQUE DE CAXIAS</t>
  </si>
  <si>
    <t>80,67%</t>
  </si>
  <si>
    <t>70,30%</t>
  </si>
  <si>
    <t>CE PROFESSOR FRANCISCO PORTUGAL NEVES</t>
  </si>
  <si>
    <t>24,50%</t>
  </si>
  <si>
    <t>CE PROFESSOR JOSE DE SOUZA HERDY</t>
  </si>
  <si>
    <t>79,52%</t>
  </si>
  <si>
    <t>77,43%</t>
  </si>
  <si>
    <t>CE PROFESSORA MINERVINA BARBOSA DE CASTRO</t>
  </si>
  <si>
    <t>99,49%</t>
  </si>
  <si>
    <t>77,04%</t>
  </si>
  <si>
    <t>CE PROFESSORA NORMA TOOP URUGUAY</t>
  </si>
  <si>
    <t>79,17%</t>
  </si>
  <si>
    <t>24,38%</t>
  </si>
  <si>
    <t>CE PROFESSORA VERA LUCIA TAVARES ROMAO</t>
  </si>
  <si>
    <t>CE RUI BARBOSA</t>
  </si>
  <si>
    <t>75,32%</t>
  </si>
  <si>
    <t>61,04%</t>
  </si>
  <si>
    <t>CE SANTO ANTONIO</t>
  </si>
  <si>
    <t>70,49%</t>
  </si>
  <si>
    <t>62,70%</t>
  </si>
  <si>
    <t>CE SANTO INACIO</t>
  </si>
  <si>
    <t>87,27%</t>
  </si>
  <si>
    <t>21,94%</t>
  </si>
  <si>
    <t>CE SAO BENTO</t>
  </si>
  <si>
    <t>67,64%</t>
  </si>
  <si>
    <t>CE VINICIUS DE MORAES</t>
  </si>
  <si>
    <t>93,02%</t>
  </si>
  <si>
    <t>17,51%</t>
  </si>
  <si>
    <t>63,95%</t>
  </si>
  <si>
    <t>CE ZUMBI DOS PALMARES</t>
  </si>
  <si>
    <t>40,24%</t>
  </si>
  <si>
    <t>CIEP 031 LIRIO DO LAGUNA</t>
  </si>
  <si>
    <t>42,80%</t>
  </si>
  <si>
    <t>27,51%</t>
  </si>
  <si>
    <t>CIEP 032 CORA CORALINA</t>
  </si>
  <si>
    <t>16,96%</t>
  </si>
  <si>
    <t>66,04%</t>
  </si>
  <si>
    <t>CIEP 087 CLEMENTINA DE JESUS</t>
  </si>
  <si>
    <t>80,88%</t>
  </si>
  <si>
    <t>CIEP 089 GRACILIANO RAMOS</t>
  </si>
  <si>
    <t>15,39%</t>
  </si>
  <si>
    <t>47,90%</t>
  </si>
  <si>
    <t>CIEP 098 PROFESSORA HILDA DO CARMO SIQUEIRA</t>
  </si>
  <si>
    <t>25,25%</t>
  </si>
  <si>
    <t>26,91%</t>
  </si>
  <si>
    <t>CIEP 118 VEREADOR VILSON CAMPOS DE MACEDO</t>
  </si>
  <si>
    <t>60,21%</t>
  </si>
  <si>
    <t>61,21%</t>
  </si>
  <si>
    <t>CIEP 131 PROFESSORA ARMANDA ALVARO ALBERTO</t>
  </si>
  <si>
    <t>92,27%</t>
  </si>
  <si>
    <t>15,03%</t>
  </si>
  <si>
    <t>53,65%</t>
  </si>
  <si>
    <t>CIEP 171 JOSE AMERICO PESSANHA</t>
  </si>
  <si>
    <t>70,79%</t>
  </si>
  <si>
    <t>53,93%</t>
  </si>
  <si>
    <t>CIEP 176 CHICO MENDES</t>
  </si>
  <si>
    <t>23,10%</t>
  </si>
  <si>
    <t>89,74%</t>
  </si>
  <si>
    <t>CIEP 198 PROFESSORA ROZA FERREIRA DE MATTOS</t>
  </si>
  <si>
    <t>68,12%</t>
  </si>
  <si>
    <t>20,26%</t>
  </si>
  <si>
    <t>69,84%</t>
  </si>
  <si>
    <t>CIEP 199 GINÁSIO PÚBLICO CHARLES CHAPLIN</t>
  </si>
  <si>
    <t>55,51%</t>
  </si>
  <si>
    <t>24,91%</t>
  </si>
  <si>
    <t>66,34%</t>
  </si>
  <si>
    <t>CIEP 201 AARAO STEINBRUCH</t>
  </si>
  <si>
    <t>49,31%</t>
  </si>
  <si>
    <t>23,19%</t>
  </si>
  <si>
    <t>49,03%</t>
  </si>
  <si>
    <t>CIEP 208 ALCEU AMOROSO LIMA</t>
  </si>
  <si>
    <t>84,05%</t>
  </si>
  <si>
    <t>48,47%</t>
  </si>
  <si>
    <t>CIEP 218 MINISTRO HERMES LIMA BRASIL-TURQUIA</t>
  </si>
  <si>
    <t>97,44%</t>
  </si>
  <si>
    <t>CIEP 226 PORTO DA ESTRELA</t>
  </si>
  <si>
    <t>21,39%</t>
  </si>
  <si>
    <t>CIEP 228 DARCY VARGAS</t>
  </si>
  <si>
    <t>64,90%</t>
  </si>
  <si>
    <t>45,19%</t>
  </si>
  <si>
    <t>CIEP 229 CANDIDO PORTINARI</t>
  </si>
  <si>
    <t>14,41%</t>
  </si>
  <si>
    <t>CIEP 320 ERCILIA ANTONIA DA SILVA</t>
  </si>
  <si>
    <t>94,51%</t>
  </si>
  <si>
    <t>55,79%</t>
  </si>
  <si>
    <t>CIEP 340 PROFESSORA LAIS MARTINS</t>
  </si>
  <si>
    <t>82,38%</t>
  </si>
  <si>
    <t>23,22%</t>
  </si>
  <si>
    <t>67,75%</t>
  </si>
  <si>
    <t>CIEP 348 EUGENIA MOREYRA</t>
  </si>
  <si>
    <t>77,27%</t>
  </si>
  <si>
    <t>22,51%</t>
  </si>
  <si>
    <t>62,63%</t>
  </si>
  <si>
    <t>CIEP 350 TULIO ROBERTO QUINTILIANO CARDOSO</t>
  </si>
  <si>
    <t>94,05%</t>
  </si>
  <si>
    <t>82,74%</t>
  </si>
  <si>
    <t>CIEP 369 JORNALISTA SANDRO MOREYRA</t>
  </si>
  <si>
    <t>77,94%</t>
  </si>
  <si>
    <t>57,62%</t>
  </si>
  <si>
    <t>21,18%</t>
  </si>
  <si>
    <t>CIEP 370 PROFESSOR SYLVIO GNECCO DE CARVALHO - BRASIL-MÉXICO</t>
  </si>
  <si>
    <t>68,18%</t>
  </si>
  <si>
    <t>CIEP 404 CLARICE LISPECTOR</t>
  </si>
  <si>
    <t>89,20%</t>
  </si>
  <si>
    <t>18,17%</t>
  </si>
  <si>
    <t>56,34%</t>
  </si>
  <si>
    <t>CIEP 434 PROFESSORA MARIA JOSE MACHADO</t>
  </si>
  <si>
    <t>68,15%</t>
  </si>
  <si>
    <t>16,05%</t>
  </si>
  <si>
    <t>61,78%</t>
  </si>
  <si>
    <t>CIEP 476 ELIAS LAZARONI</t>
  </si>
  <si>
    <t>71,75%</t>
  </si>
  <si>
    <t>65,83%</t>
  </si>
  <si>
    <t>CIEP FILINTO MULLER - BRASIL-CHINA</t>
  </si>
  <si>
    <t>32,19%</t>
  </si>
  <si>
    <t>97,37%</t>
  </si>
  <si>
    <t>IE GOVERNADOR ROBERTO SILVEIRA</t>
  </si>
  <si>
    <t>92,31%</t>
  </si>
  <si>
    <t>73,11%</t>
  </si>
  <si>
    <t>CAIC EUCLYDES DA CUNHA</t>
  </si>
  <si>
    <t>42,25%</t>
  </si>
  <si>
    <t>CE ADALGISA MONTEIRO</t>
  </si>
  <si>
    <t>65,57%</t>
  </si>
  <si>
    <t>CE AFONSO PENA</t>
  </si>
  <si>
    <t>79,83%</t>
  </si>
  <si>
    <t>57,35%</t>
  </si>
  <si>
    <t>CE ALBERTO RANGEL</t>
  </si>
  <si>
    <t>CE ALINA DE BRITO</t>
  </si>
  <si>
    <t>20,91%</t>
  </si>
  <si>
    <t>52,58%</t>
  </si>
  <si>
    <t>17,97%</t>
  </si>
  <si>
    <t>CE ANDRE MAUROIS</t>
  </si>
  <si>
    <t>30,94%</t>
  </si>
  <si>
    <t>25,01%</t>
  </si>
  <si>
    <t>59,79%</t>
  </si>
  <si>
    <t>CE ANTONIO PRADO JUNIOR</t>
  </si>
  <si>
    <t>66,52%</t>
  </si>
  <si>
    <t>CE AUGUSTO RUSCHI</t>
  </si>
  <si>
    <t>73,53%</t>
  </si>
  <si>
    <t>48,39%</t>
  </si>
  <si>
    <t>CE BRIGADEIRO SCHORCHT</t>
  </si>
  <si>
    <t>48,67%</t>
  </si>
  <si>
    <t>23,48%</t>
  </si>
  <si>
    <t>CE CARDEAL DOM EUGENIO DE ARAUJO SALES</t>
  </si>
  <si>
    <t>19,74%</t>
  </si>
  <si>
    <t>47,64%</t>
  </si>
  <si>
    <t>CE CARLOS LACERDA</t>
  </si>
  <si>
    <t>21,97%</t>
  </si>
  <si>
    <t>CE CASTELNUOVO</t>
  </si>
  <si>
    <t>11,48%</t>
  </si>
  <si>
    <t>17,41%</t>
  </si>
  <si>
    <t>CE CHICO ANYSIO</t>
  </si>
  <si>
    <t>30,29%</t>
  </si>
  <si>
    <t>75,13%</t>
  </si>
  <si>
    <t>CE CHIQUINHA GONZAGA</t>
  </si>
  <si>
    <t>16,92%</t>
  </si>
  <si>
    <t>46,36%</t>
  </si>
  <si>
    <t>CE COMPOSITOR LUIZ CARLOS DA VILA</t>
  </si>
  <si>
    <t>64,85%</t>
  </si>
  <si>
    <t>24,29%</t>
  </si>
  <si>
    <t>50,97%</t>
  </si>
  <si>
    <t>CE COMPOSITOR LUIZ GONZAGA</t>
  </si>
  <si>
    <t>53,94%</t>
  </si>
  <si>
    <t>CE DELFIM MOREIRA</t>
  </si>
  <si>
    <t>69,52%</t>
  </si>
  <si>
    <t>CE DEODORO</t>
  </si>
  <si>
    <t>22,43%</t>
  </si>
  <si>
    <t>62,22%</t>
  </si>
  <si>
    <t>CE EMBAIXADOR DIAS CARNEIRO</t>
  </si>
  <si>
    <t>74,21%</t>
  </si>
  <si>
    <t>CE ENGENHEIRO BERNARDO SAYAO</t>
  </si>
  <si>
    <t>58,62%</t>
  </si>
  <si>
    <t>20,84%</t>
  </si>
  <si>
    <t>CE EUNICE WEAVER</t>
  </si>
  <si>
    <t>78,77%</t>
  </si>
  <si>
    <t>CE FINLANDIA</t>
  </si>
  <si>
    <t>75,56%</t>
  </si>
  <si>
    <t>22,31%</t>
  </si>
  <si>
    <t>CE FRANCISCO CAMPOS</t>
  </si>
  <si>
    <t>64,63%</t>
  </si>
  <si>
    <t>CE FREDERICO EYER</t>
  </si>
  <si>
    <t>63,64%</t>
  </si>
  <si>
    <t>CE GILSON AMADO</t>
  </si>
  <si>
    <t>69,83%</t>
  </si>
  <si>
    <t>14,35%</t>
  </si>
  <si>
    <t>51,53%</t>
  </si>
  <si>
    <t>18,96%</t>
  </si>
  <si>
    <t>CE GOLDA MEIR</t>
  </si>
  <si>
    <t>13,66%</t>
  </si>
  <si>
    <t>17,84%</t>
  </si>
  <si>
    <t>CE GONCALVES DIAS</t>
  </si>
  <si>
    <t>44,07%</t>
  </si>
  <si>
    <t>22,54%</t>
  </si>
  <si>
    <t>66,10%</t>
  </si>
  <si>
    <t>19,42%</t>
  </si>
  <si>
    <t>CE HERBERT DE SOUZA</t>
  </si>
  <si>
    <t>20,22%</t>
  </si>
  <si>
    <t>CE HONDURAS</t>
  </si>
  <si>
    <t>CE IGNACIO AZEVEDO DO AMARAL</t>
  </si>
  <si>
    <t>93,61%</t>
  </si>
  <si>
    <t>26,59%</t>
  </si>
  <si>
    <t>CE INFANTE DOM HENRIQUE</t>
  </si>
  <si>
    <t>91,75%</t>
  </si>
  <si>
    <t>70,91%</t>
  </si>
  <si>
    <t>CE JOAO ALFREDO</t>
  </si>
  <si>
    <t>49,71%</t>
  </si>
  <si>
    <t>CE JORNALISTA MAURÍCIO AZÊDO - BRASIL-ÍNDIA</t>
  </si>
  <si>
    <t>94,62%</t>
  </si>
  <si>
    <t>27,68%</t>
  </si>
  <si>
    <t>22,10%</t>
  </si>
  <si>
    <t>CE JOSE LEITE LOPES</t>
  </si>
  <si>
    <t>CE JULIA KUBITSCHEK</t>
  </si>
  <si>
    <t>95,43%</t>
  </si>
  <si>
    <t>16,19%</t>
  </si>
  <si>
    <t>93,71%</t>
  </si>
  <si>
    <t>CE MAHATMA GANDHI</t>
  </si>
  <si>
    <t>71,22%</t>
  </si>
  <si>
    <t>CE MARECHAL CANROBERT PEREIRA DA COSTA</t>
  </si>
  <si>
    <t>58,49%</t>
  </si>
  <si>
    <t>22,95%</t>
  </si>
  <si>
    <t>42,59%</t>
  </si>
  <si>
    <t>20,76%</t>
  </si>
  <si>
    <t>CE MEM DE SA</t>
  </si>
  <si>
    <t>CE MEXICO</t>
  </si>
  <si>
    <t>16,88%</t>
  </si>
  <si>
    <t>CE MONTEIRO DE CARVALHO</t>
  </si>
  <si>
    <t>21,99%</t>
  </si>
  <si>
    <t>75,40%</t>
  </si>
  <si>
    <t>CE OLAVO BILAC</t>
  </si>
  <si>
    <t>28,45%</t>
  </si>
  <si>
    <t>CE PAULO DE FRONTIN</t>
  </si>
  <si>
    <t>15,17%</t>
  </si>
  <si>
    <t>45,26%</t>
  </si>
  <si>
    <t>18,81%</t>
  </si>
  <si>
    <t>CE PEDRO ALVARES CABRAL</t>
  </si>
  <si>
    <t>80,80%</t>
  </si>
  <si>
    <t>24,13%</t>
  </si>
  <si>
    <t>57,77%</t>
  </si>
  <si>
    <t>CE PRESIDENTE JOAO GOULART</t>
  </si>
  <si>
    <t>55,63%</t>
  </si>
  <si>
    <t>61,59%</t>
  </si>
  <si>
    <t>CE PROFESSOR ANTONIO MARIA TEIXEIRA FILHO</t>
  </si>
  <si>
    <t>84,68%</t>
  </si>
  <si>
    <t>25,76%</t>
  </si>
  <si>
    <t>CE PROFESSOR CLOVIS SALGADO</t>
  </si>
  <si>
    <t>58,53%</t>
  </si>
  <si>
    <t>43,32%</t>
  </si>
  <si>
    <t>CE PROFESSOR ERNESTO FARIA</t>
  </si>
  <si>
    <t>22,06%</t>
  </si>
  <si>
    <t>36,20%</t>
  </si>
  <si>
    <t>CE PROFESSORA MARIA TEREZINHA DE CARVALHO MACHADO</t>
  </si>
  <si>
    <t>67,08%</t>
  </si>
  <si>
    <t>65,07%</t>
  </si>
  <si>
    <t>20,09%</t>
  </si>
  <si>
    <t>CE REVERENDO HUGH CLARENCE TUCKER</t>
  </si>
  <si>
    <t>83,04%</t>
  </si>
  <si>
    <t>57,59%</t>
  </si>
  <si>
    <t>CE ROSA DO POVO</t>
  </si>
  <si>
    <t>29,26%</t>
  </si>
  <si>
    <t>53,25%</t>
  </si>
  <si>
    <t>CE SARMIENTO</t>
  </si>
  <si>
    <t>40,70%</t>
  </si>
  <si>
    <t>CE SENADOR TEOTONIO VILELA</t>
  </si>
  <si>
    <t>57,38%</t>
  </si>
  <si>
    <t>58,20%</t>
  </si>
  <si>
    <t>CE SENOR ABRAVANEL</t>
  </si>
  <si>
    <t>64,66%</t>
  </si>
  <si>
    <t>28,43%</t>
  </si>
  <si>
    <t>CE SOARES PEREIRA</t>
  </si>
  <si>
    <t>61,64%</t>
  </si>
  <si>
    <t>CE SOUZA AGUIAR</t>
  </si>
  <si>
    <t>60,08%</t>
  </si>
  <si>
    <t>CE STELLA MATUTINA</t>
  </si>
  <si>
    <t>77,25%</t>
  </si>
  <si>
    <t>52,88%</t>
  </si>
  <si>
    <t>CE TEOFILO MOREIRA DA COSTA</t>
  </si>
  <si>
    <t>75,77%</t>
  </si>
  <si>
    <t>48,02%</t>
  </si>
  <si>
    <t>CE TOMAS ANTONIO GONZAGA</t>
  </si>
  <si>
    <t>28,38%</t>
  </si>
  <si>
    <t>CE VICENTE JANNUZZI</t>
  </si>
  <si>
    <t>60,25%</t>
  </si>
  <si>
    <t>CE VICTOR HUGO</t>
  </si>
  <si>
    <t>CIEP 205 FREI AGOSTINHO FINCIAS</t>
  </si>
  <si>
    <t>53,77%</t>
  </si>
  <si>
    <t>47,50%</t>
  </si>
  <si>
    <t>CIEP 241 NACAO MANGUEIRENSE GOVERNADOR LEONEL DE MOURA BRIZOLA</t>
  </si>
  <si>
    <t>22,44%</t>
  </si>
  <si>
    <t>10,92%</t>
  </si>
  <si>
    <t>CIEP 303 GP AYRTON SENNA</t>
  </si>
  <si>
    <t>58,56%</t>
  </si>
  <si>
    <t>47,87%</t>
  </si>
  <si>
    <t>CIEP 321 DOUTOR ULYSSES GUIMARAES</t>
  </si>
  <si>
    <t>75,53%</t>
  </si>
  <si>
    <t>23,52%</t>
  </si>
  <si>
    <t>53,86%</t>
  </si>
  <si>
    <t>CAIC 1003 DONA DARCY VARGAS</t>
  </si>
  <si>
    <t>71,95%</t>
  </si>
  <si>
    <t>21,42%</t>
  </si>
  <si>
    <t>CE AGOSTINHO PORTO</t>
  </si>
  <si>
    <t>63,46%</t>
  </si>
  <si>
    <t>51,74%</t>
  </si>
  <si>
    <t>CE ALICE PACCINI GELIO</t>
  </si>
  <si>
    <t>86,16%</t>
  </si>
  <si>
    <t>26,84%</t>
  </si>
  <si>
    <t>82,59%</t>
  </si>
  <si>
    <t>CE ANA NERI</t>
  </si>
  <si>
    <t>58,26%</t>
  </si>
  <si>
    <t>21,24%</t>
  </si>
  <si>
    <t>52,85%</t>
  </si>
  <si>
    <t>CE ANTONIO FIGUEIRA DE ALMEIDA</t>
  </si>
  <si>
    <t>73,55%</t>
  </si>
  <si>
    <t>45,84%</t>
  </si>
  <si>
    <t>CE ANTONIO GONCALVES</t>
  </si>
  <si>
    <t>CE AYDANO DE ALMEIDA</t>
  </si>
  <si>
    <t>72,10%</t>
  </si>
  <si>
    <t>50,64%</t>
  </si>
  <si>
    <t>CE BAIRRO JARDIM AMERICA</t>
  </si>
  <si>
    <t>49,22%</t>
  </si>
  <si>
    <t>CE BAIRRO NOVA AURORA</t>
  </si>
  <si>
    <t>77,82%</t>
  </si>
  <si>
    <t>CE BERTHA D ALESSANDRO</t>
  </si>
  <si>
    <t>60,91%</t>
  </si>
  <si>
    <t>60,82%</t>
  </si>
  <si>
    <t>CE BOM PASTOR</t>
  </si>
  <si>
    <t>72,66%</t>
  </si>
  <si>
    <t>CE BRANDAO MONTEIRO</t>
  </si>
  <si>
    <t>57,49%</t>
  </si>
  <si>
    <t>54,15%</t>
  </si>
  <si>
    <t>19,41%</t>
  </si>
  <si>
    <t>CE BRASIL</t>
  </si>
  <si>
    <t>69,32%</t>
  </si>
  <si>
    <t>24,84%</t>
  </si>
  <si>
    <t>CE CAETANO BELLONI</t>
  </si>
  <si>
    <t>57,39%</t>
  </si>
  <si>
    <t>CE CASEMIRO MEIRELLES</t>
  </si>
  <si>
    <t>75,86%</t>
  </si>
  <si>
    <t>72,34%</t>
  </si>
  <si>
    <t>CE DOM PEDRO I</t>
  </si>
  <si>
    <t>68,43%</t>
  </si>
  <si>
    <t>22,08%</t>
  </si>
  <si>
    <t>62,03%</t>
  </si>
  <si>
    <t>CE DOUTOR ANIBAL VIRIATO DE AZEVEDO</t>
  </si>
  <si>
    <t>95,31%</t>
  </si>
  <si>
    <t>CE DOUTOR OSCAR PIMENTA SOARES</t>
  </si>
  <si>
    <t>71,71%</t>
  </si>
  <si>
    <t>54,93%</t>
  </si>
  <si>
    <t>CE DUQUE COSTA</t>
  </si>
  <si>
    <t>69,34%</t>
  </si>
  <si>
    <t>25,35%</t>
  </si>
  <si>
    <t>45,50%</t>
  </si>
  <si>
    <t>CE GOVERNADOR ROBERTO SILVEIRA</t>
  </si>
  <si>
    <t>77,44%</t>
  </si>
  <si>
    <t>71,34%</t>
  </si>
  <si>
    <t>CE GUSTAVO BARROSO</t>
  </si>
  <si>
    <t>83,52%</t>
  </si>
  <si>
    <t>79,12%</t>
  </si>
  <si>
    <t>CE HILTON GAMA</t>
  </si>
  <si>
    <t>77,36%</t>
  </si>
  <si>
    <t>62,47%</t>
  </si>
  <si>
    <t>CE JARDIM GLAUCIA</t>
  </si>
  <si>
    <t>77,38%</t>
  </si>
  <si>
    <t>72,62%</t>
  </si>
  <si>
    <t>CE JARDIM IPE</t>
  </si>
  <si>
    <t>80,35%</t>
  </si>
  <si>
    <t>65,50%</t>
  </si>
  <si>
    <t>CE JARDIM MERITI</t>
  </si>
  <si>
    <t>71,26%</t>
  </si>
  <si>
    <t>61,25%</t>
  </si>
  <si>
    <t>CE JOÃO CARDOSO - BRASIL-ARGENTINA</t>
  </si>
  <si>
    <t>66,42%</t>
  </si>
  <si>
    <t>21,51%</t>
  </si>
  <si>
    <t>38,78%</t>
  </si>
  <si>
    <t>CE JOAQUIM DE ALMEIDA FLORES</t>
  </si>
  <si>
    <t>57,42%</t>
  </si>
  <si>
    <t>CE JOSÉ DO PATROCÍNIO</t>
  </si>
  <si>
    <t>80,84%</t>
  </si>
  <si>
    <t>24,67%</t>
  </si>
  <si>
    <t>CE MARCILIO DIAS</t>
  </si>
  <si>
    <t>65,15%</t>
  </si>
  <si>
    <t>CE MARECHAL ZENOBIO DA COSTA</t>
  </si>
  <si>
    <t>86,48%</t>
  </si>
  <si>
    <t>21,75%</t>
  </si>
  <si>
    <t>CE NOVA ALVORADA</t>
  </si>
  <si>
    <t>CE NUTA BARTHLET JAMES</t>
  </si>
  <si>
    <t>72,40%</t>
  </si>
  <si>
    <t>49,80%</t>
  </si>
  <si>
    <t>CE PARQUE AMORIM</t>
  </si>
  <si>
    <t>74,77%</t>
  </si>
  <si>
    <t>CE PAULINO BARBOSA</t>
  </si>
  <si>
    <t>53,30%</t>
  </si>
  <si>
    <t>CE PIERRE PLANCHER</t>
  </si>
  <si>
    <t>70,62%</t>
  </si>
  <si>
    <t>64,69%</t>
  </si>
  <si>
    <t>CE POETA MARIO QUINTANA</t>
  </si>
  <si>
    <t>CE PRESIDENTE CASTELO BRANCO</t>
  </si>
  <si>
    <t>52,65%</t>
  </si>
  <si>
    <t>25,94%</t>
  </si>
  <si>
    <t>50,29%</t>
  </si>
  <si>
    <t>79,20%</t>
  </si>
  <si>
    <t>CE PRESIDENTE KENNEDY</t>
  </si>
  <si>
    <t>69,55%</t>
  </si>
  <si>
    <t>CE PROFESSOR ANDRE CAVALCANTE DE CARVALHO</t>
  </si>
  <si>
    <t>78,67%</t>
  </si>
  <si>
    <t>63,73%</t>
  </si>
  <si>
    <t>CE PROFESSOR MÁRIO CAMPOS</t>
  </si>
  <si>
    <t>47,67%</t>
  </si>
  <si>
    <t>21,08%</t>
  </si>
  <si>
    <t>CE PROFESSOR MURILO BRAGA</t>
  </si>
  <si>
    <t>53,52%</t>
  </si>
  <si>
    <t>CE PROFESSOR UBIRATAN REIS BARBOSA</t>
  </si>
  <si>
    <t>92,24%</t>
  </si>
  <si>
    <t>CE PROFESSORA ALZIRA DOS SANTOS DA SILVA</t>
  </si>
  <si>
    <t>67,15%</t>
  </si>
  <si>
    <t>CE PROFESSORA FRANCISCA JEREMIAS DA SILVEIRA MENEZES</t>
  </si>
  <si>
    <t>82,39%</t>
  </si>
  <si>
    <t>66,35%</t>
  </si>
  <si>
    <t>CE PROFESSORA REGINA CELIA DOS REIS OLIVEIRA</t>
  </si>
  <si>
    <t>92,68%</t>
  </si>
  <si>
    <t>59,35%</t>
  </si>
  <si>
    <t>21,09%</t>
  </si>
  <si>
    <t>CE PROFESSORA SANDRA MARIA SANTOS DE SOUSA</t>
  </si>
  <si>
    <t>CE RICARDA LEON</t>
  </si>
  <si>
    <t>43,60%</t>
  </si>
  <si>
    <t>CE RUBENS FARRULLA</t>
  </si>
  <si>
    <t>65,65%</t>
  </si>
  <si>
    <t>60,31%</t>
  </si>
  <si>
    <t>CE SANTA TEREZA</t>
  </si>
  <si>
    <t>24,21%</t>
  </si>
  <si>
    <t>CE SAO BERNARDO</t>
  </si>
  <si>
    <t>66,76%</t>
  </si>
  <si>
    <t>22,29%</t>
  </si>
  <si>
    <t>38,38%</t>
  </si>
  <si>
    <t>CE SARGENTO WOLFF</t>
  </si>
  <si>
    <t>77,08%</t>
  </si>
  <si>
    <t>25,97%</t>
  </si>
  <si>
    <t>60,67%</t>
  </si>
  <si>
    <t>19,50%</t>
  </si>
  <si>
    <t>CE TENENTE OTAVIO PINHEIRO - BRASIL-RUSSIA</t>
  </si>
  <si>
    <t>56,64%</t>
  </si>
  <si>
    <t>CE VARZEA DA ALEGRIA</t>
  </si>
  <si>
    <t>77,81%</t>
  </si>
  <si>
    <t>27,03%</t>
  </si>
  <si>
    <t>76,53%</t>
  </si>
  <si>
    <t>52,06%</t>
  </si>
  <si>
    <t>86,08%</t>
  </si>
  <si>
    <t>CE VILA BELA</t>
  </si>
  <si>
    <t>71,91%</t>
  </si>
  <si>
    <t>22,37%</t>
  </si>
  <si>
    <t>56,46%</t>
  </si>
  <si>
    <t>19,68%</t>
  </si>
  <si>
    <t>78,81%</t>
  </si>
  <si>
    <t>23,03%</t>
  </si>
  <si>
    <t>64,41%</t>
  </si>
  <si>
    <t>CIEP 016 PROFESSORA LUCILENE DE SOUZA PECLAT</t>
  </si>
  <si>
    <t>67,35%</t>
  </si>
  <si>
    <t>23,39%</t>
  </si>
  <si>
    <t>CIEP 030 MARINHEIRO JOÃO CÂNDIDO</t>
  </si>
  <si>
    <t>71,64%</t>
  </si>
  <si>
    <t>61,19%</t>
  </si>
  <si>
    <t>CIEP 037 ERNESTO GUEVARA</t>
  </si>
  <si>
    <t>65,09%</t>
  </si>
  <si>
    <t>48,85%</t>
  </si>
  <si>
    <t>CIEP 100 SAO FRANCISCO DE ASSIS BRASIL FRANCA</t>
  </si>
  <si>
    <t>28,04%</t>
  </si>
  <si>
    <t>CIEP 111 GELSON FREITAS</t>
  </si>
  <si>
    <t>63,66%</t>
  </si>
  <si>
    <t>71,78%</t>
  </si>
  <si>
    <t>CIEP 112 MONSENHOR SOLANO DANTAS MENEZES</t>
  </si>
  <si>
    <t>74,85%</t>
  </si>
  <si>
    <t>62,87%</t>
  </si>
  <si>
    <t>CIEP 114 PROFESSORA MARIA GAVAZIO MARTINS</t>
  </si>
  <si>
    <t>74,11%</t>
  </si>
  <si>
    <t>22,59%</t>
  </si>
  <si>
    <t>CIEP 115 ANTONIO FRANCISCO LISBOA</t>
  </si>
  <si>
    <t>51,76%</t>
  </si>
  <si>
    <t>48,56%</t>
  </si>
  <si>
    <t>CIEP 116 VILA MAIA</t>
  </si>
  <si>
    <t>86,27%</t>
  </si>
  <si>
    <t>CIEP 133 OSWALDO JOSE LOURENCO</t>
  </si>
  <si>
    <t>CIEP 135 AFONSO HENRIQUES LIMA BARRETO</t>
  </si>
  <si>
    <t>59,52%</t>
  </si>
  <si>
    <t>CIEP 139 MANUEL BANDEIRA</t>
  </si>
  <si>
    <t>74,29%</t>
  </si>
  <si>
    <t>25,84%</t>
  </si>
  <si>
    <t>CIEP 169 MARIA AUGUSTA CORREIA</t>
  </si>
  <si>
    <t>76,99%</t>
  </si>
  <si>
    <t>26,90%</t>
  </si>
  <si>
    <t>70,26%</t>
  </si>
  <si>
    <t>CIEP 170 GREGORIO BEZERRA</t>
  </si>
  <si>
    <t>80,18%</t>
  </si>
  <si>
    <t>24,17%</t>
  </si>
  <si>
    <t>CIEP 175 JOSE LINS DO REGO</t>
  </si>
  <si>
    <t>90,14%</t>
  </si>
  <si>
    <t>22,21%</t>
  </si>
  <si>
    <t>51,60%</t>
  </si>
  <si>
    <t>CIEP 178 JOÃO SALDANHA</t>
  </si>
  <si>
    <t>23,88%</t>
  </si>
  <si>
    <t>CIEP 179 PROFESSOR CLAUDIO GAMA</t>
  </si>
  <si>
    <t>85,27%</t>
  </si>
  <si>
    <t>27,02%</t>
  </si>
  <si>
    <t>72,71%</t>
  </si>
  <si>
    <t>CIEP 197 MINISTRO MARCOS DE BARROS FREIRE</t>
  </si>
  <si>
    <t>91,95%</t>
  </si>
  <si>
    <t>78,16%</t>
  </si>
  <si>
    <t>CIEP 210 MARIO ALVES DE SOUZA VIEIRA</t>
  </si>
  <si>
    <t>72,95%</t>
  </si>
  <si>
    <t>54,62%</t>
  </si>
  <si>
    <t>CIEP 230 MANOEL MALAQUIAS GURGEL DA SILVA</t>
  </si>
  <si>
    <t>72,77%</t>
  </si>
  <si>
    <t>25,50%</t>
  </si>
  <si>
    <t>CIEP 314 GALILEU GALILEI</t>
  </si>
  <si>
    <t>CIEP 316 GENERAL LADARIO PEREIRA TELLES</t>
  </si>
  <si>
    <t>CIEP 337 BERTA LUTZ</t>
  </si>
  <si>
    <t>68,83%</t>
  </si>
  <si>
    <t>CIEP 364 NELSON RAMOS</t>
  </si>
  <si>
    <t>53,54%</t>
  </si>
  <si>
    <t>CIEP 374 AUGUSTO RODRIGUES</t>
  </si>
  <si>
    <t>47,93%</t>
  </si>
  <si>
    <t>55,43%</t>
  </si>
  <si>
    <t>CIEP 375 WILSON GREY</t>
  </si>
  <si>
    <t>51,02%</t>
  </si>
  <si>
    <t>CIEP 376 CLAUDIO COUTINHO</t>
  </si>
  <si>
    <t>75,42%</t>
  </si>
  <si>
    <t>65,25%</t>
  </si>
  <si>
    <t>CIEP 377 CARMEM DA SILVA</t>
  </si>
  <si>
    <t>68,63%</t>
  </si>
  <si>
    <t>18,67%</t>
  </si>
  <si>
    <t>CIEP 380 JORACI CAMARGO</t>
  </si>
  <si>
    <t>26,88%</t>
  </si>
  <si>
    <t>64,32%</t>
  </si>
  <si>
    <t>CIEP 388 LASAR SEGALL</t>
  </si>
  <si>
    <t>76,71%</t>
  </si>
  <si>
    <t>58,22%</t>
  </si>
  <si>
    <t>CIEP 389 GP HAROLDO BARBOSA</t>
  </si>
  <si>
    <t>67,21%</t>
  </si>
  <si>
    <t>CIEP 397 PAULO PONTES</t>
  </si>
  <si>
    <t>CIEP 398 MARIO LIMA</t>
  </si>
  <si>
    <t>75,36%</t>
  </si>
  <si>
    <t>39,84%</t>
  </si>
  <si>
    <t>CIEP 399 JEAN BAPTISTE DEBRET</t>
  </si>
  <si>
    <t>75,61%</t>
  </si>
  <si>
    <t>CIEP 400 GP OSWALD DE ANDRADE</t>
  </si>
  <si>
    <t>88,12%</t>
  </si>
  <si>
    <t>57,43%</t>
  </si>
  <si>
    <t>IE CARLOS PASQUALE</t>
  </si>
  <si>
    <t>71,15%</t>
  </si>
  <si>
    <t>26,44%</t>
  </si>
  <si>
    <t>52,07%</t>
  </si>
  <si>
    <t>CE AGRICOLA PROFESSOR LUIZ PAULO RODRIGUES</t>
  </si>
  <si>
    <t>23,74%</t>
  </si>
  <si>
    <t>89,80%</t>
  </si>
  <si>
    <t>CE ALCINDA LOPES PEREIRA PINTO</t>
  </si>
  <si>
    <t>93,33%</t>
  </si>
  <si>
    <t>CE ALMIRANTE BARÃO DE TEFFE</t>
  </si>
  <si>
    <t>91,61%</t>
  </si>
  <si>
    <t>23,07%</t>
  </si>
  <si>
    <t>CE BUARQUE DE NAZARETH</t>
  </si>
  <si>
    <t>93,16%</t>
  </si>
  <si>
    <t>CE CHEQUER JORGE</t>
  </si>
  <si>
    <t>97,89%</t>
  </si>
  <si>
    <t>92,86%</t>
  </si>
  <si>
    <t>CE CORONEL JOSÉ ROSA DA SILVA</t>
  </si>
  <si>
    <t>84,85%</t>
  </si>
  <si>
    <t>87,88%</t>
  </si>
  <si>
    <t>25,56%</t>
  </si>
  <si>
    <t>CE DEODATO LINHARES</t>
  </si>
  <si>
    <t>93,00%</t>
  </si>
  <si>
    <t>26,82%</t>
  </si>
  <si>
    <t>CE DEPUTADO CARLOS PINTO FILHO</t>
  </si>
  <si>
    <t>79,27%</t>
  </si>
  <si>
    <t>51,22%</t>
  </si>
  <si>
    <t>CE DEZ DE MAIO</t>
  </si>
  <si>
    <t>27,98%</t>
  </si>
  <si>
    <t>90,04%</t>
  </si>
  <si>
    <t>CE DOUTOR JOSE BASTOS FRANCA</t>
  </si>
  <si>
    <t>96,61%</t>
  </si>
  <si>
    <t>83,05%</t>
  </si>
  <si>
    <t>CE DOUTOR LEONEL HOMEM DA COSTA</t>
  </si>
  <si>
    <t>12,76%</t>
  </si>
  <si>
    <t>CE ETELVINA ALVES DA SILVA</t>
  </si>
  <si>
    <t>88,46%</t>
  </si>
  <si>
    <t>CE EUCLIDES FELICIANO TARDIN</t>
  </si>
  <si>
    <t>80,98%</t>
  </si>
  <si>
    <t>74,46%</t>
  </si>
  <si>
    <t>CE FLAVIO RIBEIRO DE REZENDE</t>
  </si>
  <si>
    <t>98,61%</t>
  </si>
  <si>
    <t>17,15%</t>
  </si>
  <si>
    <t>CE FRANCISCO PORTELLA</t>
  </si>
  <si>
    <t>96,23%</t>
  </si>
  <si>
    <t>94,34%</t>
  </si>
  <si>
    <t>CE FREI TOMAS</t>
  </si>
  <si>
    <t>92,42%</t>
  </si>
  <si>
    <t>24,12%</t>
  </si>
  <si>
    <t>73,03%</t>
  </si>
  <si>
    <t>23,05%</t>
  </si>
  <si>
    <t>CE GERALDINO SILVA</t>
  </si>
  <si>
    <t>30,06%</t>
  </si>
  <si>
    <t>23,92%</t>
  </si>
  <si>
    <t>69,01%</t>
  </si>
  <si>
    <t>58,82%</t>
  </si>
  <si>
    <t>24,60%</t>
  </si>
  <si>
    <t>CE JAIME QUEIROZ DE SOUZA</t>
  </si>
  <si>
    <t>95,08%</t>
  </si>
  <si>
    <t>88,52%</t>
  </si>
  <si>
    <t>CE JOAO GUIMARAES</t>
  </si>
  <si>
    <t>85,25%</t>
  </si>
  <si>
    <t>CE JOAO MAURICIO BRUM</t>
  </si>
  <si>
    <t>93,10%</t>
  </si>
  <si>
    <t>27,71%</t>
  </si>
  <si>
    <t>22,05%</t>
  </si>
  <si>
    <t>CE JOHENIR HENRIQUES VIEGAS</t>
  </si>
  <si>
    <t>CE JOSE DE LANNES DANTAS BRANDAO</t>
  </si>
  <si>
    <t>CE JOSE GARCIA DE FREITAS</t>
  </si>
  <si>
    <t>23,80%</t>
  </si>
  <si>
    <t>CE LAURINDO PITA</t>
  </si>
  <si>
    <t>31,30%</t>
  </si>
  <si>
    <t>89,66%</t>
  </si>
  <si>
    <t>CE LIONS CLUB</t>
  </si>
  <si>
    <t>94,79%</t>
  </si>
  <si>
    <t>71,63%</t>
  </si>
  <si>
    <t>CE LOURENCA GUIMARAES</t>
  </si>
  <si>
    <t>CE LUIZ FERRAZ</t>
  </si>
  <si>
    <t>96,92%</t>
  </si>
  <si>
    <t>90,77%</t>
  </si>
  <si>
    <t>CE LUIZ TITO DE ALMEIDA</t>
  </si>
  <si>
    <t>81,58%</t>
  </si>
  <si>
    <t>CE MANOEL RODRIGUES DE BARROS</t>
  </si>
  <si>
    <t>25,08%</t>
  </si>
  <si>
    <t>86,79%</t>
  </si>
  <si>
    <t>26,57%</t>
  </si>
  <si>
    <t>CE MARIA DA CONCEICAO PEREIRA PINTO</t>
  </si>
  <si>
    <t>CE MARIA LENY VIEIRA FERREIRA SILVA</t>
  </si>
  <si>
    <t>CE NICOLAO BASTOS FILHO</t>
  </si>
  <si>
    <t>CE OSCAR BATISTA</t>
  </si>
  <si>
    <t>92,65%</t>
  </si>
  <si>
    <t>42,65%</t>
  </si>
  <si>
    <t>CE PADRE MELLO</t>
  </si>
  <si>
    <t>CE PEDRO BAPTISTA DE SOUZA</t>
  </si>
  <si>
    <t>97,32%</t>
  </si>
  <si>
    <t>27,58%</t>
  </si>
  <si>
    <t>CE PROFESSORA SONIA DO AMARAL TORRES</t>
  </si>
  <si>
    <t>CE ROMUALDO MONTEIRO DE BARROS</t>
  </si>
  <si>
    <t>83,87%</t>
  </si>
  <si>
    <t>CE ROTARY</t>
  </si>
  <si>
    <t>91,23%</t>
  </si>
  <si>
    <t>CE RUI GUIMARÃES DE ALMEIDA</t>
  </si>
  <si>
    <t>87,65%</t>
  </si>
  <si>
    <t>CE SENADOR SA TINOCO</t>
  </si>
  <si>
    <t>CE SUBTENENTE PM CLAUDIO HENTZY FERREIRA</t>
  </si>
  <si>
    <t>98,00%</t>
  </si>
  <si>
    <t>CE TEMISTOCLES DE ALMEIDA</t>
  </si>
  <si>
    <t>CE WALDEMIRO PITA</t>
  </si>
  <si>
    <t>CIEP 141 VEREADOR SAID TANUS JOSÉ</t>
  </si>
  <si>
    <t>96,49%</t>
  </si>
  <si>
    <t>34,87%</t>
  </si>
  <si>
    <t>25,16%</t>
  </si>
  <si>
    <t>CIEP 263 DOUTOR JAIR DE SIQUEIRA BITTENCOURT</t>
  </si>
  <si>
    <t>93,35%</t>
  </si>
  <si>
    <t>25,87%</t>
  </si>
  <si>
    <t>82,02%</t>
  </si>
  <si>
    <t>CIEP 267 MARIA APARECIDA LIMA SOUTO TOSTES</t>
  </si>
  <si>
    <t>79,59%</t>
  </si>
  <si>
    <t>31,57%</t>
  </si>
  <si>
    <t>25,99%</t>
  </si>
  <si>
    <t>CIEP 275 LENINE CORTES FALANTE</t>
  </si>
  <si>
    <t>28,77%</t>
  </si>
  <si>
    <t>70,63%</t>
  </si>
  <si>
    <t>CIEP 276 ERNESTO PAIVA</t>
  </si>
  <si>
    <t>25,37%</t>
  </si>
  <si>
    <t>CIEP 343 PROFESSORA EMILIA DINIZ LIGIERO</t>
  </si>
  <si>
    <t>91,41%</t>
  </si>
  <si>
    <t>87,60%</t>
  </si>
  <si>
    <t>CIEP 419 BENIGNO BAIRRAL</t>
  </si>
  <si>
    <t>94,12%</t>
  </si>
  <si>
    <t>CIEP 468 OLGA THURLER MENDONÇA DA FONSECA</t>
  </si>
  <si>
    <t>90,32%</t>
  </si>
  <si>
    <t>CIEP MARLENE ABIB DE OLIVEIRA FABRI</t>
  </si>
  <si>
    <t>90,91%</t>
  </si>
  <si>
    <t>IE DE MIRACEMA</t>
  </si>
  <si>
    <t>98,42%</t>
  </si>
  <si>
    <t>90,53%</t>
  </si>
  <si>
    <t>IE EBER TEIXEIRA DE FIGUEIREDO</t>
  </si>
  <si>
    <t>72,00%</t>
  </si>
  <si>
    <t>IE ELIANA DUARTE DA SILVA BREIJAO</t>
  </si>
  <si>
    <t>24,09%</t>
  </si>
  <si>
    <t>86,43%</t>
  </si>
  <si>
    <t>CE ADMARDO ALVES TORRES</t>
  </si>
  <si>
    <t>95,04%</t>
  </si>
  <si>
    <t>CE AGOSTINHO CHRYZANTO DE ARAUJO</t>
  </si>
  <si>
    <t>97,78%</t>
  </si>
  <si>
    <t>94,68%</t>
  </si>
  <si>
    <t>21,80%</t>
  </si>
  <si>
    <t>CE ALBERTO TORRES</t>
  </si>
  <si>
    <t>82,26%</t>
  </si>
  <si>
    <t>26,72%</t>
  </si>
  <si>
    <t>CE ALCEBIADES SCHUARTZ</t>
  </si>
  <si>
    <t>55,36%</t>
  </si>
  <si>
    <t>CE ALMIRANTE BARROSO</t>
  </si>
  <si>
    <t>65,73%</t>
  </si>
  <si>
    <t>82,42%</t>
  </si>
  <si>
    <t>CE ANA NUNES VIANA</t>
  </si>
  <si>
    <t>74,19%</t>
  </si>
  <si>
    <t>CE ATILANO CHRYSOSTOMO DE OLIVEIRA</t>
  </si>
  <si>
    <t>18,77%</t>
  </si>
  <si>
    <t>CE BALTAZAR CARNEIRO</t>
  </si>
  <si>
    <t>98,60%</t>
  </si>
  <si>
    <t>58,88%</t>
  </si>
  <si>
    <t>CE BENTA PEREIRA</t>
  </si>
  <si>
    <t>80,58%</t>
  </si>
  <si>
    <t>CE BOCAINA</t>
  </si>
  <si>
    <t>CE CHRISANTO HENRIQUE DE SOUZA</t>
  </si>
  <si>
    <t>56,36%</t>
  </si>
  <si>
    <t>CE CINAMOMO</t>
  </si>
  <si>
    <t>89,25%</t>
  </si>
  <si>
    <t>15,59%</t>
  </si>
  <si>
    <t>CE CONSTANTINO FERNANDES</t>
  </si>
  <si>
    <t>CE CORONEL FRANCISCO RIBEIRO DA MOTTA VASCONCELOS</t>
  </si>
  <si>
    <t>78,75%</t>
  </si>
  <si>
    <t>18,39%</t>
  </si>
  <si>
    <t>CE CORONEL JOAO BATISTA DE PAULA BARROSO</t>
  </si>
  <si>
    <t>48,38%</t>
  </si>
  <si>
    <t>CE DE SAO FIDELIS</t>
  </si>
  <si>
    <t>71,69%</t>
  </si>
  <si>
    <t>69,12%</t>
  </si>
  <si>
    <t>CE DESEMBARGADOR ALVARO FERREIRA PINTO</t>
  </si>
  <si>
    <t>96,11%</t>
  </si>
  <si>
    <t>CE DOM OTAVIANO DE ALBUQUERQUE</t>
  </si>
  <si>
    <t>74,17%</t>
  </si>
  <si>
    <t>CE DOMIRES MACHADO</t>
  </si>
  <si>
    <t>95,28%</t>
  </si>
  <si>
    <t>79,65%</t>
  </si>
  <si>
    <t>CE DOUTOR BARROS BARRETO</t>
  </si>
  <si>
    <t>84,13%</t>
  </si>
  <si>
    <t>23,89%</t>
  </si>
  <si>
    <t>76,42%</t>
  </si>
  <si>
    <t>CE DOUTOR CESAR TINOCO</t>
  </si>
  <si>
    <t>72,15%</t>
  </si>
  <si>
    <t>19,09%</t>
  </si>
  <si>
    <t>CE DOUTOR FELIX MIRANDA</t>
  </si>
  <si>
    <t>CE DOUTOR JOAO MURILO CARNEIRO DE OLIVEIRA</t>
  </si>
  <si>
    <t>96,43%</t>
  </si>
  <si>
    <t>14,86%</t>
  </si>
  <si>
    <t>18,58%</t>
  </si>
  <si>
    <t>CE DOUTOR JOSE PEREIRA PINTO</t>
  </si>
  <si>
    <t>24,97%</t>
  </si>
  <si>
    <t>CE DOUTOR MAXIMO DE AZEVEDO</t>
  </si>
  <si>
    <t>72,96%</t>
  </si>
  <si>
    <t>69,39%</t>
  </si>
  <si>
    <t>CE DOUTOR NEWTON ALVES</t>
  </si>
  <si>
    <t>CE DOUTOR OLIMPIO SATURNINO DE BRITO</t>
  </si>
  <si>
    <t>98,68%</t>
  </si>
  <si>
    <t>72,37%</t>
  </si>
  <si>
    <t>CE DOUTOR PHILLIPPE UEBE</t>
  </si>
  <si>
    <t>98,05%</t>
  </si>
  <si>
    <t>CE DOUTOR SYLVIO BASTOS TAVARES</t>
  </si>
  <si>
    <t>84,35%</t>
  </si>
  <si>
    <t>27,67%</t>
  </si>
  <si>
    <t>CE DOUTOR THIERS CARDOSO</t>
  </si>
  <si>
    <t>93,86%</t>
  </si>
  <si>
    <t>16,49%</t>
  </si>
  <si>
    <t>CE ELSA BARBOSA DAUMAS</t>
  </si>
  <si>
    <t>86,54%</t>
  </si>
  <si>
    <t>90,38%</t>
  </si>
  <si>
    <t>CE ELVIDIO COSTA</t>
  </si>
  <si>
    <t>CE ERCILIA MUYLAERT DE MENEZES</t>
  </si>
  <si>
    <t>25,73%</t>
  </si>
  <si>
    <t>72,97%</t>
  </si>
  <si>
    <t>CE ESTEFANIA PEREIRA PINTO</t>
  </si>
  <si>
    <t>67,44%</t>
  </si>
  <si>
    <t>CE GENERAL DUTRA</t>
  </si>
  <si>
    <t>90,86%</t>
  </si>
  <si>
    <t>15,62%</t>
  </si>
  <si>
    <t>52,61%</t>
  </si>
  <si>
    <t>CE GERAQUE COLET</t>
  </si>
  <si>
    <t>CE IRENE MEIRELLES</t>
  </si>
  <si>
    <t>64,84%</t>
  </si>
  <si>
    <t>CE JACINTHO XAVIER MARTINS</t>
  </si>
  <si>
    <t>CE JOÃO COELHO DA SILVA</t>
  </si>
  <si>
    <t>15,58%</t>
  </si>
  <si>
    <t>CE JOAO PESSOA</t>
  </si>
  <si>
    <t>91,48%</t>
  </si>
  <si>
    <t>50,87%</t>
  </si>
  <si>
    <t>CE JOAQUIM GOMES CRESPO</t>
  </si>
  <si>
    <t>CE JORNALISTA ALVARO BASTOS</t>
  </si>
  <si>
    <t>65,54%</t>
  </si>
  <si>
    <t>26,86%</t>
  </si>
  <si>
    <t>CE JOSE DO PATROCINIO</t>
  </si>
  <si>
    <t>55,71%</t>
  </si>
  <si>
    <t>CE JOSE FRANCISCO SALES</t>
  </si>
  <si>
    <t>57,21%</t>
  </si>
  <si>
    <t>CE JULIAO NOGUEIRA</t>
  </si>
  <si>
    <t>84,92%</t>
  </si>
  <si>
    <t>CE LEONCIO PEREIRA GOMES</t>
  </si>
  <si>
    <t>99,06%</t>
  </si>
  <si>
    <t>19,94%</t>
  </si>
  <si>
    <t>CE LUIZ REID</t>
  </si>
  <si>
    <t>57,82%</t>
  </si>
  <si>
    <t>CE MANOEL PEREIRA GONCALVES</t>
  </si>
  <si>
    <t>97,09%</t>
  </si>
  <si>
    <t>CE MARIA ISABEL RANGEL DE ARAUJO</t>
  </si>
  <si>
    <t>CE MATIAS NETO</t>
  </si>
  <si>
    <t>71,05%</t>
  </si>
  <si>
    <t>52,98%</t>
  </si>
  <si>
    <t>CE MONTESE</t>
  </si>
  <si>
    <t>24,36%</t>
  </si>
  <si>
    <t>CE NELSON PEREIRA REBEL</t>
  </si>
  <si>
    <t>75,31%</t>
  </si>
  <si>
    <t>55,38%</t>
  </si>
  <si>
    <t>CE NILO FERNANDES PEREIRA</t>
  </si>
  <si>
    <t>96,81%</t>
  </si>
  <si>
    <t>78,72%</t>
  </si>
  <si>
    <t>81,21%</t>
  </si>
  <si>
    <t>71,98%</t>
  </si>
  <si>
    <t>CE NOTIVAL PEDRO MOLL</t>
  </si>
  <si>
    <t>72,58%</t>
  </si>
  <si>
    <t>CE PAULO ROBERTO DUARTE DE MENDONCA</t>
  </si>
  <si>
    <t>CE PEDRO CERQUEIRA</t>
  </si>
  <si>
    <t>CE PRIMEIRO DE MAIO</t>
  </si>
  <si>
    <t>92,55%</t>
  </si>
  <si>
    <t>CE PROFESSOR HERVAL DE SOUZA TAVARES</t>
  </si>
  <si>
    <t>85,00%</t>
  </si>
  <si>
    <t>27,31%</t>
  </si>
  <si>
    <t>CE PROFESSORA VANILDE NATALINO MATTOS</t>
  </si>
  <si>
    <t>73,95%</t>
  </si>
  <si>
    <t>23,56%</t>
  </si>
  <si>
    <t>CE QUINZE DE NOVEMBRO</t>
  </si>
  <si>
    <t>18,88%</t>
  </si>
  <si>
    <t>CE RACHEL REID PEREIRA DE SOUZA</t>
  </si>
  <si>
    <t>97,58%</t>
  </si>
  <si>
    <t>17,70%</t>
  </si>
  <si>
    <t>95,95%</t>
  </si>
  <si>
    <t>12,01%</t>
  </si>
  <si>
    <t>CE RAIMUNDO DE MAGALHAES</t>
  </si>
  <si>
    <t>60,99%</t>
  </si>
  <si>
    <t>CE ROCHA LEAO</t>
  </si>
  <si>
    <t>98,90%</t>
  </si>
  <si>
    <t>72,53%</t>
  </si>
  <si>
    <t>CE ROTARY II - ENILDA BARRETO RANGEL</t>
  </si>
  <si>
    <t>96,68%</t>
  </si>
  <si>
    <t>CE SAO FRANCISCO DE PAULA</t>
  </si>
  <si>
    <t>91,07%</t>
  </si>
  <si>
    <t>38,13%</t>
  </si>
  <si>
    <t>CE TELIO BARRETO</t>
  </si>
  <si>
    <t>68,88%</t>
  </si>
  <si>
    <t>49,00%</t>
  </si>
  <si>
    <t>CE THEOTONIO FERREIRA DE ARAUJO</t>
  </si>
  <si>
    <t>CE THOMAZ GOMES</t>
  </si>
  <si>
    <t>64,17%</t>
  </si>
  <si>
    <t>CE TOBIAS TOSTES MACHADO</t>
  </si>
  <si>
    <t>98,20%</t>
  </si>
  <si>
    <t>92,23%</t>
  </si>
  <si>
    <t>16,45%</t>
  </si>
  <si>
    <t>CE VISCONDE DE ARAUJO</t>
  </si>
  <si>
    <t>96,84%</t>
  </si>
  <si>
    <t>49,05%</t>
  </si>
  <si>
    <t>CE VISCONDE DE QUISSAMA</t>
  </si>
  <si>
    <t>94,96%</t>
  </si>
  <si>
    <t>55,07%</t>
  </si>
  <si>
    <t>CE VISCONDE DO RIO BRANCO</t>
  </si>
  <si>
    <t>97,80%</t>
  </si>
  <si>
    <t>17,43%</t>
  </si>
  <si>
    <t>CIEP 056 DOUTOR CUSTODIO SIQUEIRA</t>
  </si>
  <si>
    <t>65,11%</t>
  </si>
  <si>
    <t>CIEP 057 DOUTOR NILO PEÇANHA</t>
  </si>
  <si>
    <t>97,83%</t>
  </si>
  <si>
    <t>CIEP 257 JOAQUIM DO REGO BARROS</t>
  </si>
  <si>
    <t>62,88%</t>
  </si>
  <si>
    <t>15,26%</t>
  </si>
  <si>
    <t>CIEP 268 LUIZ CARLOS DE LACERDA</t>
  </si>
  <si>
    <t>84,09%</t>
  </si>
  <si>
    <t>CIEP 270 PREFEITO JOSE ALVES DE AZEVEDO</t>
  </si>
  <si>
    <t>CIEP 271 JOSE BONIFACIO TASSARA</t>
  </si>
  <si>
    <t>95,45%</t>
  </si>
  <si>
    <t>CIEP 393 PREFEITO CARLOS EMIR MUSSI</t>
  </si>
  <si>
    <t>82,62%</t>
  </si>
  <si>
    <t>CIEP 417 GINÁSIO PÚBLICO JOSÉ DO PATROCÍNIO</t>
  </si>
  <si>
    <t>82,93%</t>
  </si>
  <si>
    <t>CIEP 461 CLOVIS TAVARES</t>
  </si>
  <si>
    <t>97,75%</t>
  </si>
  <si>
    <t>20,85%</t>
  </si>
  <si>
    <t>98,88%</t>
  </si>
  <si>
    <t>CIEP 462 NACAO GOITACA</t>
  </si>
  <si>
    <t>22,60%</t>
  </si>
  <si>
    <t>CIEP 463 JOÃO BORGES BARRETO</t>
  </si>
  <si>
    <t>91,00%</t>
  </si>
  <si>
    <t>CIEP 464 ADMAR FERREIRA DE MEDEIROS</t>
  </si>
  <si>
    <t>CIEP 466 NINA ARUEIRA</t>
  </si>
  <si>
    <t>CIEP 470 CELSO MARTINS CORDEIRO</t>
  </si>
  <si>
    <t>72,63%</t>
  </si>
  <si>
    <t>36,16%</t>
  </si>
  <si>
    <t>LICEU DE HUMANIDADES DE CAMPOS</t>
  </si>
  <si>
    <t>56,98%</t>
  </si>
  <si>
    <t>CE ALCINDO GUANABARA</t>
  </si>
  <si>
    <t>98,54%</t>
  </si>
  <si>
    <t>66,19%</t>
  </si>
  <si>
    <t>22,01%</t>
  </si>
  <si>
    <t>CE CABO BM FLÁVIO UANDERSON RODRIGUES DE FREITAS</t>
  </si>
  <si>
    <t>98,46%</t>
  </si>
  <si>
    <t>31,67%</t>
  </si>
  <si>
    <t>CE CABO PM ELISÂNGELA BESSA CORDEIRO</t>
  </si>
  <si>
    <t>25,27%</t>
  </si>
  <si>
    <t>97,67%</t>
  </si>
  <si>
    <t>CE CAMPOS SALLES</t>
  </si>
  <si>
    <t>98,62%</t>
  </si>
  <si>
    <t>78,63%</t>
  </si>
  <si>
    <t>CE CARDOSO FONTES</t>
  </si>
  <si>
    <t>98,92%</t>
  </si>
  <si>
    <t>22,84%</t>
  </si>
  <si>
    <t>68,02%</t>
  </si>
  <si>
    <t>CE CONDESSA DO RIO NOVO</t>
  </si>
  <si>
    <t>87,89%</t>
  </si>
  <si>
    <t>79,45%</t>
  </si>
  <si>
    <t>38,49%</t>
  </si>
  <si>
    <t>CE CORONEL ANTONIO PECANHA</t>
  </si>
  <si>
    <t>66,49%</t>
  </si>
  <si>
    <t>CE CORONEL JOAO LIMONGI</t>
  </si>
  <si>
    <t>22,50%</t>
  </si>
  <si>
    <t>CE CORONEL SERGIO JOSE DO AMARAL</t>
  </si>
  <si>
    <t>CE CORTUME CARIOCA</t>
  </si>
  <si>
    <t>99,55%</t>
  </si>
  <si>
    <t>56,11%</t>
  </si>
  <si>
    <t>CE DE ARARAS</t>
  </si>
  <si>
    <t>97,96%</t>
  </si>
  <si>
    <t>87,07%</t>
  </si>
  <si>
    <t>CE DE MAGE</t>
  </si>
  <si>
    <t>70,58%</t>
  </si>
  <si>
    <t>26,16%</t>
  </si>
  <si>
    <t>CE DOM PEDRO II</t>
  </si>
  <si>
    <t>92,08%</t>
  </si>
  <si>
    <t>71,10%</t>
  </si>
  <si>
    <t>CE DOUTOR VALMIR PECANHA</t>
  </si>
  <si>
    <t>93,64%</t>
  </si>
  <si>
    <t>CE EDMUNDO BITTENCOURT</t>
  </si>
  <si>
    <t>61,52%</t>
  </si>
  <si>
    <t>CE EMBAIXADOR JOSE BONIFACIO</t>
  </si>
  <si>
    <t>98,40%</t>
  </si>
  <si>
    <t>99,47%</t>
  </si>
  <si>
    <t>CE EUCLYDES DA CUNHA</t>
  </si>
  <si>
    <t>62,79%</t>
  </si>
  <si>
    <t>CE FANY NISKIER</t>
  </si>
  <si>
    <t>85,23%</t>
  </si>
  <si>
    <t>CE GUILHERMINA GUINLE</t>
  </si>
  <si>
    <t>CE HIGINO DA SILVEIRA</t>
  </si>
  <si>
    <t>76,34%</t>
  </si>
  <si>
    <t>22,87%</t>
  </si>
  <si>
    <t>60,76%</t>
  </si>
  <si>
    <t>CE IRMA CECILIA JARDIM</t>
  </si>
  <si>
    <t>75,64%</t>
  </si>
  <si>
    <t>CE JOAQUIM LEITAO</t>
  </si>
  <si>
    <t>95,17%</t>
  </si>
  <si>
    <t>CE JOSE VERISSIMO</t>
  </si>
  <si>
    <t>80,46%</t>
  </si>
  <si>
    <t>99,43%</t>
  </si>
  <si>
    <t>69,71%</t>
  </si>
  <si>
    <t>CE MARIANO PROCOPIO</t>
  </si>
  <si>
    <t>98,41%</t>
  </si>
  <si>
    <t>CE MAUA</t>
  </si>
  <si>
    <t>97,28%</t>
  </si>
  <si>
    <t>CE MAURICIO DE ABREU</t>
  </si>
  <si>
    <t>98,51%</t>
  </si>
  <si>
    <t>28,61%</t>
  </si>
  <si>
    <t>75,37%</t>
  </si>
  <si>
    <t>70,72%</t>
  </si>
  <si>
    <t>16,61%</t>
  </si>
  <si>
    <t>47,21%</t>
  </si>
  <si>
    <t>CE OSWALDO CRUZ</t>
  </si>
  <si>
    <t>96,09%</t>
  </si>
  <si>
    <t>77,48%</t>
  </si>
  <si>
    <t>CE PAULINO FERNANDES</t>
  </si>
  <si>
    <t>CE PRESIDENTE BERNARDES</t>
  </si>
  <si>
    <t>96,33%</t>
  </si>
  <si>
    <t>76,15%</t>
  </si>
  <si>
    <t>CE PRINCESA ISABEL</t>
  </si>
  <si>
    <t>90,82%</t>
  </si>
  <si>
    <t>CE PROFESSOR ALFREDO BALTHAZAR DA SILVEIRA</t>
  </si>
  <si>
    <t>94,63%</t>
  </si>
  <si>
    <t>18,24%</t>
  </si>
  <si>
    <t>67,62%</t>
  </si>
  <si>
    <t>CE PROFESSOR KOPKE</t>
  </si>
  <si>
    <t>96,89%</t>
  </si>
  <si>
    <t>CE PROFESSORA ALDA BERNARDO DOS SANTOS TAVARES</t>
  </si>
  <si>
    <t>95,48%</t>
  </si>
  <si>
    <t>60,52%</t>
  </si>
  <si>
    <t>CE PROFESSORA ALVINA VALERIO DA SILVA</t>
  </si>
  <si>
    <t>70,12%</t>
  </si>
  <si>
    <t>CE PROFESSORA MARIA APARECIDA BASTOS</t>
  </si>
  <si>
    <t>99,21%</t>
  </si>
  <si>
    <t>27,46%</t>
  </si>
  <si>
    <t>86,51%</t>
  </si>
  <si>
    <t>CE PROFESSORA RUTH TALDO FRANCA</t>
  </si>
  <si>
    <t>93,72%</t>
  </si>
  <si>
    <t>CE PROFESSORA SONIA MARIA PIEDADE DE MOURA</t>
  </si>
  <si>
    <t>88,65%</t>
  </si>
  <si>
    <t>CE REPUBLICA DO LIBANO</t>
  </si>
  <si>
    <t>CE ROBERTO COELHO PEDROSO</t>
  </si>
  <si>
    <t>98,95%</t>
  </si>
  <si>
    <t>14,27%</t>
  </si>
  <si>
    <t>95,15%</t>
  </si>
  <si>
    <t>25,40%</t>
  </si>
  <si>
    <t>77,89%</t>
  </si>
  <si>
    <t>CE SAO FRANCISCO DE ASSIS</t>
  </si>
  <si>
    <t>CE URBANO CARLOS DE ALMEIDA</t>
  </si>
  <si>
    <t>CE VISCONDE DE SEPETIBA</t>
  </si>
  <si>
    <t>71,68%</t>
  </si>
  <si>
    <t>CEI AGROECOLOGICO BARAO DE LANGSDORFF</t>
  </si>
  <si>
    <t>95,73%</t>
  </si>
  <si>
    <t>27,92%</t>
  </si>
  <si>
    <t>CIA JOSE FRANCISCO LIPPI</t>
  </si>
  <si>
    <t>99,53%</t>
  </si>
  <si>
    <t>87,47%</t>
  </si>
  <si>
    <t>CIEP 038 SANTOS DUMONT - BRASIL-ALEMANHA</t>
  </si>
  <si>
    <t>33,94%</t>
  </si>
  <si>
    <t>CIEP 127 FREI ACURSIO ALOISIO GONZAGA BOLWER</t>
  </si>
  <si>
    <t>97,38%</t>
  </si>
  <si>
    <t>17,55%</t>
  </si>
  <si>
    <t>CIEP 128 MAGEPE MIRIM</t>
  </si>
  <si>
    <t>98,02%</t>
  </si>
  <si>
    <t>CIEP 137 CECILIA MEIRELES</t>
  </si>
  <si>
    <t>73,83%</t>
  </si>
  <si>
    <t>CIEP 260 BARBOSA PORTO - BRASIL-CHILE</t>
  </si>
  <si>
    <t>18,10%</t>
  </si>
  <si>
    <t>CIEP 281 GABRIELA MISTRAL</t>
  </si>
  <si>
    <t>98,53%</t>
  </si>
  <si>
    <t>68,40%</t>
  </si>
  <si>
    <t>22,03%</t>
  </si>
  <si>
    <t>CIEP 285 LUIZ JOSE DAFLON GOMES</t>
  </si>
  <si>
    <t>82,84%</t>
  </si>
  <si>
    <t>CIEP 327 PEDRO AMERICO</t>
  </si>
  <si>
    <t>15,61%</t>
  </si>
  <si>
    <t>57,72%</t>
  </si>
  <si>
    <t>CIEP 441 MANÉ GARRINCHA</t>
  </si>
  <si>
    <t>78,29%</t>
  </si>
  <si>
    <t>CIEP 444 ISRAEL JACOB AVERBACK</t>
  </si>
  <si>
    <t>95,59%</t>
  </si>
  <si>
    <t>13,48%</t>
  </si>
  <si>
    <t>CIEP 456 PROFESSOR MARCOS COSTA REIS DUTRA</t>
  </si>
  <si>
    <t>92,63%</t>
  </si>
  <si>
    <t>53,68%</t>
  </si>
  <si>
    <t>CIEP 472 CANDIDO PORTINARI</t>
  </si>
  <si>
    <t>99,00%</t>
  </si>
  <si>
    <t>62,15%</t>
  </si>
  <si>
    <t>IE PROFESSOR JOEL MONNERAT</t>
  </si>
  <si>
    <t>30,49%</t>
  </si>
  <si>
    <t>83,06%</t>
  </si>
  <si>
    <t>CE 1º SARGENTO BM LUIZ CARLOS GONÇALVES FISCHER</t>
  </si>
  <si>
    <t>29,29%</t>
  </si>
  <si>
    <t>95,92%</t>
  </si>
  <si>
    <t>CE 2º TENENTE BM SÉRGIO RODRIGUES DA SILVA</t>
  </si>
  <si>
    <t>32,42%</t>
  </si>
  <si>
    <t>CE ALMIRANTE PROTOGENES</t>
  </si>
  <si>
    <t>91,78%</t>
  </si>
  <si>
    <t>78,08%</t>
  </si>
  <si>
    <t>CE ANTONIO PECLY</t>
  </si>
  <si>
    <t>87,31%</t>
  </si>
  <si>
    <t>CE AUGUSTO SPINELLI</t>
  </si>
  <si>
    <t>91,27%</t>
  </si>
  <si>
    <t>34,43%</t>
  </si>
  <si>
    <t>80,95%</t>
  </si>
  <si>
    <t>26,14%</t>
  </si>
  <si>
    <t>CE BACCOPARO MARTINS</t>
  </si>
  <si>
    <t>CE BARAO DE SANTA MARIA MADALENA</t>
  </si>
  <si>
    <t>76,13%</t>
  </si>
  <si>
    <t>CE BARRA DE SAO JOAO</t>
  </si>
  <si>
    <t>63,77%</t>
  </si>
  <si>
    <t>CE CAMPINAS II</t>
  </si>
  <si>
    <t>95,88%</t>
  </si>
  <si>
    <t>98,97%</t>
  </si>
  <si>
    <t>CE CANADA</t>
  </si>
  <si>
    <t>69,11%</t>
  </si>
  <si>
    <t>23,11%</t>
  </si>
  <si>
    <t>CE CASIMIRO DE ABREU</t>
  </si>
  <si>
    <t>81,50%</t>
  </si>
  <si>
    <t>57,71%</t>
  </si>
  <si>
    <t>CE CONDE DE NOVA FRIBURGO</t>
  </si>
  <si>
    <t>26,22%</t>
  </si>
  <si>
    <t>CE CONSTANCA SOARES TEIXEIRA</t>
  </si>
  <si>
    <t>30,55%</t>
  </si>
  <si>
    <t>CE DOUTOR FELICIANO COSTA</t>
  </si>
  <si>
    <t>25,33%</t>
  </si>
  <si>
    <t>57,30%</t>
  </si>
  <si>
    <t>CE DOUTOR FRANCISCO LEITE TEIXEIRA</t>
  </si>
  <si>
    <t>CE DOUTOR GALDINO DO VALLE FILHO</t>
  </si>
  <si>
    <t>71,20%</t>
  </si>
  <si>
    <t>27,49%</t>
  </si>
  <si>
    <t>69,60%</t>
  </si>
  <si>
    <t>21,56%</t>
  </si>
  <si>
    <t>CE DOUTOR JOAO BAZET</t>
  </si>
  <si>
    <t>81,20%</t>
  </si>
  <si>
    <t>29,16%</t>
  </si>
  <si>
    <t>CE DOUTOR PERICLES CORREA DA ROCHA</t>
  </si>
  <si>
    <t>96,08%</t>
  </si>
  <si>
    <t>25,64%</t>
  </si>
  <si>
    <t>CE DOUTOR TUFFY EL JAICK</t>
  </si>
  <si>
    <t>93,08%</t>
  </si>
  <si>
    <t>25,90%</t>
  </si>
  <si>
    <t>CE DOUTOR VICENTE DE MORAES</t>
  </si>
  <si>
    <t>88,17%</t>
  </si>
  <si>
    <t>CE EDUARDO BREDER</t>
  </si>
  <si>
    <t>94,17%</t>
  </si>
  <si>
    <t>23,82%</t>
  </si>
  <si>
    <t>65,05%</t>
  </si>
  <si>
    <t>CE EMILIA ROSCHEMANT</t>
  </si>
  <si>
    <t>78,76%</t>
  </si>
  <si>
    <t>24,23%</t>
  </si>
  <si>
    <t>CE ETELVINA SCHOTTZ</t>
  </si>
  <si>
    <t>CE FARMACEUTICO RODOLFO ALBINO</t>
  </si>
  <si>
    <t>93,06%</t>
  </si>
  <si>
    <t>26,38%</t>
  </si>
  <si>
    <t>CE FRANCISCO VARELLA</t>
  </si>
  <si>
    <t>23,55%</t>
  </si>
  <si>
    <t>CE INDAIAÇU</t>
  </si>
  <si>
    <t>92,59%</t>
  </si>
  <si>
    <t>CE JANUARIO DE TOLEDO PIZZA</t>
  </si>
  <si>
    <t>76,32%</t>
  </si>
  <si>
    <t>23,62%</t>
  </si>
  <si>
    <t>CE JOAO DE ABREU JUNIOR</t>
  </si>
  <si>
    <t>CE JOAO DE MORAES MARTINS</t>
  </si>
  <si>
    <t>25,06%</t>
  </si>
  <si>
    <t>21,92%</t>
  </si>
  <si>
    <t>CE JOSE CARDOSO DE MORAES</t>
  </si>
  <si>
    <t>CE JOSE CARLOS BOARETTO</t>
  </si>
  <si>
    <t>72,93%</t>
  </si>
  <si>
    <t>26,12%</t>
  </si>
  <si>
    <t>CE JOSE MARTINS DA COSTA</t>
  </si>
  <si>
    <t>31,96%</t>
  </si>
  <si>
    <t>CE JULIO SALUSSE</t>
  </si>
  <si>
    <t>81,62%</t>
  </si>
  <si>
    <t>84,56%</t>
  </si>
  <si>
    <t>CE LEOPOLDO OSCAR STUTZ</t>
  </si>
  <si>
    <t>28,94%</t>
  </si>
  <si>
    <t>68,25%</t>
  </si>
  <si>
    <t>CE MARIA MARINA PINTO SILVA</t>
  </si>
  <si>
    <t>91,53%</t>
  </si>
  <si>
    <t>25,45%</t>
  </si>
  <si>
    <t>74,58%</t>
  </si>
  <si>
    <t>21,49%</t>
  </si>
  <si>
    <t>CE MARIA ROSA TEIXEIRA</t>
  </si>
  <si>
    <t>90,20%</t>
  </si>
  <si>
    <t>CE MARIA VERALBA FERRAZ</t>
  </si>
  <si>
    <t>95,68%</t>
  </si>
  <si>
    <t>84,89%</t>
  </si>
  <si>
    <t>CE PADRE FRANCA</t>
  </si>
  <si>
    <t>32,13%</t>
  </si>
  <si>
    <t>68,52%</t>
  </si>
  <si>
    <t>CE PADRE MADUREIRA</t>
  </si>
  <si>
    <t>26,73%</t>
  </si>
  <si>
    <t>CE PROFESSOR AURELIO DUARTE</t>
  </si>
  <si>
    <t>86,46%</t>
  </si>
  <si>
    <t>CE PROFESSOR CARLOS CORTES</t>
  </si>
  <si>
    <t>CE PROFESSOR JAMIL EL JAICK</t>
  </si>
  <si>
    <t>91,45%</t>
  </si>
  <si>
    <t>CE PROFESSOR JOAO BRASIL</t>
  </si>
  <si>
    <t>91,94%</t>
  </si>
  <si>
    <t>CE PROFESSOR SOUZA</t>
  </si>
  <si>
    <t>84,72%</t>
  </si>
  <si>
    <t>CE PROFESSORA ZELIA DOS SANTOS CORTES</t>
  </si>
  <si>
    <t>30,24%</t>
  </si>
  <si>
    <t>CE QUINTINO BOCAIUVA</t>
  </si>
  <si>
    <t>22,97%</t>
  </si>
  <si>
    <t>74,22%</t>
  </si>
  <si>
    <t>CE RAMIRO BRAGA</t>
  </si>
  <si>
    <t>97,30%</t>
  </si>
  <si>
    <t>26,69%</t>
  </si>
  <si>
    <t>CE RAPHAEL LUIZ DE SIQUEIRA JACCOUD</t>
  </si>
  <si>
    <t>28,26%</t>
  </si>
  <si>
    <t>CE RIO DOURADO</t>
  </si>
  <si>
    <t>89,89%</t>
  </si>
  <si>
    <t>79,78%</t>
  </si>
  <si>
    <t>CE SALUSTIANO JOSE RIBEIRO SERAFIM</t>
  </si>
  <si>
    <t>29,05%</t>
  </si>
  <si>
    <t>73,97%</t>
  </si>
  <si>
    <t>24,26%</t>
  </si>
  <si>
    <t>CE SANTA MARIA</t>
  </si>
  <si>
    <t>77,41%</t>
  </si>
  <si>
    <t>CE SAO JOSE</t>
  </si>
  <si>
    <t>CE SAO SEBASTIAO</t>
  </si>
  <si>
    <t>80,68%</t>
  </si>
  <si>
    <t>CE SERVULO MELO</t>
  </si>
  <si>
    <t>83,59%</t>
  </si>
  <si>
    <t>CE SOL NASCENTE</t>
  </si>
  <si>
    <t>CENTRO FAMILIAR DE FORMAÇÃO POR ALTERNANCIA COLEGIO ESTADUAL AGRICOLA REI ALBERTO I</t>
  </si>
  <si>
    <t>96,34%</t>
  </si>
  <si>
    <t>CIEP 140 MÁRIO CESAR GOMES DA SILVA</t>
  </si>
  <si>
    <t>26,50%</t>
  </si>
  <si>
    <t>24,80%</t>
  </si>
  <si>
    <t>CIEP 145 DOUTOR OSWALDO CRUZ</t>
  </si>
  <si>
    <t>99,07%</t>
  </si>
  <si>
    <t>CIEP 274 MARIA AMELIA DAFLON FERRO</t>
  </si>
  <si>
    <t>97,06%</t>
  </si>
  <si>
    <t>CIEP 277 JOÃO NICOLÁO FILHO - JANJÃO</t>
  </si>
  <si>
    <t>19,03%</t>
  </si>
  <si>
    <t>CIEP 279 PROFESSORA GUIOMAR GONCALVES NEVES</t>
  </si>
  <si>
    <t>CIEP 280 PROFESSOR VASCO FERNANDES DA SILVA PORTO</t>
  </si>
  <si>
    <t>28,40%</t>
  </si>
  <si>
    <t>82,69%</t>
  </si>
  <si>
    <t>CIEP 283 MARIA AMELIA PACHECO</t>
  </si>
  <si>
    <t>21,87%</t>
  </si>
  <si>
    <t>CIEP 322 MOZART CUNHA GUIMARAES</t>
  </si>
  <si>
    <t>91,89%</t>
  </si>
  <si>
    <t>27,86%</t>
  </si>
  <si>
    <t>CIEP 353 BROCHADO DA ROCHA</t>
  </si>
  <si>
    <t>40,54%</t>
  </si>
  <si>
    <t>CIEP 479 DOUTOR MARIO SIMAO ASSAF</t>
  </si>
  <si>
    <t>29,89%</t>
  </si>
  <si>
    <t>CIEP 480 PROFESSOR LUIZ CARLOS VERONESE</t>
  </si>
  <si>
    <t>25,15%</t>
  </si>
  <si>
    <t>CIEP 511 ALAIDE ARAUJO STORCK MELLOR MARQUES</t>
  </si>
  <si>
    <t>24,92%</t>
  </si>
  <si>
    <t>IE DE NOVA FRIBURGO</t>
  </si>
  <si>
    <t>IE INOCÊNCIO DE ANDRADE</t>
  </si>
  <si>
    <t>98,65%</t>
  </si>
  <si>
    <t>CE ACACIA AMARELA</t>
  </si>
  <si>
    <t>CE AFFONSINA MAZZILLO TEIXEIRA CAMPOS</t>
  </si>
  <si>
    <t>77,51%</t>
  </si>
  <si>
    <t>25,67%</t>
  </si>
  <si>
    <t>CE ALFREDO PUJOL</t>
  </si>
  <si>
    <t>58,06%</t>
  </si>
  <si>
    <t>CE ALMIRANTE ALVARO ALBERTO</t>
  </si>
  <si>
    <t>76,56%</t>
  </si>
  <si>
    <t>CE AMERICO PIMENTA</t>
  </si>
  <si>
    <t>75,54%</t>
  </si>
  <si>
    <t>87,01%</t>
  </si>
  <si>
    <t>CE ANÍBAL BENÉVOLO</t>
  </si>
  <si>
    <t>94,87%</t>
  </si>
  <si>
    <t>29,64%</t>
  </si>
  <si>
    <t>24,53%</t>
  </si>
  <si>
    <t>CE ANTONINA RAMOS FREIRE</t>
  </si>
  <si>
    <t>88,13%</t>
  </si>
  <si>
    <t>26,45%</t>
  </si>
  <si>
    <t>71,88%</t>
  </si>
  <si>
    <t>CE ANTONIO DIAS LIMA</t>
  </si>
  <si>
    <t>62,74%</t>
  </si>
  <si>
    <t>CE ANTÔNIO QUIRINO</t>
  </si>
  <si>
    <t>80,61%</t>
  </si>
  <si>
    <t>31,52%</t>
  </si>
  <si>
    <t>CE BALDOMERO BARBARA</t>
  </si>
  <si>
    <t>57,31%</t>
  </si>
  <si>
    <t>26,13%</t>
  </si>
  <si>
    <t>CE BARAO DE AIURUOCA</t>
  </si>
  <si>
    <t>81,14%</t>
  </si>
  <si>
    <t>51,05%</t>
  </si>
  <si>
    <t>CE BARÃO DE MAUÁ</t>
  </si>
  <si>
    <t>CE BOA VISTA</t>
  </si>
  <si>
    <t>81,30%</t>
  </si>
  <si>
    <t>24,94%</t>
  </si>
  <si>
    <t>CE BRASÍLIA</t>
  </si>
  <si>
    <t>60,22%</t>
  </si>
  <si>
    <t>68,82%</t>
  </si>
  <si>
    <t>CE BRIGADEIRO NOBREGA</t>
  </si>
  <si>
    <t>CE CAETANO DE OLIVEIRA</t>
  </si>
  <si>
    <t>73,86%</t>
  </si>
  <si>
    <t>24,55%</t>
  </si>
  <si>
    <t>53,76%</t>
  </si>
  <si>
    <t>CE CELIO BARBOSA ANCHITE</t>
  </si>
  <si>
    <t>87,93%</t>
  </si>
  <si>
    <t>24,33%</t>
  </si>
  <si>
    <t>77,59%</t>
  </si>
  <si>
    <t>CE COMENDADOR PEREIRA IGNACIO</t>
  </si>
  <si>
    <t>25,54%</t>
  </si>
  <si>
    <t>72,17%</t>
  </si>
  <si>
    <t>25,62%</t>
  </si>
  <si>
    <t>52,43%</t>
  </si>
  <si>
    <t>CE CORONEL CAMISAO</t>
  </si>
  <si>
    <t>84,18%</t>
  </si>
  <si>
    <t>CE DOUTOR ARTUR VARGAS</t>
  </si>
  <si>
    <t>35,77%</t>
  </si>
  <si>
    <t>CE DOUTOR JOÃO MAIA</t>
  </si>
  <si>
    <t>65,61%</t>
  </si>
  <si>
    <t>CE ENGENHEIRO MARIO MOURA BRASIL DO AMARAL</t>
  </si>
  <si>
    <t>83,97%</t>
  </si>
  <si>
    <t>16,62%</t>
  </si>
  <si>
    <t>39,70%</t>
  </si>
  <si>
    <t>CE ENGENHEIRO PASSOS</t>
  </si>
  <si>
    <t>CE FAGUNDES VARELA</t>
  </si>
  <si>
    <t>99,52%</t>
  </si>
  <si>
    <t>88,26%</t>
  </si>
  <si>
    <t>CE GECY VIEIRA GONCALVES</t>
  </si>
  <si>
    <t>50,94%</t>
  </si>
  <si>
    <t>CE GUANABARA</t>
  </si>
  <si>
    <t>83,55%</t>
  </si>
  <si>
    <t>51,97%</t>
  </si>
  <si>
    <t>21,89%</t>
  </si>
  <si>
    <t>CE HERMINIA DE OLIVEIRA MATTOS</t>
  </si>
  <si>
    <t>90,80%</t>
  </si>
  <si>
    <t>14,11%</t>
  </si>
  <si>
    <t>51,58%</t>
  </si>
  <si>
    <t>CE HONORIO LIMA</t>
  </si>
  <si>
    <t>81,51%</t>
  </si>
  <si>
    <t>22,65%</t>
  </si>
  <si>
    <t>34,03%</t>
  </si>
  <si>
    <t>CE IRACEMA LEITE NADER</t>
  </si>
  <si>
    <t>69,70%</t>
  </si>
  <si>
    <t>61,65%</t>
  </si>
  <si>
    <t>CE JAYME SILVESTRE CAMARGO</t>
  </si>
  <si>
    <t>84,03%</t>
  </si>
  <si>
    <t>CE JOAO PAULO II</t>
  </si>
  <si>
    <t>97,03%</t>
  </si>
  <si>
    <t>51,48%</t>
  </si>
  <si>
    <t>CE LEOPOLDO AMERICO M DE MELLO</t>
  </si>
  <si>
    <t>84,27%</t>
  </si>
  <si>
    <t>67,98%</t>
  </si>
  <si>
    <t>CE MARECHAL FLORIANO PEIXOTO</t>
  </si>
  <si>
    <t>67,27%</t>
  </si>
  <si>
    <t>64,55%</t>
  </si>
  <si>
    <t>CE MARECHAL SOUZA DANTAS</t>
  </si>
  <si>
    <t>23,16%</t>
  </si>
  <si>
    <t>60,35%</t>
  </si>
  <si>
    <t>CE MONTEBELLO BONDIM</t>
  </si>
  <si>
    <t>68,91%</t>
  </si>
  <si>
    <t>40,98%</t>
  </si>
  <si>
    <t>CE NAZIRA SALOMAO</t>
  </si>
  <si>
    <t>94,97%</t>
  </si>
  <si>
    <t>63,09%</t>
  </si>
  <si>
    <t>CE NITERÓI</t>
  </si>
  <si>
    <t>CE NOSSA SENHORA DO AMPARO</t>
  </si>
  <si>
    <t>96,97%</t>
  </si>
  <si>
    <t>CE OCTÁVIO TEIXEIRA CAMPOS</t>
  </si>
  <si>
    <t>96,36%</t>
  </si>
  <si>
    <t>96,07%</t>
  </si>
  <si>
    <t>64,92%</t>
  </si>
  <si>
    <t>CE OLIVEIRA BOTELHO</t>
  </si>
  <si>
    <t>71,00%</t>
  </si>
  <si>
    <t>CE PEDRO BRAILE NETO</t>
  </si>
  <si>
    <t>92,76%</t>
  </si>
  <si>
    <t>CE PEDRO RAYMUNDO DE MAGALHÃES</t>
  </si>
  <si>
    <t>75,51%</t>
  </si>
  <si>
    <t>CE PEDRO SOARES</t>
  </si>
  <si>
    <t>78,05%</t>
  </si>
  <si>
    <t>CE PIAUÍ - BRASIL-FRANÇA</t>
  </si>
  <si>
    <t>93,22%</t>
  </si>
  <si>
    <t>CE PREFEITO FRANCISCO FONTES TORRES</t>
  </si>
  <si>
    <t>CE PRESIDENTE ROOSEVELT</t>
  </si>
  <si>
    <t>24,04%</t>
  </si>
  <si>
    <t>CE PROFESSOR JOSÉ MEDEIROS DE CAMARGO</t>
  </si>
  <si>
    <t>CE PROFESSOR LUIZ GONZAGA DE MATTOS</t>
  </si>
  <si>
    <t>68,93%</t>
  </si>
  <si>
    <t>50,49%</t>
  </si>
  <si>
    <t>CE REPÚBLICA ITALIANA</t>
  </si>
  <si>
    <t>60,89%</t>
  </si>
  <si>
    <t>CE RIO DE JANEIRO</t>
  </si>
  <si>
    <t>92,11%</t>
  </si>
  <si>
    <t>84,87%</t>
  </si>
  <si>
    <t>CE RIO GRANDE DO NORTE</t>
  </si>
  <si>
    <t>83,24%</t>
  </si>
  <si>
    <t>68,79%</t>
  </si>
  <si>
    <t>CE RIO GRANDE DO SUL</t>
  </si>
  <si>
    <t>68,61%</t>
  </si>
  <si>
    <t>46,40%</t>
  </si>
  <si>
    <t>CE ROBERTO MONTENEGRO</t>
  </si>
  <si>
    <t>29,61%</t>
  </si>
  <si>
    <t>63,94%</t>
  </si>
  <si>
    <t>CE RONDONIA</t>
  </si>
  <si>
    <t>CE ROSELANDIA</t>
  </si>
  <si>
    <t>81,12%</t>
  </si>
  <si>
    <t>23,93%</t>
  </si>
  <si>
    <t>53,69%</t>
  </si>
  <si>
    <t>73,61%</t>
  </si>
  <si>
    <t>54,44%</t>
  </si>
  <si>
    <t>CE SÃO PAULO</t>
  </si>
  <si>
    <t>CE SAO PEDRO</t>
  </si>
  <si>
    <t>64,14%</t>
  </si>
  <si>
    <t>CE VILA MARIA</t>
  </si>
  <si>
    <t>25,51%</t>
  </si>
  <si>
    <t>CIEP 053 DOUTOR NELSON DOS SANTOS GONÇALVES</t>
  </si>
  <si>
    <t>57,02%</t>
  </si>
  <si>
    <t>CIEP 055 JOAO GREGORIO GALINDO</t>
  </si>
  <si>
    <t>CIEP 291 DOM MARTINHO SCHLUDE</t>
  </si>
  <si>
    <t>82,08%</t>
  </si>
  <si>
    <t>26,03%</t>
  </si>
  <si>
    <t>66,87%</t>
  </si>
  <si>
    <t>CIEP 292 PROFESSORA JANDIRA REIS DE OLIVEIRA</t>
  </si>
  <si>
    <t>45,57%</t>
  </si>
  <si>
    <t>37,34%</t>
  </si>
  <si>
    <t>CIEP 293 WALMIR DE FREITAS MONTEIRO</t>
  </si>
  <si>
    <t>19,60%</t>
  </si>
  <si>
    <t>CIEP 295 PROFESSORA GLORIA ROUSSIM GUEDES PINTO</t>
  </si>
  <si>
    <t>77,69%</t>
  </si>
  <si>
    <t>26,97%</t>
  </si>
  <si>
    <t>CIEP 296 PRESIDENTE BENES</t>
  </si>
  <si>
    <t>99,41%</t>
  </si>
  <si>
    <t>CIEP 299 JIULIO CARUSO</t>
  </si>
  <si>
    <t>18,76%</t>
  </si>
  <si>
    <t>CIEP 302 CHARLES DICKENS</t>
  </si>
  <si>
    <t>17,53%</t>
  </si>
  <si>
    <t>CIEP 347 DOUTOR JORGE MIGUEL JAYME</t>
  </si>
  <si>
    <t>24,69%</t>
  </si>
  <si>
    <t>53,38%</t>
  </si>
  <si>
    <t>CIEP 403 MARIA DE LOURDES GIOVANETTI CÍVICO MILITAR</t>
  </si>
  <si>
    <t>40,69%</t>
  </si>
  <si>
    <t>34,27%</t>
  </si>
  <si>
    <t>CIEP 484 GINÁSIO PÚBLICO TONINHO MARQUES</t>
  </si>
  <si>
    <t>71,11%</t>
  </si>
  <si>
    <t>CIEP 485 PROFESSOR JOAO BATISTA DE BARROS</t>
  </si>
  <si>
    <t>18,69%</t>
  </si>
  <si>
    <t>CIEP 486 PROFESSOR LUIZ VALLEJO</t>
  </si>
  <si>
    <t>77,97%</t>
  </si>
  <si>
    <t>82,46%</t>
  </si>
  <si>
    <t>CIEP 488 EZEQUIEL FREIRE</t>
  </si>
  <si>
    <t>68,46%</t>
  </si>
  <si>
    <t>CIEP 493 PROFESSORA ANTONIETA SALINAS DE CASTRO</t>
  </si>
  <si>
    <t>96,63%</t>
  </si>
  <si>
    <t>64,57%</t>
  </si>
  <si>
    <t>CIEP 495 ALBERTO DA VEIGA GUIGNARD</t>
  </si>
  <si>
    <t>64,73%</t>
  </si>
  <si>
    <t>CIEP 999 DOM PEDRO D'ALCANTARA DE BRAGANCA, PRIMEIRO IMPERADOR DO BRASIL</t>
  </si>
  <si>
    <t>88,44%</t>
  </si>
  <si>
    <t>86,22%</t>
  </si>
  <si>
    <t>IE PROFESSOR MANUEL MARINHO</t>
  </si>
  <si>
    <t>-----</t>
  </si>
  <si>
    <t>63,41%</t>
  </si>
  <si>
    <t>85,42%</t>
  </si>
  <si>
    <t>75,52%</t>
  </si>
  <si>
    <t>80,20%</t>
  </si>
  <si>
    <t>68,78%</t>
  </si>
  <si>
    <t>59,55%</t>
  </si>
  <si>
    <t>19,55%</t>
  </si>
  <si>
    <t>78,82%</t>
  </si>
  <si>
    <t>65,82%</t>
  </si>
  <si>
    <t>89,71%</t>
  </si>
  <si>
    <t>25,43%</t>
  </si>
  <si>
    <t>80,78%</t>
  </si>
  <si>
    <t>84,58%</t>
  </si>
  <si>
    <t>94,46%</t>
  </si>
  <si>
    <t>74,86%</t>
  </si>
  <si>
    <t>78,61%</t>
  </si>
  <si>
    <t>64,09%</t>
  </si>
  <si>
    <t>202,71</t>
  </si>
  <si>
    <t>198,78</t>
  </si>
  <si>
    <t>65,66%</t>
  </si>
  <si>
    <t>380,01</t>
  </si>
  <si>
    <t>305,76</t>
  </si>
  <si>
    <t>56,32%</t>
  </si>
  <si>
    <t>325,25</t>
  </si>
  <si>
    <t>266,79</t>
  </si>
  <si>
    <t>92,89%</t>
  </si>
  <si>
    <t>267,63</t>
  </si>
  <si>
    <t>48,12%</t>
  </si>
  <si>
    <t>413,56</t>
  </si>
  <si>
    <t>460,42</t>
  </si>
  <si>
    <t>341,27</t>
  </si>
  <si>
    <t>43,23%</t>
  </si>
  <si>
    <t>242,11</t>
  </si>
  <si>
    <t>----</t>
  </si>
  <si>
    <t>59,89%</t>
  </si>
  <si>
    <t>186,02</t>
  </si>
  <si>
    <t>220,49</t>
  </si>
  <si>
    <t>58,24%</t>
  </si>
  <si>
    <t>299,81</t>
  </si>
  <si>
    <t>55,49%</t>
  </si>
  <si>
    <t>168,08</t>
  </si>
  <si>
    <t>56,04%</t>
  </si>
  <si>
    <t>238,81</t>
  </si>
  <si>
    <t>56,59%</t>
  </si>
  <si>
    <t>398,45</t>
  </si>
  <si>
    <t>368,57</t>
  </si>
  <si>
    <t>398,18</t>
  </si>
  <si>
    <t>72,41%</t>
  </si>
  <si>
    <t>452,00</t>
  </si>
  <si>
    <t>395,00</t>
  </si>
  <si>
    <t>363,64</t>
  </si>
  <si>
    <t>55,17%</t>
  </si>
  <si>
    <t>455,00</t>
  </si>
  <si>
    <t>292,26</t>
  </si>
  <si>
    <t>462,86</t>
  </si>
  <si>
    <t>495,69</t>
  </si>
  <si>
    <t>346,25</t>
  </si>
  <si>
    <t>437,50</t>
  </si>
  <si>
    <t>468,24</t>
  </si>
  <si>
    <t>296,41</t>
  </si>
  <si>
    <t>97,56%</t>
  </si>
  <si>
    <t>312,50</t>
  </si>
  <si>
    <t>345,60</t>
  </si>
  <si>
    <t>387,92</t>
  </si>
  <si>
    <t>400,00</t>
  </si>
  <si>
    <t>131,89</t>
  </si>
  <si>
    <t>50,62%</t>
  </si>
  <si>
    <t>348,00</t>
  </si>
  <si>
    <t>61,73%</t>
  </si>
  <si>
    <t>334,40</t>
  </si>
  <si>
    <t>143,20</t>
  </si>
  <si>
    <t>64,20%</t>
  </si>
  <si>
    <t>303,08</t>
  </si>
  <si>
    <t>54,32%</t>
  </si>
  <si>
    <t>470,70</t>
  </si>
  <si>
    <t>458,67</t>
  </si>
  <si>
    <t>48,09%</t>
  </si>
  <si>
    <t>518,06</t>
  </si>
  <si>
    <t>80,92%</t>
  </si>
  <si>
    <t>562,29</t>
  </si>
  <si>
    <t>553,04</t>
  </si>
  <si>
    <t>82,44%</t>
  </si>
  <si>
    <t>560,37</t>
  </si>
  <si>
    <t>72,52%</t>
  </si>
  <si>
    <t>551,16</t>
  </si>
  <si>
    <t>552,57</t>
  </si>
  <si>
    <t>603,48</t>
  </si>
  <si>
    <t>81,94%</t>
  </si>
  <si>
    <t>570,85</t>
  </si>
  <si>
    <t>584,12</t>
  </si>
  <si>
    <t>591,11</t>
  </si>
  <si>
    <t>545,51</t>
  </si>
  <si>
    <t>242,08</t>
  </si>
  <si>
    <t>70,42%</t>
  </si>
  <si>
    <t>322,26</t>
  </si>
  <si>
    <t>374,78</t>
  </si>
  <si>
    <t>294,55</t>
  </si>
  <si>
    <t>330,84</t>
  </si>
  <si>
    <t>180,00</t>
  </si>
  <si>
    <t>206,35</t>
  </si>
  <si>
    <t>335,66</t>
  </si>
  <si>
    <t>394,14</t>
  </si>
  <si>
    <t>241,27</t>
  </si>
  <si>
    <t>384,21</t>
  </si>
  <si>
    <t>371,67</t>
  </si>
  <si>
    <t>199,78</t>
  </si>
  <si>
    <t>60,42%</t>
  </si>
  <si>
    <t>366,90</t>
  </si>
  <si>
    <t>351,11</t>
  </si>
  <si>
    <t>277,50</t>
  </si>
  <si>
    <t>41,43%</t>
  </si>
  <si>
    <t>434,49</t>
  </si>
  <si>
    <t>164,58</t>
  </si>
  <si>
    <t>190,19</t>
  </si>
  <si>
    <t>45,13%</t>
  </si>
  <si>
    <t>404,80</t>
  </si>
  <si>
    <t>239,80</t>
  </si>
  <si>
    <t>44,77%</t>
  </si>
  <si>
    <t>343,09</t>
  </si>
  <si>
    <t>51,26%</t>
  </si>
  <si>
    <t>356,03</t>
  </si>
  <si>
    <t>237,24</t>
  </si>
  <si>
    <t>435,67</t>
  </si>
  <si>
    <t>85,48%</t>
  </si>
  <si>
    <t>359,69</t>
  </si>
  <si>
    <t>314,49</t>
  </si>
  <si>
    <t>335,61</t>
  </si>
  <si>
    <t>326,50</t>
  </si>
  <si>
    <t>271,51</t>
  </si>
  <si>
    <t>316,72</t>
  </si>
  <si>
    <t>61,86%</t>
  </si>
  <si>
    <t>459,67</t>
  </si>
  <si>
    <t>359,86</t>
  </si>
  <si>
    <t>53,60%</t>
  </si>
  <si>
    <t>395,29</t>
  </si>
  <si>
    <t>284,04</t>
  </si>
  <si>
    <t>271,97</t>
  </si>
  <si>
    <t>429,35</t>
  </si>
  <si>
    <t>173,84</t>
  </si>
  <si>
    <t>342,46</t>
  </si>
  <si>
    <t>99,59%</t>
  </si>
  <si>
    <t>327,11</t>
  </si>
  <si>
    <t>241,13</t>
  </si>
  <si>
    <t>65,16%</t>
  </si>
  <si>
    <t>299,95</t>
  </si>
  <si>
    <t>385,15</t>
  </si>
  <si>
    <t>173,38</t>
  </si>
  <si>
    <t>54,08%</t>
  </si>
  <si>
    <t>149,62</t>
  </si>
  <si>
    <t>31,49%</t>
  </si>
  <si>
    <t>151,03</t>
  </si>
  <si>
    <t>233,05</t>
  </si>
  <si>
    <t>66,61%</t>
  </si>
  <si>
    <t>376,57</t>
  </si>
  <si>
    <t>59,61%</t>
  </si>
  <si>
    <t>405,44</t>
  </si>
  <si>
    <t>174,93</t>
  </si>
  <si>
    <t>58,35%</t>
  </si>
  <si>
    <t>390,99</t>
  </si>
  <si>
    <t>361,10</t>
  </si>
  <si>
    <t>119,75</t>
  </si>
  <si>
    <t>0,00</t>
  </si>
  <si>
    <t>72,75%</t>
  </si>
  <si>
    <t>435,97</t>
  </si>
  <si>
    <t>214,49</t>
  </si>
  <si>
    <t>66,50%</t>
  </si>
  <si>
    <t>429,96</t>
  </si>
  <si>
    <t>66,25%</t>
  </si>
  <si>
    <t>381,00</t>
  </si>
  <si>
    <t>168,74</t>
  </si>
  <si>
    <t>44,93%</t>
  </si>
  <si>
    <t>341,56</t>
  </si>
  <si>
    <t>56,31%</t>
  </si>
  <si>
    <t>404,83</t>
  </si>
  <si>
    <t>268,31</t>
  </si>
  <si>
    <t>427,86</t>
  </si>
  <si>
    <t>291,76</t>
  </si>
  <si>
    <t>352,50</t>
  </si>
  <si>
    <t>425,88</t>
  </si>
  <si>
    <t>338,82</t>
  </si>
  <si>
    <t>444,71</t>
  </si>
  <si>
    <t>445,71</t>
  </si>
  <si>
    <t>169,92</t>
  </si>
  <si>
    <t>212,61</t>
  </si>
  <si>
    <t>83,94%</t>
  </si>
  <si>
    <t>230,96</t>
  </si>
  <si>
    <t>247,09</t>
  </si>
  <si>
    <t>64,96%</t>
  </si>
  <si>
    <t>350,91</t>
  </si>
  <si>
    <t>371,24</t>
  </si>
  <si>
    <t>239,58</t>
  </si>
  <si>
    <t>450,79</t>
  </si>
  <si>
    <t>58,32%</t>
  </si>
  <si>
    <t>417,03</t>
  </si>
  <si>
    <t>44,72%</t>
  </si>
  <si>
    <t>450,09</t>
  </si>
  <si>
    <t>427,84</t>
  </si>
  <si>
    <t>159,48</t>
  </si>
  <si>
    <t>45,96%</t>
  </si>
  <si>
    <t>377,54</t>
  </si>
  <si>
    <t>152,66</t>
  </si>
  <si>
    <t>428,93</t>
  </si>
  <si>
    <t>372,80</t>
  </si>
  <si>
    <t>488,00</t>
  </si>
  <si>
    <t>435,56</t>
  </si>
  <si>
    <t>316,19</t>
  </si>
  <si>
    <t>43,33%</t>
  </si>
  <si>
    <t>443,08</t>
  </si>
  <si>
    <t>505,26</t>
  </si>
  <si>
    <t>221,14</t>
  </si>
  <si>
    <t>90,58%</t>
  </si>
  <si>
    <t>271,48</t>
  </si>
  <si>
    <t>236,09</t>
  </si>
  <si>
    <t>145,30</t>
  </si>
  <si>
    <t>430,90</t>
  </si>
  <si>
    <t>360,00</t>
  </si>
  <si>
    <t>334,87</t>
  </si>
  <si>
    <t>79,61%</t>
  </si>
  <si>
    <t>480,51</t>
  </si>
  <si>
    <t>61,17%</t>
  </si>
  <si>
    <t>485,16</t>
  </si>
  <si>
    <t>306,50</t>
  </si>
  <si>
    <t>86,41%</t>
  </si>
  <si>
    <t>404,49</t>
  </si>
  <si>
    <t>72,82%</t>
  </si>
  <si>
    <t>422,40</t>
  </si>
  <si>
    <t>164,16</t>
  </si>
  <si>
    <t>370,51</t>
  </si>
  <si>
    <t>384,71</t>
  </si>
  <si>
    <t>383,30</t>
  </si>
  <si>
    <t>56,30%</t>
  </si>
  <si>
    <t>380,13</t>
  </si>
  <si>
    <t>55,19%</t>
  </si>
  <si>
    <t>418,63</t>
  </si>
  <si>
    <t>265,40</t>
  </si>
  <si>
    <t>68,23%</t>
  </si>
  <si>
    <t>472,08</t>
  </si>
  <si>
    <t>53,42%</t>
  </si>
  <si>
    <t>486,55</t>
  </si>
  <si>
    <t>374,80</t>
  </si>
  <si>
    <t>466,31</t>
  </si>
  <si>
    <t>52,99%</t>
  </si>
  <si>
    <t>507,98</t>
  </si>
  <si>
    <t>202,15</t>
  </si>
  <si>
    <t>366,75</t>
  </si>
  <si>
    <t>414,29</t>
  </si>
  <si>
    <t>254,93</t>
  </si>
  <si>
    <t>347,73</t>
  </si>
  <si>
    <t>52,31%</t>
  </si>
  <si>
    <t>390,59</t>
  </si>
  <si>
    <t>253,05</t>
  </si>
  <si>
    <t>56,35%</t>
  </si>
  <si>
    <t>405,82</t>
  </si>
  <si>
    <t>382,15</t>
  </si>
  <si>
    <t>285,16</t>
  </si>
  <si>
    <t>38,58%</t>
  </si>
  <si>
    <t>434,59</t>
  </si>
  <si>
    <t>35,03%</t>
  </si>
  <si>
    <t>423,19</t>
  </si>
  <si>
    <t>149,48</t>
  </si>
  <si>
    <t>54,64%</t>
  </si>
  <si>
    <t>350,93</t>
  </si>
  <si>
    <t>44,35%</t>
  </si>
  <si>
    <t>427,10</t>
  </si>
  <si>
    <t>237,12</t>
  </si>
  <si>
    <t>41,65%</t>
  </si>
  <si>
    <t>401,13</t>
  </si>
  <si>
    <t>445,78</t>
  </si>
  <si>
    <t>142,68</t>
  </si>
  <si>
    <t>83,28%</t>
  </si>
  <si>
    <t>206,25</t>
  </si>
  <si>
    <t>171,37</t>
  </si>
  <si>
    <t>49,85%</t>
  </si>
  <si>
    <t>384,84</t>
  </si>
  <si>
    <t>45,20%</t>
  </si>
  <si>
    <t>399,44</t>
  </si>
  <si>
    <t>288,37</t>
  </si>
  <si>
    <t>76,00%</t>
  </si>
  <si>
    <t>403,16</t>
  </si>
  <si>
    <t>394,15</t>
  </si>
  <si>
    <t>378,38</t>
  </si>
  <si>
    <t>453,33</t>
  </si>
  <si>
    <t>451,58</t>
  </si>
  <si>
    <t>178,38</t>
  </si>
  <si>
    <t>98,70%</t>
  </si>
  <si>
    <t>352,78</t>
  </si>
  <si>
    <t>93,51%</t>
  </si>
  <si>
    <t>364,44</t>
  </si>
  <si>
    <t>285,79</t>
  </si>
  <si>
    <t>92,21%</t>
  </si>
  <si>
    <t>259,10</t>
  </si>
  <si>
    <t>79,22%</t>
  </si>
  <si>
    <t>322,91</t>
  </si>
  <si>
    <t>221,66</t>
  </si>
  <si>
    <t>418,06</t>
  </si>
  <si>
    <t>97,77%</t>
  </si>
  <si>
    <t>133,69</t>
  </si>
  <si>
    <t>48,00</t>
  </si>
  <si>
    <t>99,36%</t>
  </si>
  <si>
    <t>111,90</t>
  </si>
  <si>
    <t>292,44</t>
  </si>
  <si>
    <t>42,15%</t>
  </si>
  <si>
    <t>32,02%</t>
  </si>
  <si>
    <t>397,89</t>
  </si>
  <si>
    <t>228,00</t>
  </si>
  <si>
    <t>184,91</t>
  </si>
  <si>
    <t>64,16%</t>
  </si>
  <si>
    <t>303,10</t>
  </si>
  <si>
    <t>55,60%</t>
  </si>
  <si>
    <t>392,76</t>
  </si>
  <si>
    <t>280,96</t>
  </si>
  <si>
    <t>53,28%</t>
  </si>
  <si>
    <t>387,11</t>
  </si>
  <si>
    <t>362,63</t>
  </si>
  <si>
    <t>386,34</t>
  </si>
  <si>
    <t>59,51%</t>
  </si>
  <si>
    <t>465,98</t>
  </si>
  <si>
    <t>464,33</t>
  </si>
  <si>
    <t>405,48</t>
  </si>
  <si>
    <t>273,60</t>
  </si>
  <si>
    <t>520,00</t>
  </si>
  <si>
    <t>133,29</t>
  </si>
  <si>
    <t>336,56</t>
  </si>
  <si>
    <t>243,36</t>
  </si>
  <si>
    <t>240,00</t>
  </si>
  <si>
    <t>38,96%</t>
  </si>
  <si>
    <t>258,67</t>
  </si>
  <si>
    <t>537,69</t>
  </si>
  <si>
    <t>531,05</t>
  </si>
  <si>
    <t>454,63</t>
  </si>
  <si>
    <t>560,00</t>
  </si>
  <si>
    <t>CE MENEZES VIEIRA</t>
  </si>
  <si>
    <t>200,00</t>
  </si>
  <si>
    <t>434,29</t>
  </si>
  <si>
    <t>485,00</t>
  </si>
  <si>
    <t>262,03</t>
  </si>
  <si>
    <t>47,79%</t>
  </si>
  <si>
    <t>421,42</t>
  </si>
  <si>
    <t>17,16%</t>
  </si>
  <si>
    <t>390,47</t>
  </si>
  <si>
    <t>182,28</t>
  </si>
  <si>
    <t>32,84%</t>
  </si>
  <si>
    <t>410,38</t>
  </si>
  <si>
    <t>407,11</t>
  </si>
  <si>
    <t>145,67</t>
  </si>
  <si>
    <t>294,73</t>
  </si>
  <si>
    <t>35,10%</t>
  </si>
  <si>
    <t>334,34</t>
  </si>
  <si>
    <t>142,52</t>
  </si>
  <si>
    <t>52,32%</t>
  </si>
  <si>
    <t>405,46</t>
  </si>
  <si>
    <t>312,45</t>
  </si>
  <si>
    <t>61,61%</t>
  </si>
  <si>
    <t>424,34</t>
  </si>
  <si>
    <t>48,74%</t>
  </si>
  <si>
    <t>460,19</t>
  </si>
  <si>
    <t>317,97</t>
  </si>
  <si>
    <t>50,42%</t>
  </si>
  <si>
    <t>378,67</t>
  </si>
  <si>
    <t>290,76</t>
  </si>
  <si>
    <t>341,96</t>
  </si>
  <si>
    <t>423,66</t>
  </si>
  <si>
    <t>366,88</t>
  </si>
  <si>
    <t>413,41</t>
  </si>
  <si>
    <t>390,45</t>
  </si>
  <si>
    <t>298,18</t>
  </si>
  <si>
    <t>401,15</t>
  </si>
  <si>
    <t>402,36</t>
  </si>
  <si>
    <t>325,86</t>
  </si>
  <si>
    <t>64,97%</t>
  </si>
  <si>
    <t>365,74</t>
  </si>
  <si>
    <t>155,70</t>
  </si>
  <si>
    <t>314,72</t>
  </si>
  <si>
    <t>65,56%</t>
  </si>
  <si>
    <t>251,81</t>
  </si>
  <si>
    <t>117,99</t>
  </si>
  <si>
    <t>54,30%</t>
  </si>
  <si>
    <t>189,68</t>
  </si>
  <si>
    <t>286,49</t>
  </si>
  <si>
    <t>359,37</t>
  </si>
  <si>
    <t>368,25</t>
  </si>
  <si>
    <t>430,67</t>
  </si>
  <si>
    <t>448,00</t>
  </si>
  <si>
    <t>420,00</t>
  </si>
  <si>
    <t>368,60</t>
  </si>
  <si>
    <t>432,35</t>
  </si>
  <si>
    <t>468,27</t>
  </si>
  <si>
    <t>434,51</t>
  </si>
  <si>
    <t>71,57%</t>
  </si>
  <si>
    <t>436,11</t>
  </si>
  <si>
    <t>86,67</t>
  </si>
  <si>
    <t>272,89</t>
  </si>
  <si>
    <t>374,86</t>
  </si>
  <si>
    <t>166,32</t>
  </si>
  <si>
    <t>245,85</t>
  </si>
  <si>
    <t>44,04%</t>
  </si>
  <si>
    <t>116,07</t>
  </si>
  <si>
    <t>44,34%</t>
  </si>
  <si>
    <t>345,41</t>
  </si>
  <si>
    <t>340,83</t>
  </si>
  <si>
    <t>368,95</t>
  </si>
  <si>
    <t>440,33</t>
  </si>
  <si>
    <t>80,13%</t>
  </si>
  <si>
    <t>415,68</t>
  </si>
  <si>
    <t>310,77</t>
  </si>
  <si>
    <t>136,77</t>
  </si>
  <si>
    <t>356,28</t>
  </si>
  <si>
    <t>63,57%</t>
  </si>
  <si>
    <t>357,00</t>
  </si>
  <si>
    <t>286,12</t>
  </si>
  <si>
    <t>443,76</t>
  </si>
  <si>
    <t>65,12%</t>
  </si>
  <si>
    <t>458,57</t>
  </si>
  <si>
    <t>226,00</t>
  </si>
  <si>
    <t>163,16</t>
  </si>
  <si>
    <t>240,86</t>
  </si>
  <si>
    <t>247,63</t>
  </si>
  <si>
    <t>403,92</t>
  </si>
  <si>
    <t>42,10%</t>
  </si>
  <si>
    <t>331,67</t>
  </si>
  <si>
    <t>29,20%</t>
  </si>
  <si>
    <t>443,03</t>
  </si>
  <si>
    <t>451,03</t>
  </si>
  <si>
    <t>389,59</t>
  </si>
  <si>
    <t>54,42%</t>
  </si>
  <si>
    <t>458,86</t>
  </si>
  <si>
    <t>53,10%</t>
  </si>
  <si>
    <t>443,33</t>
  </si>
  <si>
    <t>384,86</t>
  </si>
  <si>
    <t>76,25%</t>
  </si>
  <si>
    <t>468,20</t>
  </si>
  <si>
    <t>86,25%</t>
  </si>
  <si>
    <t>475,36</t>
  </si>
  <si>
    <t>453,13</t>
  </si>
  <si>
    <t>477,33</t>
  </si>
  <si>
    <t>83,75%</t>
  </si>
  <si>
    <t>506,87</t>
  </si>
  <si>
    <t>227,93</t>
  </si>
  <si>
    <t>65,30%</t>
  </si>
  <si>
    <t>420,24</t>
  </si>
  <si>
    <t>62,00%</t>
  </si>
  <si>
    <t>456,55</t>
  </si>
  <si>
    <t>403,43</t>
  </si>
  <si>
    <t>53,67%</t>
  </si>
  <si>
    <t>65,67%</t>
  </si>
  <si>
    <t>501,14</t>
  </si>
  <si>
    <t>98,63</t>
  </si>
  <si>
    <t>91,92%</t>
  </si>
  <si>
    <t>203,47</t>
  </si>
  <si>
    <t>44,47%</t>
  </si>
  <si>
    <t>381,74</t>
  </si>
  <si>
    <t>169,34</t>
  </si>
  <si>
    <t>223,95</t>
  </si>
  <si>
    <t>40,62%</t>
  </si>
  <si>
    <t>266,83</t>
  </si>
  <si>
    <t>182,73</t>
  </si>
  <si>
    <t>55,32%</t>
  </si>
  <si>
    <t>454,23</t>
  </si>
  <si>
    <t>42,81%</t>
  </si>
  <si>
    <t>494,66</t>
  </si>
  <si>
    <t>39,22%</t>
  </si>
  <si>
    <t>445,34</t>
  </si>
  <si>
    <t>60,13%</t>
  </si>
  <si>
    <t>465,00</t>
  </si>
  <si>
    <t>468,98</t>
  </si>
  <si>
    <t>96,58%</t>
  </si>
  <si>
    <t>536,64</t>
  </si>
  <si>
    <t>541,08</t>
  </si>
  <si>
    <t>506,67</t>
  </si>
  <si>
    <t>507,14</t>
  </si>
  <si>
    <t>528,00</t>
  </si>
  <si>
    <t>245,69</t>
  </si>
  <si>
    <t>99,58%</t>
  </si>
  <si>
    <t>347,53</t>
  </si>
  <si>
    <t>86,02%</t>
  </si>
  <si>
    <t>313,47</t>
  </si>
  <si>
    <t>350,21</t>
  </si>
  <si>
    <t>411,72</t>
  </si>
  <si>
    <t>368,28</t>
  </si>
  <si>
    <t>82,80%</t>
  </si>
  <si>
    <t>462,11</t>
  </si>
  <si>
    <t>75,27%</t>
  </si>
  <si>
    <t>416,12</t>
  </si>
  <si>
    <t>339,20</t>
  </si>
  <si>
    <t>65,59%</t>
  </si>
  <si>
    <t>414,92</t>
  </si>
  <si>
    <t>408,52</t>
  </si>
  <si>
    <t>222,20</t>
  </si>
  <si>
    <t>331,91</t>
  </si>
  <si>
    <t>58,84%</t>
  </si>
  <si>
    <t>340,00</t>
  </si>
  <si>
    <t>293,00</t>
  </si>
  <si>
    <t>397,83</t>
  </si>
  <si>
    <t>417,41</t>
  </si>
  <si>
    <t>301,89</t>
  </si>
  <si>
    <t>80,87%</t>
  </si>
  <si>
    <t>441,36</t>
  </si>
  <si>
    <t>440,27</t>
  </si>
  <si>
    <t>441,87</t>
  </si>
  <si>
    <t>448,33</t>
  </si>
  <si>
    <t>72,13%</t>
  </si>
  <si>
    <t>438,47</t>
  </si>
  <si>
    <t>267,89</t>
  </si>
  <si>
    <t>406,67</t>
  </si>
  <si>
    <t>54,05%</t>
  </si>
  <si>
    <t>416,32</t>
  </si>
  <si>
    <t>344,16</t>
  </si>
  <si>
    <t>39,19%</t>
  </si>
  <si>
    <t>309,09</t>
  </si>
  <si>
    <t>408,00</t>
  </si>
  <si>
    <t>413,33</t>
  </si>
  <si>
    <t>370,00</t>
  </si>
  <si>
    <t>530,91</t>
  </si>
  <si>
    <t>275,50</t>
  </si>
  <si>
    <t>409,82</t>
  </si>
  <si>
    <t>363,95</t>
  </si>
  <si>
    <t>301,69</t>
  </si>
  <si>
    <t>188,45</t>
  </si>
  <si>
    <t>95,30%</t>
  </si>
  <si>
    <t>231,79</t>
  </si>
  <si>
    <t>40,66%</t>
  </si>
  <si>
    <t>368,88</t>
  </si>
  <si>
    <t>191,50</t>
  </si>
  <si>
    <t>0,35%</t>
  </si>
  <si>
    <t>346,67</t>
  </si>
  <si>
    <t>208,06</t>
  </si>
  <si>
    <t>345,85</t>
  </si>
  <si>
    <t>57,16%</t>
  </si>
  <si>
    <t>361,97</t>
  </si>
  <si>
    <t>236,88</t>
  </si>
  <si>
    <t>59,80%</t>
  </si>
  <si>
    <t>350,44</t>
  </si>
  <si>
    <t>380,39</t>
  </si>
  <si>
    <t>396,50</t>
  </si>
  <si>
    <t>80,08%</t>
  </si>
  <si>
    <t>270,53</t>
  </si>
  <si>
    <t>178,33</t>
  </si>
  <si>
    <t>9,96%</t>
  </si>
  <si>
    <t>216,92</t>
  </si>
  <si>
    <t>110,64</t>
  </si>
  <si>
    <t>98,11%</t>
  </si>
  <si>
    <t>110,77</t>
  </si>
  <si>
    <t>28,92%</t>
  </si>
  <si>
    <t>273,33</t>
  </si>
  <si>
    <t>158,57</t>
  </si>
  <si>
    <t>198,33</t>
  </si>
  <si>
    <t>287,62</t>
  </si>
  <si>
    <t>328,07</t>
  </si>
  <si>
    <t>409,07</t>
  </si>
  <si>
    <t>460,21</t>
  </si>
  <si>
    <t>404,62</t>
  </si>
  <si>
    <t>472,00</t>
  </si>
  <si>
    <t>67,63%</t>
  </si>
  <si>
    <t>461,08</t>
  </si>
  <si>
    <t>158,45</t>
  </si>
  <si>
    <t>61,23%</t>
  </si>
  <si>
    <t>354,01</t>
  </si>
  <si>
    <t>60,77%</t>
  </si>
  <si>
    <t>329,11</t>
  </si>
  <si>
    <t>221,21</t>
  </si>
  <si>
    <t>57,83%</t>
  </si>
  <si>
    <t>414,74</t>
  </si>
  <si>
    <t>424,63</t>
  </si>
  <si>
    <t>163,63</t>
  </si>
  <si>
    <t>363,43</t>
  </si>
  <si>
    <t>33,78%</t>
  </si>
  <si>
    <t>408,72</t>
  </si>
  <si>
    <t>296,17</t>
  </si>
  <si>
    <t>CIEP 372 PAULO LEMINSKY</t>
  </si>
  <si>
    <t>64,79%</t>
  </si>
  <si>
    <t>405,22</t>
  </si>
  <si>
    <t>34,06%</t>
  </si>
  <si>
    <t>363,41</t>
  </si>
  <si>
    <t>249,60</t>
  </si>
  <si>
    <t>15,94%</t>
  </si>
  <si>
    <t>352,38</t>
  </si>
  <si>
    <t>170,07</t>
  </si>
  <si>
    <t>61,28%</t>
  </si>
  <si>
    <t>358,24</t>
  </si>
  <si>
    <t>52,01%</t>
  </si>
  <si>
    <t>366,72</t>
  </si>
  <si>
    <t>240,34</t>
  </si>
  <si>
    <t>352,07</t>
  </si>
  <si>
    <t>382,28</t>
  </si>
  <si>
    <t>190,89</t>
  </si>
  <si>
    <t>46,76%</t>
  </si>
  <si>
    <t>344,25</t>
  </si>
  <si>
    <t>34,29%</t>
  </si>
  <si>
    <t>418,00</t>
  </si>
  <si>
    <t>272,00</t>
  </si>
  <si>
    <t>43,43%</t>
  </si>
  <si>
    <t>41,71%</t>
  </si>
  <si>
    <t>489,41</t>
  </si>
  <si>
    <t>578,12</t>
  </si>
  <si>
    <t>65,44%</t>
  </si>
  <si>
    <t>583,82</t>
  </si>
  <si>
    <t>493,78</t>
  </si>
  <si>
    <t>78,68%</t>
  </si>
  <si>
    <t>465,79</t>
  </si>
  <si>
    <t>560,78</t>
  </si>
  <si>
    <t>212,66</t>
  </si>
  <si>
    <t>376,74</t>
  </si>
  <si>
    <t>52,19%</t>
  </si>
  <si>
    <t>442,03</t>
  </si>
  <si>
    <t>346,32</t>
  </si>
  <si>
    <t>428,80</t>
  </si>
  <si>
    <t>48,10%</t>
  </si>
  <si>
    <t>438,12</t>
  </si>
  <si>
    <t>86,94</t>
  </si>
  <si>
    <t>313,50</t>
  </si>
  <si>
    <t>44,82%</t>
  </si>
  <si>
    <t>257,88</t>
  </si>
  <si>
    <t>35,01%</t>
  </si>
  <si>
    <t>217,28</t>
  </si>
  <si>
    <t>33,89%</t>
  </si>
  <si>
    <t>122,31</t>
  </si>
  <si>
    <t>143,10</t>
  </si>
  <si>
    <t>335,86</t>
  </si>
  <si>
    <t>257,44</t>
  </si>
  <si>
    <t>360,30</t>
  </si>
  <si>
    <t>36,40%</t>
  </si>
  <si>
    <t>368,09</t>
  </si>
  <si>
    <t>423,49</t>
  </si>
  <si>
    <t>488,37</t>
  </si>
  <si>
    <t>528,09</t>
  </si>
  <si>
    <t>501,96</t>
  </si>
  <si>
    <t>449,74</t>
  </si>
  <si>
    <t>37,70%</t>
  </si>
  <si>
    <t>433,04</t>
  </si>
  <si>
    <t>345,03</t>
  </si>
  <si>
    <t>70,41%</t>
  </si>
  <si>
    <t>460,48</t>
  </si>
  <si>
    <t>520,23</t>
  </si>
  <si>
    <t>318,56</t>
  </si>
  <si>
    <t>60,88%</t>
  </si>
  <si>
    <t>511,51</t>
  </si>
  <si>
    <t>462,57</t>
  </si>
  <si>
    <t>270,07</t>
  </si>
  <si>
    <t>96,12%</t>
  </si>
  <si>
    <t>270,85</t>
  </si>
  <si>
    <t>432,89</t>
  </si>
  <si>
    <t>254,20</t>
  </si>
  <si>
    <t>332,96</t>
  </si>
  <si>
    <t>84,34%</t>
  </si>
  <si>
    <t>486,96</t>
  </si>
  <si>
    <t>83,13%</t>
  </si>
  <si>
    <t>550,14</t>
  </si>
  <si>
    <t>482,99</t>
  </si>
  <si>
    <t>80,72%</t>
  </si>
  <si>
    <t>580,00</t>
  </si>
  <si>
    <t>565,97</t>
  </si>
  <si>
    <t>430,00</t>
  </si>
  <si>
    <t>92,96%</t>
  </si>
  <si>
    <t>581,54</t>
  </si>
  <si>
    <t>602,67</t>
  </si>
  <si>
    <t>542,42</t>
  </si>
  <si>
    <t>605,54</t>
  </si>
  <si>
    <t>617,42</t>
  </si>
  <si>
    <t>238,74</t>
  </si>
  <si>
    <t>461,93</t>
  </si>
  <si>
    <t>73,57%</t>
  </si>
  <si>
    <t>513,00</t>
  </si>
  <si>
    <t>372,90</t>
  </si>
  <si>
    <t>494,31</t>
  </si>
  <si>
    <t>54,29%</t>
  </si>
  <si>
    <t>532,63</t>
  </si>
  <si>
    <t>365,22</t>
  </si>
  <si>
    <t>85,11%</t>
  </si>
  <si>
    <t>452,31</t>
  </si>
  <si>
    <t>481,00</t>
  </si>
  <si>
    <t>428,57</t>
  </si>
  <si>
    <t>93,62%</t>
  </si>
  <si>
    <t>452,09</t>
  </si>
  <si>
    <t>472,73</t>
  </si>
  <si>
    <t>436,23</t>
  </si>
  <si>
    <t>81,67%</t>
  </si>
  <si>
    <t>555,10</t>
  </si>
  <si>
    <t>76,67%</t>
  </si>
  <si>
    <t>654,78</t>
  </si>
  <si>
    <t>538,18</t>
  </si>
  <si>
    <t>642,91</t>
  </si>
  <si>
    <t>644,55</t>
  </si>
  <si>
    <t>297,67</t>
  </si>
  <si>
    <t>98,08%</t>
  </si>
  <si>
    <t>378,40</t>
  </si>
  <si>
    <t>532,31</t>
  </si>
  <si>
    <t>449,03</t>
  </si>
  <si>
    <t>51,92%</t>
  </si>
  <si>
    <t>500,74</t>
  </si>
  <si>
    <t>535,71</t>
  </si>
  <si>
    <t>311,34</t>
  </si>
  <si>
    <t>82,22%</t>
  </si>
  <si>
    <t>451,27</t>
  </si>
  <si>
    <t>507,13</t>
  </si>
  <si>
    <t>521,05</t>
  </si>
  <si>
    <t>69,63%</t>
  </si>
  <si>
    <t>546,96</t>
  </si>
  <si>
    <t>72,59%</t>
  </si>
  <si>
    <t>492,37</t>
  </si>
  <si>
    <t>293,62</t>
  </si>
  <si>
    <t>442,01</t>
  </si>
  <si>
    <t>63,32%</t>
  </si>
  <si>
    <t>464,17</t>
  </si>
  <si>
    <t>389,76</t>
  </si>
  <si>
    <t>475,52</t>
  </si>
  <si>
    <t>454,83</t>
  </si>
  <si>
    <t>70,92%</t>
  </si>
  <si>
    <t>438,38</t>
  </si>
  <si>
    <t>82,98%</t>
  </si>
  <si>
    <t>522,78</t>
  </si>
  <si>
    <t>440,72</t>
  </si>
  <si>
    <t>73,76%</t>
  </si>
  <si>
    <t>442,38</t>
  </si>
  <si>
    <t>374,29</t>
  </si>
  <si>
    <t>307,59</t>
  </si>
  <si>
    <t>489,66</t>
  </si>
  <si>
    <t>435,00</t>
  </si>
  <si>
    <t>299,31</t>
  </si>
  <si>
    <t>541,33</t>
  </si>
  <si>
    <t>577,33</t>
  </si>
  <si>
    <t>297,05</t>
  </si>
  <si>
    <t>446,40</t>
  </si>
  <si>
    <t>489,45</t>
  </si>
  <si>
    <t>409,23</t>
  </si>
  <si>
    <t>425,12</t>
  </si>
  <si>
    <t>467,56</t>
  </si>
  <si>
    <t>268,35</t>
  </si>
  <si>
    <t>404,57</t>
  </si>
  <si>
    <t>413,02</t>
  </si>
  <si>
    <t>319,38</t>
  </si>
  <si>
    <t>86,82%</t>
  </si>
  <si>
    <t>581,43</t>
  </si>
  <si>
    <t>545,71</t>
  </si>
  <si>
    <t>301,87</t>
  </si>
  <si>
    <t>364,82</t>
  </si>
  <si>
    <t>77,01%</t>
  </si>
  <si>
    <t>510,45</t>
  </si>
  <si>
    <t>446,32</t>
  </si>
  <si>
    <t>83,91%</t>
  </si>
  <si>
    <t>564,44</t>
  </si>
  <si>
    <t>584,57</t>
  </si>
  <si>
    <t>243,08</t>
  </si>
  <si>
    <t>68,49%</t>
  </si>
  <si>
    <t>410,97</t>
  </si>
  <si>
    <t>464,38</t>
  </si>
  <si>
    <t>368,75</t>
  </si>
  <si>
    <t>59,60%</t>
  </si>
  <si>
    <t>458,05</t>
  </si>
  <si>
    <t>48,99%</t>
  </si>
  <si>
    <t>493,32</t>
  </si>
  <si>
    <t>170,57</t>
  </si>
  <si>
    <t>321,03</t>
  </si>
  <si>
    <t>292,31</t>
  </si>
  <si>
    <t>424,44</t>
  </si>
  <si>
    <t>241,96</t>
  </si>
  <si>
    <t>398,29</t>
  </si>
  <si>
    <t>402,23</t>
  </si>
  <si>
    <t>372,54</t>
  </si>
  <si>
    <t>429,66</t>
  </si>
  <si>
    <t>382,37</t>
  </si>
  <si>
    <t>347,22</t>
  </si>
  <si>
    <t>482,25</t>
  </si>
  <si>
    <t>545,93</t>
  </si>
  <si>
    <t>528,55</t>
  </si>
  <si>
    <t>82,40%</t>
  </si>
  <si>
    <t>563,50</t>
  </si>
  <si>
    <t>86,40%</t>
  </si>
  <si>
    <t>530,00</t>
  </si>
  <si>
    <t>396,15</t>
  </si>
  <si>
    <t>98,45%</t>
  </si>
  <si>
    <t>444,44</t>
  </si>
  <si>
    <t>532,85</t>
  </si>
  <si>
    <t>514,00</t>
  </si>
  <si>
    <t>78,87%</t>
  </si>
  <si>
    <t>550,53</t>
  </si>
  <si>
    <t>578,79</t>
  </si>
  <si>
    <t>352,57</t>
  </si>
  <si>
    <t>99,30%</t>
  </si>
  <si>
    <t>443,69</t>
  </si>
  <si>
    <t>481,46</t>
  </si>
  <si>
    <t>456,20</t>
  </si>
  <si>
    <t>523,93</t>
  </si>
  <si>
    <t>230,29</t>
  </si>
  <si>
    <t>63,37%</t>
  </si>
  <si>
    <t>372,55</t>
  </si>
  <si>
    <t>56,09%</t>
  </si>
  <si>
    <t>370,64</t>
  </si>
  <si>
    <t>289,14</t>
  </si>
  <si>
    <t>46,49%</t>
  </si>
  <si>
    <t>417,44</t>
  </si>
  <si>
    <t>52,77%</t>
  </si>
  <si>
    <t>411,39</t>
  </si>
  <si>
    <t>264,60</t>
  </si>
  <si>
    <t>412,52</t>
  </si>
  <si>
    <t>41,59%</t>
  </si>
  <si>
    <t>445,13</t>
  </si>
  <si>
    <t>340,36</t>
  </si>
  <si>
    <t>48,60%</t>
  </si>
  <si>
    <t>461,01</t>
  </si>
  <si>
    <t>50,47%</t>
  </si>
  <si>
    <t>508,56</t>
  </si>
  <si>
    <t>154,57</t>
  </si>
  <si>
    <t>67,26%</t>
  </si>
  <si>
    <t>323,34</t>
  </si>
  <si>
    <t>384,85</t>
  </si>
  <si>
    <t>375,15</t>
  </si>
  <si>
    <t>445,36</t>
  </si>
  <si>
    <t>65,78%</t>
  </si>
  <si>
    <t>456,26</t>
  </si>
  <si>
    <t>280,21</t>
  </si>
  <si>
    <t>461,46</t>
  </si>
  <si>
    <t>75,65%</t>
  </si>
  <si>
    <t>529,94</t>
  </si>
  <si>
    <t>477,18</t>
  </si>
  <si>
    <t>527,55</t>
  </si>
  <si>
    <t>526,57</t>
  </si>
  <si>
    <t>263,60</t>
  </si>
  <si>
    <t>362,07</t>
  </si>
  <si>
    <t>57,27%</t>
  </si>
  <si>
    <t>458,10</t>
  </si>
  <si>
    <t>365,06</t>
  </si>
  <si>
    <t>51,36%</t>
  </si>
  <si>
    <t>450,62</t>
  </si>
  <si>
    <t>53,64%</t>
  </si>
  <si>
    <t>480,00</t>
  </si>
  <si>
    <t>114,67</t>
  </si>
  <si>
    <t>75,93%</t>
  </si>
  <si>
    <t>218,57</t>
  </si>
  <si>
    <t>48,19%</t>
  </si>
  <si>
    <t>428,95</t>
  </si>
  <si>
    <t>243,29</t>
  </si>
  <si>
    <t>46,11%</t>
  </si>
  <si>
    <t>422,85</t>
  </si>
  <si>
    <t>36,27%</t>
  </si>
  <si>
    <t>411,48</t>
  </si>
  <si>
    <t>283,75</t>
  </si>
  <si>
    <t>81,44%</t>
  </si>
  <si>
    <t>436,46</t>
  </si>
  <si>
    <t>78,35%</t>
  </si>
  <si>
    <t>510,40</t>
  </si>
  <si>
    <t>472,20</t>
  </si>
  <si>
    <t>80,41%</t>
  </si>
  <si>
    <t>472,82</t>
  </si>
  <si>
    <t>82,47%</t>
  </si>
  <si>
    <t>536,53</t>
  </si>
  <si>
    <t>276,23</t>
  </si>
  <si>
    <t>367,50</t>
  </si>
  <si>
    <t>487,81</t>
  </si>
  <si>
    <t>410,61</t>
  </si>
  <si>
    <t>443,89</t>
  </si>
  <si>
    <t>438,36</t>
  </si>
  <si>
    <t>312,57</t>
  </si>
  <si>
    <t>417,65</t>
  </si>
  <si>
    <t>76,09%</t>
  </si>
  <si>
    <t>483,64</t>
  </si>
  <si>
    <t>84,24%</t>
  </si>
  <si>
    <t>500,65</t>
  </si>
  <si>
    <t>519,71</t>
  </si>
  <si>
    <t>168,81</t>
  </si>
  <si>
    <t>62,65%</t>
  </si>
  <si>
    <t>389,84</t>
  </si>
  <si>
    <t>459,93</t>
  </si>
  <si>
    <t>388,13</t>
  </si>
  <si>
    <t>61,22%</t>
  </si>
  <si>
    <t>436,54</t>
  </si>
  <si>
    <t>166,09</t>
  </si>
  <si>
    <t>304,00</t>
  </si>
  <si>
    <t>336,00</t>
  </si>
  <si>
    <t>237,00</t>
  </si>
  <si>
    <t>320,89</t>
  </si>
  <si>
    <t>358,18</t>
  </si>
  <si>
    <t>197,94</t>
  </si>
  <si>
    <t>436,00</t>
  </si>
  <si>
    <t>435,71</t>
  </si>
  <si>
    <t>289,52</t>
  </si>
  <si>
    <t>59,56%</t>
  </si>
  <si>
    <t>438,02</t>
  </si>
  <si>
    <t>63,24%</t>
  </si>
  <si>
    <t>299,74</t>
  </si>
  <si>
    <t>320,00</t>
  </si>
  <si>
    <t>74,03%</t>
  </si>
  <si>
    <t>461,75</t>
  </si>
  <si>
    <t>454,55</t>
  </si>
  <si>
    <t>70,13%</t>
  </si>
  <si>
    <t>508,07</t>
  </si>
  <si>
    <t>301,70</t>
  </si>
  <si>
    <t>77,21%</t>
  </si>
  <si>
    <t>449,91</t>
  </si>
  <si>
    <t>519,96</t>
  </si>
  <si>
    <t>521,45</t>
  </si>
  <si>
    <t>240,74</t>
  </si>
  <si>
    <t>394,55</t>
  </si>
  <si>
    <t>452,83</t>
  </si>
  <si>
    <t>297,14</t>
  </si>
  <si>
    <t>448,57</t>
  </si>
  <si>
    <t>364,26</t>
  </si>
  <si>
    <t>285,60</t>
  </si>
  <si>
    <t>65,71%</t>
  </si>
  <si>
    <t>341,67</t>
  </si>
  <si>
    <t>220,00</t>
  </si>
  <si>
    <t>47,14%</t>
  </si>
  <si>
    <t>438,58</t>
  </si>
  <si>
    <t>348,17</t>
  </si>
  <si>
    <t>458,15</t>
  </si>
  <si>
    <t>79,79%</t>
  </si>
  <si>
    <t>511,47</t>
  </si>
  <si>
    <t>418,23</t>
  </si>
  <si>
    <t>517,38</t>
  </si>
  <si>
    <t>72,87%</t>
  </si>
  <si>
    <t>512,94</t>
  </si>
  <si>
    <t>292,94</t>
  </si>
  <si>
    <t>430,34</t>
  </si>
  <si>
    <t>450,32</t>
  </si>
  <si>
    <t>433,33</t>
  </si>
  <si>
    <t>412,57</t>
  </si>
  <si>
    <t>78,38%</t>
  </si>
  <si>
    <t>394,48</t>
  </si>
  <si>
    <t>390,64</t>
  </si>
  <si>
    <t>438,14</t>
  </si>
  <si>
    <t>455,24</t>
  </si>
  <si>
    <t>421,82</t>
  </si>
  <si>
    <t>424,19</t>
  </si>
  <si>
    <t>485,45</t>
  </si>
  <si>
    <t>193,92</t>
  </si>
  <si>
    <t>65,85%</t>
  </si>
  <si>
    <t>337,71</t>
  </si>
  <si>
    <t>59,28%</t>
  </si>
  <si>
    <t>424,50</t>
  </si>
  <si>
    <t>332,82</t>
  </si>
  <si>
    <t>393,66</t>
  </si>
  <si>
    <t>247,68</t>
  </si>
  <si>
    <t>390,61</t>
  </si>
  <si>
    <t>53,44%</t>
  </si>
  <si>
    <t>426,46</t>
  </si>
  <si>
    <t>320,51</t>
  </si>
  <si>
    <t>52,29%</t>
  </si>
  <si>
    <t>402,98</t>
  </si>
  <si>
    <t>67,18%</t>
  </si>
  <si>
    <t>445,96</t>
  </si>
  <si>
    <t>64,13%</t>
  </si>
  <si>
    <t>444,06</t>
  </si>
  <si>
    <t>433,47</t>
  </si>
  <si>
    <t>341,88</t>
  </si>
  <si>
    <t>420,57</t>
  </si>
  <si>
    <t>58,93%</t>
  </si>
  <si>
    <t>463,64</t>
  </si>
  <si>
    <t>233,04</t>
  </si>
  <si>
    <t>456,22</t>
  </si>
  <si>
    <t>378,89</t>
  </si>
  <si>
    <t>72,92%</t>
  </si>
  <si>
    <t>432,20</t>
  </si>
  <si>
    <t>394,51</t>
  </si>
  <si>
    <t>57,99%</t>
  </si>
  <si>
    <t>481,65</t>
  </si>
  <si>
    <t>509,64</t>
  </si>
  <si>
    <t>463,39</t>
  </si>
  <si>
    <t>62,56%</t>
  </si>
  <si>
    <t>518,83</t>
  </si>
  <si>
    <t>527,91</t>
  </si>
  <si>
    <t>327,24</t>
  </si>
  <si>
    <t>76,84%</t>
  </si>
  <si>
    <t>419,66</t>
  </si>
  <si>
    <t>321,86</t>
  </si>
  <si>
    <t>62,04%</t>
  </si>
  <si>
    <t>489,71</t>
  </si>
  <si>
    <t>54,63%</t>
  </si>
  <si>
    <t>517,29</t>
  </si>
  <si>
    <t>103,16</t>
  </si>
  <si>
    <t>308,57</t>
  </si>
  <si>
    <t>393,10</t>
  </si>
  <si>
    <t>456,77</t>
  </si>
  <si>
    <t>443,87</t>
  </si>
  <si>
    <t>475,19</t>
  </si>
  <si>
    <t>499,13</t>
  </si>
  <si>
    <t>499,05</t>
  </si>
  <si>
    <t>516,12</t>
  </si>
  <si>
    <t>521,33</t>
  </si>
  <si>
    <t>79,63%</t>
  </si>
  <si>
    <t>536,00</t>
  </si>
  <si>
    <t>350,00</t>
  </si>
  <si>
    <t>97,47%</t>
  </si>
  <si>
    <t>332,11</t>
  </si>
  <si>
    <t>552,11</t>
  </si>
  <si>
    <t>463,10</t>
  </si>
  <si>
    <t>88,61%</t>
  </si>
  <si>
    <t>517,10</t>
  </si>
  <si>
    <t>538,89</t>
  </si>
  <si>
    <t>214,33</t>
  </si>
  <si>
    <t>71,53%</t>
  </si>
  <si>
    <t>361,98</t>
  </si>
  <si>
    <t>411,49</t>
  </si>
  <si>
    <t>282,35</t>
  </si>
  <si>
    <t>92,36%</t>
  </si>
  <si>
    <t>256,84</t>
  </si>
  <si>
    <t>63,19%</t>
  </si>
  <si>
    <t>345,33</t>
  </si>
  <si>
    <t>337,82</t>
  </si>
  <si>
    <t>99,16%</t>
  </si>
  <si>
    <t>435,86</t>
  </si>
  <si>
    <t>96,64%</t>
  </si>
  <si>
    <t>571,13</t>
  </si>
  <si>
    <t>379,82</t>
  </si>
  <si>
    <t>538,76</t>
  </si>
  <si>
    <t>93,28%</t>
  </si>
  <si>
    <t>529,01</t>
  </si>
  <si>
    <t>260,07</t>
  </si>
  <si>
    <t>285,65</t>
  </si>
  <si>
    <t>254,96</t>
  </si>
  <si>
    <t>312,92</t>
  </si>
  <si>
    <t>277,35</t>
  </si>
  <si>
    <t>245,56</t>
  </si>
  <si>
    <t>366,32</t>
  </si>
  <si>
    <t>356,92</t>
  </si>
  <si>
    <t>402,86</t>
  </si>
  <si>
    <t>366,83</t>
  </si>
  <si>
    <t>205,31</t>
  </si>
  <si>
    <t>349,67</t>
  </si>
  <si>
    <t>397,04</t>
  </si>
  <si>
    <t>316,89</t>
  </si>
  <si>
    <t>49,42%</t>
  </si>
  <si>
    <t>370,19</t>
  </si>
  <si>
    <t>26,10%</t>
  </si>
  <si>
    <t>409,45</t>
  </si>
  <si>
    <t>296,36</t>
  </si>
  <si>
    <t>366,67</t>
  </si>
  <si>
    <t>426,67</t>
  </si>
  <si>
    <t>361,90</t>
  </si>
  <si>
    <t>376,00</t>
  </si>
  <si>
    <t>367,62</t>
  </si>
  <si>
    <t>287,20</t>
  </si>
  <si>
    <t>377,52</t>
  </si>
  <si>
    <t>58,74%</t>
  </si>
  <si>
    <t>383,55</t>
  </si>
  <si>
    <t>350,10</t>
  </si>
  <si>
    <t>385,97</t>
  </si>
  <si>
    <t>33,63%</t>
  </si>
  <si>
    <t>454,59</t>
  </si>
  <si>
    <t>153,73</t>
  </si>
  <si>
    <t>63,82%</t>
  </si>
  <si>
    <t>351,05</t>
  </si>
  <si>
    <t>54,57%</t>
  </si>
  <si>
    <t>417,45</t>
  </si>
  <si>
    <t>278,47</t>
  </si>
  <si>
    <t>49,39%</t>
  </si>
  <si>
    <t>415,83</t>
  </si>
  <si>
    <t>246,09</t>
  </si>
  <si>
    <t>378,99</t>
  </si>
  <si>
    <t>389,53</t>
  </si>
  <si>
    <t>292,79</t>
  </si>
  <si>
    <t>410,58</t>
  </si>
  <si>
    <t>68,44%</t>
  </si>
  <si>
    <t>444,34</t>
  </si>
  <si>
    <t>379,84</t>
  </si>
  <si>
    <t>77,85%</t>
  </si>
  <si>
    <t>460,49</t>
  </si>
  <si>
    <t>502,20</t>
  </si>
  <si>
    <t>417,46</t>
  </si>
  <si>
    <t>495,53</t>
  </si>
  <si>
    <t>61,08%</t>
  </si>
  <si>
    <t>487,25</t>
  </si>
  <si>
    <t>296,09</t>
  </si>
  <si>
    <t>67,50%</t>
  </si>
  <si>
    <t>437,20</t>
  </si>
  <si>
    <t>71,07%</t>
  </si>
  <si>
    <t>324,62</t>
  </si>
  <si>
    <t>319,33</t>
  </si>
  <si>
    <t>60,71%</t>
  </si>
  <si>
    <t>443,83</t>
  </si>
  <si>
    <t>480,90</t>
  </si>
  <si>
    <t>248,00</t>
  </si>
  <si>
    <t>385,04</t>
  </si>
  <si>
    <t>49,47%</t>
  </si>
  <si>
    <t>422,17</t>
  </si>
  <si>
    <t>256,71</t>
  </si>
  <si>
    <t>52,66%</t>
  </si>
  <si>
    <t>389,28</t>
  </si>
  <si>
    <t>59,04%</t>
  </si>
  <si>
    <t>383,06</t>
  </si>
  <si>
    <t>244,26</t>
  </si>
  <si>
    <t>98,63%</t>
  </si>
  <si>
    <t>227,68</t>
  </si>
  <si>
    <t>59,82%</t>
  </si>
  <si>
    <t>447,44</t>
  </si>
  <si>
    <t>406,83</t>
  </si>
  <si>
    <t>48,40%</t>
  </si>
  <si>
    <t>436,50</t>
  </si>
  <si>
    <t>44,29%</t>
  </si>
  <si>
    <t>469,58</t>
  </si>
  <si>
    <t>260,22</t>
  </si>
  <si>
    <t>433,17</t>
  </si>
  <si>
    <t>39,65%</t>
  </si>
  <si>
    <t>413,64</t>
  </si>
  <si>
    <t>316,27</t>
  </si>
  <si>
    <t>60,64%</t>
  </si>
  <si>
    <t>408,07</t>
  </si>
  <si>
    <t>65,01%</t>
  </si>
  <si>
    <t>452,73</t>
  </si>
  <si>
    <t>146,67</t>
  </si>
  <si>
    <t>390,97</t>
  </si>
  <si>
    <t>69,79%</t>
  </si>
  <si>
    <t>386,27</t>
  </si>
  <si>
    <t>221,15</t>
  </si>
  <si>
    <t>374,19</t>
  </si>
  <si>
    <t>70,83%</t>
  </si>
  <si>
    <t>445,37</t>
  </si>
  <si>
    <t>220,04</t>
  </si>
  <si>
    <t>326,52</t>
  </si>
  <si>
    <t>63,05%</t>
  </si>
  <si>
    <t>339,50</t>
  </si>
  <si>
    <t>267,45</t>
  </si>
  <si>
    <t>332,52</t>
  </si>
  <si>
    <t>390,22</t>
  </si>
  <si>
    <t>258,72</t>
  </si>
  <si>
    <t>83,43%</t>
  </si>
  <si>
    <t>230,89</t>
  </si>
  <si>
    <t>63,49%</t>
  </si>
  <si>
    <t>219,75</t>
  </si>
  <si>
    <t>266,86</t>
  </si>
  <si>
    <t>37,30%</t>
  </si>
  <si>
    <t>369,36</t>
  </si>
  <si>
    <t>382,85</t>
  </si>
  <si>
    <t>233,28</t>
  </si>
  <si>
    <t>79,62%</t>
  </si>
  <si>
    <t>372,68</t>
  </si>
  <si>
    <t>404,52</t>
  </si>
  <si>
    <t>326,07</t>
  </si>
  <si>
    <t>78,34%</t>
  </si>
  <si>
    <t>388,10</t>
  </si>
  <si>
    <t>70,70%</t>
  </si>
  <si>
    <t>388,62</t>
  </si>
  <si>
    <t>354,15</t>
  </si>
  <si>
    <t>358,78</t>
  </si>
  <si>
    <t>418,95</t>
  </si>
  <si>
    <t>453,57</t>
  </si>
  <si>
    <t>229,27</t>
  </si>
  <si>
    <t>90,15%</t>
  </si>
  <si>
    <t>245,14</t>
  </si>
  <si>
    <t>68,64%</t>
  </si>
  <si>
    <t>292,45</t>
  </si>
  <si>
    <t>303,41</t>
  </si>
  <si>
    <t>55,08%</t>
  </si>
  <si>
    <t>329,73</t>
  </si>
  <si>
    <t>426,18</t>
  </si>
  <si>
    <t>247,50</t>
  </si>
  <si>
    <t>67,02%</t>
  </si>
  <si>
    <t>387,48</t>
  </si>
  <si>
    <t>54,99%</t>
  </si>
  <si>
    <t>400,34</t>
  </si>
  <si>
    <t>309,23</t>
  </si>
  <si>
    <t>424,37</t>
  </si>
  <si>
    <t>426,95</t>
  </si>
  <si>
    <t>347,59</t>
  </si>
  <si>
    <t>70,48%</t>
  </si>
  <si>
    <t>438,94</t>
  </si>
  <si>
    <t>72,89%</t>
  </si>
  <si>
    <t>513,56</t>
  </si>
  <si>
    <t>442,39</t>
  </si>
  <si>
    <t>67,47%</t>
  </si>
  <si>
    <t>488,44</t>
  </si>
  <si>
    <t>506,55</t>
  </si>
  <si>
    <t>235,56</t>
  </si>
  <si>
    <t>398,51</t>
  </si>
  <si>
    <t>66,75%</t>
  </si>
  <si>
    <t>429,49</t>
  </si>
  <si>
    <t>364,84</t>
  </si>
  <si>
    <t>62,89%</t>
  </si>
  <si>
    <t>52,53%</t>
  </si>
  <si>
    <t>411,38</t>
  </si>
  <si>
    <t>279,18</t>
  </si>
  <si>
    <t>59,00%</t>
  </si>
  <si>
    <t>370,10</t>
  </si>
  <si>
    <t>55,52%</t>
  </si>
  <si>
    <t>444,31</t>
  </si>
  <si>
    <t>356,90</t>
  </si>
  <si>
    <t>45,15%</t>
  </si>
  <si>
    <t>375,11</t>
  </si>
  <si>
    <t>48,16%</t>
  </si>
  <si>
    <t>400,55</t>
  </si>
  <si>
    <t>94,52%</t>
  </si>
  <si>
    <t>453,73</t>
  </si>
  <si>
    <t>87,67%</t>
  </si>
  <si>
    <t>471,25</t>
  </si>
  <si>
    <t>433,75</t>
  </si>
  <si>
    <t>498,57</t>
  </si>
  <si>
    <t>71,23%</t>
  </si>
  <si>
    <t>522,31</t>
  </si>
  <si>
    <t>294,27</t>
  </si>
  <si>
    <t>69,20%</t>
  </si>
  <si>
    <t>387,02</t>
  </si>
  <si>
    <t>372,42</t>
  </si>
  <si>
    <t>337,53</t>
  </si>
  <si>
    <t>68,30%</t>
  </si>
  <si>
    <t>392,21</t>
  </si>
  <si>
    <t>379,11</t>
  </si>
  <si>
    <t>165,62</t>
  </si>
  <si>
    <t>65,69%</t>
  </si>
  <si>
    <t>389,49</t>
  </si>
  <si>
    <t>53,92%</t>
  </si>
  <si>
    <t>445,09</t>
  </si>
  <si>
    <t>288,74</t>
  </si>
  <si>
    <t>418,88</t>
  </si>
  <si>
    <t>46,57%</t>
  </si>
  <si>
    <t>318,50</t>
  </si>
  <si>
    <t>97,65%</t>
  </si>
  <si>
    <t>339,39</t>
  </si>
  <si>
    <t>74,12%</t>
  </si>
  <si>
    <t>485,71</t>
  </si>
  <si>
    <t>458,89</t>
  </si>
  <si>
    <t>459,70</t>
  </si>
  <si>
    <t>486,07</t>
  </si>
  <si>
    <t>133,93</t>
  </si>
  <si>
    <t>79,38%</t>
  </si>
  <si>
    <t>347,33</t>
  </si>
  <si>
    <t>282,30</t>
  </si>
  <si>
    <t>345,38</t>
  </si>
  <si>
    <t>53,75%</t>
  </si>
  <si>
    <t>378,27</t>
  </si>
  <si>
    <t>268,30</t>
  </si>
  <si>
    <t>70,52%</t>
  </si>
  <si>
    <t>413,72</t>
  </si>
  <si>
    <t>440,63</t>
  </si>
  <si>
    <t>418,37</t>
  </si>
  <si>
    <t>80,29%</t>
  </si>
  <si>
    <t>506,61</t>
  </si>
  <si>
    <t>511,17</t>
  </si>
  <si>
    <t>332,23</t>
  </si>
  <si>
    <t>373,10</t>
  </si>
  <si>
    <t>391,87</t>
  </si>
  <si>
    <t>310,82</t>
  </si>
  <si>
    <t>370,49</t>
  </si>
  <si>
    <t>301,46</t>
  </si>
  <si>
    <t>73,40%</t>
  </si>
  <si>
    <t>433,15</t>
  </si>
  <si>
    <t>461,97</t>
  </si>
  <si>
    <t>413,22</t>
  </si>
  <si>
    <t>52,71%</t>
  </si>
  <si>
    <t>468,30</t>
  </si>
  <si>
    <t>48,28%</t>
  </si>
  <si>
    <t>488,16</t>
  </si>
  <si>
    <t>252,05</t>
  </si>
  <si>
    <t>56,58%</t>
  </si>
  <si>
    <t>450,70</t>
  </si>
  <si>
    <t>453,06</t>
  </si>
  <si>
    <t>322,31</t>
  </si>
  <si>
    <t>427,14</t>
  </si>
  <si>
    <t>36,46%</t>
  </si>
  <si>
    <t>416,57</t>
  </si>
  <si>
    <t>191,62</t>
  </si>
  <si>
    <t>51,40%</t>
  </si>
  <si>
    <t>308,93</t>
  </si>
  <si>
    <t>51,01%</t>
  </si>
  <si>
    <t>332,40</t>
  </si>
  <si>
    <t>250,49</t>
  </si>
  <si>
    <t>43,62%</t>
  </si>
  <si>
    <t>328,00</t>
  </si>
  <si>
    <t>39,37%</t>
  </si>
  <si>
    <t>352,96</t>
  </si>
  <si>
    <t>364,62</t>
  </si>
  <si>
    <t>82,21%</t>
  </si>
  <si>
    <t>398,43</t>
  </si>
  <si>
    <t>79,72%</t>
  </si>
  <si>
    <t>470,59</t>
  </si>
  <si>
    <t>449,51</t>
  </si>
  <si>
    <t>74,38%</t>
  </si>
  <si>
    <t>481,15</t>
  </si>
  <si>
    <t>77,58%</t>
  </si>
  <si>
    <t>510,94</t>
  </si>
  <si>
    <t>253,97</t>
  </si>
  <si>
    <t>362,22</t>
  </si>
  <si>
    <t>439,02</t>
  </si>
  <si>
    <t>355,65</t>
  </si>
  <si>
    <t>386,12</t>
  </si>
  <si>
    <t>428,24</t>
  </si>
  <si>
    <t>366,96</t>
  </si>
  <si>
    <t>339,05</t>
  </si>
  <si>
    <t>62,96%</t>
  </si>
  <si>
    <t>411,76</t>
  </si>
  <si>
    <t>315,94</t>
  </si>
  <si>
    <t>415,56</t>
  </si>
  <si>
    <t>468,08</t>
  </si>
  <si>
    <t>376,33</t>
  </si>
  <si>
    <t>53,80%</t>
  </si>
  <si>
    <t>385,82</t>
  </si>
  <si>
    <t>271,02</t>
  </si>
  <si>
    <t>67,61%</t>
  </si>
  <si>
    <t>357,58</t>
  </si>
  <si>
    <t>66,90%</t>
  </si>
  <si>
    <t>419,68</t>
  </si>
  <si>
    <t>283,74</t>
  </si>
  <si>
    <t>76,76%</t>
  </si>
  <si>
    <t>420,28</t>
  </si>
  <si>
    <t>76,41%</t>
  </si>
  <si>
    <t>414,22</t>
  </si>
  <si>
    <t>414,38</t>
  </si>
  <si>
    <t>98,36%</t>
  </si>
  <si>
    <t>473,81</t>
  </si>
  <si>
    <t>492,89</t>
  </si>
  <si>
    <t>432,14</t>
  </si>
  <si>
    <t>93,44%</t>
  </si>
  <si>
    <t>491,05</t>
  </si>
  <si>
    <t>484,07</t>
  </si>
  <si>
    <t>174,77</t>
  </si>
  <si>
    <t>55,11%</t>
  </si>
  <si>
    <t>394,39</t>
  </si>
  <si>
    <t>427,78</t>
  </si>
  <si>
    <t>324,65</t>
  </si>
  <si>
    <t>409,27</t>
  </si>
  <si>
    <t>52,49%</t>
  </si>
  <si>
    <t>423,53</t>
  </si>
  <si>
    <t>332,36</t>
  </si>
  <si>
    <t>420,38</t>
  </si>
  <si>
    <t>64,95%</t>
  </si>
  <si>
    <t>444,84</t>
  </si>
  <si>
    <t>391,38</t>
  </si>
  <si>
    <t>442,28</t>
  </si>
  <si>
    <t>448,59</t>
  </si>
  <si>
    <t>188,30</t>
  </si>
  <si>
    <t>54,51%</t>
  </si>
  <si>
    <t>339,84</t>
  </si>
  <si>
    <t>362,37</t>
  </si>
  <si>
    <t>328,48</t>
  </si>
  <si>
    <t>372,24</t>
  </si>
  <si>
    <t>57,65%</t>
  </si>
  <si>
    <t>403,54</t>
  </si>
  <si>
    <t>162,61</t>
  </si>
  <si>
    <t>99,05%</t>
  </si>
  <si>
    <t>284,09</t>
  </si>
  <si>
    <t>246,59</t>
  </si>
  <si>
    <t>286,42</t>
  </si>
  <si>
    <t>69,13%</t>
  </si>
  <si>
    <t>453,22</t>
  </si>
  <si>
    <t>435,35</t>
  </si>
  <si>
    <t>188,64</t>
  </si>
  <si>
    <t>319,25</t>
  </si>
  <si>
    <t>54,47%</t>
  </si>
  <si>
    <t>356,51</t>
  </si>
  <si>
    <t>223,41</t>
  </si>
  <si>
    <t>45,11%</t>
  </si>
  <si>
    <t>403,02</t>
  </si>
  <si>
    <t>385,13</t>
  </si>
  <si>
    <t>265,21</t>
  </si>
  <si>
    <t>81,27%</t>
  </si>
  <si>
    <t>391,73</t>
  </si>
  <si>
    <t>62,28%</t>
  </si>
  <si>
    <t>465,83</t>
  </si>
  <si>
    <t>374,57</t>
  </si>
  <si>
    <t>393,51</t>
  </si>
  <si>
    <t>0,30%</t>
  </si>
  <si>
    <t>160,00</t>
  </si>
  <si>
    <t>321,83</t>
  </si>
  <si>
    <t>73,22%</t>
  </si>
  <si>
    <t>407,25</t>
  </si>
  <si>
    <t>66,95%</t>
  </si>
  <si>
    <t>443,75</t>
  </si>
  <si>
    <t>394,77</t>
  </si>
  <si>
    <t>66,11%</t>
  </si>
  <si>
    <t>442,04</t>
  </si>
  <si>
    <t>50,21%</t>
  </si>
  <si>
    <t>491,09</t>
  </si>
  <si>
    <t>204,91</t>
  </si>
  <si>
    <t>356,83</t>
  </si>
  <si>
    <t>74,74%</t>
  </si>
  <si>
    <t>295,04</t>
  </si>
  <si>
    <t>67,89%</t>
  </si>
  <si>
    <t>422,33</t>
  </si>
  <si>
    <t>433,88</t>
  </si>
  <si>
    <t>273,40</t>
  </si>
  <si>
    <t>373,06</t>
  </si>
  <si>
    <t>410,19</t>
  </si>
  <si>
    <t>333,65</t>
  </si>
  <si>
    <t>377,00</t>
  </si>
  <si>
    <t>61,30%</t>
  </si>
  <si>
    <t>426,71</t>
  </si>
  <si>
    <t>265,50</t>
  </si>
  <si>
    <t>371,07</t>
  </si>
  <si>
    <t>430,18</t>
  </si>
  <si>
    <t>437,55</t>
  </si>
  <si>
    <t>453,41</t>
  </si>
  <si>
    <t>291,81</t>
  </si>
  <si>
    <t>62,17%</t>
  </si>
  <si>
    <t>357,91</t>
  </si>
  <si>
    <t>58,09%</t>
  </si>
  <si>
    <t>413,90</t>
  </si>
  <si>
    <t>342,79</t>
  </si>
  <si>
    <t>371,88</t>
  </si>
  <si>
    <t>54,01%</t>
  </si>
  <si>
    <t>377,44</t>
  </si>
  <si>
    <t>219,43</t>
  </si>
  <si>
    <t>334,00</t>
  </si>
  <si>
    <t>85,20%</t>
  </si>
  <si>
    <t>355,29</t>
  </si>
  <si>
    <t>331,11</t>
  </si>
  <si>
    <t>64,35%</t>
  </si>
  <si>
    <t>454,98</t>
  </si>
  <si>
    <t>91,24%</t>
  </si>
  <si>
    <t>339,59</t>
  </si>
  <si>
    <t>208,05</t>
  </si>
  <si>
    <t>250,24</t>
  </si>
  <si>
    <t>70,93%</t>
  </si>
  <si>
    <t>390,92</t>
  </si>
  <si>
    <t>280,33</t>
  </si>
  <si>
    <t>84,88%</t>
  </si>
  <si>
    <t>393,06</t>
  </si>
  <si>
    <t>77,91%</t>
  </si>
  <si>
    <t>403,69</t>
  </si>
  <si>
    <t>293,33</t>
  </si>
  <si>
    <t>264,00</t>
  </si>
  <si>
    <t>236,00</t>
  </si>
  <si>
    <t>280,00</t>
  </si>
  <si>
    <t>274,67</t>
  </si>
  <si>
    <t>288,26</t>
  </si>
  <si>
    <t>362,45</t>
  </si>
  <si>
    <t>344,55</t>
  </si>
  <si>
    <t>341,82</t>
  </si>
  <si>
    <t>374,65</t>
  </si>
  <si>
    <t>323,17</t>
  </si>
  <si>
    <t>122,20</t>
  </si>
  <si>
    <t>60,75%</t>
  </si>
  <si>
    <t>291,63</t>
  </si>
  <si>
    <t>49,46%</t>
  </si>
  <si>
    <t>358,25</t>
  </si>
  <si>
    <t>35,74%</t>
  </si>
  <si>
    <t>44,40%</t>
  </si>
  <si>
    <t>332,28</t>
  </si>
  <si>
    <t>222,40</t>
  </si>
  <si>
    <t>62,24%</t>
  </si>
  <si>
    <t>410,67</t>
  </si>
  <si>
    <t>402,94</t>
  </si>
  <si>
    <t>335,63</t>
  </si>
  <si>
    <t>404,67</t>
  </si>
  <si>
    <t>396,88</t>
  </si>
  <si>
    <t>541,19</t>
  </si>
  <si>
    <t>93,30%</t>
  </si>
  <si>
    <t>550,56</t>
  </si>
  <si>
    <t>97,13%</t>
  </si>
  <si>
    <t>582,97</t>
  </si>
  <si>
    <t>468,74</t>
  </si>
  <si>
    <t>607,51</t>
  </si>
  <si>
    <t>84,69%</t>
  </si>
  <si>
    <t>592,77</t>
  </si>
  <si>
    <t>46,68%</t>
  </si>
  <si>
    <t>321,55</t>
  </si>
  <si>
    <t>34,67%</t>
  </si>
  <si>
    <t>334,09</t>
  </si>
  <si>
    <t>41,98%</t>
  </si>
  <si>
    <t>282,23</t>
  </si>
  <si>
    <t>314,95</t>
  </si>
  <si>
    <t>141,40</t>
  </si>
  <si>
    <t>316,38</t>
  </si>
  <si>
    <t>33,03%</t>
  </si>
  <si>
    <t>207,20</t>
  </si>
  <si>
    <t>38,07%</t>
  </si>
  <si>
    <t>313,77</t>
  </si>
  <si>
    <t>30,50%</t>
  </si>
  <si>
    <t>375,94</t>
  </si>
  <si>
    <t>171,67</t>
  </si>
  <si>
    <t>361,96</t>
  </si>
  <si>
    <t>41,90%</t>
  </si>
  <si>
    <t>390,52</t>
  </si>
  <si>
    <t>319,26</t>
  </si>
  <si>
    <t>49,54%</t>
  </si>
  <si>
    <t>358,99</t>
  </si>
  <si>
    <t>40,67%</t>
  </si>
  <si>
    <t>407,13</t>
  </si>
  <si>
    <t>256,44</t>
  </si>
  <si>
    <t>65,02%</t>
  </si>
  <si>
    <t>347,60</t>
  </si>
  <si>
    <t>46,73%</t>
  </si>
  <si>
    <t>374,99</t>
  </si>
  <si>
    <t>56,54%</t>
  </si>
  <si>
    <t>58,17%</t>
  </si>
  <si>
    <t>408,71</t>
  </si>
  <si>
    <t>219,11</t>
  </si>
  <si>
    <t>8,72%</t>
  </si>
  <si>
    <t>127,27</t>
  </si>
  <si>
    <t>91,70%</t>
  </si>
  <si>
    <t>226,42</t>
  </si>
  <si>
    <t>290,00</t>
  </si>
  <si>
    <t>309,02</t>
  </si>
  <si>
    <t>92,32%</t>
  </si>
  <si>
    <t>268,81</t>
  </si>
  <si>
    <t>150,08</t>
  </si>
  <si>
    <t>48,89%</t>
  </si>
  <si>
    <t>367,36</t>
  </si>
  <si>
    <t>57,78%</t>
  </si>
  <si>
    <t>365,00</t>
  </si>
  <si>
    <t>236,50</t>
  </si>
  <si>
    <t>359,31</t>
  </si>
  <si>
    <t>384,15</t>
  </si>
  <si>
    <t>196,44</t>
  </si>
  <si>
    <t>256,33</t>
  </si>
  <si>
    <t>463,00</t>
  </si>
  <si>
    <t>317,07</t>
  </si>
  <si>
    <t>386,00</t>
  </si>
  <si>
    <t>419,51</t>
  </si>
  <si>
    <t>301,37</t>
  </si>
  <si>
    <t>421,75</t>
  </si>
  <si>
    <t>411,42</t>
  </si>
  <si>
    <t>325,71</t>
  </si>
  <si>
    <t>431,82</t>
  </si>
  <si>
    <t>272,08</t>
  </si>
  <si>
    <t>79,37%</t>
  </si>
  <si>
    <t>407,27</t>
  </si>
  <si>
    <t>73,41%</t>
  </si>
  <si>
    <t>464,00</t>
  </si>
  <si>
    <t>377,65</t>
  </si>
  <si>
    <t>417,99</t>
  </si>
  <si>
    <t>68,65%</t>
  </si>
  <si>
    <t>440,00</t>
  </si>
  <si>
    <t>125,29</t>
  </si>
  <si>
    <t>51,06%</t>
  </si>
  <si>
    <t>324,17</t>
  </si>
  <si>
    <t>320,85</t>
  </si>
  <si>
    <t>229,80</t>
  </si>
  <si>
    <t>364,88</t>
  </si>
  <si>
    <t>341,21</t>
  </si>
  <si>
    <t>89,37</t>
  </si>
  <si>
    <t>3,24%</t>
  </si>
  <si>
    <t>37,14</t>
  </si>
  <si>
    <t>141,98</t>
  </si>
  <si>
    <t>58,43</t>
  </si>
  <si>
    <t>86,44%</t>
  </si>
  <si>
    <t>128,62</t>
  </si>
  <si>
    <t>84,01%</t>
  </si>
  <si>
    <t>134,47</t>
  </si>
  <si>
    <t>221,25</t>
  </si>
  <si>
    <t>46,63%</t>
  </si>
  <si>
    <t>398,30</t>
  </si>
  <si>
    <t>40,55%</t>
  </si>
  <si>
    <t>406,82</t>
  </si>
  <si>
    <t>64,52%</t>
  </si>
  <si>
    <t>331,42</t>
  </si>
  <si>
    <t>412,73</t>
  </si>
  <si>
    <t>204,96</t>
  </si>
  <si>
    <t>79,88%</t>
  </si>
  <si>
    <t>330,76</t>
  </si>
  <si>
    <t>47,19%</t>
  </si>
  <si>
    <t>360,80</t>
  </si>
  <si>
    <t>266,64</t>
  </si>
  <si>
    <t>340,67</t>
  </si>
  <si>
    <t>51,52%</t>
  </si>
  <si>
    <t>187,13</t>
  </si>
  <si>
    <t>317,51</t>
  </si>
  <si>
    <t>92,44%</t>
  </si>
  <si>
    <t>257,36</t>
  </si>
  <si>
    <t>293,24</t>
  </si>
  <si>
    <t>90,70%</t>
  </si>
  <si>
    <t>296,16</t>
  </si>
  <si>
    <t>279,29</t>
  </si>
  <si>
    <t>127,50</t>
  </si>
  <si>
    <t>46,12%</t>
  </si>
  <si>
    <t>347,46</t>
  </si>
  <si>
    <t>43,66%</t>
  </si>
  <si>
    <t>337,12</t>
  </si>
  <si>
    <t>215,54</t>
  </si>
  <si>
    <t>35,45%</t>
  </si>
  <si>
    <t>358,45</t>
  </si>
  <si>
    <t>43,28%</t>
  </si>
  <si>
    <t>341,03</t>
  </si>
  <si>
    <t>118,10</t>
  </si>
  <si>
    <t>270,27</t>
  </si>
  <si>
    <t>351,00</t>
  </si>
  <si>
    <t>314,44</t>
  </si>
  <si>
    <t>343,81</t>
  </si>
  <si>
    <t>377,30</t>
  </si>
  <si>
    <t>240,63</t>
  </si>
  <si>
    <t>249,47</t>
  </si>
  <si>
    <t>69,62%</t>
  </si>
  <si>
    <t>349,09</t>
  </si>
  <si>
    <t>309,15</t>
  </si>
  <si>
    <t>388,24</t>
  </si>
  <si>
    <t>70,89%</t>
  </si>
  <si>
    <t>400,74</t>
  </si>
  <si>
    <t>314,67</t>
  </si>
  <si>
    <t>95,71%</t>
  </si>
  <si>
    <t>388,31</t>
  </si>
  <si>
    <t>80,37%</t>
  </si>
  <si>
    <t>480,31</t>
  </si>
  <si>
    <t>428,00</t>
  </si>
  <si>
    <t>537,95</t>
  </si>
  <si>
    <t>519,03</t>
  </si>
  <si>
    <t>128,00</t>
  </si>
  <si>
    <t>252,50</t>
  </si>
  <si>
    <t>273,64</t>
  </si>
  <si>
    <t>230,55</t>
  </si>
  <si>
    <t>313,08</t>
  </si>
  <si>
    <t>292,00</t>
  </si>
  <si>
    <t>384,00</t>
  </si>
  <si>
    <t>544,00</t>
  </si>
  <si>
    <t>496,00</t>
  </si>
  <si>
    <t>210,37</t>
  </si>
  <si>
    <t>343,45</t>
  </si>
  <si>
    <t>29,00%</t>
  </si>
  <si>
    <t>381,54</t>
  </si>
  <si>
    <t>364,49</t>
  </si>
  <si>
    <t>370,66</t>
  </si>
  <si>
    <t>429,20</t>
  </si>
  <si>
    <t>184,52</t>
  </si>
  <si>
    <t>53,23%</t>
  </si>
  <si>
    <t>308,75</t>
  </si>
  <si>
    <t>265,05</t>
  </si>
  <si>
    <t>329,55</t>
  </si>
  <si>
    <t>79,34%</t>
  </si>
  <si>
    <t>330,11</t>
  </si>
  <si>
    <t>126,82</t>
  </si>
  <si>
    <t>23,45%</t>
  </si>
  <si>
    <t>382,50</t>
  </si>
  <si>
    <t>43,81%</t>
  </si>
  <si>
    <t>413,62</t>
  </si>
  <si>
    <t>341,05</t>
  </si>
  <si>
    <t>31,42%</t>
  </si>
  <si>
    <t>406,57</t>
  </si>
  <si>
    <t>151,33</t>
  </si>
  <si>
    <t>290,34</t>
  </si>
  <si>
    <t>412,46</t>
  </si>
  <si>
    <t>218,10</t>
  </si>
  <si>
    <t>315,27</t>
  </si>
  <si>
    <t>51,17%</t>
  </si>
  <si>
    <t>384,90</t>
  </si>
  <si>
    <t>224,10</t>
  </si>
  <si>
    <t>98,13%</t>
  </si>
  <si>
    <t>289,85</t>
  </si>
  <si>
    <t>91,77%</t>
  </si>
  <si>
    <t>361,00</t>
  </si>
  <si>
    <t>345,24</t>
  </si>
  <si>
    <t>73,13%</t>
  </si>
  <si>
    <t>419,15</t>
  </si>
  <si>
    <t>66,73%</t>
  </si>
  <si>
    <t>442,79</t>
  </si>
  <si>
    <t>165,07</t>
  </si>
  <si>
    <t>52,28%</t>
  </si>
  <si>
    <t>48,22%</t>
  </si>
  <si>
    <t>222,06</t>
  </si>
  <si>
    <t>384,17</t>
  </si>
  <si>
    <t>49,75%</t>
  </si>
  <si>
    <t>373,19</t>
  </si>
  <si>
    <t>330,46</t>
  </si>
  <si>
    <t>67,46%</t>
  </si>
  <si>
    <t>430,86</t>
  </si>
  <si>
    <t>71,77%</t>
  </si>
  <si>
    <t>457,99</t>
  </si>
  <si>
    <t>408,82</t>
  </si>
  <si>
    <t>71,29%</t>
  </si>
  <si>
    <t>441,89</t>
  </si>
  <si>
    <t>460,00</t>
  </si>
  <si>
    <t>156,10</t>
  </si>
  <si>
    <t>68,16%</t>
  </si>
  <si>
    <t>420,17</t>
  </si>
  <si>
    <t>433,94</t>
  </si>
  <si>
    <t>342,64</t>
  </si>
  <si>
    <t>64,25%</t>
  </si>
  <si>
    <t>393,59</t>
  </si>
  <si>
    <t>296,47</t>
  </si>
  <si>
    <t>305,26</t>
  </si>
  <si>
    <t>349,33</t>
  </si>
  <si>
    <t>244,71</t>
  </si>
  <si>
    <t>325,33</t>
  </si>
  <si>
    <t>370,67</t>
  </si>
  <si>
    <t>100,14</t>
  </si>
  <si>
    <t>318,41</t>
  </si>
  <si>
    <t>48,25%</t>
  </si>
  <si>
    <t>342,74</t>
  </si>
  <si>
    <t>32,68%</t>
  </si>
  <si>
    <t>46,30%</t>
  </si>
  <si>
    <t>333,46</t>
  </si>
  <si>
    <t>341,34</t>
  </si>
  <si>
    <t>438,57</t>
  </si>
  <si>
    <t>358,67</t>
  </si>
  <si>
    <t>469,79</t>
  </si>
  <si>
    <t>192,23</t>
  </si>
  <si>
    <t>95,13%</t>
  </si>
  <si>
    <t>213,84</t>
  </si>
  <si>
    <t>94,48%</t>
  </si>
  <si>
    <t>249,52</t>
  </si>
  <si>
    <t>180,07</t>
  </si>
  <si>
    <t>99,68%</t>
  </si>
  <si>
    <t>196,73</t>
  </si>
  <si>
    <t>206,95</t>
  </si>
  <si>
    <t>236,02</t>
  </si>
  <si>
    <t>64,06%</t>
  </si>
  <si>
    <t>334,86</t>
  </si>
  <si>
    <t>373,54</t>
  </si>
  <si>
    <t>258,43</t>
  </si>
  <si>
    <t>344,46</t>
  </si>
  <si>
    <t>380,47</t>
  </si>
  <si>
    <t>74,15</t>
  </si>
  <si>
    <t>230,27</t>
  </si>
  <si>
    <t>132,22</t>
  </si>
  <si>
    <t>393,85</t>
  </si>
  <si>
    <t>424,00</t>
  </si>
  <si>
    <t>187,22</t>
  </si>
  <si>
    <t>97,21%</t>
  </si>
  <si>
    <t>244,52</t>
  </si>
  <si>
    <t>64,80%</t>
  </si>
  <si>
    <t>359,30</t>
  </si>
  <si>
    <t>180,65</t>
  </si>
  <si>
    <t>389,81</t>
  </si>
  <si>
    <t>54,19%</t>
  </si>
  <si>
    <t>411,06</t>
  </si>
  <si>
    <t>129,75</t>
  </si>
  <si>
    <t>96,70%</t>
  </si>
  <si>
    <t>142,32</t>
  </si>
  <si>
    <t>87,36%</t>
  </si>
  <si>
    <t>191,48</t>
  </si>
  <si>
    <t>92,87%</t>
  </si>
  <si>
    <t>146,49</t>
  </si>
  <si>
    <t>105,56</t>
  </si>
  <si>
    <t>335,72</t>
  </si>
  <si>
    <t>484,29</t>
  </si>
  <si>
    <t>407,79</t>
  </si>
  <si>
    <t>66,15%</t>
  </si>
  <si>
    <t>403,30</t>
  </si>
  <si>
    <t>CE ALECRIM</t>
  </si>
  <si>
    <t>91,01%</t>
  </si>
  <si>
    <t>244,94</t>
  </si>
  <si>
    <t>76,40%</t>
  </si>
  <si>
    <t>357,06</t>
  </si>
  <si>
    <t>356,97</t>
  </si>
  <si>
    <t>298,13</t>
  </si>
  <si>
    <t>78,65%</t>
  </si>
  <si>
    <t>369,14</t>
  </si>
  <si>
    <t>80,90%</t>
  </si>
  <si>
    <t>396,06</t>
  </si>
  <si>
    <t>CE AMANDA VELASCO</t>
  </si>
  <si>
    <t>96,38%</t>
  </si>
  <si>
    <t>163,02</t>
  </si>
  <si>
    <t>67,03%</t>
  </si>
  <si>
    <t>364,64</t>
  </si>
  <si>
    <t>74,64%</t>
  </si>
  <si>
    <t>319,80</t>
  </si>
  <si>
    <t>76,81%</t>
  </si>
  <si>
    <t>348,82</t>
  </si>
  <si>
    <t>CE ANTONIO FRANCISCO LEAL</t>
  </si>
  <si>
    <t>195,53</t>
  </si>
  <si>
    <t>53,27%</t>
  </si>
  <si>
    <t>43,98%</t>
  </si>
  <si>
    <t>422,13</t>
  </si>
  <si>
    <t>66,96%</t>
  </si>
  <si>
    <t>276,64</t>
  </si>
  <si>
    <t>59,34%</t>
  </si>
  <si>
    <t>361,09</t>
  </si>
  <si>
    <t>63,07%</t>
  </si>
  <si>
    <t>CE ARMANDO GONCALVES</t>
  </si>
  <si>
    <t>70,33%</t>
  </si>
  <si>
    <t>157,14</t>
  </si>
  <si>
    <t>44,51%</t>
  </si>
  <si>
    <t>276,05</t>
  </si>
  <si>
    <t>367,39</t>
  </si>
  <si>
    <t>218,97</t>
  </si>
  <si>
    <t>52,75%</t>
  </si>
  <si>
    <t>281,90</t>
  </si>
  <si>
    <t>CE AUGUSTO CEZÁRIO DIAZ ANDRÉ</t>
  </si>
  <si>
    <t>311,00</t>
  </si>
  <si>
    <t>62,25%</t>
  </si>
  <si>
    <t>442,78</t>
  </si>
  <si>
    <t>478,37</t>
  </si>
  <si>
    <t>54,97%</t>
  </si>
  <si>
    <t>418,38</t>
  </si>
  <si>
    <t>63,25%</t>
  </si>
  <si>
    <t>512,04</t>
  </si>
  <si>
    <t>63,91%</t>
  </si>
  <si>
    <t>516,84</t>
  </si>
  <si>
    <t>CE CAPITÃO OSWALDO ORNELLAS</t>
  </si>
  <si>
    <t>84,08%</t>
  </si>
  <si>
    <t>210,36</t>
  </si>
  <si>
    <t>62,69%</t>
  </si>
  <si>
    <t>418,21</t>
  </si>
  <si>
    <t>64,18%</t>
  </si>
  <si>
    <t>406,61</t>
  </si>
  <si>
    <t>248,62</t>
  </si>
  <si>
    <t>55,72%</t>
  </si>
  <si>
    <t>322,52</t>
  </si>
  <si>
    <t>324,60</t>
  </si>
  <si>
    <t>CE COMENDADOR VALENTIM DOS SANTOS DINIZ</t>
  </si>
  <si>
    <t>435,38</t>
  </si>
  <si>
    <t>489,07</t>
  </si>
  <si>
    <t>80,22%</t>
  </si>
  <si>
    <t>524,38</t>
  </si>
  <si>
    <t>479,47</t>
  </si>
  <si>
    <t>75,82%</t>
  </si>
  <si>
    <t>535,07</t>
  </si>
  <si>
    <t>CE CORONEL FRANCISCO LIMA</t>
  </si>
  <si>
    <t>96,99%</t>
  </si>
  <si>
    <t>255,59</t>
  </si>
  <si>
    <t>84,96%</t>
  </si>
  <si>
    <t>322,16</t>
  </si>
  <si>
    <t>76,69%</t>
  </si>
  <si>
    <t>350,50</t>
  </si>
  <si>
    <t>289,44</t>
  </si>
  <si>
    <t>408,75</t>
  </si>
  <si>
    <t>75,19%</t>
  </si>
  <si>
    <t>317,11</t>
  </si>
  <si>
    <t>CE CORONEL JOAO TARCISIO BUENO</t>
  </si>
  <si>
    <t>70,34%</t>
  </si>
  <si>
    <t>330,37</t>
  </si>
  <si>
    <t>48,92%</t>
  </si>
  <si>
    <t>371,77</t>
  </si>
  <si>
    <t>314,28</t>
  </si>
  <si>
    <t>52,52%</t>
  </si>
  <si>
    <t>334,93</t>
  </si>
  <si>
    <t>39,57%</t>
  </si>
  <si>
    <t>CE CORONEL PM MARCUS JARDIM</t>
  </si>
  <si>
    <t>449,38</t>
  </si>
  <si>
    <t>88,81%</t>
  </si>
  <si>
    <t>542,86</t>
  </si>
  <si>
    <t>86,57%</t>
  </si>
  <si>
    <t>572,76</t>
  </si>
  <si>
    <t>89,55%</t>
  </si>
  <si>
    <t>522,00</t>
  </si>
  <si>
    <t>84,33%</t>
  </si>
  <si>
    <t>586,19</t>
  </si>
  <si>
    <t>563,00</t>
  </si>
  <si>
    <t>CE CORONEL SERRADO</t>
  </si>
  <si>
    <t>152,01</t>
  </si>
  <si>
    <t>344,38</t>
  </si>
  <si>
    <t>49,18%</t>
  </si>
  <si>
    <t>401,31</t>
  </si>
  <si>
    <t>48,08%</t>
  </si>
  <si>
    <t>289,46</t>
  </si>
  <si>
    <t>38,52%</t>
  </si>
  <si>
    <t>385,88</t>
  </si>
  <si>
    <t>33,61%</t>
  </si>
  <si>
    <t>387,07</t>
  </si>
  <si>
    <t>CE DESEMBARGADOR FERREIRA PINTO</t>
  </si>
  <si>
    <t>218,61</t>
  </si>
  <si>
    <t>400,93</t>
  </si>
  <si>
    <t>71,76%</t>
  </si>
  <si>
    <t>391,93</t>
  </si>
  <si>
    <t>81,18%</t>
  </si>
  <si>
    <t>451,43</t>
  </si>
  <si>
    <t>471,79</t>
  </si>
  <si>
    <t>CE DOM ANTÔNIO DE ALMEIDA MORAES JUNIOR</t>
  </si>
  <si>
    <t>87,84%</t>
  </si>
  <si>
    <t>434,72</t>
  </si>
  <si>
    <t>397,97</t>
  </si>
  <si>
    <t>250,77</t>
  </si>
  <si>
    <t>470,16</t>
  </si>
  <si>
    <t>277,04</t>
  </si>
  <si>
    <t>CE DÔRVAL FERREIRA DA CUNHA</t>
  </si>
  <si>
    <t>72,44%</t>
  </si>
  <si>
    <t>250,00</t>
  </si>
  <si>
    <t>389,05</t>
  </si>
  <si>
    <t>467,72</t>
  </si>
  <si>
    <t>492,11</t>
  </si>
  <si>
    <t>49,36%</t>
  </si>
  <si>
    <t>412,63</t>
  </si>
  <si>
    <t>CE DOUTOR ADINO XAVIER</t>
  </si>
  <si>
    <t>65,32%</t>
  </si>
  <si>
    <t>369,69</t>
  </si>
  <si>
    <t>377,26</t>
  </si>
  <si>
    <t>284,81</t>
  </si>
  <si>
    <t>51,83%</t>
  </si>
  <si>
    <t>393,74</t>
  </si>
  <si>
    <t>43,20%</t>
  </si>
  <si>
    <t>401,77</t>
  </si>
  <si>
    <t>CE DOUTOR ARMANDO SA COUTO</t>
  </si>
  <si>
    <t>374,55</t>
  </si>
  <si>
    <t>449,29</t>
  </si>
  <si>
    <t>84,42%</t>
  </si>
  <si>
    <t>472,50</t>
  </si>
  <si>
    <t>380,90</t>
  </si>
  <si>
    <t>533,53</t>
  </si>
  <si>
    <t>529,23</t>
  </si>
  <si>
    <t>CE DOUTOR HUMBERTO SOEIRO DE CARVALHO</t>
  </si>
  <si>
    <t>362,35</t>
  </si>
  <si>
    <t>64,77%</t>
  </si>
  <si>
    <t>458,62</t>
  </si>
  <si>
    <t>340,71</t>
  </si>
  <si>
    <t>428,28</t>
  </si>
  <si>
    <t>CE DOUTOR MOACYR MEIRELLES PADILHA</t>
  </si>
  <si>
    <t>51,64%</t>
  </si>
  <si>
    <t>174,26</t>
  </si>
  <si>
    <t>40,16%</t>
  </si>
  <si>
    <t>330,53</t>
  </si>
  <si>
    <t>427,76</t>
  </si>
  <si>
    <t>52,87%</t>
  </si>
  <si>
    <t>51,23%</t>
  </si>
  <si>
    <t>397,38</t>
  </si>
  <si>
    <t>46,72%</t>
  </si>
  <si>
    <t>409,09</t>
  </si>
  <si>
    <t>CE DOUTOR RODOLPHO SIQUEIRA</t>
  </si>
  <si>
    <t>97,25%</t>
  </si>
  <si>
    <t>294,46</t>
  </si>
  <si>
    <t>424,57</t>
  </si>
  <si>
    <t>48,90%</t>
  </si>
  <si>
    <t>453,03</t>
  </si>
  <si>
    <t>70,88%</t>
  </si>
  <si>
    <t>416,69</t>
  </si>
  <si>
    <t>405,04</t>
  </si>
  <si>
    <t>CE ELIZA MARIA DUTRA</t>
  </si>
  <si>
    <t>74,24%</t>
  </si>
  <si>
    <t>186,54</t>
  </si>
  <si>
    <t>334,79</t>
  </si>
  <si>
    <t>47,49%</t>
  </si>
  <si>
    <t>374,61</t>
  </si>
  <si>
    <t>69,80%</t>
  </si>
  <si>
    <t>326,09</t>
  </si>
  <si>
    <t>53,07%</t>
  </si>
  <si>
    <t>400,86</t>
  </si>
  <si>
    <t>57,54%</t>
  </si>
  <si>
    <t>364,24</t>
  </si>
  <si>
    <t>CE FRANCESCA CAREY</t>
  </si>
  <si>
    <t>196,25</t>
  </si>
  <si>
    <t>312,87</t>
  </si>
  <si>
    <t>58,02%</t>
  </si>
  <si>
    <t>278,92</t>
  </si>
  <si>
    <t>317,77</t>
  </si>
  <si>
    <t>343,72</t>
  </si>
  <si>
    <t>CE FREDERICO AZEVEDO</t>
  </si>
  <si>
    <t>211,64</t>
  </si>
  <si>
    <t>336,11</t>
  </si>
  <si>
    <t>47,29%</t>
  </si>
  <si>
    <t>421,91</t>
  </si>
  <si>
    <t>62,14%</t>
  </si>
  <si>
    <t>274,57</t>
  </si>
  <si>
    <t>40,96%</t>
  </si>
  <si>
    <t>363,53</t>
  </si>
  <si>
    <t>375,76</t>
  </si>
  <si>
    <t>CE ISMAEL BRANCO</t>
  </si>
  <si>
    <t>145,53</t>
  </si>
  <si>
    <t>316,77</t>
  </si>
  <si>
    <t>45,97%</t>
  </si>
  <si>
    <t>364,60</t>
  </si>
  <si>
    <t>52,13%</t>
  </si>
  <si>
    <t>343,85</t>
  </si>
  <si>
    <t>351,73</t>
  </si>
  <si>
    <t>38,86%</t>
  </si>
  <si>
    <t>380,49</t>
  </si>
  <si>
    <t>CE JOVINA AMARAL DE OLIVEIRA</t>
  </si>
  <si>
    <t>233,85</t>
  </si>
  <si>
    <t>380,95</t>
  </si>
  <si>
    <t>436,52</t>
  </si>
  <si>
    <t>96,15%</t>
  </si>
  <si>
    <t>489,60</t>
  </si>
  <si>
    <t>502,61</t>
  </si>
  <si>
    <t>CE LAURO CORREA</t>
  </si>
  <si>
    <t>72,78%</t>
  </si>
  <si>
    <t>213,85</t>
  </si>
  <si>
    <t>418,73</t>
  </si>
  <si>
    <t>47,42%</t>
  </si>
  <si>
    <t>425,66</t>
  </si>
  <si>
    <t>56,18%</t>
  </si>
  <si>
    <t>378,84</t>
  </si>
  <si>
    <t>65,46%</t>
  </si>
  <si>
    <t>443,24</t>
  </si>
  <si>
    <t>63,40%</t>
  </si>
  <si>
    <t>412,51</t>
  </si>
  <si>
    <t>CE MARIO TAMBORINDEGUY</t>
  </si>
  <si>
    <t>52,27%</t>
  </si>
  <si>
    <t>368,17</t>
  </si>
  <si>
    <t>40,17%</t>
  </si>
  <si>
    <t>305,45</t>
  </si>
  <si>
    <t>365,11</t>
  </si>
  <si>
    <t>344,61</t>
  </si>
  <si>
    <t>315,80</t>
  </si>
  <si>
    <t>425,28</t>
  </si>
  <si>
    <t>69,66%</t>
  </si>
  <si>
    <t>469,70</t>
  </si>
  <si>
    <t>422,32</t>
  </si>
  <si>
    <t>494,87</t>
  </si>
  <si>
    <t>68,28%</t>
  </si>
  <si>
    <t>477,17</t>
  </si>
  <si>
    <t>CE MELCHIADES PICANÇO</t>
  </si>
  <si>
    <t>165,50</t>
  </si>
  <si>
    <t>216,24</t>
  </si>
  <si>
    <t>46,86%</t>
  </si>
  <si>
    <t>337,88</t>
  </si>
  <si>
    <t>60,37%</t>
  </si>
  <si>
    <t>234,53</t>
  </si>
  <si>
    <t>300,83</t>
  </si>
  <si>
    <t>CE MINISTRO JOSE DE MOURA E SILVA</t>
  </si>
  <si>
    <t>80,73%</t>
  </si>
  <si>
    <t>330,91</t>
  </si>
  <si>
    <t>69,72%</t>
  </si>
  <si>
    <t>541,69</t>
  </si>
  <si>
    <t>511,79</t>
  </si>
  <si>
    <t>64,91%</t>
  </si>
  <si>
    <t>536,04</t>
  </si>
  <si>
    <t>34,46%</t>
  </si>
  <si>
    <t>CE MONSENHOR BARENCO COELHO</t>
  </si>
  <si>
    <t>169,52</t>
  </si>
  <si>
    <t>44,31%</t>
  </si>
  <si>
    <t>324,33</t>
  </si>
  <si>
    <t>63,38%</t>
  </si>
  <si>
    <t>233,64</t>
  </si>
  <si>
    <t>48,24%</t>
  </si>
  <si>
    <t>418,54</t>
  </si>
  <si>
    <t>53,73%</t>
  </si>
  <si>
    <t>CE NILO PEÇANHA</t>
  </si>
  <si>
    <t>79,93%</t>
  </si>
  <si>
    <t>324,15</t>
  </si>
  <si>
    <t>75,05%</t>
  </si>
  <si>
    <t>427,92</t>
  </si>
  <si>
    <t>62,21%</t>
  </si>
  <si>
    <t>332,89</t>
  </si>
  <si>
    <t>443,80</t>
  </si>
  <si>
    <t>65,28%</t>
  </si>
  <si>
    <t>457,95</t>
  </si>
  <si>
    <t>CE PADRE MANUEL DA NÓBREGA</t>
  </si>
  <si>
    <t>97,50%</t>
  </si>
  <si>
    <t>224,96</t>
  </si>
  <si>
    <t>384,30</t>
  </si>
  <si>
    <t>448,61</t>
  </si>
  <si>
    <t>75,83%</t>
  </si>
  <si>
    <t>401,41</t>
  </si>
  <si>
    <t>72,50%</t>
  </si>
  <si>
    <t>434,94</t>
  </si>
  <si>
    <t>61,67%</t>
  </si>
  <si>
    <t>430,68</t>
  </si>
  <si>
    <t>CE PANDIA CALOGERAS</t>
  </si>
  <si>
    <t>205,44</t>
  </si>
  <si>
    <t>416,41</t>
  </si>
  <si>
    <t>43,12%</t>
  </si>
  <si>
    <t>75,29%</t>
  </si>
  <si>
    <t>340,76</t>
  </si>
  <si>
    <t>45,68%</t>
  </si>
  <si>
    <t>436,43</t>
  </si>
  <si>
    <t>CE PAULINO PINHEIRO BAPTISTA</t>
  </si>
  <si>
    <t>218,05</t>
  </si>
  <si>
    <t>62,94%</t>
  </si>
  <si>
    <t>308,76</t>
  </si>
  <si>
    <t>55,94%</t>
  </si>
  <si>
    <t>381,27</t>
  </si>
  <si>
    <t>246,15</t>
  </si>
  <si>
    <t>327,53</t>
  </si>
  <si>
    <t>60,84%</t>
  </si>
  <si>
    <t>365,18</t>
  </si>
  <si>
    <t>CE PROFESSOR FRANCISCO DE PAULA ACHILLES</t>
  </si>
  <si>
    <t>263,81</t>
  </si>
  <si>
    <t>352,20</t>
  </si>
  <si>
    <t>72,55%</t>
  </si>
  <si>
    <t>496,59</t>
  </si>
  <si>
    <t>481,78</t>
  </si>
  <si>
    <t>217,78</t>
  </si>
  <si>
    <t>93,33</t>
  </si>
  <si>
    <t>422,86</t>
  </si>
  <si>
    <t>315,00</t>
  </si>
  <si>
    <t>CE PROFESSORA ADELIA MARTINS</t>
  </si>
  <si>
    <t>182,76</t>
  </si>
  <si>
    <t>71,62%</t>
  </si>
  <si>
    <t>342,78</t>
  </si>
  <si>
    <t>48,54%</t>
  </si>
  <si>
    <t>416,80</t>
  </si>
  <si>
    <t>41,75%</t>
  </si>
  <si>
    <t>366,02</t>
  </si>
  <si>
    <t>CE PROFESSORA ANTONIETA PALMEIRA</t>
  </si>
  <si>
    <t>262,56</t>
  </si>
  <si>
    <t>406,41</t>
  </si>
  <si>
    <t>358,44</t>
  </si>
  <si>
    <t>82,85%</t>
  </si>
  <si>
    <t>206,86</t>
  </si>
  <si>
    <t>0,33%</t>
  </si>
  <si>
    <t>CE PROFESSORA DALILA DE OLIVEIRA COSTA</t>
  </si>
  <si>
    <t>87,97%</t>
  </si>
  <si>
    <t>184,53</t>
  </si>
  <si>
    <t>247,11</t>
  </si>
  <si>
    <t>62,66%</t>
  </si>
  <si>
    <t>407,08</t>
  </si>
  <si>
    <t>226,14</t>
  </si>
  <si>
    <t>325,19</t>
  </si>
  <si>
    <t>CE PROFESSORA HILKA DE ARAÚJO PEÇANHA</t>
  </si>
  <si>
    <t>341,98</t>
  </si>
  <si>
    <t>427,41</t>
  </si>
  <si>
    <t>482,12</t>
  </si>
  <si>
    <t>395,68</t>
  </si>
  <si>
    <t>469,86</t>
  </si>
  <si>
    <t>81,42%</t>
  </si>
  <si>
    <t>22,22</t>
  </si>
  <si>
    <t>326,67</t>
  </si>
  <si>
    <t>260,00</t>
  </si>
  <si>
    <t>354,00</t>
  </si>
  <si>
    <t>23,68%</t>
  </si>
  <si>
    <t>CE PROFESSORA MARIA INOCÊNCIA FERREIRA</t>
  </si>
  <si>
    <t>229,82</t>
  </si>
  <si>
    <t>58,39%</t>
  </si>
  <si>
    <t>391,49</t>
  </si>
  <si>
    <t>427,96</t>
  </si>
  <si>
    <t>66,46%</t>
  </si>
  <si>
    <t>365,83</t>
  </si>
  <si>
    <t>57,76%</t>
  </si>
  <si>
    <t>424,52</t>
  </si>
  <si>
    <t>439,06</t>
  </si>
  <si>
    <t>CE PROFESSORA ODYSSEA SILVEIRA DE SIQUEIRA</t>
  </si>
  <si>
    <t>311,04</t>
  </si>
  <si>
    <t>460,69</t>
  </si>
  <si>
    <t>65,93%</t>
  </si>
  <si>
    <t>445,33</t>
  </si>
  <si>
    <t>63,74%</t>
  </si>
  <si>
    <t>361,38</t>
  </si>
  <si>
    <t>473,02</t>
  </si>
  <si>
    <t>473,33</t>
  </si>
  <si>
    <t>CE SALVADOR DE MENDONÇA</t>
  </si>
  <si>
    <t>251,07</t>
  </si>
  <si>
    <t>442,30</t>
  </si>
  <si>
    <t>81,61%</t>
  </si>
  <si>
    <t>447,13</t>
  </si>
  <si>
    <t>388,70</t>
  </si>
  <si>
    <t>440,39</t>
  </si>
  <si>
    <t>448,11</t>
  </si>
  <si>
    <t>CE SANTOS DIAS</t>
  </si>
  <si>
    <t>80,69%</t>
  </si>
  <si>
    <t>335,21</t>
  </si>
  <si>
    <t>59,90%</t>
  </si>
  <si>
    <t>435,04</t>
  </si>
  <si>
    <t>63,86%</t>
  </si>
  <si>
    <t>503,57</t>
  </si>
  <si>
    <t>456,25</t>
  </si>
  <si>
    <t>468,53</t>
  </si>
  <si>
    <t>61,39%</t>
  </si>
  <si>
    <t>479,03</t>
  </si>
  <si>
    <t>CE SUBTENENTE PM MARCO ANTONIO GRIPP</t>
  </si>
  <si>
    <t>408,63</t>
  </si>
  <si>
    <t>485,60</t>
  </si>
  <si>
    <t>518,30</t>
  </si>
  <si>
    <t>92,45%</t>
  </si>
  <si>
    <t>482,45</t>
  </si>
  <si>
    <t>503,67</t>
  </si>
  <si>
    <t>554,29</t>
  </si>
  <si>
    <t>CE TRASILBO FILGUEIRAS</t>
  </si>
  <si>
    <t>63,71%</t>
  </si>
  <si>
    <t>168,39</t>
  </si>
  <si>
    <t>63,44%</t>
  </si>
  <si>
    <t>285,94</t>
  </si>
  <si>
    <t>54,33%</t>
  </si>
  <si>
    <t>385,00</t>
  </si>
  <si>
    <t>38,02%</t>
  </si>
  <si>
    <t>231,33</t>
  </si>
  <si>
    <t>48,71%</t>
  </si>
  <si>
    <t>363,29</t>
  </si>
  <si>
    <t>57,85%</t>
  </si>
  <si>
    <t>399,81</t>
  </si>
  <si>
    <t>CE VILA GUARANI</t>
  </si>
  <si>
    <t>89,23</t>
  </si>
  <si>
    <t>382,67</t>
  </si>
  <si>
    <t>224,00</t>
  </si>
  <si>
    <t>380,00</t>
  </si>
  <si>
    <t>403,08</t>
  </si>
  <si>
    <t>CE VISCONDE DE ITABORAÍ</t>
  </si>
  <si>
    <t>66,71%</t>
  </si>
  <si>
    <t>292,37</t>
  </si>
  <si>
    <t>41,61%</t>
  </si>
  <si>
    <t>476,85</t>
  </si>
  <si>
    <t>432,70</t>
  </si>
  <si>
    <t>326,72</t>
  </si>
  <si>
    <t>371,50</t>
  </si>
  <si>
    <t>61,58%</t>
  </si>
  <si>
    <t>320,98</t>
  </si>
  <si>
    <t>CE VITAL BRASIL</t>
  </si>
  <si>
    <t>231,62</t>
  </si>
  <si>
    <t>219,57</t>
  </si>
  <si>
    <t>49,61%</t>
  </si>
  <si>
    <t>427,30</t>
  </si>
  <si>
    <t>317,00</t>
  </si>
  <si>
    <t>396,48</t>
  </si>
  <si>
    <t>432,40</t>
  </si>
  <si>
    <t>CE WALTER ORLANDINE</t>
  </si>
  <si>
    <t>369,70</t>
  </si>
  <si>
    <t>60,66%</t>
  </si>
  <si>
    <t>427,27</t>
  </si>
  <si>
    <t>324,36</t>
  </si>
  <si>
    <t>279,88</t>
  </si>
  <si>
    <t>67,11%</t>
  </si>
  <si>
    <t>319,37</t>
  </si>
  <si>
    <t>261,43</t>
  </si>
  <si>
    <t>CIEP 050 PABLO NERUDA</t>
  </si>
  <si>
    <t>194,37</t>
  </si>
  <si>
    <t>361,19</t>
  </si>
  <si>
    <t>310,91</t>
  </si>
  <si>
    <t>352,14</t>
  </si>
  <si>
    <t>CIEP 052 PROFESSORA ROMANDA GOUVEIA GONÇALVES</t>
  </si>
  <si>
    <t>69,44%</t>
  </si>
  <si>
    <t>454,40</t>
  </si>
  <si>
    <t>423,08</t>
  </si>
  <si>
    <t>308,83</t>
  </si>
  <si>
    <t>CIEP 121 PROFESSOR JOADELIO CODECO</t>
  </si>
  <si>
    <t>95,32%</t>
  </si>
  <si>
    <t>136,93</t>
  </si>
  <si>
    <t>72,51%</t>
  </si>
  <si>
    <t>332,86</t>
  </si>
  <si>
    <t>57,28%</t>
  </si>
  <si>
    <t>374,21</t>
  </si>
  <si>
    <t>292,58</t>
  </si>
  <si>
    <t>383,02</t>
  </si>
  <si>
    <t>395,93</t>
  </si>
  <si>
    <t>CIEP 122 ERMEZINDA DIONISIO NECCO</t>
  </si>
  <si>
    <t>304,17</t>
  </si>
  <si>
    <t>47,95%</t>
  </si>
  <si>
    <t>410,90</t>
  </si>
  <si>
    <t>44,95%</t>
  </si>
  <si>
    <t>410,20</t>
  </si>
  <si>
    <t>432,21</t>
  </si>
  <si>
    <t>CIEP 126 ALMEDORINA AZEREDO</t>
  </si>
  <si>
    <t>256,77</t>
  </si>
  <si>
    <t>306,42</t>
  </si>
  <si>
    <t>45,05%</t>
  </si>
  <si>
    <t>407,92</t>
  </si>
  <si>
    <t>292,03</t>
  </si>
  <si>
    <t>CIEP 129 JOSE MARIA NANCI</t>
  </si>
  <si>
    <t>97,55%</t>
  </si>
  <si>
    <t>194,77</t>
  </si>
  <si>
    <t>239,20</t>
  </si>
  <si>
    <t>60,29%</t>
  </si>
  <si>
    <t>357,39</t>
  </si>
  <si>
    <t>62,30%</t>
  </si>
  <si>
    <t>312,91</t>
  </si>
  <si>
    <t>54,78%</t>
  </si>
  <si>
    <t>420,97</t>
  </si>
  <si>
    <t>CIEP 130 DOUTOR ELIAS DE MIRANDA SARAIVA</t>
  </si>
  <si>
    <t>82,82%</t>
  </si>
  <si>
    <t>306,44</t>
  </si>
  <si>
    <t>67,06%</t>
  </si>
  <si>
    <t>390,25</t>
  </si>
  <si>
    <t>60,47%</t>
  </si>
  <si>
    <t>310,24</t>
  </si>
  <si>
    <t>440,64</t>
  </si>
  <si>
    <t>63,06%</t>
  </si>
  <si>
    <t>438,80</t>
  </si>
  <si>
    <t>CIEP 238 DOUTOR ILTON FARIA DA COSTA</t>
  </si>
  <si>
    <t>95,72%</t>
  </si>
  <si>
    <t>157,54</t>
  </si>
  <si>
    <t>62,39%</t>
  </si>
  <si>
    <t>439,72</t>
  </si>
  <si>
    <t>79,19%</t>
  </si>
  <si>
    <t>295,39</t>
  </si>
  <si>
    <t>391,22</t>
  </si>
  <si>
    <t>64,60%</t>
  </si>
  <si>
    <t>CIEP 239 PROFESSORA ELZA VIANNA FIALHO</t>
  </si>
  <si>
    <t>222,25</t>
  </si>
  <si>
    <t>38,80%</t>
  </si>
  <si>
    <t>419,48</t>
  </si>
  <si>
    <t>437,68</t>
  </si>
  <si>
    <t>47,00%</t>
  </si>
  <si>
    <t>309,97</t>
  </si>
  <si>
    <t>45,99%</t>
  </si>
  <si>
    <t>380,27</t>
  </si>
  <si>
    <t>406,73</t>
  </si>
  <si>
    <t>CIEP 240 PROFESSOR HAROLDO TEIXEIRA VALLADAO</t>
  </si>
  <si>
    <t>307,02</t>
  </si>
  <si>
    <t>330,66</t>
  </si>
  <si>
    <t>469,29</t>
  </si>
  <si>
    <t>297,24</t>
  </si>
  <si>
    <t>378,56</t>
  </si>
  <si>
    <t>CIEP 246 PROFESSORA ADALGISA CABRAL DE FARIA</t>
  </si>
  <si>
    <t>117,35</t>
  </si>
  <si>
    <t>340,98</t>
  </si>
  <si>
    <t>361,27</t>
  </si>
  <si>
    <t>230,50</t>
  </si>
  <si>
    <t>50,24%</t>
  </si>
  <si>
    <t>344,82</t>
  </si>
  <si>
    <t>CIEP 248 PROFESSOR TULIO RODRIGUES PERLINGEIRO</t>
  </si>
  <si>
    <t>70,15%</t>
  </si>
  <si>
    <t>330,67</t>
  </si>
  <si>
    <t>74,63%</t>
  </si>
  <si>
    <t>321,00</t>
  </si>
  <si>
    <t>358,46</t>
  </si>
  <si>
    <t>76,12%</t>
  </si>
  <si>
    <t>396,00</t>
  </si>
  <si>
    <t>CIEP 249 PASTOR WALDEMAR ZARRO</t>
  </si>
  <si>
    <t>72,06%</t>
  </si>
  <si>
    <t>200,55</t>
  </si>
  <si>
    <t>64,98%</t>
  </si>
  <si>
    <t>315,20</t>
  </si>
  <si>
    <t>63,67%</t>
  </si>
  <si>
    <t>226,64</t>
  </si>
  <si>
    <t>369,99</t>
  </si>
  <si>
    <t>43,77%</t>
  </si>
  <si>
    <t>373,17</t>
  </si>
  <si>
    <t>CIEP 252 JOAO BAPTISTA CAFFARO</t>
  </si>
  <si>
    <t>338,99</t>
  </si>
  <si>
    <t>425,62</t>
  </si>
  <si>
    <t>68,01%</t>
  </si>
  <si>
    <t>461,04</t>
  </si>
  <si>
    <t>62,59%</t>
  </si>
  <si>
    <t>386,58</t>
  </si>
  <si>
    <t>70,19%</t>
  </si>
  <si>
    <t>429,92</t>
  </si>
  <si>
    <t>38,20%</t>
  </si>
  <si>
    <t>366,28</t>
  </si>
  <si>
    <t>CIEP 306 DEPUTADO DAVID QUINDERÉ</t>
  </si>
  <si>
    <t>384,13</t>
  </si>
  <si>
    <t>418,66</t>
  </si>
  <si>
    <t>55,70%</t>
  </si>
  <si>
    <t>402,29</t>
  </si>
  <si>
    <t>450,00</t>
  </si>
  <si>
    <t>410,00</t>
  </si>
  <si>
    <t>CIEP 308 PASCOAL CARLOS MAGNO</t>
  </si>
  <si>
    <t>195,77</t>
  </si>
  <si>
    <t>332,06</t>
  </si>
  <si>
    <t>400,21</t>
  </si>
  <si>
    <t>43,04%</t>
  </si>
  <si>
    <t>320,65</t>
  </si>
  <si>
    <t>62,82%</t>
  </si>
  <si>
    <t>364,33</t>
  </si>
  <si>
    <t>57,04%</t>
  </si>
  <si>
    <t>370,62</t>
  </si>
  <si>
    <t>CIEP 309 ZUZU ANGEL - BRASIL-COLÔMBIA</t>
  </si>
  <si>
    <t>225,41</t>
  </si>
  <si>
    <t>413,60</t>
  </si>
  <si>
    <t>31,90%</t>
  </si>
  <si>
    <t>445,97</t>
  </si>
  <si>
    <t>331,40</t>
  </si>
  <si>
    <t>407,82</t>
  </si>
  <si>
    <t>402,30</t>
  </si>
  <si>
    <t>CIEP 408 SERGIO CARDOSO</t>
  </si>
  <si>
    <t>91,11</t>
  </si>
  <si>
    <t>16,00</t>
  </si>
  <si>
    <t>237,33</t>
  </si>
  <si>
    <t>186,67</t>
  </si>
  <si>
    <t>289,23</t>
  </si>
  <si>
    <t>458,18</t>
  </si>
  <si>
    <t>CIEP 409 PROFESSORA ALAIDE DE FIGUEREDO SANTOS</t>
  </si>
  <si>
    <t>72,83%</t>
  </si>
  <si>
    <t>197,46</t>
  </si>
  <si>
    <t>350,83</t>
  </si>
  <si>
    <t>58,96%</t>
  </si>
  <si>
    <t>374,26</t>
  </si>
  <si>
    <t>416,00</t>
  </si>
  <si>
    <t>450,77</t>
  </si>
  <si>
    <t>CIEP 410 PATRÍCIA GALVÃO-PAGU</t>
  </si>
  <si>
    <t>99,10%</t>
  </si>
  <si>
    <t>244,73</t>
  </si>
  <si>
    <t>399,25</t>
  </si>
  <si>
    <t>376,23</t>
  </si>
  <si>
    <t>278,87</t>
  </si>
  <si>
    <t>87,39%</t>
  </si>
  <si>
    <t>466,25</t>
  </si>
  <si>
    <t>85,59%</t>
  </si>
  <si>
    <t>476,99</t>
  </si>
  <si>
    <t>CIEP 412 DOUTOR ZERBINI</t>
  </si>
  <si>
    <t>342,61</t>
  </si>
  <si>
    <t>373,33</t>
  </si>
  <si>
    <t>369,23</t>
  </si>
  <si>
    <t>372,73</t>
  </si>
  <si>
    <t>CIEP 413 ADAO PEREIRA NUNES BRASIL MEXICO</t>
  </si>
  <si>
    <t>83,82%</t>
  </si>
  <si>
    <t>434,69</t>
  </si>
  <si>
    <t>76,22%</t>
  </si>
  <si>
    <t>514,83</t>
  </si>
  <si>
    <t>88,15%</t>
  </si>
  <si>
    <t>515,71</t>
  </si>
  <si>
    <t>78,32%</t>
  </si>
  <si>
    <t>80,42%</t>
  </si>
  <si>
    <t>CIEP 415 MIGUEL DE CERVANTES</t>
  </si>
  <si>
    <t>143,98</t>
  </si>
  <si>
    <t>308,39</t>
  </si>
  <si>
    <t>51,71%</t>
  </si>
  <si>
    <t>366,31</t>
  </si>
  <si>
    <t>62,60%</t>
  </si>
  <si>
    <t>341,51</t>
  </si>
  <si>
    <t>35,37%</t>
  </si>
  <si>
    <t>37,07%</t>
  </si>
  <si>
    <t>CIEP 421 DEPUTADA CRISTINA TAVARES</t>
  </si>
  <si>
    <t>177,33</t>
  </si>
  <si>
    <t>85,29%</t>
  </si>
  <si>
    <t>362,96</t>
  </si>
  <si>
    <t>384,62</t>
  </si>
  <si>
    <t>525,93</t>
  </si>
  <si>
    <t>CIEP 422 NICANOR FERREIRA NUNES</t>
  </si>
  <si>
    <t>484,00</t>
  </si>
  <si>
    <t>86,36%</t>
  </si>
  <si>
    <t>511,58</t>
  </si>
  <si>
    <t>469,33</t>
  </si>
  <si>
    <t>492,50</t>
  </si>
  <si>
    <t>457,50</t>
  </si>
  <si>
    <t>CIEP 423 MORA GUIMARAES</t>
  </si>
  <si>
    <t>87,76%</t>
  </si>
  <si>
    <t>238,14</t>
  </si>
  <si>
    <t>348,97</t>
  </si>
  <si>
    <t>73,47%</t>
  </si>
  <si>
    <t>371,43</t>
  </si>
  <si>
    <t>344,52</t>
  </si>
  <si>
    <t>349,47</t>
  </si>
  <si>
    <t>CIEP 424 PEDRO AMORIM</t>
  </si>
  <si>
    <t>216,00</t>
  </si>
  <si>
    <t>379,59</t>
  </si>
  <si>
    <t>49,37%</t>
  </si>
  <si>
    <t>441,25</t>
  </si>
  <si>
    <t>451,00</t>
  </si>
  <si>
    <t>CIEP 426 EDUARDO RIBEIRO DE CARVALHO</t>
  </si>
  <si>
    <t>193,57</t>
  </si>
  <si>
    <t>75,44%</t>
  </si>
  <si>
    <t>416,74</t>
  </si>
  <si>
    <t>459,53</t>
  </si>
  <si>
    <t>61,40%</t>
  </si>
  <si>
    <t>413,71</t>
  </si>
  <si>
    <t>CIEP 430 CARLOS MARIGHELLA</t>
  </si>
  <si>
    <t>78,85%</t>
  </si>
  <si>
    <t>63,41</t>
  </si>
  <si>
    <t>334,67</t>
  </si>
  <si>
    <t>198,86</t>
  </si>
  <si>
    <t>390,30</t>
  </si>
  <si>
    <t>343,53</t>
  </si>
  <si>
    <t>CIEP 439 LUIZ GONZAGA JUNIOR - GONZAGUINHA</t>
  </si>
  <si>
    <t>147,50</t>
  </si>
  <si>
    <t>98,81%</t>
  </si>
  <si>
    <t>186,50</t>
  </si>
  <si>
    <t>392,94</t>
  </si>
  <si>
    <t>302,67</t>
  </si>
  <si>
    <t>365,37</t>
  </si>
  <si>
    <t>86,90%</t>
  </si>
  <si>
    <t>361,13</t>
  </si>
  <si>
    <t>CIEP 440 MAJOR JOAQUIM DE AZEVEDO COUTINHO</t>
  </si>
  <si>
    <t>190,77</t>
  </si>
  <si>
    <t>306,67</t>
  </si>
  <si>
    <t>490,00</t>
  </si>
  <si>
    <t>226,67</t>
  </si>
  <si>
    <t>510,00</t>
  </si>
  <si>
    <t>553,33</t>
  </si>
  <si>
    <t>CIEP 451 ELIZA ANTONIA RAINHO DIAS</t>
  </si>
  <si>
    <t>58,30%</t>
  </si>
  <si>
    <t>163,11</t>
  </si>
  <si>
    <t>307,61</t>
  </si>
  <si>
    <t>349,35</t>
  </si>
  <si>
    <t>271,45</t>
  </si>
  <si>
    <t>369,27</t>
  </si>
  <si>
    <t>CIEP 453 DOUTOR MILTON RODRIGUES ROCHA</t>
  </si>
  <si>
    <t>261,66</t>
  </si>
  <si>
    <t>353,97</t>
  </si>
  <si>
    <t>422,41</t>
  </si>
  <si>
    <t>322,11</t>
  </si>
  <si>
    <t>368,34</t>
  </si>
  <si>
    <t>55,21%</t>
  </si>
  <si>
    <t>374,45</t>
  </si>
  <si>
    <t>CIEP 513 GEORGE SAVALLA GOMES - PALHACO CAREQUINHA</t>
  </si>
  <si>
    <t>167,06</t>
  </si>
  <si>
    <t>342,07</t>
  </si>
  <si>
    <t>63,04%</t>
  </si>
  <si>
    <t>407,14</t>
  </si>
  <si>
    <t>316,00</t>
  </si>
  <si>
    <t>67,39%</t>
  </si>
  <si>
    <t>396,13</t>
  </si>
  <si>
    <t>IE CLELIA NANCI</t>
  </si>
  <si>
    <t>49,21%</t>
  </si>
  <si>
    <t>319,83</t>
  </si>
  <si>
    <t>56,57%</t>
  </si>
  <si>
    <t>423,85</t>
  </si>
  <si>
    <t>54,82%</t>
  </si>
  <si>
    <t>444,97</t>
  </si>
  <si>
    <t>296,39</t>
  </si>
  <si>
    <t>56,22%</t>
  </si>
  <si>
    <t>451,91</t>
  </si>
  <si>
    <t>150,02</t>
  </si>
  <si>
    <t>298,78</t>
  </si>
  <si>
    <t>197,41</t>
  </si>
  <si>
    <t>50,40%</t>
  </si>
  <si>
    <t>340,45</t>
  </si>
  <si>
    <t>374,15</t>
  </si>
  <si>
    <t>299,39</t>
  </si>
  <si>
    <t>380,80</t>
  </si>
  <si>
    <t>284,44</t>
  </si>
  <si>
    <t>317,84</t>
  </si>
  <si>
    <t>55,77%</t>
  </si>
  <si>
    <t>340,74</t>
  </si>
  <si>
    <t>417,93</t>
  </si>
  <si>
    <t>481,67</t>
  </si>
  <si>
    <t>318,71</t>
  </si>
  <si>
    <t>500,00</t>
  </si>
  <si>
    <t>487,50</t>
  </si>
  <si>
    <t>132,48</t>
  </si>
  <si>
    <t>51,87%</t>
  </si>
  <si>
    <t>360,83</t>
  </si>
  <si>
    <t>379,48</t>
  </si>
  <si>
    <t>231,93</t>
  </si>
  <si>
    <t>44,92%</t>
  </si>
  <si>
    <t>384,29</t>
  </si>
  <si>
    <t>77,44</t>
  </si>
  <si>
    <t>319,82</t>
  </si>
  <si>
    <t>37,76%</t>
  </si>
  <si>
    <t>387,03</t>
  </si>
  <si>
    <t>290,67</t>
  </si>
  <si>
    <t>60,20%</t>
  </si>
  <si>
    <t>336,95</t>
  </si>
  <si>
    <t>371,54</t>
  </si>
  <si>
    <t>183,03</t>
  </si>
  <si>
    <t>361,44</t>
  </si>
  <si>
    <t>41,06%</t>
  </si>
  <si>
    <t>320,30</t>
  </si>
  <si>
    <t>361,15</t>
  </si>
  <si>
    <t>405,05</t>
  </si>
  <si>
    <t>417,18</t>
  </si>
  <si>
    <t>56,42%</t>
  </si>
  <si>
    <t>296,59</t>
  </si>
  <si>
    <t>57,58%</t>
  </si>
  <si>
    <t>301,27</t>
  </si>
  <si>
    <t>203,81</t>
  </si>
  <si>
    <t>267,46</t>
  </si>
  <si>
    <t>273,47</t>
  </si>
  <si>
    <t>64,72</t>
  </si>
  <si>
    <t>95,39%</t>
  </si>
  <si>
    <t>163,69</t>
  </si>
  <si>
    <t>44,20%</t>
  </si>
  <si>
    <t>239,54</t>
  </si>
  <si>
    <t>173,52</t>
  </si>
  <si>
    <t>255,65</t>
  </si>
  <si>
    <t>253,33</t>
  </si>
  <si>
    <t>189,09</t>
  </si>
  <si>
    <t>18,86%</t>
  </si>
  <si>
    <t>304,94</t>
  </si>
  <si>
    <t>420,74</t>
  </si>
  <si>
    <t>220,22</t>
  </si>
  <si>
    <t>345,00</t>
  </si>
  <si>
    <t>377,15</t>
  </si>
  <si>
    <t>176,84</t>
  </si>
  <si>
    <t>96,22%</t>
  </si>
  <si>
    <t>207,21</t>
  </si>
  <si>
    <t>58,40%</t>
  </si>
  <si>
    <t>397,35</t>
  </si>
  <si>
    <t>179,21</t>
  </si>
  <si>
    <t>391,50</t>
  </si>
  <si>
    <t>48,32%</t>
  </si>
  <si>
    <t>402,96</t>
  </si>
  <si>
    <t>142,86</t>
  </si>
  <si>
    <t>141,09</t>
  </si>
  <si>
    <t>169,88</t>
  </si>
  <si>
    <t>156,50</t>
  </si>
  <si>
    <t>317,67</t>
  </si>
  <si>
    <t>99,42%</t>
  </si>
  <si>
    <t>222,09</t>
  </si>
  <si>
    <t>148,15</t>
  </si>
  <si>
    <t>214,74</t>
  </si>
  <si>
    <t>295,38</t>
  </si>
  <si>
    <t>247,74</t>
  </si>
  <si>
    <t>362,86</t>
  </si>
  <si>
    <t>180,28</t>
  </si>
  <si>
    <t>97,01%</t>
  </si>
  <si>
    <t>218,52</t>
  </si>
  <si>
    <t>281,45</t>
  </si>
  <si>
    <t>289,03</t>
  </si>
  <si>
    <t>75,90%</t>
  </si>
  <si>
    <t>252,06</t>
  </si>
  <si>
    <t>409,79</t>
  </si>
  <si>
    <t>121,33</t>
  </si>
  <si>
    <t>383,57</t>
  </si>
  <si>
    <t>361,31</t>
  </si>
  <si>
    <t>168,33</t>
  </si>
  <si>
    <t>385,60</t>
  </si>
  <si>
    <t>41,11%</t>
  </si>
  <si>
    <t>390,27</t>
  </si>
  <si>
    <t>274,30</t>
  </si>
  <si>
    <t>4,25%</t>
  </si>
  <si>
    <t>424,24</t>
  </si>
  <si>
    <t>31,19%</t>
  </si>
  <si>
    <t>400,66</t>
  </si>
  <si>
    <t>251,43</t>
  </si>
  <si>
    <t>42,27%</t>
  </si>
  <si>
    <t>429,78</t>
  </si>
  <si>
    <t>27,32%</t>
  </si>
  <si>
    <t>369,10</t>
  </si>
  <si>
    <t>109,47</t>
  </si>
  <si>
    <t>364,00</t>
  </si>
  <si>
    <t>347,50</t>
  </si>
  <si>
    <t>290,91</t>
  </si>
  <si>
    <t>382,86</t>
  </si>
  <si>
    <t>123,46</t>
  </si>
  <si>
    <t>85,35%</t>
  </si>
  <si>
    <t>262,86</t>
  </si>
  <si>
    <t>377,41</t>
  </si>
  <si>
    <t>252,44</t>
  </si>
  <si>
    <t>54,14%</t>
  </si>
  <si>
    <t>431,33</t>
  </si>
  <si>
    <t>62,42%</t>
  </si>
  <si>
    <t>420,21</t>
  </si>
  <si>
    <t>162,96</t>
  </si>
  <si>
    <t>291,43</t>
  </si>
  <si>
    <t>46,50%</t>
  </si>
  <si>
    <t>350,68</t>
  </si>
  <si>
    <t>216,38</t>
  </si>
  <si>
    <t>38,85%</t>
  </si>
  <si>
    <t>314,21</t>
  </si>
  <si>
    <t>121,08</t>
  </si>
  <si>
    <t>97,16%</t>
  </si>
  <si>
    <t>216,79</t>
  </si>
  <si>
    <t>99,35%</t>
  </si>
  <si>
    <t>242,78</t>
  </si>
  <si>
    <t>128,82</t>
  </si>
  <si>
    <t>162,48</t>
  </si>
  <si>
    <t>136,99</t>
  </si>
  <si>
    <t>195,17</t>
  </si>
  <si>
    <t>341,46</t>
  </si>
  <si>
    <t>343,33</t>
  </si>
  <si>
    <t>345,45</t>
  </si>
  <si>
    <t>360,89</t>
  </si>
  <si>
    <t>373,00</t>
  </si>
  <si>
    <t>148,21</t>
  </si>
  <si>
    <t>452,41</t>
  </si>
  <si>
    <t>396,57</t>
  </si>
  <si>
    <t>232,00</t>
  </si>
  <si>
    <t>370,25</t>
  </si>
  <si>
    <t>31,87%</t>
  </si>
  <si>
    <t>68,46</t>
  </si>
  <si>
    <t>30,08%</t>
  </si>
  <si>
    <t>243,45</t>
  </si>
  <si>
    <t>42,28%</t>
  </si>
  <si>
    <t>259,23</t>
  </si>
  <si>
    <t>350,77</t>
  </si>
  <si>
    <t>104,62</t>
  </si>
  <si>
    <t>304,19</t>
  </si>
  <si>
    <t>369,60</t>
  </si>
  <si>
    <t>230,70</t>
  </si>
  <si>
    <t>382,00</t>
  </si>
  <si>
    <t>332,63</t>
  </si>
  <si>
    <t>181,33</t>
  </si>
  <si>
    <t>20,73%</t>
  </si>
  <si>
    <t>8,74%</t>
  </si>
  <si>
    <t>357,50</t>
  </si>
  <si>
    <t>289,47</t>
  </si>
  <si>
    <t>317,78</t>
  </si>
  <si>
    <t>111,57</t>
  </si>
  <si>
    <t>87,94%</t>
  </si>
  <si>
    <t>211,13</t>
  </si>
  <si>
    <t>228,65</t>
  </si>
  <si>
    <t>230,39</t>
  </si>
  <si>
    <t>53,05%</t>
  </si>
  <si>
    <t>399,50</t>
  </si>
  <si>
    <t>54,50%</t>
  </si>
  <si>
    <t>400,12</t>
  </si>
  <si>
    <t>175,64</t>
  </si>
  <si>
    <t>415,42</t>
  </si>
  <si>
    <t>425,82</t>
  </si>
  <si>
    <t>197,16</t>
  </si>
  <si>
    <t>417,00</t>
  </si>
  <si>
    <t>47,44%</t>
  </si>
  <si>
    <t>444,59</t>
  </si>
  <si>
    <t>145,42</t>
  </si>
  <si>
    <t>306,05</t>
  </si>
  <si>
    <t>351,01</t>
  </si>
  <si>
    <t>271,90</t>
  </si>
  <si>
    <t>368,21</t>
  </si>
  <si>
    <t>392,77</t>
  </si>
  <si>
    <t>112,59</t>
  </si>
  <si>
    <t>302,22</t>
  </si>
  <si>
    <t>37,33%</t>
  </si>
  <si>
    <t>213,44</t>
  </si>
  <si>
    <t>345,72</t>
  </si>
  <si>
    <t>127,14</t>
  </si>
  <si>
    <t>268,59</t>
  </si>
  <si>
    <t>430,48</t>
  </si>
  <si>
    <t>445,00</t>
  </si>
  <si>
    <t>206,00</t>
  </si>
  <si>
    <t>35,94%</t>
  </si>
  <si>
    <t>351,31</t>
  </si>
  <si>
    <t>415,38</t>
  </si>
  <si>
    <t>140,00</t>
  </si>
  <si>
    <t>202,22</t>
  </si>
  <si>
    <t>261,89</t>
  </si>
  <si>
    <t>50,51%</t>
  </si>
  <si>
    <t>367,35</t>
  </si>
  <si>
    <t>317,09</t>
  </si>
  <si>
    <t>44,85</t>
  </si>
  <si>
    <t>34,85%</t>
  </si>
  <si>
    <t>253,91</t>
  </si>
  <si>
    <t>368,00</t>
  </si>
  <si>
    <t>122,00</t>
  </si>
  <si>
    <t>24,40%</t>
  </si>
  <si>
    <t>307,00</t>
  </si>
  <si>
    <t>208,84</t>
  </si>
  <si>
    <t>376,67</t>
  </si>
  <si>
    <t>406,90</t>
  </si>
  <si>
    <t>283,88</t>
  </si>
  <si>
    <t>379,12</t>
  </si>
  <si>
    <t>59,71%</t>
  </si>
  <si>
    <t>396,21</t>
  </si>
  <si>
    <t>178,09</t>
  </si>
  <si>
    <t>312,94</t>
  </si>
  <si>
    <t>354,16</t>
  </si>
  <si>
    <t>380,24</t>
  </si>
  <si>
    <t>38,03%</t>
  </si>
  <si>
    <t>379,26</t>
  </si>
  <si>
    <t>103,38</t>
  </si>
  <si>
    <t>187,69</t>
  </si>
  <si>
    <t>275,43</t>
  </si>
  <si>
    <t>276,00</t>
  </si>
  <si>
    <t>11,88%</t>
  </si>
  <si>
    <t>27,72%</t>
  </si>
  <si>
    <t>341,43</t>
  </si>
  <si>
    <t>355,12</t>
  </si>
  <si>
    <t>70,75%</t>
  </si>
  <si>
    <t>427,25</t>
  </si>
  <si>
    <t>61,34%</t>
  </si>
  <si>
    <t>459,45</t>
  </si>
  <si>
    <t>370,88</t>
  </si>
  <si>
    <t>60,11%</t>
  </si>
  <si>
    <t>495,79</t>
  </si>
  <si>
    <t>76,10%</t>
  </si>
  <si>
    <t>397,42</t>
  </si>
  <si>
    <t>357,52</t>
  </si>
  <si>
    <t>506,94</t>
  </si>
  <si>
    <t>94,25%</t>
  </si>
  <si>
    <t>520,50</t>
  </si>
  <si>
    <t>287,58</t>
  </si>
  <si>
    <t>448,85</t>
  </si>
  <si>
    <t>69,54%</t>
  </si>
  <si>
    <t>348,57</t>
  </si>
  <si>
    <t>120,43</t>
  </si>
  <si>
    <t>344,83</t>
  </si>
  <si>
    <t>56,44%</t>
  </si>
  <si>
    <t>369,57</t>
  </si>
  <si>
    <t>347,25</t>
  </si>
  <si>
    <t>373,16</t>
  </si>
  <si>
    <t>384,74</t>
  </si>
  <si>
    <t>94,85</t>
  </si>
  <si>
    <t>307,31</t>
  </si>
  <si>
    <t>321,33</t>
  </si>
  <si>
    <t>138,45</t>
  </si>
  <si>
    <t>311,58</t>
  </si>
  <si>
    <t>349,39</t>
  </si>
  <si>
    <t>230,98</t>
  </si>
  <si>
    <t>293,71</t>
  </si>
  <si>
    <t>398,86</t>
  </si>
  <si>
    <t>261,76</t>
  </si>
  <si>
    <t>329,00</t>
  </si>
  <si>
    <t>98,54</t>
  </si>
  <si>
    <t>285,93</t>
  </si>
  <si>
    <t>37,79%</t>
  </si>
  <si>
    <t>319,88</t>
  </si>
  <si>
    <t>225,83</t>
  </si>
  <si>
    <t>29,32%</t>
  </si>
  <si>
    <t>322,45</t>
  </si>
  <si>
    <t>17,10%</t>
  </si>
  <si>
    <t>278,61</t>
  </si>
  <si>
    <t>67,20%</t>
  </si>
  <si>
    <t>318,44</t>
  </si>
  <si>
    <t>56,41%</t>
  </si>
  <si>
    <t>387,16</t>
  </si>
  <si>
    <t>366,38</t>
  </si>
  <si>
    <t>369,72</t>
  </si>
  <si>
    <t>373,44</t>
  </si>
  <si>
    <t>67,08</t>
  </si>
  <si>
    <t>300,00</t>
  </si>
  <si>
    <t>52,83%</t>
  </si>
  <si>
    <t>116,92</t>
  </si>
  <si>
    <t>66,98%</t>
  </si>
  <si>
    <t>323,38</t>
  </si>
  <si>
    <t>51,89%</t>
  </si>
  <si>
    <t>311,27</t>
  </si>
  <si>
    <t>179,53</t>
  </si>
  <si>
    <t>376,89</t>
  </si>
  <si>
    <t>396,25</t>
  </si>
  <si>
    <t>388,00</t>
  </si>
  <si>
    <t>438,62</t>
  </si>
  <si>
    <t>49,43%</t>
  </si>
  <si>
    <t>378,60</t>
  </si>
  <si>
    <t>139,66</t>
  </si>
  <si>
    <t>43,38%</t>
  </si>
  <si>
    <t>286,90</t>
  </si>
  <si>
    <t>38,24%</t>
  </si>
  <si>
    <t>391,20</t>
  </si>
  <si>
    <t>131,71</t>
  </si>
  <si>
    <t>349,68</t>
  </si>
  <si>
    <t>307,50</t>
  </si>
  <si>
    <t>263,70</t>
  </si>
  <si>
    <t>349,27</t>
  </si>
  <si>
    <t>345,95</t>
  </si>
  <si>
    <t>312,11</t>
  </si>
  <si>
    <t>46,91%</t>
  </si>
  <si>
    <t>283,16</t>
  </si>
  <si>
    <t>408,24</t>
  </si>
  <si>
    <t>133,87</t>
  </si>
  <si>
    <t>364,08</t>
  </si>
  <si>
    <t>455,16</t>
  </si>
  <si>
    <t>428,39</t>
  </si>
  <si>
    <t>152,31</t>
  </si>
  <si>
    <t>128,98</t>
  </si>
  <si>
    <t>344,21</t>
  </si>
  <si>
    <t>257,98</t>
  </si>
  <si>
    <t>61,07%</t>
  </si>
  <si>
    <t>342,00</t>
  </si>
  <si>
    <t>51,91%</t>
  </si>
  <si>
    <t>359,39</t>
  </si>
  <si>
    <t>112,68</t>
  </si>
  <si>
    <t>28,93%</t>
  </si>
  <si>
    <t>402,11</t>
  </si>
  <si>
    <t>47,11%</t>
  </si>
  <si>
    <t>382,14</t>
  </si>
  <si>
    <t>385,45</t>
  </si>
  <si>
    <t>65,80%</t>
  </si>
  <si>
    <t>344,80</t>
  </si>
  <si>
    <t>57,00%</t>
  </si>
  <si>
    <t>357,81</t>
  </si>
  <si>
    <t>171,07</t>
  </si>
  <si>
    <t>61,60%</t>
  </si>
  <si>
    <t>268,51</t>
  </si>
  <si>
    <t>310,29</t>
  </si>
  <si>
    <t>174,08</t>
  </si>
  <si>
    <t>46,27%</t>
  </si>
  <si>
    <t>343,66</t>
  </si>
  <si>
    <t>130,53</t>
  </si>
  <si>
    <t>376,38</t>
  </si>
  <si>
    <t>391,36</t>
  </si>
  <si>
    <t>245,53</t>
  </si>
  <si>
    <t>391,06</t>
  </si>
  <si>
    <t>60,90%</t>
  </si>
  <si>
    <t>430,60</t>
  </si>
  <si>
    <t>287,95</t>
  </si>
  <si>
    <t>65,24%</t>
  </si>
  <si>
    <t>385,87</t>
  </si>
  <si>
    <t>406,55</t>
  </si>
  <si>
    <t>138,00</t>
  </si>
  <si>
    <t>322,35</t>
  </si>
  <si>
    <t>37,68%</t>
  </si>
  <si>
    <t>327,69</t>
  </si>
  <si>
    <t>354,29</t>
  </si>
  <si>
    <t>27,54%</t>
  </si>
  <si>
    <t>450,53</t>
  </si>
  <si>
    <t>262,50</t>
  </si>
  <si>
    <t>365,33</t>
  </si>
  <si>
    <t>321,82</t>
  </si>
  <si>
    <t>140,39</t>
  </si>
  <si>
    <t>391,63</t>
  </si>
  <si>
    <t>210,00</t>
  </si>
  <si>
    <t>325,26</t>
  </si>
  <si>
    <t>322,67</t>
  </si>
  <si>
    <t>81,37</t>
  </si>
  <si>
    <t>373,61</t>
  </si>
  <si>
    <t>189,69</t>
  </si>
  <si>
    <t>325,12</t>
  </si>
  <si>
    <t>61,14%</t>
  </si>
  <si>
    <t>367,55</t>
  </si>
  <si>
    <t>91,41</t>
  </si>
  <si>
    <t>328,50</t>
  </si>
  <si>
    <t>59,11%</t>
  </si>
  <si>
    <t>339,64</t>
  </si>
  <si>
    <t>208,34</t>
  </si>
  <si>
    <t>30,05%</t>
  </si>
  <si>
    <t>349,43</t>
  </si>
  <si>
    <t>222,82</t>
  </si>
  <si>
    <t>84,80%</t>
  </si>
  <si>
    <t>374,70</t>
  </si>
  <si>
    <t>79,28%</t>
  </si>
  <si>
    <t>487,71</t>
  </si>
  <si>
    <t>371,33</t>
  </si>
  <si>
    <t>452,14</t>
  </si>
  <si>
    <t>71,17%</t>
  </si>
  <si>
    <t>153,90</t>
  </si>
  <si>
    <t>286,47</t>
  </si>
  <si>
    <t>58,87%</t>
  </si>
  <si>
    <t>339,74</t>
  </si>
  <si>
    <t>242,50</t>
  </si>
  <si>
    <t>280,26</t>
  </si>
  <si>
    <t>53,21%</t>
  </si>
  <si>
    <t>332,37</t>
  </si>
  <si>
    <t>270,39</t>
  </si>
  <si>
    <t>404,81</t>
  </si>
  <si>
    <t>391,85</t>
  </si>
  <si>
    <t>317,30</t>
  </si>
  <si>
    <t>303,54</t>
  </si>
  <si>
    <t>305,14</t>
  </si>
  <si>
    <t>143,83</t>
  </si>
  <si>
    <t>44,23%</t>
  </si>
  <si>
    <t>50,96%</t>
  </si>
  <si>
    <t>399,24</t>
  </si>
  <si>
    <t>395,55</t>
  </si>
  <si>
    <t>125,22</t>
  </si>
  <si>
    <t>401,74</t>
  </si>
  <si>
    <t>345,71</t>
  </si>
  <si>
    <t>265,45</t>
  </si>
  <si>
    <t>353,85</t>
  </si>
  <si>
    <t>46,51%</t>
  </si>
  <si>
    <t>357,89</t>
  </si>
  <si>
    <t>68,09</t>
  </si>
  <si>
    <t>328,89</t>
  </si>
  <si>
    <t>332,38</t>
  </si>
  <si>
    <t>444,83</t>
  </si>
  <si>
    <t>398,82</t>
  </si>
  <si>
    <t>326,77</t>
  </si>
  <si>
    <t>40,32%</t>
  </si>
  <si>
    <t>457,87</t>
  </si>
  <si>
    <t>466,67</t>
  </si>
  <si>
    <t>223,33</t>
  </si>
  <si>
    <t>404,65</t>
  </si>
  <si>
    <t>199,55</t>
  </si>
  <si>
    <t>363,55</t>
  </si>
  <si>
    <t>66,79%</t>
  </si>
  <si>
    <t>387,62</t>
  </si>
  <si>
    <t>127,13</t>
  </si>
  <si>
    <t>53,99%</t>
  </si>
  <si>
    <t>278,70</t>
  </si>
  <si>
    <t>29,77%</t>
  </si>
  <si>
    <t>374,37</t>
  </si>
  <si>
    <t>284,34</t>
  </si>
  <si>
    <t>34,88%</t>
  </si>
  <si>
    <t>31,16%</t>
  </si>
  <si>
    <t>231,38</t>
  </si>
  <si>
    <t>352,19</t>
  </si>
  <si>
    <t>68,24%</t>
  </si>
  <si>
    <t>291,28</t>
  </si>
  <si>
    <t>221,30</t>
  </si>
  <si>
    <t>196,19</t>
  </si>
  <si>
    <t>83,67%</t>
  </si>
  <si>
    <t>76,15</t>
  </si>
  <si>
    <t>335,38</t>
  </si>
  <si>
    <t>32,31%</t>
  </si>
  <si>
    <t>205,71</t>
  </si>
  <si>
    <t>22,61</t>
  </si>
  <si>
    <t>318,26</t>
  </si>
  <si>
    <t>332,80</t>
  </si>
  <si>
    <t>213,89</t>
  </si>
  <si>
    <t>49,23%</t>
  </si>
  <si>
    <t>372,56</t>
  </si>
  <si>
    <t>354,76</t>
  </si>
  <si>
    <t>36,58%</t>
  </si>
  <si>
    <t>379,15</t>
  </si>
  <si>
    <t>46,19%</t>
  </si>
  <si>
    <t>388,52</t>
  </si>
  <si>
    <t>409,56</t>
  </si>
  <si>
    <t>497,63</t>
  </si>
  <si>
    <t>83,09%</t>
  </si>
  <si>
    <t>463,72</t>
  </si>
  <si>
    <t>420,58</t>
  </si>
  <si>
    <t>517,55</t>
  </si>
  <si>
    <t>531,57</t>
  </si>
  <si>
    <t>202,38</t>
  </si>
  <si>
    <t>99,38%</t>
  </si>
  <si>
    <t>277,74</t>
  </si>
  <si>
    <t>234,87</t>
  </si>
  <si>
    <t>59,01%</t>
  </si>
  <si>
    <t>174,65</t>
  </si>
  <si>
    <t>94,53%</t>
  </si>
  <si>
    <t>237,78</t>
  </si>
  <si>
    <t>388,32</t>
  </si>
  <si>
    <t>320,52</t>
  </si>
  <si>
    <t>49,48%</t>
  </si>
  <si>
    <t>367,02</t>
  </si>
  <si>
    <t>419,18</t>
  </si>
  <si>
    <t>289,10</t>
  </si>
  <si>
    <t>425,67</t>
  </si>
  <si>
    <t>495,05</t>
  </si>
  <si>
    <t>407,83</t>
  </si>
  <si>
    <t>54,07%</t>
  </si>
  <si>
    <t>484,38</t>
  </si>
  <si>
    <t>498,68</t>
  </si>
  <si>
    <t>203,38</t>
  </si>
  <si>
    <t>326,11</t>
  </si>
  <si>
    <t>326,63</t>
  </si>
  <si>
    <t>186,73</t>
  </si>
  <si>
    <t>63,61%</t>
  </si>
  <si>
    <t>56,27%</t>
  </si>
  <si>
    <t>336,83</t>
  </si>
  <si>
    <t>53,23</t>
  </si>
  <si>
    <t>233,67</t>
  </si>
  <si>
    <t>225,53</t>
  </si>
  <si>
    <t>67,50</t>
  </si>
  <si>
    <t>193,02</t>
  </si>
  <si>
    <t>150,88</t>
  </si>
  <si>
    <t>58,10%</t>
  </si>
  <si>
    <t>282,03</t>
  </si>
  <si>
    <t>338,18</t>
  </si>
  <si>
    <t>306,15</t>
  </si>
  <si>
    <t>44,76%</t>
  </si>
  <si>
    <t>402,50</t>
  </si>
  <si>
    <t>152,96</t>
  </si>
  <si>
    <t>364,41</t>
  </si>
  <si>
    <t>345,20</t>
  </si>
  <si>
    <t>34,83%</t>
  </si>
  <si>
    <t>260,65</t>
  </si>
  <si>
    <t>315,44</t>
  </si>
  <si>
    <t>425,74</t>
  </si>
  <si>
    <t>437,61</t>
  </si>
  <si>
    <t>498,24</t>
  </si>
  <si>
    <t>413,75</t>
  </si>
  <si>
    <t>546,45</t>
  </si>
  <si>
    <t>540,39</t>
  </si>
  <si>
    <t>196,65</t>
  </si>
  <si>
    <t>292,69</t>
  </si>
  <si>
    <t>45,91%</t>
  </si>
  <si>
    <t>356,68</t>
  </si>
  <si>
    <t>170,28</t>
  </si>
  <si>
    <t>47,38%</t>
  </si>
  <si>
    <t>319,53</t>
  </si>
  <si>
    <t>328,67</t>
  </si>
  <si>
    <t>204,95</t>
  </si>
  <si>
    <t>378,90</t>
  </si>
  <si>
    <t>53,19%</t>
  </si>
  <si>
    <t>376,29</t>
  </si>
  <si>
    <t>253,70</t>
  </si>
  <si>
    <t>387,96</t>
  </si>
  <si>
    <t>39,51%</t>
  </si>
  <si>
    <t>371,85</t>
  </si>
  <si>
    <t>190,30</t>
  </si>
  <si>
    <t>357,49</t>
  </si>
  <si>
    <t>310,19</t>
  </si>
  <si>
    <t>254,53</t>
  </si>
  <si>
    <t>309,77</t>
  </si>
  <si>
    <t>228,32</t>
  </si>
  <si>
    <t>377,22</t>
  </si>
  <si>
    <t>448,18</t>
  </si>
  <si>
    <t>257,73</t>
  </si>
  <si>
    <t>426,36</t>
  </si>
  <si>
    <t>62,62%</t>
  </si>
  <si>
    <t>433,43</t>
  </si>
  <si>
    <t>102,27</t>
  </si>
  <si>
    <t>347,24</t>
  </si>
  <si>
    <t>436,73</t>
  </si>
  <si>
    <t>217,19</t>
  </si>
  <si>
    <t>38,82%</t>
  </si>
  <si>
    <t>371,51</t>
  </si>
  <si>
    <t>44,71%</t>
  </si>
  <si>
    <t>332,41</t>
  </si>
  <si>
    <t>71,20</t>
  </si>
  <si>
    <t>289,16</t>
  </si>
  <si>
    <t>60,36%</t>
  </si>
  <si>
    <t>291,87</t>
  </si>
  <si>
    <t>158,99</t>
  </si>
  <si>
    <t>58,11%</t>
  </si>
  <si>
    <t>265,55</t>
  </si>
  <si>
    <t>133,33</t>
  </si>
  <si>
    <t>333,33</t>
  </si>
  <si>
    <t>152,94</t>
  </si>
  <si>
    <t>40,00</t>
  </si>
  <si>
    <t>372,00</t>
  </si>
  <si>
    <t>93,42%</t>
  </si>
  <si>
    <t>205,46</t>
  </si>
  <si>
    <t>219,58</t>
  </si>
  <si>
    <t>272,76</t>
  </si>
  <si>
    <t>321,08</t>
  </si>
  <si>
    <t>47,22%</t>
  </si>
  <si>
    <t>277,39</t>
  </si>
  <si>
    <t>43,37%</t>
  </si>
  <si>
    <t>330,00</t>
  </si>
  <si>
    <t>389,56</t>
  </si>
  <si>
    <t>107,69</t>
  </si>
  <si>
    <t>278,67</t>
  </si>
  <si>
    <t>321,74</t>
  </si>
  <si>
    <t>56,14</t>
  </si>
  <si>
    <t>503,34</t>
  </si>
  <si>
    <t>24,62%</t>
  </si>
  <si>
    <t>397,50</t>
  </si>
  <si>
    <t>336,67</t>
  </si>
  <si>
    <t>168,07</t>
  </si>
  <si>
    <t>234,88</t>
  </si>
  <si>
    <t>390,13</t>
  </si>
  <si>
    <t>291,50</t>
  </si>
  <si>
    <t>36,41%</t>
  </si>
  <si>
    <t>374,68</t>
  </si>
  <si>
    <t>208,45</t>
  </si>
  <si>
    <t>358,79</t>
  </si>
  <si>
    <t>58,76%</t>
  </si>
  <si>
    <t>53,61%</t>
  </si>
  <si>
    <t>367,69</t>
  </si>
  <si>
    <t>390,19</t>
  </si>
  <si>
    <t>313,33</t>
  </si>
  <si>
    <t>342,86</t>
  </si>
  <si>
    <t>173,33</t>
  </si>
  <si>
    <t>337,14</t>
  </si>
  <si>
    <t>197,60</t>
  </si>
  <si>
    <t>69,61%</t>
  </si>
  <si>
    <t>347,83</t>
  </si>
  <si>
    <t>386,14</t>
  </si>
  <si>
    <t>307,63</t>
  </si>
  <si>
    <t>65,20%</t>
  </si>
  <si>
    <t>427,79</t>
  </si>
  <si>
    <t>153,84</t>
  </si>
  <si>
    <t>373,37</t>
  </si>
  <si>
    <t>395,13</t>
  </si>
  <si>
    <t>354,40</t>
  </si>
  <si>
    <t>371,82</t>
  </si>
  <si>
    <t>406,27</t>
  </si>
  <si>
    <t>278,03</t>
  </si>
  <si>
    <t>69,29%</t>
  </si>
  <si>
    <t>354,55</t>
  </si>
  <si>
    <t>452,45</t>
  </si>
  <si>
    <t>417,66</t>
  </si>
  <si>
    <t>67,13%</t>
  </si>
  <si>
    <t>484,17</t>
  </si>
  <si>
    <t>65,03%</t>
  </si>
  <si>
    <t>479,48</t>
  </si>
  <si>
    <t>222,92</t>
  </si>
  <si>
    <t>364,52</t>
  </si>
  <si>
    <t>297,33</t>
  </si>
  <si>
    <t>55,93%</t>
  </si>
  <si>
    <t>366,37</t>
  </si>
  <si>
    <t>427,17</t>
  </si>
  <si>
    <t>368,89</t>
  </si>
  <si>
    <t>210,77</t>
  </si>
  <si>
    <t>45,76%</t>
  </si>
  <si>
    <t>392,00</t>
  </si>
  <si>
    <t>331,76</t>
  </si>
  <si>
    <t>61,02%</t>
  </si>
  <si>
    <t>450,29</t>
  </si>
  <si>
    <t>192,58</t>
  </si>
  <si>
    <t>41,99%</t>
  </si>
  <si>
    <t>369,30</t>
  </si>
  <si>
    <t>222,91</t>
  </si>
  <si>
    <t>42,71%</t>
  </si>
  <si>
    <t>35,63%</t>
  </si>
  <si>
    <t>175,11</t>
  </si>
  <si>
    <t>277,17</t>
  </si>
  <si>
    <t>338,60</t>
  </si>
  <si>
    <t>254,69</t>
  </si>
  <si>
    <t>33,81%</t>
  </si>
  <si>
    <t>270,30</t>
  </si>
  <si>
    <t>163,64</t>
  </si>
  <si>
    <t>374,00</t>
  </si>
  <si>
    <t>57,45%</t>
  </si>
  <si>
    <t>335,73</t>
  </si>
  <si>
    <t>360,85</t>
  </si>
  <si>
    <t>385,25</t>
  </si>
  <si>
    <t>232,59</t>
  </si>
  <si>
    <t>57,36%</t>
  </si>
  <si>
    <t>351,82</t>
  </si>
  <si>
    <t>39,75%</t>
  </si>
  <si>
    <t>283,72</t>
  </si>
  <si>
    <t>380,45</t>
  </si>
  <si>
    <t>45,43%</t>
  </si>
  <si>
    <t>387,34</t>
  </si>
  <si>
    <t>166,26</t>
  </si>
  <si>
    <t>153,10</t>
  </si>
  <si>
    <t>86,97%</t>
  </si>
  <si>
    <t>150,76</t>
  </si>
  <si>
    <t>85,26%</t>
  </si>
  <si>
    <t>153,16</t>
  </si>
  <si>
    <t>137,33</t>
  </si>
  <si>
    <t>160,46</t>
  </si>
  <si>
    <t>56,69%</t>
  </si>
  <si>
    <t>351,54</t>
  </si>
  <si>
    <t>415,66</t>
  </si>
  <si>
    <t>362,11</t>
  </si>
  <si>
    <t>62,34%</t>
  </si>
  <si>
    <t>442,67</t>
  </si>
  <si>
    <t>50,09%</t>
  </si>
  <si>
    <t>443,94</t>
  </si>
  <si>
    <t>263,07</t>
  </si>
  <si>
    <t>60,14%</t>
  </si>
  <si>
    <t>299,50</t>
  </si>
  <si>
    <t>40,12%</t>
  </si>
  <si>
    <t>21,30%</t>
  </si>
  <si>
    <t>326,32</t>
  </si>
  <si>
    <t>40,90%</t>
  </si>
  <si>
    <t>421,07</t>
  </si>
  <si>
    <t>50,13%</t>
  </si>
  <si>
    <t>492,35</t>
  </si>
  <si>
    <t>337,84</t>
  </si>
  <si>
    <t>73,54%</t>
  </si>
  <si>
    <t>321,25</t>
  </si>
  <si>
    <t>43,26%</t>
  </si>
  <si>
    <t>466,47</t>
  </si>
  <si>
    <t>132,83</t>
  </si>
  <si>
    <t>353,92</t>
  </si>
  <si>
    <t>46,26%</t>
  </si>
  <si>
    <t>338,12</t>
  </si>
  <si>
    <t>93,74</t>
  </si>
  <si>
    <t>56,77%</t>
  </si>
  <si>
    <t>230,00</t>
  </si>
  <si>
    <t>37,20%</t>
  </si>
  <si>
    <t>255,11</t>
  </si>
  <si>
    <t>134,39</t>
  </si>
  <si>
    <t>38,65%</t>
  </si>
  <si>
    <t>255,74</t>
  </si>
  <si>
    <t>333,95</t>
  </si>
  <si>
    <t>81,01</t>
  </si>
  <si>
    <t>280,30</t>
  </si>
  <si>
    <t>54,41%</t>
  </si>
  <si>
    <t>156,71</t>
  </si>
  <si>
    <t>48,04%</t>
  </si>
  <si>
    <t>299,42</t>
  </si>
  <si>
    <t>346,08</t>
  </si>
  <si>
    <t>98,77%</t>
  </si>
  <si>
    <t>406,93</t>
  </si>
  <si>
    <t>386,67</t>
  </si>
  <si>
    <t>323,50</t>
  </si>
  <si>
    <t>88,30%</t>
  </si>
  <si>
    <t>388,42</t>
  </si>
  <si>
    <t>332,53</t>
  </si>
  <si>
    <t>150,25</t>
  </si>
  <si>
    <t>32,73%</t>
  </si>
  <si>
    <t>386,25</t>
  </si>
  <si>
    <t>260,87</t>
  </si>
  <si>
    <t>410,70</t>
  </si>
  <si>
    <t>431,31</t>
  </si>
  <si>
    <t>133,49</t>
  </si>
  <si>
    <t>62,07%</t>
  </si>
  <si>
    <t>375,97</t>
  </si>
  <si>
    <t>427,31</t>
  </si>
  <si>
    <t>108,61</t>
  </si>
  <si>
    <t>97,17%</t>
  </si>
  <si>
    <t>269,88</t>
  </si>
  <si>
    <t>67,42%</t>
  </si>
  <si>
    <t>390,56</t>
  </si>
  <si>
    <t>241,87</t>
  </si>
  <si>
    <t>57,51%</t>
  </si>
  <si>
    <t>371,06</t>
  </si>
  <si>
    <t>357,57</t>
  </si>
  <si>
    <t>198,14</t>
  </si>
  <si>
    <t>56,14%</t>
  </si>
  <si>
    <t>338,29</t>
  </si>
  <si>
    <t>261,00</t>
  </si>
  <si>
    <t>333,71</t>
  </si>
  <si>
    <t>134,11</t>
  </si>
  <si>
    <t>335,31</t>
  </si>
  <si>
    <t>43,41%</t>
  </si>
  <si>
    <t>391,59</t>
  </si>
  <si>
    <t>189,39</t>
  </si>
  <si>
    <t>39,31%</t>
  </si>
  <si>
    <t>383,96</t>
  </si>
  <si>
    <t>390,63</t>
  </si>
  <si>
    <t>80,00</t>
  </si>
  <si>
    <t>44,74%</t>
  </si>
  <si>
    <t>287,06</t>
  </si>
  <si>
    <t>12,05%</t>
  </si>
  <si>
    <t>207,78</t>
  </si>
  <si>
    <t>34,94%</t>
  </si>
  <si>
    <t>331,03</t>
  </si>
  <si>
    <t>112,38</t>
  </si>
  <si>
    <t>342,50</t>
  </si>
  <si>
    <t>443,64</t>
  </si>
  <si>
    <t>330,17</t>
  </si>
  <si>
    <t>255,55</t>
  </si>
  <si>
    <t>433,00</t>
  </si>
  <si>
    <t>505,63</t>
  </si>
  <si>
    <t>361,01</t>
  </si>
  <si>
    <t>478,03</t>
  </si>
  <si>
    <t>464,43</t>
  </si>
  <si>
    <t>209,52</t>
  </si>
  <si>
    <t>96,01%</t>
  </si>
  <si>
    <t>296,70</t>
  </si>
  <si>
    <t>61,95%</t>
  </si>
  <si>
    <t>408,85</t>
  </si>
  <si>
    <t>297,68</t>
  </si>
  <si>
    <t>54,83%</t>
  </si>
  <si>
    <t>385,92</t>
  </si>
  <si>
    <t>415,99</t>
  </si>
  <si>
    <t>119,58</t>
  </si>
  <si>
    <t>170,00</t>
  </si>
  <si>
    <t>103,90</t>
  </si>
  <si>
    <t>63,03%</t>
  </si>
  <si>
    <t>150,62</t>
  </si>
  <si>
    <t>128,37</t>
  </si>
  <si>
    <t>142,22</t>
  </si>
  <si>
    <t>50,58%</t>
  </si>
  <si>
    <t>285,67</t>
  </si>
  <si>
    <t>35,73%</t>
  </si>
  <si>
    <t>346,73</t>
  </si>
  <si>
    <t>178,48</t>
  </si>
  <si>
    <t>45,87%</t>
  </si>
  <si>
    <t>311,73</t>
  </si>
  <si>
    <t>346,14</t>
  </si>
  <si>
    <t>52,18</t>
  </si>
  <si>
    <t>51,19%</t>
  </si>
  <si>
    <t>275,72</t>
  </si>
  <si>
    <t>309,20</t>
  </si>
  <si>
    <t>174,37</t>
  </si>
  <si>
    <t>44,06%</t>
  </si>
  <si>
    <t>279,27</t>
  </si>
  <si>
    <t>34,30%</t>
  </si>
  <si>
    <t>295,43</t>
  </si>
  <si>
    <t>231,11</t>
  </si>
  <si>
    <t>37,84%</t>
  </si>
  <si>
    <t>350,59</t>
  </si>
  <si>
    <t>416,92</t>
  </si>
  <si>
    <t>475,38</t>
  </si>
  <si>
    <t>276,73</t>
  </si>
  <si>
    <t>64,86%</t>
  </si>
  <si>
    <t>429,58</t>
  </si>
  <si>
    <t>70,09%</t>
  </si>
  <si>
    <t>431,72</t>
  </si>
  <si>
    <t>316,25</t>
  </si>
  <si>
    <t>58,63%</t>
  </si>
  <si>
    <t>448,08</t>
  </si>
  <si>
    <t>270,51</t>
  </si>
  <si>
    <t>434,00</t>
  </si>
  <si>
    <t>45,24%</t>
  </si>
  <si>
    <t>395,79</t>
  </si>
  <si>
    <t>379,13</t>
  </si>
  <si>
    <t>464,24</t>
  </si>
  <si>
    <t>137,14</t>
  </si>
  <si>
    <t>50,50%</t>
  </si>
  <si>
    <t>318,20</t>
  </si>
  <si>
    <t>396,81</t>
  </si>
  <si>
    <t>207,90</t>
  </si>
  <si>
    <t>31,91%</t>
  </si>
  <si>
    <t>329,64</t>
  </si>
  <si>
    <t>160,62</t>
  </si>
  <si>
    <t>312,80</t>
  </si>
  <si>
    <t>346,36</t>
  </si>
  <si>
    <t>72,20</t>
  </si>
  <si>
    <t>445,93</t>
  </si>
  <si>
    <t>361,08</t>
  </si>
  <si>
    <t>60,00</t>
  </si>
  <si>
    <t>114,29</t>
  </si>
  <si>
    <t>238,10</t>
  </si>
  <si>
    <t>257,14</t>
  </si>
  <si>
    <t>357,54</t>
  </si>
  <si>
    <t>50,43%</t>
  </si>
  <si>
    <t>331,72</t>
  </si>
  <si>
    <t>184,67</t>
  </si>
  <si>
    <t>52,14%</t>
  </si>
  <si>
    <t>352,79</t>
  </si>
  <si>
    <t>377,50</t>
  </si>
  <si>
    <t>343,77</t>
  </si>
  <si>
    <t>415,41</t>
  </si>
  <si>
    <t>327,87</t>
  </si>
  <si>
    <t>358,81</t>
  </si>
  <si>
    <t>409,44</t>
  </si>
  <si>
    <t>269,34</t>
  </si>
  <si>
    <t>60,16%</t>
  </si>
  <si>
    <t>374,48</t>
  </si>
  <si>
    <t>67,80%</t>
  </si>
  <si>
    <t>447,33</t>
  </si>
  <si>
    <t>301,83</t>
  </si>
  <si>
    <t>49,91%</t>
  </si>
  <si>
    <t>396,65</t>
  </si>
  <si>
    <t>414,63</t>
  </si>
  <si>
    <t>149,76</t>
  </si>
  <si>
    <t>338,67</t>
  </si>
  <si>
    <t>437,14</t>
  </si>
  <si>
    <t>308,06</t>
  </si>
  <si>
    <t>406,23</t>
  </si>
  <si>
    <t>459,26</t>
  </si>
  <si>
    <t>435,19</t>
  </si>
  <si>
    <t>461,77</t>
  </si>
  <si>
    <t>422,43</t>
  </si>
  <si>
    <t>419,23</t>
  </si>
  <si>
    <t>86,94%</t>
  </si>
  <si>
    <t>411,03</t>
  </si>
  <si>
    <t>CE ESTADO DE ISRAEL</t>
  </si>
  <si>
    <t>9,88%</t>
  </si>
  <si>
    <t>540,00</t>
  </si>
  <si>
    <t>309,47</t>
  </si>
  <si>
    <t>148,39</t>
  </si>
  <si>
    <t>62,93%</t>
  </si>
  <si>
    <t>277,21</t>
  </si>
  <si>
    <t>59,97%</t>
  </si>
  <si>
    <t>418,78</t>
  </si>
  <si>
    <t>242,29</t>
  </si>
  <si>
    <t>60,79%</t>
  </si>
  <si>
    <t>377,57</t>
  </si>
  <si>
    <t>177,65</t>
  </si>
  <si>
    <t>375,42</t>
  </si>
  <si>
    <t>420,95</t>
  </si>
  <si>
    <t>213,46</t>
  </si>
  <si>
    <t>42,34%</t>
  </si>
  <si>
    <t>377,76</t>
  </si>
  <si>
    <t>28,83%</t>
  </si>
  <si>
    <t>373,28</t>
  </si>
  <si>
    <t>94,96</t>
  </si>
  <si>
    <t>190,95</t>
  </si>
  <si>
    <t>31,47%</t>
  </si>
  <si>
    <t>280,51</t>
  </si>
  <si>
    <t>155,10</t>
  </si>
  <si>
    <t>38,25%</t>
  </si>
  <si>
    <t>270,73</t>
  </si>
  <si>
    <t>33,86%</t>
  </si>
  <si>
    <t>333,01</t>
  </si>
  <si>
    <t>123,53</t>
  </si>
  <si>
    <t>54,72%</t>
  </si>
  <si>
    <t>241,43</t>
  </si>
  <si>
    <t>270,97</t>
  </si>
  <si>
    <t>41,51%</t>
  </si>
  <si>
    <t>401,90</t>
  </si>
  <si>
    <t>236,10</t>
  </si>
  <si>
    <t>414,71</t>
  </si>
  <si>
    <t>498,04</t>
  </si>
  <si>
    <t>497,59</t>
  </si>
  <si>
    <t>392,22</t>
  </si>
  <si>
    <t>195,83</t>
  </si>
  <si>
    <t>353,21</t>
  </si>
  <si>
    <t>62,76%</t>
  </si>
  <si>
    <t>388,06</t>
  </si>
  <si>
    <t>304,76</t>
  </si>
  <si>
    <t>361,86</t>
  </si>
  <si>
    <t>381,35</t>
  </si>
  <si>
    <t>106,98</t>
  </si>
  <si>
    <t>34,73%</t>
  </si>
  <si>
    <t>260,35</t>
  </si>
  <si>
    <t>38,32%</t>
  </si>
  <si>
    <t>383,75</t>
  </si>
  <si>
    <t>41,92%</t>
  </si>
  <si>
    <t>42,51%</t>
  </si>
  <si>
    <t>411,43</t>
  </si>
  <si>
    <t>246,44</t>
  </si>
  <si>
    <t>99,29%</t>
  </si>
  <si>
    <t>380,77</t>
  </si>
  <si>
    <t>83,45%</t>
  </si>
  <si>
    <t>466,86</t>
  </si>
  <si>
    <t>441,66</t>
  </si>
  <si>
    <t>492,15</t>
  </si>
  <si>
    <t>445,66</t>
  </si>
  <si>
    <t>67,10%</t>
  </si>
  <si>
    <t>356,29</t>
  </si>
  <si>
    <t>399,12</t>
  </si>
  <si>
    <t>334,53</t>
  </si>
  <si>
    <t>390,24</t>
  </si>
  <si>
    <t>0,38%</t>
  </si>
  <si>
    <t>220,42</t>
  </si>
  <si>
    <t>359,26</t>
  </si>
  <si>
    <t>64,04%</t>
  </si>
  <si>
    <t>397,67</t>
  </si>
  <si>
    <t>253,39</t>
  </si>
  <si>
    <t>60,57%</t>
  </si>
  <si>
    <t>407,50</t>
  </si>
  <si>
    <t>406,48</t>
  </si>
  <si>
    <t>304,47</t>
  </si>
  <si>
    <t>519,52</t>
  </si>
  <si>
    <t>517,45</t>
  </si>
  <si>
    <t>391,91</t>
  </si>
  <si>
    <t>75,38%</t>
  </si>
  <si>
    <t>71,54%</t>
  </si>
  <si>
    <t>541,30</t>
  </si>
  <si>
    <t>224,06</t>
  </si>
  <si>
    <t>34,66%</t>
  </si>
  <si>
    <t>369,56</t>
  </si>
  <si>
    <t>32,06%</t>
  </si>
  <si>
    <t>340,15</t>
  </si>
  <si>
    <t>151,38</t>
  </si>
  <si>
    <t>96,39%</t>
  </si>
  <si>
    <t>266,55</t>
  </si>
  <si>
    <t>63,78%</t>
  </si>
  <si>
    <t>392,43</t>
  </si>
  <si>
    <t>209,71</t>
  </si>
  <si>
    <t>56,08%</t>
  </si>
  <si>
    <t>368,14</t>
  </si>
  <si>
    <t>393,38</t>
  </si>
  <si>
    <t>153,97</t>
  </si>
  <si>
    <t>207,01</t>
  </si>
  <si>
    <t>284,53</t>
  </si>
  <si>
    <t>142,02</t>
  </si>
  <si>
    <t>30,75%</t>
  </si>
  <si>
    <t>259,81</t>
  </si>
  <si>
    <t>189,45</t>
  </si>
  <si>
    <t>97,99%</t>
  </si>
  <si>
    <t>212,44</t>
  </si>
  <si>
    <t>368,71</t>
  </si>
  <si>
    <t>228,18</t>
  </si>
  <si>
    <t>66,48%</t>
  </si>
  <si>
    <t>380,04</t>
  </si>
  <si>
    <t>28,80%</t>
  </si>
  <si>
    <t>305,10</t>
  </si>
  <si>
    <t>84,71</t>
  </si>
  <si>
    <t>306,00</t>
  </si>
  <si>
    <t>345,14</t>
  </si>
  <si>
    <t>360,60</t>
  </si>
  <si>
    <t>193,33</t>
  </si>
  <si>
    <t>65,96%</t>
  </si>
  <si>
    <t>297,43</t>
  </si>
  <si>
    <t>56,63%</t>
  </si>
  <si>
    <t>354,65</t>
  </si>
  <si>
    <t>216,22</t>
  </si>
  <si>
    <t>37,65%</t>
  </si>
  <si>
    <t>333,76</t>
  </si>
  <si>
    <t>99,59</t>
  </si>
  <si>
    <t>323,00</t>
  </si>
  <si>
    <t>42,33%</t>
  </si>
  <si>
    <t>385,17</t>
  </si>
  <si>
    <t>284,06</t>
  </si>
  <si>
    <t>31,75%</t>
  </si>
  <si>
    <t>34,39%</t>
  </si>
  <si>
    <t>400,23</t>
  </si>
  <si>
    <t>85,33</t>
  </si>
  <si>
    <t>33,15%</t>
  </si>
  <si>
    <t>273,68</t>
  </si>
  <si>
    <t>35,79%</t>
  </si>
  <si>
    <t>68,31</t>
  </si>
  <si>
    <t>260,69</t>
  </si>
  <si>
    <t>42,63%</t>
  </si>
  <si>
    <t>281,50</t>
  </si>
  <si>
    <t>265,84</t>
  </si>
  <si>
    <t>92,69%</t>
  </si>
  <si>
    <t>270,81</t>
  </si>
  <si>
    <t>63,22%</t>
  </si>
  <si>
    <t>371,80</t>
  </si>
  <si>
    <t>299,16</t>
  </si>
  <si>
    <t>331,98</t>
  </si>
  <si>
    <t>42,56%</t>
  </si>
  <si>
    <t>265,60</t>
  </si>
  <si>
    <t>203,64</t>
  </si>
  <si>
    <t>452,50</t>
  </si>
  <si>
    <t>600,00</t>
  </si>
  <si>
    <t>307,80</t>
  </si>
  <si>
    <t>368,55</t>
  </si>
  <si>
    <t>419,29</t>
  </si>
  <si>
    <t>362,26</t>
  </si>
  <si>
    <t>444,07</t>
  </si>
  <si>
    <t>70,76%</t>
  </si>
  <si>
    <t>476,33</t>
  </si>
  <si>
    <t>309,57</t>
  </si>
  <si>
    <t>185,00</t>
  </si>
  <si>
    <t>251,67</t>
  </si>
  <si>
    <t>318,62</t>
  </si>
  <si>
    <t>35,33</t>
  </si>
  <si>
    <t>56,92%</t>
  </si>
  <si>
    <t>233,71</t>
  </si>
  <si>
    <t>257,69</t>
  </si>
  <si>
    <t>109,80</t>
  </si>
  <si>
    <t>41,54%</t>
  </si>
  <si>
    <t>231,85</t>
  </si>
  <si>
    <t>276,30</t>
  </si>
  <si>
    <t>71,11</t>
  </si>
  <si>
    <t>27,24%</t>
  </si>
  <si>
    <t>69,38</t>
  </si>
  <si>
    <t>421,69</t>
  </si>
  <si>
    <t>304,40</t>
  </si>
  <si>
    <t>471,26</t>
  </si>
  <si>
    <t>364,78</t>
  </si>
  <si>
    <t>445,03</t>
  </si>
  <si>
    <t>158,64</t>
  </si>
  <si>
    <t>184,06</t>
  </si>
  <si>
    <t>38,51%</t>
  </si>
  <si>
    <t>315,71</t>
  </si>
  <si>
    <t>267,27</t>
  </si>
  <si>
    <t>45,27%</t>
  </si>
  <si>
    <t>330,96</t>
  </si>
  <si>
    <t>226,95</t>
  </si>
  <si>
    <t>451,59</t>
  </si>
  <si>
    <t>64,31%</t>
  </si>
  <si>
    <t>480,75</t>
  </si>
  <si>
    <t>70,50%</t>
  </si>
  <si>
    <t>502,32</t>
  </si>
  <si>
    <t>101,25</t>
  </si>
  <si>
    <t>41,53%</t>
  </si>
  <si>
    <t>356,67</t>
  </si>
  <si>
    <t>36,15</t>
  </si>
  <si>
    <t>53,39%</t>
  </si>
  <si>
    <t>359,35</t>
  </si>
  <si>
    <t>40,68%</t>
  </si>
  <si>
    <t>359,13</t>
  </si>
  <si>
    <t>175,86</t>
  </si>
  <si>
    <t>429,13</t>
  </si>
  <si>
    <t>330,79</t>
  </si>
  <si>
    <t>403,75</t>
  </si>
  <si>
    <t>20,00</t>
  </si>
  <si>
    <t>434,67</t>
  </si>
  <si>
    <t>318,10</t>
  </si>
  <si>
    <t>26,40%</t>
  </si>
  <si>
    <t>366,06</t>
  </si>
  <si>
    <t>349,96</t>
  </si>
  <si>
    <t>84,12%</t>
  </si>
  <si>
    <t>307,36</t>
  </si>
  <si>
    <t>65,70%</t>
  </si>
  <si>
    <t>452,51</t>
  </si>
  <si>
    <t>448,70</t>
  </si>
  <si>
    <t>59,93%</t>
  </si>
  <si>
    <t>409,40</t>
  </si>
  <si>
    <t>120,75</t>
  </si>
  <si>
    <t>67,54%</t>
  </si>
  <si>
    <t>323,36</t>
  </si>
  <si>
    <t>362,10</t>
  </si>
  <si>
    <t>196,41</t>
  </si>
  <si>
    <t>58,19%</t>
  </si>
  <si>
    <t>323,08</t>
  </si>
  <si>
    <t>61,99%</t>
  </si>
  <si>
    <t>338,64</t>
  </si>
  <si>
    <t>224,83</t>
  </si>
  <si>
    <t>340,84</t>
  </si>
  <si>
    <t>332,46</t>
  </si>
  <si>
    <t>400,53</t>
  </si>
  <si>
    <t>386,21</t>
  </si>
  <si>
    <t>135,47</t>
  </si>
  <si>
    <t>321,88</t>
  </si>
  <si>
    <t>284,73</t>
  </si>
  <si>
    <t>349,87</t>
  </si>
  <si>
    <t>353,88</t>
  </si>
  <si>
    <t>116,79</t>
  </si>
  <si>
    <t>50,32%</t>
  </si>
  <si>
    <t>314,74</t>
  </si>
  <si>
    <t>37,58%</t>
  </si>
  <si>
    <t>374,24</t>
  </si>
  <si>
    <t>312,35</t>
  </si>
  <si>
    <t>394,87</t>
  </si>
  <si>
    <t>150,00</t>
  </si>
  <si>
    <t>43,57%</t>
  </si>
  <si>
    <t>40,71%</t>
  </si>
  <si>
    <t>382,55</t>
  </si>
  <si>
    <t>42,14%</t>
  </si>
  <si>
    <t>206,70</t>
  </si>
  <si>
    <t>332,65</t>
  </si>
  <si>
    <t>308,62</t>
  </si>
  <si>
    <t>312,01</t>
  </si>
  <si>
    <t>73,71%</t>
  </si>
  <si>
    <t>48,45%</t>
  </si>
  <si>
    <t>174,47</t>
  </si>
  <si>
    <t>90,81%</t>
  </si>
  <si>
    <t>272,60</t>
  </si>
  <si>
    <t>67,78%</t>
  </si>
  <si>
    <t>237,80</t>
  </si>
  <si>
    <t>76,58%</t>
  </si>
  <si>
    <t>270,23</t>
  </si>
  <si>
    <t>233,86</t>
  </si>
  <si>
    <t>82,48%</t>
  </si>
  <si>
    <t>267,70</t>
  </si>
  <si>
    <t>247,70</t>
  </si>
  <si>
    <t>63,50%</t>
  </si>
  <si>
    <t>364,13</t>
  </si>
  <si>
    <t>49,64%</t>
  </si>
  <si>
    <t>246,46</t>
  </si>
  <si>
    <t>376,85</t>
  </si>
  <si>
    <t>391,24</t>
  </si>
  <si>
    <t>298,44</t>
  </si>
  <si>
    <t>390,29</t>
  </si>
  <si>
    <t>365,47</t>
  </si>
  <si>
    <t>233,50</t>
  </si>
  <si>
    <t>97,29%</t>
  </si>
  <si>
    <t>277,63</t>
  </si>
  <si>
    <t>382,21</t>
  </si>
  <si>
    <t>308,86</t>
  </si>
  <si>
    <t>410,53</t>
  </si>
  <si>
    <t>72,85%</t>
  </si>
  <si>
    <t>417,38</t>
  </si>
  <si>
    <t>72,17</t>
  </si>
  <si>
    <t>278,46</t>
  </si>
  <si>
    <t>43,10%</t>
  </si>
  <si>
    <t>291,20</t>
  </si>
  <si>
    <t>430,77</t>
  </si>
  <si>
    <t>44,83%</t>
  </si>
  <si>
    <t>366,40</t>
  </si>
  <si>
    <t>155,33</t>
  </si>
  <si>
    <t>45,60%</t>
  </si>
  <si>
    <t>289,29</t>
  </si>
  <si>
    <t>37,60%</t>
  </si>
  <si>
    <t>326,81</t>
  </si>
  <si>
    <t>264,52</t>
  </si>
  <si>
    <t>316,44</t>
  </si>
  <si>
    <t>47,20%</t>
  </si>
  <si>
    <t>300,34</t>
  </si>
  <si>
    <t>38,30%</t>
  </si>
  <si>
    <t>15,08%</t>
  </si>
  <si>
    <t>187,37</t>
  </si>
  <si>
    <t>105,00</t>
  </si>
  <si>
    <t>305,60</t>
  </si>
  <si>
    <t>99,26</t>
  </si>
  <si>
    <t>167,58</t>
  </si>
  <si>
    <t>303,86</t>
  </si>
  <si>
    <t>329,95</t>
  </si>
  <si>
    <t>300,24</t>
  </si>
  <si>
    <t>341,69</t>
  </si>
  <si>
    <t>37,64%</t>
  </si>
  <si>
    <t>351,32</t>
  </si>
  <si>
    <t>53,33</t>
  </si>
  <si>
    <t>402,32</t>
  </si>
  <si>
    <t>289,82</t>
  </si>
  <si>
    <t>142,61</t>
  </si>
  <si>
    <t>37,16%</t>
  </si>
  <si>
    <t>292,59</t>
  </si>
  <si>
    <t>43,24%</t>
  </si>
  <si>
    <t>380,83</t>
  </si>
  <si>
    <t>387,33</t>
  </si>
  <si>
    <t>48,43%</t>
  </si>
  <si>
    <t>448,52</t>
  </si>
  <si>
    <t>389,20</t>
  </si>
  <si>
    <t>46,85%</t>
  </si>
  <si>
    <t>452,77</t>
  </si>
  <si>
    <t>44,49%</t>
  </si>
  <si>
    <t>433,87</t>
  </si>
  <si>
    <t>200,45</t>
  </si>
  <si>
    <t>50,25%</t>
  </si>
  <si>
    <t>351,97</t>
  </si>
  <si>
    <t>45,48%</t>
  </si>
  <si>
    <t>399,03</t>
  </si>
  <si>
    <t>279,13</t>
  </si>
  <si>
    <t>33,70%</t>
  </si>
  <si>
    <t>362,51</t>
  </si>
  <si>
    <t>41,74%</t>
  </si>
  <si>
    <t>400,65</t>
  </si>
  <si>
    <t>22,62</t>
  </si>
  <si>
    <t>43,30%</t>
  </si>
  <si>
    <t>260,34</t>
  </si>
  <si>
    <t>359,89</t>
  </si>
  <si>
    <t>305,95</t>
  </si>
  <si>
    <t>431,59</t>
  </si>
  <si>
    <t>99,12%</t>
  </si>
  <si>
    <t>412,48</t>
  </si>
  <si>
    <t>465,50</t>
  </si>
  <si>
    <t>374,90</t>
  </si>
  <si>
    <t>99,33%</t>
  </si>
  <si>
    <t>332,84</t>
  </si>
  <si>
    <t>244,24</t>
  </si>
  <si>
    <t>412,43</t>
  </si>
  <si>
    <t>44,37%</t>
  </si>
  <si>
    <t>442,62</t>
  </si>
  <si>
    <t>375,52</t>
  </si>
  <si>
    <t>41,72%</t>
  </si>
  <si>
    <t>399,37</t>
  </si>
  <si>
    <t>153,36</t>
  </si>
  <si>
    <t>96,79%</t>
  </si>
  <si>
    <t>212,76</t>
  </si>
  <si>
    <t>417,90</t>
  </si>
  <si>
    <t>240,22</t>
  </si>
  <si>
    <t>43,67%</t>
  </si>
  <si>
    <t>443,45</t>
  </si>
  <si>
    <t>429,60</t>
  </si>
  <si>
    <t>320,25</t>
  </si>
  <si>
    <t>406,72</t>
  </si>
  <si>
    <t>466,41</t>
  </si>
  <si>
    <t>351,45</t>
  </si>
  <si>
    <t>57,29%</t>
  </si>
  <si>
    <t>414,91</t>
  </si>
  <si>
    <t>49,83%</t>
  </si>
  <si>
    <t>427,21</t>
  </si>
  <si>
    <t>361,05</t>
  </si>
  <si>
    <t>50,54%</t>
  </si>
  <si>
    <t>400,85</t>
  </si>
  <si>
    <t>278,26</t>
  </si>
  <si>
    <t>37,18%</t>
  </si>
  <si>
    <t>1,26%</t>
  </si>
  <si>
    <t>331,43</t>
  </si>
  <si>
    <t>124,97</t>
  </si>
  <si>
    <t>50,07%</t>
  </si>
  <si>
    <t>281,27</t>
  </si>
  <si>
    <t>321,31</t>
  </si>
  <si>
    <t>270,96</t>
  </si>
  <si>
    <t>342,77</t>
  </si>
  <si>
    <t>39,10%</t>
  </si>
  <si>
    <t>359,47</t>
  </si>
  <si>
    <t>293,90</t>
  </si>
  <si>
    <t>62,05%</t>
  </si>
  <si>
    <t>365,52</t>
  </si>
  <si>
    <t>320,19</t>
  </si>
  <si>
    <t>48,50%</t>
  </si>
  <si>
    <t>421,16</t>
  </si>
  <si>
    <t>33,52%</t>
  </si>
  <si>
    <t>402,91</t>
  </si>
  <si>
    <t>95,96</t>
  </si>
  <si>
    <t>45,30%</t>
  </si>
  <si>
    <t>277,92</t>
  </si>
  <si>
    <t>333,54</t>
  </si>
  <si>
    <t>211,95</t>
  </si>
  <si>
    <t>46,01%</t>
  </si>
  <si>
    <t>293,54</t>
  </si>
  <si>
    <t>45,79%</t>
  </si>
  <si>
    <t>350,55</t>
  </si>
  <si>
    <t>247,60</t>
  </si>
  <si>
    <t>68,31%</t>
  </si>
  <si>
    <t>331,47</t>
  </si>
  <si>
    <t>84,22%</t>
  </si>
  <si>
    <t>283,66</t>
  </si>
  <si>
    <t>191,41</t>
  </si>
  <si>
    <t>393,40</t>
  </si>
  <si>
    <t>386,68</t>
  </si>
  <si>
    <t>213,60</t>
  </si>
  <si>
    <t>61,81%</t>
  </si>
  <si>
    <t>336,20</t>
  </si>
  <si>
    <t>54,12%</t>
  </si>
  <si>
    <t>394,92</t>
  </si>
  <si>
    <t>302,68</t>
  </si>
  <si>
    <t>35,31%</t>
  </si>
  <si>
    <t>50,12%</t>
  </si>
  <si>
    <t>347,39</t>
  </si>
  <si>
    <t>387,38</t>
  </si>
  <si>
    <t>230,20</t>
  </si>
  <si>
    <t>39,38%</t>
  </si>
  <si>
    <t>332,22</t>
  </si>
  <si>
    <t>39,30%</t>
  </si>
  <si>
    <t>156,18</t>
  </si>
  <si>
    <t>315,50</t>
  </si>
  <si>
    <t>44,61%</t>
  </si>
  <si>
    <t>354,67</t>
  </si>
  <si>
    <t>306,60</t>
  </si>
  <si>
    <t>363,89</t>
  </si>
  <si>
    <t>42,22%</t>
  </si>
  <si>
    <t>394,86</t>
  </si>
  <si>
    <t>260,44</t>
  </si>
  <si>
    <t>371,23</t>
  </si>
  <si>
    <t>55,39%</t>
  </si>
  <si>
    <t>412,05</t>
  </si>
  <si>
    <t>49,77%</t>
  </si>
  <si>
    <t>414,24</t>
  </si>
  <si>
    <t>33,84%</t>
  </si>
  <si>
    <t>97,88</t>
  </si>
  <si>
    <t>286,67</t>
  </si>
  <si>
    <t>30,59%</t>
  </si>
  <si>
    <t>365,48</t>
  </si>
  <si>
    <t>426,53</t>
  </si>
  <si>
    <t>76,61%</t>
  </si>
  <si>
    <t>434,60</t>
  </si>
  <si>
    <t>306,09</t>
  </si>
  <si>
    <t>61,47%</t>
  </si>
  <si>
    <t>390,53</t>
  </si>
  <si>
    <t>46,33%</t>
  </si>
  <si>
    <t>432,87</t>
  </si>
  <si>
    <t>157,76</t>
  </si>
  <si>
    <t>329,63</t>
  </si>
  <si>
    <t>40,99%</t>
  </si>
  <si>
    <t>346,82</t>
  </si>
  <si>
    <t>231,64</t>
  </si>
  <si>
    <t>36,72%</t>
  </si>
  <si>
    <t>353,63</t>
  </si>
  <si>
    <t>32,79%</t>
  </si>
  <si>
    <t>239,48</t>
  </si>
  <si>
    <t>363,22</t>
  </si>
  <si>
    <t>51,27%</t>
  </si>
  <si>
    <t>411,93</t>
  </si>
  <si>
    <t>359,08</t>
  </si>
  <si>
    <t>41,14%</t>
  </si>
  <si>
    <t>439,58</t>
  </si>
  <si>
    <t>45,36%</t>
  </si>
  <si>
    <t>308,90</t>
  </si>
  <si>
    <t>54,76%</t>
  </si>
  <si>
    <t>398,58</t>
  </si>
  <si>
    <t>67,53%</t>
  </si>
  <si>
    <t>461,56</t>
  </si>
  <si>
    <t>274,41</t>
  </si>
  <si>
    <t>410,88</t>
  </si>
  <si>
    <t>387,43</t>
  </si>
  <si>
    <t>243,51</t>
  </si>
  <si>
    <t>46,79%</t>
  </si>
  <si>
    <t>422,39</t>
  </si>
  <si>
    <t>246,58</t>
  </si>
  <si>
    <t>43,85%</t>
  </si>
  <si>
    <t>38,33%</t>
  </si>
  <si>
    <t>214,03</t>
  </si>
  <si>
    <t>59,45%</t>
  </si>
  <si>
    <t>335,58</t>
  </si>
  <si>
    <t>55,85%</t>
  </si>
  <si>
    <t>338,73</t>
  </si>
  <si>
    <t>226,83</t>
  </si>
  <si>
    <t>333,77</t>
  </si>
  <si>
    <t>57,13%</t>
  </si>
  <si>
    <t>366,30</t>
  </si>
  <si>
    <t>207,75</t>
  </si>
  <si>
    <t>46,81%</t>
  </si>
  <si>
    <t>351,29</t>
  </si>
  <si>
    <t>398,47</t>
  </si>
  <si>
    <t>261,40</t>
  </si>
  <si>
    <t>357,31</t>
  </si>
  <si>
    <t>364,18</t>
  </si>
  <si>
    <t>164,55</t>
  </si>
  <si>
    <t>395,77</t>
  </si>
  <si>
    <t>43,02%</t>
  </si>
  <si>
    <t>381,87</t>
  </si>
  <si>
    <t>331,66</t>
  </si>
  <si>
    <t>400,52</t>
  </si>
  <si>
    <t>394,78</t>
  </si>
  <si>
    <t>148,94</t>
  </si>
  <si>
    <t>59,92%</t>
  </si>
  <si>
    <t>395,03</t>
  </si>
  <si>
    <t>244,95</t>
  </si>
  <si>
    <t>368,47</t>
  </si>
  <si>
    <t>202,05</t>
  </si>
  <si>
    <t>60,92%</t>
  </si>
  <si>
    <t>297,34</t>
  </si>
  <si>
    <t>381,25</t>
  </si>
  <si>
    <t>222,95</t>
  </si>
  <si>
    <t>340,11</t>
  </si>
  <si>
    <t>30,19%</t>
  </si>
  <si>
    <t>326,15</t>
  </si>
  <si>
    <t>214,24</t>
  </si>
  <si>
    <t>366,71</t>
  </si>
  <si>
    <t>395,47</t>
  </si>
  <si>
    <t>188,29</t>
  </si>
  <si>
    <t>62,75%</t>
  </si>
  <si>
    <t>393,55</t>
  </si>
  <si>
    <t>174,19</t>
  </si>
  <si>
    <t>347,37</t>
  </si>
  <si>
    <t>415,98</t>
  </si>
  <si>
    <t>298,48</t>
  </si>
  <si>
    <t>383,62</t>
  </si>
  <si>
    <t>348,44</t>
  </si>
  <si>
    <t>77,90%</t>
  </si>
  <si>
    <t>468,80</t>
  </si>
  <si>
    <t>506,95</t>
  </si>
  <si>
    <t>509,62</t>
  </si>
  <si>
    <t>71,12%</t>
  </si>
  <si>
    <t>494,93</t>
  </si>
  <si>
    <t>269,69</t>
  </si>
  <si>
    <t>27,97%</t>
  </si>
  <si>
    <t>429,09</t>
  </si>
  <si>
    <t>459,74</t>
  </si>
  <si>
    <t>415,29</t>
  </si>
  <si>
    <t>407,47</t>
  </si>
  <si>
    <t>453,16</t>
  </si>
  <si>
    <t>294,15</t>
  </si>
  <si>
    <t>345,40</t>
  </si>
  <si>
    <t>290,16</t>
  </si>
  <si>
    <t>61,50%</t>
  </si>
  <si>
    <t>437,83</t>
  </si>
  <si>
    <t>194,29</t>
  </si>
  <si>
    <t>411,82</t>
  </si>
  <si>
    <t>62,40%</t>
  </si>
  <si>
    <t>468,05</t>
  </si>
  <si>
    <t>340,92</t>
  </si>
  <si>
    <t>73,60%</t>
  </si>
  <si>
    <t>70,40%</t>
  </si>
  <si>
    <t>291,86</t>
  </si>
  <si>
    <t>61,46%</t>
  </si>
  <si>
    <t>345,51</t>
  </si>
  <si>
    <t>436,01</t>
  </si>
  <si>
    <t>419,82</t>
  </si>
  <si>
    <t>36,98%</t>
  </si>
  <si>
    <t>431,54</t>
  </si>
  <si>
    <t>30,90%</t>
  </si>
  <si>
    <t>453,87</t>
  </si>
  <si>
    <t>299,40</t>
  </si>
  <si>
    <t>463,76</t>
  </si>
  <si>
    <t>456,50</t>
  </si>
  <si>
    <t>313,13</t>
  </si>
  <si>
    <t>60,41%</t>
  </si>
  <si>
    <t>441,92</t>
  </si>
  <si>
    <t>441,56</t>
  </si>
  <si>
    <t>266,90</t>
  </si>
  <si>
    <t>411,52</t>
  </si>
  <si>
    <t>441,40</t>
  </si>
  <si>
    <t>468,47</t>
  </si>
  <si>
    <t>449,76</t>
  </si>
  <si>
    <t>240,93</t>
  </si>
  <si>
    <t>445,68</t>
  </si>
  <si>
    <t>458,01</t>
  </si>
  <si>
    <t>429,54</t>
  </si>
  <si>
    <t>467,94</t>
  </si>
  <si>
    <t>51,79%</t>
  </si>
  <si>
    <t>444,75</t>
  </si>
  <si>
    <t>384,32</t>
  </si>
  <si>
    <t>438,34</t>
  </si>
  <si>
    <t>62,92%</t>
  </si>
  <si>
    <t>461,36</t>
  </si>
  <si>
    <t>430,91</t>
  </si>
  <si>
    <t>439,71</t>
  </si>
  <si>
    <t>47,45%</t>
  </si>
  <si>
    <t>471,76</t>
  </si>
  <si>
    <t>399,01</t>
  </si>
  <si>
    <t>72,05%</t>
  </si>
  <si>
    <t>460,84</t>
  </si>
  <si>
    <t>520,31</t>
  </si>
  <si>
    <t>442,77</t>
  </si>
  <si>
    <t>487,88</t>
  </si>
  <si>
    <t>422,29</t>
  </si>
  <si>
    <t>170,43</t>
  </si>
  <si>
    <t>334,23</t>
  </si>
  <si>
    <t>354,34</t>
  </si>
  <si>
    <t>330,51</t>
  </si>
  <si>
    <t>61,24%</t>
  </si>
  <si>
    <t>406,30</t>
  </si>
  <si>
    <t>35,96%</t>
  </si>
  <si>
    <t>382,95</t>
  </si>
  <si>
    <t>404,39</t>
  </si>
  <si>
    <t>396,22</t>
  </si>
  <si>
    <t>265,33</t>
  </si>
  <si>
    <t>518,57</t>
  </si>
  <si>
    <t>534,24</t>
  </si>
  <si>
    <t>247,30</t>
  </si>
  <si>
    <t>75,35%</t>
  </si>
  <si>
    <t>366,99</t>
  </si>
  <si>
    <t>76,75%</t>
  </si>
  <si>
    <t>394,63</t>
  </si>
  <si>
    <t>316,14</t>
  </si>
  <si>
    <t>438,88</t>
  </si>
  <si>
    <t>335,12</t>
  </si>
  <si>
    <t>275,20</t>
  </si>
  <si>
    <t>421,64</t>
  </si>
  <si>
    <t>436,96</t>
  </si>
  <si>
    <t>486,52</t>
  </si>
  <si>
    <t>CE EUCLIDES DA CUNHA</t>
  </si>
  <si>
    <t>106,67</t>
  </si>
  <si>
    <t>141,82</t>
  </si>
  <si>
    <t>192,44</t>
  </si>
  <si>
    <t>394,01</t>
  </si>
  <si>
    <t>71,37%</t>
  </si>
  <si>
    <t>372,52</t>
  </si>
  <si>
    <t>288,07</t>
  </si>
  <si>
    <t>52,56%</t>
  </si>
  <si>
    <t>407,00</t>
  </si>
  <si>
    <t>172,30</t>
  </si>
  <si>
    <t>55,76%</t>
  </si>
  <si>
    <t>321,36</t>
  </si>
  <si>
    <t>58,59%</t>
  </si>
  <si>
    <t>401,83</t>
  </si>
  <si>
    <t>234,29</t>
  </si>
  <si>
    <t>50,71%</t>
  </si>
  <si>
    <t>430,89</t>
  </si>
  <si>
    <t>408,73</t>
  </si>
  <si>
    <t>238,46</t>
  </si>
  <si>
    <t>50,48%</t>
  </si>
  <si>
    <t>365,49</t>
  </si>
  <si>
    <t>15,24%</t>
  </si>
  <si>
    <t>372,50</t>
  </si>
  <si>
    <t>473,90</t>
  </si>
  <si>
    <t>401,79</t>
  </si>
  <si>
    <t>363,83</t>
  </si>
  <si>
    <t>70,94%</t>
  </si>
  <si>
    <t>68,38%</t>
  </si>
  <si>
    <t>427,00</t>
  </si>
  <si>
    <t>495,00</t>
  </si>
  <si>
    <t>470,00</t>
  </si>
  <si>
    <t>65,81%</t>
  </si>
  <si>
    <t>415,26</t>
  </si>
  <si>
    <t>384,93</t>
  </si>
  <si>
    <t>70,29%</t>
  </si>
  <si>
    <t>469,48</t>
  </si>
  <si>
    <t>482,35</t>
  </si>
  <si>
    <t>455,18</t>
  </si>
  <si>
    <t>472,87</t>
  </si>
  <si>
    <t>465,04</t>
  </si>
  <si>
    <t>179,66</t>
  </si>
  <si>
    <t>302,84</t>
  </si>
  <si>
    <t>35,54%</t>
  </si>
  <si>
    <t>399,61</t>
  </si>
  <si>
    <t>303,80</t>
  </si>
  <si>
    <t>397,93</t>
  </si>
  <si>
    <t>403,91</t>
  </si>
  <si>
    <t>221,95</t>
  </si>
  <si>
    <t>420,02</t>
  </si>
  <si>
    <t>288,64</t>
  </si>
  <si>
    <t>59,59%</t>
  </si>
  <si>
    <t>57,96%</t>
  </si>
  <si>
    <t>388,56</t>
  </si>
  <si>
    <t>230,54</t>
  </si>
  <si>
    <t>316,64</t>
  </si>
  <si>
    <t>378,85</t>
  </si>
  <si>
    <t>256,62</t>
  </si>
  <si>
    <t>99,37%</t>
  </si>
  <si>
    <t>293,25</t>
  </si>
  <si>
    <t>289,87</t>
  </si>
  <si>
    <t>101,34</t>
  </si>
  <si>
    <t>425,71</t>
  </si>
  <si>
    <t>154,59</t>
  </si>
  <si>
    <t>54,40%</t>
  </si>
  <si>
    <t>256,72</t>
  </si>
  <si>
    <t>132,47</t>
  </si>
  <si>
    <t>57,60%</t>
  </si>
  <si>
    <t>252,78</t>
  </si>
  <si>
    <t>365,71</t>
  </si>
  <si>
    <t>232,94</t>
  </si>
  <si>
    <t>26,60%</t>
  </si>
  <si>
    <t>294,40</t>
  </si>
  <si>
    <t>237,70</t>
  </si>
  <si>
    <t>293,30</t>
  </si>
  <si>
    <t>70,35%</t>
  </si>
  <si>
    <t>450,66</t>
  </si>
  <si>
    <t>327,34</t>
  </si>
  <si>
    <t>64,42%</t>
  </si>
  <si>
    <t>409,15</t>
  </si>
  <si>
    <t>383,32</t>
  </si>
  <si>
    <t>262,29</t>
  </si>
  <si>
    <t>475,48</t>
  </si>
  <si>
    <t>507,08</t>
  </si>
  <si>
    <t>441,97</t>
  </si>
  <si>
    <t>78,31%</t>
  </si>
  <si>
    <t>474,84</t>
  </si>
  <si>
    <t>193,13</t>
  </si>
  <si>
    <t>359,56</t>
  </si>
  <si>
    <t>301,18</t>
  </si>
  <si>
    <t>50,93%</t>
  </si>
  <si>
    <t>453,51</t>
  </si>
  <si>
    <t>436,84</t>
  </si>
  <si>
    <t>287,83</t>
  </si>
  <si>
    <t>275,92</t>
  </si>
  <si>
    <t>302,00</t>
  </si>
  <si>
    <t>353,78</t>
  </si>
  <si>
    <t>313,29</t>
  </si>
  <si>
    <t>54,66%</t>
  </si>
  <si>
    <t>343,28</t>
  </si>
  <si>
    <t>51,69%</t>
  </si>
  <si>
    <t>361,32</t>
  </si>
  <si>
    <t>256,06</t>
  </si>
  <si>
    <t>52,97%</t>
  </si>
  <si>
    <t>397,36</t>
  </si>
  <si>
    <t>300,67</t>
  </si>
  <si>
    <t>305,22</t>
  </si>
  <si>
    <t>69,28%</t>
  </si>
  <si>
    <t>502,46</t>
  </si>
  <si>
    <t>537,70</t>
  </si>
  <si>
    <t>246,95</t>
  </si>
  <si>
    <t>367,81</t>
  </si>
  <si>
    <t>59,85%</t>
  </si>
  <si>
    <t>446,84</t>
  </si>
  <si>
    <t>381,18</t>
  </si>
  <si>
    <t>391,11</t>
  </si>
  <si>
    <t>57,20%</t>
  </si>
  <si>
    <t>407,68</t>
  </si>
  <si>
    <t>150,61</t>
  </si>
  <si>
    <t>373,70</t>
  </si>
  <si>
    <t>50,74%</t>
  </si>
  <si>
    <t>348,35</t>
  </si>
  <si>
    <t>263,67</t>
  </si>
  <si>
    <t>404,37</t>
  </si>
  <si>
    <t>420,37</t>
  </si>
  <si>
    <t>382,40</t>
  </si>
  <si>
    <t>461,68</t>
  </si>
  <si>
    <t>436,69</t>
  </si>
  <si>
    <t>239,01</t>
  </si>
  <si>
    <t>388,58</t>
  </si>
  <si>
    <t>409,94</t>
  </si>
  <si>
    <t>307,58</t>
  </si>
  <si>
    <t>59,50%</t>
  </si>
  <si>
    <t>380,28</t>
  </si>
  <si>
    <t>51,61%</t>
  </si>
  <si>
    <t>405,56</t>
  </si>
  <si>
    <t>306,27</t>
  </si>
  <si>
    <t>320,86</t>
  </si>
  <si>
    <t>51,98%</t>
  </si>
  <si>
    <t>394,37</t>
  </si>
  <si>
    <t>400,41</t>
  </si>
  <si>
    <t>406,99</t>
  </si>
  <si>
    <t>235,54</t>
  </si>
  <si>
    <t>384,27</t>
  </si>
  <si>
    <t>61,10%</t>
  </si>
  <si>
    <t>443,28</t>
  </si>
  <si>
    <t>339,14</t>
  </si>
  <si>
    <t>436,94</t>
  </si>
  <si>
    <t>234,01</t>
  </si>
  <si>
    <t>390,14</t>
  </si>
  <si>
    <t>46,75%</t>
  </si>
  <si>
    <t>395,35</t>
  </si>
  <si>
    <t>366,21</t>
  </si>
  <si>
    <t>51,63%</t>
  </si>
  <si>
    <t>429,06</t>
  </si>
  <si>
    <t>58,13%</t>
  </si>
  <si>
    <t>427,07</t>
  </si>
  <si>
    <t>258,46</t>
  </si>
  <si>
    <t>98,98%</t>
  </si>
  <si>
    <t>341,76</t>
  </si>
  <si>
    <t>427,04</t>
  </si>
  <si>
    <t>77,55%</t>
  </si>
  <si>
    <t>404,21</t>
  </si>
  <si>
    <t>42,35%</t>
  </si>
  <si>
    <t>422,22</t>
  </si>
  <si>
    <t>229,38</t>
  </si>
  <si>
    <t>356,60</t>
  </si>
  <si>
    <t>59,72%</t>
  </si>
  <si>
    <t>382,59</t>
  </si>
  <si>
    <t>355,07</t>
  </si>
  <si>
    <t>374,43</t>
  </si>
  <si>
    <t>372,75</t>
  </si>
  <si>
    <t>318,94</t>
  </si>
  <si>
    <t>67,71%</t>
  </si>
  <si>
    <t>417,25</t>
  </si>
  <si>
    <t>97,49%</t>
  </si>
  <si>
    <t>382,61</t>
  </si>
  <si>
    <t>411,19</t>
  </si>
  <si>
    <t>482,19</t>
  </si>
  <si>
    <t>491,61</t>
  </si>
  <si>
    <t>239,30</t>
  </si>
  <si>
    <t>415,91</t>
  </si>
  <si>
    <t>60,39%</t>
  </si>
  <si>
    <t>48,05%</t>
  </si>
  <si>
    <t>438,87</t>
  </si>
  <si>
    <t>307,46</t>
  </si>
  <si>
    <t>412,78</t>
  </si>
  <si>
    <t>54,92%</t>
  </si>
  <si>
    <t>423,88</t>
  </si>
  <si>
    <t>323,47</t>
  </si>
  <si>
    <t>50,82%</t>
  </si>
  <si>
    <t>437,74</t>
  </si>
  <si>
    <t>433,72</t>
  </si>
  <si>
    <t>262,10</t>
  </si>
  <si>
    <t>78,79%</t>
  </si>
  <si>
    <t>339,06</t>
  </si>
  <si>
    <t>430,46</t>
  </si>
  <si>
    <t>68,48%</t>
  </si>
  <si>
    <t>394,23</t>
  </si>
  <si>
    <t>462,91</t>
  </si>
  <si>
    <t>232,96</t>
  </si>
  <si>
    <t>414,72</t>
  </si>
  <si>
    <t>458,11</t>
  </si>
  <si>
    <t>366,20</t>
  </si>
  <si>
    <t>63,35%</t>
  </si>
  <si>
    <t>417,02</t>
  </si>
  <si>
    <t>432,57</t>
  </si>
  <si>
    <t>211,20</t>
  </si>
  <si>
    <t>334,43</t>
  </si>
  <si>
    <t>66,28%</t>
  </si>
  <si>
    <t>371,93</t>
  </si>
  <si>
    <t>265,93</t>
  </si>
  <si>
    <t>51,16%</t>
  </si>
  <si>
    <t>367,27</t>
  </si>
  <si>
    <t>392,59</t>
  </si>
  <si>
    <t>447,95</t>
  </si>
  <si>
    <t>38,04%</t>
  </si>
  <si>
    <t>451,31</t>
  </si>
  <si>
    <t>247,26</t>
  </si>
  <si>
    <t>48,91%</t>
  </si>
  <si>
    <t>394,67</t>
  </si>
  <si>
    <t>359,81</t>
  </si>
  <si>
    <t>95,56</t>
  </si>
  <si>
    <t>291,33</t>
  </si>
  <si>
    <t>256,70</t>
  </si>
  <si>
    <t>24,37%</t>
  </si>
  <si>
    <t>363,12</t>
  </si>
  <si>
    <t>181,54</t>
  </si>
  <si>
    <t>327,38</t>
  </si>
  <si>
    <t>388,78</t>
  </si>
  <si>
    <t>264,45</t>
  </si>
  <si>
    <t>383,71</t>
  </si>
  <si>
    <t>54,04%</t>
  </si>
  <si>
    <t>389,10</t>
  </si>
  <si>
    <t>105,28</t>
  </si>
  <si>
    <t>350,30</t>
  </si>
  <si>
    <t>359,29</t>
  </si>
  <si>
    <t>279,22</t>
  </si>
  <si>
    <t>378,55</t>
  </si>
  <si>
    <t>151,67</t>
  </si>
  <si>
    <t>43,53%</t>
  </si>
  <si>
    <t>330,27</t>
  </si>
  <si>
    <t>42,08%</t>
  </si>
  <si>
    <t>436,61</t>
  </si>
  <si>
    <t>239,65</t>
  </si>
  <si>
    <t>423,64</t>
  </si>
  <si>
    <t>31,17%</t>
  </si>
  <si>
    <t>237,58</t>
  </si>
  <si>
    <t>503,64</t>
  </si>
  <si>
    <t>435,20</t>
  </si>
  <si>
    <t>564,29</t>
  </si>
  <si>
    <t>536,30</t>
  </si>
  <si>
    <t>573,33</t>
  </si>
  <si>
    <t>191,71</t>
  </si>
  <si>
    <t>325,31</t>
  </si>
  <si>
    <t>234,41</t>
  </si>
  <si>
    <t>301,93</t>
  </si>
  <si>
    <t>35,19%</t>
  </si>
  <si>
    <t>345,27</t>
  </si>
  <si>
    <t>57,94%</t>
  </si>
  <si>
    <t>340,87</t>
  </si>
  <si>
    <t>151,80</t>
  </si>
  <si>
    <t>60,94%</t>
  </si>
  <si>
    <t>336,69</t>
  </si>
  <si>
    <t>360,58</t>
  </si>
  <si>
    <t>255,81</t>
  </si>
  <si>
    <t>45,06%</t>
  </si>
  <si>
    <t>43,35%</t>
  </si>
  <si>
    <t>363,23</t>
  </si>
  <si>
    <t>379,20</t>
  </si>
  <si>
    <t>161,70</t>
  </si>
  <si>
    <t>333,91</t>
  </si>
  <si>
    <t>249,66</t>
  </si>
  <si>
    <t>518,82</t>
  </si>
  <si>
    <t>501,82</t>
  </si>
  <si>
    <t>396,47</t>
  </si>
  <si>
    <t>504,00</t>
  </si>
  <si>
    <t>484,85</t>
  </si>
  <si>
    <t>177,02</t>
  </si>
  <si>
    <t>71,01%</t>
  </si>
  <si>
    <t>364,93</t>
  </si>
  <si>
    <t>384,19</t>
  </si>
  <si>
    <t>310,00</t>
  </si>
  <si>
    <t>335,87</t>
  </si>
  <si>
    <t>52,42%</t>
  </si>
  <si>
    <t>385,79</t>
  </si>
  <si>
    <t>353,68</t>
  </si>
  <si>
    <t>419,99</t>
  </si>
  <si>
    <t>421,54</t>
  </si>
  <si>
    <t>38,06%</t>
  </si>
  <si>
    <t>402,07</t>
  </si>
  <si>
    <t>40,56%</t>
  </si>
  <si>
    <t>421,40</t>
  </si>
  <si>
    <t>370,81</t>
  </si>
  <si>
    <t>384,47</t>
  </si>
  <si>
    <t>414,10</t>
  </si>
  <si>
    <t>159,71</t>
  </si>
  <si>
    <t>362,53</t>
  </si>
  <si>
    <t>49,69%</t>
  </si>
  <si>
    <t>427,16</t>
  </si>
  <si>
    <t>276,41</t>
  </si>
  <si>
    <t>360,78</t>
  </si>
  <si>
    <t>47,24%</t>
  </si>
  <si>
    <t>428,89</t>
  </si>
  <si>
    <t>98,29%</t>
  </si>
  <si>
    <t>520,52</t>
  </si>
  <si>
    <t>550,42</t>
  </si>
  <si>
    <t>472,04</t>
  </si>
  <si>
    <t>555,36</t>
  </si>
  <si>
    <t>546,73</t>
  </si>
  <si>
    <t>213,33</t>
  </si>
  <si>
    <t>376,47</t>
  </si>
  <si>
    <t>389,41</t>
  </si>
  <si>
    <t>303,78</t>
  </si>
  <si>
    <t>383,53</t>
  </si>
  <si>
    <t>170,67</t>
  </si>
  <si>
    <t>335,50</t>
  </si>
  <si>
    <t>234,82</t>
  </si>
  <si>
    <t>56,73%</t>
  </si>
  <si>
    <t>289,48</t>
  </si>
  <si>
    <t>51,44%</t>
  </si>
  <si>
    <t>356,26</t>
  </si>
  <si>
    <t>106,47</t>
  </si>
  <si>
    <t>290,98</t>
  </si>
  <si>
    <t>375,27</t>
  </si>
  <si>
    <t>52,70%</t>
  </si>
  <si>
    <t>363,59</t>
  </si>
  <si>
    <t>153,38</t>
  </si>
  <si>
    <t>46,95%</t>
  </si>
  <si>
    <t>378,01</t>
  </si>
  <si>
    <t>429,64</t>
  </si>
  <si>
    <t>216,48</t>
  </si>
  <si>
    <t>435,32</t>
  </si>
  <si>
    <t>450,14</t>
  </si>
  <si>
    <t>321,61</t>
  </si>
  <si>
    <t>478,99</t>
  </si>
  <si>
    <t>408,60</t>
  </si>
  <si>
    <t>51,81%</t>
  </si>
  <si>
    <t>445,39</t>
  </si>
  <si>
    <t>56,52%</t>
  </si>
  <si>
    <t>474,10</t>
  </si>
  <si>
    <t>206,93</t>
  </si>
  <si>
    <t>60,10%</t>
  </si>
  <si>
    <t>355,09</t>
  </si>
  <si>
    <t>410,07</t>
  </si>
  <si>
    <t>393,60</t>
  </si>
  <si>
    <t>416,51</t>
  </si>
  <si>
    <t>213,16</t>
  </si>
  <si>
    <t>70,24%</t>
  </si>
  <si>
    <t>360,34</t>
  </si>
  <si>
    <t>68,45%</t>
  </si>
  <si>
    <t>361,04</t>
  </si>
  <si>
    <t>264,89</t>
  </si>
  <si>
    <t>331,62</t>
  </si>
  <si>
    <t>323,67</t>
  </si>
  <si>
    <t>263,03</t>
  </si>
  <si>
    <t>53,01%</t>
  </si>
  <si>
    <t>368,37</t>
  </si>
  <si>
    <t>281,41</t>
  </si>
  <si>
    <t>361,66</t>
  </si>
  <si>
    <t>36,23%</t>
  </si>
  <si>
    <t>446,90</t>
  </si>
  <si>
    <t>65,76%</t>
  </si>
  <si>
    <t>277,89</t>
  </si>
  <si>
    <t>360,84</t>
  </si>
  <si>
    <t>329,41</t>
  </si>
  <si>
    <t>306,66</t>
  </si>
  <si>
    <t>404,00</t>
  </si>
  <si>
    <t>195,03</t>
  </si>
  <si>
    <t>391,82</t>
  </si>
  <si>
    <t>63,85%</t>
  </si>
  <si>
    <t>452,06</t>
  </si>
  <si>
    <t>345,52</t>
  </si>
  <si>
    <t>44,13%</t>
  </si>
  <si>
    <t>434,78</t>
  </si>
  <si>
    <t>46,48%</t>
  </si>
  <si>
    <t>108,41</t>
  </si>
  <si>
    <t>58,60%</t>
  </si>
  <si>
    <t>348,76</t>
  </si>
  <si>
    <t>407,53</t>
  </si>
  <si>
    <t>274,84</t>
  </si>
  <si>
    <t>49,68%</t>
  </si>
  <si>
    <t>435,84</t>
  </si>
  <si>
    <t>215,05</t>
  </si>
  <si>
    <t>348,14</t>
  </si>
  <si>
    <t>408,37</t>
  </si>
  <si>
    <t>267,23</t>
  </si>
  <si>
    <t>356,04</t>
  </si>
  <si>
    <t>465,26</t>
  </si>
  <si>
    <t>494,05</t>
  </si>
  <si>
    <t>543,78</t>
  </si>
  <si>
    <t>501,62</t>
  </si>
  <si>
    <t>532,57</t>
  </si>
  <si>
    <t>533,33</t>
  </si>
  <si>
    <t>435,98</t>
  </si>
  <si>
    <t>423,67</t>
  </si>
  <si>
    <t>379,55</t>
  </si>
  <si>
    <t>433,19</t>
  </si>
  <si>
    <t>73,25%</t>
  </si>
  <si>
    <t>430,95</t>
  </si>
  <si>
    <t>109,60</t>
  </si>
  <si>
    <t>96,98%</t>
  </si>
  <si>
    <t>208,08</t>
  </si>
  <si>
    <t>36,10%</t>
  </si>
  <si>
    <t>230,92</t>
  </si>
  <si>
    <t>43,14%</t>
  </si>
  <si>
    <t>228,70</t>
  </si>
  <si>
    <t>51,65%</t>
  </si>
  <si>
    <t>343,43</t>
  </si>
  <si>
    <t>233,21</t>
  </si>
  <si>
    <t>50,18%</t>
  </si>
  <si>
    <t>350,66</t>
  </si>
  <si>
    <t>285,36</t>
  </si>
  <si>
    <t>66,86%</t>
  </si>
  <si>
    <t>429,34</t>
  </si>
  <si>
    <t>362,14</t>
  </si>
  <si>
    <t>359,28</t>
  </si>
  <si>
    <t>0,58%</t>
  </si>
  <si>
    <t>71,43</t>
  </si>
  <si>
    <t>357,78</t>
  </si>
  <si>
    <t>210,91</t>
  </si>
  <si>
    <t>27,06%</t>
  </si>
  <si>
    <t>313,04</t>
  </si>
  <si>
    <t>60,90</t>
  </si>
  <si>
    <t>315,21</t>
  </si>
  <si>
    <t>40,97%</t>
  </si>
  <si>
    <t>272,97</t>
  </si>
  <si>
    <t>41,94%</t>
  </si>
  <si>
    <t>393,18</t>
  </si>
  <si>
    <t>78,40</t>
  </si>
  <si>
    <t>29,55%</t>
  </si>
  <si>
    <t>310,40</t>
  </si>
  <si>
    <t>324,71</t>
  </si>
  <si>
    <t>288,42</t>
  </si>
  <si>
    <t>252,63</t>
  </si>
  <si>
    <t>59,25%</t>
  </si>
  <si>
    <t>431,63</t>
  </si>
  <si>
    <t>38,81%</t>
  </si>
  <si>
    <t>380,96</t>
  </si>
  <si>
    <t>424,05</t>
  </si>
  <si>
    <t>305,94</t>
  </si>
  <si>
    <t>364,10</t>
  </si>
  <si>
    <t>250,69</t>
  </si>
  <si>
    <t>342,68</t>
  </si>
  <si>
    <t>228,27</t>
  </si>
  <si>
    <t>56,83%</t>
  </si>
  <si>
    <t>52,93%</t>
  </si>
  <si>
    <t>333,48</t>
  </si>
  <si>
    <t>194,97</t>
  </si>
  <si>
    <t>33,22%</t>
  </si>
  <si>
    <t>332,73</t>
  </si>
  <si>
    <t>6,32</t>
  </si>
  <si>
    <t>40,88%</t>
  </si>
  <si>
    <t>234,38</t>
  </si>
  <si>
    <t>69,04</t>
  </si>
  <si>
    <t>0,34%</t>
  </si>
  <si>
    <t>330,62</t>
  </si>
  <si>
    <t>117,52</t>
  </si>
  <si>
    <t>65,90%</t>
  </si>
  <si>
    <t>309,82</t>
  </si>
  <si>
    <t>63,01%</t>
  </si>
  <si>
    <t>286,32</t>
  </si>
  <si>
    <t>48,55%</t>
  </si>
  <si>
    <t>90,61</t>
  </si>
  <si>
    <t>34,19%</t>
  </si>
  <si>
    <t>274,00</t>
  </si>
  <si>
    <t>17,68%</t>
  </si>
  <si>
    <t>434,48</t>
  </si>
  <si>
    <t>448,99</t>
  </si>
  <si>
    <t>81,22%</t>
  </si>
  <si>
    <t>478,49</t>
  </si>
  <si>
    <t>492,38</t>
  </si>
  <si>
    <t>470,32</t>
  </si>
  <si>
    <t>67,51%</t>
  </si>
  <si>
    <t>530,61</t>
  </si>
  <si>
    <t>0,51%</t>
  </si>
  <si>
    <t>207,41</t>
  </si>
  <si>
    <t>55,45%</t>
  </si>
  <si>
    <t>305,57</t>
  </si>
  <si>
    <t>327,83</t>
  </si>
  <si>
    <t>47,27%</t>
  </si>
  <si>
    <t>306,92</t>
  </si>
  <si>
    <t>221,40</t>
  </si>
  <si>
    <t>46,29%</t>
  </si>
  <si>
    <t>364,71</t>
  </si>
  <si>
    <t>45,33%</t>
  </si>
  <si>
    <t>406,14</t>
  </si>
  <si>
    <t>213,71</t>
  </si>
  <si>
    <t>363,84</t>
  </si>
  <si>
    <t>123,40</t>
  </si>
  <si>
    <t>38,21%</t>
  </si>
  <si>
    <t>379,02</t>
  </si>
  <si>
    <t>85,85</t>
  </si>
  <si>
    <t>41,04%</t>
  </si>
  <si>
    <t>317,59</t>
  </si>
  <si>
    <t>107,09</t>
  </si>
  <si>
    <t>28,88%</t>
  </si>
  <si>
    <t>296,30</t>
  </si>
  <si>
    <t>348,24</t>
  </si>
  <si>
    <t>215,00</t>
  </si>
  <si>
    <t>210,66</t>
  </si>
  <si>
    <t>344,00</t>
  </si>
  <si>
    <t>347,70</t>
  </si>
  <si>
    <t>217,14</t>
  </si>
  <si>
    <t>49,12%</t>
  </si>
  <si>
    <t>57,14</t>
  </si>
  <si>
    <t>CE EDUARDO MONDLANE</t>
  </si>
  <si>
    <t>74,92%</t>
  </si>
  <si>
    <t>148,35</t>
  </si>
  <si>
    <t>56,80%</t>
  </si>
  <si>
    <t>281,08</t>
  </si>
  <si>
    <t>250,57</t>
  </si>
  <si>
    <t>287,90</t>
  </si>
  <si>
    <t>151,49</t>
  </si>
  <si>
    <t>57,37%</t>
  </si>
  <si>
    <t>299,44</t>
  </si>
  <si>
    <t>48,42%</t>
  </si>
  <si>
    <t>349,78</t>
  </si>
  <si>
    <t>189,67</t>
  </si>
  <si>
    <t>62,11%</t>
  </si>
  <si>
    <t>356,21</t>
  </si>
  <si>
    <t>122,35</t>
  </si>
  <si>
    <t>319,32</t>
  </si>
  <si>
    <t>352,03</t>
  </si>
  <si>
    <t>190,01</t>
  </si>
  <si>
    <t>238,96</t>
  </si>
  <si>
    <t>133,17</t>
  </si>
  <si>
    <t>356,77</t>
  </si>
  <si>
    <t>427,12</t>
  </si>
  <si>
    <t>45,75%</t>
  </si>
  <si>
    <t>422,99</t>
  </si>
  <si>
    <t>158,68</t>
  </si>
  <si>
    <t>328,28</t>
  </si>
  <si>
    <t>300,90</t>
  </si>
  <si>
    <t>47,54%</t>
  </si>
  <si>
    <t>368,77</t>
  </si>
  <si>
    <t>291,68</t>
  </si>
  <si>
    <t>394,50</t>
  </si>
  <si>
    <t>438,61</t>
  </si>
  <si>
    <t>68,57</t>
  </si>
  <si>
    <t>165,71</t>
  </si>
  <si>
    <t>CE GENERAL CARLOS CAETANO MIRAGAYA</t>
  </si>
  <si>
    <t>36,19</t>
  </si>
  <si>
    <t>12,80</t>
  </si>
  <si>
    <t>62,67</t>
  </si>
  <si>
    <t>119,02</t>
  </si>
  <si>
    <t>289,02</t>
  </si>
  <si>
    <t>48,81%</t>
  </si>
  <si>
    <t>388,29</t>
  </si>
  <si>
    <t>179,03</t>
  </si>
  <si>
    <t>41,36%</t>
  </si>
  <si>
    <t>333,55</t>
  </si>
  <si>
    <t>135,36</t>
  </si>
  <si>
    <t>379,51</t>
  </si>
  <si>
    <t>41,01%</t>
  </si>
  <si>
    <t>376,48</t>
  </si>
  <si>
    <t>177,01</t>
  </si>
  <si>
    <t>30,22%</t>
  </si>
  <si>
    <t>258,33</t>
  </si>
  <si>
    <t>427,94</t>
  </si>
  <si>
    <t>99,15%</t>
  </si>
  <si>
    <t>169,23</t>
  </si>
  <si>
    <t>59,32%</t>
  </si>
  <si>
    <t>441,74</t>
  </si>
  <si>
    <t>270,24</t>
  </si>
  <si>
    <t>279,85</t>
  </si>
  <si>
    <t>215,66</t>
  </si>
  <si>
    <t>227,01</t>
  </si>
  <si>
    <t>68,24</t>
  </si>
  <si>
    <t>277,65</t>
  </si>
  <si>
    <t>12,37%</t>
  </si>
  <si>
    <t>431,45</t>
  </si>
  <si>
    <t>488,50</t>
  </si>
  <si>
    <t>76,46%</t>
  </si>
  <si>
    <t>550,73</t>
  </si>
  <si>
    <t>503,94</t>
  </si>
  <si>
    <t>513,96</t>
  </si>
  <si>
    <t>184,75</t>
  </si>
  <si>
    <t>98,23%</t>
  </si>
  <si>
    <t>283,45</t>
  </si>
  <si>
    <t>414,97</t>
  </si>
  <si>
    <t>331,25</t>
  </si>
  <si>
    <t>59,87%</t>
  </si>
  <si>
    <t>363,85</t>
  </si>
  <si>
    <t>172,61</t>
  </si>
  <si>
    <t>353,13</t>
  </si>
  <si>
    <t>39,96%</t>
  </si>
  <si>
    <t>333,29</t>
  </si>
  <si>
    <t>391,25</t>
  </si>
  <si>
    <t>270,91</t>
  </si>
  <si>
    <t>81,72%</t>
  </si>
  <si>
    <t>84,95%</t>
  </si>
  <si>
    <t>346,51</t>
  </si>
  <si>
    <t>426,82</t>
  </si>
  <si>
    <t>544,91</t>
  </si>
  <si>
    <t>484,64</t>
  </si>
  <si>
    <t>378,92</t>
  </si>
  <si>
    <t>441,76</t>
  </si>
  <si>
    <t>261,38</t>
  </si>
  <si>
    <t>0,42%</t>
  </si>
  <si>
    <t>88,95%</t>
  </si>
  <si>
    <t>270,82</t>
  </si>
  <si>
    <t>108,43</t>
  </si>
  <si>
    <t>96,25%</t>
  </si>
  <si>
    <t>261,71</t>
  </si>
  <si>
    <t>0,19%</t>
  </si>
  <si>
    <t>163,43</t>
  </si>
  <si>
    <t>60,43%</t>
  </si>
  <si>
    <t>373,55</t>
  </si>
  <si>
    <t>42,19%</t>
  </si>
  <si>
    <t>445,06</t>
  </si>
  <si>
    <t>218,50</t>
  </si>
  <si>
    <t>315,87</t>
  </si>
  <si>
    <t>257,51</t>
  </si>
  <si>
    <t>49,25%</t>
  </si>
  <si>
    <t>373,84</t>
  </si>
  <si>
    <t>21,94</t>
  </si>
  <si>
    <t>250,91</t>
  </si>
  <si>
    <t>329,09</t>
  </si>
  <si>
    <t>271,11</t>
  </si>
  <si>
    <t>394,00</t>
  </si>
  <si>
    <t>205,72</t>
  </si>
  <si>
    <t>314,66</t>
  </si>
  <si>
    <t>416,67</t>
  </si>
  <si>
    <t>349,34</t>
  </si>
  <si>
    <t>456,00</t>
  </si>
  <si>
    <t>177,81</t>
  </si>
  <si>
    <t>68,87%</t>
  </si>
  <si>
    <t>366,09</t>
  </si>
  <si>
    <t>389,22</t>
  </si>
  <si>
    <t>291,69</t>
  </si>
  <si>
    <t>205,88</t>
  </si>
  <si>
    <t>327,50</t>
  </si>
  <si>
    <t>201,01</t>
  </si>
  <si>
    <t>387,00</t>
  </si>
  <si>
    <t>44,65%</t>
  </si>
  <si>
    <t>429,68</t>
  </si>
  <si>
    <t>59,30%</t>
  </si>
  <si>
    <t>374,22</t>
  </si>
  <si>
    <t>91,58</t>
  </si>
  <si>
    <t>335,76</t>
  </si>
  <si>
    <t>32,96%</t>
  </si>
  <si>
    <t>368,44</t>
  </si>
  <si>
    <t>215,68</t>
  </si>
  <si>
    <t>248,21</t>
  </si>
  <si>
    <t>445,49</t>
  </si>
  <si>
    <t>327,76</t>
  </si>
  <si>
    <t>0,37%</t>
  </si>
  <si>
    <t>138,80</t>
  </si>
  <si>
    <t>358,28</t>
  </si>
  <si>
    <t>303,90</t>
  </si>
  <si>
    <t>386,50</t>
  </si>
  <si>
    <t>443,39</t>
  </si>
  <si>
    <t>443,91</t>
  </si>
  <si>
    <t>407,95</t>
  </si>
  <si>
    <t>370,33</t>
  </si>
  <si>
    <t>187,08</t>
  </si>
  <si>
    <t>41,47%</t>
  </si>
  <si>
    <t>360,45</t>
  </si>
  <si>
    <t>380,43</t>
  </si>
  <si>
    <t>256,00</t>
  </si>
  <si>
    <t>354,46</t>
  </si>
  <si>
    <t>212,29</t>
  </si>
  <si>
    <t>59,14%</t>
  </si>
  <si>
    <t>406,59</t>
  </si>
  <si>
    <t>313,40</t>
  </si>
  <si>
    <t>56,99%</t>
  </si>
  <si>
    <t>484,03</t>
  </si>
  <si>
    <t>0,72%</t>
  </si>
  <si>
    <t>63,45%</t>
  </si>
  <si>
    <t>396,94</t>
  </si>
  <si>
    <t>61,55%</t>
  </si>
  <si>
    <t>390,40</t>
  </si>
  <si>
    <t>390,95</t>
  </si>
  <si>
    <t>89,94</t>
  </si>
  <si>
    <t>223,61</t>
  </si>
  <si>
    <t>49,11%</t>
  </si>
  <si>
    <t>199,64</t>
  </si>
  <si>
    <t>47,77%</t>
  </si>
  <si>
    <t>496,33</t>
  </si>
  <si>
    <t>39,40</t>
  </si>
  <si>
    <t>243,23</t>
  </si>
  <si>
    <t>120,95</t>
  </si>
  <si>
    <t>42,13%</t>
  </si>
  <si>
    <t>231,26</t>
  </si>
  <si>
    <t>17,44%</t>
  </si>
  <si>
    <t>512,00</t>
  </si>
  <si>
    <t>265,18</t>
  </si>
  <si>
    <t>64,42</t>
  </si>
  <si>
    <t>253,75</t>
  </si>
  <si>
    <t>48,36%</t>
  </si>
  <si>
    <t>426,12</t>
  </si>
  <si>
    <t>176,72</t>
  </si>
  <si>
    <t>396,49</t>
  </si>
  <si>
    <t>24,63%</t>
  </si>
  <si>
    <t>345,19</t>
  </si>
  <si>
    <t>369,81</t>
  </si>
  <si>
    <t>376,70</t>
  </si>
  <si>
    <t>97,64</t>
  </si>
  <si>
    <t>391,56</t>
  </si>
  <si>
    <t>272,84</t>
  </si>
  <si>
    <t>41,76%</t>
  </si>
  <si>
    <t>409,80</t>
  </si>
  <si>
    <t>245,21</t>
  </si>
  <si>
    <t>440,52</t>
  </si>
  <si>
    <t>410,17</t>
  </si>
  <si>
    <t>254,77</t>
  </si>
  <si>
    <t>360,38</t>
  </si>
  <si>
    <t>178,74</t>
  </si>
  <si>
    <t>69,31%</t>
  </si>
  <si>
    <t>353,40</t>
  </si>
  <si>
    <t>61,97%</t>
  </si>
  <si>
    <t>400,90</t>
  </si>
  <si>
    <t>312,04</t>
  </si>
  <si>
    <t>314,51</t>
  </si>
  <si>
    <t>25,55%</t>
  </si>
  <si>
    <t>330,40</t>
  </si>
  <si>
    <t>387,57</t>
  </si>
  <si>
    <t>64,92</t>
  </si>
  <si>
    <t>322,05</t>
  </si>
  <si>
    <t>306,73</t>
  </si>
  <si>
    <t>426,70</t>
  </si>
  <si>
    <t>66,92%</t>
  </si>
  <si>
    <t>338,89</t>
  </si>
  <si>
    <t>50,41%</t>
  </si>
  <si>
    <t>449,46</t>
  </si>
  <si>
    <t>41,34%</t>
  </si>
  <si>
    <t>160,86</t>
  </si>
  <si>
    <t>49,51%</t>
  </si>
  <si>
    <t>360,66</t>
  </si>
  <si>
    <t>291,62</t>
  </si>
  <si>
    <t>182,30</t>
  </si>
  <si>
    <t>198,25</t>
  </si>
  <si>
    <t>59,66%</t>
  </si>
  <si>
    <t>404,10</t>
  </si>
  <si>
    <t>283,92</t>
  </si>
  <si>
    <t>189,43</t>
  </si>
  <si>
    <t>331,64</t>
  </si>
  <si>
    <t>373,25</t>
  </si>
  <si>
    <t>243,96</t>
  </si>
  <si>
    <t>46,09%</t>
  </si>
  <si>
    <t>347,66</t>
  </si>
  <si>
    <t>231,20</t>
  </si>
  <si>
    <t>417,63</t>
  </si>
  <si>
    <t>420,86</t>
  </si>
  <si>
    <t>270,69</t>
  </si>
  <si>
    <t>58,12%</t>
  </si>
  <si>
    <t>127,55</t>
  </si>
  <si>
    <t>292,76</t>
  </si>
  <si>
    <t>56,71%</t>
  </si>
  <si>
    <t>384,09</t>
  </si>
  <si>
    <t>462,59</t>
  </si>
  <si>
    <t>68,90%</t>
  </si>
  <si>
    <t>453,63</t>
  </si>
  <si>
    <t>207,82</t>
  </si>
  <si>
    <t>404,43</t>
  </si>
  <si>
    <t>411,35</t>
  </si>
  <si>
    <t>261,58</t>
  </si>
  <si>
    <t>376,14</t>
  </si>
  <si>
    <t>54,59%</t>
  </si>
  <si>
    <t>385,94</t>
  </si>
  <si>
    <t>358,76</t>
  </si>
  <si>
    <t>81,70%</t>
  </si>
  <si>
    <t>417,36</t>
  </si>
  <si>
    <t>88,39%</t>
  </si>
  <si>
    <t>442,23</t>
  </si>
  <si>
    <t>398,46</t>
  </si>
  <si>
    <t>410,87</t>
  </si>
  <si>
    <t>39,77%</t>
  </si>
  <si>
    <t>335,04</t>
  </si>
  <si>
    <t>189,93</t>
  </si>
  <si>
    <t>37,43%</t>
  </si>
  <si>
    <t>355,42</t>
  </si>
  <si>
    <t>35,67%</t>
  </si>
  <si>
    <t>336,43</t>
  </si>
  <si>
    <t>272,46</t>
  </si>
  <si>
    <t>47,31%</t>
  </si>
  <si>
    <t>368,49</t>
  </si>
  <si>
    <t>305,91</t>
  </si>
  <si>
    <t>57,11%</t>
  </si>
  <si>
    <t>335,90</t>
  </si>
  <si>
    <t>421,47</t>
  </si>
  <si>
    <t>278,86</t>
  </si>
  <si>
    <t>63,36%</t>
  </si>
  <si>
    <t>57,26%</t>
  </si>
  <si>
    <t>423,94</t>
  </si>
  <si>
    <t>71,24%</t>
  </si>
  <si>
    <t>420,39</t>
  </si>
  <si>
    <t>64,78%</t>
  </si>
  <si>
    <t>457,86</t>
  </si>
  <si>
    <t>277,20</t>
  </si>
  <si>
    <t>404,91</t>
  </si>
  <si>
    <t>412,08</t>
  </si>
  <si>
    <t>321,18</t>
  </si>
  <si>
    <t>405,57</t>
  </si>
  <si>
    <t>377,45</t>
  </si>
  <si>
    <t>171,33</t>
  </si>
  <si>
    <t>370,99</t>
  </si>
  <si>
    <t>412,44</t>
  </si>
  <si>
    <t>230,67</t>
  </si>
  <si>
    <t>58,31%</t>
  </si>
  <si>
    <t>302,08</t>
  </si>
  <si>
    <t>434,77</t>
  </si>
  <si>
    <t>435,60</t>
  </si>
  <si>
    <t>384,78</t>
  </si>
  <si>
    <t>430,98</t>
  </si>
  <si>
    <t>78,23%</t>
  </si>
  <si>
    <t>471,96</t>
  </si>
  <si>
    <t>168,46</t>
  </si>
  <si>
    <t>47,73%</t>
  </si>
  <si>
    <t>400,48</t>
  </si>
  <si>
    <t>51,24%</t>
  </si>
  <si>
    <t>446,50</t>
  </si>
  <si>
    <t>397,26</t>
  </si>
  <si>
    <t>404,02</t>
  </si>
  <si>
    <t>40,37%</t>
  </si>
  <si>
    <t>422,84</t>
  </si>
  <si>
    <t>265,63</t>
  </si>
  <si>
    <t>80,47%</t>
  </si>
  <si>
    <t>370,59</t>
  </si>
  <si>
    <t>432,12</t>
  </si>
  <si>
    <t>325,22</t>
  </si>
  <si>
    <t>445,59</t>
  </si>
  <si>
    <t>451,22</t>
  </si>
  <si>
    <t>132,49</t>
  </si>
  <si>
    <t>45,51%</t>
  </si>
  <si>
    <t>296,65</t>
  </si>
  <si>
    <t>43,22%</t>
  </si>
  <si>
    <t>325,58</t>
  </si>
  <si>
    <t>263,31</t>
  </si>
  <si>
    <t>341,68</t>
  </si>
  <si>
    <t>334,39</t>
  </si>
  <si>
    <t>459,80</t>
  </si>
  <si>
    <t>509,22</t>
  </si>
  <si>
    <t>362,46</t>
  </si>
  <si>
    <t>484,61</t>
  </si>
  <si>
    <t>459,03</t>
  </si>
  <si>
    <t>102,31</t>
  </si>
  <si>
    <t>377,69</t>
  </si>
  <si>
    <t>53,04%</t>
  </si>
  <si>
    <t>393,45</t>
  </si>
  <si>
    <t>220,33</t>
  </si>
  <si>
    <t>346,40</t>
  </si>
  <si>
    <t>38,26%</t>
  </si>
  <si>
    <t>260,61</t>
  </si>
  <si>
    <t>372,67</t>
  </si>
  <si>
    <t>375,47</t>
  </si>
  <si>
    <t>67,57%</t>
  </si>
  <si>
    <t>312,84</t>
  </si>
  <si>
    <t>188,89</t>
  </si>
  <si>
    <t>309,90</t>
  </si>
  <si>
    <t>331,30</t>
  </si>
  <si>
    <t>186,65</t>
  </si>
  <si>
    <t>53,91%</t>
  </si>
  <si>
    <t>320,18</t>
  </si>
  <si>
    <t>57,23%</t>
  </si>
  <si>
    <t>330,77</t>
  </si>
  <si>
    <t>251,80</t>
  </si>
  <si>
    <t>436,60</t>
  </si>
  <si>
    <t>469,43</t>
  </si>
  <si>
    <t>202,45</t>
  </si>
  <si>
    <t>408,57</t>
  </si>
  <si>
    <t>477,14</t>
  </si>
  <si>
    <t>170,87</t>
  </si>
  <si>
    <t>55,59%</t>
  </si>
  <si>
    <t>57,57%</t>
  </si>
  <si>
    <t>379,42</t>
  </si>
  <si>
    <t>251,29</t>
  </si>
  <si>
    <t>58,55%</t>
  </si>
  <si>
    <t>281,63</t>
  </si>
  <si>
    <t>299,89</t>
  </si>
  <si>
    <t>389,24</t>
  </si>
  <si>
    <t>408,27</t>
  </si>
  <si>
    <t>52,30%</t>
  </si>
  <si>
    <t>373,59</t>
  </si>
  <si>
    <t>263,00</t>
  </si>
  <si>
    <t>386,42</t>
  </si>
  <si>
    <t>414,18</t>
  </si>
  <si>
    <t>263,65</t>
  </si>
  <si>
    <t>377,20</t>
  </si>
  <si>
    <t>378,62</t>
  </si>
  <si>
    <t>86,26%</t>
  </si>
  <si>
    <t>401,81</t>
  </si>
  <si>
    <t>82,97%</t>
  </si>
  <si>
    <t>430,27</t>
  </si>
  <si>
    <t>323,39</t>
  </si>
  <si>
    <t>425,63</t>
  </si>
  <si>
    <t>77,47%</t>
  </si>
  <si>
    <t>435,11</t>
  </si>
  <si>
    <t>56,39%</t>
  </si>
  <si>
    <t>55,97%</t>
  </si>
  <si>
    <t>397,13</t>
  </si>
  <si>
    <t>360,32</t>
  </si>
  <si>
    <t>406,31</t>
  </si>
  <si>
    <t>429,19</t>
  </si>
  <si>
    <t>218,60</t>
  </si>
  <si>
    <t>377,86</t>
  </si>
  <si>
    <t>398,57</t>
  </si>
  <si>
    <t>293,78</t>
  </si>
  <si>
    <t>413,68</t>
  </si>
  <si>
    <t>199,22</t>
  </si>
  <si>
    <t>71,18%</t>
  </si>
  <si>
    <t>382,43</t>
  </si>
  <si>
    <t>463,46</t>
  </si>
  <si>
    <t>358,37</t>
  </si>
  <si>
    <t>70,74%</t>
  </si>
  <si>
    <t>385,10</t>
  </si>
  <si>
    <t>42,36%</t>
  </si>
  <si>
    <t>404,30</t>
  </si>
  <si>
    <t>284,61</t>
  </si>
  <si>
    <t>60,30%</t>
  </si>
  <si>
    <t>420,19</t>
  </si>
  <si>
    <t>63,29%</t>
  </si>
  <si>
    <t>360,56</t>
  </si>
  <si>
    <t>395,75</t>
  </si>
  <si>
    <t>129,08</t>
  </si>
  <si>
    <t>54,74%</t>
  </si>
  <si>
    <t>238,51</t>
  </si>
  <si>
    <t>31,69%</t>
  </si>
  <si>
    <t>294,26</t>
  </si>
  <si>
    <t>303,22</t>
  </si>
  <si>
    <t>56,28%</t>
  </si>
  <si>
    <t>312,95</t>
  </si>
  <si>
    <t>297,46</t>
  </si>
  <si>
    <t>48,00%</t>
  </si>
  <si>
    <t>367,19</t>
  </si>
  <si>
    <t>343,16</t>
  </si>
  <si>
    <t>384,81</t>
  </si>
  <si>
    <t>54,10%</t>
  </si>
  <si>
    <t>403,29</t>
  </si>
  <si>
    <t>304,97</t>
  </si>
  <si>
    <t>408,09</t>
  </si>
  <si>
    <t>402,71</t>
  </si>
  <si>
    <t>275,81</t>
  </si>
  <si>
    <t>56,47%</t>
  </si>
  <si>
    <t>390,11</t>
  </si>
  <si>
    <t>340,55</t>
  </si>
  <si>
    <t>170,75</t>
  </si>
  <si>
    <t>312,20</t>
  </si>
  <si>
    <t>62,12%</t>
  </si>
  <si>
    <t>344,88</t>
  </si>
  <si>
    <t>292,68</t>
  </si>
  <si>
    <t>381,20</t>
  </si>
  <si>
    <t>369,74</t>
  </si>
  <si>
    <t>290,87</t>
  </si>
  <si>
    <t>68,85%</t>
  </si>
  <si>
    <t>381,42</t>
  </si>
  <si>
    <t>448,51</t>
  </si>
  <si>
    <t>331,52</t>
  </si>
  <si>
    <t>372,21</t>
  </si>
  <si>
    <t>447,23</t>
  </si>
  <si>
    <t>201,89</t>
  </si>
  <si>
    <t>67,25%</t>
  </si>
  <si>
    <t>388,07</t>
  </si>
  <si>
    <t>80,70%</t>
  </si>
  <si>
    <t>391,88</t>
  </si>
  <si>
    <t>282,09</t>
  </si>
  <si>
    <t>74,27%</t>
  </si>
  <si>
    <t>390,48</t>
  </si>
  <si>
    <t>394,88</t>
  </si>
  <si>
    <t>183,29</t>
  </si>
  <si>
    <t>312,34</t>
  </si>
  <si>
    <t>432,65</t>
  </si>
  <si>
    <t>199,93</t>
  </si>
  <si>
    <t>50,52%</t>
  </si>
  <si>
    <t>352,73</t>
  </si>
  <si>
    <t>297,65</t>
  </si>
  <si>
    <t>287,50</t>
  </si>
  <si>
    <t>395,24</t>
  </si>
  <si>
    <t>432,51</t>
  </si>
  <si>
    <t>398,55</t>
  </si>
  <si>
    <t>422,38</t>
  </si>
  <si>
    <t>282,02</t>
  </si>
  <si>
    <t>395,16</t>
  </si>
  <si>
    <t>453,49</t>
  </si>
  <si>
    <t>390,70</t>
  </si>
  <si>
    <t>42,96%</t>
  </si>
  <si>
    <t>45,02%</t>
  </si>
  <si>
    <t>464,74</t>
  </si>
  <si>
    <t>211,55</t>
  </si>
  <si>
    <t>422,71</t>
  </si>
  <si>
    <t>468,45</t>
  </si>
  <si>
    <t>312,07</t>
  </si>
  <si>
    <t>481,41</t>
  </si>
  <si>
    <t>59,49%</t>
  </si>
  <si>
    <t>509,06</t>
  </si>
  <si>
    <t>228,72</t>
  </si>
  <si>
    <t>51,04%</t>
  </si>
  <si>
    <t>338,35</t>
  </si>
  <si>
    <t>50,45%</t>
  </si>
  <si>
    <t>378,31</t>
  </si>
  <si>
    <t>220,78</t>
  </si>
  <si>
    <t>77,45%</t>
  </si>
  <si>
    <t>73,29%</t>
  </si>
  <si>
    <t>415,02</t>
  </si>
  <si>
    <t>202,35</t>
  </si>
  <si>
    <t>402,22</t>
  </si>
  <si>
    <t>493,33</t>
  </si>
  <si>
    <t>402,00</t>
  </si>
  <si>
    <t>330,28</t>
  </si>
  <si>
    <t>49,41%</t>
  </si>
  <si>
    <t>47,65%</t>
  </si>
  <si>
    <t>394,17</t>
  </si>
  <si>
    <t>39,71%</t>
  </si>
  <si>
    <t>416,59</t>
  </si>
  <si>
    <t>427,75</t>
  </si>
  <si>
    <t>177,55</t>
  </si>
  <si>
    <t>403,84</t>
  </si>
  <si>
    <t>422,78</t>
  </si>
  <si>
    <t>207,03</t>
  </si>
  <si>
    <t>44,00%</t>
  </si>
  <si>
    <t>314,91</t>
  </si>
  <si>
    <t>453,02</t>
  </si>
  <si>
    <t>352,21</t>
  </si>
  <si>
    <t>59,70%</t>
  </si>
  <si>
    <t>421,01</t>
  </si>
  <si>
    <t>57,61%</t>
  </si>
  <si>
    <t>499,37</t>
  </si>
  <si>
    <t>369,35</t>
  </si>
  <si>
    <t>456,35</t>
  </si>
  <si>
    <t>461,43</t>
  </si>
  <si>
    <t>475,88</t>
  </si>
  <si>
    <t>468,37</t>
  </si>
  <si>
    <t>508,03</t>
  </si>
  <si>
    <t>527,49</t>
  </si>
  <si>
    <t>81,87%</t>
  </si>
  <si>
    <t>504,74</t>
  </si>
  <si>
    <t>59,49</t>
  </si>
  <si>
    <t>59,03%</t>
  </si>
  <si>
    <t>335,94</t>
  </si>
  <si>
    <t>44,79%</t>
  </si>
  <si>
    <t>313,78</t>
  </si>
  <si>
    <t>38,54%</t>
  </si>
  <si>
    <t>244,12</t>
  </si>
  <si>
    <t>396,44</t>
  </si>
  <si>
    <t>394,64</t>
  </si>
  <si>
    <t>254,32</t>
  </si>
  <si>
    <t>348,89</t>
  </si>
  <si>
    <t>137,26</t>
  </si>
  <si>
    <t>394,44</t>
  </si>
  <si>
    <t>221,69</t>
  </si>
  <si>
    <t>391,58</t>
  </si>
  <si>
    <t>366,60</t>
  </si>
  <si>
    <t>378,06</t>
  </si>
  <si>
    <t>346,23</t>
  </si>
  <si>
    <t>410,41</t>
  </si>
  <si>
    <t>165,38</t>
  </si>
  <si>
    <t>60,38%</t>
  </si>
  <si>
    <t>371,21</t>
  </si>
  <si>
    <t>262,67</t>
  </si>
  <si>
    <t>328,14</t>
  </si>
  <si>
    <t>370,98</t>
  </si>
  <si>
    <t>169,20</t>
  </si>
  <si>
    <t>360,48</t>
  </si>
  <si>
    <t>169,15</t>
  </si>
  <si>
    <t>298,24</t>
  </si>
  <si>
    <t>431,60</t>
  </si>
  <si>
    <t>452,38</t>
  </si>
  <si>
    <t>296,43</t>
  </si>
  <si>
    <t>404,14</t>
  </si>
  <si>
    <t>461,33</t>
  </si>
  <si>
    <t>366,43</t>
  </si>
  <si>
    <t>439,33</t>
  </si>
  <si>
    <t>269,64</t>
  </si>
  <si>
    <t>416,96</t>
  </si>
  <si>
    <t>69,77%</t>
  </si>
  <si>
    <t>456,07</t>
  </si>
  <si>
    <t>451,37</t>
  </si>
  <si>
    <t>59,88%</t>
  </si>
  <si>
    <t>449,02</t>
  </si>
  <si>
    <t>122,67</t>
  </si>
  <si>
    <t>53,82%</t>
  </si>
  <si>
    <t>61,83%</t>
  </si>
  <si>
    <t>377,53</t>
  </si>
  <si>
    <t>187,27</t>
  </si>
  <si>
    <t>260,49</t>
  </si>
  <si>
    <t>271,88</t>
  </si>
  <si>
    <t>69,35%</t>
  </si>
  <si>
    <t>362,79</t>
  </si>
  <si>
    <t>410,63</t>
  </si>
  <si>
    <t>308,48</t>
  </si>
  <si>
    <t>370,83</t>
  </si>
  <si>
    <t>407,67</t>
  </si>
  <si>
    <t>209,97</t>
  </si>
  <si>
    <t>326,55</t>
  </si>
  <si>
    <t>401,22</t>
  </si>
  <si>
    <t>239,18</t>
  </si>
  <si>
    <t>388,25</t>
  </si>
  <si>
    <t>46,32%</t>
  </si>
  <si>
    <t>296,08</t>
  </si>
  <si>
    <t>388,91</t>
  </si>
  <si>
    <t>411,92</t>
  </si>
  <si>
    <t>363,00</t>
  </si>
  <si>
    <t>356,76</t>
  </si>
  <si>
    <t>52,37%</t>
  </si>
  <si>
    <t>422,92</t>
  </si>
  <si>
    <t>343,04</t>
  </si>
  <si>
    <t>50,44%</t>
  </si>
  <si>
    <t>525,07</t>
  </si>
  <si>
    <t>44,22%</t>
  </si>
  <si>
    <t>574,26</t>
  </si>
  <si>
    <t>410,60</t>
  </si>
  <si>
    <t>48,98%</t>
  </si>
  <si>
    <t>641,03</t>
  </si>
  <si>
    <t>45,58%</t>
  </si>
  <si>
    <t>527,16</t>
  </si>
  <si>
    <t>362,64</t>
  </si>
  <si>
    <t>471,49</t>
  </si>
  <si>
    <t>489,29</t>
  </si>
  <si>
    <t>416,47</t>
  </si>
  <si>
    <t>479,32</t>
  </si>
  <si>
    <t>76,21%</t>
  </si>
  <si>
    <t>507,80</t>
  </si>
  <si>
    <t>220,40</t>
  </si>
  <si>
    <t>358,92</t>
  </si>
  <si>
    <t>39,69%</t>
  </si>
  <si>
    <t>356,27</t>
  </si>
  <si>
    <t>232,34</t>
  </si>
  <si>
    <t>374,83</t>
  </si>
  <si>
    <t>71,13%</t>
  </si>
  <si>
    <t>408,53</t>
  </si>
  <si>
    <t>238,92</t>
  </si>
  <si>
    <t>410,43</t>
  </si>
  <si>
    <t>399,47</t>
  </si>
  <si>
    <t>59,02%</t>
  </si>
  <si>
    <t>388,65</t>
  </si>
  <si>
    <t>166,88</t>
  </si>
  <si>
    <t>57,63%</t>
  </si>
  <si>
    <t>419,10</t>
  </si>
  <si>
    <t>414,25</t>
  </si>
  <si>
    <t>306,30</t>
  </si>
  <si>
    <t>58,47%</t>
  </si>
  <si>
    <t>471,88</t>
  </si>
  <si>
    <t>381,82</t>
  </si>
  <si>
    <t>494,19</t>
  </si>
  <si>
    <t>583,45</t>
  </si>
  <si>
    <t>424,86</t>
  </si>
  <si>
    <t>477,65</t>
  </si>
  <si>
    <t>516,76</t>
  </si>
  <si>
    <t>272,34</t>
  </si>
  <si>
    <t>55,22%</t>
  </si>
  <si>
    <t>503,45</t>
  </si>
  <si>
    <t>165,22</t>
  </si>
  <si>
    <t>49,06%</t>
  </si>
  <si>
    <t>40,33%</t>
  </si>
  <si>
    <t>296,23</t>
  </si>
  <si>
    <t>167,99</t>
  </si>
  <si>
    <t>297,02</t>
  </si>
  <si>
    <t>314,47</t>
  </si>
  <si>
    <t>371,76</t>
  </si>
  <si>
    <t>501,05</t>
  </si>
  <si>
    <t>451,76</t>
  </si>
  <si>
    <t>228,97</t>
  </si>
  <si>
    <t>403,36</t>
  </si>
  <si>
    <t>54,18%</t>
  </si>
  <si>
    <t>426,69</t>
  </si>
  <si>
    <t>315,32</t>
  </si>
  <si>
    <t>60,62%</t>
  </si>
  <si>
    <t>350,05</t>
  </si>
  <si>
    <t>364,42</t>
  </si>
  <si>
    <t>425,19</t>
  </si>
  <si>
    <t>86,55%</t>
  </si>
  <si>
    <t>488,11</t>
  </si>
  <si>
    <t>374,53</t>
  </si>
  <si>
    <t>454,62</t>
  </si>
  <si>
    <t>454,51</t>
  </si>
  <si>
    <t>65,18%</t>
  </si>
  <si>
    <t>328,33</t>
  </si>
  <si>
    <t>191,86</t>
  </si>
  <si>
    <t>63,39%</t>
  </si>
  <si>
    <t>313,53</t>
  </si>
  <si>
    <t>50,89%</t>
  </si>
  <si>
    <t>165,35</t>
  </si>
  <si>
    <t>39,94%</t>
  </si>
  <si>
    <t>345,90</t>
  </si>
  <si>
    <t>49,20%</t>
  </si>
  <si>
    <t>104,00</t>
  </si>
  <si>
    <t>238,49</t>
  </si>
  <si>
    <t>49,84%</t>
  </si>
  <si>
    <t>244,90</t>
  </si>
  <si>
    <t>122,73</t>
  </si>
  <si>
    <t>310,53</t>
  </si>
  <si>
    <t>84,31%</t>
  </si>
  <si>
    <t>235,00</t>
  </si>
  <si>
    <t>251,89</t>
  </si>
  <si>
    <t>335,14</t>
  </si>
  <si>
    <t>302,86</t>
  </si>
  <si>
    <t>38,40</t>
  </si>
  <si>
    <t>324,80</t>
  </si>
  <si>
    <t>324,88</t>
  </si>
  <si>
    <t>195,00</t>
  </si>
  <si>
    <t>320,73</t>
  </si>
  <si>
    <t>267,69</t>
  </si>
  <si>
    <t>77,14%</t>
  </si>
  <si>
    <t>398,52</t>
  </si>
  <si>
    <t>483,20</t>
  </si>
  <si>
    <t>358,40</t>
  </si>
  <si>
    <t>481,48</t>
  </si>
  <si>
    <t>395,20</t>
  </si>
  <si>
    <t>298,89</t>
  </si>
  <si>
    <t>431,29</t>
  </si>
  <si>
    <t>453,37</t>
  </si>
  <si>
    <t>421,20</t>
  </si>
  <si>
    <t>69,86%</t>
  </si>
  <si>
    <t>466,98</t>
  </si>
  <si>
    <t>70,06%</t>
  </si>
  <si>
    <t>457,31</t>
  </si>
  <si>
    <t>319,09</t>
  </si>
  <si>
    <t>65,77%</t>
  </si>
  <si>
    <t>443,29</t>
  </si>
  <si>
    <t>480,91</t>
  </si>
  <si>
    <t>429,30</t>
  </si>
  <si>
    <t>72,07%</t>
  </si>
  <si>
    <t>521,50</t>
  </si>
  <si>
    <t>500,24</t>
  </si>
  <si>
    <t>235,87</t>
  </si>
  <si>
    <t>68,51%</t>
  </si>
  <si>
    <t>415,80</t>
  </si>
  <si>
    <t>461,79</t>
  </si>
  <si>
    <t>341,11</t>
  </si>
  <si>
    <t>54,13%</t>
  </si>
  <si>
    <t>463,14</t>
  </si>
  <si>
    <t>358,95</t>
  </si>
  <si>
    <t>454,44</t>
  </si>
  <si>
    <t>164,62</t>
  </si>
  <si>
    <t>417,78</t>
  </si>
  <si>
    <t>474,59</t>
  </si>
  <si>
    <t>473,54</t>
  </si>
  <si>
    <t>482,51</t>
  </si>
  <si>
    <t>438,40</t>
  </si>
  <si>
    <t>479,26</t>
  </si>
  <si>
    <t>84,30%</t>
  </si>
  <si>
    <t>476,10</t>
  </si>
  <si>
    <t>363,33</t>
  </si>
  <si>
    <t>73,56%</t>
  </si>
  <si>
    <t>422,50</t>
  </si>
  <si>
    <t>380,31</t>
  </si>
  <si>
    <t>409,85</t>
  </si>
  <si>
    <t>74,71%</t>
  </si>
  <si>
    <t>417,50</t>
  </si>
  <si>
    <t>155,31</t>
  </si>
  <si>
    <t>54,79%</t>
  </si>
  <si>
    <t>378,45</t>
  </si>
  <si>
    <t>287,47</t>
  </si>
  <si>
    <t>42,39%</t>
  </si>
  <si>
    <t>369,42</t>
  </si>
  <si>
    <t>326,62</t>
  </si>
  <si>
    <t>421,09</t>
  </si>
  <si>
    <t>343,94</t>
  </si>
  <si>
    <t>74,57%</t>
  </si>
  <si>
    <t>430,96</t>
  </si>
  <si>
    <t>96,43</t>
  </si>
  <si>
    <t>57,95%</t>
  </si>
  <si>
    <t>336,80</t>
  </si>
  <si>
    <t>348,36</t>
  </si>
  <si>
    <t>418,91</t>
  </si>
  <si>
    <t>219,46</t>
  </si>
  <si>
    <t>303,47</t>
  </si>
  <si>
    <t>60,55%</t>
  </si>
  <si>
    <t>313,51</t>
  </si>
  <si>
    <t>275,00</t>
  </si>
  <si>
    <t>50,39%</t>
  </si>
  <si>
    <t>292,09</t>
  </si>
  <si>
    <t>316,94</t>
  </si>
  <si>
    <t>205,49</t>
  </si>
  <si>
    <t>431,27</t>
  </si>
  <si>
    <t>66,23%</t>
  </si>
  <si>
    <t>353,47</t>
  </si>
  <si>
    <t>401,48</t>
  </si>
  <si>
    <t>238,93</t>
  </si>
  <si>
    <t>66,93%</t>
  </si>
  <si>
    <t>428,75</t>
  </si>
  <si>
    <t>66,14%</t>
  </si>
  <si>
    <t>58,27%</t>
  </si>
  <si>
    <t>357,84</t>
  </si>
  <si>
    <t>194,15</t>
  </si>
  <si>
    <t>41,32%</t>
  </si>
  <si>
    <t>309,21</t>
  </si>
  <si>
    <t>32,62%</t>
  </si>
  <si>
    <t>414,78</t>
  </si>
  <si>
    <t>171,43</t>
  </si>
  <si>
    <t>75,89%</t>
  </si>
  <si>
    <t>217,20</t>
  </si>
  <si>
    <t>305,53</t>
  </si>
  <si>
    <t>140,27</t>
  </si>
  <si>
    <t>27,55%</t>
  </si>
  <si>
    <t>335,39</t>
  </si>
  <si>
    <t>41,57%</t>
  </si>
  <si>
    <t>337,55</t>
  </si>
  <si>
    <t>296,27</t>
  </si>
  <si>
    <t>301,74</t>
  </si>
  <si>
    <t>373,15</t>
  </si>
  <si>
    <t>175,45</t>
  </si>
  <si>
    <t>73,73%</t>
  </si>
  <si>
    <t>360,94</t>
  </si>
  <si>
    <t>363,08</t>
  </si>
  <si>
    <t>260,54</t>
  </si>
  <si>
    <t>437,38</t>
  </si>
  <si>
    <t>389,57</t>
  </si>
  <si>
    <t>354,07</t>
  </si>
  <si>
    <t>235,29</t>
  </si>
  <si>
    <t>91,03%</t>
  </si>
  <si>
    <t>145,13</t>
  </si>
  <si>
    <t>64,74</t>
  </si>
  <si>
    <t>393,11</t>
  </si>
  <si>
    <t>69,73%</t>
  </si>
  <si>
    <t>462,95</t>
  </si>
  <si>
    <t>516,39</t>
  </si>
  <si>
    <t>479,33</t>
  </si>
  <si>
    <t>65,95%</t>
  </si>
  <si>
    <t>513,44</t>
  </si>
  <si>
    <t>62,16%</t>
  </si>
  <si>
    <t>223,09</t>
  </si>
  <si>
    <t>406,98</t>
  </si>
  <si>
    <t>54,11%</t>
  </si>
  <si>
    <t>426,49</t>
  </si>
  <si>
    <t>444,76</t>
  </si>
  <si>
    <t>247,80</t>
  </si>
  <si>
    <t>231,00</t>
  </si>
  <si>
    <t>200,80</t>
  </si>
  <si>
    <t>73,77%</t>
  </si>
  <si>
    <t>356,44</t>
  </si>
  <si>
    <t>314,63</t>
  </si>
  <si>
    <t>99,60%</t>
  </si>
  <si>
    <t>359,67</t>
  </si>
  <si>
    <t>81,53%</t>
  </si>
  <si>
    <t>472,28</t>
  </si>
  <si>
    <t>394,29</t>
  </si>
  <si>
    <t>85,14%</t>
  </si>
  <si>
    <t>480,95</t>
  </si>
  <si>
    <t>489,63</t>
  </si>
  <si>
    <t>294,92</t>
  </si>
  <si>
    <t>40,58%</t>
  </si>
  <si>
    <t>517,03</t>
  </si>
  <si>
    <t>33,60%</t>
  </si>
  <si>
    <t>457,46</t>
  </si>
  <si>
    <t>368,78</t>
  </si>
  <si>
    <t>470,10</t>
  </si>
  <si>
    <t>40,80%</t>
  </si>
  <si>
    <t>418,82</t>
  </si>
  <si>
    <t>203,23</t>
  </si>
  <si>
    <t>332,50</t>
  </si>
  <si>
    <t>284,38</t>
  </si>
  <si>
    <t>290,20</t>
  </si>
  <si>
    <t>181,00</t>
  </si>
  <si>
    <t>331,95</t>
  </si>
  <si>
    <t>386,48</t>
  </si>
  <si>
    <t>231,03</t>
  </si>
  <si>
    <t>72,28%</t>
  </si>
  <si>
    <t>362,19</t>
  </si>
  <si>
    <t>44,55%</t>
  </si>
  <si>
    <t>257,78</t>
  </si>
  <si>
    <t>347,92</t>
  </si>
  <si>
    <t>474,53</t>
  </si>
  <si>
    <t>58,78%</t>
  </si>
  <si>
    <t>492,61</t>
  </si>
  <si>
    <t>54,39%</t>
  </si>
  <si>
    <t>485,03</t>
  </si>
  <si>
    <t>46,34%</t>
  </si>
  <si>
    <t>445,48</t>
  </si>
  <si>
    <t>463,41</t>
  </si>
  <si>
    <t>492,68</t>
  </si>
  <si>
    <t>461,82</t>
  </si>
  <si>
    <t>489,73</t>
  </si>
  <si>
    <t>90,00</t>
  </si>
  <si>
    <t>288,89</t>
  </si>
  <si>
    <t>356,36</t>
  </si>
  <si>
    <t>309,58</t>
  </si>
  <si>
    <t>426,44</t>
  </si>
  <si>
    <t>83,23%</t>
  </si>
  <si>
    <t>463,17</t>
  </si>
  <si>
    <t>68,39%</t>
  </si>
  <si>
    <t>473,96</t>
  </si>
  <si>
    <t>477,19</t>
  </si>
  <si>
    <t>256,03</t>
  </si>
  <si>
    <t>212,00</t>
  </si>
  <si>
    <t>331,54</t>
  </si>
  <si>
    <t>358,94</t>
  </si>
  <si>
    <t>397,68</t>
  </si>
  <si>
    <t>403,66</t>
  </si>
  <si>
    <t>88,42%</t>
  </si>
  <si>
    <t>88,32%</t>
  </si>
  <si>
    <t>531,64</t>
  </si>
  <si>
    <t>453,65</t>
  </si>
  <si>
    <t>88,83%</t>
  </si>
  <si>
    <t>540,80</t>
  </si>
  <si>
    <t>81,73%</t>
  </si>
  <si>
    <t>474,50</t>
  </si>
  <si>
    <t>163,20</t>
  </si>
  <si>
    <t>312,59</t>
  </si>
  <si>
    <t>438,67</t>
  </si>
  <si>
    <t>426,21</t>
  </si>
  <si>
    <t>293,27</t>
  </si>
  <si>
    <t>72,90%</t>
  </si>
  <si>
    <t>465,45</t>
  </si>
  <si>
    <t>76,72%</t>
  </si>
  <si>
    <t>506,18</t>
  </si>
  <si>
    <t>510,42</t>
  </si>
  <si>
    <t>261,94</t>
  </si>
  <si>
    <t>360,77</t>
  </si>
  <si>
    <t>62,20%</t>
  </si>
  <si>
    <t>502,75</t>
  </si>
  <si>
    <t>328,57</t>
  </si>
  <si>
    <t>469,47</t>
  </si>
  <si>
    <t>469,52</t>
  </si>
  <si>
    <t>369,95</t>
  </si>
  <si>
    <t>95,05%</t>
  </si>
  <si>
    <t>87,45%</t>
  </si>
  <si>
    <t>525,70</t>
  </si>
  <si>
    <t>459,62</t>
  </si>
  <si>
    <t>93,07%</t>
  </si>
  <si>
    <t>537,96</t>
  </si>
  <si>
    <t>91,34%</t>
  </si>
  <si>
    <t>591,25</t>
  </si>
  <si>
    <t>121,40</t>
  </si>
  <si>
    <t>454,48</t>
  </si>
  <si>
    <t>599,09</t>
  </si>
  <si>
    <t>527,62</t>
  </si>
  <si>
    <t>625,31</t>
  </si>
  <si>
    <t>79,66%</t>
  </si>
  <si>
    <t>641,74</t>
  </si>
  <si>
    <t>254,01</t>
  </si>
  <si>
    <t>45,37%</t>
  </si>
  <si>
    <t>41,73%</t>
  </si>
  <si>
    <t>422,97</t>
  </si>
  <si>
    <t>208,02</t>
  </si>
  <si>
    <t>60,63%</t>
  </si>
  <si>
    <t>596,88</t>
  </si>
  <si>
    <t>44,09%</t>
  </si>
  <si>
    <t>511,43</t>
  </si>
  <si>
    <t>415,65</t>
  </si>
  <si>
    <t>478,22</t>
  </si>
  <si>
    <t>512,82</t>
  </si>
  <si>
    <t>532,17</t>
  </si>
  <si>
    <t>491,08</t>
  </si>
  <si>
    <t>521,47</t>
  </si>
  <si>
    <t>427,37</t>
  </si>
  <si>
    <t>488,40</t>
  </si>
  <si>
    <t>47,28%</t>
  </si>
  <si>
    <t>464,65</t>
  </si>
  <si>
    <t>261,41</t>
  </si>
  <si>
    <t>332,17</t>
  </si>
  <si>
    <t>383,49</t>
  </si>
  <si>
    <t>234,20</t>
  </si>
  <si>
    <t>440,74</t>
  </si>
  <si>
    <t>406,45</t>
  </si>
  <si>
    <t>336,47</t>
  </si>
  <si>
    <t>414,69</t>
  </si>
  <si>
    <t>440,80</t>
  </si>
  <si>
    <t>447,35</t>
  </si>
  <si>
    <t>90,57%</t>
  </si>
  <si>
    <t>488,98</t>
  </si>
  <si>
    <t>586,80</t>
  </si>
  <si>
    <t>552,52</t>
  </si>
  <si>
    <t>608,20</t>
  </si>
  <si>
    <t>615,24</t>
  </si>
  <si>
    <t>541,18</t>
  </si>
  <si>
    <t>629,47</t>
  </si>
  <si>
    <t>448,42</t>
  </si>
  <si>
    <t>649,41</t>
  </si>
  <si>
    <t>586,67</t>
  </si>
  <si>
    <t>158,31</t>
  </si>
  <si>
    <t>412,70</t>
  </si>
  <si>
    <t>44,87%</t>
  </si>
  <si>
    <t>241,11</t>
  </si>
  <si>
    <t>48,72%</t>
  </si>
  <si>
    <t>252,36</t>
  </si>
  <si>
    <t>77,05%</t>
  </si>
  <si>
    <t>427,23</t>
  </si>
  <si>
    <t>531,54</t>
  </si>
  <si>
    <t>90,16%</t>
  </si>
  <si>
    <t>649,45</t>
  </si>
  <si>
    <t>640,00</t>
  </si>
  <si>
    <t>336,54</t>
  </si>
  <si>
    <t>97,54%</t>
  </si>
  <si>
    <t>316,31</t>
  </si>
  <si>
    <t>465,49</t>
  </si>
  <si>
    <t>440,51</t>
  </si>
  <si>
    <t>51,82%</t>
  </si>
  <si>
    <t>51,09%</t>
  </si>
  <si>
    <t>370,37</t>
  </si>
  <si>
    <t>446,49</t>
  </si>
  <si>
    <t>257,07</t>
  </si>
  <si>
    <t>485,50</t>
  </si>
  <si>
    <t>464,50</t>
  </si>
  <si>
    <t>561,82</t>
  </si>
  <si>
    <t>588,24</t>
  </si>
  <si>
    <t>436,19</t>
  </si>
  <si>
    <t>557,89</t>
  </si>
  <si>
    <t>571,43</t>
  </si>
  <si>
    <t>124,71</t>
  </si>
  <si>
    <t>326,06</t>
  </si>
  <si>
    <t>316,49</t>
  </si>
  <si>
    <t>63,83%</t>
  </si>
  <si>
    <t>364,97</t>
  </si>
  <si>
    <t>203,08</t>
  </si>
  <si>
    <t>393,33</t>
  </si>
  <si>
    <t>332,31</t>
  </si>
  <si>
    <t>375,38</t>
  </si>
  <si>
    <t>396,92</t>
  </si>
  <si>
    <t>495,17</t>
  </si>
  <si>
    <t>507,69</t>
  </si>
  <si>
    <t>551,11</t>
  </si>
  <si>
    <t>568,89</t>
  </si>
  <si>
    <t>91,47%</t>
  </si>
  <si>
    <t>291,30</t>
  </si>
  <si>
    <t>326,28</t>
  </si>
  <si>
    <t>324,64</t>
  </si>
  <si>
    <t>437,05</t>
  </si>
  <si>
    <t>228,68</t>
  </si>
  <si>
    <t>491,58</t>
  </si>
  <si>
    <t>517,69</t>
  </si>
  <si>
    <t>403,20</t>
  </si>
  <si>
    <t>407,61</t>
  </si>
  <si>
    <t>370,16</t>
  </si>
  <si>
    <t>83,08%</t>
  </si>
  <si>
    <t>441,54</t>
  </si>
  <si>
    <t>418,41</t>
  </si>
  <si>
    <t>377,93</t>
  </si>
  <si>
    <t>462,96</t>
  </si>
  <si>
    <t>81,54%</t>
  </si>
  <si>
    <t>469,23</t>
  </si>
  <si>
    <t>161,33</t>
  </si>
  <si>
    <t>341,33</t>
  </si>
  <si>
    <t>414,19</t>
  </si>
  <si>
    <t>387,50</t>
  </si>
  <si>
    <t>488,89</t>
  </si>
  <si>
    <t>213,00</t>
  </si>
  <si>
    <t>81,13%</t>
  </si>
  <si>
    <t>468,84</t>
  </si>
  <si>
    <t>283,56</t>
  </si>
  <si>
    <t>460,95</t>
  </si>
  <si>
    <t>303,81</t>
  </si>
  <si>
    <t>523,64</t>
  </si>
  <si>
    <t>516,92</t>
  </si>
  <si>
    <t>18,18</t>
  </si>
  <si>
    <t>613,33</t>
  </si>
  <si>
    <t>546,67</t>
  </si>
  <si>
    <t>620,00</t>
  </si>
  <si>
    <t>614,55</t>
  </si>
  <si>
    <t>206,11</t>
  </si>
  <si>
    <t>397,06</t>
  </si>
  <si>
    <t>397,75</t>
  </si>
  <si>
    <t>432,46</t>
  </si>
  <si>
    <t>394,75</t>
  </si>
  <si>
    <t>249,14</t>
  </si>
  <si>
    <t>391,76</t>
  </si>
  <si>
    <t>51,32%</t>
  </si>
  <si>
    <t>387,69</t>
  </si>
  <si>
    <t>43,42%</t>
  </si>
  <si>
    <t>318,79</t>
  </si>
  <si>
    <t>256,67</t>
  </si>
  <si>
    <t>455,79</t>
  </si>
  <si>
    <t>462,61</t>
  </si>
  <si>
    <t>264,62</t>
  </si>
  <si>
    <t>513,64</t>
  </si>
  <si>
    <t>583,33</t>
  </si>
  <si>
    <t>136,55</t>
  </si>
  <si>
    <t>474,78</t>
  </si>
  <si>
    <t>408,33</t>
  </si>
  <si>
    <t>498,18</t>
  </si>
  <si>
    <t>507,02</t>
  </si>
  <si>
    <t>533,85</t>
  </si>
  <si>
    <t>88,69%</t>
  </si>
  <si>
    <t>578,96</t>
  </si>
  <si>
    <t>550,00</t>
  </si>
  <si>
    <t>89,29%</t>
  </si>
  <si>
    <t>564,71</t>
  </si>
  <si>
    <t>557,80</t>
  </si>
  <si>
    <t>597,04</t>
  </si>
  <si>
    <t>588,57</t>
  </si>
  <si>
    <t>326,45</t>
  </si>
  <si>
    <t>417,33</t>
  </si>
  <si>
    <t>446,15</t>
  </si>
  <si>
    <t>549,09</t>
  </si>
  <si>
    <t>499,61</t>
  </si>
  <si>
    <t>634,29</t>
  </si>
  <si>
    <t>59,65%</t>
  </si>
  <si>
    <t>611,76</t>
  </si>
  <si>
    <t>527,06</t>
  </si>
  <si>
    <t>358,87</t>
  </si>
  <si>
    <t>60,49%</t>
  </si>
  <si>
    <t>405,83</t>
  </si>
  <si>
    <t>83,95%</t>
  </si>
  <si>
    <t>392,35</t>
  </si>
  <si>
    <t>372,35</t>
  </si>
  <si>
    <t>468,48</t>
  </si>
  <si>
    <t>432,73</t>
  </si>
  <si>
    <t>141,33</t>
  </si>
  <si>
    <t>287,37</t>
  </si>
  <si>
    <t>339,26</t>
  </si>
  <si>
    <t>138,18</t>
  </si>
  <si>
    <t>206,67</t>
  </si>
  <si>
    <t>528,16</t>
  </si>
  <si>
    <t>527,35</t>
  </si>
  <si>
    <t>607,27</t>
  </si>
  <si>
    <t>599,15</t>
  </si>
  <si>
    <t>625,12</t>
  </si>
  <si>
    <t>592,00</t>
  </si>
  <si>
    <t>317,58</t>
  </si>
  <si>
    <t>419,35</t>
  </si>
  <si>
    <t>488,75</t>
  </si>
  <si>
    <t>327,62</t>
  </si>
  <si>
    <t>405,71</t>
  </si>
  <si>
    <t>388,97</t>
  </si>
  <si>
    <t>472,94</t>
  </si>
  <si>
    <t>539,35</t>
  </si>
  <si>
    <t>88,60%</t>
  </si>
  <si>
    <t>566,73</t>
  </si>
  <si>
    <t>563,40</t>
  </si>
  <si>
    <t>520,80</t>
  </si>
  <si>
    <t>588,63</t>
  </si>
  <si>
    <t>87,72%</t>
  </si>
  <si>
    <t>588,80</t>
  </si>
  <si>
    <t>431,87</t>
  </si>
  <si>
    <t>75,62%</t>
  </si>
  <si>
    <t>495,03</t>
  </si>
  <si>
    <t>343,10</t>
  </si>
  <si>
    <t>486,64</t>
  </si>
  <si>
    <t>67,24%</t>
  </si>
  <si>
    <t>440,30</t>
  </si>
  <si>
    <t>219,31</t>
  </si>
  <si>
    <t>59,18%</t>
  </si>
  <si>
    <t>395,56</t>
  </si>
  <si>
    <t>418,89</t>
  </si>
  <si>
    <t>369,52</t>
  </si>
  <si>
    <t>478,52</t>
  </si>
  <si>
    <t>402,93</t>
  </si>
  <si>
    <t>534,62</t>
  </si>
  <si>
    <t>506,39</t>
  </si>
  <si>
    <t>499,82</t>
  </si>
  <si>
    <t>474,55</t>
  </si>
  <si>
    <t>30,63%</t>
  </si>
  <si>
    <t>537,50</t>
  </si>
  <si>
    <t>309,66</t>
  </si>
  <si>
    <t>71,21%</t>
  </si>
  <si>
    <t>393,91</t>
  </si>
  <si>
    <t>431,11</t>
  </si>
  <si>
    <t>359,27</t>
  </si>
  <si>
    <t>419,17</t>
  </si>
  <si>
    <t>450,28</t>
  </si>
  <si>
    <t>356,57</t>
  </si>
  <si>
    <t>75,18%</t>
  </si>
  <si>
    <t>383,26</t>
  </si>
  <si>
    <t>360,73</t>
  </si>
  <si>
    <t>469,09</t>
  </si>
  <si>
    <t>451,72</t>
  </si>
  <si>
    <t>442,22</t>
  </si>
  <si>
    <t>78,15%</t>
  </si>
  <si>
    <t>554,78</t>
  </si>
  <si>
    <t>74,79%</t>
  </si>
  <si>
    <t>527,27</t>
  </si>
  <si>
    <t>415,44</t>
  </si>
  <si>
    <t>442,86</t>
  </si>
  <si>
    <t>88,71%</t>
  </si>
  <si>
    <t>471,27</t>
  </si>
  <si>
    <t>397,82</t>
  </si>
  <si>
    <t>428,36</t>
  </si>
  <si>
    <t>437,65</t>
  </si>
  <si>
    <t>266,11</t>
  </si>
  <si>
    <t>477,51</t>
  </si>
  <si>
    <t>430,99</t>
  </si>
  <si>
    <t>448,65</t>
  </si>
  <si>
    <t>472,43</t>
  </si>
  <si>
    <t>298,40</t>
  </si>
  <si>
    <t>84,74%</t>
  </si>
  <si>
    <t>82,11%</t>
  </si>
  <si>
    <t>534,47</t>
  </si>
  <si>
    <t>418,81</t>
  </si>
  <si>
    <t>507,56</t>
  </si>
  <si>
    <t>495,57</t>
  </si>
  <si>
    <t>344,78</t>
  </si>
  <si>
    <t>75,50%</t>
  </si>
  <si>
    <t>420,40</t>
  </si>
  <si>
    <t>73,00%</t>
  </si>
  <si>
    <t>427,67</t>
  </si>
  <si>
    <t>324,47</t>
  </si>
  <si>
    <t>397,33</t>
  </si>
  <si>
    <t>406,62</t>
  </si>
  <si>
    <t>87,86%</t>
  </si>
  <si>
    <t>400,33</t>
  </si>
  <si>
    <t>378,97</t>
  </si>
  <si>
    <t>424,54</t>
  </si>
  <si>
    <t>417,04</t>
  </si>
  <si>
    <t>286,79</t>
  </si>
  <si>
    <t>414,42</t>
  </si>
  <si>
    <t>459,09</t>
  </si>
  <si>
    <t>396,91</t>
  </si>
  <si>
    <t>460,07</t>
  </si>
  <si>
    <t>63,70%</t>
  </si>
  <si>
    <t>476,28</t>
  </si>
  <si>
    <t>420,30</t>
  </si>
  <si>
    <t>475,20</t>
  </si>
  <si>
    <t>465,22</t>
  </si>
  <si>
    <t>466,38</t>
  </si>
  <si>
    <t>95,00%</t>
  </si>
  <si>
    <t>441,68</t>
  </si>
  <si>
    <t>382,88</t>
  </si>
  <si>
    <t>447,05</t>
  </si>
  <si>
    <t>394,66</t>
  </si>
  <si>
    <t>493,58</t>
  </si>
  <si>
    <t>57,81%</t>
  </si>
  <si>
    <t>488,79</t>
  </si>
  <si>
    <t>116,38</t>
  </si>
  <si>
    <t>416,25</t>
  </si>
  <si>
    <t>189,27</t>
  </si>
  <si>
    <t>364,54</t>
  </si>
  <si>
    <t>404,24</t>
  </si>
  <si>
    <t>340,44</t>
  </si>
  <si>
    <t>65,97%</t>
  </si>
  <si>
    <t>262,94</t>
  </si>
  <si>
    <t>52,73%</t>
  </si>
  <si>
    <t>482,10</t>
  </si>
  <si>
    <t>283,48</t>
  </si>
  <si>
    <t>170,09</t>
  </si>
  <si>
    <t>86,09%</t>
  </si>
  <si>
    <t>329,48</t>
  </si>
  <si>
    <t>281,75</t>
  </si>
  <si>
    <t>194,39</t>
  </si>
  <si>
    <t>223,01</t>
  </si>
  <si>
    <t>205,69</t>
  </si>
  <si>
    <t>96,26%</t>
  </si>
  <si>
    <t>335,57</t>
  </si>
  <si>
    <t>304,83</t>
  </si>
  <si>
    <t>339,67</t>
  </si>
  <si>
    <t>34,11%</t>
  </si>
  <si>
    <t>500,57</t>
  </si>
  <si>
    <t>44,86%</t>
  </si>
  <si>
    <t>588,21</t>
  </si>
  <si>
    <t>373,88</t>
  </si>
  <si>
    <t>332,00</t>
  </si>
  <si>
    <t>400,77</t>
  </si>
  <si>
    <t>413,08</t>
  </si>
  <si>
    <t>109,95</t>
  </si>
  <si>
    <t>67,97%</t>
  </si>
  <si>
    <t>411,95</t>
  </si>
  <si>
    <t>460,26</t>
  </si>
  <si>
    <t>209,09</t>
  </si>
  <si>
    <t>52,26%</t>
  </si>
  <si>
    <t>417,22</t>
  </si>
  <si>
    <t>69,03%</t>
  </si>
  <si>
    <t>419,86</t>
  </si>
  <si>
    <t>163,48</t>
  </si>
  <si>
    <t>454,00</t>
  </si>
  <si>
    <t>224,62</t>
  </si>
  <si>
    <t>606,00</t>
  </si>
  <si>
    <t>81,60</t>
  </si>
  <si>
    <t>286,33</t>
  </si>
  <si>
    <t>74,95%</t>
  </si>
  <si>
    <t>354,77</t>
  </si>
  <si>
    <t>270,38</t>
  </si>
  <si>
    <t>224,05</t>
  </si>
  <si>
    <t>365,66</t>
  </si>
  <si>
    <t>285,34</t>
  </si>
  <si>
    <t>188,55</t>
  </si>
  <si>
    <t>247,10</t>
  </si>
  <si>
    <t>0,27%</t>
  </si>
  <si>
    <t>77,19</t>
  </si>
  <si>
    <t>407,66</t>
  </si>
  <si>
    <t>212,50</t>
  </si>
  <si>
    <t>331,56</t>
  </si>
  <si>
    <t>478,33</t>
  </si>
  <si>
    <t>193,56</t>
  </si>
  <si>
    <t>55,44%</t>
  </si>
  <si>
    <t>397,49</t>
  </si>
  <si>
    <t>39,81%</t>
  </si>
  <si>
    <t>415,97</t>
  </si>
  <si>
    <t>258,98</t>
  </si>
  <si>
    <t>416,79</t>
  </si>
  <si>
    <t>396,02</t>
  </si>
  <si>
    <t>346,98</t>
  </si>
  <si>
    <t>430,71</t>
  </si>
  <si>
    <t>65,94%</t>
  </si>
  <si>
    <t>503,35</t>
  </si>
  <si>
    <t>487,73</t>
  </si>
  <si>
    <t>61,31%</t>
  </si>
  <si>
    <t>477,66</t>
  </si>
  <si>
    <t>485,76</t>
  </si>
  <si>
    <t>365,99</t>
  </si>
  <si>
    <t>411,40</t>
  </si>
  <si>
    <t>325,15</t>
  </si>
  <si>
    <t>293,94</t>
  </si>
  <si>
    <t>285,37</t>
  </si>
  <si>
    <t>492,97</t>
  </si>
  <si>
    <t>339,35</t>
  </si>
  <si>
    <t>61,93%</t>
  </si>
  <si>
    <t>591,10</t>
  </si>
  <si>
    <t>60,23%</t>
  </si>
  <si>
    <t>601,23</t>
  </si>
  <si>
    <t>267,72</t>
  </si>
  <si>
    <t>470,12</t>
  </si>
  <si>
    <t>85,37%</t>
  </si>
  <si>
    <t>288,38</t>
  </si>
  <si>
    <t>440,09</t>
  </si>
  <si>
    <t>34,96%</t>
  </si>
  <si>
    <t>506,98</t>
  </si>
  <si>
    <t>73,98%</t>
  </si>
  <si>
    <t>329,45</t>
  </si>
  <si>
    <t>392,48</t>
  </si>
  <si>
    <t>348,50</t>
  </si>
  <si>
    <t>408,45</t>
  </si>
  <si>
    <t>396,99</t>
  </si>
  <si>
    <t>94,84</t>
  </si>
  <si>
    <t>93,67%</t>
  </si>
  <si>
    <t>227,40</t>
  </si>
  <si>
    <t>68,35%</t>
  </si>
  <si>
    <t>282,26</t>
  </si>
  <si>
    <t>237,09</t>
  </si>
  <si>
    <t>437,78</t>
  </si>
  <si>
    <t>326,64</t>
  </si>
  <si>
    <t>46,45%</t>
  </si>
  <si>
    <t>300,03</t>
  </si>
  <si>
    <t>87,31</t>
  </si>
  <si>
    <t>415,54</t>
  </si>
  <si>
    <t>77,74</t>
  </si>
  <si>
    <t>266,38</t>
  </si>
  <si>
    <t>138,67</t>
  </si>
  <si>
    <t>432,50</t>
  </si>
  <si>
    <t>313,91</t>
  </si>
  <si>
    <t>83,02%</t>
  </si>
  <si>
    <t>470,91</t>
  </si>
  <si>
    <t>483,92</t>
  </si>
  <si>
    <t>378,26</t>
  </si>
  <si>
    <t>84,91%</t>
  </si>
  <si>
    <t>312,70</t>
  </si>
  <si>
    <t>49,49%</t>
  </si>
  <si>
    <t>365,89</t>
  </si>
  <si>
    <t>359,01</t>
  </si>
  <si>
    <t>280,60</t>
  </si>
  <si>
    <t>452,19</t>
  </si>
  <si>
    <t>442,50</t>
  </si>
  <si>
    <t>197,33</t>
  </si>
  <si>
    <t>326,27</t>
  </si>
  <si>
    <t>420,94</t>
  </si>
  <si>
    <t>346,96</t>
  </si>
  <si>
    <t>415,92</t>
  </si>
  <si>
    <t>59,44%</t>
  </si>
  <si>
    <t>467,30</t>
  </si>
  <si>
    <t>204,27</t>
  </si>
  <si>
    <t>378,10</t>
  </si>
  <si>
    <t>183,40</t>
  </si>
  <si>
    <t>79,02%</t>
  </si>
  <si>
    <t>412,02</t>
  </si>
  <si>
    <t>327,86</t>
  </si>
  <si>
    <t>73,84%</t>
  </si>
  <si>
    <t>378,29</t>
  </si>
  <si>
    <t>334,52</t>
  </si>
  <si>
    <t>74,15%</t>
  </si>
  <si>
    <t>454,07</t>
  </si>
  <si>
    <t>434,62</t>
  </si>
  <si>
    <t>430,30</t>
  </si>
  <si>
    <t>128,23</t>
  </si>
  <si>
    <t>235,37</t>
  </si>
  <si>
    <t>403,86</t>
  </si>
  <si>
    <t>237,82</t>
  </si>
  <si>
    <t>331,53</t>
  </si>
  <si>
    <t>199,09</t>
  </si>
  <si>
    <t>430,40</t>
  </si>
  <si>
    <t>346,00</t>
  </si>
  <si>
    <t>375,17</t>
  </si>
  <si>
    <t>419,31</t>
  </si>
  <si>
    <t>293,86</t>
  </si>
  <si>
    <t>446,74</t>
  </si>
  <si>
    <t>482,27</t>
  </si>
  <si>
    <t>325,53</t>
  </si>
  <si>
    <t>74,13%</t>
  </si>
  <si>
    <t>447,92</t>
  </si>
  <si>
    <t>67,83%</t>
  </si>
  <si>
    <t>483,71</t>
  </si>
  <si>
    <t>307,03</t>
  </si>
  <si>
    <t>492,59</t>
  </si>
  <si>
    <t>374,81</t>
  </si>
  <si>
    <t>517,74</t>
  </si>
  <si>
    <t>502,14</t>
  </si>
  <si>
    <t>162,00</t>
  </si>
  <si>
    <t>532,41</t>
  </si>
  <si>
    <t>572,86</t>
  </si>
  <si>
    <t>571,85</t>
  </si>
  <si>
    <t>128,92</t>
  </si>
  <si>
    <t>55,33%</t>
  </si>
  <si>
    <t>413,58</t>
  </si>
  <si>
    <t>26,29%</t>
  </si>
  <si>
    <t>235,61</t>
  </si>
  <si>
    <t>32,33%</t>
  </si>
  <si>
    <t>401,60</t>
  </si>
  <si>
    <t>458,43</t>
  </si>
  <si>
    <t>379,56</t>
  </si>
  <si>
    <t>401,27</t>
  </si>
  <si>
    <t>458,38</t>
  </si>
  <si>
    <t>418,29</t>
  </si>
  <si>
    <t>484,21</t>
  </si>
  <si>
    <t>293,21</t>
  </si>
  <si>
    <t>425,54</t>
  </si>
  <si>
    <t>50,55%</t>
  </si>
  <si>
    <t>126,15</t>
  </si>
  <si>
    <t>491,43</t>
  </si>
  <si>
    <t>276,40</t>
  </si>
  <si>
    <t>351,52</t>
  </si>
  <si>
    <t>359,60</t>
  </si>
  <si>
    <t>324,85</t>
  </si>
  <si>
    <t>335,20</t>
  </si>
  <si>
    <t>284,18</t>
  </si>
  <si>
    <t>419,24</t>
  </si>
  <si>
    <t>74,53%</t>
  </si>
  <si>
    <t>458,97</t>
  </si>
  <si>
    <t>291,88</t>
  </si>
  <si>
    <t>53,62%</t>
  </si>
  <si>
    <t>233,72</t>
  </si>
  <si>
    <t>321,22</t>
  </si>
  <si>
    <t>278,12</t>
  </si>
  <si>
    <t>325,84</t>
  </si>
  <si>
    <t>296,25</t>
  </si>
  <si>
    <t>96,88%</t>
  </si>
  <si>
    <t>372,25</t>
  </si>
  <si>
    <t>270,43</t>
  </si>
  <si>
    <t>377,39</t>
  </si>
  <si>
    <t>285,15</t>
  </si>
  <si>
    <t>48,27%</t>
  </si>
  <si>
    <t>300,86</t>
  </si>
  <si>
    <t>49,73%</t>
  </si>
  <si>
    <t>494,01</t>
  </si>
  <si>
    <t>562,27</t>
  </si>
  <si>
    <t>123,71</t>
  </si>
  <si>
    <t>226,54</t>
  </si>
  <si>
    <t>417,05</t>
  </si>
  <si>
    <t>275,06</t>
  </si>
  <si>
    <t>260,56</t>
  </si>
  <si>
    <t>95,24%</t>
  </si>
  <si>
    <t>279,30</t>
  </si>
  <si>
    <t>487,83</t>
  </si>
  <si>
    <t>402,82</t>
  </si>
  <si>
    <t>446,00</t>
  </si>
  <si>
    <t>317,33</t>
  </si>
  <si>
    <t>327,93</t>
  </si>
  <si>
    <t>300,62</t>
  </si>
  <si>
    <t>86,61%</t>
  </si>
  <si>
    <t>346,86</t>
  </si>
  <si>
    <t>85,83%</t>
  </si>
  <si>
    <t>339,71</t>
  </si>
  <si>
    <t>271,89</t>
  </si>
  <si>
    <t>446,37</t>
  </si>
  <si>
    <t>476,84</t>
  </si>
  <si>
    <t>501,95</t>
  </si>
  <si>
    <t>494,48</t>
  </si>
  <si>
    <t>322,29</t>
  </si>
  <si>
    <t>307,77</t>
  </si>
  <si>
    <t>93,23%</t>
  </si>
  <si>
    <t>256,76</t>
  </si>
  <si>
    <t>187,43</t>
  </si>
  <si>
    <t>317,42</t>
  </si>
  <si>
    <t>415,24</t>
  </si>
  <si>
    <t>316,36</t>
  </si>
  <si>
    <t>421,79</t>
  </si>
  <si>
    <t>290,77</t>
  </si>
  <si>
    <t>370,73</t>
  </si>
  <si>
    <t>408,58</t>
  </si>
  <si>
    <t>106,32</t>
  </si>
  <si>
    <t>432,64</t>
  </si>
  <si>
    <t>50,90%</t>
  </si>
  <si>
    <t>422,59</t>
  </si>
  <si>
    <t>320,41</t>
  </si>
  <si>
    <t>423,75</t>
  </si>
  <si>
    <t>218,00</t>
  </si>
  <si>
    <t>364,69</t>
  </si>
  <si>
    <t>53,08%</t>
  </si>
  <si>
    <t>358,90</t>
  </si>
  <si>
    <t>251,23</t>
  </si>
  <si>
    <t>71,91</t>
  </si>
  <si>
    <t>86,17%</t>
  </si>
  <si>
    <t>337,22</t>
  </si>
  <si>
    <t>399,42</t>
  </si>
  <si>
    <t>295,00</t>
  </si>
  <si>
    <t>71,28%</t>
  </si>
  <si>
    <t>459,10</t>
  </si>
  <si>
    <t>80,85%</t>
  </si>
  <si>
    <t>172,37</t>
  </si>
  <si>
    <t>362,70</t>
  </si>
  <si>
    <t>286,45</t>
  </si>
  <si>
    <t>220,19</t>
  </si>
  <si>
    <t>366,95</t>
  </si>
  <si>
    <t>66,17%</t>
  </si>
  <si>
    <t>124,90</t>
  </si>
  <si>
    <t>79,03%</t>
  </si>
  <si>
    <t>301,90</t>
  </si>
  <si>
    <t>365,13</t>
  </si>
  <si>
    <t>292,87</t>
  </si>
  <si>
    <t>52,44%</t>
  </si>
  <si>
    <t>316,28</t>
  </si>
  <si>
    <t>100,83</t>
  </si>
  <si>
    <t>265,97</t>
  </si>
  <si>
    <t>314,39</t>
  </si>
  <si>
    <t>159,32</t>
  </si>
  <si>
    <t>216,95</t>
  </si>
  <si>
    <t>245,52</t>
  </si>
  <si>
    <t>228,29</t>
  </si>
  <si>
    <t>317,45</t>
  </si>
  <si>
    <t>361,14</t>
  </si>
  <si>
    <t>240,27</t>
  </si>
  <si>
    <t>401,94</t>
  </si>
  <si>
    <t>479,27</t>
  </si>
  <si>
    <t>302,72</t>
  </si>
  <si>
    <t>47,40%</t>
  </si>
  <si>
    <t>389,64</t>
  </si>
  <si>
    <t>282,28</t>
  </si>
  <si>
    <t>457,03</t>
  </si>
  <si>
    <t>358,38</t>
  </si>
  <si>
    <t>500,50</t>
  </si>
  <si>
    <t>217,59</t>
  </si>
  <si>
    <t>417,24</t>
  </si>
  <si>
    <t>282,42</t>
  </si>
  <si>
    <t>401,32</t>
  </si>
  <si>
    <t>371,20</t>
  </si>
  <si>
    <t>89,20</t>
  </si>
  <si>
    <t>294,87</t>
  </si>
  <si>
    <t>58,00%</t>
  </si>
  <si>
    <t>412,41</t>
  </si>
  <si>
    <t>195,11</t>
  </si>
  <si>
    <t>333,16</t>
  </si>
  <si>
    <t>143,52</t>
  </si>
  <si>
    <t>75,76%</t>
  </si>
  <si>
    <t>362,65</t>
  </si>
  <si>
    <t>226,52</t>
  </si>
  <si>
    <t>161,96</t>
  </si>
  <si>
    <t>242,23</t>
  </si>
  <si>
    <t>92,22%</t>
  </si>
  <si>
    <t>211,14</t>
  </si>
  <si>
    <t>112,23</t>
  </si>
  <si>
    <t>221,60</t>
  </si>
  <si>
    <t>293,70</t>
  </si>
  <si>
    <t>226,51</t>
  </si>
  <si>
    <t>55,41%</t>
  </si>
  <si>
    <t>376,09</t>
  </si>
  <si>
    <t>51,59%</t>
  </si>
  <si>
    <t>363,46</t>
  </si>
  <si>
    <t>266,67</t>
  </si>
  <si>
    <t>458,24</t>
  </si>
  <si>
    <t>361,21</t>
  </si>
  <si>
    <t>81,32%</t>
  </si>
  <si>
    <t>490,56</t>
  </si>
  <si>
    <t>73,63%</t>
  </si>
  <si>
    <t>462,69</t>
  </si>
  <si>
    <t>192,18</t>
  </si>
  <si>
    <t>99,17%</t>
  </si>
  <si>
    <t>281,02</t>
  </si>
  <si>
    <t>99,50%</t>
  </si>
  <si>
    <t>218,16</t>
  </si>
  <si>
    <t>175,82</t>
  </si>
  <si>
    <t>99,34%</t>
  </si>
  <si>
    <t>182,83</t>
  </si>
  <si>
    <t>154,54</t>
  </si>
  <si>
    <t>220,70</t>
  </si>
  <si>
    <t>81,85%</t>
  </si>
  <si>
    <t>402,13</t>
  </si>
  <si>
    <t>83,29%</t>
  </si>
  <si>
    <t>460,76</t>
  </si>
  <si>
    <t>90,45%</t>
  </si>
  <si>
    <t>86,74%</t>
  </si>
  <si>
    <t>411,17</t>
  </si>
  <si>
    <t>126,84</t>
  </si>
  <si>
    <t>298,12</t>
  </si>
  <si>
    <t>48,34%</t>
  </si>
  <si>
    <t>393,67</t>
  </si>
  <si>
    <t>251,00</t>
  </si>
  <si>
    <t>43,71%</t>
  </si>
  <si>
    <t>336,82</t>
  </si>
  <si>
    <t>33,77%</t>
  </si>
  <si>
    <t>356,81</t>
  </si>
  <si>
    <t>117,24</t>
  </si>
  <si>
    <t>384,05</t>
  </si>
  <si>
    <t>91,20%</t>
  </si>
  <si>
    <t>357,30</t>
  </si>
  <si>
    <t>171,81</t>
  </si>
  <si>
    <t>63,20%</t>
  </si>
  <si>
    <t>492,90</t>
  </si>
  <si>
    <t>456,12</t>
  </si>
  <si>
    <t>155,20</t>
  </si>
  <si>
    <t>53,97%</t>
  </si>
  <si>
    <t>389,71</t>
  </si>
  <si>
    <t>404,04</t>
  </si>
  <si>
    <t>373,34</t>
  </si>
  <si>
    <t>255,68</t>
  </si>
  <si>
    <t>99,28%</t>
  </si>
  <si>
    <t>365,65</t>
  </si>
  <si>
    <t>86,52%</t>
  </si>
  <si>
    <t>347,95</t>
  </si>
  <si>
    <t>88,09%</t>
  </si>
  <si>
    <t>88,40%</t>
  </si>
  <si>
    <t>340,86</t>
  </si>
  <si>
    <t>356,86</t>
  </si>
  <si>
    <t>66,77%</t>
  </si>
  <si>
    <t>470,87</t>
  </si>
  <si>
    <t>437,29</t>
  </si>
  <si>
    <t>54,75%</t>
  </si>
  <si>
    <t>441,16</t>
  </si>
  <si>
    <t>487,79</t>
  </si>
  <si>
    <t>177,25</t>
  </si>
  <si>
    <t>91,10%</t>
  </si>
  <si>
    <t>279,17</t>
  </si>
  <si>
    <t>67,60%</t>
  </si>
  <si>
    <t>428,49</t>
  </si>
  <si>
    <t>295,99</t>
  </si>
  <si>
    <t>62,85%</t>
  </si>
  <si>
    <t>53,63%</t>
  </si>
  <si>
    <t>424,32</t>
  </si>
  <si>
    <t>97,53</t>
  </si>
  <si>
    <t>95,60%</t>
  </si>
  <si>
    <t>154,35</t>
  </si>
  <si>
    <t>47,25%</t>
  </si>
  <si>
    <t>427,62</t>
  </si>
  <si>
    <t>342,31</t>
  </si>
  <si>
    <t>347,45</t>
  </si>
  <si>
    <t>173,91</t>
  </si>
  <si>
    <t>414,59</t>
  </si>
  <si>
    <t>45,28%</t>
  </si>
  <si>
    <t>425,58</t>
  </si>
  <si>
    <t>305,21</t>
  </si>
  <si>
    <t>39,35%</t>
  </si>
  <si>
    <t>442,88</t>
  </si>
  <si>
    <t>95,11</t>
  </si>
  <si>
    <t>301,96</t>
  </si>
  <si>
    <t>372,31</t>
  </si>
  <si>
    <t>109,33</t>
  </si>
  <si>
    <t>36,76%</t>
  </si>
  <si>
    <t>312,75</t>
  </si>
  <si>
    <t>209,45</t>
  </si>
  <si>
    <t>42,98%</t>
  </si>
  <si>
    <t>183,08</t>
  </si>
  <si>
    <t>195,97</t>
  </si>
  <si>
    <t>216,39</t>
  </si>
  <si>
    <t>236,76</t>
  </si>
  <si>
    <t>160,59</t>
  </si>
  <si>
    <t>76,14%</t>
  </si>
  <si>
    <t>253,13</t>
  </si>
  <si>
    <t>88,64%</t>
  </si>
  <si>
    <t>325,79</t>
  </si>
  <si>
    <t>107,78</t>
  </si>
  <si>
    <t>259,05</t>
  </si>
  <si>
    <t>190,59</t>
  </si>
  <si>
    <t>55,26%</t>
  </si>
  <si>
    <t>252,42</t>
  </si>
  <si>
    <t>366,41</t>
  </si>
  <si>
    <t>188,57</t>
  </si>
  <si>
    <t>194,67</t>
  </si>
  <si>
    <t>390,00</t>
  </si>
  <si>
    <t>313,54</t>
  </si>
  <si>
    <t>53,46%</t>
  </si>
  <si>
    <t>470,51</t>
  </si>
  <si>
    <t>61,68%</t>
  </si>
  <si>
    <t>461,05</t>
  </si>
  <si>
    <t>309,85</t>
  </si>
  <si>
    <t>67,56%</t>
  </si>
  <si>
    <t>462,00</t>
  </si>
  <si>
    <t>58,65%</t>
  </si>
  <si>
    <t>471,61</t>
  </si>
  <si>
    <t>206,45</t>
  </si>
  <si>
    <t>315,28</t>
  </si>
  <si>
    <t>40,82%</t>
  </si>
  <si>
    <t>46,94%</t>
  </si>
  <si>
    <t>197,24</t>
  </si>
  <si>
    <t>285,50</t>
  </si>
  <si>
    <t>279,09</t>
  </si>
  <si>
    <t>217,73</t>
  </si>
  <si>
    <t>313,26</t>
  </si>
  <si>
    <t>334,55</t>
  </si>
  <si>
    <t>174,29</t>
  </si>
  <si>
    <t>410,91</t>
  </si>
  <si>
    <t>400,95</t>
  </si>
  <si>
    <t>455,56</t>
  </si>
  <si>
    <t>51,67%</t>
  </si>
  <si>
    <t>442,58</t>
  </si>
  <si>
    <t>365,79</t>
  </si>
  <si>
    <t>97,00%</t>
  </si>
  <si>
    <t>418,62</t>
  </si>
  <si>
    <t>559,51</t>
  </si>
  <si>
    <t>563,55</t>
  </si>
  <si>
    <t>617,93</t>
  </si>
  <si>
    <t>199,07</t>
  </si>
  <si>
    <t>497,93</t>
  </si>
  <si>
    <t>45,61%</t>
  </si>
  <si>
    <t>530,77</t>
  </si>
  <si>
    <t>437,48</t>
  </si>
  <si>
    <t>491,85</t>
  </si>
  <si>
    <t>531,43</t>
  </si>
  <si>
    <t>66,00</t>
  </si>
  <si>
    <t>273,26</t>
  </si>
  <si>
    <t>181,26</t>
  </si>
  <si>
    <t>486,15</t>
  </si>
  <si>
    <t>378,59</t>
  </si>
  <si>
    <t>175,91</t>
  </si>
  <si>
    <t>365,08</t>
  </si>
  <si>
    <t>58,95%</t>
  </si>
  <si>
    <t>444,36</t>
  </si>
  <si>
    <t>445,42</t>
  </si>
  <si>
    <t>468,07</t>
  </si>
  <si>
    <t>285,80</t>
  </si>
  <si>
    <t>396,35</t>
  </si>
  <si>
    <t>53,15%</t>
  </si>
  <si>
    <t>459,42</t>
  </si>
  <si>
    <t>401,35</t>
  </si>
  <si>
    <t>62,91%</t>
  </si>
  <si>
    <t>476,94</t>
  </si>
  <si>
    <t>463,53</t>
  </si>
  <si>
    <t>244,15</t>
  </si>
  <si>
    <t>484,46</t>
  </si>
  <si>
    <t>399,57</t>
  </si>
  <si>
    <t>61,80%</t>
  </si>
  <si>
    <t>469,11</t>
  </si>
  <si>
    <t>57,98%</t>
  </si>
  <si>
    <t>496,20</t>
  </si>
  <si>
    <t>499,38</t>
  </si>
  <si>
    <t>610,79</t>
  </si>
  <si>
    <t>599,37</t>
  </si>
  <si>
    <t>95,38%</t>
  </si>
  <si>
    <t>622,58</t>
  </si>
  <si>
    <t>606,10</t>
  </si>
  <si>
    <t>486,00</t>
  </si>
  <si>
    <t>458,60</t>
  </si>
  <si>
    <t>384,91</t>
  </si>
  <si>
    <t>495,35</t>
  </si>
  <si>
    <t>66,94%</t>
  </si>
  <si>
    <t>440,48</t>
  </si>
  <si>
    <t>70,97%</t>
  </si>
  <si>
    <t>449,37</t>
  </si>
  <si>
    <t>293,59</t>
  </si>
  <si>
    <t>497,53</t>
  </si>
  <si>
    <t>421,15</t>
  </si>
  <si>
    <t>466,43</t>
  </si>
  <si>
    <t>145,44</t>
  </si>
  <si>
    <t>57,46%</t>
  </si>
  <si>
    <t>388,19</t>
  </si>
  <si>
    <t>220,23</t>
  </si>
  <si>
    <t>70,56%</t>
  </si>
  <si>
    <t>59,36%</t>
  </si>
  <si>
    <t>74,33%</t>
  </si>
  <si>
    <t>473,38</t>
  </si>
  <si>
    <t>473,21</t>
  </si>
  <si>
    <t>260,43</t>
  </si>
  <si>
    <t>450,08</t>
  </si>
  <si>
    <t>503,70</t>
  </si>
  <si>
    <t>416,40</t>
  </si>
  <si>
    <t>474,93</t>
  </si>
  <si>
    <t>490,35</t>
  </si>
  <si>
    <t>281,47</t>
  </si>
  <si>
    <t>82,20%</t>
  </si>
  <si>
    <t>432,16</t>
  </si>
  <si>
    <t>415,89</t>
  </si>
  <si>
    <t>83,25%</t>
  </si>
  <si>
    <t>407,64</t>
  </si>
  <si>
    <t>87,96%</t>
  </si>
  <si>
    <t>411,67</t>
  </si>
  <si>
    <t>244,91</t>
  </si>
  <si>
    <t>83,26%</t>
  </si>
  <si>
    <t>74,66%</t>
  </si>
  <si>
    <t>365,64</t>
  </si>
  <si>
    <t>348,60</t>
  </si>
  <si>
    <t>390,82</t>
  </si>
  <si>
    <t>272,50</t>
  </si>
  <si>
    <t>89,12%</t>
  </si>
  <si>
    <t>489,85</t>
  </si>
  <si>
    <t>415,36</t>
  </si>
  <si>
    <t>489,30</t>
  </si>
  <si>
    <t>479,68</t>
  </si>
  <si>
    <t>192,49</t>
  </si>
  <si>
    <t>375,29</t>
  </si>
  <si>
    <t>395,85</t>
  </si>
  <si>
    <t>55,23%</t>
  </si>
  <si>
    <t>410,74</t>
  </si>
  <si>
    <t>59,98%</t>
  </si>
  <si>
    <t>421,38</t>
  </si>
  <si>
    <t>482,31</t>
  </si>
  <si>
    <t>429,82</t>
  </si>
  <si>
    <t>64,37%</t>
  </si>
  <si>
    <t>469,99</t>
  </si>
  <si>
    <t>457,83</t>
  </si>
  <si>
    <t>350,97</t>
  </si>
  <si>
    <t>233,42</t>
  </si>
  <si>
    <t>388,66</t>
  </si>
  <si>
    <t>66,36%</t>
  </si>
  <si>
    <t>443,84</t>
  </si>
  <si>
    <t>364,02</t>
  </si>
  <si>
    <t>311,63</t>
  </si>
  <si>
    <t>395,12</t>
  </si>
  <si>
    <t>190,87</t>
  </si>
  <si>
    <t>97,86%</t>
  </si>
  <si>
    <t>293,48</t>
  </si>
  <si>
    <t>331,01</t>
  </si>
  <si>
    <t>257,75</t>
  </si>
  <si>
    <t>326,95</t>
  </si>
  <si>
    <t>302,95</t>
  </si>
  <si>
    <t>262,42</t>
  </si>
  <si>
    <t>70,18%</t>
  </si>
  <si>
    <t>80,23%</t>
  </si>
  <si>
    <t>476,83</t>
  </si>
  <si>
    <t>412,67</t>
  </si>
  <si>
    <t>56,65%</t>
  </si>
  <si>
    <t>488,27</t>
  </si>
  <si>
    <t>477,44</t>
  </si>
  <si>
    <t>305,37</t>
  </si>
  <si>
    <t>421,88</t>
  </si>
  <si>
    <t>465,88</t>
  </si>
  <si>
    <t>398,31</t>
  </si>
  <si>
    <t>432,84</t>
  </si>
  <si>
    <t>182,58</t>
  </si>
  <si>
    <t>536,52</t>
  </si>
  <si>
    <t>442,45</t>
  </si>
  <si>
    <t>489,57</t>
  </si>
  <si>
    <t>476,00</t>
  </si>
  <si>
    <t>273,35</t>
  </si>
  <si>
    <t>70,04%</t>
  </si>
  <si>
    <t>422,62</t>
  </si>
  <si>
    <t>454,33</t>
  </si>
  <si>
    <t>58,29%</t>
  </si>
  <si>
    <t>461,02</t>
  </si>
  <si>
    <t>237,36</t>
  </si>
  <si>
    <t>421,33</t>
  </si>
  <si>
    <t>66,22%</t>
  </si>
  <si>
    <t>466,56</t>
  </si>
  <si>
    <t>359,95</t>
  </si>
  <si>
    <t>61,66%</t>
  </si>
  <si>
    <t>462,43</t>
  </si>
  <si>
    <t>456,45</t>
  </si>
  <si>
    <t>291,66</t>
  </si>
  <si>
    <t>71,72%</t>
  </si>
  <si>
    <t>477,69</t>
  </si>
  <si>
    <t>449,42</t>
  </si>
  <si>
    <t>437,87</t>
  </si>
  <si>
    <t>502,62</t>
  </si>
  <si>
    <t>476,27</t>
  </si>
  <si>
    <t>81,19%</t>
  </si>
  <si>
    <t>433,45</t>
  </si>
  <si>
    <t>325,32</t>
  </si>
  <si>
    <t>78,58%</t>
  </si>
  <si>
    <t>427,24</t>
  </si>
  <si>
    <t>81,33%</t>
  </si>
  <si>
    <t>446,88</t>
  </si>
  <si>
    <t>253,10</t>
  </si>
  <si>
    <t>376,75</t>
  </si>
  <si>
    <t>468,70</t>
  </si>
  <si>
    <t>76,57%</t>
  </si>
  <si>
    <t>449,85</t>
  </si>
  <si>
    <t>239,52</t>
  </si>
  <si>
    <t>430,76</t>
  </si>
  <si>
    <t>469,50</t>
  </si>
  <si>
    <t>335,88</t>
  </si>
  <si>
    <t>64,48%</t>
  </si>
  <si>
    <t>441,44</t>
  </si>
  <si>
    <t>68,34%</t>
  </si>
  <si>
    <t>189,79</t>
  </si>
  <si>
    <t>383,94</t>
  </si>
  <si>
    <t>54,94%</t>
  </si>
  <si>
    <t>408,01</t>
  </si>
  <si>
    <t>323,99</t>
  </si>
  <si>
    <t>396,39</t>
  </si>
  <si>
    <t>33,72%</t>
  </si>
  <si>
    <t>440,04</t>
  </si>
  <si>
    <t>416,43</t>
  </si>
  <si>
    <t>510,77</t>
  </si>
  <si>
    <t>78,36%</t>
  </si>
  <si>
    <t>548,19</t>
  </si>
  <si>
    <t>491,96</t>
  </si>
  <si>
    <t>590,61</t>
  </si>
  <si>
    <t>533,16</t>
  </si>
  <si>
    <t>426,41</t>
  </si>
  <si>
    <t>251,64</t>
  </si>
  <si>
    <t>428,74</t>
  </si>
  <si>
    <t>37,12%</t>
  </si>
  <si>
    <t>507,35</t>
  </si>
  <si>
    <t>224,54</t>
  </si>
  <si>
    <t>451,26</t>
  </si>
  <si>
    <t>505,12</t>
  </si>
  <si>
    <t>386,17</t>
  </si>
  <si>
    <t>507,28</t>
  </si>
  <si>
    <t>523,40</t>
  </si>
  <si>
    <t>310,59</t>
  </si>
  <si>
    <t>322,58</t>
  </si>
  <si>
    <t>339,31</t>
  </si>
  <si>
    <t>442,76</t>
  </si>
  <si>
    <t>219,81</t>
  </si>
  <si>
    <t>58,72%</t>
  </si>
  <si>
    <t>425,16</t>
  </si>
  <si>
    <t>65,14%</t>
  </si>
  <si>
    <t>435,14</t>
  </si>
  <si>
    <t>456,47</t>
  </si>
  <si>
    <t>229,95</t>
  </si>
  <si>
    <t>388,74</t>
  </si>
  <si>
    <t>437,57</t>
  </si>
  <si>
    <t>317,71</t>
  </si>
  <si>
    <t>392,58</t>
  </si>
  <si>
    <t>189,33</t>
  </si>
  <si>
    <t>442,10</t>
  </si>
  <si>
    <t>497,48</t>
  </si>
  <si>
    <t>348,16</t>
  </si>
  <si>
    <t>561,16</t>
  </si>
  <si>
    <t>52,57%</t>
  </si>
  <si>
    <t>501,57</t>
  </si>
  <si>
    <t>242,06</t>
  </si>
  <si>
    <t>448,31</t>
  </si>
  <si>
    <t>444,60</t>
  </si>
  <si>
    <t>397,56</t>
  </si>
  <si>
    <t>364,85</t>
  </si>
  <si>
    <t>70,81%</t>
  </si>
  <si>
    <t>345,23</t>
  </si>
  <si>
    <t>318,15</t>
  </si>
  <si>
    <t>488,90</t>
  </si>
  <si>
    <t>494,16</t>
  </si>
  <si>
    <t>208,04</t>
  </si>
  <si>
    <t>357,85</t>
  </si>
  <si>
    <t>394,13</t>
  </si>
  <si>
    <t>340,66</t>
  </si>
  <si>
    <t>56,88%</t>
  </si>
  <si>
    <t>363,99</t>
  </si>
  <si>
    <t>362,24</t>
  </si>
  <si>
    <t>82,54%</t>
  </si>
  <si>
    <t>447,31</t>
  </si>
  <si>
    <t>80,16%</t>
  </si>
  <si>
    <t>81,75%</t>
  </si>
  <si>
    <t>452,67</t>
  </si>
  <si>
    <t>457,41</t>
  </si>
  <si>
    <t>312,65</t>
  </si>
  <si>
    <t>411,00</t>
  </si>
  <si>
    <t>405,47</t>
  </si>
  <si>
    <t>305,85</t>
  </si>
  <si>
    <t>73,43%</t>
  </si>
  <si>
    <t>484,53</t>
  </si>
  <si>
    <t>74,88%</t>
  </si>
  <si>
    <t>496,47</t>
  </si>
  <si>
    <t>321,71</t>
  </si>
  <si>
    <t>76,60%</t>
  </si>
  <si>
    <t>455,47</t>
  </si>
  <si>
    <t>82,27%</t>
  </si>
  <si>
    <t>495,22</t>
  </si>
  <si>
    <t>389,35</t>
  </si>
  <si>
    <t>80,14%</t>
  </si>
  <si>
    <t>466,55</t>
  </si>
  <si>
    <t>307,64</t>
  </si>
  <si>
    <t>577,14</t>
  </si>
  <si>
    <t>467,69</t>
  </si>
  <si>
    <t>525,33</t>
  </si>
  <si>
    <t>89,09%</t>
  </si>
  <si>
    <t>218,49</t>
  </si>
  <si>
    <t>306,94</t>
  </si>
  <si>
    <t>410,31</t>
  </si>
  <si>
    <t>275,46</t>
  </si>
  <si>
    <t>296,00</t>
  </si>
  <si>
    <t>314,58</t>
  </si>
  <si>
    <t>80,40%</t>
  </si>
  <si>
    <t>68,22%</t>
  </si>
  <si>
    <t>506,89</t>
  </si>
  <si>
    <t>69,19%</t>
  </si>
  <si>
    <t>480,11</t>
  </si>
  <si>
    <t>467,00</t>
  </si>
  <si>
    <t>244,17</t>
  </si>
  <si>
    <t>365,45</t>
  </si>
  <si>
    <t>60,32%</t>
  </si>
  <si>
    <t>383,16</t>
  </si>
  <si>
    <t>312,00</t>
  </si>
  <si>
    <t>393,17</t>
  </si>
  <si>
    <t>65,08%</t>
  </si>
  <si>
    <t>383,41</t>
  </si>
  <si>
    <t>214,71</t>
  </si>
  <si>
    <t>171,08</t>
  </si>
  <si>
    <t>164,96</t>
  </si>
  <si>
    <t>296,77</t>
  </si>
  <si>
    <t>350,36</t>
  </si>
  <si>
    <t>260,46</t>
  </si>
  <si>
    <t>388,30</t>
  </si>
  <si>
    <t>65,21%</t>
  </si>
  <si>
    <t>324,00</t>
  </si>
  <si>
    <t>416,58</t>
  </si>
  <si>
    <t>433,39</t>
  </si>
  <si>
    <t>387,24</t>
  </si>
  <si>
    <t>408,21</t>
  </si>
  <si>
    <t>78,96%</t>
  </si>
  <si>
    <t>494,34</t>
  </si>
  <si>
    <t>501,97</t>
  </si>
  <si>
    <t>442,56</t>
  </si>
  <si>
    <t>532,47</t>
  </si>
  <si>
    <t>64,30%</t>
  </si>
  <si>
    <t>528,44</t>
  </si>
  <si>
    <t>201,08</t>
  </si>
  <si>
    <t>79,48%</t>
  </si>
  <si>
    <t>375,64</t>
  </si>
  <si>
    <t>68,10%</t>
  </si>
  <si>
    <t>431,74</t>
  </si>
  <si>
    <t>328,38</t>
  </si>
  <si>
    <t>70,25%</t>
  </si>
  <si>
    <t>444,18</t>
  </si>
  <si>
    <t>411,46</t>
  </si>
  <si>
    <t>292,32</t>
  </si>
  <si>
    <t>79,21%</t>
  </si>
  <si>
    <t>443,50</t>
  </si>
  <si>
    <t>351,04</t>
  </si>
  <si>
    <t>298,07</t>
  </si>
  <si>
    <t>300,10</t>
  </si>
  <si>
    <t>246,71</t>
  </si>
  <si>
    <t>380,82</t>
  </si>
  <si>
    <t>456,11</t>
  </si>
  <si>
    <t>383,63</t>
  </si>
  <si>
    <t>60,86%</t>
  </si>
  <si>
    <t>424,70</t>
  </si>
  <si>
    <t>191,43</t>
  </si>
  <si>
    <t>389,63</t>
  </si>
  <si>
    <t>77,33</t>
  </si>
  <si>
    <t>244,29</t>
  </si>
  <si>
    <t>270,05</t>
  </si>
  <si>
    <t>78,92%</t>
  </si>
  <si>
    <t>430,75</t>
  </si>
  <si>
    <t>458,88</t>
  </si>
  <si>
    <t>402,69</t>
  </si>
  <si>
    <t>55,61%</t>
  </si>
  <si>
    <t>436,45</t>
  </si>
  <si>
    <t>446,57</t>
  </si>
  <si>
    <t>238,48</t>
  </si>
  <si>
    <t>61,94%</t>
  </si>
  <si>
    <t>435,61</t>
  </si>
  <si>
    <t>492,12</t>
  </si>
  <si>
    <t>266,41</t>
  </si>
  <si>
    <t>81,34%</t>
  </si>
  <si>
    <t>410,09</t>
  </si>
  <si>
    <t>140,56</t>
  </si>
  <si>
    <t>34,59%</t>
  </si>
  <si>
    <t>370,91</t>
  </si>
  <si>
    <t>194,81</t>
  </si>
  <si>
    <t>38,99%</t>
  </si>
  <si>
    <t>375,48</t>
  </si>
  <si>
    <t>36,48%</t>
  </si>
  <si>
    <t>410,39</t>
  </si>
  <si>
    <t>286,76</t>
  </si>
  <si>
    <t>439,75</t>
  </si>
  <si>
    <t>433,14</t>
  </si>
  <si>
    <t>383,88</t>
  </si>
  <si>
    <t>55,87%</t>
  </si>
  <si>
    <t>113,23</t>
  </si>
  <si>
    <t>327,57</t>
  </si>
  <si>
    <t>420,44</t>
  </si>
  <si>
    <t>372,63</t>
  </si>
  <si>
    <t>247,32</t>
  </si>
  <si>
    <t>372,08</t>
  </si>
  <si>
    <t>480,85</t>
  </si>
  <si>
    <t>411,11</t>
  </si>
  <si>
    <t>255,21</t>
  </si>
  <si>
    <t>72,31%</t>
  </si>
  <si>
    <t>392,68</t>
  </si>
  <si>
    <t>429,80</t>
  </si>
  <si>
    <t>381,10</t>
  </si>
  <si>
    <t>69,92%</t>
  </si>
  <si>
    <t>423,24</t>
  </si>
  <si>
    <t>388,76</t>
  </si>
  <si>
    <t>548,33</t>
  </si>
  <si>
    <t>580,95</t>
  </si>
  <si>
    <t>555,64</t>
  </si>
  <si>
    <t>548,74</t>
  </si>
  <si>
    <t>475,73</t>
  </si>
  <si>
    <t>523,48</t>
  </si>
  <si>
    <t>601,70</t>
  </si>
  <si>
    <t>613,62</t>
  </si>
  <si>
    <t>91,84%</t>
  </si>
  <si>
    <t>574,22</t>
  </si>
  <si>
    <t>612,77</t>
  </si>
  <si>
    <t>562,55</t>
  </si>
  <si>
    <t>645,22</t>
  </si>
  <si>
    <t>560,82</t>
  </si>
  <si>
    <t>636,67</t>
  </si>
  <si>
    <t>541,22</t>
  </si>
  <si>
    <t>528,98</t>
  </si>
  <si>
    <t>83,56%</t>
  </si>
  <si>
    <t>75,34%</t>
  </si>
  <si>
    <t>513,33</t>
  </si>
  <si>
    <t>382,48</t>
  </si>
  <si>
    <t>72,39%</t>
  </si>
  <si>
    <t>385,26</t>
  </si>
  <si>
    <t>442,11</t>
  </si>
  <si>
    <t>492,17</t>
  </si>
  <si>
    <t>548,85</t>
  </si>
  <si>
    <t>545,10</t>
  </si>
  <si>
    <t>76,98%</t>
  </si>
  <si>
    <t>604,12</t>
  </si>
  <si>
    <t>560,45</t>
  </si>
  <si>
    <t>215,43</t>
  </si>
  <si>
    <t>344,93</t>
  </si>
  <si>
    <t>311,67</t>
  </si>
  <si>
    <t>336,74</t>
  </si>
  <si>
    <t>430,05</t>
  </si>
  <si>
    <t>64,88%</t>
  </si>
  <si>
    <t>217,65</t>
  </si>
  <si>
    <t>455,36</t>
  </si>
  <si>
    <t>462,76</t>
  </si>
  <si>
    <t>300,31</t>
  </si>
  <si>
    <t>55,09%</t>
  </si>
  <si>
    <t>379,78</t>
  </si>
  <si>
    <t>462,89</t>
  </si>
  <si>
    <t>353,65</t>
  </si>
  <si>
    <t>406,11</t>
  </si>
  <si>
    <t>292,47</t>
  </si>
  <si>
    <t>232,73</t>
  </si>
  <si>
    <t>97,94%</t>
  </si>
  <si>
    <t>293,47</t>
  </si>
  <si>
    <t>96,91%</t>
  </si>
  <si>
    <t>273,62</t>
  </si>
  <si>
    <t>339,15</t>
  </si>
  <si>
    <t>366,18</t>
  </si>
  <si>
    <t>56,02%</t>
  </si>
  <si>
    <t>495,56</t>
  </si>
  <si>
    <t>525,05</t>
  </si>
  <si>
    <t>468,44</t>
  </si>
  <si>
    <t>562,86</t>
  </si>
  <si>
    <t>452,57</t>
  </si>
  <si>
    <t>CE CARLOS MARIA MARCHON</t>
  </si>
  <si>
    <t>502,86</t>
  </si>
  <si>
    <t>558,00</t>
  </si>
  <si>
    <t>500,51</t>
  </si>
  <si>
    <t>524,85</t>
  </si>
  <si>
    <t>91,11%</t>
  </si>
  <si>
    <t>484,88</t>
  </si>
  <si>
    <t>223,52</t>
  </si>
  <si>
    <t>72,69%</t>
  </si>
  <si>
    <t>374,91</t>
  </si>
  <si>
    <t>78,41%</t>
  </si>
  <si>
    <t>420,68</t>
  </si>
  <si>
    <t>379,57</t>
  </si>
  <si>
    <t>503,77</t>
  </si>
  <si>
    <t>29,52%</t>
  </si>
  <si>
    <t>625,45</t>
  </si>
  <si>
    <t>374,12</t>
  </si>
  <si>
    <t>486,32</t>
  </si>
  <si>
    <t>462,22</t>
  </si>
  <si>
    <t>557,65</t>
  </si>
  <si>
    <t>524,71</t>
  </si>
  <si>
    <t>435,68</t>
  </si>
  <si>
    <t>496,84</t>
  </si>
  <si>
    <t>412,97</t>
  </si>
  <si>
    <t>453,68</t>
  </si>
  <si>
    <t>278,16</t>
  </si>
  <si>
    <t>63,02%</t>
  </si>
  <si>
    <t>292,22</t>
  </si>
  <si>
    <t>45,54%</t>
  </si>
  <si>
    <t>398,62</t>
  </si>
  <si>
    <t>403,18</t>
  </si>
  <si>
    <t>290,37</t>
  </si>
  <si>
    <t>482,96</t>
  </si>
  <si>
    <t>531,11</t>
  </si>
  <si>
    <t>555,76</t>
  </si>
  <si>
    <t>604,60</t>
  </si>
  <si>
    <t>624,39</t>
  </si>
  <si>
    <t>428,21</t>
  </si>
  <si>
    <t>79,49%</t>
  </si>
  <si>
    <t>495,91</t>
  </si>
  <si>
    <t>56,43%</t>
  </si>
  <si>
    <t>554,94</t>
  </si>
  <si>
    <t>425,96</t>
  </si>
  <si>
    <t>436,59</t>
  </si>
  <si>
    <t>581,74</t>
  </si>
  <si>
    <t>295,83</t>
  </si>
  <si>
    <t>431,43</t>
  </si>
  <si>
    <t>475,90</t>
  </si>
  <si>
    <t>432,00</t>
  </si>
  <si>
    <t>448,89</t>
  </si>
  <si>
    <t>295,53</t>
  </si>
  <si>
    <t>471,02</t>
  </si>
  <si>
    <t>515,61</t>
  </si>
  <si>
    <t>524,00</t>
  </si>
  <si>
    <t>516,77</t>
  </si>
  <si>
    <t>537,11</t>
  </si>
  <si>
    <t>251,79</t>
  </si>
  <si>
    <t>514,78</t>
  </si>
  <si>
    <t>157,27</t>
  </si>
  <si>
    <t>43,01%</t>
  </si>
  <si>
    <t>396,86</t>
  </si>
  <si>
    <t>190,52</t>
  </si>
  <si>
    <t>82,52%</t>
  </si>
  <si>
    <t>423,61</t>
  </si>
  <si>
    <t>300,61</t>
  </si>
  <si>
    <t>76,70%</t>
  </si>
  <si>
    <t>392,91</t>
  </si>
  <si>
    <t>74,76%</t>
  </si>
  <si>
    <t>424,66</t>
  </si>
  <si>
    <t>82,30%</t>
  </si>
  <si>
    <t>499,55</t>
  </si>
  <si>
    <t>69,91%</t>
  </si>
  <si>
    <t>545,64</t>
  </si>
  <si>
    <t>74,34%</t>
  </si>
  <si>
    <t>364,65</t>
  </si>
  <si>
    <t>505,88</t>
  </si>
  <si>
    <t>485,33</t>
  </si>
  <si>
    <t>518,46</t>
  </si>
  <si>
    <t>305,19</t>
  </si>
  <si>
    <t>432,41</t>
  </si>
  <si>
    <t>85,88%</t>
  </si>
  <si>
    <t>330,47</t>
  </si>
  <si>
    <t>284,21</t>
  </si>
  <si>
    <t>527,14</t>
  </si>
  <si>
    <t>487,41</t>
  </si>
  <si>
    <t>168,00</t>
  </si>
  <si>
    <t>447,06</t>
  </si>
  <si>
    <t>CE INDEPENDENCIA</t>
  </si>
  <si>
    <t>528,89</t>
  </si>
  <si>
    <t>386,32</t>
  </si>
  <si>
    <t>438,79</t>
  </si>
  <si>
    <t>481,43</t>
  </si>
  <si>
    <t>416,77</t>
  </si>
  <si>
    <t>397,58</t>
  </si>
  <si>
    <t>411,61</t>
  </si>
  <si>
    <t>337,33</t>
  </si>
  <si>
    <t>607,14</t>
  </si>
  <si>
    <t>570,00</t>
  </si>
  <si>
    <t>526,15</t>
  </si>
  <si>
    <t>461,54</t>
  </si>
  <si>
    <t>543,16</t>
  </si>
  <si>
    <t>441,90</t>
  </si>
  <si>
    <t>274,35</t>
  </si>
  <si>
    <t>81,95%</t>
  </si>
  <si>
    <t>354,81</t>
  </si>
  <si>
    <t>334,78</t>
  </si>
  <si>
    <t>480,92</t>
  </si>
  <si>
    <t>78,20%</t>
  </si>
  <si>
    <t>436,89</t>
  </si>
  <si>
    <t>463,81</t>
  </si>
  <si>
    <t>472,59</t>
  </si>
  <si>
    <t>594,48</t>
  </si>
  <si>
    <t>322,79</t>
  </si>
  <si>
    <t>379,85</t>
  </si>
  <si>
    <t>97,79%</t>
  </si>
  <si>
    <t>435,76</t>
  </si>
  <si>
    <t>477,41</t>
  </si>
  <si>
    <t>80,15%</t>
  </si>
  <si>
    <t>521,83</t>
  </si>
  <si>
    <t>393,44</t>
  </si>
  <si>
    <t>93,65%</t>
  </si>
  <si>
    <t>245,19</t>
  </si>
  <si>
    <t>396,67</t>
  </si>
  <si>
    <t>404,76</t>
  </si>
  <si>
    <t>499,17</t>
  </si>
  <si>
    <t>436,10</t>
  </si>
  <si>
    <t>538,67</t>
  </si>
  <si>
    <t>567,50</t>
  </si>
  <si>
    <t>97,12%</t>
  </si>
  <si>
    <t>98,56%</t>
  </si>
  <si>
    <t>314,12</t>
  </si>
  <si>
    <t>325,13</t>
  </si>
  <si>
    <t>90,65%</t>
  </si>
  <si>
    <t>333,44</t>
  </si>
  <si>
    <t>51,08%</t>
  </si>
  <si>
    <t>471,18</t>
  </si>
  <si>
    <t>81,09%</t>
  </si>
  <si>
    <t>332,67</t>
  </si>
  <si>
    <t>509,41</t>
  </si>
  <si>
    <t>495,10</t>
  </si>
  <si>
    <t>471,63</t>
  </si>
  <si>
    <t>507,42</t>
  </si>
  <si>
    <t>78,11%</t>
  </si>
  <si>
    <t>440,77</t>
  </si>
  <si>
    <t>90,96%</t>
  </si>
  <si>
    <t>354,09</t>
  </si>
  <si>
    <t>434,96</t>
  </si>
  <si>
    <t>466,26</t>
  </si>
  <si>
    <t>73,49%</t>
  </si>
  <si>
    <t>486,33</t>
  </si>
  <si>
    <t>595,43</t>
  </si>
  <si>
    <t>553,94</t>
  </si>
  <si>
    <t>590,40</t>
  </si>
  <si>
    <t>551,58</t>
  </si>
  <si>
    <t>545,26</t>
  </si>
  <si>
    <t>467,20</t>
  </si>
  <si>
    <t>523,81</t>
  </si>
  <si>
    <t>370,53</t>
  </si>
  <si>
    <t>413,17</t>
  </si>
  <si>
    <t>88,54%</t>
  </si>
  <si>
    <t>500,48</t>
  </si>
  <si>
    <t>431,47</t>
  </si>
  <si>
    <t>535,81</t>
  </si>
  <si>
    <t>303,03</t>
  </si>
  <si>
    <t>450,91</t>
  </si>
  <si>
    <t>547,59</t>
  </si>
  <si>
    <t>455,48</t>
  </si>
  <si>
    <t>505,00</t>
  </si>
  <si>
    <t>196,76</t>
  </si>
  <si>
    <t>63,53%</t>
  </si>
  <si>
    <t>459,28</t>
  </si>
  <si>
    <t>517,83</t>
  </si>
  <si>
    <t>59,54%</t>
  </si>
  <si>
    <t>398,09</t>
  </si>
  <si>
    <t>317,21</t>
  </si>
  <si>
    <t>464,29</t>
  </si>
  <si>
    <t>471,84</t>
  </si>
  <si>
    <t>459,59</t>
  </si>
  <si>
    <t>274,55</t>
  </si>
  <si>
    <t>411,30</t>
  </si>
  <si>
    <t>389,29</t>
  </si>
  <si>
    <t>324,55</t>
  </si>
  <si>
    <t>409,70</t>
  </si>
  <si>
    <t>452,86</t>
  </si>
  <si>
    <t>396,36</t>
  </si>
  <si>
    <t>241,70</t>
  </si>
  <si>
    <t>362,76</t>
  </si>
  <si>
    <t>447,83</t>
  </si>
  <si>
    <t>406,92</t>
  </si>
  <si>
    <t>79,73%</t>
  </si>
  <si>
    <t>441,69</t>
  </si>
  <si>
    <t>492,26</t>
  </si>
  <si>
    <t>427,02</t>
  </si>
  <si>
    <t>474,23</t>
  </si>
  <si>
    <t>523,08</t>
  </si>
  <si>
    <t>543,64</t>
  </si>
  <si>
    <t>476,36</t>
  </si>
  <si>
    <t>542,61</t>
  </si>
  <si>
    <t>513,04</t>
  </si>
  <si>
    <t>255,00</t>
  </si>
  <si>
    <t>74,16%</t>
  </si>
  <si>
    <t>391,52</t>
  </si>
  <si>
    <t>469,71</t>
  </si>
  <si>
    <t>386,23</t>
  </si>
  <si>
    <t>473,04</t>
  </si>
  <si>
    <t>471,52</t>
  </si>
  <si>
    <t>497,86</t>
  </si>
  <si>
    <t>72,60%</t>
  </si>
  <si>
    <t>561,51</t>
  </si>
  <si>
    <t>529,57</t>
  </si>
  <si>
    <t>578,04</t>
  </si>
  <si>
    <t>250,19</t>
  </si>
  <si>
    <t>63,81%</t>
  </si>
  <si>
    <t>457,25</t>
  </si>
  <si>
    <t>385,41</t>
  </si>
  <si>
    <t>393,83</t>
  </si>
  <si>
    <t>504,71</t>
  </si>
  <si>
    <t>267,06</t>
  </si>
  <si>
    <t>365,26</t>
  </si>
  <si>
    <t>380,57</t>
  </si>
  <si>
    <t>227,62</t>
  </si>
  <si>
    <t>450,23</t>
  </si>
  <si>
    <t>193,47</t>
  </si>
  <si>
    <t>342,75</t>
  </si>
  <si>
    <t>363,48</t>
  </si>
  <si>
    <t>454,67</t>
  </si>
  <si>
    <t>71,59%</t>
  </si>
  <si>
    <t>485,08</t>
  </si>
  <si>
    <t>251,73</t>
  </si>
  <si>
    <t>358,65</t>
  </si>
  <si>
    <t>401,49</t>
  </si>
  <si>
    <t>359,40</t>
  </si>
  <si>
    <t>63,72%</t>
  </si>
  <si>
    <t>398,48</t>
  </si>
  <si>
    <t>289,62</t>
  </si>
  <si>
    <t>400,39</t>
  </si>
  <si>
    <t>460,82</t>
  </si>
  <si>
    <t>343,05</t>
  </si>
  <si>
    <t>375,24</t>
  </si>
  <si>
    <t>460,63</t>
  </si>
  <si>
    <t>90,24%</t>
  </si>
  <si>
    <t>512,43</t>
  </si>
  <si>
    <t>88,29%</t>
  </si>
  <si>
    <t>579,59</t>
  </si>
  <si>
    <t>464,84</t>
  </si>
  <si>
    <t>625,15</t>
  </si>
  <si>
    <t>563,22</t>
  </si>
  <si>
    <t>541,82</t>
  </si>
  <si>
    <t>267,84</t>
  </si>
  <si>
    <t>95,37%</t>
  </si>
  <si>
    <t>369,39</t>
  </si>
  <si>
    <t>365,38</t>
  </si>
  <si>
    <t>307,92</t>
  </si>
  <si>
    <t>313,52</t>
  </si>
  <si>
    <t>335,00</t>
  </si>
  <si>
    <t>429,41</t>
  </si>
  <si>
    <t>264,83</t>
  </si>
  <si>
    <t>532,00</t>
  </si>
  <si>
    <t>421,43</t>
  </si>
  <si>
    <t>449,92</t>
  </si>
  <si>
    <t>449,43</t>
  </si>
  <si>
    <t>338,13</t>
  </si>
  <si>
    <t>85,94%</t>
  </si>
  <si>
    <t>99,22%</t>
  </si>
  <si>
    <t>445,81</t>
  </si>
  <si>
    <t>347,07</t>
  </si>
  <si>
    <t>90,63%</t>
  </si>
  <si>
    <t>514,74</t>
  </si>
  <si>
    <t>492,08</t>
  </si>
  <si>
    <t>500,87</t>
  </si>
  <si>
    <t>566,80</t>
  </si>
  <si>
    <t>553,95</t>
  </si>
  <si>
    <t>599,53</t>
  </si>
  <si>
    <t>99,04%</t>
  </si>
  <si>
    <t>593,73</t>
  </si>
  <si>
    <t>409,13</t>
  </si>
  <si>
    <t>81,91%</t>
  </si>
  <si>
    <t>505,79</t>
  </si>
  <si>
    <t>95,74%</t>
  </si>
  <si>
    <t>524,55</t>
  </si>
  <si>
    <t>447,36</t>
  </si>
  <si>
    <t>531,03</t>
  </si>
  <si>
    <t>514,29</t>
  </si>
  <si>
    <t>414,12</t>
  </si>
  <si>
    <t>568,00</t>
  </si>
  <si>
    <t>523,85</t>
  </si>
  <si>
    <t>569,45</t>
  </si>
  <si>
    <t>451,20</t>
  </si>
  <si>
    <t>474,67</t>
  </si>
  <si>
    <t>312,31</t>
  </si>
  <si>
    <t>48,65%</t>
  </si>
  <si>
    <t>441,82</t>
  </si>
  <si>
    <t>565,71</t>
  </si>
  <si>
    <t>563,64</t>
  </si>
  <si>
    <t>583,64</t>
  </si>
  <si>
    <t>598,00</t>
  </si>
  <si>
    <t>327,06</t>
  </si>
  <si>
    <t>263,64</t>
  </si>
  <si>
    <t>306,90</t>
  </si>
  <si>
    <t>477,78</t>
  </si>
  <si>
    <t>392,50</t>
  </si>
  <si>
    <t>508,67</t>
  </si>
  <si>
    <t>84,94%</t>
  </si>
  <si>
    <t>504,68</t>
  </si>
  <si>
    <t>506,45</t>
  </si>
  <si>
    <t>74,70%</t>
  </si>
  <si>
    <t>570,32</t>
  </si>
  <si>
    <t>532,87</t>
  </si>
  <si>
    <t>416,99</t>
  </si>
  <si>
    <t>471,55</t>
  </si>
  <si>
    <t>403,48</t>
  </si>
  <si>
    <t>538,33</t>
  </si>
  <si>
    <t>501,54</t>
  </si>
  <si>
    <t>582,40</t>
  </si>
  <si>
    <t>536,67</t>
  </si>
  <si>
    <t>245,47</t>
  </si>
  <si>
    <t>445,95</t>
  </si>
  <si>
    <t>475,21</t>
  </si>
  <si>
    <t>254,50</t>
  </si>
  <si>
    <t>496,10</t>
  </si>
  <si>
    <t>493,89</t>
  </si>
  <si>
    <t>333,06</t>
  </si>
  <si>
    <t>59,68%</t>
  </si>
  <si>
    <t>451,89</t>
  </si>
  <si>
    <t>90,48%</t>
  </si>
  <si>
    <t>456,43</t>
  </si>
  <si>
    <t>433,89</t>
  </si>
  <si>
    <t>72,16%</t>
  </si>
  <si>
    <t>483,27</t>
  </si>
  <si>
    <t>69,96%</t>
  </si>
  <si>
    <t>481,49</t>
  </si>
  <si>
    <t>387,70</t>
  </si>
  <si>
    <t>447,70</t>
  </si>
  <si>
    <t>344,68</t>
  </si>
  <si>
    <t>425,68</t>
  </si>
  <si>
    <t>413,26</t>
  </si>
  <si>
    <t>444,86</t>
  </si>
  <si>
    <t>486,67</t>
  </si>
  <si>
    <t>518,31</t>
  </si>
  <si>
    <t>534,19</t>
  </si>
  <si>
    <t>515,15</t>
  </si>
  <si>
    <t>318,70</t>
  </si>
  <si>
    <t>469,20</t>
  </si>
  <si>
    <t>509,73</t>
  </si>
  <si>
    <t>452,82</t>
  </si>
  <si>
    <t>69,36%</t>
  </si>
  <si>
    <t>479,10</t>
  </si>
  <si>
    <t>60,69%</t>
  </si>
  <si>
    <t>492,81</t>
  </si>
  <si>
    <t>271,64</t>
  </si>
  <si>
    <t>88,85%</t>
  </si>
  <si>
    <t>218,08</t>
  </si>
  <si>
    <t>284,02</t>
  </si>
  <si>
    <t>426,04</t>
  </si>
  <si>
    <t>534,31</t>
  </si>
  <si>
    <t>326,08</t>
  </si>
  <si>
    <t>473,85</t>
  </si>
  <si>
    <t>464,86</t>
  </si>
  <si>
    <t>456,36</t>
  </si>
  <si>
    <t>68,37%</t>
  </si>
  <si>
    <t>473,43</t>
  </si>
  <si>
    <t>509,09</t>
  </si>
  <si>
    <t>471,97</t>
  </si>
  <si>
    <t>425,07</t>
  </si>
  <si>
    <t>484,04</t>
  </si>
  <si>
    <t>64,38%</t>
  </si>
  <si>
    <t>492,71</t>
  </si>
  <si>
    <t>278,40</t>
  </si>
  <si>
    <t>456,38</t>
  </si>
  <si>
    <t>64,22%</t>
  </si>
  <si>
    <t>458,82</t>
  </si>
  <si>
    <t>337,52</t>
  </si>
  <si>
    <t>65,72%</t>
  </si>
  <si>
    <t>472,56</t>
  </si>
  <si>
    <t>423,63</t>
  </si>
  <si>
    <t>249,67</t>
  </si>
  <si>
    <t>491,01</t>
  </si>
  <si>
    <t>57,33%</t>
  </si>
  <si>
    <t>474,73</t>
  </si>
  <si>
    <t>380,35</t>
  </si>
  <si>
    <t>459,87</t>
  </si>
  <si>
    <t>462,45</t>
  </si>
  <si>
    <t>214,06</t>
  </si>
  <si>
    <t>284,26</t>
  </si>
  <si>
    <t>371,13</t>
  </si>
  <si>
    <t>443,10</t>
  </si>
  <si>
    <t>263,11</t>
  </si>
  <si>
    <t>400,63</t>
  </si>
  <si>
    <t>69,89%</t>
  </si>
  <si>
    <t>430,64</t>
  </si>
  <si>
    <t>215,39</t>
  </si>
  <si>
    <t>385,27</t>
  </si>
  <si>
    <t>412,01</t>
  </si>
  <si>
    <t>315,73</t>
  </si>
  <si>
    <t>383,80</t>
  </si>
  <si>
    <t>424,88</t>
  </si>
  <si>
    <t>271,37</t>
  </si>
  <si>
    <t>435,95</t>
  </si>
  <si>
    <t>462,03</t>
  </si>
  <si>
    <t>271,54</t>
  </si>
  <si>
    <t>427,18</t>
  </si>
  <si>
    <t>457,32</t>
  </si>
  <si>
    <t>379,63</t>
  </si>
  <si>
    <t>433,95</t>
  </si>
  <si>
    <t>461,96</t>
  </si>
  <si>
    <t>34,29</t>
  </si>
  <si>
    <t>434,12</t>
  </si>
  <si>
    <t>423,30</t>
  </si>
  <si>
    <t>434,56</t>
  </si>
  <si>
    <t>311,68</t>
  </si>
  <si>
    <t>368,36</t>
  </si>
  <si>
    <t>480,30</t>
  </si>
  <si>
    <t>498,39</t>
  </si>
  <si>
    <t>164,34</t>
  </si>
  <si>
    <t>53,58%</t>
  </si>
  <si>
    <t>389,46</t>
  </si>
  <si>
    <t>433,06</t>
  </si>
  <si>
    <t>411,56</t>
  </si>
  <si>
    <t>457,76</t>
  </si>
  <si>
    <t>186,16</t>
  </si>
  <si>
    <t>361,41</t>
  </si>
  <si>
    <t>396,08</t>
  </si>
  <si>
    <t>209,68</t>
  </si>
  <si>
    <t>47,16%</t>
  </si>
  <si>
    <t>164,37</t>
  </si>
  <si>
    <t>45,04%</t>
  </si>
  <si>
    <t>322,50</t>
  </si>
  <si>
    <t>288,67</t>
  </si>
  <si>
    <t>60,81%</t>
  </si>
  <si>
    <t>536,88</t>
  </si>
  <si>
    <t>463,45</t>
  </si>
  <si>
    <t>499,35</t>
  </si>
  <si>
    <t>339,33</t>
  </si>
  <si>
    <t>87,83%</t>
  </si>
  <si>
    <t>491,68</t>
  </si>
  <si>
    <t>450,35</t>
  </si>
  <si>
    <t>482,36</t>
  </si>
  <si>
    <t>508,81</t>
  </si>
  <si>
    <t>33,87%</t>
  </si>
  <si>
    <t>350,48</t>
  </si>
  <si>
    <t>215,52</t>
  </si>
  <si>
    <t>308,97</t>
  </si>
  <si>
    <t>257,33</t>
  </si>
  <si>
    <t>305,20</t>
  </si>
  <si>
    <t>410,77</t>
  </si>
  <si>
    <t>55,92%</t>
  </si>
  <si>
    <t>439,53</t>
  </si>
  <si>
    <t>427,29</t>
  </si>
  <si>
    <t>53,95%</t>
  </si>
  <si>
    <t>449,27</t>
  </si>
  <si>
    <t>162,56</t>
  </si>
  <si>
    <t>198,22</t>
  </si>
  <si>
    <t>39,45%</t>
  </si>
  <si>
    <t>390,28</t>
  </si>
  <si>
    <t>247,12</t>
  </si>
  <si>
    <t>379,19</t>
  </si>
  <si>
    <t>384,98</t>
  </si>
  <si>
    <t>232,88</t>
  </si>
  <si>
    <t>53,36%</t>
  </si>
  <si>
    <t>354,47</t>
  </si>
  <si>
    <t>454,03</t>
  </si>
  <si>
    <t>371,05</t>
  </si>
  <si>
    <t>445,22</t>
  </si>
  <si>
    <t>66,81%</t>
  </si>
  <si>
    <t>442,53</t>
  </si>
  <si>
    <t>380,22</t>
  </si>
  <si>
    <t>449,78</t>
  </si>
  <si>
    <t>62,41%</t>
  </si>
  <si>
    <t>447,71</t>
  </si>
  <si>
    <t>322,22</t>
  </si>
  <si>
    <t>459,52</t>
  </si>
  <si>
    <t>54,86%</t>
  </si>
  <si>
    <t>456,84</t>
  </si>
  <si>
    <t>225,69</t>
  </si>
  <si>
    <t>71,92%</t>
  </si>
  <si>
    <t>458,50</t>
  </si>
  <si>
    <t>53,50%</t>
  </si>
  <si>
    <t>511,08</t>
  </si>
  <si>
    <t>414,37</t>
  </si>
  <si>
    <t>542,83</t>
  </si>
  <si>
    <t>531,67</t>
  </si>
  <si>
    <t>371,81</t>
  </si>
  <si>
    <t>439,73</t>
  </si>
  <si>
    <t>69,10%</t>
  </si>
  <si>
    <t>431,26</t>
  </si>
  <si>
    <t>462,48</t>
  </si>
  <si>
    <t>75,84%</t>
  </si>
  <si>
    <t>453,64</t>
  </si>
  <si>
    <t>296,57</t>
  </si>
  <si>
    <t>329,28</t>
  </si>
  <si>
    <t>426,30</t>
  </si>
  <si>
    <t>317,61</t>
  </si>
  <si>
    <t>62,73%</t>
  </si>
  <si>
    <t>274,71</t>
  </si>
  <si>
    <t>401,10</t>
  </si>
  <si>
    <t>303,95</t>
  </si>
  <si>
    <t>427,60</t>
  </si>
  <si>
    <t>50,16%</t>
  </si>
  <si>
    <t>470,41</t>
  </si>
  <si>
    <t>371,42</t>
  </si>
  <si>
    <t>477,64</t>
  </si>
  <si>
    <t>46,37%</t>
  </si>
  <si>
    <t>483,54</t>
  </si>
  <si>
    <t>282,56</t>
  </si>
  <si>
    <t>45,38%</t>
  </si>
  <si>
    <t>398,15</t>
  </si>
  <si>
    <t>60,07%</t>
  </si>
  <si>
    <t>429,77</t>
  </si>
  <si>
    <t>306,71</t>
  </si>
  <si>
    <t>57,09%</t>
  </si>
  <si>
    <t>155,24</t>
  </si>
  <si>
    <t>388,08</t>
  </si>
  <si>
    <t>464,46</t>
  </si>
  <si>
    <t>326,00</t>
  </si>
  <si>
    <t>374,74</t>
  </si>
  <si>
    <t>53,47%</t>
  </si>
  <si>
    <t>433,60</t>
  </si>
  <si>
    <t>445,12</t>
  </si>
  <si>
    <t>501,31</t>
  </si>
  <si>
    <t>401,52</t>
  </si>
  <si>
    <t>78,01%</t>
  </si>
  <si>
    <t>493,94</t>
  </si>
  <si>
    <t>70,21%</t>
  </si>
  <si>
    <t>494,95</t>
  </si>
  <si>
    <t>222,50</t>
  </si>
  <si>
    <t>433,10</t>
  </si>
  <si>
    <t>326,96</t>
  </si>
  <si>
    <t>428,15</t>
  </si>
  <si>
    <t>199,18</t>
  </si>
  <si>
    <t>399,97</t>
  </si>
  <si>
    <t>464,40</t>
  </si>
  <si>
    <t>464,23</t>
  </si>
  <si>
    <t>43,44%</t>
  </si>
  <si>
    <t>288,11</t>
  </si>
  <si>
    <t>450,61</t>
  </si>
  <si>
    <t>484,22</t>
  </si>
  <si>
    <t>449,48</t>
  </si>
  <si>
    <t>77,30%</t>
  </si>
  <si>
    <t>435,28</t>
  </si>
  <si>
    <t>74,48%</t>
  </si>
  <si>
    <t>306,01</t>
  </si>
  <si>
    <t>412,25</t>
  </si>
  <si>
    <t>341,64</t>
  </si>
  <si>
    <t>444,39</t>
  </si>
  <si>
    <t>62,90%</t>
  </si>
  <si>
    <t>410,62</t>
  </si>
  <si>
    <t>309,54</t>
  </si>
  <si>
    <t>436,48</t>
  </si>
  <si>
    <t>69,22%</t>
  </si>
  <si>
    <t>456,89</t>
  </si>
  <si>
    <t>414,62</t>
  </si>
  <si>
    <t>423,59</t>
  </si>
  <si>
    <t>70,82%</t>
  </si>
  <si>
    <t>436,81</t>
  </si>
  <si>
    <t>141,73</t>
  </si>
  <si>
    <t>399,26</t>
  </si>
  <si>
    <t>410,81</t>
  </si>
  <si>
    <t>238,62</t>
  </si>
  <si>
    <t>517,04</t>
  </si>
  <si>
    <t>131,43</t>
  </si>
  <si>
    <t>83,20</t>
  </si>
  <si>
    <t>41,46%</t>
  </si>
  <si>
    <t>322,76</t>
  </si>
  <si>
    <t>484,91</t>
  </si>
  <si>
    <t>499,64</t>
  </si>
  <si>
    <t>564,21</t>
  </si>
  <si>
    <t>512,59</t>
  </si>
  <si>
    <t>566,78</t>
  </si>
  <si>
    <t>546,44</t>
  </si>
  <si>
    <t>254,36</t>
  </si>
  <si>
    <t>361,33</t>
  </si>
  <si>
    <t>470,43</t>
  </si>
  <si>
    <t>447,80</t>
  </si>
  <si>
    <t>205,34</t>
  </si>
  <si>
    <t>61,43%</t>
  </si>
  <si>
    <t>412,03</t>
  </si>
  <si>
    <t>304,61</t>
  </si>
  <si>
    <t>388,89</t>
  </si>
  <si>
    <t>43,69%</t>
  </si>
  <si>
    <t>434,19</t>
  </si>
  <si>
    <t>390,37</t>
  </si>
  <si>
    <t>460,57</t>
  </si>
  <si>
    <t>460,29</t>
  </si>
  <si>
    <t>81,55%</t>
  </si>
  <si>
    <t>525,71</t>
  </si>
  <si>
    <t>485,07</t>
  </si>
  <si>
    <t>75,73%</t>
  </si>
  <si>
    <t>229,55</t>
  </si>
  <si>
    <t>67,34%</t>
  </si>
  <si>
    <t>376,16</t>
  </si>
  <si>
    <t>447,55</t>
  </si>
  <si>
    <t>406,22</t>
  </si>
  <si>
    <t>490,98</t>
  </si>
  <si>
    <t>314,45</t>
  </si>
  <si>
    <t>476,67</t>
  </si>
  <si>
    <t>466,77</t>
  </si>
  <si>
    <t>82,89%</t>
  </si>
  <si>
    <t>76,97%</t>
  </si>
  <si>
    <t>325,14</t>
  </si>
  <si>
    <t>75,14%</t>
  </si>
  <si>
    <t>437,17</t>
  </si>
  <si>
    <t>77,46%</t>
  </si>
  <si>
    <t>481,23</t>
  </si>
  <si>
    <t>507,66</t>
  </si>
  <si>
    <t>290,09</t>
  </si>
  <si>
    <t>434,18</t>
  </si>
  <si>
    <t>374,59</t>
  </si>
  <si>
    <t>451,75</t>
  </si>
  <si>
    <t>61,32%</t>
  </si>
  <si>
    <t>451,10</t>
  </si>
  <si>
    <t>308,89</t>
  </si>
  <si>
    <t>72,49%</t>
  </si>
  <si>
    <t>473,03</t>
  </si>
  <si>
    <t>445,83</t>
  </si>
  <si>
    <t>62,08%</t>
  </si>
  <si>
    <t>466,18</t>
  </si>
  <si>
    <t>44,98%</t>
  </si>
  <si>
    <t>281,33</t>
  </si>
  <si>
    <t>406,40</t>
  </si>
  <si>
    <t>415,00</t>
  </si>
  <si>
    <t>264,48</t>
  </si>
  <si>
    <t>386,61</t>
  </si>
  <si>
    <t>329,23</t>
  </si>
  <si>
    <t>427,08</t>
  </si>
  <si>
    <t>442,20</t>
  </si>
  <si>
    <t>363,20</t>
  </si>
  <si>
    <t>437,27</t>
  </si>
  <si>
    <t>511,49</t>
  </si>
  <si>
    <t>436,28</t>
  </si>
  <si>
    <t>470,83</t>
  </si>
  <si>
    <t>278,31</t>
  </si>
  <si>
    <t>434,90</t>
  </si>
  <si>
    <t>475,34</t>
  </si>
  <si>
    <t>377,94</t>
  </si>
  <si>
    <t>508,02</t>
  </si>
  <si>
    <t>440,45</t>
  </si>
  <si>
    <t>376,36</t>
  </si>
  <si>
    <t>424,29</t>
  </si>
  <si>
    <t>459,31</t>
  </si>
  <si>
    <t>296,79</t>
  </si>
  <si>
    <t>408,14</t>
  </si>
  <si>
    <t>471,24</t>
  </si>
  <si>
    <t>408,13</t>
  </si>
  <si>
    <t>45,88%</t>
  </si>
  <si>
    <t>473,61</t>
  </si>
  <si>
    <t>630,59</t>
  </si>
  <si>
    <t>345,32</t>
  </si>
  <si>
    <t>506,88</t>
  </si>
  <si>
    <t>459,68</t>
  </si>
  <si>
    <t>507,22</t>
  </si>
  <si>
    <t>489,47</t>
  </si>
  <si>
    <t>262,70</t>
  </si>
  <si>
    <t>36,87%</t>
  </si>
  <si>
    <t>39,34%</t>
  </si>
  <si>
    <t>451,57</t>
  </si>
  <si>
    <t>426,57</t>
  </si>
  <si>
    <t>43,13%</t>
  </si>
  <si>
    <t>445,84</t>
  </si>
  <si>
    <t>309,83</t>
  </si>
  <si>
    <t>73,94%</t>
  </si>
  <si>
    <t>415,32</t>
  </si>
  <si>
    <t>476,43</t>
  </si>
  <si>
    <t>415,30</t>
  </si>
  <si>
    <t>466,60</t>
  </si>
  <si>
    <t>462,42</t>
  </si>
  <si>
    <t>357,71</t>
  </si>
  <si>
    <t>402,31</t>
  </si>
  <si>
    <t>524,80</t>
  </si>
  <si>
    <t>507,76</t>
  </si>
  <si>
    <t>311,90</t>
  </si>
  <si>
    <t>50,78%</t>
  </si>
  <si>
    <t>476,88</t>
  </si>
  <si>
    <t>300,27</t>
  </si>
  <si>
    <t>441,00</t>
  </si>
  <si>
    <t>353,70</t>
  </si>
  <si>
    <t>429,97</t>
  </si>
  <si>
    <t>472,93</t>
  </si>
  <si>
    <t>394,49</t>
  </si>
  <si>
    <t>76,78%</t>
  </si>
  <si>
    <t>463,40</t>
  </si>
  <si>
    <t>66,78%</t>
  </si>
  <si>
    <t>451,11</t>
  </si>
  <si>
    <t>305,71</t>
  </si>
  <si>
    <t>98,82%</t>
  </si>
  <si>
    <t>374,63</t>
  </si>
  <si>
    <t>500,34</t>
  </si>
  <si>
    <t>72,19%</t>
  </si>
  <si>
    <t>466,89</t>
  </si>
  <si>
    <t>169,01</t>
  </si>
  <si>
    <t>349,85</t>
  </si>
  <si>
    <t>436,25</t>
  </si>
  <si>
    <t>414,86</t>
  </si>
  <si>
    <t>200,09</t>
  </si>
  <si>
    <t>385,93</t>
  </si>
  <si>
    <t>304,84</t>
  </si>
  <si>
    <t>374,40</t>
  </si>
  <si>
    <t>199,54</t>
  </si>
  <si>
    <t>407,49</t>
  </si>
  <si>
    <t>428,94</t>
  </si>
  <si>
    <t>394,31</t>
  </si>
  <si>
    <t>42,68%</t>
  </si>
  <si>
    <t>489,00</t>
  </si>
  <si>
    <t>635,90</t>
  </si>
  <si>
    <t>596,76</t>
  </si>
  <si>
    <t>672,00</t>
  </si>
  <si>
    <t>680,00</t>
  </si>
  <si>
    <t>693,33</t>
  </si>
  <si>
    <t>80,49%</t>
  </si>
  <si>
    <t>699,39</t>
  </si>
  <si>
    <t>272,82</t>
  </si>
  <si>
    <t>395,71</t>
  </si>
  <si>
    <t>456,67</t>
  </si>
  <si>
    <t>366,25</t>
  </si>
  <si>
    <t>444,33</t>
  </si>
  <si>
    <t>506,66</t>
  </si>
  <si>
    <t>415,76</t>
  </si>
  <si>
    <t>468,00</t>
  </si>
  <si>
    <t>373,36</t>
  </si>
  <si>
    <t>515,79</t>
  </si>
  <si>
    <t>516,85</t>
  </si>
  <si>
    <t>459,71</t>
  </si>
  <si>
    <t>504,77</t>
  </si>
  <si>
    <t>530,21</t>
  </si>
  <si>
    <t>234,81</t>
  </si>
  <si>
    <t>426,06</t>
  </si>
  <si>
    <t>418,10</t>
  </si>
  <si>
    <t>58,79%</t>
  </si>
  <si>
    <t>429,99</t>
  </si>
  <si>
    <t>224,29</t>
  </si>
  <si>
    <t>341,13</t>
  </si>
  <si>
    <t>478,43</t>
  </si>
  <si>
    <t>404,33</t>
  </si>
  <si>
    <t>491,12</t>
  </si>
  <si>
    <t>55,14%</t>
  </si>
  <si>
    <t>323,29</t>
  </si>
  <si>
    <t>422,15</t>
  </si>
  <si>
    <t>399,04</t>
  </si>
  <si>
    <t>303,55</t>
  </si>
  <si>
    <t>437,45</t>
  </si>
  <si>
    <t>498,12</t>
  </si>
  <si>
    <t>389,02</t>
  </si>
  <si>
    <t>508,86</t>
  </si>
  <si>
    <t>78,22%</t>
  </si>
  <si>
    <t>500,45</t>
  </si>
  <si>
    <t>293,67</t>
  </si>
  <si>
    <t>297,47</t>
  </si>
  <si>
    <t>104,21</t>
  </si>
  <si>
    <t>321,20</t>
  </si>
  <si>
    <t>305,48</t>
  </si>
  <si>
    <t>232,91</t>
  </si>
  <si>
    <t>63,13%</t>
  </si>
  <si>
    <t>340,31</t>
  </si>
  <si>
    <t>385,07</t>
  </si>
  <si>
    <t>270,36</t>
  </si>
  <si>
    <t>45,62%</t>
  </si>
  <si>
    <t>372,47</t>
  </si>
  <si>
    <t>395,84</t>
  </si>
  <si>
    <t>84,16%</t>
  </si>
  <si>
    <t>280,82</t>
  </si>
  <si>
    <t>74,08%</t>
  </si>
  <si>
    <t>477,10</t>
  </si>
  <si>
    <t>73,34%</t>
  </si>
  <si>
    <t>408,31</t>
  </si>
  <si>
    <t>66,99%</t>
  </si>
  <si>
    <t>482,83</t>
  </si>
  <si>
    <t>486,91</t>
  </si>
  <si>
    <t>78,66%</t>
  </si>
  <si>
    <t>239,67</t>
  </si>
  <si>
    <t>346,72</t>
  </si>
  <si>
    <t>375,72</t>
  </si>
  <si>
    <t>306,12</t>
  </si>
  <si>
    <t>374,44</t>
  </si>
  <si>
    <t>59,67%</t>
  </si>
  <si>
    <t>76,73%</t>
  </si>
  <si>
    <t>246,74</t>
  </si>
  <si>
    <t>58,15%</t>
  </si>
  <si>
    <t>412,79</t>
  </si>
  <si>
    <t>326,13</t>
  </si>
  <si>
    <t>406,49</t>
  </si>
  <si>
    <t>65,37%</t>
  </si>
  <si>
    <t>195,24</t>
  </si>
  <si>
    <t>324,10</t>
  </si>
  <si>
    <t>55,42%</t>
  </si>
  <si>
    <t>362,36</t>
  </si>
  <si>
    <t>59,10%</t>
  </si>
  <si>
    <t>259,49</t>
  </si>
  <si>
    <t>52,91%</t>
  </si>
  <si>
    <t>350,89</t>
  </si>
  <si>
    <t>207,40</t>
  </si>
  <si>
    <t>393,37</t>
  </si>
  <si>
    <t>55,82%</t>
  </si>
  <si>
    <t>278,30</t>
  </si>
  <si>
    <t>49,99%</t>
  </si>
  <si>
    <t>376,03</t>
  </si>
  <si>
    <t>244,97</t>
  </si>
  <si>
    <t>64,27%</t>
  </si>
  <si>
    <t>379,09</t>
  </si>
  <si>
    <t>410,95</t>
  </si>
  <si>
    <t>337,75</t>
  </si>
  <si>
    <t>416,17</t>
  </si>
  <si>
    <t>345,87</t>
  </si>
  <si>
    <t>388,36</t>
  </si>
  <si>
    <t>51,00%</t>
  </si>
  <si>
    <t>279,07</t>
  </si>
  <si>
    <t>348,73</t>
  </si>
  <si>
    <t>362,72</t>
  </si>
  <si>
    <t>72,74%</t>
  </si>
  <si>
    <t>254,73</t>
  </si>
  <si>
    <t>61,56%</t>
  </si>
  <si>
    <t>392,88</t>
  </si>
  <si>
    <t>320,84</t>
  </si>
  <si>
    <t>397,53</t>
  </si>
  <si>
    <t>405,89</t>
  </si>
  <si>
    <t>89,83%</t>
  </si>
  <si>
    <t>315,82</t>
  </si>
  <si>
    <t>433,42</t>
  </si>
  <si>
    <t>473,17</t>
  </si>
  <si>
    <t>80,07%</t>
  </si>
  <si>
    <t>402,20</t>
  </si>
  <si>
    <t>76,28%</t>
  </si>
  <si>
    <t>226,37</t>
  </si>
  <si>
    <t>365,43</t>
  </si>
  <si>
    <t>286,06</t>
  </si>
  <si>
    <t>394,56</t>
  </si>
  <si>
    <t>93,12%</t>
  </si>
  <si>
    <t>256,79</t>
  </si>
  <si>
    <t>414,77</t>
  </si>
  <si>
    <t>68,73%</t>
  </si>
  <si>
    <t>446,81</t>
  </si>
  <si>
    <t>443,53</t>
  </si>
  <si>
    <t>58,80%</t>
  </si>
  <si>
    <t>447,29</t>
  </si>
  <si>
    <t>312,17</t>
  </si>
  <si>
    <t>73,14%</t>
  </si>
  <si>
    <t>429,23</t>
  </si>
  <si>
    <t>393,19</t>
  </si>
  <si>
    <t>69,17%</t>
  </si>
  <si>
    <t>464,08</t>
  </si>
  <si>
    <t>65,86%</t>
  </si>
  <si>
    <t>471,80</t>
  </si>
  <si>
    <t>78,14%</t>
  </si>
  <si>
    <t>279,39</t>
  </si>
  <si>
    <t>459,19</t>
  </si>
  <si>
    <t>362,12</t>
  </si>
  <si>
    <t>446,56</t>
  </si>
  <si>
    <t>60,83%</t>
  </si>
  <si>
    <t>448,34</t>
  </si>
  <si>
    <t>Pares_Redação</t>
  </si>
  <si>
    <t>Pares_Objetivas</t>
  </si>
  <si>
    <t>Total</t>
  </si>
  <si>
    <t>CE ARTHUR ANTONIO SENDAS</t>
  </si>
  <si>
    <t>CIE GUARANI KARAI KUERY RENDA</t>
  </si>
  <si>
    <t>CE ANGENOR DE OLIVEIRA (CARTOLA)</t>
  </si>
  <si>
    <t>CE CANDEIA</t>
  </si>
  <si>
    <t>CE ESCRITOR E JORNALISTA GRACILIANO RAMOS</t>
  </si>
  <si>
    <t>CE EVANDRO JOAO DA SILVA</t>
  </si>
  <si>
    <t>CE GILDO CANDIDO DA SILVA</t>
  </si>
  <si>
    <t>CE IRMA TEREZINHA DE BARROS</t>
  </si>
  <si>
    <t>CE JORNALISTA BARBOSA LIMA SOBRINHO</t>
  </si>
  <si>
    <t>CE JOSE LEWGOY</t>
  </si>
  <si>
    <t>CE MARIA MONTESSORI</t>
  </si>
  <si>
    <t>CE MARINHEIRO JOAO CANDIDO</t>
  </si>
  <si>
    <t>CE MARIO LAGO</t>
  </si>
  <si>
    <t>CE PADRE BRUNO TROMBETTA</t>
  </si>
  <si>
    <t>CE PADRE CARLOS LEONCIO DA SILVA</t>
  </si>
  <si>
    <t>CE PRIMEIRO TENENTE PM HAILTON DOS SANTOS</t>
  </si>
  <si>
    <t>CE PROFESSOR CARLOS DA COSTA</t>
  </si>
  <si>
    <t>CE PROFESSORA ALDA LINS FREIRE</t>
  </si>
  <si>
    <t>CE PROFESSORA SONIA MARIA MENEZES SOARES</t>
  </si>
  <si>
    <t>CE RUBEM BRAGA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</si>
</sst>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Times New Roman"/>
      <family val="2"/>
    </font>
    <font>
      <sz val="12"/>
      <color rgb="FF000000"/>
      <name val="Times New Roman"/>
      <family val="2"/>
    </font>
    <font>
      <sz val="11"/>
      <color rgb="FF000000"/>
      <name val="Arial"/>
      <family val="2"/>
    </font>
    <font>
      <sz val="12"/>
      <color rgb="FFff0000"/>
      <name val="Times New Roman"/>
      <family val="2"/>
    </font>
    <font>
      <sz val="12"/>
      <color rgb="FFffffff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164" applyNumberFormat="1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3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3" applyFont="1" fillId="0" applyAlignment="1">
      <alignment horizontal="center"/>
    </xf>
    <xf xfId="0" numFmtId="164" applyNumberFormat="1" borderId="2" applyBorder="1" fontId="3" applyFont="1" fillId="0" applyAlignment="1">
      <alignment horizontal="center"/>
    </xf>
    <xf xfId="0" numFmtId="4" applyNumberFormat="1" borderId="2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0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center" wrapText="1"/>
    </xf>
    <xf xfId="0" numFmtId="0" borderId="2" applyBorder="1" fontId="4" applyFont="1" fillId="0" applyAlignment="1">
      <alignment horizontal="left"/>
    </xf>
    <xf xfId="0" numFmtId="0" borderId="2" applyBorder="1" fontId="4" applyFont="1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49" applyNumberFormat="1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center"/>
    </xf>
    <xf xfId="0" numFmtId="49" applyNumberFormat="1" borderId="2" applyBorder="1" fontId="2" applyFont="1" fillId="0" applyAlignment="1">
      <alignment horizontal="center"/>
    </xf>
    <xf xfId="0" numFmtId="49" applyNumberFormat="1" borderId="2" applyBorder="1" fontId="4" applyFont="1" fillId="0" applyAlignment="1">
      <alignment horizontal="center"/>
    </xf>
    <xf xfId="0" numFmtId="49" applyNumberFormat="1" borderId="0" fontId="0" fillId="0" applyAlignment="1">
      <alignment horizontal="center"/>
    </xf>
    <xf xfId="0" numFmtId="3" applyNumberFormat="1" borderId="2" applyBorder="1" fontId="4" applyFont="1" fillId="0" applyAlignment="1">
      <alignment horizontal="center"/>
    </xf>
    <xf xfId="0" numFmtId="3" applyNumberFormat="1" borderId="1" applyBorder="1" fontId="5" applyFont="1" fillId="2" applyFill="1" applyAlignment="1">
      <alignment horizontal="center" wrapText="1"/>
    </xf>
    <xf xfId="0" numFmtId="3" applyNumberFormat="1" borderId="2" applyBorder="1" fontId="2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146"/>
  <sheetViews>
    <sheetView workbookViewId="0">
      <pane state="frozen" activePane="topRight" topLeftCell="D1" ySplit="0" xSplit="3"/>
    </sheetView>
  </sheetViews>
  <sheetFormatPr defaultRowHeight="15" x14ac:dyDescent="0.25"/>
  <cols>
    <col min="1" max="1" style="20" width="12.576428571428572" customWidth="1" bestFit="1"/>
    <col min="2" max="2" style="21" width="28.576428571428572" customWidth="1" bestFit="1"/>
    <col min="3" max="3" style="21" width="47.57642857142857" customWidth="1" bestFit="1"/>
    <col min="4" max="4" style="22" width="19.576428571428572" customWidth="1" bestFit="1"/>
    <col min="5" max="5" style="23" width="19.576428571428572" customWidth="1" bestFit="1"/>
    <col min="6" max="6" style="22" width="19.576428571428572" customWidth="1" bestFit="1"/>
    <col min="7" max="7" style="23" width="19.576428571428572" customWidth="1" bestFit="1"/>
    <col min="8" max="8" style="22" width="19.576428571428572" customWidth="1" bestFit="1"/>
    <col min="9" max="9" style="23" width="19.576428571428572" customWidth="1" bestFit="1"/>
    <col min="10" max="10" style="22" width="19.576428571428572" customWidth="1" bestFit="1"/>
    <col min="11" max="11" style="23" width="19.576428571428572" customWidth="1" bestFit="1"/>
    <col min="12" max="12" style="22" width="19.576428571428572" customWidth="1" bestFit="1"/>
    <col min="13" max="13" style="23" width="19.576428571428572" customWidth="1" bestFit="1"/>
    <col min="14" max="14" style="22" width="19.576428571428572" customWidth="1" bestFit="1"/>
    <col min="15" max="15" style="23" width="19.576428571428572" customWidth="1" bestFit="1"/>
    <col min="16" max="16" style="22" width="19.576428571428572" customWidth="1" bestFit="1"/>
    <col min="17" max="17" style="22" width="19.576428571428572" customWidth="1" bestFit="1"/>
    <col min="18" max="18" style="22" width="19.576428571428572" customWidth="1" bestFit="1"/>
    <col min="19" max="19" style="22" width="19.576428571428572" customWidth="1" bestFit="1"/>
    <col min="20" max="20" style="20" width="17.433571428571426" customWidth="1" bestFit="1"/>
    <col min="21" max="21" style="20" width="17.433571428571426" customWidth="1" bestFit="1"/>
    <col min="22" max="22" style="21" width="13.576428571428572" customWidth="1" bestFit="1"/>
    <col min="23" max="23" style="21" width="31.576428571428572" customWidth="1" bestFit="1"/>
    <col min="24" max="24" style="24" width="13.576428571428572" customWidth="1" bestFit="1"/>
  </cols>
  <sheetData>
    <row x14ac:dyDescent="0.25" r="1" customHeight="1" ht="48.75" customFormat="1" s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7" t="s">
        <v>14487</v>
      </c>
      <c r="U1" s="37" t="s">
        <v>14488</v>
      </c>
      <c r="V1" s="26"/>
      <c r="W1" s="26"/>
      <c r="X1" s="38"/>
    </row>
    <row x14ac:dyDescent="0.25" r="2" customHeight="1" ht="19.5">
      <c r="A2" s="8">
        <v>25248</v>
      </c>
      <c r="B2" s="13" t="s">
        <v>27</v>
      </c>
      <c r="C2" s="13" t="s">
        <v>4059</v>
      </c>
      <c r="D2" s="10">
        <v>0.8512</v>
      </c>
      <c r="E2" s="11">
        <v>202.71</v>
      </c>
      <c r="F2" s="10">
        <v>0.91</v>
      </c>
      <c r="G2" s="11">
        <v>198.78</v>
      </c>
      <c r="H2" s="10">
        <v>0.6566</v>
      </c>
      <c r="I2" s="11">
        <v>380.01</v>
      </c>
      <c r="J2" s="10">
        <v>0.7202</v>
      </c>
      <c r="K2" s="11">
        <v>305.76</v>
      </c>
      <c r="L2" s="10">
        <v>0.5632</v>
      </c>
      <c r="M2" s="11">
        <v>325.25</v>
      </c>
      <c r="N2" s="10">
        <v>0.3929</v>
      </c>
      <c r="O2" s="11">
        <v>266.79</v>
      </c>
      <c r="P2" s="10">
        <v>0.8512</v>
      </c>
      <c r="Q2" s="10">
        <v>0.1729</v>
      </c>
      <c r="R2" s="10">
        <v>0.7202</v>
      </c>
      <c r="S2" s="10">
        <v>0.2045</v>
      </c>
      <c r="T2" s="8">
        <f> IF(and(ISNUMBER(D2), isnumber(E2)), 1, 0) + IF(and(ISNUMBER(F2), isnumber(G2)), 1, 0) + IF(and(ISNUMBER(H2), isnumber(I2)), 1, 0) + IF(and(ISNUMBER(J2), isnumber(K2)), 1, 0) + IF(and(ISNUMBER(L2), isnumber(M2)), 1, 0) + IF(and(ISNUMBER(N2), isnumber(O2)), 1, 0)</f>
      </c>
      <c r="U2" s="8">
        <f>IF(and(ISNUMBER(P2), isnumber(Q2)), 1, 0) + IF(and(ISNUMBER(R2), isnumber(S2)), 1, 0)</f>
      </c>
      <c r="V2" s="13"/>
      <c r="W2" s="13" t="s">
        <v>3</v>
      </c>
      <c r="X2" s="14">
        <f>COUNTIF(D:D, "----")</f>
      </c>
    </row>
    <row x14ac:dyDescent="0.25" r="3" customHeight="1" ht="19.5">
      <c r="A3" s="8">
        <v>25273</v>
      </c>
      <c r="B3" s="13" t="s">
        <v>27</v>
      </c>
      <c r="C3" s="13" t="s">
        <v>4579</v>
      </c>
      <c r="D3" s="10">
        <v>0.9289</v>
      </c>
      <c r="E3" s="11">
        <v>267.63</v>
      </c>
      <c r="F3" s="10">
        <v>0.4812</v>
      </c>
      <c r="G3" s="11">
        <v>413.56</v>
      </c>
      <c r="H3" s="10">
        <v>0.5263</v>
      </c>
      <c r="I3" s="11">
        <v>460.42</v>
      </c>
      <c r="J3" s="10">
        <v>0.7072</v>
      </c>
      <c r="K3" s="11">
        <v>341.27</v>
      </c>
      <c r="L3" s="10">
        <v>0.4323</v>
      </c>
      <c r="M3" s="11">
        <v>242.11</v>
      </c>
      <c r="N3" s="10">
        <v>0</v>
      </c>
      <c r="O3" s="11" t="s">
        <v>7127</v>
      </c>
      <c r="P3" s="10" t="s">
        <v>7127</v>
      </c>
      <c r="Q3" s="10" t="s">
        <v>7127</v>
      </c>
      <c r="R3" s="10" t="s">
        <v>7127</v>
      </c>
      <c r="S3" s="10" t="s">
        <v>7127</v>
      </c>
      <c r="T3" s="8">
        <f>IF(and(ISNUMBER(D3), isnumber(E3)), 1, 0) + IF(and(ISNUMBER(F3), isnumber(G3)), 1, 0) + IF(and(ISNUMBER(H3), isnumber(I3)), 1, 0) + IF(and(ISNUMBER(J3), isnumber(K3)), 1, 0) + IF(and(ISNUMBER(L3), isnumber(M3)), 1, 0) + IF(and(ISNUMBER(N3), isnumber(O3)), 1, 0)</f>
      </c>
      <c r="U3" s="8">
        <f>IF(and(ISNUMBER(P3), isnumber(Q3)), 1, 0) + IF(and(ISNUMBER(R3), isnumber(S3)), 1, 0)</f>
      </c>
      <c r="V3" s="13"/>
      <c r="W3" s="13" t="s">
        <v>4</v>
      </c>
      <c r="X3" s="14">
        <f>COUNTIF(E:E, "----")</f>
      </c>
    </row>
    <row x14ac:dyDescent="0.25" r="4" customHeight="1" ht="19.5">
      <c r="A4" s="8">
        <v>25321</v>
      </c>
      <c r="B4" s="13" t="s">
        <v>27</v>
      </c>
      <c r="C4" s="13" t="s">
        <v>4579</v>
      </c>
      <c r="D4" s="10">
        <v>0.5989</v>
      </c>
      <c r="E4" s="11">
        <v>186.02</v>
      </c>
      <c r="F4" s="10">
        <v>0.9451</v>
      </c>
      <c r="G4" s="11">
        <v>220.49</v>
      </c>
      <c r="H4" s="10">
        <v>0.5824</v>
      </c>
      <c r="I4" s="11">
        <v>299.81</v>
      </c>
      <c r="J4" s="10">
        <v>0.5549</v>
      </c>
      <c r="K4" s="11">
        <v>168.08</v>
      </c>
      <c r="L4" s="10">
        <v>0.5604</v>
      </c>
      <c r="M4" s="11">
        <v>238.81</v>
      </c>
      <c r="N4" s="10">
        <v>0.5659</v>
      </c>
      <c r="O4" s="11">
        <v>398.45</v>
      </c>
      <c r="P4" s="10" t="s">
        <v>7127</v>
      </c>
      <c r="Q4" s="10" t="s">
        <v>7127</v>
      </c>
      <c r="R4" s="10" t="s">
        <v>7127</v>
      </c>
      <c r="S4" s="10" t="s">
        <v>7127</v>
      </c>
      <c r="T4" s="8">
        <f>IF(and(ISNUMBER(D4), isnumber(E4)), 1, 0) + IF(and(ISNUMBER(F4), isnumber(G4)), 1, 0) + IF(and(ISNUMBER(H4), isnumber(I4)), 1, 0) + IF(and(ISNUMBER(J4), isnumber(K4)), 1, 0) + IF(and(ISNUMBER(L4), isnumber(M4)), 1, 0) + IF(and(ISNUMBER(N4), isnumber(O4)), 1, 0)</f>
      </c>
      <c r="U4" s="8">
        <f>IF(and(ISNUMBER(P4), isnumber(Q4)), 1, 0) + IF(and(ISNUMBER(R4), isnumber(S4)), 1, 0)</f>
      </c>
      <c r="V4" s="13"/>
      <c r="W4" s="13" t="s">
        <v>5</v>
      </c>
      <c r="X4" s="14">
        <f>COUNTIF(F:F, "----")</f>
      </c>
    </row>
    <row x14ac:dyDescent="0.25" r="5" customHeight="1" ht="19.5">
      <c r="A5" s="8">
        <v>25314</v>
      </c>
      <c r="B5" s="13" t="s">
        <v>27</v>
      </c>
      <c r="C5" s="13" t="s">
        <v>4062</v>
      </c>
      <c r="D5" s="10">
        <v>0.9655</v>
      </c>
      <c r="E5" s="11">
        <v>368.57</v>
      </c>
      <c r="F5" s="10">
        <v>0.7586</v>
      </c>
      <c r="G5" s="11">
        <v>398.18</v>
      </c>
      <c r="H5" s="10">
        <v>0.7241</v>
      </c>
      <c r="I5" s="11">
        <v>452</v>
      </c>
      <c r="J5" s="10">
        <v>0.8276</v>
      </c>
      <c r="K5" s="11">
        <v>395</v>
      </c>
      <c r="L5" s="10">
        <v>0.7586</v>
      </c>
      <c r="M5" s="11">
        <v>363.64</v>
      </c>
      <c r="N5" s="10">
        <v>0.5517</v>
      </c>
      <c r="O5" s="11">
        <v>455</v>
      </c>
      <c r="P5" s="10">
        <v>0.9655</v>
      </c>
      <c r="Q5" s="10">
        <v>0.2454</v>
      </c>
      <c r="R5" s="10">
        <v>0.8276</v>
      </c>
      <c r="S5" s="10">
        <v>0.215</v>
      </c>
      <c r="T5" s="8">
        <f>IF(and(ISNUMBER(D5), isnumber(E5)), 1, 0) + IF(and(ISNUMBER(F5), isnumber(G5)), 1, 0) + IF(and(ISNUMBER(H5), isnumber(I5)), 1, 0) + IF(and(ISNUMBER(J5), isnumber(K5)), 1, 0) + IF(and(ISNUMBER(L5), isnumber(M5)), 1, 0) + IF(and(ISNUMBER(N5), isnumber(O5)), 1, 0)</f>
      </c>
      <c r="U5" s="8">
        <f>IF(and(ISNUMBER(P5), isnumber(Q5)), 1, 0) + IF(and(ISNUMBER(R5), isnumber(S5)), 1, 0)</f>
      </c>
      <c r="V5" s="13"/>
      <c r="W5" s="13" t="s">
        <v>6</v>
      </c>
      <c r="X5" s="14">
        <f>COUNTIF(G:G, "----")</f>
      </c>
    </row>
    <row x14ac:dyDescent="0.25" r="6" customHeight="1" ht="19.5">
      <c r="A6" s="8">
        <v>25238</v>
      </c>
      <c r="B6" s="13" t="s">
        <v>27</v>
      </c>
      <c r="C6" s="13" t="s">
        <v>4066</v>
      </c>
      <c r="D6" s="10">
        <v>0.8986</v>
      </c>
      <c r="E6" s="11">
        <v>292.26</v>
      </c>
      <c r="F6" s="10">
        <v>0.7246</v>
      </c>
      <c r="G6" s="11">
        <v>462.86</v>
      </c>
      <c r="H6" s="10">
        <v>0.7391</v>
      </c>
      <c r="I6" s="11">
        <v>495.69</v>
      </c>
      <c r="J6" s="10">
        <v>0.8261</v>
      </c>
      <c r="K6" s="11">
        <v>346.25</v>
      </c>
      <c r="L6" s="10">
        <v>0.7246</v>
      </c>
      <c r="M6" s="11">
        <v>437.5</v>
      </c>
      <c r="N6" s="10">
        <v>0.7536</v>
      </c>
      <c r="O6" s="11">
        <v>468.24</v>
      </c>
      <c r="P6" s="10">
        <v>0.8986</v>
      </c>
      <c r="Q6" s="10">
        <v>0.2448</v>
      </c>
      <c r="R6" s="10">
        <v>0.8261</v>
      </c>
      <c r="S6" s="10">
        <v>0.1976</v>
      </c>
      <c r="T6" s="8">
        <f>IF(and(ISNUMBER(D6), isnumber(E6)), 1, 0) + IF(and(ISNUMBER(F6), isnumber(G6)), 1, 0) + IF(and(ISNUMBER(H6), isnumber(I6)), 1, 0) + IF(and(ISNUMBER(J6), isnumber(K6)), 1, 0) + IF(and(ISNUMBER(L6), isnumber(M6)), 1, 0) + IF(and(ISNUMBER(N6), isnumber(O6)), 1, 0)</f>
      </c>
      <c r="U6" s="8">
        <f>IF(and(ISNUMBER(P6), isnumber(Q6)), 1, 0) + IF(and(ISNUMBER(R6), isnumber(S6)), 1, 0)</f>
      </c>
      <c r="V6" s="13"/>
      <c r="W6" s="13" t="s">
        <v>7</v>
      </c>
      <c r="X6" s="14">
        <f>COUNTIF(H:H, "----")</f>
      </c>
    </row>
    <row x14ac:dyDescent="0.25" r="7" customHeight="1" ht="19.5">
      <c r="A7" s="8">
        <v>25274</v>
      </c>
      <c r="B7" s="13" t="s">
        <v>27</v>
      </c>
      <c r="C7" s="13" t="s">
        <v>4070</v>
      </c>
      <c r="D7" s="10">
        <v>0.944</v>
      </c>
      <c r="E7" s="11">
        <v>217.29</v>
      </c>
      <c r="F7" s="10">
        <v>0.424</v>
      </c>
      <c r="G7" s="11" t="s">
        <v>7127</v>
      </c>
      <c r="H7" s="10">
        <v>0.216</v>
      </c>
      <c r="I7" s="11" t="s">
        <v>7127</v>
      </c>
      <c r="J7" s="10">
        <v>0.6905</v>
      </c>
      <c r="K7" s="11">
        <v>369.66</v>
      </c>
      <c r="L7" s="10">
        <v>0.0062</v>
      </c>
      <c r="M7" s="11" t="s">
        <v>7127</v>
      </c>
      <c r="N7" s="10">
        <v>0</v>
      </c>
      <c r="O7" s="11" t="s">
        <v>7127</v>
      </c>
      <c r="P7" s="10">
        <v>0.944</v>
      </c>
      <c r="Q7" s="10">
        <v>0.1499</v>
      </c>
      <c r="R7" s="10">
        <v>0.6905</v>
      </c>
      <c r="S7" s="10">
        <v>0.3251</v>
      </c>
      <c r="T7" s="8">
        <f>IF(and(ISNUMBER(D7), isnumber(E7)), 1, 0) + IF(and(ISNUMBER(F7), isnumber(G7)), 1, 0) + IF(and(ISNUMBER(H7), isnumber(I7)), 1, 0) + IF(and(ISNUMBER(J7), isnumber(K7)), 1, 0) + IF(and(ISNUMBER(L7), isnumber(M7)), 1, 0) + IF(and(ISNUMBER(N7), isnumber(O7)), 1, 0)</f>
      </c>
      <c r="U7" s="8">
        <f>IF(and(ISNUMBER(P7), isnumber(Q7)), 1, 0) + IF(and(ISNUMBER(R7), isnumber(S7)), 1, 0)</f>
      </c>
      <c r="V7" s="13"/>
      <c r="W7" s="13" t="s">
        <v>8</v>
      </c>
      <c r="X7" s="14">
        <f>COUNTIF(I:I, "----")</f>
      </c>
    </row>
    <row x14ac:dyDescent="0.25" r="8" customHeight="1" ht="19.5">
      <c r="A8" s="8">
        <v>25275</v>
      </c>
      <c r="B8" s="13" t="s">
        <v>27</v>
      </c>
      <c r="C8" s="13" t="s">
        <v>4075</v>
      </c>
      <c r="D8" s="10">
        <v>0.7405</v>
      </c>
      <c r="E8" s="11">
        <v>155.26</v>
      </c>
      <c r="F8" s="10">
        <v>0</v>
      </c>
      <c r="G8" s="11" t="s">
        <v>7127</v>
      </c>
      <c r="H8" s="10">
        <v>0.375</v>
      </c>
      <c r="I8" s="11">
        <v>365.91</v>
      </c>
      <c r="J8" s="10">
        <v>0.0075</v>
      </c>
      <c r="K8" s="11" t="s">
        <v>7127</v>
      </c>
      <c r="L8" s="10">
        <v>0</v>
      </c>
      <c r="M8" s="11" t="s">
        <v>7127</v>
      </c>
      <c r="N8" s="10">
        <v>0</v>
      </c>
      <c r="O8" s="11" t="s">
        <v>7127</v>
      </c>
      <c r="P8" s="10">
        <v>0.7405</v>
      </c>
      <c r="Q8" s="10">
        <v>0.1534</v>
      </c>
      <c r="R8" s="10">
        <v>0.0075</v>
      </c>
      <c r="S8" s="10">
        <v>0.1833</v>
      </c>
      <c r="T8" s="8">
        <f>IF(and(ISNUMBER(D8), isnumber(E8)), 1, 0) + IF(and(ISNUMBER(F8), isnumber(G8)), 1, 0) + IF(and(ISNUMBER(H8), isnumber(I8)), 1, 0) + IF(and(ISNUMBER(J8), isnumber(K8)), 1, 0) + IF(and(ISNUMBER(L8), isnumber(M8)), 1, 0) + IF(and(ISNUMBER(N8), isnumber(O8)), 1, 0)</f>
      </c>
      <c r="U8" s="8">
        <f>IF(and(ISNUMBER(P8), isnumber(Q8)), 1, 0) + IF(and(ISNUMBER(R8), isnumber(S8)), 1, 0)</f>
      </c>
      <c r="V8" s="13"/>
      <c r="W8" s="13" t="s">
        <v>9</v>
      </c>
      <c r="X8" s="14">
        <f>COUNTIF(J:J, "----")</f>
      </c>
    </row>
    <row x14ac:dyDescent="0.25" r="9" customHeight="1" ht="19.5">
      <c r="A9" s="8">
        <v>25315</v>
      </c>
      <c r="B9" s="13" t="s">
        <v>27</v>
      </c>
      <c r="C9" s="13" t="s">
        <v>4078</v>
      </c>
      <c r="D9" s="10">
        <v>0.9512</v>
      </c>
      <c r="E9" s="11">
        <v>296.41</v>
      </c>
      <c r="F9" s="10">
        <v>0.9756</v>
      </c>
      <c r="G9" s="11">
        <v>312.5</v>
      </c>
      <c r="H9" s="10">
        <v>0.6463</v>
      </c>
      <c r="I9" s="11">
        <v>345.6</v>
      </c>
      <c r="J9" s="10">
        <v>0.8659</v>
      </c>
      <c r="K9" s="11" t="s">
        <v>7127</v>
      </c>
      <c r="L9" s="10">
        <v>0.6463</v>
      </c>
      <c r="M9" s="11">
        <v>387.92</v>
      </c>
      <c r="N9" s="10">
        <v>0.0244</v>
      </c>
      <c r="O9" s="11">
        <v>400</v>
      </c>
      <c r="P9" s="10">
        <v>0.9512</v>
      </c>
      <c r="Q9" s="10">
        <v>0.2235</v>
      </c>
      <c r="R9" s="10">
        <v>0.8659</v>
      </c>
      <c r="S9" s="10">
        <v>0.1592</v>
      </c>
      <c r="T9" s="8">
        <f>IF(and(ISNUMBER(D9), isnumber(E9)), 1, 0) + IF(and(ISNUMBER(F9), isnumber(G9)), 1, 0) + IF(and(ISNUMBER(H9), isnumber(I9)), 1, 0) + IF(and(ISNUMBER(J9), isnumber(K9)), 1, 0) + IF(and(ISNUMBER(L9), isnumber(M9)), 1, 0) + IF(and(ISNUMBER(N9), isnumber(O9)), 1, 0)</f>
      </c>
      <c r="U9" s="8">
        <f>IF(and(ISNUMBER(P9), isnumber(Q9)), 1, 0) + IF(and(ISNUMBER(R9), isnumber(S9)), 1, 0)</f>
      </c>
      <c r="V9" s="13"/>
      <c r="W9" s="13" t="s">
        <v>10</v>
      </c>
      <c r="X9" s="14">
        <f>COUNTIF(K:K, "----")</f>
      </c>
    </row>
    <row x14ac:dyDescent="0.25" r="10" customHeight="1" ht="19.5">
      <c r="A10" s="8">
        <v>25316</v>
      </c>
      <c r="B10" s="13" t="s">
        <v>27</v>
      </c>
      <c r="C10" s="13" t="s">
        <v>4083</v>
      </c>
      <c r="D10" s="10">
        <v>0.5679</v>
      </c>
      <c r="E10" s="11">
        <v>131.89</v>
      </c>
      <c r="F10" s="10">
        <v>0.5062</v>
      </c>
      <c r="G10" s="11">
        <v>348</v>
      </c>
      <c r="H10" s="10">
        <v>0.6173</v>
      </c>
      <c r="I10" s="11">
        <v>334.4</v>
      </c>
      <c r="J10" s="10">
        <v>0.7037</v>
      </c>
      <c r="K10" s="11">
        <v>143.2</v>
      </c>
      <c r="L10" s="10">
        <v>0.642</v>
      </c>
      <c r="M10" s="11">
        <v>303.08</v>
      </c>
      <c r="N10" s="10">
        <v>0.5432</v>
      </c>
      <c r="O10" s="11">
        <v>470.7</v>
      </c>
      <c r="P10" s="10">
        <v>0.5679</v>
      </c>
      <c r="Q10" s="10">
        <v>0.1928</v>
      </c>
      <c r="R10" s="10">
        <v>0.7037</v>
      </c>
      <c r="S10" s="10">
        <v>0.1821</v>
      </c>
      <c r="T10" s="8">
        <f>IF(and(ISNUMBER(D10), isnumber(E10)), 1, 0) + IF(and(ISNUMBER(F10), isnumber(G10)), 1, 0) + IF(and(ISNUMBER(H10), isnumber(I10)), 1, 0) + IF(and(ISNUMBER(J10), isnumber(K10)), 1, 0) + IF(and(ISNUMBER(L10), isnumber(M10)), 1, 0) + IF(and(ISNUMBER(N10), isnumber(O10)), 1, 0)</f>
      </c>
      <c r="U10" s="8">
        <f>IF(and(ISNUMBER(P10), isnumber(Q10)), 1, 0) + IF(and(ISNUMBER(R10), isnumber(S10)), 1, 0)</f>
      </c>
      <c r="V10" s="13"/>
      <c r="W10" s="13" t="s">
        <v>11</v>
      </c>
      <c r="X10" s="14">
        <f>COUNTIF(L:L, "----")</f>
      </c>
    </row>
    <row x14ac:dyDescent="0.25" r="11" customHeight="1" ht="19.5">
      <c r="A11" s="8">
        <v>25276</v>
      </c>
      <c r="B11" s="13" t="s">
        <v>27</v>
      </c>
      <c r="C11" s="13" t="s">
        <v>4087</v>
      </c>
      <c r="D11" s="10">
        <v>0.9695</v>
      </c>
      <c r="E11" s="11">
        <v>458.67</v>
      </c>
      <c r="F11" s="10">
        <v>0.4809</v>
      </c>
      <c r="G11" s="11">
        <v>518.06</v>
      </c>
      <c r="H11" s="10">
        <v>0.8092</v>
      </c>
      <c r="I11" s="11">
        <v>562.29</v>
      </c>
      <c r="J11" s="10">
        <v>0.771</v>
      </c>
      <c r="K11" s="11">
        <v>553.04</v>
      </c>
      <c r="L11" s="10">
        <v>0.8244</v>
      </c>
      <c r="M11" s="11">
        <v>560.37</v>
      </c>
      <c r="N11" s="10">
        <v>0.7252</v>
      </c>
      <c r="O11" s="11">
        <v>551.16</v>
      </c>
      <c r="P11" s="10">
        <v>0.9695</v>
      </c>
      <c r="Q11" s="10">
        <v>0.2004</v>
      </c>
      <c r="R11" s="10">
        <v>0.771</v>
      </c>
      <c r="S11" s="10">
        <v>0.2442</v>
      </c>
      <c r="T11" s="8">
        <f>IF(and(ISNUMBER(D11), isnumber(E11)), 1, 0) + IF(and(ISNUMBER(F11), isnumber(G11)), 1, 0) + IF(and(ISNUMBER(H11), isnumber(I11)), 1, 0) + IF(and(ISNUMBER(J11), isnumber(K11)), 1, 0) + IF(and(ISNUMBER(L11), isnumber(M11)), 1, 0) + IF(and(ISNUMBER(N11), isnumber(O11)), 1, 0)</f>
      </c>
      <c r="U11" s="8">
        <f>IF(and(ISNUMBER(P11), isnumber(Q11)), 1, 0) + IF(and(ISNUMBER(R11), isnumber(S11)), 1, 0)</f>
      </c>
      <c r="V11" s="13"/>
      <c r="W11" s="13" t="s">
        <v>12</v>
      </c>
      <c r="X11" s="14">
        <f>COUNTIF(M:M, "----")</f>
      </c>
    </row>
    <row x14ac:dyDescent="0.25" r="12" customHeight="1" ht="19.5">
      <c r="A12" s="8">
        <v>25317</v>
      </c>
      <c r="B12" s="13" t="s">
        <v>27</v>
      </c>
      <c r="C12" s="13" t="s">
        <v>4092</v>
      </c>
      <c r="D12" s="10">
        <v>0.9722</v>
      </c>
      <c r="E12" s="11">
        <v>552.57</v>
      </c>
      <c r="F12" s="10">
        <v>0.9583</v>
      </c>
      <c r="G12" s="11">
        <v>603.48</v>
      </c>
      <c r="H12" s="10">
        <v>0.8194</v>
      </c>
      <c r="I12" s="11">
        <v>570.85</v>
      </c>
      <c r="J12" s="10">
        <v>0.9444</v>
      </c>
      <c r="K12" s="11">
        <v>584.12</v>
      </c>
      <c r="L12" s="10">
        <v>0.875</v>
      </c>
      <c r="M12" s="11">
        <v>591.11</v>
      </c>
      <c r="N12" s="10">
        <v>0.9583</v>
      </c>
      <c r="O12" s="11">
        <v>545.51</v>
      </c>
      <c r="P12" s="10">
        <v>0.9722</v>
      </c>
      <c r="Q12" s="10">
        <v>0.3243</v>
      </c>
      <c r="R12" s="10">
        <v>0.9444</v>
      </c>
      <c r="S12" s="10">
        <v>0.2788</v>
      </c>
      <c r="T12" s="8">
        <f>IF(and(ISNUMBER(D12), isnumber(E12)), 1, 0) + IF(and(ISNUMBER(F12), isnumber(G12)), 1, 0) + IF(and(ISNUMBER(H12), isnumber(I12)), 1, 0) + IF(and(ISNUMBER(J12), isnumber(K12)), 1, 0) + IF(and(ISNUMBER(L12), isnumber(M12)), 1, 0) + IF(and(ISNUMBER(N12), isnumber(O12)), 1, 0)</f>
      </c>
      <c r="U12" s="8">
        <f>IF(and(ISNUMBER(P12), isnumber(Q12)), 1, 0) + IF(and(ISNUMBER(R12), isnumber(S12)), 1, 0)</f>
      </c>
      <c r="V12" s="13"/>
      <c r="W12" s="13" t="s">
        <v>13</v>
      </c>
      <c r="X12" s="14">
        <f>COUNTIF(N:N, "----")</f>
      </c>
    </row>
    <row x14ac:dyDescent="0.25" r="13" customHeight="1" ht="19.5">
      <c r="A13" s="8">
        <v>25263</v>
      </c>
      <c r="B13" s="13" t="s">
        <v>27</v>
      </c>
      <c r="C13" s="13" t="s">
        <v>4096</v>
      </c>
      <c r="D13" s="10">
        <v>0.7299</v>
      </c>
      <c r="E13" s="11">
        <v>242.08</v>
      </c>
      <c r="F13" s="10">
        <v>0.7042</v>
      </c>
      <c r="G13" s="11">
        <v>322.26</v>
      </c>
      <c r="H13" s="10">
        <v>0.4534</v>
      </c>
      <c r="I13" s="11">
        <v>374.78</v>
      </c>
      <c r="J13" s="10">
        <v>0.6752</v>
      </c>
      <c r="K13" s="11">
        <v>294.55</v>
      </c>
      <c r="L13" s="10">
        <v>0.5498</v>
      </c>
      <c r="M13" s="11">
        <v>330.84</v>
      </c>
      <c r="N13" s="10">
        <v>0.0064</v>
      </c>
      <c r="O13" s="11">
        <v>180</v>
      </c>
      <c r="P13" s="10">
        <v>0.7299</v>
      </c>
      <c r="Q13" s="10">
        <v>0.2279</v>
      </c>
      <c r="R13" s="10">
        <v>0.6752</v>
      </c>
      <c r="S13" s="10">
        <v>0.1964</v>
      </c>
      <c r="T13" s="8">
        <f>IF(and(ISNUMBER(D13), isnumber(E13)), 1, 0) + IF(and(ISNUMBER(F13), isnumber(G13)), 1, 0) + IF(and(ISNUMBER(H13), isnumber(I13)), 1, 0) + IF(and(ISNUMBER(J13), isnumber(K13)), 1, 0) + IF(and(ISNUMBER(L13), isnumber(M13)), 1, 0) + IF(and(ISNUMBER(N13), isnumber(O13)), 1, 0)</f>
      </c>
      <c r="U13" s="8">
        <f>IF(and(ISNUMBER(P13), isnumber(Q13)), 1, 0) + IF(and(ISNUMBER(R13), isnumber(S13)), 1, 0)</f>
      </c>
      <c r="V13" s="13"/>
      <c r="W13" s="13" t="s">
        <v>14</v>
      </c>
      <c r="X13" s="14">
        <f>COUNTIF(O:O, "----")</f>
      </c>
    </row>
    <row x14ac:dyDescent="0.25" r="14" customHeight="1" ht="19.5">
      <c r="A14" s="8">
        <v>25277</v>
      </c>
      <c r="B14" s="13" t="s">
        <v>27</v>
      </c>
      <c r="C14" s="13" t="s">
        <v>4100</v>
      </c>
      <c r="D14" s="10">
        <v>0.6543</v>
      </c>
      <c r="E14" s="11">
        <v>206.35</v>
      </c>
      <c r="F14" s="10">
        <v>0.5679</v>
      </c>
      <c r="G14" s="11">
        <v>335.66</v>
      </c>
      <c r="H14" s="10">
        <v>0.4339</v>
      </c>
      <c r="I14" s="11">
        <v>394.14</v>
      </c>
      <c r="J14" s="10">
        <v>0.5035</v>
      </c>
      <c r="K14" s="11">
        <v>241.27</v>
      </c>
      <c r="L14" s="10">
        <v>0.4021</v>
      </c>
      <c r="M14" s="11">
        <v>384.21</v>
      </c>
      <c r="N14" s="10">
        <v>0.381</v>
      </c>
      <c r="O14" s="11">
        <v>371.67</v>
      </c>
      <c r="P14" s="10">
        <v>0.6543</v>
      </c>
      <c r="Q14" s="10">
        <v>0.2324</v>
      </c>
      <c r="R14" s="10">
        <v>0.5035</v>
      </c>
      <c r="S14" s="10">
        <v>0.1895</v>
      </c>
      <c r="T14" s="8">
        <f>IF(and(ISNUMBER(D14), isnumber(E14)), 1, 0) + IF(and(ISNUMBER(F14), isnumber(G14)), 1, 0) + IF(and(ISNUMBER(H14), isnumber(I14)), 1, 0) + IF(and(ISNUMBER(J14), isnumber(K14)), 1, 0) + IF(and(ISNUMBER(L14), isnumber(M14)), 1, 0) + IF(and(ISNUMBER(N14), isnumber(O14)), 1, 0)</f>
      </c>
      <c r="U14" s="8">
        <f>IF(and(ISNUMBER(P14), isnumber(Q14)), 1, 0) + IF(and(ISNUMBER(R14), isnumber(S14)), 1, 0)</f>
      </c>
      <c r="V14" s="13"/>
      <c r="W14" s="13" t="s">
        <v>15</v>
      </c>
      <c r="X14" s="14">
        <f>COUNTIF(P:P, "----")</f>
      </c>
    </row>
    <row x14ac:dyDescent="0.25" r="15" customHeight="1" ht="19.5">
      <c r="A15" s="8">
        <v>25278</v>
      </c>
      <c r="B15" s="13" t="s">
        <v>27</v>
      </c>
      <c r="C15" s="13" t="s">
        <v>4105</v>
      </c>
      <c r="D15" s="10">
        <v>0.5208</v>
      </c>
      <c r="E15" s="11">
        <v>199.78</v>
      </c>
      <c r="F15" s="10">
        <v>0.6042</v>
      </c>
      <c r="G15" s="11">
        <v>366.9</v>
      </c>
      <c r="H15" s="10">
        <v>0.3857</v>
      </c>
      <c r="I15" s="11">
        <v>351.11</v>
      </c>
      <c r="J15" s="10">
        <v>0.5424</v>
      </c>
      <c r="K15" s="11">
        <v>277.5</v>
      </c>
      <c r="L15" s="10">
        <v>0.4143</v>
      </c>
      <c r="M15" s="11">
        <v>434.49</v>
      </c>
      <c r="N15" s="10">
        <v>0</v>
      </c>
      <c r="O15" s="11" t="s">
        <v>7127</v>
      </c>
      <c r="P15" s="10">
        <v>0.5208</v>
      </c>
      <c r="Q15" s="10">
        <v>0.2061</v>
      </c>
      <c r="R15" s="10">
        <v>0.5424</v>
      </c>
      <c r="S15" s="10">
        <v>0.2006</v>
      </c>
      <c r="T15" s="8">
        <f>IF(and(ISNUMBER(D15), isnumber(E15)), 1, 0) + IF(and(ISNUMBER(F15), isnumber(G15)), 1, 0) + IF(and(ISNUMBER(H15), isnumber(I15)), 1, 0) + IF(and(ISNUMBER(J15), isnumber(K15)), 1, 0) + IF(and(ISNUMBER(L15), isnumber(M15)), 1, 0) + IF(and(ISNUMBER(N15), isnumber(O15)), 1, 0)</f>
      </c>
      <c r="U15" s="8">
        <f>IF(and(ISNUMBER(P15), isnumber(Q15)), 1, 0) + IF(and(ISNUMBER(R15), isnumber(S15)), 1, 0)</f>
      </c>
      <c r="V15" s="13"/>
      <c r="W15" s="13" t="s">
        <v>16</v>
      </c>
      <c r="X15" s="14">
        <f>COUNTIF(Q:Q, "----")</f>
      </c>
    </row>
    <row x14ac:dyDescent="0.25" r="16" customHeight="1" ht="19.5">
      <c r="A16" s="8">
        <v>25279</v>
      </c>
      <c r="B16" s="13" t="s">
        <v>27</v>
      </c>
      <c r="C16" s="13" t="s">
        <v>4109</v>
      </c>
      <c r="D16" s="10">
        <v>0.9617</v>
      </c>
      <c r="E16" s="11">
        <v>164.58</v>
      </c>
      <c r="F16" s="10">
        <v>0.9522</v>
      </c>
      <c r="G16" s="11">
        <v>190.19</v>
      </c>
      <c r="H16" s="10">
        <v>0.4513</v>
      </c>
      <c r="I16" s="11">
        <v>404.8</v>
      </c>
      <c r="J16" s="10">
        <v>0.587</v>
      </c>
      <c r="K16" s="11">
        <v>239.8</v>
      </c>
      <c r="L16" s="10">
        <v>0.4477</v>
      </c>
      <c r="M16" s="11">
        <v>343.09</v>
      </c>
      <c r="N16" s="10">
        <v>0.5126</v>
      </c>
      <c r="O16" s="11">
        <v>356.03</v>
      </c>
      <c r="P16" s="10">
        <v>0.9617</v>
      </c>
      <c r="Q16" s="10">
        <v>0.1538</v>
      </c>
      <c r="R16" s="10">
        <v>0.587</v>
      </c>
      <c r="S16" s="10">
        <v>0.2173</v>
      </c>
      <c r="T16" s="8">
        <f>IF(and(ISNUMBER(D16), isnumber(E16)), 1, 0) + IF(and(ISNUMBER(F16), isnumber(G16)), 1, 0) + IF(and(ISNUMBER(H16), isnumber(I16)), 1, 0) + IF(and(ISNUMBER(J16), isnumber(K16)), 1, 0) + IF(and(ISNUMBER(L16), isnumber(M16)), 1, 0) + IF(and(ISNUMBER(N16), isnumber(O16)), 1, 0)</f>
      </c>
      <c r="U16" s="8">
        <f>IF(and(ISNUMBER(P16), isnumber(Q16)), 1, 0) + IF(and(ISNUMBER(R16), isnumber(S16)), 1, 0)</f>
      </c>
      <c r="V16" s="13"/>
      <c r="W16" s="13" t="s">
        <v>17</v>
      </c>
      <c r="X16" s="14">
        <f>COUNTIF(R:R, "----")</f>
      </c>
    </row>
    <row x14ac:dyDescent="0.25" r="17" customHeight="1" ht="19.5">
      <c r="A17" s="8">
        <v>25280</v>
      </c>
      <c r="B17" s="13" t="s">
        <v>27</v>
      </c>
      <c r="C17" s="13" t="s">
        <v>4113</v>
      </c>
      <c r="D17" s="10">
        <v>0.9839</v>
      </c>
      <c r="E17" s="11">
        <v>237.24</v>
      </c>
      <c r="F17" s="10">
        <v>0.6548</v>
      </c>
      <c r="G17" s="11">
        <v>435.67</v>
      </c>
      <c r="H17" s="10">
        <v>0.8548</v>
      </c>
      <c r="I17" s="11">
        <v>359.69</v>
      </c>
      <c r="J17" s="10">
        <v>0.7516</v>
      </c>
      <c r="K17" s="11">
        <v>314.49</v>
      </c>
      <c r="L17" s="10">
        <v>0.6645</v>
      </c>
      <c r="M17" s="11">
        <v>335.61</v>
      </c>
      <c r="N17" s="10">
        <v>0.6774</v>
      </c>
      <c r="O17" s="11">
        <v>326.5</v>
      </c>
      <c r="P17" s="10">
        <v>0.9839</v>
      </c>
      <c r="Q17" s="10">
        <v>0.1887</v>
      </c>
      <c r="R17" s="10">
        <v>0.7516</v>
      </c>
      <c r="S17" s="10">
        <v>0.198</v>
      </c>
      <c r="T17" s="8">
        <f>IF(and(ISNUMBER(D17), isnumber(E17)), 1, 0) + IF(and(ISNUMBER(F17), isnumber(G17)), 1, 0) + IF(and(ISNUMBER(H17), isnumber(I17)), 1, 0) + IF(and(ISNUMBER(J17), isnumber(K17)), 1, 0) + IF(and(ISNUMBER(L17), isnumber(M17)), 1, 0) + IF(and(ISNUMBER(N17), isnumber(O17)), 1, 0)</f>
      </c>
      <c r="U17" s="8">
        <f>IF(and(ISNUMBER(P17), isnumber(Q17)), 1, 0) + IF(and(ISNUMBER(R17), isnumber(S17)), 1, 0)</f>
      </c>
      <c r="V17" s="13"/>
      <c r="W17" s="13" t="s">
        <v>18</v>
      </c>
      <c r="X17" s="14">
        <f>COUNTIF(S:S, "----")</f>
      </c>
    </row>
    <row x14ac:dyDescent="0.25" r="18" customHeight="1" ht="19.5">
      <c r="A18" s="8">
        <v>25318</v>
      </c>
      <c r="B18" s="13" t="s">
        <v>27</v>
      </c>
      <c r="C18" s="13" t="s">
        <v>4118</v>
      </c>
      <c r="D18" s="10">
        <v>0.9602</v>
      </c>
      <c r="E18" s="11">
        <v>271.51</v>
      </c>
      <c r="F18" s="10">
        <v>0.9841</v>
      </c>
      <c r="G18" s="11">
        <v>316.72</v>
      </c>
      <c r="H18" s="10">
        <v>0.6186</v>
      </c>
      <c r="I18" s="11">
        <v>459.67</v>
      </c>
      <c r="J18" s="10">
        <v>0.5962</v>
      </c>
      <c r="K18" s="11">
        <v>359.86</v>
      </c>
      <c r="L18" s="10">
        <v>0.536</v>
      </c>
      <c r="M18" s="11">
        <v>395.29</v>
      </c>
      <c r="N18" s="10">
        <v>0</v>
      </c>
      <c r="O18" s="11" t="s">
        <v>7127</v>
      </c>
      <c r="P18" s="10">
        <v>0.9602</v>
      </c>
      <c r="Q18" s="10">
        <v>0.1904</v>
      </c>
      <c r="R18" s="10">
        <v>0.5962</v>
      </c>
      <c r="S18" s="10">
        <v>0.2069</v>
      </c>
      <c r="T18" s="8">
        <f>IF(and(ISNUMBER(D18), isnumber(E18)), 1, 0) + IF(and(ISNUMBER(F18), isnumber(G18)), 1, 0) + IF(and(ISNUMBER(H18), isnumber(I18)), 1, 0) + IF(and(ISNUMBER(J18), isnumber(K18)), 1, 0) + IF(and(ISNUMBER(L18), isnumber(M18)), 1, 0) + IF(and(ISNUMBER(N18), isnumber(O18)), 1, 0)</f>
      </c>
      <c r="U18" s="8">
        <f>IF(and(ISNUMBER(P18), isnumber(Q18)), 1, 0) + IF(and(ISNUMBER(R18), isnumber(S18)), 1, 0)</f>
      </c>
      <c r="V18" s="13"/>
      <c r="W18" s="13"/>
      <c r="X18" s="16"/>
    </row>
    <row x14ac:dyDescent="0.25" r="19" customHeight="1" ht="19.5">
      <c r="A19" s="8">
        <v>25264</v>
      </c>
      <c r="B19" s="13" t="s">
        <v>27</v>
      </c>
      <c r="C19" s="13" t="s">
        <v>4122</v>
      </c>
      <c r="D19" s="10">
        <v>0.9467</v>
      </c>
      <c r="E19" s="11">
        <v>284.04</v>
      </c>
      <c r="F19" s="10">
        <v>0.9795</v>
      </c>
      <c r="G19" s="11">
        <v>271.97</v>
      </c>
      <c r="H19" s="10">
        <v>0.6393</v>
      </c>
      <c r="I19" s="11">
        <v>429.35</v>
      </c>
      <c r="J19" s="10">
        <v>0.9918</v>
      </c>
      <c r="K19" s="11">
        <v>173.84</v>
      </c>
      <c r="L19" s="10">
        <v>1</v>
      </c>
      <c r="M19" s="11">
        <v>342.46</v>
      </c>
      <c r="N19" s="10">
        <v>0.9959</v>
      </c>
      <c r="O19" s="11">
        <v>327.11</v>
      </c>
      <c r="P19" s="10">
        <v>0.9467</v>
      </c>
      <c r="Q19" s="10">
        <v>0.2129</v>
      </c>
      <c r="R19" s="10">
        <v>0.9918</v>
      </c>
      <c r="S19" s="10">
        <v>0.1251</v>
      </c>
      <c r="T19" s="8">
        <f>IF(and(ISNUMBER(D19), isnumber(E19)), 1, 0) + IF(and(ISNUMBER(F19), isnumber(G19)), 1, 0) + IF(and(ISNUMBER(H19), isnumber(I19)), 1, 0) + IF(and(ISNUMBER(J19), isnumber(K19)), 1, 0) + IF(and(ISNUMBER(L19), isnumber(M19)), 1, 0) + IF(and(ISNUMBER(N19), isnumber(O19)), 1, 0)</f>
      </c>
      <c r="U19" s="8">
        <f>IF(and(ISNUMBER(P19), isnumber(Q19)), 1, 0) + IF(and(ISNUMBER(R19), isnumber(S19)), 1, 0)</f>
      </c>
      <c r="V19" s="13"/>
      <c r="W19" s="13" t="s">
        <v>14489</v>
      </c>
      <c r="X19" s="14">
        <f>sum(X2:X17)</f>
      </c>
    </row>
    <row x14ac:dyDescent="0.25" r="20" customHeight="1" ht="19.5">
      <c r="A20" s="8">
        <v>25322</v>
      </c>
      <c r="B20" s="13" t="s">
        <v>27</v>
      </c>
      <c r="C20" s="13" t="s">
        <v>4127</v>
      </c>
      <c r="D20" s="10">
        <v>0.6749</v>
      </c>
      <c r="E20" s="11">
        <v>241.13</v>
      </c>
      <c r="F20" s="10">
        <v>0.6516</v>
      </c>
      <c r="G20" s="11">
        <v>299.95</v>
      </c>
      <c r="H20" s="10">
        <v>0.4956</v>
      </c>
      <c r="I20" s="11">
        <v>385.15</v>
      </c>
      <c r="J20" s="10">
        <v>0.4577</v>
      </c>
      <c r="K20" s="11">
        <v>173.38</v>
      </c>
      <c r="L20" s="10">
        <v>0.5408</v>
      </c>
      <c r="M20" s="11">
        <v>149.62</v>
      </c>
      <c r="N20" s="10">
        <v>0.3149</v>
      </c>
      <c r="O20" s="11">
        <v>151.03</v>
      </c>
      <c r="P20" s="10">
        <v>0.6749</v>
      </c>
      <c r="Q20" s="10">
        <v>0.2341</v>
      </c>
      <c r="R20" s="10">
        <v>0.4577</v>
      </c>
      <c r="S20" s="10">
        <v>0.1923</v>
      </c>
      <c r="T20" s="8">
        <f>IF(and(ISNUMBER(D20), isnumber(E20)), 1, 0) + IF(and(ISNUMBER(F20), isnumber(G20)), 1, 0) + IF(and(ISNUMBER(H20), isnumber(I20)), 1, 0) + IF(and(ISNUMBER(J20), isnumber(K20)), 1, 0) + IF(and(ISNUMBER(L20), isnumber(M20)), 1, 0) + IF(and(ISNUMBER(N20), isnumber(O20)), 1, 0)</f>
      </c>
      <c r="U20" s="8">
        <f>IF(and(ISNUMBER(P20), isnumber(Q20)), 1, 0) + IF(and(ISNUMBER(R20), isnumber(S20)), 1, 0)</f>
      </c>
      <c r="V20" s="13"/>
      <c r="W20" s="13"/>
      <c r="X20" s="16"/>
    </row>
    <row x14ac:dyDescent="0.25" r="21" customHeight="1" ht="19.5">
      <c r="A21" s="8">
        <v>25261</v>
      </c>
      <c r="B21" s="13" t="s">
        <v>27</v>
      </c>
      <c r="C21" s="13" t="s">
        <v>4131</v>
      </c>
      <c r="D21" s="10">
        <v>0.5458</v>
      </c>
      <c r="E21" s="11">
        <v>233.05</v>
      </c>
      <c r="F21" s="10">
        <v>0.6661</v>
      </c>
      <c r="G21" s="11">
        <v>376.57</v>
      </c>
      <c r="H21" s="10">
        <v>0.5961</v>
      </c>
      <c r="I21" s="11">
        <v>405.44</v>
      </c>
      <c r="J21" s="10">
        <v>0.5548</v>
      </c>
      <c r="K21" s="11">
        <v>174.93</v>
      </c>
      <c r="L21" s="10">
        <v>0.5835</v>
      </c>
      <c r="M21" s="11">
        <v>390.99</v>
      </c>
      <c r="N21" s="10">
        <v>0.5889</v>
      </c>
      <c r="O21" s="11">
        <v>361.1</v>
      </c>
      <c r="P21" s="10">
        <v>0.5458</v>
      </c>
      <c r="Q21" s="10">
        <v>0.2182</v>
      </c>
      <c r="R21" s="10">
        <v>0.5548</v>
      </c>
      <c r="S21" s="10">
        <v>0.2019</v>
      </c>
      <c r="T21" s="8">
        <f>IF(and(ISNUMBER(D21), isnumber(E21)), 1, 0) + IF(and(ISNUMBER(F21), isnumber(G21)), 1, 0) + IF(and(ISNUMBER(H21), isnumber(I21)), 1, 0) + IF(and(ISNUMBER(J21), isnumber(K21)), 1, 0) + IF(and(ISNUMBER(L21), isnumber(M21)), 1, 0) + IF(and(ISNUMBER(N21), isnumber(O21)), 1, 0)</f>
      </c>
      <c r="U21" s="8">
        <f>IF(and(ISNUMBER(P21), isnumber(Q21)), 1, 0) + IF(and(ISNUMBER(R21), isnumber(S21)), 1, 0)</f>
      </c>
      <c r="V21" s="13"/>
      <c r="W21" s="13"/>
      <c r="X21" s="16"/>
    </row>
    <row x14ac:dyDescent="0.25" r="22" customHeight="1" ht="19.5">
      <c r="A22" s="8">
        <v>25265</v>
      </c>
      <c r="B22" s="13" t="s">
        <v>27</v>
      </c>
      <c r="C22" s="13" t="s">
        <v>4134</v>
      </c>
      <c r="D22" s="10">
        <v>0.81</v>
      </c>
      <c r="E22" s="11">
        <v>119.75</v>
      </c>
      <c r="F22" s="10">
        <v>0.005</v>
      </c>
      <c r="G22" s="11">
        <v>0</v>
      </c>
      <c r="H22" s="10">
        <v>0.7275</v>
      </c>
      <c r="I22" s="11">
        <v>435.97</v>
      </c>
      <c r="J22" s="10">
        <v>0.7125</v>
      </c>
      <c r="K22" s="11">
        <v>214.49</v>
      </c>
      <c r="L22" s="10">
        <v>0.665</v>
      </c>
      <c r="M22" s="11">
        <v>429.96</v>
      </c>
      <c r="N22" s="10">
        <v>0.6625</v>
      </c>
      <c r="O22" s="11">
        <v>381</v>
      </c>
      <c r="P22" s="10">
        <v>0.81</v>
      </c>
      <c r="Q22" s="10">
        <v>0.1791</v>
      </c>
      <c r="R22" s="10">
        <v>0.7125</v>
      </c>
      <c r="S22" s="10">
        <v>0.1972</v>
      </c>
      <c r="T22" s="8">
        <f>IF(and(ISNUMBER(D22), isnumber(E22)), 1, 0) + IF(and(ISNUMBER(F22), isnumber(G22)), 1, 0) + IF(and(ISNUMBER(H22), isnumber(I22)), 1, 0) + IF(and(ISNUMBER(J22), isnumber(K22)), 1, 0) + IF(and(ISNUMBER(L22), isnumber(M22)), 1, 0) + IF(and(ISNUMBER(N22), isnumber(O22)), 1, 0)</f>
      </c>
      <c r="U22" s="8">
        <f>IF(and(ISNUMBER(P22), isnumber(Q22)), 1, 0) + IF(and(ISNUMBER(R22), isnumber(S22)), 1, 0)</f>
      </c>
      <c r="V22" s="13"/>
      <c r="W22" s="13"/>
      <c r="X22" s="16"/>
    </row>
    <row x14ac:dyDescent="0.25" r="23" customHeight="1" ht="19.5">
      <c r="A23" s="8">
        <v>25281</v>
      </c>
      <c r="B23" s="13" t="s">
        <v>27</v>
      </c>
      <c r="C23" s="13" t="s">
        <v>4139</v>
      </c>
      <c r="D23" s="10">
        <v>0.7246</v>
      </c>
      <c r="E23" s="11">
        <v>168.74</v>
      </c>
      <c r="F23" s="10">
        <v>0.4493</v>
      </c>
      <c r="G23" s="11">
        <v>341.56</v>
      </c>
      <c r="H23" s="10">
        <v>0.5631</v>
      </c>
      <c r="I23" s="11">
        <v>404.83</v>
      </c>
      <c r="J23" s="10">
        <v>0.561</v>
      </c>
      <c r="K23" s="11">
        <v>268.31</v>
      </c>
      <c r="L23" s="10">
        <v>0</v>
      </c>
      <c r="M23" s="11" t="s">
        <v>7127</v>
      </c>
      <c r="N23" s="10">
        <v>0.5437</v>
      </c>
      <c r="O23" s="11">
        <v>427.86</v>
      </c>
      <c r="P23" s="10">
        <v>0.7246</v>
      </c>
      <c r="Q23" s="10">
        <v>0.2245</v>
      </c>
      <c r="R23" s="10">
        <v>0.561</v>
      </c>
      <c r="S23" s="10">
        <v>0.1978</v>
      </c>
      <c r="T23" s="8">
        <f>IF(and(ISNUMBER(D23), isnumber(E23)), 1, 0) + IF(and(ISNUMBER(F23), isnumber(G23)), 1, 0) + IF(and(ISNUMBER(H23), isnumber(I23)), 1, 0) + IF(and(ISNUMBER(J23), isnumber(K23)), 1, 0) + IF(and(ISNUMBER(L23), isnumber(M23)), 1, 0) + IF(and(ISNUMBER(N23), isnumber(O23)), 1, 0)</f>
      </c>
      <c r="U23" s="8">
        <f>IF(and(ISNUMBER(P23), isnumber(Q23)), 1, 0) + IF(and(ISNUMBER(R23), isnumber(S23)), 1, 0)</f>
      </c>
      <c r="V23" s="13"/>
      <c r="W23" s="13"/>
      <c r="X23" s="16"/>
    </row>
    <row x14ac:dyDescent="0.25" r="24" customHeight="1" ht="19.5">
      <c r="A24" s="8">
        <v>25282</v>
      </c>
      <c r="B24" s="13" t="s">
        <v>27</v>
      </c>
      <c r="C24" s="13" t="s">
        <v>4144</v>
      </c>
      <c r="D24" s="10">
        <v>1</v>
      </c>
      <c r="E24" s="11">
        <v>291.76</v>
      </c>
      <c r="F24" s="10">
        <v>0.9412</v>
      </c>
      <c r="G24" s="11">
        <v>352.5</v>
      </c>
      <c r="H24" s="10">
        <v>1</v>
      </c>
      <c r="I24" s="11">
        <v>425.88</v>
      </c>
      <c r="J24" s="10">
        <v>1</v>
      </c>
      <c r="K24" s="11">
        <v>338.82</v>
      </c>
      <c r="L24" s="10">
        <v>1</v>
      </c>
      <c r="M24" s="11">
        <v>444.71</v>
      </c>
      <c r="N24" s="10">
        <v>0.8235</v>
      </c>
      <c r="O24" s="11">
        <v>445.71</v>
      </c>
      <c r="P24" s="10">
        <v>1</v>
      </c>
      <c r="Q24" s="10">
        <v>0.2445</v>
      </c>
      <c r="R24" s="10">
        <v>1</v>
      </c>
      <c r="S24" s="10">
        <v>0.1807</v>
      </c>
      <c r="T24" s="8">
        <f>IF(and(ISNUMBER(D24), isnumber(E24)), 1, 0) + IF(and(ISNUMBER(F24), isnumber(G24)), 1, 0) + IF(and(ISNUMBER(H24), isnumber(I24)), 1, 0) + IF(and(ISNUMBER(J24), isnumber(K24)), 1, 0) + IF(and(ISNUMBER(L24), isnumber(M24)), 1, 0) + IF(and(ISNUMBER(N24), isnumber(O24)), 1, 0)</f>
      </c>
      <c r="U24" s="8">
        <f>IF(and(ISNUMBER(P24), isnumber(Q24)), 1, 0) + IF(and(ISNUMBER(R24), isnumber(S24)), 1, 0)</f>
      </c>
      <c r="V24" s="13"/>
      <c r="W24" s="13"/>
      <c r="X24" s="16"/>
    </row>
    <row x14ac:dyDescent="0.25" r="25" customHeight="1" ht="19.5">
      <c r="A25" s="8">
        <v>25329</v>
      </c>
      <c r="B25" s="13" t="s">
        <v>27</v>
      </c>
      <c r="C25" s="13" t="s">
        <v>4147</v>
      </c>
      <c r="D25" s="10">
        <v>0.9708</v>
      </c>
      <c r="E25" s="11">
        <v>169.92</v>
      </c>
      <c r="F25" s="10">
        <v>0.8321</v>
      </c>
      <c r="G25" s="11">
        <v>212.61</v>
      </c>
      <c r="H25" s="10">
        <v>0.8394</v>
      </c>
      <c r="I25" s="11">
        <v>230.96</v>
      </c>
      <c r="J25" s="10">
        <v>0.6058</v>
      </c>
      <c r="K25" s="11">
        <v>247.09</v>
      </c>
      <c r="L25" s="10">
        <v>0.6496</v>
      </c>
      <c r="M25" s="11">
        <v>350.91</v>
      </c>
      <c r="N25" s="10">
        <v>0.6496</v>
      </c>
      <c r="O25" s="11">
        <v>371.24</v>
      </c>
      <c r="P25" s="10">
        <v>0.9708</v>
      </c>
      <c r="Q25" s="10">
        <v>0.1973</v>
      </c>
      <c r="R25" s="10">
        <v>0.6058</v>
      </c>
      <c r="S25" s="10">
        <v>0.2058</v>
      </c>
      <c r="T25" s="8">
        <f>IF(and(ISNUMBER(D25), isnumber(E25)), 1, 0) + IF(and(ISNUMBER(F25), isnumber(G25)), 1, 0) + IF(and(ISNUMBER(H25), isnumber(I25)), 1, 0) + IF(and(ISNUMBER(J25), isnumber(K25)), 1, 0) + IF(and(ISNUMBER(L25), isnumber(M25)), 1, 0) + IF(and(ISNUMBER(N25), isnumber(O25)), 1, 0)</f>
      </c>
      <c r="U25" s="8">
        <f>IF(and(ISNUMBER(P25), isnumber(Q25)), 1, 0) + IF(and(ISNUMBER(R25), isnumber(S25)), 1, 0)</f>
      </c>
      <c r="V25" s="13"/>
      <c r="W25" s="13"/>
      <c r="X25" s="16"/>
    </row>
    <row x14ac:dyDescent="0.25" r="26" customHeight="1" ht="19.5">
      <c r="A26" s="8">
        <v>25283</v>
      </c>
      <c r="B26" s="13" t="s">
        <v>27</v>
      </c>
      <c r="C26" s="13" t="s">
        <v>5617</v>
      </c>
      <c r="D26" s="10">
        <v>0.3846</v>
      </c>
      <c r="E26" s="11" t="s">
        <v>7127</v>
      </c>
      <c r="F26" s="10">
        <v>0.1538</v>
      </c>
      <c r="G26" s="11">
        <v>280</v>
      </c>
      <c r="H26" s="10">
        <v>0</v>
      </c>
      <c r="I26" s="11" t="s">
        <v>7127</v>
      </c>
      <c r="J26" s="10" t="s">
        <v>7127</v>
      </c>
      <c r="K26" s="11" t="s">
        <v>7127</v>
      </c>
      <c r="L26" s="10">
        <v>0</v>
      </c>
      <c r="M26" s="11" t="s">
        <v>7127</v>
      </c>
      <c r="N26" s="10">
        <v>0</v>
      </c>
      <c r="O26" s="11" t="s">
        <v>7127</v>
      </c>
      <c r="P26" s="10">
        <v>0.3846</v>
      </c>
      <c r="Q26" s="10">
        <v>0.1903</v>
      </c>
      <c r="R26" s="10" t="s">
        <v>7127</v>
      </c>
      <c r="S26" s="10" t="s">
        <v>7127</v>
      </c>
      <c r="T26" s="8">
        <f>IF(and(ISNUMBER(D26), isnumber(E26)), 1, 0) + IF(and(ISNUMBER(F26), isnumber(G26)), 1, 0) + IF(and(ISNUMBER(H26), isnumber(I26)), 1, 0) + IF(and(ISNUMBER(J26), isnumber(K26)), 1, 0) + IF(and(ISNUMBER(L26), isnumber(M26)), 1, 0) + IF(and(ISNUMBER(N26), isnumber(O26)), 1, 0)</f>
      </c>
      <c r="U26" s="8">
        <f>IF(and(ISNUMBER(P26), isnumber(Q26)), 1, 0) + IF(and(ISNUMBER(R26), isnumber(S26)), 1, 0)</f>
      </c>
      <c r="V26" s="13"/>
      <c r="W26" s="13"/>
      <c r="X26" s="16"/>
    </row>
    <row x14ac:dyDescent="0.25" r="27" customHeight="1" ht="19.5">
      <c r="A27" s="8">
        <v>25239</v>
      </c>
      <c r="B27" s="13" t="s">
        <v>27</v>
      </c>
      <c r="C27" s="13" t="s">
        <v>4152</v>
      </c>
      <c r="D27" s="10">
        <v>0.6743</v>
      </c>
      <c r="E27" s="11">
        <v>239.58</v>
      </c>
      <c r="F27" s="10">
        <v>0.6067</v>
      </c>
      <c r="G27" s="11">
        <v>450.79</v>
      </c>
      <c r="H27" s="10">
        <v>0.5832</v>
      </c>
      <c r="I27" s="11">
        <v>417.03</v>
      </c>
      <c r="J27" s="10">
        <v>0.3754</v>
      </c>
      <c r="K27" s="11" t="s">
        <v>7127</v>
      </c>
      <c r="L27" s="10">
        <v>0.4472</v>
      </c>
      <c r="M27" s="11">
        <v>450.09</v>
      </c>
      <c r="N27" s="10">
        <v>0.3973</v>
      </c>
      <c r="O27" s="11">
        <v>427.84</v>
      </c>
      <c r="P27" s="10">
        <v>0.6743</v>
      </c>
      <c r="Q27" s="10">
        <v>0.2498</v>
      </c>
      <c r="R27" s="10">
        <v>0.3754</v>
      </c>
      <c r="S27" s="10">
        <v>0.1998</v>
      </c>
      <c r="T27" s="8">
        <f>IF(and(ISNUMBER(D27), isnumber(E27)), 1, 0) + IF(and(ISNUMBER(F27), isnumber(G27)), 1, 0) + IF(and(ISNUMBER(H27), isnumber(I27)), 1, 0) + IF(and(ISNUMBER(J27), isnumber(K27)), 1, 0) + IF(and(ISNUMBER(L27), isnumber(M27)), 1, 0) + IF(and(ISNUMBER(N27), isnumber(O27)), 1, 0)</f>
      </c>
      <c r="U27" s="8">
        <f>IF(and(ISNUMBER(P27), isnumber(Q27)), 1, 0) + IF(and(ISNUMBER(R27), isnumber(S27)), 1, 0)</f>
      </c>
      <c r="V27" s="13"/>
      <c r="W27" s="13"/>
      <c r="X27" s="16"/>
    </row>
    <row x14ac:dyDescent="0.25" r="28" customHeight="1" ht="19.5">
      <c r="A28" s="8">
        <v>25266</v>
      </c>
      <c r="B28" s="13" t="s">
        <v>27</v>
      </c>
      <c r="C28" s="13" t="s">
        <v>4157</v>
      </c>
      <c r="D28" s="10">
        <v>0.2847</v>
      </c>
      <c r="E28" s="11">
        <v>159.48</v>
      </c>
      <c r="F28" s="10">
        <v>0.0068</v>
      </c>
      <c r="G28" s="11" t="s">
        <v>7127</v>
      </c>
      <c r="H28" s="10">
        <v>0.4596</v>
      </c>
      <c r="I28" s="11">
        <v>377.54</v>
      </c>
      <c r="J28" s="10">
        <v>0.2832</v>
      </c>
      <c r="K28" s="11">
        <v>152.66</v>
      </c>
      <c r="L28" s="10">
        <v>0.3277</v>
      </c>
      <c r="M28" s="11">
        <v>428.93</v>
      </c>
      <c r="N28" s="10">
        <v>0.0043</v>
      </c>
      <c r="O28" s="11" t="s">
        <v>7127</v>
      </c>
      <c r="P28" s="10">
        <v>0.2847</v>
      </c>
      <c r="Q28" s="10">
        <v>0.2262</v>
      </c>
      <c r="R28" s="10">
        <v>0.2832</v>
      </c>
      <c r="S28" s="10">
        <v>0.1951</v>
      </c>
      <c r="T28" s="8">
        <f>IF(and(ISNUMBER(D28), isnumber(E28)), 1, 0) + IF(and(ISNUMBER(F28), isnumber(G28)), 1, 0) + IF(and(ISNUMBER(H28), isnumber(I28)), 1, 0) + IF(and(ISNUMBER(J28), isnumber(K28)), 1, 0) + IF(and(ISNUMBER(L28), isnumber(M28)), 1, 0) + IF(and(ISNUMBER(N28), isnumber(O28)), 1, 0)</f>
      </c>
      <c r="U28" s="8">
        <f>IF(and(ISNUMBER(P28), isnumber(Q28)), 1, 0) + IF(and(ISNUMBER(R28), isnumber(S28)), 1, 0)</f>
      </c>
      <c r="V28" s="13"/>
      <c r="W28" s="13"/>
      <c r="X28" s="16"/>
    </row>
    <row x14ac:dyDescent="0.25" r="29" customHeight="1" ht="19.5">
      <c r="A29" s="8">
        <v>25284</v>
      </c>
      <c r="B29" s="13" t="s">
        <v>27</v>
      </c>
      <c r="C29" s="13" t="s">
        <v>4161</v>
      </c>
      <c r="D29" s="10">
        <v>0.8333</v>
      </c>
      <c r="E29" s="11">
        <v>372.8</v>
      </c>
      <c r="F29" s="10">
        <v>0.7</v>
      </c>
      <c r="G29" s="11">
        <v>488</v>
      </c>
      <c r="H29" s="10">
        <v>0.6</v>
      </c>
      <c r="I29" s="11">
        <v>435.56</v>
      </c>
      <c r="J29" s="10">
        <v>0.7</v>
      </c>
      <c r="K29" s="11">
        <v>316.19</v>
      </c>
      <c r="L29" s="10">
        <v>0.4333</v>
      </c>
      <c r="M29" s="11">
        <v>443.08</v>
      </c>
      <c r="N29" s="10">
        <v>0.6333</v>
      </c>
      <c r="O29" s="11">
        <v>505.26</v>
      </c>
      <c r="P29" s="10">
        <v>0.8333</v>
      </c>
      <c r="Q29" s="10">
        <v>0.2907</v>
      </c>
      <c r="R29" s="10">
        <v>0.7</v>
      </c>
      <c r="S29" s="10">
        <v>0.2171</v>
      </c>
      <c r="T29" s="8">
        <f>IF(and(ISNUMBER(D29), isnumber(E29)), 1, 0) + IF(and(ISNUMBER(F29), isnumber(G29)), 1, 0) + IF(and(ISNUMBER(H29), isnumber(I29)), 1, 0) + IF(and(ISNUMBER(J29), isnumber(K29)), 1, 0) + IF(and(ISNUMBER(L29), isnumber(M29)), 1, 0) + IF(and(ISNUMBER(N29), isnumber(O29)), 1, 0)</f>
      </c>
      <c r="U29" s="8">
        <f>IF(and(ISNUMBER(P29), isnumber(Q29)), 1, 0) + IF(and(ISNUMBER(R29), isnumber(S29)), 1, 0)</f>
      </c>
      <c r="V29" s="13"/>
      <c r="W29" s="13"/>
      <c r="X29" s="16"/>
    </row>
    <row x14ac:dyDescent="0.25" r="30" customHeight="1" ht="19.5">
      <c r="A30" s="8">
        <v>25267</v>
      </c>
      <c r="B30" s="13" t="s">
        <v>27</v>
      </c>
      <c r="C30" s="13" t="s">
        <v>4164</v>
      </c>
      <c r="D30" s="10">
        <v>0.7825</v>
      </c>
      <c r="E30" s="11">
        <v>221.14</v>
      </c>
      <c r="F30" s="10">
        <v>0.9058</v>
      </c>
      <c r="G30" s="11">
        <v>271.48</v>
      </c>
      <c r="H30" s="10">
        <v>1</v>
      </c>
      <c r="I30" s="11">
        <v>236.09</v>
      </c>
      <c r="J30" s="10">
        <v>1</v>
      </c>
      <c r="K30" s="11">
        <v>145.3</v>
      </c>
      <c r="L30" s="10">
        <v>0.4708</v>
      </c>
      <c r="M30" s="11">
        <v>430.9</v>
      </c>
      <c r="N30" s="10">
        <v>0.0065</v>
      </c>
      <c r="O30" s="11">
        <v>360</v>
      </c>
      <c r="P30" s="10">
        <v>0.7825</v>
      </c>
      <c r="Q30" s="10">
        <v>0.1734</v>
      </c>
      <c r="R30" s="10">
        <v>1</v>
      </c>
      <c r="S30" s="10">
        <v>0.1108</v>
      </c>
      <c r="T30" s="8">
        <f>IF(and(ISNUMBER(D30), isnumber(E30)), 1, 0) + IF(and(ISNUMBER(F30), isnumber(G30)), 1, 0) + IF(and(ISNUMBER(H30), isnumber(I30)), 1, 0) + IF(and(ISNUMBER(J30), isnumber(K30)), 1, 0) + IF(and(ISNUMBER(L30), isnumber(M30)), 1, 0) + IF(and(ISNUMBER(N30), isnumber(O30)), 1, 0)</f>
      </c>
      <c r="U30" s="8">
        <f>IF(and(ISNUMBER(P30), isnumber(Q30)), 1, 0) + IF(and(ISNUMBER(R30), isnumber(S30)), 1, 0)</f>
      </c>
      <c r="V30" s="13"/>
      <c r="W30" s="13"/>
      <c r="X30" s="16"/>
    </row>
    <row x14ac:dyDescent="0.25" r="31" customHeight="1" ht="19.5">
      <c r="A31" s="8">
        <v>25285</v>
      </c>
      <c r="B31" s="13" t="s">
        <v>27</v>
      </c>
      <c r="C31" s="13" t="s">
        <v>4167</v>
      </c>
      <c r="D31" s="10">
        <v>0.7767</v>
      </c>
      <c r="E31" s="11">
        <v>334.87</v>
      </c>
      <c r="F31" s="10">
        <v>0.7961</v>
      </c>
      <c r="G31" s="11">
        <v>480.51</v>
      </c>
      <c r="H31" s="10">
        <v>0.6117</v>
      </c>
      <c r="I31" s="11">
        <v>485.16</v>
      </c>
      <c r="J31" s="10">
        <v>0.7864</v>
      </c>
      <c r="K31" s="11">
        <v>306.5</v>
      </c>
      <c r="L31" s="10">
        <v>0.8641</v>
      </c>
      <c r="M31" s="11">
        <v>404.49</v>
      </c>
      <c r="N31" s="10">
        <v>0.7282</v>
      </c>
      <c r="O31" s="11">
        <v>422.4</v>
      </c>
      <c r="P31" s="10">
        <v>0.7767</v>
      </c>
      <c r="Q31" s="10">
        <v>0.2317</v>
      </c>
      <c r="R31" s="10">
        <v>0.7864</v>
      </c>
      <c r="S31" s="10">
        <v>0.1914</v>
      </c>
      <c r="T31" s="8">
        <f>IF(and(ISNUMBER(D31), isnumber(E31)), 1, 0) + IF(and(ISNUMBER(F31), isnumber(G31)), 1, 0) + IF(and(ISNUMBER(H31), isnumber(I31)), 1, 0) + IF(and(ISNUMBER(J31), isnumber(K31)), 1, 0) + IF(and(ISNUMBER(L31), isnumber(M31)), 1, 0) + IF(and(ISNUMBER(N31), isnumber(O31)), 1, 0)</f>
      </c>
      <c r="U31" s="8">
        <f>IF(and(ISNUMBER(P31), isnumber(Q31)), 1, 0) + IF(and(ISNUMBER(R31), isnumber(S31)), 1, 0)</f>
      </c>
      <c r="V31" s="13"/>
      <c r="W31" s="13"/>
      <c r="X31" s="16"/>
    </row>
    <row x14ac:dyDescent="0.25" r="32" customHeight="1" ht="15.75">
      <c r="A32" s="8">
        <v>25268</v>
      </c>
      <c r="B32" s="13" t="s">
        <v>27</v>
      </c>
      <c r="C32" s="13" t="s">
        <v>4171</v>
      </c>
      <c r="D32" s="10">
        <v>0.8481</v>
      </c>
      <c r="E32" s="11">
        <v>164.16</v>
      </c>
      <c r="F32" s="10">
        <v>0.6519</v>
      </c>
      <c r="G32" s="11">
        <v>370.51</v>
      </c>
      <c r="H32" s="10">
        <v>0.5926</v>
      </c>
      <c r="I32" s="11">
        <v>384.71</v>
      </c>
      <c r="J32" s="10">
        <v>0.7037</v>
      </c>
      <c r="K32" s="11">
        <v>383.3</v>
      </c>
      <c r="L32" s="10">
        <v>0.563</v>
      </c>
      <c r="M32" s="11">
        <v>380.13</v>
      </c>
      <c r="N32" s="10">
        <v>0.5519</v>
      </c>
      <c r="O32" s="11">
        <v>418.63</v>
      </c>
      <c r="P32" s="10">
        <v>0.8481</v>
      </c>
      <c r="Q32" s="10">
        <v>0.1783</v>
      </c>
      <c r="R32" s="10">
        <v>0.7037</v>
      </c>
      <c r="S32" s="10">
        <v>0.2103</v>
      </c>
      <c r="T32" s="8">
        <f>IF(and(ISNUMBER(D32), isnumber(E32)), 1, 0) + IF(and(ISNUMBER(F32), isnumber(G32)), 1, 0) + IF(and(ISNUMBER(H32), isnumber(I32)), 1, 0) + IF(and(ISNUMBER(J32), isnumber(K32)), 1, 0) + IF(and(ISNUMBER(L32), isnumber(M32)), 1, 0) + IF(and(ISNUMBER(N32), isnumber(O32)), 1, 0)</f>
      </c>
      <c r="U32" s="8">
        <f>IF(and(ISNUMBER(P32), isnumber(Q32)), 1, 0) + IF(and(ISNUMBER(R32), isnumber(S32)), 1, 0)</f>
      </c>
      <c r="V32" s="13"/>
      <c r="W32" s="13"/>
      <c r="X32" s="16"/>
    </row>
    <row x14ac:dyDescent="0.25" r="33" customHeight="1" ht="15.75">
      <c r="A33" s="8">
        <v>25286</v>
      </c>
      <c r="B33" s="13" t="s">
        <v>27</v>
      </c>
      <c r="C33" s="13" t="s">
        <v>4175</v>
      </c>
      <c r="D33" s="10">
        <v>0.9844</v>
      </c>
      <c r="E33" s="11">
        <v>265.4</v>
      </c>
      <c r="F33" s="10">
        <v>0.6823</v>
      </c>
      <c r="G33" s="11">
        <v>472.08</v>
      </c>
      <c r="H33" s="10">
        <v>0.5342</v>
      </c>
      <c r="I33" s="11">
        <v>486.55</v>
      </c>
      <c r="J33" s="10">
        <v>0.6748</v>
      </c>
      <c r="K33" s="11">
        <v>374.8</v>
      </c>
      <c r="L33" s="10">
        <v>0.4701</v>
      </c>
      <c r="M33" s="11">
        <v>466.31</v>
      </c>
      <c r="N33" s="10">
        <v>0.5299</v>
      </c>
      <c r="O33" s="11">
        <v>507.98</v>
      </c>
      <c r="P33" s="10">
        <v>0.9844</v>
      </c>
      <c r="Q33" s="10">
        <v>0.2081</v>
      </c>
      <c r="R33" s="10">
        <v>0.6748</v>
      </c>
      <c r="S33" s="10">
        <v>0.2211</v>
      </c>
      <c r="T33" s="8">
        <f>IF(and(ISNUMBER(D33), isnumber(E33)), 1, 0) + IF(and(ISNUMBER(F33), isnumber(G33)), 1, 0) + IF(and(ISNUMBER(H33), isnumber(I33)), 1, 0) + IF(and(ISNUMBER(J33), isnumber(K33)), 1, 0) + IF(and(ISNUMBER(L33), isnumber(M33)), 1, 0) + IF(and(ISNUMBER(N33), isnumber(O33)), 1, 0)</f>
      </c>
      <c r="U33" s="8">
        <f>IF(and(ISNUMBER(P33), isnumber(Q33)), 1, 0) + IF(and(ISNUMBER(R33), isnumber(S33)), 1, 0)</f>
      </c>
      <c r="V33" s="13"/>
      <c r="W33" s="13"/>
      <c r="X33" s="16"/>
    </row>
    <row x14ac:dyDescent="0.25" r="34" customHeight="1" ht="15.75">
      <c r="A34" s="8">
        <v>25287</v>
      </c>
      <c r="B34" s="13" t="s">
        <v>27</v>
      </c>
      <c r="C34" s="13" t="s">
        <v>4179</v>
      </c>
      <c r="D34" s="10">
        <v>0.7308</v>
      </c>
      <c r="E34" s="11">
        <v>202.15</v>
      </c>
      <c r="F34" s="10">
        <v>0.6</v>
      </c>
      <c r="G34" s="11">
        <v>366.75</v>
      </c>
      <c r="H34" s="10">
        <v>0.6462</v>
      </c>
      <c r="I34" s="11">
        <v>414.29</v>
      </c>
      <c r="J34" s="10">
        <v>0.5923</v>
      </c>
      <c r="K34" s="11">
        <v>254.93</v>
      </c>
      <c r="L34" s="10">
        <v>0.5769</v>
      </c>
      <c r="M34" s="11">
        <v>347.73</v>
      </c>
      <c r="N34" s="10">
        <v>0.5231</v>
      </c>
      <c r="O34" s="11">
        <v>390.59</v>
      </c>
      <c r="P34" s="10">
        <v>0.7308</v>
      </c>
      <c r="Q34" s="10">
        <v>0.2154</v>
      </c>
      <c r="R34" s="10">
        <v>0.5923</v>
      </c>
      <c r="S34" s="10">
        <v>0.1868</v>
      </c>
      <c r="T34" s="8">
        <f>IF(and(ISNUMBER(D34), isnumber(E34)), 1, 0) + IF(and(ISNUMBER(F34), isnumber(G34)), 1, 0) + IF(and(ISNUMBER(H34), isnumber(I34)), 1, 0) + IF(and(ISNUMBER(J34), isnumber(K34)), 1, 0) + IF(and(ISNUMBER(L34), isnumber(M34)), 1, 0) + IF(and(ISNUMBER(N34), isnumber(O34)), 1, 0)</f>
      </c>
      <c r="U34" s="8">
        <f>IF(and(ISNUMBER(P34), isnumber(Q34)), 1, 0) + IF(and(ISNUMBER(R34), isnumber(S34)), 1, 0)</f>
      </c>
      <c r="V34" s="13"/>
      <c r="W34" s="13"/>
      <c r="X34" s="16"/>
    </row>
    <row x14ac:dyDescent="0.25" r="35" customHeight="1" ht="15.75">
      <c r="A35" s="8">
        <v>25330</v>
      </c>
      <c r="B35" s="13" t="s">
        <v>27</v>
      </c>
      <c r="C35" s="13" t="s">
        <v>4184</v>
      </c>
      <c r="D35" s="10">
        <v>0.9492</v>
      </c>
      <c r="E35" s="11">
        <v>253.05</v>
      </c>
      <c r="F35" s="10">
        <v>0.5635</v>
      </c>
      <c r="G35" s="11">
        <v>405.82</v>
      </c>
      <c r="H35" s="10">
        <v>0.6701</v>
      </c>
      <c r="I35" s="11">
        <v>382.15</v>
      </c>
      <c r="J35" s="10">
        <v>0.6447</v>
      </c>
      <c r="K35" s="11">
        <v>285.16</v>
      </c>
      <c r="L35" s="10">
        <v>0.3858</v>
      </c>
      <c r="M35" s="11">
        <v>434.59</v>
      </c>
      <c r="N35" s="10">
        <v>0.3503</v>
      </c>
      <c r="O35" s="11">
        <v>423.19</v>
      </c>
      <c r="P35" s="10">
        <v>0.9492</v>
      </c>
      <c r="Q35" s="10">
        <v>0.1686</v>
      </c>
      <c r="R35" s="10">
        <v>0.6447</v>
      </c>
      <c r="S35" s="10">
        <v>0.2012</v>
      </c>
      <c r="T35" s="8">
        <f>IF(and(ISNUMBER(D35), isnumber(E35)), 1, 0) + IF(and(ISNUMBER(F35), isnumber(G35)), 1, 0) + IF(and(ISNUMBER(H35), isnumber(I35)), 1, 0) + IF(and(ISNUMBER(J35), isnumber(K35)), 1, 0) + IF(and(ISNUMBER(L35), isnumber(M35)), 1, 0) + IF(and(ISNUMBER(N35), isnumber(O35)), 1, 0)</f>
      </c>
      <c r="U35" s="8">
        <f>IF(and(ISNUMBER(P35), isnumber(Q35)), 1, 0) + IF(and(ISNUMBER(R35), isnumber(S35)), 1, 0)</f>
      </c>
      <c r="V35" s="13"/>
      <c r="W35" s="13"/>
      <c r="X35" s="16"/>
    </row>
    <row x14ac:dyDescent="0.25" r="36" customHeight="1" ht="15.75">
      <c r="A36" s="8">
        <v>25247</v>
      </c>
      <c r="B36" s="13" t="s">
        <v>27</v>
      </c>
      <c r="C36" s="13" t="s">
        <v>4189</v>
      </c>
      <c r="D36" s="10">
        <v>0.8907</v>
      </c>
      <c r="E36" s="11">
        <v>149.48</v>
      </c>
      <c r="F36" s="10">
        <v>0.5464</v>
      </c>
      <c r="G36" s="11">
        <v>350.93</v>
      </c>
      <c r="H36" s="10">
        <v>0.4435</v>
      </c>
      <c r="I36" s="11">
        <v>427.1</v>
      </c>
      <c r="J36" s="10">
        <v>0.561</v>
      </c>
      <c r="K36" s="11">
        <v>237.12</v>
      </c>
      <c r="L36" s="10">
        <v>0.4165</v>
      </c>
      <c r="M36" s="11">
        <v>401.13</v>
      </c>
      <c r="N36" s="10">
        <v>0.3288</v>
      </c>
      <c r="O36" s="11">
        <v>445.78</v>
      </c>
      <c r="P36" s="10">
        <v>0.8907</v>
      </c>
      <c r="Q36" s="10">
        <v>0.1157</v>
      </c>
      <c r="R36" s="10">
        <v>0.561</v>
      </c>
      <c r="S36" s="10">
        <v>0.189</v>
      </c>
      <c r="T36" s="8">
        <f>IF(and(ISNUMBER(D36), isnumber(E36)), 1, 0) + IF(and(ISNUMBER(F36), isnumber(G36)), 1, 0) + IF(and(ISNUMBER(H36), isnumber(I36)), 1, 0) + IF(and(ISNUMBER(J36), isnumber(K36)), 1, 0) + IF(and(ISNUMBER(L36), isnumber(M36)), 1, 0) + IF(and(ISNUMBER(N36), isnumber(O36)), 1, 0)</f>
      </c>
      <c r="U36" s="8">
        <f>IF(and(ISNUMBER(P36), isnumber(Q36)), 1, 0) + IF(and(ISNUMBER(R36), isnumber(S36)), 1, 0)</f>
      </c>
      <c r="V36" s="13"/>
      <c r="W36" s="13"/>
      <c r="X36" s="16"/>
    </row>
    <row x14ac:dyDescent="0.25" r="37" customHeight="1" ht="15.75">
      <c r="A37" s="8">
        <v>25288</v>
      </c>
      <c r="B37" s="13" t="s">
        <v>27</v>
      </c>
      <c r="C37" s="13" t="s">
        <v>4192</v>
      </c>
      <c r="D37" s="10">
        <v>0.951</v>
      </c>
      <c r="E37" s="11">
        <v>142.68</v>
      </c>
      <c r="F37" s="10">
        <v>0.0098</v>
      </c>
      <c r="G37" s="11" t="s">
        <v>7127</v>
      </c>
      <c r="H37" s="10">
        <v>0.8328</v>
      </c>
      <c r="I37" s="11">
        <v>206.25</v>
      </c>
      <c r="J37" s="10">
        <v>0.476</v>
      </c>
      <c r="K37" s="11">
        <v>171.37</v>
      </c>
      <c r="L37" s="10">
        <v>0.4985</v>
      </c>
      <c r="M37" s="11">
        <v>384.84</v>
      </c>
      <c r="N37" s="10">
        <v>0.452</v>
      </c>
      <c r="O37" s="11">
        <v>399.44</v>
      </c>
      <c r="P37" s="10">
        <v>0.951</v>
      </c>
      <c r="Q37" s="10">
        <v>0.1616</v>
      </c>
      <c r="R37" s="10">
        <v>0.476</v>
      </c>
      <c r="S37" s="10">
        <v>0.1725</v>
      </c>
      <c r="T37" s="8">
        <f>IF(and(ISNUMBER(D37), isnumber(E37)), 1, 0) + IF(and(ISNUMBER(F37), isnumber(G37)), 1, 0) + IF(and(ISNUMBER(H37), isnumber(I37)), 1, 0) + IF(and(ISNUMBER(J37), isnumber(K37)), 1, 0) + IF(and(ISNUMBER(L37), isnumber(M37)), 1, 0) + IF(and(ISNUMBER(N37), isnumber(O37)), 1, 0)</f>
      </c>
      <c r="U37" s="8">
        <f>IF(and(ISNUMBER(P37), isnumber(Q37)), 1, 0) + IF(and(ISNUMBER(R37), isnumber(S37)), 1, 0)</f>
      </c>
      <c r="V37" s="13"/>
      <c r="W37" s="13"/>
      <c r="X37" s="16"/>
    </row>
    <row x14ac:dyDescent="0.25" r="38" customHeight="1" ht="15.75">
      <c r="A38" s="8">
        <v>25289</v>
      </c>
      <c r="B38" s="13" t="s">
        <v>27</v>
      </c>
      <c r="C38" s="13" t="s">
        <v>4197</v>
      </c>
      <c r="D38" s="10">
        <v>0.86</v>
      </c>
      <c r="E38" s="11">
        <v>288.37</v>
      </c>
      <c r="F38" s="10">
        <v>0.76</v>
      </c>
      <c r="G38" s="11">
        <v>403.16</v>
      </c>
      <c r="H38" s="10">
        <v>0.82</v>
      </c>
      <c r="I38" s="11">
        <v>394.15</v>
      </c>
      <c r="J38" s="10">
        <v>0.82</v>
      </c>
      <c r="K38" s="11">
        <v>378.38</v>
      </c>
      <c r="L38" s="10">
        <v>0.74</v>
      </c>
      <c r="M38" s="11">
        <v>453.33</v>
      </c>
      <c r="N38" s="10">
        <v>0.76</v>
      </c>
      <c r="O38" s="11">
        <v>451.58</v>
      </c>
      <c r="P38" s="10">
        <v>0.86</v>
      </c>
      <c r="Q38" s="10">
        <v>0.2092</v>
      </c>
      <c r="R38" s="10">
        <v>0.82</v>
      </c>
      <c r="S38" s="10">
        <v>0.2014</v>
      </c>
      <c r="T38" s="8">
        <f>IF(and(ISNUMBER(D38), isnumber(E38)), 1, 0) + IF(and(ISNUMBER(F38), isnumber(G38)), 1, 0) + IF(and(ISNUMBER(H38), isnumber(I38)), 1, 0) + IF(and(ISNUMBER(J38), isnumber(K38)), 1, 0) + IF(and(ISNUMBER(L38), isnumber(M38)), 1, 0) + IF(and(ISNUMBER(N38), isnumber(O38)), 1, 0)</f>
      </c>
      <c r="U38" s="8">
        <f>IF(and(ISNUMBER(P38), isnumber(Q38)), 1, 0) + IF(and(ISNUMBER(R38), isnumber(S38)), 1, 0)</f>
      </c>
      <c r="V38" s="13"/>
      <c r="W38" s="13"/>
      <c r="X38" s="16"/>
    </row>
    <row x14ac:dyDescent="0.25" r="39" customHeight="1" ht="15.75">
      <c r="A39" s="8">
        <v>25319</v>
      </c>
      <c r="B39" s="13" t="s">
        <v>27</v>
      </c>
      <c r="C39" s="13" t="s">
        <v>4201</v>
      </c>
      <c r="D39" s="10">
        <v>0.961</v>
      </c>
      <c r="E39" s="11">
        <v>178.38</v>
      </c>
      <c r="F39" s="10">
        <v>0.987</v>
      </c>
      <c r="G39" s="11">
        <v>352.78</v>
      </c>
      <c r="H39" s="10">
        <v>0.9351</v>
      </c>
      <c r="I39" s="11">
        <v>364.44</v>
      </c>
      <c r="J39" s="10">
        <v>1</v>
      </c>
      <c r="K39" s="11">
        <v>285.79</v>
      </c>
      <c r="L39" s="10">
        <v>0.9221</v>
      </c>
      <c r="M39" s="11">
        <v>259.1</v>
      </c>
      <c r="N39" s="10">
        <v>0.7922</v>
      </c>
      <c r="O39" s="11">
        <v>322.91</v>
      </c>
      <c r="P39" s="10">
        <v>0.961</v>
      </c>
      <c r="Q39" s="10">
        <v>0.2252</v>
      </c>
      <c r="R39" s="10">
        <v>1</v>
      </c>
      <c r="S39" s="10">
        <v>0.1667</v>
      </c>
      <c r="T39" s="8">
        <f>IF(and(ISNUMBER(D39), isnumber(E39)), 1, 0) + IF(and(ISNUMBER(F39), isnumber(G39)), 1, 0) + IF(and(ISNUMBER(H39), isnumber(I39)), 1, 0) + IF(and(ISNUMBER(J39), isnumber(K39)), 1, 0) + IF(and(ISNUMBER(L39), isnumber(M39)), 1, 0) + IF(and(ISNUMBER(N39), isnumber(O39)), 1, 0)</f>
      </c>
      <c r="U39" s="8">
        <f>IF(and(ISNUMBER(P39), isnumber(Q39)), 1, 0) + IF(and(ISNUMBER(R39), isnumber(S39)), 1, 0)</f>
      </c>
      <c r="V39" s="13"/>
      <c r="W39" s="13"/>
      <c r="X39" s="16"/>
    </row>
    <row x14ac:dyDescent="0.25" r="40" customHeight="1" ht="15.75">
      <c r="A40" s="8">
        <v>25323</v>
      </c>
      <c r="B40" s="13" t="s">
        <v>27</v>
      </c>
      <c r="C40" s="13" t="s">
        <v>4204</v>
      </c>
      <c r="D40" s="10">
        <v>0.9459</v>
      </c>
      <c r="E40" s="11">
        <v>221.66</v>
      </c>
      <c r="F40" s="10">
        <v>0.6688</v>
      </c>
      <c r="G40" s="11">
        <v>418.06</v>
      </c>
      <c r="H40" s="10">
        <v>0.9777</v>
      </c>
      <c r="I40" s="11">
        <v>133.69</v>
      </c>
      <c r="J40" s="10">
        <v>0.8758</v>
      </c>
      <c r="K40" s="11">
        <v>48</v>
      </c>
      <c r="L40" s="10">
        <v>0.9936</v>
      </c>
      <c r="M40" s="11">
        <v>111.9</v>
      </c>
      <c r="N40" s="10">
        <v>0</v>
      </c>
      <c r="O40" s="11" t="s">
        <v>7127</v>
      </c>
      <c r="P40" s="10">
        <v>0.9459</v>
      </c>
      <c r="Q40" s="10">
        <v>0.2126</v>
      </c>
      <c r="R40" s="10">
        <v>0.8758</v>
      </c>
      <c r="S40" s="10">
        <v>0.1163</v>
      </c>
      <c r="T40" s="8">
        <f>IF(and(ISNUMBER(D40), isnumber(E40)), 1, 0) + IF(and(ISNUMBER(F40), isnumber(G40)), 1, 0) + IF(and(ISNUMBER(H40), isnumber(I40)), 1, 0) + IF(and(ISNUMBER(J40), isnumber(K40)), 1, 0) + IF(and(ISNUMBER(L40), isnumber(M40)), 1, 0) + IF(and(ISNUMBER(N40), isnumber(O40)), 1, 0)</f>
      </c>
      <c r="U40" s="8">
        <f>IF(and(ISNUMBER(P40), isnumber(Q40)), 1, 0) + IF(and(ISNUMBER(R40), isnumber(S40)), 1, 0)</f>
      </c>
      <c r="V40" s="13"/>
      <c r="W40" s="13"/>
      <c r="X40" s="16"/>
    </row>
    <row x14ac:dyDescent="0.25" r="41" customHeight="1" ht="15.75">
      <c r="A41" s="8">
        <v>25290</v>
      </c>
      <c r="B41" s="13" t="s">
        <v>27</v>
      </c>
      <c r="C41" s="13" t="s">
        <v>4207</v>
      </c>
      <c r="D41" s="10">
        <v>0.6198</v>
      </c>
      <c r="E41" s="11">
        <v>292.44</v>
      </c>
      <c r="F41" s="10">
        <v>0.4215</v>
      </c>
      <c r="G41" s="11" t="s">
        <v>7127</v>
      </c>
      <c r="H41" s="10">
        <v>0.3202</v>
      </c>
      <c r="I41" s="11">
        <v>397.89</v>
      </c>
      <c r="J41" s="10">
        <v>0.5714</v>
      </c>
      <c r="K41" s="11">
        <v>228</v>
      </c>
      <c r="L41" s="10">
        <v>0</v>
      </c>
      <c r="M41" s="11" t="s">
        <v>7127</v>
      </c>
      <c r="N41" s="10">
        <v>0</v>
      </c>
      <c r="O41" s="11" t="s">
        <v>7127</v>
      </c>
      <c r="P41" s="10">
        <v>0.6198</v>
      </c>
      <c r="Q41" s="10">
        <v>0.2281</v>
      </c>
      <c r="R41" s="10">
        <v>0.5714</v>
      </c>
      <c r="S41" s="10">
        <v>0.1681</v>
      </c>
      <c r="T41" s="8">
        <f>IF(and(ISNUMBER(D41), isnumber(E41)), 1, 0) + IF(and(ISNUMBER(F41), isnumber(G41)), 1, 0) + IF(and(ISNUMBER(H41), isnumber(I41)), 1, 0) + IF(and(ISNUMBER(J41), isnumber(K41)), 1, 0) + IF(and(ISNUMBER(L41), isnumber(M41)), 1, 0) + IF(and(ISNUMBER(N41), isnumber(O41)), 1, 0)</f>
      </c>
      <c r="U41" s="8">
        <f>IF(and(ISNUMBER(P41), isnumber(Q41)), 1, 0) + IF(and(ISNUMBER(R41), isnumber(S41)), 1, 0)</f>
      </c>
      <c r="V41" s="13"/>
      <c r="W41" s="13"/>
      <c r="X41" s="16"/>
    </row>
    <row x14ac:dyDescent="0.25" r="42" customHeight="1" ht="15.75">
      <c r="A42" s="8">
        <v>25291</v>
      </c>
      <c r="B42" s="13" t="s">
        <v>27</v>
      </c>
      <c r="C42" s="13" t="s">
        <v>4211</v>
      </c>
      <c r="D42" s="10">
        <v>0.5973</v>
      </c>
      <c r="E42" s="11">
        <v>184.91</v>
      </c>
      <c r="F42" s="10">
        <v>0.6416</v>
      </c>
      <c r="G42" s="11">
        <v>303.1</v>
      </c>
      <c r="H42" s="10">
        <v>0.556</v>
      </c>
      <c r="I42" s="11">
        <v>392.76</v>
      </c>
      <c r="J42" s="10">
        <v>0.4807</v>
      </c>
      <c r="K42" s="11">
        <v>280.96</v>
      </c>
      <c r="L42" s="10">
        <v>0.5328</v>
      </c>
      <c r="M42" s="11">
        <v>387.11</v>
      </c>
      <c r="N42" s="10">
        <v>0.5174</v>
      </c>
      <c r="O42" s="11">
        <v>362.63</v>
      </c>
      <c r="P42" s="10">
        <v>0.5973</v>
      </c>
      <c r="Q42" s="10">
        <v>0.2289</v>
      </c>
      <c r="R42" s="10">
        <v>0.4807</v>
      </c>
      <c r="S42" s="10">
        <v>0.1971</v>
      </c>
      <c r="T42" s="8">
        <f>IF(and(ISNUMBER(D42), isnumber(E42)), 1, 0) + IF(and(ISNUMBER(F42), isnumber(G42)), 1, 0) + IF(and(ISNUMBER(H42), isnumber(I42)), 1, 0) + IF(and(ISNUMBER(J42), isnumber(K42)), 1, 0) + IF(and(ISNUMBER(L42), isnumber(M42)), 1, 0) + IF(and(ISNUMBER(N42), isnumber(O42)), 1, 0)</f>
      </c>
      <c r="U42" s="8">
        <f>IF(and(ISNUMBER(P42), isnumber(Q42)), 1, 0) + IF(and(ISNUMBER(R42), isnumber(S42)), 1, 0)</f>
      </c>
      <c r="V42" s="13"/>
      <c r="W42" s="13"/>
      <c r="X42" s="16"/>
    </row>
    <row x14ac:dyDescent="0.25" r="43" customHeight="1" ht="15.75">
      <c r="A43" s="8">
        <v>25292</v>
      </c>
      <c r="B43" s="13" t="s">
        <v>27</v>
      </c>
      <c r="C43" s="13" t="s">
        <v>4216</v>
      </c>
      <c r="D43" s="10">
        <v>0.7853</v>
      </c>
      <c r="E43" s="11">
        <v>386.34</v>
      </c>
      <c r="F43" s="10">
        <v>0.5951</v>
      </c>
      <c r="G43" s="11">
        <v>465.98</v>
      </c>
      <c r="H43" s="10">
        <v>0.6012</v>
      </c>
      <c r="I43" s="11">
        <v>464.33</v>
      </c>
      <c r="J43" s="10">
        <v>0.6748</v>
      </c>
      <c r="K43" s="11">
        <v>405.48</v>
      </c>
      <c r="L43" s="10">
        <v>0.2301</v>
      </c>
      <c r="M43" s="11">
        <v>273.6</v>
      </c>
      <c r="N43" s="10">
        <v>0.0061</v>
      </c>
      <c r="O43" s="11">
        <v>520</v>
      </c>
      <c r="P43" s="10">
        <v>0.7853</v>
      </c>
      <c r="Q43" s="10">
        <v>0.2707</v>
      </c>
      <c r="R43" s="10">
        <v>0.6748</v>
      </c>
      <c r="S43" s="10">
        <v>0.201</v>
      </c>
      <c r="T43" s="8">
        <f>IF(and(ISNUMBER(D43), isnumber(E43)), 1, 0) + IF(and(ISNUMBER(F43), isnumber(G43)), 1, 0) + IF(and(ISNUMBER(H43), isnumber(I43)), 1, 0) + IF(and(ISNUMBER(J43), isnumber(K43)), 1, 0) + IF(and(ISNUMBER(L43), isnumber(M43)), 1, 0) + IF(and(ISNUMBER(N43), isnumber(O43)), 1, 0)</f>
      </c>
      <c r="U43" s="8">
        <f>IF(and(ISNUMBER(P43), isnumber(Q43)), 1, 0) + IF(and(ISNUMBER(R43), isnumber(S43)), 1, 0)</f>
      </c>
      <c r="V43" s="13"/>
      <c r="W43" s="13"/>
      <c r="X43" s="16"/>
    </row>
    <row x14ac:dyDescent="0.25" r="44" customHeight="1" ht="15.75">
      <c r="A44" s="8">
        <v>25293</v>
      </c>
      <c r="B44" s="13" t="s">
        <v>27</v>
      </c>
      <c r="C44" s="13" t="s">
        <v>4220</v>
      </c>
      <c r="D44" s="10">
        <v>0.6333</v>
      </c>
      <c r="E44" s="11">
        <v>133.29</v>
      </c>
      <c r="F44" s="10">
        <v>0.5</v>
      </c>
      <c r="G44" s="11" t="s">
        <v>7127</v>
      </c>
      <c r="H44" s="10">
        <v>0.3766</v>
      </c>
      <c r="I44" s="11">
        <v>336.56</v>
      </c>
      <c r="J44" s="10">
        <v>0.3134</v>
      </c>
      <c r="K44" s="11">
        <v>243.36</v>
      </c>
      <c r="L44" s="10">
        <v>0.4286</v>
      </c>
      <c r="M44" s="11">
        <v>240</v>
      </c>
      <c r="N44" s="10">
        <v>0.3896</v>
      </c>
      <c r="O44" s="11">
        <v>258.67</v>
      </c>
      <c r="P44" s="10">
        <v>0.6333</v>
      </c>
      <c r="Q44" s="10">
        <v>0.2069</v>
      </c>
      <c r="R44" s="10">
        <v>0.3134</v>
      </c>
      <c r="S44" s="10">
        <v>0.1861</v>
      </c>
      <c r="T44" s="8">
        <f>IF(and(ISNUMBER(D44), isnumber(E44)), 1, 0) + IF(and(ISNUMBER(F44), isnumber(G44)), 1, 0) + IF(and(ISNUMBER(H44), isnumber(I44)), 1, 0) + IF(and(ISNUMBER(J44), isnumber(K44)), 1, 0) + IF(and(ISNUMBER(L44), isnumber(M44)), 1, 0) + IF(and(ISNUMBER(N44), isnumber(O44)), 1, 0)</f>
      </c>
      <c r="U44" s="8">
        <f>IF(and(ISNUMBER(P44), isnumber(Q44)), 1, 0) + IF(and(ISNUMBER(R44), isnumber(S44)), 1, 0)</f>
      </c>
      <c r="V44" s="13"/>
      <c r="W44" s="13"/>
      <c r="X44" s="16"/>
    </row>
    <row x14ac:dyDescent="0.25" r="45" customHeight="1" ht="15.75">
      <c r="A45" s="8">
        <v>25294</v>
      </c>
      <c r="B45" s="13" t="s">
        <v>27</v>
      </c>
      <c r="C45" s="13" t="s">
        <v>4224</v>
      </c>
      <c r="D45" s="10">
        <v>1</v>
      </c>
      <c r="E45" s="11">
        <v>537.69</v>
      </c>
      <c r="F45" s="10">
        <v>0</v>
      </c>
      <c r="G45" s="11" t="s">
        <v>7127</v>
      </c>
      <c r="H45" s="10">
        <v>0.7103</v>
      </c>
      <c r="I45" s="11">
        <v>531.05</v>
      </c>
      <c r="J45" s="10">
        <v>0.7757</v>
      </c>
      <c r="K45" s="11">
        <v>454.63</v>
      </c>
      <c r="L45" s="10">
        <v>0</v>
      </c>
      <c r="M45" s="11" t="s">
        <v>7127</v>
      </c>
      <c r="N45" s="10">
        <v>0.0093</v>
      </c>
      <c r="O45" s="11">
        <v>560</v>
      </c>
      <c r="P45" s="10">
        <v>1</v>
      </c>
      <c r="Q45" s="10">
        <v>0.3222</v>
      </c>
      <c r="R45" s="10">
        <v>0.7757</v>
      </c>
      <c r="S45" s="10">
        <v>0.2568</v>
      </c>
      <c r="T45" s="8">
        <f>IF(and(ISNUMBER(D45), isnumber(E45)), 1, 0) + IF(and(ISNUMBER(F45), isnumber(G45)), 1, 0) + IF(and(ISNUMBER(H45), isnumber(I45)), 1, 0) + IF(and(ISNUMBER(J45), isnumber(K45)), 1, 0) + IF(and(ISNUMBER(L45), isnumber(M45)), 1, 0) + IF(and(ISNUMBER(N45), isnumber(O45)), 1, 0)</f>
      </c>
      <c r="U45" s="8">
        <f>IF(and(ISNUMBER(P45), isnumber(Q45)), 1, 0) + IF(and(ISNUMBER(R45), isnumber(S45)), 1, 0)</f>
      </c>
      <c r="V45" s="13"/>
      <c r="W45" s="13"/>
      <c r="X45" s="16"/>
    </row>
    <row x14ac:dyDescent="0.25" r="46" customHeight="1" ht="15.75">
      <c r="A46" s="8">
        <v>25295</v>
      </c>
      <c r="B46" s="13" t="s">
        <v>27</v>
      </c>
      <c r="C46" s="13" t="s">
        <v>7425</v>
      </c>
      <c r="D46" s="10">
        <v>0.9231</v>
      </c>
      <c r="E46" s="11">
        <v>200</v>
      </c>
      <c r="F46" s="10">
        <v>0.5385</v>
      </c>
      <c r="G46" s="11">
        <v>434.29</v>
      </c>
      <c r="H46" s="10">
        <v>0.6923</v>
      </c>
      <c r="I46" s="11">
        <v>485</v>
      </c>
      <c r="J46" s="10" t="s">
        <v>7127</v>
      </c>
      <c r="K46" s="11" t="s">
        <v>7127</v>
      </c>
      <c r="L46" s="10">
        <v>0</v>
      </c>
      <c r="M46" s="11" t="s">
        <v>7127</v>
      </c>
      <c r="N46" s="10">
        <v>0</v>
      </c>
      <c r="O46" s="11" t="s">
        <v>7127</v>
      </c>
      <c r="P46" s="10">
        <v>0.9231</v>
      </c>
      <c r="Q46" s="10">
        <v>0.271</v>
      </c>
      <c r="R46" s="10" t="s">
        <v>7127</v>
      </c>
      <c r="S46" s="10">
        <v>0.1944</v>
      </c>
      <c r="T46" s="8">
        <f>IF(and(ISNUMBER(D46), isnumber(E46)), 1, 0) + IF(and(ISNUMBER(F46), isnumber(G46)), 1, 0) + IF(and(ISNUMBER(H46), isnumber(I46)), 1, 0) + IF(and(ISNUMBER(J46), isnumber(K46)), 1, 0) + IF(and(ISNUMBER(L46), isnumber(M46)), 1, 0) + IF(and(ISNUMBER(N46), isnumber(O46)), 1, 0)</f>
      </c>
      <c r="U46" s="8">
        <f>IF(and(ISNUMBER(P46), isnumber(Q46)), 1, 0) + IF(and(ISNUMBER(R46), isnumber(S46)), 1, 0)</f>
      </c>
      <c r="V46" s="13"/>
      <c r="W46" s="13"/>
      <c r="X46" s="16"/>
    </row>
    <row x14ac:dyDescent="0.25" r="47" customHeight="1" ht="15.75">
      <c r="A47" s="8">
        <v>25251</v>
      </c>
      <c r="B47" s="13" t="s">
        <v>27</v>
      </c>
      <c r="C47" s="13" t="s">
        <v>4228</v>
      </c>
      <c r="D47" s="10">
        <v>0.5929</v>
      </c>
      <c r="E47" s="11">
        <v>262.03</v>
      </c>
      <c r="F47" s="10">
        <v>0.4779</v>
      </c>
      <c r="G47" s="11">
        <v>421.42</v>
      </c>
      <c r="H47" s="10">
        <v>0.1716</v>
      </c>
      <c r="I47" s="11">
        <v>390.47</v>
      </c>
      <c r="J47" s="10">
        <v>0.5037</v>
      </c>
      <c r="K47" s="11">
        <v>182.28</v>
      </c>
      <c r="L47" s="10">
        <v>0.3284</v>
      </c>
      <c r="M47" s="11">
        <v>410.38</v>
      </c>
      <c r="N47" s="10">
        <v>0.2486</v>
      </c>
      <c r="O47" s="11">
        <v>407.11</v>
      </c>
      <c r="P47" s="10">
        <v>0.5929</v>
      </c>
      <c r="Q47" s="10">
        <v>0.2288</v>
      </c>
      <c r="R47" s="10">
        <v>0.5037</v>
      </c>
      <c r="S47" s="10">
        <v>0.1885</v>
      </c>
      <c r="T47" s="8">
        <f>IF(and(ISNUMBER(D47), isnumber(E47)), 1, 0) + IF(and(ISNUMBER(F47), isnumber(G47)), 1, 0) + IF(and(ISNUMBER(H47), isnumber(I47)), 1, 0) + IF(and(ISNUMBER(J47), isnumber(K47)), 1, 0) + IF(and(ISNUMBER(L47), isnumber(M47)), 1, 0) + IF(and(ISNUMBER(N47), isnumber(O47)), 1, 0)</f>
      </c>
      <c r="U47" s="8">
        <f>IF(and(ISNUMBER(P47), isnumber(Q47)), 1, 0) + IF(and(ISNUMBER(R47), isnumber(S47)), 1, 0)</f>
      </c>
      <c r="V47" s="13"/>
      <c r="W47" s="13"/>
      <c r="X47" s="16"/>
    </row>
    <row x14ac:dyDescent="0.25" r="48" customHeight="1" ht="15.75">
      <c r="A48" s="8">
        <v>25296</v>
      </c>
      <c r="B48" s="13" t="s">
        <v>27</v>
      </c>
      <c r="C48" s="13" t="s">
        <v>4232</v>
      </c>
      <c r="D48" s="10">
        <v>0.7232</v>
      </c>
      <c r="E48" s="11">
        <v>145.67</v>
      </c>
      <c r="F48" s="10">
        <v>0.6786</v>
      </c>
      <c r="G48" s="11">
        <v>294.73</v>
      </c>
      <c r="H48" s="10">
        <v>0.351</v>
      </c>
      <c r="I48" s="11">
        <v>334.34</v>
      </c>
      <c r="J48" s="10">
        <v>0.5906</v>
      </c>
      <c r="K48" s="11">
        <v>142.52</v>
      </c>
      <c r="L48" s="10">
        <v>0</v>
      </c>
      <c r="M48" s="11" t="s">
        <v>7127</v>
      </c>
      <c r="N48" s="10">
        <v>0.5232</v>
      </c>
      <c r="O48" s="11">
        <v>405.46</v>
      </c>
      <c r="P48" s="10">
        <v>0.7232</v>
      </c>
      <c r="Q48" s="10">
        <v>0.1861</v>
      </c>
      <c r="R48" s="10">
        <v>0.5906</v>
      </c>
      <c r="S48" s="10">
        <v>0.1697</v>
      </c>
      <c r="T48" s="8">
        <f>IF(and(ISNUMBER(D48), isnumber(E48)), 1, 0) + IF(and(ISNUMBER(F48), isnumber(G48)), 1, 0) + IF(and(ISNUMBER(H48), isnumber(I48)), 1, 0) + IF(and(ISNUMBER(J48), isnumber(K48)), 1, 0) + IF(and(ISNUMBER(L48), isnumber(M48)), 1, 0) + IF(and(ISNUMBER(N48), isnumber(O48)), 1, 0)</f>
      </c>
      <c r="U48" s="8">
        <f>IF(and(ISNUMBER(P48), isnumber(Q48)), 1, 0) + IF(and(ISNUMBER(R48), isnumber(S48)), 1, 0)</f>
      </c>
      <c r="V48" s="13"/>
      <c r="W48" s="13"/>
      <c r="X48" s="16"/>
    </row>
    <row x14ac:dyDescent="0.25" r="49" customHeight="1" ht="15.75">
      <c r="A49" s="8">
        <v>25324</v>
      </c>
      <c r="B49" s="13" t="s">
        <v>27</v>
      </c>
      <c r="C49" s="13" t="s">
        <v>4236</v>
      </c>
      <c r="D49" s="10">
        <v>0.8571</v>
      </c>
      <c r="E49" s="11">
        <v>312.45</v>
      </c>
      <c r="F49" s="10">
        <v>0.6161</v>
      </c>
      <c r="G49" s="11">
        <v>424.34</v>
      </c>
      <c r="H49" s="10">
        <v>0.4874</v>
      </c>
      <c r="I49" s="11">
        <v>460.19</v>
      </c>
      <c r="J49" s="10">
        <v>0.6522</v>
      </c>
      <c r="K49" s="11">
        <v>317.97</v>
      </c>
      <c r="L49" s="10">
        <v>0.0168</v>
      </c>
      <c r="M49" s="11" t="s">
        <v>7127</v>
      </c>
      <c r="N49" s="10">
        <v>0.5042</v>
      </c>
      <c r="O49" s="11">
        <v>378.67</v>
      </c>
      <c r="P49" s="10">
        <v>0.8571</v>
      </c>
      <c r="Q49" s="10">
        <v>0.2037</v>
      </c>
      <c r="R49" s="10">
        <v>0.6522</v>
      </c>
      <c r="S49" s="10">
        <v>0.1987</v>
      </c>
      <c r="T49" s="8">
        <f>IF(and(ISNUMBER(D49), isnumber(E49)), 1, 0) + IF(and(ISNUMBER(F49), isnumber(G49)), 1, 0) + IF(and(ISNUMBER(H49), isnumber(I49)), 1, 0) + IF(and(ISNUMBER(J49), isnumber(K49)), 1, 0) + IF(and(ISNUMBER(L49), isnumber(M49)), 1, 0) + IF(and(ISNUMBER(N49), isnumber(O49)), 1, 0)</f>
      </c>
      <c r="U49" s="8">
        <f>IF(and(ISNUMBER(P49), isnumber(Q49)), 1, 0) + IF(and(ISNUMBER(R49), isnumber(S49)), 1, 0)</f>
      </c>
      <c r="V49" s="13"/>
      <c r="W49" s="13"/>
      <c r="X49" s="16"/>
    </row>
    <row x14ac:dyDescent="0.25" r="50" customHeight="1" ht="15.75">
      <c r="A50" s="8">
        <v>25331</v>
      </c>
      <c r="B50" s="13" t="s">
        <v>27</v>
      </c>
      <c r="C50" s="13" t="s">
        <v>4238</v>
      </c>
      <c r="D50" s="10">
        <v>0.8218</v>
      </c>
      <c r="E50" s="11">
        <v>290.76</v>
      </c>
      <c r="F50" s="10">
        <v>0.8255</v>
      </c>
      <c r="G50" s="11">
        <v>341.96</v>
      </c>
      <c r="H50" s="10">
        <v>0.6909</v>
      </c>
      <c r="I50" s="11">
        <v>423.66</v>
      </c>
      <c r="J50" s="10">
        <v>0.6982</v>
      </c>
      <c r="K50" s="11">
        <v>366.88</v>
      </c>
      <c r="L50" s="10">
        <v>0.6509</v>
      </c>
      <c r="M50" s="11">
        <v>413.41</v>
      </c>
      <c r="N50" s="10">
        <v>0.6473</v>
      </c>
      <c r="O50" s="11">
        <v>390.45</v>
      </c>
      <c r="P50" s="10">
        <v>0.8218</v>
      </c>
      <c r="Q50" s="10">
        <v>0.2096</v>
      </c>
      <c r="R50" s="10">
        <v>0.6982</v>
      </c>
      <c r="S50" s="10">
        <v>0.2057</v>
      </c>
      <c r="T50" s="8">
        <f>IF(and(ISNUMBER(D50), isnumber(E50)), 1, 0) + IF(and(ISNUMBER(F50), isnumber(G50)), 1, 0) + IF(and(ISNUMBER(H50), isnumber(I50)), 1, 0) + IF(and(ISNUMBER(J50), isnumber(K50)), 1, 0) + IF(and(ISNUMBER(L50), isnumber(M50)), 1, 0) + IF(and(ISNUMBER(N50), isnumber(O50)), 1, 0)</f>
      </c>
      <c r="U50" s="8">
        <f>IF(and(ISNUMBER(P50), isnumber(Q50)), 1, 0) + IF(and(ISNUMBER(R50), isnumber(S50)), 1, 0)</f>
      </c>
      <c r="V50" s="13"/>
      <c r="W50" s="13"/>
      <c r="X50" s="16"/>
    </row>
    <row x14ac:dyDescent="0.25" r="51" customHeight="1" ht="15.75">
      <c r="A51" s="8">
        <v>25332</v>
      </c>
      <c r="B51" s="13" t="s">
        <v>27</v>
      </c>
      <c r="C51" s="13" t="s">
        <v>4242</v>
      </c>
      <c r="D51" s="10">
        <v>0.7994</v>
      </c>
      <c r="E51" s="11">
        <v>298.18</v>
      </c>
      <c r="F51" s="10">
        <v>0.5269</v>
      </c>
      <c r="G51" s="11">
        <v>401.15</v>
      </c>
      <c r="H51" s="10">
        <v>0.7126</v>
      </c>
      <c r="I51" s="11">
        <v>402.36</v>
      </c>
      <c r="J51" s="10">
        <v>0.6467</v>
      </c>
      <c r="K51" s="11">
        <v>325.86</v>
      </c>
      <c r="L51" s="10">
        <v>0.6497</v>
      </c>
      <c r="M51" s="11">
        <v>365.74</v>
      </c>
      <c r="N51" s="10">
        <v>0.009</v>
      </c>
      <c r="O51" s="11">
        <v>453.33</v>
      </c>
      <c r="P51" s="10">
        <v>0.7994</v>
      </c>
      <c r="Q51" s="10">
        <v>0.2834</v>
      </c>
      <c r="R51" s="10">
        <v>0.6467</v>
      </c>
      <c r="S51" s="10">
        <v>0.2024</v>
      </c>
      <c r="T51" s="8">
        <f>IF(and(ISNUMBER(D51), isnumber(E51)), 1, 0) + IF(and(ISNUMBER(F51), isnumber(G51)), 1, 0) + IF(and(ISNUMBER(H51), isnumber(I51)), 1, 0) + IF(and(ISNUMBER(J51), isnumber(K51)), 1, 0) + IF(and(ISNUMBER(L51), isnumber(M51)), 1, 0) + IF(and(ISNUMBER(N51), isnumber(O51)), 1, 0)</f>
      </c>
      <c r="U51" s="8">
        <f>IF(and(ISNUMBER(P51), isnumber(Q51)), 1, 0) + IF(and(ISNUMBER(R51), isnumber(S51)), 1, 0)</f>
      </c>
      <c r="V51" s="13"/>
      <c r="W51" s="13"/>
      <c r="X51" s="16"/>
    </row>
    <row x14ac:dyDescent="0.25" r="52" customHeight="1" ht="15.75">
      <c r="A52" s="8">
        <v>25297</v>
      </c>
      <c r="B52" s="13" t="s">
        <v>27</v>
      </c>
      <c r="C52" s="13" t="s">
        <v>4246</v>
      </c>
      <c r="D52" s="10">
        <v>0.7119</v>
      </c>
      <c r="E52" s="11">
        <v>155.7</v>
      </c>
      <c r="F52" s="10">
        <v>0.5828</v>
      </c>
      <c r="G52" s="11">
        <v>314.72</v>
      </c>
      <c r="H52" s="10">
        <v>0.6556</v>
      </c>
      <c r="I52" s="11">
        <v>251.81</v>
      </c>
      <c r="J52" s="10">
        <v>0.5</v>
      </c>
      <c r="K52" s="11">
        <v>117.99</v>
      </c>
      <c r="L52" s="10">
        <v>0.543</v>
      </c>
      <c r="M52" s="11">
        <v>189.68</v>
      </c>
      <c r="N52" s="10">
        <v>0.5</v>
      </c>
      <c r="O52" s="11">
        <v>286.49</v>
      </c>
      <c r="P52" s="10">
        <v>0.7119</v>
      </c>
      <c r="Q52" s="10">
        <v>0.2272</v>
      </c>
      <c r="R52" s="10">
        <v>0.5</v>
      </c>
      <c r="S52" s="10">
        <v>0.1982</v>
      </c>
      <c r="T52" s="8">
        <f>IF(and(ISNUMBER(D52), isnumber(E52)), 1, 0) + IF(and(ISNUMBER(F52), isnumber(G52)), 1, 0) + IF(and(ISNUMBER(H52), isnumber(I52)), 1, 0) + IF(and(ISNUMBER(J52), isnumber(K52)), 1, 0) + IF(and(ISNUMBER(L52), isnumber(M52)), 1, 0) + IF(and(ISNUMBER(N52), isnumber(O52)), 1, 0)</f>
      </c>
      <c r="U52" s="8">
        <f>IF(and(ISNUMBER(P52), isnumber(Q52)), 1, 0) + IF(and(ISNUMBER(R52), isnumber(S52)), 1, 0)</f>
      </c>
      <c r="V52" s="13"/>
      <c r="W52" s="13"/>
      <c r="X52" s="16"/>
    </row>
    <row x14ac:dyDescent="0.25" r="53" customHeight="1" ht="15.75">
      <c r="A53" s="8">
        <v>25298</v>
      </c>
      <c r="B53" s="13" t="s">
        <v>27</v>
      </c>
      <c r="C53" s="13" t="s">
        <v>4250</v>
      </c>
      <c r="D53" s="10">
        <v>0.9</v>
      </c>
      <c r="E53" s="11">
        <v>359.37</v>
      </c>
      <c r="F53" s="10">
        <v>0.7111</v>
      </c>
      <c r="G53" s="11">
        <v>368.25</v>
      </c>
      <c r="H53" s="10">
        <v>0.6667</v>
      </c>
      <c r="I53" s="11">
        <v>430.67</v>
      </c>
      <c r="J53" s="10">
        <v>0.6889</v>
      </c>
      <c r="K53" s="11">
        <v>448</v>
      </c>
      <c r="L53" s="10">
        <v>0.5556</v>
      </c>
      <c r="M53" s="11">
        <v>420</v>
      </c>
      <c r="N53" s="10">
        <v>0</v>
      </c>
      <c r="O53" s="11" t="s">
        <v>7127</v>
      </c>
      <c r="P53" s="10">
        <v>0.9</v>
      </c>
      <c r="Q53" s="10">
        <v>0.2627</v>
      </c>
      <c r="R53" s="10">
        <v>0.6889</v>
      </c>
      <c r="S53" s="10">
        <v>0.2162</v>
      </c>
      <c r="T53" s="8">
        <f>IF(and(ISNUMBER(D53), isnumber(E53)), 1, 0) + IF(and(ISNUMBER(F53), isnumber(G53)), 1, 0) + IF(and(ISNUMBER(H53), isnumber(I53)), 1, 0) + IF(and(ISNUMBER(J53), isnumber(K53)), 1, 0) + IF(and(ISNUMBER(L53), isnumber(M53)), 1, 0) + IF(and(ISNUMBER(N53), isnumber(O53)), 1, 0)</f>
      </c>
      <c r="U53" s="8">
        <f>IF(and(ISNUMBER(P53), isnumber(Q53)), 1, 0) + IF(and(ISNUMBER(R53), isnumber(S53)), 1, 0)</f>
      </c>
      <c r="V53" s="13"/>
      <c r="W53" s="13"/>
      <c r="X53" s="16"/>
    </row>
    <row x14ac:dyDescent="0.25" r="54" customHeight="1" ht="15.75">
      <c r="A54" s="8">
        <v>25252</v>
      </c>
      <c r="B54" s="13" t="s">
        <v>27</v>
      </c>
      <c r="C54" s="13" t="s">
        <v>4253</v>
      </c>
      <c r="D54" s="10">
        <v>0.9118</v>
      </c>
      <c r="E54" s="11">
        <v>368.6</v>
      </c>
      <c r="F54" s="10">
        <v>0.6765</v>
      </c>
      <c r="G54" s="11">
        <v>432.35</v>
      </c>
      <c r="H54" s="10">
        <v>0.7451</v>
      </c>
      <c r="I54" s="11">
        <v>468.27</v>
      </c>
      <c r="J54" s="10">
        <v>0.6078</v>
      </c>
      <c r="K54" s="11">
        <v>434.51</v>
      </c>
      <c r="L54" s="10">
        <v>0.7157</v>
      </c>
      <c r="M54" s="11">
        <v>436.11</v>
      </c>
      <c r="N54" s="10">
        <v>0.0098</v>
      </c>
      <c r="O54" s="11">
        <v>200</v>
      </c>
      <c r="P54" s="10">
        <v>0.9118</v>
      </c>
      <c r="Q54" s="10">
        <v>0.2623</v>
      </c>
      <c r="R54" s="10">
        <v>0.6078</v>
      </c>
      <c r="S54" s="10">
        <v>0.1988</v>
      </c>
      <c r="T54" s="8">
        <f>IF(and(ISNUMBER(D54), isnumber(E54)), 1, 0) + IF(and(ISNUMBER(F54), isnumber(G54)), 1, 0) + IF(and(ISNUMBER(H54), isnumber(I54)), 1, 0) + IF(and(ISNUMBER(J54), isnumber(K54)), 1, 0) + IF(and(ISNUMBER(L54), isnumber(M54)), 1, 0) + IF(and(ISNUMBER(N54), isnumber(O54)), 1, 0)</f>
      </c>
      <c r="U54" s="8">
        <f>IF(and(ISNUMBER(P54), isnumber(Q54)), 1, 0) + IF(and(ISNUMBER(R54), isnumber(S54)), 1, 0)</f>
      </c>
      <c r="V54" s="13"/>
      <c r="W54" s="13"/>
      <c r="X54" s="16"/>
    </row>
    <row x14ac:dyDescent="0.25" r="55" customHeight="1" ht="15.75">
      <c r="A55" s="8">
        <v>25253</v>
      </c>
      <c r="B55" s="13" t="s">
        <v>27</v>
      </c>
      <c r="C55" s="13" t="s">
        <v>4258</v>
      </c>
      <c r="D55" s="10">
        <v>0.8462</v>
      </c>
      <c r="E55" s="11">
        <v>86.67</v>
      </c>
      <c r="F55" s="10">
        <v>0.6923</v>
      </c>
      <c r="G55" s="11">
        <v>272.89</v>
      </c>
      <c r="H55" s="10">
        <v>0.5385</v>
      </c>
      <c r="I55" s="11">
        <v>374.86</v>
      </c>
      <c r="J55" s="10">
        <v>0.5846</v>
      </c>
      <c r="K55" s="11">
        <v>166.32</v>
      </c>
      <c r="L55" s="10">
        <v>0</v>
      </c>
      <c r="M55" s="11" t="s">
        <v>7127</v>
      </c>
      <c r="N55" s="10">
        <v>0</v>
      </c>
      <c r="O55" s="11" t="s">
        <v>7127</v>
      </c>
      <c r="P55" s="10">
        <v>0.8462</v>
      </c>
      <c r="Q55" s="10">
        <v>0.2324</v>
      </c>
      <c r="R55" s="10">
        <v>0.5846</v>
      </c>
      <c r="S55" s="10">
        <v>0.1892</v>
      </c>
      <c r="T55" s="8">
        <f>IF(and(ISNUMBER(D55), isnumber(E55)), 1, 0) + IF(and(ISNUMBER(F55), isnumber(G55)), 1, 0) + IF(and(ISNUMBER(H55), isnumber(I55)), 1, 0) + IF(and(ISNUMBER(J55), isnumber(K55)), 1, 0) + IF(and(ISNUMBER(L55), isnumber(M55)), 1, 0) + IF(and(ISNUMBER(N55), isnumber(O55)), 1, 0)</f>
      </c>
      <c r="U55" s="8">
        <f>IF(and(ISNUMBER(P55), isnumber(Q55)), 1, 0) + IF(and(ISNUMBER(R55), isnumber(S55)), 1, 0)</f>
      </c>
      <c r="V55" s="13"/>
      <c r="W55" s="13"/>
      <c r="X55" s="16"/>
    </row>
    <row x14ac:dyDescent="0.25" r="56" customHeight="1" ht="15.75">
      <c r="A56" s="8">
        <v>25269</v>
      </c>
      <c r="B56" s="13" t="s">
        <v>27</v>
      </c>
      <c r="C56" s="13" t="s">
        <v>4261</v>
      </c>
      <c r="D56" s="10">
        <v>0.1707</v>
      </c>
      <c r="E56" s="11">
        <v>245.85</v>
      </c>
      <c r="F56" s="10">
        <v>0.4404</v>
      </c>
      <c r="G56" s="11" t="s">
        <v>7127</v>
      </c>
      <c r="H56" s="10">
        <v>0.4985</v>
      </c>
      <c r="I56" s="11" t="s">
        <v>7127</v>
      </c>
      <c r="J56" s="10">
        <v>0.4253</v>
      </c>
      <c r="K56" s="11">
        <v>116.07</v>
      </c>
      <c r="L56" s="10">
        <v>0.4434</v>
      </c>
      <c r="M56" s="11">
        <v>345.41</v>
      </c>
      <c r="N56" s="10">
        <v>0.0039</v>
      </c>
      <c r="O56" s="11" t="s">
        <v>7127</v>
      </c>
      <c r="P56" s="10">
        <v>0.1707</v>
      </c>
      <c r="Q56" s="10">
        <v>0.2396</v>
      </c>
      <c r="R56" s="10">
        <v>0.4253</v>
      </c>
      <c r="S56" s="10">
        <v>0.1777</v>
      </c>
      <c r="T56" s="8">
        <f>IF(and(ISNUMBER(D56), isnumber(E56)), 1, 0) + IF(and(ISNUMBER(F56), isnumber(G56)), 1, 0) + IF(and(ISNUMBER(H56), isnumber(I56)), 1, 0) + IF(and(ISNUMBER(J56), isnumber(K56)), 1, 0) + IF(and(ISNUMBER(L56), isnumber(M56)), 1, 0) + IF(and(ISNUMBER(N56), isnumber(O56)), 1, 0)</f>
      </c>
      <c r="U56" s="8">
        <f>IF(and(ISNUMBER(P56), isnumber(Q56)), 1, 0) + IF(and(ISNUMBER(R56), isnumber(S56)), 1, 0)</f>
      </c>
      <c r="V56" s="13"/>
      <c r="W56" s="13"/>
      <c r="X56" s="16"/>
    </row>
    <row x14ac:dyDescent="0.25" r="57" customHeight="1" ht="15.75">
      <c r="A57" s="8">
        <v>25320</v>
      </c>
      <c r="B57" s="13" t="s">
        <v>27</v>
      </c>
      <c r="C57" s="13" t="s">
        <v>4264</v>
      </c>
      <c r="D57" s="10">
        <v>0.8141</v>
      </c>
      <c r="E57" s="11">
        <v>340.83</v>
      </c>
      <c r="F57" s="10">
        <v>1</v>
      </c>
      <c r="G57" s="11">
        <v>368.95</v>
      </c>
      <c r="H57" s="10">
        <v>0.7756</v>
      </c>
      <c r="I57" s="11">
        <v>440.33</v>
      </c>
      <c r="J57" s="10">
        <v>0.5513</v>
      </c>
      <c r="K57" s="11">
        <v>360</v>
      </c>
      <c r="L57" s="10">
        <v>0.8013</v>
      </c>
      <c r="M57" s="11">
        <v>415.68</v>
      </c>
      <c r="N57" s="10">
        <v>0.25</v>
      </c>
      <c r="O57" s="11">
        <v>310.77</v>
      </c>
      <c r="P57" s="10">
        <v>0.8141</v>
      </c>
      <c r="Q57" s="10">
        <v>0.2384</v>
      </c>
      <c r="R57" s="10">
        <v>0.5513</v>
      </c>
      <c r="S57" s="10">
        <v>0.2106</v>
      </c>
      <c r="T57" s="8">
        <f>IF(and(ISNUMBER(D57), isnumber(E57)), 1, 0) + IF(and(ISNUMBER(F57), isnumber(G57)), 1, 0) + IF(and(ISNUMBER(H57), isnumber(I57)), 1, 0) + IF(and(ISNUMBER(J57), isnumber(K57)), 1, 0) + IF(and(ISNUMBER(L57), isnumber(M57)), 1, 0) + IF(and(ISNUMBER(N57), isnumber(O57)), 1, 0)</f>
      </c>
      <c r="U57" s="8">
        <f>IF(and(ISNUMBER(P57), isnumber(Q57)), 1, 0) + IF(and(ISNUMBER(R57), isnumber(S57)), 1, 0)</f>
      </c>
      <c r="V57" s="13"/>
      <c r="W57" s="13"/>
      <c r="X57" s="16"/>
    </row>
    <row x14ac:dyDescent="0.25" r="58" customHeight="1" ht="15.75">
      <c r="A58" s="8">
        <v>25240</v>
      </c>
      <c r="B58" s="13" t="s">
        <v>27</v>
      </c>
      <c r="C58" s="13" t="s">
        <v>4269</v>
      </c>
      <c r="D58" s="10">
        <v>0.969</v>
      </c>
      <c r="E58" s="11">
        <v>136.77</v>
      </c>
      <c r="F58" s="10">
        <v>0.6744</v>
      </c>
      <c r="G58" s="11">
        <v>356.28</v>
      </c>
      <c r="H58" s="10">
        <v>0.6357</v>
      </c>
      <c r="I58" s="11">
        <v>357</v>
      </c>
      <c r="J58" s="10">
        <v>0.7674</v>
      </c>
      <c r="K58" s="11">
        <v>286.12</v>
      </c>
      <c r="L58" s="10">
        <v>0.6744</v>
      </c>
      <c r="M58" s="11">
        <v>443.76</v>
      </c>
      <c r="N58" s="10">
        <v>0.6512</v>
      </c>
      <c r="O58" s="11">
        <v>458.57</v>
      </c>
      <c r="P58" s="10">
        <v>0.969</v>
      </c>
      <c r="Q58" s="10">
        <v>0.1997</v>
      </c>
      <c r="R58" s="10">
        <v>0.7674</v>
      </c>
      <c r="S58" s="10">
        <v>0.1987</v>
      </c>
      <c r="T58" s="8">
        <f>IF(and(ISNUMBER(D58), isnumber(E58)), 1, 0) + IF(and(ISNUMBER(F58), isnumber(G58)), 1, 0) + IF(and(ISNUMBER(H58), isnumber(I58)), 1, 0) + IF(and(ISNUMBER(J58), isnumber(K58)), 1, 0) + IF(and(ISNUMBER(L58), isnumber(M58)), 1, 0) + IF(and(ISNUMBER(N58), isnumber(O58)), 1, 0)</f>
      </c>
      <c r="U58" s="8">
        <f>IF(and(ISNUMBER(P58), isnumber(Q58)), 1, 0) + IF(and(ISNUMBER(R58), isnumber(S58)), 1, 0)</f>
      </c>
      <c r="V58" s="13"/>
      <c r="W58" s="13"/>
      <c r="X58" s="16"/>
    </row>
    <row x14ac:dyDescent="0.25" r="59" customHeight="1" ht="15.75">
      <c r="A59" s="8">
        <v>25254</v>
      </c>
      <c r="B59" s="13" t="s">
        <v>27</v>
      </c>
      <c r="C59" s="13" t="s">
        <v>4273</v>
      </c>
      <c r="D59" s="10">
        <v>0.6462</v>
      </c>
      <c r="E59" s="11">
        <v>226</v>
      </c>
      <c r="F59" s="10">
        <v>0.9631</v>
      </c>
      <c r="G59" s="11">
        <v>163.16</v>
      </c>
      <c r="H59" s="10">
        <v>0.4655</v>
      </c>
      <c r="I59" s="11">
        <v>240.86</v>
      </c>
      <c r="J59" s="10">
        <v>0.3968</v>
      </c>
      <c r="K59" s="11">
        <v>247.63</v>
      </c>
      <c r="L59" s="10">
        <v>0.5417</v>
      </c>
      <c r="M59" s="11">
        <v>403.92</v>
      </c>
      <c r="N59" s="10">
        <v>0.421</v>
      </c>
      <c r="O59" s="11">
        <v>486.55</v>
      </c>
      <c r="P59" s="10">
        <v>0.6462</v>
      </c>
      <c r="Q59" s="10">
        <v>0.2353</v>
      </c>
      <c r="R59" s="10">
        <v>0.3968</v>
      </c>
      <c r="S59" s="10">
        <v>0.2183</v>
      </c>
      <c r="T59" s="8">
        <f>IF(and(ISNUMBER(D59), isnumber(E59)), 1, 0) + IF(and(ISNUMBER(F59), isnumber(G59)), 1, 0) + IF(and(ISNUMBER(H59), isnumber(I59)), 1, 0) + IF(and(ISNUMBER(J59), isnumber(K59)), 1, 0) + IF(and(ISNUMBER(L59), isnumber(M59)), 1, 0) + IF(and(ISNUMBER(N59), isnumber(O59)), 1, 0)</f>
      </c>
      <c r="U59" s="8">
        <f>IF(and(ISNUMBER(P59), isnumber(Q59)), 1, 0) + IF(and(ISNUMBER(R59), isnumber(S59)), 1, 0)</f>
      </c>
      <c r="V59" s="13"/>
      <c r="W59" s="13"/>
      <c r="X59" s="16"/>
    </row>
    <row x14ac:dyDescent="0.25" r="60" customHeight="1" ht="15.75">
      <c r="A60" s="8">
        <v>25299</v>
      </c>
      <c r="B60" s="13" t="s">
        <v>27</v>
      </c>
      <c r="C60" s="13" t="s">
        <v>4276</v>
      </c>
      <c r="D60" s="10">
        <v>0.6504</v>
      </c>
      <c r="E60" s="11">
        <v>331.67</v>
      </c>
      <c r="F60" s="10">
        <v>0.292</v>
      </c>
      <c r="G60" s="11">
        <v>443.03</v>
      </c>
      <c r="H60" s="10">
        <v>0.5133</v>
      </c>
      <c r="I60" s="11">
        <v>451.03</v>
      </c>
      <c r="J60" s="10">
        <v>0.4248</v>
      </c>
      <c r="K60" s="11">
        <v>389.59</v>
      </c>
      <c r="L60" s="10">
        <v>0.5442</v>
      </c>
      <c r="M60" s="11">
        <v>458.86</v>
      </c>
      <c r="N60" s="10">
        <v>0.531</v>
      </c>
      <c r="O60" s="11">
        <v>443.33</v>
      </c>
      <c r="P60" s="10">
        <v>0.6504</v>
      </c>
      <c r="Q60" s="10">
        <v>0.2701</v>
      </c>
      <c r="R60" s="10">
        <v>0.4248</v>
      </c>
      <c r="S60" s="10">
        <v>0.2227</v>
      </c>
      <c r="T60" s="8">
        <f>IF(and(ISNUMBER(D60), isnumber(E60)), 1, 0) + IF(and(ISNUMBER(F60), isnumber(G60)), 1, 0) + IF(and(ISNUMBER(H60), isnumber(I60)), 1, 0) + IF(and(ISNUMBER(J60), isnumber(K60)), 1, 0) + IF(and(ISNUMBER(L60), isnumber(M60)), 1, 0) + IF(and(ISNUMBER(N60), isnumber(O60)), 1, 0)</f>
      </c>
      <c r="U60" s="8">
        <f>IF(and(ISNUMBER(P60), isnumber(Q60)), 1, 0) + IF(and(ISNUMBER(R60), isnumber(S60)), 1, 0)</f>
      </c>
      <c r="V60" s="13"/>
      <c r="W60" s="13"/>
      <c r="X60" s="16"/>
    </row>
    <row x14ac:dyDescent="0.25" r="61" customHeight="1" ht="15.75">
      <c r="A61" s="8">
        <v>25270</v>
      </c>
      <c r="B61" s="13" t="s">
        <v>27</v>
      </c>
      <c r="C61" s="13" t="s">
        <v>4279</v>
      </c>
      <c r="D61" s="10">
        <v>0.925</v>
      </c>
      <c r="E61" s="11">
        <v>384.86</v>
      </c>
      <c r="F61" s="10">
        <v>0.7625</v>
      </c>
      <c r="G61" s="11">
        <v>468.2</v>
      </c>
      <c r="H61" s="10">
        <v>0.8625</v>
      </c>
      <c r="I61" s="11">
        <v>475.36</v>
      </c>
      <c r="J61" s="10">
        <v>0.8125</v>
      </c>
      <c r="K61" s="11">
        <v>453.13</v>
      </c>
      <c r="L61" s="10">
        <v>0.75</v>
      </c>
      <c r="M61" s="11">
        <v>477.33</v>
      </c>
      <c r="N61" s="10">
        <v>0.8375</v>
      </c>
      <c r="O61" s="11">
        <v>506.87</v>
      </c>
      <c r="P61" s="10">
        <v>0.925</v>
      </c>
      <c r="Q61" s="10">
        <v>0.2711</v>
      </c>
      <c r="R61" s="10">
        <v>0.8125</v>
      </c>
      <c r="S61" s="10">
        <v>0.2212</v>
      </c>
      <c r="T61" s="8">
        <f>IF(and(ISNUMBER(D61), isnumber(E61)), 1, 0) + IF(and(ISNUMBER(F61), isnumber(G61)), 1, 0) + IF(and(ISNUMBER(H61), isnumber(I61)), 1, 0) + IF(and(ISNUMBER(J61), isnumber(K61)), 1, 0) + IF(and(ISNUMBER(L61), isnumber(M61)), 1, 0) + IF(and(ISNUMBER(N61), isnumber(O61)), 1, 0)</f>
      </c>
      <c r="U61" s="8">
        <f>IF(and(ISNUMBER(P61), isnumber(Q61)), 1, 0) + IF(and(ISNUMBER(R61), isnumber(S61)), 1, 0)</f>
      </c>
      <c r="V61" s="13"/>
      <c r="W61" s="13"/>
      <c r="X61" s="16"/>
    </row>
    <row x14ac:dyDescent="0.25" r="62" customHeight="1" ht="15.75">
      <c r="A62" s="8">
        <v>25241</v>
      </c>
      <c r="B62" s="13" t="s">
        <v>27</v>
      </c>
      <c r="C62" s="13" t="s">
        <v>4284</v>
      </c>
      <c r="D62" s="10">
        <v>0.9403</v>
      </c>
      <c r="E62" s="11">
        <v>227.93</v>
      </c>
      <c r="F62" s="10">
        <v>0.653</v>
      </c>
      <c r="G62" s="11">
        <v>420.24</v>
      </c>
      <c r="H62" s="10">
        <v>0.62</v>
      </c>
      <c r="I62" s="11">
        <v>456.55</v>
      </c>
      <c r="J62" s="10">
        <v>0.8339</v>
      </c>
      <c r="K62" s="11">
        <v>403.43</v>
      </c>
      <c r="L62" s="10">
        <v>0.5367</v>
      </c>
      <c r="M62" s="11" t="s">
        <v>7127</v>
      </c>
      <c r="N62" s="10">
        <v>0.6567</v>
      </c>
      <c r="O62" s="11">
        <v>501.14</v>
      </c>
      <c r="P62" s="10">
        <v>0.9403</v>
      </c>
      <c r="Q62" s="10">
        <v>0.1901</v>
      </c>
      <c r="R62" s="10">
        <v>0.8339</v>
      </c>
      <c r="S62" s="10">
        <v>0.2079</v>
      </c>
      <c r="T62" s="8">
        <f>IF(and(ISNUMBER(D62), isnumber(E62)), 1, 0) + IF(and(ISNUMBER(F62), isnumber(G62)), 1, 0) + IF(and(ISNUMBER(H62), isnumber(I62)), 1, 0) + IF(and(ISNUMBER(J62), isnumber(K62)), 1, 0) + IF(and(ISNUMBER(L62), isnumber(M62)), 1, 0) + IF(and(ISNUMBER(N62), isnumber(O62)), 1, 0)</f>
      </c>
      <c r="U62" s="8">
        <f>IF(and(ISNUMBER(P62), isnumber(Q62)), 1, 0) + IF(and(ISNUMBER(R62), isnumber(S62)), 1, 0)</f>
      </c>
      <c r="V62" s="13"/>
      <c r="W62" s="13"/>
      <c r="X62" s="16"/>
    </row>
    <row x14ac:dyDescent="0.25" r="63" customHeight="1" ht="15.75">
      <c r="A63" s="8">
        <v>25300</v>
      </c>
      <c r="B63" s="13" t="s">
        <v>27</v>
      </c>
      <c r="C63" s="13" t="s">
        <v>4288</v>
      </c>
      <c r="D63" s="10">
        <v>0.9042</v>
      </c>
      <c r="E63" s="11">
        <v>98.63</v>
      </c>
      <c r="F63" s="10">
        <v>0.9192</v>
      </c>
      <c r="G63" s="11">
        <v>203.47</v>
      </c>
      <c r="H63" s="10">
        <v>0.4447</v>
      </c>
      <c r="I63" s="11">
        <v>381.74</v>
      </c>
      <c r="J63" s="10">
        <v>0.4698</v>
      </c>
      <c r="K63" s="11">
        <v>169.34</v>
      </c>
      <c r="L63" s="10">
        <v>0.4165</v>
      </c>
      <c r="M63" s="11">
        <v>223.95</v>
      </c>
      <c r="N63" s="10">
        <v>0.4062</v>
      </c>
      <c r="O63" s="11">
        <v>266.83</v>
      </c>
      <c r="P63" s="10">
        <v>0.9042</v>
      </c>
      <c r="Q63" s="10">
        <v>0.161</v>
      </c>
      <c r="R63" s="10">
        <v>0.4698</v>
      </c>
      <c r="S63" s="10">
        <v>0.2066</v>
      </c>
      <c r="T63" s="8">
        <f>IF(and(ISNUMBER(D63), isnumber(E63)), 1, 0) + IF(and(ISNUMBER(F63), isnumber(G63)), 1, 0) + IF(and(ISNUMBER(H63), isnumber(I63)), 1, 0) + IF(and(ISNUMBER(J63), isnumber(K63)), 1, 0) + IF(and(ISNUMBER(L63), isnumber(M63)), 1, 0) + IF(and(ISNUMBER(N63), isnumber(O63)), 1, 0)</f>
      </c>
      <c r="U63" s="8">
        <f>IF(and(ISNUMBER(P63), isnumber(Q63)), 1, 0) + IF(and(ISNUMBER(R63), isnumber(S63)), 1, 0)</f>
      </c>
      <c r="V63" s="13"/>
      <c r="W63" s="13"/>
      <c r="X63" s="16"/>
    </row>
    <row x14ac:dyDescent="0.25" r="64" customHeight="1" ht="15.75">
      <c r="A64" s="8">
        <v>25333</v>
      </c>
      <c r="B64" s="13" t="s">
        <v>27</v>
      </c>
      <c r="C64" s="13" t="s">
        <v>4291</v>
      </c>
      <c r="D64" s="10">
        <v>0.7447</v>
      </c>
      <c r="E64" s="11">
        <v>182.73</v>
      </c>
      <c r="F64" s="10">
        <v>0.5532</v>
      </c>
      <c r="G64" s="11">
        <v>454.23</v>
      </c>
      <c r="H64" s="10">
        <v>0.4281</v>
      </c>
      <c r="I64" s="11">
        <v>494.66</v>
      </c>
      <c r="J64" s="10">
        <v>0.5621</v>
      </c>
      <c r="K64" s="11" t="s">
        <v>7127</v>
      </c>
      <c r="L64" s="10">
        <v>0.3922</v>
      </c>
      <c r="M64" s="11">
        <v>445.34</v>
      </c>
      <c r="N64" s="10">
        <v>0.6013</v>
      </c>
      <c r="O64" s="11">
        <v>465</v>
      </c>
      <c r="P64" s="10">
        <v>0.7447</v>
      </c>
      <c r="Q64" s="10">
        <v>0.2274</v>
      </c>
      <c r="R64" s="10">
        <v>0.5621</v>
      </c>
      <c r="S64" s="10">
        <v>0.2003</v>
      </c>
      <c r="T64" s="8">
        <f>IF(and(ISNUMBER(D64), isnumber(E64)), 1, 0) + IF(and(ISNUMBER(F64), isnumber(G64)), 1, 0) + IF(and(ISNUMBER(H64), isnumber(I64)), 1, 0) + IF(and(ISNUMBER(J64), isnumber(K64)), 1, 0) + IF(and(ISNUMBER(L64), isnumber(M64)), 1, 0) + IF(and(ISNUMBER(N64), isnumber(O64)), 1, 0)</f>
      </c>
      <c r="U64" s="8">
        <f>IF(and(ISNUMBER(P64), isnumber(Q64)), 1, 0) + IF(and(ISNUMBER(R64), isnumber(S64)), 1, 0)</f>
      </c>
      <c r="V64" s="13"/>
      <c r="W64" s="13"/>
      <c r="X64" s="16"/>
    </row>
    <row x14ac:dyDescent="0.25" r="65" customHeight="1" ht="15.75">
      <c r="A65" s="8">
        <v>25242</v>
      </c>
      <c r="B65" s="13" t="s">
        <v>27</v>
      </c>
      <c r="C65" s="13" t="s">
        <v>4296</v>
      </c>
      <c r="D65" s="10">
        <v>0.8376</v>
      </c>
      <c r="E65" s="11">
        <v>468.98</v>
      </c>
      <c r="F65" s="10">
        <v>0.9658</v>
      </c>
      <c r="G65" s="11">
        <v>536.64</v>
      </c>
      <c r="H65" s="10">
        <v>0.8034</v>
      </c>
      <c r="I65" s="11">
        <v>541.08</v>
      </c>
      <c r="J65" s="10">
        <v>0.6923</v>
      </c>
      <c r="K65" s="11">
        <v>506.67</v>
      </c>
      <c r="L65" s="10">
        <v>0.7179</v>
      </c>
      <c r="M65" s="11">
        <v>507.14</v>
      </c>
      <c r="N65" s="10">
        <v>0.7692</v>
      </c>
      <c r="O65" s="11">
        <v>528</v>
      </c>
      <c r="P65" s="10">
        <v>0.8376</v>
      </c>
      <c r="Q65" s="10">
        <v>0.3164</v>
      </c>
      <c r="R65" s="10">
        <v>0.6923</v>
      </c>
      <c r="S65" s="10">
        <v>0.2283</v>
      </c>
      <c r="T65" s="8">
        <f>IF(and(ISNUMBER(D65), isnumber(E65)), 1, 0) + IF(and(ISNUMBER(F65), isnumber(G65)), 1, 0) + IF(and(ISNUMBER(H65), isnumber(I65)), 1, 0) + IF(and(ISNUMBER(J65), isnumber(K65)), 1, 0) + IF(and(ISNUMBER(L65), isnumber(M65)), 1, 0) + IF(and(ISNUMBER(N65), isnumber(O65)), 1, 0)</f>
      </c>
      <c r="U65" s="8">
        <f>IF(and(ISNUMBER(P65), isnumber(Q65)), 1, 0) + IF(and(ISNUMBER(R65), isnumber(S65)), 1, 0)</f>
      </c>
      <c r="V65" s="13"/>
      <c r="W65" s="13"/>
      <c r="X65" s="16"/>
    </row>
    <row x14ac:dyDescent="0.25" r="66" customHeight="1" ht="15.75">
      <c r="A66" s="8">
        <v>25249</v>
      </c>
      <c r="B66" s="13" t="s">
        <v>27</v>
      </c>
      <c r="C66" s="13" t="s">
        <v>4299</v>
      </c>
      <c r="D66" s="10">
        <v>0.9873</v>
      </c>
      <c r="E66" s="11">
        <v>245.69</v>
      </c>
      <c r="F66" s="10">
        <v>0.9958</v>
      </c>
      <c r="G66" s="11">
        <v>347.53</v>
      </c>
      <c r="H66" s="10">
        <v>0.8602</v>
      </c>
      <c r="I66" s="11">
        <v>313.47</v>
      </c>
      <c r="J66" s="10">
        <v>0.6356</v>
      </c>
      <c r="K66" s="11">
        <v>350.21</v>
      </c>
      <c r="L66" s="10">
        <v>0.6737</v>
      </c>
      <c r="M66" s="11">
        <v>411.72</v>
      </c>
      <c r="N66" s="10">
        <v>0.6186</v>
      </c>
      <c r="O66" s="11">
        <v>368.28</v>
      </c>
      <c r="P66" s="10">
        <v>0.9873</v>
      </c>
      <c r="Q66" s="10">
        <v>0.2131</v>
      </c>
      <c r="R66" s="10">
        <v>0.6356</v>
      </c>
      <c r="S66" s="10">
        <v>0.2181</v>
      </c>
      <c r="T66" s="8">
        <f>IF(and(ISNUMBER(D66), isnumber(E66)), 1, 0) + IF(and(ISNUMBER(F66), isnumber(G66)), 1, 0) + IF(and(ISNUMBER(H66), isnumber(I66)), 1, 0) + IF(and(ISNUMBER(J66), isnumber(K66)), 1, 0) + IF(and(ISNUMBER(L66), isnumber(M66)), 1, 0) + IF(and(ISNUMBER(N66), isnumber(O66)), 1, 0)</f>
      </c>
      <c r="U66" s="8">
        <f>IF(and(ISNUMBER(P66), isnumber(Q66)), 1, 0) + IF(and(ISNUMBER(R66), isnumber(S66)), 1, 0)</f>
      </c>
      <c r="V66" s="13"/>
      <c r="W66" s="13"/>
      <c r="X66" s="16"/>
    </row>
    <row x14ac:dyDescent="0.25" r="67" customHeight="1" ht="15.75">
      <c r="A67" s="8">
        <v>25301</v>
      </c>
      <c r="B67" s="13" t="s">
        <v>27</v>
      </c>
      <c r="C67" s="13" t="s">
        <v>4303</v>
      </c>
      <c r="D67" s="10">
        <v>0.871</v>
      </c>
      <c r="E67" s="11">
        <v>296.41</v>
      </c>
      <c r="F67" s="10">
        <v>0.828</v>
      </c>
      <c r="G67" s="11">
        <v>462.11</v>
      </c>
      <c r="H67" s="10">
        <v>0.7527</v>
      </c>
      <c r="I67" s="11">
        <v>416.12</v>
      </c>
      <c r="J67" s="10">
        <v>0.6129</v>
      </c>
      <c r="K67" s="11">
        <v>339.2</v>
      </c>
      <c r="L67" s="10">
        <v>0.6559</v>
      </c>
      <c r="M67" s="11">
        <v>414.92</v>
      </c>
      <c r="N67" s="10">
        <v>0.6774</v>
      </c>
      <c r="O67" s="11">
        <v>408.52</v>
      </c>
      <c r="P67" s="10">
        <v>0.871</v>
      </c>
      <c r="Q67" s="10">
        <v>0.2385</v>
      </c>
      <c r="R67" s="10">
        <v>0.6129</v>
      </c>
      <c r="S67" s="10">
        <v>0.2029</v>
      </c>
      <c r="T67" s="8">
        <f>IF(and(ISNUMBER(D67), isnumber(E67)), 1, 0) + IF(and(ISNUMBER(F67), isnumber(G67)), 1, 0) + IF(and(ISNUMBER(H67), isnumber(I67)), 1, 0) + IF(and(ISNUMBER(J67), isnumber(K67)), 1, 0) + IF(and(ISNUMBER(L67), isnumber(M67)), 1, 0) + IF(and(ISNUMBER(N67), isnumber(O67)), 1, 0)</f>
      </c>
      <c r="U67" s="8">
        <f>IF(and(ISNUMBER(P67), isnumber(Q67)), 1, 0) + IF(and(ISNUMBER(R67), isnumber(S67)), 1, 0)</f>
      </c>
      <c r="V67" s="13"/>
      <c r="W67" s="13"/>
      <c r="X67" s="16"/>
    </row>
    <row x14ac:dyDescent="0.25" r="68" customHeight="1" ht="15.75">
      <c r="A68" s="8">
        <v>25326</v>
      </c>
      <c r="B68" s="13" t="s">
        <v>27</v>
      </c>
      <c r="C68" s="13" t="s">
        <v>4306</v>
      </c>
      <c r="D68" s="10">
        <v>0.6061</v>
      </c>
      <c r="E68" s="11">
        <v>222.2</v>
      </c>
      <c r="F68" s="10">
        <v>0.4848</v>
      </c>
      <c r="G68" s="11">
        <v>331.91</v>
      </c>
      <c r="H68" s="10">
        <v>0.5884</v>
      </c>
      <c r="I68" s="11">
        <v>340</v>
      </c>
      <c r="J68" s="10">
        <v>0.6237</v>
      </c>
      <c r="K68" s="11">
        <v>293</v>
      </c>
      <c r="L68" s="10">
        <v>0.6111</v>
      </c>
      <c r="M68" s="11">
        <v>397.83</v>
      </c>
      <c r="N68" s="10">
        <v>0.6061</v>
      </c>
      <c r="O68" s="11">
        <v>417.41</v>
      </c>
      <c r="P68" s="10">
        <v>0.6061</v>
      </c>
      <c r="Q68" s="10">
        <v>0.2239</v>
      </c>
      <c r="R68" s="10">
        <v>0.6237</v>
      </c>
      <c r="S68" s="10">
        <v>0.2122</v>
      </c>
      <c r="T68" s="8">
        <f>IF(and(ISNUMBER(D68), isnumber(E68)), 1, 0) + IF(and(ISNUMBER(F68), isnumber(G68)), 1, 0) + IF(and(ISNUMBER(H68), isnumber(I68)), 1, 0) + IF(and(ISNUMBER(J68), isnumber(K68)), 1, 0) + IF(and(ISNUMBER(L68), isnumber(M68)), 1, 0) + IF(and(ISNUMBER(N68), isnumber(O68)), 1, 0)</f>
      </c>
      <c r="U68" s="8">
        <f>IF(and(ISNUMBER(P68), isnumber(Q68)), 1, 0) + IF(and(ISNUMBER(R68), isnumber(S68)), 1, 0)</f>
      </c>
      <c r="V68" s="13"/>
      <c r="W68" s="13"/>
      <c r="X68" s="16"/>
    </row>
    <row x14ac:dyDescent="0.25" r="69" customHeight="1" ht="15.75">
      <c r="A69" s="8">
        <v>25243</v>
      </c>
      <c r="B69" s="13" t="s">
        <v>27</v>
      </c>
      <c r="C69" s="13" t="s">
        <v>4311</v>
      </c>
      <c r="D69" s="10">
        <v>0.8689</v>
      </c>
      <c r="E69" s="11">
        <v>301.89</v>
      </c>
      <c r="F69" s="10">
        <v>0.8087</v>
      </c>
      <c r="G69" s="11">
        <v>441.36</v>
      </c>
      <c r="H69" s="10">
        <v>0.8361</v>
      </c>
      <c r="I69" s="11">
        <v>440.27</v>
      </c>
      <c r="J69" s="10">
        <v>0.8579</v>
      </c>
      <c r="K69" s="11">
        <v>441.87</v>
      </c>
      <c r="L69" s="10">
        <v>0.8087</v>
      </c>
      <c r="M69" s="11">
        <v>448.33</v>
      </c>
      <c r="N69" s="10">
        <v>0.7213</v>
      </c>
      <c r="O69" s="11">
        <v>438.47</v>
      </c>
      <c r="P69" s="10">
        <v>0.8689</v>
      </c>
      <c r="Q69" s="10">
        <v>0.2479</v>
      </c>
      <c r="R69" s="10">
        <v>0.8579</v>
      </c>
      <c r="S69" s="10">
        <v>0.2376</v>
      </c>
      <c r="T69" s="8">
        <f>IF(and(ISNUMBER(D69), isnumber(E69)), 1, 0) + IF(and(ISNUMBER(F69), isnumber(G69)), 1, 0) + IF(and(ISNUMBER(H69), isnumber(I69)), 1, 0) + IF(and(ISNUMBER(J69), isnumber(K69)), 1, 0) + IF(and(ISNUMBER(L69), isnumber(M69)), 1, 0) + IF(and(ISNUMBER(N69), isnumber(O69)), 1, 0)</f>
      </c>
      <c r="U69" s="8">
        <f>IF(and(ISNUMBER(P69), isnumber(Q69)), 1, 0) + IF(and(ISNUMBER(R69), isnumber(S69)), 1, 0)</f>
      </c>
      <c r="V69" s="13"/>
      <c r="W69" s="13"/>
      <c r="X69" s="16"/>
    </row>
    <row x14ac:dyDescent="0.25" r="70" customHeight="1" ht="15.75">
      <c r="A70" s="8">
        <v>25255</v>
      </c>
      <c r="B70" s="13" t="s">
        <v>27</v>
      </c>
      <c r="C70" s="13" t="s">
        <v>4316</v>
      </c>
      <c r="D70" s="10">
        <v>0.6909</v>
      </c>
      <c r="E70" s="11">
        <v>267.89</v>
      </c>
      <c r="F70" s="10">
        <v>0.5455</v>
      </c>
      <c r="G70" s="11">
        <v>406.67</v>
      </c>
      <c r="H70" s="10">
        <v>0.5405</v>
      </c>
      <c r="I70" s="11">
        <v>416.32</v>
      </c>
      <c r="J70" s="10">
        <v>0.7333</v>
      </c>
      <c r="K70" s="11">
        <v>344.16</v>
      </c>
      <c r="L70" s="10">
        <v>0.3919</v>
      </c>
      <c r="M70" s="11" t="s">
        <v>7127</v>
      </c>
      <c r="N70" s="10">
        <v>0</v>
      </c>
      <c r="O70" s="11" t="s">
        <v>7127</v>
      </c>
      <c r="P70" s="10">
        <v>0.6909</v>
      </c>
      <c r="Q70" s="10">
        <v>0.2809</v>
      </c>
      <c r="R70" s="10">
        <v>0.7333</v>
      </c>
      <c r="S70" s="10">
        <v>0.1975</v>
      </c>
      <c r="T70" s="8">
        <f>IF(and(ISNUMBER(D70), isnumber(E70)), 1, 0) + IF(and(ISNUMBER(F70), isnumber(G70)), 1, 0) + IF(and(ISNUMBER(H70), isnumber(I70)), 1, 0) + IF(and(ISNUMBER(J70), isnumber(K70)), 1, 0) + IF(and(ISNUMBER(L70), isnumber(M70)), 1, 0) + IF(and(ISNUMBER(N70), isnumber(O70)), 1, 0)</f>
      </c>
      <c r="U70" s="8">
        <f>IF(and(ISNUMBER(P70), isnumber(Q70)), 1, 0) + IF(and(ISNUMBER(R70), isnumber(S70)), 1, 0)</f>
      </c>
      <c r="V70" s="13"/>
      <c r="W70" s="13"/>
      <c r="X70" s="16"/>
    </row>
    <row x14ac:dyDescent="0.25" r="71" customHeight="1" ht="15.75">
      <c r="A71" s="8">
        <v>25303</v>
      </c>
      <c r="B71" s="13" t="s">
        <v>27</v>
      </c>
      <c r="C71" s="13" t="s">
        <v>4321</v>
      </c>
      <c r="D71" s="10">
        <v>0.8667</v>
      </c>
      <c r="E71" s="11">
        <v>309.09</v>
      </c>
      <c r="F71" s="10">
        <v>0.6667</v>
      </c>
      <c r="G71" s="11">
        <v>408</v>
      </c>
      <c r="H71" s="10">
        <v>0.6</v>
      </c>
      <c r="I71" s="11">
        <v>413.33</v>
      </c>
      <c r="J71" s="10">
        <v>0.5333</v>
      </c>
      <c r="K71" s="11">
        <v>370</v>
      </c>
      <c r="L71" s="10">
        <v>0.7333</v>
      </c>
      <c r="M71" s="11">
        <v>530.91</v>
      </c>
      <c r="N71" s="10">
        <v>0.6</v>
      </c>
      <c r="O71" s="11">
        <v>506.67</v>
      </c>
      <c r="P71" s="10">
        <v>0.8667</v>
      </c>
      <c r="Q71" s="10">
        <v>0.2681</v>
      </c>
      <c r="R71" s="10">
        <v>0.5333</v>
      </c>
      <c r="S71" s="10">
        <v>0.2074</v>
      </c>
      <c r="T71" s="8">
        <f>IF(and(ISNUMBER(D71), isnumber(E71)), 1, 0) + IF(and(ISNUMBER(F71), isnumber(G71)), 1, 0) + IF(and(ISNUMBER(H71), isnumber(I71)), 1, 0) + IF(and(ISNUMBER(J71), isnumber(K71)), 1, 0) + IF(and(ISNUMBER(L71), isnumber(M71)), 1, 0) + IF(and(ISNUMBER(N71), isnumber(O71)), 1, 0)</f>
      </c>
      <c r="U71" s="8">
        <f>IF(and(ISNUMBER(P71), isnumber(Q71)), 1, 0) + IF(and(ISNUMBER(R71), isnumber(S71)), 1, 0)</f>
      </c>
      <c r="V71" s="13"/>
      <c r="W71" s="13"/>
      <c r="X71" s="16"/>
    </row>
    <row x14ac:dyDescent="0.25" r="72" customHeight="1" ht="15.75">
      <c r="A72" s="8">
        <v>25244</v>
      </c>
      <c r="B72" s="13" t="s">
        <v>27</v>
      </c>
      <c r="C72" s="13" t="s">
        <v>4324</v>
      </c>
      <c r="D72" s="10">
        <v>0.9878</v>
      </c>
      <c r="E72" s="11">
        <v>275.5</v>
      </c>
      <c r="F72" s="10">
        <v>0.7073</v>
      </c>
      <c r="G72" s="11">
        <v>409.82</v>
      </c>
      <c r="H72" s="10">
        <v>1</v>
      </c>
      <c r="I72" s="11">
        <v>363.95</v>
      </c>
      <c r="J72" s="10">
        <v>0.7439</v>
      </c>
      <c r="K72" s="11">
        <v>301.69</v>
      </c>
      <c r="L72" s="10">
        <v>0.0122</v>
      </c>
      <c r="M72" s="11">
        <v>560</v>
      </c>
      <c r="N72" s="10">
        <v>0.0244</v>
      </c>
      <c r="O72" s="11">
        <v>340</v>
      </c>
      <c r="P72" s="10">
        <v>0.9878</v>
      </c>
      <c r="Q72" s="10">
        <v>0.2258</v>
      </c>
      <c r="R72" s="10">
        <v>0.7439</v>
      </c>
      <c r="S72" s="10">
        <v>0.2107</v>
      </c>
      <c r="T72" s="8">
        <f>IF(and(ISNUMBER(D72), isnumber(E72)), 1, 0) + IF(and(ISNUMBER(F72), isnumber(G72)), 1, 0) + IF(and(ISNUMBER(H72), isnumber(I72)), 1, 0) + IF(and(ISNUMBER(J72), isnumber(K72)), 1, 0) + IF(and(ISNUMBER(L72), isnumber(M72)), 1, 0) + IF(and(ISNUMBER(N72), isnumber(O72)), 1, 0)</f>
      </c>
      <c r="U72" s="8">
        <f>IF(and(ISNUMBER(P72), isnumber(Q72)), 1, 0) + IF(and(ISNUMBER(R72), isnumber(S72)), 1, 0)</f>
      </c>
      <c r="V72" s="13"/>
      <c r="W72" s="13"/>
      <c r="X72" s="16"/>
    </row>
    <row x14ac:dyDescent="0.25" r="73" customHeight="1" ht="15.75">
      <c r="A73" s="8">
        <v>25334</v>
      </c>
      <c r="B73" s="13" t="s">
        <v>27</v>
      </c>
      <c r="C73" s="13" t="s">
        <v>4328</v>
      </c>
      <c r="D73" s="10">
        <v>0.7027</v>
      </c>
      <c r="E73" s="11">
        <v>188.45</v>
      </c>
      <c r="F73" s="10">
        <v>0.953</v>
      </c>
      <c r="G73" s="11">
        <v>231.79</v>
      </c>
      <c r="H73" s="10">
        <v>0.4066</v>
      </c>
      <c r="I73" s="11">
        <v>368.88</v>
      </c>
      <c r="J73" s="10">
        <v>0.4736</v>
      </c>
      <c r="K73" s="11">
        <v>191.5</v>
      </c>
      <c r="L73" s="10">
        <v>0.0024</v>
      </c>
      <c r="M73" s="11">
        <v>400</v>
      </c>
      <c r="N73" s="10">
        <v>0.0035</v>
      </c>
      <c r="O73" s="11">
        <v>346.67</v>
      </c>
      <c r="P73" s="10">
        <v>0.7027</v>
      </c>
      <c r="Q73" s="10">
        <v>0.1908</v>
      </c>
      <c r="R73" s="10">
        <v>0.4736</v>
      </c>
      <c r="S73" s="10">
        <v>0.1834</v>
      </c>
      <c r="T73" s="8">
        <f>IF(and(ISNUMBER(D73), isnumber(E73)), 1, 0) + IF(and(ISNUMBER(F73), isnumber(G73)), 1, 0) + IF(and(ISNUMBER(H73), isnumber(I73)), 1, 0) + IF(and(ISNUMBER(J73), isnumber(K73)), 1, 0) + IF(and(ISNUMBER(L73), isnumber(M73)), 1, 0) + IF(and(ISNUMBER(N73), isnumber(O73)), 1, 0)</f>
      </c>
      <c r="U73" s="8">
        <f>IF(and(ISNUMBER(P73), isnumber(Q73)), 1, 0) + IF(and(ISNUMBER(R73), isnumber(S73)), 1, 0)</f>
      </c>
      <c r="V73" s="13"/>
      <c r="W73" s="13"/>
      <c r="X73" s="16"/>
    </row>
    <row x14ac:dyDescent="0.25" r="74" customHeight="1" ht="15.75">
      <c r="A74" s="8">
        <v>25271</v>
      </c>
      <c r="B74" s="13" t="s">
        <v>27</v>
      </c>
      <c r="C74" s="13" t="s">
        <v>4332</v>
      </c>
      <c r="D74" s="10">
        <v>0.8036</v>
      </c>
      <c r="E74" s="11">
        <v>208.06</v>
      </c>
      <c r="F74" s="10">
        <v>0.5357</v>
      </c>
      <c r="G74" s="11">
        <v>345.85</v>
      </c>
      <c r="H74" s="10">
        <v>0.5716</v>
      </c>
      <c r="I74" s="11">
        <v>361.97</v>
      </c>
      <c r="J74" s="10">
        <v>0.6533</v>
      </c>
      <c r="K74" s="11">
        <v>236.88</v>
      </c>
      <c r="L74" s="10">
        <v>0.598</v>
      </c>
      <c r="M74" s="11">
        <v>350.44</v>
      </c>
      <c r="N74" s="10">
        <v>0.5276</v>
      </c>
      <c r="O74" s="11">
        <v>380.39</v>
      </c>
      <c r="P74" s="10">
        <v>0.8036</v>
      </c>
      <c r="Q74" s="10">
        <v>0.1785</v>
      </c>
      <c r="R74" s="10">
        <v>0.6533</v>
      </c>
      <c r="S74" s="10">
        <v>0.2012</v>
      </c>
      <c r="T74" s="8">
        <f>IF(and(ISNUMBER(D74), isnumber(E74)), 1, 0) + IF(and(ISNUMBER(F74), isnumber(G74)), 1, 0) + IF(and(ISNUMBER(H74), isnumber(I74)), 1, 0) + IF(and(ISNUMBER(J74), isnumber(K74)), 1, 0) + IF(and(ISNUMBER(L74), isnumber(M74)), 1, 0) + IF(and(ISNUMBER(N74), isnumber(O74)), 1, 0)</f>
      </c>
      <c r="U74" s="8">
        <f>IF(and(ISNUMBER(P74), isnumber(Q74)), 1, 0) + IF(and(ISNUMBER(R74), isnumber(S74)), 1, 0)</f>
      </c>
      <c r="V74" s="13"/>
      <c r="W74" s="13"/>
      <c r="X74" s="16"/>
    </row>
    <row x14ac:dyDescent="0.25" r="75" customHeight="1" ht="15.75">
      <c r="A75" s="8">
        <v>25327</v>
      </c>
      <c r="B75" s="13" t="s">
        <v>27</v>
      </c>
      <c r="C75" s="13" t="s">
        <v>4336</v>
      </c>
      <c r="D75" s="10">
        <v>0.7077</v>
      </c>
      <c r="E75" s="11" t="s">
        <v>7127</v>
      </c>
      <c r="F75" s="10">
        <v>0.4103</v>
      </c>
      <c r="G75" s="11">
        <v>396.5</v>
      </c>
      <c r="H75" s="10">
        <v>0.8008</v>
      </c>
      <c r="I75" s="11">
        <v>270.53</v>
      </c>
      <c r="J75" s="10">
        <v>0.5085</v>
      </c>
      <c r="K75" s="11">
        <v>178.33</v>
      </c>
      <c r="L75" s="10">
        <v>0.0996</v>
      </c>
      <c r="M75" s="11">
        <v>216.92</v>
      </c>
      <c r="N75" s="10">
        <v>0.0077</v>
      </c>
      <c r="O75" s="11" t="s">
        <v>7127</v>
      </c>
      <c r="P75" s="10">
        <v>0.7077</v>
      </c>
      <c r="Q75" s="10">
        <v>0.151</v>
      </c>
      <c r="R75" s="10">
        <v>0.5085</v>
      </c>
      <c r="S75" s="10">
        <v>0.1391</v>
      </c>
      <c r="T75" s="8">
        <f>IF(and(ISNUMBER(D75), isnumber(E75)), 1, 0) + IF(and(ISNUMBER(F75), isnumber(G75)), 1, 0) + IF(and(ISNUMBER(H75), isnumber(I75)), 1, 0) + IF(and(ISNUMBER(J75), isnumber(K75)), 1, 0) + IF(and(ISNUMBER(L75), isnumber(M75)), 1, 0) + IF(and(ISNUMBER(N75), isnumber(O75)), 1, 0)</f>
      </c>
      <c r="U75" s="8">
        <f>IF(and(ISNUMBER(P75), isnumber(Q75)), 1, 0) + IF(and(ISNUMBER(R75), isnumber(S75)), 1, 0)</f>
      </c>
      <c r="V75" s="13"/>
      <c r="W75" s="13"/>
      <c r="X75" s="16"/>
    </row>
    <row x14ac:dyDescent="0.25" r="76" customHeight="1" ht="15.75">
      <c r="A76" s="8">
        <v>25328</v>
      </c>
      <c r="B76" s="13" t="s">
        <v>27</v>
      </c>
      <c r="C76" s="13" t="s">
        <v>4340</v>
      </c>
      <c r="D76" s="10">
        <v>0.8868</v>
      </c>
      <c r="E76" s="11">
        <v>110.64</v>
      </c>
      <c r="F76" s="10">
        <v>0.9811</v>
      </c>
      <c r="G76" s="11">
        <v>110.77</v>
      </c>
      <c r="H76" s="10">
        <v>0.2892</v>
      </c>
      <c r="I76" s="11">
        <v>273.33</v>
      </c>
      <c r="J76" s="10">
        <v>0.6087</v>
      </c>
      <c r="K76" s="11">
        <v>158.57</v>
      </c>
      <c r="L76" s="10">
        <v>0.2892</v>
      </c>
      <c r="M76" s="11">
        <v>198.33</v>
      </c>
      <c r="N76" s="10">
        <v>0.253</v>
      </c>
      <c r="O76" s="11">
        <v>287.62</v>
      </c>
      <c r="P76" s="10">
        <v>0.8868</v>
      </c>
      <c r="Q76" s="10">
        <v>0.1437</v>
      </c>
      <c r="R76" s="10">
        <v>0.6087</v>
      </c>
      <c r="S76" s="10">
        <v>0.1819</v>
      </c>
      <c r="T76" s="8">
        <f>IF(and(ISNUMBER(D76), isnumber(E76)), 1, 0) + IF(and(ISNUMBER(F76), isnumber(G76)), 1, 0) + IF(and(ISNUMBER(H76), isnumber(I76)), 1, 0) + IF(and(ISNUMBER(J76), isnumber(K76)), 1, 0) + IF(and(ISNUMBER(L76), isnumber(M76)), 1, 0) + IF(and(ISNUMBER(N76), isnumber(O76)), 1, 0)</f>
      </c>
      <c r="U76" s="8">
        <f>IF(and(ISNUMBER(P76), isnumber(Q76)), 1, 0) + IF(and(ISNUMBER(R76), isnumber(S76)), 1, 0)</f>
      </c>
      <c r="V76" s="13"/>
      <c r="W76" s="13"/>
      <c r="X76" s="16"/>
    </row>
    <row x14ac:dyDescent="0.25" r="77" customHeight="1" ht="15.75">
      <c r="A77" s="8">
        <v>25304</v>
      </c>
      <c r="B77" s="13" t="s">
        <v>27</v>
      </c>
      <c r="C77" s="13" t="s">
        <v>4344</v>
      </c>
      <c r="D77" s="10">
        <v>0.7842</v>
      </c>
      <c r="E77" s="11">
        <v>328.07</v>
      </c>
      <c r="F77" s="10">
        <v>0.7122</v>
      </c>
      <c r="G77" s="11">
        <v>409.07</v>
      </c>
      <c r="H77" s="10">
        <v>0.6978</v>
      </c>
      <c r="I77" s="11">
        <v>460.21</v>
      </c>
      <c r="J77" s="10">
        <v>0.7626</v>
      </c>
      <c r="K77" s="11">
        <v>404.62</v>
      </c>
      <c r="L77" s="10">
        <v>0.6475</v>
      </c>
      <c r="M77" s="11">
        <v>472</v>
      </c>
      <c r="N77" s="10">
        <v>0.6763</v>
      </c>
      <c r="O77" s="11">
        <v>461.08</v>
      </c>
      <c r="P77" s="10">
        <v>0.7842</v>
      </c>
      <c r="Q77" s="10">
        <v>0.256</v>
      </c>
      <c r="R77" s="10">
        <v>0.7626</v>
      </c>
      <c r="S77" s="10">
        <v>0.2137</v>
      </c>
      <c r="T77" s="8">
        <f>IF(and(ISNUMBER(D77), isnumber(E77)), 1, 0) + IF(and(ISNUMBER(F77), isnumber(G77)), 1, 0) + IF(and(ISNUMBER(H77), isnumber(I77)), 1, 0) + IF(and(ISNUMBER(J77), isnumber(K77)), 1, 0) + IF(and(ISNUMBER(L77), isnumber(M77)), 1, 0) + IF(and(ISNUMBER(N77), isnumber(O77)), 1, 0)</f>
      </c>
      <c r="U77" s="8">
        <f>IF(and(ISNUMBER(P77), isnumber(Q77)), 1, 0) + IF(and(ISNUMBER(R77), isnumber(S77)), 1, 0)</f>
      </c>
      <c r="V77" s="13"/>
      <c r="W77" s="13"/>
      <c r="X77" s="16"/>
    </row>
    <row x14ac:dyDescent="0.25" r="78" customHeight="1" ht="15.75">
      <c r="A78" s="8">
        <v>25256</v>
      </c>
      <c r="B78" s="13" t="s">
        <v>27</v>
      </c>
      <c r="C78" s="13" t="s">
        <v>4349</v>
      </c>
      <c r="D78" s="10">
        <v>0.7475</v>
      </c>
      <c r="E78" s="11">
        <v>158.45</v>
      </c>
      <c r="F78" s="10">
        <v>0.6123</v>
      </c>
      <c r="G78" s="11">
        <v>354.01</v>
      </c>
      <c r="H78" s="10">
        <v>0.6077</v>
      </c>
      <c r="I78" s="11">
        <v>329.11</v>
      </c>
      <c r="J78" s="10">
        <v>0.4442</v>
      </c>
      <c r="K78" s="11">
        <v>221.21</v>
      </c>
      <c r="L78" s="10">
        <v>0.5783</v>
      </c>
      <c r="M78" s="11">
        <v>414.74</v>
      </c>
      <c r="N78" s="10">
        <v>0.488</v>
      </c>
      <c r="O78" s="11">
        <v>424.63</v>
      </c>
      <c r="P78" s="10">
        <v>0.7475</v>
      </c>
      <c r="Q78" s="10">
        <v>0.1507</v>
      </c>
      <c r="R78" s="10">
        <v>0.4442</v>
      </c>
      <c r="S78" s="10">
        <v>0.1911</v>
      </c>
      <c r="T78" s="8">
        <f>IF(and(ISNUMBER(D78), isnumber(E78)), 1, 0) + IF(and(ISNUMBER(F78), isnumber(G78)), 1, 0) + IF(and(ISNUMBER(H78), isnumber(I78)), 1, 0) + IF(and(ISNUMBER(J78), isnumber(K78)), 1, 0) + IF(and(ISNUMBER(L78), isnumber(M78)), 1, 0) + IF(and(ISNUMBER(N78), isnumber(O78)), 1, 0)</f>
      </c>
      <c r="U78" s="8">
        <f>IF(and(ISNUMBER(P78), isnumber(Q78)), 1, 0) + IF(and(ISNUMBER(R78), isnumber(S78)), 1, 0)</f>
      </c>
      <c r="V78" s="13"/>
      <c r="W78" s="13"/>
      <c r="X78" s="16"/>
    </row>
    <row x14ac:dyDescent="0.25" r="79" customHeight="1" ht="15.75">
      <c r="A79" s="8">
        <v>25257</v>
      </c>
      <c r="B79" s="13" t="s">
        <v>27</v>
      </c>
      <c r="C79" s="13" t="s">
        <v>4352</v>
      </c>
      <c r="D79" s="10">
        <v>0.4815</v>
      </c>
      <c r="E79" s="11">
        <v>163.63</v>
      </c>
      <c r="F79" s="10">
        <v>0.6481</v>
      </c>
      <c r="G79" s="11">
        <v>363.43</v>
      </c>
      <c r="H79" s="10">
        <v>0.3378</v>
      </c>
      <c r="I79" s="11">
        <v>408.72</v>
      </c>
      <c r="J79" s="10">
        <v>0.4667</v>
      </c>
      <c r="K79" s="11">
        <v>296.17</v>
      </c>
      <c r="L79" s="10">
        <v>0</v>
      </c>
      <c r="M79" s="11" t="s">
        <v>7127</v>
      </c>
      <c r="N79" s="10">
        <v>0</v>
      </c>
      <c r="O79" s="11" t="s">
        <v>7127</v>
      </c>
      <c r="P79" s="10">
        <v>0.4815</v>
      </c>
      <c r="Q79" s="10">
        <v>0.2017</v>
      </c>
      <c r="R79" s="10">
        <v>0.4667</v>
      </c>
      <c r="S79" s="10">
        <v>0.1894</v>
      </c>
      <c r="T79" s="8">
        <f>IF(and(ISNUMBER(D79), isnumber(E79)), 1, 0) + IF(and(ISNUMBER(F79), isnumber(G79)), 1, 0) + IF(and(ISNUMBER(H79), isnumber(I79)), 1, 0) + IF(and(ISNUMBER(J79), isnumber(K79)), 1, 0) + IF(and(ISNUMBER(L79), isnumber(M79)), 1, 0) + IF(and(ISNUMBER(N79), isnumber(O79)), 1, 0)</f>
      </c>
      <c r="U79" s="8">
        <f>IF(and(ISNUMBER(P79), isnumber(Q79)), 1, 0) + IF(and(ISNUMBER(R79), isnumber(S79)), 1, 0)</f>
      </c>
      <c r="V79" s="13"/>
      <c r="W79" s="13"/>
      <c r="X79" s="16"/>
    </row>
    <row x14ac:dyDescent="0.25" r="80" customHeight="1" ht="15.75">
      <c r="A80" s="8">
        <v>25335</v>
      </c>
      <c r="B80" s="13" t="s">
        <v>27</v>
      </c>
      <c r="C80" s="13" t="s">
        <v>7662</v>
      </c>
      <c r="D80" s="10">
        <v>0</v>
      </c>
      <c r="E80" s="11" t="s">
        <v>7127</v>
      </c>
      <c r="F80" s="10">
        <v>0.6479</v>
      </c>
      <c r="G80" s="11">
        <v>405.22</v>
      </c>
      <c r="H80" s="10">
        <v>0.3406</v>
      </c>
      <c r="I80" s="11">
        <v>363.41</v>
      </c>
      <c r="J80" s="10">
        <v>0.7813</v>
      </c>
      <c r="K80" s="11">
        <v>249.6</v>
      </c>
      <c r="L80" s="10">
        <v>0.1594</v>
      </c>
      <c r="M80" s="11" t="s">
        <v>7127</v>
      </c>
      <c r="N80" s="10">
        <v>0.2681</v>
      </c>
      <c r="O80" s="11">
        <v>352.38</v>
      </c>
      <c r="P80" s="10">
        <v>0</v>
      </c>
      <c r="Q80" s="10" t="s">
        <v>7127</v>
      </c>
      <c r="R80" s="10">
        <v>0.7813</v>
      </c>
      <c r="S80" s="10">
        <v>0.1961</v>
      </c>
      <c r="T80" s="8">
        <f>IF(and(ISNUMBER(D80), isnumber(E80)), 1, 0) + IF(and(ISNUMBER(F80), isnumber(G80)), 1, 0) + IF(and(ISNUMBER(H80), isnumber(I80)), 1, 0) + IF(and(ISNUMBER(J80), isnumber(K80)), 1, 0) + IF(and(ISNUMBER(L80), isnumber(M80)), 1, 0) + IF(and(ISNUMBER(N80), isnumber(O80)), 1, 0)</f>
      </c>
      <c r="U80" s="8">
        <f>IF(and(ISNUMBER(P80), isnumber(Q80)), 1, 0) + IF(and(ISNUMBER(R80), isnumber(S80)), 1, 0)</f>
      </c>
      <c r="V80" s="13"/>
      <c r="W80" s="13"/>
      <c r="X80" s="16"/>
    </row>
    <row x14ac:dyDescent="0.25" r="81" customHeight="1" ht="15.75">
      <c r="A81" s="8">
        <v>25245</v>
      </c>
      <c r="B81" s="13" t="s">
        <v>27</v>
      </c>
      <c r="C81" s="13" t="s">
        <v>4355</v>
      </c>
      <c r="D81" s="10">
        <v>0.7374</v>
      </c>
      <c r="E81" s="11">
        <v>170.07</v>
      </c>
      <c r="F81" s="10">
        <v>0.6128</v>
      </c>
      <c r="G81" s="11">
        <v>358.24</v>
      </c>
      <c r="H81" s="10">
        <v>0.5201</v>
      </c>
      <c r="I81" s="11">
        <v>366.72</v>
      </c>
      <c r="J81" s="10">
        <v>0.7246</v>
      </c>
      <c r="K81" s="11">
        <v>240.34</v>
      </c>
      <c r="L81" s="10">
        <v>0.5882</v>
      </c>
      <c r="M81" s="11">
        <v>352.07</v>
      </c>
      <c r="N81" s="10">
        <v>0.5913</v>
      </c>
      <c r="O81" s="11">
        <v>382.28</v>
      </c>
      <c r="P81" s="10">
        <v>0.7374</v>
      </c>
      <c r="Q81" s="10">
        <v>0.2328</v>
      </c>
      <c r="R81" s="10">
        <v>0.7246</v>
      </c>
      <c r="S81" s="10">
        <v>0.2037</v>
      </c>
      <c r="T81" s="8">
        <f>IF(and(ISNUMBER(D81), isnumber(E81)), 1, 0) + IF(and(ISNUMBER(F81), isnumber(G81)), 1, 0) + IF(and(ISNUMBER(H81), isnumber(I81)), 1, 0) + IF(and(ISNUMBER(J81), isnumber(K81)), 1, 0) + IF(and(ISNUMBER(L81), isnumber(M81)), 1, 0) + IF(and(ISNUMBER(N81), isnumber(O81)), 1, 0)</f>
      </c>
      <c r="U81" s="8">
        <f>IF(and(ISNUMBER(P81), isnumber(Q81)), 1, 0) + IF(and(ISNUMBER(R81), isnumber(S81)), 1, 0)</f>
      </c>
      <c r="V81" s="13"/>
      <c r="W81" s="13"/>
      <c r="X81" s="16"/>
    </row>
    <row x14ac:dyDescent="0.25" r="82" customHeight="1" ht="15.75">
      <c r="A82" s="8">
        <v>25272</v>
      </c>
      <c r="B82" s="13" t="s">
        <v>27</v>
      </c>
      <c r="C82" s="13" t="s">
        <v>4358</v>
      </c>
      <c r="D82" s="10">
        <v>0.7194</v>
      </c>
      <c r="E82" s="11">
        <v>133.5</v>
      </c>
      <c r="F82" s="10">
        <v>0</v>
      </c>
      <c r="G82" s="11" t="s">
        <v>7127</v>
      </c>
      <c r="H82" s="10">
        <v>0.2373</v>
      </c>
      <c r="I82" s="11" t="s">
        <v>7127</v>
      </c>
      <c r="J82" s="10">
        <v>0.5943</v>
      </c>
      <c r="K82" s="11" t="s">
        <v>7127</v>
      </c>
      <c r="L82" s="10">
        <v>0.0113</v>
      </c>
      <c r="M82" s="11" t="s">
        <v>7127</v>
      </c>
      <c r="N82" s="10">
        <v>0.0113</v>
      </c>
      <c r="O82" s="11" t="s">
        <v>7127</v>
      </c>
      <c r="P82" s="10">
        <v>0.7194</v>
      </c>
      <c r="Q82" s="10">
        <v>0.1687</v>
      </c>
      <c r="R82" s="10">
        <v>0.5943</v>
      </c>
      <c r="S82" s="10">
        <v>0.1973</v>
      </c>
      <c r="T82" s="8">
        <f>IF(and(ISNUMBER(D82), isnumber(E82)), 1, 0) + IF(and(ISNUMBER(F82), isnumber(G82)), 1, 0) + IF(and(ISNUMBER(H82), isnumber(I82)), 1, 0) + IF(and(ISNUMBER(J82), isnumber(K82)), 1, 0) + IF(and(ISNUMBER(L82), isnumber(M82)), 1, 0) + IF(and(ISNUMBER(N82), isnumber(O82)), 1, 0)</f>
      </c>
      <c r="U82" s="8">
        <f>IF(and(ISNUMBER(P82), isnumber(Q82)), 1, 0) + IF(and(ISNUMBER(R82), isnumber(S82)), 1, 0)</f>
      </c>
      <c r="V82" s="13"/>
      <c r="W82" s="13"/>
      <c r="X82" s="16"/>
    </row>
    <row x14ac:dyDescent="0.25" r="83" customHeight="1" ht="15.75">
      <c r="A83" s="8">
        <v>25305</v>
      </c>
      <c r="B83" s="13" t="s">
        <v>27</v>
      </c>
      <c r="C83" s="13" t="s">
        <v>4361</v>
      </c>
      <c r="D83" s="10">
        <v>0.5324</v>
      </c>
      <c r="E83" s="11">
        <v>190.89</v>
      </c>
      <c r="F83" s="10">
        <v>0.4676</v>
      </c>
      <c r="G83" s="11">
        <v>344.25</v>
      </c>
      <c r="H83" s="10">
        <v>0.3429</v>
      </c>
      <c r="I83" s="11">
        <v>418</v>
      </c>
      <c r="J83" s="10">
        <v>0.6637</v>
      </c>
      <c r="K83" s="11">
        <v>272</v>
      </c>
      <c r="L83" s="10">
        <v>0.4343</v>
      </c>
      <c r="M83" s="11" t="s">
        <v>7127</v>
      </c>
      <c r="N83" s="10">
        <v>0.4171</v>
      </c>
      <c r="O83" s="11" t="s">
        <v>7127</v>
      </c>
      <c r="P83" s="10">
        <v>0.5324</v>
      </c>
      <c r="Q83" s="10">
        <v>0.2285</v>
      </c>
      <c r="R83" s="10">
        <v>0.6637</v>
      </c>
      <c r="S83" s="10">
        <v>0.2048</v>
      </c>
      <c r="T83" s="8">
        <f>IF(and(ISNUMBER(D83), isnumber(E83)), 1, 0) + IF(and(ISNUMBER(F83), isnumber(G83)), 1, 0) + IF(and(ISNUMBER(H83), isnumber(I83)), 1, 0) + IF(and(ISNUMBER(J83), isnumber(K83)), 1, 0) + IF(and(ISNUMBER(L83), isnumber(M83)), 1, 0) + IF(and(ISNUMBER(N83), isnumber(O83)), 1, 0)</f>
      </c>
      <c r="U83" s="8">
        <f>IF(and(ISNUMBER(P83), isnumber(Q83)), 1, 0) + IF(and(ISNUMBER(R83), isnumber(S83)), 1, 0)</f>
      </c>
      <c r="V83" s="13"/>
      <c r="W83" s="13"/>
      <c r="X83" s="16"/>
    </row>
    <row x14ac:dyDescent="0.25" r="84" customHeight="1" ht="15.75">
      <c r="A84" s="8">
        <v>25306</v>
      </c>
      <c r="B84" s="13" t="s">
        <v>27</v>
      </c>
      <c r="C84" s="13" t="s">
        <v>4366</v>
      </c>
      <c r="D84" s="10">
        <v>1</v>
      </c>
      <c r="E84" s="11">
        <v>489.41</v>
      </c>
      <c r="F84" s="10">
        <v>0.8603</v>
      </c>
      <c r="G84" s="11">
        <v>578.12</v>
      </c>
      <c r="H84" s="10">
        <v>0.6544</v>
      </c>
      <c r="I84" s="11">
        <v>583.82</v>
      </c>
      <c r="J84" s="10">
        <v>0.6765</v>
      </c>
      <c r="K84" s="11">
        <v>493.78</v>
      </c>
      <c r="L84" s="10">
        <v>0.7868</v>
      </c>
      <c r="M84" s="11">
        <v>465.79</v>
      </c>
      <c r="N84" s="10">
        <v>0.75</v>
      </c>
      <c r="O84" s="11">
        <v>560.78</v>
      </c>
      <c r="P84" s="10">
        <v>1</v>
      </c>
      <c r="Q84" s="10">
        <v>0.3114</v>
      </c>
      <c r="R84" s="10">
        <v>0.6765</v>
      </c>
      <c r="S84" s="10">
        <v>0.2179</v>
      </c>
      <c r="T84" s="8">
        <f>IF(and(ISNUMBER(D84), isnumber(E84)), 1, 0) + IF(and(ISNUMBER(F84), isnumber(G84)), 1, 0) + IF(and(ISNUMBER(H84), isnumber(I84)), 1, 0) + IF(and(ISNUMBER(J84), isnumber(K84)), 1, 0) + IF(and(ISNUMBER(L84), isnumber(M84)), 1, 0) + IF(and(ISNUMBER(N84), isnumber(O84)), 1, 0)</f>
      </c>
      <c r="U84" s="8">
        <f>IF(and(ISNUMBER(P84), isnumber(Q84)), 1, 0) + IF(and(ISNUMBER(R84), isnumber(S84)), 1, 0)</f>
      </c>
      <c r="V84" s="13"/>
      <c r="W84" s="13"/>
      <c r="X84" s="16"/>
    </row>
    <row x14ac:dyDescent="0.25" r="85" customHeight="1" ht="15.75">
      <c r="A85" s="8">
        <v>25262</v>
      </c>
      <c r="B85" s="13" t="s">
        <v>27</v>
      </c>
      <c r="C85" s="13" t="s">
        <v>4370</v>
      </c>
      <c r="D85" s="10">
        <v>0.8163</v>
      </c>
      <c r="E85" s="11">
        <v>212.66</v>
      </c>
      <c r="F85" s="10">
        <v>0.7007</v>
      </c>
      <c r="G85" s="11">
        <v>376.74</v>
      </c>
      <c r="H85" s="10">
        <v>0.5219</v>
      </c>
      <c r="I85" s="11">
        <v>442.03</v>
      </c>
      <c r="J85" s="10">
        <v>0.7517</v>
      </c>
      <c r="K85" s="11">
        <v>346.32</v>
      </c>
      <c r="L85" s="10">
        <v>0.5102</v>
      </c>
      <c r="M85" s="11">
        <v>428.8</v>
      </c>
      <c r="N85" s="10">
        <v>0.481</v>
      </c>
      <c r="O85" s="11">
        <v>438.12</v>
      </c>
      <c r="P85" s="10">
        <v>0.8163</v>
      </c>
      <c r="Q85" s="10">
        <v>0.2447</v>
      </c>
      <c r="R85" s="10">
        <v>0.7517</v>
      </c>
      <c r="S85" s="10">
        <v>0.2712</v>
      </c>
      <c r="T85" s="8">
        <f>IF(and(ISNUMBER(D85), isnumber(E85)), 1, 0) + IF(and(ISNUMBER(F85), isnumber(G85)), 1, 0) + IF(and(ISNUMBER(H85), isnumber(I85)), 1, 0) + IF(and(ISNUMBER(J85), isnumber(K85)), 1, 0) + IF(and(ISNUMBER(L85), isnumber(M85)), 1, 0) + IF(and(ISNUMBER(N85), isnumber(O85)), 1, 0)</f>
      </c>
      <c r="U85" s="8">
        <f>IF(and(ISNUMBER(P85), isnumber(Q85)), 1, 0) + IF(and(ISNUMBER(R85), isnumber(S85)), 1, 0)</f>
      </c>
      <c r="V85" s="13"/>
      <c r="W85" s="13"/>
      <c r="X85" s="16"/>
    </row>
    <row x14ac:dyDescent="0.25" r="86" customHeight="1" ht="15.75">
      <c r="A86" s="8">
        <v>25258</v>
      </c>
      <c r="B86" s="13" t="s">
        <v>27</v>
      </c>
      <c r="C86" s="13" t="s">
        <v>4374</v>
      </c>
      <c r="D86" s="10">
        <v>0.7766</v>
      </c>
      <c r="E86" s="11">
        <v>86.94</v>
      </c>
      <c r="F86" s="10">
        <v>0.5258</v>
      </c>
      <c r="G86" s="11">
        <v>313.5</v>
      </c>
      <c r="H86" s="10">
        <v>0.4482</v>
      </c>
      <c r="I86" s="11">
        <v>257.88</v>
      </c>
      <c r="J86" s="10">
        <v>0.1871</v>
      </c>
      <c r="K86" s="11" t="s">
        <v>7127</v>
      </c>
      <c r="L86" s="10">
        <v>0.3501</v>
      </c>
      <c r="M86" s="11">
        <v>217.28</v>
      </c>
      <c r="N86" s="10">
        <v>0.3389</v>
      </c>
      <c r="O86" s="11">
        <v>122.31</v>
      </c>
      <c r="P86" s="10">
        <v>0.7766</v>
      </c>
      <c r="Q86" s="10">
        <v>0.1459</v>
      </c>
      <c r="R86" s="10">
        <v>0.1871</v>
      </c>
      <c r="S86" s="10">
        <v>0.1951</v>
      </c>
      <c r="T86" s="8">
        <f>IF(and(ISNUMBER(D86), isnumber(E86)), 1, 0) + IF(and(ISNUMBER(F86), isnumber(G86)), 1, 0) + IF(and(ISNUMBER(H86), isnumber(I86)), 1, 0) + IF(and(ISNUMBER(J86), isnumber(K86)), 1, 0) + IF(and(ISNUMBER(L86), isnumber(M86)), 1, 0) + IF(and(ISNUMBER(N86), isnumber(O86)), 1, 0)</f>
      </c>
      <c r="U86" s="8">
        <f>IF(and(ISNUMBER(P86), isnumber(Q86)), 1, 0) + IF(and(ISNUMBER(R86), isnumber(S86)), 1, 0)</f>
      </c>
      <c r="V86" s="13"/>
      <c r="W86" s="13"/>
      <c r="X86" s="16"/>
    </row>
    <row x14ac:dyDescent="0.25" r="87" customHeight="1" ht="15.75">
      <c r="A87" s="8">
        <v>25246</v>
      </c>
      <c r="B87" s="13" t="s">
        <v>27</v>
      </c>
      <c r="C87" s="13" t="s">
        <v>4378</v>
      </c>
      <c r="D87" s="10">
        <v>0.7521</v>
      </c>
      <c r="E87" s="11">
        <v>143.1</v>
      </c>
      <c r="F87" s="10">
        <v>0.5826</v>
      </c>
      <c r="G87" s="11">
        <v>335.86</v>
      </c>
      <c r="H87" s="10">
        <v>0.4118</v>
      </c>
      <c r="I87" s="11" t="s">
        <v>7127</v>
      </c>
      <c r="J87" s="10">
        <v>0.5385</v>
      </c>
      <c r="K87" s="11">
        <v>257.44</v>
      </c>
      <c r="L87" s="10">
        <v>0.5037</v>
      </c>
      <c r="M87" s="11">
        <v>360.3</v>
      </c>
      <c r="N87" s="10">
        <v>0.364</v>
      </c>
      <c r="O87" s="11">
        <v>368.09</v>
      </c>
      <c r="P87" s="10">
        <v>0.7521</v>
      </c>
      <c r="Q87" s="10">
        <v>0.2204</v>
      </c>
      <c r="R87" s="10">
        <v>0.5385</v>
      </c>
      <c r="S87" s="10">
        <v>0.1991</v>
      </c>
      <c r="T87" s="8">
        <f>IF(and(ISNUMBER(D87), isnumber(E87)), 1, 0) + IF(and(ISNUMBER(F87), isnumber(G87)), 1, 0) + IF(and(ISNUMBER(H87), isnumber(I87)), 1, 0) + IF(and(ISNUMBER(J87), isnumber(K87)), 1, 0) + IF(and(ISNUMBER(L87), isnumber(M87)), 1, 0) + IF(and(ISNUMBER(N87), isnumber(O87)), 1, 0)</f>
      </c>
      <c r="U87" s="8">
        <f>IF(and(ISNUMBER(P87), isnumber(Q87)), 1, 0) + IF(and(ISNUMBER(R87), isnumber(S87)), 1, 0)</f>
      </c>
      <c r="V87" s="13"/>
      <c r="W87" s="13"/>
      <c r="X87" s="16"/>
    </row>
    <row x14ac:dyDescent="0.25" r="88" customHeight="1" ht="15.75">
      <c r="A88" s="8">
        <v>25312</v>
      </c>
      <c r="B88" s="13" t="s">
        <v>27</v>
      </c>
      <c r="C88" s="13" t="s">
        <v>4381</v>
      </c>
      <c r="D88" s="10">
        <v>0.6803</v>
      </c>
      <c r="E88" s="11">
        <v>423.49</v>
      </c>
      <c r="F88" s="10">
        <v>0.7049</v>
      </c>
      <c r="G88" s="11">
        <v>488.37</v>
      </c>
      <c r="H88" s="10">
        <v>0.7295</v>
      </c>
      <c r="I88" s="11">
        <v>528.09</v>
      </c>
      <c r="J88" s="10">
        <v>0.8361</v>
      </c>
      <c r="K88" s="11">
        <v>501.96</v>
      </c>
      <c r="L88" s="10">
        <v>0.6393</v>
      </c>
      <c r="M88" s="11">
        <v>449.74</v>
      </c>
      <c r="N88" s="10">
        <v>0.377</v>
      </c>
      <c r="O88" s="11">
        <v>433.04</v>
      </c>
      <c r="P88" s="10">
        <v>0.6803</v>
      </c>
      <c r="Q88" s="10">
        <v>0.2677</v>
      </c>
      <c r="R88" s="10">
        <v>0.8361</v>
      </c>
      <c r="S88" s="10">
        <v>0.2143</v>
      </c>
      <c r="T88" s="8">
        <f>IF(and(ISNUMBER(D88), isnumber(E88)), 1, 0) + IF(and(ISNUMBER(F88), isnumber(G88)), 1, 0) + IF(and(ISNUMBER(H88), isnumber(I88)), 1, 0) + IF(and(ISNUMBER(J88), isnumber(K88)), 1, 0) + IF(and(ISNUMBER(L88), isnumber(M88)), 1, 0) + IF(and(ISNUMBER(N88), isnumber(O88)), 1, 0)</f>
      </c>
      <c r="U88" s="8">
        <f>IF(and(ISNUMBER(P88), isnumber(Q88)), 1, 0) + IF(and(ISNUMBER(R88), isnumber(S88)), 1, 0)</f>
      </c>
      <c r="V88" s="13"/>
      <c r="W88" s="13"/>
      <c r="X88" s="16"/>
    </row>
    <row x14ac:dyDescent="0.25" r="89" customHeight="1" ht="15.75">
      <c r="A89" s="8">
        <v>25260</v>
      </c>
      <c r="B89" s="13" t="s">
        <v>27</v>
      </c>
      <c r="C89" s="13" t="s">
        <v>4385</v>
      </c>
      <c r="D89" s="10">
        <v>0.6633</v>
      </c>
      <c r="E89" s="11">
        <v>345.03</v>
      </c>
      <c r="F89" s="10">
        <v>0.7041</v>
      </c>
      <c r="G89" s="11">
        <v>460.48</v>
      </c>
      <c r="H89" s="10">
        <v>0.5952</v>
      </c>
      <c r="I89" s="11">
        <v>520.23</v>
      </c>
      <c r="J89" s="10">
        <v>0.585</v>
      </c>
      <c r="K89" s="11">
        <v>318.56</v>
      </c>
      <c r="L89" s="10">
        <v>0.6088</v>
      </c>
      <c r="M89" s="11">
        <v>511.51</v>
      </c>
      <c r="N89" s="10">
        <v>0.6088</v>
      </c>
      <c r="O89" s="11">
        <v>462.57</v>
      </c>
      <c r="P89" s="10">
        <v>0.6633</v>
      </c>
      <c r="Q89" s="10">
        <v>0.2458</v>
      </c>
      <c r="R89" s="10">
        <v>0.585</v>
      </c>
      <c r="S89" s="10">
        <v>0.2028</v>
      </c>
      <c r="T89" s="8">
        <f>IF(and(ISNUMBER(D89), isnumber(E89)), 1, 0) + IF(and(ISNUMBER(F89), isnumber(G89)), 1, 0) + IF(and(ISNUMBER(H89), isnumber(I89)), 1, 0) + IF(and(ISNUMBER(J89), isnumber(K89)), 1, 0) + IF(and(ISNUMBER(L89), isnumber(M89)), 1, 0) + IF(and(ISNUMBER(N89), isnumber(O89)), 1, 0)</f>
      </c>
      <c r="U89" s="8">
        <f>IF(and(ISNUMBER(P89), isnumber(Q89)), 1, 0) + IF(and(ISNUMBER(R89), isnumber(S89)), 1, 0)</f>
      </c>
      <c r="V89" s="13"/>
      <c r="W89" s="13"/>
      <c r="X89" s="16"/>
    </row>
    <row x14ac:dyDescent="0.25" r="90" customHeight="1" ht="15.75">
      <c r="A90" s="8">
        <v>25313</v>
      </c>
      <c r="B90" s="13" t="s">
        <v>27</v>
      </c>
      <c r="C90" s="13" t="s">
        <v>4389</v>
      </c>
      <c r="D90" s="10">
        <v>0.9519</v>
      </c>
      <c r="E90" s="11">
        <v>270.07</v>
      </c>
      <c r="F90" s="10">
        <v>0.9612</v>
      </c>
      <c r="G90" s="11">
        <v>270.85</v>
      </c>
      <c r="H90" s="10">
        <v>0.4956</v>
      </c>
      <c r="I90" s="11">
        <v>432.89</v>
      </c>
      <c r="J90" s="10">
        <v>0.4361</v>
      </c>
      <c r="K90" s="11" t="s">
        <v>7127</v>
      </c>
      <c r="L90" s="10">
        <v>0.082</v>
      </c>
      <c r="M90" s="11">
        <v>254.2</v>
      </c>
      <c r="N90" s="10">
        <v>0.0071</v>
      </c>
      <c r="O90" s="11" t="s">
        <v>7127</v>
      </c>
      <c r="P90" s="10">
        <v>0.9519</v>
      </c>
      <c r="Q90" s="10">
        <v>0.1918</v>
      </c>
      <c r="R90" s="10">
        <v>0.4361</v>
      </c>
      <c r="S90" s="10">
        <v>0.2114</v>
      </c>
      <c r="T90" s="8">
        <f>IF(and(ISNUMBER(D90), isnumber(E90)), 1, 0) + IF(and(ISNUMBER(F90), isnumber(G90)), 1, 0) + IF(and(ISNUMBER(H90), isnumber(I90)), 1, 0) + IF(and(ISNUMBER(J90), isnumber(K90)), 1, 0) + IF(and(ISNUMBER(L90), isnumber(M90)), 1, 0) + IF(and(ISNUMBER(N90), isnumber(O90)), 1, 0)</f>
      </c>
      <c r="U90" s="8">
        <f>IF(and(ISNUMBER(P90), isnumber(Q90)), 1, 0) + IF(and(ISNUMBER(R90), isnumber(S90)), 1, 0)</f>
      </c>
      <c r="V90" s="13"/>
      <c r="W90" s="13"/>
      <c r="X90" s="16"/>
    </row>
    <row x14ac:dyDescent="0.25" r="91" customHeight="1" ht="15.75">
      <c r="A91" s="8">
        <v>26131</v>
      </c>
      <c r="B91" s="13" t="s">
        <v>512</v>
      </c>
      <c r="C91" s="13" t="s">
        <v>4393</v>
      </c>
      <c r="D91" s="10">
        <v>0.8554</v>
      </c>
      <c r="E91" s="11">
        <v>332.96</v>
      </c>
      <c r="F91" s="10">
        <v>0.8434</v>
      </c>
      <c r="G91" s="11">
        <v>486.96</v>
      </c>
      <c r="H91" s="10">
        <v>0.8313</v>
      </c>
      <c r="I91" s="11">
        <v>550.14</v>
      </c>
      <c r="J91" s="10">
        <v>0.8193</v>
      </c>
      <c r="K91" s="11">
        <v>482.99</v>
      </c>
      <c r="L91" s="10">
        <v>0.8072</v>
      </c>
      <c r="M91" s="11">
        <v>580</v>
      </c>
      <c r="N91" s="10">
        <v>0.8072</v>
      </c>
      <c r="O91" s="11">
        <v>565.97</v>
      </c>
      <c r="P91" s="10">
        <v>0.8554</v>
      </c>
      <c r="Q91" s="10">
        <v>0.2662</v>
      </c>
      <c r="R91" s="10">
        <v>0.8193</v>
      </c>
      <c r="S91" s="10">
        <v>0.2272</v>
      </c>
      <c r="T91" s="8">
        <f>IF(and(ISNUMBER(D91), isnumber(E91)), 1, 0) + IF(and(ISNUMBER(F91), isnumber(G91)), 1, 0) + IF(and(ISNUMBER(H91), isnumber(I91)), 1, 0) + IF(and(ISNUMBER(J91), isnumber(K91)), 1, 0) + IF(and(ISNUMBER(L91), isnumber(M91)), 1, 0) + IF(and(ISNUMBER(N91), isnumber(O91)), 1, 0)</f>
      </c>
      <c r="U91" s="8">
        <f>IF(and(ISNUMBER(P91), isnumber(Q91)), 1, 0) + IF(and(ISNUMBER(R91), isnumber(S91)), 1, 0)</f>
      </c>
      <c r="V91" s="13"/>
      <c r="W91" s="13"/>
      <c r="X91" s="16"/>
    </row>
    <row x14ac:dyDescent="0.25" r="92" customHeight="1" ht="15.75">
      <c r="A92" s="8">
        <v>26132</v>
      </c>
      <c r="B92" s="13" t="s">
        <v>512</v>
      </c>
      <c r="C92" s="13" t="s">
        <v>4397</v>
      </c>
      <c r="D92" s="10">
        <v>0.9718</v>
      </c>
      <c r="E92" s="11">
        <v>430</v>
      </c>
      <c r="F92" s="10">
        <v>0.9296</v>
      </c>
      <c r="G92" s="11">
        <v>581.54</v>
      </c>
      <c r="H92" s="10">
        <v>0.8592</v>
      </c>
      <c r="I92" s="11">
        <v>602.67</v>
      </c>
      <c r="J92" s="10">
        <v>0.9437</v>
      </c>
      <c r="K92" s="11">
        <v>542.42</v>
      </c>
      <c r="L92" s="10">
        <v>0.9296</v>
      </c>
      <c r="M92" s="11">
        <v>605.54</v>
      </c>
      <c r="N92" s="10">
        <v>0.9014</v>
      </c>
      <c r="O92" s="11">
        <v>617.42</v>
      </c>
      <c r="P92" s="10">
        <v>0.9718</v>
      </c>
      <c r="Q92" s="10">
        <v>0.3023</v>
      </c>
      <c r="R92" s="10">
        <v>0.9437</v>
      </c>
      <c r="S92" s="10">
        <v>0.2477</v>
      </c>
      <c r="T92" s="8">
        <f>IF(and(ISNUMBER(D92), isnumber(E92)), 1, 0) + IF(and(ISNUMBER(F92), isnumber(G92)), 1, 0) + IF(and(ISNUMBER(H92), isnumber(I92)), 1, 0) + IF(and(ISNUMBER(J92), isnumber(K92)), 1, 0) + IF(and(ISNUMBER(L92), isnumber(M92)), 1, 0) + IF(and(ISNUMBER(N92), isnumber(O92)), 1, 0)</f>
      </c>
      <c r="U92" s="8">
        <f>IF(and(ISNUMBER(P92), isnumber(Q92)), 1, 0) + IF(and(ISNUMBER(R92), isnumber(S92)), 1, 0)</f>
      </c>
      <c r="V92" s="13"/>
      <c r="W92" s="13"/>
      <c r="X92" s="16"/>
    </row>
    <row x14ac:dyDescent="0.25" r="93" customHeight="1" ht="15.75">
      <c r="A93" s="8">
        <v>26113</v>
      </c>
      <c r="B93" s="13" t="s">
        <v>512</v>
      </c>
      <c r="C93" s="13" t="s">
        <v>4400</v>
      </c>
      <c r="D93" s="10">
        <v>1</v>
      </c>
      <c r="E93" s="11">
        <v>238.74</v>
      </c>
      <c r="F93" s="10">
        <v>0.7323</v>
      </c>
      <c r="G93" s="11">
        <v>461.93</v>
      </c>
      <c r="H93" s="10">
        <v>0.7357</v>
      </c>
      <c r="I93" s="11">
        <v>513</v>
      </c>
      <c r="J93" s="10">
        <v>0.8425</v>
      </c>
      <c r="K93" s="11">
        <v>372.9</v>
      </c>
      <c r="L93" s="10">
        <v>0.6786</v>
      </c>
      <c r="M93" s="11">
        <v>494.31</v>
      </c>
      <c r="N93" s="10">
        <v>0.5429</v>
      </c>
      <c r="O93" s="11">
        <v>532.63</v>
      </c>
      <c r="P93" s="10">
        <v>1</v>
      </c>
      <c r="Q93" s="10">
        <v>0.2081</v>
      </c>
      <c r="R93" s="10">
        <v>0.8425</v>
      </c>
      <c r="S93" s="10">
        <v>0.223</v>
      </c>
      <c r="T93" s="8">
        <f>IF(and(ISNUMBER(D93), isnumber(E93)), 1, 0) + IF(and(ISNUMBER(F93), isnumber(G93)), 1, 0) + IF(and(ISNUMBER(H93), isnumber(I93)), 1, 0) + IF(and(ISNUMBER(J93), isnumber(K93)), 1, 0) + IF(and(ISNUMBER(L93), isnumber(M93)), 1, 0) + IF(and(ISNUMBER(N93), isnumber(O93)), 1, 0)</f>
      </c>
      <c r="U93" s="8">
        <f>IF(and(ISNUMBER(P93), isnumber(Q93)), 1, 0) + IF(and(ISNUMBER(R93), isnumber(S93)), 1, 0)</f>
      </c>
      <c r="V93" s="13"/>
      <c r="W93" s="13"/>
      <c r="X93" s="16"/>
    </row>
    <row x14ac:dyDescent="0.25" r="94" customHeight="1" ht="15.75">
      <c r="A94" s="8">
        <v>26143</v>
      </c>
      <c r="B94" s="13" t="s">
        <v>512</v>
      </c>
      <c r="C94" s="13" t="s">
        <v>4402</v>
      </c>
      <c r="D94" s="10">
        <v>0.9787</v>
      </c>
      <c r="E94" s="11">
        <v>365.22</v>
      </c>
      <c r="F94" s="10">
        <v>0.8511</v>
      </c>
      <c r="G94" s="11">
        <v>452.31</v>
      </c>
      <c r="H94" s="10">
        <v>0.8511</v>
      </c>
      <c r="I94" s="11">
        <v>481</v>
      </c>
      <c r="J94" s="10">
        <v>0.8936</v>
      </c>
      <c r="K94" s="11">
        <v>428.57</v>
      </c>
      <c r="L94" s="10">
        <v>0.9362</v>
      </c>
      <c r="M94" s="11">
        <v>452.09</v>
      </c>
      <c r="N94" s="10">
        <v>0.9362</v>
      </c>
      <c r="O94" s="11">
        <v>472.73</v>
      </c>
      <c r="P94" s="10">
        <v>0.9787</v>
      </c>
      <c r="Q94" s="10">
        <v>0.2774</v>
      </c>
      <c r="R94" s="10">
        <v>0.8936</v>
      </c>
      <c r="S94" s="10">
        <v>0.2451</v>
      </c>
      <c r="T94" s="8">
        <f>IF(and(ISNUMBER(D94), isnumber(E94)), 1, 0) + IF(and(ISNUMBER(F94), isnumber(G94)), 1, 0) + IF(and(ISNUMBER(H94), isnumber(I94)), 1, 0) + IF(and(ISNUMBER(J94), isnumber(K94)), 1, 0) + IF(and(ISNUMBER(L94), isnumber(M94)), 1, 0) + IF(and(ISNUMBER(N94), isnumber(O94)), 1, 0)</f>
      </c>
      <c r="U94" s="8">
        <f>IF(and(ISNUMBER(P94), isnumber(Q94)), 1, 0) + IF(and(ISNUMBER(R94), isnumber(S94)), 1, 0)</f>
      </c>
      <c r="V94" s="13"/>
      <c r="W94" s="13"/>
      <c r="X94" s="16"/>
    </row>
    <row x14ac:dyDescent="0.25" r="95" customHeight="1" ht="15.75">
      <c r="A95" s="8">
        <v>26133</v>
      </c>
      <c r="B95" s="13" t="s">
        <v>512</v>
      </c>
      <c r="C95" s="13" t="s">
        <v>4407</v>
      </c>
      <c r="D95" s="10">
        <v>0.8833</v>
      </c>
      <c r="E95" s="11">
        <v>436.23</v>
      </c>
      <c r="F95" s="10">
        <v>0.8167</v>
      </c>
      <c r="G95" s="11">
        <v>555.1</v>
      </c>
      <c r="H95" s="10">
        <v>0.7667</v>
      </c>
      <c r="I95" s="11">
        <v>654.78</v>
      </c>
      <c r="J95" s="10">
        <v>0.7833</v>
      </c>
      <c r="K95" s="11">
        <v>538.18</v>
      </c>
      <c r="L95" s="10">
        <v>0.9167</v>
      </c>
      <c r="M95" s="11">
        <v>642.91</v>
      </c>
      <c r="N95" s="10">
        <v>0.7333</v>
      </c>
      <c r="O95" s="11">
        <v>644.55</v>
      </c>
      <c r="P95" s="10">
        <v>0.8833</v>
      </c>
      <c r="Q95" s="10">
        <v>0.333</v>
      </c>
      <c r="R95" s="10">
        <v>0.7833</v>
      </c>
      <c r="S95" s="10">
        <v>0.227</v>
      </c>
      <c r="T95" s="8">
        <f>IF(and(ISNUMBER(D95), isnumber(E95)), 1, 0) + IF(and(ISNUMBER(F95), isnumber(G95)), 1, 0) + IF(and(ISNUMBER(H95), isnumber(I95)), 1, 0) + IF(and(ISNUMBER(J95), isnumber(K95)), 1, 0) + IF(and(ISNUMBER(L95), isnumber(M95)), 1, 0) + IF(and(ISNUMBER(N95), isnumber(O95)), 1, 0)</f>
      </c>
      <c r="U95" s="8">
        <f>IF(and(ISNUMBER(P95), isnumber(Q95)), 1, 0) + IF(and(ISNUMBER(R95), isnumber(S95)), 1, 0)</f>
      </c>
      <c r="V95" s="13"/>
      <c r="W95" s="13"/>
      <c r="X95" s="16"/>
    </row>
    <row x14ac:dyDescent="0.25" r="96" customHeight="1" ht="15.75">
      <c r="A96" s="8">
        <v>26134</v>
      </c>
      <c r="B96" s="13" t="s">
        <v>512</v>
      </c>
      <c r="C96" s="13" t="s">
        <v>4412</v>
      </c>
      <c r="D96" s="10">
        <v>0.8462</v>
      </c>
      <c r="E96" s="11">
        <v>297.67</v>
      </c>
      <c r="F96" s="10">
        <v>0.9808</v>
      </c>
      <c r="G96" s="11">
        <v>378.4</v>
      </c>
      <c r="H96" s="10">
        <v>0.5</v>
      </c>
      <c r="I96" s="11">
        <v>532.31</v>
      </c>
      <c r="J96" s="10">
        <v>0.6923</v>
      </c>
      <c r="K96" s="11">
        <v>449.03</v>
      </c>
      <c r="L96" s="10">
        <v>0.5192</v>
      </c>
      <c r="M96" s="11">
        <v>500.74</v>
      </c>
      <c r="N96" s="10">
        <v>0.5385</v>
      </c>
      <c r="O96" s="11">
        <v>535.71</v>
      </c>
      <c r="P96" s="10">
        <v>0.8462</v>
      </c>
      <c r="Q96" s="10">
        <v>0.282</v>
      </c>
      <c r="R96" s="10">
        <v>0.6923</v>
      </c>
      <c r="S96" s="10">
        <v>0.2077</v>
      </c>
      <c r="T96" s="8">
        <f>IF(and(ISNUMBER(D96), isnumber(E96)), 1, 0) + IF(and(ISNUMBER(F96), isnumber(G96)), 1, 0) + IF(and(ISNUMBER(H96), isnumber(I96)), 1, 0) + IF(and(ISNUMBER(J96), isnumber(K96)), 1, 0) + IF(and(ISNUMBER(L96), isnumber(M96)), 1, 0) + IF(and(ISNUMBER(N96), isnumber(O96)), 1, 0)</f>
      </c>
      <c r="U96" s="8">
        <f>IF(and(ISNUMBER(P96), isnumber(Q96)), 1, 0) + IF(and(ISNUMBER(R96), isnumber(S96)), 1, 0)</f>
      </c>
      <c r="V96" s="13"/>
      <c r="W96" s="13"/>
      <c r="X96" s="16"/>
    </row>
    <row x14ac:dyDescent="0.25" r="97" customHeight="1" ht="15.75">
      <c r="A97" s="8">
        <v>26121</v>
      </c>
      <c r="B97" s="13" t="s">
        <v>512</v>
      </c>
      <c r="C97" s="13" t="s">
        <v>4415</v>
      </c>
      <c r="D97" s="10">
        <v>0.9926</v>
      </c>
      <c r="E97" s="11">
        <v>311.34</v>
      </c>
      <c r="F97" s="10">
        <v>0.8222</v>
      </c>
      <c r="G97" s="11">
        <v>451.27</v>
      </c>
      <c r="H97" s="10">
        <v>0.8519</v>
      </c>
      <c r="I97" s="11">
        <v>507.13</v>
      </c>
      <c r="J97" s="10">
        <v>0.8444</v>
      </c>
      <c r="K97" s="11">
        <v>521.05</v>
      </c>
      <c r="L97" s="10">
        <v>0.6963</v>
      </c>
      <c r="M97" s="11">
        <v>546.96</v>
      </c>
      <c r="N97" s="10">
        <v>0.7259</v>
      </c>
      <c r="O97" s="11">
        <v>492.37</v>
      </c>
      <c r="P97" s="10">
        <v>0.9926</v>
      </c>
      <c r="Q97" s="10">
        <v>0.2424</v>
      </c>
      <c r="R97" s="10">
        <v>0.8444</v>
      </c>
      <c r="S97" s="10">
        <v>0.2278</v>
      </c>
      <c r="T97" s="8">
        <f>IF(and(ISNUMBER(D97), isnumber(E97)), 1, 0) + IF(and(ISNUMBER(F97), isnumber(G97)), 1, 0) + IF(and(ISNUMBER(H97), isnumber(I97)), 1, 0) + IF(and(ISNUMBER(J97), isnumber(K97)), 1, 0) + IF(and(ISNUMBER(L97), isnumber(M97)), 1, 0) + IF(and(ISNUMBER(N97), isnumber(O97)), 1, 0)</f>
      </c>
      <c r="U97" s="8">
        <f>IF(and(ISNUMBER(P97), isnumber(Q97)), 1, 0) + IF(and(ISNUMBER(R97), isnumber(S97)), 1, 0)</f>
      </c>
      <c r="V97" s="13"/>
      <c r="W97" s="13"/>
      <c r="X97" s="16"/>
    </row>
    <row x14ac:dyDescent="0.25" r="98" customHeight="1" ht="15.75">
      <c r="A98" s="8">
        <v>26098</v>
      </c>
      <c r="B98" s="13" t="s">
        <v>512</v>
      </c>
      <c r="C98" s="13" t="s">
        <v>4418</v>
      </c>
      <c r="D98" s="10">
        <v>0.6026</v>
      </c>
      <c r="E98" s="11">
        <v>293.62</v>
      </c>
      <c r="F98" s="10">
        <v>0.6987</v>
      </c>
      <c r="G98" s="11">
        <v>442.01</v>
      </c>
      <c r="H98" s="10">
        <v>0.6332</v>
      </c>
      <c r="I98" s="11">
        <v>464.17</v>
      </c>
      <c r="J98" s="10">
        <v>0.5852</v>
      </c>
      <c r="K98" s="11">
        <v>389.76</v>
      </c>
      <c r="L98" s="10">
        <v>0.6245</v>
      </c>
      <c r="M98" s="11">
        <v>475.52</v>
      </c>
      <c r="N98" s="10">
        <v>0.6245</v>
      </c>
      <c r="O98" s="11">
        <v>454.83</v>
      </c>
      <c r="P98" s="10">
        <v>0.6026</v>
      </c>
      <c r="Q98" s="10">
        <v>0.2654</v>
      </c>
      <c r="R98" s="10">
        <v>0.5852</v>
      </c>
      <c r="S98" s="10">
        <v>0.2485</v>
      </c>
      <c r="T98" s="8">
        <f>IF(and(ISNUMBER(D98), isnumber(E98)), 1, 0) + IF(and(ISNUMBER(F98), isnumber(G98)), 1, 0) + IF(and(ISNUMBER(H98), isnumber(I98)), 1, 0) + IF(and(ISNUMBER(J98), isnumber(K98)), 1, 0) + IF(and(ISNUMBER(L98), isnumber(M98)), 1, 0) + IF(and(ISNUMBER(N98), isnumber(O98)), 1, 0)</f>
      </c>
      <c r="U98" s="8">
        <f>IF(and(ISNUMBER(P98), isnumber(Q98)), 1, 0) + IF(and(ISNUMBER(R98), isnumber(S98)), 1, 0)</f>
      </c>
      <c r="V98" s="13"/>
      <c r="W98" s="13"/>
      <c r="X98" s="16"/>
    </row>
    <row x14ac:dyDescent="0.25" r="99" customHeight="1" ht="15.75">
      <c r="A99" s="8">
        <v>26122</v>
      </c>
      <c r="B99" s="13" t="s">
        <v>512</v>
      </c>
      <c r="C99" s="13" t="s">
        <v>4423</v>
      </c>
      <c r="D99" s="10">
        <v>0.6809</v>
      </c>
      <c r="E99" s="11">
        <v>312.5</v>
      </c>
      <c r="F99" s="10">
        <v>0.7092</v>
      </c>
      <c r="G99" s="11">
        <v>438.38</v>
      </c>
      <c r="H99" s="10">
        <v>0.8298</v>
      </c>
      <c r="I99" s="11">
        <v>522.78</v>
      </c>
      <c r="J99" s="10">
        <v>0.7943</v>
      </c>
      <c r="K99" s="11">
        <v>440.72</v>
      </c>
      <c r="L99" s="10">
        <v>0.7376</v>
      </c>
      <c r="M99" s="11">
        <v>442.38</v>
      </c>
      <c r="N99" s="10">
        <v>0.7163</v>
      </c>
      <c r="O99" s="11">
        <v>374.29</v>
      </c>
      <c r="P99" s="10">
        <v>0.6809</v>
      </c>
      <c r="Q99" s="10">
        <v>0.2646</v>
      </c>
      <c r="R99" s="10">
        <v>0.7943</v>
      </c>
      <c r="S99" s="10">
        <v>0.2351</v>
      </c>
      <c r="T99" s="8">
        <f>IF(and(ISNUMBER(D99), isnumber(E99)), 1, 0) + IF(and(ISNUMBER(F99), isnumber(G99)), 1, 0) + IF(and(ISNUMBER(H99), isnumber(I99)), 1, 0) + IF(and(ISNUMBER(J99), isnumber(K99)), 1, 0) + IF(and(ISNUMBER(L99), isnumber(M99)), 1, 0) + IF(and(ISNUMBER(N99), isnumber(O99)), 1, 0)</f>
      </c>
      <c r="U99" s="8">
        <f>IF(and(ISNUMBER(P99), isnumber(Q99)), 1, 0) + IF(and(ISNUMBER(R99), isnumber(S99)), 1, 0)</f>
      </c>
      <c r="V99" s="13"/>
      <c r="W99" s="13"/>
      <c r="X99" s="16"/>
    </row>
    <row x14ac:dyDescent="0.25" r="100" customHeight="1" ht="15.75">
      <c r="A100" s="8">
        <v>26114</v>
      </c>
      <c r="B100" s="13" t="s">
        <v>512</v>
      </c>
      <c r="C100" s="13" t="s">
        <v>4428</v>
      </c>
      <c r="D100" s="10">
        <v>0.8286</v>
      </c>
      <c r="E100" s="11">
        <v>307.59</v>
      </c>
      <c r="F100" s="10">
        <v>0.8286</v>
      </c>
      <c r="G100" s="11">
        <v>489.66</v>
      </c>
      <c r="H100" s="10">
        <v>0.7143</v>
      </c>
      <c r="I100" s="11">
        <v>435</v>
      </c>
      <c r="J100" s="10">
        <v>0.8286</v>
      </c>
      <c r="K100" s="11">
        <v>299.31</v>
      </c>
      <c r="L100" s="10">
        <v>0.8571</v>
      </c>
      <c r="M100" s="11">
        <v>541.33</v>
      </c>
      <c r="N100" s="10">
        <v>0.8571</v>
      </c>
      <c r="O100" s="11">
        <v>577.33</v>
      </c>
      <c r="P100" s="10">
        <v>0.8286</v>
      </c>
      <c r="Q100" s="10">
        <v>0.2351</v>
      </c>
      <c r="R100" s="10">
        <v>0.8286</v>
      </c>
      <c r="S100" s="10">
        <v>0.1947</v>
      </c>
      <c r="T100" s="8">
        <f>IF(and(ISNUMBER(D100), isnumber(E100)), 1, 0) + IF(and(ISNUMBER(F100), isnumber(G100)), 1, 0) + IF(and(ISNUMBER(H100), isnumber(I100)), 1, 0) + IF(and(ISNUMBER(J100), isnumber(K100)), 1, 0) + IF(and(ISNUMBER(L100), isnumber(M100)), 1, 0) + IF(and(ISNUMBER(N100), isnumber(O100)), 1, 0)</f>
      </c>
      <c r="U100" s="8">
        <f>IF(and(ISNUMBER(P100), isnumber(Q100)), 1, 0) + IF(and(ISNUMBER(R100), isnumber(S100)), 1, 0)</f>
      </c>
      <c r="V100" s="13"/>
      <c r="W100" s="13"/>
      <c r="X100" s="16"/>
    </row>
    <row x14ac:dyDescent="0.25" r="101" customHeight="1" ht="15.75">
      <c r="A101" s="8">
        <v>26144</v>
      </c>
      <c r="B101" s="13" t="s">
        <v>512</v>
      </c>
      <c r="C101" s="13" t="s">
        <v>4431</v>
      </c>
      <c r="D101" s="10">
        <v>0.8986</v>
      </c>
      <c r="E101" s="11">
        <v>297.05</v>
      </c>
      <c r="F101" s="10">
        <v>0.7246</v>
      </c>
      <c r="G101" s="11">
        <v>446.4</v>
      </c>
      <c r="H101" s="10">
        <v>0.7971</v>
      </c>
      <c r="I101" s="11">
        <v>489.45</v>
      </c>
      <c r="J101" s="10">
        <v>0.7971</v>
      </c>
      <c r="K101" s="11">
        <v>409.23</v>
      </c>
      <c r="L101" s="10">
        <v>0.6232</v>
      </c>
      <c r="M101" s="11">
        <v>425.12</v>
      </c>
      <c r="N101" s="10">
        <v>0.6522</v>
      </c>
      <c r="O101" s="11">
        <v>467.56</v>
      </c>
      <c r="P101" s="10">
        <v>0.8986</v>
      </c>
      <c r="Q101" s="10">
        <v>0.2595</v>
      </c>
      <c r="R101" s="10">
        <v>0.7971</v>
      </c>
      <c r="S101" s="10">
        <v>0.2195</v>
      </c>
      <c r="T101" s="8">
        <f>IF(and(ISNUMBER(D101), isnumber(E101)), 1, 0) + IF(and(ISNUMBER(F101), isnumber(G101)), 1, 0) + IF(and(ISNUMBER(H101), isnumber(I101)), 1, 0) + IF(and(ISNUMBER(J101), isnumber(K101)), 1, 0) + IF(and(ISNUMBER(L101), isnumber(M101)), 1, 0) + IF(and(ISNUMBER(N101), isnumber(O101)), 1, 0)</f>
      </c>
      <c r="U101" s="8">
        <f>IF(and(ISNUMBER(P101), isnumber(Q101)), 1, 0) + IF(and(ISNUMBER(R101), isnumber(S101)), 1, 0)</f>
      </c>
      <c r="V101" s="13"/>
      <c r="W101" s="13"/>
      <c r="X101" s="16"/>
    </row>
    <row x14ac:dyDescent="0.25" r="102" customHeight="1" ht="15.75">
      <c r="A102" s="8">
        <v>26135</v>
      </c>
      <c r="B102" s="13" t="s">
        <v>512</v>
      </c>
      <c r="C102" s="13" t="s">
        <v>4434</v>
      </c>
      <c r="D102" s="10">
        <v>0.9815</v>
      </c>
      <c r="E102" s="11">
        <v>268.35</v>
      </c>
      <c r="F102" s="10">
        <v>1</v>
      </c>
      <c r="G102" s="11">
        <v>404.57</v>
      </c>
      <c r="H102" s="10">
        <v>1</v>
      </c>
      <c r="I102" s="11">
        <v>413.02</v>
      </c>
      <c r="J102" s="10">
        <v>1</v>
      </c>
      <c r="K102" s="11">
        <v>319.38</v>
      </c>
      <c r="L102" s="10">
        <v>0.8682</v>
      </c>
      <c r="M102" s="11">
        <v>581.43</v>
      </c>
      <c r="N102" s="10">
        <v>0.7674</v>
      </c>
      <c r="O102" s="11">
        <v>545.71</v>
      </c>
      <c r="P102" s="10">
        <v>0.9815</v>
      </c>
      <c r="Q102" s="10">
        <v>0.2386</v>
      </c>
      <c r="R102" s="10">
        <v>1</v>
      </c>
      <c r="S102" s="10">
        <v>0.1936</v>
      </c>
      <c r="T102" s="8">
        <f>IF(and(ISNUMBER(D102), isnumber(E102)), 1, 0) + IF(and(ISNUMBER(F102), isnumber(G102)), 1, 0) + IF(and(ISNUMBER(H102), isnumber(I102)), 1, 0) + IF(and(ISNUMBER(J102), isnumber(K102)), 1, 0) + IF(and(ISNUMBER(L102), isnumber(M102)), 1, 0) + IF(and(ISNUMBER(N102), isnumber(O102)), 1, 0)</f>
      </c>
      <c r="U102" s="8">
        <f>IF(and(ISNUMBER(P102), isnumber(Q102)), 1, 0) + IF(and(ISNUMBER(R102), isnumber(S102)), 1, 0)</f>
      </c>
      <c r="V102" s="13"/>
      <c r="W102" s="13"/>
      <c r="X102" s="16"/>
    </row>
    <row x14ac:dyDescent="0.25" r="103" customHeight="1" ht="15.75">
      <c r="A103" s="8">
        <v>26099</v>
      </c>
      <c r="B103" s="13" t="s">
        <v>512</v>
      </c>
      <c r="C103" s="13" t="s">
        <v>4438</v>
      </c>
      <c r="D103" s="10">
        <v>0.8621</v>
      </c>
      <c r="E103" s="11">
        <v>301.87</v>
      </c>
      <c r="F103" s="10">
        <v>1</v>
      </c>
      <c r="G103" s="11">
        <v>364.82</v>
      </c>
      <c r="H103" s="10">
        <v>0.7701</v>
      </c>
      <c r="I103" s="11">
        <v>510.45</v>
      </c>
      <c r="J103" s="10">
        <v>0.6897</v>
      </c>
      <c r="K103" s="11">
        <v>446.32</v>
      </c>
      <c r="L103" s="10">
        <v>0.8391</v>
      </c>
      <c r="M103" s="11">
        <v>564.44</v>
      </c>
      <c r="N103" s="10">
        <v>0.8046</v>
      </c>
      <c r="O103" s="11">
        <v>584.57</v>
      </c>
      <c r="P103" s="10">
        <v>0.8621</v>
      </c>
      <c r="Q103" s="10">
        <v>0.2734</v>
      </c>
      <c r="R103" s="10">
        <v>0.6897</v>
      </c>
      <c r="S103" s="10">
        <v>0.2157</v>
      </c>
      <c r="T103" s="8">
        <f>IF(and(ISNUMBER(D103), isnumber(E103)), 1, 0) + IF(and(ISNUMBER(F103), isnumber(G103)), 1, 0) + IF(and(ISNUMBER(H103), isnumber(I103)), 1, 0) + IF(and(ISNUMBER(J103), isnumber(K103)), 1, 0) + IF(and(ISNUMBER(L103), isnumber(M103)), 1, 0) + IF(and(ISNUMBER(N103), isnumber(O103)), 1, 0)</f>
      </c>
      <c r="U103" s="8">
        <f>IF(and(ISNUMBER(P103), isnumber(Q103)), 1, 0) + IF(and(ISNUMBER(R103), isnumber(S103)), 1, 0)</f>
      </c>
      <c r="V103" s="13"/>
      <c r="W103" s="13"/>
      <c r="X103" s="16"/>
    </row>
    <row x14ac:dyDescent="0.25" r="104" customHeight="1" ht="15.75">
      <c r="A104" s="8">
        <v>26115</v>
      </c>
      <c r="B104" s="13" t="s">
        <v>512</v>
      </c>
      <c r="C104" s="13" t="s">
        <v>4441</v>
      </c>
      <c r="D104" s="10">
        <v>0.9795</v>
      </c>
      <c r="E104" s="11">
        <v>243.08</v>
      </c>
      <c r="F104" s="10">
        <v>0.6849</v>
      </c>
      <c r="G104" s="11">
        <v>410.97</v>
      </c>
      <c r="H104" s="10">
        <v>0.6263</v>
      </c>
      <c r="I104" s="11">
        <v>464.38</v>
      </c>
      <c r="J104" s="10">
        <v>0.4667</v>
      </c>
      <c r="K104" s="11">
        <v>368.75</v>
      </c>
      <c r="L104" s="10">
        <v>0.596</v>
      </c>
      <c r="M104" s="11">
        <v>458.05</v>
      </c>
      <c r="N104" s="10">
        <v>0.4899</v>
      </c>
      <c r="O104" s="11">
        <v>493.32</v>
      </c>
      <c r="P104" s="10">
        <v>0.9795</v>
      </c>
      <c r="Q104" s="10">
        <v>0.202</v>
      </c>
      <c r="R104" s="10">
        <v>0.4667</v>
      </c>
      <c r="S104" s="10">
        <v>0.2062</v>
      </c>
      <c r="T104" s="8">
        <f>IF(and(ISNUMBER(D104), isnumber(E104)), 1, 0) + IF(and(ISNUMBER(F104), isnumber(G104)), 1, 0) + IF(and(ISNUMBER(H104), isnumber(I104)), 1, 0) + IF(and(ISNUMBER(J104), isnumber(K104)), 1, 0) + IF(and(ISNUMBER(L104), isnumber(M104)), 1, 0) + IF(and(ISNUMBER(N104), isnumber(O104)), 1, 0)</f>
      </c>
      <c r="U104" s="8">
        <f>IF(and(ISNUMBER(P104), isnumber(Q104)), 1, 0) + IF(and(ISNUMBER(R104), isnumber(S104)), 1, 0)</f>
      </c>
      <c r="V104" s="13"/>
      <c r="W104" s="13"/>
      <c r="X104" s="16"/>
    </row>
    <row x14ac:dyDescent="0.25" r="105" customHeight="1" ht="15.75">
      <c r="A105" s="8">
        <v>26136</v>
      </c>
      <c r="B105" s="13" t="s">
        <v>512</v>
      </c>
      <c r="C105" s="13" t="s">
        <v>4444</v>
      </c>
      <c r="D105" s="10">
        <v>0.8833</v>
      </c>
      <c r="E105" s="11">
        <v>170.57</v>
      </c>
      <c r="F105" s="10">
        <v>0.65</v>
      </c>
      <c r="G105" s="11">
        <v>321.03</v>
      </c>
      <c r="H105" s="10">
        <v>0.6</v>
      </c>
      <c r="I105" s="11">
        <v>403.43</v>
      </c>
      <c r="J105" s="10">
        <v>0.6833</v>
      </c>
      <c r="K105" s="11">
        <v>292.31</v>
      </c>
      <c r="L105" s="10">
        <v>0.65</v>
      </c>
      <c r="M105" s="11">
        <v>346.67</v>
      </c>
      <c r="N105" s="10">
        <v>0.6</v>
      </c>
      <c r="O105" s="11">
        <v>424.44</v>
      </c>
      <c r="P105" s="10">
        <v>0.8833</v>
      </c>
      <c r="Q105" s="10">
        <v>0.1823</v>
      </c>
      <c r="R105" s="10">
        <v>0.6833</v>
      </c>
      <c r="S105" s="10">
        <v>0.2577</v>
      </c>
      <c r="T105" s="8">
        <f>IF(and(ISNUMBER(D105), isnumber(E105)), 1, 0) + IF(and(ISNUMBER(F105), isnumber(G105)), 1, 0) + IF(and(ISNUMBER(H105), isnumber(I105)), 1, 0) + IF(and(ISNUMBER(J105), isnumber(K105)), 1, 0) + IF(and(ISNUMBER(L105), isnumber(M105)), 1, 0) + IF(and(ISNUMBER(N105), isnumber(O105)), 1, 0)</f>
      </c>
      <c r="U105" s="8">
        <f>IF(and(ISNUMBER(P105), isnumber(Q105)), 1, 0) + IF(and(ISNUMBER(R105), isnumber(S105)), 1, 0)</f>
      </c>
      <c r="V105" s="13"/>
      <c r="W105" s="13"/>
      <c r="X105" s="16"/>
    </row>
    <row x14ac:dyDescent="0.25" r="106" customHeight="1" ht="15.75">
      <c r="A106" s="8">
        <v>26111</v>
      </c>
      <c r="B106" s="13" t="s">
        <v>512</v>
      </c>
      <c r="C106" s="13" t="s">
        <v>4448</v>
      </c>
      <c r="D106" s="10">
        <v>0.8243</v>
      </c>
      <c r="E106" s="11">
        <v>241.96</v>
      </c>
      <c r="F106" s="10">
        <v>0.7297</v>
      </c>
      <c r="G106" s="11">
        <v>398.29</v>
      </c>
      <c r="H106" s="10">
        <v>0.6463</v>
      </c>
      <c r="I106" s="11">
        <v>402.23</v>
      </c>
      <c r="J106" s="10">
        <v>0.8592</v>
      </c>
      <c r="K106" s="11">
        <v>372.54</v>
      </c>
      <c r="L106" s="10">
        <v>0.7073</v>
      </c>
      <c r="M106" s="11">
        <v>429.66</v>
      </c>
      <c r="N106" s="10">
        <v>0.6829</v>
      </c>
      <c r="O106" s="11">
        <v>382.37</v>
      </c>
      <c r="P106" s="10">
        <v>0.8243</v>
      </c>
      <c r="Q106" s="10">
        <v>0.2717</v>
      </c>
      <c r="R106" s="10">
        <v>0.8592</v>
      </c>
      <c r="S106" s="10">
        <v>0.2147</v>
      </c>
      <c r="T106" s="8">
        <f>IF(and(ISNUMBER(D106), isnumber(E106)), 1, 0) + IF(and(ISNUMBER(F106), isnumber(G106)), 1, 0) + IF(and(ISNUMBER(H106), isnumber(I106)), 1, 0) + IF(and(ISNUMBER(J106), isnumber(K106)), 1, 0) + IF(and(ISNUMBER(L106), isnumber(M106)), 1, 0) + IF(and(ISNUMBER(N106), isnumber(O106)), 1, 0)</f>
      </c>
      <c r="U106" s="8">
        <f>IF(and(ISNUMBER(P106), isnumber(Q106)), 1, 0) + IF(and(ISNUMBER(R106), isnumber(S106)), 1, 0)</f>
      </c>
      <c r="V106" s="13"/>
      <c r="W106" s="13"/>
      <c r="X106" s="16"/>
    </row>
    <row x14ac:dyDescent="0.25" r="107" customHeight="1" ht="15.75">
      <c r="A107" s="8">
        <v>26137</v>
      </c>
      <c r="B107" s="13" t="s">
        <v>512</v>
      </c>
      <c r="C107" s="13" t="s">
        <v>4453</v>
      </c>
      <c r="D107" s="10">
        <v>0.9423</v>
      </c>
      <c r="E107" s="11">
        <v>347.22</v>
      </c>
      <c r="F107" s="10">
        <v>0.8654</v>
      </c>
      <c r="G107" s="11">
        <v>482.25</v>
      </c>
      <c r="H107" s="10">
        <v>0.88</v>
      </c>
      <c r="I107" s="11">
        <v>545.93</v>
      </c>
      <c r="J107" s="10">
        <v>0.952</v>
      </c>
      <c r="K107" s="11">
        <v>528.55</v>
      </c>
      <c r="L107" s="10">
        <v>0.824</v>
      </c>
      <c r="M107" s="11">
        <v>563.5</v>
      </c>
      <c r="N107" s="10">
        <v>0.864</v>
      </c>
      <c r="O107" s="11">
        <v>530</v>
      </c>
      <c r="P107" s="10">
        <v>0.9423</v>
      </c>
      <c r="Q107" s="10">
        <v>0.2764</v>
      </c>
      <c r="R107" s="10">
        <v>0.952</v>
      </c>
      <c r="S107" s="10">
        <v>0.2915</v>
      </c>
      <c r="T107" s="8">
        <f>IF(and(ISNUMBER(D107), isnumber(E107)), 1, 0) + IF(and(ISNUMBER(F107), isnumber(G107)), 1, 0) + IF(and(ISNUMBER(H107), isnumber(I107)), 1, 0) + IF(and(ISNUMBER(J107), isnumber(K107)), 1, 0) + IF(and(ISNUMBER(L107), isnumber(M107)), 1, 0) + IF(and(ISNUMBER(N107), isnumber(O107)), 1, 0)</f>
      </c>
      <c r="U107" s="8">
        <f>IF(and(ISNUMBER(P107), isnumber(Q107)), 1, 0) + IF(and(ISNUMBER(R107), isnumber(S107)), 1, 0)</f>
      </c>
      <c r="V107" s="13"/>
      <c r="W107" s="13"/>
      <c r="X107" s="16"/>
    </row>
    <row x14ac:dyDescent="0.25" r="108" customHeight="1" ht="15.75">
      <c r="A108" s="8">
        <v>26126</v>
      </c>
      <c r="B108" s="13" t="s">
        <v>512</v>
      </c>
      <c r="C108" s="13" t="s">
        <v>4458</v>
      </c>
      <c r="D108" s="10">
        <v>0.8969</v>
      </c>
      <c r="E108" s="11">
        <v>396.15</v>
      </c>
      <c r="F108" s="10">
        <v>0.9845</v>
      </c>
      <c r="G108" s="11">
        <v>444.44</v>
      </c>
      <c r="H108" s="10">
        <v>0.8608</v>
      </c>
      <c r="I108" s="11">
        <v>532.85</v>
      </c>
      <c r="J108" s="10">
        <v>0.8299</v>
      </c>
      <c r="K108" s="11">
        <v>514</v>
      </c>
      <c r="L108" s="10">
        <v>0.7887</v>
      </c>
      <c r="M108" s="11">
        <v>550.53</v>
      </c>
      <c r="N108" s="10">
        <v>0.6856</v>
      </c>
      <c r="O108" s="11">
        <v>578.79</v>
      </c>
      <c r="P108" s="10">
        <v>0.8969</v>
      </c>
      <c r="Q108" s="10">
        <v>0.2814</v>
      </c>
      <c r="R108" s="10">
        <v>0.8299</v>
      </c>
      <c r="S108" s="10">
        <v>0.2498</v>
      </c>
      <c r="T108" s="8">
        <f>IF(and(ISNUMBER(D108), isnumber(E108)), 1, 0) + IF(and(ISNUMBER(F108), isnumber(G108)), 1, 0) + IF(and(ISNUMBER(H108), isnumber(I108)), 1, 0) + IF(and(ISNUMBER(J108), isnumber(K108)), 1, 0) + IF(and(ISNUMBER(L108), isnumber(M108)), 1, 0) + IF(and(ISNUMBER(N108), isnumber(O108)), 1, 0)</f>
      </c>
      <c r="U108" s="8">
        <f>IF(and(ISNUMBER(P108), isnumber(Q108)), 1, 0) + IF(and(ISNUMBER(R108), isnumber(S108)), 1, 0)</f>
      </c>
      <c r="V108" s="13"/>
      <c r="W108" s="13"/>
      <c r="X108" s="16"/>
    </row>
    <row x14ac:dyDescent="0.25" r="109" customHeight="1" ht="15.75">
      <c r="A109" s="8">
        <v>26109</v>
      </c>
      <c r="B109" s="13" t="s">
        <v>512</v>
      </c>
      <c r="C109" s="13" t="s">
        <v>4462</v>
      </c>
      <c r="D109" s="10">
        <v>0.9859</v>
      </c>
      <c r="E109" s="11">
        <v>352.57</v>
      </c>
      <c r="F109" s="10">
        <v>0.993</v>
      </c>
      <c r="G109" s="11">
        <v>443.69</v>
      </c>
      <c r="H109" s="10">
        <v>0.9939</v>
      </c>
      <c r="I109" s="11">
        <v>481.46</v>
      </c>
      <c r="J109" s="10">
        <v>0.9939</v>
      </c>
      <c r="K109" s="11">
        <v>456.2</v>
      </c>
      <c r="L109" s="10">
        <v>1</v>
      </c>
      <c r="M109" s="11">
        <v>523.93</v>
      </c>
      <c r="N109" s="10">
        <v>1</v>
      </c>
      <c r="O109" s="11">
        <v>506.67</v>
      </c>
      <c r="P109" s="10">
        <v>0.9859</v>
      </c>
      <c r="Q109" s="10">
        <v>0.3061</v>
      </c>
      <c r="R109" s="10">
        <v>0.9939</v>
      </c>
      <c r="S109" s="10">
        <v>0.3102</v>
      </c>
      <c r="T109" s="8">
        <f>IF(and(ISNUMBER(D109), isnumber(E109)), 1, 0) + IF(and(ISNUMBER(F109), isnumber(G109)), 1, 0) + IF(and(ISNUMBER(H109), isnumber(I109)), 1, 0) + IF(and(ISNUMBER(J109), isnumber(K109)), 1, 0) + IF(and(ISNUMBER(L109), isnumber(M109)), 1, 0) + IF(and(ISNUMBER(N109), isnumber(O109)), 1, 0)</f>
      </c>
      <c r="U109" s="8">
        <f>IF(and(ISNUMBER(P109), isnumber(Q109)), 1, 0) + IF(and(ISNUMBER(R109), isnumber(S109)), 1, 0)</f>
      </c>
      <c r="V109" s="13"/>
      <c r="W109" s="13"/>
      <c r="X109" s="16"/>
    </row>
    <row x14ac:dyDescent="0.25" r="110" customHeight="1" ht="15.75">
      <c r="A110" s="8">
        <v>26100</v>
      </c>
      <c r="B110" s="13" t="s">
        <v>512</v>
      </c>
      <c r="C110" s="13" t="s">
        <v>4466</v>
      </c>
      <c r="D110" s="10">
        <v>0.7119</v>
      </c>
      <c r="E110" s="11">
        <v>230.29</v>
      </c>
      <c r="F110" s="10">
        <v>0.6337</v>
      </c>
      <c r="G110" s="11">
        <v>372.55</v>
      </c>
      <c r="H110" s="10">
        <v>0.5609</v>
      </c>
      <c r="I110" s="11">
        <v>370.64</v>
      </c>
      <c r="J110" s="10">
        <v>0.5188</v>
      </c>
      <c r="K110" s="11">
        <v>289.14</v>
      </c>
      <c r="L110" s="10">
        <v>0.4649</v>
      </c>
      <c r="M110" s="11">
        <v>417.44</v>
      </c>
      <c r="N110" s="10">
        <v>0.5277</v>
      </c>
      <c r="O110" s="11">
        <v>411.39</v>
      </c>
      <c r="P110" s="10">
        <v>0.7119</v>
      </c>
      <c r="Q110" s="10">
        <v>0.2399</v>
      </c>
      <c r="R110" s="10">
        <v>0.5188</v>
      </c>
      <c r="S110" s="10">
        <v>0.2054</v>
      </c>
      <c r="T110" s="8">
        <f>IF(and(ISNUMBER(D110), isnumber(E110)), 1, 0) + IF(and(ISNUMBER(F110), isnumber(G110)), 1, 0) + IF(and(ISNUMBER(H110), isnumber(I110)), 1, 0) + IF(and(ISNUMBER(J110), isnumber(K110)), 1, 0) + IF(and(ISNUMBER(L110), isnumber(M110)), 1, 0) + IF(and(ISNUMBER(N110), isnumber(O110)), 1, 0)</f>
      </c>
      <c r="U110" s="8">
        <f>IF(and(ISNUMBER(P110), isnumber(Q110)), 1, 0) + IF(and(ISNUMBER(R110), isnumber(S110)), 1, 0)</f>
      </c>
      <c r="V110" s="13"/>
      <c r="W110" s="13"/>
      <c r="X110" s="16"/>
    </row>
    <row x14ac:dyDescent="0.25" r="111" customHeight="1" ht="15.75">
      <c r="A111" s="8">
        <v>26138</v>
      </c>
      <c r="B111" s="13" t="s">
        <v>512</v>
      </c>
      <c r="C111" s="13" t="s">
        <v>4470</v>
      </c>
      <c r="D111" s="10">
        <v>0.7627</v>
      </c>
      <c r="E111" s="11">
        <v>264.6</v>
      </c>
      <c r="F111" s="10">
        <v>0.6497</v>
      </c>
      <c r="G111" s="11">
        <v>412.52</v>
      </c>
      <c r="H111" s="10">
        <v>0.4159</v>
      </c>
      <c r="I111" s="11">
        <v>445.13</v>
      </c>
      <c r="J111" s="10">
        <v>0.6613</v>
      </c>
      <c r="K111" s="11">
        <v>340.36</v>
      </c>
      <c r="L111" s="10">
        <v>0.486</v>
      </c>
      <c r="M111" s="11">
        <v>461.01</v>
      </c>
      <c r="N111" s="10">
        <v>0.5047</v>
      </c>
      <c r="O111" s="11">
        <v>508.56</v>
      </c>
      <c r="P111" s="10">
        <v>0.7627</v>
      </c>
      <c r="Q111" s="10">
        <v>0.2586</v>
      </c>
      <c r="R111" s="10">
        <v>0.6613</v>
      </c>
      <c r="S111" s="10">
        <v>0.378</v>
      </c>
      <c r="T111" s="8">
        <f>IF(and(ISNUMBER(D111), isnumber(E111)), 1, 0) + IF(and(ISNUMBER(F111), isnumber(G111)), 1, 0) + IF(and(ISNUMBER(H111), isnumber(I111)), 1, 0) + IF(and(ISNUMBER(J111), isnumber(K111)), 1, 0) + IF(and(ISNUMBER(L111), isnumber(M111)), 1, 0) + IF(and(ISNUMBER(N111), isnumber(O111)), 1, 0)</f>
      </c>
      <c r="U111" s="8">
        <f>IF(and(ISNUMBER(P111), isnumber(Q111)), 1, 0) + IF(and(ISNUMBER(R111), isnumber(S111)), 1, 0)</f>
      </c>
      <c r="V111" s="13"/>
      <c r="W111" s="13"/>
      <c r="X111" s="16"/>
    </row>
    <row x14ac:dyDescent="0.25" r="112" customHeight="1" ht="15.75">
      <c r="A112" s="8">
        <v>26123</v>
      </c>
      <c r="B112" s="13" t="s">
        <v>512</v>
      </c>
      <c r="C112" s="13" t="s">
        <v>4475</v>
      </c>
      <c r="D112" s="10">
        <v>0.6012</v>
      </c>
      <c r="E112" s="11">
        <v>154.57</v>
      </c>
      <c r="F112" s="10">
        <v>0.6726</v>
      </c>
      <c r="G112" s="11">
        <v>323.34</v>
      </c>
      <c r="H112" s="10">
        <v>0.7059</v>
      </c>
      <c r="I112" s="11">
        <v>384.85</v>
      </c>
      <c r="J112" s="10">
        <v>0.608</v>
      </c>
      <c r="K112" s="11">
        <v>375.15</v>
      </c>
      <c r="L112" s="10">
        <v>0.5989</v>
      </c>
      <c r="M112" s="11">
        <v>445.36</v>
      </c>
      <c r="N112" s="10">
        <v>0.6578</v>
      </c>
      <c r="O112" s="11">
        <v>456.26</v>
      </c>
      <c r="P112" s="10">
        <v>0.6012</v>
      </c>
      <c r="Q112" s="10">
        <v>0.1644</v>
      </c>
      <c r="R112" s="10">
        <v>0.608</v>
      </c>
      <c r="S112" s="10">
        <v>0.2172</v>
      </c>
      <c r="T112" s="8">
        <f>IF(and(ISNUMBER(D112), isnumber(E112)), 1, 0) + IF(and(ISNUMBER(F112), isnumber(G112)), 1, 0) + IF(and(ISNUMBER(H112), isnumber(I112)), 1, 0) + IF(and(ISNUMBER(J112), isnumber(K112)), 1, 0) + IF(and(ISNUMBER(L112), isnumber(M112)), 1, 0) + IF(and(ISNUMBER(N112), isnumber(O112)), 1, 0)</f>
      </c>
      <c r="U112" s="8">
        <f>IF(and(ISNUMBER(P112), isnumber(Q112)), 1, 0) + IF(and(ISNUMBER(R112), isnumber(S112)), 1, 0)</f>
      </c>
      <c r="V112" s="13"/>
      <c r="W112" s="13"/>
      <c r="X112" s="16"/>
    </row>
    <row x14ac:dyDescent="0.25" r="113" customHeight="1" ht="15.75">
      <c r="A113" s="8">
        <v>26124</v>
      </c>
      <c r="B113" s="13" t="s">
        <v>512</v>
      </c>
      <c r="C113" s="13" t="s">
        <v>4480</v>
      </c>
      <c r="D113" s="10">
        <v>0.8348</v>
      </c>
      <c r="E113" s="11">
        <v>280.21</v>
      </c>
      <c r="F113" s="10">
        <v>0.7217</v>
      </c>
      <c r="G113" s="11">
        <v>461.46</v>
      </c>
      <c r="H113" s="10">
        <v>0.7565</v>
      </c>
      <c r="I113" s="11">
        <v>529.94</v>
      </c>
      <c r="J113" s="10">
        <v>0.8043</v>
      </c>
      <c r="K113" s="11">
        <v>477.18</v>
      </c>
      <c r="L113" s="10">
        <v>0.7</v>
      </c>
      <c r="M113" s="11">
        <v>527.55</v>
      </c>
      <c r="N113" s="10">
        <v>0.5826</v>
      </c>
      <c r="O113" s="11">
        <v>526.57</v>
      </c>
      <c r="P113" s="10">
        <v>0.8348</v>
      </c>
      <c r="Q113" s="10">
        <v>0.2553</v>
      </c>
      <c r="R113" s="10">
        <v>0.8043</v>
      </c>
      <c r="S113" s="10">
        <v>0.2196</v>
      </c>
      <c r="T113" s="8">
        <f>IF(and(ISNUMBER(D113), isnumber(E113)), 1, 0) + IF(and(ISNUMBER(F113), isnumber(G113)), 1, 0) + IF(and(ISNUMBER(H113), isnumber(I113)), 1, 0) + IF(and(ISNUMBER(J113), isnumber(K113)), 1, 0) + IF(and(ISNUMBER(L113), isnumber(M113)), 1, 0) + IF(and(ISNUMBER(N113), isnumber(O113)), 1, 0)</f>
      </c>
      <c r="U113" s="8">
        <f>IF(and(ISNUMBER(P113), isnumber(Q113)), 1, 0) + IF(and(ISNUMBER(R113), isnumber(S113)), 1, 0)</f>
      </c>
      <c r="V113" s="13"/>
      <c r="W113" s="13"/>
      <c r="X113" s="16"/>
    </row>
    <row x14ac:dyDescent="0.25" r="114" customHeight="1" ht="15.75">
      <c r="A114" s="8">
        <v>26145</v>
      </c>
      <c r="B114" s="13" t="s">
        <v>512</v>
      </c>
      <c r="C114" s="13" t="s">
        <v>4484</v>
      </c>
      <c r="D114" s="10">
        <v>0.7581</v>
      </c>
      <c r="E114" s="11">
        <v>263.6</v>
      </c>
      <c r="F114" s="10">
        <v>0.6237</v>
      </c>
      <c r="G114" s="11">
        <v>362.07</v>
      </c>
      <c r="H114" s="10">
        <v>0.5727</v>
      </c>
      <c r="I114" s="11">
        <v>458.1</v>
      </c>
      <c r="J114" s="10">
        <v>0.6602</v>
      </c>
      <c r="K114" s="11">
        <v>365.06</v>
      </c>
      <c r="L114" s="10">
        <v>0.5136</v>
      </c>
      <c r="M114" s="11">
        <v>450.62</v>
      </c>
      <c r="N114" s="10">
        <v>0.5364</v>
      </c>
      <c r="O114" s="11">
        <v>480</v>
      </c>
      <c r="P114" s="10">
        <v>0.7581</v>
      </c>
      <c r="Q114" s="10">
        <v>0.2304</v>
      </c>
      <c r="R114" s="10">
        <v>0.6602</v>
      </c>
      <c r="S114" s="10">
        <v>0.2351</v>
      </c>
      <c r="T114" s="8">
        <f>IF(and(ISNUMBER(D114), isnumber(E114)), 1, 0) + IF(and(ISNUMBER(F114), isnumber(G114)), 1, 0) + IF(and(ISNUMBER(H114), isnumber(I114)), 1, 0) + IF(and(ISNUMBER(J114), isnumber(K114)), 1, 0) + IF(and(ISNUMBER(L114), isnumber(M114)), 1, 0) + IF(and(ISNUMBER(N114), isnumber(O114)), 1, 0)</f>
      </c>
      <c r="U114" s="8">
        <f>IF(and(ISNUMBER(P114), isnumber(Q114)), 1, 0) + IF(and(ISNUMBER(R114), isnumber(S114)), 1, 0)</f>
      </c>
      <c r="V114" s="13"/>
      <c r="W114" s="13"/>
      <c r="X114" s="16"/>
    </row>
    <row x14ac:dyDescent="0.25" r="115" customHeight="1" ht="15.75">
      <c r="A115" s="8">
        <v>26125</v>
      </c>
      <c r="B115" s="13" t="s">
        <v>512</v>
      </c>
      <c r="C115" s="13" t="s">
        <v>4488</v>
      </c>
      <c r="D115" s="10">
        <v>0.6481</v>
      </c>
      <c r="E115" s="11">
        <v>114.67</v>
      </c>
      <c r="F115" s="10">
        <v>0.7593</v>
      </c>
      <c r="G115" s="11">
        <v>218.57</v>
      </c>
      <c r="H115" s="10">
        <v>0.4819</v>
      </c>
      <c r="I115" s="11">
        <v>428.95</v>
      </c>
      <c r="J115" s="10">
        <v>0.7218</v>
      </c>
      <c r="K115" s="11">
        <v>243.29</v>
      </c>
      <c r="L115" s="10">
        <v>0.4611</v>
      </c>
      <c r="M115" s="11">
        <v>422.85</v>
      </c>
      <c r="N115" s="10">
        <v>0.3627</v>
      </c>
      <c r="O115" s="11">
        <v>411.48</v>
      </c>
      <c r="P115" s="10">
        <v>0.6481</v>
      </c>
      <c r="Q115" s="10">
        <v>0.115</v>
      </c>
      <c r="R115" s="10">
        <v>0.7218</v>
      </c>
      <c r="S115" s="10">
        <v>0.2324</v>
      </c>
      <c r="T115" s="8">
        <f>IF(and(ISNUMBER(D115), isnumber(E115)), 1, 0) + IF(and(ISNUMBER(F115), isnumber(G115)), 1, 0) + IF(and(ISNUMBER(H115), isnumber(I115)), 1, 0) + IF(and(ISNUMBER(J115), isnumber(K115)), 1, 0) + IF(and(ISNUMBER(L115), isnumber(M115)), 1, 0) + IF(and(ISNUMBER(N115), isnumber(O115)), 1, 0)</f>
      </c>
      <c r="U115" s="8">
        <f>IF(and(ISNUMBER(P115), isnumber(Q115)), 1, 0) + IF(and(ISNUMBER(R115), isnumber(S115)), 1, 0)</f>
      </c>
      <c r="V115" s="13"/>
      <c r="W115" s="13"/>
      <c r="X115" s="16"/>
    </row>
    <row x14ac:dyDescent="0.25" r="116" customHeight="1" ht="15.75">
      <c r="A116" s="8">
        <v>26129</v>
      </c>
      <c r="B116" s="13" t="s">
        <v>512</v>
      </c>
      <c r="C116" s="13" t="s">
        <v>4492</v>
      </c>
      <c r="D116" s="10">
        <v>1</v>
      </c>
      <c r="E116" s="11">
        <v>283.75</v>
      </c>
      <c r="F116" s="10">
        <v>0.8144</v>
      </c>
      <c r="G116" s="11">
        <v>436.46</v>
      </c>
      <c r="H116" s="10">
        <v>0.7835</v>
      </c>
      <c r="I116" s="11">
        <v>510.4</v>
      </c>
      <c r="J116" s="10">
        <v>0.8454</v>
      </c>
      <c r="K116" s="11">
        <v>472.2</v>
      </c>
      <c r="L116" s="10">
        <v>0.8041</v>
      </c>
      <c r="M116" s="11">
        <v>472.82</v>
      </c>
      <c r="N116" s="10">
        <v>0.8247</v>
      </c>
      <c r="O116" s="11">
        <v>536.53</v>
      </c>
      <c r="P116" s="10">
        <v>1</v>
      </c>
      <c r="Q116" s="10">
        <v>0.2959</v>
      </c>
      <c r="R116" s="10">
        <v>0.8454</v>
      </c>
      <c r="S116" s="10">
        <v>0.2363</v>
      </c>
      <c r="T116" s="8">
        <f>IF(and(ISNUMBER(D116), isnumber(E116)), 1, 0) + IF(and(ISNUMBER(F116), isnumber(G116)), 1, 0) + IF(and(ISNUMBER(H116), isnumber(I116)), 1, 0) + IF(and(ISNUMBER(J116), isnumber(K116)), 1, 0) + IF(and(ISNUMBER(L116), isnumber(M116)), 1, 0) + IF(and(ISNUMBER(N116), isnumber(O116)), 1, 0)</f>
      </c>
      <c r="U116" s="8">
        <f>IF(and(ISNUMBER(P116), isnumber(Q116)), 1, 0) + IF(and(ISNUMBER(R116), isnumber(S116)), 1, 0)</f>
      </c>
      <c r="V116" s="13"/>
      <c r="W116" s="13"/>
      <c r="X116" s="16"/>
    </row>
    <row x14ac:dyDescent="0.25" r="117" customHeight="1" ht="15.75">
      <c r="A117" s="8">
        <v>26101</v>
      </c>
      <c r="B117" s="13" t="s">
        <v>512</v>
      </c>
      <c r="C117" s="13" t="s">
        <v>4496</v>
      </c>
      <c r="D117" s="10">
        <v>0.7853</v>
      </c>
      <c r="E117" s="11">
        <v>276.23</v>
      </c>
      <c r="F117" s="10">
        <v>0.7232</v>
      </c>
      <c r="G117" s="11">
        <v>367.5</v>
      </c>
      <c r="H117" s="10">
        <v>0.7232</v>
      </c>
      <c r="I117" s="11">
        <v>487.81</v>
      </c>
      <c r="J117" s="10">
        <v>0.5537</v>
      </c>
      <c r="K117" s="11">
        <v>410.61</v>
      </c>
      <c r="L117" s="10">
        <v>0.6441</v>
      </c>
      <c r="M117" s="11">
        <v>443.89</v>
      </c>
      <c r="N117" s="10">
        <v>0.6949</v>
      </c>
      <c r="O117" s="11">
        <v>438.36</v>
      </c>
      <c r="P117" s="10">
        <v>0.7853</v>
      </c>
      <c r="Q117" s="10">
        <v>0.2401</v>
      </c>
      <c r="R117" s="10">
        <v>0.5537</v>
      </c>
      <c r="S117" s="10">
        <v>0.2066</v>
      </c>
      <c r="T117" s="8">
        <f>IF(and(ISNUMBER(D117), isnumber(E117)), 1, 0) + IF(and(ISNUMBER(F117), isnumber(G117)), 1, 0) + IF(and(ISNUMBER(H117), isnumber(I117)), 1, 0) + IF(and(ISNUMBER(J117), isnumber(K117)), 1, 0) + IF(and(ISNUMBER(L117), isnumber(M117)), 1, 0) + IF(and(ISNUMBER(N117), isnumber(O117)), 1, 0)</f>
      </c>
      <c r="U117" s="8">
        <f>IF(and(ISNUMBER(P117), isnumber(Q117)), 1, 0) + IF(and(ISNUMBER(R117), isnumber(S117)), 1, 0)</f>
      </c>
      <c r="V117" s="13"/>
      <c r="W117" s="13"/>
      <c r="X117" s="16"/>
    </row>
    <row x14ac:dyDescent="0.25" r="118" customHeight="1" ht="15.75">
      <c r="A118" s="8">
        <v>26139</v>
      </c>
      <c r="B118" s="13" t="s">
        <v>512</v>
      </c>
      <c r="C118" s="13" t="s">
        <v>4499</v>
      </c>
      <c r="D118" s="10">
        <v>0.9946</v>
      </c>
      <c r="E118" s="11">
        <v>312.57</v>
      </c>
      <c r="F118" s="10">
        <v>0.9946</v>
      </c>
      <c r="G118" s="11">
        <v>417.65</v>
      </c>
      <c r="H118" s="10">
        <v>0.7609</v>
      </c>
      <c r="I118" s="11">
        <v>520</v>
      </c>
      <c r="J118" s="10">
        <v>0.7826</v>
      </c>
      <c r="K118" s="11">
        <v>483.64</v>
      </c>
      <c r="L118" s="10">
        <v>0.8424</v>
      </c>
      <c r="M118" s="11">
        <v>500.65</v>
      </c>
      <c r="N118" s="10">
        <v>0.7446</v>
      </c>
      <c r="O118" s="11">
        <v>519.71</v>
      </c>
      <c r="P118" s="10">
        <v>0.9946</v>
      </c>
      <c r="Q118" s="10">
        <v>0.2372</v>
      </c>
      <c r="R118" s="10">
        <v>0.7826</v>
      </c>
      <c r="S118" s="10">
        <v>0.2275</v>
      </c>
      <c r="T118" s="8">
        <f>IF(and(ISNUMBER(D118), isnumber(E118)), 1, 0) + IF(and(ISNUMBER(F118), isnumber(G118)), 1, 0) + IF(and(ISNUMBER(H118), isnumber(I118)), 1, 0) + IF(and(ISNUMBER(J118), isnumber(K118)), 1, 0) + IF(and(ISNUMBER(L118), isnumber(M118)), 1, 0) + IF(and(ISNUMBER(N118), isnumber(O118)), 1, 0)</f>
      </c>
      <c r="U118" s="8">
        <f>IF(and(ISNUMBER(P118), isnumber(Q118)), 1, 0) + IF(and(ISNUMBER(R118), isnumber(S118)), 1, 0)</f>
      </c>
      <c r="V118" s="13"/>
      <c r="W118" s="13"/>
      <c r="X118" s="16"/>
    </row>
    <row x14ac:dyDescent="0.25" r="119" customHeight="1" ht="15.75">
      <c r="A119" s="8">
        <v>26118</v>
      </c>
      <c r="B119" s="13" t="s">
        <v>512</v>
      </c>
      <c r="C119" s="13" t="s">
        <v>4504</v>
      </c>
      <c r="D119" s="10">
        <v>0.9849</v>
      </c>
      <c r="E119" s="11">
        <v>168.81</v>
      </c>
      <c r="F119" s="10">
        <v>0.6265</v>
      </c>
      <c r="G119" s="11">
        <v>389.84</v>
      </c>
      <c r="H119" s="10">
        <v>0.6618</v>
      </c>
      <c r="I119" s="11">
        <v>459.93</v>
      </c>
      <c r="J119" s="10">
        <v>0.6548</v>
      </c>
      <c r="K119" s="11">
        <v>388.13</v>
      </c>
      <c r="L119" s="10">
        <v>0.6122</v>
      </c>
      <c r="M119" s="11" t="s">
        <v>7127</v>
      </c>
      <c r="N119" s="10">
        <v>0.6414</v>
      </c>
      <c r="O119" s="11">
        <v>436.54</v>
      </c>
      <c r="P119" s="10">
        <v>0.9849</v>
      </c>
      <c r="Q119" s="10">
        <v>0.1709</v>
      </c>
      <c r="R119" s="10">
        <v>0.6548</v>
      </c>
      <c r="S119" s="10">
        <v>0.2043</v>
      </c>
      <c r="T119" s="8">
        <f>IF(and(ISNUMBER(D119), isnumber(E119)), 1, 0) + IF(and(ISNUMBER(F119), isnumber(G119)), 1, 0) + IF(and(ISNUMBER(H119), isnumber(I119)), 1, 0) + IF(and(ISNUMBER(J119), isnumber(K119)), 1, 0) + IF(and(ISNUMBER(L119), isnumber(M119)), 1, 0) + IF(and(ISNUMBER(N119), isnumber(O119)), 1, 0)</f>
      </c>
      <c r="U119" s="8">
        <f>IF(and(ISNUMBER(P119), isnumber(Q119)), 1, 0) + IF(and(ISNUMBER(R119), isnumber(S119)), 1, 0)</f>
      </c>
      <c r="V119" s="13"/>
      <c r="W119" s="13"/>
      <c r="X119" s="16"/>
    </row>
    <row x14ac:dyDescent="0.25" r="120" customHeight="1" ht="15.75">
      <c r="A120" s="8">
        <v>26102</v>
      </c>
      <c r="B120" s="13" t="s">
        <v>512</v>
      </c>
      <c r="C120" s="13" t="s">
        <v>4508</v>
      </c>
      <c r="D120" s="10">
        <v>0.8</v>
      </c>
      <c r="E120" s="11">
        <v>166.09</v>
      </c>
      <c r="F120" s="10">
        <v>0.7667</v>
      </c>
      <c r="G120" s="11">
        <v>304</v>
      </c>
      <c r="H120" s="10">
        <v>0.6</v>
      </c>
      <c r="I120" s="11">
        <v>336</v>
      </c>
      <c r="J120" s="10">
        <v>0.6667</v>
      </c>
      <c r="K120" s="11">
        <v>237</v>
      </c>
      <c r="L120" s="10">
        <v>0.7667</v>
      </c>
      <c r="M120" s="11">
        <v>320.89</v>
      </c>
      <c r="N120" s="10">
        <v>0.7333</v>
      </c>
      <c r="O120" s="11">
        <v>358.18</v>
      </c>
      <c r="P120" s="10">
        <v>0.8</v>
      </c>
      <c r="Q120" s="10">
        <v>0.2347</v>
      </c>
      <c r="R120" s="10">
        <v>0.6667</v>
      </c>
      <c r="S120" s="10">
        <v>0.2097</v>
      </c>
      <c r="T120" s="8">
        <f>IF(and(ISNUMBER(D120), isnumber(E120)), 1, 0) + IF(and(ISNUMBER(F120), isnumber(G120)), 1, 0) + IF(and(ISNUMBER(H120), isnumber(I120)), 1, 0) + IF(and(ISNUMBER(J120), isnumber(K120)), 1, 0) + IF(and(ISNUMBER(L120), isnumber(M120)), 1, 0) + IF(and(ISNUMBER(N120), isnumber(O120)), 1, 0)</f>
      </c>
      <c r="U120" s="8">
        <f>IF(and(ISNUMBER(P120), isnumber(Q120)), 1, 0) + IF(and(ISNUMBER(R120), isnumber(S120)), 1, 0)</f>
      </c>
      <c r="V120" s="13"/>
      <c r="W120" s="13"/>
      <c r="X120" s="16"/>
    </row>
    <row x14ac:dyDescent="0.25" r="121" customHeight="1" ht="15.75">
      <c r="A121" s="8">
        <v>26112</v>
      </c>
      <c r="B121" s="13" t="s">
        <v>512</v>
      </c>
      <c r="C121" s="13" t="s">
        <v>4510</v>
      </c>
      <c r="D121" s="10">
        <v>0.7132</v>
      </c>
      <c r="E121" s="11">
        <v>197.94</v>
      </c>
      <c r="F121" s="10">
        <v>0.5882</v>
      </c>
      <c r="G121" s="11">
        <v>436</v>
      </c>
      <c r="H121" s="10">
        <v>0.6176</v>
      </c>
      <c r="I121" s="11">
        <v>435.71</v>
      </c>
      <c r="J121" s="10">
        <v>0.6176</v>
      </c>
      <c r="K121" s="11">
        <v>289.52</v>
      </c>
      <c r="L121" s="10">
        <v>0.5956</v>
      </c>
      <c r="M121" s="11">
        <v>438.02</v>
      </c>
      <c r="N121" s="10">
        <v>0.6324</v>
      </c>
      <c r="O121" s="11">
        <v>468.24</v>
      </c>
      <c r="P121" s="10">
        <v>0.7132</v>
      </c>
      <c r="Q121" s="10">
        <v>0.2451</v>
      </c>
      <c r="R121" s="10">
        <v>0.6176</v>
      </c>
      <c r="S121" s="10">
        <v>0.2077</v>
      </c>
      <c r="T121" s="8">
        <f>IF(and(ISNUMBER(D121), isnumber(E121)), 1, 0) + IF(and(ISNUMBER(F121), isnumber(G121)), 1, 0) + IF(and(ISNUMBER(H121), isnumber(I121)), 1, 0) + IF(and(ISNUMBER(J121), isnumber(K121)), 1, 0) + IF(and(ISNUMBER(L121), isnumber(M121)), 1, 0) + IF(and(ISNUMBER(N121), isnumber(O121)), 1, 0)</f>
      </c>
      <c r="U121" s="8">
        <f>IF(and(ISNUMBER(P121), isnumber(Q121)), 1, 0) + IF(and(ISNUMBER(R121), isnumber(S121)), 1, 0)</f>
      </c>
      <c r="V121" s="13"/>
      <c r="W121" s="13"/>
      <c r="X121" s="16"/>
    </row>
    <row x14ac:dyDescent="0.25" r="122" customHeight="1" ht="15.75">
      <c r="A122" s="8">
        <v>26103</v>
      </c>
      <c r="B122" s="13" t="s">
        <v>512</v>
      </c>
      <c r="C122" s="13" t="s">
        <v>4513</v>
      </c>
      <c r="D122" s="10">
        <v>1</v>
      </c>
      <c r="E122" s="11">
        <v>299.74</v>
      </c>
      <c r="F122" s="10">
        <v>1</v>
      </c>
      <c r="G122" s="11">
        <v>320</v>
      </c>
      <c r="H122" s="10">
        <v>0.7403</v>
      </c>
      <c r="I122" s="11">
        <v>461.75</v>
      </c>
      <c r="J122" s="10">
        <v>0.7143</v>
      </c>
      <c r="K122" s="11">
        <v>454.55</v>
      </c>
      <c r="L122" s="10">
        <v>0.7013</v>
      </c>
      <c r="M122" s="11">
        <v>564.44</v>
      </c>
      <c r="N122" s="10">
        <v>0.7403</v>
      </c>
      <c r="O122" s="11">
        <v>508.07</v>
      </c>
      <c r="P122" s="10">
        <v>1</v>
      </c>
      <c r="Q122" s="10">
        <v>0.2058</v>
      </c>
      <c r="R122" s="10">
        <v>0.7143</v>
      </c>
      <c r="S122" s="10">
        <v>0.2266</v>
      </c>
      <c r="T122" s="8">
        <f>IF(and(ISNUMBER(D122), isnumber(E122)), 1, 0) + IF(and(ISNUMBER(F122), isnumber(G122)), 1, 0) + IF(and(ISNUMBER(H122), isnumber(I122)), 1, 0) + IF(and(ISNUMBER(J122), isnumber(K122)), 1, 0) + IF(and(ISNUMBER(L122), isnumber(M122)), 1, 0) + IF(and(ISNUMBER(N122), isnumber(O122)), 1, 0)</f>
      </c>
      <c r="U122" s="8">
        <f>IF(and(ISNUMBER(P122), isnumber(Q122)), 1, 0) + IF(and(ISNUMBER(R122), isnumber(S122)), 1, 0)</f>
      </c>
      <c r="V122" s="13"/>
      <c r="W122" s="13"/>
      <c r="X122" s="16"/>
    </row>
    <row x14ac:dyDescent="0.25" r="123" customHeight="1" ht="15.75">
      <c r="A123" s="8">
        <v>26127</v>
      </c>
      <c r="B123" s="13" t="s">
        <v>512</v>
      </c>
      <c r="C123" s="13" t="s">
        <v>4515</v>
      </c>
      <c r="D123" s="10">
        <v>0.9485</v>
      </c>
      <c r="E123" s="11">
        <v>301.7</v>
      </c>
      <c r="F123" s="10">
        <v>0.7721</v>
      </c>
      <c r="G123" s="11">
        <v>449.91</v>
      </c>
      <c r="H123" s="10">
        <v>0.7133</v>
      </c>
      <c r="I123" s="11">
        <v>519.96</v>
      </c>
      <c r="J123" s="10">
        <v>0.7778</v>
      </c>
      <c r="K123" s="11" t="s">
        <v>7127</v>
      </c>
      <c r="L123" s="10">
        <v>0.72</v>
      </c>
      <c r="M123" s="11" t="s">
        <v>7127</v>
      </c>
      <c r="N123" s="10">
        <v>0.7333</v>
      </c>
      <c r="O123" s="11">
        <v>521.45</v>
      </c>
      <c r="P123" s="10">
        <v>0.9485</v>
      </c>
      <c r="Q123" s="10">
        <v>0.2615</v>
      </c>
      <c r="R123" s="10">
        <v>0.7778</v>
      </c>
      <c r="S123" s="10">
        <v>0.2279</v>
      </c>
      <c r="T123" s="8">
        <f>IF(and(ISNUMBER(D123), isnumber(E123)), 1, 0) + IF(and(ISNUMBER(F123), isnumber(G123)), 1, 0) + IF(and(ISNUMBER(H123), isnumber(I123)), 1, 0) + IF(and(ISNUMBER(J123), isnumber(K123)), 1, 0) + IF(and(ISNUMBER(L123), isnumber(M123)), 1, 0) + IF(and(ISNUMBER(N123), isnumber(O123)), 1, 0)</f>
      </c>
      <c r="U123" s="8">
        <f>IF(and(ISNUMBER(P123), isnumber(Q123)), 1, 0) + IF(and(ISNUMBER(R123), isnumber(S123)), 1, 0)</f>
      </c>
      <c r="V123" s="13"/>
      <c r="W123" s="13"/>
      <c r="X123" s="16"/>
    </row>
    <row x14ac:dyDescent="0.25" r="124" customHeight="1" ht="15.75">
      <c r="A124" s="8">
        <v>26110</v>
      </c>
      <c r="B124" s="13" t="s">
        <v>512</v>
      </c>
      <c r="C124" s="13" t="s">
        <v>4518</v>
      </c>
      <c r="D124" s="10">
        <v>0.7308</v>
      </c>
      <c r="E124" s="11">
        <v>240.74</v>
      </c>
      <c r="F124" s="10">
        <v>0.6026</v>
      </c>
      <c r="G124" s="11">
        <v>394.55</v>
      </c>
      <c r="H124" s="10">
        <v>0.6923</v>
      </c>
      <c r="I124" s="11">
        <v>452.83</v>
      </c>
      <c r="J124" s="10">
        <v>0.8718</v>
      </c>
      <c r="K124" s="11">
        <v>297.14</v>
      </c>
      <c r="L124" s="10">
        <v>0.7179</v>
      </c>
      <c r="M124" s="11">
        <v>448.57</v>
      </c>
      <c r="N124" s="10">
        <v>0.6154</v>
      </c>
      <c r="O124" s="11">
        <v>364.26</v>
      </c>
      <c r="P124" s="10">
        <v>0.7308</v>
      </c>
      <c r="Q124" s="10">
        <v>0.2292</v>
      </c>
      <c r="R124" s="10">
        <v>0.8718</v>
      </c>
      <c r="S124" s="10">
        <v>0.3048</v>
      </c>
      <c r="T124" s="8">
        <f>IF(and(ISNUMBER(D124), isnumber(E124)), 1, 0) + IF(and(ISNUMBER(F124), isnumber(G124)), 1, 0) + IF(and(ISNUMBER(H124), isnumber(I124)), 1, 0) + IF(and(ISNUMBER(J124), isnumber(K124)), 1, 0) + IF(and(ISNUMBER(L124), isnumber(M124)), 1, 0) + IF(and(ISNUMBER(N124), isnumber(O124)), 1, 0)</f>
      </c>
      <c r="U124" s="8">
        <f>IF(and(ISNUMBER(P124), isnumber(Q124)), 1, 0) + IF(and(ISNUMBER(R124), isnumber(S124)), 1, 0)</f>
      </c>
      <c r="V124" s="13"/>
      <c r="W124" s="13"/>
      <c r="X124" s="16"/>
    </row>
    <row x14ac:dyDescent="0.25" r="125" customHeight="1" ht="15.75">
      <c r="A125" s="8">
        <v>26104</v>
      </c>
      <c r="B125" s="13" t="s">
        <v>512</v>
      </c>
      <c r="C125" s="13" t="s">
        <v>4522</v>
      </c>
      <c r="D125" s="10">
        <v>0.8065</v>
      </c>
      <c r="E125" s="11">
        <v>285.6</v>
      </c>
      <c r="F125" s="10">
        <v>0.0161</v>
      </c>
      <c r="G125" s="11" t="s">
        <v>7127</v>
      </c>
      <c r="H125" s="10">
        <v>0.6571</v>
      </c>
      <c r="I125" s="11">
        <v>341.67</v>
      </c>
      <c r="J125" s="10">
        <v>0.2034</v>
      </c>
      <c r="K125" s="11">
        <v>220</v>
      </c>
      <c r="L125" s="10">
        <v>0.4714</v>
      </c>
      <c r="M125" s="11">
        <v>438.58</v>
      </c>
      <c r="N125" s="10">
        <v>0.3857</v>
      </c>
      <c r="O125" s="11" t="s">
        <v>7127</v>
      </c>
      <c r="P125" s="10">
        <v>0.8065</v>
      </c>
      <c r="Q125" s="10">
        <v>0.2294</v>
      </c>
      <c r="R125" s="10">
        <v>0.2034</v>
      </c>
      <c r="S125" s="10">
        <v>0.2128</v>
      </c>
      <c r="T125" s="8">
        <f>IF(and(ISNUMBER(D125), isnumber(E125)), 1, 0) + IF(and(ISNUMBER(F125), isnumber(G125)), 1, 0) + IF(and(ISNUMBER(H125), isnumber(I125)), 1, 0) + IF(and(ISNUMBER(J125), isnumber(K125)), 1, 0) + IF(and(ISNUMBER(L125), isnumber(M125)), 1, 0) + IF(and(ISNUMBER(N125), isnumber(O125)), 1, 0)</f>
      </c>
      <c r="U125" s="8">
        <f>IF(and(ISNUMBER(P125), isnumber(Q125)), 1, 0) + IF(and(ISNUMBER(R125), isnumber(S125)), 1, 0)</f>
      </c>
      <c r="V125" s="13"/>
      <c r="W125" s="13"/>
      <c r="X125" s="16"/>
    </row>
    <row x14ac:dyDescent="0.25" r="126" customHeight="1" ht="15.75">
      <c r="A126" s="8">
        <v>26140</v>
      </c>
      <c r="B126" s="13" t="s">
        <v>512</v>
      </c>
      <c r="C126" s="13" t="s">
        <v>4527</v>
      </c>
      <c r="D126" s="10">
        <v>0.9894</v>
      </c>
      <c r="E126" s="11">
        <v>348.17</v>
      </c>
      <c r="F126" s="10">
        <v>0.6915</v>
      </c>
      <c r="G126" s="11">
        <v>458.15</v>
      </c>
      <c r="H126" s="10">
        <v>0.7979</v>
      </c>
      <c r="I126" s="11">
        <v>511.47</v>
      </c>
      <c r="J126" s="10">
        <v>0.7819</v>
      </c>
      <c r="K126" s="11">
        <v>418.23</v>
      </c>
      <c r="L126" s="10">
        <v>0.6543</v>
      </c>
      <c r="M126" s="11">
        <v>517.38</v>
      </c>
      <c r="N126" s="10">
        <v>0.7287</v>
      </c>
      <c r="O126" s="11">
        <v>512.94</v>
      </c>
      <c r="P126" s="10">
        <v>0.9894</v>
      </c>
      <c r="Q126" s="10">
        <v>0.2828</v>
      </c>
      <c r="R126" s="10">
        <v>0.7819</v>
      </c>
      <c r="S126" s="10">
        <v>0.2281</v>
      </c>
      <c r="T126" s="8">
        <f>IF(and(ISNUMBER(D126), isnumber(E126)), 1, 0) + IF(and(ISNUMBER(F126), isnumber(G126)), 1, 0) + IF(and(ISNUMBER(H126), isnumber(I126)), 1, 0) + IF(and(ISNUMBER(J126), isnumber(K126)), 1, 0) + IF(and(ISNUMBER(L126), isnumber(M126)), 1, 0) + IF(and(ISNUMBER(N126), isnumber(O126)), 1, 0)</f>
      </c>
      <c r="U126" s="8">
        <f>IF(and(ISNUMBER(P126), isnumber(Q126)), 1, 0) + IF(and(ISNUMBER(R126), isnumber(S126)), 1, 0)</f>
      </c>
      <c r="V126" s="13"/>
      <c r="W126" s="13"/>
      <c r="X126" s="16"/>
    </row>
    <row x14ac:dyDescent="0.25" r="127" customHeight="1" ht="15.75">
      <c r="A127" s="8">
        <v>26116</v>
      </c>
      <c r="B127" s="13" t="s">
        <v>512</v>
      </c>
      <c r="C127" s="13" t="s">
        <v>4531</v>
      </c>
      <c r="D127" s="10">
        <v>0.9459</v>
      </c>
      <c r="E127" s="11">
        <v>292.94</v>
      </c>
      <c r="F127" s="10">
        <v>0.8108</v>
      </c>
      <c r="G127" s="11">
        <v>430.34</v>
      </c>
      <c r="H127" s="10">
        <v>0.8378</v>
      </c>
      <c r="I127" s="11">
        <v>450.32</v>
      </c>
      <c r="J127" s="10">
        <v>0.8108</v>
      </c>
      <c r="K127" s="11">
        <v>433.33</v>
      </c>
      <c r="L127" s="10">
        <v>0.9459</v>
      </c>
      <c r="M127" s="11">
        <v>412.57</v>
      </c>
      <c r="N127" s="10">
        <v>0.7838</v>
      </c>
      <c r="O127" s="11">
        <v>394.48</v>
      </c>
      <c r="P127" s="10">
        <v>0.9459</v>
      </c>
      <c r="Q127" s="10">
        <v>0.2234</v>
      </c>
      <c r="R127" s="10">
        <v>0.8108</v>
      </c>
      <c r="S127" s="10">
        <v>0.2289</v>
      </c>
      <c r="T127" s="8">
        <f>IF(and(ISNUMBER(D127), isnumber(E127)), 1, 0) + IF(and(ISNUMBER(F127), isnumber(G127)), 1, 0) + IF(and(ISNUMBER(H127), isnumber(I127)), 1, 0) + IF(and(ISNUMBER(J127), isnumber(K127)), 1, 0) + IF(and(ISNUMBER(L127), isnumber(M127)), 1, 0) + IF(and(ISNUMBER(N127), isnumber(O127)), 1, 0)</f>
      </c>
      <c r="U127" s="8">
        <f>IF(and(ISNUMBER(P127), isnumber(Q127)), 1, 0) + IF(and(ISNUMBER(R127), isnumber(S127)), 1, 0)</f>
      </c>
      <c r="V127" s="13"/>
      <c r="W127" s="13"/>
      <c r="X127" s="16"/>
    </row>
    <row x14ac:dyDescent="0.25" r="128" customHeight="1" ht="15.75">
      <c r="A128" s="8">
        <v>26142</v>
      </c>
      <c r="B128" s="13" t="s">
        <v>512</v>
      </c>
      <c r="C128" s="13" t="s">
        <v>4534</v>
      </c>
      <c r="D128" s="10">
        <v>0.9792</v>
      </c>
      <c r="E128" s="11">
        <v>390.64</v>
      </c>
      <c r="F128" s="10">
        <v>0.8958</v>
      </c>
      <c r="G128" s="11">
        <v>438.14</v>
      </c>
      <c r="H128" s="10">
        <v>0.875</v>
      </c>
      <c r="I128" s="11">
        <v>455.24</v>
      </c>
      <c r="J128" s="10">
        <v>0.9167</v>
      </c>
      <c r="K128" s="11">
        <v>421.82</v>
      </c>
      <c r="L128" s="10">
        <v>0.8958</v>
      </c>
      <c r="M128" s="11">
        <v>424.19</v>
      </c>
      <c r="N128" s="10">
        <v>0.9167</v>
      </c>
      <c r="O128" s="11">
        <v>485.45</v>
      </c>
      <c r="P128" s="10">
        <v>0.9792</v>
      </c>
      <c r="Q128" s="10">
        <v>0.2661</v>
      </c>
      <c r="R128" s="10">
        <v>0.9167</v>
      </c>
      <c r="S128" s="10">
        <v>0.2234</v>
      </c>
      <c r="T128" s="8">
        <f>IF(and(ISNUMBER(D128), isnumber(E128)), 1, 0) + IF(and(ISNUMBER(F128), isnumber(G128)), 1, 0) + IF(and(ISNUMBER(H128), isnumber(I128)), 1, 0) + IF(and(ISNUMBER(J128), isnumber(K128)), 1, 0) + IF(and(ISNUMBER(L128), isnumber(M128)), 1, 0) + IF(and(ISNUMBER(N128), isnumber(O128)), 1, 0)</f>
      </c>
      <c r="U128" s="8">
        <f>IF(and(ISNUMBER(P128), isnumber(Q128)), 1, 0) + IF(and(ISNUMBER(R128), isnumber(S128)), 1, 0)</f>
      </c>
      <c r="V128" s="13"/>
      <c r="W128" s="13"/>
      <c r="X128" s="16"/>
    </row>
    <row x14ac:dyDescent="0.25" r="129" customHeight="1" ht="15.75">
      <c r="A129" s="8">
        <v>26119</v>
      </c>
      <c r="B129" s="13" t="s">
        <v>512</v>
      </c>
      <c r="C129" s="13" t="s">
        <v>4537</v>
      </c>
      <c r="D129" s="10">
        <v>0.7756</v>
      </c>
      <c r="E129" s="11">
        <v>193.92</v>
      </c>
      <c r="F129" s="10">
        <v>0.6585</v>
      </c>
      <c r="G129" s="11">
        <v>337.71</v>
      </c>
      <c r="H129" s="10">
        <v>0.5928</v>
      </c>
      <c r="I129" s="11">
        <v>424.5</v>
      </c>
      <c r="J129" s="10">
        <v>0.6814</v>
      </c>
      <c r="K129" s="11">
        <v>332.82</v>
      </c>
      <c r="L129" s="10">
        <v>0.5928</v>
      </c>
      <c r="M129" s="11">
        <v>393.66</v>
      </c>
      <c r="N129" s="10">
        <v>0.6471</v>
      </c>
      <c r="O129" s="11">
        <v>408</v>
      </c>
      <c r="P129" s="10">
        <v>0.7756</v>
      </c>
      <c r="Q129" s="10">
        <v>0.2261</v>
      </c>
      <c r="R129" s="10">
        <v>0.6814</v>
      </c>
      <c r="S129" s="10">
        <v>0.2119</v>
      </c>
      <c r="T129" s="8">
        <f>IF(and(ISNUMBER(D129), isnumber(E129)), 1, 0) + IF(and(ISNUMBER(F129), isnumber(G129)), 1, 0) + IF(and(ISNUMBER(H129), isnumber(I129)), 1, 0) + IF(and(ISNUMBER(J129), isnumber(K129)), 1, 0) + IF(and(ISNUMBER(L129), isnumber(M129)), 1, 0) + IF(and(ISNUMBER(N129), isnumber(O129)), 1, 0)</f>
      </c>
      <c r="U129" s="8">
        <f>IF(and(ISNUMBER(P129), isnumber(Q129)), 1, 0) + IF(and(ISNUMBER(R129), isnumber(S129)), 1, 0)</f>
      </c>
      <c r="V129" s="13"/>
      <c r="W129" s="13"/>
      <c r="X129" s="16"/>
    </row>
    <row x14ac:dyDescent="0.25" r="130" customHeight="1" ht="15.75">
      <c r="A130" s="8">
        <v>26128</v>
      </c>
      <c r="B130" s="13" t="s">
        <v>512</v>
      </c>
      <c r="C130" s="13" t="s">
        <v>4542</v>
      </c>
      <c r="D130" s="10">
        <v>0.6964</v>
      </c>
      <c r="E130" s="11">
        <v>247.68</v>
      </c>
      <c r="F130" s="10">
        <v>0.5749</v>
      </c>
      <c r="G130" s="11">
        <v>390.61</v>
      </c>
      <c r="H130" s="10">
        <v>0.5344</v>
      </c>
      <c r="I130" s="11">
        <v>426.46</v>
      </c>
      <c r="J130" s="10">
        <v>0.5984</v>
      </c>
      <c r="K130" s="11">
        <v>320.51</v>
      </c>
      <c r="L130" s="10">
        <v>0.5229</v>
      </c>
      <c r="M130" s="11">
        <v>402.98</v>
      </c>
      <c r="N130" s="10">
        <v>0.6718</v>
      </c>
      <c r="O130" s="11">
        <v>445.96</v>
      </c>
      <c r="P130" s="10">
        <v>0.6964</v>
      </c>
      <c r="Q130" s="10">
        <v>0.2719</v>
      </c>
      <c r="R130" s="10">
        <v>0.5984</v>
      </c>
      <c r="S130" s="10">
        <v>0.2276</v>
      </c>
      <c r="T130" s="8">
        <f>IF(and(ISNUMBER(D130), isnumber(E130)), 1, 0) + IF(and(ISNUMBER(F130), isnumber(G130)), 1, 0) + IF(and(ISNUMBER(H130), isnumber(I130)), 1, 0) + IF(and(ISNUMBER(J130), isnumber(K130)), 1, 0) + IF(and(ISNUMBER(L130), isnumber(M130)), 1, 0) + IF(and(ISNUMBER(N130), isnumber(O130)), 1, 0)</f>
      </c>
      <c r="U130" s="8">
        <f>IF(and(ISNUMBER(P130), isnumber(Q130)), 1, 0) + IF(and(ISNUMBER(R130), isnumber(S130)), 1, 0)</f>
      </c>
      <c r="V130" s="13"/>
      <c r="W130" s="13"/>
      <c r="X130" s="16"/>
    </row>
    <row x14ac:dyDescent="0.25" r="131" customHeight="1" ht="15.75">
      <c r="A131" s="8">
        <v>26105</v>
      </c>
      <c r="B131" s="13" t="s">
        <v>512</v>
      </c>
      <c r="C131" s="13" t="s">
        <v>4547</v>
      </c>
      <c r="D131" s="10">
        <v>0.7391</v>
      </c>
      <c r="E131" s="11" t="s">
        <v>7127</v>
      </c>
      <c r="F131" s="10">
        <v>0.6413</v>
      </c>
      <c r="G131" s="11">
        <v>444.06</v>
      </c>
      <c r="H131" s="10">
        <v>0.4375</v>
      </c>
      <c r="I131" s="11">
        <v>433.47</v>
      </c>
      <c r="J131" s="10">
        <v>0.74</v>
      </c>
      <c r="K131" s="11">
        <v>341.88</v>
      </c>
      <c r="L131" s="10">
        <v>0.5625</v>
      </c>
      <c r="M131" s="11">
        <v>420.57</v>
      </c>
      <c r="N131" s="10">
        <v>0.5893</v>
      </c>
      <c r="O131" s="11">
        <v>463.64</v>
      </c>
      <c r="P131" s="10">
        <v>0.7391</v>
      </c>
      <c r="Q131" s="10">
        <v>0.2302</v>
      </c>
      <c r="R131" s="10">
        <v>0.74</v>
      </c>
      <c r="S131" s="10">
        <v>0.2246</v>
      </c>
      <c r="T131" s="8">
        <f>IF(and(ISNUMBER(D131), isnumber(E131)), 1, 0) + IF(and(ISNUMBER(F131), isnumber(G131)), 1, 0) + IF(and(ISNUMBER(H131), isnumber(I131)), 1, 0) + IF(and(ISNUMBER(J131), isnumber(K131)), 1, 0) + IF(and(ISNUMBER(L131), isnumber(M131)), 1, 0) + IF(and(ISNUMBER(N131), isnumber(O131)), 1, 0)</f>
      </c>
      <c r="U131" s="8">
        <f>IF(and(ISNUMBER(P131), isnumber(Q131)), 1, 0) + IF(and(ISNUMBER(R131), isnumber(S131)), 1, 0)</f>
      </c>
      <c r="V131" s="13"/>
      <c r="W131" s="13"/>
      <c r="X131" s="16"/>
    </row>
    <row x14ac:dyDescent="0.25" r="132" customHeight="1" ht="15.75">
      <c r="A132" s="8">
        <v>26106</v>
      </c>
      <c r="B132" s="13" t="s">
        <v>512</v>
      </c>
      <c r="C132" s="13" t="s">
        <v>4552</v>
      </c>
      <c r="D132" s="10">
        <v>0.9583</v>
      </c>
      <c r="E132" s="11">
        <v>233.04</v>
      </c>
      <c r="F132" s="10">
        <v>0.75</v>
      </c>
      <c r="G132" s="11">
        <v>363.43</v>
      </c>
      <c r="H132" s="10">
        <v>0.7917</v>
      </c>
      <c r="I132" s="11">
        <v>456.22</v>
      </c>
      <c r="J132" s="10">
        <v>0.75</v>
      </c>
      <c r="K132" s="11">
        <v>378.89</v>
      </c>
      <c r="L132" s="10">
        <v>0.7292</v>
      </c>
      <c r="M132" s="11">
        <v>428.57</v>
      </c>
      <c r="N132" s="10">
        <v>0.8542</v>
      </c>
      <c r="O132" s="11">
        <v>432.2</v>
      </c>
      <c r="P132" s="10">
        <v>0.9583</v>
      </c>
      <c r="Q132" s="10">
        <v>0.2361</v>
      </c>
      <c r="R132" s="10">
        <v>0.75</v>
      </c>
      <c r="S132" s="10">
        <v>0.2087</v>
      </c>
      <c r="T132" s="8">
        <f>IF(and(ISNUMBER(D132), isnumber(E132)), 1, 0) + IF(and(ISNUMBER(F132), isnumber(G132)), 1, 0) + IF(and(ISNUMBER(H132), isnumber(I132)), 1, 0) + IF(and(ISNUMBER(J132), isnumber(K132)), 1, 0) + IF(and(ISNUMBER(L132), isnumber(M132)), 1, 0) + IF(and(ISNUMBER(N132), isnumber(O132)), 1, 0)</f>
      </c>
      <c r="U132" s="8">
        <f>IF(and(ISNUMBER(P132), isnumber(Q132)), 1, 0) + IF(and(ISNUMBER(R132), isnumber(S132)), 1, 0)</f>
      </c>
      <c r="V132" s="13"/>
      <c r="W132" s="13"/>
      <c r="X132" s="16"/>
    </row>
    <row x14ac:dyDescent="0.25" r="133" customHeight="1" ht="15.75">
      <c r="A133" s="8">
        <v>26146</v>
      </c>
      <c r="B133" s="13" t="s">
        <v>512</v>
      </c>
      <c r="C133" s="13" t="s">
        <v>4554</v>
      </c>
      <c r="D133" s="10">
        <v>0.8225</v>
      </c>
      <c r="E133" s="11">
        <v>394.51</v>
      </c>
      <c r="F133" s="10">
        <v>0.5799</v>
      </c>
      <c r="G133" s="11">
        <v>481.65</v>
      </c>
      <c r="H133" s="10">
        <v>0.7671</v>
      </c>
      <c r="I133" s="11">
        <v>509.64</v>
      </c>
      <c r="J133" s="10">
        <v>0.863</v>
      </c>
      <c r="K133" s="11">
        <v>463.39</v>
      </c>
      <c r="L133" s="10">
        <v>0.6256</v>
      </c>
      <c r="M133" s="11">
        <v>518.83</v>
      </c>
      <c r="N133" s="10">
        <v>0.79</v>
      </c>
      <c r="O133" s="11">
        <v>527.91</v>
      </c>
      <c r="P133" s="10">
        <v>0.8225</v>
      </c>
      <c r="Q133" s="10">
        <v>0.2663</v>
      </c>
      <c r="R133" s="10">
        <v>0.863</v>
      </c>
      <c r="S133" s="10">
        <v>0.3675</v>
      </c>
      <c r="T133" s="8">
        <f>IF(and(ISNUMBER(D133), isnumber(E133)), 1, 0) + IF(and(ISNUMBER(F133), isnumber(G133)), 1, 0) + IF(and(ISNUMBER(H133), isnumber(I133)), 1, 0) + IF(and(ISNUMBER(J133), isnumber(K133)), 1, 0) + IF(and(ISNUMBER(L133), isnumber(M133)), 1, 0) + IF(and(ISNUMBER(N133), isnumber(O133)), 1, 0)</f>
      </c>
      <c r="U133" s="8">
        <f>IF(and(ISNUMBER(P133), isnumber(Q133)), 1, 0) + IF(and(ISNUMBER(R133), isnumber(S133)), 1, 0)</f>
      </c>
      <c r="V133" s="13"/>
      <c r="W133" s="13"/>
      <c r="X133" s="16"/>
    </row>
    <row x14ac:dyDescent="0.25" r="134" customHeight="1" ht="15.75">
      <c r="A134" s="8">
        <v>26130</v>
      </c>
      <c r="B134" s="13" t="s">
        <v>512</v>
      </c>
      <c r="C134" s="13" t="s">
        <v>4559</v>
      </c>
      <c r="D134" s="10">
        <v>0.7895</v>
      </c>
      <c r="E134" s="11">
        <v>327.24</v>
      </c>
      <c r="F134" s="10">
        <v>0.7684</v>
      </c>
      <c r="G134" s="11">
        <v>419.66</v>
      </c>
      <c r="H134" s="10">
        <v>0.537</v>
      </c>
      <c r="I134" s="11" t="s">
        <v>7127</v>
      </c>
      <c r="J134" s="10">
        <v>0.6535</v>
      </c>
      <c r="K134" s="11">
        <v>321.86</v>
      </c>
      <c r="L134" s="10">
        <v>0.6204</v>
      </c>
      <c r="M134" s="11">
        <v>489.71</v>
      </c>
      <c r="N134" s="10">
        <v>0.5463</v>
      </c>
      <c r="O134" s="11">
        <v>517.29</v>
      </c>
      <c r="P134" s="10">
        <v>0.7895</v>
      </c>
      <c r="Q134" s="10">
        <v>0.2763</v>
      </c>
      <c r="R134" s="10">
        <v>0.6535</v>
      </c>
      <c r="S134" s="10">
        <v>0.271</v>
      </c>
      <c r="T134" s="8">
        <f>IF(and(ISNUMBER(D134), isnumber(E134)), 1, 0) + IF(and(ISNUMBER(F134), isnumber(G134)), 1, 0) + IF(and(ISNUMBER(H134), isnumber(I134)), 1, 0) + IF(and(ISNUMBER(J134), isnumber(K134)), 1, 0) + IF(and(ISNUMBER(L134), isnumber(M134)), 1, 0) + IF(and(ISNUMBER(N134), isnumber(O134)), 1, 0)</f>
      </c>
      <c r="U134" s="8">
        <f>IF(and(ISNUMBER(P134), isnumber(Q134)), 1, 0) + IF(and(ISNUMBER(R134), isnumber(S134)), 1, 0)</f>
      </c>
      <c r="V134" s="13"/>
      <c r="W134" s="13"/>
      <c r="X134" s="16"/>
    </row>
    <row x14ac:dyDescent="0.25" r="135" customHeight="1" ht="15.75">
      <c r="A135" s="8">
        <v>26107</v>
      </c>
      <c r="B135" s="13" t="s">
        <v>512</v>
      </c>
      <c r="C135" s="13" t="s">
        <v>4563</v>
      </c>
      <c r="D135" s="10">
        <v>0.5135</v>
      </c>
      <c r="E135" s="11">
        <v>103.16</v>
      </c>
      <c r="F135" s="10">
        <v>0.7568</v>
      </c>
      <c r="G135" s="11">
        <v>308.57</v>
      </c>
      <c r="H135" s="10">
        <v>0.8108</v>
      </c>
      <c r="I135" s="11">
        <v>393.1</v>
      </c>
      <c r="J135" s="10">
        <v>0.8649</v>
      </c>
      <c r="K135" s="11">
        <v>348</v>
      </c>
      <c r="L135" s="10">
        <v>0.8378</v>
      </c>
      <c r="M135" s="11">
        <v>456.77</v>
      </c>
      <c r="N135" s="10">
        <v>0.8378</v>
      </c>
      <c r="O135" s="11">
        <v>443.87</v>
      </c>
      <c r="P135" s="10">
        <v>0.5135</v>
      </c>
      <c r="Q135" s="10">
        <v>0.2209</v>
      </c>
      <c r="R135" s="10">
        <v>0.8649</v>
      </c>
      <c r="S135" s="10">
        <v>0.206</v>
      </c>
      <c r="T135" s="8">
        <f>IF(and(ISNUMBER(D135), isnumber(E135)), 1, 0) + IF(and(ISNUMBER(F135), isnumber(G135)), 1, 0) + IF(and(ISNUMBER(H135), isnumber(I135)), 1, 0) + IF(and(ISNUMBER(J135), isnumber(K135)), 1, 0) + IF(and(ISNUMBER(L135), isnumber(M135)), 1, 0) + IF(and(ISNUMBER(N135), isnumber(O135)), 1, 0)</f>
      </c>
      <c r="U135" s="8">
        <f>IF(and(ISNUMBER(P135), isnumber(Q135)), 1, 0) + IF(and(ISNUMBER(R135), isnumber(S135)), 1, 0)</f>
      </c>
      <c r="V135" s="13"/>
      <c r="W135" s="13"/>
      <c r="X135" s="16"/>
    </row>
    <row x14ac:dyDescent="0.25" r="136" customHeight="1" ht="15.75">
      <c r="A136" s="8">
        <v>26117</v>
      </c>
      <c r="B136" s="13" t="s">
        <v>512</v>
      </c>
      <c r="C136" s="13" t="s">
        <v>4566</v>
      </c>
      <c r="D136" s="10">
        <v>1</v>
      </c>
      <c r="E136" s="11">
        <v>475.19</v>
      </c>
      <c r="F136" s="10">
        <v>0.8519</v>
      </c>
      <c r="G136" s="11">
        <v>499.13</v>
      </c>
      <c r="H136" s="10">
        <v>0.9722</v>
      </c>
      <c r="I136" s="11">
        <v>499.05</v>
      </c>
      <c r="J136" s="10">
        <v>0.963</v>
      </c>
      <c r="K136" s="11">
        <v>516.12</v>
      </c>
      <c r="L136" s="10">
        <v>0.8333</v>
      </c>
      <c r="M136" s="11">
        <v>521.33</v>
      </c>
      <c r="N136" s="10">
        <v>0.7963</v>
      </c>
      <c r="O136" s="11">
        <v>536</v>
      </c>
      <c r="P136" s="10">
        <v>1</v>
      </c>
      <c r="Q136" s="10">
        <v>0.3232</v>
      </c>
      <c r="R136" s="10">
        <v>0.963</v>
      </c>
      <c r="S136" s="10">
        <v>0.2586</v>
      </c>
      <c r="T136" s="8">
        <f>IF(and(ISNUMBER(D136), isnumber(E136)), 1, 0) + IF(and(ISNUMBER(F136), isnumber(G136)), 1, 0) + IF(and(ISNUMBER(H136), isnumber(I136)), 1, 0) + IF(and(ISNUMBER(J136), isnumber(K136)), 1, 0) + IF(and(ISNUMBER(L136), isnumber(M136)), 1, 0) + IF(and(ISNUMBER(N136), isnumber(O136)), 1, 0)</f>
      </c>
      <c r="U136" s="8">
        <f>IF(and(ISNUMBER(P136), isnumber(Q136)), 1, 0) + IF(and(ISNUMBER(R136), isnumber(S136)), 1, 0)</f>
      </c>
      <c r="V136" s="13"/>
      <c r="W136" s="13"/>
      <c r="X136" s="16"/>
    </row>
    <row x14ac:dyDescent="0.25" r="137" customHeight="1" ht="15.75">
      <c r="A137" s="8">
        <v>26120</v>
      </c>
      <c r="B137" s="13" t="s">
        <v>512</v>
      </c>
      <c r="C137" s="13" t="s">
        <v>4569</v>
      </c>
      <c r="D137" s="10">
        <v>0.962</v>
      </c>
      <c r="E137" s="11">
        <v>350</v>
      </c>
      <c r="F137" s="10">
        <v>0.9747</v>
      </c>
      <c r="G137" s="11">
        <v>332.11</v>
      </c>
      <c r="H137" s="10">
        <v>0.9114</v>
      </c>
      <c r="I137" s="11">
        <v>552.11</v>
      </c>
      <c r="J137" s="10">
        <v>0.9114</v>
      </c>
      <c r="K137" s="11">
        <v>463.1</v>
      </c>
      <c r="L137" s="10">
        <v>0.8861</v>
      </c>
      <c r="M137" s="11">
        <v>517.1</v>
      </c>
      <c r="N137" s="10">
        <v>0.9114</v>
      </c>
      <c r="O137" s="11">
        <v>538.89</v>
      </c>
      <c r="P137" s="10">
        <v>0.962</v>
      </c>
      <c r="Q137" s="10">
        <v>0.2546</v>
      </c>
      <c r="R137" s="10">
        <v>0.9114</v>
      </c>
      <c r="S137" s="10">
        <v>0.2127</v>
      </c>
      <c r="T137" s="8">
        <f>IF(and(ISNUMBER(D137), isnumber(E137)), 1, 0) + IF(and(ISNUMBER(F137), isnumber(G137)), 1, 0) + IF(and(ISNUMBER(H137), isnumber(I137)), 1, 0) + IF(and(ISNUMBER(J137), isnumber(K137)), 1, 0) + IF(and(ISNUMBER(L137), isnumber(M137)), 1, 0) + IF(and(ISNUMBER(N137), isnumber(O137)), 1, 0)</f>
      </c>
      <c r="U137" s="8">
        <f>IF(and(ISNUMBER(P137), isnumber(Q137)), 1, 0) + IF(and(ISNUMBER(R137), isnumber(S137)), 1, 0)</f>
      </c>
      <c r="V137" s="13"/>
      <c r="W137" s="13"/>
      <c r="X137" s="16"/>
    </row>
    <row x14ac:dyDescent="0.25" r="138" customHeight="1" ht="15.75">
      <c r="A138" s="8">
        <v>26005</v>
      </c>
      <c r="B138" s="13" t="s">
        <v>184</v>
      </c>
      <c r="C138" s="13" t="s">
        <v>4574</v>
      </c>
      <c r="D138" s="10">
        <v>0.9375</v>
      </c>
      <c r="E138" s="11">
        <v>214.33</v>
      </c>
      <c r="F138" s="10">
        <v>0.7153</v>
      </c>
      <c r="G138" s="11">
        <v>361.98</v>
      </c>
      <c r="H138" s="10">
        <v>0.6667</v>
      </c>
      <c r="I138" s="11">
        <v>411.49</v>
      </c>
      <c r="J138" s="10">
        <v>0.6111</v>
      </c>
      <c r="K138" s="11">
        <v>282.35</v>
      </c>
      <c r="L138" s="10">
        <v>0.9236</v>
      </c>
      <c r="M138" s="11">
        <v>256.84</v>
      </c>
      <c r="N138" s="10">
        <v>0.6319</v>
      </c>
      <c r="O138" s="11">
        <v>345.33</v>
      </c>
      <c r="P138" s="10">
        <v>0.9375</v>
      </c>
      <c r="Q138" s="10">
        <v>0.173</v>
      </c>
      <c r="R138" s="10">
        <v>0.6111</v>
      </c>
      <c r="S138" s="10">
        <v>0.2029</v>
      </c>
      <c r="T138" s="8">
        <f>IF(and(ISNUMBER(D138), isnumber(E138)), 1, 0) + IF(and(ISNUMBER(F138), isnumber(G138)), 1, 0) + IF(and(ISNUMBER(H138), isnumber(I138)), 1, 0) + IF(and(ISNUMBER(J138), isnumber(K138)), 1, 0) + IF(and(ISNUMBER(L138), isnumber(M138)), 1, 0) + IF(and(ISNUMBER(N138), isnumber(O138)), 1, 0)</f>
      </c>
      <c r="U138" s="8">
        <f>IF(and(ISNUMBER(P138), isnumber(Q138)), 1, 0) + IF(and(ISNUMBER(R138), isnumber(S138)), 1, 0)</f>
      </c>
      <c r="V138" s="13"/>
      <c r="W138" s="13"/>
      <c r="X138" s="16"/>
    </row>
    <row x14ac:dyDescent="0.25" r="139" customHeight="1" ht="15.75">
      <c r="A139" s="8">
        <v>26006</v>
      </c>
      <c r="B139" s="13" t="s">
        <v>184</v>
      </c>
      <c r="C139" s="13" t="s">
        <v>4575</v>
      </c>
      <c r="D139" s="10">
        <v>1</v>
      </c>
      <c r="E139" s="11">
        <v>337.82</v>
      </c>
      <c r="F139" s="10">
        <v>0.9916</v>
      </c>
      <c r="G139" s="11">
        <v>435.86</v>
      </c>
      <c r="H139" s="10">
        <v>0.9664</v>
      </c>
      <c r="I139" s="11">
        <v>571.13</v>
      </c>
      <c r="J139" s="10">
        <v>0.916</v>
      </c>
      <c r="K139" s="11">
        <v>379.82</v>
      </c>
      <c r="L139" s="10">
        <v>0.9496</v>
      </c>
      <c r="M139" s="11">
        <v>538.76</v>
      </c>
      <c r="N139" s="10">
        <v>0.9328</v>
      </c>
      <c r="O139" s="11">
        <v>529.01</v>
      </c>
      <c r="P139" s="10">
        <v>1</v>
      </c>
      <c r="Q139" s="10">
        <v>0.2359</v>
      </c>
      <c r="R139" s="10">
        <v>0.916</v>
      </c>
      <c r="S139" s="10">
        <v>0.2269</v>
      </c>
      <c r="T139" s="8">
        <f>IF(and(ISNUMBER(D139), isnumber(E139)), 1, 0) + IF(and(ISNUMBER(F139), isnumber(G139)), 1, 0) + IF(and(ISNUMBER(H139), isnumber(I139)), 1, 0) + IF(and(ISNUMBER(J139), isnumber(K139)), 1, 0) + IF(and(ISNUMBER(L139), isnumber(M139)), 1, 0) + IF(and(ISNUMBER(N139), isnumber(O139)), 1, 0)</f>
      </c>
      <c r="U139" s="8">
        <f>IF(and(ISNUMBER(P139), isnumber(Q139)), 1, 0) + IF(and(ISNUMBER(R139), isnumber(S139)), 1, 0)</f>
      </c>
      <c r="V139" s="13"/>
      <c r="W139" s="13"/>
      <c r="X139" s="16"/>
    </row>
    <row x14ac:dyDescent="0.25" r="140" customHeight="1" ht="15.75">
      <c r="A140" s="8">
        <v>25997</v>
      </c>
      <c r="B140" s="13" t="s">
        <v>184</v>
      </c>
      <c r="C140" s="13" t="s">
        <v>4579</v>
      </c>
      <c r="D140" s="10">
        <v>0.9816</v>
      </c>
      <c r="E140" s="11">
        <v>260.07</v>
      </c>
      <c r="F140" s="10">
        <v>0.9706</v>
      </c>
      <c r="G140" s="11">
        <v>301.69</v>
      </c>
      <c r="H140" s="10">
        <v>0.9926</v>
      </c>
      <c r="I140" s="11">
        <v>285.65</v>
      </c>
      <c r="J140" s="10">
        <v>1</v>
      </c>
      <c r="K140" s="11">
        <v>254.96</v>
      </c>
      <c r="L140" s="10">
        <v>1</v>
      </c>
      <c r="M140" s="11">
        <v>312.92</v>
      </c>
      <c r="N140" s="10">
        <v>1</v>
      </c>
      <c r="O140" s="11">
        <v>277.35</v>
      </c>
      <c r="P140" s="10">
        <v>0.9816</v>
      </c>
      <c r="Q140" s="10">
        <v>0.2134</v>
      </c>
      <c r="R140" s="10">
        <v>1</v>
      </c>
      <c r="S140" s="10">
        <v>0.151</v>
      </c>
      <c r="T140" s="8">
        <f>IF(and(ISNUMBER(D140), isnumber(E140)), 1, 0) + IF(and(ISNUMBER(F140), isnumber(G140)), 1, 0) + IF(and(ISNUMBER(H140), isnumber(I140)), 1, 0) + IF(and(ISNUMBER(J140), isnumber(K140)), 1, 0) + IF(and(ISNUMBER(L140), isnumber(M140)), 1, 0) + IF(and(ISNUMBER(N140), isnumber(O140)), 1, 0)</f>
      </c>
      <c r="U140" s="8">
        <f>IF(and(ISNUMBER(P140), isnumber(Q140)), 1, 0) + IF(and(ISNUMBER(R140), isnumber(S140)), 1, 0)</f>
      </c>
      <c r="V140" s="13"/>
      <c r="W140" s="13"/>
      <c r="X140" s="16"/>
    </row>
    <row x14ac:dyDescent="0.25" r="141" customHeight="1" ht="15.75">
      <c r="A141" s="8">
        <v>26007</v>
      </c>
      <c r="B141" s="13" t="s">
        <v>184</v>
      </c>
      <c r="C141" s="13" t="s">
        <v>4582</v>
      </c>
      <c r="D141" s="10">
        <v>0.8182</v>
      </c>
      <c r="E141" s="11">
        <v>245.56</v>
      </c>
      <c r="F141" s="10">
        <v>0.8182</v>
      </c>
      <c r="G141" s="11">
        <v>363.43</v>
      </c>
      <c r="H141" s="10">
        <v>0.9318</v>
      </c>
      <c r="I141" s="11">
        <v>366.32</v>
      </c>
      <c r="J141" s="10">
        <v>0.9773</v>
      </c>
      <c r="K141" s="11">
        <v>356.92</v>
      </c>
      <c r="L141" s="10">
        <v>0.9545</v>
      </c>
      <c r="M141" s="11">
        <v>402.86</v>
      </c>
      <c r="N141" s="10">
        <v>0.9318</v>
      </c>
      <c r="O141" s="11">
        <v>366.83</v>
      </c>
      <c r="P141" s="10">
        <v>0.8182</v>
      </c>
      <c r="Q141" s="10">
        <v>0.2193</v>
      </c>
      <c r="R141" s="10">
        <v>0.9773</v>
      </c>
      <c r="S141" s="10">
        <v>0.1967</v>
      </c>
      <c r="T141" s="8">
        <f>IF(and(ISNUMBER(D141), isnumber(E141)), 1, 0) + IF(and(ISNUMBER(F141), isnumber(G141)), 1, 0) + IF(and(ISNUMBER(H141), isnumber(I141)), 1, 0) + IF(and(ISNUMBER(J141), isnumber(K141)), 1, 0) + IF(and(ISNUMBER(L141), isnumber(M141)), 1, 0) + IF(and(ISNUMBER(N141), isnumber(O141)), 1, 0)</f>
      </c>
      <c r="U141" s="8">
        <f>IF(and(ISNUMBER(P141), isnumber(Q141)), 1, 0) + IF(and(ISNUMBER(R141), isnumber(S141)), 1, 0)</f>
      </c>
      <c r="V141" s="13"/>
      <c r="W141" s="13"/>
      <c r="X141" s="16"/>
    </row>
    <row x14ac:dyDescent="0.25" r="142" customHeight="1" ht="15.75">
      <c r="A142" s="8">
        <v>26008</v>
      </c>
      <c r="B142" s="13" t="s">
        <v>184</v>
      </c>
      <c r="C142" s="13" t="s">
        <v>4584</v>
      </c>
      <c r="D142" s="10">
        <v>0.6513</v>
      </c>
      <c r="E142" s="11">
        <v>205.31</v>
      </c>
      <c r="F142" s="10">
        <v>0.5612</v>
      </c>
      <c r="G142" s="11">
        <v>349.67</v>
      </c>
      <c r="H142" s="10">
        <v>0.4434</v>
      </c>
      <c r="I142" s="11">
        <v>397.04</v>
      </c>
      <c r="J142" s="10">
        <v>0.3095</v>
      </c>
      <c r="K142" s="11">
        <v>316.89</v>
      </c>
      <c r="L142" s="10">
        <v>0.4942</v>
      </c>
      <c r="M142" s="11">
        <v>370.19</v>
      </c>
      <c r="N142" s="10">
        <v>0.261</v>
      </c>
      <c r="O142" s="11">
        <v>409.45</v>
      </c>
      <c r="P142" s="10">
        <v>0.6513</v>
      </c>
      <c r="Q142" s="10">
        <v>0.2326</v>
      </c>
      <c r="R142" s="10">
        <v>0.3095</v>
      </c>
      <c r="S142" s="10">
        <v>0.2008</v>
      </c>
      <c r="T142" s="8">
        <f>IF(and(ISNUMBER(D142), isnumber(E142)), 1, 0) + IF(and(ISNUMBER(F142), isnumber(G142)), 1, 0) + IF(and(ISNUMBER(H142), isnumber(I142)), 1, 0) + IF(and(ISNUMBER(J142), isnumber(K142)), 1, 0) + IF(and(ISNUMBER(L142), isnumber(M142)), 1, 0) + IF(and(ISNUMBER(N142), isnumber(O142)), 1, 0)</f>
      </c>
      <c r="U142" s="8">
        <f>IF(and(ISNUMBER(P142), isnumber(Q142)), 1, 0) + IF(and(ISNUMBER(R142), isnumber(S142)), 1, 0)</f>
      </c>
      <c r="V142" s="13"/>
      <c r="W142" s="13"/>
      <c r="X142" s="16"/>
    </row>
    <row x14ac:dyDescent="0.25" r="143" customHeight="1" ht="15.75">
      <c r="A143" s="8">
        <v>25998</v>
      </c>
      <c r="B143" s="13" t="s">
        <v>184</v>
      </c>
      <c r="C143" s="13" t="s">
        <v>4587</v>
      </c>
      <c r="D143" s="10">
        <v>0.9565</v>
      </c>
      <c r="E143" s="11">
        <v>296.36</v>
      </c>
      <c r="F143" s="10">
        <v>0.7826</v>
      </c>
      <c r="G143" s="11">
        <v>366.67</v>
      </c>
      <c r="H143" s="10">
        <v>0.913</v>
      </c>
      <c r="I143" s="11">
        <v>426.67</v>
      </c>
      <c r="J143" s="10">
        <v>0.913</v>
      </c>
      <c r="K143" s="11">
        <v>361.9</v>
      </c>
      <c r="L143" s="10">
        <v>0.8696</v>
      </c>
      <c r="M143" s="11">
        <v>376</v>
      </c>
      <c r="N143" s="10">
        <v>0.913</v>
      </c>
      <c r="O143" s="11">
        <v>367.62</v>
      </c>
      <c r="P143" s="10">
        <v>0.9565</v>
      </c>
      <c r="Q143" s="10">
        <v>0.2596</v>
      </c>
      <c r="R143" s="10">
        <v>0.913</v>
      </c>
      <c r="S143" s="10">
        <v>0.2165</v>
      </c>
      <c r="T143" s="8">
        <f>IF(and(ISNUMBER(D143), isnumber(E143)), 1, 0) + IF(and(ISNUMBER(F143), isnumber(G143)), 1, 0) + IF(and(ISNUMBER(H143), isnumber(I143)), 1, 0) + IF(and(ISNUMBER(J143), isnumber(K143)), 1, 0) + IF(and(ISNUMBER(L143), isnumber(M143)), 1, 0) + IF(and(ISNUMBER(N143), isnumber(O143)), 1, 0)</f>
      </c>
      <c r="U143" s="8">
        <f>IF(and(ISNUMBER(P143), isnumber(Q143)), 1, 0) + IF(and(ISNUMBER(R143), isnumber(S143)), 1, 0)</f>
      </c>
      <c r="V143" s="13"/>
      <c r="W143" s="13"/>
      <c r="X143" s="16"/>
    </row>
    <row x14ac:dyDescent="0.25" r="144" customHeight="1" ht="15.75">
      <c r="A144" s="8">
        <v>26009</v>
      </c>
      <c r="B144" s="13" t="s">
        <v>184</v>
      </c>
      <c r="C144" s="13" t="s">
        <v>4592</v>
      </c>
      <c r="D144" s="10">
        <v>0.8475</v>
      </c>
      <c r="E144" s="11">
        <v>287.2</v>
      </c>
      <c r="F144" s="10">
        <v>0.6861</v>
      </c>
      <c r="G144" s="11">
        <v>377.52</v>
      </c>
      <c r="H144" s="10">
        <v>0.5874</v>
      </c>
      <c r="I144" s="11">
        <v>383.55</v>
      </c>
      <c r="J144" s="10">
        <v>0.574</v>
      </c>
      <c r="K144" s="11">
        <v>350.1</v>
      </c>
      <c r="L144" s="10">
        <v>0.6099</v>
      </c>
      <c r="M144" s="11">
        <v>385.97</v>
      </c>
      <c r="N144" s="10">
        <v>0.3363</v>
      </c>
      <c r="O144" s="11">
        <v>454.59</v>
      </c>
      <c r="P144" s="10">
        <v>0.8475</v>
      </c>
      <c r="Q144" s="10">
        <v>0.2586</v>
      </c>
      <c r="R144" s="10">
        <v>0.574</v>
      </c>
      <c r="S144" s="10">
        <v>0.2057</v>
      </c>
      <c r="T144" s="8">
        <f>IF(and(ISNUMBER(D144), isnumber(E144)), 1, 0) + IF(and(ISNUMBER(F144), isnumber(G144)), 1, 0) + IF(and(ISNUMBER(H144), isnumber(I144)), 1, 0) + IF(and(ISNUMBER(J144), isnumber(K144)), 1, 0) + IF(and(ISNUMBER(L144), isnumber(M144)), 1, 0) + IF(and(ISNUMBER(N144), isnumber(O144)), 1, 0)</f>
      </c>
      <c r="U144" s="8">
        <f>IF(and(ISNUMBER(P144), isnumber(Q144)), 1, 0) + IF(and(ISNUMBER(R144), isnumber(S144)), 1, 0)</f>
      </c>
      <c r="V144" s="13"/>
      <c r="W144" s="13"/>
      <c r="X144" s="16"/>
    </row>
    <row x14ac:dyDescent="0.25" r="145" customHeight="1" ht="15.75">
      <c r="A145" s="8">
        <v>26010</v>
      </c>
      <c r="B145" s="13" t="s">
        <v>184</v>
      </c>
      <c r="C145" s="13" t="s">
        <v>4595</v>
      </c>
      <c r="D145" s="10">
        <v>0.8816</v>
      </c>
      <c r="E145" s="11">
        <v>153.73</v>
      </c>
      <c r="F145" s="10">
        <v>0.6382</v>
      </c>
      <c r="G145" s="11">
        <v>351.05</v>
      </c>
      <c r="H145" s="10">
        <v>0.5457</v>
      </c>
      <c r="I145" s="11">
        <v>417.45</v>
      </c>
      <c r="J145" s="10">
        <v>0.6396</v>
      </c>
      <c r="K145" s="11">
        <v>278.47</v>
      </c>
      <c r="L145" s="10">
        <v>0.4482</v>
      </c>
      <c r="M145" s="11" t="s">
        <v>7127</v>
      </c>
      <c r="N145" s="10">
        <v>0.4939</v>
      </c>
      <c r="O145" s="11">
        <v>415.83</v>
      </c>
      <c r="P145" s="10">
        <v>0.8816</v>
      </c>
      <c r="Q145" s="10">
        <v>0.156</v>
      </c>
      <c r="R145" s="10">
        <v>0.6396</v>
      </c>
      <c r="S145" s="10">
        <v>0.2041</v>
      </c>
      <c r="T145" s="8">
        <f>IF(and(ISNUMBER(D145), isnumber(E145)), 1, 0) + IF(and(ISNUMBER(F145), isnumber(G145)), 1, 0) + IF(and(ISNUMBER(H145), isnumber(I145)), 1, 0) + IF(and(ISNUMBER(J145), isnumber(K145)), 1, 0) + IF(and(ISNUMBER(L145), isnumber(M145)), 1, 0) + IF(and(ISNUMBER(N145), isnumber(O145)), 1, 0)</f>
      </c>
      <c r="U145" s="8">
        <f>IF(and(ISNUMBER(P145), isnumber(Q145)), 1, 0) + IF(and(ISNUMBER(R145), isnumber(S145)), 1, 0)</f>
      </c>
      <c r="V145" s="13"/>
      <c r="W145" s="13"/>
      <c r="X145" s="16"/>
    </row>
    <row x14ac:dyDescent="0.25" r="146" customHeight="1" ht="15.75">
      <c r="A146" s="8">
        <v>25999</v>
      </c>
      <c r="B146" s="13" t="s">
        <v>184</v>
      </c>
      <c r="C146" s="13" t="s">
        <v>4599</v>
      </c>
      <c r="D146" s="10">
        <v>0.8074</v>
      </c>
      <c r="E146" s="11">
        <v>246.09</v>
      </c>
      <c r="F146" s="10">
        <v>0.6516</v>
      </c>
      <c r="G146" s="11">
        <v>378.99</v>
      </c>
      <c r="H146" s="10">
        <v>0.6189</v>
      </c>
      <c r="I146" s="11">
        <v>389.53</v>
      </c>
      <c r="J146" s="10">
        <v>0.6189</v>
      </c>
      <c r="K146" s="11">
        <v>292.79</v>
      </c>
      <c r="L146" s="10">
        <v>0.6393</v>
      </c>
      <c r="M146" s="11">
        <v>410.58</v>
      </c>
      <c r="N146" s="10">
        <v>0.6844</v>
      </c>
      <c r="O146" s="11">
        <v>444.34</v>
      </c>
      <c r="P146" s="10">
        <v>0.8074</v>
      </c>
      <c r="Q146" s="10">
        <v>0.227</v>
      </c>
      <c r="R146" s="10">
        <v>0.6189</v>
      </c>
      <c r="S146" s="10">
        <v>0.1992</v>
      </c>
      <c r="T146" s="8">
        <f>IF(and(ISNUMBER(D146), isnumber(E146)), 1, 0) + IF(and(ISNUMBER(F146), isnumber(G146)), 1, 0) + IF(and(ISNUMBER(H146), isnumber(I146)), 1, 0) + IF(and(ISNUMBER(J146), isnumber(K146)), 1, 0) + IF(and(ISNUMBER(L146), isnumber(M146)), 1, 0) + IF(and(ISNUMBER(N146), isnumber(O146)), 1, 0)</f>
      </c>
      <c r="U146" s="8">
        <f>IF(and(ISNUMBER(P146), isnumber(Q146)), 1, 0) + IF(and(ISNUMBER(R146), isnumber(S146)), 1, 0)</f>
      </c>
      <c r="V146" s="13"/>
      <c r="W146" s="13"/>
      <c r="X146" s="16"/>
    </row>
    <row x14ac:dyDescent="0.25" r="147" customHeight="1" ht="15.75">
      <c r="A147" s="8">
        <v>26011</v>
      </c>
      <c r="B147" s="13" t="s">
        <v>184</v>
      </c>
      <c r="C147" s="13" t="s">
        <v>4603</v>
      </c>
      <c r="D147" s="10">
        <v>0.8165</v>
      </c>
      <c r="E147" s="11">
        <v>379.84</v>
      </c>
      <c r="F147" s="10">
        <v>0.7785</v>
      </c>
      <c r="G147" s="11">
        <v>460.49</v>
      </c>
      <c r="H147" s="10">
        <v>0.75</v>
      </c>
      <c r="I147" s="11">
        <v>502.2</v>
      </c>
      <c r="J147" s="10">
        <v>0.8449</v>
      </c>
      <c r="K147" s="11">
        <v>417.46</v>
      </c>
      <c r="L147" s="10">
        <v>0.6582</v>
      </c>
      <c r="M147" s="11">
        <v>495.53</v>
      </c>
      <c r="N147" s="10">
        <v>0.6108</v>
      </c>
      <c r="O147" s="11">
        <v>487.25</v>
      </c>
      <c r="P147" s="10">
        <v>0.8165</v>
      </c>
      <c r="Q147" s="10">
        <v>0.2841</v>
      </c>
      <c r="R147" s="10">
        <v>0.8449</v>
      </c>
      <c r="S147" s="10">
        <v>0.2176</v>
      </c>
      <c r="T147" s="8">
        <f>IF(and(ISNUMBER(D147), isnumber(E147)), 1, 0) + IF(and(ISNUMBER(F147), isnumber(G147)), 1, 0) + IF(and(ISNUMBER(H147), isnumber(I147)), 1, 0) + IF(and(ISNUMBER(J147), isnumber(K147)), 1, 0) + IF(and(ISNUMBER(L147), isnumber(M147)), 1, 0) + IF(and(ISNUMBER(N147), isnumber(O147)), 1, 0)</f>
      </c>
      <c r="U147" s="8">
        <f>IF(and(ISNUMBER(P147), isnumber(Q147)), 1, 0) + IF(and(ISNUMBER(R147), isnumber(S147)), 1, 0)</f>
      </c>
      <c r="V147" s="13"/>
      <c r="W147" s="13"/>
      <c r="X147" s="16"/>
    </row>
    <row x14ac:dyDescent="0.25" r="148" customHeight="1" ht="15.75">
      <c r="A148" s="8">
        <v>26012</v>
      </c>
      <c r="B148" s="13" t="s">
        <v>184</v>
      </c>
      <c r="C148" s="13" t="s">
        <v>4608</v>
      </c>
      <c r="D148" s="10">
        <v>0.7071</v>
      </c>
      <c r="E148" s="11">
        <v>296.09</v>
      </c>
      <c r="F148" s="10">
        <v>0.675</v>
      </c>
      <c r="G148" s="11">
        <v>437.2</v>
      </c>
      <c r="H148" s="10">
        <v>0.7107</v>
      </c>
      <c r="I148" s="11">
        <v>324.62</v>
      </c>
      <c r="J148" s="10">
        <v>0.6607</v>
      </c>
      <c r="K148" s="11">
        <v>319.33</v>
      </c>
      <c r="L148" s="10">
        <v>0.6071</v>
      </c>
      <c r="M148" s="11">
        <v>443.83</v>
      </c>
      <c r="N148" s="10">
        <v>0.6393</v>
      </c>
      <c r="O148" s="11">
        <v>480.9</v>
      </c>
      <c r="P148" s="10">
        <v>0.7071</v>
      </c>
      <c r="Q148" s="10">
        <v>0.2458</v>
      </c>
      <c r="R148" s="10">
        <v>0.6607</v>
      </c>
      <c r="S148" s="10">
        <v>0.197</v>
      </c>
      <c r="T148" s="8">
        <f>IF(and(ISNUMBER(D148), isnumber(E148)), 1, 0) + IF(and(ISNUMBER(F148), isnumber(G148)), 1, 0) + IF(and(ISNUMBER(H148), isnumber(I148)), 1, 0) + IF(and(ISNUMBER(J148), isnumber(K148)), 1, 0) + IF(and(ISNUMBER(L148), isnumber(M148)), 1, 0) + IF(and(ISNUMBER(N148), isnumber(O148)), 1, 0)</f>
      </c>
      <c r="U148" s="8">
        <f>IF(and(ISNUMBER(P148), isnumber(Q148)), 1, 0) + IF(and(ISNUMBER(R148), isnumber(S148)), 1, 0)</f>
      </c>
      <c r="V148" s="13"/>
      <c r="W148" s="13"/>
      <c r="X148" s="16"/>
    </row>
    <row x14ac:dyDescent="0.25" r="149" customHeight="1" ht="15.75">
      <c r="A149" s="8">
        <v>26013</v>
      </c>
      <c r="B149" s="13" t="s">
        <v>184</v>
      </c>
      <c r="C149" s="13" t="s">
        <v>4611</v>
      </c>
      <c r="D149" s="10">
        <v>0.75</v>
      </c>
      <c r="E149" s="11">
        <v>248</v>
      </c>
      <c r="F149" s="10">
        <v>0.6543</v>
      </c>
      <c r="G149" s="11">
        <v>385.04</v>
      </c>
      <c r="H149" s="10">
        <v>0.4947</v>
      </c>
      <c r="I149" s="11">
        <v>422.17</v>
      </c>
      <c r="J149" s="10">
        <v>0.4574</v>
      </c>
      <c r="K149" s="11">
        <v>256.71</v>
      </c>
      <c r="L149" s="10">
        <v>0.5266</v>
      </c>
      <c r="M149" s="11">
        <v>389.28</v>
      </c>
      <c r="N149" s="10">
        <v>0.5904</v>
      </c>
      <c r="O149" s="11">
        <v>383.06</v>
      </c>
      <c r="P149" s="10">
        <v>0.75</v>
      </c>
      <c r="Q149" s="10">
        <v>0.217</v>
      </c>
      <c r="R149" s="10">
        <v>0.4574</v>
      </c>
      <c r="S149" s="10">
        <v>0.2005</v>
      </c>
      <c r="T149" s="8">
        <f>IF(and(ISNUMBER(D149), isnumber(E149)), 1, 0) + IF(and(ISNUMBER(F149), isnumber(G149)), 1, 0) + IF(and(ISNUMBER(H149), isnumber(I149)), 1, 0) + IF(and(ISNUMBER(J149), isnumber(K149)), 1, 0) + IF(and(ISNUMBER(L149), isnumber(M149)), 1, 0) + IF(and(ISNUMBER(N149), isnumber(O149)), 1, 0)</f>
      </c>
      <c r="U149" s="8">
        <f>IF(and(ISNUMBER(P149), isnumber(Q149)), 1, 0) + IF(and(ISNUMBER(R149), isnumber(S149)), 1, 0)</f>
      </c>
      <c r="V149" s="13"/>
      <c r="W149" s="13"/>
      <c r="X149" s="16"/>
    </row>
    <row x14ac:dyDescent="0.25" r="150" customHeight="1" ht="15.75">
      <c r="A150" s="8">
        <v>26014</v>
      </c>
      <c r="B150" s="13" t="s">
        <v>184</v>
      </c>
      <c r="C150" s="13" t="s">
        <v>4615</v>
      </c>
      <c r="D150" s="10">
        <v>0.7717</v>
      </c>
      <c r="E150" s="11">
        <v>244.26</v>
      </c>
      <c r="F150" s="10">
        <v>0.9863</v>
      </c>
      <c r="G150" s="11">
        <v>227.68</v>
      </c>
      <c r="H150" s="10">
        <v>0.5982</v>
      </c>
      <c r="I150" s="11">
        <v>447.44</v>
      </c>
      <c r="J150" s="10">
        <v>0.5114</v>
      </c>
      <c r="K150" s="11">
        <v>406.83</v>
      </c>
      <c r="L150" s="10">
        <v>0.484</v>
      </c>
      <c r="M150" s="11">
        <v>436.5</v>
      </c>
      <c r="N150" s="10">
        <v>0.4429</v>
      </c>
      <c r="O150" s="11">
        <v>469.58</v>
      </c>
      <c r="P150" s="10">
        <v>0.7717</v>
      </c>
      <c r="Q150" s="10">
        <v>0.2068</v>
      </c>
      <c r="R150" s="10">
        <v>0.5114</v>
      </c>
      <c r="S150" s="10">
        <v>0.2012</v>
      </c>
      <c r="T150" s="8">
        <f>IF(and(ISNUMBER(D150), isnumber(E150)), 1, 0) + IF(and(ISNUMBER(F150), isnumber(G150)), 1, 0) + IF(and(ISNUMBER(H150), isnumber(I150)), 1, 0) + IF(and(ISNUMBER(J150), isnumber(K150)), 1, 0) + IF(and(ISNUMBER(L150), isnumber(M150)), 1, 0) + IF(and(ISNUMBER(N150), isnumber(O150)), 1, 0)</f>
      </c>
      <c r="U150" s="8">
        <f>IF(and(ISNUMBER(P150), isnumber(Q150)), 1, 0) + IF(and(ISNUMBER(R150), isnumber(S150)), 1, 0)</f>
      </c>
      <c r="V150" s="13"/>
      <c r="W150" s="13"/>
      <c r="X150" s="16"/>
    </row>
    <row x14ac:dyDescent="0.25" r="151" customHeight="1" ht="15.75">
      <c r="A151" s="8">
        <v>26015</v>
      </c>
      <c r="B151" s="13" t="s">
        <v>184</v>
      </c>
      <c r="C151" s="13" t="s">
        <v>4619</v>
      </c>
      <c r="D151" s="10">
        <v>0.5458</v>
      </c>
      <c r="E151" s="11">
        <v>260.22</v>
      </c>
      <c r="F151" s="10">
        <v>0.7711</v>
      </c>
      <c r="G151" s="11">
        <v>433.17</v>
      </c>
      <c r="H151" s="10">
        <v>0.3965</v>
      </c>
      <c r="I151" s="11">
        <v>413.64</v>
      </c>
      <c r="J151" s="10">
        <v>0.769</v>
      </c>
      <c r="K151" s="11">
        <v>316.27</v>
      </c>
      <c r="L151" s="10">
        <v>0.6064</v>
      </c>
      <c r="M151" s="11">
        <v>408.07</v>
      </c>
      <c r="N151" s="10">
        <v>0.6501</v>
      </c>
      <c r="O151" s="11">
        <v>452.73</v>
      </c>
      <c r="P151" s="10">
        <v>0.5458</v>
      </c>
      <c r="Q151" s="10">
        <v>0.2583</v>
      </c>
      <c r="R151" s="10">
        <v>0.769</v>
      </c>
      <c r="S151" s="10">
        <v>0.2011</v>
      </c>
      <c r="T151" s="8">
        <f>IF(and(ISNUMBER(D151), isnumber(E151)), 1, 0) + IF(and(ISNUMBER(F151), isnumber(G151)), 1, 0) + IF(and(ISNUMBER(H151), isnumber(I151)), 1, 0) + IF(and(ISNUMBER(J151), isnumber(K151)), 1, 0) + IF(and(ISNUMBER(L151), isnumber(M151)), 1, 0) + IF(and(ISNUMBER(N151), isnumber(O151)), 1, 0)</f>
      </c>
      <c r="U151" s="8">
        <f>IF(and(ISNUMBER(P151), isnumber(Q151)), 1, 0) + IF(and(ISNUMBER(R151), isnumber(S151)), 1, 0)</f>
      </c>
      <c r="V151" s="13"/>
      <c r="W151" s="13"/>
      <c r="X151" s="16"/>
    </row>
    <row x14ac:dyDescent="0.25" r="152" customHeight="1" ht="15.75">
      <c r="A152" s="8">
        <v>26086</v>
      </c>
      <c r="B152" s="13" t="s">
        <v>184</v>
      </c>
      <c r="C152" s="13" t="s">
        <v>4622</v>
      </c>
      <c r="D152" s="10">
        <v>0.8229</v>
      </c>
      <c r="E152" s="11">
        <v>146.67</v>
      </c>
      <c r="F152" s="10">
        <v>0.6563</v>
      </c>
      <c r="G152" s="11">
        <v>390.97</v>
      </c>
      <c r="H152" s="10">
        <v>0.6979</v>
      </c>
      <c r="I152" s="11">
        <v>386.27</v>
      </c>
      <c r="J152" s="10">
        <v>0.9167</v>
      </c>
      <c r="K152" s="11">
        <v>221.15</v>
      </c>
      <c r="L152" s="10">
        <v>0.6563</v>
      </c>
      <c r="M152" s="11">
        <v>374.19</v>
      </c>
      <c r="N152" s="10">
        <v>0.7083</v>
      </c>
      <c r="O152" s="11">
        <v>445.37</v>
      </c>
      <c r="P152" s="10">
        <v>0.8229</v>
      </c>
      <c r="Q152" s="10">
        <v>0.2279</v>
      </c>
      <c r="R152" s="10">
        <v>0.9167</v>
      </c>
      <c r="S152" s="10">
        <v>0.2003</v>
      </c>
      <c r="T152" s="8">
        <f>IF(and(ISNUMBER(D152), isnumber(E152)), 1, 0) + IF(and(ISNUMBER(F152), isnumber(G152)), 1, 0) + IF(and(ISNUMBER(H152), isnumber(I152)), 1, 0) + IF(and(ISNUMBER(J152), isnumber(K152)), 1, 0) + IF(and(ISNUMBER(L152), isnumber(M152)), 1, 0) + IF(and(ISNUMBER(N152), isnumber(O152)), 1, 0)</f>
      </c>
      <c r="U152" s="8">
        <f>IF(and(ISNUMBER(P152), isnumber(Q152)), 1, 0) + IF(and(ISNUMBER(R152), isnumber(S152)), 1, 0)</f>
      </c>
      <c r="V152" s="13"/>
      <c r="W152" s="13"/>
      <c r="X152" s="16"/>
    </row>
    <row x14ac:dyDescent="0.25" r="153" customHeight="1" ht="15.75">
      <c r="A153" s="8">
        <v>26087</v>
      </c>
      <c r="B153" s="13" t="s">
        <v>184</v>
      </c>
      <c r="C153" s="13" t="s">
        <v>4624</v>
      </c>
      <c r="D153" s="10">
        <v>0.654</v>
      </c>
      <c r="E153" s="11">
        <v>220.04</v>
      </c>
      <c r="F153" s="10">
        <v>0.5888</v>
      </c>
      <c r="G153" s="11">
        <v>326.52</v>
      </c>
      <c r="H153" s="10">
        <v>0.6305</v>
      </c>
      <c r="I153" s="11">
        <v>339.5</v>
      </c>
      <c r="J153" s="10">
        <v>0.6645</v>
      </c>
      <c r="K153" s="11">
        <v>267.45</v>
      </c>
      <c r="L153" s="10">
        <v>0.7232</v>
      </c>
      <c r="M153" s="11">
        <v>332.52</v>
      </c>
      <c r="N153" s="10">
        <v>0.6762</v>
      </c>
      <c r="O153" s="11">
        <v>390.22</v>
      </c>
      <c r="P153" s="10">
        <v>0.654</v>
      </c>
      <c r="Q153" s="10">
        <v>0.2427</v>
      </c>
      <c r="R153" s="10">
        <v>0.6645</v>
      </c>
      <c r="S153" s="10">
        <v>0.2025</v>
      </c>
      <c r="T153" s="8">
        <f>IF(and(ISNUMBER(D153), isnumber(E153)), 1, 0) + IF(and(ISNUMBER(F153), isnumber(G153)), 1, 0) + IF(and(ISNUMBER(H153), isnumber(I153)), 1, 0) + IF(and(ISNUMBER(J153), isnumber(K153)), 1, 0) + IF(and(ISNUMBER(L153), isnumber(M153)), 1, 0) + IF(and(ISNUMBER(N153), isnumber(O153)), 1, 0)</f>
      </c>
      <c r="U153" s="8">
        <f>IF(and(ISNUMBER(P153), isnumber(Q153)), 1, 0) + IF(and(ISNUMBER(R153), isnumber(S153)), 1, 0)</f>
      </c>
      <c r="V153" s="13"/>
      <c r="W153" s="13"/>
      <c r="X153" s="16"/>
    </row>
    <row x14ac:dyDescent="0.25" r="154" customHeight="1" ht="15.75">
      <c r="A154" s="8">
        <v>26016</v>
      </c>
      <c r="B154" s="13" t="s">
        <v>184</v>
      </c>
      <c r="C154" s="13" t="s">
        <v>4627</v>
      </c>
      <c r="D154" s="10">
        <v>0.6229</v>
      </c>
      <c r="E154" s="11">
        <v>258.72</v>
      </c>
      <c r="F154" s="10">
        <v>0.8343</v>
      </c>
      <c r="G154" s="11">
        <v>230.89</v>
      </c>
      <c r="H154" s="10">
        <v>0.6349</v>
      </c>
      <c r="I154" s="11">
        <v>219.75</v>
      </c>
      <c r="J154" s="10">
        <v>0.4534</v>
      </c>
      <c r="K154" s="11">
        <v>266.86</v>
      </c>
      <c r="L154" s="10">
        <v>0.373</v>
      </c>
      <c r="M154" s="11">
        <v>369.36</v>
      </c>
      <c r="N154" s="10">
        <v>0.4167</v>
      </c>
      <c r="O154" s="11">
        <v>382.85</v>
      </c>
      <c r="P154" s="10">
        <v>0.6229</v>
      </c>
      <c r="Q154" s="10">
        <v>0.2418</v>
      </c>
      <c r="R154" s="10">
        <v>0.4534</v>
      </c>
      <c r="S154" s="10">
        <v>0.188</v>
      </c>
      <c r="T154" s="8">
        <f>IF(and(ISNUMBER(D154), isnumber(E154)), 1, 0) + IF(and(ISNUMBER(F154), isnumber(G154)), 1, 0) + IF(and(ISNUMBER(H154), isnumber(I154)), 1, 0) + IF(and(ISNUMBER(J154), isnumber(K154)), 1, 0) + IF(and(ISNUMBER(L154), isnumber(M154)), 1, 0) + IF(and(ISNUMBER(N154), isnumber(O154)), 1, 0)</f>
      </c>
      <c r="U154" s="8">
        <f>IF(and(ISNUMBER(P154), isnumber(Q154)), 1, 0) + IF(and(ISNUMBER(R154), isnumber(S154)), 1, 0)</f>
      </c>
      <c r="V154" s="13"/>
      <c r="W154" s="13"/>
      <c r="X154" s="16"/>
    </row>
    <row x14ac:dyDescent="0.25" r="155" customHeight="1" ht="15.75">
      <c r="A155" s="8">
        <v>26017</v>
      </c>
      <c r="B155" s="13" t="s">
        <v>184</v>
      </c>
      <c r="C155" s="13" t="s">
        <v>4631</v>
      </c>
      <c r="D155" s="10">
        <v>0.8089</v>
      </c>
      <c r="E155" s="11">
        <v>233.28</v>
      </c>
      <c r="F155" s="10">
        <v>0.7962</v>
      </c>
      <c r="G155" s="11">
        <v>372.68</v>
      </c>
      <c r="H155" s="10">
        <v>0.7389</v>
      </c>
      <c r="I155" s="11">
        <v>404.52</v>
      </c>
      <c r="J155" s="10">
        <v>0.7261</v>
      </c>
      <c r="K155" s="11">
        <v>326.07</v>
      </c>
      <c r="L155" s="10">
        <v>0.7834</v>
      </c>
      <c r="M155" s="11">
        <v>388.1</v>
      </c>
      <c r="N155" s="10">
        <v>0.707</v>
      </c>
      <c r="O155" s="11">
        <v>388.62</v>
      </c>
      <c r="P155" s="10">
        <v>0.8089</v>
      </c>
      <c r="Q155" s="10">
        <v>0.2395</v>
      </c>
      <c r="R155" s="10">
        <v>0.7261</v>
      </c>
      <c r="S155" s="10">
        <v>0.2116</v>
      </c>
      <c r="T155" s="8">
        <f>IF(and(ISNUMBER(D155), isnumber(E155)), 1, 0) + IF(and(ISNUMBER(F155), isnumber(G155)), 1, 0) + IF(and(ISNUMBER(H155), isnumber(I155)), 1, 0) + IF(and(ISNUMBER(J155), isnumber(K155)), 1, 0) + IF(and(ISNUMBER(L155), isnumber(M155)), 1, 0) + IF(and(ISNUMBER(N155), isnumber(O155)), 1, 0)</f>
      </c>
      <c r="U155" s="8">
        <f>IF(and(ISNUMBER(P155), isnumber(Q155)), 1, 0) + IF(and(ISNUMBER(R155), isnumber(S155)), 1, 0)</f>
      </c>
      <c r="V155" s="13"/>
      <c r="W155" s="13"/>
      <c r="X155" s="16"/>
    </row>
    <row x14ac:dyDescent="0.25" r="156" customHeight="1" ht="15.75">
      <c r="A156" s="8">
        <v>26018</v>
      </c>
      <c r="B156" s="13" t="s">
        <v>184</v>
      </c>
      <c r="C156" s="13" t="s">
        <v>4636</v>
      </c>
      <c r="D156" s="10">
        <v>0.8958</v>
      </c>
      <c r="E156" s="11">
        <v>354.15</v>
      </c>
      <c r="F156" s="10">
        <v>0.5313</v>
      </c>
      <c r="G156" s="11">
        <v>358.78</v>
      </c>
      <c r="H156" s="10">
        <v>0.8646</v>
      </c>
      <c r="I156" s="11">
        <v>467.56</v>
      </c>
      <c r="J156" s="10">
        <v>0.8906</v>
      </c>
      <c r="K156" s="11">
        <v>360</v>
      </c>
      <c r="L156" s="10">
        <v>0.8906</v>
      </c>
      <c r="M156" s="11">
        <v>418.95</v>
      </c>
      <c r="N156" s="10">
        <v>0.875</v>
      </c>
      <c r="O156" s="11">
        <v>453.57</v>
      </c>
      <c r="P156" s="10">
        <v>0.8958</v>
      </c>
      <c r="Q156" s="10">
        <v>0.2396</v>
      </c>
      <c r="R156" s="10">
        <v>0.8906</v>
      </c>
      <c r="S156" s="10">
        <v>0.2033</v>
      </c>
      <c r="T156" s="8">
        <f>IF(and(ISNUMBER(D156), isnumber(E156)), 1, 0) + IF(and(ISNUMBER(F156), isnumber(G156)), 1, 0) + IF(and(ISNUMBER(H156), isnumber(I156)), 1, 0) + IF(and(ISNUMBER(J156), isnumber(K156)), 1, 0) + IF(and(ISNUMBER(L156), isnumber(M156)), 1, 0) + IF(and(ISNUMBER(N156), isnumber(O156)), 1, 0)</f>
      </c>
      <c r="U156" s="8">
        <f>IF(and(ISNUMBER(P156), isnumber(Q156)), 1, 0) + IF(and(ISNUMBER(R156), isnumber(S156)), 1, 0)</f>
      </c>
      <c r="V156" s="13"/>
      <c r="W156" s="13"/>
      <c r="X156" s="16"/>
    </row>
    <row x14ac:dyDescent="0.25" r="157" customHeight="1" ht="15.75">
      <c r="A157" s="8">
        <v>26019</v>
      </c>
      <c r="B157" s="13" t="s">
        <v>184</v>
      </c>
      <c r="C157" s="13" t="s">
        <v>4640</v>
      </c>
      <c r="D157" s="10">
        <v>0.9186</v>
      </c>
      <c r="E157" s="11">
        <v>229.27</v>
      </c>
      <c r="F157" s="10">
        <v>0.9015</v>
      </c>
      <c r="G157" s="11">
        <v>245.14</v>
      </c>
      <c r="H157" s="10">
        <v>0.6864</v>
      </c>
      <c r="I157" s="11">
        <v>292.45</v>
      </c>
      <c r="J157" s="10">
        <v>0.7119</v>
      </c>
      <c r="K157" s="11">
        <v>303.41</v>
      </c>
      <c r="L157" s="10">
        <v>0.5508</v>
      </c>
      <c r="M157" s="11">
        <v>329.73</v>
      </c>
      <c r="N157" s="10">
        <v>0.5085</v>
      </c>
      <c r="O157" s="11">
        <v>426.18</v>
      </c>
      <c r="P157" s="10">
        <v>0.9186</v>
      </c>
      <c r="Q157" s="10">
        <v>0.1836</v>
      </c>
      <c r="R157" s="10">
        <v>0.7119</v>
      </c>
      <c r="S157" s="10">
        <v>0.1602</v>
      </c>
      <c r="T157" s="8">
        <f>IF(and(ISNUMBER(D157), isnumber(E157)), 1, 0) + IF(and(ISNUMBER(F157), isnumber(G157)), 1, 0) + IF(and(ISNUMBER(H157), isnumber(I157)), 1, 0) + IF(and(ISNUMBER(J157), isnumber(K157)), 1, 0) + IF(and(ISNUMBER(L157), isnumber(M157)), 1, 0) + IF(and(ISNUMBER(N157), isnumber(O157)), 1, 0)</f>
      </c>
      <c r="U157" s="8">
        <f>IF(and(ISNUMBER(P157), isnumber(Q157)), 1, 0) + IF(and(ISNUMBER(R157), isnumber(S157)), 1, 0)</f>
      </c>
      <c r="V157" s="13"/>
      <c r="W157" s="13"/>
      <c r="X157" s="16"/>
    </row>
    <row x14ac:dyDescent="0.25" r="158" customHeight="1" ht="15.75">
      <c r="A158" s="8">
        <v>26000</v>
      </c>
      <c r="B158" s="13" t="s">
        <v>184</v>
      </c>
      <c r="C158" s="13" t="s">
        <v>4644</v>
      </c>
      <c r="D158" s="10">
        <v>0.7968</v>
      </c>
      <c r="E158" s="11">
        <v>247.5</v>
      </c>
      <c r="F158" s="10">
        <v>0.6702</v>
      </c>
      <c r="G158" s="11">
        <v>387.48</v>
      </c>
      <c r="H158" s="10">
        <v>0.5499</v>
      </c>
      <c r="I158" s="11">
        <v>400.34</v>
      </c>
      <c r="J158" s="10">
        <v>0.6054</v>
      </c>
      <c r="K158" s="11">
        <v>309.23</v>
      </c>
      <c r="L158" s="10">
        <v>0.5342</v>
      </c>
      <c r="M158" s="11">
        <v>424.37</v>
      </c>
      <c r="N158" s="10">
        <v>0.5088</v>
      </c>
      <c r="O158" s="11">
        <v>426.95</v>
      </c>
      <c r="P158" s="10">
        <v>0.7968</v>
      </c>
      <c r="Q158" s="10">
        <v>0.2306</v>
      </c>
      <c r="R158" s="10">
        <v>0.6054</v>
      </c>
      <c r="S158" s="10">
        <v>0.2012</v>
      </c>
      <c r="T158" s="8">
        <f>IF(and(ISNUMBER(D158), isnumber(E158)), 1, 0) + IF(and(ISNUMBER(F158), isnumber(G158)), 1, 0) + IF(and(ISNUMBER(H158), isnumber(I158)), 1, 0) + IF(and(ISNUMBER(J158), isnumber(K158)), 1, 0) + IF(and(ISNUMBER(L158), isnumber(M158)), 1, 0) + IF(and(ISNUMBER(N158), isnumber(O158)), 1, 0)</f>
      </c>
      <c r="U158" s="8">
        <f>IF(and(ISNUMBER(P158), isnumber(Q158)), 1, 0) + IF(and(ISNUMBER(R158), isnumber(S158)), 1, 0)</f>
      </c>
      <c r="V158" s="13"/>
      <c r="W158" s="13"/>
      <c r="X158" s="16"/>
    </row>
    <row x14ac:dyDescent="0.25" r="159" customHeight="1" ht="15.75">
      <c r="A159" s="8">
        <v>26020</v>
      </c>
      <c r="B159" s="13" t="s">
        <v>184</v>
      </c>
      <c r="C159" s="13" t="s">
        <v>4648</v>
      </c>
      <c r="D159" s="10">
        <v>0.8795</v>
      </c>
      <c r="E159" s="11">
        <v>347.59</v>
      </c>
      <c r="F159" s="10">
        <v>0.7048</v>
      </c>
      <c r="G159" s="11">
        <v>438.94</v>
      </c>
      <c r="H159" s="10">
        <v>0.7289</v>
      </c>
      <c r="I159" s="11">
        <v>513.56</v>
      </c>
      <c r="J159" s="10">
        <v>0.741</v>
      </c>
      <c r="K159" s="11">
        <v>442.39</v>
      </c>
      <c r="L159" s="10">
        <v>0.6747</v>
      </c>
      <c r="M159" s="11">
        <v>488.44</v>
      </c>
      <c r="N159" s="10">
        <v>0.8012</v>
      </c>
      <c r="O159" s="11">
        <v>506.55</v>
      </c>
      <c r="P159" s="10">
        <v>0.8795</v>
      </c>
      <c r="Q159" s="10">
        <v>0.2561</v>
      </c>
      <c r="R159" s="10">
        <v>0.741</v>
      </c>
      <c r="S159" s="10">
        <v>0.2066</v>
      </c>
      <c r="T159" s="8">
        <f>IF(and(ISNUMBER(D159), isnumber(E159)), 1, 0) + IF(and(ISNUMBER(F159), isnumber(G159)), 1, 0) + IF(and(ISNUMBER(H159), isnumber(I159)), 1, 0) + IF(and(ISNUMBER(J159), isnumber(K159)), 1, 0) + IF(and(ISNUMBER(L159), isnumber(M159)), 1, 0) + IF(and(ISNUMBER(N159), isnumber(O159)), 1, 0)</f>
      </c>
      <c r="U159" s="8">
        <f>IF(and(ISNUMBER(P159), isnumber(Q159)), 1, 0) + IF(and(ISNUMBER(R159), isnumber(S159)), 1, 0)</f>
      </c>
      <c r="V159" s="13"/>
      <c r="W159" s="13"/>
      <c r="X159" s="16"/>
    </row>
    <row x14ac:dyDescent="0.25" r="160" customHeight="1" ht="15.75">
      <c r="A160" s="8">
        <v>26021</v>
      </c>
      <c r="B160" s="13" t="s">
        <v>184</v>
      </c>
      <c r="C160" s="13" t="s">
        <v>4652</v>
      </c>
      <c r="D160" s="10">
        <v>0.3277</v>
      </c>
      <c r="E160" s="11">
        <v>235.56</v>
      </c>
      <c r="F160" s="10">
        <v>0.6554</v>
      </c>
      <c r="G160" s="11">
        <v>398.51</v>
      </c>
      <c r="H160" s="10">
        <v>0.6675</v>
      </c>
      <c r="I160" s="11">
        <v>429.49</v>
      </c>
      <c r="J160" s="10">
        <v>0.6819</v>
      </c>
      <c r="K160" s="11">
        <v>364.84</v>
      </c>
      <c r="L160" s="10">
        <v>0.6289</v>
      </c>
      <c r="M160" s="11">
        <v>400</v>
      </c>
      <c r="N160" s="10">
        <v>0.5253</v>
      </c>
      <c r="O160" s="11">
        <v>411.38</v>
      </c>
      <c r="P160" s="10">
        <v>0.3277</v>
      </c>
      <c r="Q160" s="10">
        <v>0.2282</v>
      </c>
      <c r="R160" s="10">
        <v>0.6819</v>
      </c>
      <c r="S160" s="10">
        <v>0.2038</v>
      </c>
      <c r="T160" s="8">
        <f>IF(and(ISNUMBER(D160), isnumber(E160)), 1, 0) + IF(and(ISNUMBER(F160), isnumber(G160)), 1, 0) + IF(and(ISNUMBER(H160), isnumber(I160)), 1, 0) + IF(and(ISNUMBER(J160), isnumber(K160)), 1, 0) + IF(and(ISNUMBER(L160), isnumber(M160)), 1, 0) + IF(and(ISNUMBER(N160), isnumber(O160)), 1, 0)</f>
      </c>
      <c r="U160" s="8">
        <f>IF(and(ISNUMBER(P160), isnumber(Q160)), 1, 0) + IF(and(ISNUMBER(R160), isnumber(S160)), 1, 0)</f>
      </c>
      <c r="V160" s="13"/>
      <c r="W160" s="13"/>
      <c r="X160" s="16"/>
    </row>
    <row x14ac:dyDescent="0.25" r="161" customHeight="1" ht="15.75">
      <c r="A161" s="8">
        <v>26022</v>
      </c>
      <c r="B161" s="13" t="s">
        <v>184</v>
      </c>
      <c r="C161" s="13" t="s">
        <v>4657</v>
      </c>
      <c r="D161" s="10">
        <v>0.7155</v>
      </c>
      <c r="E161" s="11">
        <v>279.18</v>
      </c>
      <c r="F161" s="10">
        <v>0.59</v>
      </c>
      <c r="G161" s="11">
        <v>370.1</v>
      </c>
      <c r="H161" s="10">
        <v>0.5552</v>
      </c>
      <c r="I161" s="11">
        <v>444.31</v>
      </c>
      <c r="J161" s="10">
        <v>0.5431</v>
      </c>
      <c r="K161" s="11">
        <v>356.9</v>
      </c>
      <c r="L161" s="10">
        <v>0.4515</v>
      </c>
      <c r="M161" s="11">
        <v>375.11</v>
      </c>
      <c r="N161" s="10">
        <v>0.4816</v>
      </c>
      <c r="O161" s="11">
        <v>383.06</v>
      </c>
      <c r="P161" s="10">
        <v>0.7155</v>
      </c>
      <c r="Q161" s="10">
        <v>0.2414</v>
      </c>
      <c r="R161" s="10">
        <v>0.5431</v>
      </c>
      <c r="S161" s="10">
        <v>0.2047</v>
      </c>
      <c r="T161" s="8">
        <f>IF(and(ISNUMBER(D161), isnumber(E161)), 1, 0) + IF(and(ISNUMBER(F161), isnumber(G161)), 1, 0) + IF(and(ISNUMBER(H161), isnumber(I161)), 1, 0) + IF(and(ISNUMBER(J161), isnumber(K161)), 1, 0) + IF(and(ISNUMBER(L161), isnumber(M161)), 1, 0) + IF(and(ISNUMBER(N161), isnumber(O161)), 1, 0)</f>
      </c>
      <c r="U161" s="8">
        <f>IF(and(ISNUMBER(P161), isnumber(Q161)), 1, 0) + IF(and(ISNUMBER(R161), isnumber(S161)), 1, 0)</f>
      </c>
      <c r="V161" s="13"/>
      <c r="W161" s="13"/>
      <c r="X161" s="16"/>
    </row>
    <row x14ac:dyDescent="0.25" r="162" customHeight="1" ht="15.75">
      <c r="A162" s="8">
        <v>26023</v>
      </c>
      <c r="B162" s="13" t="s">
        <v>184</v>
      </c>
      <c r="C162" s="13" t="s">
        <v>4660</v>
      </c>
      <c r="D162" s="10">
        <v>1</v>
      </c>
      <c r="E162" s="11">
        <v>400.55</v>
      </c>
      <c r="F162" s="10">
        <v>0.9452</v>
      </c>
      <c r="G162" s="11">
        <v>453.73</v>
      </c>
      <c r="H162" s="10">
        <v>0.8767</v>
      </c>
      <c r="I162" s="11">
        <v>471.25</v>
      </c>
      <c r="J162" s="10">
        <v>0.8904</v>
      </c>
      <c r="K162" s="11">
        <v>433.75</v>
      </c>
      <c r="L162" s="10">
        <v>0.7671</v>
      </c>
      <c r="M162" s="11">
        <v>498.57</v>
      </c>
      <c r="N162" s="10">
        <v>0.7123</v>
      </c>
      <c r="O162" s="11">
        <v>522.31</v>
      </c>
      <c r="P162" s="10">
        <v>1</v>
      </c>
      <c r="Q162" s="10">
        <v>0.2733</v>
      </c>
      <c r="R162" s="10">
        <v>0.8904</v>
      </c>
      <c r="S162" s="10">
        <v>0.2123</v>
      </c>
      <c r="T162" s="8">
        <f>IF(and(ISNUMBER(D162), isnumber(E162)), 1, 0) + IF(and(ISNUMBER(F162), isnumber(G162)), 1, 0) + IF(and(ISNUMBER(H162), isnumber(I162)), 1, 0) + IF(and(ISNUMBER(J162), isnumber(K162)), 1, 0) + IF(and(ISNUMBER(L162), isnumber(M162)), 1, 0) + IF(and(ISNUMBER(N162), isnumber(O162)), 1, 0)</f>
      </c>
      <c r="U162" s="8">
        <f>IF(and(ISNUMBER(P162), isnumber(Q162)), 1, 0) + IF(and(ISNUMBER(R162), isnumber(S162)), 1, 0)</f>
      </c>
      <c r="V162" s="13"/>
      <c r="W162" s="13"/>
      <c r="X162" s="16"/>
    </row>
    <row x14ac:dyDescent="0.25" r="163" customHeight="1" ht="15.75">
      <c r="A163" s="8">
        <v>26001</v>
      </c>
      <c r="B163" s="13" t="s">
        <v>184</v>
      </c>
      <c r="C163" s="13" t="s">
        <v>4664</v>
      </c>
      <c r="D163" s="10">
        <v>0.7679</v>
      </c>
      <c r="E163" s="11">
        <v>294.27</v>
      </c>
      <c r="F163" s="10">
        <v>0.692</v>
      </c>
      <c r="G163" s="11">
        <v>387.02</v>
      </c>
      <c r="H163" s="10">
        <v>0.7277</v>
      </c>
      <c r="I163" s="11">
        <v>372.42</v>
      </c>
      <c r="J163" s="10">
        <v>0.6563</v>
      </c>
      <c r="K163" s="11">
        <v>337.53</v>
      </c>
      <c r="L163" s="10">
        <v>0.683</v>
      </c>
      <c r="M163" s="11">
        <v>392.21</v>
      </c>
      <c r="N163" s="10">
        <v>0.808</v>
      </c>
      <c r="O163" s="11">
        <v>379.11</v>
      </c>
      <c r="P163" s="10">
        <v>0.7679</v>
      </c>
      <c r="Q163" s="10">
        <v>0.2457</v>
      </c>
      <c r="R163" s="10">
        <v>0.6563</v>
      </c>
      <c r="S163" s="10">
        <v>0.216</v>
      </c>
      <c r="T163" s="8">
        <f>IF(and(ISNUMBER(D163), isnumber(E163)), 1, 0) + IF(and(ISNUMBER(F163), isnumber(G163)), 1, 0) + IF(and(ISNUMBER(H163), isnumber(I163)), 1, 0) + IF(and(ISNUMBER(J163), isnumber(K163)), 1, 0) + IF(and(ISNUMBER(L163), isnumber(M163)), 1, 0) + IF(and(ISNUMBER(N163), isnumber(O163)), 1, 0)</f>
      </c>
      <c r="U163" s="8">
        <f>IF(and(ISNUMBER(P163), isnumber(Q163)), 1, 0) + IF(and(ISNUMBER(R163), isnumber(S163)), 1, 0)</f>
      </c>
      <c r="V163" s="13"/>
      <c r="W163" s="13"/>
      <c r="X163" s="16"/>
    </row>
    <row x14ac:dyDescent="0.25" r="164" customHeight="1" ht="15.75">
      <c r="A164" s="8">
        <v>26024</v>
      </c>
      <c r="B164" s="13" t="s">
        <v>184</v>
      </c>
      <c r="C164" s="13" t="s">
        <v>4668</v>
      </c>
      <c r="D164" s="10">
        <v>0.8775</v>
      </c>
      <c r="E164" s="11">
        <v>165.62</v>
      </c>
      <c r="F164" s="10">
        <v>0.6569</v>
      </c>
      <c r="G164" s="11">
        <v>389.49</v>
      </c>
      <c r="H164" s="10">
        <v>0.5392</v>
      </c>
      <c r="I164" s="11">
        <v>445.09</v>
      </c>
      <c r="J164" s="10">
        <v>0.5931</v>
      </c>
      <c r="K164" s="11">
        <v>288.74</v>
      </c>
      <c r="L164" s="10">
        <v>0.6176</v>
      </c>
      <c r="M164" s="11">
        <v>418.88</v>
      </c>
      <c r="N164" s="10">
        <v>0.4657</v>
      </c>
      <c r="O164" s="11">
        <v>449.03</v>
      </c>
      <c r="P164" s="10">
        <v>0.8775</v>
      </c>
      <c r="Q164" s="10">
        <v>0.2157</v>
      </c>
      <c r="R164" s="10">
        <v>0.5931</v>
      </c>
      <c r="S164" s="10">
        <v>0.1969</v>
      </c>
      <c r="T164" s="8">
        <f>IF(and(ISNUMBER(D164), isnumber(E164)), 1, 0) + IF(and(ISNUMBER(F164), isnumber(G164)), 1, 0) + IF(and(ISNUMBER(H164), isnumber(I164)), 1, 0) + IF(and(ISNUMBER(J164), isnumber(K164)), 1, 0) + IF(and(ISNUMBER(L164), isnumber(M164)), 1, 0) + IF(and(ISNUMBER(N164), isnumber(O164)), 1, 0)</f>
      </c>
      <c r="U164" s="8">
        <f>IF(and(ISNUMBER(P164), isnumber(Q164)), 1, 0) + IF(and(ISNUMBER(R164), isnumber(S164)), 1, 0)</f>
      </c>
      <c r="V164" s="13"/>
      <c r="W164" s="13"/>
      <c r="X164" s="16"/>
    </row>
    <row x14ac:dyDescent="0.25" r="165" customHeight="1" ht="15.75">
      <c r="A165" s="8">
        <v>26025</v>
      </c>
      <c r="B165" s="13" t="s">
        <v>184</v>
      </c>
      <c r="C165" s="13" t="s">
        <v>4672</v>
      </c>
      <c r="D165" s="10">
        <v>0.9471</v>
      </c>
      <c r="E165" s="11">
        <v>318.5</v>
      </c>
      <c r="F165" s="10">
        <v>0.9765</v>
      </c>
      <c r="G165" s="11">
        <v>339.39</v>
      </c>
      <c r="H165" s="10">
        <v>0.7412</v>
      </c>
      <c r="I165" s="11">
        <v>485.71</v>
      </c>
      <c r="J165" s="10">
        <v>0.6412</v>
      </c>
      <c r="K165" s="11">
        <v>458.89</v>
      </c>
      <c r="L165" s="10">
        <v>0.7824</v>
      </c>
      <c r="M165" s="11">
        <v>459.7</v>
      </c>
      <c r="N165" s="10">
        <v>0.6647</v>
      </c>
      <c r="O165" s="11">
        <v>486.07</v>
      </c>
      <c r="P165" s="10">
        <v>0.9471</v>
      </c>
      <c r="Q165" s="10">
        <v>0.2344</v>
      </c>
      <c r="R165" s="10">
        <v>0.6412</v>
      </c>
      <c r="S165" s="10">
        <v>0.2122</v>
      </c>
      <c r="T165" s="8">
        <f>IF(and(ISNUMBER(D165), isnumber(E165)), 1, 0) + IF(and(ISNUMBER(F165), isnumber(G165)), 1, 0) + IF(and(ISNUMBER(H165), isnumber(I165)), 1, 0) + IF(and(ISNUMBER(J165), isnumber(K165)), 1, 0) + IF(and(ISNUMBER(L165), isnumber(M165)), 1, 0) + IF(and(ISNUMBER(N165), isnumber(O165)), 1, 0)</f>
      </c>
      <c r="U165" s="8">
        <f>IF(and(ISNUMBER(P165), isnumber(Q165)), 1, 0) + IF(and(ISNUMBER(R165), isnumber(S165)), 1, 0)</f>
      </c>
      <c r="V165" s="13"/>
      <c r="W165" s="13"/>
      <c r="X165" s="16"/>
    </row>
    <row x14ac:dyDescent="0.25" r="166" customHeight="1" ht="15.75">
      <c r="A166" s="8">
        <v>26026</v>
      </c>
      <c r="B166" s="13" t="s">
        <v>184</v>
      </c>
      <c r="C166" s="13" t="s">
        <v>4676</v>
      </c>
      <c r="D166" s="10">
        <v>0.8438</v>
      </c>
      <c r="E166" s="11">
        <v>133.93</v>
      </c>
      <c r="F166" s="10">
        <v>0.7938</v>
      </c>
      <c r="G166" s="11">
        <v>347.33</v>
      </c>
      <c r="H166" s="10">
        <v>0.75</v>
      </c>
      <c r="I166" s="11">
        <v>368.28</v>
      </c>
      <c r="J166" s="10">
        <v>0.6375</v>
      </c>
      <c r="K166" s="11">
        <v>282.3</v>
      </c>
      <c r="L166" s="10">
        <v>0.6</v>
      </c>
      <c r="M166" s="11">
        <v>345.38</v>
      </c>
      <c r="N166" s="10">
        <v>0.5375</v>
      </c>
      <c r="O166" s="11">
        <v>378.27</v>
      </c>
      <c r="P166" s="10">
        <v>0.8438</v>
      </c>
      <c r="Q166" s="10">
        <v>0.2174</v>
      </c>
      <c r="R166" s="10">
        <v>0.6375</v>
      </c>
      <c r="S166" s="10">
        <v>0.2068</v>
      </c>
      <c r="T166" s="8">
        <f>IF(and(ISNUMBER(D166), isnumber(E166)), 1, 0) + IF(and(ISNUMBER(F166), isnumber(G166)), 1, 0) + IF(and(ISNUMBER(H166), isnumber(I166)), 1, 0) + IF(and(ISNUMBER(J166), isnumber(K166)), 1, 0) + IF(and(ISNUMBER(L166), isnumber(M166)), 1, 0) + IF(and(ISNUMBER(N166), isnumber(O166)), 1, 0)</f>
      </c>
      <c r="U166" s="8">
        <f>IF(and(ISNUMBER(P166), isnumber(Q166)), 1, 0) + IF(and(ISNUMBER(R166), isnumber(S166)), 1, 0)</f>
      </c>
      <c r="V166" s="13"/>
      <c r="W166" s="13"/>
      <c r="X166" s="16"/>
    </row>
    <row x14ac:dyDescent="0.25" r="167" customHeight="1" ht="15.75">
      <c r="A167" s="8">
        <v>26027</v>
      </c>
      <c r="B167" s="13" t="s">
        <v>184</v>
      </c>
      <c r="C167" s="13" t="s">
        <v>4679</v>
      </c>
      <c r="D167" s="10">
        <v>0.9243</v>
      </c>
      <c r="E167" s="11">
        <v>268.3</v>
      </c>
      <c r="F167" s="10">
        <v>0.7052</v>
      </c>
      <c r="G167" s="11">
        <v>413.72</v>
      </c>
      <c r="H167" s="10">
        <v>0.4767</v>
      </c>
      <c r="I167" s="11">
        <v>440.63</v>
      </c>
      <c r="J167" s="10">
        <v>0.8638</v>
      </c>
      <c r="K167" s="11">
        <v>418.37</v>
      </c>
      <c r="L167" s="10">
        <v>0.8029</v>
      </c>
      <c r="M167" s="11">
        <v>506.61</v>
      </c>
      <c r="N167" s="10">
        <v>0.81</v>
      </c>
      <c r="O167" s="11">
        <v>511.17</v>
      </c>
      <c r="P167" s="10">
        <v>0.9243</v>
      </c>
      <c r="Q167" s="10">
        <v>0.2262</v>
      </c>
      <c r="R167" s="10">
        <v>0.8638</v>
      </c>
      <c r="S167" s="10">
        <v>0.1873</v>
      </c>
      <c r="T167" s="8">
        <f>IF(and(ISNUMBER(D167), isnumber(E167)), 1, 0) + IF(and(ISNUMBER(F167), isnumber(G167)), 1, 0) + IF(and(ISNUMBER(H167), isnumber(I167)), 1, 0) + IF(and(ISNUMBER(J167), isnumber(K167)), 1, 0) + IF(and(ISNUMBER(L167), isnumber(M167)), 1, 0) + IF(and(ISNUMBER(N167), isnumber(O167)), 1, 0)</f>
      </c>
      <c r="U167" s="8">
        <f>IF(and(ISNUMBER(P167), isnumber(Q167)), 1, 0) + IF(and(ISNUMBER(R167), isnumber(S167)), 1, 0)</f>
      </c>
      <c r="V167" s="13"/>
      <c r="W167" s="13"/>
      <c r="X167" s="16"/>
    </row>
    <row x14ac:dyDescent="0.25" r="168" customHeight="1" ht="15.75">
      <c r="A168" s="8">
        <v>26028</v>
      </c>
      <c r="B168" s="13" t="s">
        <v>184</v>
      </c>
      <c r="C168" s="13" t="s">
        <v>4683</v>
      </c>
      <c r="D168" s="10">
        <v>0.9919</v>
      </c>
      <c r="E168" s="11">
        <v>332.23</v>
      </c>
      <c r="F168" s="10">
        <v>1</v>
      </c>
      <c r="G168" s="11">
        <v>373.1</v>
      </c>
      <c r="H168" s="10">
        <v>1</v>
      </c>
      <c r="I168" s="11">
        <v>391.87</v>
      </c>
      <c r="J168" s="10">
        <v>1</v>
      </c>
      <c r="K168" s="11">
        <v>310.82</v>
      </c>
      <c r="L168" s="10">
        <v>1</v>
      </c>
      <c r="M168" s="11">
        <v>370.49</v>
      </c>
      <c r="N168" s="10">
        <v>1</v>
      </c>
      <c r="O168" s="11">
        <v>301.46</v>
      </c>
      <c r="P168" s="10">
        <v>0.9919</v>
      </c>
      <c r="Q168" s="10">
        <v>0.2281</v>
      </c>
      <c r="R168" s="10">
        <v>1</v>
      </c>
      <c r="S168" s="10">
        <v>0.1278</v>
      </c>
      <c r="T168" s="8">
        <f>IF(and(ISNUMBER(D168), isnumber(E168)), 1, 0) + IF(and(ISNUMBER(F168), isnumber(G168)), 1, 0) + IF(and(ISNUMBER(H168), isnumber(I168)), 1, 0) + IF(and(ISNUMBER(J168), isnumber(K168)), 1, 0) + IF(and(ISNUMBER(L168), isnumber(M168)), 1, 0) + IF(and(ISNUMBER(N168), isnumber(O168)), 1, 0)</f>
      </c>
      <c r="U168" s="8">
        <f>IF(and(ISNUMBER(P168), isnumber(Q168)), 1, 0) + IF(and(ISNUMBER(R168), isnumber(S168)), 1, 0)</f>
      </c>
      <c r="V168" s="13"/>
      <c r="W168" s="13"/>
      <c r="X168" s="16"/>
    </row>
    <row x14ac:dyDescent="0.25" r="169" customHeight="1" ht="15.75">
      <c r="A169" s="8">
        <v>26029</v>
      </c>
      <c r="B169" s="13" t="s">
        <v>184</v>
      </c>
      <c r="C169" s="13" t="s">
        <v>4686</v>
      </c>
      <c r="D169" s="10">
        <v>0.7685</v>
      </c>
      <c r="E169" s="11">
        <v>330.84</v>
      </c>
      <c r="F169" s="10">
        <v>0.734</v>
      </c>
      <c r="G169" s="11">
        <v>433.15</v>
      </c>
      <c r="H169" s="10">
        <v>0.6108</v>
      </c>
      <c r="I169" s="11">
        <v>461.97</v>
      </c>
      <c r="J169" s="10">
        <v>0.67</v>
      </c>
      <c r="K169" s="11">
        <v>413.22</v>
      </c>
      <c r="L169" s="10">
        <v>0.5271</v>
      </c>
      <c r="M169" s="11">
        <v>468.3</v>
      </c>
      <c r="N169" s="10">
        <v>0.4828</v>
      </c>
      <c r="O169" s="11">
        <v>488.16</v>
      </c>
      <c r="P169" s="10">
        <v>0.7685</v>
      </c>
      <c r="Q169" s="10">
        <v>0.2546</v>
      </c>
      <c r="R169" s="10">
        <v>0.67</v>
      </c>
      <c r="S169" s="10">
        <v>0.2214</v>
      </c>
      <c r="T169" s="8">
        <f>IF(and(ISNUMBER(D169), isnumber(E169)), 1, 0) + IF(and(ISNUMBER(F169), isnumber(G169)), 1, 0) + IF(and(ISNUMBER(H169), isnumber(I169)), 1, 0) + IF(and(ISNUMBER(J169), isnumber(K169)), 1, 0) + IF(and(ISNUMBER(L169), isnumber(M169)), 1, 0) + IF(and(ISNUMBER(N169), isnumber(O169)), 1, 0)</f>
      </c>
      <c r="U169" s="8">
        <f>IF(and(ISNUMBER(P169), isnumber(Q169)), 1, 0) + IF(and(ISNUMBER(R169), isnumber(S169)), 1, 0)</f>
      </c>
      <c r="V169" s="13"/>
      <c r="W169" s="13"/>
      <c r="X169" s="16"/>
    </row>
    <row x14ac:dyDescent="0.25" r="170" customHeight="1" ht="15.75">
      <c r="A170" s="8">
        <v>26030</v>
      </c>
      <c r="B170" s="13" t="s">
        <v>184</v>
      </c>
      <c r="C170" s="13" t="s">
        <v>4690</v>
      </c>
      <c r="D170" s="10">
        <v>0.9605</v>
      </c>
      <c r="E170" s="11">
        <v>252.05</v>
      </c>
      <c r="F170" s="10">
        <v>0.5658</v>
      </c>
      <c r="G170" s="11">
        <v>450.7</v>
      </c>
      <c r="H170" s="10">
        <v>0.4583</v>
      </c>
      <c r="I170" s="11">
        <v>453.06</v>
      </c>
      <c r="J170" s="10">
        <v>0.6632</v>
      </c>
      <c r="K170" s="11">
        <v>322.31</v>
      </c>
      <c r="L170" s="10">
        <v>0.5833</v>
      </c>
      <c r="M170" s="11">
        <v>427.14</v>
      </c>
      <c r="N170" s="10">
        <v>0.3646</v>
      </c>
      <c r="O170" s="11">
        <v>416.57</v>
      </c>
      <c r="P170" s="10">
        <v>0.9605</v>
      </c>
      <c r="Q170" s="10">
        <v>0.1971</v>
      </c>
      <c r="R170" s="10">
        <v>0.6632</v>
      </c>
      <c r="S170" s="10">
        <v>0.2088</v>
      </c>
      <c r="T170" s="8">
        <f>IF(and(ISNUMBER(D170), isnumber(E170)), 1, 0) + IF(and(ISNUMBER(F170), isnumber(G170)), 1, 0) + IF(and(ISNUMBER(H170), isnumber(I170)), 1, 0) + IF(and(ISNUMBER(J170), isnumber(K170)), 1, 0) + IF(and(ISNUMBER(L170), isnumber(M170)), 1, 0) + IF(and(ISNUMBER(N170), isnumber(O170)), 1, 0)</f>
      </c>
      <c r="U170" s="8">
        <f>IF(and(ISNUMBER(P170), isnumber(Q170)), 1, 0) + IF(and(ISNUMBER(R170), isnumber(S170)), 1, 0)</f>
      </c>
      <c r="V170" s="13"/>
      <c r="W170" s="13"/>
      <c r="X170" s="16"/>
    </row>
    <row x14ac:dyDescent="0.25" r="171" customHeight="1" ht="15.75">
      <c r="A171" s="8">
        <v>26088</v>
      </c>
      <c r="B171" s="13" t="s">
        <v>184</v>
      </c>
      <c r="C171" s="13" t="s">
        <v>4694</v>
      </c>
      <c r="D171" s="10">
        <v>0.7103</v>
      </c>
      <c r="E171" s="11">
        <v>191.62</v>
      </c>
      <c r="F171" s="10">
        <v>0.514</v>
      </c>
      <c r="G171" s="11">
        <v>308.93</v>
      </c>
      <c r="H171" s="10">
        <v>0.5101</v>
      </c>
      <c r="I171" s="11">
        <v>332.4</v>
      </c>
      <c r="J171" s="10">
        <v>0.5332</v>
      </c>
      <c r="K171" s="11">
        <v>250.49</v>
      </c>
      <c r="L171" s="10">
        <v>0.4362</v>
      </c>
      <c r="M171" s="11">
        <v>328</v>
      </c>
      <c r="N171" s="10">
        <v>0.3937</v>
      </c>
      <c r="O171" s="11">
        <v>352.96</v>
      </c>
      <c r="P171" s="10">
        <v>0.7103</v>
      </c>
      <c r="Q171" s="10">
        <v>0.2145</v>
      </c>
      <c r="R171" s="10">
        <v>0.5332</v>
      </c>
      <c r="S171" s="10">
        <v>0.2031</v>
      </c>
      <c r="T171" s="8">
        <f>IF(and(ISNUMBER(D171), isnumber(E171)), 1, 0) + IF(and(ISNUMBER(F171), isnumber(G171)), 1, 0) + IF(and(ISNUMBER(H171), isnumber(I171)), 1, 0) + IF(and(ISNUMBER(J171), isnumber(K171)), 1, 0) + IF(and(ISNUMBER(L171), isnumber(M171)), 1, 0) + IF(and(ISNUMBER(N171), isnumber(O171)), 1, 0)</f>
      </c>
      <c r="U171" s="8">
        <f>IF(and(ISNUMBER(P171), isnumber(Q171)), 1, 0) + IF(and(ISNUMBER(R171), isnumber(S171)), 1, 0)</f>
      </c>
      <c r="V171" s="13"/>
      <c r="W171" s="13"/>
      <c r="X171" s="16"/>
    </row>
    <row x14ac:dyDescent="0.25" r="172" customHeight="1" ht="15.75">
      <c r="A172" s="8">
        <v>26031</v>
      </c>
      <c r="B172" s="13" t="s">
        <v>184</v>
      </c>
      <c r="C172" s="13" t="s">
        <v>4699</v>
      </c>
      <c r="D172" s="10">
        <v>0.9217</v>
      </c>
      <c r="E172" s="11">
        <v>364.62</v>
      </c>
      <c r="F172" s="10">
        <v>0.8221</v>
      </c>
      <c r="G172" s="11">
        <v>398.43</v>
      </c>
      <c r="H172" s="10">
        <v>0.7972</v>
      </c>
      <c r="I172" s="11">
        <v>470.59</v>
      </c>
      <c r="J172" s="10">
        <v>0.8327</v>
      </c>
      <c r="K172" s="11">
        <v>449.51</v>
      </c>
      <c r="L172" s="10">
        <v>0.7438</v>
      </c>
      <c r="M172" s="11">
        <v>481.15</v>
      </c>
      <c r="N172" s="10">
        <v>0.7758</v>
      </c>
      <c r="O172" s="11">
        <v>510.94</v>
      </c>
      <c r="P172" s="10">
        <v>0.9217</v>
      </c>
      <c r="Q172" s="10">
        <v>0.2159</v>
      </c>
      <c r="R172" s="10">
        <v>0.8327</v>
      </c>
      <c r="S172" s="10">
        <v>0.2292</v>
      </c>
      <c r="T172" s="8">
        <f>IF(and(ISNUMBER(D172), isnumber(E172)), 1, 0) + IF(and(ISNUMBER(F172), isnumber(G172)), 1, 0) + IF(and(ISNUMBER(H172), isnumber(I172)), 1, 0) + IF(and(ISNUMBER(J172), isnumber(K172)), 1, 0) + IF(and(ISNUMBER(L172), isnumber(M172)), 1, 0) + IF(and(ISNUMBER(N172), isnumber(O172)), 1, 0)</f>
      </c>
      <c r="U172" s="8">
        <f>IF(and(ISNUMBER(P172), isnumber(Q172)), 1, 0) + IF(and(ISNUMBER(R172), isnumber(S172)), 1, 0)</f>
      </c>
      <c r="V172" s="13"/>
      <c r="W172" s="13"/>
      <c r="X172" s="16"/>
    </row>
    <row x14ac:dyDescent="0.25" r="173" customHeight="1" ht="15.75">
      <c r="A173" s="8">
        <v>26032</v>
      </c>
      <c r="B173" s="13" t="s">
        <v>184</v>
      </c>
      <c r="C173" s="13" t="s">
        <v>4702</v>
      </c>
      <c r="D173" s="10">
        <v>0.8</v>
      </c>
      <c r="E173" s="11">
        <v>253.97</v>
      </c>
      <c r="F173" s="10">
        <v>0.675</v>
      </c>
      <c r="G173" s="11">
        <v>362.22</v>
      </c>
      <c r="H173" s="10">
        <v>0.5375</v>
      </c>
      <c r="I173" s="11">
        <v>439.02</v>
      </c>
      <c r="J173" s="10">
        <v>0.575</v>
      </c>
      <c r="K173" s="11">
        <v>355.65</v>
      </c>
      <c r="L173" s="10">
        <v>0.625</v>
      </c>
      <c r="M173" s="11">
        <v>386.12</v>
      </c>
      <c r="N173" s="10">
        <v>0.6375</v>
      </c>
      <c r="O173" s="11">
        <v>428.24</v>
      </c>
      <c r="P173" s="10">
        <v>0.8</v>
      </c>
      <c r="Q173" s="10">
        <v>0.2347</v>
      </c>
      <c r="R173" s="10">
        <v>0.575</v>
      </c>
      <c r="S173" s="10">
        <v>0.2057</v>
      </c>
      <c r="T173" s="8">
        <f>IF(and(ISNUMBER(D173), isnumber(E173)), 1, 0) + IF(and(ISNUMBER(F173), isnumber(G173)), 1, 0) + IF(and(ISNUMBER(H173), isnumber(I173)), 1, 0) + IF(and(ISNUMBER(J173), isnumber(K173)), 1, 0) + IF(and(ISNUMBER(L173), isnumber(M173)), 1, 0) + IF(and(ISNUMBER(N173), isnumber(O173)), 1, 0)</f>
      </c>
      <c r="U173" s="8">
        <f>IF(and(ISNUMBER(P173), isnumber(Q173)), 1, 0) + IF(and(ISNUMBER(R173), isnumber(S173)), 1, 0)</f>
      </c>
      <c r="V173" s="13"/>
      <c r="W173" s="13"/>
      <c r="X173" s="16"/>
    </row>
    <row x14ac:dyDescent="0.25" r="174" customHeight="1" ht="15.75">
      <c r="A174" s="8">
        <v>26033</v>
      </c>
      <c r="B174" s="13" t="s">
        <v>184</v>
      </c>
      <c r="C174" s="13" t="s">
        <v>4704</v>
      </c>
      <c r="D174" s="10">
        <v>0.7778</v>
      </c>
      <c r="E174" s="11">
        <v>242.11</v>
      </c>
      <c r="F174" s="10">
        <v>0.8148</v>
      </c>
      <c r="G174" s="11">
        <v>296.36</v>
      </c>
      <c r="H174" s="10">
        <v>0.8519</v>
      </c>
      <c r="I174" s="11">
        <v>366.96</v>
      </c>
      <c r="J174" s="10">
        <v>0.8519</v>
      </c>
      <c r="K174" s="11">
        <v>339.05</v>
      </c>
      <c r="L174" s="10">
        <v>0.6296</v>
      </c>
      <c r="M174" s="11">
        <v>411.76</v>
      </c>
      <c r="N174" s="10">
        <v>0.7037</v>
      </c>
      <c r="O174" s="11">
        <v>351.11</v>
      </c>
      <c r="P174" s="10">
        <v>0.7778</v>
      </c>
      <c r="Q174" s="10">
        <v>0.2441</v>
      </c>
      <c r="R174" s="10">
        <v>0.8519</v>
      </c>
      <c r="S174" s="10">
        <v>0.2172</v>
      </c>
      <c r="T174" s="8">
        <f>IF(and(ISNUMBER(D174), isnumber(E174)), 1, 0) + IF(and(ISNUMBER(F174), isnumber(G174)), 1, 0) + IF(and(ISNUMBER(H174), isnumber(I174)), 1, 0) + IF(and(ISNUMBER(J174), isnumber(K174)), 1, 0) + IF(and(ISNUMBER(L174), isnumber(M174)), 1, 0) + IF(and(ISNUMBER(N174), isnumber(O174)), 1, 0)</f>
      </c>
      <c r="U174" s="8">
        <f>IF(and(ISNUMBER(P174), isnumber(Q174)), 1, 0) + IF(and(ISNUMBER(R174), isnumber(S174)), 1, 0)</f>
      </c>
      <c r="V174" s="13"/>
      <c r="W174" s="13"/>
      <c r="X174" s="16"/>
    </row>
    <row x14ac:dyDescent="0.25" r="175" customHeight="1" ht="15.75">
      <c r="A175" s="8">
        <v>26034</v>
      </c>
      <c r="B175" s="13" t="s">
        <v>184</v>
      </c>
      <c r="C175" s="13" t="s">
        <v>4707</v>
      </c>
      <c r="D175" s="10">
        <v>0.9653</v>
      </c>
      <c r="E175" s="11">
        <v>315.94</v>
      </c>
      <c r="F175" s="10">
        <v>0.6319</v>
      </c>
      <c r="G175" s="11">
        <v>415.56</v>
      </c>
      <c r="H175" s="10">
        <v>0.6582</v>
      </c>
      <c r="I175" s="11">
        <v>468.08</v>
      </c>
      <c r="J175" s="10">
        <v>0.6456</v>
      </c>
      <c r="K175" s="11">
        <v>376.33</v>
      </c>
      <c r="L175" s="10">
        <v>0.538</v>
      </c>
      <c r="M175" s="11">
        <v>385.82</v>
      </c>
      <c r="N175" s="10">
        <v>0.6582</v>
      </c>
      <c r="O175" s="11">
        <v>410.38</v>
      </c>
      <c r="P175" s="10">
        <v>0.9653</v>
      </c>
      <c r="Q175" s="10">
        <v>0.2185</v>
      </c>
      <c r="R175" s="10">
        <v>0.6456</v>
      </c>
      <c r="S175" s="10">
        <v>0.1992</v>
      </c>
      <c r="T175" s="8">
        <f>IF(and(ISNUMBER(D175), isnumber(E175)), 1, 0) + IF(and(ISNUMBER(F175), isnumber(G175)), 1, 0) + IF(and(ISNUMBER(H175), isnumber(I175)), 1, 0) + IF(and(ISNUMBER(J175), isnumber(K175)), 1, 0) + IF(and(ISNUMBER(L175), isnumber(M175)), 1, 0) + IF(and(ISNUMBER(N175), isnumber(O175)), 1, 0)</f>
      </c>
      <c r="U175" s="8">
        <f>IF(and(ISNUMBER(P175), isnumber(Q175)), 1, 0) + IF(and(ISNUMBER(R175), isnumber(S175)), 1, 0)</f>
      </c>
      <c r="V175" s="13"/>
      <c r="W175" s="13"/>
      <c r="X175" s="16"/>
    </row>
    <row x14ac:dyDescent="0.25" r="176" customHeight="1" ht="15.75">
      <c r="A176" s="8">
        <v>26035</v>
      </c>
      <c r="B176" s="13" t="s">
        <v>184</v>
      </c>
      <c r="C176" s="13" t="s">
        <v>4711</v>
      </c>
      <c r="D176" s="10">
        <v>0.7465</v>
      </c>
      <c r="E176" s="11">
        <v>271.02</v>
      </c>
      <c r="F176" s="10">
        <v>0.6761</v>
      </c>
      <c r="G176" s="11">
        <v>357.58</v>
      </c>
      <c r="H176" s="10">
        <v>0.669</v>
      </c>
      <c r="I176" s="11">
        <v>419.68</v>
      </c>
      <c r="J176" s="10">
        <v>0.6232</v>
      </c>
      <c r="K176" s="11">
        <v>283.74</v>
      </c>
      <c r="L176" s="10">
        <v>0.7676</v>
      </c>
      <c r="M176" s="11">
        <v>420.28</v>
      </c>
      <c r="N176" s="10">
        <v>0.7641</v>
      </c>
      <c r="O176" s="11">
        <v>414.22</v>
      </c>
      <c r="P176" s="10">
        <v>0.7465</v>
      </c>
      <c r="Q176" s="10">
        <v>0.2279</v>
      </c>
      <c r="R176" s="10">
        <v>0.6232</v>
      </c>
      <c r="S176" s="10">
        <v>0.1975</v>
      </c>
      <c r="T176" s="8">
        <f>IF(and(ISNUMBER(D176), isnumber(E176)), 1, 0) + IF(and(ISNUMBER(F176), isnumber(G176)), 1, 0) + IF(and(ISNUMBER(H176), isnumber(I176)), 1, 0) + IF(and(ISNUMBER(J176), isnumber(K176)), 1, 0) + IF(and(ISNUMBER(L176), isnumber(M176)), 1, 0) + IF(and(ISNUMBER(N176), isnumber(O176)), 1, 0)</f>
      </c>
      <c r="U176" s="8">
        <f>IF(and(ISNUMBER(P176), isnumber(Q176)), 1, 0) + IF(and(ISNUMBER(R176), isnumber(S176)), 1, 0)</f>
      </c>
      <c r="V176" s="13"/>
      <c r="W176" s="13"/>
      <c r="X176" s="16"/>
    </row>
    <row x14ac:dyDescent="0.25" r="177" customHeight="1" ht="15.75">
      <c r="A177" s="8">
        <v>26036</v>
      </c>
      <c r="B177" s="13" t="s">
        <v>184</v>
      </c>
      <c r="C177" s="13" t="s">
        <v>4714</v>
      </c>
      <c r="D177" s="10">
        <v>0.9918</v>
      </c>
      <c r="E177" s="11">
        <v>414.38</v>
      </c>
      <c r="F177" s="10">
        <v>0.9836</v>
      </c>
      <c r="G177" s="11">
        <v>473.81</v>
      </c>
      <c r="H177" s="10">
        <v>0.9795</v>
      </c>
      <c r="I177" s="11">
        <v>492.89</v>
      </c>
      <c r="J177" s="10">
        <v>0.9631</v>
      </c>
      <c r="K177" s="11">
        <v>432.14</v>
      </c>
      <c r="L177" s="10">
        <v>0.9344</v>
      </c>
      <c r="M177" s="11">
        <v>491.05</v>
      </c>
      <c r="N177" s="10">
        <v>0.9385</v>
      </c>
      <c r="O177" s="11">
        <v>484.07</v>
      </c>
      <c r="P177" s="10">
        <v>0.9918</v>
      </c>
      <c r="Q177" s="10">
        <v>0.2738</v>
      </c>
      <c r="R177" s="10">
        <v>0.9631</v>
      </c>
      <c r="S177" s="10">
        <v>0.2132</v>
      </c>
      <c r="T177" s="8">
        <f>IF(and(ISNUMBER(D177), isnumber(E177)), 1, 0) + IF(and(ISNUMBER(F177), isnumber(G177)), 1, 0) + IF(and(ISNUMBER(H177), isnumber(I177)), 1, 0) + IF(and(ISNUMBER(J177), isnumber(K177)), 1, 0) + IF(and(ISNUMBER(L177), isnumber(M177)), 1, 0) + IF(and(ISNUMBER(N177), isnumber(O177)), 1, 0)</f>
      </c>
      <c r="U177" s="8">
        <f>IF(and(ISNUMBER(P177), isnumber(Q177)), 1, 0) + IF(and(ISNUMBER(R177), isnumber(S177)), 1, 0)</f>
      </c>
      <c r="V177" s="13"/>
      <c r="W177" s="13"/>
      <c r="X177" s="16"/>
    </row>
    <row x14ac:dyDescent="0.25" r="178" customHeight="1" ht="15.75">
      <c r="A178" s="8">
        <v>26089</v>
      </c>
      <c r="B178" s="13" t="s">
        <v>184</v>
      </c>
      <c r="C178" s="13" t="s">
        <v>4718</v>
      </c>
      <c r="D178" s="10">
        <v>0.7316</v>
      </c>
      <c r="E178" s="11">
        <v>174.77</v>
      </c>
      <c r="F178" s="10">
        <v>0.5511</v>
      </c>
      <c r="G178" s="11">
        <v>394.39</v>
      </c>
      <c r="H178" s="10">
        <v>0.6033</v>
      </c>
      <c r="I178" s="11">
        <v>427.78</v>
      </c>
      <c r="J178" s="10">
        <v>0.7031</v>
      </c>
      <c r="K178" s="11">
        <v>324.65</v>
      </c>
      <c r="L178" s="10">
        <v>0.5938</v>
      </c>
      <c r="M178" s="11">
        <v>409.27</v>
      </c>
      <c r="N178" s="10">
        <v>0.5249</v>
      </c>
      <c r="O178" s="11">
        <v>423.53</v>
      </c>
      <c r="P178" s="10">
        <v>0.7316</v>
      </c>
      <c r="Q178" s="10">
        <v>0.2377</v>
      </c>
      <c r="R178" s="10">
        <v>0.7031</v>
      </c>
      <c r="S178" s="10">
        <v>0.2341</v>
      </c>
      <c r="T178" s="8">
        <f>IF(and(ISNUMBER(D178), isnumber(E178)), 1, 0) + IF(and(ISNUMBER(F178), isnumber(G178)), 1, 0) + IF(and(ISNUMBER(H178), isnumber(I178)), 1, 0) + IF(and(ISNUMBER(J178), isnumber(K178)), 1, 0) + IF(and(ISNUMBER(L178), isnumber(M178)), 1, 0) + IF(and(ISNUMBER(N178), isnumber(O178)), 1, 0)</f>
      </c>
      <c r="U178" s="8">
        <f>IF(and(ISNUMBER(P178), isnumber(Q178)), 1, 0) + IF(and(ISNUMBER(R178), isnumber(S178)), 1, 0)</f>
      </c>
      <c r="V178" s="13"/>
      <c r="W178" s="13"/>
      <c r="X178" s="16"/>
    </row>
    <row x14ac:dyDescent="0.25" r="179" customHeight="1" ht="15.75">
      <c r="A179" s="8">
        <v>26037</v>
      </c>
      <c r="B179" s="13" t="s">
        <v>184</v>
      </c>
      <c r="C179" s="13" t="s">
        <v>4722</v>
      </c>
      <c r="D179" s="10">
        <v>0.7889</v>
      </c>
      <c r="E179" s="11">
        <v>332.36</v>
      </c>
      <c r="F179" s="10">
        <v>0.6</v>
      </c>
      <c r="G179" s="11">
        <v>420.38</v>
      </c>
      <c r="H179" s="10">
        <v>0.6495</v>
      </c>
      <c r="I179" s="11">
        <v>444.84</v>
      </c>
      <c r="J179" s="10">
        <v>0.6701</v>
      </c>
      <c r="K179" s="11">
        <v>391.38</v>
      </c>
      <c r="L179" s="10">
        <v>0.6392</v>
      </c>
      <c r="M179" s="11">
        <v>442.28</v>
      </c>
      <c r="N179" s="10">
        <v>0.6959</v>
      </c>
      <c r="O179" s="11">
        <v>448.59</v>
      </c>
      <c r="P179" s="10">
        <v>0.7889</v>
      </c>
      <c r="Q179" s="10">
        <v>0.2291</v>
      </c>
      <c r="R179" s="10">
        <v>0.6701</v>
      </c>
      <c r="S179" s="10">
        <v>0.1959</v>
      </c>
      <c r="T179" s="8">
        <f>IF(and(ISNUMBER(D179), isnumber(E179)), 1, 0) + IF(and(ISNUMBER(F179), isnumber(G179)), 1, 0) + IF(and(ISNUMBER(H179), isnumber(I179)), 1, 0) + IF(and(ISNUMBER(J179), isnumber(K179)), 1, 0) + IF(and(ISNUMBER(L179), isnumber(M179)), 1, 0) + IF(and(ISNUMBER(N179), isnumber(O179)), 1, 0)</f>
      </c>
      <c r="U179" s="8">
        <f>IF(and(ISNUMBER(P179), isnumber(Q179)), 1, 0) + IF(and(ISNUMBER(R179), isnumber(S179)), 1, 0)</f>
      </c>
      <c r="V179" s="13"/>
      <c r="W179" s="13"/>
      <c r="X179" s="16"/>
    </row>
    <row x14ac:dyDescent="0.25" r="180" customHeight="1" ht="15.75">
      <c r="A180" s="8">
        <v>26038</v>
      </c>
      <c r="B180" s="13" t="s">
        <v>184</v>
      </c>
      <c r="C180" s="13" t="s">
        <v>4727</v>
      </c>
      <c r="D180" s="10">
        <v>0.5843</v>
      </c>
      <c r="E180" s="11">
        <v>188.3</v>
      </c>
      <c r="F180" s="10">
        <v>0.5451</v>
      </c>
      <c r="G180" s="11">
        <v>339.84</v>
      </c>
      <c r="H180" s="10">
        <v>0.4667</v>
      </c>
      <c r="I180" s="11">
        <v>362.37</v>
      </c>
      <c r="J180" s="10">
        <v>0.4118</v>
      </c>
      <c r="K180" s="11">
        <v>328.48</v>
      </c>
      <c r="L180" s="10">
        <v>0.5882</v>
      </c>
      <c r="M180" s="11">
        <v>372.24</v>
      </c>
      <c r="N180" s="10">
        <v>0.5765</v>
      </c>
      <c r="O180" s="11">
        <v>403.54</v>
      </c>
      <c r="P180" s="10">
        <v>0.5843</v>
      </c>
      <c r="Q180" s="10">
        <v>0.2364</v>
      </c>
      <c r="R180" s="10">
        <v>0.4118</v>
      </c>
      <c r="S180" s="10">
        <v>0.2133</v>
      </c>
      <c r="T180" s="8">
        <f>IF(and(ISNUMBER(D180), isnumber(E180)), 1, 0) + IF(and(ISNUMBER(F180), isnumber(G180)), 1, 0) + IF(and(ISNUMBER(H180), isnumber(I180)), 1, 0) + IF(and(ISNUMBER(J180), isnumber(K180)), 1, 0) + IF(and(ISNUMBER(L180), isnumber(M180)), 1, 0) + IF(and(ISNUMBER(N180), isnumber(O180)), 1, 0)</f>
      </c>
      <c r="U180" s="8">
        <f>IF(and(ISNUMBER(P180), isnumber(Q180)), 1, 0) + IF(and(ISNUMBER(R180), isnumber(S180)), 1, 0)</f>
      </c>
      <c r="V180" s="13"/>
      <c r="W180" s="13"/>
      <c r="X180" s="16"/>
    </row>
    <row x14ac:dyDescent="0.25" r="181" customHeight="1" ht="15.75">
      <c r="A181" s="8">
        <v>26090</v>
      </c>
      <c r="B181" s="13" t="s">
        <v>184</v>
      </c>
      <c r="C181" s="13" t="s">
        <v>4731</v>
      </c>
      <c r="D181" s="10">
        <v>0.9602</v>
      </c>
      <c r="E181" s="11">
        <v>162.61</v>
      </c>
      <c r="F181" s="10">
        <v>0.9905</v>
      </c>
      <c r="G181" s="11">
        <v>284.09</v>
      </c>
      <c r="H181" s="10">
        <v>0.9943</v>
      </c>
      <c r="I181" s="11">
        <v>246.59</v>
      </c>
      <c r="J181" s="10">
        <v>0.8712</v>
      </c>
      <c r="K181" s="11">
        <v>286.42</v>
      </c>
      <c r="L181" s="10">
        <v>0.6913</v>
      </c>
      <c r="M181" s="11">
        <v>453.22</v>
      </c>
      <c r="N181" s="10">
        <v>0.6761</v>
      </c>
      <c r="O181" s="11">
        <v>435.35</v>
      </c>
      <c r="P181" s="10">
        <v>0.9602</v>
      </c>
      <c r="Q181" s="10">
        <v>0.1808</v>
      </c>
      <c r="R181" s="10">
        <v>0.8712</v>
      </c>
      <c r="S181" s="10">
        <v>0.1652</v>
      </c>
      <c r="T181" s="8">
        <f>IF(and(ISNUMBER(D181), isnumber(E181)), 1, 0) + IF(and(ISNUMBER(F181), isnumber(G181)), 1, 0) + IF(and(ISNUMBER(H181), isnumber(I181)), 1, 0) + IF(and(ISNUMBER(J181), isnumber(K181)), 1, 0) + IF(and(ISNUMBER(L181), isnumber(M181)), 1, 0) + IF(and(ISNUMBER(N181), isnumber(O181)), 1, 0)</f>
      </c>
      <c r="U181" s="8">
        <f>IF(and(ISNUMBER(P181), isnumber(Q181)), 1, 0) + IF(and(ISNUMBER(R181), isnumber(S181)), 1, 0)</f>
      </c>
      <c r="V181" s="13"/>
      <c r="W181" s="13"/>
      <c r="X181" s="16"/>
    </row>
    <row x14ac:dyDescent="0.25" r="182" customHeight="1" ht="15.75">
      <c r="A182" s="8">
        <v>26039</v>
      </c>
      <c r="B182" s="13" t="s">
        <v>184</v>
      </c>
      <c r="C182" s="13" t="s">
        <v>4735</v>
      </c>
      <c r="D182" s="10">
        <v>0.7511</v>
      </c>
      <c r="E182" s="11">
        <v>188.64</v>
      </c>
      <c r="F182" s="10">
        <v>0.2444</v>
      </c>
      <c r="G182" s="11">
        <v>319.25</v>
      </c>
      <c r="H182" s="10">
        <v>0.5447</v>
      </c>
      <c r="I182" s="11">
        <v>356.51</v>
      </c>
      <c r="J182" s="10">
        <v>0.6</v>
      </c>
      <c r="K182" s="11">
        <v>223.41</v>
      </c>
      <c r="L182" s="10">
        <v>0.4511</v>
      </c>
      <c r="M182" s="11">
        <v>403.02</v>
      </c>
      <c r="N182" s="10">
        <v>0.4851</v>
      </c>
      <c r="O182" s="11">
        <v>385.13</v>
      </c>
      <c r="P182" s="10">
        <v>0.7511</v>
      </c>
      <c r="Q182" s="10">
        <v>0.2239</v>
      </c>
      <c r="R182" s="10">
        <v>0.6</v>
      </c>
      <c r="S182" s="10">
        <v>0.1889</v>
      </c>
      <c r="T182" s="8">
        <f>IF(and(ISNUMBER(D182), isnumber(E182)), 1, 0) + IF(and(ISNUMBER(F182), isnumber(G182)), 1, 0) + IF(and(ISNUMBER(H182), isnumber(I182)), 1, 0) + IF(and(ISNUMBER(J182), isnumber(K182)), 1, 0) + IF(and(ISNUMBER(L182), isnumber(M182)), 1, 0) + IF(and(ISNUMBER(N182), isnumber(O182)), 1, 0)</f>
      </c>
      <c r="U182" s="8">
        <f>IF(and(ISNUMBER(P182), isnumber(Q182)), 1, 0) + IF(and(ISNUMBER(R182), isnumber(S182)), 1, 0)</f>
      </c>
      <c r="V182" s="13"/>
      <c r="W182" s="13"/>
      <c r="X182" s="16"/>
    </row>
    <row x14ac:dyDescent="0.25" r="183" customHeight="1" ht="15.75">
      <c r="A183" s="8">
        <v>26091</v>
      </c>
      <c r="B183" s="13" t="s">
        <v>184</v>
      </c>
      <c r="C183" s="13" t="s">
        <v>4737</v>
      </c>
      <c r="D183" s="10">
        <v>0.893</v>
      </c>
      <c r="E183" s="11">
        <v>265.21</v>
      </c>
      <c r="F183" s="10">
        <v>0.8127</v>
      </c>
      <c r="G183" s="11">
        <v>391.73</v>
      </c>
      <c r="H183" s="10">
        <v>0.6228</v>
      </c>
      <c r="I183" s="11">
        <v>465.83</v>
      </c>
      <c r="J183" s="10">
        <v>0.6886</v>
      </c>
      <c r="K183" s="11">
        <v>374.57</v>
      </c>
      <c r="L183" s="10">
        <v>0.6856</v>
      </c>
      <c r="M183" s="11">
        <v>393.51</v>
      </c>
      <c r="N183" s="10">
        <v>0.003</v>
      </c>
      <c r="O183" s="11">
        <v>160</v>
      </c>
      <c r="P183" s="10">
        <v>0.893</v>
      </c>
      <c r="Q183" s="10">
        <v>0.2385</v>
      </c>
      <c r="R183" s="10">
        <v>0.6886</v>
      </c>
      <c r="S183" s="10">
        <v>0.2005</v>
      </c>
      <c r="T183" s="8">
        <f>IF(and(ISNUMBER(D183), isnumber(E183)), 1, 0) + IF(and(ISNUMBER(F183), isnumber(G183)), 1, 0) + IF(and(ISNUMBER(H183), isnumber(I183)), 1, 0) + IF(and(ISNUMBER(J183), isnumber(K183)), 1, 0) + IF(and(ISNUMBER(L183), isnumber(M183)), 1, 0) + IF(and(ISNUMBER(N183), isnumber(O183)), 1, 0)</f>
      </c>
      <c r="U183" s="8">
        <f>IF(and(ISNUMBER(P183), isnumber(Q183)), 1, 0) + IF(and(ISNUMBER(R183), isnumber(S183)), 1, 0)</f>
      </c>
      <c r="V183" s="13"/>
      <c r="W183" s="13"/>
      <c r="X183" s="16"/>
    </row>
    <row x14ac:dyDescent="0.25" r="184" customHeight="1" ht="15.75">
      <c r="A184" s="8">
        <v>26040</v>
      </c>
      <c r="B184" s="13" t="s">
        <v>184</v>
      </c>
      <c r="C184" s="13" t="s">
        <v>4740</v>
      </c>
      <c r="D184" s="10">
        <v>0.9247</v>
      </c>
      <c r="E184" s="11">
        <v>321.83</v>
      </c>
      <c r="F184" s="10">
        <v>0.7322</v>
      </c>
      <c r="G184" s="11">
        <v>407.25</v>
      </c>
      <c r="H184" s="10">
        <v>0.6695</v>
      </c>
      <c r="I184" s="11">
        <v>443.75</v>
      </c>
      <c r="J184" s="10">
        <v>0.5607</v>
      </c>
      <c r="K184" s="11">
        <v>394.77</v>
      </c>
      <c r="L184" s="10">
        <v>0.6611</v>
      </c>
      <c r="M184" s="11">
        <v>442.04</v>
      </c>
      <c r="N184" s="10">
        <v>0.5021</v>
      </c>
      <c r="O184" s="11">
        <v>491.09</v>
      </c>
      <c r="P184" s="10">
        <v>0.9247</v>
      </c>
      <c r="Q184" s="10">
        <v>0.2126</v>
      </c>
      <c r="R184" s="10">
        <v>0.5607</v>
      </c>
      <c r="S184" s="10">
        <v>0.2069</v>
      </c>
      <c r="T184" s="8">
        <f>IF(and(ISNUMBER(D184), isnumber(E184)), 1, 0) + IF(and(ISNUMBER(F184), isnumber(G184)), 1, 0) + IF(and(ISNUMBER(H184), isnumber(I184)), 1, 0) + IF(and(ISNUMBER(J184), isnumber(K184)), 1, 0) + IF(and(ISNUMBER(L184), isnumber(M184)), 1, 0) + IF(and(ISNUMBER(N184), isnumber(O184)), 1, 0)</f>
      </c>
      <c r="U184" s="8">
        <f>IF(and(ISNUMBER(P184), isnumber(Q184)), 1, 0) + IF(and(ISNUMBER(R184), isnumber(S184)), 1, 0)</f>
      </c>
      <c r="V184" s="13"/>
      <c r="W184" s="13"/>
      <c r="X184" s="16"/>
    </row>
    <row x14ac:dyDescent="0.25" r="185" customHeight="1" ht="15.75">
      <c r="A185" s="8">
        <v>26041</v>
      </c>
      <c r="B185" s="13" t="s">
        <v>184</v>
      </c>
      <c r="C185" s="13" t="s">
        <v>4743</v>
      </c>
      <c r="D185" s="10">
        <v>0.9</v>
      </c>
      <c r="E185" s="11">
        <v>204.91</v>
      </c>
      <c r="F185" s="10">
        <v>0.6737</v>
      </c>
      <c r="G185" s="11">
        <v>356.83</v>
      </c>
      <c r="H185" s="10">
        <v>0.7474</v>
      </c>
      <c r="I185" s="11">
        <v>418</v>
      </c>
      <c r="J185" s="10">
        <v>0.6684</v>
      </c>
      <c r="K185" s="11">
        <v>295.04</v>
      </c>
      <c r="L185" s="10">
        <v>0.6789</v>
      </c>
      <c r="M185" s="11">
        <v>422.33</v>
      </c>
      <c r="N185" s="10">
        <v>0.5158</v>
      </c>
      <c r="O185" s="11">
        <v>433.88</v>
      </c>
      <c r="P185" s="10">
        <v>0.9</v>
      </c>
      <c r="Q185" s="10">
        <v>0.2306</v>
      </c>
      <c r="R185" s="10">
        <v>0.6684</v>
      </c>
      <c r="S185" s="10">
        <v>0.2011</v>
      </c>
      <c r="T185" s="8">
        <f>IF(and(ISNUMBER(D185), isnumber(E185)), 1, 0) + IF(and(ISNUMBER(F185), isnumber(G185)), 1, 0) + IF(and(ISNUMBER(H185), isnumber(I185)), 1, 0) + IF(and(ISNUMBER(J185), isnumber(K185)), 1, 0) + IF(and(ISNUMBER(L185), isnumber(M185)), 1, 0) + IF(and(ISNUMBER(N185), isnumber(O185)), 1, 0)</f>
      </c>
      <c r="U185" s="8">
        <f>IF(and(ISNUMBER(P185), isnumber(Q185)), 1, 0) + IF(and(ISNUMBER(R185), isnumber(S185)), 1, 0)</f>
      </c>
      <c r="V185" s="13"/>
      <c r="W185" s="13"/>
      <c r="X185" s="16"/>
    </row>
    <row x14ac:dyDescent="0.25" r="186" customHeight="1" ht="15.75">
      <c r="A186" s="8">
        <v>26042</v>
      </c>
      <c r="B186" s="13" t="s">
        <v>184</v>
      </c>
      <c r="C186" s="13" t="s">
        <v>4745</v>
      </c>
      <c r="D186" s="10">
        <v>0.8117</v>
      </c>
      <c r="E186" s="11">
        <v>273.4</v>
      </c>
      <c r="F186" s="10">
        <v>0.7155</v>
      </c>
      <c r="G186" s="11">
        <v>373.06</v>
      </c>
      <c r="H186" s="10">
        <v>0.6506</v>
      </c>
      <c r="I186" s="11">
        <v>410.19</v>
      </c>
      <c r="J186" s="10">
        <v>0.7008</v>
      </c>
      <c r="K186" s="11">
        <v>333.65</v>
      </c>
      <c r="L186" s="10">
        <v>0.6736</v>
      </c>
      <c r="M186" s="11">
        <v>377</v>
      </c>
      <c r="N186" s="10">
        <v>0.613</v>
      </c>
      <c r="O186" s="11">
        <v>426.71</v>
      </c>
      <c r="P186" s="10">
        <v>0.8117</v>
      </c>
      <c r="Q186" s="10">
        <v>0.2383</v>
      </c>
      <c r="R186" s="10">
        <v>0.7008</v>
      </c>
      <c r="S186" s="10">
        <v>0.2032</v>
      </c>
      <c r="T186" s="8">
        <f>IF(and(ISNUMBER(D186), isnumber(E186)), 1, 0) + IF(and(ISNUMBER(F186), isnumber(G186)), 1, 0) + IF(and(ISNUMBER(H186), isnumber(I186)), 1, 0) + IF(and(ISNUMBER(J186), isnumber(K186)), 1, 0) + IF(and(ISNUMBER(L186), isnumber(M186)), 1, 0) + IF(and(ISNUMBER(N186), isnumber(O186)), 1, 0)</f>
      </c>
      <c r="U186" s="8">
        <f>IF(and(ISNUMBER(P186), isnumber(Q186)), 1, 0) + IF(and(ISNUMBER(R186), isnumber(S186)), 1, 0)</f>
      </c>
      <c r="V186" s="13"/>
      <c r="W186" s="13"/>
      <c r="X186" s="16"/>
    </row>
    <row x14ac:dyDescent="0.25" r="187" customHeight="1" ht="15.75">
      <c r="A187" s="8">
        <v>26043</v>
      </c>
      <c r="B187" s="13" t="s">
        <v>184</v>
      </c>
      <c r="C187" s="13" t="s">
        <v>4749</v>
      </c>
      <c r="D187" s="10">
        <v>0.7864</v>
      </c>
      <c r="E187" s="11">
        <v>265.5</v>
      </c>
      <c r="F187" s="10">
        <v>0.5364</v>
      </c>
      <c r="G187" s="11">
        <v>371.07</v>
      </c>
      <c r="H187" s="10">
        <v>0.6842</v>
      </c>
      <c r="I187" s="11">
        <v>430.18</v>
      </c>
      <c r="J187" s="10">
        <v>0.664</v>
      </c>
      <c r="K187" s="11">
        <v>437.55</v>
      </c>
      <c r="L187" s="10">
        <v>0.6761</v>
      </c>
      <c r="M187" s="11">
        <v>453.41</v>
      </c>
      <c r="N187" s="10">
        <v>0.6842</v>
      </c>
      <c r="O187" s="11">
        <v>458.57</v>
      </c>
      <c r="P187" s="10">
        <v>0.7864</v>
      </c>
      <c r="Q187" s="10">
        <v>0.1984</v>
      </c>
      <c r="R187" s="10">
        <v>0.664</v>
      </c>
      <c r="S187" s="10">
        <v>0.2067</v>
      </c>
      <c r="T187" s="8">
        <f>IF(and(ISNUMBER(D187), isnumber(E187)), 1, 0) + IF(and(ISNUMBER(F187), isnumber(G187)), 1, 0) + IF(and(ISNUMBER(H187), isnumber(I187)), 1, 0) + IF(and(ISNUMBER(J187), isnumber(K187)), 1, 0) + IF(and(ISNUMBER(L187), isnumber(M187)), 1, 0) + IF(and(ISNUMBER(N187), isnumber(O187)), 1, 0)</f>
      </c>
      <c r="U187" s="8">
        <f>IF(and(ISNUMBER(P187), isnumber(Q187)), 1, 0) + IF(and(ISNUMBER(R187), isnumber(S187)), 1, 0)</f>
      </c>
      <c r="V187" s="13"/>
      <c r="W187" s="13"/>
      <c r="X187" s="16"/>
    </row>
    <row x14ac:dyDescent="0.25" r="188" customHeight="1" ht="15.75">
      <c r="A188" s="8">
        <v>26044</v>
      </c>
      <c r="B188" s="13" t="s">
        <v>184</v>
      </c>
      <c r="C188" s="13" t="s">
        <v>4753</v>
      </c>
      <c r="D188" s="10">
        <v>0.7682</v>
      </c>
      <c r="E188" s="11">
        <v>291.81</v>
      </c>
      <c r="F188" s="10">
        <v>0.6217</v>
      </c>
      <c r="G188" s="11">
        <v>357.91</v>
      </c>
      <c r="H188" s="10">
        <v>0.5809</v>
      </c>
      <c r="I188" s="11">
        <v>413.9</v>
      </c>
      <c r="J188" s="10">
        <v>0.6153</v>
      </c>
      <c r="K188" s="11">
        <v>342.79</v>
      </c>
      <c r="L188" s="10">
        <v>0.6089</v>
      </c>
      <c r="M188" s="11">
        <v>371.88</v>
      </c>
      <c r="N188" s="10">
        <v>0.5401</v>
      </c>
      <c r="O188" s="11">
        <v>377.44</v>
      </c>
      <c r="P188" s="10">
        <v>0.7682</v>
      </c>
      <c r="Q188" s="10">
        <v>0.2411</v>
      </c>
      <c r="R188" s="10">
        <v>0.6153</v>
      </c>
      <c r="S188" s="10">
        <v>0.2031</v>
      </c>
      <c r="T188" s="8">
        <f>IF(and(ISNUMBER(D188), isnumber(E188)), 1, 0) + IF(and(ISNUMBER(F188), isnumber(G188)), 1, 0) + IF(and(ISNUMBER(H188), isnumber(I188)), 1, 0) + IF(and(ISNUMBER(J188), isnumber(K188)), 1, 0) + IF(and(ISNUMBER(L188), isnumber(M188)), 1, 0) + IF(and(ISNUMBER(N188), isnumber(O188)), 1, 0)</f>
      </c>
      <c r="U188" s="8">
        <f>IF(and(ISNUMBER(P188), isnumber(Q188)), 1, 0) + IF(and(ISNUMBER(R188), isnumber(S188)), 1, 0)</f>
      </c>
      <c r="V188" s="13"/>
      <c r="W188" s="13"/>
      <c r="X188" s="16"/>
    </row>
    <row x14ac:dyDescent="0.25" r="189" customHeight="1" ht="15.75">
      <c r="A189" s="8">
        <v>26045</v>
      </c>
      <c r="B189" s="13" t="s">
        <v>184</v>
      </c>
      <c r="C189" s="13" t="s">
        <v>4757</v>
      </c>
      <c r="D189" s="10">
        <v>0.9494</v>
      </c>
      <c r="E189" s="11">
        <v>219.43</v>
      </c>
      <c r="F189" s="10">
        <v>0.9831</v>
      </c>
      <c r="G189" s="11">
        <v>334</v>
      </c>
      <c r="H189" s="10">
        <v>0.852</v>
      </c>
      <c r="I189" s="11">
        <v>355.29</v>
      </c>
      <c r="J189" s="10">
        <v>0.9493</v>
      </c>
      <c r="K189" s="11">
        <v>331.11</v>
      </c>
      <c r="L189" s="10">
        <v>0.6435</v>
      </c>
      <c r="M189" s="11">
        <v>454.98</v>
      </c>
      <c r="N189" s="10">
        <v>0.9124</v>
      </c>
      <c r="O189" s="11">
        <v>339.59</v>
      </c>
      <c r="P189" s="10">
        <v>0.9494</v>
      </c>
      <c r="Q189" s="10">
        <v>0.2016</v>
      </c>
      <c r="R189" s="10">
        <v>0.9493</v>
      </c>
      <c r="S189" s="10">
        <v>0.194</v>
      </c>
      <c r="T189" s="8">
        <f>IF(and(ISNUMBER(D189), isnumber(E189)), 1, 0) + IF(and(ISNUMBER(F189), isnumber(G189)), 1, 0) + IF(and(ISNUMBER(H189), isnumber(I189)), 1, 0) + IF(and(ISNUMBER(J189), isnumber(K189)), 1, 0) + IF(and(ISNUMBER(L189), isnumber(M189)), 1, 0) + IF(and(ISNUMBER(N189), isnumber(O189)), 1, 0)</f>
      </c>
      <c r="U189" s="8">
        <f>IF(and(ISNUMBER(P189), isnumber(Q189)), 1, 0) + IF(and(ISNUMBER(R189), isnumber(S189)), 1, 0)</f>
      </c>
      <c r="V189" s="13"/>
      <c r="W189" s="13"/>
      <c r="X189" s="16"/>
    </row>
    <row x14ac:dyDescent="0.25" r="190" customHeight="1" ht="15.75">
      <c r="A190" s="8">
        <v>26046</v>
      </c>
      <c r="B190" s="13" t="s">
        <v>184</v>
      </c>
      <c r="C190" s="13" t="s">
        <v>4762</v>
      </c>
      <c r="D190" s="10">
        <v>0.9535</v>
      </c>
      <c r="E190" s="11">
        <v>208.05</v>
      </c>
      <c r="F190" s="10">
        <v>0.9709</v>
      </c>
      <c r="G190" s="11">
        <v>250.24</v>
      </c>
      <c r="H190" s="10">
        <v>0.7093</v>
      </c>
      <c r="I190" s="11">
        <v>390.92</v>
      </c>
      <c r="J190" s="10">
        <v>0.7209</v>
      </c>
      <c r="K190" s="11">
        <v>280.33</v>
      </c>
      <c r="L190" s="10">
        <v>0.8488</v>
      </c>
      <c r="M190" s="11">
        <v>393.06</v>
      </c>
      <c r="N190" s="10">
        <v>0.7791</v>
      </c>
      <c r="O190" s="11">
        <v>403.69</v>
      </c>
      <c r="P190" s="10">
        <v>0.9535</v>
      </c>
      <c r="Q190" s="10">
        <v>0.2044</v>
      </c>
      <c r="R190" s="10">
        <v>0.7209</v>
      </c>
      <c r="S190" s="10">
        <v>0.2042</v>
      </c>
      <c r="T190" s="8">
        <f>IF(and(ISNUMBER(D190), isnumber(E190)), 1, 0) + IF(and(ISNUMBER(F190), isnumber(G190)), 1, 0) + IF(and(ISNUMBER(H190), isnumber(I190)), 1, 0) + IF(and(ISNUMBER(J190), isnumber(K190)), 1, 0) + IF(and(ISNUMBER(L190), isnumber(M190)), 1, 0) + IF(and(ISNUMBER(N190), isnumber(O190)), 1, 0)</f>
      </c>
      <c r="U190" s="8">
        <f>IF(and(ISNUMBER(P190), isnumber(Q190)), 1, 0) + IF(and(ISNUMBER(R190), isnumber(S190)), 1, 0)</f>
      </c>
      <c r="V190" s="13"/>
      <c r="W190" s="13"/>
      <c r="X190" s="16"/>
    </row>
    <row x14ac:dyDescent="0.25" r="191" customHeight="1" ht="15.75">
      <c r="A191" s="8">
        <v>26047</v>
      </c>
      <c r="B191" s="13" t="s">
        <v>184</v>
      </c>
      <c r="C191" s="13" t="s">
        <v>4767</v>
      </c>
      <c r="D191" s="10">
        <v>0.4231</v>
      </c>
      <c r="E191" s="11">
        <v>180</v>
      </c>
      <c r="F191" s="10">
        <v>0.3462</v>
      </c>
      <c r="G191" s="11">
        <v>293.33</v>
      </c>
      <c r="H191" s="10">
        <v>0.0962</v>
      </c>
      <c r="I191" s="11">
        <v>264</v>
      </c>
      <c r="J191" s="10">
        <v>0.5769</v>
      </c>
      <c r="K191" s="11">
        <v>236</v>
      </c>
      <c r="L191" s="10">
        <v>0.1731</v>
      </c>
      <c r="M191" s="11">
        <v>280</v>
      </c>
      <c r="N191" s="10">
        <v>0.2885</v>
      </c>
      <c r="O191" s="11">
        <v>274.67</v>
      </c>
      <c r="P191" s="10">
        <v>0.4231</v>
      </c>
      <c r="Q191" s="10">
        <v>0.203</v>
      </c>
      <c r="R191" s="10">
        <v>0.5769</v>
      </c>
      <c r="S191" s="10">
        <v>0.1923</v>
      </c>
      <c r="T191" s="8">
        <f>IF(and(ISNUMBER(D191), isnumber(E191)), 1, 0) + IF(and(ISNUMBER(F191), isnumber(G191)), 1, 0) + IF(and(ISNUMBER(H191), isnumber(I191)), 1, 0) + IF(and(ISNUMBER(J191), isnumber(K191)), 1, 0) + IF(and(ISNUMBER(L191), isnumber(M191)), 1, 0) + IF(and(ISNUMBER(N191), isnumber(O191)), 1, 0)</f>
      </c>
      <c r="U191" s="8">
        <f>IF(and(ISNUMBER(P191), isnumber(Q191)), 1, 0) + IF(and(ISNUMBER(R191), isnumber(S191)), 1, 0)</f>
      </c>
      <c r="V191" s="13"/>
      <c r="W191" s="13"/>
      <c r="X191" s="16"/>
    </row>
    <row x14ac:dyDescent="0.25" r="192" customHeight="1" ht="15.75">
      <c r="A192" s="8">
        <v>26048</v>
      </c>
      <c r="B192" s="13" t="s">
        <v>184</v>
      </c>
      <c r="C192" s="13" t="s">
        <v>4769</v>
      </c>
      <c r="D192" s="10">
        <v>0.9109</v>
      </c>
      <c r="E192" s="11">
        <v>288.26</v>
      </c>
      <c r="F192" s="10">
        <v>0.9802</v>
      </c>
      <c r="G192" s="11">
        <v>362.45</v>
      </c>
      <c r="H192" s="10">
        <v>1</v>
      </c>
      <c r="I192" s="11">
        <v>344.55</v>
      </c>
      <c r="J192" s="10">
        <v>0.4356</v>
      </c>
      <c r="K192" s="11">
        <v>341.82</v>
      </c>
      <c r="L192" s="10">
        <v>1</v>
      </c>
      <c r="M192" s="11">
        <v>374.65</v>
      </c>
      <c r="N192" s="10">
        <v>1</v>
      </c>
      <c r="O192" s="11">
        <v>323.17</v>
      </c>
      <c r="P192" s="10">
        <v>0.9109</v>
      </c>
      <c r="Q192" s="10">
        <v>0.2132</v>
      </c>
      <c r="R192" s="10">
        <v>0.4356</v>
      </c>
      <c r="S192" s="10">
        <v>0.1643</v>
      </c>
      <c r="T192" s="8">
        <f>IF(and(ISNUMBER(D192), isnumber(E192)), 1, 0) + IF(and(ISNUMBER(F192), isnumber(G192)), 1, 0) + IF(and(ISNUMBER(H192), isnumber(I192)), 1, 0) + IF(and(ISNUMBER(J192), isnumber(K192)), 1, 0) + IF(and(ISNUMBER(L192), isnumber(M192)), 1, 0) + IF(and(ISNUMBER(N192), isnumber(O192)), 1, 0)</f>
      </c>
      <c r="U192" s="8">
        <f>IF(and(ISNUMBER(P192), isnumber(Q192)), 1, 0) + IF(and(ISNUMBER(R192), isnumber(S192)), 1, 0)</f>
      </c>
      <c r="V192" s="13"/>
      <c r="W192" s="13"/>
      <c r="X192" s="16"/>
    </row>
    <row x14ac:dyDescent="0.25" r="193" customHeight="1" ht="15.75">
      <c r="A193" s="8">
        <v>26049</v>
      </c>
      <c r="B193" s="13" t="s">
        <v>184</v>
      </c>
      <c r="C193" s="13" t="s">
        <v>4773</v>
      </c>
      <c r="D193" s="10">
        <v>0.771</v>
      </c>
      <c r="E193" s="11">
        <v>122.2</v>
      </c>
      <c r="F193" s="10">
        <v>0.6075</v>
      </c>
      <c r="G193" s="11">
        <v>291.63</v>
      </c>
      <c r="H193" s="10">
        <v>0.4946</v>
      </c>
      <c r="I193" s="11">
        <v>358.25</v>
      </c>
      <c r="J193" s="10">
        <v>0.5915</v>
      </c>
      <c r="K193" s="11" t="s">
        <v>7127</v>
      </c>
      <c r="L193" s="10">
        <v>0.3574</v>
      </c>
      <c r="M193" s="11" t="s">
        <v>7127</v>
      </c>
      <c r="N193" s="10">
        <v>0.444</v>
      </c>
      <c r="O193" s="11">
        <v>332.28</v>
      </c>
      <c r="P193" s="10">
        <v>0.771</v>
      </c>
      <c r="Q193" s="10">
        <v>0.207</v>
      </c>
      <c r="R193" s="10">
        <v>0.5915</v>
      </c>
      <c r="S193" s="10">
        <v>0.1956</v>
      </c>
      <c r="T193" s="8">
        <f>IF(and(ISNUMBER(D193), isnumber(E193)), 1, 0) + IF(and(ISNUMBER(F193), isnumber(G193)), 1, 0) + IF(and(ISNUMBER(H193), isnumber(I193)), 1, 0) + IF(and(ISNUMBER(J193), isnumber(K193)), 1, 0) + IF(and(ISNUMBER(L193), isnumber(M193)), 1, 0) + IF(and(ISNUMBER(N193), isnumber(O193)), 1, 0)</f>
      </c>
      <c r="U193" s="8">
        <f>IF(and(ISNUMBER(P193), isnumber(Q193)), 1, 0) + IF(and(ISNUMBER(R193), isnumber(S193)), 1, 0)</f>
      </c>
      <c r="V193" s="13"/>
      <c r="W193" s="13"/>
      <c r="X193" s="16"/>
    </row>
    <row x14ac:dyDescent="0.25" r="194" customHeight="1" ht="15.75">
      <c r="A194" s="8">
        <v>26050</v>
      </c>
      <c r="B194" s="13" t="s">
        <v>184</v>
      </c>
      <c r="C194" s="13" t="s">
        <v>4777</v>
      </c>
      <c r="D194" s="10">
        <v>0.8673</v>
      </c>
      <c r="E194" s="11">
        <v>222.4</v>
      </c>
      <c r="F194" s="10">
        <v>0.6224</v>
      </c>
      <c r="G194" s="11">
        <v>410.67</v>
      </c>
      <c r="H194" s="10">
        <v>0.6939</v>
      </c>
      <c r="I194" s="11">
        <v>402.94</v>
      </c>
      <c r="J194" s="10">
        <v>0.6633</v>
      </c>
      <c r="K194" s="11">
        <v>335.63</v>
      </c>
      <c r="L194" s="10">
        <v>0.6122</v>
      </c>
      <c r="M194" s="11">
        <v>404.67</v>
      </c>
      <c r="N194" s="10">
        <v>0.6633</v>
      </c>
      <c r="O194" s="11">
        <v>396.88</v>
      </c>
      <c r="P194" s="10">
        <v>0.8673</v>
      </c>
      <c r="Q194" s="10">
        <v>0.2248</v>
      </c>
      <c r="R194" s="10">
        <v>0.6633</v>
      </c>
      <c r="S194" s="10">
        <v>0.2028</v>
      </c>
      <c r="T194" s="8">
        <f>IF(and(ISNUMBER(D194), isnumber(E194)), 1, 0) + IF(and(ISNUMBER(F194), isnumber(G194)), 1, 0) + IF(and(ISNUMBER(H194), isnumber(I194)), 1, 0) + IF(and(ISNUMBER(J194), isnumber(K194)), 1, 0) + IF(and(ISNUMBER(L194), isnumber(M194)), 1, 0) + IF(and(ISNUMBER(N194), isnumber(O194)), 1, 0)</f>
      </c>
      <c r="U194" s="8">
        <f>IF(and(ISNUMBER(P194), isnumber(Q194)), 1, 0) + IF(and(ISNUMBER(R194), isnumber(S194)), 1, 0)</f>
      </c>
      <c r="V194" s="13"/>
      <c r="W194" s="13"/>
      <c r="X194" s="16"/>
    </row>
    <row x14ac:dyDescent="0.25" r="195" customHeight="1" ht="15.75">
      <c r="A195" s="8">
        <v>26051</v>
      </c>
      <c r="B195" s="13" t="s">
        <v>184</v>
      </c>
      <c r="C195" s="13" t="s">
        <v>4780</v>
      </c>
      <c r="D195" s="10">
        <v>0.9665</v>
      </c>
      <c r="E195" s="11">
        <v>541.19</v>
      </c>
      <c r="F195" s="10">
        <v>0.933</v>
      </c>
      <c r="G195" s="11">
        <v>550.56</v>
      </c>
      <c r="H195" s="10">
        <v>0.9713</v>
      </c>
      <c r="I195" s="11">
        <v>582.97</v>
      </c>
      <c r="J195" s="10">
        <v>0.9522</v>
      </c>
      <c r="K195" s="11">
        <v>468.74</v>
      </c>
      <c r="L195" s="10">
        <v>0.866</v>
      </c>
      <c r="M195" s="11">
        <v>607.51</v>
      </c>
      <c r="N195" s="10">
        <v>0.8469</v>
      </c>
      <c r="O195" s="11">
        <v>592.77</v>
      </c>
      <c r="P195" s="10">
        <v>0.9665</v>
      </c>
      <c r="Q195" s="10">
        <v>0.3267</v>
      </c>
      <c r="R195" s="10">
        <v>0.9522</v>
      </c>
      <c r="S195" s="10">
        <v>0.2263</v>
      </c>
      <c r="T195" s="8">
        <f>IF(and(ISNUMBER(D195), isnumber(E195)), 1, 0) + IF(and(ISNUMBER(F195), isnumber(G195)), 1, 0) + IF(and(ISNUMBER(H195), isnumber(I195)), 1, 0) + IF(and(ISNUMBER(J195), isnumber(K195)), 1, 0) + IF(and(ISNUMBER(L195), isnumber(M195)), 1, 0) + IF(and(ISNUMBER(N195), isnumber(O195)), 1, 0)</f>
      </c>
      <c r="U195" s="8">
        <f>IF(and(ISNUMBER(P195), isnumber(Q195)), 1, 0) + IF(and(ISNUMBER(R195), isnumber(S195)), 1, 0)</f>
      </c>
      <c r="V195" s="13"/>
      <c r="W195" s="13"/>
      <c r="X195" s="16"/>
    </row>
    <row x14ac:dyDescent="0.25" r="196" customHeight="1" ht="15.75">
      <c r="A196" s="8">
        <v>26052</v>
      </c>
      <c r="B196" s="13" t="s">
        <v>184</v>
      </c>
      <c r="C196" s="13" t="s">
        <v>4785</v>
      </c>
      <c r="D196" s="10">
        <v>0.2973</v>
      </c>
      <c r="E196" s="11" t="s">
        <v>7127</v>
      </c>
      <c r="F196" s="10">
        <v>0.4668</v>
      </c>
      <c r="G196" s="11">
        <v>321.55</v>
      </c>
      <c r="H196" s="10">
        <v>0.3467</v>
      </c>
      <c r="I196" s="11">
        <v>334.09</v>
      </c>
      <c r="J196" s="10">
        <v>0.0902</v>
      </c>
      <c r="K196" s="11">
        <v>400</v>
      </c>
      <c r="L196" s="10">
        <v>0.4198</v>
      </c>
      <c r="M196" s="11">
        <v>282.23</v>
      </c>
      <c r="N196" s="10">
        <v>0.3152</v>
      </c>
      <c r="O196" s="11">
        <v>314.95</v>
      </c>
      <c r="P196" s="10">
        <v>0.2973</v>
      </c>
      <c r="Q196" s="10">
        <v>0.2196</v>
      </c>
      <c r="R196" s="10">
        <v>0.0902</v>
      </c>
      <c r="S196" s="10">
        <v>0.1919</v>
      </c>
      <c r="T196" s="8">
        <f>IF(and(ISNUMBER(D196), isnumber(E196)), 1, 0) + IF(and(ISNUMBER(F196), isnumber(G196)), 1, 0) + IF(and(ISNUMBER(H196), isnumber(I196)), 1, 0) + IF(and(ISNUMBER(J196), isnumber(K196)), 1, 0) + IF(and(ISNUMBER(L196), isnumber(M196)), 1, 0) + IF(and(ISNUMBER(N196), isnumber(O196)), 1, 0)</f>
      </c>
      <c r="U196" s="8">
        <f>IF(and(ISNUMBER(P196), isnumber(Q196)), 1, 0) + IF(and(ISNUMBER(R196), isnumber(S196)), 1, 0)</f>
      </c>
      <c r="V196" s="13"/>
      <c r="W196" s="13"/>
      <c r="X196" s="16"/>
    </row>
    <row x14ac:dyDescent="0.25" r="197" customHeight="1" ht="15.75">
      <c r="A197" s="8">
        <v>26053</v>
      </c>
      <c r="B197" s="13" t="s">
        <v>184</v>
      </c>
      <c r="C197" s="13" t="s">
        <v>4789</v>
      </c>
      <c r="D197" s="10">
        <v>0.9013</v>
      </c>
      <c r="E197" s="11">
        <v>141.4</v>
      </c>
      <c r="F197" s="10">
        <v>0.574</v>
      </c>
      <c r="G197" s="11">
        <v>316.38</v>
      </c>
      <c r="H197" s="10">
        <v>0.3303</v>
      </c>
      <c r="I197" s="11" t="s">
        <v>7127</v>
      </c>
      <c r="J197" s="10">
        <v>0.4078</v>
      </c>
      <c r="K197" s="11">
        <v>207.2</v>
      </c>
      <c r="L197" s="10">
        <v>0.3807</v>
      </c>
      <c r="M197" s="11">
        <v>313.77</v>
      </c>
      <c r="N197" s="10">
        <v>0.305</v>
      </c>
      <c r="O197" s="11">
        <v>375.94</v>
      </c>
      <c r="P197" s="10">
        <v>0.9013</v>
      </c>
      <c r="Q197" s="10">
        <v>0.1124</v>
      </c>
      <c r="R197" s="10">
        <v>0.4078</v>
      </c>
      <c r="S197" s="10">
        <v>0.1822</v>
      </c>
      <c r="T197" s="8">
        <f>IF(and(ISNUMBER(D197), isnumber(E197)), 1, 0) + IF(and(ISNUMBER(F197), isnumber(G197)), 1, 0) + IF(and(ISNUMBER(H197), isnumber(I197)), 1, 0) + IF(and(ISNUMBER(J197), isnumber(K197)), 1, 0) + IF(and(ISNUMBER(L197), isnumber(M197)), 1, 0) + IF(and(ISNUMBER(N197), isnumber(O197)), 1, 0)</f>
      </c>
      <c r="U197" s="8">
        <f>IF(and(ISNUMBER(P197), isnumber(Q197)), 1, 0) + IF(and(ISNUMBER(R197), isnumber(S197)), 1, 0)</f>
      </c>
      <c r="V197" s="13"/>
      <c r="W197" s="13"/>
      <c r="X197" s="16"/>
    </row>
    <row x14ac:dyDescent="0.25" r="198" customHeight="1" ht="15.75">
      <c r="A198" s="8">
        <v>26054</v>
      </c>
      <c r="B198" s="13" t="s">
        <v>184</v>
      </c>
      <c r="C198" s="13" t="s">
        <v>4793</v>
      </c>
      <c r="D198" s="10">
        <v>0.63</v>
      </c>
      <c r="E198" s="11">
        <v>171.67</v>
      </c>
      <c r="F198" s="10">
        <v>0.5076</v>
      </c>
      <c r="G198" s="11">
        <v>361.96</v>
      </c>
      <c r="H198" s="10">
        <v>0.419</v>
      </c>
      <c r="I198" s="11">
        <v>390.52</v>
      </c>
      <c r="J198" s="10">
        <v>0.6024</v>
      </c>
      <c r="K198" s="11">
        <v>319.26</v>
      </c>
      <c r="L198" s="10">
        <v>0.4954</v>
      </c>
      <c r="M198" s="11">
        <v>358.99</v>
      </c>
      <c r="N198" s="10">
        <v>0.4067</v>
      </c>
      <c r="O198" s="11">
        <v>407.13</v>
      </c>
      <c r="P198" s="10">
        <v>0.63</v>
      </c>
      <c r="Q198" s="10">
        <v>0.224</v>
      </c>
      <c r="R198" s="10">
        <v>0.6024</v>
      </c>
      <c r="S198" s="10">
        <v>0.2025</v>
      </c>
      <c r="T198" s="8">
        <f>IF(and(ISNUMBER(D198), isnumber(E198)), 1, 0) + IF(and(ISNUMBER(F198), isnumber(G198)), 1, 0) + IF(and(ISNUMBER(H198), isnumber(I198)), 1, 0) + IF(and(ISNUMBER(J198), isnumber(K198)), 1, 0) + IF(and(ISNUMBER(L198), isnumber(M198)), 1, 0) + IF(and(ISNUMBER(N198), isnumber(O198)), 1, 0)</f>
      </c>
      <c r="U198" s="8">
        <f>IF(and(ISNUMBER(P198), isnumber(Q198)), 1, 0) + IF(and(ISNUMBER(R198), isnumber(S198)), 1, 0)</f>
      </c>
      <c r="V198" s="13"/>
      <c r="W198" s="13"/>
      <c r="X198" s="16"/>
    </row>
    <row x14ac:dyDescent="0.25" r="199" customHeight="1" ht="15.75">
      <c r="A199" s="8">
        <v>26055</v>
      </c>
      <c r="B199" s="13" t="s">
        <v>184</v>
      </c>
      <c r="C199" s="13" t="s">
        <v>4796</v>
      </c>
      <c r="D199" s="10">
        <v>0.5267</v>
      </c>
      <c r="E199" s="11">
        <v>256.44</v>
      </c>
      <c r="F199" s="10">
        <v>0.6502</v>
      </c>
      <c r="G199" s="11">
        <v>347.6</v>
      </c>
      <c r="H199" s="10">
        <v>0.4673</v>
      </c>
      <c r="I199" s="11">
        <v>374.99</v>
      </c>
      <c r="J199" s="10">
        <v>0.5854</v>
      </c>
      <c r="K199" s="11" t="s">
        <v>7127</v>
      </c>
      <c r="L199" s="10">
        <v>0.5654</v>
      </c>
      <c r="M199" s="11">
        <v>371.88</v>
      </c>
      <c r="N199" s="10">
        <v>0.5817</v>
      </c>
      <c r="O199" s="11">
        <v>408.71</v>
      </c>
      <c r="P199" s="10">
        <v>0.5267</v>
      </c>
      <c r="Q199" s="10">
        <v>0.2168</v>
      </c>
      <c r="R199" s="10">
        <v>0.5854</v>
      </c>
      <c r="S199" s="10">
        <v>0.1933</v>
      </c>
      <c r="T199" s="8">
        <f>IF(and(ISNUMBER(D199), isnumber(E199)), 1, 0) + IF(and(ISNUMBER(F199), isnumber(G199)), 1, 0) + IF(and(ISNUMBER(H199), isnumber(I199)), 1, 0) + IF(and(ISNUMBER(J199), isnumber(K199)), 1, 0) + IF(and(ISNUMBER(L199), isnumber(M199)), 1, 0) + IF(and(ISNUMBER(N199), isnumber(O199)), 1, 0)</f>
      </c>
      <c r="U199" s="8">
        <f>IF(and(ISNUMBER(P199), isnumber(Q199)), 1, 0) + IF(and(ISNUMBER(R199), isnumber(S199)), 1, 0)</f>
      </c>
      <c r="V199" s="13"/>
      <c r="W199" s="13"/>
      <c r="X199" s="16"/>
    </row>
    <row x14ac:dyDescent="0.25" r="200" customHeight="1" ht="15.75">
      <c r="A200" s="8">
        <v>26056</v>
      </c>
      <c r="B200" s="13" t="s">
        <v>184</v>
      </c>
      <c r="C200" s="13" t="s">
        <v>4801</v>
      </c>
      <c r="D200" s="10">
        <v>0.9831</v>
      </c>
      <c r="E200" s="11">
        <v>219.11</v>
      </c>
      <c r="F200" s="10">
        <v>0.0872</v>
      </c>
      <c r="G200" s="11">
        <v>127.27</v>
      </c>
      <c r="H200" s="10">
        <v>0.917</v>
      </c>
      <c r="I200" s="11">
        <v>226.42</v>
      </c>
      <c r="J200" s="10">
        <v>0.6755</v>
      </c>
      <c r="K200" s="11">
        <v>290</v>
      </c>
      <c r="L200" s="10">
        <v>0.5705</v>
      </c>
      <c r="M200" s="11">
        <v>309.02</v>
      </c>
      <c r="N200" s="10">
        <v>0.9232</v>
      </c>
      <c r="O200" s="11">
        <v>268.81</v>
      </c>
      <c r="P200" s="10">
        <v>0.9831</v>
      </c>
      <c r="Q200" s="10">
        <v>0.1962</v>
      </c>
      <c r="R200" s="10">
        <v>0.6755</v>
      </c>
      <c r="S200" s="10">
        <v>0.202</v>
      </c>
      <c r="T200" s="8">
        <f>IF(and(ISNUMBER(D200), isnumber(E200)), 1, 0) + IF(and(ISNUMBER(F200), isnumber(G200)), 1, 0) + IF(and(ISNUMBER(H200), isnumber(I200)), 1, 0) + IF(and(ISNUMBER(J200), isnumber(K200)), 1, 0) + IF(and(ISNUMBER(L200), isnumber(M200)), 1, 0) + IF(and(ISNUMBER(N200), isnumber(O200)), 1, 0)</f>
      </c>
      <c r="U200" s="8">
        <f>IF(and(ISNUMBER(P200), isnumber(Q200)), 1, 0) + IF(and(ISNUMBER(R200), isnumber(S200)), 1, 0)</f>
      </c>
      <c r="V200" s="13"/>
      <c r="W200" s="13"/>
      <c r="X200" s="16"/>
    </row>
    <row x14ac:dyDescent="0.25" r="201" customHeight="1" ht="15.75">
      <c r="A201" s="8">
        <v>26057</v>
      </c>
      <c r="B201" s="13" t="s">
        <v>184</v>
      </c>
      <c r="C201" s="13" t="s">
        <v>4804</v>
      </c>
      <c r="D201" s="10">
        <v>0.7722</v>
      </c>
      <c r="E201" s="11">
        <v>150.08</v>
      </c>
      <c r="F201" s="10">
        <v>0.4889</v>
      </c>
      <c r="G201" s="11">
        <v>367.36</v>
      </c>
      <c r="H201" s="10">
        <v>0.5778</v>
      </c>
      <c r="I201" s="11">
        <v>365</v>
      </c>
      <c r="J201" s="10">
        <v>0.5722</v>
      </c>
      <c r="K201" s="11">
        <v>236.5</v>
      </c>
      <c r="L201" s="10">
        <v>0.6444</v>
      </c>
      <c r="M201" s="11">
        <v>359.31</v>
      </c>
      <c r="N201" s="10">
        <v>0.5889</v>
      </c>
      <c r="O201" s="11">
        <v>384.15</v>
      </c>
      <c r="P201" s="10">
        <v>0.7722</v>
      </c>
      <c r="Q201" s="10">
        <v>0.2403</v>
      </c>
      <c r="R201" s="10">
        <v>0.5722</v>
      </c>
      <c r="S201" s="10">
        <v>0.2018</v>
      </c>
      <c r="T201" s="8">
        <f>IF(and(ISNUMBER(D201), isnumber(E201)), 1, 0) + IF(and(ISNUMBER(F201), isnumber(G201)), 1, 0) + IF(and(ISNUMBER(H201), isnumber(I201)), 1, 0) + IF(and(ISNUMBER(J201), isnumber(K201)), 1, 0) + IF(and(ISNUMBER(L201), isnumber(M201)), 1, 0) + IF(and(ISNUMBER(N201), isnumber(O201)), 1, 0)</f>
      </c>
      <c r="U201" s="8">
        <f>IF(and(ISNUMBER(P201), isnumber(Q201)), 1, 0) + IF(and(ISNUMBER(R201), isnumber(S201)), 1, 0)</f>
      </c>
      <c r="V201" s="13"/>
      <c r="W201" s="13"/>
      <c r="X201" s="16"/>
    </row>
    <row x14ac:dyDescent="0.25" r="202" customHeight="1" ht="15.75">
      <c r="A202" s="8">
        <v>26058</v>
      </c>
      <c r="B202" s="13" t="s">
        <v>184</v>
      </c>
      <c r="C202" s="13" t="s">
        <v>4809</v>
      </c>
      <c r="D202" s="10">
        <v>0.9</v>
      </c>
      <c r="E202" s="11">
        <v>196.44</v>
      </c>
      <c r="F202" s="10">
        <v>0.98</v>
      </c>
      <c r="G202" s="11">
        <v>256.33</v>
      </c>
      <c r="H202" s="10">
        <v>0.82</v>
      </c>
      <c r="I202" s="11">
        <v>463</v>
      </c>
      <c r="J202" s="10">
        <v>0.84</v>
      </c>
      <c r="K202" s="11">
        <v>317.07</v>
      </c>
      <c r="L202" s="10">
        <v>0.82</v>
      </c>
      <c r="M202" s="11">
        <v>386</v>
      </c>
      <c r="N202" s="10">
        <v>0.82</v>
      </c>
      <c r="O202" s="11">
        <v>419.51</v>
      </c>
      <c r="P202" s="10">
        <v>0.9</v>
      </c>
      <c r="Q202" s="10">
        <v>0.2546</v>
      </c>
      <c r="R202" s="10">
        <v>0.84</v>
      </c>
      <c r="S202" s="10">
        <v>0.2088</v>
      </c>
      <c r="T202" s="8">
        <f>IF(and(ISNUMBER(D202), isnumber(E202)), 1, 0) + IF(and(ISNUMBER(F202), isnumber(G202)), 1, 0) + IF(and(ISNUMBER(H202), isnumber(I202)), 1, 0) + IF(and(ISNUMBER(J202), isnumber(K202)), 1, 0) + IF(and(ISNUMBER(L202), isnumber(M202)), 1, 0) + IF(and(ISNUMBER(N202), isnumber(O202)), 1, 0)</f>
      </c>
      <c r="U202" s="8">
        <f>IF(and(ISNUMBER(P202), isnumber(Q202)), 1, 0) + IF(and(ISNUMBER(R202), isnumber(S202)), 1, 0)</f>
      </c>
      <c r="V202" s="13"/>
      <c r="W202" s="13"/>
      <c r="X202" s="16"/>
    </row>
    <row x14ac:dyDescent="0.25" r="203" customHeight="1" ht="15.75">
      <c r="A203" s="8">
        <v>26059</v>
      </c>
      <c r="B203" s="13" t="s">
        <v>184</v>
      </c>
      <c r="C203" s="13" t="s">
        <v>4811</v>
      </c>
      <c r="D203" s="10">
        <v>0.8902</v>
      </c>
      <c r="E203" s="11">
        <v>301.37</v>
      </c>
      <c r="F203" s="10">
        <v>0.7561</v>
      </c>
      <c r="G203" s="11">
        <v>421.75</v>
      </c>
      <c r="H203" s="10">
        <v>0.6161</v>
      </c>
      <c r="I203" s="11">
        <v>411.42</v>
      </c>
      <c r="J203" s="10">
        <v>0.9483</v>
      </c>
      <c r="K203" s="11">
        <v>325.71</v>
      </c>
      <c r="L203" s="10">
        <v>0.5804</v>
      </c>
      <c r="M203" s="11">
        <v>438.47</v>
      </c>
      <c r="N203" s="10">
        <v>0.5</v>
      </c>
      <c r="O203" s="11">
        <v>431.82</v>
      </c>
      <c r="P203" s="10">
        <v>0.8902</v>
      </c>
      <c r="Q203" s="10">
        <v>0.2364</v>
      </c>
      <c r="R203" s="10">
        <v>0.9483</v>
      </c>
      <c r="S203" s="10">
        <v>0.2068</v>
      </c>
      <c r="T203" s="8">
        <f>IF(and(ISNUMBER(D203), isnumber(E203)), 1, 0) + IF(and(ISNUMBER(F203), isnumber(G203)), 1, 0) + IF(and(ISNUMBER(H203), isnumber(I203)), 1, 0) + IF(and(ISNUMBER(J203), isnumber(K203)), 1, 0) + IF(and(ISNUMBER(L203), isnumber(M203)), 1, 0) + IF(and(ISNUMBER(N203), isnumber(O203)), 1, 0)</f>
      </c>
      <c r="U203" s="8">
        <f>IF(and(ISNUMBER(P203), isnumber(Q203)), 1, 0) + IF(and(ISNUMBER(R203), isnumber(S203)), 1, 0)</f>
      </c>
      <c r="V203" s="13"/>
      <c r="W203" s="13"/>
      <c r="X203" s="16"/>
    </row>
    <row x14ac:dyDescent="0.25" r="204" customHeight="1" ht="15.75">
      <c r="A204" s="8">
        <v>26060</v>
      </c>
      <c r="B204" s="13" t="s">
        <v>184</v>
      </c>
      <c r="C204" s="13" t="s">
        <v>4814</v>
      </c>
      <c r="D204" s="10">
        <v>0.8452</v>
      </c>
      <c r="E204" s="11">
        <v>272.08</v>
      </c>
      <c r="F204" s="10">
        <v>0.7937</v>
      </c>
      <c r="G204" s="11">
        <v>407.27</v>
      </c>
      <c r="H204" s="10">
        <v>0.7341</v>
      </c>
      <c r="I204" s="11">
        <v>464</v>
      </c>
      <c r="J204" s="10">
        <v>0.5675</v>
      </c>
      <c r="K204" s="11">
        <v>377.65</v>
      </c>
      <c r="L204" s="10">
        <v>0.6786</v>
      </c>
      <c r="M204" s="11">
        <v>417.99</v>
      </c>
      <c r="N204" s="10">
        <v>0.6865</v>
      </c>
      <c r="O204" s="11">
        <v>440</v>
      </c>
      <c r="P204" s="10">
        <v>0.8452</v>
      </c>
      <c r="Q204" s="10">
        <v>0.2468</v>
      </c>
      <c r="R204" s="10">
        <v>0.5675</v>
      </c>
      <c r="S204" s="10">
        <v>0.2056</v>
      </c>
      <c r="T204" s="8">
        <f>IF(and(ISNUMBER(D204), isnumber(E204)), 1, 0) + IF(and(ISNUMBER(F204), isnumber(G204)), 1, 0) + IF(and(ISNUMBER(H204), isnumber(I204)), 1, 0) + IF(and(ISNUMBER(J204), isnumber(K204)), 1, 0) + IF(and(ISNUMBER(L204), isnumber(M204)), 1, 0) + IF(and(ISNUMBER(N204), isnumber(O204)), 1, 0)</f>
      </c>
      <c r="U204" s="8">
        <f>IF(and(ISNUMBER(P204), isnumber(Q204)), 1, 0) + IF(and(ISNUMBER(R204), isnumber(S204)), 1, 0)</f>
      </c>
      <c r="V204" s="13"/>
      <c r="W204" s="13"/>
      <c r="X204" s="16"/>
    </row>
    <row x14ac:dyDescent="0.25" r="205" customHeight="1" ht="15.75">
      <c r="A205" s="8">
        <v>26002</v>
      </c>
      <c r="B205" s="13" t="s">
        <v>184</v>
      </c>
      <c r="C205" s="13" t="s">
        <v>4819</v>
      </c>
      <c r="D205" s="10">
        <v>0.617</v>
      </c>
      <c r="E205" s="11">
        <v>125.29</v>
      </c>
      <c r="F205" s="10">
        <v>0.5106</v>
      </c>
      <c r="G205" s="11">
        <v>324.17</v>
      </c>
      <c r="H205" s="10">
        <v>0.3333</v>
      </c>
      <c r="I205" s="11">
        <v>320.85</v>
      </c>
      <c r="J205" s="10">
        <v>0.65</v>
      </c>
      <c r="K205" s="11">
        <v>229.8</v>
      </c>
      <c r="L205" s="10">
        <v>0.2908</v>
      </c>
      <c r="M205" s="11">
        <v>364.88</v>
      </c>
      <c r="N205" s="10">
        <v>0.3404</v>
      </c>
      <c r="O205" s="11">
        <v>341.21</v>
      </c>
      <c r="P205" s="10">
        <v>0.617</v>
      </c>
      <c r="Q205" s="10">
        <v>0.2077</v>
      </c>
      <c r="R205" s="10">
        <v>0.65</v>
      </c>
      <c r="S205" s="10">
        <v>0.1897</v>
      </c>
      <c r="T205" s="8">
        <f>IF(and(ISNUMBER(D205), isnumber(E205)), 1, 0) + IF(and(ISNUMBER(F205), isnumber(G205)), 1, 0) + IF(and(ISNUMBER(H205), isnumber(I205)), 1, 0) + IF(and(ISNUMBER(J205), isnumber(K205)), 1, 0) + IF(and(ISNUMBER(L205), isnumber(M205)), 1, 0) + IF(and(ISNUMBER(N205), isnumber(O205)), 1, 0)</f>
      </c>
      <c r="U205" s="8">
        <f>IF(and(ISNUMBER(P205), isnumber(Q205)), 1, 0) + IF(and(ISNUMBER(R205), isnumber(S205)), 1, 0)</f>
      </c>
      <c r="V205" s="13"/>
      <c r="W205" s="13"/>
      <c r="X205" s="16"/>
    </row>
    <row x14ac:dyDescent="0.25" r="206" customHeight="1" ht="15.75">
      <c r="A206" s="8">
        <v>26003</v>
      </c>
      <c r="B206" s="13" t="s">
        <v>184</v>
      </c>
      <c r="C206" s="13" t="s">
        <v>4822</v>
      </c>
      <c r="D206" s="10">
        <v>0.7854</v>
      </c>
      <c r="E206" s="11">
        <v>89.37</v>
      </c>
      <c r="F206" s="10">
        <v>0.0324</v>
      </c>
      <c r="G206" s="11">
        <v>37.14</v>
      </c>
      <c r="H206" s="10">
        <v>0.9494</v>
      </c>
      <c r="I206" s="11">
        <v>141.98</v>
      </c>
      <c r="J206" s="10">
        <v>0.8704</v>
      </c>
      <c r="K206" s="11">
        <v>58.43</v>
      </c>
      <c r="L206" s="10">
        <v>0.8644</v>
      </c>
      <c r="M206" s="11">
        <v>128.62</v>
      </c>
      <c r="N206" s="10">
        <v>0.8401</v>
      </c>
      <c r="O206" s="11">
        <v>134.47</v>
      </c>
      <c r="P206" s="10">
        <v>0.7854</v>
      </c>
      <c r="Q206" s="10">
        <v>0.1116</v>
      </c>
      <c r="R206" s="10">
        <v>0.8704</v>
      </c>
      <c r="S206" s="10">
        <v>0.101</v>
      </c>
      <c r="T206" s="8">
        <f>IF(and(ISNUMBER(D206), isnumber(E206)), 1, 0) + IF(and(ISNUMBER(F206), isnumber(G206)), 1, 0) + IF(and(ISNUMBER(H206), isnumber(I206)), 1, 0) + IF(and(ISNUMBER(J206), isnumber(K206)), 1, 0) + IF(and(ISNUMBER(L206), isnumber(M206)), 1, 0) + IF(and(ISNUMBER(N206), isnumber(O206)), 1, 0)</f>
      </c>
      <c r="U206" s="8">
        <f>IF(and(ISNUMBER(P206), isnumber(Q206)), 1, 0) + IF(and(ISNUMBER(R206), isnumber(S206)), 1, 0)</f>
      </c>
      <c r="V206" s="13"/>
      <c r="W206" s="13"/>
      <c r="X206" s="16"/>
    </row>
    <row x14ac:dyDescent="0.25" r="207" customHeight="1" ht="15.75">
      <c r="A207" s="8">
        <v>26061</v>
      </c>
      <c r="B207" s="13" t="s">
        <v>184</v>
      </c>
      <c r="C207" s="13" t="s">
        <v>4827</v>
      </c>
      <c r="D207" s="10">
        <v>0.7607</v>
      </c>
      <c r="E207" s="11">
        <v>221.25</v>
      </c>
      <c r="F207" s="10">
        <v>0.4663</v>
      </c>
      <c r="G207" s="11">
        <v>398.3</v>
      </c>
      <c r="H207" s="10">
        <v>0.4055</v>
      </c>
      <c r="I207" s="11">
        <v>406.82</v>
      </c>
      <c r="J207" s="10">
        <v>0.3704</v>
      </c>
      <c r="K207" s="11" t="s">
        <v>7127</v>
      </c>
      <c r="L207" s="10">
        <v>0.6452</v>
      </c>
      <c r="M207" s="11">
        <v>331.42</v>
      </c>
      <c r="N207" s="10">
        <v>0.4055</v>
      </c>
      <c r="O207" s="11">
        <v>412.73</v>
      </c>
      <c r="P207" s="10">
        <v>0.7607</v>
      </c>
      <c r="Q207" s="10">
        <v>0.2024</v>
      </c>
      <c r="R207" s="10">
        <v>0.3704</v>
      </c>
      <c r="S207" s="10">
        <v>0.1944</v>
      </c>
      <c r="T207" s="8">
        <f>IF(and(ISNUMBER(D207), isnumber(E207)), 1, 0) + IF(and(ISNUMBER(F207), isnumber(G207)), 1, 0) + IF(and(ISNUMBER(H207), isnumber(I207)), 1, 0) + IF(and(ISNUMBER(J207), isnumber(K207)), 1, 0) + IF(and(ISNUMBER(L207), isnumber(M207)), 1, 0) + IF(and(ISNUMBER(N207), isnumber(O207)), 1, 0)</f>
      </c>
      <c r="U207" s="8">
        <f>IF(and(ISNUMBER(P207), isnumber(Q207)), 1, 0) + IF(and(ISNUMBER(R207), isnumber(S207)), 1, 0)</f>
      </c>
      <c r="V207" s="13"/>
      <c r="W207" s="13"/>
      <c r="X207" s="16"/>
    </row>
    <row x14ac:dyDescent="0.25" r="208" customHeight="1" ht="15.75">
      <c r="A208" s="8">
        <v>26062</v>
      </c>
      <c r="B208" s="13" t="s">
        <v>184</v>
      </c>
      <c r="C208" s="13" t="s">
        <v>4829</v>
      </c>
      <c r="D208" s="10">
        <v>0.8232</v>
      </c>
      <c r="E208" s="11">
        <v>204.96</v>
      </c>
      <c r="F208" s="10">
        <v>0.7988</v>
      </c>
      <c r="G208" s="11">
        <v>330.76</v>
      </c>
      <c r="H208" s="10">
        <v>0.4719</v>
      </c>
      <c r="I208" s="11">
        <v>360.8</v>
      </c>
      <c r="J208" s="10">
        <v>0.7364</v>
      </c>
      <c r="K208" s="11">
        <v>266.64</v>
      </c>
      <c r="L208" s="10">
        <v>0.6104</v>
      </c>
      <c r="M208" s="11">
        <v>340.67</v>
      </c>
      <c r="N208" s="10">
        <v>0.5152</v>
      </c>
      <c r="O208" s="11">
        <v>394.39</v>
      </c>
      <c r="P208" s="10">
        <v>0.8232</v>
      </c>
      <c r="Q208" s="10">
        <v>0.2279</v>
      </c>
      <c r="R208" s="10">
        <v>0.7364</v>
      </c>
      <c r="S208" s="10">
        <v>0.2042</v>
      </c>
      <c r="T208" s="8">
        <f>IF(and(ISNUMBER(D208), isnumber(E208)), 1, 0) + IF(and(ISNUMBER(F208), isnumber(G208)), 1, 0) + IF(and(ISNUMBER(H208), isnumber(I208)), 1, 0) + IF(and(ISNUMBER(J208), isnumber(K208)), 1, 0) + IF(and(ISNUMBER(L208), isnumber(M208)), 1, 0) + IF(and(ISNUMBER(N208), isnumber(O208)), 1, 0)</f>
      </c>
      <c r="U208" s="8">
        <f>IF(and(ISNUMBER(P208), isnumber(Q208)), 1, 0) + IF(and(ISNUMBER(R208), isnumber(S208)), 1, 0)</f>
      </c>
      <c r="V208" s="13"/>
      <c r="W208" s="13"/>
      <c r="X208" s="16"/>
    </row>
    <row x14ac:dyDescent="0.25" r="209" customHeight="1" ht="15.75">
      <c r="A209" s="8">
        <v>26063</v>
      </c>
      <c r="B209" s="13" t="s">
        <v>184</v>
      </c>
      <c r="C209" s="13" t="s">
        <v>4832</v>
      </c>
      <c r="D209" s="10">
        <v>0.8507</v>
      </c>
      <c r="E209" s="11">
        <v>187.13</v>
      </c>
      <c r="F209" s="10">
        <v>0.9776</v>
      </c>
      <c r="G209" s="11">
        <v>317.51</v>
      </c>
      <c r="H209" s="10">
        <v>0.9244</v>
      </c>
      <c r="I209" s="11">
        <v>257.36</v>
      </c>
      <c r="J209" s="10">
        <v>1</v>
      </c>
      <c r="K209" s="11">
        <v>293.24</v>
      </c>
      <c r="L209" s="10">
        <v>0.907</v>
      </c>
      <c r="M209" s="11">
        <v>296.16</v>
      </c>
      <c r="N209" s="10">
        <v>0.9767</v>
      </c>
      <c r="O209" s="11">
        <v>279.29</v>
      </c>
      <c r="P209" s="10">
        <v>0.8507</v>
      </c>
      <c r="Q209" s="10">
        <v>0.1595</v>
      </c>
      <c r="R209" s="10">
        <v>1</v>
      </c>
      <c r="S209" s="10">
        <v>0.1336</v>
      </c>
      <c r="T209" s="8">
        <f>IF(and(ISNUMBER(D209), isnumber(E209)), 1, 0) + IF(and(ISNUMBER(F209), isnumber(G209)), 1, 0) + IF(and(ISNUMBER(H209), isnumber(I209)), 1, 0) + IF(and(ISNUMBER(J209), isnumber(K209)), 1, 0) + IF(and(ISNUMBER(L209), isnumber(M209)), 1, 0) + IF(and(ISNUMBER(N209), isnumber(O209)), 1, 0)</f>
      </c>
      <c r="U209" s="8">
        <f>IF(and(ISNUMBER(P209), isnumber(Q209)), 1, 0) + IF(and(ISNUMBER(R209), isnumber(S209)), 1, 0)</f>
      </c>
      <c r="V209" s="13"/>
      <c r="W209" s="13"/>
      <c r="X209" s="16"/>
    </row>
    <row x14ac:dyDescent="0.25" r="210" customHeight="1" ht="15.75">
      <c r="A210" s="8">
        <v>26064</v>
      </c>
      <c r="B210" s="13" t="s">
        <v>184</v>
      </c>
      <c r="C210" s="13" t="s">
        <v>4835</v>
      </c>
      <c r="D210" s="10">
        <v>0.5437</v>
      </c>
      <c r="E210" s="11">
        <v>127.5</v>
      </c>
      <c r="F210" s="10">
        <v>0.4612</v>
      </c>
      <c r="G210" s="11">
        <v>347.46</v>
      </c>
      <c r="H210" s="10">
        <v>0.4366</v>
      </c>
      <c r="I210" s="11">
        <v>337.12</v>
      </c>
      <c r="J210" s="10">
        <v>0.5286</v>
      </c>
      <c r="K210" s="11">
        <v>215.54</v>
      </c>
      <c r="L210" s="10">
        <v>0.3545</v>
      </c>
      <c r="M210" s="11">
        <v>358.45</v>
      </c>
      <c r="N210" s="10">
        <v>0.4328</v>
      </c>
      <c r="O210" s="11">
        <v>341.03</v>
      </c>
      <c r="P210" s="10">
        <v>0.5437</v>
      </c>
      <c r="Q210" s="10">
        <v>0.1924</v>
      </c>
      <c r="R210" s="10">
        <v>0.5286</v>
      </c>
      <c r="S210" s="10">
        <v>0.2</v>
      </c>
      <c r="T210" s="8">
        <f>IF(and(ISNUMBER(D210), isnumber(E210)), 1, 0) + IF(and(ISNUMBER(F210), isnumber(G210)), 1, 0) + IF(and(ISNUMBER(H210), isnumber(I210)), 1, 0) + IF(and(ISNUMBER(J210), isnumber(K210)), 1, 0) + IF(and(ISNUMBER(L210), isnumber(M210)), 1, 0) + IF(and(ISNUMBER(N210), isnumber(O210)), 1, 0)</f>
      </c>
      <c r="U210" s="8">
        <f>IF(and(ISNUMBER(P210), isnumber(Q210)), 1, 0) + IF(and(ISNUMBER(R210), isnumber(S210)), 1, 0)</f>
      </c>
      <c r="V210" s="13"/>
      <c r="W210" s="13"/>
      <c r="X210" s="16"/>
    </row>
    <row x14ac:dyDescent="0.25" r="211" customHeight="1" ht="15.75">
      <c r="A211" s="8">
        <v>26065</v>
      </c>
      <c r="B211" s="13" t="s">
        <v>184</v>
      </c>
      <c r="C211" s="13" t="s">
        <v>4839</v>
      </c>
      <c r="D211" s="10">
        <v>0.7778</v>
      </c>
      <c r="E211" s="11">
        <v>118.1</v>
      </c>
      <c r="F211" s="10">
        <v>0.6852</v>
      </c>
      <c r="G211" s="11">
        <v>270.27</v>
      </c>
      <c r="H211" s="10">
        <v>0.7407</v>
      </c>
      <c r="I211" s="11">
        <v>351</v>
      </c>
      <c r="J211" s="10">
        <v>0.6667</v>
      </c>
      <c r="K211" s="11">
        <v>314.44</v>
      </c>
      <c r="L211" s="10">
        <v>0.7778</v>
      </c>
      <c r="M211" s="11">
        <v>343.81</v>
      </c>
      <c r="N211" s="10">
        <v>0.6852</v>
      </c>
      <c r="O211" s="11">
        <v>377.3</v>
      </c>
      <c r="P211" s="10">
        <v>0.7778</v>
      </c>
      <c r="Q211" s="10">
        <v>0.235</v>
      </c>
      <c r="R211" s="10">
        <v>0.6667</v>
      </c>
      <c r="S211" s="10">
        <v>0.2062</v>
      </c>
      <c r="T211" s="8">
        <f>IF(and(ISNUMBER(D211), isnumber(E211)), 1, 0) + IF(and(ISNUMBER(F211), isnumber(G211)), 1, 0) + IF(and(ISNUMBER(H211), isnumber(I211)), 1, 0) + IF(and(ISNUMBER(J211), isnumber(K211)), 1, 0) + IF(and(ISNUMBER(L211), isnumber(M211)), 1, 0) + IF(and(ISNUMBER(N211), isnumber(O211)), 1, 0)</f>
      </c>
      <c r="U211" s="8">
        <f>IF(and(ISNUMBER(P211), isnumber(Q211)), 1, 0) + IF(and(ISNUMBER(R211), isnumber(S211)), 1, 0)</f>
      </c>
      <c r="V211" s="13"/>
      <c r="W211" s="13"/>
      <c r="X211" s="16"/>
    </row>
    <row x14ac:dyDescent="0.25" r="212" customHeight="1" ht="15.75">
      <c r="A212" s="8">
        <v>26092</v>
      </c>
      <c r="B212" s="13" t="s">
        <v>184</v>
      </c>
      <c r="C212" s="13" t="s">
        <v>4841</v>
      </c>
      <c r="D212" s="10">
        <v>1</v>
      </c>
      <c r="E212" s="11">
        <v>240.63</v>
      </c>
      <c r="F212" s="10">
        <v>1</v>
      </c>
      <c r="G212" s="11">
        <v>249.47</v>
      </c>
      <c r="H212" s="10">
        <v>0.6962</v>
      </c>
      <c r="I212" s="11">
        <v>349.09</v>
      </c>
      <c r="J212" s="10">
        <v>0.8101</v>
      </c>
      <c r="K212" s="11">
        <v>309.15</v>
      </c>
      <c r="L212" s="10">
        <v>0.6456</v>
      </c>
      <c r="M212" s="11">
        <v>388.24</v>
      </c>
      <c r="N212" s="10">
        <v>0.7089</v>
      </c>
      <c r="O212" s="11">
        <v>400.74</v>
      </c>
      <c r="P212" s="10">
        <v>1</v>
      </c>
      <c r="Q212" s="10">
        <v>0.2097</v>
      </c>
      <c r="R212" s="10">
        <v>0.8101</v>
      </c>
      <c r="S212" s="10">
        <v>0.2028</v>
      </c>
      <c r="T212" s="8">
        <f>IF(and(ISNUMBER(D212), isnumber(E212)), 1, 0) + IF(and(ISNUMBER(F212), isnumber(G212)), 1, 0) + IF(and(ISNUMBER(H212), isnumber(I212)), 1, 0) + IF(and(ISNUMBER(J212), isnumber(K212)), 1, 0) + IF(and(ISNUMBER(L212), isnumber(M212)), 1, 0) + IF(and(ISNUMBER(N212), isnumber(O212)), 1, 0)</f>
      </c>
      <c r="U212" s="8">
        <f>IF(and(ISNUMBER(P212), isnumber(Q212)), 1, 0) + IF(and(ISNUMBER(R212), isnumber(S212)), 1, 0)</f>
      </c>
      <c r="V212" s="13"/>
      <c r="W212" s="13"/>
      <c r="X212" s="16"/>
    </row>
    <row x14ac:dyDescent="0.25" r="213" customHeight="1" ht="15.75">
      <c r="A213" s="8">
        <v>26093</v>
      </c>
      <c r="B213" s="13" t="s">
        <v>184</v>
      </c>
      <c r="C213" s="13" t="s">
        <v>4843</v>
      </c>
      <c r="D213" s="10">
        <v>0.9202</v>
      </c>
      <c r="E213" s="11">
        <v>314.67</v>
      </c>
      <c r="F213" s="10">
        <v>0.9571</v>
      </c>
      <c r="G213" s="11">
        <v>388.31</v>
      </c>
      <c r="H213" s="10">
        <v>0.8037</v>
      </c>
      <c r="I213" s="11">
        <v>480.31</v>
      </c>
      <c r="J213" s="10">
        <v>0.9018</v>
      </c>
      <c r="K213" s="11">
        <v>428</v>
      </c>
      <c r="L213" s="10">
        <v>0.7791</v>
      </c>
      <c r="M213" s="11">
        <v>537.95</v>
      </c>
      <c r="N213" s="10">
        <v>0.7607</v>
      </c>
      <c r="O213" s="11">
        <v>519.03</v>
      </c>
      <c r="P213" s="10">
        <v>0.9202</v>
      </c>
      <c r="Q213" s="10">
        <v>0.23</v>
      </c>
      <c r="R213" s="10">
        <v>0.9018</v>
      </c>
      <c r="S213" s="10">
        <v>0.2154</v>
      </c>
      <c r="T213" s="8">
        <f>IF(and(ISNUMBER(D213), isnumber(E213)), 1, 0) + IF(and(ISNUMBER(F213), isnumber(G213)), 1, 0) + IF(and(ISNUMBER(H213), isnumber(I213)), 1, 0) + IF(and(ISNUMBER(J213), isnumber(K213)), 1, 0) + IF(and(ISNUMBER(L213), isnumber(M213)), 1, 0) + IF(and(ISNUMBER(N213), isnumber(O213)), 1, 0)</f>
      </c>
      <c r="U213" s="8">
        <f>IF(and(ISNUMBER(P213), isnumber(Q213)), 1, 0) + IF(and(ISNUMBER(R213), isnumber(S213)), 1, 0)</f>
      </c>
      <c r="V213" s="13"/>
      <c r="W213" s="13"/>
      <c r="X213" s="16"/>
    </row>
    <row x14ac:dyDescent="0.25" r="214" customHeight="1" ht="15.75">
      <c r="A214" s="8">
        <v>26094</v>
      </c>
      <c r="B214" s="13" t="s">
        <v>184</v>
      </c>
      <c r="C214" s="13" t="s">
        <v>4847</v>
      </c>
      <c r="D214" s="10">
        <v>0.6829</v>
      </c>
      <c r="E214" s="11">
        <v>128</v>
      </c>
      <c r="F214" s="10">
        <v>0.5854</v>
      </c>
      <c r="G214" s="11">
        <v>252.5</v>
      </c>
      <c r="H214" s="10">
        <v>0.561</v>
      </c>
      <c r="I214" s="11">
        <v>273.64</v>
      </c>
      <c r="J214" s="10">
        <v>0.6951</v>
      </c>
      <c r="K214" s="11">
        <v>230.55</v>
      </c>
      <c r="L214" s="10">
        <v>0.6463</v>
      </c>
      <c r="M214" s="11">
        <v>313.08</v>
      </c>
      <c r="N214" s="10">
        <v>0.5</v>
      </c>
      <c r="O214" s="11">
        <v>292</v>
      </c>
      <c r="P214" s="10">
        <v>0.6829</v>
      </c>
      <c r="Q214" s="10">
        <v>0.2069</v>
      </c>
      <c r="R214" s="10">
        <v>0.6951</v>
      </c>
      <c r="S214" s="10">
        <v>0.192</v>
      </c>
      <c r="T214" s="8">
        <f>IF(and(ISNUMBER(D214), isnumber(E214)), 1, 0) + IF(and(ISNUMBER(F214), isnumber(G214)), 1, 0) + IF(and(ISNUMBER(H214), isnumber(I214)), 1, 0) + IF(and(ISNUMBER(J214), isnumber(K214)), 1, 0) + IF(and(ISNUMBER(L214), isnumber(M214)), 1, 0) + IF(and(ISNUMBER(N214), isnumber(O214)), 1, 0)</f>
      </c>
      <c r="U214" s="8">
        <f>IF(and(ISNUMBER(P214), isnumber(Q214)), 1, 0) + IF(and(ISNUMBER(R214), isnumber(S214)), 1, 0)</f>
      </c>
      <c r="V214" s="13"/>
      <c r="W214" s="13"/>
      <c r="X214" s="16"/>
    </row>
    <row x14ac:dyDescent="0.25" r="215" customHeight="1" ht="15.75">
      <c r="A215" s="8">
        <v>26066</v>
      </c>
      <c r="B215" s="13" t="s">
        <v>184</v>
      </c>
      <c r="C215" s="13" t="s">
        <v>4851</v>
      </c>
      <c r="D215" s="10">
        <v>1</v>
      </c>
      <c r="E215" s="11">
        <v>384</v>
      </c>
      <c r="F215" s="10">
        <v>1</v>
      </c>
      <c r="G215" s="11">
        <v>408</v>
      </c>
      <c r="H215" s="10">
        <v>1</v>
      </c>
      <c r="I215" s="11">
        <v>544</v>
      </c>
      <c r="J215" s="10">
        <v>1</v>
      </c>
      <c r="K215" s="11">
        <v>436</v>
      </c>
      <c r="L215" s="10">
        <v>1</v>
      </c>
      <c r="M215" s="11">
        <v>496</v>
      </c>
      <c r="N215" s="10">
        <v>1</v>
      </c>
      <c r="O215" s="11">
        <v>488</v>
      </c>
      <c r="P215" s="10">
        <v>1</v>
      </c>
      <c r="Q215" s="10">
        <v>0.2704</v>
      </c>
      <c r="R215" s="10">
        <v>1</v>
      </c>
      <c r="S215" s="10">
        <v>0.2261</v>
      </c>
      <c r="T215" s="8">
        <f>IF(and(ISNUMBER(D215), isnumber(E215)), 1, 0) + IF(and(ISNUMBER(F215), isnumber(G215)), 1, 0) + IF(and(ISNUMBER(H215), isnumber(I215)), 1, 0) + IF(and(ISNUMBER(J215), isnumber(K215)), 1, 0) + IF(and(ISNUMBER(L215), isnumber(M215)), 1, 0) + IF(and(ISNUMBER(N215), isnumber(O215)), 1, 0)</f>
      </c>
      <c r="U215" s="8">
        <f>IF(and(ISNUMBER(P215), isnumber(Q215)), 1, 0) + IF(and(ISNUMBER(R215), isnumber(S215)), 1, 0)</f>
      </c>
      <c r="V215" s="13"/>
      <c r="W215" s="13"/>
      <c r="X215" s="16"/>
    </row>
    <row x14ac:dyDescent="0.25" r="216" customHeight="1" ht="15.75">
      <c r="A216" s="8">
        <v>26095</v>
      </c>
      <c r="B216" s="13" t="s">
        <v>184</v>
      </c>
      <c r="C216" s="13" t="s">
        <v>4853</v>
      </c>
      <c r="D216" s="10">
        <v>0.6933</v>
      </c>
      <c r="E216" s="11">
        <v>210.37</v>
      </c>
      <c r="F216" s="10">
        <v>0.5</v>
      </c>
      <c r="G216" s="11">
        <v>343.45</v>
      </c>
      <c r="H216" s="10">
        <v>0.29</v>
      </c>
      <c r="I216" s="11">
        <v>381.54</v>
      </c>
      <c r="J216" s="10">
        <v>0.3693</v>
      </c>
      <c r="K216" s="11">
        <v>364.49</v>
      </c>
      <c r="L216" s="10">
        <v>0.2491</v>
      </c>
      <c r="M216" s="11">
        <v>370.66</v>
      </c>
      <c r="N216" s="10">
        <v>0.1822</v>
      </c>
      <c r="O216" s="11">
        <v>429.2</v>
      </c>
      <c r="P216" s="10">
        <v>0.6933</v>
      </c>
      <c r="Q216" s="10">
        <v>0.2104</v>
      </c>
      <c r="R216" s="10">
        <v>0.3693</v>
      </c>
      <c r="S216" s="10">
        <v>0.2434</v>
      </c>
      <c r="T216" s="8">
        <f>IF(and(ISNUMBER(D216), isnumber(E216)), 1, 0) + IF(and(ISNUMBER(F216), isnumber(G216)), 1, 0) + IF(and(ISNUMBER(H216), isnumber(I216)), 1, 0) + IF(and(ISNUMBER(J216), isnumber(K216)), 1, 0) + IF(and(ISNUMBER(L216), isnumber(M216)), 1, 0) + IF(and(ISNUMBER(N216), isnumber(O216)), 1, 0)</f>
      </c>
      <c r="U216" s="8">
        <f>IF(and(ISNUMBER(P216), isnumber(Q216)), 1, 0) + IF(and(ISNUMBER(R216), isnumber(S216)), 1, 0)</f>
      </c>
      <c r="V216" s="13"/>
      <c r="W216" s="13"/>
      <c r="X216" s="16"/>
    </row>
    <row x14ac:dyDescent="0.25" r="217" customHeight="1" ht="15.75">
      <c r="A217" s="8">
        <v>26067</v>
      </c>
      <c r="B217" s="13" t="s">
        <v>184</v>
      </c>
      <c r="C217" s="13" t="s">
        <v>4857</v>
      </c>
      <c r="D217" s="10">
        <v>0.5</v>
      </c>
      <c r="E217" s="11">
        <v>184.52</v>
      </c>
      <c r="F217" s="10">
        <v>0.5323</v>
      </c>
      <c r="G217" s="11">
        <v>308.75</v>
      </c>
      <c r="H217" s="10">
        <v>0.7769</v>
      </c>
      <c r="I217" s="11">
        <v>370</v>
      </c>
      <c r="J217" s="10">
        <v>0.8099</v>
      </c>
      <c r="K217" s="11">
        <v>265.05</v>
      </c>
      <c r="L217" s="10">
        <v>0.7273</v>
      </c>
      <c r="M217" s="11">
        <v>329.55</v>
      </c>
      <c r="N217" s="10">
        <v>0.7934</v>
      </c>
      <c r="O217" s="11">
        <v>330.11</v>
      </c>
      <c r="P217" s="10">
        <v>0.5</v>
      </c>
      <c r="Q217" s="10">
        <v>0.1285</v>
      </c>
      <c r="R217" s="10">
        <v>0.8099</v>
      </c>
      <c r="S217" s="10">
        <v>0.2019</v>
      </c>
      <c r="T217" s="8">
        <f>IF(and(ISNUMBER(D217), isnumber(E217)), 1, 0) + IF(and(ISNUMBER(F217), isnumber(G217)), 1, 0) + IF(and(ISNUMBER(H217), isnumber(I217)), 1, 0) + IF(and(ISNUMBER(J217), isnumber(K217)), 1, 0) + IF(and(ISNUMBER(L217), isnumber(M217)), 1, 0) + IF(and(ISNUMBER(N217), isnumber(O217)), 1, 0)</f>
      </c>
      <c r="U217" s="8">
        <f>IF(and(ISNUMBER(P217), isnumber(Q217)), 1, 0) + IF(and(ISNUMBER(R217), isnumber(S217)), 1, 0)</f>
      </c>
      <c r="V217" s="13"/>
      <c r="W217" s="13"/>
      <c r="X217" s="16"/>
    </row>
    <row x14ac:dyDescent="0.25" r="218" customHeight="1" ht="15.75">
      <c r="A218" s="8">
        <v>26068</v>
      </c>
      <c r="B218" s="13" t="s">
        <v>184</v>
      </c>
      <c r="C218" s="13" t="s">
        <v>4860</v>
      </c>
      <c r="D218" s="10">
        <v>0.8761</v>
      </c>
      <c r="E218" s="11">
        <v>126.82</v>
      </c>
      <c r="F218" s="10">
        <v>0.2345</v>
      </c>
      <c r="G218" s="11">
        <v>382.5</v>
      </c>
      <c r="H218" s="10">
        <v>0.4381</v>
      </c>
      <c r="I218" s="11">
        <v>413.62</v>
      </c>
      <c r="J218" s="10">
        <v>0.4956</v>
      </c>
      <c r="K218" s="11">
        <v>331.11</v>
      </c>
      <c r="L218" s="10">
        <v>0.3363</v>
      </c>
      <c r="M218" s="11">
        <v>341.05</v>
      </c>
      <c r="N218" s="10">
        <v>0.3142</v>
      </c>
      <c r="O218" s="11">
        <v>406.57</v>
      </c>
      <c r="P218" s="10">
        <v>0.8761</v>
      </c>
      <c r="Q218" s="10">
        <v>0.1407</v>
      </c>
      <c r="R218" s="10">
        <v>0.4956</v>
      </c>
      <c r="S218" s="10">
        <v>0.2003</v>
      </c>
      <c r="T218" s="8">
        <f>IF(and(ISNUMBER(D218), isnumber(E218)), 1, 0) + IF(and(ISNUMBER(F218), isnumber(G218)), 1, 0) + IF(and(ISNUMBER(H218), isnumber(I218)), 1, 0) + IF(and(ISNUMBER(J218), isnumber(K218)), 1, 0) + IF(and(ISNUMBER(L218), isnumber(M218)), 1, 0) + IF(and(ISNUMBER(N218), isnumber(O218)), 1, 0)</f>
      </c>
      <c r="U218" s="8">
        <f>IF(and(ISNUMBER(P218), isnumber(Q218)), 1, 0) + IF(and(ISNUMBER(R218), isnumber(S218)), 1, 0)</f>
      </c>
      <c r="V218" s="13"/>
      <c r="W218" s="13"/>
      <c r="X218" s="16"/>
    </row>
    <row x14ac:dyDescent="0.25" r="219" customHeight="1" ht="15.75">
      <c r="A219" s="8">
        <v>26069</v>
      </c>
      <c r="B219" s="13" t="s">
        <v>184</v>
      </c>
      <c r="C219" s="13" t="s">
        <v>4864</v>
      </c>
      <c r="D219" s="10">
        <v>0.6856</v>
      </c>
      <c r="E219" s="11">
        <v>151.33</v>
      </c>
      <c r="F219" s="10">
        <v>0.5853</v>
      </c>
      <c r="G219" s="11">
        <v>290.34</v>
      </c>
      <c r="H219" s="10">
        <v>0.6154</v>
      </c>
      <c r="I219" s="11">
        <v>412.46</v>
      </c>
      <c r="J219" s="10">
        <v>0.5719</v>
      </c>
      <c r="K219" s="11">
        <v>218.1</v>
      </c>
      <c r="L219" s="10">
        <v>0.5753</v>
      </c>
      <c r="M219" s="11">
        <v>315.27</v>
      </c>
      <c r="N219" s="10">
        <v>0.5117</v>
      </c>
      <c r="O219" s="11">
        <v>384.9</v>
      </c>
      <c r="P219" s="10">
        <v>0.6856</v>
      </c>
      <c r="Q219" s="10">
        <v>0.2227</v>
      </c>
      <c r="R219" s="10">
        <v>0.5719</v>
      </c>
      <c r="S219" s="10">
        <v>0.214</v>
      </c>
      <c r="T219" s="8">
        <f>IF(and(ISNUMBER(D219), isnumber(E219)), 1, 0) + IF(and(ISNUMBER(F219), isnumber(G219)), 1, 0) + IF(and(ISNUMBER(H219), isnumber(I219)), 1, 0) + IF(and(ISNUMBER(J219), isnumber(K219)), 1, 0) + IF(and(ISNUMBER(L219), isnumber(M219)), 1, 0) + IF(and(ISNUMBER(N219), isnumber(O219)), 1, 0)</f>
      </c>
      <c r="U219" s="8">
        <f>IF(and(ISNUMBER(P219), isnumber(Q219)), 1, 0) + IF(and(ISNUMBER(R219), isnumber(S219)), 1, 0)</f>
      </c>
      <c r="V219" s="13"/>
      <c r="W219" s="13"/>
      <c r="X219" s="16"/>
    </row>
    <row x14ac:dyDescent="0.25" r="220" customHeight="1" ht="15.75">
      <c r="A220" s="8">
        <v>26096</v>
      </c>
      <c r="B220" s="13" t="s">
        <v>184</v>
      </c>
      <c r="C220" s="13" t="s">
        <v>4867</v>
      </c>
      <c r="D220" s="10">
        <v>0.971</v>
      </c>
      <c r="E220" s="11">
        <v>224.1</v>
      </c>
      <c r="F220" s="10">
        <v>0.9813</v>
      </c>
      <c r="G220" s="11">
        <v>289.85</v>
      </c>
      <c r="H220" s="10">
        <v>0.9177</v>
      </c>
      <c r="I220" s="11">
        <v>361</v>
      </c>
      <c r="J220" s="10">
        <v>0.8557</v>
      </c>
      <c r="K220" s="11">
        <v>345.24</v>
      </c>
      <c r="L220" s="10">
        <v>0.7313</v>
      </c>
      <c r="M220" s="11">
        <v>419.15</v>
      </c>
      <c r="N220" s="10">
        <v>0.6673</v>
      </c>
      <c r="O220" s="11">
        <v>442.79</v>
      </c>
      <c r="P220" s="10">
        <v>0.971</v>
      </c>
      <c r="Q220" s="10">
        <v>0.1803</v>
      </c>
      <c r="R220" s="10">
        <v>0.8557</v>
      </c>
      <c r="S220" s="10">
        <v>0.2048</v>
      </c>
      <c r="T220" s="8">
        <f>IF(and(ISNUMBER(D220), isnumber(E220)), 1, 0) + IF(and(ISNUMBER(F220), isnumber(G220)), 1, 0) + IF(and(ISNUMBER(H220), isnumber(I220)), 1, 0) + IF(and(ISNUMBER(J220), isnumber(K220)), 1, 0) + IF(and(ISNUMBER(L220), isnumber(M220)), 1, 0) + IF(and(ISNUMBER(N220), isnumber(O220)), 1, 0)</f>
      </c>
      <c r="U220" s="8">
        <f>IF(and(ISNUMBER(P220), isnumber(Q220)), 1, 0) + IF(and(ISNUMBER(R220), isnumber(S220)), 1, 0)</f>
      </c>
      <c r="V220" s="13"/>
      <c r="W220" s="13"/>
      <c r="X220" s="16"/>
    </row>
    <row x14ac:dyDescent="0.25" r="221" customHeight="1" ht="15.75">
      <c r="A221" s="8">
        <v>26070</v>
      </c>
      <c r="B221" s="13" t="s">
        <v>184</v>
      </c>
      <c r="C221" s="13" t="s">
        <v>4871</v>
      </c>
      <c r="D221" s="10">
        <v>0.6853</v>
      </c>
      <c r="E221" s="11">
        <v>165.07</v>
      </c>
      <c r="F221" s="10">
        <v>0.5228</v>
      </c>
      <c r="G221" s="11">
        <v>368.57</v>
      </c>
      <c r="H221" s="10">
        <v>0.4822</v>
      </c>
      <c r="I221" s="11">
        <v>376.74</v>
      </c>
      <c r="J221" s="10">
        <v>0.6244</v>
      </c>
      <c r="K221" s="11">
        <v>222.06</v>
      </c>
      <c r="L221" s="10">
        <v>0.5076</v>
      </c>
      <c r="M221" s="11">
        <v>384.17</v>
      </c>
      <c r="N221" s="10">
        <v>0.4975</v>
      </c>
      <c r="O221" s="11">
        <v>373.19</v>
      </c>
      <c r="P221" s="10">
        <v>0.6853</v>
      </c>
      <c r="Q221" s="10">
        <v>0.228</v>
      </c>
      <c r="R221" s="10">
        <v>0.6244</v>
      </c>
      <c r="S221" s="10">
        <v>0.1966</v>
      </c>
      <c r="T221" s="8">
        <f>IF(and(ISNUMBER(D221), isnumber(E221)), 1, 0) + IF(and(ISNUMBER(F221), isnumber(G221)), 1, 0) + IF(and(ISNUMBER(H221), isnumber(I221)), 1, 0) + IF(and(ISNUMBER(J221), isnumber(K221)), 1, 0) + IF(and(ISNUMBER(L221), isnumber(M221)), 1, 0) + IF(and(ISNUMBER(N221), isnumber(O221)), 1, 0)</f>
      </c>
      <c r="U221" s="8">
        <f>IF(and(ISNUMBER(P221), isnumber(Q221)), 1, 0) + IF(and(ISNUMBER(R221), isnumber(S221)), 1, 0)</f>
      </c>
      <c r="V221" s="13"/>
      <c r="W221" s="13"/>
      <c r="X221" s="16"/>
    </row>
    <row x14ac:dyDescent="0.25" r="222" customHeight="1" ht="15.75">
      <c r="A222" s="8">
        <v>26071</v>
      </c>
      <c r="B222" s="13" t="s">
        <v>184</v>
      </c>
      <c r="C222" s="13" t="s">
        <v>4875</v>
      </c>
      <c r="D222" s="10">
        <v>0.8565</v>
      </c>
      <c r="E222" s="11">
        <v>330.46</v>
      </c>
      <c r="F222" s="10">
        <v>0.6746</v>
      </c>
      <c r="G222" s="11">
        <v>430.86</v>
      </c>
      <c r="H222" s="10">
        <v>0.7177</v>
      </c>
      <c r="I222" s="11">
        <v>457.99</v>
      </c>
      <c r="J222" s="10">
        <v>0.6938</v>
      </c>
      <c r="K222" s="11">
        <v>408.82</v>
      </c>
      <c r="L222" s="10">
        <v>0.7129</v>
      </c>
      <c r="M222" s="11">
        <v>441.89</v>
      </c>
      <c r="N222" s="10">
        <v>0.6364</v>
      </c>
      <c r="O222" s="11">
        <v>460</v>
      </c>
      <c r="P222" s="10">
        <v>0.8565</v>
      </c>
      <c r="Q222" s="10">
        <v>0.2483</v>
      </c>
      <c r="R222" s="10">
        <v>0.6938</v>
      </c>
      <c r="S222" s="10">
        <v>0.2097</v>
      </c>
      <c r="T222" s="8">
        <f>IF(and(ISNUMBER(D222), isnumber(E222)), 1, 0) + IF(and(ISNUMBER(F222), isnumber(G222)), 1, 0) + IF(and(ISNUMBER(H222), isnumber(I222)), 1, 0) + IF(and(ISNUMBER(J222), isnumber(K222)), 1, 0) + IF(and(ISNUMBER(L222), isnumber(M222)), 1, 0) + IF(and(ISNUMBER(N222), isnumber(O222)), 1, 0)</f>
      </c>
      <c r="U222" s="8">
        <f>IF(and(ISNUMBER(P222), isnumber(Q222)), 1, 0) + IF(and(ISNUMBER(R222), isnumber(S222)), 1, 0)</f>
      </c>
      <c r="V222" s="13"/>
      <c r="W222" s="13"/>
      <c r="X222" s="16"/>
    </row>
    <row x14ac:dyDescent="0.25" r="223" customHeight="1" ht="15.75">
      <c r="A223" s="8">
        <v>26072</v>
      </c>
      <c r="B223" s="13" t="s">
        <v>184</v>
      </c>
      <c r="C223" s="13" t="s">
        <v>4879</v>
      </c>
      <c r="D223" s="10">
        <v>0.4581</v>
      </c>
      <c r="E223" s="11">
        <v>156.1</v>
      </c>
      <c r="F223" s="10">
        <v>0.6816</v>
      </c>
      <c r="G223" s="11">
        <v>420.17</v>
      </c>
      <c r="H223" s="10">
        <v>0.7486</v>
      </c>
      <c r="I223" s="11">
        <v>433.94</v>
      </c>
      <c r="J223" s="10">
        <v>0.7318</v>
      </c>
      <c r="K223" s="11">
        <v>342.64</v>
      </c>
      <c r="L223" s="10">
        <v>0.6425</v>
      </c>
      <c r="M223" s="11">
        <v>387.02</v>
      </c>
      <c r="N223" s="10">
        <v>0.7374</v>
      </c>
      <c r="O223" s="11">
        <v>393.59</v>
      </c>
      <c r="P223" s="10">
        <v>0.4581</v>
      </c>
      <c r="Q223" s="10">
        <v>0.2225</v>
      </c>
      <c r="R223" s="10">
        <v>0.7318</v>
      </c>
      <c r="S223" s="10">
        <v>0.2032</v>
      </c>
      <c r="T223" s="8">
        <f>IF(and(ISNUMBER(D223), isnumber(E223)), 1, 0) + IF(and(ISNUMBER(F223), isnumber(G223)), 1, 0) + IF(and(ISNUMBER(H223), isnumber(I223)), 1, 0) + IF(and(ISNUMBER(J223), isnumber(K223)), 1, 0) + IF(and(ISNUMBER(L223), isnumber(M223)), 1, 0) + IF(and(ISNUMBER(N223), isnumber(O223)), 1, 0)</f>
      </c>
      <c r="U223" s="8">
        <f>IF(and(ISNUMBER(P223), isnumber(Q223)), 1, 0) + IF(and(ISNUMBER(R223), isnumber(S223)), 1, 0)</f>
      </c>
      <c r="V223" s="13"/>
      <c r="W223" s="13"/>
      <c r="X223" s="16"/>
    </row>
    <row x14ac:dyDescent="0.25" r="224" customHeight="1" ht="15.75">
      <c r="A224" s="8">
        <v>26073</v>
      </c>
      <c r="B224" s="13" t="s">
        <v>184</v>
      </c>
      <c r="C224" s="13" t="s">
        <v>4883</v>
      </c>
      <c r="D224" s="10">
        <v>0.6538</v>
      </c>
      <c r="E224" s="11">
        <v>296.47</v>
      </c>
      <c r="F224" s="10">
        <v>0.7308</v>
      </c>
      <c r="G224" s="11">
        <v>305.26</v>
      </c>
      <c r="H224" s="10">
        <v>0.6154</v>
      </c>
      <c r="I224" s="11">
        <v>349.33</v>
      </c>
      <c r="J224" s="10">
        <v>0.6538</v>
      </c>
      <c r="K224" s="11">
        <v>244.71</v>
      </c>
      <c r="L224" s="10">
        <v>0.5769</v>
      </c>
      <c r="M224" s="11">
        <v>325.33</v>
      </c>
      <c r="N224" s="10">
        <v>0.5769</v>
      </c>
      <c r="O224" s="11">
        <v>370.67</v>
      </c>
      <c r="P224" s="10">
        <v>0.6538</v>
      </c>
      <c r="Q224" s="10">
        <v>0.2354</v>
      </c>
      <c r="R224" s="10">
        <v>0.6538</v>
      </c>
      <c r="S224" s="10">
        <v>0.1892</v>
      </c>
      <c r="T224" s="8">
        <f>IF(and(ISNUMBER(D224), isnumber(E224)), 1, 0) + IF(and(ISNUMBER(F224), isnumber(G224)), 1, 0) + IF(and(ISNUMBER(H224), isnumber(I224)), 1, 0) + IF(and(ISNUMBER(J224), isnumber(K224)), 1, 0) + IF(and(ISNUMBER(L224), isnumber(M224)), 1, 0) + IF(and(ISNUMBER(N224), isnumber(O224)), 1, 0)</f>
      </c>
      <c r="U224" s="8">
        <f>IF(and(ISNUMBER(P224), isnumber(Q224)), 1, 0) + IF(and(ISNUMBER(R224), isnumber(S224)), 1, 0)</f>
      </c>
      <c r="V224" s="13"/>
      <c r="W224" s="13"/>
      <c r="X224" s="16"/>
    </row>
    <row x14ac:dyDescent="0.25" r="225" customHeight="1" ht="15.75">
      <c r="A225" s="8">
        <v>26074</v>
      </c>
      <c r="B225" s="13" t="s">
        <v>184</v>
      </c>
      <c r="C225" s="13" t="s">
        <v>4886</v>
      </c>
      <c r="D225" s="10">
        <v>0.6857</v>
      </c>
      <c r="E225" s="11">
        <v>100.14</v>
      </c>
      <c r="F225" s="10">
        <v>0.5</v>
      </c>
      <c r="G225" s="11">
        <v>318.41</v>
      </c>
      <c r="H225" s="10">
        <v>0.4825</v>
      </c>
      <c r="I225" s="11">
        <v>342.74</v>
      </c>
      <c r="J225" s="10">
        <v>0.1324</v>
      </c>
      <c r="K225" s="11" t="s">
        <v>7127</v>
      </c>
      <c r="L225" s="10">
        <v>0.3268</v>
      </c>
      <c r="M225" s="11" t="s">
        <v>7127</v>
      </c>
      <c r="N225" s="10">
        <v>0.463</v>
      </c>
      <c r="O225" s="11">
        <v>333.46</v>
      </c>
      <c r="P225" s="10">
        <v>0.6857</v>
      </c>
      <c r="Q225" s="10">
        <v>0.202</v>
      </c>
      <c r="R225" s="10">
        <v>0.1324</v>
      </c>
      <c r="S225" s="10">
        <v>0.1981</v>
      </c>
      <c r="T225" s="8">
        <f>IF(and(ISNUMBER(D225), isnumber(E225)), 1, 0) + IF(and(ISNUMBER(F225), isnumber(G225)), 1, 0) + IF(and(ISNUMBER(H225), isnumber(I225)), 1, 0) + IF(and(ISNUMBER(J225), isnumber(K225)), 1, 0) + IF(and(ISNUMBER(L225), isnumber(M225)), 1, 0) + IF(and(ISNUMBER(N225), isnumber(O225)), 1, 0)</f>
      </c>
      <c r="U225" s="8">
        <f>IF(and(ISNUMBER(P225), isnumber(Q225)), 1, 0) + IF(and(ISNUMBER(R225), isnumber(S225)), 1, 0)</f>
      </c>
      <c r="V225" s="13"/>
      <c r="W225" s="13"/>
      <c r="X225" s="16"/>
    </row>
    <row x14ac:dyDescent="0.25" r="226" customHeight="1" ht="15.75">
      <c r="A226" s="8">
        <v>26075</v>
      </c>
      <c r="B226" s="13" t="s">
        <v>184</v>
      </c>
      <c r="C226" s="13" t="s">
        <v>4888</v>
      </c>
      <c r="D226" s="10">
        <v>0.6545</v>
      </c>
      <c r="E226" s="11" t="s">
        <v>7127</v>
      </c>
      <c r="F226" s="10">
        <v>0.6727</v>
      </c>
      <c r="G226" s="11">
        <v>341.34</v>
      </c>
      <c r="H226" s="10">
        <v>0.4</v>
      </c>
      <c r="I226" s="11">
        <v>438.57</v>
      </c>
      <c r="J226" s="10">
        <v>0.7442</v>
      </c>
      <c r="K226" s="11">
        <v>358.67</v>
      </c>
      <c r="L226" s="10">
        <v>0.4714</v>
      </c>
      <c r="M226" s="11" t="s">
        <v>7127</v>
      </c>
      <c r="N226" s="10">
        <v>0.5</v>
      </c>
      <c r="O226" s="11">
        <v>469.79</v>
      </c>
      <c r="P226" s="10">
        <v>0.6545</v>
      </c>
      <c r="Q226" s="10">
        <v>0.2148</v>
      </c>
      <c r="R226" s="10">
        <v>0.7442</v>
      </c>
      <c r="S226" s="10">
        <v>0.2065</v>
      </c>
      <c r="T226" s="8">
        <f>IF(and(ISNUMBER(D226), isnumber(E226)), 1, 0) + IF(and(ISNUMBER(F226), isnumber(G226)), 1, 0) + IF(and(ISNUMBER(H226), isnumber(I226)), 1, 0) + IF(and(ISNUMBER(J226), isnumber(K226)), 1, 0) + IF(and(ISNUMBER(L226), isnumber(M226)), 1, 0) + IF(and(ISNUMBER(N226), isnumber(O226)), 1, 0)</f>
      </c>
      <c r="U226" s="8">
        <f>IF(and(ISNUMBER(P226), isnumber(Q226)), 1, 0) + IF(and(ISNUMBER(R226), isnumber(S226)), 1, 0)</f>
      </c>
      <c r="V226" s="13"/>
      <c r="W226" s="13"/>
      <c r="X226" s="16"/>
    </row>
    <row x14ac:dyDescent="0.25" r="227" customHeight="1" ht="15.75">
      <c r="A227" s="8">
        <v>26076</v>
      </c>
      <c r="B227" s="13" t="s">
        <v>184</v>
      </c>
      <c r="C227" s="13" t="s">
        <v>4893</v>
      </c>
      <c r="D227" s="10">
        <v>0.9318</v>
      </c>
      <c r="E227" s="11">
        <v>192.23</v>
      </c>
      <c r="F227" s="10">
        <v>0.9513</v>
      </c>
      <c r="G227" s="11">
        <v>213.84</v>
      </c>
      <c r="H227" s="10">
        <v>0.9448</v>
      </c>
      <c r="I227" s="11">
        <v>249.52</v>
      </c>
      <c r="J227" s="10">
        <v>0.9903</v>
      </c>
      <c r="K227" s="11">
        <v>180.07</v>
      </c>
      <c r="L227" s="10">
        <v>0.9968</v>
      </c>
      <c r="M227" s="11">
        <v>196.73</v>
      </c>
      <c r="N227" s="10">
        <v>0.9968</v>
      </c>
      <c r="O227" s="11">
        <v>206.95</v>
      </c>
      <c r="P227" s="10">
        <v>0.9318</v>
      </c>
      <c r="Q227" s="10">
        <v>0.1829</v>
      </c>
      <c r="R227" s="10">
        <v>0.9903</v>
      </c>
      <c r="S227" s="10">
        <v>0.1174</v>
      </c>
      <c r="T227" s="8">
        <f>IF(and(ISNUMBER(D227), isnumber(E227)), 1, 0) + IF(and(ISNUMBER(F227), isnumber(G227)), 1, 0) + IF(and(ISNUMBER(H227), isnumber(I227)), 1, 0) + IF(and(ISNUMBER(J227), isnumber(K227)), 1, 0) + IF(and(ISNUMBER(L227), isnumber(M227)), 1, 0) + IF(and(ISNUMBER(N227), isnumber(O227)), 1, 0)</f>
      </c>
      <c r="U227" s="8">
        <f>IF(and(ISNUMBER(P227), isnumber(Q227)), 1, 0) + IF(and(ISNUMBER(R227), isnumber(S227)), 1, 0)</f>
      </c>
      <c r="V227" s="13"/>
      <c r="W227" s="13"/>
      <c r="X227" s="16"/>
    </row>
    <row x14ac:dyDescent="0.25" r="228" customHeight="1" ht="15.75">
      <c r="A228" s="8">
        <v>26077</v>
      </c>
      <c r="B228" s="13" t="s">
        <v>184</v>
      </c>
      <c r="C228" s="13" t="s">
        <v>4897</v>
      </c>
      <c r="D228" s="10">
        <v>0.7651</v>
      </c>
      <c r="E228" s="11">
        <v>236.02</v>
      </c>
      <c r="F228" s="10">
        <v>0.6406</v>
      </c>
      <c r="G228" s="11">
        <v>334.86</v>
      </c>
      <c r="H228" s="10">
        <v>0.5278</v>
      </c>
      <c r="I228" s="11">
        <v>373.54</v>
      </c>
      <c r="J228" s="10">
        <v>0.6261</v>
      </c>
      <c r="K228" s="11">
        <v>258.43</v>
      </c>
      <c r="L228" s="10">
        <v>0.3763</v>
      </c>
      <c r="M228" s="11">
        <v>344.46</v>
      </c>
      <c r="N228" s="10">
        <v>0.5126</v>
      </c>
      <c r="O228" s="11">
        <v>380.47</v>
      </c>
      <c r="P228" s="10">
        <v>0.7651</v>
      </c>
      <c r="Q228" s="10">
        <v>0.199</v>
      </c>
      <c r="R228" s="10">
        <v>0.6261</v>
      </c>
      <c r="S228" s="10">
        <v>0.1874</v>
      </c>
      <c r="T228" s="8">
        <f>IF(and(ISNUMBER(D228), isnumber(E228)), 1, 0) + IF(and(ISNUMBER(F228), isnumber(G228)), 1, 0) + IF(and(ISNUMBER(H228), isnumber(I228)), 1, 0) + IF(and(ISNUMBER(J228), isnumber(K228)), 1, 0) + IF(and(ISNUMBER(L228), isnumber(M228)), 1, 0) + IF(and(ISNUMBER(N228), isnumber(O228)), 1, 0)</f>
      </c>
      <c r="U228" s="8">
        <f>IF(and(ISNUMBER(P228), isnumber(Q228)), 1, 0) + IF(and(ISNUMBER(R228), isnumber(S228)), 1, 0)</f>
      </c>
      <c r="V228" s="13"/>
      <c r="W228" s="13"/>
      <c r="X228" s="16"/>
    </row>
    <row x14ac:dyDescent="0.25" r="229" customHeight="1" ht="15.75">
      <c r="A229" s="8">
        <v>26078</v>
      </c>
      <c r="B229" s="13" t="s">
        <v>184</v>
      </c>
      <c r="C229" s="13" t="s">
        <v>4902</v>
      </c>
      <c r="D229" s="10">
        <v>1</v>
      </c>
      <c r="E229" s="11">
        <v>74.15</v>
      </c>
      <c r="F229" s="10">
        <v>0.9756</v>
      </c>
      <c r="G229" s="11">
        <v>230.27</v>
      </c>
      <c r="H229" s="10">
        <v>0.6585</v>
      </c>
      <c r="I229" s="11">
        <v>372.8</v>
      </c>
      <c r="J229" s="10">
        <v>0.878</v>
      </c>
      <c r="K229" s="11">
        <v>132.22</v>
      </c>
      <c r="L229" s="10">
        <v>0.6585</v>
      </c>
      <c r="M229" s="11">
        <v>393.85</v>
      </c>
      <c r="N229" s="10">
        <v>0.6098</v>
      </c>
      <c r="O229" s="11">
        <v>424</v>
      </c>
      <c r="P229" s="10">
        <v>1</v>
      </c>
      <c r="Q229" s="10">
        <v>0.1519</v>
      </c>
      <c r="R229" s="10">
        <v>0.878</v>
      </c>
      <c r="S229" s="10">
        <v>0.1882</v>
      </c>
      <c r="T229" s="8">
        <f>IF(and(ISNUMBER(D229), isnumber(E229)), 1, 0) + IF(and(ISNUMBER(F229), isnumber(G229)), 1, 0) + IF(and(ISNUMBER(H229), isnumber(I229)), 1, 0) + IF(and(ISNUMBER(J229), isnumber(K229)), 1, 0) + IF(and(ISNUMBER(L229), isnumber(M229)), 1, 0) + IF(and(ISNUMBER(N229), isnumber(O229)), 1, 0)</f>
      </c>
      <c r="U229" s="8">
        <f>IF(and(ISNUMBER(P229), isnumber(Q229)), 1, 0) + IF(and(ISNUMBER(R229), isnumber(S229)), 1, 0)</f>
      </c>
      <c r="V229" s="13"/>
      <c r="W229" s="13"/>
      <c r="X229" s="16"/>
    </row>
    <row x14ac:dyDescent="0.25" r="230" customHeight="1" ht="15.75">
      <c r="A230" s="8">
        <v>26097</v>
      </c>
      <c r="B230" s="13" t="s">
        <v>184</v>
      </c>
      <c r="C230" s="13" t="s">
        <v>4905</v>
      </c>
      <c r="D230" s="10">
        <v>0.8547</v>
      </c>
      <c r="E230" s="11">
        <v>187.22</v>
      </c>
      <c r="F230" s="10">
        <v>0.9721</v>
      </c>
      <c r="G230" s="11">
        <v>244.52</v>
      </c>
      <c r="H230" s="10">
        <v>0.648</v>
      </c>
      <c r="I230" s="11">
        <v>359.3</v>
      </c>
      <c r="J230" s="10">
        <v>0.6927</v>
      </c>
      <c r="K230" s="11">
        <v>180.65</v>
      </c>
      <c r="L230" s="10">
        <v>0.6034</v>
      </c>
      <c r="M230" s="11">
        <v>389.81</v>
      </c>
      <c r="N230" s="10">
        <v>0.5419</v>
      </c>
      <c r="O230" s="11">
        <v>411.06</v>
      </c>
      <c r="P230" s="10">
        <v>0.8547</v>
      </c>
      <c r="Q230" s="10">
        <v>0.1713</v>
      </c>
      <c r="R230" s="10">
        <v>0.6927</v>
      </c>
      <c r="S230" s="10">
        <v>0.1965</v>
      </c>
      <c r="T230" s="8">
        <f>IF(and(ISNUMBER(D230), isnumber(E230)), 1, 0) + IF(and(ISNUMBER(F230), isnumber(G230)), 1, 0) + IF(and(ISNUMBER(H230), isnumber(I230)), 1, 0) + IF(and(ISNUMBER(J230), isnumber(K230)), 1, 0) + IF(and(ISNUMBER(L230), isnumber(M230)), 1, 0) + IF(and(ISNUMBER(N230), isnumber(O230)), 1, 0)</f>
      </c>
      <c r="U230" s="8">
        <f>IF(and(ISNUMBER(P230), isnumber(Q230)), 1, 0) + IF(and(ISNUMBER(R230), isnumber(S230)), 1, 0)</f>
      </c>
      <c r="V230" s="13"/>
      <c r="W230" s="13"/>
      <c r="X230" s="16"/>
    </row>
    <row x14ac:dyDescent="0.25" r="231" customHeight="1" ht="15.75">
      <c r="A231" s="8">
        <v>26004</v>
      </c>
      <c r="B231" s="13" t="s">
        <v>184</v>
      </c>
      <c r="C231" s="13" t="s">
        <v>4909</v>
      </c>
      <c r="D231" s="10">
        <v>0.9695</v>
      </c>
      <c r="E231" s="11">
        <v>129.75</v>
      </c>
      <c r="F231" s="10">
        <v>0.967</v>
      </c>
      <c r="G231" s="11">
        <v>142.32</v>
      </c>
      <c r="H231" s="10">
        <v>0.8736</v>
      </c>
      <c r="I231" s="11">
        <v>191.48</v>
      </c>
      <c r="J231" s="10">
        <v>0.8988</v>
      </c>
      <c r="K231" s="11" t="s">
        <v>7127</v>
      </c>
      <c r="L231" s="10">
        <v>0.9287</v>
      </c>
      <c r="M231" s="11">
        <v>146.49</v>
      </c>
      <c r="N231" s="10">
        <v>0.9149</v>
      </c>
      <c r="O231" s="11">
        <v>105.56</v>
      </c>
      <c r="P231" s="10">
        <v>0.9695</v>
      </c>
      <c r="Q231" s="10">
        <v>0.1343</v>
      </c>
      <c r="R231" s="10">
        <v>0.8988</v>
      </c>
      <c r="S231" s="10">
        <v>0.0635</v>
      </c>
      <c r="T231" s="8">
        <f>IF(and(ISNUMBER(D231), isnumber(E231)), 1, 0) + IF(and(ISNUMBER(F231), isnumber(G231)), 1, 0) + IF(and(ISNUMBER(H231), isnumber(I231)), 1, 0) + IF(and(ISNUMBER(J231), isnumber(K231)), 1, 0) + IF(and(ISNUMBER(L231), isnumber(M231)), 1, 0) + IF(and(ISNUMBER(N231), isnumber(O231)), 1, 0)</f>
      </c>
      <c r="U231" s="8">
        <f>IF(and(ISNUMBER(P231), isnumber(Q231)), 1, 0) + IF(and(ISNUMBER(R231), isnumber(S231)), 1, 0)</f>
      </c>
      <c r="V231" s="13"/>
      <c r="W231" s="13"/>
      <c r="X231" s="16"/>
    </row>
    <row x14ac:dyDescent="0.25" r="232" customHeight="1" ht="15.75">
      <c r="A232" s="8">
        <v>26085</v>
      </c>
      <c r="B232" s="13" t="s">
        <v>184</v>
      </c>
      <c r="C232" s="13" t="s">
        <v>4911</v>
      </c>
      <c r="D232" s="10">
        <v>0.7862</v>
      </c>
      <c r="E232" s="11">
        <v>335.72</v>
      </c>
      <c r="F232" s="10">
        <v>0.0101</v>
      </c>
      <c r="G232" s="11" t="s">
        <v>7127</v>
      </c>
      <c r="H232" s="10">
        <v>0.6849</v>
      </c>
      <c r="I232" s="11">
        <v>484.29</v>
      </c>
      <c r="J232" s="10">
        <v>0.6277</v>
      </c>
      <c r="K232" s="11" t="s">
        <v>7127</v>
      </c>
      <c r="L232" s="10">
        <v>0.6053</v>
      </c>
      <c r="M232" s="11">
        <v>407.79</v>
      </c>
      <c r="N232" s="10">
        <v>0.6615</v>
      </c>
      <c r="O232" s="11">
        <v>403.3</v>
      </c>
      <c r="P232" s="10">
        <v>0.7862</v>
      </c>
      <c r="Q232" s="10">
        <v>0.2628</v>
      </c>
      <c r="R232" s="10">
        <v>0.6277</v>
      </c>
      <c r="S232" s="10">
        <v>0.1945</v>
      </c>
      <c r="T232" s="8">
        <f>IF(and(ISNUMBER(D232), isnumber(E232)), 1, 0) + IF(and(ISNUMBER(F232), isnumber(G232)), 1, 0) + IF(and(ISNUMBER(H232), isnumber(I232)), 1, 0) + IF(and(ISNUMBER(J232), isnumber(K232)), 1, 0) + IF(and(ISNUMBER(L232), isnumber(M232)), 1, 0) + IF(and(ISNUMBER(N232), isnumber(O232)), 1, 0)</f>
      </c>
      <c r="U232" s="8">
        <f>IF(and(ISNUMBER(P232), isnumber(Q232)), 1, 0) + IF(and(ISNUMBER(R232), isnumber(S232)), 1, 0)</f>
      </c>
      <c r="V232" s="13"/>
      <c r="W232" s="13"/>
      <c r="X232" s="16"/>
    </row>
    <row x14ac:dyDescent="0.25" r="233" customHeight="1" ht="15.75">
      <c r="A233" s="8">
        <v>25667</v>
      </c>
      <c r="B233" s="13" t="s">
        <v>66</v>
      </c>
      <c r="C233" s="13" t="s">
        <v>8806</v>
      </c>
      <c r="D233" s="10">
        <v>0.9101</v>
      </c>
      <c r="E233" s="11">
        <v>244.94</v>
      </c>
      <c r="F233" s="10">
        <v>0.764</v>
      </c>
      <c r="G233" s="11">
        <v>357.06</v>
      </c>
      <c r="H233" s="10">
        <v>0.764</v>
      </c>
      <c r="I233" s="11">
        <v>356.97</v>
      </c>
      <c r="J233" s="10">
        <v>0.7303</v>
      </c>
      <c r="K233" s="11">
        <v>298.13</v>
      </c>
      <c r="L233" s="10">
        <v>0.7865</v>
      </c>
      <c r="M233" s="11">
        <v>369.14</v>
      </c>
      <c r="N233" s="10">
        <v>0.809</v>
      </c>
      <c r="O233" s="11">
        <v>396.06</v>
      </c>
      <c r="P233" s="10">
        <v>0.9101</v>
      </c>
      <c r="Q233" s="10">
        <v>0.2026</v>
      </c>
      <c r="R233" s="10">
        <v>0.7303</v>
      </c>
      <c r="S233" s="10" t="s">
        <v>7127</v>
      </c>
      <c r="T233" s="8">
        <f>IF(and(ISNUMBER(D233), isnumber(E233)), 1, 0) + IF(and(ISNUMBER(F233), isnumber(G233)), 1, 0) + IF(and(ISNUMBER(H233), isnumber(I233)), 1, 0) + IF(and(ISNUMBER(J233), isnumber(K233)), 1, 0) + IF(and(ISNUMBER(L233), isnumber(M233)), 1, 0) + IF(and(ISNUMBER(N233), isnumber(O233)), 1, 0)</f>
      </c>
      <c r="U233" s="8">
        <f>IF(and(ISNUMBER(P233), isnumber(Q233)), 1, 0) + IF(and(ISNUMBER(R233), isnumber(S233)), 1, 0)</f>
      </c>
      <c r="V233" s="13"/>
      <c r="W233" s="13"/>
      <c r="X233" s="16"/>
    </row>
    <row x14ac:dyDescent="0.25" r="234" customHeight="1" ht="15.75">
      <c r="A234" s="8">
        <v>25668</v>
      </c>
      <c r="B234" s="13" t="s">
        <v>66</v>
      </c>
      <c r="C234" s="13" t="s">
        <v>8817</v>
      </c>
      <c r="D234" s="10">
        <v>0.9638</v>
      </c>
      <c r="E234" s="11">
        <v>163.02</v>
      </c>
      <c r="F234" s="10">
        <v>0.6703</v>
      </c>
      <c r="G234" s="11">
        <v>364.64</v>
      </c>
      <c r="H234" s="10">
        <v>0.7464</v>
      </c>
      <c r="I234" s="11">
        <v>380.39</v>
      </c>
      <c r="J234" s="10">
        <v>0.7862</v>
      </c>
      <c r="K234" s="11">
        <v>319.8</v>
      </c>
      <c r="L234" s="10">
        <v>0.7681</v>
      </c>
      <c r="M234" s="11">
        <v>348.82</v>
      </c>
      <c r="N234" s="10">
        <v>0.7609</v>
      </c>
      <c r="O234" s="11">
        <v>364.62</v>
      </c>
      <c r="P234" s="10">
        <v>0.9638</v>
      </c>
      <c r="Q234" s="10">
        <v>0.1864</v>
      </c>
      <c r="R234" s="10">
        <v>0.7862</v>
      </c>
      <c r="S234" s="10" t="s">
        <v>7127</v>
      </c>
      <c r="T234" s="8">
        <f>IF(and(ISNUMBER(D234), isnumber(E234)), 1, 0) + IF(and(ISNUMBER(F234), isnumber(G234)), 1, 0) + IF(and(ISNUMBER(H234), isnumber(I234)), 1, 0) + IF(and(ISNUMBER(J234), isnumber(K234)), 1, 0) + IF(and(ISNUMBER(L234), isnumber(M234)), 1, 0) + IF(and(ISNUMBER(N234), isnumber(O234)), 1, 0)</f>
      </c>
      <c r="U234" s="8">
        <f>IF(and(ISNUMBER(P234), isnumber(Q234)), 1, 0) + IF(and(ISNUMBER(R234), isnumber(S234)), 1, 0)</f>
      </c>
      <c r="V234" s="13"/>
      <c r="W234" s="13"/>
      <c r="X234" s="16"/>
    </row>
    <row x14ac:dyDescent="0.25" r="235" customHeight="1" ht="15.75">
      <c r="A235" s="8">
        <v>25743</v>
      </c>
      <c r="B235" s="13" t="s">
        <v>66</v>
      </c>
      <c r="C235" s="13" t="s">
        <v>8826</v>
      </c>
      <c r="D235" s="10">
        <v>0.7103</v>
      </c>
      <c r="E235" s="11">
        <v>195.53</v>
      </c>
      <c r="F235" s="10">
        <v>0.5327</v>
      </c>
      <c r="G235" s="11" t="s">
        <v>7127</v>
      </c>
      <c r="H235" s="10">
        <v>0.4398</v>
      </c>
      <c r="I235" s="11">
        <v>422.13</v>
      </c>
      <c r="J235" s="10">
        <v>0.6696</v>
      </c>
      <c r="K235" s="11">
        <v>276.64</v>
      </c>
      <c r="L235" s="10">
        <v>0.5934</v>
      </c>
      <c r="M235" s="11">
        <v>361.09</v>
      </c>
      <c r="N235" s="10">
        <v>0.6307</v>
      </c>
      <c r="O235" s="11" t="s">
        <v>7127</v>
      </c>
      <c r="P235" s="10">
        <v>0.7103</v>
      </c>
      <c r="Q235" s="10">
        <v>0.2199</v>
      </c>
      <c r="R235" s="10">
        <v>0.6696</v>
      </c>
      <c r="S235" s="10" t="s">
        <v>7127</v>
      </c>
      <c r="T235" s="8">
        <f>IF(and(ISNUMBER(D235), isnumber(E235)), 1, 0) + IF(and(ISNUMBER(F235), isnumber(G235)), 1, 0) + IF(and(ISNUMBER(H235), isnumber(I235)), 1, 0) + IF(and(ISNUMBER(J235), isnumber(K235)), 1, 0) + IF(and(ISNUMBER(L235), isnumber(M235)), 1, 0) + IF(and(ISNUMBER(N235), isnumber(O235)), 1, 0)</f>
      </c>
      <c r="U235" s="8">
        <f>IF(and(ISNUMBER(P235), isnumber(Q235)), 1, 0) + IF(and(ISNUMBER(R235), isnumber(S235)), 1, 0)</f>
      </c>
      <c r="V235" s="13"/>
      <c r="W235" s="13"/>
      <c r="X235" s="16"/>
    </row>
    <row x14ac:dyDescent="0.25" r="236" customHeight="1" ht="15.75">
      <c r="A236" s="8">
        <v>25669</v>
      </c>
      <c r="B236" s="13" t="s">
        <v>66</v>
      </c>
      <c r="C236" s="13" t="s">
        <v>8836</v>
      </c>
      <c r="D236" s="10">
        <v>0.7033</v>
      </c>
      <c r="E236" s="11">
        <v>157.14</v>
      </c>
      <c r="F236" s="10">
        <v>0.4451</v>
      </c>
      <c r="G236" s="11">
        <v>276.05</v>
      </c>
      <c r="H236" s="10">
        <v>0.522</v>
      </c>
      <c r="I236" s="11">
        <v>367.39</v>
      </c>
      <c r="J236" s="10">
        <v>0.5385</v>
      </c>
      <c r="K236" s="11">
        <v>218.97</v>
      </c>
      <c r="L236" s="10">
        <v>0.5275</v>
      </c>
      <c r="M236" s="11">
        <v>280</v>
      </c>
      <c r="N236" s="10">
        <v>0.4615</v>
      </c>
      <c r="O236" s="11">
        <v>281.9</v>
      </c>
      <c r="P236" s="10">
        <v>0.7033</v>
      </c>
      <c r="Q236" s="10">
        <v>0.1949</v>
      </c>
      <c r="R236" s="10">
        <v>0.5385</v>
      </c>
      <c r="S236" s="10" t="s">
        <v>7127</v>
      </c>
      <c r="T236" s="8">
        <f>IF(and(ISNUMBER(D236), isnumber(E236)), 1, 0) + IF(and(ISNUMBER(F236), isnumber(G236)), 1, 0) + IF(and(ISNUMBER(H236), isnumber(I236)), 1, 0) + IF(and(ISNUMBER(J236), isnumber(K236)), 1, 0) + IF(and(ISNUMBER(L236), isnumber(M236)), 1, 0) + IF(and(ISNUMBER(N236), isnumber(O236)), 1, 0)</f>
      </c>
      <c r="U236" s="8">
        <f>IF(and(ISNUMBER(P236), isnumber(Q236)), 1, 0) + IF(and(ISNUMBER(R236), isnumber(S236)), 1, 0)</f>
      </c>
      <c r="V236" s="13"/>
      <c r="W236" s="13"/>
      <c r="X236" s="16"/>
    </row>
    <row x14ac:dyDescent="0.25" r="237" customHeight="1" ht="15.75">
      <c r="A237" s="8">
        <v>25670</v>
      </c>
      <c r="B237" s="13" t="s">
        <v>66</v>
      </c>
      <c r="C237" s="13" t="s">
        <v>8845</v>
      </c>
      <c r="D237" s="10">
        <v>0.8675</v>
      </c>
      <c r="E237" s="11">
        <v>311</v>
      </c>
      <c r="F237" s="10">
        <v>0.6225</v>
      </c>
      <c r="G237" s="11">
        <v>442.78</v>
      </c>
      <c r="H237" s="10">
        <v>0.7417</v>
      </c>
      <c r="I237" s="11">
        <v>478.37</v>
      </c>
      <c r="J237" s="10">
        <v>0.5497</v>
      </c>
      <c r="K237" s="11">
        <v>418.38</v>
      </c>
      <c r="L237" s="10">
        <v>0.6325</v>
      </c>
      <c r="M237" s="11">
        <v>512.04</v>
      </c>
      <c r="N237" s="10">
        <v>0.6391</v>
      </c>
      <c r="O237" s="11">
        <v>516.84</v>
      </c>
      <c r="P237" s="10">
        <v>0.8675</v>
      </c>
      <c r="Q237" s="10">
        <v>0.242</v>
      </c>
      <c r="R237" s="10">
        <v>0.5497</v>
      </c>
      <c r="S237" s="10" t="s">
        <v>7127</v>
      </c>
      <c r="T237" s="8">
        <f>IF(and(ISNUMBER(D237), isnumber(E237)), 1, 0) + IF(and(ISNUMBER(F237), isnumber(G237)), 1, 0) + IF(and(ISNUMBER(H237), isnumber(I237)), 1, 0) + IF(and(ISNUMBER(J237), isnumber(K237)), 1, 0) + IF(and(ISNUMBER(L237), isnumber(M237)), 1, 0) + IF(and(ISNUMBER(N237), isnumber(O237)), 1, 0)</f>
      </c>
      <c r="U237" s="8">
        <f>IF(and(ISNUMBER(P237), isnumber(Q237)), 1, 0) + IF(and(ISNUMBER(R237), isnumber(S237)), 1, 0)</f>
      </c>
      <c r="V237" s="13"/>
      <c r="W237" s="13"/>
      <c r="X237" s="16"/>
    </row>
    <row x14ac:dyDescent="0.25" r="238" customHeight="1" ht="15.75">
      <c r="A238" s="8">
        <v>25671</v>
      </c>
      <c r="B238" s="13" t="s">
        <v>66</v>
      </c>
      <c r="C238" s="13" t="s">
        <v>8856</v>
      </c>
      <c r="D238" s="10">
        <v>0.8408</v>
      </c>
      <c r="E238" s="11">
        <v>210.36</v>
      </c>
      <c r="F238" s="10">
        <v>0.6269</v>
      </c>
      <c r="G238" s="11">
        <v>418.21</v>
      </c>
      <c r="H238" s="10">
        <v>0.6418</v>
      </c>
      <c r="I238" s="11">
        <v>406.61</v>
      </c>
      <c r="J238" s="10">
        <v>0.6667</v>
      </c>
      <c r="K238" s="11">
        <v>248.62</v>
      </c>
      <c r="L238" s="10">
        <v>0.5572</v>
      </c>
      <c r="M238" s="11">
        <v>322.52</v>
      </c>
      <c r="N238" s="10">
        <v>0.5672</v>
      </c>
      <c r="O238" s="11">
        <v>324.6</v>
      </c>
      <c r="P238" s="10">
        <v>0.8408</v>
      </c>
      <c r="Q238" s="10">
        <v>0.1974</v>
      </c>
      <c r="R238" s="10">
        <v>0.6667</v>
      </c>
      <c r="S238" s="10" t="s">
        <v>7127</v>
      </c>
      <c r="T238" s="8">
        <f>IF(and(ISNUMBER(D238), isnumber(E238)), 1, 0) + IF(and(ISNUMBER(F238), isnumber(G238)), 1, 0) + IF(and(ISNUMBER(H238), isnumber(I238)), 1, 0) + IF(and(ISNUMBER(J238), isnumber(K238)), 1, 0) + IF(and(ISNUMBER(L238), isnumber(M238)), 1, 0) + IF(and(ISNUMBER(N238), isnumber(O238)), 1, 0)</f>
      </c>
      <c r="U238" s="8">
        <f>IF(and(ISNUMBER(P238), isnumber(Q238)), 1, 0) + IF(and(ISNUMBER(R238), isnumber(S238)), 1, 0)</f>
      </c>
      <c r="V238" s="13"/>
      <c r="W238" s="13"/>
      <c r="X238" s="16"/>
    </row>
    <row x14ac:dyDescent="0.25" r="239" customHeight="1" ht="15.75">
      <c r="A239" s="8">
        <v>25672</v>
      </c>
      <c r="B239" s="13" t="s">
        <v>66</v>
      </c>
      <c r="C239" s="13" t="s">
        <v>8867</v>
      </c>
      <c r="D239" s="10">
        <v>0.8571</v>
      </c>
      <c r="E239" s="11">
        <v>435.38</v>
      </c>
      <c r="F239" s="10">
        <v>0.8242</v>
      </c>
      <c r="G239" s="11">
        <v>489.07</v>
      </c>
      <c r="H239" s="10">
        <v>0.8022</v>
      </c>
      <c r="I239" s="11">
        <v>524.38</v>
      </c>
      <c r="J239" s="10">
        <v>0.8242</v>
      </c>
      <c r="K239" s="11">
        <v>479.47</v>
      </c>
      <c r="L239" s="10">
        <v>0.7033</v>
      </c>
      <c r="M239" s="11">
        <v>524.38</v>
      </c>
      <c r="N239" s="10">
        <v>0.7582</v>
      </c>
      <c r="O239" s="11">
        <v>535.07</v>
      </c>
      <c r="P239" s="10">
        <v>0.8571</v>
      </c>
      <c r="Q239" s="10">
        <v>0.2969</v>
      </c>
      <c r="R239" s="10">
        <v>0.8242</v>
      </c>
      <c r="S239" s="10" t="s">
        <v>7127</v>
      </c>
      <c r="T239" s="8">
        <f>IF(and(ISNUMBER(D239), isnumber(E239)), 1, 0) + IF(and(ISNUMBER(F239), isnumber(G239)), 1, 0) + IF(and(ISNUMBER(H239), isnumber(I239)), 1, 0) + IF(and(ISNUMBER(J239), isnumber(K239)), 1, 0) + IF(and(ISNUMBER(L239), isnumber(M239)), 1, 0) + IF(and(ISNUMBER(N239), isnumber(O239)), 1, 0)</f>
      </c>
      <c r="U239" s="8">
        <f>IF(and(ISNUMBER(P239), isnumber(Q239)), 1, 0) + IF(and(ISNUMBER(R239), isnumber(S239)), 1, 0)</f>
      </c>
      <c r="V239" s="13"/>
      <c r="W239" s="13"/>
      <c r="X239" s="16"/>
    </row>
    <row x14ac:dyDescent="0.25" r="240" customHeight="1" ht="15.75">
      <c r="A240" s="8">
        <v>25673</v>
      </c>
      <c r="B240" s="13" t="s">
        <v>66</v>
      </c>
      <c r="C240" s="13" t="s">
        <v>8875</v>
      </c>
      <c r="D240" s="10">
        <v>0.9699</v>
      </c>
      <c r="E240" s="11">
        <v>255.59</v>
      </c>
      <c r="F240" s="10">
        <v>0.8496</v>
      </c>
      <c r="G240" s="11">
        <v>322.16</v>
      </c>
      <c r="H240" s="10">
        <v>0.7669</v>
      </c>
      <c r="I240" s="11">
        <v>350.5</v>
      </c>
      <c r="J240" s="10">
        <v>0.6842</v>
      </c>
      <c r="K240" s="11">
        <v>289.44</v>
      </c>
      <c r="L240" s="10">
        <v>0.7218</v>
      </c>
      <c r="M240" s="11">
        <v>408.75</v>
      </c>
      <c r="N240" s="10">
        <v>0.7519</v>
      </c>
      <c r="O240" s="11">
        <v>317.11</v>
      </c>
      <c r="P240" s="10">
        <v>0.9699</v>
      </c>
      <c r="Q240" s="10">
        <v>0.2192</v>
      </c>
      <c r="R240" s="10">
        <v>0.6842</v>
      </c>
      <c r="S240" s="10" t="s">
        <v>7127</v>
      </c>
      <c r="T240" s="8">
        <f>IF(and(ISNUMBER(D240), isnumber(E240)), 1, 0) + IF(and(ISNUMBER(F240), isnumber(G240)), 1, 0) + IF(and(ISNUMBER(H240), isnumber(I240)), 1, 0) + IF(and(ISNUMBER(J240), isnumber(K240)), 1, 0) + IF(and(ISNUMBER(L240), isnumber(M240)), 1, 0) + IF(and(ISNUMBER(N240), isnumber(O240)), 1, 0)</f>
      </c>
      <c r="U240" s="8">
        <f>IF(and(ISNUMBER(P240), isnumber(Q240)), 1, 0) + IF(and(ISNUMBER(R240), isnumber(S240)), 1, 0)</f>
      </c>
      <c r="V240" s="13"/>
      <c r="W240" s="13"/>
      <c r="X240" s="16"/>
    </row>
    <row x14ac:dyDescent="0.25" r="241" customHeight="1" ht="15.75">
      <c r="A241" s="8">
        <v>25674</v>
      </c>
      <c r="B241" s="13" t="s">
        <v>66</v>
      </c>
      <c r="C241" s="13" t="s">
        <v>8886</v>
      </c>
      <c r="D241" s="10">
        <v>0.7034</v>
      </c>
      <c r="E241" s="11">
        <v>151.33</v>
      </c>
      <c r="F241" s="10">
        <v>0.6864</v>
      </c>
      <c r="G241" s="11">
        <v>330.37</v>
      </c>
      <c r="H241" s="10">
        <v>0.4892</v>
      </c>
      <c r="I241" s="11">
        <v>371.77</v>
      </c>
      <c r="J241" s="10">
        <v>0.6496</v>
      </c>
      <c r="K241" s="11">
        <v>314.28</v>
      </c>
      <c r="L241" s="10">
        <v>0.5252</v>
      </c>
      <c r="M241" s="11">
        <v>334.93</v>
      </c>
      <c r="N241" s="10">
        <v>0.3957</v>
      </c>
      <c r="O241" s="11">
        <v>367.39</v>
      </c>
      <c r="P241" s="10">
        <v>0.7034</v>
      </c>
      <c r="Q241" s="10">
        <v>0.2215</v>
      </c>
      <c r="R241" s="10">
        <v>0.6496</v>
      </c>
      <c r="S241" s="10" t="s">
        <v>7127</v>
      </c>
      <c r="T241" s="8">
        <f>IF(and(ISNUMBER(D241), isnumber(E241)), 1, 0) + IF(and(ISNUMBER(F241), isnumber(G241)), 1, 0) + IF(and(ISNUMBER(H241), isnumber(I241)), 1, 0) + IF(and(ISNUMBER(J241), isnumber(K241)), 1, 0) + IF(and(ISNUMBER(L241), isnumber(M241)), 1, 0) + IF(and(ISNUMBER(N241), isnumber(O241)), 1, 0)</f>
      </c>
      <c r="U241" s="8">
        <f>IF(and(ISNUMBER(P241), isnumber(Q241)), 1, 0) + IF(and(ISNUMBER(R241), isnumber(S241)), 1, 0)</f>
      </c>
      <c r="V241" s="13"/>
      <c r="W241" s="13"/>
      <c r="X241" s="16"/>
    </row>
    <row x14ac:dyDescent="0.25" r="242" customHeight="1" ht="15.75">
      <c r="A242" s="8">
        <v>25675</v>
      </c>
      <c r="B242" s="13" t="s">
        <v>66</v>
      </c>
      <c r="C242" s="13" t="s">
        <v>8895</v>
      </c>
      <c r="D242" s="10">
        <v>0.9552</v>
      </c>
      <c r="E242" s="11">
        <v>449.38</v>
      </c>
      <c r="F242" s="10">
        <v>0.8881</v>
      </c>
      <c r="G242" s="11">
        <v>542.86</v>
      </c>
      <c r="H242" s="10">
        <v>0.8657</v>
      </c>
      <c r="I242" s="11">
        <v>572.76</v>
      </c>
      <c r="J242" s="10">
        <v>0.8955</v>
      </c>
      <c r="K242" s="11">
        <v>522</v>
      </c>
      <c r="L242" s="10">
        <v>0.8433</v>
      </c>
      <c r="M242" s="11">
        <v>586.19</v>
      </c>
      <c r="N242" s="10">
        <v>0.8955</v>
      </c>
      <c r="O242" s="11">
        <v>563</v>
      </c>
      <c r="P242" s="10">
        <v>0.9552</v>
      </c>
      <c r="Q242" s="10">
        <v>0.285</v>
      </c>
      <c r="R242" s="10">
        <v>0.8955</v>
      </c>
      <c r="S242" s="10" t="s">
        <v>7127</v>
      </c>
      <c r="T242" s="8">
        <f>IF(and(ISNUMBER(D242), isnumber(E242)), 1, 0) + IF(and(ISNUMBER(F242), isnumber(G242)), 1, 0) + IF(and(ISNUMBER(H242), isnumber(I242)), 1, 0) + IF(and(ISNUMBER(J242), isnumber(K242)), 1, 0) + IF(and(ISNUMBER(L242), isnumber(M242)), 1, 0) + IF(and(ISNUMBER(N242), isnumber(O242)), 1, 0)</f>
      </c>
      <c r="U242" s="8">
        <f>IF(and(ISNUMBER(P242), isnumber(Q242)), 1, 0) + IF(and(ISNUMBER(R242), isnumber(S242)), 1, 0)</f>
      </c>
      <c r="V242" s="13"/>
      <c r="W242" s="13"/>
      <c r="X242" s="16"/>
    </row>
    <row x14ac:dyDescent="0.25" r="243" customHeight="1" ht="15.75">
      <c r="A243" s="8">
        <v>25676</v>
      </c>
      <c r="B243" s="13" t="s">
        <v>66</v>
      </c>
      <c r="C243" s="13" t="s">
        <v>8906</v>
      </c>
      <c r="D243" s="10">
        <v>0.5833</v>
      </c>
      <c r="E243" s="11">
        <v>152.01</v>
      </c>
      <c r="F243" s="10">
        <v>0.5926</v>
      </c>
      <c r="G243" s="11">
        <v>344.38</v>
      </c>
      <c r="H243" s="10">
        <v>0.4918</v>
      </c>
      <c r="I243" s="11">
        <v>401.31</v>
      </c>
      <c r="J243" s="10">
        <v>0.4808</v>
      </c>
      <c r="K243" s="11">
        <v>289.46</v>
      </c>
      <c r="L243" s="10">
        <v>0.3852</v>
      </c>
      <c r="M243" s="11">
        <v>385.88</v>
      </c>
      <c r="N243" s="10">
        <v>0.3361</v>
      </c>
      <c r="O243" s="11">
        <v>387.07</v>
      </c>
      <c r="P243" s="10">
        <v>0.5833</v>
      </c>
      <c r="Q243" s="10">
        <v>0.2045</v>
      </c>
      <c r="R243" s="10">
        <v>0.4808</v>
      </c>
      <c r="S243" s="10" t="s">
        <v>7127</v>
      </c>
      <c r="T243" s="8">
        <f>IF(and(ISNUMBER(D243), isnumber(E243)), 1, 0) + IF(and(ISNUMBER(F243), isnumber(G243)), 1, 0) + IF(and(ISNUMBER(H243), isnumber(I243)), 1, 0) + IF(and(ISNUMBER(J243), isnumber(K243)), 1, 0) + IF(and(ISNUMBER(L243), isnumber(M243)), 1, 0) + IF(and(ISNUMBER(N243), isnumber(O243)), 1, 0)</f>
      </c>
      <c r="U243" s="8">
        <f>IF(and(ISNUMBER(P243), isnumber(Q243)), 1, 0) + IF(and(ISNUMBER(R243), isnumber(S243)), 1, 0)</f>
      </c>
      <c r="V243" s="13"/>
      <c r="W243" s="13"/>
      <c r="X243" s="16"/>
    </row>
    <row x14ac:dyDescent="0.25" r="244" customHeight="1" ht="15.75">
      <c r="A244" s="8">
        <v>25677</v>
      </c>
      <c r="B244" s="13" t="s">
        <v>66</v>
      </c>
      <c r="C244" s="13" t="s">
        <v>8917</v>
      </c>
      <c r="D244" s="10">
        <v>0.6</v>
      </c>
      <c r="E244" s="11">
        <v>218.61</v>
      </c>
      <c r="F244" s="10">
        <v>0.8</v>
      </c>
      <c r="G244" s="11">
        <v>400.93</v>
      </c>
      <c r="H244" s="10">
        <v>0.7176</v>
      </c>
      <c r="I244" s="11">
        <v>391.93</v>
      </c>
      <c r="J244" s="10">
        <v>0.7824</v>
      </c>
      <c r="K244" s="11">
        <v>320</v>
      </c>
      <c r="L244" s="10">
        <v>0.8118</v>
      </c>
      <c r="M244" s="11">
        <v>451.43</v>
      </c>
      <c r="N244" s="10">
        <v>0.7</v>
      </c>
      <c r="O244" s="11">
        <v>471.79</v>
      </c>
      <c r="P244" s="10">
        <v>0.6</v>
      </c>
      <c r="Q244" s="10">
        <v>0.2496</v>
      </c>
      <c r="R244" s="10">
        <v>0.7824</v>
      </c>
      <c r="S244" s="10" t="s">
        <v>7127</v>
      </c>
      <c r="T244" s="8">
        <f>IF(and(ISNUMBER(D244), isnumber(E244)), 1, 0) + IF(and(ISNUMBER(F244), isnumber(G244)), 1, 0) + IF(and(ISNUMBER(H244), isnumber(I244)), 1, 0) + IF(and(ISNUMBER(J244), isnumber(K244)), 1, 0) + IF(and(ISNUMBER(L244), isnumber(M244)), 1, 0) + IF(and(ISNUMBER(N244), isnumber(O244)), 1, 0)</f>
      </c>
      <c r="U244" s="8">
        <f>IF(and(ISNUMBER(P244), isnumber(Q244)), 1, 0) + IF(and(ISNUMBER(R244), isnumber(S244)), 1, 0)</f>
      </c>
      <c r="V244" s="13"/>
      <c r="W244" s="13"/>
      <c r="X244" s="16"/>
    </row>
    <row x14ac:dyDescent="0.25" r="245" customHeight="1" ht="15.75">
      <c r="A245" s="8">
        <v>25678</v>
      </c>
      <c r="B245" s="13" t="s">
        <v>66</v>
      </c>
      <c r="C245" s="13" t="s">
        <v>8925</v>
      </c>
      <c r="D245" s="10">
        <v>0.8784</v>
      </c>
      <c r="E245" s="11">
        <v>434.72</v>
      </c>
      <c r="F245" s="10">
        <v>0</v>
      </c>
      <c r="G245" s="11" t="s">
        <v>7127</v>
      </c>
      <c r="H245" s="10">
        <v>0.8108</v>
      </c>
      <c r="I245" s="11">
        <v>397.97</v>
      </c>
      <c r="J245" s="10">
        <v>0.8108</v>
      </c>
      <c r="K245" s="11">
        <v>250.77</v>
      </c>
      <c r="L245" s="10">
        <v>0.8243</v>
      </c>
      <c r="M245" s="11">
        <v>470.16</v>
      </c>
      <c r="N245" s="10">
        <v>0.7432</v>
      </c>
      <c r="O245" s="11">
        <v>277.04</v>
      </c>
      <c r="P245" s="10">
        <v>0.8784</v>
      </c>
      <c r="Q245" s="10">
        <v>0.2206</v>
      </c>
      <c r="R245" s="10">
        <v>0.8108</v>
      </c>
      <c r="S245" s="10" t="s">
        <v>7127</v>
      </c>
      <c r="T245" s="8">
        <f>IF(and(ISNUMBER(D245), isnumber(E245)), 1, 0) + IF(and(ISNUMBER(F245), isnumber(G245)), 1, 0) + IF(and(ISNUMBER(H245), isnumber(I245)), 1, 0) + IF(and(ISNUMBER(J245), isnumber(K245)), 1, 0) + IF(and(ISNUMBER(L245), isnumber(M245)), 1, 0) + IF(and(ISNUMBER(N245), isnumber(O245)), 1, 0)</f>
      </c>
      <c r="U245" s="8">
        <f>IF(and(ISNUMBER(P245), isnumber(Q245)), 1, 0) + IF(and(ISNUMBER(R245), isnumber(S245)), 1, 0)</f>
      </c>
      <c r="V245" s="13"/>
      <c r="W245" s="13"/>
      <c r="X245" s="16"/>
    </row>
    <row x14ac:dyDescent="0.25" r="246" customHeight="1" ht="15.75">
      <c r="A246" s="8">
        <v>25679</v>
      </c>
      <c r="B246" s="13" t="s">
        <v>66</v>
      </c>
      <c r="C246" s="13" t="s">
        <v>8932</v>
      </c>
      <c r="D246" s="10">
        <v>0.7244</v>
      </c>
      <c r="E246" s="11">
        <v>250</v>
      </c>
      <c r="F246" s="10">
        <v>0.5513</v>
      </c>
      <c r="G246" s="11">
        <v>389.05</v>
      </c>
      <c r="H246" s="10">
        <v>0.7308</v>
      </c>
      <c r="I246" s="11">
        <v>467.72</v>
      </c>
      <c r="J246" s="10">
        <v>0.6218</v>
      </c>
      <c r="K246" s="11" t="s">
        <v>7127</v>
      </c>
      <c r="L246" s="10">
        <v>0.7308</v>
      </c>
      <c r="M246" s="11">
        <v>492.11</v>
      </c>
      <c r="N246" s="10">
        <v>0.4936</v>
      </c>
      <c r="O246" s="11">
        <v>412.63</v>
      </c>
      <c r="P246" s="10">
        <v>0.7244</v>
      </c>
      <c r="Q246" s="10">
        <v>0.2648</v>
      </c>
      <c r="R246" s="10">
        <v>0.6218</v>
      </c>
      <c r="S246" s="10" t="s">
        <v>7127</v>
      </c>
      <c r="T246" s="8">
        <f>IF(and(ISNUMBER(D246), isnumber(E246)), 1, 0) + IF(and(ISNUMBER(F246), isnumber(G246)), 1, 0) + IF(and(ISNUMBER(H246), isnumber(I246)), 1, 0) + IF(and(ISNUMBER(J246), isnumber(K246)), 1, 0) + IF(and(ISNUMBER(L246), isnumber(M246)), 1, 0) + IF(and(ISNUMBER(N246), isnumber(O246)), 1, 0)</f>
      </c>
      <c r="U246" s="8">
        <f>IF(and(ISNUMBER(P246), isnumber(Q246)), 1, 0) + IF(and(ISNUMBER(R246), isnumber(S246)), 1, 0)</f>
      </c>
      <c r="V246" s="13"/>
      <c r="W246" s="13"/>
      <c r="X246" s="16"/>
    </row>
    <row x14ac:dyDescent="0.25" r="247" customHeight="1" ht="15.75">
      <c r="A247" s="8">
        <v>25680</v>
      </c>
      <c r="B247" s="13" t="s">
        <v>66</v>
      </c>
      <c r="C247" s="13" t="s">
        <v>8940</v>
      </c>
      <c r="D247" s="10">
        <v>0.6532</v>
      </c>
      <c r="E247" s="11" t="s">
        <v>7127</v>
      </c>
      <c r="F247" s="10">
        <v>0.7053</v>
      </c>
      <c r="G247" s="11">
        <v>369.69</v>
      </c>
      <c r="H247" s="10">
        <v>0.4663</v>
      </c>
      <c r="I247" s="11">
        <v>377.26</v>
      </c>
      <c r="J247" s="10">
        <v>0.476</v>
      </c>
      <c r="K247" s="11">
        <v>284.81</v>
      </c>
      <c r="L247" s="10">
        <v>0.5183</v>
      </c>
      <c r="M247" s="11">
        <v>393.74</v>
      </c>
      <c r="N247" s="10">
        <v>0.432</v>
      </c>
      <c r="O247" s="11">
        <v>401.77</v>
      </c>
      <c r="P247" s="10">
        <v>0.6532</v>
      </c>
      <c r="Q247" s="10">
        <v>0.1888</v>
      </c>
      <c r="R247" s="10">
        <v>0.476</v>
      </c>
      <c r="S247" s="10" t="s">
        <v>7127</v>
      </c>
      <c r="T247" s="8">
        <f>IF(and(ISNUMBER(D247), isnumber(E247)), 1, 0) + IF(and(ISNUMBER(F247), isnumber(G247)), 1, 0) + IF(and(ISNUMBER(H247), isnumber(I247)), 1, 0) + IF(and(ISNUMBER(J247), isnumber(K247)), 1, 0) + IF(and(ISNUMBER(L247), isnumber(M247)), 1, 0) + IF(and(ISNUMBER(N247), isnumber(O247)), 1, 0)</f>
      </c>
      <c r="U247" s="8">
        <f>IF(and(ISNUMBER(P247), isnumber(Q247)), 1, 0) + IF(and(ISNUMBER(R247), isnumber(S247)), 1, 0)</f>
      </c>
      <c r="V247" s="13"/>
      <c r="W247" s="13"/>
      <c r="X247" s="16"/>
    </row>
    <row x14ac:dyDescent="0.25" r="248" customHeight="1" ht="15.75">
      <c r="A248" s="8">
        <v>25681</v>
      </c>
      <c r="B248" s="13" t="s">
        <v>66</v>
      </c>
      <c r="C248" s="13" t="s">
        <v>8949</v>
      </c>
      <c r="D248" s="10">
        <v>0.8701</v>
      </c>
      <c r="E248" s="11">
        <v>374.55</v>
      </c>
      <c r="F248" s="10">
        <v>0.7403</v>
      </c>
      <c r="G248" s="11">
        <v>449.29</v>
      </c>
      <c r="H248" s="10">
        <v>0.8442</v>
      </c>
      <c r="I248" s="11">
        <v>472.5</v>
      </c>
      <c r="J248" s="10">
        <v>0.8701</v>
      </c>
      <c r="K248" s="11">
        <v>380.9</v>
      </c>
      <c r="L248" s="10">
        <v>0.8831</v>
      </c>
      <c r="M248" s="11">
        <v>533.53</v>
      </c>
      <c r="N248" s="10">
        <v>0.8571</v>
      </c>
      <c r="O248" s="11">
        <v>529.23</v>
      </c>
      <c r="P248" s="10">
        <v>0.8701</v>
      </c>
      <c r="Q248" s="10">
        <v>0.2727</v>
      </c>
      <c r="R248" s="10">
        <v>0.8701</v>
      </c>
      <c r="S248" s="10" t="s">
        <v>7127</v>
      </c>
      <c r="T248" s="8">
        <f>IF(and(ISNUMBER(D248), isnumber(E248)), 1, 0) + IF(and(ISNUMBER(F248), isnumber(G248)), 1, 0) + IF(and(ISNUMBER(H248), isnumber(I248)), 1, 0) + IF(and(ISNUMBER(J248), isnumber(K248)), 1, 0) + IF(and(ISNUMBER(L248), isnumber(M248)), 1, 0) + IF(and(ISNUMBER(N248), isnumber(O248)), 1, 0)</f>
      </c>
      <c r="U248" s="8">
        <f>IF(and(ISNUMBER(P248), isnumber(Q248)), 1, 0) + IF(and(ISNUMBER(R248), isnumber(S248)), 1, 0)</f>
      </c>
      <c r="V248" s="13"/>
      <c r="W248" s="13"/>
      <c r="X248" s="16"/>
    </row>
    <row x14ac:dyDescent="0.25" r="249" customHeight="1" ht="15.75">
      <c r="A249" s="8">
        <v>25682</v>
      </c>
      <c r="B249" s="13" t="s">
        <v>66</v>
      </c>
      <c r="C249" s="13" t="s">
        <v>8957</v>
      </c>
      <c r="D249" s="10">
        <v>0.5455</v>
      </c>
      <c r="E249" s="11">
        <v>362.35</v>
      </c>
      <c r="F249" s="10">
        <v>0.6477</v>
      </c>
      <c r="G249" s="11">
        <v>421.75</v>
      </c>
      <c r="H249" s="10">
        <v>0.6591</v>
      </c>
      <c r="I249" s="11">
        <v>458.62</v>
      </c>
      <c r="J249" s="10">
        <v>0.6477</v>
      </c>
      <c r="K249" s="11">
        <v>340.71</v>
      </c>
      <c r="L249" s="10">
        <v>0.5568</v>
      </c>
      <c r="M249" s="11">
        <v>428.57</v>
      </c>
      <c r="N249" s="10">
        <v>0.6591</v>
      </c>
      <c r="O249" s="11">
        <v>428.28</v>
      </c>
      <c r="P249" s="10">
        <v>0.5455</v>
      </c>
      <c r="Q249" s="10">
        <v>0.2178</v>
      </c>
      <c r="R249" s="10">
        <v>0.6477</v>
      </c>
      <c r="S249" s="10" t="s">
        <v>7127</v>
      </c>
      <c r="T249" s="8">
        <f>IF(and(ISNUMBER(D249), isnumber(E249)), 1, 0) + IF(and(ISNUMBER(F249), isnumber(G249)), 1, 0) + IF(and(ISNUMBER(H249), isnumber(I249)), 1, 0) + IF(and(ISNUMBER(J249), isnumber(K249)), 1, 0) + IF(and(ISNUMBER(L249), isnumber(M249)), 1, 0) + IF(and(ISNUMBER(N249), isnumber(O249)), 1, 0)</f>
      </c>
      <c r="U249" s="8">
        <f>IF(and(ISNUMBER(P249), isnumber(Q249)), 1, 0) + IF(and(ISNUMBER(R249), isnumber(S249)), 1, 0)</f>
      </c>
      <c r="V249" s="13"/>
      <c r="W249" s="13"/>
      <c r="X249" s="16"/>
    </row>
    <row x14ac:dyDescent="0.25" r="250" customHeight="1" ht="15.75">
      <c r="A250" s="8">
        <v>25651</v>
      </c>
      <c r="B250" s="13" t="s">
        <v>66</v>
      </c>
      <c r="C250" s="13" t="s">
        <v>8963</v>
      </c>
      <c r="D250" s="10">
        <v>0.5164</v>
      </c>
      <c r="E250" s="11">
        <v>174.26</v>
      </c>
      <c r="F250" s="10">
        <v>0.4016</v>
      </c>
      <c r="G250" s="11">
        <v>330.53</v>
      </c>
      <c r="H250" s="10">
        <v>0.6189</v>
      </c>
      <c r="I250" s="11">
        <v>427.76</v>
      </c>
      <c r="J250" s="10">
        <v>0.5287</v>
      </c>
      <c r="K250" s="11">
        <v>334.4</v>
      </c>
      <c r="L250" s="10">
        <v>0.5123</v>
      </c>
      <c r="M250" s="11">
        <v>397.38</v>
      </c>
      <c r="N250" s="10">
        <v>0.4672</v>
      </c>
      <c r="O250" s="11">
        <v>409.09</v>
      </c>
      <c r="P250" s="10">
        <v>0.5164</v>
      </c>
      <c r="Q250" s="10">
        <v>0.2291</v>
      </c>
      <c r="R250" s="10">
        <v>0.5287</v>
      </c>
      <c r="S250" s="10" t="s">
        <v>7127</v>
      </c>
      <c r="T250" s="8">
        <f>IF(and(ISNUMBER(D250), isnumber(E250)), 1, 0) + IF(and(ISNUMBER(F250), isnumber(G250)), 1, 0) + IF(and(ISNUMBER(H250), isnumber(I250)), 1, 0) + IF(and(ISNUMBER(J250), isnumber(K250)), 1, 0) + IF(and(ISNUMBER(L250), isnumber(M250)), 1, 0) + IF(and(ISNUMBER(N250), isnumber(O250)), 1, 0)</f>
      </c>
      <c r="U250" s="8">
        <f>IF(and(ISNUMBER(P250), isnumber(Q250)), 1, 0) + IF(and(ISNUMBER(R250), isnumber(S250)), 1, 0)</f>
      </c>
      <c r="V250" s="13"/>
      <c r="W250" s="13"/>
      <c r="X250" s="16"/>
    </row>
    <row x14ac:dyDescent="0.25" r="251" customHeight="1" ht="15.75">
      <c r="A251" s="8">
        <v>25683</v>
      </c>
      <c r="B251" s="13" t="s">
        <v>66</v>
      </c>
      <c r="C251" s="13" t="s">
        <v>8974</v>
      </c>
      <c r="D251" s="10">
        <v>0.9725</v>
      </c>
      <c r="E251" s="11">
        <v>294.46</v>
      </c>
      <c r="F251" s="10">
        <v>0.6978</v>
      </c>
      <c r="G251" s="11">
        <v>424.57</v>
      </c>
      <c r="H251" s="10">
        <v>0.489</v>
      </c>
      <c r="I251" s="11">
        <v>453.03</v>
      </c>
      <c r="J251" s="10">
        <v>0.7033</v>
      </c>
      <c r="K251" s="11">
        <v>400</v>
      </c>
      <c r="L251" s="10">
        <v>0.7088</v>
      </c>
      <c r="M251" s="11">
        <v>416.69</v>
      </c>
      <c r="N251" s="10">
        <v>0.7088</v>
      </c>
      <c r="O251" s="11">
        <v>405.04</v>
      </c>
      <c r="P251" s="10">
        <v>0.9725</v>
      </c>
      <c r="Q251" s="10">
        <v>0.2096</v>
      </c>
      <c r="R251" s="10">
        <v>0.7033</v>
      </c>
      <c r="S251" s="10" t="s">
        <v>7127</v>
      </c>
      <c r="T251" s="8">
        <f>IF(and(ISNUMBER(D251), isnumber(E251)), 1, 0) + IF(and(ISNUMBER(F251), isnumber(G251)), 1, 0) + IF(and(ISNUMBER(H251), isnumber(I251)), 1, 0) + IF(and(ISNUMBER(J251), isnumber(K251)), 1, 0) + IF(and(ISNUMBER(L251), isnumber(M251)), 1, 0) + IF(and(ISNUMBER(N251), isnumber(O251)), 1, 0)</f>
      </c>
      <c r="U251" s="8">
        <f>IF(and(ISNUMBER(P251), isnumber(Q251)), 1, 0) + IF(and(ISNUMBER(R251), isnumber(S251)), 1, 0)</f>
      </c>
      <c r="V251" s="13"/>
      <c r="W251" s="13"/>
      <c r="X251" s="16"/>
    </row>
    <row x14ac:dyDescent="0.25" r="252" customHeight="1" ht="15.75">
      <c r="A252" s="8">
        <v>25684</v>
      </c>
      <c r="B252" s="13" t="s">
        <v>66</v>
      </c>
      <c r="C252" s="13" t="s">
        <v>8983</v>
      </c>
      <c r="D252" s="10">
        <v>0.7424</v>
      </c>
      <c r="E252" s="11">
        <v>186.54</v>
      </c>
      <c r="F252" s="10">
        <v>0.6515</v>
      </c>
      <c r="G252" s="11">
        <v>334.79</v>
      </c>
      <c r="H252" s="10">
        <v>0.4749</v>
      </c>
      <c r="I252" s="11">
        <v>374.61</v>
      </c>
      <c r="J252" s="10">
        <v>0.698</v>
      </c>
      <c r="K252" s="11">
        <v>326.09</v>
      </c>
      <c r="L252" s="10">
        <v>0.5307</v>
      </c>
      <c r="M252" s="11">
        <v>400.86</v>
      </c>
      <c r="N252" s="10">
        <v>0.5754</v>
      </c>
      <c r="O252" s="11">
        <v>364.24</v>
      </c>
      <c r="P252" s="10">
        <v>0.7424</v>
      </c>
      <c r="Q252" s="10">
        <v>0.2092</v>
      </c>
      <c r="R252" s="10">
        <v>0.698</v>
      </c>
      <c r="S252" s="10" t="s">
        <v>7127</v>
      </c>
      <c r="T252" s="8">
        <f>IF(and(ISNUMBER(D252), isnumber(E252)), 1, 0) + IF(and(ISNUMBER(F252), isnumber(G252)), 1, 0) + IF(and(ISNUMBER(H252), isnumber(I252)), 1, 0) + IF(and(ISNUMBER(J252), isnumber(K252)), 1, 0) + IF(and(ISNUMBER(L252), isnumber(M252)), 1, 0) + IF(and(ISNUMBER(N252), isnumber(O252)), 1, 0)</f>
      </c>
      <c r="U252" s="8">
        <f>IF(and(ISNUMBER(P252), isnumber(Q252)), 1, 0) + IF(and(ISNUMBER(R252), isnumber(S252)), 1, 0)</f>
      </c>
      <c r="V252" s="13"/>
      <c r="W252" s="13"/>
      <c r="X252" s="16"/>
    </row>
    <row x14ac:dyDescent="0.25" r="253" customHeight="1" ht="15.75">
      <c r="A253" s="8">
        <v>25652</v>
      </c>
      <c r="B253" s="13" t="s">
        <v>66</v>
      </c>
      <c r="C253" s="13" t="s">
        <v>8995</v>
      </c>
      <c r="D253" s="10">
        <v>0.8889</v>
      </c>
      <c r="E253" s="11">
        <v>196.25</v>
      </c>
      <c r="F253" s="10">
        <v>0.6806</v>
      </c>
      <c r="G253" s="11">
        <v>312.87</v>
      </c>
      <c r="H253" s="10">
        <v>0.4884</v>
      </c>
      <c r="I253" s="11">
        <v>384.84</v>
      </c>
      <c r="J253" s="10">
        <v>0.5802</v>
      </c>
      <c r="K253" s="11">
        <v>278.92</v>
      </c>
      <c r="L253" s="10">
        <v>0.6279</v>
      </c>
      <c r="M253" s="11">
        <v>317.77</v>
      </c>
      <c r="N253" s="10">
        <v>0.5349</v>
      </c>
      <c r="O253" s="11">
        <v>343.72</v>
      </c>
      <c r="P253" s="10">
        <v>0.8889</v>
      </c>
      <c r="Q253" s="10">
        <v>0.2151</v>
      </c>
      <c r="R253" s="10">
        <v>0.5802</v>
      </c>
      <c r="S253" s="10" t="s">
        <v>7127</v>
      </c>
      <c r="T253" s="8">
        <f>IF(and(ISNUMBER(D253), isnumber(E253)), 1, 0) + IF(and(ISNUMBER(F253), isnumber(G253)), 1, 0) + IF(and(ISNUMBER(H253), isnumber(I253)), 1, 0) + IF(and(ISNUMBER(J253), isnumber(K253)), 1, 0) + IF(and(ISNUMBER(L253), isnumber(M253)), 1, 0) + IF(and(ISNUMBER(N253), isnumber(O253)), 1, 0)</f>
      </c>
      <c r="U253" s="8">
        <f>IF(and(ISNUMBER(P253), isnumber(Q253)), 1, 0) + IF(and(ISNUMBER(R253), isnumber(S253)), 1, 0)</f>
      </c>
      <c r="V253" s="13"/>
      <c r="W253" s="13"/>
      <c r="X253" s="16"/>
    </row>
    <row x14ac:dyDescent="0.25" r="254" customHeight="1" ht="15.75">
      <c r="A254" s="8">
        <v>25685</v>
      </c>
      <c r="B254" s="13" t="s">
        <v>66</v>
      </c>
      <c r="C254" s="13" t="s">
        <v>9002</v>
      </c>
      <c r="D254" s="10">
        <v>0.7079</v>
      </c>
      <c r="E254" s="11">
        <v>211.64</v>
      </c>
      <c r="F254" s="10">
        <v>0.5094</v>
      </c>
      <c r="G254" s="11">
        <v>336.11</v>
      </c>
      <c r="H254" s="10">
        <v>0.4729</v>
      </c>
      <c r="I254" s="11">
        <v>421.91</v>
      </c>
      <c r="J254" s="10">
        <v>0.6214</v>
      </c>
      <c r="K254" s="11">
        <v>274.57</v>
      </c>
      <c r="L254" s="10">
        <v>0.4096</v>
      </c>
      <c r="M254" s="11">
        <v>363.53</v>
      </c>
      <c r="N254" s="10">
        <v>0.488</v>
      </c>
      <c r="O254" s="11">
        <v>375.76</v>
      </c>
      <c r="P254" s="10">
        <v>0.7079</v>
      </c>
      <c r="Q254" s="10">
        <v>0.2318</v>
      </c>
      <c r="R254" s="10">
        <v>0.6214</v>
      </c>
      <c r="S254" s="10" t="s">
        <v>7127</v>
      </c>
      <c r="T254" s="8">
        <f>IF(and(ISNUMBER(D254), isnumber(E254)), 1, 0) + IF(and(ISNUMBER(F254), isnumber(G254)), 1, 0) + IF(and(ISNUMBER(H254), isnumber(I254)), 1, 0) + IF(and(ISNUMBER(J254), isnumber(K254)), 1, 0) + IF(and(ISNUMBER(L254), isnumber(M254)), 1, 0) + IF(and(ISNUMBER(N254), isnumber(O254)), 1, 0)</f>
      </c>
      <c r="U254" s="8">
        <f>IF(and(ISNUMBER(P254), isnumber(Q254)), 1, 0) + IF(and(ISNUMBER(R254), isnumber(S254)), 1, 0)</f>
      </c>
      <c r="V254" s="13"/>
      <c r="W254" s="13"/>
      <c r="X254" s="16"/>
    </row>
    <row x14ac:dyDescent="0.25" r="255" customHeight="1" ht="15.75">
      <c r="A255" s="8">
        <v>25686</v>
      </c>
      <c r="B255" s="13" t="s">
        <v>66</v>
      </c>
      <c r="C255" s="13" t="s">
        <v>9012</v>
      </c>
      <c r="D255" s="10">
        <v>0.675</v>
      </c>
      <c r="E255" s="11">
        <v>145.53</v>
      </c>
      <c r="F255" s="10">
        <v>0.5375</v>
      </c>
      <c r="G255" s="11">
        <v>316.77</v>
      </c>
      <c r="H255" s="10">
        <v>0.4597</v>
      </c>
      <c r="I255" s="11">
        <v>364.6</v>
      </c>
      <c r="J255" s="10">
        <v>0.5213</v>
      </c>
      <c r="K255" s="11">
        <v>343.85</v>
      </c>
      <c r="L255" s="10">
        <v>0.4597</v>
      </c>
      <c r="M255" s="11">
        <v>351.73</v>
      </c>
      <c r="N255" s="10">
        <v>0.3886</v>
      </c>
      <c r="O255" s="11">
        <v>380.49</v>
      </c>
      <c r="P255" s="10">
        <v>0.675</v>
      </c>
      <c r="Q255" s="10">
        <v>0.1738</v>
      </c>
      <c r="R255" s="10">
        <v>0.5213</v>
      </c>
      <c r="S255" s="10" t="s">
        <v>7127</v>
      </c>
      <c r="T255" s="8">
        <f>IF(and(ISNUMBER(D255), isnumber(E255)), 1, 0) + IF(and(ISNUMBER(F255), isnumber(G255)), 1, 0) + IF(and(ISNUMBER(H255), isnumber(I255)), 1, 0) + IF(and(ISNUMBER(J255), isnumber(K255)), 1, 0) + IF(and(ISNUMBER(L255), isnumber(M255)), 1, 0) + IF(and(ISNUMBER(N255), isnumber(O255)), 1, 0)</f>
      </c>
      <c r="U255" s="8">
        <f>IF(and(ISNUMBER(P255), isnumber(Q255)), 1, 0) + IF(and(ISNUMBER(R255), isnumber(S255)), 1, 0)</f>
      </c>
      <c r="V255" s="13"/>
      <c r="W255" s="13"/>
      <c r="X255" s="16"/>
    </row>
    <row x14ac:dyDescent="0.25" r="256" customHeight="1" ht="15.75">
      <c r="A256" s="8">
        <v>25653</v>
      </c>
      <c r="B256" s="13" t="s">
        <v>66</v>
      </c>
      <c r="C256" s="13" t="s">
        <v>9022</v>
      </c>
      <c r="D256" s="10">
        <v>1</v>
      </c>
      <c r="E256" s="11">
        <v>233.85</v>
      </c>
      <c r="F256" s="10">
        <v>0.8077</v>
      </c>
      <c r="G256" s="11">
        <v>380.95</v>
      </c>
      <c r="H256" s="10">
        <v>0.9231</v>
      </c>
      <c r="I256" s="11">
        <v>465</v>
      </c>
      <c r="J256" s="10">
        <v>0.9231</v>
      </c>
      <c r="K256" s="11">
        <v>436.52</v>
      </c>
      <c r="L256" s="10">
        <v>0.9615</v>
      </c>
      <c r="M256" s="11">
        <v>489.6</v>
      </c>
      <c r="N256" s="10">
        <v>0.8846</v>
      </c>
      <c r="O256" s="11">
        <v>502.61</v>
      </c>
      <c r="P256" s="10">
        <v>1</v>
      </c>
      <c r="Q256" s="10">
        <v>0.2519</v>
      </c>
      <c r="R256" s="10">
        <v>0.9231</v>
      </c>
      <c r="S256" s="10" t="s">
        <v>7127</v>
      </c>
      <c r="T256" s="8">
        <f>IF(and(ISNUMBER(D256), isnumber(E256)), 1, 0) + IF(and(ISNUMBER(F256), isnumber(G256)), 1, 0) + IF(and(ISNUMBER(H256), isnumber(I256)), 1, 0) + IF(and(ISNUMBER(J256), isnumber(K256)), 1, 0) + IF(and(ISNUMBER(L256), isnumber(M256)), 1, 0) + IF(and(ISNUMBER(N256), isnumber(O256)), 1, 0)</f>
      </c>
      <c r="U256" s="8">
        <f>IF(and(ISNUMBER(P256), isnumber(Q256)), 1, 0) + IF(and(ISNUMBER(R256), isnumber(S256)), 1, 0)</f>
      </c>
      <c r="V256" s="13"/>
      <c r="W256" s="13"/>
      <c r="X256" s="16"/>
    </row>
    <row x14ac:dyDescent="0.25" r="257" customHeight="1" ht="15.75">
      <c r="A257" s="8">
        <v>25687</v>
      </c>
      <c r="B257" s="13" t="s">
        <v>66</v>
      </c>
      <c r="C257" s="13" t="s">
        <v>9029</v>
      </c>
      <c r="D257" s="10">
        <v>0.7278</v>
      </c>
      <c r="E257" s="11">
        <v>213.85</v>
      </c>
      <c r="F257" s="10">
        <v>0.6391</v>
      </c>
      <c r="G257" s="11">
        <v>418.73</v>
      </c>
      <c r="H257" s="10">
        <v>0.4742</v>
      </c>
      <c r="I257" s="11">
        <v>425.66</v>
      </c>
      <c r="J257" s="10">
        <v>0.5618</v>
      </c>
      <c r="K257" s="11">
        <v>378.84</v>
      </c>
      <c r="L257" s="10">
        <v>0.6546</v>
      </c>
      <c r="M257" s="11">
        <v>443.24</v>
      </c>
      <c r="N257" s="10">
        <v>0.634</v>
      </c>
      <c r="O257" s="11">
        <v>412.51</v>
      </c>
      <c r="P257" s="10">
        <v>0.7278</v>
      </c>
      <c r="Q257" s="10">
        <v>0.2435</v>
      </c>
      <c r="R257" s="10">
        <v>0.5618</v>
      </c>
      <c r="S257" s="10" t="s">
        <v>7127</v>
      </c>
      <c r="T257" s="8">
        <f>IF(and(ISNUMBER(D257), isnumber(E257)), 1, 0) + IF(and(ISNUMBER(F257), isnumber(G257)), 1, 0) + IF(and(ISNUMBER(H257), isnumber(I257)), 1, 0) + IF(and(ISNUMBER(J257), isnumber(K257)), 1, 0) + IF(and(ISNUMBER(L257), isnumber(M257)), 1, 0) + IF(and(ISNUMBER(N257), isnumber(O257)), 1, 0)</f>
      </c>
      <c r="U257" s="8">
        <f>IF(and(ISNUMBER(P257), isnumber(Q257)), 1, 0) + IF(and(ISNUMBER(R257), isnumber(S257)), 1, 0)</f>
      </c>
      <c r="V257" s="13"/>
      <c r="W257" s="13"/>
      <c r="X257" s="16"/>
    </row>
    <row x14ac:dyDescent="0.25" r="258" customHeight="1" ht="15.75">
      <c r="A258" s="8">
        <v>25688</v>
      </c>
      <c r="B258" s="13" t="s">
        <v>66</v>
      </c>
      <c r="C258" s="13" t="s">
        <v>9041</v>
      </c>
      <c r="D258" s="10">
        <v>0.4318</v>
      </c>
      <c r="E258" s="11" t="s">
        <v>7127</v>
      </c>
      <c r="F258" s="10">
        <v>0.5227</v>
      </c>
      <c r="G258" s="11">
        <v>368.17</v>
      </c>
      <c r="H258" s="10">
        <v>0.4017</v>
      </c>
      <c r="I258" s="11">
        <v>388.31</v>
      </c>
      <c r="J258" s="10">
        <v>0.6271</v>
      </c>
      <c r="K258" s="11">
        <v>305.45</v>
      </c>
      <c r="L258" s="10">
        <v>0.4103</v>
      </c>
      <c r="M258" s="11">
        <v>365.11</v>
      </c>
      <c r="N258" s="10">
        <v>0.3333</v>
      </c>
      <c r="O258" s="11">
        <v>344.61</v>
      </c>
      <c r="P258" s="10">
        <v>0.4318</v>
      </c>
      <c r="Q258" s="10">
        <v>0.2335</v>
      </c>
      <c r="R258" s="10">
        <v>0.6271</v>
      </c>
      <c r="S258" s="10" t="s">
        <v>7127</v>
      </c>
      <c r="T258" s="8">
        <f>IF(and(ISNUMBER(D258), isnumber(E258)), 1, 0) + IF(and(ISNUMBER(F258), isnumber(G258)), 1, 0) + IF(and(ISNUMBER(H258), isnumber(I258)), 1, 0) + IF(and(ISNUMBER(J258), isnumber(K258)), 1, 0) + IF(and(ISNUMBER(L258), isnumber(M258)), 1, 0) + IF(and(ISNUMBER(N258), isnumber(O258)), 1, 0)</f>
      </c>
      <c r="U258" s="8">
        <f>IF(and(ISNUMBER(P258), isnumber(Q258)), 1, 0) + IF(and(ISNUMBER(R258), isnumber(S258)), 1, 0)</f>
      </c>
      <c r="V258" s="13"/>
      <c r="W258" s="13"/>
      <c r="X258" s="16"/>
    </row>
    <row x14ac:dyDescent="0.25" r="259" customHeight="1" ht="15.75">
      <c r="A259" s="8">
        <v>25689</v>
      </c>
      <c r="B259" s="13" t="s">
        <v>66</v>
      </c>
      <c r="C259" s="13" t="s">
        <v>6641</v>
      </c>
      <c r="D259" s="10">
        <v>0.9862</v>
      </c>
      <c r="E259" s="11">
        <v>315.8</v>
      </c>
      <c r="F259" s="10">
        <v>0.731</v>
      </c>
      <c r="G259" s="11">
        <v>425.28</v>
      </c>
      <c r="H259" s="10">
        <v>0.6966</v>
      </c>
      <c r="I259" s="11">
        <v>469.7</v>
      </c>
      <c r="J259" s="10">
        <v>0.7517</v>
      </c>
      <c r="K259" s="11">
        <v>422.32</v>
      </c>
      <c r="L259" s="10">
        <v>0.7862</v>
      </c>
      <c r="M259" s="11">
        <v>494.87</v>
      </c>
      <c r="N259" s="10">
        <v>0.6828</v>
      </c>
      <c r="O259" s="11">
        <v>477.17</v>
      </c>
      <c r="P259" s="10">
        <v>0.9862</v>
      </c>
      <c r="Q259" s="10">
        <v>0.1955</v>
      </c>
      <c r="R259" s="10">
        <v>0.7517</v>
      </c>
      <c r="S259" s="10" t="s">
        <v>7127</v>
      </c>
      <c r="T259" s="8">
        <f>IF(and(ISNUMBER(D259), isnumber(E259)), 1, 0) + IF(and(ISNUMBER(F259), isnumber(G259)), 1, 0) + IF(and(ISNUMBER(H259), isnumber(I259)), 1, 0) + IF(and(ISNUMBER(J259), isnumber(K259)), 1, 0) + IF(and(ISNUMBER(L259), isnumber(M259)), 1, 0) + IF(and(ISNUMBER(N259), isnumber(O259)), 1, 0)</f>
      </c>
      <c r="U259" s="8">
        <f>IF(and(ISNUMBER(P259), isnumber(Q259)), 1, 0) + IF(and(ISNUMBER(R259), isnumber(S259)), 1, 0)</f>
      </c>
      <c r="V259" s="13"/>
      <c r="W259" s="13"/>
      <c r="X259" s="16"/>
    </row>
    <row x14ac:dyDescent="0.25" r="260" customHeight="1" ht="15.75">
      <c r="A260" s="8">
        <v>25690</v>
      </c>
      <c r="B260" s="13" t="s">
        <v>66</v>
      </c>
      <c r="C260" s="13" t="s">
        <v>9056</v>
      </c>
      <c r="D260" s="10">
        <v>0.9452</v>
      </c>
      <c r="E260" s="11">
        <v>165.5</v>
      </c>
      <c r="F260" s="10">
        <v>0.9863</v>
      </c>
      <c r="G260" s="11">
        <v>216.24</v>
      </c>
      <c r="H260" s="10">
        <v>0.4686</v>
      </c>
      <c r="I260" s="11">
        <v>337.88</v>
      </c>
      <c r="J260" s="10">
        <v>0.6037</v>
      </c>
      <c r="K260" s="11">
        <v>234.53</v>
      </c>
      <c r="L260" s="10">
        <v>0.4286</v>
      </c>
      <c r="M260" s="11" t="s">
        <v>7127</v>
      </c>
      <c r="N260" s="10">
        <v>0.52</v>
      </c>
      <c r="O260" s="11">
        <v>300.83</v>
      </c>
      <c r="P260" s="10">
        <v>0.9452</v>
      </c>
      <c r="Q260" s="10">
        <v>0.1607</v>
      </c>
      <c r="R260" s="10">
        <v>0.6037</v>
      </c>
      <c r="S260" s="10" t="s">
        <v>7127</v>
      </c>
      <c r="T260" s="8">
        <f>IF(and(ISNUMBER(D260), isnumber(E260)), 1, 0) + IF(and(ISNUMBER(F260), isnumber(G260)), 1, 0) + IF(and(ISNUMBER(H260), isnumber(I260)), 1, 0) + IF(and(ISNUMBER(J260), isnumber(K260)), 1, 0) + IF(and(ISNUMBER(L260), isnumber(M260)), 1, 0) + IF(and(ISNUMBER(N260), isnumber(O260)), 1, 0)</f>
      </c>
      <c r="U260" s="8">
        <f>IF(and(ISNUMBER(P260), isnumber(Q260)), 1, 0) + IF(and(ISNUMBER(R260), isnumber(S260)), 1, 0)</f>
      </c>
      <c r="V260" s="13"/>
      <c r="W260" s="13"/>
      <c r="X260" s="16"/>
    </row>
    <row x14ac:dyDescent="0.25" r="261" customHeight="1" ht="15.75">
      <c r="A261" s="8">
        <v>25691</v>
      </c>
      <c r="B261" s="13" t="s">
        <v>66</v>
      </c>
      <c r="C261" s="13" t="s">
        <v>9064</v>
      </c>
      <c r="D261" s="10">
        <v>0.8073</v>
      </c>
      <c r="E261" s="11">
        <v>330.91</v>
      </c>
      <c r="F261" s="10">
        <v>0.6972</v>
      </c>
      <c r="G261" s="11">
        <v>541.69</v>
      </c>
      <c r="H261" s="10">
        <v>0.4407</v>
      </c>
      <c r="I261" s="11">
        <v>511.79</v>
      </c>
      <c r="J261" s="10">
        <v>0.6491</v>
      </c>
      <c r="K261" s="11">
        <v>536.04</v>
      </c>
      <c r="L261" s="10">
        <v>0.3446</v>
      </c>
      <c r="M261" s="11" t="s">
        <v>7127</v>
      </c>
      <c r="N261" s="10">
        <v>0.322</v>
      </c>
      <c r="O261" s="11" t="s">
        <v>7127</v>
      </c>
      <c r="P261" s="10">
        <v>0.8073</v>
      </c>
      <c r="Q261" s="10">
        <v>0.2308</v>
      </c>
      <c r="R261" s="10">
        <v>0.6491</v>
      </c>
      <c r="S261" s="10" t="s">
        <v>7127</v>
      </c>
      <c r="T261" s="8">
        <f>IF(and(ISNUMBER(D261), isnumber(E261)), 1, 0) + IF(and(ISNUMBER(F261), isnumber(G261)), 1, 0) + IF(and(ISNUMBER(H261), isnumber(I261)), 1, 0) + IF(and(ISNUMBER(J261), isnumber(K261)), 1, 0) + IF(and(ISNUMBER(L261), isnumber(M261)), 1, 0) + IF(and(ISNUMBER(N261), isnumber(O261)), 1, 0)</f>
      </c>
      <c r="U261" s="8">
        <f>IF(and(ISNUMBER(P261), isnumber(Q261)), 1, 0) + IF(and(ISNUMBER(R261), isnumber(S261)), 1, 0)</f>
      </c>
      <c r="V261" s="13"/>
      <c r="W261" s="13"/>
      <c r="X261" s="16"/>
    </row>
    <row x14ac:dyDescent="0.25" r="262" customHeight="1" ht="15.75">
      <c r="A262" s="8">
        <v>25692</v>
      </c>
      <c r="B262" s="13" t="s">
        <v>66</v>
      </c>
      <c r="C262" s="13" t="s">
        <v>9073</v>
      </c>
      <c r="D262" s="10">
        <v>0.6538</v>
      </c>
      <c r="E262" s="11">
        <v>169.52</v>
      </c>
      <c r="F262" s="10">
        <v>0.4519</v>
      </c>
      <c r="G262" s="11" t="s">
        <v>7127</v>
      </c>
      <c r="H262" s="10">
        <v>0.4431</v>
      </c>
      <c r="I262" s="11">
        <v>324.33</v>
      </c>
      <c r="J262" s="10">
        <v>0.6338</v>
      </c>
      <c r="K262" s="11">
        <v>233.64</v>
      </c>
      <c r="L262" s="10">
        <v>0.4824</v>
      </c>
      <c r="M262" s="11">
        <v>418.54</v>
      </c>
      <c r="N262" s="10">
        <v>0.5373</v>
      </c>
      <c r="O262" s="11">
        <v>415.56</v>
      </c>
      <c r="P262" s="10">
        <v>0.6538</v>
      </c>
      <c r="Q262" s="10">
        <v>0.2237</v>
      </c>
      <c r="R262" s="10">
        <v>0.6338</v>
      </c>
      <c r="S262" s="10" t="s">
        <v>7127</v>
      </c>
      <c r="T262" s="8">
        <f>IF(and(ISNUMBER(D262), isnumber(E262)), 1, 0) + IF(and(ISNUMBER(F262), isnumber(G262)), 1, 0) + IF(and(ISNUMBER(H262), isnumber(I262)), 1, 0) + IF(and(ISNUMBER(J262), isnumber(K262)), 1, 0) + IF(and(ISNUMBER(L262), isnumber(M262)), 1, 0) + IF(and(ISNUMBER(N262), isnumber(O262)), 1, 0)</f>
      </c>
      <c r="U262" s="8">
        <f>IF(and(ISNUMBER(P262), isnumber(Q262)), 1, 0) + IF(and(ISNUMBER(R262), isnumber(S262)), 1, 0)</f>
      </c>
      <c r="V262" s="13"/>
      <c r="W262" s="13"/>
      <c r="X262" s="16"/>
    </row>
    <row x14ac:dyDescent="0.25" r="263" customHeight="1" ht="15.75">
      <c r="A263" s="8">
        <v>25693</v>
      </c>
      <c r="B263" s="13" t="s">
        <v>66</v>
      </c>
      <c r="C263" s="13" t="s">
        <v>9082</v>
      </c>
      <c r="D263" s="10">
        <v>0.7993</v>
      </c>
      <c r="E263" s="11">
        <v>324.15</v>
      </c>
      <c r="F263" s="10">
        <v>0.7125</v>
      </c>
      <c r="G263" s="11">
        <v>370.67</v>
      </c>
      <c r="H263" s="10">
        <v>0.7505</v>
      </c>
      <c r="I263" s="11">
        <v>427.92</v>
      </c>
      <c r="J263" s="10">
        <v>0.6221</v>
      </c>
      <c r="K263" s="11">
        <v>332.89</v>
      </c>
      <c r="L263" s="10">
        <v>0.6673</v>
      </c>
      <c r="M263" s="11">
        <v>443.8</v>
      </c>
      <c r="N263" s="10">
        <v>0.6528</v>
      </c>
      <c r="O263" s="11">
        <v>457.95</v>
      </c>
      <c r="P263" s="10">
        <v>0.7993</v>
      </c>
      <c r="Q263" s="10">
        <v>0.2188</v>
      </c>
      <c r="R263" s="10">
        <v>0.6221</v>
      </c>
      <c r="S263" s="10" t="s">
        <v>7127</v>
      </c>
      <c r="T263" s="8">
        <f>IF(and(ISNUMBER(D263), isnumber(E263)), 1, 0) + IF(and(ISNUMBER(F263), isnumber(G263)), 1, 0) + IF(and(ISNUMBER(H263), isnumber(I263)), 1, 0) + IF(and(ISNUMBER(J263), isnumber(K263)), 1, 0) + IF(and(ISNUMBER(L263), isnumber(M263)), 1, 0) + IF(and(ISNUMBER(N263), isnumber(O263)), 1, 0)</f>
      </c>
      <c r="U263" s="8">
        <f>IF(and(ISNUMBER(P263), isnumber(Q263)), 1, 0) + IF(and(ISNUMBER(R263), isnumber(S263)), 1, 0)</f>
      </c>
      <c r="V263" s="13"/>
      <c r="W263" s="13"/>
      <c r="X263" s="16"/>
    </row>
    <row x14ac:dyDescent="0.25" r="264" customHeight="1" ht="15.75">
      <c r="A264" s="8">
        <v>25694</v>
      </c>
      <c r="B264" s="13" t="s">
        <v>66</v>
      </c>
      <c r="C264" s="13" t="s">
        <v>9092</v>
      </c>
      <c r="D264" s="10">
        <v>0.975</v>
      </c>
      <c r="E264" s="11">
        <v>224.96</v>
      </c>
      <c r="F264" s="10">
        <v>0.675</v>
      </c>
      <c r="G264" s="11">
        <v>384.3</v>
      </c>
      <c r="H264" s="10">
        <v>0.6667</v>
      </c>
      <c r="I264" s="11">
        <v>448.61</v>
      </c>
      <c r="J264" s="10">
        <v>0.7583</v>
      </c>
      <c r="K264" s="11">
        <v>401.41</v>
      </c>
      <c r="L264" s="10">
        <v>0.725</v>
      </c>
      <c r="M264" s="11">
        <v>434.94</v>
      </c>
      <c r="N264" s="10">
        <v>0.6167</v>
      </c>
      <c r="O264" s="11">
        <v>430.68</v>
      </c>
      <c r="P264" s="10">
        <v>0.975</v>
      </c>
      <c r="Q264" s="10">
        <v>0.2018</v>
      </c>
      <c r="R264" s="10">
        <v>0.7583</v>
      </c>
      <c r="S264" s="10" t="s">
        <v>7127</v>
      </c>
      <c r="T264" s="8">
        <f>IF(and(ISNUMBER(D264), isnumber(E264)), 1, 0) + IF(and(ISNUMBER(F264), isnumber(G264)), 1, 0) + IF(and(ISNUMBER(H264), isnumber(I264)), 1, 0) + IF(and(ISNUMBER(J264), isnumber(K264)), 1, 0) + IF(and(ISNUMBER(L264), isnumber(M264)), 1, 0) + IF(and(ISNUMBER(N264), isnumber(O264)), 1, 0)</f>
      </c>
      <c r="U264" s="8">
        <f>IF(and(ISNUMBER(P264), isnumber(Q264)), 1, 0) + IF(and(ISNUMBER(R264), isnumber(S264)), 1, 0)</f>
      </c>
      <c r="V264" s="13"/>
      <c r="W264" s="13"/>
      <c r="X264" s="16"/>
    </row>
    <row x14ac:dyDescent="0.25" r="265" customHeight="1" ht="15.75">
      <c r="A265" s="8">
        <v>25695</v>
      </c>
      <c r="B265" s="13" t="s">
        <v>66</v>
      </c>
      <c r="C265" s="13" t="s">
        <v>9103</v>
      </c>
      <c r="D265" s="10">
        <v>0.9412</v>
      </c>
      <c r="E265" s="11">
        <v>205.44</v>
      </c>
      <c r="F265" s="10">
        <v>0.4412</v>
      </c>
      <c r="G265" s="11">
        <v>416.41</v>
      </c>
      <c r="H265" s="10">
        <v>0.4312</v>
      </c>
      <c r="I265" s="11" t="s">
        <v>7127</v>
      </c>
      <c r="J265" s="10">
        <v>0.7529</v>
      </c>
      <c r="K265" s="11">
        <v>340.76</v>
      </c>
      <c r="L265" s="10">
        <v>0.4568</v>
      </c>
      <c r="M265" s="11">
        <v>436.43</v>
      </c>
      <c r="N265" s="10">
        <v>0.4361</v>
      </c>
      <c r="O265" s="11">
        <v>471.25</v>
      </c>
      <c r="P265" s="10">
        <v>0.9412</v>
      </c>
      <c r="Q265" s="10">
        <v>0.1481</v>
      </c>
      <c r="R265" s="10">
        <v>0.7529</v>
      </c>
      <c r="S265" s="10" t="s">
        <v>7127</v>
      </c>
      <c r="T265" s="8">
        <f>IF(and(ISNUMBER(D265), isnumber(E265)), 1, 0) + IF(and(ISNUMBER(F265), isnumber(G265)), 1, 0) + IF(and(ISNUMBER(H265), isnumber(I265)), 1, 0) + IF(and(ISNUMBER(J265), isnumber(K265)), 1, 0) + IF(and(ISNUMBER(L265), isnumber(M265)), 1, 0) + IF(and(ISNUMBER(N265), isnumber(O265)), 1, 0)</f>
      </c>
      <c r="U265" s="8">
        <f>IF(and(ISNUMBER(P265), isnumber(Q265)), 1, 0) + IF(and(ISNUMBER(R265), isnumber(S265)), 1, 0)</f>
      </c>
      <c r="V265" s="13"/>
      <c r="W265" s="13"/>
      <c r="X265" s="16"/>
    </row>
    <row x14ac:dyDescent="0.25" r="266" customHeight="1" ht="15.75">
      <c r="A266" s="8">
        <v>25696</v>
      </c>
      <c r="B266" s="13" t="s">
        <v>66</v>
      </c>
      <c r="C266" s="13" t="s">
        <v>9111</v>
      </c>
      <c r="D266" s="10">
        <v>0.5804</v>
      </c>
      <c r="E266" s="11">
        <v>218.05</v>
      </c>
      <c r="F266" s="10">
        <v>0.6294</v>
      </c>
      <c r="G266" s="11">
        <v>308.76</v>
      </c>
      <c r="H266" s="10">
        <v>0.5594</v>
      </c>
      <c r="I266" s="11">
        <v>381.27</v>
      </c>
      <c r="J266" s="10">
        <v>0.5594</v>
      </c>
      <c r="K266" s="11">
        <v>246.15</v>
      </c>
      <c r="L266" s="10">
        <v>0.6154</v>
      </c>
      <c r="M266" s="11">
        <v>327.53</v>
      </c>
      <c r="N266" s="10">
        <v>0.6084</v>
      </c>
      <c r="O266" s="11">
        <v>365.18</v>
      </c>
      <c r="P266" s="10">
        <v>0.5804</v>
      </c>
      <c r="Q266" s="10">
        <v>0.2127</v>
      </c>
      <c r="R266" s="10">
        <v>0.5594</v>
      </c>
      <c r="S266" s="10" t="s">
        <v>7127</v>
      </c>
      <c r="T266" s="8">
        <f>IF(and(ISNUMBER(D266), isnumber(E266)), 1, 0) + IF(and(ISNUMBER(F266), isnumber(G266)), 1, 0) + IF(and(ISNUMBER(H266), isnumber(I266)), 1, 0) + IF(and(ISNUMBER(J266), isnumber(K266)), 1, 0) + IF(and(ISNUMBER(L266), isnumber(M266)), 1, 0) + IF(and(ISNUMBER(N266), isnumber(O266)), 1, 0)</f>
      </c>
      <c r="U266" s="8">
        <f>IF(and(ISNUMBER(P266), isnumber(Q266)), 1, 0) + IF(and(ISNUMBER(R266), isnumber(S266)), 1, 0)</f>
      </c>
      <c r="V266" s="13"/>
      <c r="W266" s="13"/>
      <c r="X266" s="16"/>
    </row>
    <row x14ac:dyDescent="0.25" r="267" customHeight="1" ht="15.75">
      <c r="A267" s="8">
        <v>25697</v>
      </c>
      <c r="B267" s="13" t="s">
        <v>66</v>
      </c>
      <c r="C267" s="13" t="s">
        <v>9121</v>
      </c>
      <c r="D267" s="10">
        <v>0.8235</v>
      </c>
      <c r="E267" s="11">
        <v>263.81</v>
      </c>
      <c r="F267" s="10">
        <v>0.8039</v>
      </c>
      <c r="G267" s="11">
        <v>352.2</v>
      </c>
      <c r="H267" s="10">
        <v>0</v>
      </c>
      <c r="I267" s="11" t="s">
        <v>7127</v>
      </c>
      <c r="J267" s="10">
        <v>0.7255</v>
      </c>
      <c r="K267" s="11">
        <v>400</v>
      </c>
      <c r="L267" s="10">
        <v>0.8039</v>
      </c>
      <c r="M267" s="11">
        <v>496.59</v>
      </c>
      <c r="N267" s="10">
        <v>0.8824</v>
      </c>
      <c r="O267" s="11">
        <v>481.78</v>
      </c>
      <c r="P267" s="10">
        <v>0.8235</v>
      </c>
      <c r="Q267" s="10">
        <v>0.2277</v>
      </c>
      <c r="R267" s="10">
        <v>0.7255</v>
      </c>
      <c r="S267" s="10" t="s">
        <v>7127</v>
      </c>
      <c r="T267" s="8">
        <f>IF(and(ISNUMBER(D267), isnumber(E267)), 1, 0) + IF(and(ISNUMBER(F267), isnumber(G267)), 1, 0) + IF(and(ISNUMBER(H267), isnumber(I267)), 1, 0) + IF(and(ISNUMBER(J267), isnumber(K267)), 1, 0) + IF(and(ISNUMBER(L267), isnumber(M267)), 1, 0) + IF(and(ISNUMBER(N267), isnumber(O267)), 1, 0)</f>
      </c>
      <c r="U267" s="8">
        <f>IF(and(ISNUMBER(P267), isnumber(Q267)), 1, 0) + IF(and(ISNUMBER(R267), isnumber(S267)), 1, 0)</f>
      </c>
      <c r="V267" s="13"/>
      <c r="W267" s="13"/>
      <c r="X267" s="16"/>
    </row>
    <row x14ac:dyDescent="0.25" r="268" customHeight="1" ht="15.75">
      <c r="A268" s="8">
        <v>25698</v>
      </c>
      <c r="B268" s="13" t="s">
        <v>66</v>
      </c>
      <c r="C268" s="13" t="s">
        <v>4916</v>
      </c>
      <c r="D268" s="10">
        <v>0.6</v>
      </c>
      <c r="E268" s="11">
        <v>217.78</v>
      </c>
      <c r="F268" s="10">
        <v>0.6667</v>
      </c>
      <c r="G268" s="11">
        <v>360</v>
      </c>
      <c r="H268" s="10">
        <v>0.24</v>
      </c>
      <c r="I268" s="11">
        <v>0</v>
      </c>
      <c r="J268" s="10">
        <v>0.8</v>
      </c>
      <c r="K268" s="11">
        <v>93.33</v>
      </c>
      <c r="L268" s="10">
        <v>0.28</v>
      </c>
      <c r="M268" s="11">
        <v>422.86</v>
      </c>
      <c r="N268" s="10">
        <v>0.32</v>
      </c>
      <c r="O268" s="11">
        <v>315</v>
      </c>
      <c r="P268" s="10">
        <v>0.6</v>
      </c>
      <c r="Q268" s="10">
        <v>0.2134</v>
      </c>
      <c r="R268" s="10">
        <v>0.8</v>
      </c>
      <c r="S268" s="10">
        <v>0.1833</v>
      </c>
      <c r="T268" s="8">
        <f>IF(and(ISNUMBER(D268), isnumber(E268)), 1, 0) + IF(and(ISNUMBER(F268), isnumber(G268)), 1, 0) + IF(and(ISNUMBER(H268), isnumber(I268)), 1, 0) + IF(and(ISNUMBER(J268), isnumber(K268)), 1, 0) + IF(and(ISNUMBER(L268), isnumber(M268)), 1, 0) + IF(and(ISNUMBER(N268), isnumber(O268)), 1, 0)</f>
      </c>
      <c r="U268" s="8">
        <f>IF(and(ISNUMBER(P268), isnumber(Q268)), 1, 0) + IF(and(ISNUMBER(R268), isnumber(S268)), 1, 0)</f>
      </c>
      <c r="V268" s="13"/>
      <c r="W268" s="13"/>
      <c r="X268" s="16"/>
    </row>
    <row x14ac:dyDescent="0.25" r="269" customHeight="1" ht="15.75">
      <c r="A269" s="8">
        <v>25699</v>
      </c>
      <c r="B269" s="13" t="s">
        <v>66</v>
      </c>
      <c r="C269" s="13" t="s">
        <v>9131</v>
      </c>
      <c r="D269" s="10">
        <v>0.7838</v>
      </c>
      <c r="E269" s="11">
        <v>182.76</v>
      </c>
      <c r="F269" s="10">
        <v>0.7162</v>
      </c>
      <c r="G269" s="11">
        <v>342.78</v>
      </c>
      <c r="H269" s="10">
        <v>0.4854</v>
      </c>
      <c r="I269" s="11">
        <v>416.8</v>
      </c>
      <c r="J269" s="10">
        <v>0.5753</v>
      </c>
      <c r="K269" s="11" t="s">
        <v>7127</v>
      </c>
      <c r="L269" s="10">
        <v>0.4175</v>
      </c>
      <c r="M269" s="11">
        <v>366.02</v>
      </c>
      <c r="N269" s="10">
        <v>0.5631</v>
      </c>
      <c r="O269" s="11">
        <v>372.42</v>
      </c>
      <c r="P269" s="10">
        <v>0.7838</v>
      </c>
      <c r="Q269" s="10">
        <v>0.2186</v>
      </c>
      <c r="R269" s="10">
        <v>0.5753</v>
      </c>
      <c r="S269" s="10" t="s">
        <v>7127</v>
      </c>
      <c r="T269" s="8">
        <f>IF(and(ISNUMBER(D269), isnumber(E269)), 1, 0) + IF(and(ISNUMBER(F269), isnumber(G269)), 1, 0) + IF(and(ISNUMBER(H269), isnumber(I269)), 1, 0) + IF(and(ISNUMBER(J269), isnumber(K269)), 1, 0) + IF(and(ISNUMBER(L269), isnumber(M269)), 1, 0) + IF(and(ISNUMBER(N269), isnumber(O269)), 1, 0)</f>
      </c>
      <c r="U269" s="8">
        <f>IF(and(ISNUMBER(P269), isnumber(Q269)), 1, 0) + IF(and(ISNUMBER(R269), isnumber(S269)), 1, 0)</f>
      </c>
      <c r="V269" s="13"/>
      <c r="W269" s="13"/>
      <c r="X269" s="16"/>
    </row>
    <row x14ac:dyDescent="0.25" r="270" customHeight="1" ht="15.75">
      <c r="A270" s="8">
        <v>25700</v>
      </c>
      <c r="B270" s="13" t="s">
        <v>66</v>
      </c>
      <c r="C270" s="13" t="s">
        <v>9139</v>
      </c>
      <c r="D270" s="10">
        <v>0.7805</v>
      </c>
      <c r="E270" s="11">
        <v>262.56</v>
      </c>
      <c r="F270" s="10">
        <v>0.4808</v>
      </c>
      <c r="G270" s="11">
        <v>406.41</v>
      </c>
      <c r="H270" s="10">
        <v>0.5065</v>
      </c>
      <c r="I270" s="11">
        <v>358.44</v>
      </c>
      <c r="J270" s="10">
        <v>0.8285</v>
      </c>
      <c r="K270" s="11">
        <v>206.86</v>
      </c>
      <c r="L270" s="10">
        <v>0.0033</v>
      </c>
      <c r="M270" s="11" t="s">
        <v>7127</v>
      </c>
      <c r="N270" s="10">
        <v>0</v>
      </c>
      <c r="O270" s="11" t="s">
        <v>7127</v>
      </c>
      <c r="P270" s="10">
        <v>0.7805</v>
      </c>
      <c r="Q270" s="10">
        <v>0.2216</v>
      </c>
      <c r="R270" s="10">
        <v>0.8285</v>
      </c>
      <c r="S270" s="10" t="s">
        <v>7127</v>
      </c>
      <c r="T270" s="8">
        <f>IF(and(ISNUMBER(D270), isnumber(E270)), 1, 0) + IF(and(ISNUMBER(F270), isnumber(G270)), 1, 0) + IF(and(ISNUMBER(H270), isnumber(I270)), 1, 0) + IF(and(ISNUMBER(J270), isnumber(K270)), 1, 0) + IF(and(ISNUMBER(L270), isnumber(M270)), 1, 0) + IF(and(ISNUMBER(N270), isnumber(O270)), 1, 0)</f>
      </c>
      <c r="U270" s="8">
        <f>IF(and(ISNUMBER(P270), isnumber(Q270)), 1, 0) + IF(and(ISNUMBER(R270), isnumber(S270)), 1, 0)</f>
      </c>
      <c r="V270" s="13"/>
      <c r="W270" s="13"/>
      <c r="X270" s="16"/>
    </row>
    <row x14ac:dyDescent="0.25" r="271" customHeight="1" ht="15.75">
      <c r="A271" s="8">
        <v>25701</v>
      </c>
      <c r="B271" s="13" t="s">
        <v>66</v>
      </c>
      <c r="C271" s="13" t="s">
        <v>9146</v>
      </c>
      <c r="D271" s="10">
        <v>0.8797</v>
      </c>
      <c r="E271" s="11">
        <v>184.53</v>
      </c>
      <c r="F271" s="10">
        <v>0.9684</v>
      </c>
      <c r="G271" s="11">
        <v>247.11</v>
      </c>
      <c r="H271" s="10">
        <v>0.6266</v>
      </c>
      <c r="I271" s="11">
        <v>407.08</v>
      </c>
      <c r="J271" s="10">
        <v>0.6456</v>
      </c>
      <c r="K271" s="11">
        <v>226.14</v>
      </c>
      <c r="L271" s="10">
        <v>0.6962</v>
      </c>
      <c r="M271" s="11">
        <v>325.19</v>
      </c>
      <c r="N271" s="10">
        <v>0.7089</v>
      </c>
      <c r="O271" s="11">
        <v>394.55</v>
      </c>
      <c r="P271" s="10">
        <v>0.8797</v>
      </c>
      <c r="Q271" s="10">
        <v>0.1639</v>
      </c>
      <c r="R271" s="10">
        <v>0.6456</v>
      </c>
      <c r="S271" s="10" t="s">
        <v>7127</v>
      </c>
      <c r="T271" s="8">
        <f>IF(and(ISNUMBER(D271), isnumber(E271)), 1, 0) + IF(and(ISNUMBER(F271), isnumber(G271)), 1, 0) + IF(and(ISNUMBER(H271), isnumber(I271)), 1, 0) + IF(and(ISNUMBER(J271), isnumber(K271)), 1, 0) + IF(and(ISNUMBER(L271), isnumber(M271)), 1, 0) + IF(and(ISNUMBER(N271), isnumber(O271)), 1, 0)</f>
      </c>
      <c r="U271" s="8">
        <f>IF(and(ISNUMBER(P271), isnumber(Q271)), 1, 0) + IF(and(ISNUMBER(R271), isnumber(S271)), 1, 0)</f>
      </c>
      <c r="V271" s="13"/>
      <c r="W271" s="13"/>
      <c r="X271" s="16"/>
    </row>
    <row x14ac:dyDescent="0.25" r="272" customHeight="1" ht="15.75">
      <c r="A272" s="8">
        <v>25654</v>
      </c>
      <c r="B272" s="13" t="s">
        <v>66</v>
      </c>
      <c r="C272" s="13" t="s">
        <v>9154</v>
      </c>
      <c r="D272" s="10">
        <v>0.8907</v>
      </c>
      <c r="E272" s="11">
        <v>341.98</v>
      </c>
      <c r="F272" s="10">
        <v>0.8852</v>
      </c>
      <c r="G272" s="11">
        <v>427.41</v>
      </c>
      <c r="H272" s="10">
        <v>0.8306</v>
      </c>
      <c r="I272" s="11">
        <v>482.12</v>
      </c>
      <c r="J272" s="10">
        <v>0.7869</v>
      </c>
      <c r="K272" s="11">
        <v>395.68</v>
      </c>
      <c r="L272" s="10">
        <v>0.7978</v>
      </c>
      <c r="M272" s="11">
        <v>469.86</v>
      </c>
      <c r="N272" s="10">
        <v>0.8142</v>
      </c>
      <c r="O272" s="11">
        <v>453.33</v>
      </c>
      <c r="P272" s="10">
        <v>0.8907</v>
      </c>
      <c r="Q272" s="10">
        <v>0.2684</v>
      </c>
      <c r="R272" s="10">
        <v>0.7869</v>
      </c>
      <c r="S272" s="10" t="s">
        <v>7127</v>
      </c>
      <c r="T272" s="8">
        <f>IF(and(ISNUMBER(D272), isnumber(E272)), 1, 0) + IF(and(ISNUMBER(F272), isnumber(G272)), 1, 0) + IF(and(ISNUMBER(H272), isnumber(I272)), 1, 0) + IF(and(ISNUMBER(J272), isnumber(K272)), 1, 0) + IF(and(ISNUMBER(L272), isnumber(M272)), 1, 0) + IF(and(ISNUMBER(N272), isnumber(O272)), 1, 0)</f>
      </c>
      <c r="U272" s="8">
        <f>IF(and(ISNUMBER(P272), isnumber(Q272)), 1, 0) + IF(and(ISNUMBER(R272), isnumber(S272)), 1, 0)</f>
      </c>
      <c r="V272" s="13"/>
      <c r="W272" s="13"/>
      <c r="X272" s="16"/>
    </row>
    <row x14ac:dyDescent="0.25" r="273" customHeight="1" ht="15.75">
      <c r="A273" s="8">
        <v>25702</v>
      </c>
      <c r="B273" s="13" t="s">
        <v>66</v>
      </c>
      <c r="C273" s="13" t="s">
        <v>4917</v>
      </c>
      <c r="D273" s="10">
        <v>0.8182</v>
      </c>
      <c r="E273" s="11">
        <v>22.22</v>
      </c>
      <c r="F273" s="10">
        <v>0.5455</v>
      </c>
      <c r="G273" s="11">
        <v>326.67</v>
      </c>
      <c r="H273" s="10">
        <v>0.2632</v>
      </c>
      <c r="I273" s="11">
        <v>260</v>
      </c>
      <c r="J273" s="10">
        <v>0.7407</v>
      </c>
      <c r="K273" s="11">
        <v>354</v>
      </c>
      <c r="L273" s="10">
        <v>0.3158</v>
      </c>
      <c r="M273" s="11">
        <v>350</v>
      </c>
      <c r="N273" s="10">
        <v>0.2368</v>
      </c>
      <c r="O273" s="11">
        <v>320</v>
      </c>
      <c r="P273" s="10">
        <v>0.8182</v>
      </c>
      <c r="Q273" s="10">
        <v>0.2094</v>
      </c>
      <c r="R273" s="10">
        <v>0.7407</v>
      </c>
      <c r="S273" s="10">
        <v>0.1917</v>
      </c>
      <c r="T273" s="8">
        <f>IF(and(ISNUMBER(D273), isnumber(E273)), 1, 0) + IF(and(ISNUMBER(F273), isnumber(G273)), 1, 0) + IF(and(ISNUMBER(H273), isnumber(I273)), 1, 0) + IF(and(ISNUMBER(J273), isnumber(K273)), 1, 0) + IF(and(ISNUMBER(L273), isnumber(M273)), 1, 0) + IF(and(ISNUMBER(N273), isnumber(O273)), 1, 0)</f>
      </c>
      <c r="U273" s="8">
        <f>IF(and(ISNUMBER(P273), isnumber(Q273)), 1, 0) + IF(and(ISNUMBER(R273), isnumber(S273)), 1, 0)</f>
      </c>
      <c r="V273" s="13"/>
      <c r="W273" s="13"/>
      <c r="X273" s="16"/>
    </row>
    <row x14ac:dyDescent="0.25" r="274" customHeight="1" ht="15.75">
      <c r="A274" s="8">
        <v>25655</v>
      </c>
      <c r="B274" s="13" t="s">
        <v>66</v>
      </c>
      <c r="C274" s="13" t="s">
        <v>9166</v>
      </c>
      <c r="D274" s="10">
        <v>0.7143</v>
      </c>
      <c r="E274" s="11">
        <v>229.82</v>
      </c>
      <c r="F274" s="10">
        <v>0.5839</v>
      </c>
      <c r="G274" s="11">
        <v>391.49</v>
      </c>
      <c r="H274" s="10">
        <v>0.7143</v>
      </c>
      <c r="I274" s="11">
        <v>427.96</v>
      </c>
      <c r="J274" s="10">
        <v>0.6646</v>
      </c>
      <c r="K274" s="11">
        <v>365.83</v>
      </c>
      <c r="L274" s="10">
        <v>0.5776</v>
      </c>
      <c r="M274" s="11">
        <v>424.52</v>
      </c>
      <c r="N274" s="10">
        <v>0.528</v>
      </c>
      <c r="O274" s="11">
        <v>439.06</v>
      </c>
      <c r="P274" s="10">
        <v>0.7143</v>
      </c>
      <c r="Q274" s="10">
        <v>0.2305</v>
      </c>
      <c r="R274" s="10">
        <v>0.6646</v>
      </c>
      <c r="S274" s="10" t="s">
        <v>7127</v>
      </c>
      <c r="T274" s="8">
        <f>IF(and(ISNUMBER(D274), isnumber(E274)), 1, 0) + IF(and(ISNUMBER(F274), isnumber(G274)), 1, 0) + IF(and(ISNUMBER(H274), isnumber(I274)), 1, 0) + IF(and(ISNUMBER(J274), isnumber(K274)), 1, 0) + IF(and(ISNUMBER(L274), isnumber(M274)), 1, 0) + IF(and(ISNUMBER(N274), isnumber(O274)), 1, 0)</f>
      </c>
      <c r="U274" s="8">
        <f>IF(and(ISNUMBER(P274), isnumber(Q274)), 1, 0) + IF(and(ISNUMBER(R274), isnumber(S274)), 1, 0)</f>
      </c>
      <c r="V274" s="13"/>
      <c r="W274" s="13"/>
      <c r="X274" s="16"/>
    </row>
    <row x14ac:dyDescent="0.25" r="275" customHeight="1" ht="15.75">
      <c r="A275" s="8">
        <v>25703</v>
      </c>
      <c r="B275" s="13" t="s">
        <v>66</v>
      </c>
      <c r="C275" s="13" t="s">
        <v>9176</v>
      </c>
      <c r="D275" s="10">
        <v>0.7692</v>
      </c>
      <c r="E275" s="11">
        <v>311.04</v>
      </c>
      <c r="F275" s="10">
        <v>0.6484</v>
      </c>
      <c r="G275" s="11">
        <v>460.69</v>
      </c>
      <c r="H275" s="10">
        <v>0.6593</v>
      </c>
      <c r="I275" s="11">
        <v>445.33</v>
      </c>
      <c r="J275" s="10">
        <v>0.6374</v>
      </c>
      <c r="K275" s="11">
        <v>361.38</v>
      </c>
      <c r="L275" s="10">
        <v>0.6923</v>
      </c>
      <c r="M275" s="11">
        <v>473.02</v>
      </c>
      <c r="N275" s="10">
        <v>0.5275</v>
      </c>
      <c r="O275" s="11">
        <v>473.33</v>
      </c>
      <c r="P275" s="10">
        <v>0.7692</v>
      </c>
      <c r="Q275" s="10">
        <v>0.2492</v>
      </c>
      <c r="R275" s="10">
        <v>0.6374</v>
      </c>
      <c r="S275" s="10" t="s">
        <v>7127</v>
      </c>
      <c r="T275" s="8">
        <f>IF(and(ISNUMBER(D275), isnumber(E275)), 1, 0) + IF(and(ISNUMBER(F275), isnumber(G275)), 1, 0) + IF(and(ISNUMBER(H275), isnumber(I275)), 1, 0) + IF(and(ISNUMBER(J275), isnumber(K275)), 1, 0) + IF(and(ISNUMBER(L275), isnumber(M275)), 1, 0) + IF(and(ISNUMBER(N275), isnumber(O275)), 1, 0)</f>
      </c>
      <c r="U275" s="8">
        <f>IF(and(ISNUMBER(P275), isnumber(Q275)), 1, 0) + IF(and(ISNUMBER(R275), isnumber(S275)), 1, 0)</f>
      </c>
      <c r="V275" s="13"/>
      <c r="W275" s="13"/>
      <c r="X275" s="16"/>
    </row>
    <row x14ac:dyDescent="0.25" r="276" customHeight="1" ht="15.75">
      <c r="A276" s="8">
        <v>25656</v>
      </c>
      <c r="B276" s="13" t="s">
        <v>66</v>
      </c>
      <c r="C276" s="13" t="s">
        <v>9185</v>
      </c>
      <c r="D276" s="10">
        <v>0.9903</v>
      </c>
      <c r="E276" s="11">
        <v>251.07</v>
      </c>
      <c r="F276" s="10">
        <v>0.7419</v>
      </c>
      <c r="G276" s="11">
        <v>442.3</v>
      </c>
      <c r="H276" s="10">
        <v>0.8161</v>
      </c>
      <c r="I276" s="11">
        <v>447.13</v>
      </c>
      <c r="J276" s="10">
        <v>0.7323</v>
      </c>
      <c r="K276" s="11">
        <v>388.7</v>
      </c>
      <c r="L276" s="10">
        <v>0.6774</v>
      </c>
      <c r="M276" s="11">
        <v>440.39</v>
      </c>
      <c r="N276" s="10">
        <v>0.7194</v>
      </c>
      <c r="O276" s="11">
        <v>448.11</v>
      </c>
      <c r="P276" s="10">
        <v>0.9903</v>
      </c>
      <c r="Q276" s="10">
        <v>0.1985</v>
      </c>
      <c r="R276" s="10">
        <v>0.7323</v>
      </c>
      <c r="S276" s="10" t="s">
        <v>7127</v>
      </c>
      <c r="T276" s="8">
        <f>IF(and(ISNUMBER(D276), isnumber(E276)), 1, 0) + IF(and(ISNUMBER(F276), isnumber(G276)), 1, 0) + IF(and(ISNUMBER(H276), isnumber(I276)), 1, 0) + IF(and(ISNUMBER(J276), isnumber(K276)), 1, 0) + IF(and(ISNUMBER(L276), isnumber(M276)), 1, 0) + IF(and(ISNUMBER(N276), isnumber(O276)), 1, 0)</f>
      </c>
      <c r="U276" s="8">
        <f>IF(and(ISNUMBER(P276), isnumber(Q276)), 1, 0) + IF(and(ISNUMBER(R276), isnumber(S276)), 1, 0)</f>
      </c>
      <c r="V276" s="13"/>
      <c r="W276" s="13"/>
      <c r="X276" s="16"/>
    </row>
    <row x14ac:dyDescent="0.25" r="277" customHeight="1" ht="15.75">
      <c r="A277" s="8">
        <v>25704</v>
      </c>
      <c r="B277" s="13" t="s">
        <v>66</v>
      </c>
      <c r="C277" s="13" t="s">
        <v>9193</v>
      </c>
      <c r="D277" s="10">
        <v>0.8069</v>
      </c>
      <c r="E277" s="11">
        <v>335.21</v>
      </c>
      <c r="F277" s="10">
        <v>0.599</v>
      </c>
      <c r="G277" s="11">
        <v>435.04</v>
      </c>
      <c r="H277" s="10">
        <v>0.6386</v>
      </c>
      <c r="I277" s="11">
        <v>503.57</v>
      </c>
      <c r="J277" s="10">
        <v>0.6832</v>
      </c>
      <c r="K277" s="11">
        <v>456.25</v>
      </c>
      <c r="L277" s="10">
        <v>0.7079</v>
      </c>
      <c r="M277" s="11">
        <v>468.53</v>
      </c>
      <c r="N277" s="10">
        <v>0.6139</v>
      </c>
      <c r="O277" s="11">
        <v>479.03</v>
      </c>
      <c r="P277" s="10">
        <v>0.8069</v>
      </c>
      <c r="Q277" s="10">
        <v>0.2604</v>
      </c>
      <c r="R277" s="10">
        <v>0.6832</v>
      </c>
      <c r="S277" s="10" t="s">
        <v>7127</v>
      </c>
      <c r="T277" s="8">
        <f>IF(and(ISNUMBER(D277), isnumber(E277)), 1, 0) + IF(and(ISNUMBER(F277), isnumber(G277)), 1, 0) + IF(and(ISNUMBER(H277), isnumber(I277)), 1, 0) + IF(and(ISNUMBER(J277), isnumber(K277)), 1, 0) + IF(and(ISNUMBER(L277), isnumber(M277)), 1, 0) + IF(and(ISNUMBER(N277), isnumber(O277)), 1, 0)</f>
      </c>
      <c r="U277" s="8">
        <f>IF(and(ISNUMBER(P277), isnumber(Q277)), 1, 0) + IF(and(ISNUMBER(R277), isnumber(S277)), 1, 0)</f>
      </c>
      <c r="V277" s="13"/>
      <c r="W277" s="13"/>
      <c r="X277" s="16"/>
    </row>
    <row x14ac:dyDescent="0.25" r="278" customHeight="1" ht="15.75">
      <c r="A278" s="8">
        <v>25705</v>
      </c>
      <c r="B278" s="13" t="s">
        <v>66</v>
      </c>
      <c r="C278" s="13" t="s">
        <v>9204</v>
      </c>
      <c r="D278" s="10">
        <v>0.9623</v>
      </c>
      <c r="E278" s="11">
        <v>408.63</v>
      </c>
      <c r="F278" s="10">
        <v>0.9434</v>
      </c>
      <c r="G278" s="11">
        <v>485.6</v>
      </c>
      <c r="H278" s="10">
        <v>0.8868</v>
      </c>
      <c r="I278" s="11">
        <v>518.3</v>
      </c>
      <c r="J278" s="10">
        <v>0.9245</v>
      </c>
      <c r="K278" s="11">
        <v>482.45</v>
      </c>
      <c r="L278" s="10">
        <v>0.9245</v>
      </c>
      <c r="M278" s="11">
        <v>503.67</v>
      </c>
      <c r="N278" s="10">
        <v>0.9245</v>
      </c>
      <c r="O278" s="11">
        <v>554.29</v>
      </c>
      <c r="P278" s="10">
        <v>0.9623</v>
      </c>
      <c r="Q278" s="10">
        <v>0.2851</v>
      </c>
      <c r="R278" s="10">
        <v>0.9245</v>
      </c>
      <c r="S278" s="10" t="s">
        <v>7127</v>
      </c>
      <c r="T278" s="8">
        <f>IF(and(ISNUMBER(D278), isnumber(E278)), 1, 0) + IF(and(ISNUMBER(F278), isnumber(G278)), 1, 0) + IF(and(ISNUMBER(H278), isnumber(I278)), 1, 0) + IF(and(ISNUMBER(J278), isnumber(K278)), 1, 0) + IF(and(ISNUMBER(L278), isnumber(M278)), 1, 0) + IF(and(ISNUMBER(N278), isnumber(O278)), 1, 0)</f>
      </c>
      <c r="U278" s="8">
        <f>IF(and(ISNUMBER(P278), isnumber(Q278)), 1, 0) + IF(and(ISNUMBER(R278), isnumber(S278)), 1, 0)</f>
      </c>
      <c r="V278" s="13"/>
      <c r="W278" s="13"/>
      <c r="X278" s="16"/>
    </row>
    <row x14ac:dyDescent="0.25" r="279" customHeight="1" ht="15.75">
      <c r="A279" s="8">
        <v>25706</v>
      </c>
      <c r="B279" s="13" t="s">
        <v>66</v>
      </c>
      <c r="C279" s="13" t="s">
        <v>9212</v>
      </c>
      <c r="D279" s="10">
        <v>0.6371</v>
      </c>
      <c r="E279" s="11">
        <v>168.39</v>
      </c>
      <c r="F279" s="10">
        <v>0.6344</v>
      </c>
      <c r="G279" s="11">
        <v>285.94</v>
      </c>
      <c r="H279" s="10">
        <v>0.5433</v>
      </c>
      <c r="I279" s="11">
        <v>385</v>
      </c>
      <c r="J279" s="10">
        <v>0.3802</v>
      </c>
      <c r="K279" s="11">
        <v>231.33</v>
      </c>
      <c r="L279" s="10">
        <v>0.4871</v>
      </c>
      <c r="M279" s="11">
        <v>363.29</v>
      </c>
      <c r="N279" s="10">
        <v>0.5785</v>
      </c>
      <c r="O279" s="11">
        <v>399.81</v>
      </c>
      <c r="P279" s="10">
        <v>0.6371</v>
      </c>
      <c r="Q279" s="10">
        <v>0.1851</v>
      </c>
      <c r="R279" s="10">
        <v>0.3802</v>
      </c>
      <c r="S279" s="10" t="s">
        <v>7127</v>
      </c>
      <c r="T279" s="8">
        <f>IF(and(ISNUMBER(D279), isnumber(E279)), 1, 0) + IF(and(ISNUMBER(F279), isnumber(G279)), 1, 0) + IF(and(ISNUMBER(H279), isnumber(I279)), 1, 0) + IF(and(ISNUMBER(J279), isnumber(K279)), 1, 0) + IF(and(ISNUMBER(L279), isnumber(M279)), 1, 0) + IF(and(ISNUMBER(N279), isnumber(O279)), 1, 0)</f>
      </c>
      <c r="U279" s="8">
        <f>IF(and(ISNUMBER(P279), isnumber(Q279)), 1, 0) + IF(and(ISNUMBER(R279), isnumber(S279)), 1, 0)</f>
      </c>
      <c r="V279" s="13"/>
      <c r="W279" s="13"/>
      <c r="X279" s="16"/>
    </row>
    <row x14ac:dyDescent="0.25" r="280" customHeight="1" ht="15.75">
      <c r="A280" s="8">
        <v>25707</v>
      </c>
      <c r="B280" s="13" t="s">
        <v>66</v>
      </c>
      <c r="C280" s="13" t="s">
        <v>9225</v>
      </c>
      <c r="D280" s="10">
        <v>0.5778</v>
      </c>
      <c r="E280" s="11">
        <v>89.23</v>
      </c>
      <c r="F280" s="10">
        <v>0.5778</v>
      </c>
      <c r="G280" s="11">
        <v>303.08</v>
      </c>
      <c r="H280" s="10">
        <v>0.6667</v>
      </c>
      <c r="I280" s="11">
        <v>382.67</v>
      </c>
      <c r="J280" s="10">
        <v>0.7333</v>
      </c>
      <c r="K280" s="11">
        <v>224</v>
      </c>
      <c r="L280" s="10">
        <v>0.5556</v>
      </c>
      <c r="M280" s="11">
        <v>380</v>
      </c>
      <c r="N280" s="10">
        <v>0.5778</v>
      </c>
      <c r="O280" s="11">
        <v>403.08</v>
      </c>
      <c r="P280" s="10">
        <v>0.5778</v>
      </c>
      <c r="Q280" s="10">
        <v>0.1898</v>
      </c>
      <c r="R280" s="10">
        <v>0.7333</v>
      </c>
      <c r="S280" s="10" t="s">
        <v>7127</v>
      </c>
      <c r="T280" s="8">
        <f>IF(and(ISNUMBER(D280), isnumber(E280)), 1, 0) + IF(and(ISNUMBER(F280), isnumber(G280)), 1, 0) + IF(and(ISNUMBER(H280), isnumber(I280)), 1, 0) + IF(and(ISNUMBER(J280), isnumber(K280)), 1, 0) + IF(and(ISNUMBER(L280), isnumber(M280)), 1, 0) + IF(and(ISNUMBER(N280), isnumber(O280)), 1, 0)</f>
      </c>
      <c r="U280" s="8">
        <f>IF(and(ISNUMBER(P280), isnumber(Q280)), 1, 0) + IF(and(ISNUMBER(R280), isnumber(S280)), 1, 0)</f>
      </c>
      <c r="V280" s="13"/>
      <c r="W280" s="13"/>
      <c r="X280" s="16"/>
    </row>
    <row x14ac:dyDescent="0.25" r="281" customHeight="1" ht="15.75">
      <c r="A281" s="8">
        <v>25657</v>
      </c>
      <c r="B281" s="13" t="s">
        <v>66</v>
      </c>
      <c r="C281" s="13" t="s">
        <v>9231</v>
      </c>
      <c r="D281" s="10">
        <v>0.6671</v>
      </c>
      <c r="E281" s="11">
        <v>292.37</v>
      </c>
      <c r="F281" s="10">
        <v>0.4161</v>
      </c>
      <c r="G281" s="11">
        <v>476.85</v>
      </c>
      <c r="H281" s="10">
        <v>0.6221</v>
      </c>
      <c r="I281" s="11">
        <v>432.7</v>
      </c>
      <c r="J281" s="10">
        <v>0.6082</v>
      </c>
      <c r="K281" s="11">
        <v>326.72</v>
      </c>
      <c r="L281" s="10">
        <v>0.5789</v>
      </c>
      <c r="M281" s="11">
        <v>371.5</v>
      </c>
      <c r="N281" s="10">
        <v>0.6158</v>
      </c>
      <c r="O281" s="11">
        <v>320.98</v>
      </c>
      <c r="P281" s="10">
        <v>0.6671</v>
      </c>
      <c r="Q281" s="10">
        <v>0.2134</v>
      </c>
      <c r="R281" s="10">
        <v>0.6082</v>
      </c>
      <c r="S281" s="10" t="s">
        <v>7127</v>
      </c>
      <c r="T281" s="8">
        <f>IF(and(ISNUMBER(D281), isnumber(E281)), 1, 0) + IF(and(ISNUMBER(F281), isnumber(G281)), 1, 0) + IF(and(ISNUMBER(H281), isnumber(I281)), 1, 0) + IF(and(ISNUMBER(J281), isnumber(K281)), 1, 0) + IF(and(ISNUMBER(L281), isnumber(M281)), 1, 0) + IF(and(ISNUMBER(N281), isnumber(O281)), 1, 0)</f>
      </c>
      <c r="U281" s="8">
        <f>IF(and(ISNUMBER(P281), isnumber(Q281)), 1, 0) + IF(and(ISNUMBER(R281), isnumber(S281)), 1, 0)</f>
      </c>
      <c r="V281" s="13"/>
      <c r="W281" s="13"/>
      <c r="X281" s="16"/>
    </row>
    <row x14ac:dyDescent="0.25" r="282" customHeight="1" ht="15.75">
      <c r="A282" s="8">
        <v>25708</v>
      </c>
      <c r="B282" s="13" t="s">
        <v>66</v>
      </c>
      <c r="C282" s="13" t="s">
        <v>9241</v>
      </c>
      <c r="D282" s="10">
        <v>1</v>
      </c>
      <c r="E282" s="11">
        <v>231.62</v>
      </c>
      <c r="F282" s="10">
        <v>0.9905</v>
      </c>
      <c r="G282" s="11">
        <v>219.57</v>
      </c>
      <c r="H282" s="10">
        <v>0.4961</v>
      </c>
      <c r="I282" s="11">
        <v>427.3</v>
      </c>
      <c r="J282" s="10">
        <v>0.6589</v>
      </c>
      <c r="K282" s="11">
        <v>317</v>
      </c>
      <c r="L282" s="10">
        <v>0.7287</v>
      </c>
      <c r="M282" s="11">
        <v>396.48</v>
      </c>
      <c r="N282" s="10">
        <v>0.7829</v>
      </c>
      <c r="O282" s="11">
        <v>432.4</v>
      </c>
      <c r="P282" s="10">
        <v>1</v>
      </c>
      <c r="Q282" s="10">
        <v>0.1931</v>
      </c>
      <c r="R282" s="10">
        <v>0.6589</v>
      </c>
      <c r="S282" s="10" t="s">
        <v>7127</v>
      </c>
      <c r="T282" s="8">
        <f>IF(and(ISNUMBER(D282), isnumber(E282)), 1, 0) + IF(and(ISNUMBER(F282), isnumber(G282)), 1, 0) + IF(and(ISNUMBER(H282), isnumber(I282)), 1, 0) + IF(and(ISNUMBER(J282), isnumber(K282)), 1, 0) + IF(and(ISNUMBER(L282), isnumber(M282)), 1, 0) + IF(and(ISNUMBER(N282), isnumber(O282)), 1, 0)</f>
      </c>
      <c r="U282" s="8">
        <f>IF(and(ISNUMBER(P282), isnumber(Q282)), 1, 0) + IF(and(ISNUMBER(R282), isnumber(S282)), 1, 0)</f>
      </c>
      <c r="V282" s="13"/>
      <c r="W282" s="13"/>
      <c r="X282" s="16"/>
    </row>
    <row x14ac:dyDescent="0.25" r="283" customHeight="1" ht="15.75">
      <c r="A283" s="8">
        <v>25709</v>
      </c>
      <c r="B283" s="13" t="s">
        <v>66</v>
      </c>
      <c r="C283" s="13" t="s">
        <v>9249</v>
      </c>
      <c r="D283" s="10">
        <v>0.6316</v>
      </c>
      <c r="E283" s="11">
        <v>369.7</v>
      </c>
      <c r="F283" s="10">
        <v>0.6066</v>
      </c>
      <c r="G283" s="11">
        <v>427.27</v>
      </c>
      <c r="H283" s="10">
        <v>0.5961</v>
      </c>
      <c r="I283" s="11">
        <v>324.36</v>
      </c>
      <c r="J283" s="10">
        <v>0.4658</v>
      </c>
      <c r="K283" s="11">
        <v>279.88</v>
      </c>
      <c r="L283" s="10">
        <v>0.6711</v>
      </c>
      <c r="M283" s="11">
        <v>319.37</v>
      </c>
      <c r="N283" s="10">
        <v>0.575</v>
      </c>
      <c r="O283" s="11">
        <v>261.43</v>
      </c>
      <c r="P283" s="10">
        <v>0.6316</v>
      </c>
      <c r="Q283" s="10">
        <v>0.2548</v>
      </c>
      <c r="R283" s="10">
        <v>0.4658</v>
      </c>
      <c r="S283" s="10" t="s">
        <v>7127</v>
      </c>
      <c r="T283" s="8">
        <f>IF(and(ISNUMBER(D283), isnumber(E283)), 1, 0) + IF(and(ISNUMBER(F283), isnumber(G283)), 1, 0) + IF(and(ISNUMBER(H283), isnumber(I283)), 1, 0) + IF(and(ISNUMBER(J283), isnumber(K283)), 1, 0) + IF(and(ISNUMBER(L283), isnumber(M283)), 1, 0) + IF(and(ISNUMBER(N283), isnumber(O283)), 1, 0)</f>
      </c>
      <c r="U283" s="8">
        <f>IF(and(ISNUMBER(P283), isnumber(Q283)), 1, 0) + IF(and(ISNUMBER(R283), isnumber(S283)), 1, 0)</f>
      </c>
      <c r="V283" s="13"/>
      <c r="W283" s="13"/>
      <c r="X283" s="16"/>
    </row>
    <row x14ac:dyDescent="0.25" r="284" customHeight="1" ht="15.75">
      <c r="A284" s="8">
        <v>25712</v>
      </c>
      <c r="B284" s="13" t="s">
        <v>66</v>
      </c>
      <c r="C284" s="13" t="s">
        <v>9258</v>
      </c>
      <c r="D284" s="10">
        <v>0.7396</v>
      </c>
      <c r="E284" s="11">
        <v>194.37</v>
      </c>
      <c r="F284" s="10">
        <v>0.6875</v>
      </c>
      <c r="G284" s="11">
        <v>341.82</v>
      </c>
      <c r="H284" s="10">
        <v>0.7083</v>
      </c>
      <c r="I284" s="11">
        <v>361.19</v>
      </c>
      <c r="J284" s="10">
        <v>0.5833</v>
      </c>
      <c r="K284" s="11">
        <v>250</v>
      </c>
      <c r="L284" s="10">
        <v>0.4688</v>
      </c>
      <c r="M284" s="11">
        <v>310.91</v>
      </c>
      <c r="N284" s="10">
        <v>0.5938</v>
      </c>
      <c r="O284" s="11">
        <v>352.14</v>
      </c>
      <c r="P284" s="10">
        <v>0.7396</v>
      </c>
      <c r="Q284" s="10">
        <v>0.235</v>
      </c>
      <c r="R284" s="10">
        <v>0.5833</v>
      </c>
      <c r="S284" s="10" t="s">
        <v>7127</v>
      </c>
      <c r="T284" s="8">
        <f>IF(and(ISNUMBER(D284), isnumber(E284)), 1, 0) + IF(and(ISNUMBER(F284), isnumber(G284)), 1, 0) + IF(and(ISNUMBER(H284), isnumber(I284)), 1, 0) + IF(and(ISNUMBER(J284), isnumber(K284)), 1, 0) + IF(and(ISNUMBER(L284), isnumber(M284)), 1, 0) + IF(and(ISNUMBER(N284), isnumber(O284)), 1, 0)</f>
      </c>
      <c r="U284" s="8">
        <f>IF(and(ISNUMBER(P284), isnumber(Q284)), 1, 0) + IF(and(ISNUMBER(R284), isnumber(S284)), 1, 0)</f>
      </c>
      <c r="V284" s="13"/>
      <c r="W284" s="13"/>
      <c r="X284" s="16"/>
    </row>
    <row x14ac:dyDescent="0.25" r="285" customHeight="1" ht="15.75">
      <c r="A285" s="8">
        <v>25713</v>
      </c>
      <c r="B285" s="13" t="s">
        <v>66</v>
      </c>
      <c r="C285" s="13" t="s">
        <v>9263</v>
      </c>
      <c r="D285" s="10">
        <v>0.6944</v>
      </c>
      <c r="E285" s="11">
        <v>454.4</v>
      </c>
      <c r="F285" s="10">
        <v>0.7222</v>
      </c>
      <c r="G285" s="11">
        <v>423.08</v>
      </c>
      <c r="H285" s="10">
        <v>0.4</v>
      </c>
      <c r="I285" s="11">
        <v>472</v>
      </c>
      <c r="J285" s="10">
        <v>0.55</v>
      </c>
      <c r="K285" s="11">
        <v>308.83</v>
      </c>
      <c r="L285" s="10">
        <v>0.4</v>
      </c>
      <c r="M285" s="11" t="s">
        <v>7127</v>
      </c>
      <c r="N285" s="10">
        <v>0</v>
      </c>
      <c r="O285" s="11" t="s">
        <v>7127</v>
      </c>
      <c r="P285" s="10">
        <v>0.6944</v>
      </c>
      <c r="Q285" s="10">
        <v>0.2365</v>
      </c>
      <c r="R285" s="10">
        <v>0.55</v>
      </c>
      <c r="S285" s="10" t="s">
        <v>7127</v>
      </c>
      <c r="T285" s="8">
        <f>IF(and(ISNUMBER(D285), isnumber(E285)), 1, 0) + IF(and(ISNUMBER(F285), isnumber(G285)), 1, 0) + IF(and(ISNUMBER(H285), isnumber(I285)), 1, 0) + IF(and(ISNUMBER(J285), isnumber(K285)), 1, 0) + IF(and(ISNUMBER(L285), isnumber(M285)), 1, 0) + IF(and(ISNUMBER(N285), isnumber(O285)), 1, 0)</f>
      </c>
      <c r="U285" s="8">
        <f>IF(and(ISNUMBER(P285), isnumber(Q285)), 1, 0) + IF(and(ISNUMBER(R285), isnumber(S285)), 1, 0)</f>
      </c>
      <c r="V285" s="13"/>
      <c r="W285" s="13"/>
      <c r="X285" s="16"/>
    </row>
    <row x14ac:dyDescent="0.25" r="286" customHeight="1" ht="15.75">
      <c r="A286" s="8">
        <v>25714</v>
      </c>
      <c r="B286" s="13" t="s">
        <v>66</v>
      </c>
      <c r="C286" s="13" t="s">
        <v>9268</v>
      </c>
      <c r="D286" s="10">
        <v>0.9532</v>
      </c>
      <c r="E286" s="11">
        <v>136.93</v>
      </c>
      <c r="F286" s="10">
        <v>0.7251</v>
      </c>
      <c r="G286" s="11">
        <v>332.86</v>
      </c>
      <c r="H286" s="10">
        <v>0.5728</v>
      </c>
      <c r="I286" s="11">
        <v>374.21</v>
      </c>
      <c r="J286" s="10">
        <v>0.6703</v>
      </c>
      <c r="K286" s="11">
        <v>292.58</v>
      </c>
      <c r="L286" s="10">
        <v>0.6009</v>
      </c>
      <c r="M286" s="11">
        <v>383.02</v>
      </c>
      <c r="N286" s="10">
        <v>0.6338</v>
      </c>
      <c r="O286" s="11">
        <v>395.93</v>
      </c>
      <c r="P286" s="10">
        <v>0.9532</v>
      </c>
      <c r="Q286" s="10">
        <v>0.1542</v>
      </c>
      <c r="R286" s="10">
        <v>0.6703</v>
      </c>
      <c r="S286" s="10" t="s">
        <v>7127</v>
      </c>
      <c r="T286" s="8">
        <f>IF(and(ISNUMBER(D286), isnumber(E286)), 1, 0) + IF(and(ISNUMBER(F286), isnumber(G286)), 1, 0) + IF(and(ISNUMBER(H286), isnumber(I286)), 1, 0) + IF(and(ISNUMBER(J286), isnumber(K286)), 1, 0) + IF(and(ISNUMBER(L286), isnumber(M286)), 1, 0) + IF(and(ISNUMBER(N286), isnumber(O286)), 1, 0)</f>
      </c>
      <c r="U286" s="8">
        <f>IF(and(ISNUMBER(P286), isnumber(Q286)), 1, 0) + IF(and(ISNUMBER(R286), isnumber(S286)), 1, 0)</f>
      </c>
      <c r="V286" s="13"/>
      <c r="W286" s="13"/>
      <c r="X286" s="16"/>
    </row>
    <row x14ac:dyDescent="0.25" r="287" customHeight="1" ht="15.75">
      <c r="A287" s="8">
        <v>25715</v>
      </c>
      <c r="B287" s="13" t="s">
        <v>66</v>
      </c>
      <c r="C287" s="13" t="s">
        <v>9278</v>
      </c>
      <c r="D287" s="10">
        <v>0.6484</v>
      </c>
      <c r="E287" s="11">
        <v>304.17</v>
      </c>
      <c r="F287" s="10">
        <v>0.4795</v>
      </c>
      <c r="G287" s="11">
        <v>410.9</v>
      </c>
      <c r="H287" s="10">
        <v>0.449</v>
      </c>
      <c r="I287" s="11">
        <v>396.06</v>
      </c>
      <c r="J287" s="10">
        <v>0.4495</v>
      </c>
      <c r="K287" s="11" t="s">
        <v>7127</v>
      </c>
      <c r="L287" s="10">
        <v>0.4</v>
      </c>
      <c r="M287" s="11">
        <v>410.2</v>
      </c>
      <c r="N287" s="10">
        <v>0.3143</v>
      </c>
      <c r="O287" s="11">
        <v>432.21</v>
      </c>
      <c r="P287" s="10">
        <v>0.6484</v>
      </c>
      <c r="Q287" s="10">
        <v>0.2353</v>
      </c>
      <c r="R287" s="10">
        <v>0.4495</v>
      </c>
      <c r="S287" s="10" t="s">
        <v>7127</v>
      </c>
      <c r="T287" s="8">
        <f>IF(and(ISNUMBER(D287), isnumber(E287)), 1, 0) + IF(and(ISNUMBER(F287), isnumber(G287)), 1, 0) + IF(and(ISNUMBER(H287), isnumber(I287)), 1, 0) + IF(and(ISNUMBER(J287), isnumber(K287)), 1, 0) + IF(and(ISNUMBER(L287), isnumber(M287)), 1, 0) + IF(and(ISNUMBER(N287), isnumber(O287)), 1, 0)</f>
      </c>
      <c r="U287" s="8">
        <f>IF(and(ISNUMBER(P287), isnumber(Q287)), 1, 0) + IF(and(ISNUMBER(R287), isnumber(S287)), 1, 0)</f>
      </c>
      <c r="V287" s="13"/>
      <c r="W287" s="13"/>
      <c r="X287" s="16"/>
    </row>
    <row x14ac:dyDescent="0.25" r="288" customHeight="1" ht="15.75">
      <c r="A288" s="8">
        <v>25716</v>
      </c>
      <c r="B288" s="13" t="s">
        <v>66</v>
      </c>
      <c r="C288" s="13" t="s">
        <v>9285</v>
      </c>
      <c r="D288" s="10">
        <v>0.5</v>
      </c>
      <c r="E288" s="11">
        <v>256.77</v>
      </c>
      <c r="F288" s="10">
        <v>0.2419</v>
      </c>
      <c r="G288" s="11">
        <v>306.42</v>
      </c>
      <c r="H288" s="10">
        <v>0.4505</v>
      </c>
      <c r="I288" s="11">
        <v>407.92</v>
      </c>
      <c r="J288" s="10">
        <v>0.4824</v>
      </c>
      <c r="K288" s="11">
        <v>292.03</v>
      </c>
      <c r="L288" s="10">
        <v>0.2252</v>
      </c>
      <c r="M288" s="11" t="s">
        <v>7127</v>
      </c>
      <c r="N288" s="10">
        <v>0.2252</v>
      </c>
      <c r="O288" s="11" t="s">
        <v>7127</v>
      </c>
      <c r="P288" s="10">
        <v>0.5</v>
      </c>
      <c r="Q288" s="10">
        <v>0.2227</v>
      </c>
      <c r="R288" s="10">
        <v>0.4824</v>
      </c>
      <c r="S288" s="10" t="s">
        <v>7127</v>
      </c>
      <c r="T288" s="8">
        <f>IF(and(ISNUMBER(D288), isnumber(E288)), 1, 0) + IF(and(ISNUMBER(F288), isnumber(G288)), 1, 0) + IF(and(ISNUMBER(H288), isnumber(I288)), 1, 0) + IF(and(ISNUMBER(J288), isnumber(K288)), 1, 0) + IF(and(ISNUMBER(L288), isnumber(M288)), 1, 0) + IF(and(ISNUMBER(N288), isnumber(O288)), 1, 0)</f>
      </c>
      <c r="U288" s="8">
        <f>IF(and(ISNUMBER(P288), isnumber(Q288)), 1, 0) + IF(and(ISNUMBER(R288), isnumber(S288)), 1, 0)</f>
      </c>
      <c r="V288" s="13"/>
      <c r="W288" s="13"/>
      <c r="X288" s="16"/>
    </row>
    <row x14ac:dyDescent="0.25" r="289" customHeight="1" ht="15.75">
      <c r="A289" s="8">
        <v>25659</v>
      </c>
      <c r="B289" s="13" t="s">
        <v>66</v>
      </c>
      <c r="C289" s="13" t="s">
        <v>9291</v>
      </c>
      <c r="D289" s="10">
        <v>0.9755</v>
      </c>
      <c r="E289" s="11">
        <v>194.77</v>
      </c>
      <c r="F289" s="10">
        <v>0.9608</v>
      </c>
      <c r="G289" s="11">
        <v>239.2</v>
      </c>
      <c r="H289" s="10">
        <v>0.6029</v>
      </c>
      <c r="I289" s="11">
        <v>357.39</v>
      </c>
      <c r="J289" s="10">
        <v>0.623</v>
      </c>
      <c r="K289" s="11">
        <v>312.91</v>
      </c>
      <c r="L289" s="10">
        <v>0.5478</v>
      </c>
      <c r="M289" s="11">
        <v>432.4</v>
      </c>
      <c r="N289" s="10">
        <v>0.5956</v>
      </c>
      <c r="O289" s="11">
        <v>420.97</v>
      </c>
      <c r="P289" s="10">
        <v>0.9755</v>
      </c>
      <c r="Q289" s="10">
        <v>0.179</v>
      </c>
      <c r="R289" s="10">
        <v>0.623</v>
      </c>
      <c r="S289" s="10" t="s">
        <v>7127</v>
      </c>
      <c r="T289" s="8">
        <f>IF(and(ISNUMBER(D289), isnumber(E289)), 1, 0) + IF(and(ISNUMBER(F289), isnumber(G289)), 1, 0) + IF(and(ISNUMBER(H289), isnumber(I289)), 1, 0) + IF(and(ISNUMBER(J289), isnumber(K289)), 1, 0) + IF(and(ISNUMBER(L289), isnumber(M289)), 1, 0) + IF(and(ISNUMBER(N289), isnumber(O289)), 1, 0)</f>
      </c>
      <c r="U289" s="8">
        <f>IF(and(ISNUMBER(P289), isnumber(Q289)), 1, 0) + IF(and(ISNUMBER(R289), isnumber(S289)), 1, 0)</f>
      </c>
      <c r="V289" s="13"/>
      <c r="W289" s="13"/>
      <c r="X289" s="16"/>
    </row>
    <row x14ac:dyDescent="0.25" r="290" customHeight="1" ht="15.75">
      <c r="A290" s="8">
        <v>25660</v>
      </c>
      <c r="B290" s="13" t="s">
        <v>66</v>
      </c>
      <c r="C290" s="13" t="s">
        <v>9301</v>
      </c>
      <c r="D290" s="10">
        <v>0.8282</v>
      </c>
      <c r="E290" s="11">
        <v>306.44</v>
      </c>
      <c r="F290" s="10">
        <v>0.6706</v>
      </c>
      <c r="G290" s="11">
        <v>390.25</v>
      </c>
      <c r="H290" s="10">
        <v>0.7624</v>
      </c>
      <c r="I290" s="11">
        <v>418</v>
      </c>
      <c r="J290" s="10">
        <v>0.6047</v>
      </c>
      <c r="K290" s="11">
        <v>310.24</v>
      </c>
      <c r="L290" s="10">
        <v>0.5929</v>
      </c>
      <c r="M290" s="11">
        <v>440.64</v>
      </c>
      <c r="N290" s="10">
        <v>0.6306</v>
      </c>
      <c r="O290" s="11">
        <v>438.8</v>
      </c>
      <c r="P290" s="10">
        <v>0.8282</v>
      </c>
      <c r="Q290" s="10">
        <v>0.251</v>
      </c>
      <c r="R290" s="10">
        <v>0.6047</v>
      </c>
      <c r="S290" s="10" t="s">
        <v>7127</v>
      </c>
      <c r="T290" s="8">
        <f>IF(and(ISNUMBER(D290), isnumber(E290)), 1, 0) + IF(and(ISNUMBER(F290), isnumber(G290)), 1, 0) + IF(and(ISNUMBER(H290), isnumber(I290)), 1, 0) + IF(and(ISNUMBER(J290), isnumber(K290)), 1, 0) + IF(and(ISNUMBER(L290), isnumber(M290)), 1, 0) + IF(and(ISNUMBER(N290), isnumber(O290)), 1, 0)</f>
      </c>
      <c r="U290" s="8">
        <f>IF(and(ISNUMBER(P290), isnumber(Q290)), 1, 0) + IF(and(ISNUMBER(R290), isnumber(S290)), 1, 0)</f>
      </c>
      <c r="V290" s="13"/>
      <c r="W290" s="13"/>
      <c r="X290" s="16"/>
    </row>
    <row x14ac:dyDescent="0.25" r="291" customHeight="1" ht="15.75">
      <c r="A291" s="8">
        <v>25717</v>
      </c>
      <c r="B291" s="13" t="s">
        <v>66</v>
      </c>
      <c r="C291" s="13" t="s">
        <v>9311</v>
      </c>
      <c r="D291" s="10">
        <v>0.9572</v>
      </c>
      <c r="E291" s="11">
        <v>157.54</v>
      </c>
      <c r="F291" s="10">
        <v>0.6578</v>
      </c>
      <c r="G291" s="11">
        <v>366.02</v>
      </c>
      <c r="H291" s="10">
        <v>0.6239</v>
      </c>
      <c r="I291" s="11">
        <v>439.72</v>
      </c>
      <c r="J291" s="10">
        <v>0.7919</v>
      </c>
      <c r="K291" s="11">
        <v>295.39</v>
      </c>
      <c r="L291" s="10">
        <v>0.6947</v>
      </c>
      <c r="M291" s="11">
        <v>391.22</v>
      </c>
      <c r="N291" s="10">
        <v>0.646</v>
      </c>
      <c r="O291" s="11">
        <v>434.94</v>
      </c>
      <c r="P291" s="10">
        <v>0.9572</v>
      </c>
      <c r="Q291" s="10">
        <v>0.1814</v>
      </c>
      <c r="R291" s="10">
        <v>0.7919</v>
      </c>
      <c r="S291" s="10" t="s">
        <v>7127</v>
      </c>
      <c r="T291" s="8">
        <f>IF(and(ISNUMBER(D291), isnumber(E291)), 1, 0) + IF(and(ISNUMBER(F291), isnumber(G291)), 1, 0) + IF(and(ISNUMBER(H291), isnumber(I291)), 1, 0) + IF(and(ISNUMBER(J291), isnumber(K291)), 1, 0) + IF(and(ISNUMBER(L291), isnumber(M291)), 1, 0) + IF(and(ISNUMBER(N291), isnumber(O291)), 1, 0)</f>
      </c>
      <c r="U291" s="8">
        <f>IF(and(ISNUMBER(P291), isnumber(Q291)), 1, 0) + IF(and(ISNUMBER(R291), isnumber(S291)), 1, 0)</f>
      </c>
      <c r="V291" s="13"/>
      <c r="W291" s="13"/>
      <c r="X291" s="16"/>
    </row>
    <row x14ac:dyDescent="0.25" r="292" customHeight="1" ht="15.75">
      <c r="A292" s="8">
        <v>25718</v>
      </c>
      <c r="B292" s="13" t="s">
        <v>66</v>
      </c>
      <c r="C292" s="13" t="s">
        <v>9320</v>
      </c>
      <c r="D292" s="10">
        <v>0.7213</v>
      </c>
      <c r="E292" s="11">
        <v>222.25</v>
      </c>
      <c r="F292" s="10">
        <v>0.388</v>
      </c>
      <c r="G292" s="11">
        <v>419.48</v>
      </c>
      <c r="H292" s="10">
        <v>0.5021</v>
      </c>
      <c r="I292" s="11">
        <v>437.68</v>
      </c>
      <c r="J292" s="10">
        <v>0.47</v>
      </c>
      <c r="K292" s="11">
        <v>309.97</v>
      </c>
      <c r="L292" s="10">
        <v>0.4599</v>
      </c>
      <c r="M292" s="11">
        <v>380.27</v>
      </c>
      <c r="N292" s="10">
        <v>0.5021</v>
      </c>
      <c r="O292" s="11">
        <v>406.73</v>
      </c>
      <c r="P292" s="10">
        <v>0.7213</v>
      </c>
      <c r="Q292" s="10">
        <v>0.2083</v>
      </c>
      <c r="R292" s="10">
        <v>0.47</v>
      </c>
      <c r="S292" s="10" t="s">
        <v>7127</v>
      </c>
      <c r="T292" s="8">
        <f>IF(and(ISNUMBER(D292), isnumber(E292)), 1, 0) + IF(and(ISNUMBER(F292), isnumber(G292)), 1, 0) + IF(and(ISNUMBER(H292), isnumber(I292)), 1, 0) + IF(and(ISNUMBER(J292), isnumber(K292)), 1, 0) + IF(and(ISNUMBER(L292), isnumber(M292)), 1, 0) + IF(and(ISNUMBER(N292), isnumber(O292)), 1, 0)</f>
      </c>
      <c r="U292" s="8">
        <f>IF(and(ISNUMBER(P292), isnumber(Q292)), 1, 0) + IF(and(ISNUMBER(R292), isnumber(S292)), 1, 0)</f>
      </c>
      <c r="V292" s="13"/>
      <c r="W292" s="13"/>
      <c r="X292" s="16"/>
    </row>
    <row x14ac:dyDescent="0.25" r="293" customHeight="1" ht="15.75">
      <c r="A293" s="8">
        <v>25719</v>
      </c>
      <c r="B293" s="13" t="s">
        <v>66</v>
      </c>
      <c r="C293" s="13" t="s">
        <v>9330</v>
      </c>
      <c r="D293" s="10">
        <v>0.8409</v>
      </c>
      <c r="E293" s="11">
        <v>307.02</v>
      </c>
      <c r="F293" s="10">
        <v>0.9773</v>
      </c>
      <c r="G293" s="11">
        <v>330.66</v>
      </c>
      <c r="H293" s="10">
        <v>0.7188</v>
      </c>
      <c r="I293" s="11">
        <v>469.29</v>
      </c>
      <c r="J293" s="10">
        <v>0.5738</v>
      </c>
      <c r="K293" s="11">
        <v>297.24</v>
      </c>
      <c r="L293" s="10">
        <v>0.75</v>
      </c>
      <c r="M293" s="11">
        <v>378.56</v>
      </c>
      <c r="N293" s="10">
        <v>0.7031</v>
      </c>
      <c r="O293" s="11">
        <v>370.67</v>
      </c>
      <c r="P293" s="10">
        <v>0.8409</v>
      </c>
      <c r="Q293" s="10">
        <v>0.199</v>
      </c>
      <c r="R293" s="10">
        <v>0.5738</v>
      </c>
      <c r="S293" s="10" t="s">
        <v>7127</v>
      </c>
      <c r="T293" s="8">
        <f>IF(and(ISNUMBER(D293), isnumber(E293)), 1, 0) + IF(and(ISNUMBER(F293), isnumber(G293)), 1, 0) + IF(and(ISNUMBER(H293), isnumber(I293)), 1, 0) + IF(and(ISNUMBER(J293), isnumber(K293)), 1, 0) + IF(and(ISNUMBER(L293), isnumber(M293)), 1, 0) + IF(and(ISNUMBER(N293), isnumber(O293)), 1, 0)</f>
      </c>
      <c r="U293" s="8">
        <f>IF(and(ISNUMBER(P293), isnumber(Q293)), 1, 0) + IF(and(ISNUMBER(R293), isnumber(S293)), 1, 0)</f>
      </c>
      <c r="V293" s="13"/>
      <c r="W293" s="13"/>
      <c r="X293" s="16"/>
    </row>
    <row x14ac:dyDescent="0.25" r="294" customHeight="1" ht="15.75">
      <c r="A294" s="8">
        <v>25720</v>
      </c>
      <c r="B294" s="13" t="s">
        <v>66</v>
      </c>
      <c r="C294" s="13" t="s">
        <v>9336</v>
      </c>
      <c r="D294" s="10">
        <v>0.8947</v>
      </c>
      <c r="E294" s="11">
        <v>117.35</v>
      </c>
      <c r="F294" s="10">
        <v>0.5789</v>
      </c>
      <c r="G294" s="11">
        <v>340.98</v>
      </c>
      <c r="H294" s="10">
        <v>0.4878</v>
      </c>
      <c r="I294" s="11">
        <v>361.27</v>
      </c>
      <c r="J294" s="10">
        <v>0.6066</v>
      </c>
      <c r="K294" s="11">
        <v>230.5</v>
      </c>
      <c r="L294" s="10">
        <v>0.5122</v>
      </c>
      <c r="M294" s="11">
        <v>344.38</v>
      </c>
      <c r="N294" s="10">
        <v>0.5024</v>
      </c>
      <c r="O294" s="11">
        <v>344.82</v>
      </c>
      <c r="P294" s="10">
        <v>0.8947</v>
      </c>
      <c r="Q294" s="10">
        <v>0.1575</v>
      </c>
      <c r="R294" s="10">
        <v>0.6066</v>
      </c>
      <c r="S294" s="10" t="s">
        <v>7127</v>
      </c>
      <c r="T294" s="8">
        <f>IF(and(ISNUMBER(D294), isnumber(E294)), 1, 0) + IF(and(ISNUMBER(F294), isnumber(G294)), 1, 0) + IF(and(ISNUMBER(H294), isnumber(I294)), 1, 0) + IF(and(ISNUMBER(J294), isnumber(K294)), 1, 0) + IF(and(ISNUMBER(L294), isnumber(M294)), 1, 0) + IF(and(ISNUMBER(N294), isnumber(O294)), 1, 0)</f>
      </c>
      <c r="U294" s="8">
        <f>IF(and(ISNUMBER(P294), isnumber(Q294)), 1, 0) + IF(and(ISNUMBER(R294), isnumber(S294)), 1, 0)</f>
      </c>
      <c r="V294" s="13"/>
      <c r="W294" s="13"/>
      <c r="X294" s="16"/>
    </row>
    <row x14ac:dyDescent="0.25" r="295" customHeight="1" ht="15.75">
      <c r="A295" s="8">
        <v>25721</v>
      </c>
      <c r="B295" s="13" t="s">
        <v>66</v>
      </c>
      <c r="C295" s="13" t="s">
        <v>9343</v>
      </c>
      <c r="D295" s="10">
        <v>1</v>
      </c>
      <c r="E295" s="11">
        <v>200</v>
      </c>
      <c r="F295" s="10">
        <v>0.7015</v>
      </c>
      <c r="G295" s="11">
        <v>330.67</v>
      </c>
      <c r="H295" s="10">
        <v>0.7463</v>
      </c>
      <c r="I295" s="11">
        <v>340</v>
      </c>
      <c r="J295" s="10">
        <v>0.7761</v>
      </c>
      <c r="K295" s="11">
        <v>321</v>
      </c>
      <c r="L295" s="10">
        <v>0.791</v>
      </c>
      <c r="M295" s="11">
        <v>358.46</v>
      </c>
      <c r="N295" s="10">
        <v>0.7612</v>
      </c>
      <c r="O295" s="11">
        <v>396</v>
      </c>
      <c r="P295" s="10">
        <v>1</v>
      </c>
      <c r="Q295" s="10">
        <v>0.19</v>
      </c>
      <c r="R295" s="10">
        <v>0.7761</v>
      </c>
      <c r="S295" s="10" t="s">
        <v>7127</v>
      </c>
      <c r="T295" s="8">
        <f>IF(and(ISNUMBER(D295), isnumber(E295)), 1, 0) + IF(and(ISNUMBER(F295), isnumber(G295)), 1, 0) + IF(and(ISNUMBER(H295), isnumber(I295)), 1, 0) + IF(and(ISNUMBER(J295), isnumber(K295)), 1, 0) + IF(and(ISNUMBER(L295), isnumber(M295)), 1, 0) + IF(and(ISNUMBER(N295), isnumber(O295)), 1, 0)</f>
      </c>
      <c r="U295" s="8">
        <f>IF(and(ISNUMBER(P295), isnumber(Q295)), 1, 0) + IF(and(ISNUMBER(R295), isnumber(S295)), 1, 0)</f>
      </c>
      <c r="V295" s="13"/>
      <c r="W295" s="13"/>
      <c r="X295" s="16"/>
    </row>
    <row x14ac:dyDescent="0.25" r="296" customHeight="1" ht="15.75">
      <c r="A296" s="8">
        <v>25722</v>
      </c>
      <c r="B296" s="13" t="s">
        <v>66</v>
      </c>
      <c r="C296" s="13" t="s">
        <v>9351</v>
      </c>
      <c r="D296" s="10">
        <v>0.7206</v>
      </c>
      <c r="E296" s="11">
        <v>200.55</v>
      </c>
      <c r="F296" s="10">
        <v>0.5101</v>
      </c>
      <c r="G296" s="11" t="s">
        <v>7127</v>
      </c>
      <c r="H296" s="10">
        <v>0.6498</v>
      </c>
      <c r="I296" s="11">
        <v>315.2</v>
      </c>
      <c r="J296" s="10">
        <v>0.6367</v>
      </c>
      <c r="K296" s="11">
        <v>226.64</v>
      </c>
      <c r="L296" s="10">
        <v>0.5185</v>
      </c>
      <c r="M296" s="11">
        <v>369.99</v>
      </c>
      <c r="N296" s="10">
        <v>0.4377</v>
      </c>
      <c r="O296" s="11">
        <v>373.17</v>
      </c>
      <c r="P296" s="10">
        <v>0.7206</v>
      </c>
      <c r="Q296" s="10">
        <v>0.1994</v>
      </c>
      <c r="R296" s="10">
        <v>0.6367</v>
      </c>
      <c r="S296" s="10" t="s">
        <v>7127</v>
      </c>
      <c r="T296" s="8">
        <f>IF(and(ISNUMBER(D296), isnumber(E296)), 1, 0) + IF(and(ISNUMBER(F296), isnumber(G296)), 1, 0) + IF(and(ISNUMBER(H296), isnumber(I296)), 1, 0) + IF(and(ISNUMBER(J296), isnumber(K296)), 1, 0) + IF(and(ISNUMBER(L296), isnumber(M296)), 1, 0) + IF(and(ISNUMBER(N296), isnumber(O296)), 1, 0)</f>
      </c>
      <c r="U296" s="8">
        <f>IF(and(ISNUMBER(P296), isnumber(Q296)), 1, 0) + IF(and(ISNUMBER(R296), isnumber(S296)), 1, 0)</f>
      </c>
      <c r="V296" s="13"/>
      <c r="W296" s="13"/>
      <c r="X296" s="16"/>
    </row>
    <row x14ac:dyDescent="0.25" r="297" customHeight="1" ht="15.75">
      <c r="A297" s="8">
        <v>25744</v>
      </c>
      <c r="B297" s="13" t="s">
        <v>66</v>
      </c>
      <c r="C297" s="13" t="s">
        <v>9361</v>
      </c>
      <c r="D297" s="10">
        <v>0.7857</v>
      </c>
      <c r="E297" s="11">
        <v>338.99</v>
      </c>
      <c r="F297" s="10">
        <v>0.6905</v>
      </c>
      <c r="G297" s="11">
        <v>425.62</v>
      </c>
      <c r="H297" s="10">
        <v>0.6801</v>
      </c>
      <c r="I297" s="11">
        <v>461.04</v>
      </c>
      <c r="J297" s="10">
        <v>0.6259</v>
      </c>
      <c r="K297" s="11">
        <v>386.58</v>
      </c>
      <c r="L297" s="10">
        <v>0.7019</v>
      </c>
      <c r="M297" s="11">
        <v>429.92</v>
      </c>
      <c r="N297" s="10">
        <v>0.382</v>
      </c>
      <c r="O297" s="11">
        <v>366.28</v>
      </c>
      <c r="P297" s="10">
        <v>0.7857</v>
      </c>
      <c r="Q297" s="10">
        <v>0.2572</v>
      </c>
      <c r="R297" s="10">
        <v>0.6259</v>
      </c>
      <c r="S297" s="10" t="s">
        <v>7127</v>
      </c>
      <c r="T297" s="8">
        <f>IF(and(ISNUMBER(D297), isnumber(E297)), 1, 0) + IF(and(ISNUMBER(F297), isnumber(G297)), 1, 0) + IF(and(ISNUMBER(H297), isnumber(I297)), 1, 0) + IF(and(ISNUMBER(J297), isnumber(K297)), 1, 0) + IF(and(ISNUMBER(L297), isnumber(M297)), 1, 0) + IF(and(ISNUMBER(N297), isnumber(O297)), 1, 0)</f>
      </c>
      <c r="U297" s="8">
        <f>IF(and(ISNUMBER(P297), isnumber(Q297)), 1, 0) + IF(and(ISNUMBER(R297), isnumber(S297)), 1, 0)</f>
      </c>
      <c r="V297" s="13"/>
      <c r="W297" s="13"/>
      <c r="X297" s="16"/>
    </row>
    <row x14ac:dyDescent="0.25" r="298" customHeight="1" ht="15.75">
      <c r="A298" s="8">
        <v>25723</v>
      </c>
      <c r="B298" s="13" t="s">
        <v>66</v>
      </c>
      <c r="C298" s="13" t="s">
        <v>9372</v>
      </c>
      <c r="D298" s="10">
        <v>0.717</v>
      </c>
      <c r="E298" s="11">
        <v>384.13</v>
      </c>
      <c r="F298" s="10">
        <v>0.717</v>
      </c>
      <c r="G298" s="11">
        <v>418.66</v>
      </c>
      <c r="H298" s="10">
        <v>0.557</v>
      </c>
      <c r="I298" s="11">
        <v>402.29</v>
      </c>
      <c r="J298" s="10">
        <v>0.6418</v>
      </c>
      <c r="K298" s="11">
        <v>288.37</v>
      </c>
      <c r="L298" s="10">
        <v>0.5063</v>
      </c>
      <c r="M298" s="11">
        <v>450</v>
      </c>
      <c r="N298" s="10">
        <v>0.557</v>
      </c>
      <c r="O298" s="11">
        <v>410</v>
      </c>
      <c r="P298" s="10">
        <v>0.717</v>
      </c>
      <c r="Q298" s="10">
        <v>0.2174</v>
      </c>
      <c r="R298" s="10">
        <v>0.6418</v>
      </c>
      <c r="S298" s="10" t="s">
        <v>7127</v>
      </c>
      <c r="T298" s="8">
        <f>IF(and(ISNUMBER(D298), isnumber(E298)), 1, 0) + IF(and(ISNUMBER(F298), isnumber(G298)), 1, 0) + IF(and(ISNUMBER(H298), isnumber(I298)), 1, 0) + IF(and(ISNUMBER(J298), isnumber(K298)), 1, 0) + IF(and(ISNUMBER(L298), isnumber(M298)), 1, 0) + IF(and(ISNUMBER(N298), isnumber(O298)), 1, 0)</f>
      </c>
      <c r="U298" s="8">
        <f>IF(and(ISNUMBER(P298), isnumber(Q298)), 1, 0) + IF(and(ISNUMBER(R298), isnumber(S298)), 1, 0)</f>
      </c>
      <c r="V298" s="13"/>
      <c r="W298" s="13"/>
      <c r="X298" s="16"/>
    </row>
    <row x14ac:dyDescent="0.25" r="299" customHeight="1" ht="15.75">
      <c r="A299" s="8">
        <v>25661</v>
      </c>
      <c r="B299" s="13" t="s">
        <v>66</v>
      </c>
      <c r="C299" s="13" t="s">
        <v>9379</v>
      </c>
      <c r="D299" s="10">
        <v>0.7941</v>
      </c>
      <c r="E299" s="11">
        <v>195.77</v>
      </c>
      <c r="F299" s="10">
        <v>0.5924</v>
      </c>
      <c r="G299" s="11">
        <v>332.06</v>
      </c>
      <c r="H299" s="10">
        <v>0.5126</v>
      </c>
      <c r="I299" s="11">
        <v>400.21</v>
      </c>
      <c r="J299" s="10">
        <v>0.4304</v>
      </c>
      <c r="K299" s="11">
        <v>320.65</v>
      </c>
      <c r="L299" s="10">
        <v>0.6282</v>
      </c>
      <c r="M299" s="11">
        <v>364.33</v>
      </c>
      <c r="N299" s="10">
        <v>0.5704</v>
      </c>
      <c r="O299" s="11">
        <v>370.62</v>
      </c>
      <c r="P299" s="10">
        <v>0.7941</v>
      </c>
      <c r="Q299" s="10">
        <v>0.1963</v>
      </c>
      <c r="R299" s="10">
        <v>0.4304</v>
      </c>
      <c r="S299" s="10" t="s">
        <v>7127</v>
      </c>
      <c r="T299" s="8">
        <f>IF(and(ISNUMBER(D299), isnumber(E299)), 1, 0) + IF(and(ISNUMBER(F299), isnumber(G299)), 1, 0) + IF(and(ISNUMBER(H299), isnumber(I299)), 1, 0) + IF(and(ISNUMBER(J299), isnumber(K299)), 1, 0) + IF(and(ISNUMBER(L299), isnumber(M299)), 1, 0) + IF(and(ISNUMBER(N299), isnumber(O299)), 1, 0)</f>
      </c>
      <c r="U299" s="8">
        <f>IF(and(ISNUMBER(P299), isnumber(Q299)), 1, 0) + IF(and(ISNUMBER(R299), isnumber(S299)), 1, 0)</f>
      </c>
      <c r="V299" s="13"/>
      <c r="W299" s="13"/>
      <c r="X299" s="16"/>
    </row>
    <row x14ac:dyDescent="0.25" r="300" customHeight="1" ht="15.75">
      <c r="A300" s="8">
        <v>25724</v>
      </c>
      <c r="B300" s="13" t="s">
        <v>66</v>
      </c>
      <c r="C300" s="13" t="s">
        <v>9389</v>
      </c>
      <c r="D300" s="10">
        <v>0.74</v>
      </c>
      <c r="E300" s="11">
        <v>225.41</v>
      </c>
      <c r="F300" s="10">
        <v>0.5</v>
      </c>
      <c r="G300" s="11">
        <v>413.6</v>
      </c>
      <c r="H300" s="10">
        <v>0.319</v>
      </c>
      <c r="I300" s="11">
        <v>445.97</v>
      </c>
      <c r="J300" s="10">
        <v>0.64</v>
      </c>
      <c r="K300" s="11">
        <v>331.4</v>
      </c>
      <c r="L300" s="10">
        <v>0.4143</v>
      </c>
      <c r="M300" s="11">
        <v>407.82</v>
      </c>
      <c r="N300" s="10">
        <v>0.4143</v>
      </c>
      <c r="O300" s="11">
        <v>402.3</v>
      </c>
      <c r="P300" s="10">
        <v>0.74</v>
      </c>
      <c r="Q300" s="10">
        <v>0.2293</v>
      </c>
      <c r="R300" s="10">
        <v>0.64</v>
      </c>
      <c r="S300" s="10" t="s">
        <v>7127</v>
      </c>
      <c r="T300" s="8">
        <f>IF(and(ISNUMBER(D300), isnumber(E300)), 1, 0) + IF(and(ISNUMBER(F300), isnumber(G300)), 1, 0) + IF(and(ISNUMBER(H300), isnumber(I300)), 1, 0) + IF(and(ISNUMBER(J300), isnumber(K300)), 1, 0) + IF(and(ISNUMBER(L300), isnumber(M300)), 1, 0) + IF(and(ISNUMBER(N300), isnumber(O300)), 1, 0)</f>
      </c>
      <c r="U300" s="8">
        <f>IF(and(ISNUMBER(P300), isnumber(Q300)), 1, 0) + IF(and(ISNUMBER(R300), isnumber(S300)), 1, 0)</f>
      </c>
      <c r="V300" s="13"/>
      <c r="W300" s="13"/>
      <c r="X300" s="16"/>
    </row>
    <row x14ac:dyDescent="0.25" r="301" customHeight="1" ht="15.75">
      <c r="A301" s="8">
        <v>25725</v>
      </c>
      <c r="B301" s="13" t="s">
        <v>66</v>
      </c>
      <c r="C301" s="13" t="s">
        <v>9397</v>
      </c>
      <c r="D301" s="10">
        <v>0.9474</v>
      </c>
      <c r="E301" s="11">
        <v>91.11</v>
      </c>
      <c r="F301" s="10">
        <v>0.6842</v>
      </c>
      <c r="G301" s="11">
        <v>16</v>
      </c>
      <c r="H301" s="10">
        <v>0.7895</v>
      </c>
      <c r="I301" s="11">
        <v>237.33</v>
      </c>
      <c r="J301" s="10">
        <v>0.4737</v>
      </c>
      <c r="K301" s="11">
        <v>186.67</v>
      </c>
      <c r="L301" s="10">
        <v>0.6842</v>
      </c>
      <c r="M301" s="11">
        <v>289.23</v>
      </c>
      <c r="N301" s="10">
        <v>0.5789</v>
      </c>
      <c r="O301" s="11">
        <v>458.18</v>
      </c>
      <c r="P301" s="10">
        <v>0.9474</v>
      </c>
      <c r="Q301" s="10">
        <v>0.1211</v>
      </c>
      <c r="R301" s="10">
        <v>0.4737</v>
      </c>
      <c r="S301" s="10" t="s">
        <v>7127</v>
      </c>
      <c r="T301" s="8">
        <f>IF(and(ISNUMBER(D301), isnumber(E301)), 1, 0) + IF(and(ISNUMBER(F301), isnumber(G301)), 1, 0) + IF(and(ISNUMBER(H301), isnumber(I301)), 1, 0) + IF(and(ISNUMBER(J301), isnumber(K301)), 1, 0) + IF(and(ISNUMBER(L301), isnumber(M301)), 1, 0) + IF(and(ISNUMBER(N301), isnumber(O301)), 1, 0)</f>
      </c>
      <c r="U301" s="8">
        <f>IF(and(ISNUMBER(P301), isnumber(Q301)), 1, 0) + IF(and(ISNUMBER(R301), isnumber(S301)), 1, 0)</f>
      </c>
      <c r="V301" s="13"/>
      <c r="W301" s="13"/>
      <c r="X301" s="16"/>
    </row>
    <row x14ac:dyDescent="0.25" r="302" customHeight="1" ht="15.75">
      <c r="A302" s="8">
        <v>25726</v>
      </c>
      <c r="B302" s="13" t="s">
        <v>66</v>
      </c>
      <c r="C302" s="13" t="s">
        <v>9404</v>
      </c>
      <c r="D302" s="10">
        <v>0.7283</v>
      </c>
      <c r="E302" s="11">
        <v>197.46</v>
      </c>
      <c r="F302" s="10">
        <v>0.6647</v>
      </c>
      <c r="G302" s="11">
        <v>350.83</v>
      </c>
      <c r="H302" s="10">
        <v>0.5896</v>
      </c>
      <c r="I302" s="11">
        <v>374.26</v>
      </c>
      <c r="J302" s="10">
        <v>0.4624</v>
      </c>
      <c r="K302" s="11">
        <v>286.49</v>
      </c>
      <c r="L302" s="10">
        <v>0.7861</v>
      </c>
      <c r="M302" s="11">
        <v>416</v>
      </c>
      <c r="N302" s="10">
        <v>0.7052</v>
      </c>
      <c r="O302" s="11">
        <v>450.77</v>
      </c>
      <c r="P302" s="10">
        <v>0.7283</v>
      </c>
      <c r="Q302" s="10">
        <v>0.2284</v>
      </c>
      <c r="R302" s="10">
        <v>0.4624</v>
      </c>
      <c r="S302" s="10" t="s">
        <v>7127</v>
      </c>
      <c r="T302" s="8">
        <f>IF(and(ISNUMBER(D302), isnumber(E302)), 1, 0) + IF(and(ISNUMBER(F302), isnumber(G302)), 1, 0) + IF(and(ISNUMBER(H302), isnumber(I302)), 1, 0) + IF(and(ISNUMBER(J302), isnumber(K302)), 1, 0) + IF(and(ISNUMBER(L302), isnumber(M302)), 1, 0) + IF(and(ISNUMBER(N302), isnumber(O302)), 1, 0)</f>
      </c>
      <c r="U302" s="8">
        <f>IF(and(ISNUMBER(P302), isnumber(Q302)), 1, 0) + IF(and(ISNUMBER(R302), isnumber(S302)), 1, 0)</f>
      </c>
      <c r="V302" s="13"/>
      <c r="W302" s="13"/>
      <c r="X302" s="16"/>
    </row>
    <row x14ac:dyDescent="0.25" r="303" customHeight="1" ht="15.75">
      <c r="A303" s="8">
        <v>25727</v>
      </c>
      <c r="B303" s="13" t="s">
        <v>66</v>
      </c>
      <c r="C303" s="13" t="s">
        <v>9412</v>
      </c>
      <c r="D303" s="10">
        <v>0.991</v>
      </c>
      <c r="E303" s="11">
        <v>244.73</v>
      </c>
      <c r="F303" s="10">
        <v>1</v>
      </c>
      <c r="G303" s="11">
        <v>399.25</v>
      </c>
      <c r="H303" s="10">
        <v>1</v>
      </c>
      <c r="I303" s="11">
        <v>376.23</v>
      </c>
      <c r="J303" s="10">
        <v>1</v>
      </c>
      <c r="K303" s="11">
        <v>278.87</v>
      </c>
      <c r="L303" s="10">
        <v>0.8739</v>
      </c>
      <c r="M303" s="11">
        <v>466.25</v>
      </c>
      <c r="N303" s="10">
        <v>0.8559</v>
      </c>
      <c r="O303" s="11">
        <v>476.99</v>
      </c>
      <c r="P303" s="10">
        <v>0.991</v>
      </c>
      <c r="Q303" s="10">
        <v>0.2175</v>
      </c>
      <c r="R303" s="10">
        <v>1</v>
      </c>
      <c r="S303" s="10" t="s">
        <v>7127</v>
      </c>
      <c r="T303" s="8">
        <f>IF(and(ISNUMBER(D303), isnumber(E303)), 1, 0) + IF(and(ISNUMBER(F303), isnumber(G303)), 1, 0) + IF(and(ISNUMBER(H303), isnumber(I303)), 1, 0) + IF(and(ISNUMBER(J303), isnumber(K303)), 1, 0) + IF(and(ISNUMBER(L303), isnumber(M303)), 1, 0) + IF(and(ISNUMBER(N303), isnumber(O303)), 1, 0)</f>
      </c>
      <c r="U303" s="8">
        <f>IF(and(ISNUMBER(P303), isnumber(Q303)), 1, 0) + IF(and(ISNUMBER(R303), isnumber(S303)), 1, 0)</f>
      </c>
      <c r="V303" s="13"/>
      <c r="W303" s="13"/>
      <c r="X303" s="16"/>
    </row>
    <row x14ac:dyDescent="0.25" r="304" customHeight="1" ht="15.75">
      <c r="A304" s="8">
        <v>25728</v>
      </c>
      <c r="B304" s="13" t="s">
        <v>66</v>
      </c>
      <c r="C304" s="13" t="s">
        <v>9422</v>
      </c>
      <c r="D304" s="10">
        <v>0.8438</v>
      </c>
      <c r="E304" s="11">
        <v>342.61</v>
      </c>
      <c r="F304" s="10">
        <v>0.6563</v>
      </c>
      <c r="G304" s="11">
        <v>373.33</v>
      </c>
      <c r="H304" s="10">
        <v>0.75</v>
      </c>
      <c r="I304" s="11">
        <v>380</v>
      </c>
      <c r="J304" s="10">
        <v>0.8438</v>
      </c>
      <c r="K304" s="11">
        <v>369.23</v>
      </c>
      <c r="L304" s="10">
        <v>0.75</v>
      </c>
      <c r="M304" s="11">
        <v>320</v>
      </c>
      <c r="N304" s="10">
        <v>0.6875</v>
      </c>
      <c r="O304" s="11">
        <v>372.73</v>
      </c>
      <c r="P304" s="10">
        <v>0.8438</v>
      </c>
      <c r="Q304" s="10">
        <v>0.2598</v>
      </c>
      <c r="R304" s="10">
        <v>0.8438</v>
      </c>
      <c r="S304" s="10" t="s">
        <v>7127</v>
      </c>
      <c r="T304" s="8">
        <f>IF(and(ISNUMBER(D304), isnumber(E304)), 1, 0) + IF(and(ISNUMBER(F304), isnumber(G304)), 1, 0) + IF(and(ISNUMBER(H304), isnumber(I304)), 1, 0) + IF(and(ISNUMBER(J304), isnumber(K304)), 1, 0) + IF(and(ISNUMBER(L304), isnumber(M304)), 1, 0) + IF(and(ISNUMBER(N304), isnumber(O304)), 1, 0)</f>
      </c>
      <c r="U304" s="8">
        <f>IF(and(ISNUMBER(P304), isnumber(Q304)), 1, 0) + IF(and(ISNUMBER(R304), isnumber(S304)), 1, 0)</f>
      </c>
      <c r="V304" s="13"/>
      <c r="W304" s="13"/>
      <c r="X304" s="16"/>
    </row>
    <row x14ac:dyDescent="0.25" r="305" customHeight="1" ht="15.75">
      <c r="A305" s="8">
        <v>25729</v>
      </c>
      <c r="B305" s="13" t="s">
        <v>66</v>
      </c>
      <c r="C305" s="13" t="s">
        <v>9427</v>
      </c>
      <c r="D305" s="10">
        <v>0.8382</v>
      </c>
      <c r="E305" s="11" t="s">
        <v>7127</v>
      </c>
      <c r="F305" s="10">
        <v>1</v>
      </c>
      <c r="G305" s="11">
        <v>434.69</v>
      </c>
      <c r="H305" s="10">
        <v>0.7622</v>
      </c>
      <c r="I305" s="11">
        <v>514.83</v>
      </c>
      <c r="J305" s="10">
        <v>0.8815</v>
      </c>
      <c r="K305" s="11">
        <v>515.71</v>
      </c>
      <c r="L305" s="10">
        <v>0.7832</v>
      </c>
      <c r="M305" s="11" t="s">
        <v>7127</v>
      </c>
      <c r="N305" s="10">
        <v>0.8042</v>
      </c>
      <c r="O305" s="11" t="s">
        <v>7127</v>
      </c>
      <c r="P305" s="10">
        <v>0.8382</v>
      </c>
      <c r="Q305" s="10">
        <v>0.3048</v>
      </c>
      <c r="R305" s="10">
        <v>0.8815</v>
      </c>
      <c r="S305" s="10" t="s">
        <v>7127</v>
      </c>
      <c r="T305" s="8">
        <f>IF(and(ISNUMBER(D305), isnumber(E305)), 1, 0) + IF(and(ISNUMBER(F305), isnumber(G305)), 1, 0) + IF(and(ISNUMBER(H305), isnumber(I305)), 1, 0) + IF(and(ISNUMBER(J305), isnumber(K305)), 1, 0) + IF(and(ISNUMBER(L305), isnumber(M305)), 1, 0) + IF(and(ISNUMBER(N305), isnumber(O305)), 1, 0)</f>
      </c>
      <c r="U305" s="8">
        <f>IF(and(ISNUMBER(P305), isnumber(Q305)), 1, 0) + IF(and(ISNUMBER(R305), isnumber(S305)), 1, 0)</f>
      </c>
      <c r="V305" s="13"/>
      <c r="W305" s="13"/>
      <c r="X305" s="16"/>
    </row>
    <row x14ac:dyDescent="0.25" r="306" customHeight="1" ht="15.75">
      <c r="A306" s="8">
        <v>25662</v>
      </c>
      <c r="B306" s="13" t="s">
        <v>66</v>
      </c>
      <c r="C306" s="13" t="s">
        <v>9436</v>
      </c>
      <c r="D306" s="10">
        <v>0.8625</v>
      </c>
      <c r="E306" s="11">
        <v>143.98</v>
      </c>
      <c r="F306" s="10">
        <v>0.566</v>
      </c>
      <c r="G306" s="11">
        <v>308.39</v>
      </c>
      <c r="H306" s="10">
        <v>0.5171</v>
      </c>
      <c r="I306" s="11">
        <v>366.31</v>
      </c>
      <c r="J306" s="10">
        <v>0.626</v>
      </c>
      <c r="K306" s="11">
        <v>341.51</v>
      </c>
      <c r="L306" s="10">
        <v>0.3537</v>
      </c>
      <c r="M306" s="11" t="s">
        <v>7127</v>
      </c>
      <c r="N306" s="10">
        <v>0.3707</v>
      </c>
      <c r="O306" s="11" t="s">
        <v>7127</v>
      </c>
      <c r="P306" s="10">
        <v>0.8625</v>
      </c>
      <c r="Q306" s="10">
        <v>0.1685</v>
      </c>
      <c r="R306" s="10">
        <v>0.626</v>
      </c>
      <c r="S306" s="10" t="s">
        <v>7127</v>
      </c>
      <c r="T306" s="8">
        <f>IF(and(ISNUMBER(D306), isnumber(E306)), 1, 0) + IF(and(ISNUMBER(F306), isnumber(G306)), 1, 0) + IF(and(ISNUMBER(H306), isnumber(I306)), 1, 0) + IF(and(ISNUMBER(J306), isnumber(K306)), 1, 0) + IF(and(ISNUMBER(L306), isnumber(M306)), 1, 0) + IF(and(ISNUMBER(N306), isnumber(O306)), 1, 0)</f>
      </c>
      <c r="U306" s="8">
        <f>IF(and(ISNUMBER(P306), isnumber(Q306)), 1, 0) + IF(and(ISNUMBER(R306), isnumber(S306)), 1, 0)</f>
      </c>
      <c r="V306" s="13"/>
      <c r="W306" s="13"/>
      <c r="X306" s="16"/>
    </row>
    <row x14ac:dyDescent="0.25" r="307" customHeight="1" ht="15.75">
      <c r="A307" s="8">
        <v>25730</v>
      </c>
      <c r="B307" s="13" t="s">
        <v>66</v>
      </c>
      <c r="C307" s="13" t="s">
        <v>9445</v>
      </c>
      <c r="D307" s="10">
        <v>0.9412</v>
      </c>
      <c r="E307" s="11">
        <v>177.33</v>
      </c>
      <c r="F307" s="10">
        <v>0.8529</v>
      </c>
      <c r="G307" s="11">
        <v>362.96</v>
      </c>
      <c r="H307" s="10">
        <v>0.7353</v>
      </c>
      <c r="I307" s="11">
        <v>416</v>
      </c>
      <c r="J307" s="10">
        <v>0.8529</v>
      </c>
      <c r="K307" s="11">
        <v>360</v>
      </c>
      <c r="L307" s="10">
        <v>0.7647</v>
      </c>
      <c r="M307" s="11">
        <v>384.62</v>
      </c>
      <c r="N307" s="10">
        <v>0.7941</v>
      </c>
      <c r="O307" s="11">
        <v>525.93</v>
      </c>
      <c r="P307" s="10">
        <v>0.9412</v>
      </c>
      <c r="Q307" s="10">
        <v>0.2177</v>
      </c>
      <c r="R307" s="10">
        <v>0.8529</v>
      </c>
      <c r="S307" s="10" t="s">
        <v>7127</v>
      </c>
      <c r="T307" s="8">
        <f>IF(and(ISNUMBER(D307), isnumber(E307)), 1, 0) + IF(and(ISNUMBER(F307), isnumber(G307)), 1, 0) + IF(and(ISNUMBER(H307), isnumber(I307)), 1, 0) + IF(and(ISNUMBER(J307), isnumber(K307)), 1, 0) + IF(and(ISNUMBER(L307), isnumber(M307)), 1, 0) + IF(and(ISNUMBER(N307), isnumber(O307)), 1, 0)</f>
      </c>
      <c r="U307" s="8">
        <f>IF(and(ISNUMBER(P307), isnumber(Q307)), 1, 0) + IF(and(ISNUMBER(R307), isnumber(S307)), 1, 0)</f>
      </c>
      <c r="V307" s="13"/>
      <c r="W307" s="13"/>
      <c r="X307" s="16"/>
    </row>
    <row x14ac:dyDescent="0.25" r="308" customHeight="1" ht="15.75">
      <c r="A308" s="8">
        <v>25731</v>
      </c>
      <c r="B308" s="13" t="s">
        <v>66</v>
      </c>
      <c r="C308" s="13" t="s">
        <v>9451</v>
      </c>
      <c r="D308" s="10">
        <v>0.9091</v>
      </c>
      <c r="E308" s="11">
        <v>396</v>
      </c>
      <c r="F308" s="10">
        <v>0.9091</v>
      </c>
      <c r="G308" s="11">
        <v>484</v>
      </c>
      <c r="H308" s="10">
        <v>0.8636</v>
      </c>
      <c r="I308" s="11">
        <v>511.58</v>
      </c>
      <c r="J308" s="10">
        <v>0.6818</v>
      </c>
      <c r="K308" s="11">
        <v>469.33</v>
      </c>
      <c r="L308" s="10">
        <v>0.7273</v>
      </c>
      <c r="M308" s="11">
        <v>492.5</v>
      </c>
      <c r="N308" s="10">
        <v>0.7273</v>
      </c>
      <c r="O308" s="11">
        <v>457.5</v>
      </c>
      <c r="P308" s="10">
        <v>0.9091</v>
      </c>
      <c r="Q308" s="10">
        <v>0.2789</v>
      </c>
      <c r="R308" s="10">
        <v>0.6818</v>
      </c>
      <c r="S308" s="10" t="s">
        <v>7127</v>
      </c>
      <c r="T308" s="8">
        <f>IF(and(ISNUMBER(D308), isnumber(E308)), 1, 0) + IF(and(ISNUMBER(F308), isnumber(G308)), 1, 0) + IF(and(ISNUMBER(H308), isnumber(I308)), 1, 0) + IF(and(ISNUMBER(J308), isnumber(K308)), 1, 0) + IF(and(ISNUMBER(L308), isnumber(M308)), 1, 0) + IF(and(ISNUMBER(N308), isnumber(O308)), 1, 0)</f>
      </c>
      <c r="U308" s="8">
        <f>IF(and(ISNUMBER(P308), isnumber(Q308)), 1, 0) + IF(and(ISNUMBER(R308), isnumber(S308)), 1, 0)</f>
      </c>
      <c r="V308" s="13"/>
      <c r="W308" s="13"/>
      <c r="X308" s="16"/>
    </row>
    <row x14ac:dyDescent="0.25" r="309" customHeight="1" ht="15.75">
      <c r="A309" s="8">
        <v>25732</v>
      </c>
      <c r="B309" s="13" t="s">
        <v>66</v>
      </c>
      <c r="C309" s="13" t="s">
        <v>9458</v>
      </c>
      <c r="D309" s="10">
        <v>0.8776</v>
      </c>
      <c r="E309" s="11">
        <v>238.14</v>
      </c>
      <c r="F309" s="10">
        <v>0.6531</v>
      </c>
      <c r="G309" s="11">
        <v>348.97</v>
      </c>
      <c r="H309" s="10">
        <v>0.7347</v>
      </c>
      <c r="I309" s="11">
        <v>371.43</v>
      </c>
      <c r="J309" s="10">
        <v>0.8571</v>
      </c>
      <c r="K309" s="11">
        <v>344.52</v>
      </c>
      <c r="L309" s="10">
        <v>0.7959</v>
      </c>
      <c r="M309" s="11">
        <v>349.47</v>
      </c>
      <c r="N309" s="10">
        <v>0.8163</v>
      </c>
      <c r="O309" s="11">
        <v>418.38</v>
      </c>
      <c r="P309" s="10">
        <v>0.8776</v>
      </c>
      <c r="Q309" s="10">
        <v>0.2326</v>
      </c>
      <c r="R309" s="10">
        <v>0.8571</v>
      </c>
      <c r="S309" s="10" t="s">
        <v>7127</v>
      </c>
      <c r="T309" s="8">
        <f>IF(and(ISNUMBER(D309), isnumber(E309)), 1, 0) + IF(and(ISNUMBER(F309), isnumber(G309)), 1, 0) + IF(and(ISNUMBER(H309), isnumber(I309)), 1, 0) + IF(and(ISNUMBER(J309), isnumber(K309)), 1, 0) + IF(and(ISNUMBER(L309), isnumber(M309)), 1, 0) + IF(and(ISNUMBER(N309), isnumber(O309)), 1, 0)</f>
      </c>
      <c r="U309" s="8">
        <f>IF(and(ISNUMBER(P309), isnumber(Q309)), 1, 0) + IF(and(ISNUMBER(R309), isnumber(S309)), 1, 0)</f>
      </c>
      <c r="V309" s="13"/>
      <c r="W309" s="13"/>
      <c r="X309" s="16"/>
    </row>
    <row x14ac:dyDescent="0.25" r="310" customHeight="1" ht="15.75">
      <c r="A310" s="8">
        <v>25663</v>
      </c>
      <c r="B310" s="13" t="s">
        <v>66</v>
      </c>
      <c r="C310" s="13" t="s">
        <v>9466</v>
      </c>
      <c r="D310" s="10">
        <v>0.8475</v>
      </c>
      <c r="E310" s="11">
        <v>216</v>
      </c>
      <c r="F310" s="10">
        <v>0.661</v>
      </c>
      <c r="G310" s="11">
        <v>379.59</v>
      </c>
      <c r="H310" s="10">
        <v>0.557</v>
      </c>
      <c r="I310" s="11">
        <v>460</v>
      </c>
      <c r="J310" s="10">
        <v>0.7381</v>
      </c>
      <c r="K310" s="11">
        <v>366.9</v>
      </c>
      <c r="L310" s="10">
        <v>0.4937</v>
      </c>
      <c r="M310" s="11">
        <v>441.25</v>
      </c>
      <c r="N310" s="10">
        <v>0.5063</v>
      </c>
      <c r="O310" s="11">
        <v>451</v>
      </c>
      <c r="P310" s="10">
        <v>0.8475</v>
      </c>
      <c r="Q310" s="10">
        <v>0.2388</v>
      </c>
      <c r="R310" s="10">
        <v>0.7381</v>
      </c>
      <c r="S310" s="10" t="s">
        <v>7127</v>
      </c>
      <c r="T310" s="8">
        <f>IF(and(ISNUMBER(D310), isnumber(E310)), 1, 0) + IF(and(ISNUMBER(F310), isnumber(G310)), 1, 0) + IF(and(ISNUMBER(H310), isnumber(I310)), 1, 0) + IF(and(ISNUMBER(J310), isnumber(K310)), 1, 0) + IF(and(ISNUMBER(L310), isnumber(M310)), 1, 0) + IF(and(ISNUMBER(N310), isnumber(O310)), 1, 0)</f>
      </c>
      <c r="U310" s="8">
        <f>IF(and(ISNUMBER(P310), isnumber(Q310)), 1, 0) + IF(and(ISNUMBER(R310), isnumber(S310)), 1, 0)</f>
      </c>
      <c r="V310" s="13"/>
      <c r="W310" s="13"/>
      <c r="X310" s="16"/>
    </row>
    <row x14ac:dyDescent="0.25" r="311" customHeight="1" ht="15.75">
      <c r="A311" s="8">
        <v>25664</v>
      </c>
      <c r="B311" s="13" t="s">
        <v>66</v>
      </c>
      <c r="C311" s="13" t="s">
        <v>9472</v>
      </c>
      <c r="D311" s="10">
        <v>1</v>
      </c>
      <c r="E311" s="11">
        <v>193.57</v>
      </c>
      <c r="F311" s="10">
        <v>0.7544</v>
      </c>
      <c r="G311" s="11">
        <v>416.74</v>
      </c>
      <c r="H311" s="10">
        <v>0.7544</v>
      </c>
      <c r="I311" s="11">
        <v>459.53</v>
      </c>
      <c r="J311" s="10">
        <v>0.6316</v>
      </c>
      <c r="K311" s="11">
        <v>384</v>
      </c>
      <c r="L311" s="10">
        <v>0.614</v>
      </c>
      <c r="M311" s="11">
        <v>413.71</v>
      </c>
      <c r="N311" s="10">
        <v>0.4211</v>
      </c>
      <c r="O311" s="11">
        <v>450</v>
      </c>
      <c r="P311" s="10">
        <v>1</v>
      </c>
      <c r="Q311" s="10">
        <v>0.1823</v>
      </c>
      <c r="R311" s="10">
        <v>0.6316</v>
      </c>
      <c r="S311" s="10" t="s">
        <v>7127</v>
      </c>
      <c r="T311" s="8">
        <f>IF(and(ISNUMBER(D311), isnumber(E311)), 1, 0) + IF(and(ISNUMBER(F311), isnumber(G311)), 1, 0) + IF(and(ISNUMBER(H311), isnumber(I311)), 1, 0) + IF(and(ISNUMBER(J311), isnumber(K311)), 1, 0) + IF(and(ISNUMBER(L311), isnumber(M311)), 1, 0) + IF(and(ISNUMBER(N311), isnumber(O311)), 1, 0)</f>
      </c>
      <c r="U311" s="8">
        <f>IF(and(ISNUMBER(P311), isnumber(Q311)), 1, 0) + IF(and(ISNUMBER(R311), isnumber(S311)), 1, 0)</f>
      </c>
      <c r="V311" s="13"/>
      <c r="W311" s="13"/>
      <c r="X311" s="16"/>
    </row>
    <row x14ac:dyDescent="0.25" r="312" customHeight="1" ht="15.75">
      <c r="A312" s="8">
        <v>25733</v>
      </c>
      <c r="B312" s="13" t="s">
        <v>66</v>
      </c>
      <c r="C312" s="13" t="s">
        <v>9479</v>
      </c>
      <c r="D312" s="10">
        <v>0.7885</v>
      </c>
      <c r="E312" s="11">
        <v>63.41</v>
      </c>
      <c r="F312" s="10">
        <v>0.1538</v>
      </c>
      <c r="G312" s="11">
        <v>320</v>
      </c>
      <c r="H312" s="10">
        <v>0.5769</v>
      </c>
      <c r="I312" s="11">
        <v>334.67</v>
      </c>
      <c r="J312" s="10">
        <v>0.6731</v>
      </c>
      <c r="K312" s="11">
        <v>198.86</v>
      </c>
      <c r="L312" s="10">
        <v>0.6346</v>
      </c>
      <c r="M312" s="11">
        <v>390.3</v>
      </c>
      <c r="N312" s="10">
        <v>0.6538</v>
      </c>
      <c r="O312" s="11">
        <v>343.53</v>
      </c>
      <c r="P312" s="10">
        <v>0.7885</v>
      </c>
      <c r="Q312" s="10">
        <v>0.2157</v>
      </c>
      <c r="R312" s="10">
        <v>0.6731</v>
      </c>
      <c r="S312" s="10" t="s">
        <v>7127</v>
      </c>
      <c r="T312" s="8">
        <f>IF(and(ISNUMBER(D312), isnumber(E312)), 1, 0) + IF(and(ISNUMBER(F312), isnumber(G312)), 1, 0) + IF(and(ISNUMBER(H312), isnumber(I312)), 1, 0) + IF(and(ISNUMBER(J312), isnumber(K312)), 1, 0) + IF(and(ISNUMBER(L312), isnumber(M312)), 1, 0) + IF(and(ISNUMBER(N312), isnumber(O312)), 1, 0)</f>
      </c>
      <c r="U312" s="8">
        <f>IF(and(ISNUMBER(P312), isnumber(Q312)), 1, 0) + IF(and(ISNUMBER(R312), isnumber(S312)), 1, 0)</f>
      </c>
      <c r="V312" s="13"/>
      <c r="W312" s="13"/>
      <c r="X312" s="16"/>
    </row>
    <row x14ac:dyDescent="0.25" r="313" customHeight="1" ht="15.75">
      <c r="A313" s="8">
        <v>25734</v>
      </c>
      <c r="B313" s="13" t="s">
        <v>66</v>
      </c>
      <c r="C313" s="13" t="s">
        <v>9486</v>
      </c>
      <c r="D313" s="10">
        <v>0.9643</v>
      </c>
      <c r="E313" s="11">
        <v>147.5</v>
      </c>
      <c r="F313" s="10">
        <v>0.9881</v>
      </c>
      <c r="G313" s="11">
        <v>186.5</v>
      </c>
      <c r="H313" s="10">
        <v>0.8095</v>
      </c>
      <c r="I313" s="11">
        <v>392.94</v>
      </c>
      <c r="J313" s="10">
        <v>0.9167</v>
      </c>
      <c r="K313" s="11">
        <v>302.67</v>
      </c>
      <c r="L313" s="10">
        <v>0.8333</v>
      </c>
      <c r="M313" s="11">
        <v>365.37</v>
      </c>
      <c r="N313" s="10">
        <v>0.869</v>
      </c>
      <c r="O313" s="11">
        <v>361.13</v>
      </c>
      <c r="P313" s="10">
        <v>0.9643</v>
      </c>
      <c r="Q313" s="10">
        <v>0.177</v>
      </c>
      <c r="R313" s="10">
        <v>0.9167</v>
      </c>
      <c r="S313" s="10" t="s">
        <v>7127</v>
      </c>
      <c r="T313" s="8">
        <f>IF(and(ISNUMBER(D313), isnumber(E313)), 1, 0) + IF(and(ISNUMBER(F313), isnumber(G313)), 1, 0) + IF(and(ISNUMBER(H313), isnumber(I313)), 1, 0) + IF(and(ISNUMBER(J313), isnumber(K313)), 1, 0) + IF(and(ISNUMBER(L313), isnumber(M313)), 1, 0) + IF(and(ISNUMBER(N313), isnumber(O313)), 1, 0)</f>
      </c>
      <c r="U313" s="8">
        <f>IF(and(ISNUMBER(P313), isnumber(Q313)), 1, 0) + IF(and(ISNUMBER(R313), isnumber(S313)), 1, 0)</f>
      </c>
      <c r="V313" s="13"/>
      <c r="W313" s="13"/>
      <c r="X313" s="16"/>
    </row>
    <row x14ac:dyDescent="0.25" r="314" customHeight="1" ht="15.75">
      <c r="A314" s="8">
        <v>25735</v>
      </c>
      <c r="B314" s="13" t="s">
        <v>66</v>
      </c>
      <c r="C314" s="13" t="s">
        <v>9495</v>
      </c>
      <c r="D314" s="10">
        <v>0.8667</v>
      </c>
      <c r="E314" s="11">
        <v>190.77</v>
      </c>
      <c r="F314" s="10">
        <v>0.4</v>
      </c>
      <c r="G314" s="11">
        <v>306.67</v>
      </c>
      <c r="H314" s="10">
        <v>0.5333</v>
      </c>
      <c r="I314" s="11">
        <v>490</v>
      </c>
      <c r="J314" s="10">
        <v>0.6</v>
      </c>
      <c r="K314" s="11">
        <v>226.67</v>
      </c>
      <c r="L314" s="10">
        <v>0.5333</v>
      </c>
      <c r="M314" s="11">
        <v>510</v>
      </c>
      <c r="N314" s="10">
        <v>0.4</v>
      </c>
      <c r="O314" s="11">
        <v>553.33</v>
      </c>
      <c r="P314" s="10">
        <v>0.8667</v>
      </c>
      <c r="Q314" s="10">
        <v>0.1363</v>
      </c>
      <c r="R314" s="10">
        <v>0.6</v>
      </c>
      <c r="S314" s="10" t="s">
        <v>7127</v>
      </c>
      <c r="T314" s="8">
        <f>IF(and(ISNUMBER(D314), isnumber(E314)), 1, 0) + IF(and(ISNUMBER(F314), isnumber(G314)), 1, 0) + IF(and(ISNUMBER(H314), isnumber(I314)), 1, 0) + IF(and(ISNUMBER(J314), isnumber(K314)), 1, 0) + IF(and(ISNUMBER(L314), isnumber(M314)), 1, 0) + IF(and(ISNUMBER(N314), isnumber(O314)), 1, 0)</f>
      </c>
      <c r="U314" s="8">
        <f>IF(and(ISNUMBER(P314), isnumber(Q314)), 1, 0) + IF(and(ISNUMBER(R314), isnumber(S314)), 1, 0)</f>
      </c>
      <c r="V314" s="13"/>
      <c r="W314" s="13"/>
      <c r="X314" s="16"/>
    </row>
    <row x14ac:dyDescent="0.25" r="315" customHeight="1" ht="15.75">
      <c r="A315" s="8">
        <v>25665</v>
      </c>
      <c r="B315" s="13" t="s">
        <v>66</v>
      </c>
      <c r="C315" s="13" t="s">
        <v>9502</v>
      </c>
      <c r="D315" s="10">
        <v>0.583</v>
      </c>
      <c r="E315" s="11">
        <v>163.11</v>
      </c>
      <c r="F315" s="10">
        <v>0.2389</v>
      </c>
      <c r="G315" s="11">
        <v>307.61</v>
      </c>
      <c r="H315" s="10">
        <v>0.2895</v>
      </c>
      <c r="I315" s="11">
        <v>349.35</v>
      </c>
      <c r="J315" s="10">
        <v>0.36</v>
      </c>
      <c r="K315" s="11">
        <v>271.45</v>
      </c>
      <c r="L315" s="10">
        <v>0.2105</v>
      </c>
      <c r="M315" s="11">
        <v>356.51</v>
      </c>
      <c r="N315" s="10">
        <v>0.2481</v>
      </c>
      <c r="O315" s="11">
        <v>369.27</v>
      </c>
      <c r="P315" s="10">
        <v>0.583</v>
      </c>
      <c r="Q315" s="10">
        <v>0.2042</v>
      </c>
      <c r="R315" s="10">
        <v>0.36</v>
      </c>
      <c r="S315" s="10" t="s">
        <v>7127</v>
      </c>
      <c r="T315" s="8">
        <f>IF(and(ISNUMBER(D315), isnumber(E315)), 1, 0) + IF(and(ISNUMBER(F315), isnumber(G315)), 1, 0) + IF(and(ISNUMBER(H315), isnumber(I315)), 1, 0) + IF(and(ISNUMBER(J315), isnumber(K315)), 1, 0) + IF(and(ISNUMBER(L315), isnumber(M315)), 1, 0) + IF(and(ISNUMBER(N315), isnumber(O315)), 1, 0)</f>
      </c>
      <c r="U315" s="8">
        <f>IF(and(ISNUMBER(P315), isnumber(Q315)), 1, 0) + IF(and(ISNUMBER(R315), isnumber(S315)), 1, 0)</f>
      </c>
      <c r="V315" s="13"/>
      <c r="W315" s="13"/>
      <c r="X315" s="16"/>
    </row>
    <row x14ac:dyDescent="0.25" r="316" customHeight="1" ht="15.75">
      <c r="A316" s="8">
        <v>25666</v>
      </c>
      <c r="B316" s="13" t="s">
        <v>66</v>
      </c>
      <c r="C316" s="13" t="s">
        <v>9509</v>
      </c>
      <c r="D316" s="10">
        <v>0.6543</v>
      </c>
      <c r="E316" s="11">
        <v>261.66</v>
      </c>
      <c r="F316" s="10">
        <v>0.5935</v>
      </c>
      <c r="G316" s="11">
        <v>353.97</v>
      </c>
      <c r="H316" s="10">
        <v>0.5027</v>
      </c>
      <c r="I316" s="11">
        <v>422.41</v>
      </c>
      <c r="J316" s="10">
        <v>0.4737</v>
      </c>
      <c r="K316" s="11">
        <v>322.11</v>
      </c>
      <c r="L316" s="10">
        <v>0.543</v>
      </c>
      <c r="M316" s="11">
        <v>368.34</v>
      </c>
      <c r="N316" s="10">
        <v>0.5521</v>
      </c>
      <c r="O316" s="11">
        <v>374.45</v>
      </c>
      <c r="P316" s="10">
        <v>0.6543</v>
      </c>
      <c r="Q316" s="10">
        <v>0.2276</v>
      </c>
      <c r="R316" s="10">
        <v>0.4737</v>
      </c>
      <c r="S316" s="10" t="s">
        <v>7127</v>
      </c>
      <c r="T316" s="8">
        <f>IF(and(ISNUMBER(D316), isnumber(E316)), 1, 0) + IF(and(ISNUMBER(F316), isnumber(G316)), 1, 0) + IF(and(ISNUMBER(H316), isnumber(I316)), 1, 0) + IF(and(ISNUMBER(J316), isnumber(K316)), 1, 0) + IF(and(ISNUMBER(L316), isnumber(M316)), 1, 0) + IF(and(ISNUMBER(N316), isnumber(O316)), 1, 0)</f>
      </c>
      <c r="U316" s="8">
        <f>IF(and(ISNUMBER(P316), isnumber(Q316)), 1, 0) + IF(and(ISNUMBER(R316), isnumber(S316)), 1, 0)</f>
      </c>
      <c r="V316" s="13"/>
      <c r="W316" s="13"/>
      <c r="X316" s="16"/>
    </row>
    <row x14ac:dyDescent="0.25" r="317" customHeight="1" ht="15.75">
      <c r="A317" s="8">
        <v>25736</v>
      </c>
      <c r="B317" s="13" t="s">
        <v>66</v>
      </c>
      <c r="C317" s="13" t="s">
        <v>9517</v>
      </c>
      <c r="D317" s="10">
        <v>0.8696</v>
      </c>
      <c r="E317" s="11">
        <v>167.06</v>
      </c>
      <c r="F317" s="10">
        <v>0.6522</v>
      </c>
      <c r="G317" s="11">
        <v>342.07</v>
      </c>
      <c r="H317" s="10">
        <v>0.6304</v>
      </c>
      <c r="I317" s="11">
        <v>407.14</v>
      </c>
      <c r="J317" s="10">
        <v>0.7609</v>
      </c>
      <c r="K317" s="11">
        <v>316</v>
      </c>
      <c r="L317" s="10">
        <v>0.6739</v>
      </c>
      <c r="M317" s="11">
        <v>396.13</v>
      </c>
      <c r="N317" s="10">
        <v>0</v>
      </c>
      <c r="O317" s="11" t="s">
        <v>7127</v>
      </c>
      <c r="P317" s="10">
        <v>0.8696</v>
      </c>
      <c r="Q317" s="10">
        <v>0.2428</v>
      </c>
      <c r="R317" s="10">
        <v>0.7609</v>
      </c>
      <c r="S317" s="10" t="s">
        <v>7127</v>
      </c>
      <c r="T317" s="8">
        <f>IF(and(ISNUMBER(D317), isnumber(E317)), 1, 0) + IF(and(ISNUMBER(F317), isnumber(G317)), 1, 0) + IF(and(ISNUMBER(H317), isnumber(I317)), 1, 0) + IF(and(ISNUMBER(J317), isnumber(K317)), 1, 0) + IF(and(ISNUMBER(L317), isnumber(M317)), 1, 0) + IF(and(ISNUMBER(N317), isnumber(O317)), 1, 0)</f>
      </c>
      <c r="U317" s="8">
        <f>IF(and(ISNUMBER(P317), isnumber(Q317)), 1, 0) + IF(and(ISNUMBER(R317), isnumber(S317)), 1, 0)</f>
      </c>
      <c r="V317" s="13"/>
      <c r="W317" s="13"/>
      <c r="X317" s="16"/>
    </row>
    <row x14ac:dyDescent="0.25" r="318" customHeight="1" ht="15.75">
      <c r="A318" s="8">
        <v>25742</v>
      </c>
      <c r="B318" s="13" t="s">
        <v>66</v>
      </c>
      <c r="C318" s="13" t="s">
        <v>9525</v>
      </c>
      <c r="D318" s="10">
        <v>0.4921</v>
      </c>
      <c r="E318" s="11">
        <v>319.83</v>
      </c>
      <c r="F318" s="10">
        <v>0.5657</v>
      </c>
      <c r="G318" s="11">
        <v>423.85</v>
      </c>
      <c r="H318" s="10">
        <v>0.5482</v>
      </c>
      <c r="I318" s="11">
        <v>444.97</v>
      </c>
      <c r="J318" s="10">
        <v>0.7898</v>
      </c>
      <c r="K318" s="11">
        <v>296.39</v>
      </c>
      <c r="L318" s="10">
        <v>0.5622</v>
      </c>
      <c r="M318" s="11">
        <v>451.91</v>
      </c>
      <c r="N318" s="10">
        <v>0.007</v>
      </c>
      <c r="O318" s="11">
        <v>350</v>
      </c>
      <c r="P318" s="10">
        <v>0.4921</v>
      </c>
      <c r="Q318" s="10">
        <v>0.2484</v>
      </c>
      <c r="R318" s="10">
        <v>0.7898</v>
      </c>
      <c r="S318" s="10" t="s">
        <v>7127</v>
      </c>
      <c r="T318" s="8">
        <f>IF(and(ISNUMBER(D318), isnumber(E318)), 1, 0) + IF(and(ISNUMBER(F318), isnumber(G318)), 1, 0) + IF(and(ISNUMBER(H318), isnumber(I318)), 1, 0) + IF(and(ISNUMBER(J318), isnumber(K318)), 1, 0) + IF(and(ISNUMBER(L318), isnumber(M318)), 1, 0) + IF(and(ISNUMBER(N318), isnumber(O318)), 1, 0)</f>
      </c>
      <c r="U318" s="8">
        <f>IF(and(ISNUMBER(P318), isnumber(Q318)), 1, 0) + IF(and(ISNUMBER(R318), isnumber(S318)), 1, 0)</f>
      </c>
      <c r="V318" s="13"/>
      <c r="W318" s="13"/>
      <c r="X318" s="16"/>
    </row>
    <row x14ac:dyDescent="0.25" r="319" customHeight="1" ht="15.75">
      <c r="A319" s="8">
        <v>25437</v>
      </c>
      <c r="B319" s="13" t="s">
        <v>69</v>
      </c>
      <c r="C319" s="13" t="s">
        <v>4921</v>
      </c>
      <c r="D319" s="10">
        <v>0.7114</v>
      </c>
      <c r="E319" s="11">
        <v>150.02</v>
      </c>
      <c r="F319" s="10">
        <v>0.5948</v>
      </c>
      <c r="G319" s="11">
        <v>298.78</v>
      </c>
      <c r="H319" s="10">
        <v>0.5252</v>
      </c>
      <c r="I319" s="11" t="s">
        <v>7127</v>
      </c>
      <c r="J319" s="10">
        <v>0.6355</v>
      </c>
      <c r="K319" s="11">
        <v>197.41</v>
      </c>
      <c r="L319" s="10">
        <v>0.504</v>
      </c>
      <c r="M319" s="11">
        <v>340.45</v>
      </c>
      <c r="N319" s="10">
        <v>0.5252</v>
      </c>
      <c r="O319" s="11">
        <v>374.15</v>
      </c>
      <c r="P319" s="10">
        <v>0.7114</v>
      </c>
      <c r="Q319" s="10">
        <v>0.2299</v>
      </c>
      <c r="R319" s="10">
        <v>0.6355</v>
      </c>
      <c r="S319" s="10">
        <v>0.1809</v>
      </c>
      <c r="T319" s="8">
        <f>IF(and(ISNUMBER(D319), isnumber(E319)), 1, 0) + IF(and(ISNUMBER(F319), isnumber(G319)), 1, 0) + IF(and(ISNUMBER(H319), isnumber(I319)), 1, 0) + IF(and(ISNUMBER(J319), isnumber(K319)), 1, 0) + IF(and(ISNUMBER(L319), isnumber(M319)), 1, 0) + IF(and(ISNUMBER(N319), isnumber(O319)), 1, 0)</f>
      </c>
      <c r="U319" s="8">
        <f>IF(and(ISNUMBER(P319), isnumber(Q319)), 1, 0) + IF(and(ISNUMBER(R319), isnumber(S319)), 1, 0)</f>
      </c>
      <c r="V319" s="13"/>
      <c r="W319" s="13"/>
      <c r="X319" s="16"/>
    </row>
    <row x14ac:dyDescent="0.25" r="320" customHeight="1" ht="15.75">
      <c r="A320" s="8">
        <v>25438</v>
      </c>
      <c r="B320" s="13" t="s">
        <v>69</v>
      </c>
      <c r="C320" s="13" t="s">
        <v>4926</v>
      </c>
      <c r="D320" s="10">
        <v>0.6538</v>
      </c>
      <c r="E320" s="11">
        <v>93.33</v>
      </c>
      <c r="F320" s="10">
        <v>0.6346</v>
      </c>
      <c r="G320" s="11">
        <v>299.39</v>
      </c>
      <c r="H320" s="10">
        <v>0.5</v>
      </c>
      <c r="I320" s="11">
        <v>380.8</v>
      </c>
      <c r="J320" s="10">
        <v>0.7308</v>
      </c>
      <c r="K320" s="11">
        <v>284.44</v>
      </c>
      <c r="L320" s="10">
        <v>0.7115</v>
      </c>
      <c r="M320" s="11">
        <v>317.84</v>
      </c>
      <c r="N320" s="10">
        <v>0.5577</v>
      </c>
      <c r="O320" s="11">
        <v>340.74</v>
      </c>
      <c r="P320" s="10">
        <v>0.6538</v>
      </c>
      <c r="Q320" s="10">
        <v>0.2114</v>
      </c>
      <c r="R320" s="10">
        <v>0.7308</v>
      </c>
      <c r="S320" s="10">
        <v>0.1959</v>
      </c>
      <c r="T320" s="8">
        <f>IF(and(ISNUMBER(D320), isnumber(E320)), 1, 0) + IF(and(ISNUMBER(F320), isnumber(G320)), 1, 0) + IF(and(ISNUMBER(H320), isnumber(I320)), 1, 0) + IF(and(ISNUMBER(J320), isnumber(K320)), 1, 0) + IF(and(ISNUMBER(L320), isnumber(M320)), 1, 0) + IF(and(ISNUMBER(N320), isnumber(O320)), 1, 0)</f>
      </c>
      <c r="U320" s="8">
        <f>IF(and(ISNUMBER(P320), isnumber(Q320)), 1, 0) + IF(and(ISNUMBER(R320), isnumber(S320)), 1, 0)</f>
      </c>
      <c r="V320" s="13"/>
      <c r="W320" s="13"/>
      <c r="X320" s="16"/>
    </row>
    <row x14ac:dyDescent="0.25" r="321" customHeight="1" ht="15.75">
      <c r="A321" s="8">
        <v>25439</v>
      </c>
      <c r="B321" s="13" t="s">
        <v>69</v>
      </c>
      <c r="C321" s="13" t="s">
        <v>4927</v>
      </c>
      <c r="D321" s="10">
        <v>0.5769</v>
      </c>
      <c r="E321" s="11">
        <v>292.31</v>
      </c>
      <c r="F321" s="10">
        <v>0.5577</v>
      </c>
      <c r="G321" s="11">
        <v>417.93</v>
      </c>
      <c r="H321" s="10">
        <v>0.4615</v>
      </c>
      <c r="I321" s="11">
        <v>481.67</v>
      </c>
      <c r="J321" s="10">
        <v>0.6154</v>
      </c>
      <c r="K321" s="11">
        <v>318.71</v>
      </c>
      <c r="L321" s="10">
        <v>0.4615</v>
      </c>
      <c r="M321" s="11">
        <v>500</v>
      </c>
      <c r="N321" s="10">
        <v>0.3077</v>
      </c>
      <c r="O321" s="11">
        <v>487.5</v>
      </c>
      <c r="P321" s="10">
        <v>0.5769</v>
      </c>
      <c r="Q321" s="10">
        <v>0.2459</v>
      </c>
      <c r="R321" s="10">
        <v>0.6154</v>
      </c>
      <c r="S321" s="10">
        <v>0.1982</v>
      </c>
      <c r="T321" s="8">
        <f>IF(and(ISNUMBER(D321), isnumber(E321)), 1, 0) + IF(and(ISNUMBER(F321), isnumber(G321)), 1, 0) + IF(and(ISNUMBER(H321), isnumber(I321)), 1, 0) + IF(and(ISNUMBER(J321), isnumber(K321)), 1, 0) + IF(and(ISNUMBER(L321), isnumber(M321)), 1, 0) + IF(and(ISNUMBER(N321), isnumber(O321)), 1, 0)</f>
      </c>
      <c r="U321" s="8">
        <f>IF(and(ISNUMBER(P321), isnumber(Q321)), 1, 0) + IF(and(ISNUMBER(R321), isnumber(S321)), 1, 0)</f>
      </c>
      <c r="V321" s="13"/>
      <c r="W321" s="13"/>
      <c r="X321" s="16"/>
    </row>
    <row x14ac:dyDescent="0.25" r="322" customHeight="1" ht="15.75">
      <c r="A322" s="8">
        <v>25440</v>
      </c>
      <c r="B322" s="13" t="s">
        <v>69</v>
      </c>
      <c r="C322" s="13" t="s">
        <v>4928</v>
      </c>
      <c r="D322" s="10">
        <v>0.8984</v>
      </c>
      <c r="E322" s="11">
        <v>132.48</v>
      </c>
      <c r="F322" s="10">
        <v>0.5187</v>
      </c>
      <c r="G322" s="11">
        <v>360.83</v>
      </c>
      <c r="H322" s="10">
        <v>0.6257</v>
      </c>
      <c r="I322" s="11">
        <v>379.48</v>
      </c>
      <c r="J322" s="10">
        <v>0.6096</v>
      </c>
      <c r="K322" s="11">
        <v>231.93</v>
      </c>
      <c r="L322" s="10">
        <v>0.5187</v>
      </c>
      <c r="M322" s="11">
        <v>350.93</v>
      </c>
      <c r="N322" s="10">
        <v>0.4492</v>
      </c>
      <c r="O322" s="11">
        <v>384.29</v>
      </c>
      <c r="P322" s="10">
        <v>0.8984</v>
      </c>
      <c r="Q322" s="10">
        <v>0.141</v>
      </c>
      <c r="R322" s="10">
        <v>0.6096</v>
      </c>
      <c r="S322" s="10">
        <v>0.168</v>
      </c>
      <c r="T322" s="8">
        <f>IF(and(ISNUMBER(D322), isnumber(E322)), 1, 0) + IF(and(ISNUMBER(F322), isnumber(G322)), 1, 0) + IF(and(ISNUMBER(H322), isnumber(I322)), 1, 0) + IF(and(ISNUMBER(J322), isnumber(K322)), 1, 0) + IF(and(ISNUMBER(L322), isnumber(M322)), 1, 0) + IF(and(ISNUMBER(N322), isnumber(O322)), 1, 0)</f>
      </c>
      <c r="U322" s="8">
        <f>IF(and(ISNUMBER(P322), isnumber(Q322)), 1, 0) + IF(and(ISNUMBER(R322), isnumber(S322)), 1, 0)</f>
      </c>
      <c r="V322" s="13"/>
      <c r="W322" s="13"/>
      <c r="X322" s="16"/>
    </row>
    <row x14ac:dyDescent="0.25" r="323" customHeight="1" ht="15.75">
      <c r="A323" s="8">
        <v>25441</v>
      </c>
      <c r="B323" s="13" t="s">
        <v>69</v>
      </c>
      <c r="C323" s="13" t="s">
        <v>4932</v>
      </c>
      <c r="D323" s="10">
        <v>0.6351</v>
      </c>
      <c r="E323" s="11">
        <v>77.44</v>
      </c>
      <c r="F323" s="10">
        <v>0.4459</v>
      </c>
      <c r="G323" s="11">
        <v>319.82</v>
      </c>
      <c r="H323" s="10">
        <v>0.3776</v>
      </c>
      <c r="I323" s="11">
        <v>387.03</v>
      </c>
      <c r="J323" s="10">
        <v>0.7895</v>
      </c>
      <c r="K323" s="11">
        <v>290.67</v>
      </c>
      <c r="L323" s="10">
        <v>0.602</v>
      </c>
      <c r="M323" s="11">
        <v>336.95</v>
      </c>
      <c r="N323" s="10">
        <v>0.5306</v>
      </c>
      <c r="O323" s="11">
        <v>371.54</v>
      </c>
      <c r="P323" s="10">
        <v>0.6351</v>
      </c>
      <c r="Q323" s="10">
        <v>0.2185</v>
      </c>
      <c r="R323" s="10">
        <v>0.7895</v>
      </c>
      <c r="S323" s="10">
        <v>0.2006</v>
      </c>
      <c r="T323" s="8">
        <f>IF(and(ISNUMBER(D323), isnumber(E323)), 1, 0) + IF(and(ISNUMBER(F323), isnumber(G323)), 1, 0) + IF(and(ISNUMBER(H323), isnumber(I323)), 1, 0) + IF(and(ISNUMBER(J323), isnumber(K323)), 1, 0) + IF(and(ISNUMBER(L323), isnumber(M323)), 1, 0) + IF(and(ISNUMBER(N323), isnumber(O323)), 1, 0)</f>
      </c>
      <c r="U323" s="8">
        <f>IF(and(ISNUMBER(P323), isnumber(Q323)), 1, 0) + IF(and(ISNUMBER(R323), isnumber(S323)), 1, 0)</f>
      </c>
      <c r="V323" s="13"/>
      <c r="W323" s="13"/>
      <c r="X323" s="16"/>
    </row>
    <row x14ac:dyDescent="0.25" r="324" customHeight="1" ht="15.75">
      <c r="A324" s="8">
        <v>25442</v>
      </c>
      <c r="B324" s="13" t="s">
        <v>69</v>
      </c>
      <c r="C324" s="13" t="s">
        <v>4934</v>
      </c>
      <c r="D324" s="10">
        <v>0.7783</v>
      </c>
      <c r="E324" s="11">
        <v>183.03</v>
      </c>
      <c r="F324" s="10">
        <v>0.6244</v>
      </c>
      <c r="G324" s="11">
        <v>361.44</v>
      </c>
      <c r="H324" s="10">
        <v>0.4106</v>
      </c>
      <c r="I324" s="11">
        <v>320.3</v>
      </c>
      <c r="J324" s="10">
        <v>0.6268</v>
      </c>
      <c r="K324" s="11">
        <v>361.15</v>
      </c>
      <c r="L324" s="10">
        <v>0.4512</v>
      </c>
      <c r="M324" s="11">
        <v>405.05</v>
      </c>
      <c r="N324" s="10">
        <v>0.5</v>
      </c>
      <c r="O324" s="11">
        <v>417.18</v>
      </c>
      <c r="P324" s="10">
        <v>0.7783</v>
      </c>
      <c r="Q324" s="10">
        <v>0.2217</v>
      </c>
      <c r="R324" s="10">
        <v>0.6268</v>
      </c>
      <c r="S324" s="10">
        <v>0.1958</v>
      </c>
      <c r="T324" s="8">
        <f>IF(and(ISNUMBER(D324), isnumber(E324)), 1, 0) + IF(and(ISNUMBER(F324), isnumber(G324)), 1, 0) + IF(and(ISNUMBER(H324), isnumber(I324)), 1, 0) + IF(and(ISNUMBER(J324), isnumber(K324)), 1, 0) + IF(and(ISNUMBER(L324), isnumber(M324)), 1, 0) + IF(and(ISNUMBER(N324), isnumber(O324)), 1, 0)</f>
      </c>
      <c r="U324" s="8">
        <f>IF(and(ISNUMBER(P324), isnumber(Q324)), 1, 0) + IF(and(ISNUMBER(R324), isnumber(S324)), 1, 0)</f>
      </c>
      <c r="V324" s="13"/>
      <c r="W324" s="13"/>
      <c r="X324" s="16"/>
    </row>
    <row x14ac:dyDescent="0.25" r="325" customHeight="1" ht="15.75">
      <c r="A325" s="8">
        <v>25443</v>
      </c>
      <c r="B325" s="13" t="s">
        <v>69</v>
      </c>
      <c r="C325" s="13" t="s">
        <v>4938</v>
      </c>
      <c r="D325" s="10">
        <v>0.6148</v>
      </c>
      <c r="E325" s="11" t="s">
        <v>7127</v>
      </c>
      <c r="F325" s="10">
        <v>0.5642</v>
      </c>
      <c r="G325" s="11">
        <v>296.59</v>
      </c>
      <c r="H325" s="10">
        <v>0.5758</v>
      </c>
      <c r="I325" s="11">
        <v>301.27</v>
      </c>
      <c r="J325" s="10">
        <v>0.5461</v>
      </c>
      <c r="K325" s="11">
        <v>203.81</v>
      </c>
      <c r="L325" s="10">
        <v>0.5401</v>
      </c>
      <c r="M325" s="11">
        <v>267.46</v>
      </c>
      <c r="N325" s="10">
        <v>0.5062</v>
      </c>
      <c r="O325" s="11">
        <v>273.47</v>
      </c>
      <c r="P325" s="10">
        <v>0.6148</v>
      </c>
      <c r="Q325" s="10">
        <v>0.2089</v>
      </c>
      <c r="R325" s="10">
        <v>0.5461</v>
      </c>
      <c r="S325" s="10">
        <v>0.1966</v>
      </c>
      <c r="T325" s="8">
        <f>IF(and(ISNUMBER(D325), isnumber(E325)), 1, 0) + IF(and(ISNUMBER(F325), isnumber(G325)), 1, 0) + IF(and(ISNUMBER(H325), isnumber(I325)), 1, 0) + IF(and(ISNUMBER(J325), isnumber(K325)), 1, 0) + IF(and(ISNUMBER(L325), isnumber(M325)), 1, 0) + IF(and(ISNUMBER(N325), isnumber(O325)), 1, 0)</f>
      </c>
      <c r="U325" s="8">
        <f>IF(and(ISNUMBER(P325), isnumber(Q325)), 1, 0) + IF(and(ISNUMBER(R325), isnumber(S325)), 1, 0)</f>
      </c>
      <c r="V325" s="13"/>
      <c r="W325" s="13"/>
      <c r="X325" s="16"/>
    </row>
    <row x14ac:dyDescent="0.25" r="326" customHeight="1" ht="15.75">
      <c r="A326" s="8">
        <v>25444</v>
      </c>
      <c r="B326" s="13" t="s">
        <v>69</v>
      </c>
      <c r="C326" s="13" t="s">
        <v>4942</v>
      </c>
      <c r="D326" s="10">
        <v>0.7039</v>
      </c>
      <c r="E326" s="11">
        <v>64.72</v>
      </c>
      <c r="F326" s="10">
        <v>0.9539</v>
      </c>
      <c r="G326" s="11">
        <v>163.69</v>
      </c>
      <c r="H326" s="10">
        <v>0.442</v>
      </c>
      <c r="I326" s="11">
        <v>239.54</v>
      </c>
      <c r="J326" s="10">
        <v>0.5605</v>
      </c>
      <c r="K326" s="11">
        <v>173.52</v>
      </c>
      <c r="L326" s="10">
        <v>0.4568</v>
      </c>
      <c r="M326" s="11">
        <v>255.65</v>
      </c>
      <c r="N326" s="10">
        <v>0.0074</v>
      </c>
      <c r="O326" s="11">
        <v>253.33</v>
      </c>
      <c r="P326" s="10">
        <v>0.7039</v>
      </c>
      <c r="Q326" s="10">
        <v>0.157</v>
      </c>
      <c r="R326" s="10">
        <v>0.5605</v>
      </c>
      <c r="S326" s="10">
        <v>0.1949</v>
      </c>
      <c r="T326" s="8">
        <f>IF(and(ISNUMBER(D326), isnumber(E326)), 1, 0) + IF(and(ISNUMBER(F326), isnumber(G326)), 1, 0) + IF(and(ISNUMBER(H326), isnumber(I326)), 1, 0) + IF(and(ISNUMBER(J326), isnumber(K326)), 1, 0) + IF(and(ISNUMBER(L326), isnumber(M326)), 1, 0) + IF(and(ISNUMBER(N326), isnumber(O326)), 1, 0)</f>
      </c>
      <c r="U326" s="8">
        <f>IF(and(ISNUMBER(P326), isnumber(Q326)), 1, 0) + IF(and(ISNUMBER(R326), isnumber(S326)), 1, 0)</f>
      </c>
      <c r="V326" s="13"/>
      <c r="W326" s="13"/>
      <c r="X326" s="16"/>
    </row>
    <row x14ac:dyDescent="0.25" r="327" customHeight="1" ht="15.75">
      <c r="A327" s="8">
        <v>25445</v>
      </c>
      <c r="B327" s="13" t="s">
        <v>69</v>
      </c>
      <c r="C327" s="13" t="s">
        <v>4947</v>
      </c>
      <c r="D327" s="10">
        <v>0.2514</v>
      </c>
      <c r="E327" s="11">
        <v>189.09</v>
      </c>
      <c r="F327" s="10">
        <v>0.1886</v>
      </c>
      <c r="G327" s="11">
        <v>304.94</v>
      </c>
      <c r="H327" s="10">
        <v>0.3465</v>
      </c>
      <c r="I327" s="11">
        <v>420.74</v>
      </c>
      <c r="J327" s="10">
        <v>0.7059</v>
      </c>
      <c r="K327" s="11">
        <v>220.22</v>
      </c>
      <c r="L327" s="10">
        <v>0.3509</v>
      </c>
      <c r="M327" s="11">
        <v>345</v>
      </c>
      <c r="N327" s="10">
        <v>0.4211</v>
      </c>
      <c r="O327" s="11">
        <v>377.15</v>
      </c>
      <c r="P327" s="10">
        <v>0.2514</v>
      </c>
      <c r="Q327" s="10">
        <v>0.1982</v>
      </c>
      <c r="R327" s="10">
        <v>0.7059</v>
      </c>
      <c r="S327" s="10">
        <v>0.1879</v>
      </c>
      <c r="T327" s="8">
        <f>IF(and(ISNUMBER(D327), isnumber(E327)), 1, 0) + IF(and(ISNUMBER(F327), isnumber(G327)), 1, 0) + IF(and(ISNUMBER(H327), isnumber(I327)), 1, 0) + IF(and(ISNUMBER(J327), isnumber(K327)), 1, 0) + IF(and(ISNUMBER(L327), isnumber(M327)), 1, 0) + IF(and(ISNUMBER(N327), isnumber(O327)), 1, 0)</f>
      </c>
      <c r="U327" s="8">
        <f>IF(and(ISNUMBER(P327), isnumber(Q327)), 1, 0) + IF(and(ISNUMBER(R327), isnumber(S327)), 1, 0)</f>
      </c>
      <c r="V327" s="13"/>
      <c r="W327" s="13"/>
      <c r="X327" s="16"/>
    </row>
    <row x14ac:dyDescent="0.25" r="328" customHeight="1" ht="15.75">
      <c r="A328" s="8">
        <v>25446</v>
      </c>
      <c r="B328" s="13" t="s">
        <v>69</v>
      </c>
      <c r="C328" s="13" t="s">
        <v>4951</v>
      </c>
      <c r="D328" s="10">
        <v>0.6639</v>
      </c>
      <c r="E328" s="11">
        <v>176.84</v>
      </c>
      <c r="F328" s="10">
        <v>0.9622</v>
      </c>
      <c r="G328" s="11">
        <v>207.21</v>
      </c>
      <c r="H328" s="10">
        <v>0.584</v>
      </c>
      <c r="I328" s="11">
        <v>397.35</v>
      </c>
      <c r="J328" s="10">
        <v>0.5672</v>
      </c>
      <c r="K328" s="11">
        <v>179.21</v>
      </c>
      <c r="L328" s="10">
        <v>0.4874</v>
      </c>
      <c r="M328" s="11">
        <v>391.5</v>
      </c>
      <c r="N328" s="10">
        <v>0.4832</v>
      </c>
      <c r="O328" s="11">
        <v>402.96</v>
      </c>
      <c r="P328" s="10">
        <v>0.6639</v>
      </c>
      <c r="Q328" s="10">
        <v>0.2138</v>
      </c>
      <c r="R328" s="10">
        <v>0.5672</v>
      </c>
      <c r="S328" s="10">
        <v>0.1988</v>
      </c>
      <c r="T328" s="8">
        <f>IF(and(ISNUMBER(D328), isnumber(E328)), 1, 0) + IF(and(ISNUMBER(F328), isnumber(G328)), 1, 0) + IF(and(ISNUMBER(H328), isnumber(I328)), 1, 0) + IF(and(ISNUMBER(J328), isnumber(K328)), 1, 0) + IF(and(ISNUMBER(L328), isnumber(M328)), 1, 0) + IF(and(ISNUMBER(N328), isnumber(O328)), 1, 0)</f>
      </c>
      <c r="U328" s="8">
        <f>IF(and(ISNUMBER(P328), isnumber(Q328)), 1, 0) + IF(and(ISNUMBER(R328), isnumber(S328)), 1, 0)</f>
      </c>
      <c r="V328" s="13"/>
      <c r="W328" s="13"/>
      <c r="X328" s="16"/>
    </row>
    <row x14ac:dyDescent="0.25" r="329" customHeight="1" ht="15.75">
      <c r="A329" s="8">
        <v>25447</v>
      </c>
      <c r="B329" s="13" t="s">
        <v>69</v>
      </c>
      <c r="C329" s="13" t="s">
        <v>4955</v>
      </c>
      <c r="D329" s="10">
        <v>0.6647</v>
      </c>
      <c r="E329" s="11">
        <v>142.86</v>
      </c>
      <c r="F329" s="10">
        <v>0.9595</v>
      </c>
      <c r="G329" s="11">
        <v>141.09</v>
      </c>
      <c r="H329" s="10">
        <v>0.9364</v>
      </c>
      <c r="I329" s="11">
        <v>169.88</v>
      </c>
      <c r="J329" s="10">
        <v>0.6243</v>
      </c>
      <c r="K329" s="11">
        <v>156.5</v>
      </c>
      <c r="L329" s="10">
        <v>0.5087</v>
      </c>
      <c r="M329" s="11">
        <v>317.67</v>
      </c>
      <c r="N329" s="10">
        <v>0.9942</v>
      </c>
      <c r="O329" s="11">
        <v>222.09</v>
      </c>
      <c r="P329" s="10">
        <v>0.6647</v>
      </c>
      <c r="Q329" s="10">
        <v>0.179</v>
      </c>
      <c r="R329" s="10">
        <v>0.6243</v>
      </c>
      <c r="S329" s="10">
        <v>0.1964</v>
      </c>
      <c r="T329" s="8">
        <f>IF(and(ISNUMBER(D329), isnumber(E329)), 1, 0) + IF(and(ISNUMBER(F329), isnumber(G329)), 1, 0) + IF(and(ISNUMBER(H329), isnumber(I329)), 1, 0) + IF(and(ISNUMBER(J329), isnumber(K329)), 1, 0) + IF(and(ISNUMBER(L329), isnumber(M329)), 1, 0) + IF(and(ISNUMBER(N329), isnumber(O329)), 1, 0)</f>
      </c>
      <c r="U329" s="8">
        <f>IF(and(ISNUMBER(P329), isnumber(Q329)), 1, 0) + IF(and(ISNUMBER(R329), isnumber(S329)), 1, 0)</f>
      </c>
      <c r="V329" s="13"/>
      <c r="W329" s="13"/>
      <c r="X329" s="16"/>
    </row>
    <row x14ac:dyDescent="0.25" r="330" customHeight="1" ht="15.75">
      <c r="A330" s="8">
        <v>25448</v>
      </c>
      <c r="B330" s="13" t="s">
        <v>69</v>
      </c>
      <c r="C330" s="13" t="s">
        <v>4959</v>
      </c>
      <c r="D330" s="10">
        <v>0.6429</v>
      </c>
      <c r="E330" s="11">
        <v>148.15</v>
      </c>
      <c r="F330" s="10">
        <v>0.4762</v>
      </c>
      <c r="G330" s="11">
        <v>214.74</v>
      </c>
      <c r="H330" s="10">
        <v>0.6429</v>
      </c>
      <c r="I330" s="11">
        <v>295.38</v>
      </c>
      <c r="J330" s="10">
        <v>0.7381</v>
      </c>
      <c r="K330" s="11">
        <v>247.74</v>
      </c>
      <c r="L330" s="10">
        <v>0.6667</v>
      </c>
      <c r="M330" s="11">
        <v>362.86</v>
      </c>
      <c r="N330" s="10">
        <v>0.5714</v>
      </c>
      <c r="O330" s="11">
        <v>341.82</v>
      </c>
      <c r="P330" s="10">
        <v>0.6429</v>
      </c>
      <c r="Q330" s="10">
        <v>0.2128</v>
      </c>
      <c r="R330" s="10">
        <v>0.7381</v>
      </c>
      <c r="S330" s="10">
        <v>0.1939</v>
      </c>
      <c r="T330" s="8">
        <f>IF(and(ISNUMBER(D330), isnumber(E330)), 1, 0) + IF(and(ISNUMBER(F330), isnumber(G330)), 1, 0) + IF(and(ISNUMBER(H330), isnumber(I330)), 1, 0) + IF(and(ISNUMBER(J330), isnumber(K330)), 1, 0) + IF(and(ISNUMBER(L330), isnumber(M330)), 1, 0) + IF(and(ISNUMBER(N330), isnumber(O330)), 1, 0)</f>
      </c>
      <c r="U330" s="8">
        <f>IF(and(ISNUMBER(P330), isnumber(Q330)), 1, 0) + IF(and(ISNUMBER(R330), isnumber(S330)), 1, 0)</f>
      </c>
      <c r="V330" s="13"/>
      <c r="W330" s="13"/>
      <c r="X330" s="16"/>
    </row>
    <row x14ac:dyDescent="0.25" r="331" customHeight="1" ht="15.75">
      <c r="A331" s="8">
        <v>25449</v>
      </c>
      <c r="B331" s="13" t="s">
        <v>69</v>
      </c>
      <c r="C331" s="13" t="s">
        <v>4963</v>
      </c>
      <c r="D331" s="10">
        <v>0.9552</v>
      </c>
      <c r="E331" s="11">
        <v>180.28</v>
      </c>
      <c r="F331" s="10">
        <v>0.9701</v>
      </c>
      <c r="G331" s="11">
        <v>218.52</v>
      </c>
      <c r="H331" s="10">
        <v>0.6627</v>
      </c>
      <c r="I331" s="11">
        <v>281.45</v>
      </c>
      <c r="J331" s="10">
        <v>0.9394</v>
      </c>
      <c r="K331" s="11">
        <v>289.03</v>
      </c>
      <c r="L331" s="10">
        <v>0.759</v>
      </c>
      <c r="M331" s="11">
        <v>252.06</v>
      </c>
      <c r="N331" s="10">
        <v>0.5904</v>
      </c>
      <c r="O331" s="11">
        <v>409.79</v>
      </c>
      <c r="P331" s="10">
        <v>0.9552</v>
      </c>
      <c r="Q331" s="10">
        <v>0.1349</v>
      </c>
      <c r="R331" s="10">
        <v>0.9394</v>
      </c>
      <c r="S331" s="10">
        <v>0.1634</v>
      </c>
      <c r="T331" s="8">
        <f>IF(and(ISNUMBER(D331), isnumber(E331)), 1, 0) + IF(and(ISNUMBER(F331), isnumber(G331)), 1, 0) + IF(and(ISNUMBER(H331), isnumber(I331)), 1, 0) + IF(and(ISNUMBER(J331), isnumber(K331)), 1, 0) + IF(and(ISNUMBER(L331), isnumber(M331)), 1, 0) + IF(and(ISNUMBER(N331), isnumber(O331)), 1, 0)</f>
      </c>
      <c r="U331" s="8">
        <f>IF(and(ISNUMBER(P331), isnumber(Q331)), 1, 0) + IF(and(ISNUMBER(R331), isnumber(S331)), 1, 0)</f>
      </c>
      <c r="V331" s="13"/>
      <c r="W331" s="13"/>
      <c r="X331" s="16"/>
    </row>
    <row x14ac:dyDescent="0.25" r="332" customHeight="1" ht="15.75">
      <c r="A332" s="8">
        <v>25450</v>
      </c>
      <c r="B332" s="13" t="s">
        <v>69</v>
      </c>
      <c r="C332" s="13" t="s">
        <v>4968</v>
      </c>
      <c r="D332" s="10">
        <v>0.7</v>
      </c>
      <c r="E332" s="11">
        <v>121.33</v>
      </c>
      <c r="F332" s="10">
        <v>0.6222</v>
      </c>
      <c r="G332" s="11">
        <v>383.57</v>
      </c>
      <c r="H332" s="10">
        <v>0.7111</v>
      </c>
      <c r="I332" s="11">
        <v>361.31</v>
      </c>
      <c r="J332" s="10">
        <v>0.5889</v>
      </c>
      <c r="K332" s="11">
        <v>168.33</v>
      </c>
      <c r="L332" s="10">
        <v>0.5667</v>
      </c>
      <c r="M332" s="11">
        <v>385.6</v>
      </c>
      <c r="N332" s="10">
        <v>0.4111</v>
      </c>
      <c r="O332" s="11">
        <v>390.27</v>
      </c>
      <c r="P332" s="10">
        <v>0.7</v>
      </c>
      <c r="Q332" s="10">
        <v>0.2172</v>
      </c>
      <c r="R332" s="10">
        <v>0.5889</v>
      </c>
      <c r="S332" s="10">
        <v>0.2015</v>
      </c>
      <c r="T332" s="8">
        <f>IF(and(ISNUMBER(D332), isnumber(E332)), 1, 0) + IF(and(ISNUMBER(F332), isnumber(G332)), 1, 0) + IF(and(ISNUMBER(H332), isnumber(I332)), 1, 0) + IF(and(ISNUMBER(J332), isnumber(K332)), 1, 0) + IF(and(ISNUMBER(L332), isnumber(M332)), 1, 0) + IF(and(ISNUMBER(N332), isnumber(O332)), 1, 0)</f>
      </c>
      <c r="U332" s="8">
        <f>IF(and(ISNUMBER(P332), isnumber(Q332)), 1, 0) + IF(and(ISNUMBER(R332), isnumber(S332)), 1, 0)</f>
      </c>
      <c r="V332" s="13"/>
      <c r="W332" s="13"/>
      <c r="X332" s="16"/>
    </row>
    <row x14ac:dyDescent="0.25" r="333" customHeight="1" ht="15.75">
      <c r="A333" s="8">
        <v>25451</v>
      </c>
      <c r="B333" s="13" t="s">
        <v>69</v>
      </c>
      <c r="C333" s="13" t="s">
        <v>4971</v>
      </c>
      <c r="D333" s="10">
        <v>0.4201</v>
      </c>
      <c r="E333" s="11">
        <v>274.3</v>
      </c>
      <c r="F333" s="10">
        <v>0.0425</v>
      </c>
      <c r="G333" s="11">
        <v>424.24</v>
      </c>
      <c r="H333" s="10">
        <v>0.3119</v>
      </c>
      <c r="I333" s="11">
        <v>400.66</v>
      </c>
      <c r="J333" s="10">
        <v>0.0103</v>
      </c>
      <c r="K333" s="11">
        <v>251.43</v>
      </c>
      <c r="L333" s="10">
        <v>0.4227</v>
      </c>
      <c r="M333" s="11">
        <v>429.78</v>
      </c>
      <c r="N333" s="10">
        <v>0.2732</v>
      </c>
      <c r="O333" s="11">
        <v>369.1</v>
      </c>
      <c r="P333" s="10">
        <v>0.4201</v>
      </c>
      <c r="Q333" s="10">
        <v>0.2459</v>
      </c>
      <c r="R333" s="10">
        <v>0.0103</v>
      </c>
      <c r="S333" s="10">
        <v>0.223</v>
      </c>
      <c r="T333" s="8">
        <f>IF(and(ISNUMBER(D333), isnumber(E333)), 1, 0) + IF(and(ISNUMBER(F333), isnumber(G333)), 1, 0) + IF(and(ISNUMBER(H333), isnumber(I333)), 1, 0) + IF(and(ISNUMBER(J333), isnumber(K333)), 1, 0) + IF(and(ISNUMBER(L333), isnumber(M333)), 1, 0) + IF(and(ISNUMBER(N333), isnumber(O333)), 1, 0)</f>
      </c>
      <c r="U333" s="8">
        <f>IF(and(ISNUMBER(P333), isnumber(Q333)), 1, 0) + IF(and(ISNUMBER(R333), isnumber(S333)), 1, 0)</f>
      </c>
      <c r="V333" s="13"/>
      <c r="W333" s="13"/>
      <c r="X333" s="16"/>
    </row>
    <row x14ac:dyDescent="0.25" r="334" customHeight="1" ht="15.75">
      <c r="A334" s="8">
        <v>25452</v>
      </c>
      <c r="B334" s="13" t="s">
        <v>69</v>
      </c>
      <c r="C334" s="13" t="s">
        <v>4974</v>
      </c>
      <c r="D334" s="10">
        <v>0.4545</v>
      </c>
      <c r="E334" s="11">
        <v>109.47</v>
      </c>
      <c r="F334" s="10">
        <v>0.4545</v>
      </c>
      <c r="G334" s="11">
        <v>364</v>
      </c>
      <c r="H334" s="10">
        <v>0.3636</v>
      </c>
      <c r="I334" s="11">
        <v>347.5</v>
      </c>
      <c r="J334" s="10">
        <v>0.4318</v>
      </c>
      <c r="K334" s="11">
        <v>200</v>
      </c>
      <c r="L334" s="10">
        <v>0.25</v>
      </c>
      <c r="M334" s="11">
        <v>290.91</v>
      </c>
      <c r="N334" s="10">
        <v>0.3182</v>
      </c>
      <c r="O334" s="11">
        <v>382.86</v>
      </c>
      <c r="P334" s="10">
        <v>0.4545</v>
      </c>
      <c r="Q334" s="10">
        <v>0.198</v>
      </c>
      <c r="R334" s="10">
        <v>0.4318</v>
      </c>
      <c r="S334" s="10">
        <v>0.2006</v>
      </c>
      <c r="T334" s="8">
        <f>IF(and(ISNUMBER(D334), isnumber(E334)), 1, 0) + IF(and(ISNUMBER(F334), isnumber(G334)), 1, 0) + IF(and(ISNUMBER(H334), isnumber(I334)), 1, 0) + IF(and(ISNUMBER(J334), isnumber(K334)), 1, 0) + IF(and(ISNUMBER(L334), isnumber(M334)), 1, 0) + IF(and(ISNUMBER(N334), isnumber(O334)), 1, 0)</f>
      </c>
      <c r="U334" s="8">
        <f>IF(and(ISNUMBER(P334), isnumber(Q334)), 1, 0) + IF(and(ISNUMBER(R334), isnumber(S334)), 1, 0)</f>
      </c>
      <c r="V334" s="13"/>
      <c r="W334" s="13"/>
      <c r="X334" s="16"/>
    </row>
    <row x14ac:dyDescent="0.25" r="335" customHeight="1" ht="15.75">
      <c r="A335" s="8">
        <v>25453</v>
      </c>
      <c r="B335" s="13" t="s">
        <v>69</v>
      </c>
      <c r="C335" s="13" t="s">
        <v>4976</v>
      </c>
      <c r="D335" s="10">
        <v>0.6688</v>
      </c>
      <c r="E335" s="11">
        <v>123.46</v>
      </c>
      <c r="F335" s="10">
        <v>0.8535</v>
      </c>
      <c r="G335" s="11">
        <v>262.86</v>
      </c>
      <c r="H335" s="10">
        <v>0.707</v>
      </c>
      <c r="I335" s="11">
        <v>377.41</v>
      </c>
      <c r="J335" s="10">
        <v>0.6624</v>
      </c>
      <c r="K335" s="11">
        <v>252.44</v>
      </c>
      <c r="L335" s="10">
        <v>0.5414</v>
      </c>
      <c r="M335" s="11">
        <v>431.33</v>
      </c>
      <c r="N335" s="10">
        <v>0.6242</v>
      </c>
      <c r="O335" s="11">
        <v>420.21</v>
      </c>
      <c r="P335" s="10">
        <v>0.6688</v>
      </c>
      <c r="Q335" s="10">
        <v>0.2017</v>
      </c>
      <c r="R335" s="10">
        <v>0.6624</v>
      </c>
      <c r="S335" s="10">
        <v>0.1951</v>
      </c>
      <c r="T335" s="8">
        <f>IF(and(ISNUMBER(D335), isnumber(E335)), 1, 0) + IF(and(ISNUMBER(F335), isnumber(G335)), 1, 0) + IF(and(ISNUMBER(H335), isnumber(I335)), 1, 0) + IF(and(ISNUMBER(J335), isnumber(K335)), 1, 0) + IF(and(ISNUMBER(L335), isnumber(M335)), 1, 0) + IF(and(ISNUMBER(N335), isnumber(O335)), 1, 0)</f>
      </c>
      <c r="U335" s="8">
        <f>IF(and(ISNUMBER(P335), isnumber(Q335)), 1, 0) + IF(and(ISNUMBER(R335), isnumber(S335)), 1, 0)</f>
      </c>
      <c r="V335" s="13"/>
      <c r="W335" s="13"/>
      <c r="X335" s="16"/>
    </row>
    <row x14ac:dyDescent="0.25" r="336" customHeight="1" ht="15.75">
      <c r="A336" s="8">
        <v>25454</v>
      </c>
      <c r="B336" s="13" t="s">
        <v>69</v>
      </c>
      <c r="C336" s="13" t="s">
        <v>4979</v>
      </c>
      <c r="D336" s="10">
        <v>0.7431</v>
      </c>
      <c r="E336" s="11">
        <v>162.96</v>
      </c>
      <c r="F336" s="10">
        <v>0.4495</v>
      </c>
      <c r="G336" s="11">
        <v>291.43</v>
      </c>
      <c r="H336" s="10">
        <v>0.465</v>
      </c>
      <c r="I336" s="11">
        <v>350.68</v>
      </c>
      <c r="J336" s="10">
        <v>0.7222</v>
      </c>
      <c r="K336" s="11">
        <v>216.38</v>
      </c>
      <c r="L336" s="10">
        <v>0.2038</v>
      </c>
      <c r="M336" s="11" t="s">
        <v>7127</v>
      </c>
      <c r="N336" s="10">
        <v>0.3885</v>
      </c>
      <c r="O336" s="11">
        <v>314.21</v>
      </c>
      <c r="P336" s="10">
        <v>0.7431</v>
      </c>
      <c r="Q336" s="10">
        <v>0.1989</v>
      </c>
      <c r="R336" s="10">
        <v>0.7222</v>
      </c>
      <c r="S336" s="10">
        <v>0.1953</v>
      </c>
      <c r="T336" s="8">
        <f>IF(and(ISNUMBER(D336), isnumber(E336)), 1, 0) + IF(and(ISNUMBER(F336), isnumber(G336)), 1, 0) + IF(and(ISNUMBER(H336), isnumber(I336)), 1, 0) + IF(and(ISNUMBER(J336), isnumber(K336)), 1, 0) + IF(and(ISNUMBER(L336), isnumber(M336)), 1, 0) + IF(and(ISNUMBER(N336), isnumber(O336)), 1, 0)</f>
      </c>
      <c r="U336" s="8">
        <f>IF(and(ISNUMBER(P336), isnumber(Q336)), 1, 0) + IF(and(ISNUMBER(R336), isnumber(S336)), 1, 0)</f>
      </c>
      <c r="V336" s="13"/>
      <c r="W336" s="13"/>
      <c r="X336" s="16"/>
    </row>
    <row x14ac:dyDescent="0.25" r="337" customHeight="1" ht="15.75">
      <c r="A337" s="8">
        <v>25455</v>
      </c>
      <c r="B337" s="13" t="s">
        <v>69</v>
      </c>
      <c r="C337" s="13" t="s">
        <v>4983</v>
      </c>
      <c r="D337" s="10">
        <v>0.922</v>
      </c>
      <c r="E337" s="11">
        <v>121.08</v>
      </c>
      <c r="F337" s="10">
        <v>0.9716</v>
      </c>
      <c r="G337" s="11">
        <v>216.79</v>
      </c>
      <c r="H337" s="10">
        <v>0.9935</v>
      </c>
      <c r="I337" s="11">
        <v>242.78</v>
      </c>
      <c r="J337" s="10">
        <v>0.9967</v>
      </c>
      <c r="K337" s="11">
        <v>128.82</v>
      </c>
      <c r="L337" s="10">
        <v>1</v>
      </c>
      <c r="M337" s="11">
        <v>162.48</v>
      </c>
      <c r="N337" s="10">
        <v>0.9967</v>
      </c>
      <c r="O337" s="11">
        <v>136.99</v>
      </c>
      <c r="P337" s="10">
        <v>0.922</v>
      </c>
      <c r="Q337" s="10">
        <v>0.1516</v>
      </c>
      <c r="R337" s="10">
        <v>0.9967</v>
      </c>
      <c r="S337" s="10">
        <v>0.1225</v>
      </c>
      <c r="T337" s="8">
        <f>IF(and(ISNUMBER(D337), isnumber(E337)), 1, 0) + IF(and(ISNUMBER(F337), isnumber(G337)), 1, 0) + IF(and(ISNUMBER(H337), isnumber(I337)), 1, 0) + IF(and(ISNUMBER(J337), isnumber(K337)), 1, 0) + IF(and(ISNUMBER(L337), isnumber(M337)), 1, 0) + IF(and(ISNUMBER(N337), isnumber(O337)), 1, 0)</f>
      </c>
      <c r="U337" s="8">
        <f>IF(and(ISNUMBER(P337), isnumber(Q337)), 1, 0) + IF(and(ISNUMBER(R337), isnumber(S337)), 1, 0)</f>
      </c>
      <c r="V337" s="13"/>
      <c r="W337" s="13"/>
      <c r="X337" s="16"/>
    </row>
    <row x14ac:dyDescent="0.25" r="338" customHeight="1" ht="15.75">
      <c r="A338" s="8">
        <v>25456</v>
      </c>
      <c r="B338" s="13" t="s">
        <v>69</v>
      </c>
      <c r="C338" s="13" t="s">
        <v>4988</v>
      </c>
      <c r="D338" s="10">
        <v>0.7317</v>
      </c>
      <c r="E338" s="11">
        <v>195.17</v>
      </c>
      <c r="F338" s="10">
        <v>0.5122</v>
      </c>
      <c r="G338" s="11">
        <v>341.46</v>
      </c>
      <c r="H338" s="10">
        <v>0.4512</v>
      </c>
      <c r="I338" s="11">
        <v>343.33</v>
      </c>
      <c r="J338" s="10">
        <v>0.6707</v>
      </c>
      <c r="K338" s="11">
        <v>345.45</v>
      </c>
      <c r="L338" s="10">
        <v>0.561</v>
      </c>
      <c r="M338" s="11">
        <v>360.89</v>
      </c>
      <c r="N338" s="10">
        <v>0.4878</v>
      </c>
      <c r="O338" s="11">
        <v>373</v>
      </c>
      <c r="P338" s="10">
        <v>0.7317</v>
      </c>
      <c r="Q338" s="10">
        <v>0.1971</v>
      </c>
      <c r="R338" s="10">
        <v>0.6707</v>
      </c>
      <c r="S338" s="10">
        <v>0.1949</v>
      </c>
      <c r="T338" s="8">
        <f>IF(and(ISNUMBER(D338), isnumber(E338)), 1, 0) + IF(and(ISNUMBER(F338), isnumber(G338)), 1, 0) + IF(and(ISNUMBER(H338), isnumber(I338)), 1, 0) + IF(and(ISNUMBER(J338), isnumber(K338)), 1, 0) + IF(and(ISNUMBER(L338), isnumber(M338)), 1, 0) + IF(and(ISNUMBER(N338), isnumber(O338)), 1, 0)</f>
      </c>
      <c r="U338" s="8">
        <f>IF(and(ISNUMBER(P338), isnumber(Q338)), 1, 0) + IF(and(ISNUMBER(R338), isnumber(S338)), 1, 0)</f>
      </c>
      <c r="V338" s="13"/>
      <c r="W338" s="13"/>
      <c r="X338" s="16"/>
    </row>
    <row x14ac:dyDescent="0.25" r="339" customHeight="1" ht="15.75">
      <c r="A339" s="8">
        <v>25457</v>
      </c>
      <c r="B339" s="13" t="s">
        <v>69</v>
      </c>
      <c r="C339" s="13" t="s">
        <v>4990</v>
      </c>
      <c r="D339" s="10">
        <v>0.5556</v>
      </c>
      <c r="E339" s="11">
        <v>148.21</v>
      </c>
      <c r="F339" s="10">
        <v>0.537</v>
      </c>
      <c r="G339" s="11">
        <v>452.41</v>
      </c>
      <c r="H339" s="10">
        <v>0.3846</v>
      </c>
      <c r="I339" s="11">
        <v>396.57</v>
      </c>
      <c r="J339" s="10">
        <v>0.5921</v>
      </c>
      <c r="K339" s="11">
        <v>232</v>
      </c>
      <c r="L339" s="10">
        <v>0.4286</v>
      </c>
      <c r="M339" s="11">
        <v>370.25</v>
      </c>
      <c r="N339" s="10">
        <v>0.3187</v>
      </c>
      <c r="O339" s="11">
        <v>393.1</v>
      </c>
      <c r="P339" s="10">
        <v>0.5556</v>
      </c>
      <c r="Q339" s="10">
        <v>0.2089</v>
      </c>
      <c r="R339" s="10">
        <v>0.5921</v>
      </c>
      <c r="S339" s="10">
        <v>0.1843</v>
      </c>
      <c r="T339" s="8">
        <f>IF(and(ISNUMBER(D339), isnumber(E339)), 1, 0) + IF(and(ISNUMBER(F339), isnumber(G339)), 1, 0) + IF(and(ISNUMBER(H339), isnumber(I339)), 1, 0) + IF(and(ISNUMBER(J339), isnumber(K339)), 1, 0) + IF(and(ISNUMBER(L339), isnumber(M339)), 1, 0) + IF(and(ISNUMBER(N339), isnumber(O339)), 1, 0)</f>
      </c>
      <c r="U339" s="8">
        <f>IF(and(ISNUMBER(P339), isnumber(Q339)), 1, 0) + IF(and(ISNUMBER(R339), isnumber(S339)), 1, 0)</f>
      </c>
      <c r="V339" s="13"/>
      <c r="W339" s="13"/>
      <c r="X339" s="16"/>
    </row>
    <row x14ac:dyDescent="0.25" r="340" customHeight="1" ht="15.75">
      <c r="A340" s="8">
        <v>25458</v>
      </c>
      <c r="B340" s="13" t="s">
        <v>69</v>
      </c>
      <c r="C340" s="13" t="s">
        <v>4993</v>
      </c>
      <c r="D340" s="10">
        <v>0.4309</v>
      </c>
      <c r="E340" s="11">
        <v>68.46</v>
      </c>
      <c r="F340" s="10">
        <v>0.4878</v>
      </c>
      <c r="G340" s="11">
        <v>320</v>
      </c>
      <c r="H340" s="10">
        <v>0.3008</v>
      </c>
      <c r="I340" s="11">
        <v>0</v>
      </c>
      <c r="J340" s="10">
        <v>0.5691</v>
      </c>
      <c r="K340" s="11">
        <v>243.45</v>
      </c>
      <c r="L340" s="10">
        <v>0.4228</v>
      </c>
      <c r="M340" s="11">
        <v>259.23</v>
      </c>
      <c r="N340" s="10">
        <v>0.4472</v>
      </c>
      <c r="O340" s="11">
        <v>350.77</v>
      </c>
      <c r="P340" s="10">
        <v>0.4309</v>
      </c>
      <c r="Q340" s="10">
        <v>0.2094</v>
      </c>
      <c r="R340" s="10">
        <v>0.5691</v>
      </c>
      <c r="S340" s="10">
        <v>0.1912</v>
      </c>
      <c r="T340" s="8">
        <f>IF(and(ISNUMBER(D340), isnumber(E340)), 1, 0) + IF(and(ISNUMBER(F340), isnumber(G340)), 1, 0) + IF(and(ISNUMBER(H340), isnumber(I340)), 1, 0) + IF(and(ISNUMBER(J340), isnumber(K340)), 1, 0) + IF(and(ISNUMBER(L340), isnumber(M340)), 1, 0) + IF(and(ISNUMBER(N340), isnumber(O340)), 1, 0)</f>
      </c>
      <c r="U340" s="8">
        <f>IF(and(ISNUMBER(P340), isnumber(Q340)), 1, 0) + IF(and(ISNUMBER(R340), isnumber(S340)), 1, 0)</f>
      </c>
      <c r="V340" s="13"/>
      <c r="W340" s="13"/>
      <c r="X340" s="16"/>
    </row>
    <row x14ac:dyDescent="0.25" r="341" customHeight="1" ht="15.75">
      <c r="A341" s="8">
        <v>25459</v>
      </c>
      <c r="B341" s="13" t="s">
        <v>69</v>
      </c>
      <c r="C341" s="13" t="s">
        <v>4997</v>
      </c>
      <c r="D341" s="10">
        <v>0.7761</v>
      </c>
      <c r="E341" s="11">
        <v>104.62</v>
      </c>
      <c r="F341" s="10">
        <v>0.6866</v>
      </c>
      <c r="G341" s="11">
        <v>304.19</v>
      </c>
      <c r="H341" s="10">
        <v>0.7463</v>
      </c>
      <c r="I341" s="11">
        <v>369.6</v>
      </c>
      <c r="J341" s="10">
        <v>0.6866</v>
      </c>
      <c r="K341" s="11">
        <v>230.7</v>
      </c>
      <c r="L341" s="10">
        <v>0.6119</v>
      </c>
      <c r="M341" s="11">
        <v>382</v>
      </c>
      <c r="N341" s="10">
        <v>0.5672</v>
      </c>
      <c r="O341" s="11">
        <v>332.63</v>
      </c>
      <c r="P341" s="10">
        <v>0.7761</v>
      </c>
      <c r="Q341" s="10">
        <v>0.2271</v>
      </c>
      <c r="R341" s="10">
        <v>0.6866</v>
      </c>
      <c r="S341" s="10">
        <v>0.2267</v>
      </c>
      <c r="T341" s="8">
        <f>IF(and(ISNUMBER(D341), isnumber(E341)), 1, 0) + IF(and(ISNUMBER(F341), isnumber(G341)), 1, 0) + IF(and(ISNUMBER(H341), isnumber(I341)), 1, 0) + IF(and(ISNUMBER(J341), isnumber(K341)), 1, 0) + IF(and(ISNUMBER(L341), isnumber(M341)), 1, 0) + IF(and(ISNUMBER(N341), isnumber(O341)), 1, 0)</f>
      </c>
      <c r="U341" s="8">
        <f>IF(and(ISNUMBER(P341), isnumber(Q341)), 1, 0) + IF(and(ISNUMBER(R341), isnumber(S341)), 1, 0)</f>
      </c>
      <c r="V341" s="13"/>
      <c r="W341" s="13"/>
      <c r="X341" s="16"/>
    </row>
    <row x14ac:dyDescent="0.25" r="342" customHeight="1" ht="15.75">
      <c r="A342" s="8">
        <v>25460</v>
      </c>
      <c r="B342" s="13" t="s">
        <v>69</v>
      </c>
      <c r="C342" s="13" t="s">
        <v>5002</v>
      </c>
      <c r="D342" s="10">
        <v>0.1951</v>
      </c>
      <c r="E342" s="11">
        <v>181.33</v>
      </c>
      <c r="F342" s="10">
        <v>0.2073</v>
      </c>
      <c r="G342" s="11">
        <v>340</v>
      </c>
      <c r="H342" s="10">
        <v>0.0874</v>
      </c>
      <c r="I342" s="11">
        <v>357.5</v>
      </c>
      <c r="J342" s="10">
        <v>0.4356</v>
      </c>
      <c r="K342" s="11">
        <v>289.47</v>
      </c>
      <c r="L342" s="10">
        <v>0.0874</v>
      </c>
      <c r="M342" s="11">
        <v>315</v>
      </c>
      <c r="N342" s="10">
        <v>0.1967</v>
      </c>
      <c r="O342" s="11">
        <v>317.78</v>
      </c>
      <c r="P342" s="10">
        <v>0.1951</v>
      </c>
      <c r="Q342" s="10">
        <v>0.1814</v>
      </c>
      <c r="R342" s="10">
        <v>0.4356</v>
      </c>
      <c r="S342" s="10">
        <v>0.2024</v>
      </c>
      <c r="T342" s="8">
        <f>IF(and(ISNUMBER(D342), isnumber(E342)), 1, 0) + IF(and(ISNUMBER(F342), isnumber(G342)), 1, 0) + IF(and(ISNUMBER(H342), isnumber(I342)), 1, 0) + IF(and(ISNUMBER(J342), isnumber(K342)), 1, 0) + IF(and(ISNUMBER(L342), isnumber(M342)), 1, 0) + IF(and(ISNUMBER(N342), isnumber(O342)), 1, 0)</f>
      </c>
      <c r="U342" s="8">
        <f>IF(and(ISNUMBER(P342), isnumber(Q342)), 1, 0) + IF(and(ISNUMBER(R342), isnumber(S342)), 1, 0)</f>
      </c>
      <c r="V342" s="13"/>
      <c r="W342" s="13"/>
      <c r="X342" s="16"/>
    </row>
    <row x14ac:dyDescent="0.25" r="343" customHeight="1" ht="15.75">
      <c r="A343" s="8">
        <v>25461</v>
      </c>
      <c r="B343" s="13" t="s">
        <v>69</v>
      </c>
      <c r="C343" s="13" t="s">
        <v>5004</v>
      </c>
      <c r="D343" s="10">
        <v>0.9273</v>
      </c>
      <c r="E343" s="11">
        <v>111.57</v>
      </c>
      <c r="F343" s="10">
        <v>0.8794</v>
      </c>
      <c r="G343" s="11">
        <v>211.13</v>
      </c>
      <c r="H343" s="10">
        <v>0.4534</v>
      </c>
      <c r="I343" s="11">
        <v>228.65</v>
      </c>
      <c r="J343" s="10">
        <v>0.5804</v>
      </c>
      <c r="K343" s="11">
        <v>230.39</v>
      </c>
      <c r="L343" s="10">
        <v>0.5305</v>
      </c>
      <c r="M343" s="11">
        <v>399.5</v>
      </c>
      <c r="N343" s="10">
        <v>0.545</v>
      </c>
      <c r="O343" s="11">
        <v>400.12</v>
      </c>
      <c r="P343" s="10">
        <v>0.9273</v>
      </c>
      <c r="Q343" s="10">
        <v>0.1566</v>
      </c>
      <c r="R343" s="10">
        <v>0.5804</v>
      </c>
      <c r="S343" s="10">
        <v>0.1993</v>
      </c>
      <c r="T343" s="8">
        <f>IF(and(ISNUMBER(D343), isnumber(E343)), 1, 0) + IF(and(ISNUMBER(F343), isnumber(G343)), 1, 0) + IF(and(ISNUMBER(H343), isnumber(I343)), 1, 0) + IF(and(ISNUMBER(J343), isnumber(K343)), 1, 0) + IF(and(ISNUMBER(L343), isnumber(M343)), 1, 0) + IF(and(ISNUMBER(N343), isnumber(O343)), 1, 0)</f>
      </c>
      <c r="U343" s="8">
        <f>IF(and(ISNUMBER(P343), isnumber(Q343)), 1, 0) + IF(and(ISNUMBER(R343), isnumber(S343)), 1, 0)</f>
      </c>
      <c r="V343" s="13"/>
      <c r="W343" s="13"/>
      <c r="X343" s="16"/>
    </row>
    <row x14ac:dyDescent="0.25" r="344" customHeight="1" ht="15.75">
      <c r="A344" s="8">
        <v>25462</v>
      </c>
      <c r="B344" s="13" t="s">
        <v>69</v>
      </c>
      <c r="C344" s="13" t="s">
        <v>5009</v>
      </c>
      <c r="D344" s="10">
        <v>0.5753</v>
      </c>
      <c r="E344" s="11">
        <v>175.64</v>
      </c>
      <c r="F344" s="10">
        <v>0.5635</v>
      </c>
      <c r="G344" s="11">
        <v>415.42</v>
      </c>
      <c r="H344" s="10">
        <v>0.4215</v>
      </c>
      <c r="I344" s="11">
        <v>425.82</v>
      </c>
      <c r="J344" s="10">
        <v>0.5701</v>
      </c>
      <c r="K344" s="11">
        <v>197.16</v>
      </c>
      <c r="L344" s="10">
        <v>0.5897</v>
      </c>
      <c r="M344" s="11">
        <v>417</v>
      </c>
      <c r="N344" s="10">
        <v>0.4744</v>
      </c>
      <c r="O344" s="11">
        <v>444.59</v>
      </c>
      <c r="P344" s="10">
        <v>0.5753</v>
      </c>
      <c r="Q344" s="10">
        <v>0.2271</v>
      </c>
      <c r="R344" s="10">
        <v>0.5701</v>
      </c>
      <c r="S344" s="10">
        <v>0.199</v>
      </c>
      <c r="T344" s="8">
        <f>IF(and(ISNUMBER(D344), isnumber(E344)), 1, 0) + IF(and(ISNUMBER(F344), isnumber(G344)), 1, 0) + IF(and(ISNUMBER(H344), isnumber(I344)), 1, 0) + IF(and(ISNUMBER(J344), isnumber(K344)), 1, 0) + IF(and(ISNUMBER(L344), isnumber(M344)), 1, 0) + IF(and(ISNUMBER(N344), isnumber(O344)), 1, 0)</f>
      </c>
      <c r="U344" s="8">
        <f>IF(and(ISNUMBER(P344), isnumber(Q344)), 1, 0) + IF(and(ISNUMBER(R344), isnumber(S344)), 1, 0)</f>
      </c>
      <c r="V344" s="13"/>
      <c r="W344" s="13"/>
      <c r="X344" s="16"/>
    </row>
    <row x14ac:dyDescent="0.25" r="345" customHeight="1" ht="15.75">
      <c r="A345" s="8">
        <v>25463</v>
      </c>
      <c r="B345" s="13" t="s">
        <v>69</v>
      </c>
      <c r="C345" s="13" t="s">
        <v>5011</v>
      </c>
      <c r="D345" s="10">
        <v>0.7071</v>
      </c>
      <c r="E345" s="11">
        <v>145.42</v>
      </c>
      <c r="F345" s="10">
        <v>0.6286</v>
      </c>
      <c r="G345" s="11">
        <v>306.05</v>
      </c>
      <c r="H345" s="10">
        <v>0.6429</v>
      </c>
      <c r="I345" s="11">
        <v>351.01</v>
      </c>
      <c r="J345" s="10">
        <v>0.6786</v>
      </c>
      <c r="K345" s="11">
        <v>271.9</v>
      </c>
      <c r="L345" s="10">
        <v>0.5714</v>
      </c>
      <c r="M345" s="11">
        <v>368.21</v>
      </c>
      <c r="N345" s="10">
        <v>0.5929</v>
      </c>
      <c r="O345" s="11">
        <v>392.77</v>
      </c>
      <c r="P345" s="10">
        <v>0.7071</v>
      </c>
      <c r="Q345" s="10">
        <v>0.2184</v>
      </c>
      <c r="R345" s="10">
        <v>0.6786</v>
      </c>
      <c r="S345" s="10">
        <v>0.1766</v>
      </c>
      <c r="T345" s="8">
        <f>IF(and(ISNUMBER(D345), isnumber(E345)), 1, 0) + IF(and(ISNUMBER(F345), isnumber(G345)), 1, 0) + IF(and(ISNUMBER(H345), isnumber(I345)), 1, 0) + IF(and(ISNUMBER(J345), isnumber(K345)), 1, 0) + IF(and(ISNUMBER(L345), isnumber(M345)), 1, 0) + IF(and(ISNUMBER(N345), isnumber(O345)), 1, 0)</f>
      </c>
      <c r="U345" s="8">
        <f>IF(and(ISNUMBER(P345), isnumber(Q345)), 1, 0) + IF(and(ISNUMBER(R345), isnumber(S345)), 1, 0)</f>
      </c>
      <c r="V345" s="13"/>
      <c r="W345" s="13"/>
      <c r="X345" s="16"/>
    </row>
    <row x14ac:dyDescent="0.25" r="346" customHeight="1" ht="15.75">
      <c r="A346" s="8">
        <v>25464</v>
      </c>
      <c r="B346" s="13" t="s">
        <v>69</v>
      </c>
      <c r="C346" s="13" t="s">
        <v>5015</v>
      </c>
      <c r="D346" s="10">
        <v>0.625</v>
      </c>
      <c r="E346" s="11">
        <v>112.59</v>
      </c>
      <c r="F346" s="10">
        <v>0.5625</v>
      </c>
      <c r="G346" s="11">
        <v>302.22</v>
      </c>
      <c r="H346" s="10">
        <v>0.3733</v>
      </c>
      <c r="I346" s="11">
        <v>297.14</v>
      </c>
      <c r="J346" s="10">
        <v>0.619</v>
      </c>
      <c r="K346" s="11">
        <v>213.44</v>
      </c>
      <c r="L346" s="10">
        <v>0.3733</v>
      </c>
      <c r="M346" s="11">
        <v>345.72</v>
      </c>
      <c r="N346" s="10">
        <v>0.3733</v>
      </c>
      <c r="O346" s="11">
        <v>127.14</v>
      </c>
      <c r="P346" s="10">
        <v>0.625</v>
      </c>
      <c r="Q346" s="10">
        <v>0.2255</v>
      </c>
      <c r="R346" s="10">
        <v>0.619</v>
      </c>
      <c r="S346" s="10">
        <v>0.2043</v>
      </c>
      <c r="T346" s="8">
        <f>IF(and(ISNUMBER(D346), isnumber(E346)), 1, 0) + IF(and(ISNUMBER(F346), isnumber(G346)), 1, 0) + IF(and(ISNUMBER(H346), isnumber(I346)), 1, 0) + IF(and(ISNUMBER(J346), isnumber(K346)), 1, 0) + IF(and(ISNUMBER(L346), isnumber(M346)), 1, 0) + IF(and(ISNUMBER(N346), isnumber(O346)), 1, 0)</f>
      </c>
      <c r="U346" s="8">
        <f>IF(and(ISNUMBER(P346), isnumber(Q346)), 1, 0) + IF(and(ISNUMBER(R346), isnumber(S346)), 1, 0)</f>
      </c>
      <c r="V346" s="13"/>
      <c r="W346" s="13"/>
      <c r="X346" s="16"/>
    </row>
    <row x14ac:dyDescent="0.25" r="347" customHeight="1" ht="15.75">
      <c r="A347" s="8">
        <v>25465</v>
      </c>
      <c r="B347" s="13" t="s">
        <v>69</v>
      </c>
      <c r="C347" s="13" t="s">
        <v>5017</v>
      </c>
      <c r="D347" s="10">
        <v>0.5238</v>
      </c>
      <c r="E347" s="11">
        <v>268.59</v>
      </c>
      <c r="F347" s="10">
        <v>0.5</v>
      </c>
      <c r="G347" s="11">
        <v>430.48</v>
      </c>
      <c r="H347" s="10">
        <v>0.375</v>
      </c>
      <c r="I347" s="11">
        <v>445</v>
      </c>
      <c r="J347" s="10">
        <v>0.5128</v>
      </c>
      <c r="K347" s="11">
        <v>206</v>
      </c>
      <c r="L347" s="10">
        <v>0.3594</v>
      </c>
      <c r="M347" s="11">
        <v>351.31</v>
      </c>
      <c r="N347" s="10">
        <v>0.4063</v>
      </c>
      <c r="O347" s="11">
        <v>415.38</v>
      </c>
      <c r="P347" s="10">
        <v>0.5238</v>
      </c>
      <c r="Q347" s="10">
        <v>0.2288</v>
      </c>
      <c r="R347" s="10">
        <v>0.5128</v>
      </c>
      <c r="S347" s="10">
        <v>0.1992</v>
      </c>
      <c r="T347" s="8">
        <f>IF(and(ISNUMBER(D347), isnumber(E347)), 1, 0) + IF(and(ISNUMBER(F347), isnumber(G347)), 1, 0) + IF(and(ISNUMBER(H347), isnumber(I347)), 1, 0) + IF(and(ISNUMBER(J347), isnumber(K347)), 1, 0) + IF(and(ISNUMBER(L347), isnumber(M347)), 1, 0) + IF(and(ISNUMBER(N347), isnumber(O347)), 1, 0)</f>
      </c>
      <c r="U347" s="8">
        <f>IF(and(ISNUMBER(P347), isnumber(Q347)), 1, 0) + IF(and(ISNUMBER(R347), isnumber(S347)), 1, 0)</f>
      </c>
      <c r="V347" s="13"/>
      <c r="W347" s="13"/>
      <c r="X347" s="16"/>
    </row>
    <row x14ac:dyDescent="0.25" r="348" customHeight="1" ht="15.75">
      <c r="A348" s="8">
        <v>25466</v>
      </c>
      <c r="B348" s="13" t="s">
        <v>69</v>
      </c>
      <c r="C348" s="13" t="s">
        <v>5020</v>
      </c>
      <c r="D348" s="10">
        <v>0.6061</v>
      </c>
      <c r="E348" s="11">
        <v>140</v>
      </c>
      <c r="F348" s="10">
        <v>0.7374</v>
      </c>
      <c r="G348" s="11">
        <v>202.22</v>
      </c>
      <c r="H348" s="10">
        <v>0.5152</v>
      </c>
      <c r="I348" s="11">
        <v>400</v>
      </c>
      <c r="J348" s="10">
        <v>0.6162</v>
      </c>
      <c r="K348" s="11">
        <v>261.89</v>
      </c>
      <c r="L348" s="10">
        <v>0.5051</v>
      </c>
      <c r="M348" s="11">
        <v>367.35</v>
      </c>
      <c r="N348" s="10">
        <v>0.5657</v>
      </c>
      <c r="O348" s="11">
        <v>317.09</v>
      </c>
      <c r="P348" s="10">
        <v>0.6061</v>
      </c>
      <c r="Q348" s="10">
        <v>0.2384</v>
      </c>
      <c r="R348" s="10">
        <v>0.6162</v>
      </c>
      <c r="S348" s="10">
        <v>0.1972</v>
      </c>
      <c r="T348" s="8">
        <f>IF(and(ISNUMBER(D348), isnumber(E348)), 1, 0) + IF(and(ISNUMBER(F348), isnumber(G348)), 1, 0) + IF(and(ISNUMBER(H348), isnumber(I348)), 1, 0) + IF(and(ISNUMBER(J348), isnumber(K348)), 1, 0) + IF(and(ISNUMBER(L348), isnumber(M348)), 1, 0) + IF(and(ISNUMBER(N348), isnumber(O348)), 1, 0)</f>
      </c>
      <c r="U348" s="8">
        <f>IF(and(ISNUMBER(P348), isnumber(Q348)), 1, 0) + IF(and(ISNUMBER(R348), isnumber(S348)), 1, 0)</f>
      </c>
      <c r="V348" s="13"/>
      <c r="W348" s="13"/>
      <c r="X348" s="16"/>
    </row>
    <row x14ac:dyDescent="0.25" r="349" customHeight="1" ht="15.75">
      <c r="A349" s="8">
        <v>25467</v>
      </c>
      <c r="B349" s="13" t="s">
        <v>69</v>
      </c>
      <c r="C349" s="13" t="s">
        <v>5022</v>
      </c>
      <c r="D349" s="10">
        <v>0.5</v>
      </c>
      <c r="E349" s="11">
        <v>44.85</v>
      </c>
      <c r="F349" s="10">
        <v>0.3485</v>
      </c>
      <c r="G349" s="11">
        <v>253.91</v>
      </c>
      <c r="H349" s="10">
        <v>0.0893</v>
      </c>
      <c r="I349" s="11">
        <v>368</v>
      </c>
      <c r="J349" s="10">
        <v>0.5</v>
      </c>
      <c r="K349" s="11">
        <v>122</v>
      </c>
      <c r="L349" s="10">
        <v>0.244</v>
      </c>
      <c r="M349" s="11">
        <v>307</v>
      </c>
      <c r="N349" s="10">
        <v>0.256</v>
      </c>
      <c r="O349" s="11">
        <v>324.65</v>
      </c>
      <c r="P349" s="10">
        <v>0.5</v>
      </c>
      <c r="Q349" s="10">
        <v>0.1893</v>
      </c>
      <c r="R349" s="10">
        <v>0.5</v>
      </c>
      <c r="S349" s="10">
        <v>0.1723</v>
      </c>
      <c r="T349" s="8">
        <f>IF(and(ISNUMBER(D349), isnumber(E349)), 1, 0) + IF(and(ISNUMBER(F349), isnumber(G349)), 1, 0) + IF(and(ISNUMBER(H349), isnumber(I349)), 1, 0) + IF(and(ISNUMBER(J349), isnumber(K349)), 1, 0) + IF(and(ISNUMBER(L349), isnumber(M349)), 1, 0) + IF(and(ISNUMBER(N349), isnumber(O349)), 1, 0)</f>
      </c>
      <c r="U349" s="8">
        <f>IF(and(ISNUMBER(P349), isnumber(Q349)), 1, 0) + IF(and(ISNUMBER(R349), isnumber(S349)), 1, 0)</f>
      </c>
      <c r="V349" s="13"/>
      <c r="W349" s="13"/>
      <c r="X349" s="16"/>
    </row>
    <row x14ac:dyDescent="0.25" r="350" customHeight="1" ht="15.75">
      <c r="A350" s="8">
        <v>25468</v>
      </c>
      <c r="B350" s="13" t="s">
        <v>69</v>
      </c>
      <c r="C350" s="13" t="s">
        <v>5025</v>
      </c>
      <c r="D350" s="10">
        <v>0.7179</v>
      </c>
      <c r="E350" s="11">
        <v>208.84</v>
      </c>
      <c r="F350" s="10">
        <v>0.6314</v>
      </c>
      <c r="G350" s="11">
        <v>376.67</v>
      </c>
      <c r="H350" s="10">
        <v>0.6452</v>
      </c>
      <c r="I350" s="11">
        <v>406.9</v>
      </c>
      <c r="J350" s="10">
        <v>0.6784</v>
      </c>
      <c r="K350" s="11">
        <v>283.88</v>
      </c>
      <c r="L350" s="10">
        <v>0.6186</v>
      </c>
      <c r="M350" s="11">
        <v>379.12</v>
      </c>
      <c r="N350" s="10">
        <v>0.5971</v>
      </c>
      <c r="O350" s="11">
        <v>396.21</v>
      </c>
      <c r="P350" s="10">
        <v>0.7179</v>
      </c>
      <c r="Q350" s="10">
        <v>0.2306</v>
      </c>
      <c r="R350" s="10">
        <v>0.6784</v>
      </c>
      <c r="S350" s="10">
        <v>0.1991</v>
      </c>
      <c r="T350" s="8">
        <f>IF(and(ISNUMBER(D350), isnumber(E350)), 1, 0) + IF(and(ISNUMBER(F350), isnumber(G350)), 1, 0) + IF(and(ISNUMBER(H350), isnumber(I350)), 1, 0) + IF(and(ISNUMBER(J350), isnumber(K350)), 1, 0) + IF(and(ISNUMBER(L350), isnumber(M350)), 1, 0) + IF(and(ISNUMBER(N350), isnumber(O350)), 1, 0)</f>
      </c>
      <c r="U350" s="8">
        <f>IF(and(ISNUMBER(P350), isnumber(Q350)), 1, 0) + IF(and(ISNUMBER(R350), isnumber(S350)), 1, 0)</f>
      </c>
      <c r="V350" s="13"/>
      <c r="W350" s="13"/>
      <c r="X350" s="16"/>
    </row>
    <row x14ac:dyDescent="0.25" r="351" customHeight="1" ht="15.75">
      <c r="A351" s="8">
        <v>25469</v>
      </c>
      <c r="B351" s="13" t="s">
        <v>69</v>
      </c>
      <c r="C351" s="13" t="s">
        <v>5028</v>
      </c>
      <c r="D351" s="10">
        <v>0.46</v>
      </c>
      <c r="E351" s="11">
        <v>178.09</v>
      </c>
      <c r="F351" s="10">
        <v>0.34</v>
      </c>
      <c r="G351" s="11">
        <v>312.94</v>
      </c>
      <c r="H351" s="10">
        <v>0.2958</v>
      </c>
      <c r="I351" s="11">
        <v>354.16</v>
      </c>
      <c r="J351" s="10">
        <v>0.5085</v>
      </c>
      <c r="K351" s="11">
        <v>380.24</v>
      </c>
      <c r="L351" s="10">
        <v>0.2535</v>
      </c>
      <c r="M351" s="11">
        <v>326.67</v>
      </c>
      <c r="N351" s="10">
        <v>0.3803</v>
      </c>
      <c r="O351" s="11">
        <v>379.26</v>
      </c>
      <c r="P351" s="10">
        <v>0.46</v>
      </c>
      <c r="Q351" s="10">
        <v>0.2119</v>
      </c>
      <c r="R351" s="10">
        <v>0.5085</v>
      </c>
      <c r="S351" s="10">
        <v>0.1996</v>
      </c>
      <c r="T351" s="8">
        <f>IF(and(ISNUMBER(D351), isnumber(E351)), 1, 0) + IF(and(ISNUMBER(F351), isnumber(G351)), 1, 0) + IF(and(ISNUMBER(H351), isnumber(I351)), 1, 0) + IF(and(ISNUMBER(J351), isnumber(K351)), 1, 0) + IF(and(ISNUMBER(L351), isnumber(M351)), 1, 0) + IF(and(ISNUMBER(N351), isnumber(O351)), 1, 0)</f>
      </c>
      <c r="U351" s="8">
        <f>IF(and(ISNUMBER(P351), isnumber(Q351)), 1, 0) + IF(and(ISNUMBER(R351), isnumber(S351)), 1, 0)</f>
      </c>
      <c r="V351" s="13"/>
      <c r="W351" s="13"/>
      <c r="X351" s="16"/>
    </row>
    <row x14ac:dyDescent="0.25" r="352" customHeight="1" ht="15.75">
      <c r="A352" s="8">
        <v>25470</v>
      </c>
      <c r="B352" s="13" t="s">
        <v>69</v>
      </c>
      <c r="C352" s="13" t="s">
        <v>5031</v>
      </c>
      <c r="D352" s="10">
        <v>0.6286</v>
      </c>
      <c r="E352" s="11">
        <v>103.38</v>
      </c>
      <c r="F352" s="10">
        <v>0.5571</v>
      </c>
      <c r="G352" s="11">
        <v>187.69</v>
      </c>
      <c r="H352" s="10">
        <v>0.3465</v>
      </c>
      <c r="I352" s="11">
        <v>275.43</v>
      </c>
      <c r="J352" s="10">
        <v>0.4938</v>
      </c>
      <c r="K352" s="11">
        <v>276</v>
      </c>
      <c r="L352" s="10">
        <v>0.1188</v>
      </c>
      <c r="M352" s="11">
        <v>450</v>
      </c>
      <c r="N352" s="10">
        <v>0.2772</v>
      </c>
      <c r="O352" s="11">
        <v>341.43</v>
      </c>
      <c r="P352" s="10">
        <v>0.6286</v>
      </c>
      <c r="Q352" s="10">
        <v>0.2068</v>
      </c>
      <c r="R352" s="10">
        <v>0.4938</v>
      </c>
      <c r="S352" s="10">
        <v>0.1963</v>
      </c>
      <c r="T352" s="8">
        <f>IF(and(ISNUMBER(D352), isnumber(E352)), 1, 0) + IF(and(ISNUMBER(F352), isnumber(G352)), 1, 0) + IF(and(ISNUMBER(H352), isnumber(I352)), 1, 0) + IF(and(ISNUMBER(J352), isnumber(K352)), 1, 0) + IF(and(ISNUMBER(L352), isnumber(M352)), 1, 0) + IF(and(ISNUMBER(N352), isnumber(O352)), 1, 0)</f>
      </c>
      <c r="U352" s="8">
        <f>IF(and(ISNUMBER(P352), isnumber(Q352)), 1, 0) + IF(and(ISNUMBER(R352), isnumber(S352)), 1, 0)</f>
      </c>
      <c r="V352" s="13"/>
      <c r="W352" s="13"/>
      <c r="X352" s="16"/>
    </row>
    <row x14ac:dyDescent="0.25" r="353" customHeight="1" ht="15.75">
      <c r="A353" s="8">
        <v>25471</v>
      </c>
      <c r="B353" s="13" t="s">
        <v>69</v>
      </c>
      <c r="C353" s="13" t="s">
        <v>5035</v>
      </c>
      <c r="D353" s="10">
        <v>0.6811</v>
      </c>
      <c r="E353" s="11">
        <v>355.12</v>
      </c>
      <c r="F353" s="10">
        <v>0.7075</v>
      </c>
      <c r="G353" s="11">
        <v>427.25</v>
      </c>
      <c r="H353" s="10">
        <v>0.6134</v>
      </c>
      <c r="I353" s="11">
        <v>459.45</v>
      </c>
      <c r="J353" s="10">
        <v>0.7893</v>
      </c>
      <c r="K353" s="11">
        <v>370.88</v>
      </c>
      <c r="L353" s="10">
        <v>0.6011</v>
      </c>
      <c r="M353" s="11">
        <v>495.79</v>
      </c>
      <c r="N353" s="10">
        <v>0.761</v>
      </c>
      <c r="O353" s="11">
        <v>397.42</v>
      </c>
      <c r="P353" s="10">
        <v>0.6811</v>
      </c>
      <c r="Q353" s="10">
        <v>0.2489</v>
      </c>
      <c r="R353" s="10">
        <v>0.7893</v>
      </c>
      <c r="S353" s="10">
        <v>0.1991</v>
      </c>
      <c r="T353" s="8">
        <f>IF(and(ISNUMBER(D353), isnumber(E353)), 1, 0) + IF(and(ISNUMBER(F353), isnumber(G353)), 1, 0) + IF(and(ISNUMBER(H353), isnumber(I353)), 1, 0) + IF(and(ISNUMBER(J353), isnumber(K353)), 1, 0) + IF(and(ISNUMBER(L353), isnumber(M353)), 1, 0) + IF(and(ISNUMBER(N353), isnumber(O353)), 1, 0)</f>
      </c>
      <c r="U353" s="8">
        <f>IF(and(ISNUMBER(P353), isnumber(Q353)), 1, 0) + IF(and(ISNUMBER(R353), isnumber(S353)), 1, 0)</f>
      </c>
      <c r="V353" s="13"/>
      <c r="W353" s="13"/>
      <c r="X353" s="16"/>
    </row>
    <row x14ac:dyDescent="0.25" r="354" customHeight="1" ht="15.75">
      <c r="A354" s="8">
        <v>25472</v>
      </c>
      <c r="B354" s="13" t="s">
        <v>69</v>
      </c>
      <c r="C354" s="13" t="s">
        <v>5039</v>
      </c>
      <c r="D354" s="10">
        <v>0.9253</v>
      </c>
      <c r="E354" s="11">
        <v>357.52</v>
      </c>
      <c r="F354" s="10">
        <v>0.8333</v>
      </c>
      <c r="G354" s="11">
        <v>506.94</v>
      </c>
      <c r="H354" s="10">
        <v>0.9425</v>
      </c>
      <c r="I354" s="11">
        <v>520.5</v>
      </c>
      <c r="J354" s="10">
        <v>0.8908</v>
      </c>
      <c r="K354" s="11">
        <v>287.58</v>
      </c>
      <c r="L354" s="10">
        <v>0.7126</v>
      </c>
      <c r="M354" s="11">
        <v>448.85</v>
      </c>
      <c r="N354" s="10">
        <v>0.6954</v>
      </c>
      <c r="O354" s="11">
        <v>348.57</v>
      </c>
      <c r="P354" s="10">
        <v>0.9253</v>
      </c>
      <c r="Q354" s="10">
        <v>0.2812</v>
      </c>
      <c r="R354" s="10">
        <v>0.8908</v>
      </c>
      <c r="S354" s="10">
        <v>0.2082</v>
      </c>
      <c r="T354" s="8">
        <f>IF(and(ISNUMBER(D354), isnumber(E354)), 1, 0) + IF(and(ISNUMBER(F354), isnumber(G354)), 1, 0) + IF(and(ISNUMBER(H354), isnumber(I354)), 1, 0) + IF(and(ISNUMBER(J354), isnumber(K354)), 1, 0) + IF(and(ISNUMBER(L354), isnumber(M354)), 1, 0) + IF(and(ISNUMBER(N354), isnumber(O354)), 1, 0)</f>
      </c>
      <c r="U354" s="8">
        <f>IF(and(ISNUMBER(P354), isnumber(Q354)), 1, 0) + IF(and(ISNUMBER(R354), isnumber(S354)), 1, 0)</f>
      </c>
      <c r="V354" s="13"/>
      <c r="W354" s="13"/>
      <c r="X354" s="16"/>
    </row>
    <row x14ac:dyDescent="0.25" r="355" customHeight="1" ht="15.75">
      <c r="A355" s="8">
        <v>25473</v>
      </c>
      <c r="B355" s="13" t="s">
        <v>69</v>
      </c>
      <c r="C355" s="13" t="s">
        <v>5044</v>
      </c>
      <c r="D355" s="10">
        <v>0.5828</v>
      </c>
      <c r="E355" s="11">
        <v>120.43</v>
      </c>
      <c r="F355" s="10">
        <v>0.5337</v>
      </c>
      <c r="G355" s="11">
        <v>344.83</v>
      </c>
      <c r="H355" s="10">
        <v>0.5644</v>
      </c>
      <c r="I355" s="11">
        <v>369.57</v>
      </c>
      <c r="J355" s="10">
        <v>0.5337</v>
      </c>
      <c r="K355" s="11">
        <v>347.25</v>
      </c>
      <c r="L355" s="10">
        <v>0.4663</v>
      </c>
      <c r="M355" s="11">
        <v>373.16</v>
      </c>
      <c r="N355" s="10">
        <v>0.4663</v>
      </c>
      <c r="O355" s="11">
        <v>384.74</v>
      </c>
      <c r="P355" s="10">
        <v>0.5828</v>
      </c>
      <c r="Q355" s="10">
        <v>0.1918</v>
      </c>
      <c r="R355" s="10">
        <v>0.5337</v>
      </c>
      <c r="S355" s="10">
        <v>0.2236</v>
      </c>
      <c r="T355" s="8">
        <f>IF(and(ISNUMBER(D355), isnumber(E355)), 1, 0) + IF(and(ISNUMBER(F355), isnumber(G355)), 1, 0) + IF(and(ISNUMBER(H355), isnumber(I355)), 1, 0) + IF(and(ISNUMBER(J355), isnumber(K355)), 1, 0) + IF(and(ISNUMBER(L355), isnumber(M355)), 1, 0) + IF(and(ISNUMBER(N355), isnumber(O355)), 1, 0)</f>
      </c>
      <c r="U355" s="8">
        <f>IF(and(ISNUMBER(P355), isnumber(Q355)), 1, 0) + IF(and(ISNUMBER(R355), isnumber(S355)), 1, 0)</f>
      </c>
      <c r="V355" s="13"/>
      <c r="W355" s="13"/>
      <c r="X355" s="16"/>
    </row>
    <row x14ac:dyDescent="0.25" r="356" customHeight="1" ht="15.75">
      <c r="A356" s="8">
        <v>25474</v>
      </c>
      <c r="B356" s="13" t="s">
        <v>69</v>
      </c>
      <c r="C356" s="13" t="s">
        <v>4462</v>
      </c>
      <c r="D356" s="10">
        <v>0.6731</v>
      </c>
      <c r="E356" s="11">
        <v>94.85</v>
      </c>
      <c r="F356" s="10">
        <v>0.5</v>
      </c>
      <c r="G356" s="11">
        <v>307.31</v>
      </c>
      <c r="H356" s="10">
        <v>0.4412</v>
      </c>
      <c r="I356" s="11">
        <v>321.33</v>
      </c>
      <c r="J356" s="10">
        <v>0.5789</v>
      </c>
      <c r="K356" s="11">
        <v>138.45</v>
      </c>
      <c r="L356" s="10">
        <v>0.3529</v>
      </c>
      <c r="M356" s="11">
        <v>311.58</v>
      </c>
      <c r="N356" s="10">
        <v>0.2059</v>
      </c>
      <c r="O356" s="11">
        <v>349.39</v>
      </c>
      <c r="P356" s="10">
        <v>0.6731</v>
      </c>
      <c r="Q356" s="10">
        <v>0.1977</v>
      </c>
      <c r="R356" s="10">
        <v>0.5789</v>
      </c>
      <c r="S356" s="10">
        <v>0.1829</v>
      </c>
      <c r="T356" s="8">
        <f>IF(and(ISNUMBER(D356), isnumber(E356)), 1, 0) + IF(and(ISNUMBER(F356), isnumber(G356)), 1, 0) + IF(and(ISNUMBER(H356), isnumber(I356)), 1, 0) + IF(and(ISNUMBER(J356), isnumber(K356)), 1, 0) + IF(and(ISNUMBER(L356), isnumber(M356)), 1, 0) + IF(and(ISNUMBER(N356), isnumber(O356)), 1, 0)</f>
      </c>
      <c r="U356" s="8">
        <f>IF(and(ISNUMBER(P356), isnumber(Q356)), 1, 0) + IF(and(ISNUMBER(R356), isnumber(S356)), 1, 0)</f>
      </c>
      <c r="V356" s="13"/>
      <c r="W356" s="13"/>
      <c r="X356" s="16"/>
    </row>
    <row x14ac:dyDescent="0.25" r="357" customHeight="1" ht="15.75">
      <c r="A357" s="8">
        <v>25475</v>
      </c>
      <c r="B357" s="13" t="s">
        <v>69</v>
      </c>
      <c r="C357" s="13" t="s">
        <v>5049</v>
      </c>
      <c r="D357" s="10">
        <v>0.4048</v>
      </c>
      <c r="E357" s="11">
        <v>230.98</v>
      </c>
      <c r="F357" s="10">
        <v>0.4167</v>
      </c>
      <c r="G357" s="11">
        <v>293.71</v>
      </c>
      <c r="H357" s="10">
        <v>0.3182</v>
      </c>
      <c r="I357" s="11">
        <v>398.86</v>
      </c>
      <c r="J357" s="10">
        <v>0.6588</v>
      </c>
      <c r="K357" s="11">
        <v>261.76</v>
      </c>
      <c r="L357" s="10">
        <v>0.3636</v>
      </c>
      <c r="M357" s="11">
        <v>329</v>
      </c>
      <c r="N357" s="10">
        <v>0.4</v>
      </c>
      <c r="O357" s="11">
        <v>374.55</v>
      </c>
      <c r="P357" s="10">
        <v>0.4048</v>
      </c>
      <c r="Q357" s="10">
        <v>0.2033</v>
      </c>
      <c r="R357" s="10">
        <v>0.6588</v>
      </c>
      <c r="S357" s="10">
        <v>0.2053</v>
      </c>
      <c r="T357" s="8">
        <f>IF(and(ISNUMBER(D357), isnumber(E357)), 1, 0) + IF(and(ISNUMBER(F357), isnumber(G357)), 1, 0) + IF(and(ISNUMBER(H357), isnumber(I357)), 1, 0) + IF(and(ISNUMBER(J357), isnumber(K357)), 1, 0) + IF(and(ISNUMBER(L357), isnumber(M357)), 1, 0) + IF(and(ISNUMBER(N357), isnumber(O357)), 1, 0)</f>
      </c>
      <c r="U357" s="8">
        <f>IF(and(ISNUMBER(P357), isnumber(Q357)), 1, 0) + IF(and(ISNUMBER(R357), isnumber(S357)), 1, 0)</f>
      </c>
      <c r="V357" s="13"/>
      <c r="W357" s="13"/>
      <c r="X357" s="16"/>
    </row>
    <row x14ac:dyDescent="0.25" r="358" customHeight="1" ht="15.75">
      <c r="A358" s="8">
        <v>25476</v>
      </c>
      <c r="B358" s="13" t="s">
        <v>69</v>
      </c>
      <c r="C358" s="13" t="s">
        <v>5051</v>
      </c>
      <c r="D358" s="10">
        <v>0.9037</v>
      </c>
      <c r="E358" s="11">
        <v>98.54</v>
      </c>
      <c r="F358" s="10">
        <v>0.345</v>
      </c>
      <c r="G358" s="11">
        <v>285.93</v>
      </c>
      <c r="H358" s="10">
        <v>0.3779</v>
      </c>
      <c r="I358" s="11">
        <v>319.88</v>
      </c>
      <c r="J358" s="10">
        <v>0.4155</v>
      </c>
      <c r="K358" s="11">
        <v>225.83</v>
      </c>
      <c r="L358" s="10">
        <v>0.2932</v>
      </c>
      <c r="M358" s="11">
        <v>322.45</v>
      </c>
      <c r="N358" s="10">
        <v>0.171</v>
      </c>
      <c r="O358" s="11">
        <v>384</v>
      </c>
      <c r="P358" s="10">
        <v>0.9037</v>
      </c>
      <c r="Q358" s="10">
        <v>0.1363</v>
      </c>
      <c r="R358" s="10">
        <v>0.4155</v>
      </c>
      <c r="S358" s="10">
        <v>0.2097</v>
      </c>
      <c r="T358" s="8">
        <f>IF(and(ISNUMBER(D358), isnumber(E358)), 1, 0) + IF(and(ISNUMBER(F358), isnumber(G358)), 1, 0) + IF(and(ISNUMBER(H358), isnumber(I358)), 1, 0) + IF(and(ISNUMBER(J358), isnumber(K358)), 1, 0) + IF(and(ISNUMBER(L358), isnumber(M358)), 1, 0) + IF(and(ISNUMBER(N358), isnumber(O358)), 1, 0)</f>
      </c>
      <c r="U358" s="8">
        <f>IF(and(ISNUMBER(P358), isnumber(Q358)), 1, 0) + IF(and(ISNUMBER(R358), isnumber(S358)), 1, 0)</f>
      </c>
      <c r="V358" s="13"/>
      <c r="W358" s="13"/>
      <c r="X358" s="16"/>
    </row>
    <row x14ac:dyDescent="0.25" r="359" customHeight="1" ht="15.75">
      <c r="A359" s="8">
        <v>25477</v>
      </c>
      <c r="B359" s="13" t="s">
        <v>69</v>
      </c>
      <c r="C359" s="13" t="s">
        <v>5054</v>
      </c>
      <c r="D359" s="10">
        <v>0.6894</v>
      </c>
      <c r="E359" s="11">
        <v>278.61</v>
      </c>
      <c r="F359" s="10">
        <v>0.672</v>
      </c>
      <c r="G359" s="11">
        <v>318.44</v>
      </c>
      <c r="H359" s="10">
        <v>0.5641</v>
      </c>
      <c r="I359" s="11">
        <v>387.16</v>
      </c>
      <c r="J359" s="10">
        <v>0.4688</v>
      </c>
      <c r="K359" s="11">
        <v>366.38</v>
      </c>
      <c r="L359" s="10">
        <v>0.3501</v>
      </c>
      <c r="M359" s="11">
        <v>369.72</v>
      </c>
      <c r="N359" s="10">
        <v>0.5252</v>
      </c>
      <c r="O359" s="11">
        <v>373.44</v>
      </c>
      <c r="P359" s="10">
        <v>0.6894</v>
      </c>
      <c r="Q359" s="10">
        <v>0.2432</v>
      </c>
      <c r="R359" s="10">
        <v>0.4688</v>
      </c>
      <c r="S359" s="10">
        <v>0.2035</v>
      </c>
      <c r="T359" s="8">
        <f>IF(and(ISNUMBER(D359), isnumber(E359)), 1, 0) + IF(and(ISNUMBER(F359), isnumber(G359)), 1, 0) + IF(and(ISNUMBER(H359), isnumber(I359)), 1, 0) + IF(and(ISNUMBER(J359), isnumber(K359)), 1, 0) + IF(and(ISNUMBER(L359), isnumber(M359)), 1, 0) + IF(and(ISNUMBER(N359), isnumber(O359)), 1, 0)</f>
      </c>
      <c r="U359" s="8">
        <f>IF(and(ISNUMBER(P359), isnumber(Q359)), 1, 0) + IF(and(ISNUMBER(R359), isnumber(S359)), 1, 0)</f>
      </c>
      <c r="V359" s="13"/>
      <c r="W359" s="13"/>
      <c r="X359" s="16"/>
    </row>
    <row x14ac:dyDescent="0.25" r="360" customHeight="1" ht="15.75">
      <c r="A360" s="8">
        <v>25478</v>
      </c>
      <c r="B360" s="13" t="s">
        <v>69</v>
      </c>
      <c r="C360" s="13" t="s">
        <v>5057</v>
      </c>
      <c r="D360" s="10">
        <v>0.9151</v>
      </c>
      <c r="E360" s="11">
        <v>67.08</v>
      </c>
      <c r="F360" s="10">
        <v>0.2547</v>
      </c>
      <c r="G360" s="11">
        <v>300</v>
      </c>
      <c r="H360" s="10">
        <v>0.5283</v>
      </c>
      <c r="I360" s="11">
        <v>262.86</v>
      </c>
      <c r="J360" s="10">
        <v>0.6321</v>
      </c>
      <c r="K360" s="11">
        <v>116.92</v>
      </c>
      <c r="L360" s="10">
        <v>0.6698</v>
      </c>
      <c r="M360" s="11">
        <v>323.38</v>
      </c>
      <c r="N360" s="10">
        <v>0.5189</v>
      </c>
      <c r="O360" s="11">
        <v>311.27</v>
      </c>
      <c r="P360" s="10">
        <v>0.9151</v>
      </c>
      <c r="Q360" s="10">
        <v>0.1668</v>
      </c>
      <c r="R360" s="10">
        <v>0.6321</v>
      </c>
      <c r="S360" s="10">
        <v>0.1976</v>
      </c>
      <c r="T360" s="8">
        <f>IF(and(ISNUMBER(D360), isnumber(E360)), 1, 0) + IF(and(ISNUMBER(F360), isnumber(G360)), 1, 0) + IF(and(ISNUMBER(H360), isnumber(I360)), 1, 0) + IF(and(ISNUMBER(J360), isnumber(K360)), 1, 0) + IF(and(ISNUMBER(L360), isnumber(M360)), 1, 0) + IF(and(ISNUMBER(N360), isnumber(O360)), 1, 0)</f>
      </c>
      <c r="U360" s="8">
        <f>IF(and(ISNUMBER(P360), isnumber(Q360)), 1, 0) + IF(and(ISNUMBER(R360), isnumber(S360)), 1, 0)</f>
      </c>
      <c r="V360" s="13"/>
      <c r="W360" s="13"/>
      <c r="X360" s="16"/>
    </row>
    <row x14ac:dyDescent="0.25" r="361" customHeight="1" ht="15.75">
      <c r="A361" s="8">
        <v>25479</v>
      </c>
      <c r="B361" s="13" t="s">
        <v>69</v>
      </c>
      <c r="C361" s="13" t="s">
        <v>5061</v>
      </c>
      <c r="D361" s="10">
        <v>0.5057</v>
      </c>
      <c r="E361" s="11">
        <v>179.53</v>
      </c>
      <c r="F361" s="10">
        <v>0.5287</v>
      </c>
      <c r="G361" s="11">
        <v>376.89</v>
      </c>
      <c r="H361" s="10">
        <v>0.3793</v>
      </c>
      <c r="I361" s="11">
        <v>396.25</v>
      </c>
      <c r="J361" s="10">
        <v>0.4713</v>
      </c>
      <c r="K361" s="11">
        <v>388</v>
      </c>
      <c r="L361" s="10">
        <v>0.3333</v>
      </c>
      <c r="M361" s="11">
        <v>438.62</v>
      </c>
      <c r="N361" s="10">
        <v>0.4943</v>
      </c>
      <c r="O361" s="11">
        <v>378.6</v>
      </c>
      <c r="P361" s="10">
        <v>0.5057</v>
      </c>
      <c r="Q361" s="10">
        <v>0.2092</v>
      </c>
      <c r="R361" s="10">
        <v>0.4713</v>
      </c>
      <c r="S361" s="10">
        <v>0.19</v>
      </c>
      <c r="T361" s="8">
        <f>IF(and(ISNUMBER(D361), isnumber(E361)), 1, 0) + IF(and(ISNUMBER(F361), isnumber(G361)), 1, 0) + IF(and(ISNUMBER(H361), isnumber(I361)), 1, 0) + IF(and(ISNUMBER(J361), isnumber(K361)), 1, 0) + IF(and(ISNUMBER(L361), isnumber(M361)), 1, 0) + IF(and(ISNUMBER(N361), isnumber(O361)), 1, 0)</f>
      </c>
      <c r="U361" s="8">
        <f>IF(and(ISNUMBER(P361), isnumber(Q361)), 1, 0) + IF(and(ISNUMBER(R361), isnumber(S361)), 1, 0)</f>
      </c>
      <c r="V361" s="13"/>
      <c r="W361" s="13"/>
      <c r="X361" s="16"/>
    </row>
    <row x14ac:dyDescent="0.25" r="362" customHeight="1" ht="15.75">
      <c r="A362" s="8">
        <v>25480</v>
      </c>
      <c r="B362" s="13" t="s">
        <v>69</v>
      </c>
      <c r="C362" s="13" t="s">
        <v>5063</v>
      </c>
      <c r="D362" s="10">
        <v>0.4926</v>
      </c>
      <c r="E362" s="11">
        <v>139.66</v>
      </c>
      <c r="F362" s="10">
        <v>0.4338</v>
      </c>
      <c r="G362" s="11">
        <v>286.9</v>
      </c>
      <c r="H362" s="10">
        <v>0.3824</v>
      </c>
      <c r="I362" s="11">
        <v>391.2</v>
      </c>
      <c r="J362" s="10">
        <v>0.3382</v>
      </c>
      <c r="K362" s="11">
        <v>131.71</v>
      </c>
      <c r="L362" s="10">
        <v>0.4559</v>
      </c>
      <c r="M362" s="11">
        <v>349.68</v>
      </c>
      <c r="N362" s="10">
        <v>0.2353</v>
      </c>
      <c r="O362" s="11">
        <v>307.5</v>
      </c>
      <c r="P362" s="10">
        <v>0.4926</v>
      </c>
      <c r="Q362" s="10">
        <v>0.2054</v>
      </c>
      <c r="R362" s="10">
        <v>0.3382</v>
      </c>
      <c r="S362" s="10">
        <v>0.1919</v>
      </c>
      <c r="T362" s="8">
        <f>IF(and(ISNUMBER(D362), isnumber(E362)), 1, 0) + IF(and(ISNUMBER(F362), isnumber(G362)), 1, 0) + IF(and(ISNUMBER(H362), isnumber(I362)), 1, 0) + IF(and(ISNUMBER(J362), isnumber(K362)), 1, 0) + IF(and(ISNUMBER(L362), isnumber(M362)), 1, 0) + IF(and(ISNUMBER(N362), isnumber(O362)), 1, 0)</f>
      </c>
      <c r="U362" s="8">
        <f>IF(and(ISNUMBER(P362), isnumber(Q362)), 1, 0) + IF(and(ISNUMBER(R362), isnumber(S362)), 1, 0)</f>
      </c>
      <c r="V362" s="13"/>
      <c r="W362" s="13"/>
      <c r="X362" s="16"/>
    </row>
    <row x14ac:dyDescent="0.25" r="363" customHeight="1" ht="15.75">
      <c r="A363" s="8">
        <v>25481</v>
      </c>
      <c r="B363" s="13" t="s">
        <v>69</v>
      </c>
      <c r="C363" s="13" t="s">
        <v>5066</v>
      </c>
      <c r="D363" s="10">
        <v>0.7843</v>
      </c>
      <c r="E363" s="11">
        <v>263.7</v>
      </c>
      <c r="F363" s="10">
        <v>0.8039</v>
      </c>
      <c r="G363" s="11">
        <v>349.27</v>
      </c>
      <c r="H363" s="10">
        <v>0.4568</v>
      </c>
      <c r="I363" s="11">
        <v>345.95</v>
      </c>
      <c r="J363" s="10">
        <v>0.746</v>
      </c>
      <c r="K363" s="11">
        <v>312.11</v>
      </c>
      <c r="L363" s="10">
        <v>0.4691</v>
      </c>
      <c r="M363" s="11">
        <v>283.16</v>
      </c>
      <c r="N363" s="10">
        <v>0.5679</v>
      </c>
      <c r="O363" s="11">
        <v>408.24</v>
      </c>
      <c r="P363" s="10">
        <v>0.7843</v>
      </c>
      <c r="Q363" s="10">
        <v>0.2034</v>
      </c>
      <c r="R363" s="10">
        <v>0.746</v>
      </c>
      <c r="S363" s="10">
        <v>0.1906</v>
      </c>
      <c r="T363" s="8">
        <f>IF(and(ISNUMBER(D363), isnumber(E363)), 1, 0) + IF(and(ISNUMBER(F363), isnumber(G363)), 1, 0) + IF(and(ISNUMBER(H363), isnumber(I363)), 1, 0) + IF(and(ISNUMBER(J363), isnumber(K363)), 1, 0) + IF(and(ISNUMBER(L363), isnumber(M363)), 1, 0) + IF(and(ISNUMBER(N363), isnumber(O363)), 1, 0)</f>
      </c>
      <c r="U363" s="8">
        <f>IF(and(ISNUMBER(P363), isnumber(Q363)), 1, 0) + IF(and(ISNUMBER(R363), isnumber(S363)), 1, 0)</f>
      </c>
      <c r="V363" s="13"/>
      <c r="W363" s="13"/>
      <c r="X363" s="16"/>
    </row>
    <row x14ac:dyDescent="0.25" r="364" customHeight="1" ht="15.75">
      <c r="A364" s="8">
        <v>25482</v>
      </c>
      <c r="B364" s="13" t="s">
        <v>69</v>
      </c>
      <c r="C364" s="13" t="s">
        <v>5069</v>
      </c>
      <c r="D364" s="10">
        <v>0.6643</v>
      </c>
      <c r="E364" s="11">
        <v>133.87</v>
      </c>
      <c r="F364" s="10">
        <v>0.3</v>
      </c>
      <c r="G364" s="11">
        <v>364.08</v>
      </c>
      <c r="H364" s="10">
        <v>0.2876</v>
      </c>
      <c r="I364" s="11">
        <v>455.16</v>
      </c>
      <c r="J364" s="10">
        <v>0.2103</v>
      </c>
      <c r="K364" s="11" t="s">
        <v>7127</v>
      </c>
      <c r="L364" s="10">
        <v>0.2743</v>
      </c>
      <c r="M364" s="11">
        <v>428.39</v>
      </c>
      <c r="N364" s="10">
        <v>0.2301</v>
      </c>
      <c r="O364" s="11">
        <v>152.31</v>
      </c>
      <c r="P364" s="10">
        <v>0.6643</v>
      </c>
      <c r="Q364" s="10">
        <v>0.137</v>
      </c>
      <c r="R364" s="10">
        <v>0.2103</v>
      </c>
      <c r="S364" s="10">
        <v>0.1998</v>
      </c>
      <c r="T364" s="8">
        <f>IF(and(ISNUMBER(D364), isnumber(E364)), 1, 0) + IF(and(ISNUMBER(F364), isnumber(G364)), 1, 0) + IF(and(ISNUMBER(H364), isnumber(I364)), 1, 0) + IF(and(ISNUMBER(J364), isnumber(K364)), 1, 0) + IF(and(ISNUMBER(L364), isnumber(M364)), 1, 0) + IF(and(ISNUMBER(N364), isnumber(O364)), 1, 0)</f>
      </c>
      <c r="U364" s="8">
        <f>IF(and(ISNUMBER(P364), isnumber(Q364)), 1, 0) + IF(and(ISNUMBER(R364), isnumber(S364)), 1, 0)</f>
      </c>
      <c r="V364" s="13"/>
      <c r="W364" s="13"/>
      <c r="X364" s="16"/>
    </row>
    <row x14ac:dyDescent="0.25" r="365" customHeight="1" ht="15.75">
      <c r="A365" s="8">
        <v>25483</v>
      </c>
      <c r="B365" s="13" t="s">
        <v>69</v>
      </c>
      <c r="C365" s="13" t="s">
        <v>5071</v>
      </c>
      <c r="D365" s="10">
        <v>0.7481</v>
      </c>
      <c r="E365" s="11">
        <v>128.98</v>
      </c>
      <c r="F365" s="10">
        <v>0.5802</v>
      </c>
      <c r="G365" s="11">
        <v>344.21</v>
      </c>
      <c r="H365" s="10">
        <v>0.5344</v>
      </c>
      <c r="I365" s="11">
        <v>0</v>
      </c>
      <c r="J365" s="10">
        <v>0.6947</v>
      </c>
      <c r="K365" s="11">
        <v>257.98</v>
      </c>
      <c r="L365" s="10">
        <v>0.6107</v>
      </c>
      <c r="M365" s="11">
        <v>342</v>
      </c>
      <c r="N365" s="10">
        <v>0.5191</v>
      </c>
      <c r="O365" s="11">
        <v>359.39</v>
      </c>
      <c r="P365" s="10">
        <v>0.7481</v>
      </c>
      <c r="Q365" s="10">
        <v>0.2218</v>
      </c>
      <c r="R365" s="10">
        <v>0.6947</v>
      </c>
      <c r="S365" s="10">
        <v>0.2023</v>
      </c>
      <c r="T365" s="8">
        <f>IF(and(ISNUMBER(D365), isnumber(E365)), 1, 0) + IF(and(ISNUMBER(F365), isnumber(G365)), 1, 0) + IF(and(ISNUMBER(H365), isnumber(I365)), 1, 0) + IF(and(ISNUMBER(J365), isnumber(K365)), 1, 0) + IF(and(ISNUMBER(L365), isnumber(M365)), 1, 0) + IF(and(ISNUMBER(N365), isnumber(O365)), 1, 0)</f>
      </c>
      <c r="U365" s="8">
        <f>IF(and(ISNUMBER(P365), isnumber(Q365)), 1, 0) + IF(and(ISNUMBER(R365), isnumber(S365)), 1, 0)</f>
      </c>
      <c r="V365" s="13"/>
      <c r="W365" s="13"/>
      <c r="X365" s="16"/>
    </row>
    <row x14ac:dyDescent="0.25" r="366" customHeight="1" ht="15.75">
      <c r="A366" s="8">
        <v>25484</v>
      </c>
      <c r="B366" s="13" t="s">
        <v>69</v>
      </c>
      <c r="C366" s="13" t="s">
        <v>5076</v>
      </c>
      <c r="D366" s="10">
        <v>0.686</v>
      </c>
      <c r="E366" s="11">
        <v>112.68</v>
      </c>
      <c r="F366" s="10">
        <v>0.2893</v>
      </c>
      <c r="G366" s="11">
        <v>280</v>
      </c>
      <c r="H366" s="10">
        <v>0.4793</v>
      </c>
      <c r="I366" s="11">
        <v>402.11</v>
      </c>
      <c r="J366" s="10">
        <v>0.6942</v>
      </c>
      <c r="K366" s="11">
        <v>0</v>
      </c>
      <c r="L366" s="10">
        <v>0.4711</v>
      </c>
      <c r="M366" s="11">
        <v>382.14</v>
      </c>
      <c r="N366" s="10">
        <v>0.4545</v>
      </c>
      <c r="O366" s="11">
        <v>385.45</v>
      </c>
      <c r="P366" s="10">
        <v>0.686</v>
      </c>
      <c r="Q366" s="10">
        <v>0.1973</v>
      </c>
      <c r="R366" s="10">
        <v>0.6942</v>
      </c>
      <c r="S366" s="10">
        <v>0.1969</v>
      </c>
      <c r="T366" s="8">
        <f>IF(and(ISNUMBER(D366), isnumber(E366)), 1, 0) + IF(and(ISNUMBER(F366), isnumber(G366)), 1, 0) + IF(and(ISNUMBER(H366), isnumber(I366)), 1, 0) + IF(and(ISNUMBER(J366), isnumber(K366)), 1, 0) + IF(and(ISNUMBER(L366), isnumber(M366)), 1, 0) + IF(and(ISNUMBER(N366), isnumber(O366)), 1, 0)</f>
      </c>
      <c r="U366" s="8">
        <f>IF(and(ISNUMBER(P366), isnumber(Q366)), 1, 0) + IF(and(ISNUMBER(R366), isnumber(S366)), 1, 0)</f>
      </c>
      <c r="V366" s="13"/>
      <c r="W366" s="13"/>
      <c r="X366" s="16"/>
    </row>
    <row x14ac:dyDescent="0.25" r="367" customHeight="1" ht="15.75">
      <c r="A367" s="8">
        <v>25485</v>
      </c>
      <c r="B367" s="13" t="s">
        <v>69</v>
      </c>
      <c r="C367" s="13" t="s">
        <v>5079</v>
      </c>
      <c r="D367" s="10">
        <v>0.012</v>
      </c>
      <c r="E367" s="11">
        <v>260</v>
      </c>
      <c r="F367" s="10">
        <v>0.658</v>
      </c>
      <c r="G367" s="11">
        <v>344.8</v>
      </c>
      <c r="H367" s="10">
        <v>0.57</v>
      </c>
      <c r="I367" s="11">
        <v>357.81</v>
      </c>
      <c r="J367" s="10">
        <v>0.638</v>
      </c>
      <c r="K367" s="11">
        <v>171.07</v>
      </c>
      <c r="L367" s="10">
        <v>0.616</v>
      </c>
      <c r="M367" s="11">
        <v>268.51</v>
      </c>
      <c r="N367" s="10">
        <v>0.513</v>
      </c>
      <c r="O367" s="11">
        <v>310.29</v>
      </c>
      <c r="P367" s="10">
        <v>0.012</v>
      </c>
      <c r="Q367" s="10">
        <v>0.1051</v>
      </c>
      <c r="R367" s="10">
        <v>0.638</v>
      </c>
      <c r="S367" s="10">
        <v>0.1905</v>
      </c>
      <c r="T367" s="8">
        <f>IF(and(ISNUMBER(D367), isnumber(E367)), 1, 0) + IF(and(ISNUMBER(F367), isnumber(G367)), 1, 0) + IF(and(ISNUMBER(H367), isnumber(I367)), 1, 0) + IF(and(ISNUMBER(J367), isnumber(K367)), 1, 0) + IF(and(ISNUMBER(L367), isnumber(M367)), 1, 0) + IF(and(ISNUMBER(N367), isnumber(O367)), 1, 0)</f>
      </c>
      <c r="U367" s="8">
        <f>IF(and(ISNUMBER(P367), isnumber(Q367)), 1, 0) + IF(and(ISNUMBER(R367), isnumber(S367)), 1, 0)</f>
      </c>
      <c r="V367" s="13"/>
      <c r="W367" s="13"/>
      <c r="X367" s="16"/>
    </row>
    <row x14ac:dyDescent="0.25" r="368" customHeight="1" ht="15.75">
      <c r="A368" s="8">
        <v>25486</v>
      </c>
      <c r="B368" s="13" t="s">
        <v>69</v>
      </c>
      <c r="C368" s="13" t="s">
        <v>5082</v>
      </c>
      <c r="D368" s="10">
        <v>0.6574</v>
      </c>
      <c r="E368" s="11">
        <v>174.08</v>
      </c>
      <c r="F368" s="10">
        <v>0.8889</v>
      </c>
      <c r="G368" s="11">
        <v>252.5</v>
      </c>
      <c r="H368" s="10">
        <v>0.4627</v>
      </c>
      <c r="I368" s="11">
        <v>343.66</v>
      </c>
      <c r="J368" s="10">
        <v>0.6379</v>
      </c>
      <c r="K368" s="11">
        <v>130.53</v>
      </c>
      <c r="L368" s="10">
        <v>0.6493</v>
      </c>
      <c r="M368" s="11">
        <v>376.38</v>
      </c>
      <c r="N368" s="10">
        <v>0.5896</v>
      </c>
      <c r="O368" s="11">
        <v>391.36</v>
      </c>
      <c r="P368" s="10">
        <v>0.6574</v>
      </c>
      <c r="Q368" s="10">
        <v>0</v>
      </c>
      <c r="R368" s="10">
        <v>0.6379</v>
      </c>
      <c r="S368" s="10">
        <v>0.1943</v>
      </c>
      <c r="T368" s="8">
        <f>IF(and(ISNUMBER(D368), isnumber(E368)), 1, 0) + IF(and(ISNUMBER(F368), isnumber(G368)), 1, 0) + IF(and(ISNUMBER(H368), isnumber(I368)), 1, 0) + IF(and(ISNUMBER(J368), isnumber(K368)), 1, 0) + IF(and(ISNUMBER(L368), isnumber(M368)), 1, 0) + IF(and(ISNUMBER(N368), isnumber(O368)), 1, 0)</f>
      </c>
      <c r="U368" s="8">
        <f>IF(and(ISNUMBER(P368), isnumber(Q368)), 1, 0) + IF(and(ISNUMBER(R368), isnumber(S368)), 1, 0)</f>
      </c>
      <c r="V368" s="13"/>
      <c r="W368" s="13"/>
      <c r="X368" s="16"/>
    </row>
    <row x14ac:dyDescent="0.25" r="369" customHeight="1" ht="15.75">
      <c r="A369" s="8">
        <v>25487</v>
      </c>
      <c r="B369" s="13" t="s">
        <v>69</v>
      </c>
      <c r="C369" s="13" t="s">
        <v>5086</v>
      </c>
      <c r="D369" s="10">
        <v>0.6967</v>
      </c>
      <c r="E369" s="11">
        <v>245.53</v>
      </c>
      <c r="F369" s="10">
        <v>0.6259</v>
      </c>
      <c r="G369" s="11">
        <v>391.06</v>
      </c>
      <c r="H369" s="10">
        <v>0.609</v>
      </c>
      <c r="I369" s="11">
        <v>430.6</v>
      </c>
      <c r="J369" s="10">
        <v>0.7273</v>
      </c>
      <c r="K369" s="11">
        <v>287.95</v>
      </c>
      <c r="L369" s="10">
        <v>0.6524</v>
      </c>
      <c r="M369" s="11">
        <v>385.87</v>
      </c>
      <c r="N369" s="10">
        <v>0.6217</v>
      </c>
      <c r="O369" s="11">
        <v>406.55</v>
      </c>
      <c r="P369" s="10">
        <v>0.6967</v>
      </c>
      <c r="Q369" s="10">
        <v>0.2367</v>
      </c>
      <c r="R369" s="10">
        <v>0.7273</v>
      </c>
      <c r="S369" s="10">
        <v>0.1993</v>
      </c>
      <c r="T369" s="8">
        <f>IF(and(ISNUMBER(D369), isnumber(E369)), 1, 0) + IF(and(ISNUMBER(F369), isnumber(G369)), 1, 0) + IF(and(ISNUMBER(H369), isnumber(I369)), 1, 0) + IF(and(ISNUMBER(J369), isnumber(K369)), 1, 0) + IF(and(ISNUMBER(L369), isnumber(M369)), 1, 0) + IF(and(ISNUMBER(N369), isnumber(O369)), 1, 0)</f>
      </c>
      <c r="U369" s="8">
        <f>IF(and(ISNUMBER(P369), isnumber(Q369)), 1, 0) + IF(and(ISNUMBER(R369), isnumber(S369)), 1, 0)</f>
      </c>
      <c r="V369" s="13"/>
      <c r="W369" s="13"/>
      <c r="X369" s="16"/>
    </row>
    <row x14ac:dyDescent="0.25" r="370" customHeight="1" ht="15.75">
      <c r="A370" s="8">
        <v>25488</v>
      </c>
      <c r="B370" s="13" t="s">
        <v>69</v>
      </c>
      <c r="C370" s="13" t="s">
        <v>5089</v>
      </c>
      <c r="D370" s="10">
        <v>0.5942</v>
      </c>
      <c r="E370" s="11">
        <v>138</v>
      </c>
      <c r="F370" s="10">
        <v>0.2464</v>
      </c>
      <c r="G370" s="11">
        <v>322.35</v>
      </c>
      <c r="H370" s="10">
        <v>0.3768</v>
      </c>
      <c r="I370" s="11">
        <v>327.69</v>
      </c>
      <c r="J370" s="10">
        <v>0.3913</v>
      </c>
      <c r="K370" s="11">
        <v>400</v>
      </c>
      <c r="L370" s="10">
        <v>0.3043</v>
      </c>
      <c r="M370" s="11">
        <v>354.29</v>
      </c>
      <c r="N370" s="10">
        <v>0.2754</v>
      </c>
      <c r="O370" s="11">
        <v>450.53</v>
      </c>
      <c r="P370" s="10">
        <v>0.5942</v>
      </c>
      <c r="Q370" s="10">
        <v>0.2079</v>
      </c>
      <c r="R370" s="10">
        <v>0.3913</v>
      </c>
      <c r="S370" s="10">
        <v>0.2028</v>
      </c>
      <c r="T370" s="8">
        <f>IF(and(ISNUMBER(D370), isnumber(E370)), 1, 0) + IF(and(ISNUMBER(F370), isnumber(G370)), 1, 0) + IF(and(ISNUMBER(H370), isnumber(I370)), 1, 0) + IF(and(ISNUMBER(J370), isnumber(K370)), 1, 0) + IF(and(ISNUMBER(L370), isnumber(M370)), 1, 0) + IF(and(ISNUMBER(N370), isnumber(O370)), 1, 0)</f>
      </c>
      <c r="U370" s="8">
        <f>IF(and(ISNUMBER(P370), isnumber(Q370)), 1, 0) + IF(and(ISNUMBER(R370), isnumber(S370)), 1, 0)</f>
      </c>
      <c r="V370" s="13"/>
      <c r="W370" s="13"/>
      <c r="X370" s="16"/>
    </row>
    <row x14ac:dyDescent="0.25" r="371" customHeight="1" ht="15.75">
      <c r="A371" s="8">
        <v>25489</v>
      </c>
      <c r="B371" s="13" t="s">
        <v>69</v>
      </c>
      <c r="C371" s="13" t="s">
        <v>5091</v>
      </c>
      <c r="D371" s="10">
        <v>0.4359</v>
      </c>
      <c r="E371" s="11">
        <v>262.5</v>
      </c>
      <c r="F371" s="10">
        <v>0.5641</v>
      </c>
      <c r="G371" s="11">
        <v>309.09</v>
      </c>
      <c r="H371" s="10">
        <v>0.4103</v>
      </c>
      <c r="I371" s="11">
        <v>365.33</v>
      </c>
      <c r="J371" s="10">
        <v>0.5897</v>
      </c>
      <c r="K371" s="11">
        <v>321.82</v>
      </c>
      <c r="L371" s="10">
        <v>0.5641</v>
      </c>
      <c r="M371" s="11">
        <v>345.45</v>
      </c>
      <c r="N371" s="10">
        <v>0.4615</v>
      </c>
      <c r="O371" s="11">
        <v>400</v>
      </c>
      <c r="P371" s="10">
        <v>0.4359</v>
      </c>
      <c r="Q371" s="10">
        <v>0.2521</v>
      </c>
      <c r="R371" s="10">
        <v>0.5897</v>
      </c>
      <c r="S371" s="10">
        <v>0.1841</v>
      </c>
      <c r="T371" s="8">
        <f>IF(and(ISNUMBER(D371), isnumber(E371)), 1, 0) + IF(and(ISNUMBER(F371), isnumber(G371)), 1, 0) + IF(and(ISNUMBER(H371), isnumber(I371)), 1, 0) + IF(and(ISNUMBER(J371), isnumber(K371)), 1, 0) + IF(and(ISNUMBER(L371), isnumber(M371)), 1, 0) + IF(and(ISNUMBER(N371), isnumber(O371)), 1, 0)</f>
      </c>
      <c r="U371" s="8">
        <f>IF(and(ISNUMBER(P371), isnumber(Q371)), 1, 0) + IF(and(ISNUMBER(R371), isnumber(S371)), 1, 0)</f>
      </c>
      <c r="V371" s="13"/>
      <c r="W371" s="13"/>
      <c r="X371" s="16"/>
    </row>
    <row x14ac:dyDescent="0.25" r="372" customHeight="1" ht="15.75">
      <c r="A372" s="8">
        <v>25490</v>
      </c>
      <c r="B372" s="13" t="s">
        <v>69</v>
      </c>
      <c r="C372" s="13" t="s">
        <v>5095</v>
      </c>
      <c r="D372" s="10">
        <v>0.6933</v>
      </c>
      <c r="E372" s="11">
        <v>140.39</v>
      </c>
      <c r="F372" s="10">
        <v>0.5867</v>
      </c>
      <c r="G372" s="11">
        <v>391.63</v>
      </c>
      <c r="H372" s="10">
        <v>0.52</v>
      </c>
      <c r="I372" s="11">
        <v>420</v>
      </c>
      <c r="J372" s="10">
        <v>0.4933</v>
      </c>
      <c r="K372" s="11">
        <v>210</v>
      </c>
      <c r="L372" s="10">
        <v>0.52</v>
      </c>
      <c r="M372" s="11">
        <v>325.26</v>
      </c>
      <c r="N372" s="10">
        <v>0.6</v>
      </c>
      <c r="O372" s="11">
        <v>322.67</v>
      </c>
      <c r="P372" s="10">
        <v>0.6933</v>
      </c>
      <c r="Q372" s="10">
        <v>0.205</v>
      </c>
      <c r="R372" s="10">
        <v>0.4933</v>
      </c>
      <c r="S372" s="10">
        <v>0.2023</v>
      </c>
      <c r="T372" s="8">
        <f>IF(and(ISNUMBER(D372), isnumber(E372)), 1, 0) + IF(and(ISNUMBER(F372), isnumber(G372)), 1, 0) + IF(and(ISNUMBER(H372), isnumber(I372)), 1, 0) + IF(and(ISNUMBER(J372), isnumber(K372)), 1, 0) + IF(and(ISNUMBER(L372), isnumber(M372)), 1, 0) + IF(and(ISNUMBER(N372), isnumber(O372)), 1, 0)</f>
      </c>
      <c r="U372" s="8">
        <f>IF(and(ISNUMBER(P372), isnumber(Q372)), 1, 0) + IF(and(ISNUMBER(R372), isnumber(S372)), 1, 0)</f>
      </c>
      <c r="V372" s="13"/>
      <c r="W372" s="13"/>
      <c r="X372" s="16"/>
    </row>
    <row x14ac:dyDescent="0.25" r="373" customHeight="1" ht="15.75">
      <c r="A373" s="8">
        <v>25491</v>
      </c>
      <c r="B373" s="13" t="s">
        <v>69</v>
      </c>
      <c r="C373" s="13" t="s">
        <v>5097</v>
      </c>
      <c r="D373" s="10">
        <v>0.6743</v>
      </c>
      <c r="E373" s="11">
        <v>81.37</v>
      </c>
      <c r="F373" s="10">
        <v>0.7771</v>
      </c>
      <c r="G373" s="11">
        <v>332.82</v>
      </c>
      <c r="H373" s="10">
        <v>0.5657</v>
      </c>
      <c r="I373" s="11">
        <v>373.61</v>
      </c>
      <c r="J373" s="10">
        <v>0.7543</v>
      </c>
      <c r="K373" s="11">
        <v>189.69</v>
      </c>
      <c r="L373" s="10">
        <v>0.4971</v>
      </c>
      <c r="M373" s="11">
        <v>325.12</v>
      </c>
      <c r="N373" s="10">
        <v>0.6114</v>
      </c>
      <c r="O373" s="11">
        <v>367.55</v>
      </c>
      <c r="P373" s="10">
        <v>0.6743</v>
      </c>
      <c r="Q373" s="10">
        <v>0.215</v>
      </c>
      <c r="R373" s="10">
        <v>0.7543</v>
      </c>
      <c r="S373" s="10">
        <v>0.1989</v>
      </c>
      <c r="T373" s="8">
        <f>IF(and(ISNUMBER(D373), isnumber(E373)), 1, 0) + IF(and(ISNUMBER(F373), isnumber(G373)), 1, 0) + IF(and(ISNUMBER(H373), isnumber(I373)), 1, 0) + IF(and(ISNUMBER(J373), isnumber(K373)), 1, 0) + IF(and(ISNUMBER(L373), isnumber(M373)), 1, 0) + IF(and(ISNUMBER(N373), isnumber(O373)), 1, 0)</f>
      </c>
      <c r="U373" s="8">
        <f>IF(and(ISNUMBER(P373), isnumber(Q373)), 1, 0) + IF(and(ISNUMBER(R373), isnumber(S373)), 1, 0)</f>
      </c>
      <c r="V373" s="13"/>
      <c r="W373" s="13"/>
      <c r="X373" s="16"/>
    </row>
    <row x14ac:dyDescent="0.25" r="374" customHeight="1" ht="15.75">
      <c r="A374" s="8">
        <v>25492</v>
      </c>
      <c r="B374" s="13" t="s">
        <v>69</v>
      </c>
      <c r="C374" s="13" t="s">
        <v>5099</v>
      </c>
      <c r="D374" s="10">
        <v>0.5857</v>
      </c>
      <c r="E374" s="11">
        <v>91.41</v>
      </c>
      <c r="F374" s="10">
        <v>0.5714</v>
      </c>
      <c r="G374" s="11">
        <v>328.5</v>
      </c>
      <c r="H374" s="10">
        <v>0.5911</v>
      </c>
      <c r="I374" s="11">
        <v>339.64</v>
      </c>
      <c r="J374" s="10">
        <v>0.5625</v>
      </c>
      <c r="K374" s="11">
        <v>208.34</v>
      </c>
      <c r="L374" s="10">
        <v>0.3005</v>
      </c>
      <c r="M374" s="11" t="s">
        <v>7127</v>
      </c>
      <c r="N374" s="10">
        <v>0.4926</v>
      </c>
      <c r="O374" s="11">
        <v>349.43</v>
      </c>
      <c r="P374" s="10">
        <v>0.5857</v>
      </c>
      <c r="Q374" s="10">
        <v>0.1997</v>
      </c>
      <c r="R374" s="10">
        <v>0.5625</v>
      </c>
      <c r="S374" s="10">
        <v>0.1983</v>
      </c>
      <c r="T374" s="8">
        <f>IF(and(ISNUMBER(D374), isnumber(E374)), 1, 0) + IF(and(ISNUMBER(F374), isnumber(G374)), 1, 0) + IF(and(ISNUMBER(H374), isnumber(I374)), 1, 0) + IF(and(ISNUMBER(J374), isnumber(K374)), 1, 0) + IF(and(ISNUMBER(L374), isnumber(M374)), 1, 0) + IF(and(ISNUMBER(N374), isnumber(O374)), 1, 0)</f>
      </c>
      <c r="U374" s="8">
        <f>IF(and(ISNUMBER(P374), isnumber(Q374)), 1, 0) + IF(and(ISNUMBER(R374), isnumber(S374)), 1, 0)</f>
      </c>
      <c r="V374" s="13"/>
      <c r="W374" s="13"/>
      <c r="X374" s="16"/>
    </row>
    <row x14ac:dyDescent="0.25" r="375" customHeight="1" ht="15.75">
      <c r="A375" s="8">
        <v>25493</v>
      </c>
      <c r="B375" s="13" t="s">
        <v>69</v>
      </c>
      <c r="C375" s="13" t="s">
        <v>5102</v>
      </c>
      <c r="D375" s="10">
        <v>0.791</v>
      </c>
      <c r="E375" s="11">
        <v>222.82</v>
      </c>
      <c r="F375" s="10">
        <v>0.848</v>
      </c>
      <c r="G375" s="11">
        <v>374.7</v>
      </c>
      <c r="H375" s="10">
        <v>0.7928</v>
      </c>
      <c r="I375" s="11">
        <v>487.71</v>
      </c>
      <c r="J375" s="10">
        <v>0.6987</v>
      </c>
      <c r="K375" s="11">
        <v>371.33</v>
      </c>
      <c r="L375" s="10">
        <v>0.7308</v>
      </c>
      <c r="M375" s="11">
        <v>452.14</v>
      </c>
      <c r="N375" s="10">
        <v>0.7117</v>
      </c>
      <c r="O375" s="11">
        <v>454.98</v>
      </c>
      <c r="P375" s="10">
        <v>0.791</v>
      </c>
      <c r="Q375" s="10">
        <v>0.228</v>
      </c>
      <c r="R375" s="10">
        <v>0.6987</v>
      </c>
      <c r="S375" s="10">
        <v>0.2055</v>
      </c>
      <c r="T375" s="8">
        <f>IF(and(ISNUMBER(D375), isnumber(E375)), 1, 0) + IF(and(ISNUMBER(F375), isnumber(G375)), 1, 0) + IF(and(ISNUMBER(H375), isnumber(I375)), 1, 0) + IF(and(ISNUMBER(J375), isnumber(K375)), 1, 0) + IF(and(ISNUMBER(L375), isnumber(M375)), 1, 0) + IF(and(ISNUMBER(N375), isnumber(O375)), 1, 0)</f>
      </c>
      <c r="U375" s="8">
        <f>IF(and(ISNUMBER(P375), isnumber(Q375)), 1, 0) + IF(and(ISNUMBER(R375), isnumber(S375)), 1, 0)</f>
      </c>
      <c r="V375" s="13"/>
      <c r="W375" s="13"/>
      <c r="X375" s="16"/>
    </row>
    <row x14ac:dyDescent="0.25" r="376" customHeight="1" ht="15.75">
      <c r="A376" s="8">
        <v>25494</v>
      </c>
      <c r="B376" s="13" t="s">
        <v>69</v>
      </c>
      <c r="C376" s="13" t="s">
        <v>5106</v>
      </c>
      <c r="D376" s="10">
        <v>0.6717</v>
      </c>
      <c r="E376" s="11">
        <v>153.9</v>
      </c>
      <c r="F376" s="10">
        <v>0.634</v>
      </c>
      <c r="G376" s="11">
        <v>286.47</v>
      </c>
      <c r="H376" s="10">
        <v>0.5887</v>
      </c>
      <c r="I376" s="11">
        <v>339.74</v>
      </c>
      <c r="J376" s="10">
        <v>0.7509</v>
      </c>
      <c r="K376" s="11">
        <v>242.5</v>
      </c>
      <c r="L376" s="10">
        <v>0.5849</v>
      </c>
      <c r="M376" s="11">
        <v>280.26</v>
      </c>
      <c r="N376" s="10">
        <v>0.5321</v>
      </c>
      <c r="O376" s="11">
        <v>332.37</v>
      </c>
      <c r="P376" s="10">
        <v>0.6717</v>
      </c>
      <c r="Q376" s="10">
        <v>0.2063</v>
      </c>
      <c r="R376" s="10">
        <v>0.7509</v>
      </c>
      <c r="S376" s="10">
        <v>0.1926</v>
      </c>
      <c r="T376" s="8">
        <f>IF(and(ISNUMBER(D376), isnumber(E376)), 1, 0) + IF(and(ISNUMBER(F376), isnumber(G376)), 1, 0) + IF(and(ISNUMBER(H376), isnumber(I376)), 1, 0) + IF(and(ISNUMBER(J376), isnumber(K376)), 1, 0) + IF(and(ISNUMBER(L376), isnumber(M376)), 1, 0) + IF(and(ISNUMBER(N376), isnumber(O376)), 1, 0)</f>
      </c>
      <c r="U376" s="8">
        <f>IF(and(ISNUMBER(P376), isnumber(Q376)), 1, 0) + IF(and(ISNUMBER(R376), isnumber(S376)), 1, 0)</f>
      </c>
      <c r="V376" s="13"/>
      <c r="W376" s="13"/>
      <c r="X376" s="16"/>
    </row>
    <row x14ac:dyDescent="0.25" r="377" customHeight="1" ht="15.75">
      <c r="A377" s="8">
        <v>25495</v>
      </c>
      <c r="B377" s="13" t="s">
        <v>69</v>
      </c>
      <c r="C377" s="13" t="s">
        <v>5110</v>
      </c>
      <c r="D377" s="10">
        <v>0.6446</v>
      </c>
      <c r="E377" s="11">
        <v>270.39</v>
      </c>
      <c r="F377" s="10">
        <v>0.5462</v>
      </c>
      <c r="G377" s="11">
        <v>404.81</v>
      </c>
      <c r="H377" s="10">
        <v>0.6386</v>
      </c>
      <c r="I377" s="11">
        <v>391.85</v>
      </c>
      <c r="J377" s="10">
        <v>0.5823</v>
      </c>
      <c r="K377" s="11">
        <v>317.3</v>
      </c>
      <c r="L377" s="10">
        <v>0.5984</v>
      </c>
      <c r="M377" s="11">
        <v>303.54</v>
      </c>
      <c r="N377" s="10">
        <v>0.6044</v>
      </c>
      <c r="O377" s="11">
        <v>305.14</v>
      </c>
      <c r="P377" s="10">
        <v>0.6446</v>
      </c>
      <c r="Q377" s="10">
        <v>0.2464</v>
      </c>
      <c r="R377" s="10">
        <v>0.5823</v>
      </c>
      <c r="S377" s="10">
        <v>0.2088</v>
      </c>
      <c r="T377" s="8">
        <f>IF(and(ISNUMBER(D377), isnumber(E377)), 1, 0) + IF(and(ISNUMBER(F377), isnumber(G377)), 1, 0) + IF(and(ISNUMBER(H377), isnumber(I377)), 1, 0) + IF(and(ISNUMBER(J377), isnumber(K377)), 1, 0) + IF(and(ISNUMBER(L377), isnumber(M377)), 1, 0) + IF(and(ISNUMBER(N377), isnumber(O377)), 1, 0)</f>
      </c>
      <c r="U377" s="8">
        <f>IF(and(ISNUMBER(P377), isnumber(Q377)), 1, 0) + IF(and(ISNUMBER(R377), isnumber(S377)), 1, 0)</f>
      </c>
      <c r="V377" s="13"/>
      <c r="W377" s="13"/>
      <c r="X377" s="16"/>
    </row>
    <row x14ac:dyDescent="0.25" r="378" customHeight="1" ht="15.75">
      <c r="A378" s="8">
        <v>25496</v>
      </c>
      <c r="B378" s="13" t="s">
        <v>69</v>
      </c>
      <c r="C378" s="13" t="s">
        <v>5114</v>
      </c>
      <c r="D378" s="10">
        <v>0.4021</v>
      </c>
      <c r="E378" s="11">
        <v>143.83</v>
      </c>
      <c r="F378" s="10">
        <v>0.5155</v>
      </c>
      <c r="G378" s="11" t="s">
        <v>7127</v>
      </c>
      <c r="H378" s="10">
        <v>0.4423</v>
      </c>
      <c r="I378" s="11" t="s">
        <v>7127</v>
      </c>
      <c r="J378" s="10">
        <v>0.6813</v>
      </c>
      <c r="K378" s="11" t="s">
        <v>7127</v>
      </c>
      <c r="L378" s="10">
        <v>0.5096</v>
      </c>
      <c r="M378" s="11">
        <v>399.24</v>
      </c>
      <c r="N378" s="10">
        <v>0.5192</v>
      </c>
      <c r="O378" s="11">
        <v>395.55</v>
      </c>
      <c r="P378" s="10">
        <v>0.4021</v>
      </c>
      <c r="Q378" s="10">
        <v>0.2294</v>
      </c>
      <c r="R378" s="10">
        <v>0.6813</v>
      </c>
      <c r="S378" s="10">
        <v>0.193</v>
      </c>
      <c r="T378" s="8">
        <f>IF(and(ISNUMBER(D378), isnumber(E378)), 1, 0) + IF(and(ISNUMBER(F378), isnumber(G378)), 1, 0) + IF(and(ISNUMBER(H378), isnumber(I378)), 1, 0) + IF(and(ISNUMBER(J378), isnumber(K378)), 1, 0) + IF(and(ISNUMBER(L378), isnumber(M378)), 1, 0) + IF(and(ISNUMBER(N378), isnumber(O378)), 1, 0)</f>
      </c>
      <c r="U378" s="8">
        <f>IF(and(ISNUMBER(P378), isnumber(Q378)), 1, 0) + IF(and(ISNUMBER(R378), isnumber(S378)), 1, 0)</f>
      </c>
      <c r="V378" s="13"/>
      <c r="W378" s="13"/>
      <c r="X378" s="16"/>
    </row>
    <row x14ac:dyDescent="0.25" r="379" customHeight="1" ht="15.75">
      <c r="A379" s="8">
        <v>25497</v>
      </c>
      <c r="B379" s="13" t="s">
        <v>69</v>
      </c>
      <c r="C379" s="13" t="s">
        <v>5118</v>
      </c>
      <c r="D379" s="10">
        <v>0.5581</v>
      </c>
      <c r="E379" s="11">
        <v>125.22</v>
      </c>
      <c r="F379" s="10">
        <v>0.5581</v>
      </c>
      <c r="G379" s="11">
        <v>401.74</v>
      </c>
      <c r="H379" s="10">
        <v>0.6512</v>
      </c>
      <c r="I379" s="11">
        <v>345.71</v>
      </c>
      <c r="J379" s="10">
        <v>0.5349</v>
      </c>
      <c r="K379" s="11">
        <v>265.45</v>
      </c>
      <c r="L379" s="10">
        <v>0.3023</v>
      </c>
      <c r="M379" s="11">
        <v>353.85</v>
      </c>
      <c r="N379" s="10">
        <v>0.4651</v>
      </c>
      <c r="O379" s="11">
        <v>357.89</v>
      </c>
      <c r="P379" s="10">
        <v>0.5581</v>
      </c>
      <c r="Q379" s="10">
        <v>0.209</v>
      </c>
      <c r="R379" s="10">
        <v>0.5349</v>
      </c>
      <c r="S379" s="10">
        <v>0.1997</v>
      </c>
      <c r="T379" s="8">
        <f>IF(and(ISNUMBER(D379), isnumber(E379)), 1, 0) + IF(and(ISNUMBER(F379), isnumber(G379)), 1, 0) + IF(and(ISNUMBER(H379), isnumber(I379)), 1, 0) + IF(and(ISNUMBER(J379), isnumber(K379)), 1, 0) + IF(and(ISNUMBER(L379), isnumber(M379)), 1, 0) + IF(and(ISNUMBER(N379), isnumber(O379)), 1, 0)</f>
      </c>
      <c r="U379" s="8">
        <f>IF(and(ISNUMBER(P379), isnumber(Q379)), 1, 0) + IF(and(ISNUMBER(R379), isnumber(S379)), 1, 0)</f>
      </c>
      <c r="V379" s="13"/>
      <c r="W379" s="13"/>
      <c r="X379" s="16"/>
    </row>
    <row x14ac:dyDescent="0.25" r="380" customHeight="1" ht="15.75">
      <c r="A380" s="8">
        <v>25498</v>
      </c>
      <c r="B380" s="13" t="s">
        <v>69</v>
      </c>
      <c r="C380" s="13" t="s">
        <v>5122</v>
      </c>
      <c r="D380" s="10">
        <v>0.5682</v>
      </c>
      <c r="E380" s="11">
        <v>68.09</v>
      </c>
      <c r="F380" s="10">
        <v>0.5114</v>
      </c>
      <c r="G380" s="11">
        <v>328.89</v>
      </c>
      <c r="H380" s="10">
        <v>0.6136</v>
      </c>
      <c r="I380" s="11">
        <v>391.85</v>
      </c>
      <c r="J380" s="10">
        <v>0.6136</v>
      </c>
      <c r="K380" s="11">
        <v>332.38</v>
      </c>
      <c r="L380" s="10">
        <v>0.6136</v>
      </c>
      <c r="M380" s="11">
        <v>409.23</v>
      </c>
      <c r="N380" s="10">
        <v>0.6818</v>
      </c>
      <c r="O380" s="11">
        <v>444.83</v>
      </c>
      <c r="P380" s="10">
        <v>0.5682</v>
      </c>
      <c r="Q380" s="10">
        <v>0.2051</v>
      </c>
      <c r="R380" s="10">
        <v>0.6136</v>
      </c>
      <c r="S380" s="10">
        <v>0.1771</v>
      </c>
      <c r="T380" s="8">
        <f>IF(and(ISNUMBER(D380), isnumber(E380)), 1, 0) + IF(and(ISNUMBER(F380), isnumber(G380)), 1, 0) + IF(and(ISNUMBER(H380), isnumber(I380)), 1, 0) + IF(and(ISNUMBER(J380), isnumber(K380)), 1, 0) + IF(and(ISNUMBER(L380), isnumber(M380)), 1, 0) + IF(and(ISNUMBER(N380), isnumber(O380)), 1, 0)</f>
      </c>
      <c r="U380" s="8">
        <f>IF(and(ISNUMBER(P380), isnumber(Q380)), 1, 0) + IF(and(ISNUMBER(R380), isnumber(S380)), 1, 0)</f>
      </c>
      <c r="V380" s="13"/>
      <c r="W380" s="13"/>
      <c r="X380" s="16"/>
    </row>
    <row x14ac:dyDescent="0.25" r="381" customHeight="1" ht="15.75">
      <c r="A381" s="8">
        <v>25499</v>
      </c>
      <c r="B381" s="13" t="s">
        <v>69</v>
      </c>
      <c r="C381" s="13" t="s">
        <v>5125</v>
      </c>
      <c r="D381" s="10">
        <v>0.5833</v>
      </c>
      <c r="E381" s="11">
        <v>160</v>
      </c>
      <c r="F381" s="10">
        <v>0.5833</v>
      </c>
      <c r="G381" s="11">
        <v>367.62</v>
      </c>
      <c r="H381" s="10">
        <v>0.2742</v>
      </c>
      <c r="I381" s="11">
        <v>398.82</v>
      </c>
      <c r="J381" s="10">
        <v>0.5098</v>
      </c>
      <c r="K381" s="11">
        <v>326.77</v>
      </c>
      <c r="L381" s="10">
        <v>0.4032</v>
      </c>
      <c r="M381" s="11">
        <v>457.87</v>
      </c>
      <c r="N381" s="10">
        <v>0.3871</v>
      </c>
      <c r="O381" s="11">
        <v>466.67</v>
      </c>
      <c r="P381" s="10">
        <v>0.5833</v>
      </c>
      <c r="Q381" s="10">
        <v>0.2228</v>
      </c>
      <c r="R381" s="10">
        <v>0.5098</v>
      </c>
      <c r="S381" s="10">
        <v>0.2061</v>
      </c>
      <c r="T381" s="8">
        <f>IF(and(ISNUMBER(D381), isnumber(E381)), 1, 0) + IF(and(ISNUMBER(F381), isnumber(G381)), 1, 0) + IF(and(ISNUMBER(H381), isnumber(I381)), 1, 0) + IF(and(ISNUMBER(J381), isnumber(K381)), 1, 0) + IF(and(ISNUMBER(L381), isnumber(M381)), 1, 0) + IF(and(ISNUMBER(N381), isnumber(O381)), 1, 0)</f>
      </c>
      <c r="U381" s="8">
        <f>IF(and(ISNUMBER(P381), isnumber(Q381)), 1, 0) + IF(and(ISNUMBER(R381), isnumber(S381)), 1, 0)</f>
      </c>
      <c r="V381" s="13"/>
      <c r="W381" s="13"/>
      <c r="X381" s="16"/>
    </row>
    <row x14ac:dyDescent="0.25" r="382" customHeight="1" ht="15.75">
      <c r="A382" s="8">
        <v>25500</v>
      </c>
      <c r="B382" s="13" t="s">
        <v>69</v>
      </c>
      <c r="C382" s="13" t="s">
        <v>5128</v>
      </c>
      <c r="D382" s="10">
        <v>0.7591</v>
      </c>
      <c r="E382" s="11">
        <v>223.33</v>
      </c>
      <c r="F382" s="10">
        <v>0.7591</v>
      </c>
      <c r="G382" s="11">
        <v>375.15</v>
      </c>
      <c r="H382" s="10">
        <v>0.7226</v>
      </c>
      <c r="I382" s="11">
        <v>404.65</v>
      </c>
      <c r="J382" s="10">
        <v>0.7007</v>
      </c>
      <c r="K382" s="11">
        <v>199.55</v>
      </c>
      <c r="L382" s="10">
        <v>0.792</v>
      </c>
      <c r="M382" s="11">
        <v>363.55</v>
      </c>
      <c r="N382" s="10">
        <v>0.6679</v>
      </c>
      <c r="O382" s="11">
        <v>387.62</v>
      </c>
      <c r="P382" s="10">
        <v>0.7591</v>
      </c>
      <c r="Q382" s="10">
        <v>0.2346</v>
      </c>
      <c r="R382" s="10">
        <v>0.7007</v>
      </c>
      <c r="S382" s="10">
        <v>0.1862</v>
      </c>
      <c r="T382" s="8">
        <f>IF(and(ISNUMBER(D382), isnumber(E382)), 1, 0) + IF(and(ISNUMBER(F382), isnumber(G382)), 1, 0) + IF(and(ISNUMBER(H382), isnumber(I382)), 1, 0) + IF(and(ISNUMBER(J382), isnumber(K382)), 1, 0) + IF(and(ISNUMBER(L382), isnumber(M382)), 1, 0) + IF(and(ISNUMBER(N382), isnumber(O382)), 1, 0)</f>
      </c>
      <c r="U382" s="8">
        <f>IF(and(ISNUMBER(P382), isnumber(Q382)), 1, 0) + IF(and(ISNUMBER(R382), isnumber(S382)), 1, 0)</f>
      </c>
      <c r="V382" s="13"/>
      <c r="W382" s="13"/>
      <c r="X382" s="16"/>
    </row>
    <row x14ac:dyDescent="0.25" r="383" customHeight="1" ht="15.75">
      <c r="A383" s="8">
        <v>25501</v>
      </c>
      <c r="B383" s="13" t="s">
        <v>69</v>
      </c>
      <c r="C383" s="13" t="s">
        <v>5132</v>
      </c>
      <c r="D383" s="10">
        <v>0.6196</v>
      </c>
      <c r="E383" s="11">
        <v>127.13</v>
      </c>
      <c r="F383" s="10">
        <v>0.5399</v>
      </c>
      <c r="G383" s="11">
        <v>278.7</v>
      </c>
      <c r="H383" s="10">
        <v>0.2977</v>
      </c>
      <c r="I383" s="11">
        <v>374.37</v>
      </c>
      <c r="J383" s="10">
        <v>0.6034</v>
      </c>
      <c r="K383" s="11">
        <v>284.34</v>
      </c>
      <c r="L383" s="10">
        <v>0.3488</v>
      </c>
      <c r="M383" s="11" t="s">
        <v>7127</v>
      </c>
      <c r="N383" s="10">
        <v>0.3116</v>
      </c>
      <c r="O383" s="11">
        <v>406.73</v>
      </c>
      <c r="P383" s="10">
        <v>0.6196</v>
      </c>
      <c r="Q383" s="10">
        <v>0.204</v>
      </c>
      <c r="R383" s="10">
        <v>0.6034</v>
      </c>
      <c r="S383" s="10">
        <v>0.1911</v>
      </c>
      <c r="T383" s="8">
        <f>IF(and(ISNUMBER(D383), isnumber(E383)), 1, 0) + IF(and(ISNUMBER(F383), isnumber(G383)), 1, 0) + IF(and(ISNUMBER(H383), isnumber(I383)), 1, 0) + IF(and(ISNUMBER(J383), isnumber(K383)), 1, 0) + IF(and(ISNUMBER(L383), isnumber(M383)), 1, 0) + IF(and(ISNUMBER(N383), isnumber(O383)), 1, 0)</f>
      </c>
      <c r="U383" s="8">
        <f>IF(and(ISNUMBER(P383), isnumber(Q383)), 1, 0) + IF(and(ISNUMBER(R383), isnumber(S383)), 1, 0)</f>
      </c>
      <c r="V383" s="13"/>
      <c r="W383" s="13"/>
      <c r="X383" s="16"/>
    </row>
    <row x14ac:dyDescent="0.25" r="384" customHeight="1" ht="15.75">
      <c r="A384" s="8">
        <v>25502</v>
      </c>
      <c r="B384" s="13" t="s">
        <v>69</v>
      </c>
      <c r="C384" s="13" t="s">
        <v>5136</v>
      </c>
      <c r="D384" s="10">
        <v>0.6862</v>
      </c>
      <c r="E384" s="11">
        <v>231.38</v>
      </c>
      <c r="F384" s="10">
        <v>0.6964</v>
      </c>
      <c r="G384" s="11">
        <v>352.19</v>
      </c>
      <c r="H384" s="10">
        <v>0.6824</v>
      </c>
      <c r="I384" s="11">
        <v>291.28</v>
      </c>
      <c r="J384" s="10">
        <v>0.3469</v>
      </c>
      <c r="K384" s="11">
        <v>221.3</v>
      </c>
      <c r="L384" s="10">
        <v>0.5816</v>
      </c>
      <c r="M384" s="11">
        <v>196.19</v>
      </c>
      <c r="N384" s="10">
        <v>0.8367</v>
      </c>
      <c r="O384" s="11">
        <v>76.15</v>
      </c>
      <c r="P384" s="10">
        <v>0.6862</v>
      </c>
      <c r="Q384" s="10">
        <v>0.2541</v>
      </c>
      <c r="R384" s="10">
        <v>0.3469</v>
      </c>
      <c r="S384" s="10">
        <v>0.1937</v>
      </c>
      <c r="T384" s="8">
        <f>IF(and(ISNUMBER(D384), isnumber(E384)), 1, 0) + IF(and(ISNUMBER(F384), isnumber(G384)), 1, 0) + IF(and(ISNUMBER(H384), isnumber(I384)), 1, 0) + IF(and(ISNUMBER(J384), isnumber(K384)), 1, 0) + IF(and(ISNUMBER(L384), isnumber(M384)), 1, 0) + IF(and(ISNUMBER(N384), isnumber(O384)), 1, 0)</f>
      </c>
      <c r="U384" s="8">
        <f>IF(and(ISNUMBER(P384), isnumber(Q384)), 1, 0) + IF(and(ISNUMBER(R384), isnumber(S384)), 1, 0)</f>
      </c>
      <c r="V384" s="13"/>
      <c r="W384" s="13"/>
      <c r="X384" s="16"/>
    </row>
    <row x14ac:dyDescent="0.25" r="385" customHeight="1" ht="15.75">
      <c r="A385" s="8">
        <v>25503</v>
      </c>
      <c r="B385" s="13" t="s">
        <v>69</v>
      </c>
      <c r="C385" s="13" t="s">
        <v>5141</v>
      </c>
      <c r="D385" s="10">
        <v>0.3692</v>
      </c>
      <c r="E385" s="11">
        <v>127.5</v>
      </c>
      <c r="F385" s="10">
        <v>0.4</v>
      </c>
      <c r="G385" s="11">
        <v>335.38</v>
      </c>
      <c r="H385" s="10">
        <v>0.3231</v>
      </c>
      <c r="I385" s="11">
        <v>205.71</v>
      </c>
      <c r="J385" s="10">
        <v>0.3538</v>
      </c>
      <c r="K385" s="11">
        <v>22.61</v>
      </c>
      <c r="L385" s="10">
        <v>0.3538</v>
      </c>
      <c r="M385" s="11">
        <v>318.26</v>
      </c>
      <c r="N385" s="10">
        <v>0.4</v>
      </c>
      <c r="O385" s="11">
        <v>332.8</v>
      </c>
      <c r="P385" s="10">
        <v>0.3692</v>
      </c>
      <c r="Q385" s="10">
        <v>0.2152</v>
      </c>
      <c r="R385" s="10">
        <v>0.3538</v>
      </c>
      <c r="S385" s="10">
        <v>0.187</v>
      </c>
      <c r="T385" s="8">
        <f>IF(and(ISNUMBER(D385), isnumber(E385)), 1, 0) + IF(and(ISNUMBER(F385), isnumber(G385)), 1, 0) + IF(and(ISNUMBER(H385), isnumber(I385)), 1, 0) + IF(and(ISNUMBER(J385), isnumber(K385)), 1, 0) + IF(and(ISNUMBER(L385), isnumber(M385)), 1, 0) + IF(and(ISNUMBER(N385), isnumber(O385)), 1, 0)</f>
      </c>
      <c r="U385" s="8">
        <f>IF(and(ISNUMBER(P385), isnumber(Q385)), 1, 0) + IF(and(ISNUMBER(R385), isnumber(S385)), 1, 0)</f>
      </c>
      <c r="V385" s="13"/>
      <c r="W385" s="13"/>
      <c r="X385" s="16"/>
    </row>
    <row x14ac:dyDescent="0.25" r="386" customHeight="1" ht="15.75">
      <c r="A386" s="8">
        <v>25504</v>
      </c>
      <c r="B386" s="13" t="s">
        <v>69</v>
      </c>
      <c r="C386" s="13" t="s">
        <v>5144</v>
      </c>
      <c r="D386" s="10">
        <v>0.6058</v>
      </c>
      <c r="E386" s="11">
        <v>213.89</v>
      </c>
      <c r="F386" s="10">
        <v>0.4923</v>
      </c>
      <c r="G386" s="11">
        <v>372.56</v>
      </c>
      <c r="H386" s="10">
        <v>0.4237</v>
      </c>
      <c r="I386" s="11">
        <v>354.76</v>
      </c>
      <c r="J386" s="10">
        <v>0.5247</v>
      </c>
      <c r="K386" s="11" t="s">
        <v>7127</v>
      </c>
      <c r="L386" s="10">
        <v>0.3658</v>
      </c>
      <c r="M386" s="11">
        <v>379.15</v>
      </c>
      <c r="N386" s="10">
        <v>0.4619</v>
      </c>
      <c r="O386" s="11">
        <v>388.52</v>
      </c>
      <c r="P386" s="10">
        <v>0.6058</v>
      </c>
      <c r="Q386" s="10">
        <v>0.2349</v>
      </c>
      <c r="R386" s="10">
        <v>0.5247</v>
      </c>
      <c r="S386" s="10">
        <v>0.2052</v>
      </c>
      <c r="T386" s="8">
        <f>IF(and(ISNUMBER(D386), isnumber(E386)), 1, 0) + IF(and(ISNUMBER(F386), isnumber(G386)), 1, 0) + IF(and(ISNUMBER(H386), isnumber(I386)), 1, 0) + IF(and(ISNUMBER(J386), isnumber(K386)), 1, 0) + IF(and(ISNUMBER(L386), isnumber(M386)), 1, 0) + IF(and(ISNUMBER(N386), isnumber(O386)), 1, 0)</f>
      </c>
      <c r="U386" s="8">
        <f>IF(and(ISNUMBER(P386), isnumber(Q386)), 1, 0) + IF(and(ISNUMBER(R386), isnumber(S386)), 1, 0)</f>
      </c>
      <c r="V386" s="13"/>
      <c r="W386" s="13"/>
      <c r="X386" s="16"/>
    </row>
    <row x14ac:dyDescent="0.25" r="387" customHeight="1" ht="15.75">
      <c r="A387" s="8">
        <v>25505</v>
      </c>
      <c r="B387" s="13" t="s">
        <v>69</v>
      </c>
      <c r="C387" s="13" t="s">
        <v>5147</v>
      </c>
      <c r="D387" s="10">
        <v>0.8824</v>
      </c>
      <c r="E387" s="11">
        <v>409.56</v>
      </c>
      <c r="F387" s="10">
        <v>0.875</v>
      </c>
      <c r="G387" s="11">
        <v>497.63</v>
      </c>
      <c r="H387" s="10">
        <v>0.8309</v>
      </c>
      <c r="I387" s="11">
        <v>463.72</v>
      </c>
      <c r="J387" s="10">
        <v>0.7574</v>
      </c>
      <c r="K387" s="11">
        <v>420.58</v>
      </c>
      <c r="L387" s="10">
        <v>0.7279</v>
      </c>
      <c r="M387" s="11">
        <v>517.55</v>
      </c>
      <c r="N387" s="10">
        <v>0.6176</v>
      </c>
      <c r="O387" s="11">
        <v>531.57</v>
      </c>
      <c r="P387" s="10">
        <v>0.8824</v>
      </c>
      <c r="Q387" s="10">
        <v>0.3013</v>
      </c>
      <c r="R387" s="10">
        <v>0.7574</v>
      </c>
      <c r="S387" s="10">
        <v>0.2173</v>
      </c>
      <c r="T387" s="8">
        <f>IF(and(ISNUMBER(D387), isnumber(E387)), 1, 0) + IF(and(ISNUMBER(F387), isnumber(G387)), 1, 0) + IF(and(ISNUMBER(H387), isnumber(I387)), 1, 0) + IF(and(ISNUMBER(J387), isnumber(K387)), 1, 0) + IF(and(ISNUMBER(L387), isnumber(M387)), 1, 0) + IF(and(ISNUMBER(N387), isnumber(O387)), 1, 0)</f>
      </c>
      <c r="U387" s="8">
        <f>IF(and(ISNUMBER(P387), isnumber(Q387)), 1, 0) + IF(and(ISNUMBER(R387), isnumber(S387)), 1, 0)</f>
      </c>
      <c r="V387" s="13"/>
      <c r="W387" s="13"/>
      <c r="X387" s="16"/>
    </row>
    <row x14ac:dyDescent="0.25" r="388" customHeight="1" ht="15.75">
      <c r="A388" s="8">
        <v>25506</v>
      </c>
      <c r="B388" s="13" t="s">
        <v>69</v>
      </c>
      <c r="C388" s="13" t="s">
        <v>5151</v>
      </c>
      <c r="D388" s="10">
        <v>0.9627</v>
      </c>
      <c r="E388" s="11">
        <v>202.38</v>
      </c>
      <c r="F388" s="10">
        <v>0.0062</v>
      </c>
      <c r="G388" s="11">
        <v>0</v>
      </c>
      <c r="H388" s="10">
        <v>0.9938</v>
      </c>
      <c r="I388" s="11">
        <v>277.74</v>
      </c>
      <c r="J388" s="10">
        <v>0.2547</v>
      </c>
      <c r="K388" s="11">
        <v>234.87</v>
      </c>
      <c r="L388" s="10">
        <v>0.0124</v>
      </c>
      <c r="M388" s="11">
        <v>260</v>
      </c>
      <c r="N388" s="10">
        <v>0.5901</v>
      </c>
      <c r="O388" s="11">
        <v>260</v>
      </c>
      <c r="P388" s="10">
        <v>0.9627</v>
      </c>
      <c r="Q388" s="10">
        <v>0.1675</v>
      </c>
      <c r="R388" s="10">
        <v>0.2547</v>
      </c>
      <c r="S388" s="10">
        <v>0.1815</v>
      </c>
      <c r="T388" s="8">
        <f>IF(and(ISNUMBER(D388), isnumber(E388)), 1, 0) + IF(and(ISNUMBER(F388), isnumber(G388)), 1, 0) + IF(and(ISNUMBER(H388), isnumber(I388)), 1, 0) + IF(and(ISNUMBER(J388), isnumber(K388)), 1, 0) + IF(and(ISNUMBER(L388), isnumber(M388)), 1, 0) + IF(and(ISNUMBER(N388), isnumber(O388)), 1, 0)</f>
      </c>
      <c r="U388" s="8">
        <f>IF(and(ISNUMBER(P388), isnumber(Q388)), 1, 0) + IF(and(ISNUMBER(R388), isnumber(S388)), 1, 0)</f>
      </c>
      <c r="V388" s="13"/>
      <c r="W388" s="13"/>
      <c r="X388" s="16"/>
    </row>
    <row x14ac:dyDescent="0.25" r="389" customHeight="1" ht="15.75">
      <c r="A389" s="8">
        <v>25507</v>
      </c>
      <c r="B389" s="13" t="s">
        <v>69</v>
      </c>
      <c r="C389" s="13" t="s">
        <v>5155</v>
      </c>
      <c r="D389" s="10">
        <v>0.9297</v>
      </c>
      <c r="E389" s="11">
        <v>174.65</v>
      </c>
      <c r="F389" s="10">
        <v>0.9453</v>
      </c>
      <c r="G389" s="11">
        <v>237.78</v>
      </c>
      <c r="H389" s="10">
        <v>0.5417</v>
      </c>
      <c r="I389" s="11">
        <v>388.32</v>
      </c>
      <c r="J389" s="10">
        <v>0.5807</v>
      </c>
      <c r="K389" s="11">
        <v>320.52</v>
      </c>
      <c r="L389" s="10">
        <v>0.4948</v>
      </c>
      <c r="M389" s="11">
        <v>367.02</v>
      </c>
      <c r="N389" s="10">
        <v>0.5156</v>
      </c>
      <c r="O389" s="11">
        <v>419.18</v>
      </c>
      <c r="P389" s="10">
        <v>0.9297</v>
      </c>
      <c r="Q389" s="10">
        <v>0.1694</v>
      </c>
      <c r="R389" s="10">
        <v>0.5807</v>
      </c>
      <c r="S389" s="10">
        <v>0.2047</v>
      </c>
      <c r="T389" s="8">
        <f>IF(and(ISNUMBER(D389), isnumber(E389)), 1, 0) + IF(and(ISNUMBER(F389), isnumber(G389)), 1, 0) + IF(and(ISNUMBER(H389), isnumber(I389)), 1, 0) + IF(and(ISNUMBER(J389), isnumber(K389)), 1, 0) + IF(and(ISNUMBER(L389), isnumber(M389)), 1, 0) + IF(and(ISNUMBER(N389), isnumber(O389)), 1, 0)</f>
      </c>
      <c r="U389" s="8">
        <f>IF(and(ISNUMBER(P389), isnumber(Q389)), 1, 0) + IF(and(ISNUMBER(R389), isnumber(S389)), 1, 0)</f>
      </c>
      <c r="V389" s="13"/>
      <c r="W389" s="13"/>
      <c r="X389" s="16"/>
    </row>
    <row x14ac:dyDescent="0.25" r="390" customHeight="1" ht="15.75">
      <c r="A390" s="8">
        <v>25508</v>
      </c>
      <c r="B390" s="13" t="s">
        <v>69</v>
      </c>
      <c r="C390" s="13" t="s">
        <v>5159</v>
      </c>
      <c r="D390" s="10">
        <v>0.9963</v>
      </c>
      <c r="E390" s="11">
        <v>289.1</v>
      </c>
      <c r="F390" s="10">
        <v>0.9963</v>
      </c>
      <c r="G390" s="11">
        <v>425.67</v>
      </c>
      <c r="H390" s="10">
        <v>0.7778</v>
      </c>
      <c r="I390" s="11">
        <v>495.05</v>
      </c>
      <c r="J390" s="10">
        <v>0.6889</v>
      </c>
      <c r="K390" s="11">
        <v>407.83</v>
      </c>
      <c r="L390" s="10">
        <v>0.5407</v>
      </c>
      <c r="M390" s="11">
        <v>484.38</v>
      </c>
      <c r="N390" s="10">
        <v>0.563</v>
      </c>
      <c r="O390" s="11">
        <v>498.68</v>
      </c>
      <c r="P390" s="10">
        <v>0.9963</v>
      </c>
      <c r="Q390" s="10">
        <v>0.2207</v>
      </c>
      <c r="R390" s="10">
        <v>0.6889</v>
      </c>
      <c r="S390" s="10">
        <v>0.2163</v>
      </c>
      <c r="T390" s="8">
        <f>IF(and(ISNUMBER(D390), isnumber(E390)), 1, 0) + IF(and(ISNUMBER(F390), isnumber(G390)), 1, 0) + IF(and(ISNUMBER(H390), isnumber(I390)), 1, 0) + IF(and(ISNUMBER(J390), isnumber(K390)), 1, 0) + IF(and(ISNUMBER(L390), isnumber(M390)), 1, 0) + IF(and(ISNUMBER(N390), isnumber(O390)), 1, 0)</f>
      </c>
      <c r="U390" s="8">
        <f>IF(and(ISNUMBER(P390), isnumber(Q390)), 1, 0) + IF(and(ISNUMBER(R390), isnumber(S390)), 1, 0)</f>
      </c>
      <c r="V390" s="13"/>
      <c r="W390" s="13"/>
      <c r="X390" s="16"/>
    </row>
    <row x14ac:dyDescent="0.25" r="391" customHeight="1" ht="15.75">
      <c r="A391" s="8">
        <v>25509</v>
      </c>
      <c r="B391" s="13" t="s">
        <v>69</v>
      </c>
      <c r="C391" s="13" t="s">
        <v>5163</v>
      </c>
      <c r="D391" s="10">
        <v>0.7147</v>
      </c>
      <c r="E391" s="11">
        <v>203.38</v>
      </c>
      <c r="F391" s="10">
        <v>0.6144</v>
      </c>
      <c r="G391" s="11">
        <v>326.11</v>
      </c>
      <c r="H391" s="10">
        <v>0.6024</v>
      </c>
      <c r="I391" s="11">
        <v>326.63</v>
      </c>
      <c r="J391" s="10">
        <v>0.7339</v>
      </c>
      <c r="K391" s="11">
        <v>186.73</v>
      </c>
      <c r="L391" s="10">
        <v>0.6361</v>
      </c>
      <c r="M391" s="11">
        <v>365.22</v>
      </c>
      <c r="N391" s="10">
        <v>0.5627</v>
      </c>
      <c r="O391" s="11">
        <v>336.83</v>
      </c>
      <c r="P391" s="10">
        <v>0.7147</v>
      </c>
      <c r="Q391" s="10">
        <v>0.2336</v>
      </c>
      <c r="R391" s="10">
        <v>0.7339</v>
      </c>
      <c r="S391" s="10">
        <v>0.197</v>
      </c>
      <c r="T391" s="8">
        <f>IF(and(ISNUMBER(D391), isnumber(E391)), 1, 0) + IF(and(ISNUMBER(F391), isnumber(G391)), 1, 0) + IF(and(ISNUMBER(H391), isnumber(I391)), 1, 0) + IF(and(ISNUMBER(J391), isnumber(K391)), 1, 0) + IF(and(ISNUMBER(L391), isnumber(M391)), 1, 0) + IF(and(ISNUMBER(N391), isnumber(O391)), 1, 0)</f>
      </c>
      <c r="U391" s="8">
        <f>IF(and(ISNUMBER(P391), isnumber(Q391)), 1, 0) + IF(and(ISNUMBER(R391), isnumber(S391)), 1, 0)</f>
      </c>
      <c r="V391" s="13"/>
      <c r="W391" s="13"/>
      <c r="X391" s="16"/>
    </row>
    <row x14ac:dyDescent="0.25" r="392" customHeight="1" ht="15.75">
      <c r="A392" s="8">
        <v>25510</v>
      </c>
      <c r="B392" s="13" t="s">
        <v>69</v>
      </c>
      <c r="C392" s="13" t="s">
        <v>5167</v>
      </c>
      <c r="D392" s="10">
        <v>0.5348</v>
      </c>
      <c r="E392" s="11">
        <v>53.23</v>
      </c>
      <c r="F392" s="10">
        <v>0.5128</v>
      </c>
      <c r="G392" s="11">
        <v>233.67</v>
      </c>
      <c r="H392" s="10">
        <v>0.3443</v>
      </c>
      <c r="I392" s="11">
        <v>225.53</v>
      </c>
      <c r="J392" s="10">
        <v>0.2198</v>
      </c>
      <c r="K392" s="11">
        <v>67.5</v>
      </c>
      <c r="L392" s="10">
        <v>0.2308</v>
      </c>
      <c r="M392" s="11">
        <v>193.02</v>
      </c>
      <c r="N392" s="10">
        <v>0.0403</v>
      </c>
      <c r="O392" s="11">
        <v>309.09</v>
      </c>
      <c r="P392" s="10">
        <v>0.5348</v>
      </c>
      <c r="Q392" s="10">
        <v>0.1946</v>
      </c>
      <c r="R392" s="10">
        <v>0.2198</v>
      </c>
      <c r="S392" s="10">
        <v>0.1916</v>
      </c>
      <c r="T392" s="8">
        <f>IF(and(ISNUMBER(D392), isnumber(E392)), 1, 0) + IF(and(ISNUMBER(F392), isnumber(G392)), 1, 0) + IF(and(ISNUMBER(H392), isnumber(I392)), 1, 0) + IF(and(ISNUMBER(J392), isnumber(K392)), 1, 0) + IF(and(ISNUMBER(L392), isnumber(M392)), 1, 0) + IF(and(ISNUMBER(N392), isnumber(O392)), 1, 0)</f>
      </c>
      <c r="U392" s="8">
        <f>IF(and(ISNUMBER(P392), isnumber(Q392)), 1, 0) + IF(and(ISNUMBER(R392), isnumber(S392)), 1, 0)</f>
      </c>
      <c r="V392" s="13"/>
      <c r="W392" s="13"/>
      <c r="X392" s="16"/>
    </row>
    <row x14ac:dyDescent="0.25" r="393" customHeight="1" ht="15.75">
      <c r="A393" s="8">
        <v>25511</v>
      </c>
      <c r="B393" s="13" t="s">
        <v>69</v>
      </c>
      <c r="C393" s="13" t="s">
        <v>5172</v>
      </c>
      <c r="D393" s="10">
        <v>0.5714</v>
      </c>
      <c r="E393" s="11">
        <v>150.88</v>
      </c>
      <c r="F393" s="10">
        <v>0.581</v>
      </c>
      <c r="G393" s="11">
        <v>282.03</v>
      </c>
      <c r="H393" s="10">
        <v>0.419</v>
      </c>
      <c r="I393" s="11">
        <v>338.18</v>
      </c>
      <c r="J393" s="10">
        <v>0.5143</v>
      </c>
      <c r="K393" s="11">
        <v>306.15</v>
      </c>
      <c r="L393" s="10">
        <v>0.4476</v>
      </c>
      <c r="M393" s="11">
        <v>445.96</v>
      </c>
      <c r="N393" s="10">
        <v>0.4571</v>
      </c>
      <c r="O393" s="11">
        <v>402.5</v>
      </c>
      <c r="P393" s="10">
        <v>0.5714</v>
      </c>
      <c r="Q393" s="10">
        <v>0.2337</v>
      </c>
      <c r="R393" s="10">
        <v>0.5143</v>
      </c>
      <c r="S393" s="10">
        <v>0.2049</v>
      </c>
      <c r="T393" s="8">
        <f>IF(and(ISNUMBER(D393), isnumber(E393)), 1, 0) + IF(and(ISNUMBER(F393), isnumber(G393)), 1, 0) + IF(and(ISNUMBER(H393), isnumber(I393)), 1, 0) + IF(and(ISNUMBER(J393), isnumber(K393)), 1, 0) + IF(and(ISNUMBER(L393), isnumber(M393)), 1, 0) + IF(and(ISNUMBER(N393), isnumber(O393)), 1, 0)</f>
      </c>
      <c r="U393" s="8">
        <f>IF(and(ISNUMBER(P393), isnumber(Q393)), 1, 0) + IF(and(ISNUMBER(R393), isnumber(S393)), 1, 0)</f>
      </c>
      <c r="V393" s="13"/>
      <c r="W393" s="13"/>
      <c r="X393" s="16"/>
    </row>
    <row x14ac:dyDescent="0.25" r="394" customHeight="1" ht="15.75">
      <c r="A394" s="8">
        <v>25512</v>
      </c>
      <c r="B394" s="13" t="s">
        <v>69</v>
      </c>
      <c r="C394" s="13" t="s">
        <v>5175</v>
      </c>
      <c r="D394" s="10">
        <v>0.5775</v>
      </c>
      <c r="E394" s="11">
        <v>152.96</v>
      </c>
      <c r="F394" s="10">
        <v>0.531</v>
      </c>
      <c r="G394" s="11">
        <v>364.41</v>
      </c>
      <c r="H394" s="10">
        <v>0.3858</v>
      </c>
      <c r="I394" s="11">
        <v>345.2</v>
      </c>
      <c r="J394" s="10">
        <v>0.5506</v>
      </c>
      <c r="K394" s="11">
        <v>240</v>
      </c>
      <c r="L394" s="10">
        <v>0.3483</v>
      </c>
      <c r="M394" s="11">
        <v>260.65</v>
      </c>
      <c r="N394" s="10">
        <v>0.3034</v>
      </c>
      <c r="O394" s="11">
        <v>315.44</v>
      </c>
      <c r="P394" s="10">
        <v>0.5775</v>
      </c>
      <c r="Q394" s="10">
        <v>0.2117</v>
      </c>
      <c r="R394" s="10">
        <v>0.5506</v>
      </c>
      <c r="S394" s="10">
        <v>0.1913</v>
      </c>
      <c r="T394" s="8">
        <f>IF(and(ISNUMBER(D394), isnumber(E394)), 1, 0) + IF(and(ISNUMBER(F394), isnumber(G394)), 1, 0) + IF(and(ISNUMBER(H394), isnumber(I394)), 1, 0) + IF(and(ISNUMBER(J394), isnumber(K394)), 1, 0) + IF(and(ISNUMBER(L394), isnumber(M394)), 1, 0) + IF(and(ISNUMBER(N394), isnumber(O394)), 1, 0)</f>
      </c>
      <c r="U394" s="8">
        <f>IF(and(ISNUMBER(P394), isnumber(Q394)), 1, 0) + IF(and(ISNUMBER(R394), isnumber(S394)), 1, 0)</f>
      </c>
      <c r="V394" s="13"/>
      <c r="W394" s="13"/>
      <c r="X394" s="16"/>
    </row>
    <row x14ac:dyDescent="0.25" r="395" customHeight="1" ht="15.75">
      <c r="A395" s="8">
        <v>25513</v>
      </c>
      <c r="B395" s="13" t="s">
        <v>69</v>
      </c>
      <c r="C395" s="13" t="s">
        <v>5179</v>
      </c>
      <c r="D395" s="10">
        <v>0.86</v>
      </c>
      <c r="E395" s="11">
        <v>425.74</v>
      </c>
      <c r="F395" s="10">
        <v>0.9</v>
      </c>
      <c r="G395" s="11">
        <v>437.61</v>
      </c>
      <c r="H395" s="10">
        <v>0.8333</v>
      </c>
      <c r="I395" s="11">
        <v>498.24</v>
      </c>
      <c r="J395" s="10">
        <v>0.8933</v>
      </c>
      <c r="K395" s="11">
        <v>413.75</v>
      </c>
      <c r="L395" s="10">
        <v>0.8067</v>
      </c>
      <c r="M395" s="11">
        <v>546.45</v>
      </c>
      <c r="N395" s="10">
        <v>0.68</v>
      </c>
      <c r="O395" s="11">
        <v>540.39</v>
      </c>
      <c r="P395" s="10">
        <v>0.86</v>
      </c>
      <c r="Q395" s="10">
        <v>0.2744</v>
      </c>
      <c r="R395" s="10">
        <v>0.8933</v>
      </c>
      <c r="S395" s="10">
        <v>0.2204</v>
      </c>
      <c r="T395" s="8">
        <f>IF(and(ISNUMBER(D395), isnumber(E395)), 1, 0) + IF(and(ISNUMBER(F395), isnumber(G395)), 1, 0) + IF(and(ISNUMBER(H395), isnumber(I395)), 1, 0) + IF(and(ISNUMBER(J395), isnumber(K395)), 1, 0) + IF(and(ISNUMBER(L395), isnumber(M395)), 1, 0) + IF(and(ISNUMBER(N395), isnumber(O395)), 1, 0)</f>
      </c>
      <c r="U395" s="8">
        <f>IF(and(ISNUMBER(P395), isnumber(Q395)), 1, 0) + IF(and(ISNUMBER(R395), isnumber(S395)), 1, 0)</f>
      </c>
      <c r="V395" s="13"/>
      <c r="W395" s="13"/>
      <c r="X395" s="16"/>
    </row>
    <row x14ac:dyDescent="0.25" r="396" customHeight="1" ht="15.75">
      <c r="A396" s="8">
        <v>25514</v>
      </c>
      <c r="B396" s="13" t="s">
        <v>69</v>
      </c>
      <c r="C396" s="13" t="s">
        <v>5181</v>
      </c>
      <c r="D396" s="10">
        <v>0.7396</v>
      </c>
      <c r="E396" s="11">
        <v>196.65</v>
      </c>
      <c r="F396" s="10">
        <v>0.5087</v>
      </c>
      <c r="G396" s="11">
        <v>292.69</v>
      </c>
      <c r="H396" s="10">
        <v>0.4591</v>
      </c>
      <c r="I396" s="11">
        <v>356.68</v>
      </c>
      <c r="J396" s="10">
        <v>0.6456</v>
      </c>
      <c r="K396" s="11">
        <v>170.28</v>
      </c>
      <c r="L396" s="10">
        <v>0.4738</v>
      </c>
      <c r="M396" s="11">
        <v>319.53</v>
      </c>
      <c r="N396" s="10">
        <v>0.5691</v>
      </c>
      <c r="O396" s="11">
        <v>328.67</v>
      </c>
      <c r="P396" s="10">
        <v>0.7396</v>
      </c>
      <c r="Q396" s="10">
        <v>0.2268</v>
      </c>
      <c r="R396" s="10">
        <v>0.6456</v>
      </c>
      <c r="S396" s="10">
        <v>0.1934</v>
      </c>
      <c r="T396" s="8">
        <f>IF(and(ISNUMBER(D396), isnumber(E396)), 1, 0) + IF(and(ISNUMBER(F396), isnumber(G396)), 1, 0) + IF(and(ISNUMBER(H396), isnumber(I396)), 1, 0) + IF(and(ISNUMBER(J396), isnumber(K396)), 1, 0) + IF(and(ISNUMBER(L396), isnumber(M396)), 1, 0) + IF(and(ISNUMBER(N396), isnumber(O396)), 1, 0)</f>
      </c>
      <c r="U396" s="8">
        <f>IF(and(ISNUMBER(P396), isnumber(Q396)), 1, 0) + IF(and(ISNUMBER(R396), isnumber(S396)), 1, 0)</f>
      </c>
      <c r="V396" s="13"/>
      <c r="W396" s="13"/>
      <c r="X396" s="16"/>
    </row>
    <row x14ac:dyDescent="0.25" r="397" customHeight="1" ht="15.75">
      <c r="A397" s="8">
        <v>25515</v>
      </c>
      <c r="B397" s="13" t="s">
        <v>69</v>
      </c>
      <c r="C397" s="13" t="s">
        <v>5185</v>
      </c>
      <c r="D397" s="10">
        <v>0.6549</v>
      </c>
      <c r="E397" s="11">
        <v>204.95</v>
      </c>
      <c r="F397" s="10">
        <v>0.6075</v>
      </c>
      <c r="G397" s="11">
        <v>378.9</v>
      </c>
      <c r="H397" s="10">
        <v>0.5319</v>
      </c>
      <c r="I397" s="11">
        <v>376.29</v>
      </c>
      <c r="J397" s="10">
        <v>0.5314</v>
      </c>
      <c r="K397" s="11">
        <v>253.7</v>
      </c>
      <c r="L397" s="10">
        <v>0.5319</v>
      </c>
      <c r="M397" s="11">
        <v>387.96</v>
      </c>
      <c r="N397" s="10">
        <v>0.3951</v>
      </c>
      <c r="O397" s="11">
        <v>371.85</v>
      </c>
      <c r="P397" s="10">
        <v>0.6549</v>
      </c>
      <c r="Q397" s="10">
        <v>0.2309</v>
      </c>
      <c r="R397" s="10">
        <v>0.5314</v>
      </c>
      <c r="S397" s="10">
        <v>0.2065</v>
      </c>
      <c r="T397" s="8">
        <f>IF(and(ISNUMBER(D397), isnumber(E397)), 1, 0) + IF(and(ISNUMBER(F397), isnumber(G397)), 1, 0) + IF(and(ISNUMBER(H397), isnumber(I397)), 1, 0) + IF(and(ISNUMBER(J397), isnumber(K397)), 1, 0) + IF(and(ISNUMBER(L397), isnumber(M397)), 1, 0) + IF(and(ISNUMBER(N397), isnumber(O397)), 1, 0)</f>
      </c>
      <c r="U397" s="8">
        <f>IF(and(ISNUMBER(P397), isnumber(Q397)), 1, 0) + IF(and(ISNUMBER(R397), isnumber(S397)), 1, 0)</f>
      </c>
      <c r="V397" s="13"/>
      <c r="W397" s="13"/>
      <c r="X397" s="16"/>
    </row>
    <row x14ac:dyDescent="0.25" r="398" customHeight="1" ht="15.75">
      <c r="A398" s="8">
        <v>25516</v>
      </c>
      <c r="B398" s="13" t="s">
        <v>69</v>
      </c>
      <c r="C398" s="13" t="s">
        <v>5189</v>
      </c>
      <c r="D398" s="10">
        <v>0.6253</v>
      </c>
      <c r="E398" s="11">
        <v>190.3</v>
      </c>
      <c r="F398" s="10">
        <v>0.4612</v>
      </c>
      <c r="G398" s="11">
        <v>357.49</v>
      </c>
      <c r="H398" s="10">
        <v>0.5021</v>
      </c>
      <c r="I398" s="11">
        <v>310.19</v>
      </c>
      <c r="J398" s="10">
        <v>0.5151</v>
      </c>
      <c r="K398" s="11">
        <v>236.88</v>
      </c>
      <c r="L398" s="10">
        <v>0.5417</v>
      </c>
      <c r="M398" s="11">
        <v>254.53</v>
      </c>
      <c r="N398" s="10">
        <v>0.5458</v>
      </c>
      <c r="O398" s="11">
        <v>309.77</v>
      </c>
      <c r="P398" s="10">
        <v>0.6253</v>
      </c>
      <c r="Q398" s="10">
        <v>0.2121</v>
      </c>
      <c r="R398" s="10">
        <v>0.5151</v>
      </c>
      <c r="S398" s="10">
        <v>0.199</v>
      </c>
      <c r="T398" s="8">
        <f>IF(and(ISNUMBER(D398), isnumber(E398)), 1, 0) + IF(and(ISNUMBER(F398), isnumber(G398)), 1, 0) + IF(and(ISNUMBER(H398), isnumber(I398)), 1, 0) + IF(and(ISNUMBER(J398), isnumber(K398)), 1, 0) + IF(and(ISNUMBER(L398), isnumber(M398)), 1, 0) + IF(and(ISNUMBER(N398), isnumber(O398)), 1, 0)</f>
      </c>
      <c r="U398" s="8">
        <f>IF(and(ISNUMBER(P398), isnumber(Q398)), 1, 0) + IF(and(ISNUMBER(R398), isnumber(S398)), 1, 0)</f>
      </c>
      <c r="V398" s="13"/>
      <c r="W398" s="13"/>
      <c r="X398" s="16"/>
    </row>
    <row x14ac:dyDescent="0.25" r="399" customHeight="1" ht="15.75">
      <c r="A399" s="8">
        <v>25517</v>
      </c>
      <c r="B399" s="13" t="s">
        <v>69</v>
      </c>
      <c r="C399" s="13" t="s">
        <v>5192</v>
      </c>
      <c r="D399" s="10">
        <v>0.757</v>
      </c>
      <c r="E399" s="11">
        <v>228.32</v>
      </c>
      <c r="F399" s="10">
        <v>0.7477</v>
      </c>
      <c r="G399" s="11">
        <v>377.22</v>
      </c>
      <c r="H399" s="10">
        <v>0.6308</v>
      </c>
      <c r="I399" s="11">
        <v>448.18</v>
      </c>
      <c r="J399" s="10">
        <v>0.6589</v>
      </c>
      <c r="K399" s="11">
        <v>257.73</v>
      </c>
      <c r="L399" s="10">
        <v>0.6121</v>
      </c>
      <c r="M399" s="11">
        <v>426.36</v>
      </c>
      <c r="N399" s="10">
        <v>0.6262</v>
      </c>
      <c r="O399" s="11">
        <v>433.43</v>
      </c>
      <c r="P399" s="10">
        <v>0.757</v>
      </c>
      <c r="Q399" s="10">
        <v>0.228</v>
      </c>
      <c r="R399" s="10">
        <v>0.6589</v>
      </c>
      <c r="S399" s="10">
        <v>0.21</v>
      </c>
      <c r="T399" s="8">
        <f>IF(and(ISNUMBER(D399), isnumber(E399)), 1, 0) + IF(and(ISNUMBER(F399), isnumber(G399)), 1, 0) + IF(and(ISNUMBER(H399), isnumber(I399)), 1, 0) + IF(and(ISNUMBER(J399), isnumber(K399)), 1, 0) + IF(and(ISNUMBER(L399), isnumber(M399)), 1, 0) + IF(and(ISNUMBER(N399), isnumber(O399)), 1, 0)</f>
      </c>
      <c r="U399" s="8">
        <f>IF(and(ISNUMBER(P399), isnumber(Q399)), 1, 0) + IF(and(ISNUMBER(R399), isnumber(S399)), 1, 0)</f>
      </c>
      <c r="V399" s="13"/>
      <c r="W399" s="13"/>
      <c r="X399" s="16"/>
    </row>
    <row x14ac:dyDescent="0.25" r="400" customHeight="1" ht="15.75">
      <c r="A400" s="8">
        <v>25518</v>
      </c>
      <c r="B400" s="13" t="s">
        <v>69</v>
      </c>
      <c r="C400" s="13" t="s">
        <v>5195</v>
      </c>
      <c r="D400" s="10">
        <v>0.4189</v>
      </c>
      <c r="E400" s="11">
        <v>102.27</v>
      </c>
      <c r="F400" s="10">
        <v>0.4662</v>
      </c>
      <c r="G400" s="11">
        <v>347.24</v>
      </c>
      <c r="H400" s="10">
        <v>0.3235</v>
      </c>
      <c r="I400" s="11">
        <v>436.73</v>
      </c>
      <c r="J400" s="10">
        <v>0.619</v>
      </c>
      <c r="K400" s="11">
        <v>217.19</v>
      </c>
      <c r="L400" s="10">
        <v>0.3882</v>
      </c>
      <c r="M400" s="11">
        <v>371.51</v>
      </c>
      <c r="N400" s="10">
        <v>0.4471</v>
      </c>
      <c r="O400" s="11">
        <v>332.41</v>
      </c>
      <c r="P400" s="10">
        <v>0.4189</v>
      </c>
      <c r="Q400" s="10">
        <v>0.2171</v>
      </c>
      <c r="R400" s="10">
        <v>0.619</v>
      </c>
      <c r="S400" s="10">
        <v>0.2001</v>
      </c>
      <c r="T400" s="8">
        <f>IF(and(ISNUMBER(D400), isnumber(E400)), 1, 0) + IF(and(ISNUMBER(F400), isnumber(G400)), 1, 0) + IF(and(ISNUMBER(H400), isnumber(I400)), 1, 0) + IF(and(ISNUMBER(J400), isnumber(K400)), 1, 0) + IF(and(ISNUMBER(L400), isnumber(M400)), 1, 0) + IF(and(ISNUMBER(N400), isnumber(O400)), 1, 0)</f>
      </c>
      <c r="U400" s="8">
        <f>IF(and(ISNUMBER(P400), isnumber(Q400)), 1, 0) + IF(and(ISNUMBER(R400), isnumber(S400)), 1, 0)</f>
      </c>
      <c r="V400" s="13"/>
      <c r="W400" s="13"/>
      <c r="X400" s="16"/>
    </row>
    <row x14ac:dyDescent="0.25" r="401" customHeight="1" ht="15.75">
      <c r="A401" s="8">
        <v>25519</v>
      </c>
      <c r="B401" s="13" t="s">
        <v>69</v>
      </c>
      <c r="C401" s="13" t="s">
        <v>5198</v>
      </c>
      <c r="D401" s="10">
        <v>0.9541</v>
      </c>
      <c r="E401" s="11">
        <v>71.2</v>
      </c>
      <c r="F401" s="10">
        <v>0.6684</v>
      </c>
      <c r="G401" s="11">
        <v>289.16</v>
      </c>
      <c r="H401" s="10">
        <v>0.6036</v>
      </c>
      <c r="I401" s="11">
        <v>291.87</v>
      </c>
      <c r="J401" s="10">
        <v>0.65</v>
      </c>
      <c r="K401" s="11">
        <v>158.99</v>
      </c>
      <c r="L401" s="10">
        <v>0.5811</v>
      </c>
      <c r="M401" s="11">
        <v>265.55</v>
      </c>
      <c r="N401" s="10">
        <v>0.0135</v>
      </c>
      <c r="O401" s="11" t="s">
        <v>7127</v>
      </c>
      <c r="P401" s="10">
        <v>0.9541</v>
      </c>
      <c r="Q401" s="10">
        <v>0.1406</v>
      </c>
      <c r="R401" s="10">
        <v>0.65</v>
      </c>
      <c r="S401" s="10">
        <v>0.1948</v>
      </c>
      <c r="T401" s="8">
        <f>IF(and(ISNUMBER(D401), isnumber(E401)), 1, 0) + IF(and(ISNUMBER(F401), isnumber(G401)), 1, 0) + IF(and(ISNUMBER(H401), isnumber(I401)), 1, 0) + IF(and(ISNUMBER(J401), isnumber(K401)), 1, 0) + IF(and(ISNUMBER(L401), isnumber(M401)), 1, 0) + IF(and(ISNUMBER(N401), isnumber(O401)), 1, 0)</f>
      </c>
      <c r="U401" s="8">
        <f>IF(and(ISNUMBER(P401), isnumber(Q401)), 1, 0) + IF(and(ISNUMBER(R401), isnumber(S401)), 1, 0)</f>
      </c>
      <c r="V401" s="13"/>
      <c r="W401" s="13"/>
      <c r="X401" s="16"/>
    </row>
    <row x14ac:dyDescent="0.25" r="402" customHeight="1" ht="15.75">
      <c r="A402" s="8">
        <v>25520</v>
      </c>
      <c r="B402" s="13" t="s">
        <v>69</v>
      </c>
      <c r="C402" s="13" t="s">
        <v>5201</v>
      </c>
      <c r="D402" s="10">
        <v>0.4762</v>
      </c>
      <c r="E402" s="11">
        <v>133.33</v>
      </c>
      <c r="F402" s="10">
        <v>0.381</v>
      </c>
      <c r="G402" s="11">
        <v>280</v>
      </c>
      <c r="H402" s="10">
        <v>0.2143</v>
      </c>
      <c r="I402" s="11">
        <v>333.33</v>
      </c>
      <c r="J402" s="10">
        <v>0.4857</v>
      </c>
      <c r="K402" s="11">
        <v>152.94</v>
      </c>
      <c r="L402" s="10">
        <v>0.0893</v>
      </c>
      <c r="M402" s="11">
        <v>40</v>
      </c>
      <c r="N402" s="10">
        <v>0.3571</v>
      </c>
      <c r="O402" s="11">
        <v>372</v>
      </c>
      <c r="P402" s="10">
        <v>0.4762</v>
      </c>
      <c r="Q402" s="10">
        <v>0.1938</v>
      </c>
      <c r="R402" s="10">
        <v>0.4857</v>
      </c>
      <c r="S402" s="10">
        <v>0.1927</v>
      </c>
      <c r="T402" s="8">
        <f>IF(and(ISNUMBER(D402), isnumber(E402)), 1, 0) + IF(and(ISNUMBER(F402), isnumber(G402)), 1, 0) + IF(and(ISNUMBER(H402), isnumber(I402)), 1, 0) + IF(and(ISNUMBER(J402), isnumber(K402)), 1, 0) + IF(and(ISNUMBER(L402), isnumber(M402)), 1, 0) + IF(and(ISNUMBER(N402), isnumber(O402)), 1, 0)</f>
      </c>
      <c r="U402" s="8">
        <f>IF(and(ISNUMBER(P402), isnumber(Q402)), 1, 0) + IF(and(ISNUMBER(R402), isnumber(S402)), 1, 0)</f>
      </c>
      <c r="V402" s="13"/>
      <c r="W402" s="13"/>
      <c r="X402" s="16"/>
    </row>
    <row x14ac:dyDescent="0.25" r="403" customHeight="1" ht="15.75">
      <c r="A403" s="8">
        <v>25521</v>
      </c>
      <c r="B403" s="13" t="s">
        <v>69</v>
      </c>
      <c r="C403" s="13" t="s">
        <v>5205</v>
      </c>
      <c r="D403" s="10">
        <v>0.4907</v>
      </c>
      <c r="E403" s="11">
        <v>157.14</v>
      </c>
      <c r="F403" s="10">
        <v>0.9342</v>
      </c>
      <c r="G403" s="11">
        <v>205.46</v>
      </c>
      <c r="H403" s="10">
        <v>0.9815</v>
      </c>
      <c r="I403" s="11">
        <v>219.58</v>
      </c>
      <c r="J403" s="10">
        <v>0.6712</v>
      </c>
      <c r="K403" s="11">
        <v>272.76</v>
      </c>
      <c r="L403" s="10">
        <v>0.5076</v>
      </c>
      <c r="M403" s="11">
        <v>321.08</v>
      </c>
      <c r="N403" s="10">
        <v>0.4722</v>
      </c>
      <c r="O403" s="11">
        <v>277.39</v>
      </c>
      <c r="P403" s="10">
        <v>0.4907</v>
      </c>
      <c r="Q403" s="10">
        <v>0.1611</v>
      </c>
      <c r="R403" s="10">
        <v>0.6712</v>
      </c>
      <c r="S403" s="10">
        <v>0.2032</v>
      </c>
      <c r="T403" s="8">
        <f>IF(and(ISNUMBER(D403), isnumber(E403)), 1, 0) + IF(and(ISNUMBER(F403), isnumber(G403)), 1, 0) + IF(and(ISNUMBER(H403), isnumber(I403)), 1, 0) + IF(and(ISNUMBER(J403), isnumber(K403)), 1, 0) + IF(and(ISNUMBER(L403), isnumber(M403)), 1, 0) + IF(and(ISNUMBER(N403), isnumber(O403)), 1, 0)</f>
      </c>
      <c r="U403" s="8">
        <f>IF(and(ISNUMBER(P403), isnumber(Q403)), 1, 0) + IF(and(ISNUMBER(R403), isnumber(S403)), 1, 0)</f>
      </c>
      <c r="V403" s="13"/>
      <c r="W403" s="13"/>
      <c r="X403" s="16"/>
    </row>
    <row x14ac:dyDescent="0.25" r="404" customHeight="1" ht="15.75">
      <c r="A404" s="8">
        <v>25522</v>
      </c>
      <c r="B404" s="13" t="s">
        <v>69</v>
      </c>
      <c r="C404" s="13" t="s">
        <v>5208</v>
      </c>
      <c r="D404" s="10">
        <v>0.6506</v>
      </c>
      <c r="E404" s="11">
        <v>117.35</v>
      </c>
      <c r="F404" s="10">
        <v>0.4337</v>
      </c>
      <c r="G404" s="11">
        <v>330</v>
      </c>
      <c r="H404" s="10">
        <v>0.2396</v>
      </c>
      <c r="I404" s="11">
        <v>389.56</v>
      </c>
      <c r="J404" s="10">
        <v>0.4091</v>
      </c>
      <c r="K404" s="11">
        <v>107.69</v>
      </c>
      <c r="L404" s="10">
        <v>0.3125</v>
      </c>
      <c r="M404" s="11">
        <v>278.67</v>
      </c>
      <c r="N404" s="10">
        <v>0.2396</v>
      </c>
      <c r="O404" s="11">
        <v>321.74</v>
      </c>
      <c r="P404" s="10">
        <v>0.6506</v>
      </c>
      <c r="Q404" s="10">
        <v>0.2191</v>
      </c>
      <c r="R404" s="10">
        <v>0.4091</v>
      </c>
      <c r="S404" s="10">
        <v>0.1765</v>
      </c>
      <c r="T404" s="8">
        <f>IF(and(ISNUMBER(D404), isnumber(E404)), 1, 0) + IF(and(ISNUMBER(F404), isnumber(G404)), 1, 0) + IF(and(ISNUMBER(H404), isnumber(I404)), 1, 0) + IF(and(ISNUMBER(J404), isnumber(K404)), 1, 0) + IF(and(ISNUMBER(L404), isnumber(M404)), 1, 0) + IF(and(ISNUMBER(N404), isnumber(O404)), 1, 0)</f>
      </c>
      <c r="U404" s="8">
        <f>IF(and(ISNUMBER(P404), isnumber(Q404)), 1, 0) + IF(and(ISNUMBER(R404), isnumber(S404)), 1, 0)</f>
      </c>
      <c r="V404" s="13"/>
      <c r="W404" s="13"/>
      <c r="X404" s="16"/>
    </row>
    <row x14ac:dyDescent="0.25" r="405" customHeight="1" ht="15.75">
      <c r="A405" s="8">
        <v>25523</v>
      </c>
      <c r="B405" s="13" t="s">
        <v>69</v>
      </c>
      <c r="C405" s="13" t="s">
        <v>6328</v>
      </c>
      <c r="D405" s="10">
        <v>0.413</v>
      </c>
      <c r="E405" s="11">
        <v>56.14</v>
      </c>
      <c r="F405" s="10">
        <v>0.2609</v>
      </c>
      <c r="G405" s="11">
        <v>503.34</v>
      </c>
      <c r="H405" s="10">
        <v>0.1538</v>
      </c>
      <c r="I405" s="11">
        <v>360</v>
      </c>
      <c r="J405" s="10">
        <v>0</v>
      </c>
      <c r="K405" s="11" t="s">
        <v>7127</v>
      </c>
      <c r="L405" s="10">
        <v>0.2462</v>
      </c>
      <c r="M405" s="11">
        <v>397.5</v>
      </c>
      <c r="N405" s="10">
        <v>0.3692</v>
      </c>
      <c r="O405" s="11">
        <v>336.67</v>
      </c>
      <c r="P405" s="10">
        <v>0.413</v>
      </c>
      <c r="Q405" s="10">
        <v>0.1966</v>
      </c>
      <c r="R405" s="10">
        <v>0</v>
      </c>
      <c r="S405" s="10" t="s">
        <v>7127</v>
      </c>
      <c r="T405" s="8">
        <f>IF(and(ISNUMBER(D405), isnumber(E405)), 1, 0) + IF(and(ISNUMBER(F405), isnumber(G405)), 1, 0) + IF(and(ISNUMBER(H405), isnumber(I405)), 1, 0) + IF(and(ISNUMBER(J405), isnumber(K405)), 1, 0) + IF(and(ISNUMBER(L405), isnumber(M405)), 1, 0) + IF(and(ISNUMBER(N405), isnumber(O405)), 1, 0)</f>
      </c>
      <c r="U405" s="8">
        <f>IF(and(ISNUMBER(P405), isnumber(Q405)), 1, 0) + IF(and(ISNUMBER(R405), isnumber(S405)), 1, 0)</f>
      </c>
      <c r="V405" s="13"/>
      <c r="W405" s="13"/>
      <c r="X405" s="16"/>
    </row>
    <row x14ac:dyDescent="0.25" r="406" customHeight="1" ht="15.75">
      <c r="A406" s="8">
        <v>25524</v>
      </c>
      <c r="B406" s="13" t="s">
        <v>69</v>
      </c>
      <c r="C406" s="13" t="s">
        <v>5210</v>
      </c>
      <c r="D406" s="10">
        <v>0.9467</v>
      </c>
      <c r="E406" s="11">
        <v>168.07</v>
      </c>
      <c r="F406" s="10">
        <v>0.98</v>
      </c>
      <c r="G406" s="11">
        <v>234.88</v>
      </c>
      <c r="H406" s="10">
        <v>0.3733</v>
      </c>
      <c r="I406" s="11">
        <v>390.13</v>
      </c>
      <c r="J406" s="10">
        <v>0.7304</v>
      </c>
      <c r="K406" s="11">
        <v>291.5</v>
      </c>
      <c r="L406" s="10">
        <v>0.3226</v>
      </c>
      <c r="M406" s="11" t="s">
        <v>7127</v>
      </c>
      <c r="N406" s="10">
        <v>0.3641</v>
      </c>
      <c r="O406" s="11">
        <v>374.68</v>
      </c>
      <c r="P406" s="10">
        <v>0.9467</v>
      </c>
      <c r="Q406" s="10">
        <v>0.1713</v>
      </c>
      <c r="R406" s="10">
        <v>0.7304</v>
      </c>
      <c r="S406" s="10">
        <v>0.2044</v>
      </c>
      <c r="T406" s="8">
        <f>IF(and(ISNUMBER(D406), isnumber(E406)), 1, 0) + IF(and(ISNUMBER(F406), isnumber(G406)), 1, 0) + IF(and(ISNUMBER(H406), isnumber(I406)), 1, 0) + IF(and(ISNUMBER(J406), isnumber(K406)), 1, 0) + IF(and(ISNUMBER(L406), isnumber(M406)), 1, 0) + IF(and(ISNUMBER(N406), isnumber(O406)), 1, 0)</f>
      </c>
      <c r="U406" s="8">
        <f>IF(and(ISNUMBER(P406), isnumber(Q406)), 1, 0) + IF(and(ISNUMBER(R406), isnumber(S406)), 1, 0)</f>
      </c>
      <c r="V406" s="13"/>
      <c r="W406" s="13"/>
      <c r="X406" s="16"/>
    </row>
    <row x14ac:dyDescent="0.25" r="407" customHeight="1" ht="15.75">
      <c r="A407" s="8">
        <v>25525</v>
      </c>
      <c r="B407" s="13" t="s">
        <v>69</v>
      </c>
      <c r="C407" s="13" t="s">
        <v>5212</v>
      </c>
      <c r="D407" s="10">
        <v>0.732</v>
      </c>
      <c r="E407" s="11">
        <v>208.45</v>
      </c>
      <c r="F407" s="10">
        <v>0.701</v>
      </c>
      <c r="G407" s="11">
        <v>358.79</v>
      </c>
      <c r="H407" s="10">
        <v>0.5876</v>
      </c>
      <c r="I407" s="11">
        <v>350</v>
      </c>
      <c r="J407" s="10">
        <v>0.6392</v>
      </c>
      <c r="K407" s="11">
        <v>276.23</v>
      </c>
      <c r="L407" s="10">
        <v>0.5361</v>
      </c>
      <c r="M407" s="11">
        <v>367.69</v>
      </c>
      <c r="N407" s="10">
        <v>0.5567</v>
      </c>
      <c r="O407" s="11">
        <v>390.19</v>
      </c>
      <c r="P407" s="10">
        <v>0.732</v>
      </c>
      <c r="Q407" s="10">
        <v>0.2135</v>
      </c>
      <c r="R407" s="10">
        <v>0.6392</v>
      </c>
      <c r="S407" s="10">
        <v>0.1938</v>
      </c>
      <c r="T407" s="8">
        <f>IF(and(ISNUMBER(D407), isnumber(E407)), 1, 0) + IF(and(ISNUMBER(F407), isnumber(G407)), 1, 0) + IF(and(ISNUMBER(H407), isnumber(I407)), 1, 0) + IF(and(ISNUMBER(J407), isnumber(K407)), 1, 0) + IF(and(ISNUMBER(L407), isnumber(M407)), 1, 0) + IF(and(ISNUMBER(N407), isnumber(O407)), 1, 0)</f>
      </c>
      <c r="U407" s="8">
        <f>IF(and(ISNUMBER(P407), isnumber(Q407)), 1, 0) + IF(and(ISNUMBER(R407), isnumber(S407)), 1, 0)</f>
      </c>
      <c r="V407" s="13"/>
      <c r="W407" s="13"/>
      <c r="X407" s="16"/>
    </row>
    <row x14ac:dyDescent="0.25" r="408" customHeight="1" ht="15.75">
      <c r="A408" s="8">
        <v>25526</v>
      </c>
      <c r="B408" s="13" t="s">
        <v>69</v>
      </c>
      <c r="C408" s="13" t="s">
        <v>5216</v>
      </c>
      <c r="D408" s="10">
        <v>0.2963</v>
      </c>
      <c r="E408" s="11" t="s">
        <v>7127</v>
      </c>
      <c r="F408" s="10">
        <v>0.037</v>
      </c>
      <c r="G408" s="11">
        <v>160</v>
      </c>
      <c r="H408" s="10">
        <v>0.1</v>
      </c>
      <c r="I408" s="11">
        <v>313.33</v>
      </c>
      <c r="J408" s="10">
        <v>0.6667</v>
      </c>
      <c r="K408" s="11">
        <v>300</v>
      </c>
      <c r="L408" s="10">
        <v>0.2167</v>
      </c>
      <c r="M408" s="11">
        <v>289.23</v>
      </c>
      <c r="N408" s="10">
        <v>0.2333</v>
      </c>
      <c r="O408" s="11">
        <v>342.86</v>
      </c>
      <c r="P408" s="10">
        <v>0.2963</v>
      </c>
      <c r="Q408" s="10">
        <v>0.2015</v>
      </c>
      <c r="R408" s="10">
        <v>0.6667</v>
      </c>
      <c r="S408" s="10">
        <v>0.1885</v>
      </c>
      <c r="T408" s="8">
        <f>IF(and(ISNUMBER(D408), isnumber(E408)), 1, 0) + IF(and(ISNUMBER(F408), isnumber(G408)), 1, 0) + IF(and(ISNUMBER(H408), isnumber(I408)), 1, 0) + IF(and(ISNUMBER(J408), isnumber(K408)), 1, 0) + IF(and(ISNUMBER(L408), isnumber(M408)), 1, 0) + IF(and(ISNUMBER(N408), isnumber(O408)), 1, 0)</f>
      </c>
      <c r="U408" s="8">
        <f>IF(and(ISNUMBER(P408), isnumber(Q408)), 1, 0) + IF(and(ISNUMBER(R408), isnumber(S408)), 1, 0)</f>
      </c>
      <c r="V408" s="13"/>
      <c r="W408" s="13"/>
      <c r="X408" s="16"/>
    </row>
    <row x14ac:dyDescent="0.25" r="409" customHeight="1" ht="15.75">
      <c r="A409" s="8">
        <v>25527</v>
      </c>
      <c r="B409" s="13" t="s">
        <v>69</v>
      </c>
      <c r="C409" s="13" t="s">
        <v>5217</v>
      </c>
      <c r="D409" s="10">
        <v>0.4444</v>
      </c>
      <c r="E409" s="11">
        <v>0</v>
      </c>
      <c r="F409" s="10">
        <v>0</v>
      </c>
      <c r="G409" s="11" t="s">
        <v>7127</v>
      </c>
      <c r="H409" s="10">
        <v>0.1364</v>
      </c>
      <c r="I409" s="11">
        <v>173.33</v>
      </c>
      <c r="J409" s="10">
        <v>0.25</v>
      </c>
      <c r="K409" s="11">
        <v>320</v>
      </c>
      <c r="L409" s="10">
        <v>0.0909</v>
      </c>
      <c r="M409" s="11">
        <v>380</v>
      </c>
      <c r="N409" s="10">
        <v>0.3182</v>
      </c>
      <c r="O409" s="11">
        <v>337.14</v>
      </c>
      <c r="P409" s="10">
        <v>0.4444</v>
      </c>
      <c r="Q409" s="10">
        <v>0.24</v>
      </c>
      <c r="R409" s="10">
        <v>0.25</v>
      </c>
      <c r="S409" s="10">
        <v>0.1778</v>
      </c>
      <c r="T409" s="8">
        <f>IF(and(ISNUMBER(D409), isnumber(E409)), 1, 0) + IF(and(ISNUMBER(F409), isnumber(G409)), 1, 0) + IF(and(ISNUMBER(H409), isnumber(I409)), 1, 0) + IF(and(ISNUMBER(J409), isnumber(K409)), 1, 0) + IF(and(ISNUMBER(L409), isnumber(M409)), 1, 0) + IF(and(ISNUMBER(N409), isnumber(O409)), 1, 0)</f>
      </c>
      <c r="U409" s="8">
        <f>IF(and(ISNUMBER(P409), isnumber(Q409)), 1, 0) + IF(and(ISNUMBER(R409), isnumber(S409)), 1, 0)</f>
      </c>
      <c r="V409" s="13"/>
      <c r="W409" s="13"/>
      <c r="X409" s="16"/>
    </row>
    <row x14ac:dyDescent="0.25" r="410" customHeight="1" ht="15.75">
      <c r="A410" s="8">
        <v>25528</v>
      </c>
      <c r="B410" s="13" t="s">
        <v>69</v>
      </c>
      <c r="C410" s="13" t="s">
        <v>5218</v>
      </c>
      <c r="D410" s="10">
        <v>0.9804</v>
      </c>
      <c r="E410" s="11">
        <v>197.6</v>
      </c>
      <c r="F410" s="10">
        <v>0.6961</v>
      </c>
      <c r="G410" s="11">
        <v>347.83</v>
      </c>
      <c r="H410" s="10">
        <v>0.6373</v>
      </c>
      <c r="I410" s="11">
        <v>386.14</v>
      </c>
      <c r="J410" s="10">
        <v>0.701</v>
      </c>
      <c r="K410" s="11">
        <v>307.63</v>
      </c>
      <c r="L410" s="10">
        <v>0.652</v>
      </c>
      <c r="M410" s="11">
        <v>427.79</v>
      </c>
      <c r="N410" s="10">
        <v>0.6618</v>
      </c>
      <c r="O410" s="11">
        <v>464</v>
      </c>
      <c r="P410" s="10">
        <v>0.9804</v>
      </c>
      <c r="Q410" s="10">
        <v>0.1736</v>
      </c>
      <c r="R410" s="10">
        <v>0.701</v>
      </c>
      <c r="S410" s="10">
        <v>0.2098</v>
      </c>
      <c r="T410" s="8">
        <f>IF(and(ISNUMBER(D410), isnumber(E410)), 1, 0) + IF(and(ISNUMBER(F410), isnumber(G410)), 1, 0) + IF(and(ISNUMBER(H410), isnumber(I410)), 1, 0) + IF(and(ISNUMBER(J410), isnumber(K410)), 1, 0) + IF(and(ISNUMBER(L410), isnumber(M410)), 1, 0) + IF(and(ISNUMBER(N410), isnumber(O410)), 1, 0)</f>
      </c>
      <c r="U410" s="8">
        <f>IF(and(ISNUMBER(P410), isnumber(Q410)), 1, 0) + IF(and(ISNUMBER(R410), isnumber(S410)), 1, 0)</f>
      </c>
      <c r="V410" s="13"/>
      <c r="W410" s="13"/>
      <c r="X410" s="16"/>
    </row>
    <row x14ac:dyDescent="0.25" r="411" customHeight="1" ht="15.75">
      <c r="A411" s="8">
        <v>25529</v>
      </c>
      <c r="B411" s="13" t="s">
        <v>69</v>
      </c>
      <c r="C411" s="13" t="s">
        <v>5221</v>
      </c>
      <c r="D411" s="10">
        <v>0.7647</v>
      </c>
      <c r="E411" s="11">
        <v>153.84</v>
      </c>
      <c r="F411" s="10">
        <v>0.7647</v>
      </c>
      <c r="G411" s="11">
        <v>373.37</v>
      </c>
      <c r="H411" s="10">
        <v>0.4719</v>
      </c>
      <c r="I411" s="11">
        <v>395.13</v>
      </c>
      <c r="J411" s="10">
        <v>0.7432</v>
      </c>
      <c r="K411" s="11">
        <v>354.4</v>
      </c>
      <c r="L411" s="10">
        <v>0.4944</v>
      </c>
      <c r="M411" s="11">
        <v>371.82</v>
      </c>
      <c r="N411" s="10">
        <v>0.573</v>
      </c>
      <c r="O411" s="11">
        <v>406.27</v>
      </c>
      <c r="P411" s="10">
        <v>0.7647</v>
      </c>
      <c r="Q411" s="10">
        <v>0.2178</v>
      </c>
      <c r="R411" s="10">
        <v>0.7432</v>
      </c>
      <c r="S411" s="10">
        <v>0.2107</v>
      </c>
      <c r="T411" s="8">
        <f>IF(and(ISNUMBER(D411), isnumber(E411)), 1, 0) + IF(and(ISNUMBER(F411), isnumber(G411)), 1, 0) + IF(and(ISNUMBER(H411), isnumber(I411)), 1, 0) + IF(and(ISNUMBER(J411), isnumber(K411)), 1, 0) + IF(and(ISNUMBER(L411), isnumber(M411)), 1, 0) + IF(and(ISNUMBER(N411), isnumber(O411)), 1, 0)</f>
      </c>
      <c r="U411" s="8">
        <f>IF(and(ISNUMBER(P411), isnumber(Q411)), 1, 0) + IF(and(ISNUMBER(R411), isnumber(S411)), 1, 0)</f>
      </c>
      <c r="V411" s="13"/>
      <c r="W411" s="13"/>
      <c r="X411" s="16"/>
    </row>
    <row x14ac:dyDescent="0.25" r="412" customHeight="1" ht="15.75">
      <c r="A412" s="8">
        <v>25530</v>
      </c>
      <c r="B412" s="13" t="s">
        <v>69</v>
      </c>
      <c r="C412" s="13" t="s">
        <v>5223</v>
      </c>
      <c r="D412" s="10">
        <v>0.811</v>
      </c>
      <c r="E412" s="11">
        <v>278.03</v>
      </c>
      <c r="F412" s="10">
        <v>0.6929</v>
      </c>
      <c r="G412" s="11">
        <v>354.55</v>
      </c>
      <c r="H412" s="10">
        <v>0.6573</v>
      </c>
      <c r="I412" s="11">
        <v>452.45</v>
      </c>
      <c r="J412" s="10">
        <v>0.7323</v>
      </c>
      <c r="K412" s="11">
        <v>417.66</v>
      </c>
      <c r="L412" s="10">
        <v>0.6713</v>
      </c>
      <c r="M412" s="11">
        <v>484.17</v>
      </c>
      <c r="N412" s="10">
        <v>0.6503</v>
      </c>
      <c r="O412" s="11">
        <v>479.48</v>
      </c>
      <c r="P412" s="10">
        <v>0.811</v>
      </c>
      <c r="Q412" s="10">
        <v>0.2306</v>
      </c>
      <c r="R412" s="10">
        <v>0.7323</v>
      </c>
      <c r="S412" s="10">
        <v>0.21</v>
      </c>
      <c r="T412" s="8">
        <f>IF(and(ISNUMBER(D412), isnumber(E412)), 1, 0) + IF(and(ISNUMBER(F412), isnumber(G412)), 1, 0) + IF(and(ISNUMBER(H412), isnumber(I412)), 1, 0) + IF(and(ISNUMBER(J412), isnumber(K412)), 1, 0) + IF(and(ISNUMBER(L412), isnumber(M412)), 1, 0) + IF(and(ISNUMBER(N412), isnumber(O412)), 1, 0)</f>
      </c>
      <c r="U412" s="8">
        <f>IF(and(ISNUMBER(P412), isnumber(Q412)), 1, 0) + IF(and(ISNUMBER(R412), isnumber(S412)), 1, 0)</f>
      </c>
      <c r="V412" s="13"/>
      <c r="W412" s="13"/>
      <c r="X412" s="16"/>
    </row>
    <row x14ac:dyDescent="0.25" r="413" customHeight="1" ht="15.75">
      <c r="A413" s="8">
        <v>25531</v>
      </c>
      <c r="B413" s="13" t="s">
        <v>69</v>
      </c>
      <c r="C413" s="13" t="s">
        <v>5226</v>
      </c>
      <c r="D413" s="10">
        <v>0.5898</v>
      </c>
      <c r="E413" s="11">
        <v>222.92</v>
      </c>
      <c r="F413" s="10">
        <v>0.6</v>
      </c>
      <c r="G413" s="11">
        <v>364.52</v>
      </c>
      <c r="H413" s="10">
        <v>0.4712</v>
      </c>
      <c r="I413" s="11">
        <v>377.65</v>
      </c>
      <c r="J413" s="10">
        <v>0.6271</v>
      </c>
      <c r="K413" s="11">
        <v>297.33</v>
      </c>
      <c r="L413" s="10">
        <v>0.5593</v>
      </c>
      <c r="M413" s="11">
        <v>366.37</v>
      </c>
      <c r="N413" s="10">
        <v>0.3763</v>
      </c>
      <c r="O413" s="11">
        <v>427.17</v>
      </c>
      <c r="P413" s="10">
        <v>0.5898</v>
      </c>
      <c r="Q413" s="10">
        <v>0.2526</v>
      </c>
      <c r="R413" s="10">
        <v>0.6271</v>
      </c>
      <c r="S413" s="10">
        <v>0.1731</v>
      </c>
      <c r="T413" s="8">
        <f>IF(and(ISNUMBER(D413), isnumber(E413)), 1, 0) + IF(and(ISNUMBER(F413), isnumber(G413)), 1, 0) + IF(and(ISNUMBER(H413), isnumber(I413)), 1, 0) + IF(and(ISNUMBER(J413), isnumber(K413)), 1, 0) + IF(and(ISNUMBER(L413), isnumber(M413)), 1, 0) + IF(and(ISNUMBER(N413), isnumber(O413)), 1, 0)</f>
      </c>
      <c r="U413" s="8">
        <f>IF(and(ISNUMBER(P413), isnumber(Q413)), 1, 0) + IF(and(ISNUMBER(R413), isnumber(S413)), 1, 0)</f>
      </c>
      <c r="V413" s="13"/>
      <c r="W413" s="13"/>
      <c r="X413" s="16"/>
    </row>
    <row x14ac:dyDescent="0.25" r="414" customHeight="1" ht="15.75">
      <c r="A414" s="8">
        <v>25532</v>
      </c>
      <c r="B414" s="13" t="s">
        <v>69</v>
      </c>
      <c r="C414" s="13" t="s">
        <v>5230</v>
      </c>
      <c r="D414" s="10">
        <v>0.2373</v>
      </c>
      <c r="E414" s="11">
        <v>368.89</v>
      </c>
      <c r="F414" s="10">
        <v>0.4407</v>
      </c>
      <c r="G414" s="11">
        <v>210.77</v>
      </c>
      <c r="H414" s="10">
        <v>0.4576</v>
      </c>
      <c r="I414" s="11">
        <v>392</v>
      </c>
      <c r="J414" s="10">
        <v>0.3898</v>
      </c>
      <c r="K414" s="11">
        <v>331.76</v>
      </c>
      <c r="L414" s="10">
        <v>0.2373</v>
      </c>
      <c r="M414" s="11">
        <v>371.43</v>
      </c>
      <c r="N414" s="10">
        <v>0.6102</v>
      </c>
      <c r="O414" s="11">
        <v>450.29</v>
      </c>
      <c r="P414" s="10">
        <v>0.2373</v>
      </c>
      <c r="Q414" s="10">
        <v>0.2011</v>
      </c>
      <c r="R414" s="10">
        <v>0.3898</v>
      </c>
      <c r="S414" s="10">
        <v>0.2033</v>
      </c>
      <c r="T414" s="8">
        <f>IF(and(ISNUMBER(D414), isnumber(E414)), 1, 0) + IF(and(ISNUMBER(F414), isnumber(G414)), 1, 0) + IF(and(ISNUMBER(H414), isnumber(I414)), 1, 0) + IF(and(ISNUMBER(J414), isnumber(K414)), 1, 0) + IF(and(ISNUMBER(L414), isnumber(M414)), 1, 0) + IF(and(ISNUMBER(N414), isnumber(O414)), 1, 0)</f>
      </c>
      <c r="U414" s="8">
        <f>IF(and(ISNUMBER(P414), isnumber(Q414)), 1, 0) + IF(and(ISNUMBER(R414), isnumber(S414)), 1, 0)</f>
      </c>
      <c r="V414" s="13"/>
      <c r="W414" s="13"/>
      <c r="X414" s="16"/>
    </row>
    <row x14ac:dyDescent="0.25" r="415" customHeight="1" ht="15.75">
      <c r="A415" s="8">
        <v>25536</v>
      </c>
      <c r="B415" s="13" t="s">
        <v>69</v>
      </c>
      <c r="C415" s="13" t="s">
        <v>5232</v>
      </c>
      <c r="D415" s="10">
        <v>0.5065</v>
      </c>
      <c r="E415" s="11">
        <v>192.58</v>
      </c>
      <c r="F415" s="10">
        <v>0.4199</v>
      </c>
      <c r="G415" s="11" t="s">
        <v>7127</v>
      </c>
      <c r="H415" s="10">
        <v>0.4615</v>
      </c>
      <c r="I415" s="11">
        <v>369.3</v>
      </c>
      <c r="J415" s="10">
        <v>0.6375</v>
      </c>
      <c r="K415" s="11">
        <v>222.91</v>
      </c>
      <c r="L415" s="10">
        <v>0.4271</v>
      </c>
      <c r="M415" s="11" t="s">
        <v>7127</v>
      </c>
      <c r="N415" s="10">
        <v>0.3563</v>
      </c>
      <c r="O415" s="11" t="s">
        <v>7127</v>
      </c>
      <c r="P415" s="10">
        <v>0.5065</v>
      </c>
      <c r="Q415" s="10">
        <v>0.2298</v>
      </c>
      <c r="R415" s="10">
        <v>0.6375</v>
      </c>
      <c r="S415" s="10">
        <v>0.1991</v>
      </c>
      <c r="T415" s="8">
        <f>IF(and(ISNUMBER(D415), isnumber(E415)), 1, 0) + IF(and(ISNUMBER(F415), isnumber(G415)), 1, 0) + IF(and(ISNUMBER(H415), isnumber(I415)), 1, 0) + IF(and(ISNUMBER(J415), isnumber(K415)), 1, 0) + IF(and(ISNUMBER(L415), isnumber(M415)), 1, 0) + IF(and(ISNUMBER(N415), isnumber(O415)), 1, 0)</f>
      </c>
      <c r="U415" s="8">
        <f>IF(and(ISNUMBER(P415), isnumber(Q415)), 1, 0) + IF(and(ISNUMBER(R415), isnumber(S415)), 1, 0)</f>
      </c>
      <c r="V415" s="13"/>
      <c r="W415" s="13"/>
      <c r="X415" s="16"/>
    </row>
    <row x14ac:dyDescent="0.25" r="416" customHeight="1" ht="15.75">
      <c r="A416" s="8">
        <v>25537</v>
      </c>
      <c r="B416" s="13" t="s">
        <v>69</v>
      </c>
      <c r="C416" s="13" t="s">
        <v>5235</v>
      </c>
      <c r="D416" s="10">
        <v>0.2286</v>
      </c>
      <c r="E416" s="11">
        <v>175.11</v>
      </c>
      <c r="F416" s="10">
        <v>0.5667</v>
      </c>
      <c r="G416" s="11">
        <v>277.17</v>
      </c>
      <c r="H416" s="10">
        <v>0.2333</v>
      </c>
      <c r="I416" s="11">
        <v>338.6</v>
      </c>
      <c r="J416" s="10">
        <v>0.4571</v>
      </c>
      <c r="K416" s="11">
        <v>254.69</v>
      </c>
      <c r="L416" s="10">
        <v>0.3381</v>
      </c>
      <c r="M416" s="11">
        <v>254.93</v>
      </c>
      <c r="N416" s="10">
        <v>0.3857</v>
      </c>
      <c r="O416" s="11">
        <v>270.3</v>
      </c>
      <c r="P416" s="10">
        <v>0.2286</v>
      </c>
      <c r="Q416" s="10">
        <v>0.2072</v>
      </c>
      <c r="R416" s="10">
        <v>0.4571</v>
      </c>
      <c r="S416" s="10">
        <v>0.1954</v>
      </c>
      <c r="T416" s="8">
        <f>IF(and(ISNUMBER(D416), isnumber(E416)), 1, 0) + IF(and(ISNUMBER(F416), isnumber(G416)), 1, 0) + IF(and(ISNUMBER(H416), isnumber(I416)), 1, 0) + IF(and(ISNUMBER(J416), isnumber(K416)), 1, 0) + IF(and(ISNUMBER(L416), isnumber(M416)), 1, 0) + IF(and(ISNUMBER(N416), isnumber(O416)), 1, 0)</f>
      </c>
      <c r="U416" s="8">
        <f>IF(and(ISNUMBER(P416), isnumber(Q416)), 1, 0) + IF(and(ISNUMBER(R416), isnumber(S416)), 1, 0)</f>
      </c>
      <c r="V416" s="13"/>
      <c r="W416" s="13"/>
      <c r="X416" s="16"/>
    </row>
    <row x14ac:dyDescent="0.25" r="417" customHeight="1" ht="15.75">
      <c r="A417" s="8">
        <v>25538</v>
      </c>
      <c r="B417" s="13" t="s">
        <v>69</v>
      </c>
      <c r="C417" s="13" t="s">
        <v>5239</v>
      </c>
      <c r="D417" s="10">
        <v>0.88</v>
      </c>
      <c r="E417" s="11">
        <v>163.64</v>
      </c>
      <c r="F417" s="10">
        <v>0.8</v>
      </c>
      <c r="G417" s="11">
        <v>374</v>
      </c>
      <c r="H417" s="10">
        <v>0.5745</v>
      </c>
      <c r="I417" s="11">
        <v>368.89</v>
      </c>
      <c r="J417" s="10">
        <v>0.775</v>
      </c>
      <c r="K417" s="11">
        <v>335.73</v>
      </c>
      <c r="L417" s="10">
        <v>0.5319</v>
      </c>
      <c r="M417" s="11">
        <v>360.85</v>
      </c>
      <c r="N417" s="10">
        <v>0.6809</v>
      </c>
      <c r="O417" s="11">
        <v>385.25</v>
      </c>
      <c r="P417" s="10">
        <v>0.88</v>
      </c>
      <c r="Q417" s="10">
        <v>0.2207</v>
      </c>
      <c r="R417" s="10">
        <v>0.775</v>
      </c>
      <c r="S417" s="10">
        <v>0.1933</v>
      </c>
      <c r="T417" s="8">
        <f>IF(and(ISNUMBER(D417), isnumber(E417)), 1, 0) + IF(and(ISNUMBER(F417), isnumber(G417)), 1, 0) + IF(and(ISNUMBER(H417), isnumber(I417)), 1, 0) + IF(and(ISNUMBER(J417), isnumber(K417)), 1, 0) + IF(and(ISNUMBER(L417), isnumber(M417)), 1, 0) + IF(and(ISNUMBER(N417), isnumber(O417)), 1, 0)</f>
      </c>
      <c r="U417" s="8">
        <f>IF(and(ISNUMBER(P417), isnumber(Q417)), 1, 0) + IF(and(ISNUMBER(R417), isnumber(S417)), 1, 0)</f>
      </c>
      <c r="V417" s="13"/>
      <c r="W417" s="13"/>
      <c r="X417" s="16"/>
    </row>
    <row x14ac:dyDescent="0.25" r="418" customHeight="1" ht="15.75">
      <c r="A418" s="8">
        <v>25539</v>
      </c>
      <c r="B418" s="13" t="s">
        <v>69</v>
      </c>
      <c r="C418" s="13" t="s">
        <v>5242</v>
      </c>
      <c r="D418" s="10">
        <v>0.6202</v>
      </c>
      <c r="E418" s="11">
        <v>232.59</v>
      </c>
      <c r="F418" s="10">
        <v>0.5736</v>
      </c>
      <c r="G418" s="11">
        <v>351.82</v>
      </c>
      <c r="H418" s="10">
        <v>0.3975</v>
      </c>
      <c r="I418" s="11">
        <v>391.49</v>
      </c>
      <c r="J418" s="10">
        <v>0.6245</v>
      </c>
      <c r="K418" s="11">
        <v>283.72</v>
      </c>
      <c r="L418" s="10">
        <v>0.489</v>
      </c>
      <c r="M418" s="11">
        <v>380.45</v>
      </c>
      <c r="N418" s="10">
        <v>0.4543</v>
      </c>
      <c r="O418" s="11">
        <v>387.34</v>
      </c>
      <c r="P418" s="10">
        <v>0.6202</v>
      </c>
      <c r="Q418" s="10">
        <v>0.2344</v>
      </c>
      <c r="R418" s="10">
        <v>0.6245</v>
      </c>
      <c r="S418" s="10">
        <v>0.204</v>
      </c>
      <c r="T418" s="8">
        <f>IF(and(ISNUMBER(D418), isnumber(E418)), 1, 0) + IF(and(ISNUMBER(F418), isnumber(G418)), 1, 0) + IF(and(ISNUMBER(H418), isnumber(I418)), 1, 0) + IF(and(ISNUMBER(J418), isnumber(K418)), 1, 0) + IF(and(ISNUMBER(L418), isnumber(M418)), 1, 0) + IF(and(ISNUMBER(N418), isnumber(O418)), 1, 0)</f>
      </c>
      <c r="U418" s="8">
        <f>IF(and(ISNUMBER(P418), isnumber(Q418)), 1, 0) + IF(and(ISNUMBER(R418), isnumber(S418)), 1, 0)</f>
      </c>
      <c r="V418" s="13"/>
      <c r="W418" s="13"/>
      <c r="X418" s="16"/>
    </row>
    <row x14ac:dyDescent="0.25" r="419" customHeight="1" ht="15.75">
      <c r="A419" s="8">
        <v>25540</v>
      </c>
      <c r="B419" s="13" t="s">
        <v>69</v>
      </c>
      <c r="C419" s="13" t="s">
        <v>5245</v>
      </c>
      <c r="D419" s="10">
        <v>0.6519</v>
      </c>
      <c r="E419" s="11">
        <v>166.26</v>
      </c>
      <c r="F419" s="10">
        <v>0.9389</v>
      </c>
      <c r="G419" s="11">
        <v>153.1</v>
      </c>
      <c r="H419" s="10">
        <v>0.8697</v>
      </c>
      <c r="I419" s="11">
        <v>143.83</v>
      </c>
      <c r="J419" s="10">
        <v>0.9951</v>
      </c>
      <c r="K419" s="11">
        <v>150.76</v>
      </c>
      <c r="L419" s="10">
        <v>0.8526</v>
      </c>
      <c r="M419" s="11">
        <v>153.16</v>
      </c>
      <c r="N419" s="10">
        <v>0.9487</v>
      </c>
      <c r="O419" s="11">
        <v>137.33</v>
      </c>
      <c r="P419" s="10">
        <v>0.6519</v>
      </c>
      <c r="Q419" s="10">
        <v>0.2037</v>
      </c>
      <c r="R419" s="10">
        <v>0.9951</v>
      </c>
      <c r="S419" s="10">
        <v>0.1028</v>
      </c>
      <c r="T419" s="8">
        <f>IF(and(ISNUMBER(D419), isnumber(E419)), 1, 0) + IF(and(ISNUMBER(F419), isnumber(G419)), 1, 0) + IF(and(ISNUMBER(H419), isnumber(I419)), 1, 0) + IF(and(ISNUMBER(J419), isnumber(K419)), 1, 0) + IF(and(ISNUMBER(L419), isnumber(M419)), 1, 0) + IF(and(ISNUMBER(N419), isnumber(O419)), 1, 0)</f>
      </c>
      <c r="U419" s="8">
        <f>IF(and(ISNUMBER(P419), isnumber(Q419)), 1, 0) + IF(and(ISNUMBER(R419), isnumber(S419)), 1, 0)</f>
      </c>
      <c r="V419" s="13"/>
      <c r="W419" s="13"/>
      <c r="X419" s="16"/>
    </row>
    <row x14ac:dyDescent="0.25" r="420" customHeight="1" ht="15.75">
      <c r="A420" s="8">
        <v>25541</v>
      </c>
      <c r="B420" s="13" t="s">
        <v>69</v>
      </c>
      <c r="C420" s="13" t="s">
        <v>5249</v>
      </c>
      <c r="D420" s="10">
        <v>0.7232</v>
      </c>
      <c r="E420" s="11">
        <v>160.46</v>
      </c>
      <c r="F420" s="10">
        <v>0.5669</v>
      </c>
      <c r="G420" s="11">
        <v>351.54</v>
      </c>
      <c r="H420" s="10">
        <v>0.7194</v>
      </c>
      <c r="I420" s="11">
        <v>415.66</v>
      </c>
      <c r="J420" s="10">
        <v>0.5725</v>
      </c>
      <c r="K420" s="11">
        <v>362.11</v>
      </c>
      <c r="L420" s="10">
        <v>0.6234</v>
      </c>
      <c r="M420" s="11">
        <v>442.67</v>
      </c>
      <c r="N420" s="10">
        <v>0.5009</v>
      </c>
      <c r="O420" s="11">
        <v>443.94</v>
      </c>
      <c r="P420" s="10">
        <v>0.7232</v>
      </c>
      <c r="Q420" s="10">
        <v>0.2234</v>
      </c>
      <c r="R420" s="10">
        <v>0.5725</v>
      </c>
      <c r="S420" s="10">
        <v>0.2054</v>
      </c>
      <c r="T420" s="8">
        <f>IF(and(ISNUMBER(D420), isnumber(E420)), 1, 0) + IF(and(ISNUMBER(F420), isnumber(G420)), 1, 0) + IF(and(ISNUMBER(H420), isnumber(I420)), 1, 0) + IF(and(ISNUMBER(J420), isnumber(K420)), 1, 0) + IF(and(ISNUMBER(L420), isnumber(M420)), 1, 0) + IF(and(ISNUMBER(N420), isnumber(O420)), 1, 0)</f>
      </c>
      <c r="U420" s="8">
        <f>IF(and(ISNUMBER(P420), isnumber(Q420)), 1, 0) + IF(and(ISNUMBER(R420), isnumber(S420)), 1, 0)</f>
      </c>
      <c r="V420" s="13"/>
      <c r="W420" s="13"/>
      <c r="X420" s="16"/>
    </row>
    <row x14ac:dyDescent="0.25" r="421" customHeight="1" ht="15.75">
      <c r="A421" s="8">
        <v>25542</v>
      </c>
      <c r="B421" s="13" t="s">
        <v>69</v>
      </c>
      <c r="C421" s="13" t="s">
        <v>5251</v>
      </c>
      <c r="D421" s="10">
        <v>0.7133</v>
      </c>
      <c r="E421" s="11">
        <v>263.07</v>
      </c>
      <c r="F421" s="10">
        <v>0.6014</v>
      </c>
      <c r="G421" s="11">
        <v>299.5</v>
      </c>
      <c r="H421" s="10">
        <v>0.4074</v>
      </c>
      <c r="I421" s="11" t="s">
        <v>7127</v>
      </c>
      <c r="J421" s="10">
        <v>0.3105</v>
      </c>
      <c r="K421" s="11">
        <v>240</v>
      </c>
      <c r="L421" s="10">
        <v>0.4012</v>
      </c>
      <c r="M421" s="11">
        <v>334.87</v>
      </c>
      <c r="N421" s="10">
        <v>0.213</v>
      </c>
      <c r="O421" s="11" t="s">
        <v>7127</v>
      </c>
      <c r="P421" s="10">
        <v>0.7133</v>
      </c>
      <c r="Q421" s="10">
        <v>0.2072</v>
      </c>
      <c r="R421" s="10">
        <v>0.3105</v>
      </c>
      <c r="S421" s="10">
        <v>0.191</v>
      </c>
      <c r="T421" s="8">
        <f>IF(and(ISNUMBER(D421), isnumber(E421)), 1, 0) + IF(and(ISNUMBER(F421), isnumber(G421)), 1, 0) + IF(and(ISNUMBER(H421), isnumber(I421)), 1, 0) + IF(and(ISNUMBER(J421), isnumber(K421)), 1, 0) + IF(and(ISNUMBER(L421), isnumber(M421)), 1, 0) + IF(and(ISNUMBER(N421), isnumber(O421)), 1, 0)</f>
      </c>
      <c r="U421" s="8">
        <f>IF(and(ISNUMBER(P421), isnumber(Q421)), 1, 0) + IF(and(ISNUMBER(R421), isnumber(S421)), 1, 0)</f>
      </c>
      <c r="V421" s="13"/>
      <c r="W421" s="13"/>
      <c r="X421" s="16"/>
    </row>
    <row x14ac:dyDescent="0.25" r="422" customHeight="1" ht="15.75">
      <c r="A422" s="8">
        <v>25543</v>
      </c>
      <c r="B422" s="13" t="s">
        <v>69</v>
      </c>
      <c r="C422" s="13" t="s">
        <v>5255</v>
      </c>
      <c r="D422" s="10">
        <v>0.6218</v>
      </c>
      <c r="E422" s="11">
        <v>326.32</v>
      </c>
      <c r="F422" s="10">
        <v>0.409</v>
      </c>
      <c r="G422" s="11">
        <v>421.07</v>
      </c>
      <c r="H422" s="10">
        <v>0.5013</v>
      </c>
      <c r="I422" s="11">
        <v>492.35</v>
      </c>
      <c r="J422" s="10">
        <v>0.4717</v>
      </c>
      <c r="K422" s="11">
        <v>337.84</v>
      </c>
      <c r="L422" s="10">
        <v>0.7354</v>
      </c>
      <c r="M422" s="11">
        <v>321.25</v>
      </c>
      <c r="N422" s="10">
        <v>0.4326</v>
      </c>
      <c r="O422" s="11">
        <v>466.47</v>
      </c>
      <c r="P422" s="10">
        <v>0.6218</v>
      </c>
      <c r="Q422" s="10">
        <v>0.2534</v>
      </c>
      <c r="R422" s="10">
        <v>0.4717</v>
      </c>
      <c r="S422" s="10">
        <v>0.2019</v>
      </c>
      <c r="T422" s="8">
        <f>IF(and(ISNUMBER(D422), isnumber(E422)), 1, 0) + IF(and(ISNUMBER(F422), isnumber(G422)), 1, 0) + IF(and(ISNUMBER(H422), isnumber(I422)), 1, 0) + IF(and(ISNUMBER(J422), isnumber(K422)), 1, 0) + IF(and(ISNUMBER(L422), isnumber(M422)), 1, 0) + IF(and(ISNUMBER(N422), isnumber(O422)), 1, 0)</f>
      </c>
      <c r="U422" s="8">
        <f>IF(and(ISNUMBER(P422), isnumber(Q422)), 1, 0) + IF(and(ISNUMBER(R422), isnumber(S422)), 1, 0)</f>
      </c>
      <c r="V422" s="13"/>
      <c r="W422" s="13"/>
      <c r="X422" s="16"/>
    </row>
    <row x14ac:dyDescent="0.25" r="423" customHeight="1" ht="15.75">
      <c r="A423" s="8">
        <v>25555</v>
      </c>
      <c r="B423" s="13" t="s">
        <v>91</v>
      </c>
      <c r="C423" s="13" t="s">
        <v>5259</v>
      </c>
      <c r="D423" s="10">
        <v>0.5668</v>
      </c>
      <c r="E423" s="11">
        <v>132.83</v>
      </c>
      <c r="F423" s="10">
        <v>0.0187</v>
      </c>
      <c r="G423" s="11">
        <v>300</v>
      </c>
      <c r="H423" s="10">
        <v>0.5508</v>
      </c>
      <c r="I423" s="11">
        <v>353.92</v>
      </c>
      <c r="J423" s="10">
        <v>0.0053</v>
      </c>
      <c r="K423" s="11">
        <v>240</v>
      </c>
      <c r="L423" s="10">
        <v>0.4626</v>
      </c>
      <c r="M423" s="11">
        <v>338.12</v>
      </c>
      <c r="N423" s="10">
        <v>0</v>
      </c>
      <c r="O423" s="11" t="s">
        <v>7127</v>
      </c>
      <c r="P423" s="10">
        <v>0.5668</v>
      </c>
      <c r="Q423" s="10">
        <v>0.2252</v>
      </c>
      <c r="R423" s="10">
        <v>0.0053</v>
      </c>
      <c r="S423" s="10">
        <v>0.1796</v>
      </c>
      <c r="T423" s="8">
        <f>IF(and(ISNUMBER(D423), isnumber(E423)), 1, 0) + IF(and(ISNUMBER(F423), isnumber(G423)), 1, 0) + IF(and(ISNUMBER(H423), isnumber(I423)), 1, 0) + IF(and(ISNUMBER(J423), isnumber(K423)), 1, 0) + IF(and(ISNUMBER(L423), isnumber(M423)), 1, 0) + IF(and(ISNUMBER(N423), isnumber(O423)), 1, 0)</f>
      </c>
      <c r="U423" s="8">
        <f>IF(and(ISNUMBER(P423), isnumber(Q423)), 1, 0) + IF(and(ISNUMBER(R423), isnumber(S423)), 1, 0)</f>
      </c>
      <c r="V423" s="13"/>
      <c r="W423" s="13"/>
      <c r="X423" s="16"/>
    </row>
    <row x14ac:dyDescent="0.25" r="424" customHeight="1" ht="15.75">
      <c r="A424" s="8">
        <v>25556</v>
      </c>
      <c r="B424" s="13" t="s">
        <v>91</v>
      </c>
      <c r="C424" s="13" t="s">
        <v>5262</v>
      </c>
      <c r="D424" s="10">
        <v>0.6387</v>
      </c>
      <c r="E424" s="11">
        <v>93.74</v>
      </c>
      <c r="F424" s="10">
        <v>0.5677</v>
      </c>
      <c r="G424" s="11">
        <v>230</v>
      </c>
      <c r="H424" s="10">
        <v>0.372</v>
      </c>
      <c r="I424" s="11">
        <v>255.11</v>
      </c>
      <c r="J424" s="10">
        <v>0.5556</v>
      </c>
      <c r="K424" s="11">
        <v>134.39</v>
      </c>
      <c r="L424" s="10">
        <v>0.3865</v>
      </c>
      <c r="M424" s="11">
        <v>255.74</v>
      </c>
      <c r="N424" s="10">
        <v>0.2077</v>
      </c>
      <c r="O424" s="11">
        <v>333.95</v>
      </c>
      <c r="P424" s="10">
        <v>0.6387</v>
      </c>
      <c r="Q424" s="10">
        <v>0.194</v>
      </c>
      <c r="R424" s="10">
        <v>0.5556</v>
      </c>
      <c r="S424" s="10">
        <v>0.2013</v>
      </c>
      <c r="T424" s="8">
        <f>IF(and(ISNUMBER(D424), isnumber(E424)), 1, 0) + IF(and(ISNUMBER(F424), isnumber(G424)), 1, 0) + IF(and(ISNUMBER(H424), isnumber(I424)), 1, 0) + IF(and(ISNUMBER(J424), isnumber(K424)), 1, 0) + IF(and(ISNUMBER(L424), isnumber(M424)), 1, 0) + IF(and(ISNUMBER(N424), isnumber(O424)), 1, 0)</f>
      </c>
      <c r="U424" s="8">
        <f>IF(and(ISNUMBER(P424), isnumber(Q424)), 1, 0) + IF(and(ISNUMBER(R424), isnumber(S424)), 1, 0)</f>
      </c>
      <c r="V424" s="13"/>
      <c r="W424" s="13"/>
      <c r="X424" s="16"/>
    </row>
    <row x14ac:dyDescent="0.25" r="425" customHeight="1" ht="15.75">
      <c r="A425" s="8">
        <v>25557</v>
      </c>
      <c r="B425" s="13" t="s">
        <v>91</v>
      </c>
      <c r="C425" s="13" t="s">
        <v>5265</v>
      </c>
      <c r="D425" s="10">
        <v>0.8448</v>
      </c>
      <c r="E425" s="11">
        <v>81.01</v>
      </c>
      <c r="F425" s="10">
        <v>0.4885</v>
      </c>
      <c r="G425" s="11">
        <v>280.3</v>
      </c>
      <c r="H425" s="10">
        <v>0.5441</v>
      </c>
      <c r="I425" s="11" t="s">
        <v>7127</v>
      </c>
      <c r="J425" s="10">
        <v>0.7232</v>
      </c>
      <c r="K425" s="11">
        <v>156.71</v>
      </c>
      <c r="L425" s="10">
        <v>0.4804</v>
      </c>
      <c r="M425" s="11">
        <v>299.42</v>
      </c>
      <c r="N425" s="10">
        <v>0.5049</v>
      </c>
      <c r="O425" s="11" t="s">
        <v>7127</v>
      </c>
      <c r="P425" s="10">
        <v>0.8448</v>
      </c>
      <c r="Q425" s="10">
        <v>0.1678</v>
      </c>
      <c r="R425" s="10">
        <v>0.7232</v>
      </c>
      <c r="S425" s="10">
        <v>0.1989</v>
      </c>
      <c r="T425" s="8">
        <f>IF(and(ISNUMBER(D425), isnumber(E425)), 1, 0) + IF(and(ISNUMBER(F425), isnumber(G425)), 1, 0) + IF(and(ISNUMBER(H425), isnumber(I425)), 1, 0) + IF(and(ISNUMBER(J425), isnumber(K425)), 1, 0) + IF(and(ISNUMBER(L425), isnumber(M425)), 1, 0) + IF(and(ISNUMBER(N425), isnumber(O425)), 1, 0)</f>
      </c>
      <c r="U425" s="8">
        <f>IF(and(ISNUMBER(P425), isnumber(Q425)), 1, 0) + IF(and(ISNUMBER(R425), isnumber(S425)), 1, 0)</f>
      </c>
      <c r="V425" s="13"/>
      <c r="W425" s="13"/>
      <c r="X425" s="16"/>
    </row>
    <row x14ac:dyDescent="0.25" r="426" customHeight="1" ht="15.75">
      <c r="A426" s="8">
        <v>25641</v>
      </c>
      <c r="B426" s="13" t="s">
        <v>91</v>
      </c>
      <c r="C426" s="13" t="s">
        <v>5268</v>
      </c>
      <c r="D426" s="10">
        <v>0.8519</v>
      </c>
      <c r="E426" s="11">
        <v>346.08</v>
      </c>
      <c r="F426" s="10">
        <v>0.9877</v>
      </c>
      <c r="G426" s="11">
        <v>406.93</v>
      </c>
      <c r="H426" s="10">
        <v>0.8298</v>
      </c>
      <c r="I426" s="11">
        <v>386.67</v>
      </c>
      <c r="J426" s="10">
        <v>0.8889</v>
      </c>
      <c r="K426" s="11">
        <v>323.5</v>
      </c>
      <c r="L426" s="10">
        <v>0.883</v>
      </c>
      <c r="M426" s="11">
        <v>388.42</v>
      </c>
      <c r="N426" s="10">
        <v>0.883</v>
      </c>
      <c r="O426" s="11">
        <v>332.53</v>
      </c>
      <c r="P426" s="10">
        <v>0.8519</v>
      </c>
      <c r="Q426" s="10">
        <v>0.2449</v>
      </c>
      <c r="R426" s="10">
        <v>0.8889</v>
      </c>
      <c r="S426" s="10">
        <v>0.1791</v>
      </c>
      <c r="T426" s="8">
        <f>IF(and(ISNUMBER(D426), isnumber(E426)), 1, 0) + IF(and(ISNUMBER(F426), isnumber(G426)), 1, 0) + IF(and(ISNUMBER(H426), isnumber(I426)), 1, 0) + IF(and(ISNUMBER(J426), isnumber(K426)), 1, 0) + IF(and(ISNUMBER(L426), isnumber(M426)), 1, 0) + IF(and(ISNUMBER(N426), isnumber(O426)), 1, 0)</f>
      </c>
      <c r="U426" s="8">
        <f>IF(and(ISNUMBER(P426), isnumber(Q426)), 1, 0) + IF(and(ISNUMBER(R426), isnumber(S426)), 1, 0)</f>
      </c>
      <c r="V426" s="13"/>
      <c r="W426" s="13"/>
      <c r="X426" s="16"/>
    </row>
    <row x14ac:dyDescent="0.25" r="427" customHeight="1" ht="15.75">
      <c r="A427" s="8">
        <v>25558</v>
      </c>
      <c r="B427" s="13" t="s">
        <v>91</v>
      </c>
      <c r="C427" s="13" t="s">
        <v>5270</v>
      </c>
      <c r="D427" s="10">
        <v>0.5818</v>
      </c>
      <c r="E427" s="11">
        <v>150.25</v>
      </c>
      <c r="F427" s="10">
        <v>0.3273</v>
      </c>
      <c r="G427" s="11">
        <v>343.33</v>
      </c>
      <c r="H427" s="10">
        <v>0.1928</v>
      </c>
      <c r="I427" s="11">
        <v>386.25</v>
      </c>
      <c r="J427" s="10">
        <v>0.5948</v>
      </c>
      <c r="K427" s="11">
        <v>260.87</v>
      </c>
      <c r="L427" s="10">
        <v>0.2711</v>
      </c>
      <c r="M427" s="11">
        <v>410.7</v>
      </c>
      <c r="N427" s="10">
        <v>0.2771</v>
      </c>
      <c r="O427" s="11">
        <v>431.31</v>
      </c>
      <c r="P427" s="10">
        <v>0.5818</v>
      </c>
      <c r="Q427" s="10">
        <v>0.2186</v>
      </c>
      <c r="R427" s="10">
        <v>0.5948</v>
      </c>
      <c r="S427" s="10">
        <v>0.2454</v>
      </c>
      <c r="T427" s="8">
        <f>IF(and(ISNUMBER(D427), isnumber(E427)), 1, 0) + IF(and(ISNUMBER(F427), isnumber(G427)), 1, 0) + IF(and(ISNUMBER(H427), isnumber(I427)), 1, 0) + IF(and(ISNUMBER(J427), isnumber(K427)), 1, 0) + IF(and(ISNUMBER(L427), isnumber(M427)), 1, 0) + IF(and(ISNUMBER(N427), isnumber(O427)), 1, 0)</f>
      </c>
      <c r="U427" s="8">
        <f>IF(and(ISNUMBER(P427), isnumber(Q427)), 1, 0) + IF(and(ISNUMBER(R427), isnumber(S427)), 1, 0)</f>
      </c>
      <c r="V427" s="13"/>
      <c r="W427" s="13"/>
      <c r="X427" s="16"/>
    </row>
    <row x14ac:dyDescent="0.25" r="428" customHeight="1" ht="15.75">
      <c r="A428" s="8">
        <v>25642</v>
      </c>
      <c r="B428" s="13" t="s">
        <v>91</v>
      </c>
      <c r="C428" s="13" t="s">
        <v>5273</v>
      </c>
      <c r="D428" s="10">
        <v>0.8851</v>
      </c>
      <c r="E428" s="11">
        <v>133.49</v>
      </c>
      <c r="F428" s="10">
        <v>0.6207</v>
      </c>
      <c r="G428" s="11">
        <v>375.97</v>
      </c>
      <c r="H428" s="10">
        <v>0.5</v>
      </c>
      <c r="I428" s="11">
        <v>427.31</v>
      </c>
      <c r="J428" s="10">
        <v>0.8235</v>
      </c>
      <c r="K428" s="11">
        <v>368</v>
      </c>
      <c r="L428" s="10">
        <v>0.5408</v>
      </c>
      <c r="M428" s="11" t="s">
        <v>7127</v>
      </c>
      <c r="N428" s="10">
        <v>0.602</v>
      </c>
      <c r="O428" s="11" t="s">
        <v>7127</v>
      </c>
      <c r="P428" s="10">
        <v>0.8851</v>
      </c>
      <c r="Q428" s="10">
        <v>0.1725</v>
      </c>
      <c r="R428" s="10">
        <v>0.8235</v>
      </c>
      <c r="S428" s="10">
        <v>0.2002</v>
      </c>
      <c r="T428" s="8">
        <f>IF(and(ISNUMBER(D428), isnumber(E428)), 1, 0) + IF(and(ISNUMBER(F428), isnumber(G428)), 1, 0) + IF(and(ISNUMBER(H428), isnumber(I428)), 1, 0) + IF(and(ISNUMBER(J428), isnumber(K428)), 1, 0) + IF(and(ISNUMBER(L428), isnumber(M428)), 1, 0) + IF(and(ISNUMBER(N428), isnumber(O428)), 1, 0)</f>
      </c>
      <c r="U428" s="8">
        <f>IF(and(ISNUMBER(P428), isnumber(Q428)), 1, 0) + IF(and(ISNUMBER(R428), isnumber(S428)), 1, 0)</f>
      </c>
      <c r="V428" s="13"/>
      <c r="W428" s="13"/>
      <c r="X428" s="16"/>
    </row>
    <row x14ac:dyDescent="0.25" r="429" customHeight="1" ht="15.75">
      <c r="A429" s="8">
        <v>25559</v>
      </c>
      <c r="B429" s="13" t="s">
        <v>91</v>
      </c>
      <c r="C429" s="13" t="s">
        <v>5277</v>
      </c>
      <c r="D429" s="10">
        <v>0.9547</v>
      </c>
      <c r="E429" s="11">
        <v>108.61</v>
      </c>
      <c r="F429" s="10">
        <v>0.9717</v>
      </c>
      <c r="G429" s="11">
        <v>269.88</v>
      </c>
      <c r="H429" s="10">
        <v>0.6742</v>
      </c>
      <c r="I429" s="11">
        <v>390.56</v>
      </c>
      <c r="J429" s="10">
        <v>0.5694</v>
      </c>
      <c r="K429" s="11">
        <v>241.87</v>
      </c>
      <c r="L429" s="10">
        <v>0.5751</v>
      </c>
      <c r="M429" s="11">
        <v>371.06</v>
      </c>
      <c r="N429" s="10">
        <v>0.6091</v>
      </c>
      <c r="O429" s="11">
        <v>357.57</v>
      </c>
      <c r="P429" s="10">
        <v>0.9547</v>
      </c>
      <c r="Q429" s="10">
        <v>0.1771</v>
      </c>
      <c r="R429" s="10">
        <v>0.5694</v>
      </c>
      <c r="S429" s="10">
        <v>0.2027</v>
      </c>
      <c r="T429" s="8">
        <f>IF(and(ISNUMBER(D429), isnumber(E429)), 1, 0) + IF(and(ISNUMBER(F429), isnumber(G429)), 1, 0) + IF(and(ISNUMBER(H429), isnumber(I429)), 1, 0) + IF(and(ISNUMBER(J429), isnumber(K429)), 1, 0) + IF(and(ISNUMBER(L429), isnumber(M429)), 1, 0) + IF(and(ISNUMBER(N429), isnumber(O429)), 1, 0)</f>
      </c>
      <c r="U429" s="8">
        <f>IF(and(ISNUMBER(P429), isnumber(Q429)), 1, 0) + IF(and(ISNUMBER(R429), isnumber(S429)), 1, 0)</f>
      </c>
      <c r="V429" s="13"/>
      <c r="W429" s="13"/>
      <c r="X429" s="16"/>
    </row>
    <row x14ac:dyDescent="0.25" r="430" customHeight="1" ht="15.75">
      <c r="A430" s="8">
        <v>25643</v>
      </c>
      <c r="B430" s="13" t="s">
        <v>91</v>
      </c>
      <c r="C430" s="13" t="s">
        <v>5281</v>
      </c>
      <c r="D430" s="10">
        <v>0.8947</v>
      </c>
      <c r="E430" s="11">
        <v>198.14</v>
      </c>
      <c r="F430" s="10">
        <v>0.5614</v>
      </c>
      <c r="G430" s="11">
        <v>280</v>
      </c>
      <c r="H430" s="10">
        <v>0.6316</v>
      </c>
      <c r="I430" s="11">
        <v>338.29</v>
      </c>
      <c r="J430" s="10">
        <v>0.7368</v>
      </c>
      <c r="K430" s="11">
        <v>261</v>
      </c>
      <c r="L430" s="10">
        <v>0.614</v>
      </c>
      <c r="M430" s="11">
        <v>333.71</v>
      </c>
      <c r="N430" s="10">
        <v>0</v>
      </c>
      <c r="O430" s="11" t="s">
        <v>7127</v>
      </c>
      <c r="P430" s="10">
        <v>0.8947</v>
      </c>
      <c r="Q430" s="10">
        <v>0.1902</v>
      </c>
      <c r="R430" s="10">
        <v>0.7368</v>
      </c>
      <c r="S430" s="10">
        <v>0.2246</v>
      </c>
      <c r="T430" s="8">
        <f>IF(and(ISNUMBER(D430), isnumber(E430)), 1, 0) + IF(and(ISNUMBER(F430), isnumber(G430)), 1, 0) + IF(and(ISNUMBER(H430), isnumber(I430)), 1, 0) + IF(and(ISNUMBER(J430), isnumber(K430)), 1, 0) + IF(and(ISNUMBER(L430), isnumber(M430)), 1, 0) + IF(and(ISNUMBER(N430), isnumber(O430)), 1, 0)</f>
      </c>
      <c r="U430" s="8">
        <f>IF(and(ISNUMBER(P430), isnumber(Q430)), 1, 0) + IF(and(ISNUMBER(R430), isnumber(S430)), 1, 0)</f>
      </c>
      <c r="V430" s="13"/>
      <c r="W430" s="13"/>
      <c r="X430" s="16"/>
    </row>
    <row x14ac:dyDescent="0.25" r="431" customHeight="1" ht="15.75">
      <c r="A431" s="8">
        <v>25560</v>
      </c>
      <c r="B431" s="13" t="s">
        <v>91</v>
      </c>
      <c r="C431" s="13" t="s">
        <v>5284</v>
      </c>
      <c r="D431" s="10">
        <v>0.4848</v>
      </c>
      <c r="E431" s="11">
        <v>134.11</v>
      </c>
      <c r="F431" s="10">
        <v>0.4338</v>
      </c>
      <c r="G431" s="11">
        <v>335.31</v>
      </c>
      <c r="H431" s="10">
        <v>0.4341</v>
      </c>
      <c r="I431" s="11">
        <v>391.59</v>
      </c>
      <c r="J431" s="10">
        <v>0.4712</v>
      </c>
      <c r="K431" s="11">
        <v>189.39</v>
      </c>
      <c r="L431" s="10">
        <v>0.3931</v>
      </c>
      <c r="M431" s="11">
        <v>383.96</v>
      </c>
      <c r="N431" s="10">
        <v>0.4441</v>
      </c>
      <c r="O431" s="11">
        <v>390.63</v>
      </c>
      <c r="P431" s="10">
        <v>0.4848</v>
      </c>
      <c r="Q431" s="10">
        <v>0.2178</v>
      </c>
      <c r="R431" s="10">
        <v>0.4712</v>
      </c>
      <c r="S431" s="10">
        <v>0.201</v>
      </c>
      <c r="T431" s="8">
        <f>IF(and(ISNUMBER(D431), isnumber(E431)), 1, 0) + IF(and(ISNUMBER(F431), isnumber(G431)), 1, 0) + IF(and(ISNUMBER(H431), isnumber(I431)), 1, 0) + IF(and(ISNUMBER(J431), isnumber(K431)), 1, 0) + IF(and(ISNUMBER(L431), isnumber(M431)), 1, 0) + IF(and(ISNUMBER(N431), isnumber(O431)), 1, 0)</f>
      </c>
      <c r="U431" s="8">
        <f>IF(and(ISNUMBER(P431), isnumber(Q431)), 1, 0) + IF(and(ISNUMBER(R431), isnumber(S431)), 1, 0)</f>
      </c>
      <c r="V431" s="13"/>
      <c r="W431" s="13"/>
      <c r="X431" s="16"/>
    </row>
    <row x14ac:dyDescent="0.25" r="432" customHeight="1" ht="15.75">
      <c r="A432" s="8">
        <v>25561</v>
      </c>
      <c r="B432" s="13" t="s">
        <v>91</v>
      </c>
      <c r="C432" s="13" t="s">
        <v>5287</v>
      </c>
      <c r="D432" s="10">
        <v>0.6053</v>
      </c>
      <c r="E432" s="11">
        <v>80</v>
      </c>
      <c r="F432" s="10">
        <v>0.4474</v>
      </c>
      <c r="G432" s="11">
        <v>287.06</v>
      </c>
      <c r="H432" s="10">
        <v>0.1205</v>
      </c>
      <c r="I432" s="11">
        <v>280</v>
      </c>
      <c r="J432" s="10">
        <v>0.8889</v>
      </c>
      <c r="K432" s="11">
        <v>207.78</v>
      </c>
      <c r="L432" s="10">
        <v>0</v>
      </c>
      <c r="M432" s="11" t="s">
        <v>7127</v>
      </c>
      <c r="N432" s="10">
        <v>0.3494</v>
      </c>
      <c r="O432" s="11">
        <v>331.03</v>
      </c>
      <c r="P432" s="10">
        <v>0.6053</v>
      </c>
      <c r="Q432" s="10">
        <v>0.1718</v>
      </c>
      <c r="R432" s="10">
        <v>0.8889</v>
      </c>
      <c r="S432" s="10">
        <v>0.1791</v>
      </c>
      <c r="T432" s="8">
        <f>IF(and(ISNUMBER(D432), isnumber(E432)), 1, 0) + IF(and(ISNUMBER(F432), isnumber(G432)), 1, 0) + IF(and(ISNUMBER(H432), isnumber(I432)), 1, 0) + IF(and(ISNUMBER(J432), isnumber(K432)), 1, 0) + IF(and(ISNUMBER(L432), isnumber(M432)), 1, 0) + IF(and(ISNUMBER(N432), isnumber(O432)), 1, 0)</f>
      </c>
      <c r="U432" s="8">
        <f>IF(and(ISNUMBER(P432), isnumber(Q432)), 1, 0) + IF(and(ISNUMBER(R432), isnumber(S432)), 1, 0)</f>
      </c>
      <c r="V432" s="13"/>
      <c r="W432" s="13"/>
      <c r="X432" s="16"/>
    </row>
    <row x14ac:dyDescent="0.25" r="433" customHeight="1" ht="15.75">
      <c r="A433" s="8">
        <v>25562</v>
      </c>
      <c r="B433" s="13" t="s">
        <v>91</v>
      </c>
      <c r="C433" s="13" t="s">
        <v>5289</v>
      </c>
      <c r="D433" s="10">
        <v>0.4</v>
      </c>
      <c r="E433" s="11">
        <v>112.38</v>
      </c>
      <c r="F433" s="10">
        <v>0.2833</v>
      </c>
      <c r="G433" s="11">
        <v>385.88</v>
      </c>
      <c r="H433" s="10">
        <v>0.0833</v>
      </c>
      <c r="I433" s="11">
        <v>342.5</v>
      </c>
      <c r="J433" s="10">
        <v>0.3222</v>
      </c>
      <c r="K433" s="11">
        <v>443.64</v>
      </c>
      <c r="L433" s="10">
        <v>0.1823</v>
      </c>
      <c r="M433" s="11">
        <v>333.71</v>
      </c>
      <c r="N433" s="10">
        <v>0.3125</v>
      </c>
      <c r="O433" s="11">
        <v>330.17</v>
      </c>
      <c r="P433" s="10">
        <v>0.4</v>
      </c>
      <c r="Q433" s="10">
        <v>0.1984</v>
      </c>
      <c r="R433" s="10">
        <v>0.3222</v>
      </c>
      <c r="S433" s="10">
        <v>0.1828</v>
      </c>
      <c r="T433" s="8">
        <f>IF(and(ISNUMBER(D433), isnumber(E433)), 1, 0) + IF(and(ISNUMBER(F433), isnumber(G433)), 1, 0) + IF(and(ISNUMBER(H433), isnumber(I433)), 1, 0) + IF(and(ISNUMBER(J433), isnumber(K433)), 1, 0) + IF(and(ISNUMBER(L433), isnumber(M433)), 1, 0) + IF(and(ISNUMBER(N433), isnumber(O433)), 1, 0)</f>
      </c>
      <c r="U433" s="8">
        <f>IF(and(ISNUMBER(P433), isnumber(Q433)), 1, 0) + IF(and(ISNUMBER(R433), isnumber(S433)), 1, 0)</f>
      </c>
      <c r="V433" s="13"/>
      <c r="W433" s="13"/>
      <c r="X433" s="16"/>
    </row>
    <row x14ac:dyDescent="0.25" r="434" customHeight="1" ht="15.75">
      <c r="A434" s="8">
        <v>25644</v>
      </c>
      <c r="B434" s="13" t="s">
        <v>91</v>
      </c>
      <c r="C434" s="13" t="s">
        <v>5291</v>
      </c>
      <c r="D434" s="10">
        <v>0.8143</v>
      </c>
      <c r="E434" s="11">
        <v>255.55</v>
      </c>
      <c r="F434" s="10">
        <v>0.7131</v>
      </c>
      <c r="G434" s="11">
        <v>433</v>
      </c>
      <c r="H434" s="10">
        <v>0.6088</v>
      </c>
      <c r="I434" s="11">
        <v>505.63</v>
      </c>
      <c r="J434" s="10">
        <v>0.7619</v>
      </c>
      <c r="K434" s="11">
        <v>361.01</v>
      </c>
      <c r="L434" s="10">
        <v>0.551</v>
      </c>
      <c r="M434" s="11">
        <v>478.03</v>
      </c>
      <c r="N434" s="10">
        <v>0.5068</v>
      </c>
      <c r="O434" s="11">
        <v>464.43</v>
      </c>
      <c r="P434" s="10">
        <v>0.8143</v>
      </c>
      <c r="Q434" s="10">
        <v>0.2618</v>
      </c>
      <c r="R434" s="10">
        <v>0.7619</v>
      </c>
      <c r="S434" s="10">
        <v>0.209</v>
      </c>
      <c r="T434" s="8">
        <f>IF(and(ISNUMBER(D434), isnumber(E434)), 1, 0) + IF(and(ISNUMBER(F434), isnumber(G434)), 1, 0) + IF(and(ISNUMBER(H434), isnumber(I434)), 1, 0) + IF(and(ISNUMBER(J434), isnumber(K434)), 1, 0) + IF(and(ISNUMBER(L434), isnumber(M434)), 1, 0) + IF(and(ISNUMBER(N434), isnumber(O434)), 1, 0)</f>
      </c>
      <c r="U434" s="8">
        <f>IF(and(ISNUMBER(P434), isnumber(Q434)), 1, 0) + IF(and(ISNUMBER(R434), isnumber(S434)), 1, 0)</f>
      </c>
      <c r="V434" s="13"/>
      <c r="W434" s="13"/>
      <c r="X434" s="16"/>
    </row>
    <row x14ac:dyDescent="0.25" r="435" customHeight="1" ht="15.75">
      <c r="A435" s="8">
        <v>25563</v>
      </c>
      <c r="B435" s="13" t="s">
        <v>91</v>
      </c>
      <c r="C435" s="13" t="s">
        <v>4078</v>
      </c>
      <c r="D435" s="10">
        <v>0.8831</v>
      </c>
      <c r="E435" s="11">
        <v>209.52</v>
      </c>
      <c r="F435" s="10">
        <v>0.9601</v>
      </c>
      <c r="G435" s="11">
        <v>296.7</v>
      </c>
      <c r="H435" s="10">
        <v>0.6195</v>
      </c>
      <c r="I435" s="11">
        <v>408.85</v>
      </c>
      <c r="J435" s="10">
        <v>0.6254</v>
      </c>
      <c r="K435" s="11">
        <v>297.68</v>
      </c>
      <c r="L435" s="10">
        <v>0.5483</v>
      </c>
      <c r="M435" s="11">
        <v>385.92</v>
      </c>
      <c r="N435" s="10">
        <v>0.587</v>
      </c>
      <c r="O435" s="11">
        <v>415.99</v>
      </c>
      <c r="P435" s="10">
        <v>0.8831</v>
      </c>
      <c r="Q435" s="10">
        <v>0.1902</v>
      </c>
      <c r="R435" s="10">
        <v>0.6254</v>
      </c>
      <c r="S435" s="10">
        <v>0.2096</v>
      </c>
      <c r="T435" s="8">
        <f>IF(and(ISNUMBER(D435), isnumber(E435)), 1, 0) + IF(and(ISNUMBER(F435), isnumber(G435)), 1, 0) + IF(and(ISNUMBER(H435), isnumber(I435)), 1, 0) + IF(and(ISNUMBER(J435), isnumber(K435)), 1, 0) + IF(and(ISNUMBER(L435), isnumber(M435)), 1, 0) + IF(and(ISNUMBER(N435), isnumber(O435)), 1, 0)</f>
      </c>
      <c r="U435" s="8">
        <f>IF(and(ISNUMBER(P435), isnumber(Q435)), 1, 0) + IF(and(ISNUMBER(R435), isnumber(S435)), 1, 0)</f>
      </c>
      <c r="V435" s="13"/>
      <c r="W435" s="13"/>
      <c r="X435" s="16"/>
    </row>
    <row x14ac:dyDescent="0.25" r="436" customHeight="1" ht="15.75">
      <c r="A436" s="8">
        <v>25564</v>
      </c>
      <c r="B436" s="13" t="s">
        <v>91</v>
      </c>
      <c r="C436" s="13" t="s">
        <v>5297</v>
      </c>
      <c r="D436" s="10">
        <v>0.8475</v>
      </c>
      <c r="E436" s="11">
        <v>119.58</v>
      </c>
      <c r="F436" s="10">
        <v>0</v>
      </c>
      <c r="G436" s="11" t="s">
        <v>7127</v>
      </c>
      <c r="H436" s="10">
        <v>0.5042</v>
      </c>
      <c r="I436" s="11">
        <v>170</v>
      </c>
      <c r="J436" s="10">
        <v>0.7051</v>
      </c>
      <c r="K436" s="11">
        <v>103.9</v>
      </c>
      <c r="L436" s="10">
        <v>0.6303</v>
      </c>
      <c r="M436" s="11">
        <v>150.62</v>
      </c>
      <c r="N436" s="10">
        <v>0.6303</v>
      </c>
      <c r="O436" s="11">
        <v>128.37</v>
      </c>
      <c r="P436" s="10">
        <v>0.8475</v>
      </c>
      <c r="Q436" s="10">
        <v>0.1152</v>
      </c>
      <c r="R436" s="10">
        <v>0.7051</v>
      </c>
      <c r="S436" s="10">
        <v>0.1746</v>
      </c>
      <c r="T436" s="8">
        <f>IF(and(ISNUMBER(D436), isnumber(E436)), 1, 0) + IF(and(ISNUMBER(F436), isnumber(G436)), 1, 0) + IF(and(ISNUMBER(H436), isnumber(I436)), 1, 0) + IF(and(ISNUMBER(J436), isnumber(K436)), 1, 0) + IF(and(ISNUMBER(L436), isnumber(M436)), 1, 0) + IF(and(ISNUMBER(N436), isnumber(O436)), 1, 0)</f>
      </c>
      <c r="U436" s="8">
        <f>IF(and(ISNUMBER(P436), isnumber(Q436)), 1, 0) + IF(and(ISNUMBER(R436), isnumber(S436)), 1, 0)</f>
      </c>
      <c r="V436" s="13"/>
      <c r="W436" s="13"/>
      <c r="X436" s="16"/>
    </row>
    <row x14ac:dyDescent="0.25" r="437" customHeight="1" ht="15.75">
      <c r="A437" s="8">
        <v>25565</v>
      </c>
      <c r="B437" s="13" t="s">
        <v>91</v>
      </c>
      <c r="C437" s="13" t="s">
        <v>5300</v>
      </c>
      <c r="D437" s="10">
        <v>0.6141</v>
      </c>
      <c r="E437" s="11">
        <v>142.22</v>
      </c>
      <c r="F437" s="10">
        <v>0.5058</v>
      </c>
      <c r="G437" s="11">
        <v>285.67</v>
      </c>
      <c r="H437" s="10">
        <v>0.3573</v>
      </c>
      <c r="I437" s="11">
        <v>346.73</v>
      </c>
      <c r="J437" s="10">
        <v>0.3836</v>
      </c>
      <c r="K437" s="11">
        <v>178.48</v>
      </c>
      <c r="L437" s="10">
        <v>0.4587</v>
      </c>
      <c r="M437" s="11">
        <v>311.73</v>
      </c>
      <c r="N437" s="10">
        <v>0.4758</v>
      </c>
      <c r="O437" s="11">
        <v>346.14</v>
      </c>
      <c r="P437" s="10">
        <v>0.6141</v>
      </c>
      <c r="Q437" s="10">
        <v>0.2153</v>
      </c>
      <c r="R437" s="10">
        <v>0.3836</v>
      </c>
      <c r="S437" s="10">
        <v>0.1921</v>
      </c>
      <c r="T437" s="8">
        <f>IF(and(ISNUMBER(D437), isnumber(E437)), 1, 0) + IF(and(ISNUMBER(F437), isnumber(G437)), 1, 0) + IF(and(ISNUMBER(H437), isnumber(I437)), 1, 0) + IF(and(ISNUMBER(J437), isnumber(K437)), 1, 0) + IF(and(ISNUMBER(L437), isnumber(M437)), 1, 0) + IF(and(ISNUMBER(N437), isnumber(O437)), 1, 0)</f>
      </c>
      <c r="U437" s="8">
        <f>IF(and(ISNUMBER(P437), isnumber(Q437)), 1, 0) + IF(and(ISNUMBER(R437), isnumber(S437)), 1, 0)</f>
      </c>
      <c r="V437" s="13"/>
      <c r="W437" s="13"/>
      <c r="X437" s="16"/>
    </row>
    <row x14ac:dyDescent="0.25" r="438" customHeight="1" ht="15.75">
      <c r="A438" s="8">
        <v>25566</v>
      </c>
      <c r="B438" s="13" t="s">
        <v>91</v>
      </c>
      <c r="C438" s="13" t="s">
        <v>5305</v>
      </c>
      <c r="D438" s="10">
        <v>0.9525</v>
      </c>
      <c r="E438" s="11">
        <v>52.18</v>
      </c>
      <c r="F438" s="10">
        <v>0.5119</v>
      </c>
      <c r="G438" s="11">
        <v>275.72</v>
      </c>
      <c r="H438" s="10">
        <v>0.533</v>
      </c>
      <c r="I438" s="11">
        <v>309.2</v>
      </c>
      <c r="J438" s="10">
        <v>0.4644</v>
      </c>
      <c r="K438" s="11">
        <v>174.37</v>
      </c>
      <c r="L438" s="10">
        <v>0.4406</v>
      </c>
      <c r="M438" s="11">
        <v>279.27</v>
      </c>
      <c r="N438" s="10">
        <v>0.343</v>
      </c>
      <c r="O438" s="11">
        <v>295.43</v>
      </c>
      <c r="P438" s="10">
        <v>0.9525</v>
      </c>
      <c r="Q438" s="10">
        <v>0.144</v>
      </c>
      <c r="R438" s="10">
        <v>0.4644</v>
      </c>
      <c r="S438" s="10">
        <v>0.1956</v>
      </c>
      <c r="T438" s="8">
        <f>IF(and(ISNUMBER(D438), isnumber(E438)), 1, 0) + IF(and(ISNUMBER(F438), isnumber(G438)), 1, 0) + IF(and(ISNUMBER(H438), isnumber(I438)), 1, 0) + IF(and(ISNUMBER(J438), isnumber(K438)), 1, 0) + IF(and(ISNUMBER(L438), isnumber(M438)), 1, 0) + IF(and(ISNUMBER(N438), isnumber(O438)), 1, 0)</f>
      </c>
      <c r="U438" s="8">
        <f>IF(and(ISNUMBER(P438), isnumber(Q438)), 1, 0) + IF(and(ISNUMBER(R438), isnumber(S438)), 1, 0)</f>
      </c>
      <c r="V438" s="13"/>
      <c r="W438" s="13"/>
      <c r="X438" s="16"/>
    </row>
    <row x14ac:dyDescent="0.25" r="439" customHeight="1" ht="15.75">
      <c r="A439" s="8">
        <v>25567</v>
      </c>
      <c r="B439" s="13" t="s">
        <v>91</v>
      </c>
      <c r="C439" s="13" t="s">
        <v>5309</v>
      </c>
      <c r="D439" s="10">
        <v>0.5135</v>
      </c>
      <c r="E439" s="11">
        <v>231.11</v>
      </c>
      <c r="F439" s="10">
        <v>0.3784</v>
      </c>
      <c r="G439" s="11">
        <v>434.29</v>
      </c>
      <c r="H439" s="10">
        <v>0.069</v>
      </c>
      <c r="I439" s="11">
        <v>366.67</v>
      </c>
      <c r="J439" s="10">
        <v>0.68</v>
      </c>
      <c r="K439" s="11">
        <v>350.59</v>
      </c>
      <c r="L439" s="10">
        <v>0.2989</v>
      </c>
      <c r="M439" s="11">
        <v>416.92</v>
      </c>
      <c r="N439" s="10">
        <v>0.2989</v>
      </c>
      <c r="O439" s="11">
        <v>475.38</v>
      </c>
      <c r="P439" s="10">
        <v>0.5135</v>
      </c>
      <c r="Q439" s="10">
        <v>0.2354</v>
      </c>
      <c r="R439" s="10">
        <v>0.68</v>
      </c>
      <c r="S439" s="10">
        <v>0.22</v>
      </c>
      <c r="T439" s="8">
        <f>IF(and(ISNUMBER(D439), isnumber(E439)), 1, 0) + IF(and(ISNUMBER(F439), isnumber(G439)), 1, 0) + IF(and(ISNUMBER(H439), isnumber(I439)), 1, 0) + IF(and(ISNUMBER(J439), isnumber(K439)), 1, 0) + IF(and(ISNUMBER(L439), isnumber(M439)), 1, 0) + IF(and(ISNUMBER(N439), isnumber(O439)), 1, 0)</f>
      </c>
      <c r="U439" s="8">
        <f>IF(and(ISNUMBER(P439), isnumber(Q439)), 1, 0) + IF(and(ISNUMBER(R439), isnumber(S439)), 1, 0)</f>
      </c>
      <c r="V439" s="13"/>
      <c r="W439" s="13"/>
      <c r="X439" s="16"/>
    </row>
    <row x14ac:dyDescent="0.25" r="440" customHeight="1" ht="15.75">
      <c r="A440" s="8">
        <v>25544</v>
      </c>
      <c r="B440" s="13" t="s">
        <v>91</v>
      </c>
      <c r="C440" s="13" t="s">
        <v>5311</v>
      </c>
      <c r="D440" s="10">
        <v>0.7844</v>
      </c>
      <c r="E440" s="11">
        <v>276.73</v>
      </c>
      <c r="F440" s="10">
        <v>0.6486</v>
      </c>
      <c r="G440" s="11">
        <v>429.58</v>
      </c>
      <c r="H440" s="10">
        <v>0.7009</v>
      </c>
      <c r="I440" s="11">
        <v>431.72</v>
      </c>
      <c r="J440" s="10">
        <v>0.6034</v>
      </c>
      <c r="K440" s="11">
        <v>316.25</v>
      </c>
      <c r="L440" s="10">
        <v>0.5863</v>
      </c>
      <c r="M440" s="11">
        <v>410.67</v>
      </c>
      <c r="N440" s="10">
        <v>0.6821</v>
      </c>
      <c r="O440" s="11">
        <v>448.08</v>
      </c>
      <c r="P440" s="10">
        <v>0.7844</v>
      </c>
      <c r="Q440" s="10">
        <v>0.2415</v>
      </c>
      <c r="R440" s="10">
        <v>0.6034</v>
      </c>
      <c r="S440" s="10">
        <v>0.2012</v>
      </c>
      <c r="T440" s="8">
        <f>IF(and(ISNUMBER(D440), isnumber(E440)), 1, 0) + IF(and(ISNUMBER(F440), isnumber(G440)), 1, 0) + IF(and(ISNUMBER(H440), isnumber(I440)), 1, 0) + IF(and(ISNUMBER(J440), isnumber(K440)), 1, 0) + IF(and(ISNUMBER(L440), isnumber(M440)), 1, 0) + IF(and(ISNUMBER(N440), isnumber(O440)), 1, 0)</f>
      </c>
      <c r="U440" s="8">
        <f>IF(and(ISNUMBER(P440), isnumber(Q440)), 1, 0) + IF(and(ISNUMBER(R440), isnumber(S440)), 1, 0)</f>
      </c>
      <c r="V440" s="13"/>
      <c r="W440" s="13"/>
      <c r="X440" s="16"/>
    </row>
    <row x14ac:dyDescent="0.25" r="441" customHeight="1" ht="15.75">
      <c r="A441" s="8">
        <v>25568</v>
      </c>
      <c r="B441" s="13" t="s">
        <v>91</v>
      </c>
      <c r="C441" s="13" t="s">
        <v>5314</v>
      </c>
      <c r="D441" s="10">
        <v>0.75</v>
      </c>
      <c r="E441" s="11">
        <v>270.51</v>
      </c>
      <c r="F441" s="10">
        <v>0.7262</v>
      </c>
      <c r="G441" s="11">
        <v>434</v>
      </c>
      <c r="H441" s="10">
        <v>0.4524</v>
      </c>
      <c r="I441" s="11">
        <v>395.79</v>
      </c>
      <c r="J441" s="10">
        <v>0.631</v>
      </c>
      <c r="K441" s="11">
        <v>379.13</v>
      </c>
      <c r="L441" s="10">
        <v>0.5238</v>
      </c>
      <c r="M441" s="11">
        <v>438.14</v>
      </c>
      <c r="N441" s="10">
        <v>0.3929</v>
      </c>
      <c r="O441" s="11">
        <v>464.24</v>
      </c>
      <c r="P441" s="10">
        <v>0.75</v>
      </c>
      <c r="Q441" s="10">
        <v>0.214</v>
      </c>
      <c r="R441" s="10">
        <v>0.631</v>
      </c>
      <c r="S441" s="10">
        <v>0.2416</v>
      </c>
      <c r="T441" s="8">
        <f>IF(and(ISNUMBER(D441), isnumber(E441)), 1, 0) + IF(and(ISNUMBER(F441), isnumber(G441)), 1, 0) + IF(and(ISNUMBER(H441), isnumber(I441)), 1, 0) + IF(and(ISNUMBER(J441), isnumber(K441)), 1, 0) + IF(and(ISNUMBER(L441), isnumber(M441)), 1, 0) + IF(and(ISNUMBER(N441), isnumber(O441)), 1, 0)</f>
      </c>
      <c r="U441" s="8">
        <f>IF(and(ISNUMBER(P441), isnumber(Q441)), 1, 0) + IF(and(ISNUMBER(R441), isnumber(S441)), 1, 0)</f>
      </c>
      <c r="V441" s="13"/>
      <c r="W441" s="13"/>
      <c r="X441" s="16"/>
    </row>
    <row x14ac:dyDescent="0.25" r="442" customHeight="1" ht="15.75">
      <c r="A442" s="8">
        <v>25569</v>
      </c>
      <c r="B442" s="13" t="s">
        <v>91</v>
      </c>
      <c r="C442" s="13" t="s">
        <v>5317</v>
      </c>
      <c r="D442" s="10">
        <v>0.6482</v>
      </c>
      <c r="E442" s="11">
        <v>137.14</v>
      </c>
      <c r="F442" s="10">
        <v>0.505</v>
      </c>
      <c r="G442" s="11">
        <v>318.2</v>
      </c>
      <c r="H442" s="10">
        <v>0.3957</v>
      </c>
      <c r="I442" s="11">
        <v>396.81</v>
      </c>
      <c r="J442" s="10">
        <v>0.3674</v>
      </c>
      <c r="K442" s="11">
        <v>207.9</v>
      </c>
      <c r="L442" s="10">
        <v>0.3191</v>
      </c>
      <c r="M442" s="11">
        <v>329.64</v>
      </c>
      <c r="N442" s="10">
        <v>0.0085</v>
      </c>
      <c r="O442" s="11">
        <v>433.33</v>
      </c>
      <c r="P442" s="10">
        <v>0.6482</v>
      </c>
      <c r="Q442" s="10">
        <v>0.2122</v>
      </c>
      <c r="R442" s="10">
        <v>0.3674</v>
      </c>
      <c r="S442" s="10">
        <v>0.2053</v>
      </c>
      <c r="T442" s="8">
        <f>IF(and(ISNUMBER(D442), isnumber(E442)), 1, 0) + IF(and(ISNUMBER(F442), isnumber(G442)), 1, 0) + IF(and(ISNUMBER(H442), isnumber(I442)), 1, 0) + IF(and(ISNUMBER(J442), isnumber(K442)), 1, 0) + IF(and(ISNUMBER(L442), isnumber(M442)), 1, 0) + IF(and(ISNUMBER(N442), isnumber(O442)), 1, 0)</f>
      </c>
      <c r="U442" s="8">
        <f>IF(and(ISNUMBER(P442), isnumber(Q442)), 1, 0) + IF(and(ISNUMBER(R442), isnumber(S442)), 1, 0)</f>
      </c>
      <c r="V442" s="13"/>
      <c r="W442" s="13"/>
      <c r="X442" s="16"/>
    </row>
    <row x14ac:dyDescent="0.25" r="443" customHeight="1" ht="15.75">
      <c r="A443" s="8">
        <v>25570</v>
      </c>
      <c r="B443" s="13" t="s">
        <v>91</v>
      </c>
      <c r="C443" s="13" t="s">
        <v>5320</v>
      </c>
      <c r="D443" s="10">
        <v>0.5667</v>
      </c>
      <c r="E443" s="11">
        <v>160.62</v>
      </c>
      <c r="F443" s="10">
        <v>0.4333</v>
      </c>
      <c r="G443" s="11">
        <v>312.8</v>
      </c>
      <c r="H443" s="10">
        <v>0.4</v>
      </c>
      <c r="I443" s="11">
        <v>346.36</v>
      </c>
      <c r="J443" s="10">
        <v>0.3583</v>
      </c>
      <c r="K443" s="11">
        <v>72.2</v>
      </c>
      <c r="L443" s="10">
        <v>0.2417</v>
      </c>
      <c r="M443" s="11">
        <v>445.93</v>
      </c>
      <c r="N443" s="10">
        <v>0.325</v>
      </c>
      <c r="O443" s="11">
        <v>361.08</v>
      </c>
      <c r="P443" s="10">
        <v>0.5667</v>
      </c>
      <c r="Q443" s="10">
        <v>0.2005</v>
      </c>
      <c r="R443" s="10">
        <v>0.3583</v>
      </c>
      <c r="S443" s="10">
        <v>0.1961</v>
      </c>
      <c r="T443" s="8">
        <f>IF(and(ISNUMBER(D443), isnumber(E443)), 1, 0) + IF(and(ISNUMBER(F443), isnumber(G443)), 1, 0) + IF(and(ISNUMBER(H443), isnumber(I443)), 1, 0) + IF(and(ISNUMBER(J443), isnumber(K443)), 1, 0) + IF(and(ISNUMBER(L443), isnumber(M443)), 1, 0) + IF(and(ISNUMBER(N443), isnumber(O443)), 1, 0)</f>
      </c>
      <c r="U443" s="8">
        <f>IF(and(ISNUMBER(P443), isnumber(Q443)), 1, 0) + IF(and(ISNUMBER(R443), isnumber(S443)), 1, 0)</f>
      </c>
      <c r="V443" s="13"/>
      <c r="W443" s="13"/>
      <c r="X443" s="16"/>
    </row>
    <row x14ac:dyDescent="0.25" r="444" customHeight="1" ht="15.75">
      <c r="A444" s="8">
        <v>25571</v>
      </c>
      <c r="B444" s="13" t="s">
        <v>91</v>
      </c>
      <c r="C444" s="13" t="s">
        <v>5324</v>
      </c>
      <c r="D444" s="10">
        <v>0.3846</v>
      </c>
      <c r="E444" s="11">
        <v>60</v>
      </c>
      <c r="F444" s="10">
        <v>0.2692</v>
      </c>
      <c r="G444" s="11">
        <v>434.29</v>
      </c>
      <c r="H444" s="10">
        <v>0.1594</v>
      </c>
      <c r="I444" s="11">
        <v>240</v>
      </c>
      <c r="J444" s="10">
        <v>0.3333</v>
      </c>
      <c r="K444" s="11">
        <v>114.29</v>
      </c>
      <c r="L444" s="10">
        <v>0.3043</v>
      </c>
      <c r="M444" s="11">
        <v>238.1</v>
      </c>
      <c r="N444" s="10">
        <v>0.3043</v>
      </c>
      <c r="O444" s="11">
        <v>293.33</v>
      </c>
      <c r="P444" s="10">
        <v>0.3846</v>
      </c>
      <c r="Q444" s="10">
        <v>0.206</v>
      </c>
      <c r="R444" s="10">
        <v>0.3333</v>
      </c>
      <c r="S444" s="10">
        <v>0.1809</v>
      </c>
      <c r="T444" s="8">
        <f>IF(and(ISNUMBER(D444), isnumber(E444)), 1, 0) + IF(and(ISNUMBER(F444), isnumber(G444)), 1, 0) + IF(and(ISNUMBER(H444), isnumber(I444)), 1, 0) + IF(and(ISNUMBER(J444), isnumber(K444)), 1, 0) + IF(and(ISNUMBER(L444), isnumber(M444)), 1, 0) + IF(and(ISNUMBER(N444), isnumber(O444)), 1, 0)</f>
      </c>
      <c r="U444" s="8">
        <f>IF(and(ISNUMBER(P444), isnumber(Q444)), 1, 0) + IF(and(ISNUMBER(R444), isnumber(S444)), 1, 0)</f>
      </c>
      <c r="V444" s="13"/>
      <c r="W444" s="13"/>
      <c r="X444" s="16"/>
    </row>
    <row x14ac:dyDescent="0.25" r="445" customHeight="1" ht="15.75">
      <c r="A445" s="8">
        <v>25572</v>
      </c>
      <c r="B445" s="13" t="s">
        <v>91</v>
      </c>
      <c r="C445" s="13" t="s">
        <v>5325</v>
      </c>
      <c r="D445" s="10">
        <v>0.7053</v>
      </c>
      <c r="E445" s="11">
        <v>257.14</v>
      </c>
      <c r="F445" s="10">
        <v>0.6947</v>
      </c>
      <c r="G445" s="11">
        <v>357.54</v>
      </c>
      <c r="H445" s="10">
        <v>0.5043</v>
      </c>
      <c r="I445" s="11">
        <v>331.72</v>
      </c>
      <c r="J445" s="10">
        <v>0.5128</v>
      </c>
      <c r="K445" s="11">
        <v>184.67</v>
      </c>
      <c r="L445" s="10">
        <v>0.5214</v>
      </c>
      <c r="M445" s="11">
        <v>352.79</v>
      </c>
      <c r="N445" s="10">
        <v>0.4103</v>
      </c>
      <c r="O445" s="11">
        <v>377.5</v>
      </c>
      <c r="P445" s="10">
        <v>0.7053</v>
      </c>
      <c r="Q445" s="10">
        <v>0.2074</v>
      </c>
      <c r="R445" s="10">
        <v>0.5128</v>
      </c>
      <c r="S445" s="10">
        <v>0.1922</v>
      </c>
      <c r="T445" s="8">
        <f>IF(and(ISNUMBER(D445), isnumber(E445)), 1, 0) + IF(and(ISNUMBER(F445), isnumber(G445)), 1, 0) + IF(and(ISNUMBER(H445), isnumber(I445)), 1, 0) + IF(and(ISNUMBER(J445), isnumber(K445)), 1, 0) + IF(and(ISNUMBER(L445), isnumber(M445)), 1, 0) + IF(and(ISNUMBER(N445), isnumber(O445)), 1, 0)</f>
      </c>
      <c r="U445" s="8">
        <f>IF(and(ISNUMBER(P445), isnumber(Q445)), 1, 0) + IF(and(ISNUMBER(R445), isnumber(S445)), 1, 0)</f>
      </c>
      <c r="V445" s="13"/>
      <c r="W445" s="13"/>
      <c r="X445" s="16"/>
    </row>
    <row x14ac:dyDescent="0.25" r="446" customHeight="1" ht="15.75">
      <c r="A446" s="8">
        <v>25573</v>
      </c>
      <c r="B446" s="13" t="s">
        <v>91</v>
      </c>
      <c r="C446" s="13" t="s">
        <v>5328</v>
      </c>
      <c r="D446" s="10">
        <v>0.8258</v>
      </c>
      <c r="E446" s="11">
        <v>219.58</v>
      </c>
      <c r="F446" s="10">
        <v>0.7568</v>
      </c>
      <c r="G446" s="11">
        <v>343.77</v>
      </c>
      <c r="H446" s="10">
        <v>0.6443</v>
      </c>
      <c r="I446" s="11">
        <v>415.41</v>
      </c>
      <c r="J446" s="10">
        <v>0.7047</v>
      </c>
      <c r="K446" s="11">
        <v>327.87</v>
      </c>
      <c r="L446" s="10">
        <v>0.6639</v>
      </c>
      <c r="M446" s="11">
        <v>358.81</v>
      </c>
      <c r="N446" s="10">
        <v>0.5721</v>
      </c>
      <c r="O446" s="11">
        <v>409.44</v>
      </c>
      <c r="P446" s="10">
        <v>0.8258</v>
      </c>
      <c r="Q446" s="10">
        <v>0.2024</v>
      </c>
      <c r="R446" s="10">
        <v>0.7047</v>
      </c>
      <c r="S446" s="10">
        <v>0.2046</v>
      </c>
      <c r="T446" s="8">
        <f>IF(and(ISNUMBER(D446), isnumber(E446)), 1, 0) + IF(and(ISNUMBER(F446), isnumber(G446)), 1, 0) + IF(and(ISNUMBER(H446), isnumber(I446)), 1, 0) + IF(and(ISNUMBER(J446), isnumber(K446)), 1, 0) + IF(and(ISNUMBER(L446), isnumber(M446)), 1, 0) + IF(and(ISNUMBER(N446), isnumber(O446)), 1, 0)</f>
      </c>
      <c r="U446" s="8">
        <f>IF(and(ISNUMBER(P446), isnumber(Q446)), 1, 0) + IF(and(ISNUMBER(R446), isnumber(S446)), 1, 0)</f>
      </c>
      <c r="V446" s="13"/>
      <c r="W446" s="13"/>
      <c r="X446" s="16"/>
    </row>
    <row x14ac:dyDescent="0.25" r="447" customHeight="1" ht="15.75">
      <c r="A447" s="8">
        <v>25574</v>
      </c>
      <c r="B447" s="13" t="s">
        <v>91</v>
      </c>
      <c r="C447" s="13" t="s">
        <v>5332</v>
      </c>
      <c r="D447" s="10">
        <v>0.6363</v>
      </c>
      <c r="E447" s="11">
        <v>269.34</v>
      </c>
      <c r="F447" s="10">
        <v>0.6016</v>
      </c>
      <c r="G447" s="11">
        <v>374.48</v>
      </c>
      <c r="H447" s="10">
        <v>0.678</v>
      </c>
      <c r="I447" s="11">
        <v>447.33</v>
      </c>
      <c r="J447" s="10">
        <v>0.467</v>
      </c>
      <c r="K447" s="11">
        <v>301.83</v>
      </c>
      <c r="L447" s="10">
        <v>0.4991</v>
      </c>
      <c r="M447" s="11">
        <v>396.65</v>
      </c>
      <c r="N447" s="10">
        <v>0.5833</v>
      </c>
      <c r="O447" s="11">
        <v>414.63</v>
      </c>
      <c r="P447" s="10">
        <v>0.6363</v>
      </c>
      <c r="Q447" s="10">
        <v>0.2547</v>
      </c>
      <c r="R447" s="10">
        <v>0.467</v>
      </c>
      <c r="S447" s="10">
        <v>0.2117</v>
      </c>
      <c r="T447" s="8">
        <f>IF(and(ISNUMBER(D447), isnumber(E447)), 1, 0) + IF(and(ISNUMBER(F447), isnumber(G447)), 1, 0) + IF(and(ISNUMBER(H447), isnumber(I447)), 1, 0) + IF(and(ISNUMBER(J447), isnumber(K447)), 1, 0) + IF(and(ISNUMBER(L447), isnumber(M447)), 1, 0) + IF(and(ISNUMBER(N447), isnumber(O447)), 1, 0)</f>
      </c>
      <c r="U447" s="8">
        <f>IF(and(ISNUMBER(P447), isnumber(Q447)), 1, 0) + IF(and(ISNUMBER(R447), isnumber(S447)), 1, 0)</f>
      </c>
      <c r="V447" s="13"/>
      <c r="W447" s="13"/>
      <c r="X447" s="16"/>
    </row>
    <row x14ac:dyDescent="0.25" r="448" customHeight="1" ht="15.75">
      <c r="A448" s="8">
        <v>25575</v>
      </c>
      <c r="B448" s="13" t="s">
        <v>91</v>
      </c>
      <c r="C448" s="13" t="s">
        <v>5335</v>
      </c>
      <c r="D448" s="10">
        <v>0.6054</v>
      </c>
      <c r="E448" s="11">
        <v>149.76</v>
      </c>
      <c r="F448" s="10">
        <v>0.5102</v>
      </c>
      <c r="G448" s="11">
        <v>338.67</v>
      </c>
      <c r="H448" s="10">
        <v>0.5568</v>
      </c>
      <c r="I448" s="11">
        <v>437.14</v>
      </c>
      <c r="J448" s="10">
        <v>0.4148</v>
      </c>
      <c r="K448" s="11">
        <v>308.06</v>
      </c>
      <c r="L448" s="10">
        <v>0.4375</v>
      </c>
      <c r="M448" s="11">
        <v>406.23</v>
      </c>
      <c r="N448" s="10">
        <v>0.5</v>
      </c>
      <c r="O448" s="11">
        <v>431.82</v>
      </c>
      <c r="P448" s="10">
        <v>0.6054</v>
      </c>
      <c r="Q448" s="10">
        <v>0.2067</v>
      </c>
      <c r="R448" s="10">
        <v>0.4148</v>
      </c>
      <c r="S448" s="10">
        <v>0.2068</v>
      </c>
      <c r="T448" s="8">
        <f>IF(and(ISNUMBER(D448), isnumber(E448)), 1, 0) + IF(and(ISNUMBER(F448), isnumber(G448)), 1, 0) + IF(and(ISNUMBER(H448), isnumber(I448)), 1, 0) + IF(and(ISNUMBER(J448), isnumber(K448)), 1, 0) + IF(and(ISNUMBER(L448), isnumber(M448)), 1, 0) + IF(and(ISNUMBER(N448), isnumber(O448)), 1, 0)</f>
      </c>
      <c r="U448" s="8">
        <f>IF(and(ISNUMBER(P448), isnumber(Q448)), 1, 0) + IF(and(ISNUMBER(R448), isnumber(S448)), 1, 0)</f>
      </c>
      <c r="V448" s="13"/>
      <c r="W448" s="13"/>
      <c r="X448" s="16"/>
    </row>
    <row x14ac:dyDescent="0.25" r="449" customHeight="1" ht="15.75">
      <c r="A449" s="8">
        <v>25576</v>
      </c>
      <c r="B449" s="13" t="s">
        <v>91</v>
      </c>
      <c r="C449" s="13" t="s">
        <v>5337</v>
      </c>
      <c r="D449" s="10">
        <v>0.45</v>
      </c>
      <c r="E449" s="11">
        <v>459.26</v>
      </c>
      <c r="F449" s="10">
        <v>0.7917</v>
      </c>
      <c r="G449" s="11">
        <v>435.19</v>
      </c>
      <c r="H449" s="10">
        <v>0.85</v>
      </c>
      <c r="I449" s="11">
        <v>461.77</v>
      </c>
      <c r="J449" s="10">
        <v>0.7444</v>
      </c>
      <c r="K449" s="11">
        <v>422.43</v>
      </c>
      <c r="L449" s="10">
        <v>0.6556</v>
      </c>
      <c r="M449" s="11">
        <v>419.23</v>
      </c>
      <c r="N449" s="10">
        <v>0.8694</v>
      </c>
      <c r="O449" s="11">
        <v>411.03</v>
      </c>
      <c r="P449" s="10">
        <v>0.45</v>
      </c>
      <c r="Q449" s="10">
        <v>0.278</v>
      </c>
      <c r="R449" s="10">
        <v>0.7444</v>
      </c>
      <c r="S449" s="10">
        <v>0.2159</v>
      </c>
      <c r="T449" s="8">
        <f>IF(and(ISNUMBER(D449), isnumber(E449)), 1, 0) + IF(and(ISNUMBER(F449), isnumber(G449)), 1, 0) + IF(and(ISNUMBER(H449), isnumber(I449)), 1, 0) + IF(and(ISNUMBER(J449), isnumber(K449)), 1, 0) + IF(and(ISNUMBER(L449), isnumber(M449)), 1, 0) + IF(and(ISNUMBER(N449), isnumber(O449)), 1, 0)</f>
      </c>
      <c r="U449" s="8">
        <f>IF(and(ISNUMBER(P449), isnumber(Q449)), 1, 0) + IF(and(ISNUMBER(R449), isnumber(S449)), 1, 0)</f>
      </c>
      <c r="V449" s="13"/>
      <c r="W449" s="13"/>
      <c r="X449" s="16"/>
    </row>
    <row x14ac:dyDescent="0.25" r="450" customHeight="1" ht="15.75">
      <c r="A450" s="8">
        <v>25577</v>
      </c>
      <c r="B450" s="13" t="s">
        <v>91</v>
      </c>
      <c r="C450" s="13" t="s">
        <v>10408</v>
      </c>
      <c r="D450" s="10">
        <v>0.4091</v>
      </c>
      <c r="E450" s="11">
        <v>91.11</v>
      </c>
      <c r="F450" s="10">
        <v>0.1364</v>
      </c>
      <c r="G450" s="11">
        <v>366.67</v>
      </c>
      <c r="H450" s="10">
        <v>0.0864</v>
      </c>
      <c r="I450" s="11">
        <v>291.43</v>
      </c>
      <c r="J450" s="10" t="s">
        <v>7127</v>
      </c>
      <c r="K450" s="11" t="s">
        <v>7127</v>
      </c>
      <c r="L450" s="10">
        <v>0.0988</v>
      </c>
      <c r="M450" s="11">
        <v>540</v>
      </c>
      <c r="N450" s="10">
        <v>0.2346</v>
      </c>
      <c r="O450" s="11">
        <v>309.47</v>
      </c>
      <c r="P450" s="10">
        <v>0.4091</v>
      </c>
      <c r="Q450" s="10">
        <v>0.204</v>
      </c>
      <c r="R450" s="10" t="s">
        <v>7127</v>
      </c>
      <c r="S450" s="10" t="s">
        <v>7127</v>
      </c>
      <c r="T450" s="8">
        <f>IF(and(ISNUMBER(D450), isnumber(E450)), 1, 0) + IF(and(ISNUMBER(F450), isnumber(G450)), 1, 0) + IF(and(ISNUMBER(H450), isnumber(I450)), 1, 0) + IF(and(ISNUMBER(J450), isnumber(K450)), 1, 0) + IF(and(ISNUMBER(L450), isnumber(M450)), 1, 0) + IF(and(ISNUMBER(N450), isnumber(O450)), 1, 0)</f>
      </c>
      <c r="U450" s="8">
        <f>IF(and(ISNUMBER(P450), isnumber(Q450)), 1, 0) + IF(and(ISNUMBER(R450), isnumber(S450)), 1, 0)</f>
      </c>
      <c r="V450" s="13"/>
      <c r="W450" s="13"/>
      <c r="X450" s="16"/>
    </row>
    <row x14ac:dyDescent="0.25" r="451" customHeight="1" ht="15.75">
      <c r="A451" s="8">
        <v>25578</v>
      </c>
      <c r="B451" s="13" t="s">
        <v>91</v>
      </c>
      <c r="C451" s="13" t="s">
        <v>5340</v>
      </c>
      <c r="D451" s="10">
        <v>0.9292</v>
      </c>
      <c r="E451" s="11">
        <v>148.39</v>
      </c>
      <c r="F451" s="10">
        <v>0.6293</v>
      </c>
      <c r="G451" s="11">
        <v>277.21</v>
      </c>
      <c r="H451" s="10">
        <v>0.5997</v>
      </c>
      <c r="I451" s="11">
        <v>418.78</v>
      </c>
      <c r="J451" s="10">
        <v>0.5898</v>
      </c>
      <c r="K451" s="11">
        <v>242.29</v>
      </c>
      <c r="L451" s="10">
        <v>0.6079</v>
      </c>
      <c r="M451" s="11">
        <v>377.57</v>
      </c>
      <c r="N451" s="10">
        <v>0.0033</v>
      </c>
      <c r="O451" s="11">
        <v>440</v>
      </c>
      <c r="P451" s="10">
        <v>0.9292</v>
      </c>
      <c r="Q451" s="10">
        <v>0.1489</v>
      </c>
      <c r="R451" s="10">
        <v>0.5898</v>
      </c>
      <c r="S451" s="10">
        <v>0.2033</v>
      </c>
      <c r="T451" s="8">
        <f>IF(and(ISNUMBER(D451), isnumber(E451)), 1, 0) + IF(and(ISNUMBER(F451), isnumber(G451)), 1, 0) + IF(and(ISNUMBER(H451), isnumber(I451)), 1, 0) + IF(and(ISNUMBER(J451), isnumber(K451)), 1, 0) + IF(and(ISNUMBER(L451), isnumber(M451)), 1, 0) + IF(and(ISNUMBER(N451), isnumber(O451)), 1, 0)</f>
      </c>
      <c r="U451" s="8">
        <f>IF(and(ISNUMBER(P451), isnumber(Q451)), 1, 0) + IF(and(ISNUMBER(R451), isnumber(S451)), 1, 0)</f>
      </c>
      <c r="V451" s="13"/>
      <c r="W451" s="13"/>
      <c r="X451" s="16"/>
    </row>
    <row x14ac:dyDescent="0.25" r="452" customHeight="1" ht="15.75">
      <c r="A452" s="8">
        <v>25579</v>
      </c>
      <c r="B452" s="13" t="s">
        <v>91</v>
      </c>
      <c r="C452" s="13" t="s">
        <v>5343</v>
      </c>
      <c r="D452" s="10">
        <v>0.5</v>
      </c>
      <c r="E452" s="11">
        <v>177.65</v>
      </c>
      <c r="F452" s="10">
        <v>0.5588</v>
      </c>
      <c r="G452" s="11">
        <v>375.42</v>
      </c>
      <c r="H452" s="10">
        <v>0.2162</v>
      </c>
      <c r="I452" s="11">
        <v>420.95</v>
      </c>
      <c r="J452" s="10">
        <v>0.4432</v>
      </c>
      <c r="K452" s="11">
        <v>213.46</v>
      </c>
      <c r="L452" s="10">
        <v>0.4234</v>
      </c>
      <c r="M452" s="11">
        <v>377.76</v>
      </c>
      <c r="N452" s="10">
        <v>0.2883</v>
      </c>
      <c r="O452" s="11">
        <v>373.28</v>
      </c>
      <c r="P452" s="10">
        <v>0.5</v>
      </c>
      <c r="Q452" s="10">
        <v>0.224</v>
      </c>
      <c r="R452" s="10">
        <v>0.4432</v>
      </c>
      <c r="S452" s="10">
        <v>0.1899</v>
      </c>
      <c r="T452" s="8">
        <f>IF(and(ISNUMBER(D452), isnumber(E452)), 1, 0) + IF(and(ISNUMBER(F452), isnumber(G452)), 1, 0) + IF(and(ISNUMBER(H452), isnumber(I452)), 1, 0) + IF(and(ISNUMBER(J452), isnumber(K452)), 1, 0) + IF(and(ISNUMBER(L452), isnumber(M452)), 1, 0) + IF(and(ISNUMBER(N452), isnumber(O452)), 1, 0)</f>
      </c>
      <c r="U452" s="8">
        <f>IF(and(ISNUMBER(P452), isnumber(Q452)), 1, 0) + IF(and(ISNUMBER(R452), isnumber(S452)), 1, 0)</f>
      </c>
      <c r="V452" s="13"/>
      <c r="W452" s="13"/>
      <c r="X452" s="16"/>
    </row>
    <row x14ac:dyDescent="0.25" r="453" customHeight="1" ht="15.75">
      <c r="A453" s="8">
        <v>25580</v>
      </c>
      <c r="B453" s="13" t="s">
        <v>91</v>
      </c>
      <c r="C453" s="13" t="s">
        <v>5345</v>
      </c>
      <c r="D453" s="10">
        <v>0.7703</v>
      </c>
      <c r="E453" s="11">
        <v>94.96</v>
      </c>
      <c r="F453" s="10">
        <v>0.4211</v>
      </c>
      <c r="G453" s="11">
        <v>190.95</v>
      </c>
      <c r="H453" s="10">
        <v>0.3147</v>
      </c>
      <c r="I453" s="11">
        <v>280.51</v>
      </c>
      <c r="J453" s="10">
        <v>0.605</v>
      </c>
      <c r="K453" s="11">
        <v>155.1</v>
      </c>
      <c r="L453" s="10">
        <v>0.3825</v>
      </c>
      <c r="M453" s="11">
        <v>270.73</v>
      </c>
      <c r="N453" s="10">
        <v>0.3386</v>
      </c>
      <c r="O453" s="11">
        <v>333.01</v>
      </c>
      <c r="P453" s="10">
        <v>0.7703</v>
      </c>
      <c r="Q453" s="10">
        <v>0.2075</v>
      </c>
      <c r="R453" s="10">
        <v>0.605</v>
      </c>
      <c r="S453" s="10">
        <v>0.1952</v>
      </c>
      <c r="T453" s="8">
        <f>IF(and(ISNUMBER(D453), isnumber(E453)), 1, 0) + IF(and(ISNUMBER(F453), isnumber(G453)), 1, 0) + IF(and(ISNUMBER(H453), isnumber(I453)), 1, 0) + IF(and(ISNUMBER(J453), isnumber(K453)), 1, 0) + IF(and(ISNUMBER(L453), isnumber(M453)), 1, 0) + IF(and(ISNUMBER(N453), isnumber(O453)), 1, 0)</f>
      </c>
      <c r="U453" s="8">
        <f>IF(and(ISNUMBER(P453), isnumber(Q453)), 1, 0) + IF(and(ISNUMBER(R453), isnumber(S453)), 1, 0)</f>
      </c>
      <c r="V453" s="13"/>
      <c r="W453" s="13"/>
      <c r="X453" s="16"/>
    </row>
    <row x14ac:dyDescent="0.25" r="454" customHeight="1" ht="15.75">
      <c r="A454" s="8">
        <v>25581</v>
      </c>
      <c r="B454" s="13" t="s">
        <v>91</v>
      </c>
      <c r="C454" s="13" t="s">
        <v>5350</v>
      </c>
      <c r="D454" s="10">
        <v>0.6415</v>
      </c>
      <c r="E454" s="11">
        <v>123.53</v>
      </c>
      <c r="F454" s="10">
        <v>0.566</v>
      </c>
      <c r="G454" s="11">
        <v>320</v>
      </c>
      <c r="H454" s="10">
        <v>0.5472</v>
      </c>
      <c r="I454" s="11">
        <v>241.43</v>
      </c>
      <c r="J454" s="10">
        <v>0.6226</v>
      </c>
      <c r="K454" s="11">
        <v>270.97</v>
      </c>
      <c r="L454" s="10">
        <v>0.4717</v>
      </c>
      <c r="M454" s="11">
        <v>320</v>
      </c>
      <c r="N454" s="10">
        <v>0.4151</v>
      </c>
      <c r="O454" s="11">
        <v>401.9</v>
      </c>
      <c r="P454" s="10">
        <v>0.6415</v>
      </c>
      <c r="Q454" s="10">
        <v>0.2018</v>
      </c>
      <c r="R454" s="10">
        <v>0.6226</v>
      </c>
      <c r="S454" s="10">
        <v>0.2015</v>
      </c>
      <c r="T454" s="8">
        <f>IF(and(ISNUMBER(D454), isnumber(E454)), 1, 0) + IF(and(ISNUMBER(F454), isnumber(G454)), 1, 0) + IF(and(ISNUMBER(H454), isnumber(I454)), 1, 0) + IF(and(ISNUMBER(J454), isnumber(K454)), 1, 0) + IF(and(ISNUMBER(L454), isnumber(M454)), 1, 0) + IF(and(ISNUMBER(N454), isnumber(O454)), 1, 0)</f>
      </c>
      <c r="U454" s="8">
        <f>IF(and(ISNUMBER(P454), isnumber(Q454)), 1, 0) + IF(and(ISNUMBER(R454), isnumber(S454)), 1, 0)</f>
      </c>
      <c r="V454" s="13"/>
      <c r="W454" s="13"/>
      <c r="X454" s="16"/>
    </row>
    <row x14ac:dyDescent="0.25" r="455" customHeight="1" ht="15.75">
      <c r="A455" s="8">
        <v>25582</v>
      </c>
      <c r="B455" s="13" t="s">
        <v>91</v>
      </c>
      <c r="C455" s="13" t="s">
        <v>5353</v>
      </c>
      <c r="D455" s="10">
        <v>0.947</v>
      </c>
      <c r="E455" s="11">
        <v>236.1</v>
      </c>
      <c r="F455" s="10">
        <v>0.9697</v>
      </c>
      <c r="G455" s="11">
        <v>414.71</v>
      </c>
      <c r="H455" s="10">
        <v>0.8523</v>
      </c>
      <c r="I455" s="11">
        <v>498.04</v>
      </c>
      <c r="J455" s="10">
        <v>0.9356</v>
      </c>
      <c r="K455" s="11">
        <v>400</v>
      </c>
      <c r="L455" s="10">
        <v>0.9356</v>
      </c>
      <c r="M455" s="11">
        <v>497.59</v>
      </c>
      <c r="N455" s="10">
        <v>0.9773</v>
      </c>
      <c r="O455" s="11">
        <v>392.22</v>
      </c>
      <c r="P455" s="10">
        <v>0.947</v>
      </c>
      <c r="Q455" s="10">
        <v>0.2365</v>
      </c>
      <c r="R455" s="10">
        <v>0.9356</v>
      </c>
      <c r="S455" s="10">
        <v>0.2323</v>
      </c>
      <c r="T455" s="8">
        <f>IF(and(ISNUMBER(D455), isnumber(E455)), 1, 0) + IF(and(ISNUMBER(F455), isnumber(G455)), 1, 0) + IF(and(ISNUMBER(H455), isnumber(I455)), 1, 0) + IF(and(ISNUMBER(J455), isnumber(K455)), 1, 0) + IF(and(ISNUMBER(L455), isnumber(M455)), 1, 0) + IF(and(ISNUMBER(N455), isnumber(O455)), 1, 0)</f>
      </c>
      <c r="U455" s="8">
        <f>IF(and(ISNUMBER(P455), isnumber(Q455)), 1, 0) + IF(and(ISNUMBER(R455), isnumber(S455)), 1, 0)</f>
      </c>
      <c r="V455" s="13"/>
      <c r="W455" s="13"/>
      <c r="X455" s="16"/>
    </row>
    <row x14ac:dyDescent="0.25" r="456" customHeight="1" ht="15.75">
      <c r="A456" s="8">
        <v>25583</v>
      </c>
      <c r="B456" s="13" t="s">
        <v>91</v>
      </c>
      <c r="C456" s="13" t="s">
        <v>5357</v>
      </c>
      <c r="D456" s="10">
        <v>0.6836</v>
      </c>
      <c r="E456" s="11">
        <v>195.83</v>
      </c>
      <c r="F456" s="10">
        <v>0.6818</v>
      </c>
      <c r="G456" s="11">
        <v>353.21</v>
      </c>
      <c r="H456" s="10">
        <v>0.6276</v>
      </c>
      <c r="I456" s="11">
        <v>388.06</v>
      </c>
      <c r="J456" s="10">
        <v>0.6626</v>
      </c>
      <c r="K456" s="11">
        <v>304.76</v>
      </c>
      <c r="L456" s="10">
        <v>0.6888</v>
      </c>
      <c r="M456" s="11">
        <v>361.86</v>
      </c>
      <c r="N456" s="10">
        <v>0.5769</v>
      </c>
      <c r="O456" s="11">
        <v>381.35</v>
      </c>
      <c r="P456" s="10">
        <v>0.6836</v>
      </c>
      <c r="Q456" s="10">
        <v>0.2329</v>
      </c>
      <c r="R456" s="10">
        <v>0.6626</v>
      </c>
      <c r="S456" s="10">
        <v>0.2059</v>
      </c>
      <c r="T456" s="8">
        <f>IF(and(ISNUMBER(D456), isnumber(E456)), 1, 0) + IF(and(ISNUMBER(F456), isnumber(G456)), 1, 0) + IF(and(ISNUMBER(H456), isnumber(I456)), 1, 0) + IF(and(ISNUMBER(J456), isnumber(K456)), 1, 0) + IF(and(ISNUMBER(L456), isnumber(M456)), 1, 0) + IF(and(ISNUMBER(N456), isnumber(O456)), 1, 0)</f>
      </c>
      <c r="U456" s="8">
        <f>IF(and(ISNUMBER(P456), isnumber(Q456)), 1, 0) + IF(and(ISNUMBER(R456), isnumber(S456)), 1, 0)</f>
      </c>
      <c r="V456" s="13"/>
      <c r="W456" s="13"/>
      <c r="X456" s="16"/>
    </row>
    <row x14ac:dyDescent="0.25" r="457" customHeight="1" ht="15.75">
      <c r="A457" s="8">
        <v>25584</v>
      </c>
      <c r="B457" s="13" t="s">
        <v>91</v>
      </c>
      <c r="C457" s="13" t="s">
        <v>5361</v>
      </c>
      <c r="D457" s="10">
        <v>0.521</v>
      </c>
      <c r="E457" s="11">
        <v>106.98</v>
      </c>
      <c r="F457" s="10">
        <v>0.3473</v>
      </c>
      <c r="G457" s="11">
        <v>260.35</v>
      </c>
      <c r="H457" s="10">
        <v>0.3832</v>
      </c>
      <c r="I457" s="11">
        <v>383.75</v>
      </c>
      <c r="J457" s="10">
        <v>0.497</v>
      </c>
      <c r="K457" s="11">
        <v>277.5</v>
      </c>
      <c r="L457" s="10">
        <v>0.4192</v>
      </c>
      <c r="M457" s="11">
        <v>396</v>
      </c>
      <c r="N457" s="10">
        <v>0.4251</v>
      </c>
      <c r="O457" s="11">
        <v>411.43</v>
      </c>
      <c r="P457" s="10">
        <v>0.521</v>
      </c>
      <c r="Q457" s="10">
        <v>0.2087</v>
      </c>
      <c r="R457" s="10">
        <v>0.497</v>
      </c>
      <c r="S457" s="10">
        <v>0.2008</v>
      </c>
      <c r="T457" s="8">
        <f>IF(and(ISNUMBER(D457), isnumber(E457)), 1, 0) + IF(and(ISNUMBER(F457), isnumber(G457)), 1, 0) + IF(and(ISNUMBER(H457), isnumber(I457)), 1, 0) + IF(and(ISNUMBER(J457), isnumber(K457)), 1, 0) + IF(and(ISNUMBER(L457), isnumber(M457)), 1, 0) + IF(and(ISNUMBER(N457), isnumber(O457)), 1, 0)</f>
      </c>
      <c r="U457" s="8">
        <f>IF(and(ISNUMBER(P457), isnumber(Q457)), 1, 0) + IF(and(ISNUMBER(R457), isnumber(S457)), 1, 0)</f>
      </c>
      <c r="V457" s="13"/>
      <c r="W457" s="13"/>
      <c r="X457" s="16"/>
    </row>
    <row x14ac:dyDescent="0.25" r="458" customHeight="1" ht="15.75">
      <c r="A458" s="8">
        <v>25585</v>
      </c>
      <c r="B458" s="13" t="s">
        <v>91</v>
      </c>
      <c r="C458" s="13" t="s">
        <v>5364</v>
      </c>
      <c r="D458" s="10">
        <v>0.9858</v>
      </c>
      <c r="E458" s="11">
        <v>246.44</v>
      </c>
      <c r="F458" s="10">
        <v>0.9929</v>
      </c>
      <c r="G458" s="11">
        <v>380.77</v>
      </c>
      <c r="H458" s="10">
        <v>0.8345</v>
      </c>
      <c r="I458" s="11">
        <v>466.86</v>
      </c>
      <c r="J458" s="10">
        <v>0.7423</v>
      </c>
      <c r="K458" s="11">
        <v>441.66</v>
      </c>
      <c r="L458" s="10">
        <v>0.4515</v>
      </c>
      <c r="M458" s="11">
        <v>492.15</v>
      </c>
      <c r="N458" s="10">
        <v>0.6927</v>
      </c>
      <c r="O458" s="11">
        <v>445.66</v>
      </c>
      <c r="P458" s="10">
        <v>0.9858</v>
      </c>
      <c r="Q458" s="10">
        <v>0.1929</v>
      </c>
      <c r="R458" s="10">
        <v>0.7423</v>
      </c>
      <c r="S458" s="10">
        <v>0.2161</v>
      </c>
      <c r="T458" s="8">
        <f>IF(and(ISNUMBER(D458), isnumber(E458)), 1, 0) + IF(and(ISNUMBER(F458), isnumber(G458)), 1, 0) + IF(and(ISNUMBER(H458), isnumber(I458)), 1, 0) + IF(and(ISNUMBER(J458), isnumber(K458)), 1, 0) + IF(and(ISNUMBER(L458), isnumber(M458)), 1, 0) + IF(and(ISNUMBER(N458), isnumber(O458)), 1, 0)</f>
      </c>
      <c r="U458" s="8">
        <f>IF(and(ISNUMBER(P458), isnumber(Q458)), 1, 0) + IF(and(ISNUMBER(R458), isnumber(S458)), 1, 0)</f>
      </c>
      <c r="V458" s="13"/>
      <c r="W458" s="13"/>
      <c r="X458" s="16"/>
    </row>
    <row x14ac:dyDescent="0.25" r="459" customHeight="1" ht="15.75">
      <c r="A459" s="8">
        <v>25586</v>
      </c>
      <c r="B459" s="13" t="s">
        <v>91</v>
      </c>
      <c r="C459" s="13" t="s">
        <v>5368</v>
      </c>
      <c r="D459" s="10">
        <v>0.8301</v>
      </c>
      <c r="E459" s="11">
        <v>179.53</v>
      </c>
      <c r="F459" s="10">
        <v>0.671</v>
      </c>
      <c r="G459" s="11">
        <v>356.29</v>
      </c>
      <c r="H459" s="10">
        <v>0.6144</v>
      </c>
      <c r="I459" s="11">
        <v>399.12</v>
      </c>
      <c r="J459" s="10">
        <v>0.6453</v>
      </c>
      <c r="K459" s="11">
        <v>334.53</v>
      </c>
      <c r="L459" s="10">
        <v>0.5728</v>
      </c>
      <c r="M459" s="11">
        <v>390.24</v>
      </c>
      <c r="N459" s="10">
        <v>0.0038</v>
      </c>
      <c r="O459" s="11" t="s">
        <v>7127</v>
      </c>
      <c r="P459" s="10">
        <v>0.8301</v>
      </c>
      <c r="Q459" s="10">
        <v>0.1804</v>
      </c>
      <c r="R459" s="10">
        <v>0.6453</v>
      </c>
      <c r="S459" s="10">
        <v>0.2033</v>
      </c>
      <c r="T459" s="8">
        <f>IF(and(ISNUMBER(D459), isnumber(E459)), 1, 0) + IF(and(ISNUMBER(F459), isnumber(G459)), 1, 0) + IF(and(ISNUMBER(H459), isnumber(I459)), 1, 0) + IF(and(ISNUMBER(J459), isnumber(K459)), 1, 0) + IF(and(ISNUMBER(L459), isnumber(M459)), 1, 0) + IF(and(ISNUMBER(N459), isnumber(O459)), 1, 0)</f>
      </c>
      <c r="U459" s="8">
        <f>IF(and(ISNUMBER(P459), isnumber(Q459)), 1, 0) + IF(and(ISNUMBER(R459), isnumber(S459)), 1, 0)</f>
      </c>
      <c r="V459" s="13"/>
      <c r="W459" s="13"/>
      <c r="X459" s="16"/>
    </row>
    <row x14ac:dyDescent="0.25" r="460" customHeight="1" ht="15.75">
      <c r="A460" s="8">
        <v>25587</v>
      </c>
      <c r="B460" s="13" t="s">
        <v>91</v>
      </c>
      <c r="C460" s="13" t="s">
        <v>5371</v>
      </c>
      <c r="D460" s="10">
        <v>0.7975</v>
      </c>
      <c r="E460" s="11">
        <v>220.42</v>
      </c>
      <c r="F460" s="10">
        <v>0.6962</v>
      </c>
      <c r="G460" s="11">
        <v>359.26</v>
      </c>
      <c r="H460" s="10">
        <v>0.6404</v>
      </c>
      <c r="I460" s="11">
        <v>397.67</v>
      </c>
      <c r="J460" s="10">
        <v>0.742</v>
      </c>
      <c r="K460" s="11">
        <v>253.39</v>
      </c>
      <c r="L460" s="10">
        <v>0.6057</v>
      </c>
      <c r="M460" s="11">
        <v>407.5</v>
      </c>
      <c r="N460" s="10">
        <v>0.5457</v>
      </c>
      <c r="O460" s="11">
        <v>406.48</v>
      </c>
      <c r="P460" s="10">
        <v>0.7975</v>
      </c>
      <c r="Q460" s="10">
        <v>0.2301</v>
      </c>
      <c r="R460" s="10">
        <v>0.742</v>
      </c>
      <c r="S460" s="10">
        <v>0.2057</v>
      </c>
      <c r="T460" s="8">
        <f>IF(and(ISNUMBER(D460), isnumber(E460)), 1, 0) + IF(and(ISNUMBER(F460), isnumber(G460)), 1, 0) + IF(and(ISNUMBER(H460), isnumber(I460)), 1, 0) + IF(and(ISNUMBER(J460), isnumber(K460)), 1, 0) + IF(and(ISNUMBER(L460), isnumber(M460)), 1, 0) + IF(and(ISNUMBER(N460), isnumber(O460)), 1, 0)</f>
      </c>
      <c r="U460" s="8">
        <f>IF(and(ISNUMBER(P460), isnumber(Q460)), 1, 0) + IF(and(ISNUMBER(R460), isnumber(S460)), 1, 0)</f>
      </c>
      <c r="V460" s="13"/>
      <c r="W460" s="13"/>
      <c r="X460" s="16"/>
    </row>
    <row x14ac:dyDescent="0.25" r="461" customHeight="1" ht="15.75">
      <c r="A461" s="8">
        <v>25545</v>
      </c>
      <c r="B461" s="13" t="s">
        <v>91</v>
      </c>
      <c r="C461" s="13" t="s">
        <v>5375</v>
      </c>
      <c r="D461" s="10">
        <v>0.6538</v>
      </c>
      <c r="E461" s="11">
        <v>304.47</v>
      </c>
      <c r="F461" s="10">
        <v>0.6462</v>
      </c>
      <c r="G461" s="11">
        <v>519.52</v>
      </c>
      <c r="H461" s="10">
        <v>0.7385</v>
      </c>
      <c r="I461" s="11">
        <v>517.45</v>
      </c>
      <c r="J461" s="10">
        <v>0.6923</v>
      </c>
      <c r="K461" s="11">
        <v>391.91</v>
      </c>
      <c r="L461" s="10">
        <v>0.7538</v>
      </c>
      <c r="M461" s="11">
        <v>520</v>
      </c>
      <c r="N461" s="10">
        <v>0.7154</v>
      </c>
      <c r="O461" s="11">
        <v>541.3</v>
      </c>
      <c r="P461" s="10">
        <v>0.6538</v>
      </c>
      <c r="Q461" s="10">
        <v>0.2482</v>
      </c>
      <c r="R461" s="10">
        <v>0.6923</v>
      </c>
      <c r="S461" s="10">
        <v>0.2068</v>
      </c>
      <c r="T461" s="8">
        <f>IF(and(ISNUMBER(D461), isnumber(E461)), 1, 0) + IF(and(ISNUMBER(F461), isnumber(G461)), 1, 0) + IF(and(ISNUMBER(H461), isnumber(I461)), 1, 0) + IF(and(ISNUMBER(J461), isnumber(K461)), 1, 0) + IF(and(ISNUMBER(L461), isnumber(M461)), 1, 0) + IF(and(ISNUMBER(N461), isnumber(O461)), 1, 0)</f>
      </c>
      <c r="U461" s="8">
        <f>IF(and(ISNUMBER(P461), isnumber(Q461)), 1, 0) + IF(and(ISNUMBER(R461), isnumber(S461)), 1, 0)</f>
      </c>
      <c r="V461" s="13"/>
      <c r="W461" s="13"/>
      <c r="X461" s="16"/>
    </row>
    <row x14ac:dyDescent="0.25" r="462" customHeight="1" ht="15.75">
      <c r="A462" s="8">
        <v>25588</v>
      </c>
      <c r="B462" s="13" t="s">
        <v>91</v>
      </c>
      <c r="C462" s="13" t="s">
        <v>5377</v>
      </c>
      <c r="D462" s="10">
        <v>0.5568</v>
      </c>
      <c r="E462" s="11">
        <v>224.06</v>
      </c>
      <c r="F462" s="10">
        <v>0.3466</v>
      </c>
      <c r="G462" s="11">
        <v>369.56</v>
      </c>
      <c r="H462" s="10">
        <v>0.3206</v>
      </c>
      <c r="I462" s="11" t="s">
        <v>7127</v>
      </c>
      <c r="J462" s="10">
        <v>0.4365</v>
      </c>
      <c r="K462" s="11">
        <v>340.15</v>
      </c>
      <c r="L462" s="10">
        <v>0.0144</v>
      </c>
      <c r="M462" s="11" t="s">
        <v>7127</v>
      </c>
      <c r="N462" s="10">
        <v>0</v>
      </c>
      <c r="O462" s="11" t="s">
        <v>7127</v>
      </c>
      <c r="P462" s="10">
        <v>0.5568</v>
      </c>
      <c r="Q462" s="10">
        <v>0.2202</v>
      </c>
      <c r="R462" s="10">
        <v>0.4365</v>
      </c>
      <c r="S462" s="10">
        <v>0.1802</v>
      </c>
      <c r="T462" s="8">
        <f>IF(and(ISNUMBER(D462), isnumber(E462)), 1, 0) + IF(and(ISNUMBER(F462), isnumber(G462)), 1, 0) + IF(and(ISNUMBER(H462), isnumber(I462)), 1, 0) + IF(and(ISNUMBER(J462), isnumber(K462)), 1, 0) + IF(and(ISNUMBER(L462), isnumber(M462)), 1, 0) + IF(and(ISNUMBER(N462), isnumber(O462)), 1, 0)</f>
      </c>
      <c r="U462" s="8">
        <f>IF(and(ISNUMBER(P462), isnumber(Q462)), 1, 0) + IF(and(ISNUMBER(R462), isnumber(S462)), 1, 0)</f>
      </c>
      <c r="V462" s="13"/>
      <c r="W462" s="13"/>
      <c r="X462" s="16"/>
    </row>
    <row x14ac:dyDescent="0.25" r="463" customHeight="1" ht="15.75">
      <c r="A463" s="8">
        <v>25589</v>
      </c>
      <c r="B463" s="13" t="s">
        <v>91</v>
      </c>
      <c r="C463" s="13" t="s">
        <v>5382</v>
      </c>
      <c r="D463" s="10">
        <v>0.9363</v>
      </c>
      <c r="E463" s="11">
        <v>151.38</v>
      </c>
      <c r="F463" s="10">
        <v>0.9639</v>
      </c>
      <c r="G463" s="11">
        <v>266.55</v>
      </c>
      <c r="H463" s="10">
        <v>0.6378</v>
      </c>
      <c r="I463" s="11">
        <v>392.43</v>
      </c>
      <c r="J463" s="10">
        <v>0.8897</v>
      </c>
      <c r="K463" s="11">
        <v>209.71</v>
      </c>
      <c r="L463" s="10">
        <v>0.5608</v>
      </c>
      <c r="M463" s="11">
        <v>368.14</v>
      </c>
      <c r="N463" s="10">
        <v>0.2614</v>
      </c>
      <c r="O463" s="11">
        <v>393.38</v>
      </c>
      <c r="P463" s="10">
        <v>0.9363</v>
      </c>
      <c r="Q463" s="10">
        <v>0.1627</v>
      </c>
      <c r="R463" s="10">
        <v>0.8897</v>
      </c>
      <c r="S463" s="10">
        <v>0.1241</v>
      </c>
      <c r="T463" s="8">
        <f>IF(and(ISNUMBER(D463), isnumber(E463)), 1, 0) + IF(and(ISNUMBER(F463), isnumber(G463)), 1, 0) + IF(and(ISNUMBER(H463), isnumber(I463)), 1, 0) + IF(and(ISNUMBER(J463), isnumber(K463)), 1, 0) + IF(and(ISNUMBER(L463), isnumber(M463)), 1, 0) + IF(and(ISNUMBER(N463), isnumber(O463)), 1, 0)</f>
      </c>
      <c r="U463" s="8">
        <f>IF(and(ISNUMBER(P463), isnumber(Q463)), 1, 0) + IF(and(ISNUMBER(R463), isnumber(S463)), 1, 0)</f>
      </c>
      <c r="V463" s="13"/>
      <c r="W463" s="13"/>
      <c r="X463" s="16"/>
    </row>
    <row x14ac:dyDescent="0.25" r="464" customHeight="1" ht="15.75">
      <c r="A464" s="8">
        <v>25590</v>
      </c>
      <c r="B464" s="13" t="s">
        <v>91</v>
      </c>
      <c r="C464" s="13" t="s">
        <v>5387</v>
      </c>
      <c r="D464" s="10">
        <v>0.6868</v>
      </c>
      <c r="E464" s="11">
        <v>153.97</v>
      </c>
      <c r="F464" s="10">
        <v>0.5201</v>
      </c>
      <c r="G464" s="11">
        <v>207.01</v>
      </c>
      <c r="H464" s="10">
        <v>0.4397</v>
      </c>
      <c r="I464" s="11">
        <v>284.53</v>
      </c>
      <c r="J464" s="10">
        <v>0.4339</v>
      </c>
      <c r="K464" s="11">
        <v>142.02</v>
      </c>
      <c r="L464" s="10">
        <v>0.3075</v>
      </c>
      <c r="M464" s="11">
        <v>259.81</v>
      </c>
      <c r="N464" s="10">
        <v>0.2184</v>
      </c>
      <c r="O464" s="11">
        <v>330.67</v>
      </c>
      <c r="P464" s="10">
        <v>0.6868</v>
      </c>
      <c r="Q464" s="10">
        <v>0.1946</v>
      </c>
      <c r="R464" s="10">
        <v>0.4339</v>
      </c>
      <c r="S464" s="10">
        <v>0.1966</v>
      </c>
      <c r="T464" s="8">
        <f>IF(and(ISNUMBER(D464), isnumber(E464)), 1, 0) + IF(and(ISNUMBER(F464), isnumber(G464)), 1, 0) + IF(and(ISNUMBER(H464), isnumber(I464)), 1, 0) + IF(and(ISNUMBER(J464), isnumber(K464)), 1, 0) + IF(and(ISNUMBER(L464), isnumber(M464)), 1, 0) + IF(and(ISNUMBER(N464), isnumber(O464)), 1, 0)</f>
      </c>
      <c r="U464" s="8">
        <f>IF(and(ISNUMBER(P464), isnumber(Q464)), 1, 0) + IF(and(ISNUMBER(R464), isnumber(S464)), 1, 0)</f>
      </c>
      <c r="V464" s="13"/>
      <c r="W464" s="13"/>
      <c r="X464" s="16"/>
    </row>
    <row x14ac:dyDescent="0.25" r="465" customHeight="1" ht="15.75">
      <c r="A465" s="8">
        <v>25591</v>
      </c>
      <c r="B465" s="13" t="s">
        <v>91</v>
      </c>
      <c r="C465" s="13" t="s">
        <v>5390</v>
      </c>
      <c r="D465" s="10">
        <v>0.9685</v>
      </c>
      <c r="E465" s="11">
        <v>189.45</v>
      </c>
      <c r="F465" s="10">
        <v>0.9799</v>
      </c>
      <c r="G465" s="11">
        <v>212.44</v>
      </c>
      <c r="H465" s="10">
        <v>0.6762</v>
      </c>
      <c r="I465" s="11">
        <v>368.71</v>
      </c>
      <c r="J465" s="10">
        <v>0.6705</v>
      </c>
      <c r="K465" s="11">
        <v>228.18</v>
      </c>
      <c r="L465" s="10">
        <v>0.6648</v>
      </c>
      <c r="M465" s="11">
        <v>380.04</v>
      </c>
      <c r="N465" s="10">
        <v>0.288</v>
      </c>
      <c r="O465" s="11">
        <v>305.1</v>
      </c>
      <c r="P465" s="10">
        <v>0.9685</v>
      </c>
      <c r="Q465" s="10">
        <v>0.1571</v>
      </c>
      <c r="R465" s="10">
        <v>0.6705</v>
      </c>
      <c r="S465" s="10">
        <v>0.1953</v>
      </c>
      <c r="T465" s="8">
        <f>IF(and(ISNUMBER(D465), isnumber(E465)), 1, 0) + IF(and(ISNUMBER(F465), isnumber(G465)), 1, 0) + IF(and(ISNUMBER(H465), isnumber(I465)), 1, 0) + IF(and(ISNUMBER(J465), isnumber(K465)), 1, 0) + IF(and(ISNUMBER(L465), isnumber(M465)), 1, 0) + IF(and(ISNUMBER(N465), isnumber(O465)), 1, 0)</f>
      </c>
      <c r="U465" s="8">
        <f>IF(and(ISNUMBER(P465), isnumber(Q465)), 1, 0) + IF(and(ISNUMBER(R465), isnumber(S465)), 1, 0)</f>
      </c>
      <c r="V465" s="13"/>
      <c r="W465" s="13"/>
      <c r="X465" s="16"/>
    </row>
    <row x14ac:dyDescent="0.25" r="466" customHeight="1" ht="15.75">
      <c r="A466" s="8">
        <v>25592</v>
      </c>
      <c r="B466" s="13" t="s">
        <v>91</v>
      </c>
      <c r="C466" s="13" t="s">
        <v>5394</v>
      </c>
      <c r="D466" s="10">
        <v>0.5567</v>
      </c>
      <c r="E466" s="11">
        <v>84.71</v>
      </c>
      <c r="F466" s="10">
        <v>0.4926</v>
      </c>
      <c r="G466" s="11">
        <v>306</v>
      </c>
      <c r="H466" s="10">
        <v>0.4167</v>
      </c>
      <c r="I466" s="11">
        <v>345.14</v>
      </c>
      <c r="J466" s="10">
        <v>0.5816</v>
      </c>
      <c r="K466" s="11" t="s">
        <v>7127</v>
      </c>
      <c r="L466" s="10">
        <v>0.3684</v>
      </c>
      <c r="M466" s="11">
        <v>360.6</v>
      </c>
      <c r="N466" s="10">
        <v>0</v>
      </c>
      <c r="O466" s="11" t="s">
        <v>7127</v>
      </c>
      <c r="P466" s="10">
        <v>0.5567</v>
      </c>
      <c r="Q466" s="10">
        <v>0.202</v>
      </c>
      <c r="R466" s="10">
        <v>0.5816</v>
      </c>
      <c r="S466" s="10">
        <v>0.1959</v>
      </c>
      <c r="T466" s="8">
        <f>IF(and(ISNUMBER(D466), isnumber(E466)), 1, 0) + IF(and(ISNUMBER(F466), isnumber(G466)), 1, 0) + IF(and(ISNUMBER(H466), isnumber(I466)), 1, 0) + IF(and(ISNUMBER(J466), isnumber(K466)), 1, 0) + IF(and(ISNUMBER(L466), isnumber(M466)), 1, 0) + IF(and(ISNUMBER(N466), isnumber(O466)), 1, 0)</f>
      </c>
      <c r="U466" s="8">
        <f>IF(and(ISNUMBER(P466), isnumber(Q466)), 1, 0) + IF(and(ISNUMBER(R466), isnumber(S466)), 1, 0)</f>
      </c>
      <c r="V466" s="13"/>
      <c r="W466" s="13"/>
      <c r="X466" s="16"/>
    </row>
    <row x14ac:dyDescent="0.25" r="467" customHeight="1" ht="15.75">
      <c r="A467" s="8">
        <v>25593</v>
      </c>
      <c r="B467" s="13" t="s">
        <v>91</v>
      </c>
      <c r="C467" s="13" t="s">
        <v>5397</v>
      </c>
      <c r="D467" s="10">
        <v>0.6988</v>
      </c>
      <c r="E467" s="11">
        <v>193.33</v>
      </c>
      <c r="F467" s="10">
        <v>0.6596</v>
      </c>
      <c r="G467" s="11">
        <v>297.43</v>
      </c>
      <c r="H467" s="10">
        <v>0.5663</v>
      </c>
      <c r="I467" s="11">
        <v>354.65</v>
      </c>
      <c r="J467" s="10">
        <v>0.5843</v>
      </c>
      <c r="K467" s="11">
        <v>216.22</v>
      </c>
      <c r="L467" s="10">
        <v>0.3765</v>
      </c>
      <c r="M467" s="11">
        <v>333.76</v>
      </c>
      <c r="N467" s="10">
        <v>0.006</v>
      </c>
      <c r="O467" s="11">
        <v>400</v>
      </c>
      <c r="P467" s="10">
        <v>0.6988</v>
      </c>
      <c r="Q467" s="10">
        <v>0.1983</v>
      </c>
      <c r="R467" s="10">
        <v>0.5843</v>
      </c>
      <c r="S467" s="10">
        <v>0.1894</v>
      </c>
      <c r="T467" s="8">
        <f>IF(and(ISNUMBER(D467), isnumber(E467)), 1, 0) + IF(and(ISNUMBER(F467), isnumber(G467)), 1, 0) + IF(and(ISNUMBER(H467), isnumber(I467)), 1, 0) + IF(and(ISNUMBER(J467), isnumber(K467)), 1, 0) + IF(and(ISNUMBER(L467), isnumber(M467)), 1, 0) + IF(and(ISNUMBER(N467), isnumber(O467)), 1, 0)</f>
      </c>
      <c r="U467" s="8">
        <f>IF(and(ISNUMBER(P467), isnumber(Q467)), 1, 0) + IF(and(ISNUMBER(R467), isnumber(S467)), 1, 0)</f>
      </c>
      <c r="V467" s="13"/>
      <c r="W467" s="13"/>
      <c r="X467" s="16"/>
    </row>
    <row x14ac:dyDescent="0.25" r="468" customHeight="1" ht="15.75">
      <c r="A468" s="8">
        <v>25594</v>
      </c>
      <c r="B468" s="13" t="s">
        <v>91</v>
      </c>
      <c r="C468" s="13" t="s">
        <v>4686</v>
      </c>
      <c r="D468" s="10">
        <v>0.5524</v>
      </c>
      <c r="E468" s="11">
        <v>99.59</v>
      </c>
      <c r="F468" s="10">
        <v>0.381</v>
      </c>
      <c r="G468" s="11">
        <v>323</v>
      </c>
      <c r="H468" s="10">
        <v>0.4233</v>
      </c>
      <c r="I468" s="11">
        <v>385.17</v>
      </c>
      <c r="J468" s="10">
        <v>0.3243</v>
      </c>
      <c r="K468" s="11">
        <v>284.06</v>
      </c>
      <c r="L468" s="10">
        <v>0.3175</v>
      </c>
      <c r="M468" s="11">
        <v>384.85</v>
      </c>
      <c r="N468" s="10">
        <v>0.3439</v>
      </c>
      <c r="O468" s="11">
        <v>400.23</v>
      </c>
      <c r="P468" s="10">
        <v>0.5524</v>
      </c>
      <c r="Q468" s="10">
        <v>0.2171</v>
      </c>
      <c r="R468" s="10">
        <v>0.3243</v>
      </c>
      <c r="S468" s="10">
        <v>0.1918</v>
      </c>
      <c r="T468" s="8">
        <f>IF(and(ISNUMBER(D468), isnumber(E468)), 1, 0) + IF(and(ISNUMBER(F468), isnumber(G468)), 1, 0) + IF(and(ISNUMBER(H468), isnumber(I468)), 1, 0) + IF(and(ISNUMBER(J468), isnumber(K468)), 1, 0) + IF(and(ISNUMBER(L468), isnumber(M468)), 1, 0) + IF(and(ISNUMBER(N468), isnumber(O468)), 1, 0)</f>
      </c>
      <c r="U468" s="8">
        <f>IF(and(ISNUMBER(P468), isnumber(Q468)), 1, 0) + IF(and(ISNUMBER(R468), isnumber(S468)), 1, 0)</f>
      </c>
      <c r="V468" s="13"/>
      <c r="W468" s="13"/>
      <c r="X468" s="16"/>
    </row>
    <row x14ac:dyDescent="0.25" r="469" customHeight="1" ht="15.75">
      <c r="A469" s="8">
        <v>25595</v>
      </c>
      <c r="B469" s="13" t="s">
        <v>91</v>
      </c>
      <c r="C469" s="13" t="s">
        <v>5399</v>
      </c>
      <c r="D469" s="10">
        <v>0.5281</v>
      </c>
      <c r="E469" s="11">
        <v>85.33</v>
      </c>
      <c r="F469" s="10">
        <v>0.3315</v>
      </c>
      <c r="G469" s="11">
        <v>273.68</v>
      </c>
      <c r="H469" s="10">
        <v>0.3579</v>
      </c>
      <c r="I469" s="11">
        <v>250</v>
      </c>
      <c r="J469" s="10">
        <v>0.3421</v>
      </c>
      <c r="K469" s="11">
        <v>68.31</v>
      </c>
      <c r="L469" s="10">
        <v>0.3158</v>
      </c>
      <c r="M469" s="11">
        <v>260.69</v>
      </c>
      <c r="N469" s="10">
        <v>0.4263</v>
      </c>
      <c r="O469" s="11">
        <v>281.5</v>
      </c>
      <c r="P469" s="10">
        <v>0.5281</v>
      </c>
      <c r="Q469" s="10">
        <v>0.1962</v>
      </c>
      <c r="R469" s="10">
        <v>0.3421</v>
      </c>
      <c r="S469" s="10">
        <v>0.1975</v>
      </c>
      <c r="T469" s="8">
        <f>IF(and(ISNUMBER(D469), isnumber(E469)), 1, 0) + IF(and(ISNUMBER(F469), isnumber(G469)), 1, 0) + IF(and(ISNUMBER(H469), isnumber(I469)), 1, 0) + IF(and(ISNUMBER(J469), isnumber(K469)), 1, 0) + IF(and(ISNUMBER(L469), isnumber(M469)), 1, 0) + IF(and(ISNUMBER(N469), isnumber(O469)), 1, 0)</f>
      </c>
      <c r="U469" s="8">
        <f>IF(and(ISNUMBER(P469), isnumber(Q469)), 1, 0) + IF(and(ISNUMBER(R469), isnumber(S469)), 1, 0)</f>
      </c>
      <c r="V469" s="13"/>
      <c r="W469" s="13"/>
      <c r="X469" s="16"/>
    </row>
    <row x14ac:dyDescent="0.25" r="470" customHeight="1" ht="15.75">
      <c r="A470" s="8">
        <v>25596</v>
      </c>
      <c r="B470" s="13" t="s">
        <v>91</v>
      </c>
      <c r="C470" s="13" t="s">
        <v>5402</v>
      </c>
      <c r="D470" s="10">
        <v>0.8327</v>
      </c>
      <c r="E470" s="11">
        <v>265.84</v>
      </c>
      <c r="F470" s="10">
        <v>0.9269</v>
      </c>
      <c r="G470" s="11">
        <v>270.81</v>
      </c>
      <c r="H470" s="10">
        <v>0.6322</v>
      </c>
      <c r="I470" s="11">
        <v>371.8</v>
      </c>
      <c r="J470" s="10">
        <v>0.5617</v>
      </c>
      <c r="K470" s="11">
        <v>299.16</v>
      </c>
      <c r="L470" s="10">
        <v>0.4577</v>
      </c>
      <c r="M470" s="11">
        <v>331.98</v>
      </c>
      <c r="N470" s="10">
        <v>0.4256</v>
      </c>
      <c r="O470" s="11" t="s">
        <v>7127</v>
      </c>
      <c r="P470" s="10">
        <v>0.8327</v>
      </c>
      <c r="Q470" s="10">
        <v>0.1815</v>
      </c>
      <c r="R470" s="10">
        <v>0.5617</v>
      </c>
      <c r="S470" s="10">
        <v>0.2115</v>
      </c>
      <c r="T470" s="8">
        <f>IF(and(ISNUMBER(D470), isnumber(E470)), 1, 0) + IF(and(ISNUMBER(F470), isnumber(G470)), 1, 0) + IF(and(ISNUMBER(H470), isnumber(I470)), 1, 0) + IF(and(ISNUMBER(J470), isnumber(K470)), 1, 0) + IF(and(ISNUMBER(L470), isnumber(M470)), 1, 0) + IF(and(ISNUMBER(N470), isnumber(O470)), 1, 0)</f>
      </c>
      <c r="U470" s="8">
        <f>IF(and(ISNUMBER(P470), isnumber(Q470)), 1, 0) + IF(and(ISNUMBER(R470), isnumber(S470)), 1, 0)</f>
      </c>
      <c r="V470" s="13"/>
      <c r="W470" s="13"/>
      <c r="X470" s="16"/>
    </row>
    <row x14ac:dyDescent="0.25" r="471" customHeight="1" ht="15.75">
      <c r="A471" s="8">
        <v>25597</v>
      </c>
      <c r="B471" s="13" t="s">
        <v>91</v>
      </c>
      <c r="C471" s="13" t="s">
        <v>5405</v>
      </c>
      <c r="D471" s="10">
        <v>0.3304</v>
      </c>
      <c r="E471" s="11">
        <v>240</v>
      </c>
      <c r="F471" s="10">
        <v>0.0261</v>
      </c>
      <c r="G471" s="11">
        <v>0</v>
      </c>
      <c r="H471" s="10">
        <v>0.4348</v>
      </c>
      <c r="I471" s="11">
        <v>265.6</v>
      </c>
      <c r="J471" s="10">
        <v>0.4957</v>
      </c>
      <c r="K471" s="11">
        <v>203.64</v>
      </c>
      <c r="L471" s="10">
        <v>0.1391</v>
      </c>
      <c r="M471" s="11">
        <v>452.5</v>
      </c>
      <c r="N471" s="10">
        <v>0.0087</v>
      </c>
      <c r="O471" s="11">
        <v>600</v>
      </c>
      <c r="P471" s="10">
        <v>0.3304</v>
      </c>
      <c r="Q471" s="10">
        <v>0.2288</v>
      </c>
      <c r="R471" s="10">
        <v>0.4957</v>
      </c>
      <c r="S471" s="10">
        <v>0.197</v>
      </c>
      <c r="T471" s="8">
        <f>IF(and(ISNUMBER(D471), isnumber(E471)), 1, 0) + IF(and(ISNUMBER(F471), isnumber(G471)), 1, 0) + IF(and(ISNUMBER(H471), isnumber(I471)), 1, 0) + IF(and(ISNUMBER(J471), isnumber(K471)), 1, 0) + IF(and(ISNUMBER(L471), isnumber(M471)), 1, 0) + IF(and(ISNUMBER(N471), isnumber(O471)), 1, 0)</f>
      </c>
      <c r="U471" s="8">
        <f>IF(and(ISNUMBER(P471), isnumber(Q471)), 1, 0) + IF(and(ISNUMBER(R471), isnumber(S471)), 1, 0)</f>
      </c>
      <c r="V471" s="13"/>
      <c r="W471" s="13"/>
      <c r="X471" s="16"/>
    </row>
    <row x14ac:dyDescent="0.25" r="472" customHeight="1" ht="15.75">
      <c r="A472" s="8">
        <v>25598</v>
      </c>
      <c r="B472" s="13" t="s">
        <v>91</v>
      </c>
      <c r="C472" s="13" t="s">
        <v>5408</v>
      </c>
      <c r="D472" s="10">
        <v>0.6959</v>
      </c>
      <c r="E472" s="11">
        <v>307.8</v>
      </c>
      <c r="F472" s="10">
        <v>0.6959</v>
      </c>
      <c r="G472" s="11">
        <v>368.55</v>
      </c>
      <c r="H472" s="10">
        <v>0.655</v>
      </c>
      <c r="I472" s="11">
        <v>419.29</v>
      </c>
      <c r="J472" s="10">
        <v>0.731</v>
      </c>
      <c r="K472" s="11">
        <v>362.26</v>
      </c>
      <c r="L472" s="10">
        <v>0.6491</v>
      </c>
      <c r="M472" s="11">
        <v>444.07</v>
      </c>
      <c r="N472" s="10">
        <v>0.7076</v>
      </c>
      <c r="O472" s="11">
        <v>476.33</v>
      </c>
      <c r="P472" s="10">
        <v>0.6959</v>
      </c>
      <c r="Q472" s="10">
        <v>0.2714</v>
      </c>
      <c r="R472" s="10">
        <v>0.731</v>
      </c>
      <c r="S472" s="10">
        <v>0.2321</v>
      </c>
      <c r="T472" s="8">
        <f>IF(and(ISNUMBER(D472), isnumber(E472)), 1, 0) + IF(and(ISNUMBER(F472), isnumber(G472)), 1, 0) + IF(and(ISNUMBER(H472), isnumber(I472)), 1, 0) + IF(and(ISNUMBER(J472), isnumber(K472)), 1, 0) + IF(and(ISNUMBER(L472), isnumber(M472)), 1, 0) + IF(and(ISNUMBER(N472), isnumber(O472)), 1, 0)</f>
      </c>
      <c r="U472" s="8">
        <f>IF(and(ISNUMBER(P472), isnumber(Q472)), 1, 0) + IF(and(ISNUMBER(R472), isnumber(S472)), 1, 0)</f>
      </c>
      <c r="V472" s="13"/>
      <c r="W472" s="13"/>
      <c r="X472" s="16"/>
    </row>
    <row x14ac:dyDescent="0.25" r="473" customHeight="1" ht="15.75">
      <c r="A473" s="8">
        <v>25599</v>
      </c>
      <c r="B473" s="13" t="s">
        <v>91</v>
      </c>
      <c r="C473" s="13" t="s">
        <v>5412</v>
      </c>
      <c r="D473" s="10">
        <v>0.2034</v>
      </c>
      <c r="E473" s="11">
        <v>260</v>
      </c>
      <c r="F473" s="10">
        <v>0.2712</v>
      </c>
      <c r="G473" s="11">
        <v>360</v>
      </c>
      <c r="H473" s="10">
        <v>0.1811</v>
      </c>
      <c r="I473" s="11">
        <v>309.57</v>
      </c>
      <c r="J473" s="10">
        <v>0.6471</v>
      </c>
      <c r="K473" s="11">
        <v>185</v>
      </c>
      <c r="L473" s="10">
        <v>0.189</v>
      </c>
      <c r="M473" s="11">
        <v>251.67</v>
      </c>
      <c r="N473" s="10">
        <v>0.2283</v>
      </c>
      <c r="O473" s="11">
        <v>318.62</v>
      </c>
      <c r="P473" s="10">
        <v>0.2034</v>
      </c>
      <c r="Q473" s="10">
        <v>0.2224</v>
      </c>
      <c r="R473" s="10">
        <v>0.6471</v>
      </c>
      <c r="S473" s="10">
        <v>0.1978</v>
      </c>
      <c r="T473" s="8">
        <f>IF(and(ISNUMBER(D473), isnumber(E473)), 1, 0) + IF(and(ISNUMBER(F473), isnumber(G473)), 1, 0) + IF(and(ISNUMBER(H473), isnumber(I473)), 1, 0) + IF(and(ISNUMBER(J473), isnumber(K473)), 1, 0) + IF(and(ISNUMBER(L473), isnumber(M473)), 1, 0) + IF(and(ISNUMBER(N473), isnumber(O473)), 1, 0)</f>
      </c>
      <c r="U473" s="8">
        <f>IF(and(ISNUMBER(P473), isnumber(Q473)), 1, 0) + IF(and(ISNUMBER(R473), isnumber(S473)), 1, 0)</f>
      </c>
      <c r="V473" s="13"/>
      <c r="W473" s="13"/>
      <c r="X473" s="16"/>
    </row>
    <row x14ac:dyDescent="0.25" r="474" customHeight="1" ht="15.75">
      <c r="A474" s="8">
        <v>25600</v>
      </c>
      <c r="B474" s="13" t="s">
        <v>91</v>
      </c>
      <c r="C474" s="13" t="s">
        <v>5414</v>
      </c>
      <c r="D474" s="10">
        <v>0.5615</v>
      </c>
      <c r="E474" s="11">
        <v>35.33</v>
      </c>
      <c r="F474" s="10">
        <v>0.5692</v>
      </c>
      <c r="G474" s="11">
        <v>233.71</v>
      </c>
      <c r="H474" s="10">
        <v>0.4077</v>
      </c>
      <c r="I474" s="11">
        <v>257.69</v>
      </c>
      <c r="J474" s="10">
        <v>0.4077</v>
      </c>
      <c r="K474" s="11">
        <v>109.8</v>
      </c>
      <c r="L474" s="10">
        <v>0.4154</v>
      </c>
      <c r="M474" s="11">
        <v>231.85</v>
      </c>
      <c r="N474" s="10">
        <v>0.4154</v>
      </c>
      <c r="O474" s="11">
        <v>276.3</v>
      </c>
      <c r="P474" s="10">
        <v>0.5615</v>
      </c>
      <c r="Q474" s="10">
        <v>0.1986</v>
      </c>
      <c r="R474" s="10">
        <v>0.4077</v>
      </c>
      <c r="S474" s="10">
        <v>0.2</v>
      </c>
      <c r="T474" s="8">
        <f>IF(and(ISNUMBER(D474), isnumber(E474)), 1, 0) + IF(and(ISNUMBER(F474), isnumber(G474)), 1, 0) + IF(and(ISNUMBER(H474), isnumber(I474)), 1, 0) + IF(and(ISNUMBER(J474), isnumber(K474)), 1, 0) + IF(and(ISNUMBER(L474), isnumber(M474)), 1, 0) + IF(and(ISNUMBER(N474), isnumber(O474)), 1, 0)</f>
      </c>
      <c r="U474" s="8">
        <f>IF(and(ISNUMBER(P474), isnumber(Q474)), 1, 0) + IF(and(ISNUMBER(R474), isnumber(S474)), 1, 0)</f>
      </c>
      <c r="V474" s="13"/>
      <c r="W474" s="13"/>
      <c r="X474" s="16"/>
    </row>
    <row x14ac:dyDescent="0.25" r="475" customHeight="1" ht="15.75">
      <c r="A475" s="8">
        <v>25601</v>
      </c>
      <c r="B475" s="13" t="s">
        <v>91</v>
      </c>
      <c r="C475" s="13" t="s">
        <v>5417</v>
      </c>
      <c r="D475" s="10">
        <v>0.6493</v>
      </c>
      <c r="E475" s="11">
        <v>71.11</v>
      </c>
      <c r="F475" s="10">
        <v>0.5187</v>
      </c>
      <c r="G475" s="11">
        <v>360.3</v>
      </c>
      <c r="H475" s="10">
        <v>0.2724</v>
      </c>
      <c r="I475" s="11">
        <v>417.65</v>
      </c>
      <c r="J475" s="10">
        <v>0.2985</v>
      </c>
      <c r="K475" s="11">
        <v>69.38</v>
      </c>
      <c r="L475" s="10">
        <v>0.2239</v>
      </c>
      <c r="M475" s="11">
        <v>421.69</v>
      </c>
      <c r="N475" s="10">
        <v>0.0112</v>
      </c>
      <c r="O475" s="11">
        <v>346.67</v>
      </c>
      <c r="P475" s="10">
        <v>0.6493</v>
      </c>
      <c r="Q475" s="10">
        <v>0.1961</v>
      </c>
      <c r="R475" s="10">
        <v>0.2985</v>
      </c>
      <c r="S475" s="10">
        <v>0.1767</v>
      </c>
      <c r="T475" s="8">
        <f>IF(and(ISNUMBER(D475), isnumber(E475)), 1, 0) + IF(and(ISNUMBER(F475), isnumber(G475)), 1, 0) + IF(and(ISNUMBER(H475), isnumber(I475)), 1, 0) + IF(and(ISNUMBER(J475), isnumber(K475)), 1, 0) + IF(and(ISNUMBER(L475), isnumber(M475)), 1, 0) + IF(and(ISNUMBER(N475), isnumber(O475)), 1, 0)</f>
      </c>
      <c r="U475" s="8">
        <f>IF(and(ISNUMBER(P475), isnumber(Q475)), 1, 0) + IF(and(ISNUMBER(R475), isnumber(S475)), 1, 0)</f>
      </c>
      <c r="V475" s="13"/>
      <c r="W475" s="13"/>
      <c r="X475" s="16"/>
    </row>
    <row x14ac:dyDescent="0.25" r="476" customHeight="1" ht="15.75">
      <c r="A476" s="8">
        <v>25645</v>
      </c>
      <c r="B476" s="13" t="s">
        <v>91</v>
      </c>
      <c r="C476" s="13" t="s">
        <v>5421</v>
      </c>
      <c r="D476" s="10">
        <v>0.9464</v>
      </c>
      <c r="E476" s="11">
        <v>304.4</v>
      </c>
      <c r="F476" s="10">
        <v>0.375</v>
      </c>
      <c r="G476" s="11" t="s">
        <v>7127</v>
      </c>
      <c r="H476" s="10">
        <v>0.6752</v>
      </c>
      <c r="I476" s="11">
        <v>471.26</v>
      </c>
      <c r="J476" s="10">
        <v>0.8611</v>
      </c>
      <c r="K476" s="11">
        <v>364.78</v>
      </c>
      <c r="L476" s="10">
        <v>0.6239</v>
      </c>
      <c r="M476" s="11">
        <v>445.03</v>
      </c>
      <c r="N476" s="10">
        <v>0.6752</v>
      </c>
      <c r="O476" s="11" t="s">
        <v>7127</v>
      </c>
      <c r="P476" s="10">
        <v>0.9464</v>
      </c>
      <c r="Q476" s="10">
        <v>0.2282</v>
      </c>
      <c r="R476" s="10">
        <v>0.8611</v>
      </c>
      <c r="S476" s="10">
        <v>0.209</v>
      </c>
      <c r="T476" s="8">
        <f>IF(and(ISNUMBER(D476), isnumber(E476)), 1, 0) + IF(and(ISNUMBER(F476), isnumber(G476)), 1, 0) + IF(and(ISNUMBER(H476), isnumber(I476)), 1, 0) + IF(and(ISNUMBER(J476), isnumber(K476)), 1, 0) + IF(and(ISNUMBER(L476), isnumber(M476)), 1, 0) + IF(and(ISNUMBER(N476), isnumber(O476)), 1, 0)</f>
      </c>
      <c r="U476" s="8">
        <f>IF(and(ISNUMBER(P476), isnumber(Q476)), 1, 0) + IF(and(ISNUMBER(R476), isnumber(S476)), 1, 0)</f>
      </c>
      <c r="V476" s="13"/>
      <c r="W476" s="13"/>
      <c r="X476" s="16"/>
    </row>
    <row x14ac:dyDescent="0.25" r="477" customHeight="1" ht="15.75">
      <c r="A477" s="8">
        <v>25602</v>
      </c>
      <c r="B477" s="13" t="s">
        <v>91</v>
      </c>
      <c r="C477" s="13" t="s">
        <v>5424</v>
      </c>
      <c r="D477" s="10">
        <v>0.5946</v>
      </c>
      <c r="E477" s="11">
        <v>158.64</v>
      </c>
      <c r="F477" s="10">
        <v>0.9189</v>
      </c>
      <c r="G477" s="11">
        <v>184.06</v>
      </c>
      <c r="H477" s="10">
        <v>0.3851</v>
      </c>
      <c r="I477" s="11">
        <v>315.71</v>
      </c>
      <c r="J477" s="10">
        <v>0.4662</v>
      </c>
      <c r="K477" s="11">
        <v>267.27</v>
      </c>
      <c r="L477" s="10">
        <v>0.4527</v>
      </c>
      <c r="M477" s="11">
        <v>328.89</v>
      </c>
      <c r="N477" s="10">
        <v>0.5068</v>
      </c>
      <c r="O477" s="11">
        <v>330.96</v>
      </c>
      <c r="P477" s="10">
        <v>0.5946</v>
      </c>
      <c r="Q477" s="10">
        <v>0.2286</v>
      </c>
      <c r="R477" s="10">
        <v>0.4662</v>
      </c>
      <c r="S477" s="10">
        <v>0.1946</v>
      </c>
      <c r="T477" s="8">
        <f>IF(and(ISNUMBER(D477), isnumber(E477)), 1, 0) + IF(and(ISNUMBER(F477), isnumber(G477)), 1, 0) + IF(and(ISNUMBER(H477), isnumber(I477)), 1, 0) + IF(and(ISNUMBER(J477), isnumber(K477)), 1, 0) + IF(and(ISNUMBER(L477), isnumber(M477)), 1, 0) + IF(and(ISNUMBER(N477), isnumber(O477)), 1, 0)</f>
      </c>
      <c r="U477" s="8">
        <f>IF(and(ISNUMBER(P477), isnumber(Q477)), 1, 0) + IF(and(ISNUMBER(R477), isnumber(S477)), 1, 0)</f>
      </c>
      <c r="V477" s="13"/>
      <c r="W477" s="13"/>
      <c r="X477" s="16"/>
    </row>
    <row x14ac:dyDescent="0.25" r="478" customHeight="1" ht="15.75">
      <c r="A478" s="8">
        <v>25646</v>
      </c>
      <c r="B478" s="13" t="s">
        <v>91</v>
      </c>
      <c r="C478" s="13" t="s">
        <v>5426</v>
      </c>
      <c r="D478" s="10">
        <v>0.9617</v>
      </c>
      <c r="E478" s="11">
        <v>226.95</v>
      </c>
      <c r="F478" s="10">
        <v>0.7316</v>
      </c>
      <c r="G478" s="11">
        <v>451.59</v>
      </c>
      <c r="H478" s="10">
        <v>0.6431</v>
      </c>
      <c r="I478" s="11">
        <v>480.75</v>
      </c>
      <c r="J478" s="10">
        <v>0.5133</v>
      </c>
      <c r="K478" s="11">
        <v>400</v>
      </c>
      <c r="L478" s="10">
        <v>0.705</v>
      </c>
      <c r="M478" s="11">
        <v>470.59</v>
      </c>
      <c r="N478" s="10">
        <v>0.5664</v>
      </c>
      <c r="O478" s="11">
        <v>502.32</v>
      </c>
      <c r="P478" s="10">
        <v>0.9617</v>
      </c>
      <c r="Q478" s="10">
        <v>0.1671</v>
      </c>
      <c r="R478" s="10">
        <v>0.5133</v>
      </c>
      <c r="S478" s="10">
        <v>0.2123</v>
      </c>
      <c r="T478" s="8">
        <f>IF(and(ISNUMBER(D478), isnumber(E478)), 1, 0) + IF(and(ISNUMBER(F478), isnumber(G478)), 1, 0) + IF(and(ISNUMBER(H478), isnumber(I478)), 1, 0) + IF(and(ISNUMBER(J478), isnumber(K478)), 1, 0) + IF(and(ISNUMBER(L478), isnumber(M478)), 1, 0) + IF(and(ISNUMBER(N478), isnumber(O478)), 1, 0)</f>
      </c>
      <c r="U478" s="8">
        <f>IF(and(ISNUMBER(P478), isnumber(Q478)), 1, 0) + IF(and(ISNUMBER(R478), isnumber(S478)), 1, 0)</f>
      </c>
      <c r="V478" s="13"/>
      <c r="W478" s="13"/>
      <c r="X478" s="16"/>
    </row>
    <row x14ac:dyDescent="0.25" r="479" customHeight="1" ht="15.75">
      <c r="A479" s="8">
        <v>25603</v>
      </c>
      <c r="B479" s="13" t="s">
        <v>91</v>
      </c>
      <c r="C479" s="13" t="s">
        <v>5429</v>
      </c>
      <c r="D479" s="10">
        <v>0.6356</v>
      </c>
      <c r="E479" s="11">
        <v>101.25</v>
      </c>
      <c r="F479" s="10">
        <v>0.0085</v>
      </c>
      <c r="G479" s="11">
        <v>0</v>
      </c>
      <c r="H479" s="10">
        <v>0.4153</v>
      </c>
      <c r="I479" s="11">
        <v>356.67</v>
      </c>
      <c r="J479" s="10">
        <v>0.5254</v>
      </c>
      <c r="K479" s="11">
        <v>36.15</v>
      </c>
      <c r="L479" s="10">
        <v>0.5339</v>
      </c>
      <c r="M479" s="11">
        <v>359.35</v>
      </c>
      <c r="N479" s="10">
        <v>0.4068</v>
      </c>
      <c r="O479" s="11">
        <v>359.13</v>
      </c>
      <c r="P479" s="10">
        <v>0.6356</v>
      </c>
      <c r="Q479" s="10">
        <v>0.1943</v>
      </c>
      <c r="R479" s="10">
        <v>0.5254</v>
      </c>
      <c r="S479" s="10">
        <v>0.1961</v>
      </c>
      <c r="T479" s="8">
        <f>IF(and(ISNUMBER(D479), isnumber(E479)), 1, 0) + IF(and(ISNUMBER(F479), isnumber(G479)), 1, 0) + IF(and(ISNUMBER(H479), isnumber(I479)), 1, 0) + IF(and(ISNUMBER(J479), isnumber(K479)), 1, 0) + IF(and(ISNUMBER(L479), isnumber(M479)), 1, 0) + IF(and(ISNUMBER(N479), isnumber(O479)), 1, 0)</f>
      </c>
      <c r="U479" s="8">
        <f>IF(and(ISNUMBER(P479), isnumber(Q479)), 1, 0) + IF(and(ISNUMBER(R479), isnumber(S479)), 1, 0)</f>
      </c>
      <c r="V479" s="13"/>
      <c r="W479" s="13"/>
      <c r="X479" s="16"/>
    </row>
    <row x14ac:dyDescent="0.25" r="480" customHeight="1" ht="15.75">
      <c r="A480" s="8">
        <v>25604</v>
      </c>
      <c r="B480" s="13" t="s">
        <v>91</v>
      </c>
      <c r="C480" s="13" t="s">
        <v>5431</v>
      </c>
      <c r="D480" s="10">
        <v>0.9437</v>
      </c>
      <c r="E480" s="11">
        <v>175.86</v>
      </c>
      <c r="F480" s="10">
        <v>0.6735</v>
      </c>
      <c r="G480" s="11" t="s">
        <v>7127</v>
      </c>
      <c r="H480" s="10">
        <v>0.6225</v>
      </c>
      <c r="I480" s="11">
        <v>429.13</v>
      </c>
      <c r="J480" s="10">
        <v>0.6709</v>
      </c>
      <c r="K480" s="11">
        <v>330.79</v>
      </c>
      <c r="L480" s="10">
        <v>0.6559</v>
      </c>
      <c r="M480" s="11">
        <v>403.75</v>
      </c>
      <c r="N480" s="10">
        <v>0.5755</v>
      </c>
      <c r="O480" s="11" t="s">
        <v>7127</v>
      </c>
      <c r="P480" s="10">
        <v>0.9437</v>
      </c>
      <c r="Q480" s="10">
        <v>0.1581</v>
      </c>
      <c r="R480" s="10">
        <v>0.6709</v>
      </c>
      <c r="S480" s="10">
        <v>0.2176</v>
      </c>
      <c r="T480" s="8">
        <f>IF(and(ISNUMBER(D480), isnumber(E480)), 1, 0) + IF(and(ISNUMBER(F480), isnumber(G480)), 1, 0) + IF(and(ISNUMBER(H480), isnumber(I480)), 1, 0) + IF(and(ISNUMBER(J480), isnumber(K480)), 1, 0) + IF(and(ISNUMBER(L480), isnumber(M480)), 1, 0) + IF(and(ISNUMBER(N480), isnumber(O480)), 1, 0)</f>
      </c>
      <c r="U480" s="8">
        <f>IF(and(ISNUMBER(P480), isnumber(Q480)), 1, 0) + IF(and(ISNUMBER(R480), isnumber(S480)), 1, 0)</f>
      </c>
      <c r="V480" s="13"/>
      <c r="W480" s="13"/>
      <c r="X480" s="16"/>
    </row>
    <row x14ac:dyDescent="0.25" r="481" customHeight="1" ht="15.75">
      <c r="A481" s="8">
        <v>25605</v>
      </c>
      <c r="B481" s="13" t="s">
        <v>91</v>
      </c>
      <c r="C481" s="13" t="s">
        <v>5434</v>
      </c>
      <c r="D481" s="10">
        <v>0.439</v>
      </c>
      <c r="E481" s="11">
        <v>20</v>
      </c>
      <c r="F481" s="10">
        <v>0.2195</v>
      </c>
      <c r="G481" s="11">
        <v>333.33</v>
      </c>
      <c r="H481" s="10">
        <v>0.12</v>
      </c>
      <c r="I481" s="11">
        <v>434.67</v>
      </c>
      <c r="J481" s="10">
        <v>0.5238</v>
      </c>
      <c r="K481" s="11">
        <v>380.49</v>
      </c>
      <c r="L481" s="10">
        <v>0.168</v>
      </c>
      <c r="M481" s="11">
        <v>318.1</v>
      </c>
      <c r="N481" s="10">
        <v>0.264</v>
      </c>
      <c r="O481" s="11">
        <v>366.06</v>
      </c>
      <c r="P481" s="10">
        <v>0.439</v>
      </c>
      <c r="Q481" s="10">
        <v>0.1836</v>
      </c>
      <c r="R481" s="10">
        <v>0.5238</v>
      </c>
      <c r="S481" s="10">
        <v>0.1734</v>
      </c>
      <c r="T481" s="8">
        <f>IF(and(ISNUMBER(D481), isnumber(E481)), 1, 0) + IF(and(ISNUMBER(F481), isnumber(G481)), 1, 0) + IF(and(ISNUMBER(H481), isnumber(I481)), 1, 0) + IF(and(ISNUMBER(J481), isnumber(K481)), 1, 0) + IF(and(ISNUMBER(L481), isnumber(M481)), 1, 0) + IF(and(ISNUMBER(N481), isnumber(O481)), 1, 0)</f>
      </c>
      <c r="U481" s="8">
        <f>IF(and(ISNUMBER(P481), isnumber(Q481)), 1, 0) + IF(and(ISNUMBER(R481), isnumber(S481)), 1, 0)</f>
      </c>
      <c r="V481" s="13"/>
      <c r="W481" s="13"/>
      <c r="X481" s="16"/>
    </row>
    <row x14ac:dyDescent="0.25" r="482" customHeight="1" ht="15.75">
      <c r="A482" s="8">
        <v>25546</v>
      </c>
      <c r="B482" s="13" t="s">
        <v>91</v>
      </c>
      <c r="C482" s="13" t="s">
        <v>5436</v>
      </c>
      <c r="D482" s="10">
        <v>0.8664</v>
      </c>
      <c r="E482" s="11">
        <v>349.96</v>
      </c>
      <c r="F482" s="10">
        <v>0.8412</v>
      </c>
      <c r="G482" s="11">
        <v>307.36</v>
      </c>
      <c r="H482" s="10">
        <v>0.657</v>
      </c>
      <c r="I482" s="11">
        <v>452.51</v>
      </c>
      <c r="J482" s="10">
        <v>0.7762</v>
      </c>
      <c r="K482" s="11">
        <v>361.31</v>
      </c>
      <c r="L482" s="10">
        <v>0.6715</v>
      </c>
      <c r="M482" s="11">
        <v>448.7</v>
      </c>
      <c r="N482" s="10">
        <v>0.5993</v>
      </c>
      <c r="O482" s="11">
        <v>409.4</v>
      </c>
      <c r="P482" s="10">
        <v>0.8664</v>
      </c>
      <c r="Q482" s="10">
        <v>0.2601</v>
      </c>
      <c r="R482" s="10">
        <v>0.7762</v>
      </c>
      <c r="S482" s="10">
        <v>0.2045</v>
      </c>
      <c r="T482" s="8">
        <f>IF(and(ISNUMBER(D482), isnumber(E482)), 1, 0) + IF(and(ISNUMBER(F482), isnumber(G482)), 1, 0) + IF(and(ISNUMBER(H482), isnumber(I482)), 1, 0) + IF(and(ISNUMBER(J482), isnumber(K482)), 1, 0) + IF(and(ISNUMBER(L482), isnumber(M482)), 1, 0) + IF(and(ISNUMBER(N482), isnumber(O482)), 1, 0)</f>
      </c>
      <c r="U482" s="8">
        <f>IF(and(ISNUMBER(P482), isnumber(Q482)), 1, 0) + IF(and(ISNUMBER(R482), isnumber(S482)), 1, 0)</f>
      </c>
      <c r="V482" s="13"/>
      <c r="W482" s="13"/>
      <c r="X482" s="16"/>
    </row>
    <row x14ac:dyDescent="0.25" r="483" customHeight="1" ht="15.75">
      <c r="A483" s="8">
        <v>25606</v>
      </c>
      <c r="B483" s="13" t="s">
        <v>91</v>
      </c>
      <c r="C483" s="13" t="s">
        <v>5440</v>
      </c>
      <c r="D483" s="10">
        <v>0.6257</v>
      </c>
      <c r="E483" s="11">
        <v>120.75</v>
      </c>
      <c r="F483" s="10">
        <v>0.6754</v>
      </c>
      <c r="G483" s="11">
        <v>323.36</v>
      </c>
      <c r="H483" s="10">
        <v>0.6784</v>
      </c>
      <c r="I483" s="11">
        <v>362.1</v>
      </c>
      <c r="J483" s="10">
        <v>0.6871</v>
      </c>
      <c r="K483" s="11">
        <v>196.41</v>
      </c>
      <c r="L483" s="10">
        <v>0.5819</v>
      </c>
      <c r="M483" s="11">
        <v>323.08</v>
      </c>
      <c r="N483" s="10">
        <v>0.6199</v>
      </c>
      <c r="O483" s="11">
        <v>338.64</v>
      </c>
      <c r="P483" s="10">
        <v>0.6257</v>
      </c>
      <c r="Q483" s="10">
        <v>0.1791</v>
      </c>
      <c r="R483" s="10">
        <v>0.6871</v>
      </c>
      <c r="S483" s="10">
        <v>0.1963</v>
      </c>
      <c r="T483" s="8">
        <f>IF(and(ISNUMBER(D483), isnumber(E483)), 1, 0) + IF(and(ISNUMBER(F483), isnumber(G483)), 1, 0) + IF(and(ISNUMBER(H483), isnumber(I483)), 1, 0) + IF(and(ISNUMBER(J483), isnumber(K483)), 1, 0) + IF(and(ISNUMBER(L483), isnumber(M483)), 1, 0) + IF(and(ISNUMBER(N483), isnumber(O483)), 1, 0)</f>
      </c>
      <c r="U483" s="8">
        <f>IF(and(ISNUMBER(P483), isnumber(Q483)), 1, 0) + IF(and(ISNUMBER(R483), isnumber(S483)), 1, 0)</f>
      </c>
      <c r="V483" s="13"/>
      <c r="W483" s="13"/>
      <c r="X483" s="16"/>
    </row>
    <row x14ac:dyDescent="0.25" r="484" customHeight="1" ht="15.75">
      <c r="A484" s="8">
        <v>25647</v>
      </c>
      <c r="B484" s="13" t="s">
        <v>91</v>
      </c>
      <c r="C484" s="13" t="s">
        <v>5443</v>
      </c>
      <c r="D484" s="10">
        <v>0.7027</v>
      </c>
      <c r="E484" s="11">
        <v>224.83</v>
      </c>
      <c r="F484" s="10">
        <v>0.4556</v>
      </c>
      <c r="G484" s="11">
        <v>340.84</v>
      </c>
      <c r="H484" s="10">
        <v>0.5174</v>
      </c>
      <c r="I484" s="11">
        <v>368.55</v>
      </c>
      <c r="J484" s="10">
        <v>0.6602</v>
      </c>
      <c r="K484" s="11">
        <v>332.46</v>
      </c>
      <c r="L484" s="10">
        <v>0.583</v>
      </c>
      <c r="M484" s="11">
        <v>400.53</v>
      </c>
      <c r="N484" s="10">
        <v>0.5714</v>
      </c>
      <c r="O484" s="11">
        <v>386.21</v>
      </c>
      <c r="P484" s="10">
        <v>0.7027</v>
      </c>
      <c r="Q484" s="10">
        <v>0.2113</v>
      </c>
      <c r="R484" s="10">
        <v>0.6602</v>
      </c>
      <c r="S484" s="10">
        <v>0.2017</v>
      </c>
      <c r="T484" s="8">
        <f>IF(and(ISNUMBER(D484), isnumber(E484)), 1, 0) + IF(and(ISNUMBER(F484), isnumber(G484)), 1, 0) + IF(and(ISNUMBER(H484), isnumber(I484)), 1, 0) + IF(and(ISNUMBER(J484), isnumber(K484)), 1, 0) + IF(and(ISNUMBER(L484), isnumber(M484)), 1, 0) + IF(and(ISNUMBER(N484), isnumber(O484)), 1, 0)</f>
      </c>
      <c r="U484" s="8">
        <f>IF(and(ISNUMBER(P484), isnumber(Q484)), 1, 0) + IF(and(ISNUMBER(R484), isnumber(S484)), 1, 0)</f>
      </c>
      <c r="V484" s="13"/>
      <c r="W484" s="13"/>
      <c r="X484" s="16"/>
    </row>
    <row x14ac:dyDescent="0.25" r="485" customHeight="1" ht="15.75">
      <c r="A485" s="8">
        <v>25607</v>
      </c>
      <c r="B485" s="13" t="s">
        <v>91</v>
      </c>
      <c r="C485" s="13" t="s">
        <v>5444</v>
      </c>
      <c r="D485" s="10">
        <v>0.8182</v>
      </c>
      <c r="E485" s="11">
        <v>135.47</v>
      </c>
      <c r="F485" s="10">
        <v>0.6515</v>
      </c>
      <c r="G485" s="11">
        <v>321.88</v>
      </c>
      <c r="H485" s="10">
        <v>0.5833</v>
      </c>
      <c r="I485" s="11">
        <v>363.64</v>
      </c>
      <c r="J485" s="10">
        <v>0.7348</v>
      </c>
      <c r="K485" s="11">
        <v>284.73</v>
      </c>
      <c r="L485" s="10">
        <v>0.5682</v>
      </c>
      <c r="M485" s="11">
        <v>349.87</v>
      </c>
      <c r="N485" s="10">
        <v>0.6515</v>
      </c>
      <c r="O485" s="11">
        <v>353.88</v>
      </c>
      <c r="P485" s="10">
        <v>0.8182</v>
      </c>
      <c r="Q485" s="10">
        <v>0.216</v>
      </c>
      <c r="R485" s="10">
        <v>0.7348</v>
      </c>
      <c r="S485" s="10">
        <v>0.1991</v>
      </c>
      <c r="T485" s="8">
        <f>IF(and(ISNUMBER(D485), isnumber(E485)), 1, 0) + IF(and(ISNUMBER(F485), isnumber(G485)), 1, 0) + IF(and(ISNUMBER(H485), isnumber(I485)), 1, 0) + IF(and(ISNUMBER(J485), isnumber(K485)), 1, 0) + IF(and(ISNUMBER(L485), isnumber(M485)), 1, 0) + IF(and(ISNUMBER(N485), isnumber(O485)), 1, 0)</f>
      </c>
      <c r="U485" s="8">
        <f>IF(and(ISNUMBER(P485), isnumber(Q485)), 1, 0) + IF(and(ISNUMBER(R485), isnumber(S485)), 1, 0)</f>
      </c>
      <c r="V485" s="13"/>
      <c r="W485" s="13"/>
      <c r="X485" s="16"/>
    </row>
    <row x14ac:dyDescent="0.25" r="486" customHeight="1" ht="15.75">
      <c r="A486" s="8">
        <v>25648</v>
      </c>
      <c r="B486" s="13" t="s">
        <v>91</v>
      </c>
      <c r="C486" s="13" t="s">
        <v>5446</v>
      </c>
      <c r="D486" s="10">
        <v>0.7389</v>
      </c>
      <c r="E486" s="11">
        <v>116.79</v>
      </c>
      <c r="F486" s="10">
        <v>0.5032</v>
      </c>
      <c r="G486" s="11">
        <v>314.74</v>
      </c>
      <c r="H486" s="10">
        <v>0.3758</v>
      </c>
      <c r="I486" s="11">
        <v>374.24</v>
      </c>
      <c r="J486" s="10">
        <v>0.4904</v>
      </c>
      <c r="K486" s="11">
        <v>312.35</v>
      </c>
      <c r="L486" s="10">
        <v>0.5032</v>
      </c>
      <c r="M486" s="11">
        <v>394.87</v>
      </c>
      <c r="N486" s="10">
        <v>0.4713</v>
      </c>
      <c r="O486" s="11">
        <v>346.67</v>
      </c>
      <c r="P486" s="10">
        <v>0.7389</v>
      </c>
      <c r="Q486" s="10">
        <v>0.2033</v>
      </c>
      <c r="R486" s="10">
        <v>0.4904</v>
      </c>
      <c r="S486" s="10">
        <v>0.1975</v>
      </c>
      <c r="T486" s="8">
        <f>IF(and(ISNUMBER(D486), isnumber(E486)), 1, 0) + IF(and(ISNUMBER(F486), isnumber(G486)), 1, 0) + IF(and(ISNUMBER(H486), isnumber(I486)), 1, 0) + IF(and(ISNUMBER(J486), isnumber(K486)), 1, 0) + IF(and(ISNUMBER(L486), isnumber(M486)), 1, 0) + IF(and(ISNUMBER(N486), isnumber(O486)), 1, 0)</f>
      </c>
      <c r="U486" s="8">
        <f>IF(and(ISNUMBER(P486), isnumber(Q486)), 1, 0) + IF(and(ISNUMBER(R486), isnumber(S486)), 1, 0)</f>
      </c>
      <c r="V486" s="13"/>
      <c r="W486" s="13"/>
      <c r="X486" s="16"/>
    </row>
    <row x14ac:dyDescent="0.25" r="487" customHeight="1" ht="15.75">
      <c r="A487" s="8">
        <v>25608</v>
      </c>
      <c r="B487" s="13" t="s">
        <v>91</v>
      </c>
      <c r="C487" s="13" t="s">
        <v>5449</v>
      </c>
      <c r="D487" s="10">
        <v>0.1857</v>
      </c>
      <c r="E487" s="11">
        <v>150</v>
      </c>
      <c r="F487" s="10">
        <v>0.4357</v>
      </c>
      <c r="G487" s="11">
        <v>260.35</v>
      </c>
      <c r="H487" s="10">
        <v>0.4071</v>
      </c>
      <c r="I487" s="11">
        <v>382.55</v>
      </c>
      <c r="J487" s="10">
        <v>0.2357</v>
      </c>
      <c r="K487" s="11">
        <v>320</v>
      </c>
      <c r="L487" s="10">
        <v>0.0214</v>
      </c>
      <c r="M487" s="11">
        <v>180</v>
      </c>
      <c r="N487" s="10">
        <v>0.4214</v>
      </c>
      <c r="O487" s="11">
        <v>364.44</v>
      </c>
      <c r="P487" s="10">
        <v>0.1857</v>
      </c>
      <c r="Q487" s="10">
        <v>0.1769</v>
      </c>
      <c r="R487" s="10">
        <v>0.2357</v>
      </c>
      <c r="S487" s="10">
        <v>0.1749</v>
      </c>
      <c r="T487" s="8">
        <f>IF(and(ISNUMBER(D487), isnumber(E487)), 1, 0) + IF(and(ISNUMBER(F487), isnumber(G487)), 1, 0) + IF(and(ISNUMBER(H487), isnumber(I487)), 1, 0) + IF(and(ISNUMBER(J487), isnumber(K487)), 1, 0) + IF(and(ISNUMBER(L487), isnumber(M487)), 1, 0) + IF(and(ISNUMBER(N487), isnumber(O487)), 1, 0)</f>
      </c>
      <c r="U487" s="8">
        <f>IF(and(ISNUMBER(P487), isnumber(Q487)), 1, 0) + IF(and(ISNUMBER(R487), isnumber(S487)), 1, 0)</f>
      </c>
      <c r="V487" s="13"/>
      <c r="W487" s="13"/>
      <c r="X487" s="16"/>
    </row>
    <row x14ac:dyDescent="0.25" r="488" customHeight="1" ht="15.75">
      <c r="A488" s="8">
        <v>25547</v>
      </c>
      <c r="B488" s="13" t="s">
        <v>91</v>
      </c>
      <c r="C488" s="13" t="s">
        <v>5452</v>
      </c>
      <c r="D488" s="10">
        <v>0.7898</v>
      </c>
      <c r="E488" s="11">
        <v>206.7</v>
      </c>
      <c r="F488" s="10">
        <v>0.6477</v>
      </c>
      <c r="G488" s="11">
        <v>332.65</v>
      </c>
      <c r="H488" s="10">
        <v>0.7062</v>
      </c>
      <c r="I488" s="11">
        <v>308.62</v>
      </c>
      <c r="J488" s="10">
        <v>0.8012</v>
      </c>
      <c r="K488" s="11">
        <v>312.01</v>
      </c>
      <c r="L488" s="10">
        <v>0.7371</v>
      </c>
      <c r="M488" s="11">
        <v>400.93</v>
      </c>
      <c r="N488" s="10">
        <v>0.4845</v>
      </c>
      <c r="O488" s="11" t="s">
        <v>7127</v>
      </c>
      <c r="P488" s="10">
        <v>0.7898</v>
      </c>
      <c r="Q488" s="10">
        <v>0.2247</v>
      </c>
      <c r="R488" s="10">
        <v>0.8012</v>
      </c>
      <c r="S488" s="10">
        <v>0.1999</v>
      </c>
      <c r="T488" s="8">
        <f>IF(and(ISNUMBER(D488), isnumber(E488)), 1, 0) + IF(and(ISNUMBER(F488), isnumber(G488)), 1, 0) + IF(and(ISNUMBER(H488), isnumber(I488)), 1, 0) + IF(and(ISNUMBER(J488), isnumber(K488)), 1, 0) + IF(and(ISNUMBER(L488), isnumber(M488)), 1, 0) + IF(and(ISNUMBER(N488), isnumber(O488)), 1, 0)</f>
      </c>
      <c r="U488" s="8">
        <f>IF(and(ISNUMBER(P488), isnumber(Q488)), 1, 0) + IF(and(ISNUMBER(R488), isnumber(S488)), 1, 0)</f>
      </c>
      <c r="V488" s="13"/>
      <c r="W488" s="13"/>
      <c r="X488" s="16"/>
    </row>
    <row x14ac:dyDescent="0.25" r="489" customHeight="1" ht="15.75">
      <c r="A489" s="8">
        <v>25609</v>
      </c>
      <c r="B489" s="13" t="s">
        <v>91</v>
      </c>
      <c r="C489" s="13" t="s">
        <v>5456</v>
      </c>
      <c r="D489" s="10">
        <v>0.856</v>
      </c>
      <c r="E489" s="11">
        <v>174.47</v>
      </c>
      <c r="F489" s="10">
        <v>0.9081</v>
      </c>
      <c r="G489" s="11">
        <v>241.27</v>
      </c>
      <c r="H489" s="10">
        <v>0.6066</v>
      </c>
      <c r="I489" s="11" t="s">
        <v>7127</v>
      </c>
      <c r="J489" s="10">
        <v>0.253</v>
      </c>
      <c r="K489" s="11">
        <v>272.6</v>
      </c>
      <c r="L489" s="10">
        <v>0.6778</v>
      </c>
      <c r="M489" s="11">
        <v>237.8</v>
      </c>
      <c r="N489" s="10">
        <v>0.7658</v>
      </c>
      <c r="O489" s="11">
        <v>214.33</v>
      </c>
      <c r="P489" s="10">
        <v>0.856</v>
      </c>
      <c r="Q489" s="10">
        <v>0.1528</v>
      </c>
      <c r="R489" s="10">
        <v>0.253</v>
      </c>
      <c r="S489" s="10">
        <v>0.2011</v>
      </c>
      <c r="T489" s="8">
        <f>IF(and(ISNUMBER(D489), isnumber(E489)), 1, 0) + IF(and(ISNUMBER(F489), isnumber(G489)), 1, 0) + IF(and(ISNUMBER(H489), isnumber(I489)), 1, 0) + IF(and(ISNUMBER(J489), isnumber(K489)), 1, 0) + IF(and(ISNUMBER(L489), isnumber(M489)), 1, 0) + IF(and(ISNUMBER(N489), isnumber(O489)), 1, 0)</f>
      </c>
      <c r="U489" s="8">
        <f>IF(and(ISNUMBER(P489), isnumber(Q489)), 1, 0) + IF(and(ISNUMBER(R489), isnumber(S489)), 1, 0)</f>
      </c>
      <c r="V489" s="13"/>
      <c r="W489" s="13"/>
      <c r="X489" s="16"/>
    </row>
    <row x14ac:dyDescent="0.25" r="490" customHeight="1" ht="15.75">
      <c r="A490" s="8">
        <v>25548</v>
      </c>
      <c r="B490" s="13" t="s">
        <v>91</v>
      </c>
      <c r="C490" s="13" t="s">
        <v>5460</v>
      </c>
      <c r="D490" s="10">
        <v>0.6949</v>
      </c>
      <c r="E490" s="11">
        <v>270.23</v>
      </c>
      <c r="F490" s="10">
        <v>0.9831</v>
      </c>
      <c r="G490" s="11">
        <v>233.86</v>
      </c>
      <c r="H490" s="10">
        <v>0.8248</v>
      </c>
      <c r="I490" s="11">
        <v>267.7</v>
      </c>
      <c r="J490" s="10">
        <v>0.6444</v>
      </c>
      <c r="K490" s="11">
        <v>247.7</v>
      </c>
      <c r="L490" s="10">
        <v>0.635</v>
      </c>
      <c r="M490" s="11">
        <v>364.13</v>
      </c>
      <c r="N490" s="10">
        <v>0.4964</v>
      </c>
      <c r="O490" s="11">
        <v>408.72</v>
      </c>
      <c r="P490" s="10">
        <v>0.6949</v>
      </c>
      <c r="Q490" s="10">
        <v>0.2363</v>
      </c>
      <c r="R490" s="10">
        <v>0.6444</v>
      </c>
      <c r="S490" s="10">
        <v>0.1943</v>
      </c>
      <c r="T490" s="8">
        <f>IF(and(ISNUMBER(D490), isnumber(E490)), 1, 0) + IF(and(ISNUMBER(F490), isnumber(G490)), 1, 0) + IF(and(ISNUMBER(H490), isnumber(I490)), 1, 0) + IF(and(ISNUMBER(J490), isnumber(K490)), 1, 0) + IF(and(ISNUMBER(L490), isnumber(M490)), 1, 0) + IF(and(ISNUMBER(N490), isnumber(O490)), 1, 0)</f>
      </c>
      <c r="U490" s="8">
        <f>IF(and(ISNUMBER(P490), isnumber(Q490)), 1, 0) + IF(and(ISNUMBER(R490), isnumber(S490)), 1, 0)</f>
      </c>
      <c r="V490" s="13"/>
      <c r="W490" s="13"/>
      <c r="X490" s="16"/>
    </row>
    <row x14ac:dyDescent="0.25" r="491" customHeight="1" ht="15.75">
      <c r="A491" s="8">
        <v>25610</v>
      </c>
      <c r="B491" s="13" t="s">
        <v>91</v>
      </c>
      <c r="C491" s="13" t="s">
        <v>5463</v>
      </c>
      <c r="D491" s="10">
        <v>0.7279</v>
      </c>
      <c r="E491" s="11">
        <v>246.46</v>
      </c>
      <c r="F491" s="10">
        <v>0.6164</v>
      </c>
      <c r="G491" s="11">
        <v>376.85</v>
      </c>
      <c r="H491" s="10">
        <v>0.6311</v>
      </c>
      <c r="I491" s="11">
        <v>391.24</v>
      </c>
      <c r="J491" s="10">
        <v>0.5705</v>
      </c>
      <c r="K491" s="11">
        <v>298.44</v>
      </c>
      <c r="L491" s="10">
        <v>0.5738</v>
      </c>
      <c r="M491" s="11">
        <v>390.29</v>
      </c>
      <c r="N491" s="10">
        <v>0.5787</v>
      </c>
      <c r="O491" s="11">
        <v>365.47</v>
      </c>
      <c r="P491" s="10">
        <v>0.7279</v>
      </c>
      <c r="Q491" s="10">
        <v>0.2336</v>
      </c>
      <c r="R491" s="10">
        <v>0.5705</v>
      </c>
      <c r="S491" s="10">
        <v>0.2045</v>
      </c>
      <c r="T491" s="8">
        <f>IF(and(ISNUMBER(D491), isnumber(E491)), 1, 0) + IF(and(ISNUMBER(F491), isnumber(G491)), 1, 0) + IF(and(ISNUMBER(H491), isnumber(I491)), 1, 0) + IF(and(ISNUMBER(J491), isnumber(K491)), 1, 0) + IF(and(ISNUMBER(L491), isnumber(M491)), 1, 0) + IF(and(ISNUMBER(N491), isnumber(O491)), 1, 0)</f>
      </c>
      <c r="U491" s="8">
        <f>IF(and(ISNUMBER(P491), isnumber(Q491)), 1, 0) + IF(and(ISNUMBER(R491), isnumber(S491)), 1, 0)</f>
      </c>
      <c r="V491" s="13"/>
      <c r="W491" s="13"/>
      <c r="X491" s="16"/>
    </row>
    <row x14ac:dyDescent="0.25" r="492" customHeight="1" ht="15.75">
      <c r="A492" s="8">
        <v>25611</v>
      </c>
      <c r="B492" s="13" t="s">
        <v>91</v>
      </c>
      <c r="C492" s="13" t="s">
        <v>5466</v>
      </c>
      <c r="D492" s="10">
        <v>0.9389</v>
      </c>
      <c r="E492" s="11">
        <v>233.5</v>
      </c>
      <c r="F492" s="10">
        <v>0.9729</v>
      </c>
      <c r="G492" s="11">
        <v>277.63</v>
      </c>
      <c r="H492" s="10">
        <v>0.6855</v>
      </c>
      <c r="I492" s="11">
        <v>382.21</v>
      </c>
      <c r="J492" s="10">
        <v>0.5498</v>
      </c>
      <c r="K492" s="11">
        <v>308.86</v>
      </c>
      <c r="L492" s="10">
        <v>0.638</v>
      </c>
      <c r="M492" s="11">
        <v>410.53</v>
      </c>
      <c r="N492" s="10">
        <v>0.7285</v>
      </c>
      <c r="O492" s="11">
        <v>417.38</v>
      </c>
      <c r="P492" s="10">
        <v>0.9389</v>
      </c>
      <c r="Q492" s="10">
        <v>0.1928</v>
      </c>
      <c r="R492" s="10">
        <v>0.5498</v>
      </c>
      <c r="S492" s="10">
        <v>0.2049</v>
      </c>
      <c r="T492" s="8">
        <f>IF(and(ISNUMBER(D492), isnumber(E492)), 1, 0) + IF(and(ISNUMBER(F492), isnumber(G492)), 1, 0) + IF(and(ISNUMBER(H492), isnumber(I492)), 1, 0) + IF(and(ISNUMBER(J492), isnumber(K492)), 1, 0) + IF(and(ISNUMBER(L492), isnumber(M492)), 1, 0) + IF(and(ISNUMBER(N492), isnumber(O492)), 1, 0)</f>
      </c>
      <c r="U492" s="8">
        <f>IF(and(ISNUMBER(P492), isnumber(Q492)), 1, 0) + IF(and(ISNUMBER(R492), isnumber(S492)), 1, 0)</f>
      </c>
      <c r="V492" s="13"/>
      <c r="W492" s="13"/>
      <c r="X492" s="16"/>
    </row>
    <row x14ac:dyDescent="0.25" r="493" customHeight="1" ht="15.75">
      <c r="A493" s="8">
        <v>25612</v>
      </c>
      <c r="B493" s="13" t="s">
        <v>91</v>
      </c>
      <c r="C493" s="13" t="s">
        <v>5469</v>
      </c>
      <c r="D493" s="10">
        <v>0.7931</v>
      </c>
      <c r="E493" s="11">
        <v>72.17</v>
      </c>
      <c r="F493" s="10">
        <v>0.4828</v>
      </c>
      <c r="G493" s="11">
        <v>278.46</v>
      </c>
      <c r="H493" s="10">
        <v>0.431</v>
      </c>
      <c r="I493" s="11">
        <v>291.2</v>
      </c>
      <c r="J493" s="10">
        <v>0.4655</v>
      </c>
      <c r="K493" s="11">
        <v>380</v>
      </c>
      <c r="L493" s="10">
        <v>0.4655</v>
      </c>
      <c r="M493" s="11">
        <v>430.77</v>
      </c>
      <c r="N493" s="10">
        <v>0.4483</v>
      </c>
      <c r="O493" s="11">
        <v>366.4</v>
      </c>
      <c r="P493" s="10">
        <v>0.7931</v>
      </c>
      <c r="Q493" s="10">
        <v>0.1274</v>
      </c>
      <c r="R493" s="10">
        <v>0.4655</v>
      </c>
      <c r="S493" s="10">
        <v>0.1991</v>
      </c>
      <c r="T493" s="8">
        <f>IF(and(ISNUMBER(D493), isnumber(E493)), 1, 0) + IF(and(ISNUMBER(F493), isnumber(G493)), 1, 0) + IF(and(ISNUMBER(H493), isnumber(I493)), 1, 0) + IF(and(ISNUMBER(J493), isnumber(K493)), 1, 0) + IF(and(ISNUMBER(L493), isnumber(M493)), 1, 0) + IF(and(ISNUMBER(N493), isnumber(O493)), 1, 0)</f>
      </c>
      <c r="U493" s="8">
        <f>IF(and(ISNUMBER(P493), isnumber(Q493)), 1, 0) + IF(and(ISNUMBER(R493), isnumber(S493)), 1, 0)</f>
      </c>
      <c r="V493" s="13"/>
      <c r="W493" s="13"/>
      <c r="X493" s="16"/>
    </row>
    <row x14ac:dyDescent="0.25" r="494" customHeight="1" ht="15.75">
      <c r="A494" s="8">
        <v>25613</v>
      </c>
      <c r="B494" s="13" t="s">
        <v>91</v>
      </c>
      <c r="C494" s="13" t="s">
        <v>5473</v>
      </c>
      <c r="D494" s="10">
        <v>0.488</v>
      </c>
      <c r="E494" s="11">
        <v>155.33</v>
      </c>
      <c r="F494" s="10">
        <v>0.456</v>
      </c>
      <c r="G494" s="11">
        <v>289.29</v>
      </c>
      <c r="H494" s="10">
        <v>0.376</v>
      </c>
      <c r="I494" s="11">
        <v>326.81</v>
      </c>
      <c r="J494" s="10">
        <v>0.424</v>
      </c>
      <c r="K494" s="11">
        <v>264.52</v>
      </c>
      <c r="L494" s="10">
        <v>0.36</v>
      </c>
      <c r="M494" s="11">
        <v>316.44</v>
      </c>
      <c r="N494" s="10">
        <v>0.472</v>
      </c>
      <c r="O494" s="11">
        <v>300.34</v>
      </c>
      <c r="P494" s="10">
        <v>0.488</v>
      </c>
      <c r="Q494" s="10">
        <v>0.2144</v>
      </c>
      <c r="R494" s="10">
        <v>0.424</v>
      </c>
      <c r="S494" s="10">
        <v>0.2179</v>
      </c>
      <c r="T494" s="8">
        <f>IF(and(ISNUMBER(D494), isnumber(E494)), 1, 0) + IF(and(ISNUMBER(F494), isnumber(G494)), 1, 0) + IF(and(ISNUMBER(H494), isnumber(I494)), 1, 0) + IF(and(ISNUMBER(J494), isnumber(K494)), 1, 0) + IF(and(ISNUMBER(L494), isnumber(M494)), 1, 0) + IF(and(ISNUMBER(N494), isnumber(O494)), 1, 0)</f>
      </c>
      <c r="U494" s="8">
        <f>IF(and(ISNUMBER(P494), isnumber(Q494)), 1, 0) + IF(and(ISNUMBER(R494), isnumber(S494)), 1, 0)</f>
      </c>
      <c r="V494" s="13"/>
      <c r="W494" s="13"/>
      <c r="X494" s="16"/>
    </row>
    <row x14ac:dyDescent="0.25" r="495" customHeight="1" ht="15.75">
      <c r="A495" s="8">
        <v>25614</v>
      </c>
      <c r="B495" s="13" t="s">
        <v>91</v>
      </c>
      <c r="C495" s="13" t="s">
        <v>4718</v>
      </c>
      <c r="D495" s="10">
        <v>0.4894</v>
      </c>
      <c r="E495" s="11">
        <v>0</v>
      </c>
      <c r="F495" s="10">
        <v>0.383</v>
      </c>
      <c r="G495" s="11">
        <v>93.33</v>
      </c>
      <c r="H495" s="10">
        <v>0.1508</v>
      </c>
      <c r="I495" s="11">
        <v>187.37</v>
      </c>
      <c r="J495" s="10">
        <v>0.5696</v>
      </c>
      <c r="K495" s="11">
        <v>105</v>
      </c>
      <c r="L495" s="10">
        <v>0.1984</v>
      </c>
      <c r="M495" s="11">
        <v>305.6</v>
      </c>
      <c r="N495" s="10">
        <v>0.2143</v>
      </c>
      <c r="O495" s="11">
        <v>99.26</v>
      </c>
      <c r="P495" s="10">
        <v>0.4894</v>
      </c>
      <c r="Q495" s="10">
        <v>0.2064</v>
      </c>
      <c r="R495" s="10">
        <v>0.5696</v>
      </c>
      <c r="S495" s="10">
        <v>0.1925</v>
      </c>
      <c r="T495" s="8">
        <f>IF(and(ISNUMBER(D495), isnumber(E495)), 1, 0) + IF(and(ISNUMBER(F495), isnumber(G495)), 1, 0) + IF(and(ISNUMBER(H495), isnumber(I495)), 1, 0) + IF(and(ISNUMBER(J495), isnumber(K495)), 1, 0) + IF(and(ISNUMBER(L495), isnumber(M495)), 1, 0) + IF(and(ISNUMBER(N495), isnumber(O495)), 1, 0)</f>
      </c>
      <c r="U495" s="8">
        <f>IF(and(ISNUMBER(P495), isnumber(Q495)), 1, 0) + IF(and(ISNUMBER(R495), isnumber(S495)), 1, 0)</f>
      </c>
      <c r="V495" s="13"/>
      <c r="W495" s="13"/>
      <c r="X495" s="16"/>
    </row>
    <row x14ac:dyDescent="0.25" r="496" customHeight="1" ht="15.75">
      <c r="A496" s="8">
        <v>25615</v>
      </c>
      <c r="B496" s="13" t="s">
        <v>91</v>
      </c>
      <c r="C496" s="13" t="s">
        <v>5481</v>
      </c>
      <c r="D496" s="10">
        <v>0.709</v>
      </c>
      <c r="E496" s="11">
        <v>167.58</v>
      </c>
      <c r="F496" s="10">
        <v>0.5821</v>
      </c>
      <c r="G496" s="11">
        <v>303.86</v>
      </c>
      <c r="H496" s="10">
        <v>0.3371</v>
      </c>
      <c r="I496" s="11">
        <v>329.95</v>
      </c>
      <c r="J496" s="10">
        <v>0.5379</v>
      </c>
      <c r="K496" s="11">
        <v>300.24</v>
      </c>
      <c r="L496" s="10">
        <v>0.3315</v>
      </c>
      <c r="M496" s="11">
        <v>341.69</v>
      </c>
      <c r="N496" s="10">
        <v>0.3764</v>
      </c>
      <c r="O496" s="11">
        <v>351.32</v>
      </c>
      <c r="P496" s="10">
        <v>0.709</v>
      </c>
      <c r="Q496" s="10">
        <v>0.2058</v>
      </c>
      <c r="R496" s="10">
        <v>0.5379</v>
      </c>
      <c r="S496" s="10">
        <v>0.1939</v>
      </c>
      <c r="T496" s="8">
        <f>IF(and(ISNUMBER(D496), isnumber(E496)), 1, 0) + IF(and(ISNUMBER(F496), isnumber(G496)), 1, 0) + IF(and(ISNUMBER(H496), isnumber(I496)), 1, 0) + IF(and(ISNUMBER(J496), isnumber(K496)), 1, 0) + IF(and(ISNUMBER(L496), isnumber(M496)), 1, 0) + IF(and(ISNUMBER(N496), isnumber(O496)), 1, 0)</f>
      </c>
      <c r="U496" s="8">
        <f>IF(and(ISNUMBER(P496), isnumber(Q496)), 1, 0) + IF(and(ISNUMBER(R496), isnumber(S496)), 1, 0)</f>
      </c>
      <c r="V496" s="13"/>
      <c r="W496" s="13"/>
      <c r="X496" s="16"/>
    </row>
    <row x14ac:dyDescent="0.25" r="497" customHeight="1" ht="15.75">
      <c r="A497" s="8">
        <v>25616</v>
      </c>
      <c r="B497" s="13" t="s">
        <v>91</v>
      </c>
      <c r="C497" s="13" t="s">
        <v>5484</v>
      </c>
      <c r="D497" s="10">
        <v>0.4459</v>
      </c>
      <c r="E497" s="11">
        <v>53.33</v>
      </c>
      <c r="F497" s="10">
        <v>0.4662</v>
      </c>
      <c r="G497" s="11">
        <v>402.32</v>
      </c>
      <c r="H497" s="10">
        <v>0.3851</v>
      </c>
      <c r="I497" s="11">
        <v>289.82</v>
      </c>
      <c r="J497" s="10">
        <v>0.3243</v>
      </c>
      <c r="K497" s="11">
        <v>142.61</v>
      </c>
      <c r="L497" s="10">
        <v>0.3716</v>
      </c>
      <c r="M497" s="11">
        <v>292.59</v>
      </c>
      <c r="N497" s="10">
        <v>0.4324</v>
      </c>
      <c r="O497" s="11">
        <v>320</v>
      </c>
      <c r="P497" s="10">
        <v>0.4459</v>
      </c>
      <c r="Q497" s="10">
        <v>0.2027</v>
      </c>
      <c r="R497" s="10">
        <v>0.3243</v>
      </c>
      <c r="S497" s="10">
        <v>0.1965</v>
      </c>
      <c r="T497" s="8">
        <f>IF(and(ISNUMBER(D497), isnumber(E497)), 1, 0) + IF(and(ISNUMBER(F497), isnumber(G497)), 1, 0) + IF(and(ISNUMBER(H497), isnumber(I497)), 1, 0) + IF(and(ISNUMBER(J497), isnumber(K497)), 1, 0) + IF(and(ISNUMBER(L497), isnumber(M497)), 1, 0) + IF(and(ISNUMBER(N497), isnumber(O497)), 1, 0)</f>
      </c>
      <c r="U497" s="8">
        <f>IF(and(ISNUMBER(P497), isnumber(Q497)), 1, 0) + IF(and(ISNUMBER(R497), isnumber(S497)), 1, 0)</f>
      </c>
      <c r="V497" s="13"/>
      <c r="W497" s="13"/>
      <c r="X497" s="16"/>
    </row>
    <row x14ac:dyDescent="0.25" r="498" customHeight="1" ht="15.75">
      <c r="A498" s="8">
        <v>25549</v>
      </c>
      <c r="B498" s="13" t="s">
        <v>91</v>
      </c>
      <c r="C498" s="13" t="s">
        <v>5486</v>
      </c>
      <c r="D498" s="10">
        <v>0.6299</v>
      </c>
      <c r="E498" s="11">
        <v>380.83</v>
      </c>
      <c r="F498" s="10">
        <v>0.4764</v>
      </c>
      <c r="G498" s="11">
        <v>387.33</v>
      </c>
      <c r="H498" s="10">
        <v>0.4843</v>
      </c>
      <c r="I498" s="11">
        <v>448.52</v>
      </c>
      <c r="J498" s="10">
        <v>0.5591</v>
      </c>
      <c r="K498" s="11">
        <v>389.2</v>
      </c>
      <c r="L498" s="10">
        <v>0.4685</v>
      </c>
      <c r="M498" s="11">
        <v>452.77</v>
      </c>
      <c r="N498" s="10">
        <v>0.4449</v>
      </c>
      <c r="O498" s="11">
        <v>433.87</v>
      </c>
      <c r="P498" s="10">
        <v>0.6299</v>
      </c>
      <c r="Q498" s="10">
        <v>0.2449</v>
      </c>
      <c r="R498" s="10">
        <v>0.5591</v>
      </c>
      <c r="S498" s="10">
        <v>0.2128</v>
      </c>
      <c r="T498" s="8">
        <f>IF(and(ISNUMBER(D498), isnumber(E498)), 1, 0) + IF(and(ISNUMBER(F498), isnumber(G498)), 1, 0) + IF(and(ISNUMBER(H498), isnumber(I498)), 1, 0) + IF(and(ISNUMBER(J498), isnumber(K498)), 1, 0) + IF(and(ISNUMBER(L498), isnumber(M498)), 1, 0) + IF(and(ISNUMBER(N498), isnumber(O498)), 1, 0)</f>
      </c>
      <c r="U498" s="8">
        <f>IF(and(ISNUMBER(P498), isnumber(Q498)), 1, 0) + IF(and(ISNUMBER(R498), isnumber(S498)), 1, 0)</f>
      </c>
      <c r="V498" s="13"/>
      <c r="W498" s="13"/>
      <c r="X498" s="16"/>
    </row>
    <row x14ac:dyDescent="0.25" r="499" customHeight="1" ht="15.75">
      <c r="A499" s="8">
        <v>25617</v>
      </c>
      <c r="B499" s="13" t="s">
        <v>91</v>
      </c>
      <c r="C499" s="13" t="s">
        <v>5489</v>
      </c>
      <c r="D499" s="10">
        <v>0.7084</v>
      </c>
      <c r="E499" s="11">
        <v>200.45</v>
      </c>
      <c r="F499" s="10">
        <v>0.5025</v>
      </c>
      <c r="G499" s="11">
        <v>351.97</v>
      </c>
      <c r="H499" s="10">
        <v>0.4548</v>
      </c>
      <c r="I499" s="11">
        <v>399.03</v>
      </c>
      <c r="J499" s="10">
        <v>0.4701</v>
      </c>
      <c r="K499" s="11">
        <v>279.13</v>
      </c>
      <c r="L499" s="10">
        <v>0.337</v>
      </c>
      <c r="M499" s="11">
        <v>362.51</v>
      </c>
      <c r="N499" s="10">
        <v>0.4174</v>
      </c>
      <c r="O499" s="11">
        <v>400.65</v>
      </c>
      <c r="P499" s="10">
        <v>0.7084</v>
      </c>
      <c r="Q499" s="10">
        <v>0.2328</v>
      </c>
      <c r="R499" s="10">
        <v>0.4701</v>
      </c>
      <c r="S499" s="10">
        <v>0.206</v>
      </c>
      <c r="T499" s="8">
        <f>IF(and(ISNUMBER(D499), isnumber(E499)), 1, 0) + IF(and(ISNUMBER(F499), isnumber(G499)), 1, 0) + IF(and(ISNUMBER(H499), isnumber(I499)), 1, 0) + IF(and(ISNUMBER(J499), isnumber(K499)), 1, 0) + IF(and(ISNUMBER(L499), isnumber(M499)), 1, 0) + IF(and(ISNUMBER(N499), isnumber(O499)), 1, 0)</f>
      </c>
      <c r="U499" s="8">
        <f>IF(and(ISNUMBER(P499), isnumber(Q499)), 1, 0) + IF(and(ISNUMBER(R499), isnumber(S499)), 1, 0)</f>
      </c>
      <c r="V499" s="13"/>
      <c r="W499" s="13"/>
      <c r="X499" s="16"/>
    </row>
    <row x14ac:dyDescent="0.25" r="500" customHeight="1" ht="15.75">
      <c r="A500" s="8">
        <v>25618</v>
      </c>
      <c r="B500" s="13" t="s">
        <v>91</v>
      </c>
      <c r="C500" s="13" t="s">
        <v>5492</v>
      </c>
      <c r="D500" s="10">
        <v>0.8557</v>
      </c>
      <c r="E500" s="11">
        <v>22.62</v>
      </c>
      <c r="F500" s="10">
        <v>0.433</v>
      </c>
      <c r="G500" s="11">
        <v>260.34</v>
      </c>
      <c r="H500" s="10">
        <v>0.2345</v>
      </c>
      <c r="I500" s="11">
        <v>359.89</v>
      </c>
      <c r="J500" s="10">
        <v>0.3491</v>
      </c>
      <c r="K500" s="11">
        <v>305.95</v>
      </c>
      <c r="L500" s="10">
        <v>0</v>
      </c>
      <c r="M500" s="11" t="s">
        <v>7127</v>
      </c>
      <c r="N500" s="10">
        <v>0</v>
      </c>
      <c r="O500" s="11" t="s">
        <v>7127</v>
      </c>
      <c r="P500" s="10">
        <v>0.8557</v>
      </c>
      <c r="Q500" s="10">
        <v>0.1588</v>
      </c>
      <c r="R500" s="10">
        <v>0.3491</v>
      </c>
      <c r="S500" s="10">
        <v>0.217</v>
      </c>
      <c r="T500" s="8">
        <f>IF(and(ISNUMBER(D500), isnumber(E500)), 1, 0) + IF(and(ISNUMBER(F500), isnumber(G500)), 1, 0) + IF(and(ISNUMBER(H500), isnumber(I500)), 1, 0) + IF(and(ISNUMBER(J500), isnumber(K500)), 1, 0) + IF(and(ISNUMBER(L500), isnumber(M500)), 1, 0) + IF(and(ISNUMBER(N500), isnumber(O500)), 1, 0)</f>
      </c>
      <c r="U500" s="8">
        <f>IF(and(ISNUMBER(P500), isnumber(Q500)), 1, 0) + IF(and(ISNUMBER(R500), isnumber(S500)), 1, 0)</f>
      </c>
      <c r="V500" s="13"/>
      <c r="W500" s="13"/>
      <c r="X500" s="16"/>
    </row>
    <row x14ac:dyDescent="0.25" r="501" customHeight="1" ht="15.75">
      <c r="A501" s="8">
        <v>25620</v>
      </c>
      <c r="B501" s="13" t="s">
        <v>91</v>
      </c>
      <c r="C501" s="13" t="s">
        <v>5495</v>
      </c>
      <c r="D501" s="10">
        <v>0.9469</v>
      </c>
      <c r="E501" s="11">
        <v>431.59</v>
      </c>
      <c r="F501" s="10">
        <v>0.9912</v>
      </c>
      <c r="G501" s="11">
        <v>412.48</v>
      </c>
      <c r="H501" s="10">
        <v>1</v>
      </c>
      <c r="I501" s="11">
        <v>465.5</v>
      </c>
      <c r="J501" s="10">
        <v>0.8696</v>
      </c>
      <c r="K501" s="11">
        <v>413.33</v>
      </c>
      <c r="L501" s="10">
        <v>1</v>
      </c>
      <c r="M501" s="11">
        <v>374.9</v>
      </c>
      <c r="N501" s="10">
        <v>0.9933</v>
      </c>
      <c r="O501" s="11">
        <v>332.84</v>
      </c>
      <c r="P501" s="10">
        <v>0.9469</v>
      </c>
      <c r="Q501" s="10">
        <v>0.28</v>
      </c>
      <c r="R501" s="10">
        <v>0.8696</v>
      </c>
      <c r="S501" s="10">
        <v>0.2226</v>
      </c>
      <c r="T501" s="8">
        <f>IF(and(ISNUMBER(D501), isnumber(E501)), 1, 0) + IF(and(ISNUMBER(F501), isnumber(G501)), 1, 0) + IF(and(ISNUMBER(H501), isnumber(I501)), 1, 0) + IF(and(ISNUMBER(J501), isnumber(K501)), 1, 0) + IF(and(ISNUMBER(L501), isnumber(M501)), 1, 0) + IF(and(ISNUMBER(N501), isnumber(O501)), 1, 0)</f>
      </c>
      <c r="U501" s="8">
        <f>IF(and(ISNUMBER(P501), isnumber(Q501)), 1, 0) + IF(and(ISNUMBER(R501), isnumber(S501)), 1, 0)</f>
      </c>
      <c r="V501" s="13"/>
      <c r="W501" s="13"/>
      <c r="X501" s="16"/>
    </row>
    <row x14ac:dyDescent="0.25" r="502" customHeight="1" ht="15.75">
      <c r="A502" s="8">
        <v>25551</v>
      </c>
      <c r="B502" s="13" t="s">
        <v>91</v>
      </c>
      <c r="C502" s="13" t="s">
        <v>5499</v>
      </c>
      <c r="D502" s="10">
        <v>0.6769</v>
      </c>
      <c r="E502" s="11">
        <v>244.24</v>
      </c>
      <c r="F502" s="10">
        <v>0.5692</v>
      </c>
      <c r="G502" s="11">
        <v>412.43</v>
      </c>
      <c r="H502" s="10">
        <v>0.4437</v>
      </c>
      <c r="I502" s="11">
        <v>442.62</v>
      </c>
      <c r="J502" s="10">
        <v>0.5263</v>
      </c>
      <c r="K502" s="11">
        <v>354</v>
      </c>
      <c r="L502" s="10">
        <v>0.4437</v>
      </c>
      <c r="M502" s="11">
        <v>375.52</v>
      </c>
      <c r="N502" s="10">
        <v>0.4172</v>
      </c>
      <c r="O502" s="11">
        <v>399.37</v>
      </c>
      <c r="P502" s="10">
        <v>0.6769</v>
      </c>
      <c r="Q502" s="10">
        <v>0.222</v>
      </c>
      <c r="R502" s="10">
        <v>0.5263</v>
      </c>
      <c r="S502" s="10">
        <v>0.2011</v>
      </c>
      <c r="T502" s="8">
        <f>IF(and(ISNUMBER(D502), isnumber(E502)), 1, 0) + IF(and(ISNUMBER(F502), isnumber(G502)), 1, 0) + IF(and(ISNUMBER(H502), isnumber(I502)), 1, 0) + IF(and(ISNUMBER(J502), isnumber(K502)), 1, 0) + IF(and(ISNUMBER(L502), isnumber(M502)), 1, 0) + IF(and(ISNUMBER(N502), isnumber(O502)), 1, 0)</f>
      </c>
      <c r="U502" s="8">
        <f>IF(and(ISNUMBER(P502), isnumber(Q502)), 1, 0) + IF(and(ISNUMBER(R502), isnumber(S502)), 1, 0)</f>
      </c>
      <c r="V502" s="13"/>
      <c r="W502" s="13"/>
      <c r="X502" s="16"/>
    </row>
    <row x14ac:dyDescent="0.25" r="503" customHeight="1" ht="15.75">
      <c r="A503" s="8">
        <v>25649</v>
      </c>
      <c r="B503" s="13" t="s">
        <v>91</v>
      </c>
      <c r="C503" s="13" t="s">
        <v>5502</v>
      </c>
      <c r="D503" s="10">
        <v>0.9776</v>
      </c>
      <c r="E503" s="11">
        <v>153.36</v>
      </c>
      <c r="F503" s="10">
        <v>0.9679</v>
      </c>
      <c r="G503" s="11">
        <v>212.76</v>
      </c>
      <c r="H503" s="10">
        <v>0.4825</v>
      </c>
      <c r="I503" s="11">
        <v>417.9</v>
      </c>
      <c r="J503" s="10">
        <v>0.5269</v>
      </c>
      <c r="K503" s="11">
        <v>240.22</v>
      </c>
      <c r="L503" s="10">
        <v>0.4367</v>
      </c>
      <c r="M503" s="11">
        <v>443.45</v>
      </c>
      <c r="N503" s="10">
        <v>0.4151</v>
      </c>
      <c r="O503" s="11">
        <v>429.6</v>
      </c>
      <c r="P503" s="10">
        <v>0.9776</v>
      </c>
      <c r="Q503" s="10">
        <v>0.1479</v>
      </c>
      <c r="R503" s="10">
        <v>0.5269</v>
      </c>
      <c r="S503" s="10">
        <v>0.1958</v>
      </c>
      <c r="T503" s="8">
        <f>IF(and(ISNUMBER(D503), isnumber(E503)), 1, 0) + IF(and(ISNUMBER(F503), isnumber(G503)), 1, 0) + IF(and(ISNUMBER(H503), isnumber(I503)), 1, 0) + IF(and(ISNUMBER(J503), isnumber(K503)), 1, 0) + IF(and(ISNUMBER(L503), isnumber(M503)), 1, 0) + IF(and(ISNUMBER(N503), isnumber(O503)), 1, 0)</f>
      </c>
      <c r="U503" s="8">
        <f>IF(and(ISNUMBER(P503), isnumber(Q503)), 1, 0) + IF(and(ISNUMBER(R503), isnumber(S503)), 1, 0)</f>
      </c>
      <c r="V503" s="13"/>
      <c r="W503" s="13"/>
      <c r="X503" s="16"/>
    </row>
    <row x14ac:dyDescent="0.25" r="504" customHeight="1" ht="15.75">
      <c r="A504" s="8">
        <v>25650</v>
      </c>
      <c r="B504" s="13" t="s">
        <v>91</v>
      </c>
      <c r="C504" s="13" t="s">
        <v>5506</v>
      </c>
      <c r="D504" s="10">
        <v>0.6237</v>
      </c>
      <c r="E504" s="11">
        <v>320.25</v>
      </c>
      <c r="F504" s="10">
        <v>0.4678</v>
      </c>
      <c r="G504" s="11">
        <v>406.72</v>
      </c>
      <c r="H504" s="10">
        <v>0.5288</v>
      </c>
      <c r="I504" s="11">
        <v>466.41</v>
      </c>
      <c r="J504" s="10">
        <v>0.4678</v>
      </c>
      <c r="K504" s="11">
        <v>351.45</v>
      </c>
      <c r="L504" s="10">
        <v>0.5729</v>
      </c>
      <c r="M504" s="11">
        <v>414.91</v>
      </c>
      <c r="N504" s="10">
        <v>0.4983</v>
      </c>
      <c r="O504" s="11">
        <v>427.21</v>
      </c>
      <c r="P504" s="10">
        <v>0.6237</v>
      </c>
      <c r="Q504" s="10">
        <v>0.2639</v>
      </c>
      <c r="R504" s="10">
        <v>0.4678</v>
      </c>
      <c r="S504" s="10">
        <v>0.2162</v>
      </c>
      <c r="T504" s="8">
        <f>IF(and(ISNUMBER(D504), isnumber(E504)), 1, 0) + IF(and(ISNUMBER(F504), isnumber(G504)), 1, 0) + IF(and(ISNUMBER(H504), isnumber(I504)), 1, 0) + IF(and(ISNUMBER(J504), isnumber(K504)), 1, 0) + IF(and(ISNUMBER(L504), isnumber(M504)), 1, 0) + IF(and(ISNUMBER(N504), isnumber(O504)), 1, 0)</f>
      </c>
      <c r="U504" s="8">
        <f>IF(and(ISNUMBER(P504), isnumber(Q504)), 1, 0) + IF(and(ISNUMBER(R504), isnumber(S504)), 1, 0)</f>
      </c>
      <c r="V504" s="13"/>
      <c r="W504" s="13"/>
      <c r="X504" s="16"/>
    </row>
    <row x14ac:dyDescent="0.25" r="505" customHeight="1" ht="15.75">
      <c r="A505" s="8">
        <v>25621</v>
      </c>
      <c r="B505" s="13" t="s">
        <v>91</v>
      </c>
      <c r="C505" s="13" t="s">
        <v>5509</v>
      </c>
      <c r="D505" s="10">
        <v>0.4556</v>
      </c>
      <c r="E505" s="11" t="s">
        <v>7127</v>
      </c>
      <c r="F505" s="10">
        <v>0.619</v>
      </c>
      <c r="G505" s="11">
        <v>361.05</v>
      </c>
      <c r="H505" s="10">
        <v>0.5054</v>
      </c>
      <c r="I505" s="11">
        <v>400.85</v>
      </c>
      <c r="J505" s="10">
        <v>0.5402</v>
      </c>
      <c r="K505" s="11">
        <v>278.26</v>
      </c>
      <c r="L505" s="10">
        <v>0.3718</v>
      </c>
      <c r="M505" s="11" t="s">
        <v>7127</v>
      </c>
      <c r="N505" s="10">
        <v>0.0126</v>
      </c>
      <c r="O505" s="11">
        <v>331.43</v>
      </c>
      <c r="P505" s="10">
        <v>0.4556</v>
      </c>
      <c r="Q505" s="10">
        <v>0.2301</v>
      </c>
      <c r="R505" s="10">
        <v>0.5402</v>
      </c>
      <c r="S505" s="10">
        <v>0.206</v>
      </c>
      <c r="T505" s="8">
        <f>IF(and(ISNUMBER(D505), isnumber(E505)), 1, 0) + IF(and(ISNUMBER(F505), isnumber(G505)), 1, 0) + IF(and(ISNUMBER(H505), isnumber(I505)), 1, 0) + IF(and(ISNUMBER(J505), isnumber(K505)), 1, 0) + IF(and(ISNUMBER(L505), isnumber(M505)), 1, 0) + IF(and(ISNUMBER(N505), isnumber(O505)), 1, 0)</f>
      </c>
      <c r="U505" s="8">
        <f>IF(and(ISNUMBER(P505), isnumber(Q505)), 1, 0) + IF(and(ISNUMBER(R505), isnumber(S505)), 1, 0)</f>
      </c>
      <c r="V505" s="13"/>
      <c r="W505" s="13"/>
      <c r="X505" s="16"/>
    </row>
    <row x14ac:dyDescent="0.25" r="506" customHeight="1" ht="15.75">
      <c r="A506" s="8">
        <v>25622</v>
      </c>
      <c r="B506" s="13" t="s">
        <v>91</v>
      </c>
      <c r="C506" s="13" t="s">
        <v>5512</v>
      </c>
      <c r="D506" s="10">
        <v>0.6475</v>
      </c>
      <c r="E506" s="11">
        <v>124.97</v>
      </c>
      <c r="F506" s="10">
        <v>0.5007</v>
      </c>
      <c r="G506" s="11">
        <v>281.27</v>
      </c>
      <c r="H506" s="10">
        <v>0.4903</v>
      </c>
      <c r="I506" s="11">
        <v>321.31</v>
      </c>
      <c r="J506" s="10">
        <v>0.4797</v>
      </c>
      <c r="K506" s="11">
        <v>270.96</v>
      </c>
      <c r="L506" s="10">
        <v>0.3692</v>
      </c>
      <c r="M506" s="11">
        <v>342.77</v>
      </c>
      <c r="N506" s="10">
        <v>0.391</v>
      </c>
      <c r="O506" s="11">
        <v>359.47</v>
      </c>
      <c r="P506" s="10">
        <v>0.6475</v>
      </c>
      <c r="Q506" s="10">
        <v>0.2115</v>
      </c>
      <c r="R506" s="10">
        <v>0.4797</v>
      </c>
      <c r="S506" s="10">
        <v>0.1972</v>
      </c>
      <c r="T506" s="8">
        <f>IF(and(ISNUMBER(D506), isnumber(E506)), 1, 0) + IF(and(ISNUMBER(F506), isnumber(G506)), 1, 0) + IF(and(ISNUMBER(H506), isnumber(I506)), 1, 0) + IF(and(ISNUMBER(J506), isnumber(K506)), 1, 0) + IF(and(ISNUMBER(L506), isnumber(M506)), 1, 0) + IF(and(ISNUMBER(N506), isnumber(O506)), 1, 0)</f>
      </c>
      <c r="U506" s="8">
        <f>IF(and(ISNUMBER(P506), isnumber(Q506)), 1, 0) + IF(and(ISNUMBER(R506), isnumber(S506)), 1, 0)</f>
      </c>
      <c r="V506" s="13"/>
      <c r="W506" s="13"/>
      <c r="X506" s="16"/>
    </row>
    <row x14ac:dyDescent="0.25" r="507" customHeight="1" ht="15.75">
      <c r="A507" s="8">
        <v>25623</v>
      </c>
      <c r="B507" s="13" t="s">
        <v>91</v>
      </c>
      <c r="C507" s="13" t="s">
        <v>5515</v>
      </c>
      <c r="D507" s="10">
        <v>0.6918</v>
      </c>
      <c r="E507" s="11">
        <v>293.9</v>
      </c>
      <c r="F507" s="10">
        <v>0.6205</v>
      </c>
      <c r="G507" s="11">
        <v>365.52</v>
      </c>
      <c r="H507" s="10">
        <v>0.4775</v>
      </c>
      <c r="I507" s="11" t="s">
        <v>7127</v>
      </c>
      <c r="J507" s="10">
        <v>0.4556</v>
      </c>
      <c r="K507" s="11">
        <v>320.19</v>
      </c>
      <c r="L507" s="10">
        <v>0.485</v>
      </c>
      <c r="M507" s="11">
        <v>421.16</v>
      </c>
      <c r="N507" s="10">
        <v>0.3352</v>
      </c>
      <c r="O507" s="11">
        <v>402.91</v>
      </c>
      <c r="P507" s="10">
        <v>0.6918</v>
      </c>
      <c r="Q507" s="10">
        <v>0.2425</v>
      </c>
      <c r="R507" s="10">
        <v>0.4556</v>
      </c>
      <c r="S507" s="10">
        <v>0.2071</v>
      </c>
      <c r="T507" s="8">
        <f>IF(and(ISNUMBER(D507), isnumber(E507)), 1, 0) + IF(and(ISNUMBER(F507), isnumber(G507)), 1, 0) + IF(and(ISNUMBER(H507), isnumber(I507)), 1, 0) + IF(and(ISNUMBER(J507), isnumber(K507)), 1, 0) + IF(and(ISNUMBER(L507), isnumber(M507)), 1, 0) + IF(and(ISNUMBER(N507), isnumber(O507)), 1, 0)</f>
      </c>
      <c r="U507" s="8">
        <f>IF(and(ISNUMBER(P507), isnumber(Q507)), 1, 0) + IF(and(ISNUMBER(R507), isnumber(S507)), 1, 0)</f>
      </c>
      <c r="V507" s="13"/>
      <c r="W507" s="13"/>
      <c r="X507" s="16"/>
    </row>
    <row x14ac:dyDescent="0.25" r="508" customHeight="1" ht="15.75">
      <c r="A508" s="8">
        <v>25624</v>
      </c>
      <c r="B508" s="13" t="s">
        <v>91</v>
      </c>
      <c r="C508" s="13" t="s">
        <v>5519</v>
      </c>
      <c r="D508" s="10">
        <v>0.4862</v>
      </c>
      <c r="E508" s="11">
        <v>95.96</v>
      </c>
      <c r="F508" s="10">
        <v>0.453</v>
      </c>
      <c r="G508" s="11">
        <v>277.92</v>
      </c>
      <c r="H508" s="10">
        <v>0.5148</v>
      </c>
      <c r="I508" s="11">
        <v>333.54</v>
      </c>
      <c r="J508" s="10">
        <v>0.6154</v>
      </c>
      <c r="K508" s="11">
        <v>211.95</v>
      </c>
      <c r="L508" s="10">
        <v>0.4601</v>
      </c>
      <c r="M508" s="11">
        <v>293.54</v>
      </c>
      <c r="N508" s="10">
        <v>0.4579</v>
      </c>
      <c r="O508" s="11">
        <v>350.55</v>
      </c>
      <c r="P508" s="10">
        <v>0.4862</v>
      </c>
      <c r="Q508" s="10">
        <v>0.2126</v>
      </c>
      <c r="R508" s="10">
        <v>0.6154</v>
      </c>
      <c r="S508" s="10">
        <v>0.2017</v>
      </c>
      <c r="T508" s="8">
        <f>IF(and(ISNUMBER(D508), isnumber(E508)), 1, 0) + IF(and(ISNUMBER(F508), isnumber(G508)), 1, 0) + IF(and(ISNUMBER(H508), isnumber(I508)), 1, 0) + IF(and(ISNUMBER(J508), isnumber(K508)), 1, 0) + IF(and(ISNUMBER(L508), isnumber(M508)), 1, 0) + IF(and(ISNUMBER(N508), isnumber(O508)), 1, 0)</f>
      </c>
      <c r="U508" s="8">
        <f>IF(and(ISNUMBER(P508), isnumber(Q508)), 1, 0) + IF(and(ISNUMBER(R508), isnumber(S508)), 1, 0)</f>
      </c>
      <c r="V508" s="13"/>
      <c r="W508" s="13"/>
      <c r="X508" s="16"/>
    </row>
    <row x14ac:dyDescent="0.25" r="509" customHeight="1" ht="15.75">
      <c r="A509" s="8">
        <v>25625</v>
      </c>
      <c r="B509" s="13" t="s">
        <v>91</v>
      </c>
      <c r="C509" s="13" t="s">
        <v>5521</v>
      </c>
      <c r="D509" s="10">
        <v>0.751</v>
      </c>
      <c r="E509" s="11">
        <v>247.6</v>
      </c>
      <c r="F509" s="10">
        <v>0.6831</v>
      </c>
      <c r="G509" s="11">
        <v>331.47</v>
      </c>
      <c r="H509" s="10">
        <v>0.8422</v>
      </c>
      <c r="I509" s="11">
        <v>283.66</v>
      </c>
      <c r="J509" s="10">
        <v>0.6978</v>
      </c>
      <c r="K509" s="11">
        <v>191.41</v>
      </c>
      <c r="L509" s="10">
        <v>0.6102</v>
      </c>
      <c r="M509" s="11">
        <v>393.4</v>
      </c>
      <c r="N509" s="10">
        <v>0.4793</v>
      </c>
      <c r="O509" s="11">
        <v>386.68</v>
      </c>
      <c r="P509" s="10">
        <v>0.751</v>
      </c>
      <c r="Q509" s="10">
        <v>0.2445</v>
      </c>
      <c r="R509" s="10">
        <v>0.6978</v>
      </c>
      <c r="S509" s="10">
        <v>0.1405</v>
      </c>
      <c r="T509" s="8">
        <f>IF(and(ISNUMBER(D509), isnumber(E509)), 1, 0) + IF(and(ISNUMBER(F509), isnumber(G509)), 1, 0) + IF(and(ISNUMBER(H509), isnumber(I509)), 1, 0) + IF(and(ISNUMBER(J509), isnumber(K509)), 1, 0) + IF(and(ISNUMBER(L509), isnumber(M509)), 1, 0) + IF(and(ISNUMBER(N509), isnumber(O509)), 1, 0)</f>
      </c>
      <c r="U509" s="8">
        <f>IF(and(ISNUMBER(P509), isnumber(Q509)), 1, 0) + IF(and(ISNUMBER(R509), isnumber(S509)), 1, 0)</f>
      </c>
      <c r="V509" s="13"/>
      <c r="W509" s="13"/>
      <c r="X509" s="16"/>
    </row>
    <row x14ac:dyDescent="0.25" r="510" customHeight="1" ht="15.75">
      <c r="A510" s="8">
        <v>25626</v>
      </c>
      <c r="B510" s="13" t="s">
        <v>91</v>
      </c>
      <c r="C510" s="13" t="s">
        <v>5524</v>
      </c>
      <c r="D510" s="10">
        <v>0.6093</v>
      </c>
      <c r="E510" s="11">
        <v>213.6</v>
      </c>
      <c r="F510" s="10">
        <v>0.6181</v>
      </c>
      <c r="G510" s="11">
        <v>336.2</v>
      </c>
      <c r="H510" s="10">
        <v>0.5412</v>
      </c>
      <c r="I510" s="11">
        <v>394.92</v>
      </c>
      <c r="J510" s="10">
        <v>0.487</v>
      </c>
      <c r="K510" s="11">
        <v>302.68</v>
      </c>
      <c r="L510" s="10">
        <v>0.3763</v>
      </c>
      <c r="M510" s="11" t="s">
        <v>7127</v>
      </c>
      <c r="N510" s="10">
        <v>0.3531</v>
      </c>
      <c r="O510" s="11" t="s">
        <v>7127</v>
      </c>
      <c r="P510" s="10">
        <v>0.6093</v>
      </c>
      <c r="Q510" s="10">
        <v>0.229</v>
      </c>
      <c r="R510" s="10">
        <v>0.487</v>
      </c>
      <c r="S510" s="10">
        <v>0.1976</v>
      </c>
      <c r="T510" s="8">
        <f>IF(and(ISNUMBER(D510), isnumber(E510)), 1, 0) + IF(and(ISNUMBER(F510), isnumber(G510)), 1, 0) + IF(and(ISNUMBER(H510), isnumber(I510)), 1, 0) + IF(and(ISNUMBER(J510), isnumber(K510)), 1, 0) + IF(and(ISNUMBER(L510), isnumber(M510)), 1, 0) + IF(and(ISNUMBER(N510), isnumber(O510)), 1, 0)</f>
      </c>
      <c r="U510" s="8">
        <f>IF(and(ISNUMBER(P510), isnumber(Q510)), 1, 0) + IF(and(ISNUMBER(R510), isnumber(S510)), 1, 0)</f>
      </c>
      <c r="V510" s="13"/>
      <c r="W510" s="13"/>
      <c r="X510" s="16"/>
    </row>
    <row x14ac:dyDescent="0.25" r="511" customHeight="1" ht="15.75">
      <c r="A511" s="8">
        <v>25627</v>
      </c>
      <c r="B511" s="13" t="s">
        <v>91</v>
      </c>
      <c r="C511" s="13" t="s">
        <v>5528</v>
      </c>
      <c r="D511" s="10">
        <v>0.589</v>
      </c>
      <c r="E511" s="11" t="s">
        <v>7127</v>
      </c>
      <c r="F511" s="10">
        <v>0.5012</v>
      </c>
      <c r="G511" s="11">
        <v>347.39</v>
      </c>
      <c r="H511" s="10">
        <v>0.5101</v>
      </c>
      <c r="I511" s="11">
        <v>387.38</v>
      </c>
      <c r="J511" s="10">
        <v>0.4878</v>
      </c>
      <c r="K511" s="11">
        <v>230.2</v>
      </c>
      <c r="L511" s="10">
        <v>0.3938</v>
      </c>
      <c r="M511" s="11">
        <v>332.22</v>
      </c>
      <c r="N511" s="10">
        <v>0.393</v>
      </c>
      <c r="O511" s="11">
        <v>357.49</v>
      </c>
      <c r="P511" s="10">
        <v>0.589</v>
      </c>
      <c r="Q511" s="10">
        <v>0.2306</v>
      </c>
      <c r="R511" s="10">
        <v>0.4878</v>
      </c>
      <c r="S511" s="10">
        <v>0.202</v>
      </c>
      <c r="T511" s="8">
        <f>IF(and(ISNUMBER(D511), isnumber(E511)), 1, 0) + IF(and(ISNUMBER(F511), isnumber(G511)), 1, 0) + IF(and(ISNUMBER(H511), isnumber(I511)), 1, 0) + IF(and(ISNUMBER(J511), isnumber(K511)), 1, 0) + IF(and(ISNUMBER(L511), isnumber(M511)), 1, 0) + IF(and(ISNUMBER(N511), isnumber(O511)), 1, 0)</f>
      </c>
      <c r="U511" s="8">
        <f>IF(and(ISNUMBER(P511), isnumber(Q511)), 1, 0) + IF(and(ISNUMBER(R511), isnumber(S511)), 1, 0)</f>
      </c>
      <c r="V511" s="13"/>
      <c r="W511" s="13"/>
      <c r="X511" s="16"/>
    </row>
    <row x14ac:dyDescent="0.25" r="512" customHeight="1" ht="15.75">
      <c r="A512" s="8">
        <v>25628</v>
      </c>
      <c r="B512" s="13" t="s">
        <v>91</v>
      </c>
      <c r="C512" s="13" t="s">
        <v>5529</v>
      </c>
      <c r="D512" s="10">
        <v>0.6311</v>
      </c>
      <c r="E512" s="11">
        <v>156.18</v>
      </c>
      <c r="F512" s="10">
        <v>0.4918</v>
      </c>
      <c r="G512" s="11">
        <v>315.5</v>
      </c>
      <c r="H512" s="10">
        <v>0.4461</v>
      </c>
      <c r="I512" s="11">
        <v>354.67</v>
      </c>
      <c r="J512" s="10">
        <v>0.5027</v>
      </c>
      <c r="K512" s="11">
        <v>306.6</v>
      </c>
      <c r="L512" s="10">
        <v>0.4429</v>
      </c>
      <c r="M512" s="11">
        <v>363.89</v>
      </c>
      <c r="N512" s="10">
        <v>0.4222</v>
      </c>
      <c r="O512" s="11">
        <v>394.86</v>
      </c>
      <c r="P512" s="10">
        <v>0.6311</v>
      </c>
      <c r="Q512" s="10">
        <v>0.2183</v>
      </c>
      <c r="R512" s="10">
        <v>0.5027</v>
      </c>
      <c r="S512" s="10">
        <v>0.2052</v>
      </c>
      <c r="T512" s="8">
        <f>IF(and(ISNUMBER(D512), isnumber(E512)), 1, 0) + IF(and(ISNUMBER(F512), isnumber(G512)), 1, 0) + IF(and(ISNUMBER(H512), isnumber(I512)), 1, 0) + IF(and(ISNUMBER(J512), isnumber(K512)), 1, 0) + IF(and(ISNUMBER(L512), isnumber(M512)), 1, 0) + IF(and(ISNUMBER(N512), isnumber(O512)), 1, 0)</f>
      </c>
      <c r="U512" s="8">
        <f>IF(and(ISNUMBER(P512), isnumber(Q512)), 1, 0) + IF(and(ISNUMBER(R512), isnumber(S512)), 1, 0)</f>
      </c>
      <c r="V512" s="13"/>
      <c r="W512" s="13"/>
      <c r="X512" s="16"/>
    </row>
    <row x14ac:dyDescent="0.25" r="513" customHeight="1" ht="15.75">
      <c r="A513" s="8">
        <v>25629</v>
      </c>
      <c r="B513" s="13" t="s">
        <v>91</v>
      </c>
      <c r="C513" s="13" t="s">
        <v>5532</v>
      </c>
      <c r="D513" s="10">
        <v>0.6655</v>
      </c>
      <c r="E513" s="11">
        <v>260.44</v>
      </c>
      <c r="F513" s="10">
        <v>0.4518</v>
      </c>
      <c r="G513" s="11">
        <v>371.23</v>
      </c>
      <c r="H513" s="10">
        <v>0.5539</v>
      </c>
      <c r="I513" s="11">
        <v>412.05</v>
      </c>
      <c r="J513" s="10">
        <v>0.5402</v>
      </c>
      <c r="K513" s="11">
        <v>80</v>
      </c>
      <c r="L513" s="10">
        <v>0.4977</v>
      </c>
      <c r="M513" s="11">
        <v>414.24</v>
      </c>
      <c r="N513" s="10">
        <v>0.3384</v>
      </c>
      <c r="O513" s="11" t="s">
        <v>7127</v>
      </c>
      <c r="P513" s="10">
        <v>0.6655</v>
      </c>
      <c r="Q513" s="10">
        <v>0.2431</v>
      </c>
      <c r="R513" s="10">
        <v>0.5402</v>
      </c>
      <c r="S513" s="10">
        <v>0.2062</v>
      </c>
      <c r="T513" s="8">
        <f>IF(and(ISNUMBER(D513), isnumber(E513)), 1, 0) + IF(and(ISNUMBER(F513), isnumber(G513)), 1, 0) + IF(and(ISNUMBER(H513), isnumber(I513)), 1, 0) + IF(and(ISNUMBER(J513), isnumber(K513)), 1, 0) + IF(and(ISNUMBER(L513), isnumber(M513)), 1, 0) + IF(and(ISNUMBER(N513), isnumber(O513)), 1, 0)</f>
      </c>
      <c r="U513" s="8">
        <f>IF(and(ISNUMBER(P513), isnumber(Q513)), 1, 0) + IF(and(ISNUMBER(R513), isnumber(S513)), 1, 0)</f>
      </c>
      <c r="V513" s="13"/>
      <c r="W513" s="13"/>
      <c r="X513" s="16"/>
    </row>
    <row x14ac:dyDescent="0.25" r="514" customHeight="1" ht="15.75">
      <c r="A514" s="8">
        <v>25630</v>
      </c>
      <c r="B514" s="13" t="s">
        <v>91</v>
      </c>
      <c r="C514" s="13" t="s">
        <v>5535</v>
      </c>
      <c r="D514" s="10">
        <v>0.5467</v>
      </c>
      <c r="E514" s="11">
        <v>97.88</v>
      </c>
      <c r="F514" s="10">
        <v>0.2267</v>
      </c>
      <c r="G514" s="11">
        <v>286.67</v>
      </c>
      <c r="H514" s="10">
        <v>0.3059</v>
      </c>
      <c r="I514" s="11">
        <v>365.48</v>
      </c>
      <c r="J514" s="10">
        <v>0.2878</v>
      </c>
      <c r="K514" s="11" t="s">
        <v>7127</v>
      </c>
      <c r="L514" s="10">
        <v>0.2863</v>
      </c>
      <c r="M514" s="11">
        <v>426.53</v>
      </c>
      <c r="N514" s="10">
        <v>0</v>
      </c>
      <c r="O514" s="11" t="s">
        <v>7127</v>
      </c>
      <c r="P514" s="10">
        <v>0.5467</v>
      </c>
      <c r="Q514" s="10">
        <v>0.2315</v>
      </c>
      <c r="R514" s="10">
        <v>0.2878</v>
      </c>
      <c r="S514" s="10">
        <v>0.2035</v>
      </c>
      <c r="T514" s="8">
        <f>IF(and(ISNUMBER(D514), isnumber(E514)), 1, 0) + IF(and(ISNUMBER(F514), isnumber(G514)), 1, 0) + IF(and(ISNUMBER(H514), isnumber(I514)), 1, 0) + IF(and(ISNUMBER(J514), isnumber(K514)), 1, 0) + IF(and(ISNUMBER(L514), isnumber(M514)), 1, 0) + IF(and(ISNUMBER(N514), isnumber(O514)), 1, 0)</f>
      </c>
      <c r="U514" s="8">
        <f>IF(and(ISNUMBER(P514), isnumber(Q514)), 1, 0) + IF(and(ISNUMBER(R514), isnumber(S514)), 1, 0)</f>
      </c>
      <c r="V514" s="13"/>
      <c r="W514" s="13"/>
      <c r="X514" s="16"/>
    </row>
    <row x14ac:dyDescent="0.25" r="515" customHeight="1" ht="15.75">
      <c r="A515" s="8">
        <v>25552</v>
      </c>
      <c r="B515" s="13" t="s">
        <v>91</v>
      </c>
      <c r="C515" s="13" t="s">
        <v>5539</v>
      </c>
      <c r="D515" s="10">
        <v>0.7752</v>
      </c>
      <c r="E515" s="11">
        <v>248</v>
      </c>
      <c r="F515" s="10">
        <v>0.7202</v>
      </c>
      <c r="G515" s="11">
        <v>373.33</v>
      </c>
      <c r="H515" s="10">
        <v>0.7661</v>
      </c>
      <c r="I515" s="11">
        <v>434.6</v>
      </c>
      <c r="J515" s="10">
        <v>0.578</v>
      </c>
      <c r="K515" s="11">
        <v>306.09</v>
      </c>
      <c r="L515" s="10">
        <v>0.6147</v>
      </c>
      <c r="M515" s="11">
        <v>390.53</v>
      </c>
      <c r="N515" s="10">
        <v>0.4633</v>
      </c>
      <c r="O515" s="11">
        <v>432.87</v>
      </c>
      <c r="P515" s="10">
        <v>0.7752</v>
      </c>
      <c r="Q515" s="10">
        <v>0.2439</v>
      </c>
      <c r="R515" s="10">
        <v>0.578</v>
      </c>
      <c r="S515" s="10">
        <v>0.1952</v>
      </c>
      <c r="T515" s="8">
        <f>IF(and(ISNUMBER(D515), isnumber(E515)), 1, 0) + IF(and(ISNUMBER(F515), isnumber(G515)), 1, 0) + IF(and(ISNUMBER(H515), isnumber(I515)), 1, 0) + IF(and(ISNUMBER(J515), isnumber(K515)), 1, 0) + IF(and(ISNUMBER(L515), isnumber(M515)), 1, 0) + IF(and(ISNUMBER(N515), isnumber(O515)), 1, 0)</f>
      </c>
      <c r="U515" s="8">
        <f>IF(and(ISNUMBER(P515), isnumber(Q515)), 1, 0) + IF(and(ISNUMBER(R515), isnumber(S515)), 1, 0)</f>
      </c>
      <c r="V515" s="13"/>
      <c r="W515" s="13"/>
      <c r="X515" s="16"/>
    </row>
    <row x14ac:dyDescent="0.25" r="516" customHeight="1" ht="15.75">
      <c r="A516" s="8">
        <v>25631</v>
      </c>
      <c r="B516" s="13" t="s">
        <v>91</v>
      </c>
      <c r="C516" s="13" t="s">
        <v>5542</v>
      </c>
      <c r="D516" s="10">
        <v>0.5924</v>
      </c>
      <c r="E516" s="11">
        <v>157.76</v>
      </c>
      <c r="F516" s="10">
        <v>0.5035</v>
      </c>
      <c r="G516" s="11">
        <v>329.63</v>
      </c>
      <c r="H516" s="10">
        <v>0.4099</v>
      </c>
      <c r="I516" s="11">
        <v>346.82</v>
      </c>
      <c r="J516" s="10">
        <v>0.5612</v>
      </c>
      <c r="K516" s="11">
        <v>231.64</v>
      </c>
      <c r="L516" s="10">
        <v>0.3672</v>
      </c>
      <c r="M516" s="11">
        <v>353.63</v>
      </c>
      <c r="N516" s="10">
        <v>0.3279</v>
      </c>
      <c r="O516" s="11">
        <v>349.35</v>
      </c>
      <c r="P516" s="10">
        <v>0.5924</v>
      </c>
      <c r="Q516" s="10">
        <v>0.2173</v>
      </c>
      <c r="R516" s="10">
        <v>0.5612</v>
      </c>
      <c r="S516" s="10">
        <v>0.1981</v>
      </c>
      <c r="T516" s="8">
        <f>IF(and(ISNUMBER(D516), isnumber(E516)), 1, 0) + IF(and(ISNUMBER(F516), isnumber(G516)), 1, 0) + IF(and(ISNUMBER(H516), isnumber(I516)), 1, 0) + IF(and(ISNUMBER(J516), isnumber(K516)), 1, 0) + IF(and(ISNUMBER(L516), isnumber(M516)), 1, 0) + IF(and(ISNUMBER(N516), isnumber(O516)), 1, 0)</f>
      </c>
      <c r="U516" s="8">
        <f>IF(and(ISNUMBER(P516), isnumber(Q516)), 1, 0) + IF(and(ISNUMBER(R516), isnumber(S516)), 1, 0)</f>
      </c>
      <c r="V516" s="13"/>
      <c r="W516" s="13"/>
      <c r="X516" s="16"/>
    </row>
    <row x14ac:dyDescent="0.25" r="517" customHeight="1" ht="15.75">
      <c r="A517" s="8">
        <v>25632</v>
      </c>
      <c r="B517" s="13" t="s">
        <v>91</v>
      </c>
      <c r="C517" s="13" t="s">
        <v>5545</v>
      </c>
      <c r="D517" s="10">
        <v>0.6603</v>
      </c>
      <c r="E517" s="11">
        <v>239.48</v>
      </c>
      <c r="F517" s="10">
        <v>0.6392</v>
      </c>
      <c r="G517" s="11">
        <v>363.22</v>
      </c>
      <c r="H517" s="10">
        <v>0.5127</v>
      </c>
      <c r="I517" s="11">
        <v>411.93</v>
      </c>
      <c r="J517" s="10">
        <v>0.5422</v>
      </c>
      <c r="K517" s="11">
        <v>359.08</v>
      </c>
      <c r="L517" s="10">
        <v>0.4114</v>
      </c>
      <c r="M517" s="11">
        <v>439.58</v>
      </c>
      <c r="N517" s="10">
        <v>0.4536</v>
      </c>
      <c r="O517" s="11">
        <v>333.01</v>
      </c>
      <c r="P517" s="10">
        <v>0.6603</v>
      </c>
      <c r="Q517" s="10">
        <v>0.2373</v>
      </c>
      <c r="R517" s="10">
        <v>0.5422</v>
      </c>
      <c r="S517" s="10">
        <v>0.2006</v>
      </c>
      <c r="T517" s="8">
        <f>IF(and(ISNUMBER(D517), isnumber(E517)), 1, 0) + IF(and(ISNUMBER(F517), isnumber(G517)), 1, 0) + IF(and(ISNUMBER(H517), isnumber(I517)), 1, 0) + IF(and(ISNUMBER(J517), isnumber(K517)), 1, 0) + IF(and(ISNUMBER(L517), isnumber(M517)), 1, 0) + IF(and(ISNUMBER(N517), isnumber(O517)), 1, 0)</f>
      </c>
      <c r="U517" s="8">
        <f>IF(and(ISNUMBER(P517), isnumber(Q517)), 1, 0) + IF(and(ISNUMBER(R517), isnumber(S517)), 1, 0)</f>
      </c>
      <c r="V517" s="13"/>
      <c r="W517" s="13"/>
      <c r="X517" s="16"/>
    </row>
    <row x14ac:dyDescent="0.25" r="518" customHeight="1" ht="15.75">
      <c r="A518" s="8">
        <v>25553</v>
      </c>
      <c r="B518" s="13" t="s">
        <v>91</v>
      </c>
      <c r="C518" s="13" t="s">
        <v>5548</v>
      </c>
      <c r="D518" s="10">
        <v>0.8286</v>
      </c>
      <c r="E518" s="11">
        <v>308.9</v>
      </c>
      <c r="F518" s="10">
        <v>0.5476</v>
      </c>
      <c r="G518" s="11">
        <v>398.58</v>
      </c>
      <c r="H518" s="10">
        <v>0.6753</v>
      </c>
      <c r="I518" s="11">
        <v>461.56</v>
      </c>
      <c r="J518" s="10">
        <v>0.6407</v>
      </c>
      <c r="K518" s="11">
        <v>274.41</v>
      </c>
      <c r="L518" s="10">
        <v>0.6364</v>
      </c>
      <c r="M518" s="11">
        <v>410.88</v>
      </c>
      <c r="N518" s="10">
        <v>0.619</v>
      </c>
      <c r="O518" s="11">
        <v>387.43</v>
      </c>
      <c r="P518" s="10">
        <v>0.8286</v>
      </c>
      <c r="Q518" s="10">
        <v>0.2454</v>
      </c>
      <c r="R518" s="10">
        <v>0.6407</v>
      </c>
      <c r="S518" s="10">
        <v>0.2128</v>
      </c>
      <c r="T518" s="8">
        <f>IF(and(ISNUMBER(D518), isnumber(E518)), 1, 0) + IF(and(ISNUMBER(F518), isnumber(G518)), 1, 0) + IF(and(ISNUMBER(H518), isnumber(I518)), 1, 0) + IF(and(ISNUMBER(J518), isnumber(K518)), 1, 0) + IF(and(ISNUMBER(L518), isnumber(M518)), 1, 0) + IF(and(ISNUMBER(N518), isnumber(O518)), 1, 0)</f>
      </c>
      <c r="U518" s="8">
        <f>IF(and(ISNUMBER(P518), isnumber(Q518)), 1, 0) + IF(and(ISNUMBER(R518), isnumber(S518)), 1, 0)</f>
      </c>
      <c r="V518" s="13"/>
      <c r="W518" s="13"/>
      <c r="X518" s="16"/>
    </row>
    <row x14ac:dyDescent="0.25" r="519" customHeight="1" ht="15.75">
      <c r="A519" s="8">
        <v>25633</v>
      </c>
      <c r="B519" s="13" t="s">
        <v>91</v>
      </c>
      <c r="C519" s="13" t="s">
        <v>5550</v>
      </c>
      <c r="D519" s="10">
        <v>0.6826</v>
      </c>
      <c r="E519" s="11">
        <v>243.51</v>
      </c>
      <c r="F519" s="10">
        <v>0.5422</v>
      </c>
      <c r="G519" s="11" t="s">
        <v>7127</v>
      </c>
      <c r="H519" s="10">
        <v>0.4679</v>
      </c>
      <c r="I519" s="11">
        <v>422.39</v>
      </c>
      <c r="J519" s="10">
        <v>0.5581</v>
      </c>
      <c r="K519" s="11">
        <v>246.58</v>
      </c>
      <c r="L519" s="10">
        <v>0.4385</v>
      </c>
      <c r="M519" s="11" t="s">
        <v>7127</v>
      </c>
      <c r="N519" s="10">
        <v>0.3833</v>
      </c>
      <c r="O519" s="11" t="s">
        <v>7127</v>
      </c>
      <c r="P519" s="10">
        <v>0.6826</v>
      </c>
      <c r="Q519" s="10">
        <v>0.2419</v>
      </c>
      <c r="R519" s="10">
        <v>0.5581</v>
      </c>
      <c r="S519" s="10">
        <v>0.1967</v>
      </c>
      <c r="T519" s="8">
        <f>IF(and(ISNUMBER(D519), isnumber(E519)), 1, 0) + IF(and(ISNUMBER(F519), isnumber(G519)), 1, 0) + IF(and(ISNUMBER(H519), isnumber(I519)), 1, 0) + IF(and(ISNUMBER(J519), isnumber(K519)), 1, 0) + IF(and(ISNUMBER(L519), isnumber(M519)), 1, 0) + IF(and(ISNUMBER(N519), isnumber(O519)), 1, 0)</f>
      </c>
      <c r="U519" s="8">
        <f>IF(and(ISNUMBER(P519), isnumber(Q519)), 1, 0) + IF(and(ISNUMBER(R519), isnumber(S519)), 1, 0)</f>
      </c>
      <c r="V519" s="13"/>
      <c r="W519" s="13"/>
      <c r="X519" s="16"/>
    </row>
    <row x14ac:dyDescent="0.25" r="520" customHeight="1" ht="15.75">
      <c r="A520" s="8">
        <v>25634</v>
      </c>
      <c r="B520" s="13" t="s">
        <v>91</v>
      </c>
      <c r="C520" s="13" t="s">
        <v>5552</v>
      </c>
      <c r="D520" s="10">
        <v>0.6943</v>
      </c>
      <c r="E520" s="11">
        <v>214.03</v>
      </c>
      <c r="F520" s="10">
        <v>0.5945</v>
      </c>
      <c r="G520" s="11">
        <v>335.58</v>
      </c>
      <c r="H520" s="10">
        <v>0.5585</v>
      </c>
      <c r="I520" s="11">
        <v>338.73</v>
      </c>
      <c r="J520" s="10">
        <v>0.5566</v>
      </c>
      <c r="K520" s="11">
        <v>226.83</v>
      </c>
      <c r="L520" s="10">
        <v>0.5497</v>
      </c>
      <c r="M520" s="11">
        <v>333.77</v>
      </c>
      <c r="N520" s="10">
        <v>0.5713</v>
      </c>
      <c r="O520" s="11">
        <v>366.3</v>
      </c>
      <c r="P520" s="10">
        <v>0.6943</v>
      </c>
      <c r="Q520" s="10">
        <v>0.2253</v>
      </c>
      <c r="R520" s="10">
        <v>0.5566</v>
      </c>
      <c r="S520" s="10">
        <v>0.1985</v>
      </c>
      <c r="T520" s="8">
        <f>IF(and(ISNUMBER(D520), isnumber(E520)), 1, 0) + IF(and(ISNUMBER(F520), isnumber(G520)), 1, 0) + IF(and(ISNUMBER(H520), isnumber(I520)), 1, 0) + IF(and(ISNUMBER(J520), isnumber(K520)), 1, 0) + IF(and(ISNUMBER(L520), isnumber(M520)), 1, 0) + IF(and(ISNUMBER(N520), isnumber(O520)), 1, 0)</f>
      </c>
      <c r="U520" s="8">
        <f>IF(and(ISNUMBER(P520), isnumber(Q520)), 1, 0) + IF(and(ISNUMBER(R520), isnumber(S520)), 1, 0)</f>
      </c>
      <c r="V520" s="13"/>
      <c r="W520" s="13"/>
      <c r="X520" s="16"/>
    </row>
    <row x14ac:dyDescent="0.25" r="521" customHeight="1" ht="15.75">
      <c r="A521" s="8">
        <v>25635</v>
      </c>
      <c r="B521" s="13" t="s">
        <v>91</v>
      </c>
      <c r="C521" s="13" t="s">
        <v>5556</v>
      </c>
      <c r="D521" s="10">
        <v>0.7333</v>
      </c>
      <c r="E521" s="11">
        <v>207.75</v>
      </c>
      <c r="F521" s="10">
        <v>0.4681</v>
      </c>
      <c r="G521" s="11">
        <v>351.29</v>
      </c>
      <c r="H521" s="10">
        <v>0.5288</v>
      </c>
      <c r="I521" s="11">
        <v>398.47</v>
      </c>
      <c r="J521" s="10">
        <v>0.5907</v>
      </c>
      <c r="K521" s="11">
        <v>261.4</v>
      </c>
      <c r="L521" s="10">
        <v>0.4825</v>
      </c>
      <c r="M521" s="11">
        <v>357.31</v>
      </c>
      <c r="N521" s="10">
        <v>0.5288</v>
      </c>
      <c r="O521" s="11">
        <v>364.18</v>
      </c>
      <c r="P521" s="10">
        <v>0.7333</v>
      </c>
      <c r="Q521" s="10">
        <v>0.2264</v>
      </c>
      <c r="R521" s="10">
        <v>0.5907</v>
      </c>
      <c r="S521" s="10">
        <v>0.2011</v>
      </c>
      <c r="T521" s="8">
        <f>IF(and(ISNUMBER(D521), isnumber(E521)), 1, 0) + IF(and(ISNUMBER(F521), isnumber(G521)), 1, 0) + IF(and(ISNUMBER(H521), isnumber(I521)), 1, 0) + IF(and(ISNUMBER(J521), isnumber(K521)), 1, 0) + IF(and(ISNUMBER(L521), isnumber(M521)), 1, 0) + IF(and(ISNUMBER(N521), isnumber(O521)), 1, 0)</f>
      </c>
      <c r="U521" s="8">
        <f>IF(and(ISNUMBER(P521), isnumber(Q521)), 1, 0) + IF(and(ISNUMBER(R521), isnumber(S521)), 1, 0)</f>
      </c>
      <c r="V521" s="13"/>
      <c r="W521" s="13"/>
      <c r="X521" s="16"/>
    </row>
    <row x14ac:dyDescent="0.25" r="522" customHeight="1" ht="15.75">
      <c r="A522" s="8">
        <v>25636</v>
      </c>
      <c r="B522" s="13" t="s">
        <v>91</v>
      </c>
      <c r="C522" s="13" t="s">
        <v>5559</v>
      </c>
      <c r="D522" s="10">
        <v>0.6667</v>
      </c>
      <c r="E522" s="11">
        <v>164.55</v>
      </c>
      <c r="F522" s="10">
        <v>0.8</v>
      </c>
      <c r="G522" s="11">
        <v>395.77</v>
      </c>
      <c r="H522" s="10">
        <v>0.4302</v>
      </c>
      <c r="I522" s="11">
        <v>381.87</v>
      </c>
      <c r="J522" s="10">
        <v>0.6027</v>
      </c>
      <c r="K522" s="11">
        <v>331.66</v>
      </c>
      <c r="L522" s="10">
        <v>0.4884</v>
      </c>
      <c r="M522" s="11">
        <v>400.52</v>
      </c>
      <c r="N522" s="10">
        <v>0.5349</v>
      </c>
      <c r="O522" s="11">
        <v>394.78</v>
      </c>
      <c r="P522" s="10">
        <v>0.6667</v>
      </c>
      <c r="Q522" s="10">
        <v>0.2376</v>
      </c>
      <c r="R522" s="10">
        <v>0.6027</v>
      </c>
      <c r="S522" s="10">
        <v>0.2454</v>
      </c>
      <c r="T522" s="8">
        <f>IF(and(ISNUMBER(D522), isnumber(E522)), 1, 0) + IF(and(ISNUMBER(F522), isnumber(G522)), 1, 0) + IF(and(ISNUMBER(H522), isnumber(I522)), 1, 0) + IF(and(ISNUMBER(J522), isnumber(K522)), 1, 0) + IF(and(ISNUMBER(L522), isnumber(M522)), 1, 0) + IF(and(ISNUMBER(N522), isnumber(O522)), 1, 0)</f>
      </c>
      <c r="U522" s="8">
        <f>IF(and(ISNUMBER(P522), isnumber(Q522)), 1, 0) + IF(and(ISNUMBER(R522), isnumber(S522)), 1, 0)</f>
      </c>
      <c r="V522" s="13"/>
      <c r="W522" s="13"/>
      <c r="X522" s="16"/>
    </row>
    <row x14ac:dyDescent="0.25" r="523" customHeight="1" ht="15.75">
      <c r="A523" s="8">
        <v>25637</v>
      </c>
      <c r="B523" s="13" t="s">
        <v>91</v>
      </c>
      <c r="C523" s="13" t="s">
        <v>5561</v>
      </c>
      <c r="D523" s="10">
        <v>0.7302</v>
      </c>
      <c r="E523" s="11">
        <v>148.94</v>
      </c>
      <c r="F523" s="10">
        <v>0.5278</v>
      </c>
      <c r="G523" s="11">
        <v>321.55</v>
      </c>
      <c r="H523" s="10">
        <v>0.5992</v>
      </c>
      <c r="I523" s="11">
        <v>395.03</v>
      </c>
      <c r="J523" s="10">
        <v>0.4603</v>
      </c>
      <c r="K523" s="11">
        <v>244.95</v>
      </c>
      <c r="L523" s="10">
        <v>0.5476</v>
      </c>
      <c r="M523" s="11">
        <v>368.47</v>
      </c>
      <c r="N523" s="10">
        <v>0.6786</v>
      </c>
      <c r="O523" s="11">
        <v>405.48</v>
      </c>
      <c r="P523" s="10">
        <v>0.7302</v>
      </c>
      <c r="Q523" s="10">
        <v>0.2204</v>
      </c>
      <c r="R523" s="10">
        <v>0.4603</v>
      </c>
      <c r="S523" s="10">
        <v>0.203</v>
      </c>
      <c r="T523" s="8">
        <f>IF(and(ISNUMBER(D523), isnumber(E523)), 1, 0) + IF(and(ISNUMBER(F523), isnumber(G523)), 1, 0) + IF(and(ISNUMBER(H523), isnumber(I523)), 1, 0) + IF(and(ISNUMBER(J523), isnumber(K523)), 1, 0) + IF(and(ISNUMBER(L523), isnumber(M523)), 1, 0) + IF(and(ISNUMBER(N523), isnumber(O523)), 1, 0)</f>
      </c>
      <c r="U523" s="8">
        <f>IF(and(ISNUMBER(P523), isnumber(Q523)), 1, 0) + IF(and(ISNUMBER(R523), isnumber(S523)), 1, 0)</f>
      </c>
      <c r="V523" s="13"/>
      <c r="W523" s="13"/>
      <c r="X523" s="16"/>
    </row>
    <row x14ac:dyDescent="0.25" r="524" customHeight="1" ht="15.75">
      <c r="A524" s="8">
        <v>25638</v>
      </c>
      <c r="B524" s="13" t="s">
        <v>91</v>
      </c>
      <c r="C524" s="13" t="s">
        <v>5564</v>
      </c>
      <c r="D524" s="10">
        <v>0.5701</v>
      </c>
      <c r="E524" s="11">
        <v>202.05</v>
      </c>
      <c r="F524" s="10">
        <v>0.6092</v>
      </c>
      <c r="G524" s="11">
        <v>297.34</v>
      </c>
      <c r="H524" s="10">
        <v>0.5431</v>
      </c>
      <c r="I524" s="11">
        <v>381.25</v>
      </c>
      <c r="J524" s="10">
        <v>0.4852</v>
      </c>
      <c r="K524" s="11">
        <v>222.95</v>
      </c>
      <c r="L524" s="10">
        <v>0.4744</v>
      </c>
      <c r="M524" s="11">
        <v>340.11</v>
      </c>
      <c r="N524" s="10">
        <v>0.3019</v>
      </c>
      <c r="O524" s="11">
        <v>326.15</v>
      </c>
      <c r="P524" s="10">
        <v>0.5701</v>
      </c>
      <c r="Q524" s="10">
        <v>0.2416</v>
      </c>
      <c r="R524" s="10">
        <v>0.4852</v>
      </c>
      <c r="S524" s="10">
        <v>0.2016</v>
      </c>
      <c r="T524" s="8">
        <f>IF(and(ISNUMBER(D524), isnumber(E524)), 1, 0) + IF(and(ISNUMBER(F524), isnumber(G524)), 1, 0) + IF(and(ISNUMBER(H524), isnumber(I524)), 1, 0) + IF(and(ISNUMBER(J524), isnumber(K524)), 1, 0) + IF(and(ISNUMBER(L524), isnumber(M524)), 1, 0) + IF(and(ISNUMBER(N524), isnumber(O524)), 1, 0)</f>
      </c>
      <c r="U524" s="8">
        <f>IF(and(ISNUMBER(P524), isnumber(Q524)), 1, 0) + IF(and(ISNUMBER(R524), isnumber(S524)), 1, 0)</f>
      </c>
      <c r="V524" s="13"/>
      <c r="W524" s="13"/>
      <c r="X524" s="16"/>
    </row>
    <row x14ac:dyDescent="0.25" r="525" customHeight="1" ht="15.75">
      <c r="A525" s="8">
        <v>25639</v>
      </c>
      <c r="B525" s="13" t="s">
        <v>91</v>
      </c>
      <c r="C525" s="13" t="s">
        <v>5566</v>
      </c>
      <c r="D525" s="10">
        <v>0.7649</v>
      </c>
      <c r="E525" s="11">
        <v>214.24</v>
      </c>
      <c r="F525" s="10">
        <v>0.6718</v>
      </c>
      <c r="G525" s="11">
        <v>366.71</v>
      </c>
      <c r="H525" s="10">
        <v>0.6382</v>
      </c>
      <c r="I525" s="11">
        <v>395.47</v>
      </c>
      <c r="J525" s="10">
        <v>0.6672</v>
      </c>
      <c r="K525" s="11">
        <v>188.29</v>
      </c>
      <c r="L525" s="10">
        <v>0.6275</v>
      </c>
      <c r="M525" s="11">
        <v>393.55</v>
      </c>
      <c r="N525" s="10">
        <v>0.5664</v>
      </c>
      <c r="O525" s="11">
        <v>322.67</v>
      </c>
      <c r="P525" s="10">
        <v>0.7649</v>
      </c>
      <c r="Q525" s="10">
        <v>0.2342</v>
      </c>
      <c r="R525" s="10">
        <v>0.6672</v>
      </c>
      <c r="S525" s="10">
        <v>0.2014</v>
      </c>
      <c r="T525" s="8">
        <f>IF(and(ISNUMBER(D525), isnumber(E525)), 1, 0) + IF(and(ISNUMBER(F525), isnumber(G525)), 1, 0) + IF(and(ISNUMBER(H525), isnumber(I525)), 1, 0) + IF(and(ISNUMBER(J525), isnumber(K525)), 1, 0) + IF(and(ISNUMBER(L525), isnumber(M525)), 1, 0) + IF(and(ISNUMBER(N525), isnumber(O525)), 1, 0)</f>
      </c>
      <c r="U525" s="8">
        <f>IF(and(ISNUMBER(P525), isnumber(Q525)), 1, 0) + IF(and(ISNUMBER(R525), isnumber(S525)), 1, 0)</f>
      </c>
      <c r="V525" s="13"/>
      <c r="W525" s="13"/>
      <c r="X525" s="16"/>
    </row>
    <row x14ac:dyDescent="0.25" r="526" customHeight="1" ht="15.75">
      <c r="A526" s="8">
        <v>25554</v>
      </c>
      <c r="B526" s="13" t="s">
        <v>91</v>
      </c>
      <c r="C526" s="13" t="s">
        <v>5570</v>
      </c>
      <c r="D526" s="10">
        <v>0.6781</v>
      </c>
      <c r="E526" s="11">
        <v>174.19</v>
      </c>
      <c r="F526" s="10">
        <v>0.5938</v>
      </c>
      <c r="G526" s="11">
        <v>347.37</v>
      </c>
      <c r="H526" s="10">
        <v>0.4961</v>
      </c>
      <c r="I526" s="11">
        <v>415.98</v>
      </c>
      <c r="J526" s="10">
        <v>0.5103</v>
      </c>
      <c r="K526" s="11">
        <v>298.48</v>
      </c>
      <c r="L526" s="10">
        <v>0.4444</v>
      </c>
      <c r="M526" s="11">
        <v>383.62</v>
      </c>
      <c r="N526" s="10">
        <v>0.3514</v>
      </c>
      <c r="O526" s="11">
        <v>348.44</v>
      </c>
      <c r="P526" s="10">
        <v>0.6781</v>
      </c>
      <c r="Q526" s="10">
        <v>0.2078</v>
      </c>
      <c r="R526" s="10">
        <v>0.5103</v>
      </c>
      <c r="S526" s="10">
        <v>0.2021</v>
      </c>
      <c r="T526" s="8">
        <f>IF(and(ISNUMBER(D526), isnumber(E526)), 1, 0) + IF(and(ISNUMBER(F526), isnumber(G526)), 1, 0) + IF(and(ISNUMBER(H526), isnumber(I526)), 1, 0) + IF(and(ISNUMBER(J526), isnumber(K526)), 1, 0) + IF(and(ISNUMBER(L526), isnumber(M526)), 1, 0) + IF(and(ISNUMBER(N526), isnumber(O526)), 1, 0)</f>
      </c>
      <c r="U526" s="8">
        <f>IF(and(ISNUMBER(P526), isnumber(Q526)), 1, 0) + IF(and(ISNUMBER(R526), isnumber(S526)), 1, 0)</f>
      </c>
      <c r="V526" s="13"/>
      <c r="W526" s="13"/>
      <c r="X526" s="16"/>
    </row>
    <row x14ac:dyDescent="0.25" r="527" customHeight="1" ht="15.75">
      <c r="A527" s="8">
        <v>25640</v>
      </c>
      <c r="B527" s="13" t="s">
        <v>91</v>
      </c>
      <c r="C527" s="13" t="s">
        <v>5575</v>
      </c>
      <c r="D527" s="10">
        <v>0.9033</v>
      </c>
      <c r="E527" s="11">
        <v>417.93</v>
      </c>
      <c r="F527" s="10">
        <v>0.779</v>
      </c>
      <c r="G527" s="11">
        <v>468.8</v>
      </c>
      <c r="H527" s="10">
        <v>0.7374</v>
      </c>
      <c r="I527" s="11">
        <v>506.95</v>
      </c>
      <c r="J527" s="10">
        <v>0.7925</v>
      </c>
      <c r="K527" s="11">
        <v>445.09</v>
      </c>
      <c r="L527" s="10">
        <v>0.6588</v>
      </c>
      <c r="M527" s="11">
        <v>509.62</v>
      </c>
      <c r="N527" s="10">
        <v>0.7112</v>
      </c>
      <c r="O527" s="11">
        <v>494.93</v>
      </c>
      <c r="P527" s="10">
        <v>0.9033</v>
      </c>
      <c r="Q527" s="10">
        <v>0.2876</v>
      </c>
      <c r="R527" s="10">
        <v>0.7925</v>
      </c>
      <c r="S527" s="10">
        <v>0.2256</v>
      </c>
      <c r="T527" s="8">
        <f>IF(and(ISNUMBER(D527), isnumber(E527)), 1, 0) + IF(and(ISNUMBER(F527), isnumber(G527)), 1, 0) + IF(and(ISNUMBER(H527), isnumber(I527)), 1, 0) + IF(and(ISNUMBER(J527), isnumber(K527)), 1, 0) + IF(and(ISNUMBER(L527), isnumber(M527)), 1, 0) + IF(and(ISNUMBER(N527), isnumber(O527)), 1, 0)</f>
      </c>
      <c r="U527" s="8">
        <f>IF(and(ISNUMBER(P527), isnumber(Q527)), 1, 0) + IF(and(ISNUMBER(R527), isnumber(S527)), 1, 0)</f>
      </c>
      <c r="V527" s="13"/>
      <c r="W527" s="13"/>
      <c r="X527" s="16"/>
    </row>
    <row x14ac:dyDescent="0.25" r="528" customHeight="1" ht="15.75">
      <c r="A528" s="8">
        <v>25809</v>
      </c>
      <c r="B528" s="13" t="s">
        <v>126</v>
      </c>
      <c r="C528" s="13" t="s">
        <v>5580</v>
      </c>
      <c r="D528" s="10">
        <v>0.7712</v>
      </c>
      <c r="E528" s="11">
        <v>269.69</v>
      </c>
      <c r="F528" s="10">
        <v>0.2797</v>
      </c>
      <c r="G528" s="11">
        <v>429.09</v>
      </c>
      <c r="H528" s="10">
        <v>0.5556</v>
      </c>
      <c r="I528" s="11">
        <v>459.74</v>
      </c>
      <c r="J528" s="10">
        <v>0.5155</v>
      </c>
      <c r="K528" s="11">
        <v>415.29</v>
      </c>
      <c r="L528" s="10">
        <v>0.5556</v>
      </c>
      <c r="M528" s="11">
        <v>407.47</v>
      </c>
      <c r="N528" s="10">
        <v>0.563</v>
      </c>
      <c r="O528" s="11">
        <v>453.16</v>
      </c>
      <c r="P528" s="10">
        <v>0.7712</v>
      </c>
      <c r="Q528" s="10">
        <v>0.2713</v>
      </c>
      <c r="R528" s="10">
        <v>0.5155</v>
      </c>
      <c r="S528" s="10">
        <v>0.2113</v>
      </c>
      <c r="T528" s="8">
        <f>IF(and(ISNUMBER(D528), isnumber(E528)), 1, 0) + IF(and(ISNUMBER(F528), isnumber(G528)), 1, 0) + IF(and(ISNUMBER(H528), isnumber(I528)), 1, 0) + IF(and(ISNUMBER(J528), isnumber(K528)), 1, 0) + IF(and(ISNUMBER(L528), isnumber(M528)), 1, 0) + IF(and(ISNUMBER(N528), isnumber(O528)), 1, 0)</f>
      </c>
      <c r="U528" s="8">
        <f>IF(and(ISNUMBER(P528), isnumber(Q528)), 1, 0) + IF(and(ISNUMBER(R528), isnumber(S528)), 1, 0)</f>
      </c>
      <c r="V528" s="13"/>
      <c r="W528" s="13"/>
      <c r="X528" s="16"/>
    </row>
    <row x14ac:dyDescent="0.25" r="529" customHeight="1" ht="15.75">
      <c r="A529" s="8">
        <v>25810</v>
      </c>
      <c r="B529" s="13" t="s">
        <v>126</v>
      </c>
      <c r="C529" s="13" t="s">
        <v>5584</v>
      </c>
      <c r="D529" s="10">
        <v>0.785</v>
      </c>
      <c r="E529" s="11">
        <v>294.15</v>
      </c>
      <c r="F529" s="10">
        <v>0.725</v>
      </c>
      <c r="G529" s="11">
        <v>345.4</v>
      </c>
      <c r="H529" s="10">
        <v>0.79</v>
      </c>
      <c r="I529" s="11">
        <v>413.33</v>
      </c>
      <c r="J529" s="10">
        <v>0.645</v>
      </c>
      <c r="K529" s="11">
        <v>290.16</v>
      </c>
      <c r="L529" s="10">
        <v>0.615</v>
      </c>
      <c r="M529" s="11">
        <v>352.07</v>
      </c>
      <c r="N529" s="10">
        <v>0.655</v>
      </c>
      <c r="O529" s="11">
        <v>437.83</v>
      </c>
      <c r="P529" s="10">
        <v>0.785</v>
      </c>
      <c r="Q529" s="10">
        <v>0.2471</v>
      </c>
      <c r="R529" s="10">
        <v>0.645</v>
      </c>
      <c r="S529" s="10">
        <v>0.2103</v>
      </c>
      <c r="T529" s="8">
        <f>IF(and(ISNUMBER(D529), isnumber(E529)), 1, 0) + IF(and(ISNUMBER(F529), isnumber(G529)), 1, 0) + IF(and(ISNUMBER(H529), isnumber(I529)), 1, 0) + IF(and(ISNUMBER(J529), isnumber(K529)), 1, 0) + IF(and(ISNUMBER(L529), isnumber(M529)), 1, 0) + IF(and(ISNUMBER(N529), isnumber(O529)), 1, 0)</f>
      </c>
      <c r="U529" s="8">
        <f>IF(and(ISNUMBER(P529), isnumber(Q529)), 1, 0) + IF(and(ISNUMBER(R529), isnumber(S529)), 1, 0)</f>
      </c>
      <c r="V529" s="13"/>
      <c r="W529" s="13"/>
      <c r="X529" s="16"/>
    </row>
    <row x14ac:dyDescent="0.25" r="530" customHeight="1" ht="15.75">
      <c r="A530" s="8">
        <v>25811</v>
      </c>
      <c r="B530" s="13" t="s">
        <v>126</v>
      </c>
      <c r="C530" s="13" t="s">
        <v>5588</v>
      </c>
      <c r="D530" s="10">
        <v>0.816</v>
      </c>
      <c r="E530" s="11">
        <v>194.29</v>
      </c>
      <c r="F530" s="10">
        <v>0.72</v>
      </c>
      <c r="G530" s="11">
        <v>411.82</v>
      </c>
      <c r="H530" s="10">
        <v>0.624</v>
      </c>
      <c r="I530" s="11">
        <v>468.05</v>
      </c>
      <c r="J530" s="10">
        <v>0.688</v>
      </c>
      <c r="K530" s="11">
        <v>340.92</v>
      </c>
      <c r="L530" s="10">
        <v>0.736</v>
      </c>
      <c r="M530" s="11">
        <v>360</v>
      </c>
      <c r="N530" s="10">
        <v>0.704</v>
      </c>
      <c r="O530" s="11">
        <v>341.82</v>
      </c>
      <c r="P530" s="10">
        <v>0.816</v>
      </c>
      <c r="Q530" s="10">
        <v>0.2313</v>
      </c>
      <c r="R530" s="10">
        <v>0.688</v>
      </c>
      <c r="S530" s="10">
        <v>0.1901</v>
      </c>
      <c r="T530" s="8">
        <f>IF(and(ISNUMBER(D530), isnumber(E530)), 1, 0) + IF(and(ISNUMBER(F530), isnumber(G530)), 1, 0) + IF(and(ISNUMBER(H530), isnumber(I530)), 1, 0) + IF(and(ISNUMBER(J530), isnumber(K530)), 1, 0) + IF(and(ISNUMBER(L530), isnumber(M530)), 1, 0) + IF(and(ISNUMBER(N530), isnumber(O530)), 1, 0)</f>
      </c>
      <c r="U530" s="8">
        <f>IF(and(ISNUMBER(P530), isnumber(Q530)), 1, 0) + IF(and(ISNUMBER(R530), isnumber(S530)), 1, 0)</f>
      </c>
      <c r="V530" s="13"/>
      <c r="W530" s="13"/>
      <c r="X530" s="16"/>
    </row>
    <row x14ac:dyDescent="0.25" r="531" customHeight="1" ht="15.75">
      <c r="A531" s="8">
        <v>25812</v>
      </c>
      <c r="B531" s="13" t="s">
        <v>126</v>
      </c>
      <c r="C531" s="13" t="s">
        <v>5591</v>
      </c>
      <c r="D531" s="10">
        <v>0.6858</v>
      </c>
      <c r="E531" s="11">
        <v>291.86</v>
      </c>
      <c r="F531" s="10">
        <v>0.6146</v>
      </c>
      <c r="G531" s="11">
        <v>345.51</v>
      </c>
      <c r="H531" s="10">
        <v>0.4931</v>
      </c>
      <c r="I531" s="11">
        <v>436.01</v>
      </c>
      <c r="J531" s="10">
        <v>0.2101</v>
      </c>
      <c r="K531" s="11">
        <v>419.82</v>
      </c>
      <c r="L531" s="10">
        <v>0.3698</v>
      </c>
      <c r="M531" s="11">
        <v>431.54</v>
      </c>
      <c r="N531" s="10">
        <v>0.309</v>
      </c>
      <c r="O531" s="11">
        <v>453.87</v>
      </c>
      <c r="P531" s="10">
        <v>0.6858</v>
      </c>
      <c r="Q531" s="10">
        <v>0.2214</v>
      </c>
      <c r="R531" s="10">
        <v>0.2101</v>
      </c>
      <c r="S531" s="10">
        <v>0.204</v>
      </c>
      <c r="T531" s="8">
        <f>IF(and(ISNUMBER(D531), isnumber(E531)), 1, 0) + IF(and(ISNUMBER(F531), isnumber(G531)), 1, 0) + IF(and(ISNUMBER(H531), isnumber(I531)), 1, 0) + IF(and(ISNUMBER(J531), isnumber(K531)), 1, 0) + IF(and(ISNUMBER(L531), isnumber(M531)), 1, 0) + IF(and(ISNUMBER(N531), isnumber(O531)), 1, 0)</f>
      </c>
      <c r="U531" s="8">
        <f>IF(and(ISNUMBER(P531), isnumber(Q531)), 1, 0) + IF(and(ISNUMBER(R531), isnumber(S531)), 1, 0)</f>
      </c>
      <c r="V531" s="13"/>
      <c r="W531" s="13"/>
      <c r="X531" s="16"/>
    </row>
    <row x14ac:dyDescent="0.25" r="532" customHeight="1" ht="15.75">
      <c r="A532" s="8">
        <v>25813</v>
      </c>
      <c r="B532" s="13" t="s">
        <v>126</v>
      </c>
      <c r="C532" s="13" t="s">
        <v>5594</v>
      </c>
      <c r="D532" s="10">
        <v>0.5469</v>
      </c>
      <c r="E532" s="11">
        <v>299.4</v>
      </c>
      <c r="F532" s="10">
        <v>0.6857</v>
      </c>
      <c r="G532" s="11">
        <v>463.76</v>
      </c>
      <c r="H532" s="10">
        <v>0.6571</v>
      </c>
      <c r="I532" s="11">
        <v>456.5</v>
      </c>
      <c r="J532" s="10">
        <v>0.5755</v>
      </c>
      <c r="K532" s="11">
        <v>313.13</v>
      </c>
      <c r="L532" s="10">
        <v>0.6041</v>
      </c>
      <c r="M532" s="11">
        <v>441.92</v>
      </c>
      <c r="N532" s="10">
        <v>0.6286</v>
      </c>
      <c r="O532" s="11">
        <v>441.56</v>
      </c>
      <c r="P532" s="10">
        <v>0.5469</v>
      </c>
      <c r="Q532" s="10">
        <v>0.2523</v>
      </c>
      <c r="R532" s="10">
        <v>0.5755</v>
      </c>
      <c r="S532" s="10">
        <v>0.1943</v>
      </c>
      <c r="T532" s="8">
        <f>IF(and(ISNUMBER(D532), isnumber(E532)), 1, 0) + IF(and(ISNUMBER(F532), isnumber(G532)), 1, 0) + IF(and(ISNUMBER(H532), isnumber(I532)), 1, 0) + IF(and(ISNUMBER(J532), isnumber(K532)), 1, 0) + IF(and(ISNUMBER(L532), isnumber(M532)), 1, 0) + IF(and(ISNUMBER(N532), isnumber(O532)), 1, 0)</f>
      </c>
      <c r="U532" s="8">
        <f>IF(and(ISNUMBER(P532), isnumber(Q532)), 1, 0) + IF(and(ISNUMBER(R532), isnumber(S532)), 1, 0)</f>
      </c>
      <c r="V532" s="13"/>
      <c r="W532" s="13"/>
      <c r="X532" s="16"/>
    </row>
    <row x14ac:dyDescent="0.25" r="533" customHeight="1" ht="15.75">
      <c r="A533" s="8">
        <v>25814</v>
      </c>
      <c r="B533" s="13" t="s">
        <v>126</v>
      </c>
      <c r="C533" s="13" t="s">
        <v>5596</v>
      </c>
      <c r="D533" s="10">
        <v>0.9825</v>
      </c>
      <c r="E533" s="11">
        <v>266.9</v>
      </c>
      <c r="F533" s="10">
        <v>0.731</v>
      </c>
      <c r="G533" s="11">
        <v>411.52</v>
      </c>
      <c r="H533" s="10">
        <v>0.7778</v>
      </c>
      <c r="I533" s="11">
        <v>430.77</v>
      </c>
      <c r="J533" s="10">
        <v>0.7368</v>
      </c>
      <c r="K533" s="11">
        <v>441.4</v>
      </c>
      <c r="L533" s="10">
        <v>0.6901</v>
      </c>
      <c r="M533" s="11">
        <v>468.47</v>
      </c>
      <c r="N533" s="10">
        <v>0.731</v>
      </c>
      <c r="O533" s="11">
        <v>449.76</v>
      </c>
      <c r="P533" s="10">
        <v>0.9825</v>
      </c>
      <c r="Q533" s="10">
        <v>0.2095</v>
      </c>
      <c r="R533" s="10">
        <v>0.7368</v>
      </c>
      <c r="S533" s="10">
        <v>0.2211</v>
      </c>
      <c r="T533" s="8">
        <f>IF(and(ISNUMBER(D533), isnumber(E533)), 1, 0) + IF(and(ISNUMBER(F533), isnumber(G533)), 1, 0) + IF(and(ISNUMBER(H533), isnumber(I533)), 1, 0) + IF(and(ISNUMBER(J533), isnumber(K533)), 1, 0) + IF(and(ISNUMBER(L533), isnumber(M533)), 1, 0) + IF(and(ISNUMBER(N533), isnumber(O533)), 1, 0)</f>
      </c>
      <c r="U533" s="8">
        <f>IF(and(ISNUMBER(P533), isnumber(Q533)), 1, 0) + IF(and(ISNUMBER(R533), isnumber(S533)), 1, 0)</f>
      </c>
      <c r="V533" s="13"/>
      <c r="W533" s="13"/>
      <c r="X533" s="16"/>
    </row>
    <row x14ac:dyDescent="0.25" r="534" customHeight="1" ht="15.75">
      <c r="A534" s="8">
        <v>25815</v>
      </c>
      <c r="B534" s="13" t="s">
        <v>126</v>
      </c>
      <c r="C534" s="13" t="s">
        <v>5599</v>
      </c>
      <c r="D534" s="10">
        <v>0.866</v>
      </c>
      <c r="E534" s="11">
        <v>240.93</v>
      </c>
      <c r="F534" s="10">
        <v>0.683</v>
      </c>
      <c r="G534" s="11">
        <v>445.68</v>
      </c>
      <c r="H534" s="10">
        <v>0.5</v>
      </c>
      <c r="I534" s="11">
        <v>458.01</v>
      </c>
      <c r="J534" s="10">
        <v>0.6408</v>
      </c>
      <c r="K534" s="11">
        <v>429.54</v>
      </c>
      <c r="L534" s="10">
        <v>0.6205</v>
      </c>
      <c r="M534" s="11">
        <v>467.94</v>
      </c>
      <c r="N534" s="10">
        <v>0.5179</v>
      </c>
      <c r="O534" s="11">
        <v>444.75</v>
      </c>
      <c r="P534" s="10">
        <v>0.866</v>
      </c>
      <c r="Q534" s="10">
        <v>0.1989</v>
      </c>
      <c r="R534" s="10">
        <v>0.6408</v>
      </c>
      <c r="S534" s="10">
        <v>0.2012</v>
      </c>
      <c r="T534" s="8">
        <f>IF(and(ISNUMBER(D534), isnumber(E534)), 1, 0) + IF(and(ISNUMBER(F534), isnumber(G534)), 1, 0) + IF(and(ISNUMBER(H534), isnumber(I534)), 1, 0) + IF(and(ISNUMBER(J534), isnumber(K534)), 1, 0) + IF(and(ISNUMBER(L534), isnumber(M534)), 1, 0) + IF(and(ISNUMBER(N534), isnumber(O534)), 1, 0)</f>
      </c>
      <c r="U534" s="8">
        <f>IF(and(ISNUMBER(P534), isnumber(Q534)), 1, 0) + IF(and(ISNUMBER(R534), isnumber(S534)), 1, 0)</f>
      </c>
      <c r="V534" s="13"/>
      <c r="W534" s="13"/>
      <c r="X534" s="16"/>
    </row>
    <row x14ac:dyDescent="0.25" r="535" customHeight="1" ht="15.75">
      <c r="A535" s="8">
        <v>25816</v>
      </c>
      <c r="B535" s="13" t="s">
        <v>126</v>
      </c>
      <c r="C535" s="13" t="s">
        <v>5602</v>
      </c>
      <c r="D535" s="10">
        <v>0.7135</v>
      </c>
      <c r="E535" s="11">
        <v>384.32</v>
      </c>
      <c r="F535" s="10">
        <v>0.6467</v>
      </c>
      <c r="G535" s="11">
        <v>438.34</v>
      </c>
      <c r="H535" s="10">
        <v>0.6292</v>
      </c>
      <c r="I535" s="11">
        <v>461.36</v>
      </c>
      <c r="J535" s="10">
        <v>0.5079</v>
      </c>
      <c r="K535" s="11">
        <v>430.91</v>
      </c>
      <c r="L535" s="10">
        <v>0.4815</v>
      </c>
      <c r="M535" s="11">
        <v>439.71</v>
      </c>
      <c r="N535" s="10">
        <v>0.4745</v>
      </c>
      <c r="O535" s="11">
        <v>471.76</v>
      </c>
      <c r="P535" s="10">
        <v>0.7135</v>
      </c>
      <c r="Q535" s="10">
        <v>0.2627</v>
      </c>
      <c r="R535" s="10">
        <v>0.5079</v>
      </c>
      <c r="S535" s="10">
        <v>0.2146</v>
      </c>
      <c r="T535" s="8">
        <f>IF(and(ISNUMBER(D535), isnumber(E535)), 1, 0) + IF(and(ISNUMBER(F535), isnumber(G535)), 1, 0) + IF(and(ISNUMBER(H535), isnumber(I535)), 1, 0) + IF(and(ISNUMBER(J535), isnumber(K535)), 1, 0) + IF(and(ISNUMBER(L535), isnumber(M535)), 1, 0) + IF(and(ISNUMBER(N535), isnumber(O535)), 1, 0)</f>
      </c>
      <c r="U535" s="8">
        <f>IF(and(ISNUMBER(P535), isnumber(Q535)), 1, 0) + IF(and(ISNUMBER(R535), isnumber(S535)), 1, 0)</f>
      </c>
      <c r="V535" s="13"/>
      <c r="W535" s="13"/>
      <c r="X535" s="16"/>
    </row>
    <row x14ac:dyDescent="0.25" r="536" customHeight="1" ht="15.75">
      <c r="A536" s="8">
        <v>25817</v>
      </c>
      <c r="B536" s="13" t="s">
        <v>126</v>
      </c>
      <c r="C536" s="13" t="s">
        <v>5606</v>
      </c>
      <c r="D536" s="10">
        <v>0.8904</v>
      </c>
      <c r="E536" s="11">
        <v>399.01</v>
      </c>
      <c r="F536" s="10">
        <v>0.7205</v>
      </c>
      <c r="G536" s="11">
        <v>460.84</v>
      </c>
      <c r="H536" s="10">
        <v>0.7205</v>
      </c>
      <c r="I536" s="11">
        <v>520.31</v>
      </c>
      <c r="J536" s="10">
        <v>0.7014</v>
      </c>
      <c r="K536" s="11">
        <v>442.77</v>
      </c>
      <c r="L536" s="10">
        <v>0.7205</v>
      </c>
      <c r="M536" s="11">
        <v>487.88</v>
      </c>
      <c r="N536" s="10">
        <v>0.589</v>
      </c>
      <c r="O536" s="11">
        <v>422.29</v>
      </c>
      <c r="P536" s="10">
        <v>0.8904</v>
      </c>
      <c r="Q536" s="10">
        <v>0.2808</v>
      </c>
      <c r="R536" s="10">
        <v>0.7014</v>
      </c>
      <c r="S536" s="10">
        <v>0.2058</v>
      </c>
      <c r="T536" s="8">
        <f>IF(and(ISNUMBER(D536), isnumber(E536)), 1, 0) + IF(and(ISNUMBER(F536), isnumber(G536)), 1, 0) + IF(and(ISNUMBER(H536), isnumber(I536)), 1, 0) + IF(and(ISNUMBER(J536), isnumber(K536)), 1, 0) + IF(and(ISNUMBER(L536), isnumber(M536)), 1, 0) + IF(and(ISNUMBER(N536), isnumber(O536)), 1, 0)</f>
      </c>
      <c r="U536" s="8">
        <f>IF(and(ISNUMBER(P536), isnumber(Q536)), 1, 0) + IF(and(ISNUMBER(R536), isnumber(S536)), 1, 0)</f>
      </c>
      <c r="V536" s="13"/>
      <c r="W536" s="13"/>
      <c r="X536" s="16"/>
    </row>
    <row x14ac:dyDescent="0.25" r="537" customHeight="1" ht="15.75">
      <c r="A537" s="8">
        <v>25818</v>
      </c>
      <c r="B537" s="13" t="s">
        <v>126</v>
      </c>
      <c r="C537" s="13" t="s">
        <v>5608</v>
      </c>
      <c r="D537" s="10">
        <v>0.7809</v>
      </c>
      <c r="E537" s="11">
        <v>170.43</v>
      </c>
      <c r="F537" s="10">
        <v>0.6067</v>
      </c>
      <c r="G537" s="11">
        <v>334.23</v>
      </c>
      <c r="H537" s="10">
        <v>0.6067</v>
      </c>
      <c r="I537" s="11">
        <v>354.34</v>
      </c>
      <c r="J537" s="10">
        <v>0.5787</v>
      </c>
      <c r="K537" s="11">
        <v>330.51</v>
      </c>
      <c r="L537" s="10">
        <v>0.6124</v>
      </c>
      <c r="M537" s="11">
        <v>406.3</v>
      </c>
      <c r="N537" s="10">
        <v>0.3596</v>
      </c>
      <c r="O537" s="11">
        <v>382.95</v>
      </c>
      <c r="P537" s="10">
        <v>0.7809</v>
      </c>
      <c r="Q537" s="10">
        <v>0.2224</v>
      </c>
      <c r="R537" s="10">
        <v>0.5787</v>
      </c>
      <c r="S537" s="10">
        <v>0.2167</v>
      </c>
      <c r="T537" s="8">
        <f>IF(and(ISNUMBER(D537), isnumber(E537)), 1, 0) + IF(and(ISNUMBER(F537), isnumber(G537)), 1, 0) + IF(and(ISNUMBER(H537), isnumber(I537)), 1, 0) + IF(and(ISNUMBER(J537), isnumber(K537)), 1, 0) + IF(and(ISNUMBER(L537), isnumber(M537)), 1, 0) + IF(and(ISNUMBER(N537), isnumber(O537)), 1, 0)</f>
      </c>
      <c r="U537" s="8">
        <f>IF(and(ISNUMBER(P537), isnumber(Q537)), 1, 0) + IF(and(ISNUMBER(R537), isnumber(S537)), 1, 0)</f>
      </c>
      <c r="V537" s="13"/>
      <c r="W537" s="13"/>
      <c r="X537" s="16"/>
    </row>
    <row x14ac:dyDescent="0.25" r="538" customHeight="1" ht="15.75">
      <c r="A538" s="8">
        <v>25819</v>
      </c>
      <c r="B538" s="13" t="s">
        <v>126</v>
      </c>
      <c r="C538" s="13" t="s">
        <v>5612</v>
      </c>
      <c r="D538" s="10">
        <v>0.8265</v>
      </c>
      <c r="E538" s="11">
        <v>262.5</v>
      </c>
      <c r="F538" s="10">
        <v>0.8571</v>
      </c>
      <c r="G538" s="11">
        <v>404.39</v>
      </c>
      <c r="H538" s="10">
        <v>0.7551</v>
      </c>
      <c r="I538" s="11">
        <v>396.22</v>
      </c>
      <c r="J538" s="10">
        <v>0.6531</v>
      </c>
      <c r="K538" s="11">
        <v>265.33</v>
      </c>
      <c r="L538" s="10">
        <v>0.5714</v>
      </c>
      <c r="M538" s="11">
        <v>518.57</v>
      </c>
      <c r="N538" s="10">
        <v>0.602</v>
      </c>
      <c r="O538" s="11">
        <v>534.24</v>
      </c>
      <c r="P538" s="10">
        <v>0.8265</v>
      </c>
      <c r="Q538" s="10">
        <v>0.2969</v>
      </c>
      <c r="R538" s="10">
        <v>0.6531</v>
      </c>
      <c r="S538" s="10">
        <v>0.1995</v>
      </c>
      <c r="T538" s="8">
        <f>IF(and(ISNUMBER(D538), isnumber(E538)), 1, 0) + IF(and(ISNUMBER(F538), isnumber(G538)), 1, 0) + IF(and(ISNUMBER(H538), isnumber(I538)), 1, 0) + IF(and(ISNUMBER(J538), isnumber(K538)), 1, 0) + IF(and(ISNUMBER(L538), isnumber(M538)), 1, 0) + IF(and(ISNUMBER(N538), isnumber(O538)), 1, 0)</f>
      </c>
      <c r="U538" s="8">
        <f>IF(and(ISNUMBER(P538), isnumber(Q538)), 1, 0) + IF(and(ISNUMBER(R538), isnumber(S538)), 1, 0)</f>
      </c>
      <c r="V538" s="13"/>
      <c r="W538" s="13"/>
      <c r="X538" s="16"/>
    </row>
    <row x14ac:dyDescent="0.25" r="539" customHeight="1" ht="15.75">
      <c r="A539" s="8">
        <v>25820</v>
      </c>
      <c r="B539" s="13" t="s">
        <v>126</v>
      </c>
      <c r="C539" s="13" t="s">
        <v>5617</v>
      </c>
      <c r="D539" s="10">
        <v>0.7735</v>
      </c>
      <c r="E539" s="11">
        <v>247.3</v>
      </c>
      <c r="F539" s="10">
        <v>0.7535</v>
      </c>
      <c r="G539" s="11">
        <v>366.99</v>
      </c>
      <c r="H539" s="10">
        <v>0.7675</v>
      </c>
      <c r="I539" s="11">
        <v>394.63</v>
      </c>
      <c r="J539" s="10">
        <v>0.7435</v>
      </c>
      <c r="K539" s="11">
        <v>316.14</v>
      </c>
      <c r="L539" s="10">
        <v>0.7234</v>
      </c>
      <c r="M539" s="11">
        <v>438.88</v>
      </c>
      <c r="N539" s="10">
        <v>0.6613</v>
      </c>
      <c r="O539" s="11">
        <v>335.12</v>
      </c>
      <c r="P539" s="10">
        <v>0.7735</v>
      </c>
      <c r="Q539" s="10">
        <v>0.2424</v>
      </c>
      <c r="R539" s="10">
        <v>0.7435</v>
      </c>
      <c r="S539" s="10">
        <v>0.2059</v>
      </c>
      <c r="T539" s="8">
        <f>IF(and(ISNUMBER(D539), isnumber(E539)), 1, 0) + IF(and(ISNUMBER(F539), isnumber(G539)), 1, 0) + IF(and(ISNUMBER(H539), isnumber(I539)), 1, 0) + IF(and(ISNUMBER(J539), isnumber(K539)), 1, 0) + IF(and(ISNUMBER(L539), isnumber(M539)), 1, 0) + IF(and(ISNUMBER(N539), isnumber(O539)), 1, 0)</f>
      </c>
      <c r="U539" s="8">
        <f>IF(and(ISNUMBER(P539), isnumber(Q539)), 1, 0) + IF(and(ISNUMBER(R539), isnumber(S539)), 1, 0)</f>
      </c>
      <c r="V539" s="13"/>
      <c r="W539" s="13"/>
      <c r="X539" s="16"/>
    </row>
    <row x14ac:dyDescent="0.25" r="540" customHeight="1" ht="15.75">
      <c r="A540" s="8">
        <v>25821</v>
      </c>
      <c r="B540" s="13" t="s">
        <v>126</v>
      </c>
      <c r="C540" s="13" t="s">
        <v>4161</v>
      </c>
      <c r="D540" s="10">
        <v>0.7987</v>
      </c>
      <c r="E540" s="11">
        <v>275.2</v>
      </c>
      <c r="F540" s="10">
        <v>0.4161</v>
      </c>
      <c r="G540" s="11">
        <v>421.64</v>
      </c>
      <c r="H540" s="10">
        <v>0.6309</v>
      </c>
      <c r="I540" s="11">
        <v>436.96</v>
      </c>
      <c r="J540" s="10">
        <v>0.7181</v>
      </c>
      <c r="K540" s="11">
        <v>301.89</v>
      </c>
      <c r="L540" s="10">
        <v>0.6242</v>
      </c>
      <c r="M540" s="11">
        <v>486.52</v>
      </c>
      <c r="N540" s="10">
        <v>0.698</v>
      </c>
      <c r="O540" s="11">
        <v>530</v>
      </c>
      <c r="P540" s="10">
        <v>0.7987</v>
      </c>
      <c r="Q540" s="10">
        <v>0.2341</v>
      </c>
      <c r="R540" s="10">
        <v>0.7181</v>
      </c>
      <c r="S540" s="10">
        <v>0.2114</v>
      </c>
      <c r="T540" s="8">
        <f>IF(and(ISNUMBER(D540), isnumber(E540)), 1, 0) + IF(and(ISNUMBER(F540), isnumber(G540)), 1, 0) + IF(and(ISNUMBER(H540), isnumber(I540)), 1, 0) + IF(and(ISNUMBER(J540), isnumber(K540)), 1, 0) + IF(and(ISNUMBER(L540), isnumber(M540)), 1, 0) + IF(and(ISNUMBER(N540), isnumber(O540)), 1, 0)</f>
      </c>
      <c r="U540" s="8">
        <f>IF(and(ISNUMBER(P540), isnumber(Q540)), 1, 0) + IF(and(ISNUMBER(R540), isnumber(S540)), 1, 0)</f>
      </c>
      <c r="V540" s="13"/>
      <c r="W540" s="13"/>
      <c r="X540" s="16"/>
    </row>
    <row x14ac:dyDescent="0.25" r="541" customHeight="1" ht="15.75">
      <c r="A541" s="8">
        <v>25822</v>
      </c>
      <c r="B541" s="13" t="s">
        <v>126</v>
      </c>
      <c r="C541" s="13" t="s">
        <v>11033</v>
      </c>
      <c r="D541" s="10">
        <v>0.4348</v>
      </c>
      <c r="E541" s="11">
        <v>106.67</v>
      </c>
      <c r="F541" s="10">
        <v>0.4348</v>
      </c>
      <c r="G541" s="11">
        <v>488</v>
      </c>
      <c r="H541" s="10">
        <v>0.1897</v>
      </c>
      <c r="I541" s="11">
        <v>141.82</v>
      </c>
      <c r="J541" s="10" t="s">
        <v>7127</v>
      </c>
      <c r="K541" s="11" t="s">
        <v>7127</v>
      </c>
      <c r="L541" s="10">
        <v>0.2586</v>
      </c>
      <c r="M541" s="11">
        <v>297.14</v>
      </c>
      <c r="N541" s="10">
        <v>0</v>
      </c>
      <c r="O541" s="11" t="s">
        <v>7127</v>
      </c>
      <c r="P541" s="10">
        <v>0.4348</v>
      </c>
      <c r="Q541" s="10">
        <v>0.1618</v>
      </c>
      <c r="R541" s="10" t="s">
        <v>7127</v>
      </c>
      <c r="S541" s="10" t="s">
        <v>7127</v>
      </c>
      <c r="T541" s="8">
        <f>IF(and(ISNUMBER(D541), isnumber(E541)), 1, 0) + IF(and(ISNUMBER(F541), isnumber(G541)), 1, 0) + IF(and(ISNUMBER(H541), isnumber(I541)), 1, 0) + IF(and(ISNUMBER(J541), isnumber(K541)), 1, 0) + IF(and(ISNUMBER(L541), isnumber(M541)), 1, 0) + IF(and(ISNUMBER(N541), isnumber(O541)), 1, 0)</f>
      </c>
      <c r="U541" s="8">
        <f>IF(and(ISNUMBER(P541), isnumber(Q541)), 1, 0) + IF(and(ISNUMBER(R541), isnumber(S541)), 1, 0)</f>
      </c>
      <c r="V541" s="13"/>
      <c r="W541" s="13"/>
      <c r="X541" s="16"/>
    </row>
    <row x14ac:dyDescent="0.25" r="542" customHeight="1" ht="15.75">
      <c r="A542" s="8">
        <v>25823</v>
      </c>
      <c r="B542" s="13" t="s">
        <v>126</v>
      </c>
      <c r="C542" s="13" t="s">
        <v>5622</v>
      </c>
      <c r="D542" s="10">
        <v>0.735</v>
      </c>
      <c r="E542" s="11">
        <v>192.44</v>
      </c>
      <c r="F542" s="10">
        <v>0.6325</v>
      </c>
      <c r="G542" s="11">
        <v>394.01</v>
      </c>
      <c r="H542" s="10">
        <v>0.7137</v>
      </c>
      <c r="I542" s="11">
        <v>372.52</v>
      </c>
      <c r="J542" s="10">
        <v>0.6795</v>
      </c>
      <c r="K542" s="11">
        <v>288.07</v>
      </c>
      <c r="L542" s="10">
        <v>0.5256</v>
      </c>
      <c r="M542" s="11">
        <v>432.4</v>
      </c>
      <c r="N542" s="10">
        <v>0.3462</v>
      </c>
      <c r="O542" s="11">
        <v>407</v>
      </c>
      <c r="P542" s="10">
        <v>0.735</v>
      </c>
      <c r="Q542" s="10">
        <v>0.2331</v>
      </c>
      <c r="R542" s="10">
        <v>0.6795</v>
      </c>
      <c r="S542" s="10">
        <v>0.2164</v>
      </c>
      <c r="T542" s="8">
        <f>IF(and(ISNUMBER(D542), isnumber(E542)), 1, 0) + IF(and(ISNUMBER(F542), isnumber(G542)), 1, 0) + IF(and(ISNUMBER(H542), isnumber(I542)), 1, 0) + IF(and(ISNUMBER(J542), isnumber(K542)), 1, 0) + IF(and(ISNUMBER(L542), isnumber(M542)), 1, 0) + IF(and(ISNUMBER(N542), isnumber(O542)), 1, 0)</f>
      </c>
      <c r="U542" s="8">
        <f>IF(and(ISNUMBER(P542), isnumber(Q542)), 1, 0) + IF(and(ISNUMBER(R542), isnumber(S542)), 1, 0)</f>
      </c>
      <c r="V542" s="13"/>
      <c r="W542" s="13"/>
      <c r="X542" s="16"/>
    </row>
    <row x14ac:dyDescent="0.25" r="543" customHeight="1" ht="15.75">
      <c r="A543" s="8">
        <v>25824</v>
      </c>
      <c r="B543" s="13" t="s">
        <v>126</v>
      </c>
      <c r="C543" s="13" t="s">
        <v>5626</v>
      </c>
      <c r="D543" s="10">
        <v>0.7131</v>
      </c>
      <c r="E543" s="11">
        <v>172.3</v>
      </c>
      <c r="F543" s="10">
        <v>0.5576</v>
      </c>
      <c r="G543" s="11">
        <v>321.36</v>
      </c>
      <c r="H543" s="10">
        <v>0.5859</v>
      </c>
      <c r="I543" s="11">
        <v>401.83</v>
      </c>
      <c r="J543" s="10">
        <v>0.5313</v>
      </c>
      <c r="K543" s="11">
        <v>234.29</v>
      </c>
      <c r="L543" s="10">
        <v>0.5071</v>
      </c>
      <c r="M543" s="11">
        <v>430.89</v>
      </c>
      <c r="N543" s="10">
        <v>0.4828</v>
      </c>
      <c r="O543" s="11">
        <v>408.73</v>
      </c>
      <c r="P543" s="10">
        <v>0.7131</v>
      </c>
      <c r="Q543" s="10">
        <v>0.2177</v>
      </c>
      <c r="R543" s="10">
        <v>0.5313</v>
      </c>
      <c r="S543" s="10">
        <v>0.2271</v>
      </c>
      <c r="T543" s="8">
        <f>IF(and(ISNUMBER(D543), isnumber(E543)), 1, 0) + IF(and(ISNUMBER(F543), isnumber(G543)), 1, 0) + IF(and(ISNUMBER(H543), isnumber(I543)), 1, 0) + IF(and(ISNUMBER(J543), isnumber(K543)), 1, 0) + IF(and(ISNUMBER(L543), isnumber(M543)), 1, 0) + IF(and(ISNUMBER(N543), isnumber(O543)), 1, 0)</f>
      </c>
      <c r="U543" s="8">
        <f>IF(and(ISNUMBER(P543), isnumber(Q543)), 1, 0) + IF(and(ISNUMBER(R543), isnumber(S543)), 1, 0)</f>
      </c>
      <c r="V543" s="13"/>
      <c r="W543" s="13"/>
      <c r="X543" s="16"/>
    </row>
    <row x14ac:dyDescent="0.25" r="544" customHeight="1" ht="15.75">
      <c r="A544" s="8">
        <v>25825</v>
      </c>
      <c r="B544" s="13" t="s">
        <v>126</v>
      </c>
      <c r="C544" s="13" t="s">
        <v>5628</v>
      </c>
      <c r="D544" s="10">
        <v>0.7524</v>
      </c>
      <c r="E544" s="11">
        <v>238.46</v>
      </c>
      <c r="F544" s="10">
        <v>0.5048</v>
      </c>
      <c r="G544" s="11">
        <v>365.49</v>
      </c>
      <c r="H544" s="10">
        <v>0.1524</v>
      </c>
      <c r="I544" s="11">
        <v>372.5</v>
      </c>
      <c r="J544" s="10">
        <v>0.6095</v>
      </c>
      <c r="K544" s="11">
        <v>473.9</v>
      </c>
      <c r="L544" s="10">
        <v>0.6571</v>
      </c>
      <c r="M544" s="11">
        <v>401.79</v>
      </c>
      <c r="N544" s="10">
        <v>0</v>
      </c>
      <c r="O544" s="11" t="s">
        <v>7127</v>
      </c>
      <c r="P544" s="10">
        <v>0.7524</v>
      </c>
      <c r="Q544" s="10">
        <v>0.1628</v>
      </c>
      <c r="R544" s="10">
        <v>0.6095</v>
      </c>
      <c r="S544" s="10">
        <v>0.2169</v>
      </c>
      <c r="T544" s="8">
        <f>IF(and(ISNUMBER(D544), isnumber(E544)), 1, 0) + IF(and(ISNUMBER(F544), isnumber(G544)), 1, 0) + IF(and(ISNUMBER(H544), isnumber(I544)), 1, 0) + IF(and(ISNUMBER(J544), isnumber(K544)), 1, 0) + IF(and(ISNUMBER(L544), isnumber(M544)), 1, 0) + IF(and(ISNUMBER(N544), isnumber(O544)), 1, 0)</f>
      </c>
      <c r="U544" s="8">
        <f>IF(and(ISNUMBER(P544), isnumber(Q544)), 1, 0) + IF(and(ISNUMBER(R544), isnumber(S544)), 1, 0)</f>
      </c>
      <c r="V544" s="13"/>
      <c r="W544" s="13"/>
      <c r="X544" s="16"/>
    </row>
    <row x14ac:dyDescent="0.25" r="545" customHeight="1" ht="15.75">
      <c r="A545" s="8">
        <v>25826</v>
      </c>
      <c r="B545" s="13" t="s">
        <v>126</v>
      </c>
      <c r="C545" s="13" t="s">
        <v>5631</v>
      </c>
      <c r="D545" s="10">
        <v>0.8034</v>
      </c>
      <c r="E545" s="11">
        <v>363.83</v>
      </c>
      <c r="F545" s="10">
        <v>0.7094</v>
      </c>
      <c r="G545" s="11">
        <v>407.5</v>
      </c>
      <c r="H545" s="10">
        <v>0.6838</v>
      </c>
      <c r="I545" s="11">
        <v>427</v>
      </c>
      <c r="J545" s="10">
        <v>0.6923</v>
      </c>
      <c r="K545" s="11">
        <v>495</v>
      </c>
      <c r="L545" s="10">
        <v>0.7521</v>
      </c>
      <c r="M545" s="11">
        <v>470</v>
      </c>
      <c r="N545" s="10">
        <v>0.6581</v>
      </c>
      <c r="O545" s="11">
        <v>415.26</v>
      </c>
      <c r="P545" s="10">
        <v>0.8034</v>
      </c>
      <c r="Q545" s="10">
        <v>0.272</v>
      </c>
      <c r="R545" s="10">
        <v>0.6923</v>
      </c>
      <c r="S545" s="10">
        <v>0.2198</v>
      </c>
      <c r="T545" s="8">
        <f>IF(and(ISNUMBER(D545), isnumber(E545)), 1, 0) + IF(and(ISNUMBER(F545), isnumber(G545)), 1, 0) + IF(and(ISNUMBER(H545), isnumber(I545)), 1, 0) + IF(and(ISNUMBER(J545), isnumber(K545)), 1, 0) + IF(and(ISNUMBER(L545), isnumber(M545)), 1, 0) + IF(and(ISNUMBER(N545), isnumber(O545)), 1, 0)</f>
      </c>
      <c r="U545" s="8">
        <f>IF(and(ISNUMBER(P545), isnumber(Q545)), 1, 0) + IF(and(ISNUMBER(R545), isnumber(S545)), 1, 0)</f>
      </c>
      <c r="V545" s="13"/>
      <c r="W545" s="13"/>
      <c r="X545" s="16"/>
    </row>
    <row x14ac:dyDescent="0.25" r="546" customHeight="1" ht="15.75">
      <c r="A546" s="8">
        <v>25827</v>
      </c>
      <c r="B546" s="13" t="s">
        <v>126</v>
      </c>
      <c r="C546" s="13" t="s">
        <v>5634</v>
      </c>
      <c r="D546" s="10">
        <v>0.8571</v>
      </c>
      <c r="E546" s="11">
        <v>384.93</v>
      </c>
      <c r="F546" s="10">
        <v>0.7029</v>
      </c>
      <c r="G546" s="11">
        <v>469.48</v>
      </c>
      <c r="H546" s="10">
        <v>0.701</v>
      </c>
      <c r="I546" s="11">
        <v>482.35</v>
      </c>
      <c r="J546" s="10">
        <v>0.8364</v>
      </c>
      <c r="K546" s="11">
        <v>455.18</v>
      </c>
      <c r="L546" s="10">
        <v>0.6907</v>
      </c>
      <c r="M546" s="11">
        <v>472.87</v>
      </c>
      <c r="N546" s="10">
        <v>0.634</v>
      </c>
      <c r="O546" s="11">
        <v>465.04</v>
      </c>
      <c r="P546" s="10">
        <v>0.8571</v>
      </c>
      <c r="Q546" s="10">
        <v>0.2801</v>
      </c>
      <c r="R546" s="10">
        <v>0.8364</v>
      </c>
      <c r="S546" s="10">
        <v>0.2333</v>
      </c>
      <c r="T546" s="8">
        <f>IF(and(ISNUMBER(D546), isnumber(E546)), 1, 0) + IF(and(ISNUMBER(F546), isnumber(G546)), 1, 0) + IF(and(ISNUMBER(H546), isnumber(I546)), 1, 0) + IF(and(ISNUMBER(J546), isnumber(K546)), 1, 0) + IF(and(ISNUMBER(L546), isnumber(M546)), 1, 0) + IF(and(ISNUMBER(N546), isnumber(O546)), 1, 0)</f>
      </c>
      <c r="U546" s="8">
        <f>IF(and(ISNUMBER(P546), isnumber(Q546)), 1, 0) + IF(and(ISNUMBER(R546), isnumber(S546)), 1, 0)</f>
      </c>
      <c r="V546" s="13"/>
      <c r="W546" s="13"/>
      <c r="X546" s="16"/>
    </row>
    <row x14ac:dyDescent="0.25" r="547" customHeight="1" ht="15.75">
      <c r="A547" s="8">
        <v>25828</v>
      </c>
      <c r="B547" s="13" t="s">
        <v>126</v>
      </c>
      <c r="C547" s="13" t="s">
        <v>5637</v>
      </c>
      <c r="D547" s="10">
        <v>0.5484</v>
      </c>
      <c r="E547" s="11">
        <v>179.66</v>
      </c>
      <c r="F547" s="10">
        <v>0.4055</v>
      </c>
      <c r="G547" s="11">
        <v>302.84</v>
      </c>
      <c r="H547" s="10">
        <v>0.3554</v>
      </c>
      <c r="I547" s="11">
        <v>399.61</v>
      </c>
      <c r="J547" s="10">
        <v>0.4416</v>
      </c>
      <c r="K547" s="11">
        <v>303.8</v>
      </c>
      <c r="L547" s="10">
        <v>0.2021</v>
      </c>
      <c r="M547" s="11">
        <v>397.93</v>
      </c>
      <c r="N547" s="10">
        <v>0.2404</v>
      </c>
      <c r="O547" s="11">
        <v>403.91</v>
      </c>
      <c r="P547" s="10">
        <v>0.5484</v>
      </c>
      <c r="Q547" s="10">
        <v>0.1625</v>
      </c>
      <c r="R547" s="10">
        <v>0.4416</v>
      </c>
      <c r="S547" s="10">
        <v>0.1992</v>
      </c>
      <c r="T547" s="8">
        <f>IF(and(ISNUMBER(D547), isnumber(E547)), 1, 0) + IF(and(ISNUMBER(F547), isnumber(G547)), 1, 0) + IF(and(ISNUMBER(H547), isnumber(I547)), 1, 0) + IF(and(ISNUMBER(J547), isnumber(K547)), 1, 0) + IF(and(ISNUMBER(L547), isnumber(M547)), 1, 0) + IF(and(ISNUMBER(N547), isnumber(O547)), 1, 0)</f>
      </c>
      <c r="U547" s="8">
        <f>IF(and(ISNUMBER(P547), isnumber(Q547)), 1, 0) + IF(and(ISNUMBER(R547), isnumber(S547)), 1, 0)</f>
      </c>
      <c r="V547" s="13"/>
      <c r="W547" s="13"/>
      <c r="X547" s="16"/>
    </row>
    <row x14ac:dyDescent="0.25" r="548" customHeight="1" ht="15.75">
      <c r="A548" s="8">
        <v>25829</v>
      </c>
      <c r="B548" s="13" t="s">
        <v>126</v>
      </c>
      <c r="C548" s="13" t="s">
        <v>5640</v>
      </c>
      <c r="D548" s="10">
        <v>0.7557</v>
      </c>
      <c r="E548" s="11">
        <v>221.95</v>
      </c>
      <c r="F548" s="10">
        <v>0.6364</v>
      </c>
      <c r="G548" s="11">
        <v>362.45</v>
      </c>
      <c r="H548" s="10">
        <v>0.551</v>
      </c>
      <c r="I548" s="11">
        <v>420.02</v>
      </c>
      <c r="J548" s="10">
        <v>0.7624</v>
      </c>
      <c r="K548" s="11">
        <v>288.64</v>
      </c>
      <c r="L548" s="10">
        <v>0.5959</v>
      </c>
      <c r="M548" s="11">
        <v>401.41</v>
      </c>
      <c r="N548" s="10">
        <v>0.5796</v>
      </c>
      <c r="O548" s="11">
        <v>388.56</v>
      </c>
      <c r="P548" s="10">
        <v>0.7557</v>
      </c>
      <c r="Q548" s="10">
        <v>0.2258</v>
      </c>
      <c r="R548" s="10">
        <v>0.7624</v>
      </c>
      <c r="S548" s="10">
        <v>0.2048</v>
      </c>
      <c r="T548" s="8">
        <f>IF(and(ISNUMBER(D548), isnumber(E548)), 1, 0) + IF(and(ISNUMBER(F548), isnumber(G548)), 1, 0) + IF(and(ISNUMBER(H548), isnumber(I548)), 1, 0) + IF(and(ISNUMBER(J548), isnumber(K548)), 1, 0) + IF(and(ISNUMBER(L548), isnumber(M548)), 1, 0) + IF(and(ISNUMBER(N548), isnumber(O548)), 1, 0)</f>
      </c>
      <c r="U548" s="8">
        <f>IF(and(ISNUMBER(P548), isnumber(Q548)), 1, 0) + IF(and(ISNUMBER(R548), isnumber(S548)), 1, 0)</f>
      </c>
      <c r="V548" s="13"/>
      <c r="W548" s="13"/>
      <c r="X548" s="16"/>
    </row>
    <row x14ac:dyDescent="0.25" r="549" customHeight="1" ht="15.75">
      <c r="A549" s="8">
        <v>25830</v>
      </c>
      <c r="B549" s="13" t="s">
        <v>126</v>
      </c>
      <c r="C549" s="13" t="s">
        <v>5643</v>
      </c>
      <c r="D549" s="10">
        <v>0.9557</v>
      </c>
      <c r="E549" s="11">
        <v>230.54</v>
      </c>
      <c r="F549" s="10">
        <v>0.9684</v>
      </c>
      <c r="G549" s="11">
        <v>316.64</v>
      </c>
      <c r="H549" s="10">
        <v>1</v>
      </c>
      <c r="I549" s="11">
        <v>378.85</v>
      </c>
      <c r="J549" s="10">
        <v>1</v>
      </c>
      <c r="K549" s="11">
        <v>256.62</v>
      </c>
      <c r="L549" s="10">
        <v>0.9937</v>
      </c>
      <c r="M549" s="11">
        <v>293.25</v>
      </c>
      <c r="N549" s="10">
        <v>0.9747</v>
      </c>
      <c r="O549" s="11">
        <v>289.87</v>
      </c>
      <c r="P549" s="10">
        <v>0.9557</v>
      </c>
      <c r="Q549" s="10">
        <v>0.1762</v>
      </c>
      <c r="R549" s="10">
        <v>1</v>
      </c>
      <c r="S549" s="10">
        <v>0.1473</v>
      </c>
      <c r="T549" s="8">
        <f>IF(and(ISNUMBER(D549), isnumber(E549)), 1, 0) + IF(and(ISNUMBER(F549), isnumber(G549)), 1, 0) + IF(and(ISNUMBER(H549), isnumber(I549)), 1, 0) + IF(and(ISNUMBER(J549), isnumber(K549)), 1, 0) + IF(and(ISNUMBER(L549), isnumber(M549)), 1, 0) + IF(and(ISNUMBER(N549), isnumber(O549)), 1, 0)</f>
      </c>
      <c r="U549" s="8">
        <f>IF(and(ISNUMBER(P549), isnumber(Q549)), 1, 0) + IF(and(ISNUMBER(R549), isnumber(S549)), 1, 0)</f>
      </c>
      <c r="V549" s="13"/>
      <c r="W549" s="13"/>
      <c r="X549" s="16"/>
    </row>
    <row x14ac:dyDescent="0.25" r="550" customHeight="1" ht="15.75">
      <c r="A550" s="8">
        <v>25831</v>
      </c>
      <c r="B550" s="13" t="s">
        <v>126</v>
      </c>
      <c r="C550" s="13" t="s">
        <v>5647</v>
      </c>
      <c r="D550" s="10">
        <v>0.6866</v>
      </c>
      <c r="E550" s="11">
        <v>101.34</v>
      </c>
      <c r="F550" s="10">
        <v>0.6269</v>
      </c>
      <c r="G550" s="11">
        <v>425.71</v>
      </c>
      <c r="H550" s="10">
        <v>0.5</v>
      </c>
      <c r="I550" s="11">
        <v>435</v>
      </c>
      <c r="J550" s="10">
        <v>0.7692</v>
      </c>
      <c r="K550" s="11" t="s">
        <v>7127</v>
      </c>
      <c r="L550" s="10">
        <v>0.5</v>
      </c>
      <c r="M550" s="11" t="s">
        <v>7127</v>
      </c>
      <c r="N550" s="10">
        <v>0.525</v>
      </c>
      <c r="O550" s="11" t="s">
        <v>7127</v>
      </c>
      <c r="P550" s="10">
        <v>0.6866</v>
      </c>
      <c r="Q550" s="10">
        <v>0.2499</v>
      </c>
      <c r="R550" s="10">
        <v>0.7692</v>
      </c>
      <c r="S550" s="10">
        <v>0.223</v>
      </c>
      <c r="T550" s="8">
        <f>IF(and(ISNUMBER(D550), isnumber(E550)), 1, 0) + IF(and(ISNUMBER(F550), isnumber(G550)), 1, 0) + IF(and(ISNUMBER(H550), isnumber(I550)), 1, 0) + IF(and(ISNUMBER(J550), isnumber(K550)), 1, 0) + IF(and(ISNUMBER(L550), isnumber(M550)), 1, 0) + IF(and(ISNUMBER(N550), isnumber(O550)), 1, 0)</f>
      </c>
      <c r="U550" s="8">
        <f>IF(and(ISNUMBER(P550), isnumber(Q550)), 1, 0) + IF(and(ISNUMBER(R550), isnumber(S550)), 1, 0)</f>
      </c>
      <c r="V550" s="13"/>
      <c r="W550" s="13"/>
      <c r="X550" s="16"/>
    </row>
    <row x14ac:dyDescent="0.25" r="551" customHeight="1" ht="15.75">
      <c r="A551" s="8">
        <v>25832</v>
      </c>
      <c r="B551" s="13" t="s">
        <v>126</v>
      </c>
      <c r="C551" s="13" t="s">
        <v>5649</v>
      </c>
      <c r="D551" s="10">
        <v>0.592</v>
      </c>
      <c r="E551" s="11">
        <v>154.59</v>
      </c>
      <c r="F551" s="10">
        <v>0.648</v>
      </c>
      <c r="G551" s="11">
        <v>247.5</v>
      </c>
      <c r="H551" s="10">
        <v>0.544</v>
      </c>
      <c r="I551" s="11">
        <v>256.72</v>
      </c>
      <c r="J551" s="10">
        <v>0.744</v>
      </c>
      <c r="K551" s="11">
        <v>132.47</v>
      </c>
      <c r="L551" s="10">
        <v>0.576</v>
      </c>
      <c r="M551" s="11">
        <v>252.78</v>
      </c>
      <c r="N551" s="10">
        <v>0.576</v>
      </c>
      <c r="O551" s="11">
        <v>245.56</v>
      </c>
      <c r="P551" s="10">
        <v>0.592</v>
      </c>
      <c r="Q551" s="10">
        <v>0.2054</v>
      </c>
      <c r="R551" s="10">
        <v>0.744</v>
      </c>
      <c r="S551" s="10">
        <v>0.1989</v>
      </c>
      <c r="T551" s="8">
        <f>IF(and(ISNUMBER(D551), isnumber(E551)), 1, 0) + IF(and(ISNUMBER(F551), isnumber(G551)), 1, 0) + IF(and(ISNUMBER(H551), isnumber(I551)), 1, 0) + IF(and(ISNUMBER(J551), isnumber(K551)), 1, 0) + IF(and(ISNUMBER(L551), isnumber(M551)), 1, 0) + IF(and(ISNUMBER(N551), isnumber(O551)), 1, 0)</f>
      </c>
      <c r="U551" s="8">
        <f>IF(and(ISNUMBER(P551), isnumber(Q551)), 1, 0) + IF(and(ISNUMBER(R551), isnumber(S551)), 1, 0)</f>
      </c>
      <c r="V551" s="13"/>
      <c r="W551" s="13"/>
      <c r="X551" s="16"/>
    </row>
    <row x14ac:dyDescent="0.25" r="552" customHeight="1" ht="15.75">
      <c r="A552" s="8">
        <v>25833</v>
      </c>
      <c r="B552" s="13" t="s">
        <v>126</v>
      </c>
      <c r="C552" s="13" t="s">
        <v>5652</v>
      </c>
      <c r="D552" s="10">
        <v>0.5278</v>
      </c>
      <c r="E552" s="11">
        <v>360</v>
      </c>
      <c r="F552" s="10">
        <v>0.3889</v>
      </c>
      <c r="G552" s="11">
        <v>365.71</v>
      </c>
      <c r="H552" s="10">
        <v>0.1915</v>
      </c>
      <c r="I552" s="11">
        <v>232.94</v>
      </c>
      <c r="J552" s="10">
        <v>0.6897</v>
      </c>
      <c r="K552" s="11">
        <v>200</v>
      </c>
      <c r="L552" s="10">
        <v>0.2553</v>
      </c>
      <c r="M552" s="11">
        <v>330</v>
      </c>
      <c r="N552" s="10">
        <v>0.266</v>
      </c>
      <c r="O552" s="11">
        <v>294.4</v>
      </c>
      <c r="P552" s="10">
        <v>0.5278</v>
      </c>
      <c r="Q552" s="10">
        <v>0.1676</v>
      </c>
      <c r="R552" s="10">
        <v>0.6897</v>
      </c>
      <c r="S552" s="10">
        <v>0.1773</v>
      </c>
      <c r="T552" s="8">
        <f>IF(and(ISNUMBER(D552), isnumber(E552)), 1, 0) + IF(and(ISNUMBER(F552), isnumber(G552)), 1, 0) + IF(and(ISNUMBER(H552), isnumber(I552)), 1, 0) + IF(and(ISNUMBER(J552), isnumber(K552)), 1, 0) + IF(and(ISNUMBER(L552), isnumber(M552)), 1, 0) + IF(and(ISNUMBER(N552), isnumber(O552)), 1, 0)</f>
      </c>
      <c r="U552" s="8">
        <f>IF(and(ISNUMBER(P552), isnumber(Q552)), 1, 0) + IF(and(ISNUMBER(R552), isnumber(S552)), 1, 0)</f>
      </c>
      <c r="V552" s="13"/>
      <c r="W552" s="13"/>
      <c r="X552" s="16"/>
    </row>
    <row x14ac:dyDescent="0.25" r="553" customHeight="1" ht="15.75">
      <c r="A553" s="8">
        <v>25834</v>
      </c>
      <c r="B553" s="13" t="s">
        <v>126</v>
      </c>
      <c r="C553" s="13" t="s">
        <v>5655</v>
      </c>
      <c r="D553" s="10">
        <v>0.9461</v>
      </c>
      <c r="E553" s="11">
        <v>237.7</v>
      </c>
      <c r="F553" s="10">
        <v>0.9811</v>
      </c>
      <c r="G553" s="11">
        <v>293.3</v>
      </c>
      <c r="H553" s="10">
        <v>0.7035</v>
      </c>
      <c r="I553" s="11">
        <v>450.66</v>
      </c>
      <c r="J553" s="10">
        <v>0.7008</v>
      </c>
      <c r="K553" s="11">
        <v>327.34</v>
      </c>
      <c r="L553" s="10">
        <v>0.6442</v>
      </c>
      <c r="M553" s="11">
        <v>409.15</v>
      </c>
      <c r="N553" s="10">
        <v>0.6361</v>
      </c>
      <c r="O553" s="11">
        <v>383.32</v>
      </c>
      <c r="P553" s="10">
        <v>0.9461</v>
      </c>
      <c r="Q553" s="10">
        <v>0.1918</v>
      </c>
      <c r="R553" s="10">
        <v>0.7008</v>
      </c>
      <c r="S553" s="10">
        <v>0.2125</v>
      </c>
      <c r="T553" s="8">
        <f>IF(and(ISNUMBER(D553), isnumber(E553)), 1, 0) + IF(and(ISNUMBER(F553), isnumber(G553)), 1, 0) + IF(and(ISNUMBER(H553), isnumber(I553)), 1, 0) + IF(and(ISNUMBER(J553), isnumber(K553)), 1, 0) + IF(and(ISNUMBER(L553), isnumber(M553)), 1, 0) + IF(and(ISNUMBER(N553), isnumber(O553)), 1, 0)</f>
      </c>
      <c r="U553" s="8">
        <f>IF(and(ISNUMBER(P553), isnumber(Q553)), 1, 0) + IF(and(ISNUMBER(R553), isnumber(S553)), 1, 0)</f>
      </c>
      <c r="V553" s="13"/>
      <c r="W553" s="13"/>
      <c r="X553" s="16"/>
    </row>
    <row x14ac:dyDescent="0.25" r="554" customHeight="1" ht="15.75">
      <c r="A554" s="8">
        <v>25835</v>
      </c>
      <c r="B554" s="13" t="s">
        <v>126</v>
      </c>
      <c r="C554" s="13" t="s">
        <v>5657</v>
      </c>
      <c r="D554" s="10">
        <v>0.8675</v>
      </c>
      <c r="E554" s="11">
        <v>262.29</v>
      </c>
      <c r="F554" s="10">
        <v>0.759</v>
      </c>
      <c r="G554" s="11">
        <v>475.48</v>
      </c>
      <c r="H554" s="10">
        <v>0.7952</v>
      </c>
      <c r="I554" s="11">
        <v>507.08</v>
      </c>
      <c r="J554" s="10">
        <v>0.7711</v>
      </c>
      <c r="K554" s="11">
        <v>441.97</v>
      </c>
      <c r="L554" s="10">
        <v>0.7831</v>
      </c>
      <c r="M554" s="11">
        <v>474.84</v>
      </c>
      <c r="N554" s="10">
        <v>0.7711</v>
      </c>
      <c r="O554" s="11">
        <v>520</v>
      </c>
      <c r="P554" s="10">
        <v>0.8675</v>
      </c>
      <c r="Q554" s="10">
        <v>0.2346</v>
      </c>
      <c r="R554" s="10">
        <v>0.7711</v>
      </c>
      <c r="S554" s="10">
        <v>0.2163</v>
      </c>
      <c r="T554" s="8">
        <f>IF(and(ISNUMBER(D554), isnumber(E554)), 1, 0) + IF(and(ISNUMBER(F554), isnumber(G554)), 1, 0) + IF(and(ISNUMBER(H554), isnumber(I554)), 1, 0) + IF(and(ISNUMBER(J554), isnumber(K554)), 1, 0) + IF(and(ISNUMBER(L554), isnumber(M554)), 1, 0) + IF(and(ISNUMBER(N554), isnumber(O554)), 1, 0)</f>
      </c>
      <c r="U554" s="8">
        <f>IF(and(ISNUMBER(P554), isnumber(Q554)), 1, 0) + IF(and(ISNUMBER(R554), isnumber(S554)), 1, 0)</f>
      </c>
      <c r="V554" s="13"/>
      <c r="W554" s="13"/>
      <c r="X554" s="16"/>
    </row>
    <row x14ac:dyDescent="0.25" r="555" customHeight="1" ht="15.75">
      <c r="A555" s="8">
        <v>25836</v>
      </c>
      <c r="B555" s="13" t="s">
        <v>126</v>
      </c>
      <c r="C555" s="13" t="s">
        <v>5394</v>
      </c>
      <c r="D555" s="10">
        <v>0.6832</v>
      </c>
      <c r="E555" s="11">
        <v>193.13</v>
      </c>
      <c r="F555" s="10">
        <v>0.646</v>
      </c>
      <c r="G555" s="11">
        <v>359.56</v>
      </c>
      <c r="H555" s="10">
        <v>0.4845</v>
      </c>
      <c r="I555" s="11">
        <v>443.24</v>
      </c>
      <c r="J555" s="10">
        <v>0.559</v>
      </c>
      <c r="K555" s="11">
        <v>301.18</v>
      </c>
      <c r="L555" s="10">
        <v>0.5093</v>
      </c>
      <c r="M555" s="11">
        <v>453.51</v>
      </c>
      <c r="N555" s="10">
        <v>0.4907</v>
      </c>
      <c r="O555" s="11">
        <v>436.84</v>
      </c>
      <c r="P555" s="10">
        <v>0.6832</v>
      </c>
      <c r="Q555" s="10">
        <v>0.2111</v>
      </c>
      <c r="R555" s="10">
        <v>0.559</v>
      </c>
      <c r="S555" s="10">
        <v>0.1985</v>
      </c>
      <c r="T555" s="8">
        <f>IF(and(ISNUMBER(D555), isnumber(E555)), 1, 0) + IF(and(ISNUMBER(F555), isnumber(G555)), 1, 0) + IF(and(ISNUMBER(H555), isnumber(I555)), 1, 0) + IF(and(ISNUMBER(J555), isnumber(K555)), 1, 0) + IF(and(ISNUMBER(L555), isnumber(M555)), 1, 0) + IF(and(ISNUMBER(N555), isnumber(O555)), 1, 0)</f>
      </c>
      <c r="U555" s="8">
        <f>IF(and(ISNUMBER(P555), isnumber(Q555)), 1, 0) + IF(and(ISNUMBER(R555), isnumber(S555)), 1, 0)</f>
      </c>
      <c r="V555" s="13"/>
      <c r="W555" s="13"/>
      <c r="X555" s="16"/>
    </row>
    <row x14ac:dyDescent="0.25" r="556" customHeight="1" ht="15.75">
      <c r="A556" s="8">
        <v>25837</v>
      </c>
      <c r="B556" s="13" t="s">
        <v>126</v>
      </c>
      <c r="C556" s="13" t="s">
        <v>4228</v>
      </c>
      <c r="D556" s="10">
        <v>0.94</v>
      </c>
      <c r="E556" s="11">
        <v>287.83</v>
      </c>
      <c r="F556" s="10">
        <v>0.96</v>
      </c>
      <c r="G556" s="11">
        <v>321.74</v>
      </c>
      <c r="H556" s="10">
        <v>0.99</v>
      </c>
      <c r="I556" s="11">
        <v>275.92</v>
      </c>
      <c r="J556" s="10">
        <v>1</v>
      </c>
      <c r="K556" s="11">
        <v>210</v>
      </c>
      <c r="L556" s="10">
        <v>1</v>
      </c>
      <c r="M556" s="11">
        <v>302</v>
      </c>
      <c r="N556" s="10">
        <v>0.9</v>
      </c>
      <c r="O556" s="11">
        <v>353.78</v>
      </c>
      <c r="P556" s="10">
        <v>0.94</v>
      </c>
      <c r="Q556" s="10">
        <v>0.2216</v>
      </c>
      <c r="R556" s="10">
        <v>1</v>
      </c>
      <c r="S556" s="10">
        <v>0.1304</v>
      </c>
      <c r="T556" s="8">
        <f>IF(and(ISNUMBER(D556), isnumber(E556)), 1, 0) + IF(and(ISNUMBER(F556), isnumber(G556)), 1, 0) + IF(and(ISNUMBER(H556), isnumber(I556)), 1, 0) + IF(and(ISNUMBER(J556), isnumber(K556)), 1, 0) + IF(and(ISNUMBER(L556), isnumber(M556)), 1, 0) + IF(and(ISNUMBER(N556), isnumber(O556)), 1, 0)</f>
      </c>
      <c r="U556" s="8">
        <f>IF(and(ISNUMBER(P556), isnumber(Q556)), 1, 0) + IF(and(ISNUMBER(R556), isnumber(S556)), 1, 0)</f>
      </c>
      <c r="V556" s="13"/>
      <c r="W556" s="13"/>
      <c r="X556" s="16"/>
    </row>
    <row x14ac:dyDescent="0.25" r="557" customHeight="1" ht="15.75">
      <c r="A557" s="8">
        <v>25838</v>
      </c>
      <c r="B557" s="13" t="s">
        <v>126</v>
      </c>
      <c r="C557" s="13" t="s">
        <v>5665</v>
      </c>
      <c r="D557" s="10">
        <v>0.6314</v>
      </c>
      <c r="E557" s="11">
        <v>313.29</v>
      </c>
      <c r="F557" s="10">
        <v>0.5466</v>
      </c>
      <c r="G557" s="11">
        <v>343.28</v>
      </c>
      <c r="H557" s="10">
        <v>0.5169</v>
      </c>
      <c r="I557" s="11">
        <v>361.32</v>
      </c>
      <c r="J557" s="10">
        <v>0.6398</v>
      </c>
      <c r="K557" s="11">
        <v>256.06</v>
      </c>
      <c r="L557" s="10">
        <v>0.7034</v>
      </c>
      <c r="M557" s="11">
        <v>367.55</v>
      </c>
      <c r="N557" s="10">
        <v>0.5297</v>
      </c>
      <c r="O557" s="11">
        <v>397.36</v>
      </c>
      <c r="P557" s="10">
        <v>0.6314</v>
      </c>
      <c r="Q557" s="10">
        <v>0.2457</v>
      </c>
      <c r="R557" s="10">
        <v>0.6398</v>
      </c>
      <c r="S557" s="10">
        <v>0.1878</v>
      </c>
      <c r="T557" s="8">
        <f>IF(and(ISNUMBER(D557), isnumber(E557)), 1, 0) + IF(and(ISNUMBER(F557), isnumber(G557)), 1, 0) + IF(and(ISNUMBER(H557), isnumber(I557)), 1, 0) + IF(and(ISNUMBER(J557), isnumber(K557)), 1, 0) + IF(and(ISNUMBER(L557), isnumber(M557)), 1, 0) + IF(and(ISNUMBER(N557), isnumber(O557)), 1, 0)</f>
      </c>
      <c r="U557" s="8">
        <f>IF(and(ISNUMBER(P557), isnumber(Q557)), 1, 0) + IF(and(ISNUMBER(R557), isnumber(S557)), 1, 0)</f>
      </c>
      <c r="V557" s="13"/>
      <c r="W557" s="13"/>
      <c r="X557" s="16"/>
    </row>
    <row x14ac:dyDescent="0.25" r="558" customHeight="1" ht="15.75">
      <c r="A558" s="8">
        <v>25839</v>
      </c>
      <c r="B558" s="13" t="s">
        <v>126</v>
      </c>
      <c r="C558" s="13" t="s">
        <v>5412</v>
      </c>
      <c r="D558" s="10">
        <v>0.9578</v>
      </c>
      <c r="E558" s="11">
        <v>300.67</v>
      </c>
      <c r="F558" s="10">
        <v>0.9699</v>
      </c>
      <c r="G558" s="11">
        <v>305.22</v>
      </c>
      <c r="H558" s="10">
        <v>1</v>
      </c>
      <c r="I558" s="11">
        <v>340</v>
      </c>
      <c r="J558" s="10">
        <v>0.7771</v>
      </c>
      <c r="K558" s="11">
        <v>426.67</v>
      </c>
      <c r="L558" s="10">
        <v>0.6928</v>
      </c>
      <c r="M558" s="11">
        <v>502.46</v>
      </c>
      <c r="N558" s="10">
        <v>0.6988</v>
      </c>
      <c r="O558" s="11">
        <v>537.7</v>
      </c>
      <c r="P558" s="10">
        <v>0.9578</v>
      </c>
      <c r="Q558" s="10">
        <v>0.2121</v>
      </c>
      <c r="R558" s="10">
        <v>0.7771</v>
      </c>
      <c r="S558" s="10">
        <v>0.2086</v>
      </c>
      <c r="T558" s="8">
        <f>IF(and(ISNUMBER(D558), isnumber(E558)), 1, 0) + IF(and(ISNUMBER(F558), isnumber(G558)), 1, 0) + IF(and(ISNUMBER(H558), isnumber(I558)), 1, 0) + IF(and(ISNUMBER(J558), isnumber(K558)), 1, 0) + IF(and(ISNUMBER(L558), isnumber(M558)), 1, 0) + IF(and(ISNUMBER(N558), isnumber(O558)), 1, 0)</f>
      </c>
      <c r="U558" s="8">
        <f>IF(and(ISNUMBER(P558), isnumber(Q558)), 1, 0) + IF(and(ISNUMBER(R558), isnumber(S558)), 1, 0)</f>
      </c>
      <c r="V558" s="13"/>
      <c r="W558" s="13"/>
      <c r="X558" s="16"/>
    </row>
    <row x14ac:dyDescent="0.25" r="559" customHeight="1" ht="15.75">
      <c r="A559" s="8">
        <v>25840</v>
      </c>
      <c r="B559" s="13" t="s">
        <v>126</v>
      </c>
      <c r="C559" s="13" t="s">
        <v>5671</v>
      </c>
      <c r="D559" s="10">
        <v>0.8255</v>
      </c>
      <c r="E559" s="11">
        <v>246.95</v>
      </c>
      <c r="F559" s="10">
        <v>0.7234</v>
      </c>
      <c r="G559" s="11">
        <v>367.81</v>
      </c>
      <c r="H559" s="10">
        <v>0.5985</v>
      </c>
      <c r="I559" s="11">
        <v>446.84</v>
      </c>
      <c r="J559" s="10">
        <v>0.6553</v>
      </c>
      <c r="K559" s="11">
        <v>381.18</v>
      </c>
      <c r="L559" s="10">
        <v>0.6136</v>
      </c>
      <c r="M559" s="11">
        <v>391.11</v>
      </c>
      <c r="N559" s="10">
        <v>0.572</v>
      </c>
      <c r="O559" s="11">
        <v>407.68</v>
      </c>
      <c r="P559" s="10">
        <v>0.8255</v>
      </c>
      <c r="Q559" s="10">
        <v>0.235</v>
      </c>
      <c r="R559" s="10">
        <v>0.6553</v>
      </c>
      <c r="S559" s="10">
        <v>0.2039</v>
      </c>
      <c r="T559" s="8">
        <f>IF(and(ISNUMBER(D559), isnumber(E559)), 1, 0) + IF(and(ISNUMBER(F559), isnumber(G559)), 1, 0) + IF(and(ISNUMBER(H559), isnumber(I559)), 1, 0) + IF(and(ISNUMBER(J559), isnumber(K559)), 1, 0) + IF(and(ISNUMBER(L559), isnumber(M559)), 1, 0) + IF(and(ISNUMBER(N559), isnumber(O559)), 1, 0)</f>
      </c>
      <c r="U559" s="8">
        <f>IF(and(ISNUMBER(P559), isnumber(Q559)), 1, 0) + IF(and(ISNUMBER(R559), isnumber(S559)), 1, 0)</f>
      </c>
      <c r="V559" s="13"/>
      <c r="W559" s="13"/>
      <c r="X559" s="16"/>
    </row>
    <row x14ac:dyDescent="0.25" r="560" customHeight="1" ht="15.75">
      <c r="A560" s="8">
        <v>25841</v>
      </c>
      <c r="B560" s="13" t="s">
        <v>126</v>
      </c>
      <c r="C560" s="13" t="s">
        <v>5675</v>
      </c>
      <c r="D560" s="10">
        <v>0.8603</v>
      </c>
      <c r="E560" s="11">
        <v>150.61</v>
      </c>
      <c r="F560" s="10">
        <v>0.6691</v>
      </c>
      <c r="G560" s="11">
        <v>337.53</v>
      </c>
      <c r="H560" s="10">
        <v>0.8162</v>
      </c>
      <c r="I560" s="11">
        <v>373.7</v>
      </c>
      <c r="J560" s="10">
        <v>0.6691</v>
      </c>
      <c r="K560" s="11">
        <v>371.43</v>
      </c>
      <c r="L560" s="10">
        <v>0.5074</v>
      </c>
      <c r="M560" s="11">
        <v>320</v>
      </c>
      <c r="N560" s="10">
        <v>0.5809</v>
      </c>
      <c r="O560" s="11">
        <v>348.35</v>
      </c>
      <c r="P560" s="10">
        <v>0.8603</v>
      </c>
      <c r="Q560" s="10">
        <v>0.207</v>
      </c>
      <c r="R560" s="10">
        <v>0.6691</v>
      </c>
      <c r="S560" s="10">
        <v>0.1978</v>
      </c>
      <c r="T560" s="8">
        <f>IF(and(ISNUMBER(D560), isnumber(E560)), 1, 0) + IF(and(ISNUMBER(F560), isnumber(G560)), 1, 0) + IF(and(ISNUMBER(H560), isnumber(I560)), 1, 0) + IF(and(ISNUMBER(J560), isnumber(K560)), 1, 0) + IF(and(ISNUMBER(L560), isnumber(M560)), 1, 0) + IF(and(ISNUMBER(N560), isnumber(O560)), 1, 0)</f>
      </c>
      <c r="U560" s="8">
        <f>IF(and(ISNUMBER(P560), isnumber(Q560)), 1, 0) + IF(and(ISNUMBER(R560), isnumber(S560)), 1, 0)</f>
      </c>
      <c r="V560" s="13"/>
      <c r="W560" s="13"/>
      <c r="X560" s="16"/>
    </row>
    <row x14ac:dyDescent="0.25" r="561" customHeight="1" ht="15.75">
      <c r="A561" s="8">
        <v>25842</v>
      </c>
      <c r="B561" s="13" t="s">
        <v>126</v>
      </c>
      <c r="C561" s="13" t="s">
        <v>5678</v>
      </c>
      <c r="D561" s="10">
        <v>0.7957</v>
      </c>
      <c r="E561" s="11">
        <v>263.67</v>
      </c>
      <c r="F561" s="10">
        <v>0.6452</v>
      </c>
      <c r="G561" s="11">
        <v>404.37</v>
      </c>
      <c r="H561" s="10">
        <v>0.7339</v>
      </c>
      <c r="I561" s="11">
        <v>420.37</v>
      </c>
      <c r="J561" s="10">
        <v>0.7473</v>
      </c>
      <c r="K561" s="11">
        <v>382.4</v>
      </c>
      <c r="L561" s="10">
        <v>0.6425</v>
      </c>
      <c r="M561" s="11">
        <v>461.68</v>
      </c>
      <c r="N561" s="10">
        <v>0.6505</v>
      </c>
      <c r="O561" s="11">
        <v>436.69</v>
      </c>
      <c r="P561" s="10">
        <v>0.7957</v>
      </c>
      <c r="Q561" s="10">
        <v>0.2395</v>
      </c>
      <c r="R561" s="10">
        <v>0.7473</v>
      </c>
      <c r="S561" s="10">
        <v>0.1973</v>
      </c>
      <c r="T561" s="8">
        <f>IF(and(ISNUMBER(D561), isnumber(E561)), 1, 0) + IF(and(ISNUMBER(F561), isnumber(G561)), 1, 0) + IF(and(ISNUMBER(H561), isnumber(I561)), 1, 0) + IF(and(ISNUMBER(J561), isnumber(K561)), 1, 0) + IF(and(ISNUMBER(L561), isnumber(M561)), 1, 0) + IF(and(ISNUMBER(N561), isnumber(O561)), 1, 0)</f>
      </c>
      <c r="U561" s="8">
        <f>IF(and(ISNUMBER(P561), isnumber(Q561)), 1, 0) + IF(and(ISNUMBER(R561), isnumber(S561)), 1, 0)</f>
      </c>
      <c r="V561" s="13"/>
      <c r="W561" s="13"/>
      <c r="X561" s="16"/>
    </row>
    <row x14ac:dyDescent="0.25" r="562" customHeight="1" ht="15.75">
      <c r="A562" s="8">
        <v>25843</v>
      </c>
      <c r="B562" s="13" t="s">
        <v>126</v>
      </c>
      <c r="C562" s="13" t="s">
        <v>5681</v>
      </c>
      <c r="D562" s="10">
        <v>0.7806</v>
      </c>
      <c r="E562" s="11">
        <v>239.01</v>
      </c>
      <c r="F562" s="10">
        <v>0.6786</v>
      </c>
      <c r="G562" s="11">
        <v>388.58</v>
      </c>
      <c r="H562" s="10">
        <v>0.5771</v>
      </c>
      <c r="I562" s="11">
        <v>409.94</v>
      </c>
      <c r="J562" s="10">
        <v>0.7692</v>
      </c>
      <c r="K562" s="11">
        <v>307.58</v>
      </c>
      <c r="L562" s="10">
        <v>0.595</v>
      </c>
      <c r="M562" s="11">
        <v>380.28</v>
      </c>
      <c r="N562" s="10">
        <v>0.5161</v>
      </c>
      <c r="O562" s="11">
        <v>405.56</v>
      </c>
      <c r="P562" s="10">
        <v>0.7806</v>
      </c>
      <c r="Q562" s="10">
        <v>0.2279</v>
      </c>
      <c r="R562" s="10">
        <v>0.7692</v>
      </c>
      <c r="S562" s="10">
        <v>0.2054</v>
      </c>
      <c r="T562" s="8">
        <f>IF(and(ISNUMBER(D562), isnumber(E562)), 1, 0) + IF(and(ISNUMBER(F562), isnumber(G562)), 1, 0) + IF(and(ISNUMBER(H562), isnumber(I562)), 1, 0) + IF(and(ISNUMBER(J562), isnumber(K562)), 1, 0) + IF(and(ISNUMBER(L562), isnumber(M562)), 1, 0) + IF(and(ISNUMBER(N562), isnumber(O562)), 1, 0)</f>
      </c>
      <c r="U562" s="8">
        <f>IF(and(ISNUMBER(P562), isnumber(Q562)), 1, 0) + IF(and(ISNUMBER(R562), isnumber(S562)), 1, 0)</f>
      </c>
      <c r="V562" s="13"/>
      <c r="W562" s="13"/>
      <c r="X562" s="16"/>
    </row>
    <row x14ac:dyDescent="0.25" r="563" customHeight="1" ht="15.75">
      <c r="A563" s="8">
        <v>25844</v>
      </c>
      <c r="B563" s="13" t="s">
        <v>126</v>
      </c>
      <c r="C563" s="13" t="s">
        <v>5683</v>
      </c>
      <c r="D563" s="10">
        <v>0.8067</v>
      </c>
      <c r="E563" s="11">
        <v>306.27</v>
      </c>
      <c r="F563" s="10">
        <v>0.8333</v>
      </c>
      <c r="G563" s="11">
        <v>320.86</v>
      </c>
      <c r="H563" s="10">
        <v>0.5198</v>
      </c>
      <c r="I563" s="11">
        <v>427.76</v>
      </c>
      <c r="J563" s="10">
        <v>0.703</v>
      </c>
      <c r="K563" s="11">
        <v>394.37</v>
      </c>
      <c r="L563" s="10">
        <v>0.3929</v>
      </c>
      <c r="M563" s="11">
        <v>400.41</v>
      </c>
      <c r="N563" s="10">
        <v>0.4643</v>
      </c>
      <c r="O563" s="11">
        <v>406.99</v>
      </c>
      <c r="P563" s="10">
        <v>0.8067</v>
      </c>
      <c r="Q563" s="10">
        <v>0.2357</v>
      </c>
      <c r="R563" s="10">
        <v>0.703</v>
      </c>
      <c r="S563" s="10">
        <v>0.2115</v>
      </c>
      <c r="T563" s="8">
        <f>IF(and(ISNUMBER(D563), isnumber(E563)), 1, 0) + IF(and(ISNUMBER(F563), isnumber(G563)), 1, 0) + IF(and(ISNUMBER(H563), isnumber(I563)), 1, 0) + IF(and(ISNUMBER(J563), isnumber(K563)), 1, 0) + IF(and(ISNUMBER(L563), isnumber(M563)), 1, 0) + IF(and(ISNUMBER(N563), isnumber(O563)), 1, 0)</f>
      </c>
      <c r="U563" s="8">
        <f>IF(and(ISNUMBER(P563), isnumber(Q563)), 1, 0) + IF(and(ISNUMBER(R563), isnumber(S563)), 1, 0)</f>
      </c>
      <c r="V563" s="13"/>
      <c r="W563" s="13"/>
      <c r="X563" s="16"/>
    </row>
    <row x14ac:dyDescent="0.25" r="564" customHeight="1" ht="15.75">
      <c r="A564" s="8">
        <v>25845</v>
      </c>
      <c r="B564" s="13" t="s">
        <v>126</v>
      </c>
      <c r="C564" s="13" t="s">
        <v>5686</v>
      </c>
      <c r="D564" s="10">
        <v>0.7232</v>
      </c>
      <c r="E564" s="11">
        <v>235.54</v>
      </c>
      <c r="F564" s="10">
        <v>0.624</v>
      </c>
      <c r="G564" s="11">
        <v>384.27</v>
      </c>
      <c r="H564" s="10">
        <v>0.611</v>
      </c>
      <c r="I564" s="11">
        <v>443.28</v>
      </c>
      <c r="J564" s="10">
        <v>0.5875</v>
      </c>
      <c r="K564" s="11">
        <v>339.14</v>
      </c>
      <c r="L564" s="10">
        <v>0.4804</v>
      </c>
      <c r="M564" s="11">
        <v>436.94</v>
      </c>
      <c r="N564" s="10">
        <v>0.5822</v>
      </c>
      <c r="O564" s="11">
        <v>425.82</v>
      </c>
      <c r="P564" s="10">
        <v>0.7232</v>
      </c>
      <c r="Q564" s="10">
        <v>0.245</v>
      </c>
      <c r="R564" s="10">
        <v>0.5875</v>
      </c>
      <c r="S564" s="10">
        <v>0.2111</v>
      </c>
      <c r="T564" s="8">
        <f>IF(and(ISNUMBER(D564), isnumber(E564)), 1, 0) + IF(and(ISNUMBER(F564), isnumber(G564)), 1, 0) + IF(and(ISNUMBER(H564), isnumber(I564)), 1, 0) + IF(and(ISNUMBER(J564), isnumber(K564)), 1, 0) + IF(and(ISNUMBER(L564), isnumber(M564)), 1, 0) + IF(and(ISNUMBER(N564), isnumber(O564)), 1, 0)</f>
      </c>
      <c r="U564" s="8">
        <f>IF(and(ISNUMBER(P564), isnumber(Q564)), 1, 0) + IF(and(ISNUMBER(R564), isnumber(S564)), 1, 0)</f>
      </c>
      <c r="V564" s="13"/>
      <c r="W564" s="13"/>
      <c r="X564" s="16"/>
    </row>
    <row x14ac:dyDescent="0.25" r="565" customHeight="1" ht="15.75">
      <c r="A565" s="8">
        <v>25846</v>
      </c>
      <c r="B565" s="13" t="s">
        <v>126</v>
      </c>
      <c r="C565" s="13" t="s">
        <v>5688</v>
      </c>
      <c r="D565" s="10">
        <v>0.7952</v>
      </c>
      <c r="E565" s="11">
        <v>234.01</v>
      </c>
      <c r="F565" s="10">
        <v>0.6619</v>
      </c>
      <c r="G565" s="11">
        <v>390.14</v>
      </c>
      <c r="H565" s="10">
        <v>0.4675</v>
      </c>
      <c r="I565" s="11">
        <v>395.35</v>
      </c>
      <c r="J565" s="10">
        <v>0.7743</v>
      </c>
      <c r="K565" s="11">
        <v>366.21</v>
      </c>
      <c r="L565" s="10">
        <v>0.5163</v>
      </c>
      <c r="M565" s="11">
        <v>429.06</v>
      </c>
      <c r="N565" s="10">
        <v>0.5813</v>
      </c>
      <c r="O565" s="11">
        <v>427.07</v>
      </c>
      <c r="P565" s="10">
        <v>0.7952</v>
      </c>
      <c r="Q565" s="10">
        <v>0.2273</v>
      </c>
      <c r="R565" s="10">
        <v>0.7743</v>
      </c>
      <c r="S565" s="10">
        <v>0.2053</v>
      </c>
      <c r="T565" s="8">
        <f>IF(and(ISNUMBER(D565), isnumber(E565)), 1, 0) + IF(and(ISNUMBER(F565), isnumber(G565)), 1, 0) + IF(and(ISNUMBER(H565), isnumber(I565)), 1, 0) + IF(and(ISNUMBER(J565), isnumber(K565)), 1, 0) + IF(and(ISNUMBER(L565), isnumber(M565)), 1, 0) + IF(and(ISNUMBER(N565), isnumber(O565)), 1, 0)</f>
      </c>
      <c r="U565" s="8">
        <f>IF(and(ISNUMBER(P565), isnumber(Q565)), 1, 0) + IF(and(ISNUMBER(R565), isnumber(S565)), 1, 0)</f>
      </c>
      <c r="V565" s="13"/>
      <c r="W565" s="13"/>
      <c r="X565" s="16"/>
    </row>
    <row x14ac:dyDescent="0.25" r="566" customHeight="1" ht="15.75">
      <c r="A566" s="8">
        <v>25847</v>
      </c>
      <c r="B566" s="13" t="s">
        <v>126</v>
      </c>
      <c r="C566" s="13" t="s">
        <v>5691</v>
      </c>
      <c r="D566" s="10">
        <v>0.9949</v>
      </c>
      <c r="E566" s="11">
        <v>258.46</v>
      </c>
      <c r="F566" s="10">
        <v>0.9898</v>
      </c>
      <c r="G566" s="11">
        <v>341.76</v>
      </c>
      <c r="H566" s="10">
        <v>0.551</v>
      </c>
      <c r="I566" s="11">
        <v>427.04</v>
      </c>
      <c r="J566" s="10">
        <v>0.7704</v>
      </c>
      <c r="K566" s="11">
        <v>318.5</v>
      </c>
      <c r="L566" s="10">
        <v>0.7755</v>
      </c>
      <c r="M566" s="11">
        <v>404.21</v>
      </c>
      <c r="N566" s="10">
        <v>0.4235</v>
      </c>
      <c r="O566" s="11">
        <v>422.22</v>
      </c>
      <c r="P566" s="10">
        <v>0.9949</v>
      </c>
      <c r="Q566" s="10">
        <v>0.2015</v>
      </c>
      <c r="R566" s="10">
        <v>0.7704</v>
      </c>
      <c r="S566" s="10">
        <v>0.2165</v>
      </c>
      <c r="T566" s="8">
        <f>IF(and(ISNUMBER(D566), isnumber(E566)), 1, 0) + IF(and(ISNUMBER(F566), isnumber(G566)), 1, 0) + IF(and(ISNUMBER(H566), isnumber(I566)), 1, 0) + IF(and(ISNUMBER(J566), isnumber(K566)), 1, 0) + IF(and(ISNUMBER(L566), isnumber(M566)), 1, 0) + IF(and(ISNUMBER(N566), isnumber(O566)), 1, 0)</f>
      </c>
      <c r="U566" s="8">
        <f>IF(and(ISNUMBER(P566), isnumber(Q566)), 1, 0) + IF(and(ISNUMBER(R566), isnumber(S566)), 1, 0)</f>
      </c>
      <c r="V566" s="13"/>
      <c r="W566" s="13"/>
      <c r="X566" s="16"/>
    </row>
    <row x14ac:dyDescent="0.25" r="567" customHeight="1" ht="15.75">
      <c r="A567" s="8">
        <v>25848</v>
      </c>
      <c r="B567" s="13" t="s">
        <v>126</v>
      </c>
      <c r="C567" s="13" t="s">
        <v>5694</v>
      </c>
      <c r="D567" s="10">
        <v>0.7917</v>
      </c>
      <c r="E567" s="11">
        <v>229.38</v>
      </c>
      <c r="F567" s="10">
        <v>0.6875</v>
      </c>
      <c r="G567" s="11">
        <v>356.6</v>
      </c>
      <c r="H567" s="10">
        <v>0.5972</v>
      </c>
      <c r="I567" s="11">
        <v>382.59</v>
      </c>
      <c r="J567" s="10">
        <v>0.6389</v>
      </c>
      <c r="K567" s="11">
        <v>355.07</v>
      </c>
      <c r="L567" s="10">
        <v>0.7014</v>
      </c>
      <c r="M567" s="11">
        <v>374.43</v>
      </c>
      <c r="N567" s="10">
        <v>0.6528</v>
      </c>
      <c r="O567" s="11">
        <v>372.75</v>
      </c>
      <c r="P567" s="10">
        <v>0.7917</v>
      </c>
      <c r="Q567" s="10">
        <v>0.2438</v>
      </c>
      <c r="R567" s="10">
        <v>0.6389</v>
      </c>
      <c r="S567" s="10">
        <v>0.2116</v>
      </c>
      <c r="T567" s="8">
        <f>IF(and(ISNUMBER(D567), isnumber(E567)), 1, 0) + IF(and(ISNUMBER(F567), isnumber(G567)), 1, 0) + IF(and(ISNUMBER(H567), isnumber(I567)), 1, 0) + IF(and(ISNUMBER(J567), isnumber(K567)), 1, 0) + IF(and(ISNUMBER(L567), isnumber(M567)), 1, 0) + IF(and(ISNUMBER(N567), isnumber(O567)), 1, 0)</f>
      </c>
      <c r="U567" s="8">
        <f>IF(and(ISNUMBER(P567), isnumber(Q567)), 1, 0) + IF(and(ISNUMBER(R567), isnumber(S567)), 1, 0)</f>
      </c>
      <c r="V567" s="13"/>
      <c r="W567" s="13"/>
      <c r="X567" s="16"/>
    </row>
    <row x14ac:dyDescent="0.25" r="568" customHeight="1" ht="15.75">
      <c r="A568" s="8">
        <v>25849</v>
      </c>
      <c r="B568" s="13" t="s">
        <v>126</v>
      </c>
      <c r="C568" s="13" t="s">
        <v>5697</v>
      </c>
      <c r="D568" s="10">
        <v>0.8339</v>
      </c>
      <c r="E568" s="11">
        <v>318.94</v>
      </c>
      <c r="F568" s="10">
        <v>0.6771</v>
      </c>
      <c r="G568" s="11">
        <v>417.25</v>
      </c>
      <c r="H568" s="10">
        <v>0.9749</v>
      </c>
      <c r="I568" s="11">
        <v>382.61</v>
      </c>
      <c r="J568" s="10">
        <v>0.7743</v>
      </c>
      <c r="K568" s="11">
        <v>411.19</v>
      </c>
      <c r="L568" s="10">
        <v>0.6959</v>
      </c>
      <c r="M568" s="11">
        <v>482.19</v>
      </c>
      <c r="N568" s="10">
        <v>0.7962</v>
      </c>
      <c r="O568" s="11">
        <v>491.61</v>
      </c>
      <c r="P568" s="10">
        <v>0.8339</v>
      </c>
      <c r="Q568" s="10">
        <v>0.2478</v>
      </c>
      <c r="R568" s="10">
        <v>0.7743</v>
      </c>
      <c r="S568" s="10">
        <v>0.2144</v>
      </c>
      <c r="T568" s="8">
        <f>IF(and(ISNUMBER(D568), isnumber(E568)), 1, 0) + IF(and(ISNUMBER(F568), isnumber(G568)), 1, 0) + IF(and(ISNUMBER(H568), isnumber(I568)), 1, 0) + IF(and(ISNUMBER(J568), isnumber(K568)), 1, 0) + IF(and(ISNUMBER(L568), isnumber(M568)), 1, 0) + IF(and(ISNUMBER(N568), isnumber(O568)), 1, 0)</f>
      </c>
      <c r="U568" s="8">
        <f>IF(and(ISNUMBER(P568), isnumber(Q568)), 1, 0) + IF(and(ISNUMBER(R568), isnumber(S568)), 1, 0)</f>
      </c>
      <c r="V568" s="13"/>
      <c r="W568" s="13"/>
      <c r="X568" s="16"/>
    </row>
    <row x14ac:dyDescent="0.25" r="569" customHeight="1" ht="15.75">
      <c r="A569" s="8">
        <v>25850</v>
      </c>
      <c r="B569" s="13" t="s">
        <v>126</v>
      </c>
      <c r="C569" s="13" t="s">
        <v>5698</v>
      </c>
      <c r="D569" s="10">
        <v>0.7532</v>
      </c>
      <c r="E569" s="11">
        <v>239.3</v>
      </c>
      <c r="F569" s="10">
        <v>0.6299</v>
      </c>
      <c r="G569" s="11">
        <v>415.91</v>
      </c>
      <c r="H569" s="10">
        <v>0.6039</v>
      </c>
      <c r="I569" s="11">
        <v>469.33</v>
      </c>
      <c r="J569" s="10">
        <v>0.6104</v>
      </c>
      <c r="K569" s="11">
        <v>384.62</v>
      </c>
      <c r="L569" s="10">
        <v>0.4805</v>
      </c>
      <c r="M569" s="11">
        <v>438.87</v>
      </c>
      <c r="N569" s="10">
        <v>0.013</v>
      </c>
      <c r="O569" s="11">
        <v>380</v>
      </c>
      <c r="P569" s="10">
        <v>0.7532</v>
      </c>
      <c r="Q569" s="10">
        <v>0.237</v>
      </c>
      <c r="R569" s="10">
        <v>0.6104</v>
      </c>
      <c r="S569" s="10">
        <v>0.2106</v>
      </c>
      <c r="T569" s="8">
        <f>IF(and(ISNUMBER(D569), isnumber(E569)), 1, 0) + IF(and(ISNUMBER(F569), isnumber(G569)), 1, 0) + IF(and(ISNUMBER(H569), isnumber(I569)), 1, 0) + IF(and(ISNUMBER(J569), isnumber(K569)), 1, 0) + IF(and(ISNUMBER(L569), isnumber(M569)), 1, 0) + IF(and(ISNUMBER(N569), isnumber(O569)), 1, 0)</f>
      </c>
      <c r="U569" s="8">
        <f>IF(and(ISNUMBER(P569), isnumber(Q569)), 1, 0) + IF(and(ISNUMBER(R569), isnumber(S569)), 1, 0)</f>
      </c>
      <c r="V569" s="13"/>
      <c r="W569" s="13"/>
      <c r="X569" s="16"/>
    </row>
    <row x14ac:dyDescent="0.25" r="570" customHeight="1" ht="15.75">
      <c r="A570" s="8">
        <v>25851</v>
      </c>
      <c r="B570" s="13" t="s">
        <v>126</v>
      </c>
      <c r="C570" s="13" t="s">
        <v>5701</v>
      </c>
      <c r="D570" s="10">
        <v>0.7049</v>
      </c>
      <c r="E570" s="11">
        <v>307.46</v>
      </c>
      <c r="F570" s="10">
        <v>0.5943</v>
      </c>
      <c r="G570" s="11">
        <v>412.78</v>
      </c>
      <c r="H570" s="10">
        <v>0.5492</v>
      </c>
      <c r="I570" s="11">
        <v>423.88</v>
      </c>
      <c r="J570" s="10">
        <v>0.627</v>
      </c>
      <c r="K570" s="11">
        <v>323.47</v>
      </c>
      <c r="L570" s="10">
        <v>0.5082</v>
      </c>
      <c r="M570" s="11">
        <v>437.74</v>
      </c>
      <c r="N570" s="10">
        <v>0.5</v>
      </c>
      <c r="O570" s="11">
        <v>433.72</v>
      </c>
      <c r="P570" s="10">
        <v>0.7049</v>
      </c>
      <c r="Q570" s="10">
        <v>0.2185</v>
      </c>
      <c r="R570" s="10">
        <v>0.627</v>
      </c>
      <c r="S570" s="10">
        <v>0.1963</v>
      </c>
      <c r="T570" s="8">
        <f>IF(and(ISNUMBER(D570), isnumber(E570)), 1, 0) + IF(and(ISNUMBER(F570), isnumber(G570)), 1, 0) + IF(and(ISNUMBER(H570), isnumber(I570)), 1, 0) + IF(and(ISNUMBER(J570), isnumber(K570)), 1, 0) + IF(and(ISNUMBER(L570), isnumber(M570)), 1, 0) + IF(and(ISNUMBER(N570), isnumber(O570)), 1, 0)</f>
      </c>
      <c r="U570" s="8">
        <f>IF(and(ISNUMBER(P570), isnumber(Q570)), 1, 0) + IF(and(ISNUMBER(R570), isnumber(S570)), 1, 0)</f>
      </c>
      <c r="V570" s="13"/>
      <c r="W570" s="13"/>
      <c r="X570" s="16"/>
    </row>
    <row x14ac:dyDescent="0.25" r="571" customHeight="1" ht="15.75">
      <c r="A571" s="8">
        <v>25852</v>
      </c>
      <c r="B571" s="13" t="s">
        <v>126</v>
      </c>
      <c r="C571" s="13" t="s">
        <v>5704</v>
      </c>
      <c r="D571" s="10">
        <v>0.8727</v>
      </c>
      <c r="E571" s="11">
        <v>262.1</v>
      </c>
      <c r="F571" s="10">
        <v>0.7879</v>
      </c>
      <c r="G571" s="11">
        <v>339.06</v>
      </c>
      <c r="H571" s="10">
        <v>0.6788</v>
      </c>
      <c r="I571" s="11">
        <v>430.46</v>
      </c>
      <c r="J571" s="10">
        <v>0.5818</v>
      </c>
      <c r="K571" s="11">
        <v>346.67</v>
      </c>
      <c r="L571" s="10">
        <v>0.6848</v>
      </c>
      <c r="M571" s="11">
        <v>394.23</v>
      </c>
      <c r="N571" s="10">
        <v>0.6848</v>
      </c>
      <c r="O571" s="11">
        <v>462.91</v>
      </c>
      <c r="P571" s="10">
        <v>0.8727</v>
      </c>
      <c r="Q571" s="10">
        <v>0.2194</v>
      </c>
      <c r="R571" s="10">
        <v>0.5818</v>
      </c>
      <c r="S571" s="10">
        <v>0.2065</v>
      </c>
      <c r="T571" s="8">
        <f>IF(and(ISNUMBER(D571), isnumber(E571)), 1, 0) + IF(and(ISNUMBER(F571), isnumber(G571)), 1, 0) + IF(and(ISNUMBER(H571), isnumber(I571)), 1, 0) + IF(and(ISNUMBER(J571), isnumber(K571)), 1, 0) + IF(and(ISNUMBER(L571), isnumber(M571)), 1, 0) + IF(and(ISNUMBER(N571), isnumber(O571)), 1, 0)</f>
      </c>
      <c r="U571" s="8">
        <f>IF(and(ISNUMBER(P571), isnumber(Q571)), 1, 0) + IF(and(ISNUMBER(R571), isnumber(S571)), 1, 0)</f>
      </c>
      <c r="V571" s="13"/>
      <c r="W571" s="13"/>
      <c r="X571" s="16"/>
    </row>
    <row x14ac:dyDescent="0.25" r="572" customHeight="1" ht="15.75">
      <c r="A572" s="8">
        <v>25853</v>
      </c>
      <c r="B572" s="13" t="s">
        <v>126</v>
      </c>
      <c r="C572" s="13" t="s">
        <v>5707</v>
      </c>
      <c r="D572" s="10">
        <v>0.963</v>
      </c>
      <c r="E572" s="11">
        <v>232.96</v>
      </c>
      <c r="F572" s="10">
        <v>0.6491</v>
      </c>
      <c r="G572" s="11">
        <v>414.72</v>
      </c>
      <c r="H572" s="10">
        <v>0.6901</v>
      </c>
      <c r="I572" s="11">
        <v>458.11</v>
      </c>
      <c r="J572" s="10">
        <v>0.6764</v>
      </c>
      <c r="K572" s="11">
        <v>366.2</v>
      </c>
      <c r="L572" s="10">
        <v>0.6335</v>
      </c>
      <c r="M572" s="11">
        <v>417.02</v>
      </c>
      <c r="N572" s="10">
        <v>0.6355</v>
      </c>
      <c r="O572" s="11">
        <v>432.57</v>
      </c>
      <c r="P572" s="10">
        <v>0.963</v>
      </c>
      <c r="Q572" s="10">
        <v>0.1739</v>
      </c>
      <c r="R572" s="10">
        <v>0.6764</v>
      </c>
      <c r="S572" s="10">
        <v>0.2066</v>
      </c>
      <c r="T572" s="8">
        <f>IF(and(ISNUMBER(D572), isnumber(E572)), 1, 0) + IF(and(ISNUMBER(F572), isnumber(G572)), 1, 0) + IF(and(ISNUMBER(H572), isnumber(I572)), 1, 0) + IF(and(ISNUMBER(J572), isnumber(K572)), 1, 0) + IF(and(ISNUMBER(L572), isnumber(M572)), 1, 0) + IF(and(ISNUMBER(N572), isnumber(O572)), 1, 0)</f>
      </c>
      <c r="U572" s="8">
        <f>IF(and(ISNUMBER(P572), isnumber(Q572)), 1, 0) + IF(and(ISNUMBER(R572), isnumber(S572)), 1, 0)</f>
      </c>
      <c r="V572" s="13"/>
      <c r="W572" s="13"/>
      <c r="X572" s="16"/>
    </row>
    <row x14ac:dyDescent="0.25" r="573" customHeight="1" ht="15.75">
      <c r="A573" s="8">
        <v>25854</v>
      </c>
      <c r="B573" s="13" t="s">
        <v>126</v>
      </c>
      <c r="C573" s="13" t="s">
        <v>5709</v>
      </c>
      <c r="D573" s="10">
        <v>0.9302</v>
      </c>
      <c r="E573" s="11">
        <v>211.2</v>
      </c>
      <c r="F573" s="10">
        <v>0.7209</v>
      </c>
      <c r="G573" s="11">
        <v>334.43</v>
      </c>
      <c r="H573" s="10">
        <v>0.6628</v>
      </c>
      <c r="I573" s="11">
        <v>371.93</v>
      </c>
      <c r="J573" s="10">
        <v>0.6395</v>
      </c>
      <c r="K573" s="11">
        <v>265.93</v>
      </c>
      <c r="L573" s="10">
        <v>0.5116</v>
      </c>
      <c r="M573" s="11">
        <v>367.27</v>
      </c>
      <c r="N573" s="10">
        <v>0.6279</v>
      </c>
      <c r="O573" s="11">
        <v>392.59</v>
      </c>
      <c r="P573" s="10">
        <v>0.9302</v>
      </c>
      <c r="Q573" s="10">
        <v>0.1751</v>
      </c>
      <c r="R573" s="10">
        <v>0.6395</v>
      </c>
      <c r="S573" s="10">
        <v>0.202</v>
      </c>
      <c r="T573" s="8">
        <f>IF(and(ISNUMBER(D573), isnumber(E573)), 1, 0) + IF(and(ISNUMBER(F573), isnumber(G573)), 1, 0) + IF(and(ISNUMBER(H573), isnumber(I573)), 1, 0) + IF(and(ISNUMBER(J573), isnumber(K573)), 1, 0) + IF(and(ISNUMBER(L573), isnumber(M573)), 1, 0) + IF(and(ISNUMBER(N573), isnumber(O573)), 1, 0)</f>
      </c>
      <c r="U573" s="8">
        <f>IF(and(ISNUMBER(P573), isnumber(Q573)), 1, 0) + IF(and(ISNUMBER(R573), isnumber(S573)), 1, 0)</f>
      </c>
      <c r="V573" s="13"/>
      <c r="W573" s="13"/>
      <c r="X573" s="16"/>
    </row>
    <row x14ac:dyDescent="0.25" r="574" customHeight="1" ht="15.75">
      <c r="A574" s="8">
        <v>25855</v>
      </c>
      <c r="B574" s="13" t="s">
        <v>126</v>
      </c>
      <c r="C574" s="13" t="s">
        <v>5713</v>
      </c>
      <c r="D574" s="10">
        <v>0.6053</v>
      </c>
      <c r="E574" s="11" t="s">
        <v>7127</v>
      </c>
      <c r="F574" s="10">
        <v>0.4211</v>
      </c>
      <c r="G574" s="11">
        <v>447.95</v>
      </c>
      <c r="H574" s="10">
        <v>0.3804</v>
      </c>
      <c r="I574" s="11">
        <v>451.31</v>
      </c>
      <c r="J574" s="10">
        <v>0.4024</v>
      </c>
      <c r="K574" s="11">
        <v>247.26</v>
      </c>
      <c r="L574" s="10">
        <v>0.4891</v>
      </c>
      <c r="M574" s="11">
        <v>394.67</v>
      </c>
      <c r="N574" s="10">
        <v>0.3913</v>
      </c>
      <c r="O574" s="11">
        <v>359.81</v>
      </c>
      <c r="P574" s="10">
        <v>0.6053</v>
      </c>
      <c r="Q574" s="10">
        <v>0.2309</v>
      </c>
      <c r="R574" s="10">
        <v>0.4024</v>
      </c>
      <c r="S574" s="10">
        <v>0.2008</v>
      </c>
      <c r="T574" s="8">
        <f>IF(and(ISNUMBER(D574), isnumber(E574)), 1, 0) + IF(and(ISNUMBER(F574), isnumber(G574)), 1, 0) + IF(and(ISNUMBER(H574), isnumber(I574)), 1, 0) + IF(and(ISNUMBER(J574), isnumber(K574)), 1, 0) + IF(and(ISNUMBER(L574), isnumber(M574)), 1, 0) + IF(and(ISNUMBER(N574), isnumber(O574)), 1, 0)</f>
      </c>
      <c r="U574" s="8">
        <f>IF(and(ISNUMBER(P574), isnumber(Q574)), 1, 0) + IF(and(ISNUMBER(R574), isnumber(S574)), 1, 0)</f>
      </c>
      <c r="V574" s="13"/>
      <c r="W574" s="13"/>
      <c r="X574" s="16"/>
    </row>
    <row x14ac:dyDescent="0.25" r="575" customHeight="1" ht="15.75">
      <c r="A575" s="8">
        <v>25857</v>
      </c>
      <c r="B575" s="13" t="s">
        <v>126</v>
      </c>
      <c r="C575" s="13" t="s">
        <v>5715</v>
      </c>
      <c r="D575" s="10">
        <v>0.428</v>
      </c>
      <c r="E575" s="11">
        <v>95.56</v>
      </c>
      <c r="F575" s="10">
        <v>0.465</v>
      </c>
      <c r="G575" s="11">
        <v>291.33</v>
      </c>
      <c r="H575" s="10">
        <v>0.2658</v>
      </c>
      <c r="I575" s="11">
        <v>256.7</v>
      </c>
      <c r="J575" s="10">
        <v>0.2751</v>
      </c>
      <c r="K575" s="11" t="s">
        <v>7127</v>
      </c>
      <c r="L575" s="10">
        <v>0.2595</v>
      </c>
      <c r="M575" s="11">
        <v>330</v>
      </c>
      <c r="N575" s="10">
        <v>0.2437</v>
      </c>
      <c r="O575" s="11">
        <v>363.12</v>
      </c>
      <c r="P575" s="10">
        <v>0.428</v>
      </c>
      <c r="Q575" s="10">
        <v>0.2102</v>
      </c>
      <c r="R575" s="10">
        <v>0.2751</v>
      </c>
      <c r="S575" s="10">
        <v>0.1956</v>
      </c>
      <c r="T575" s="8">
        <f>IF(and(ISNUMBER(D575), isnumber(E575)), 1, 0) + IF(and(ISNUMBER(F575), isnumber(G575)), 1, 0) + IF(and(ISNUMBER(H575), isnumber(I575)), 1, 0) + IF(and(ISNUMBER(J575), isnumber(K575)), 1, 0) + IF(and(ISNUMBER(L575), isnumber(M575)), 1, 0) + IF(and(ISNUMBER(N575), isnumber(O575)), 1, 0)</f>
      </c>
      <c r="U575" s="8">
        <f>IF(and(ISNUMBER(P575), isnumber(Q575)), 1, 0) + IF(and(ISNUMBER(R575), isnumber(S575)), 1, 0)</f>
      </c>
      <c r="V575" s="13"/>
      <c r="W575" s="13"/>
      <c r="X575" s="16"/>
    </row>
    <row x14ac:dyDescent="0.25" r="576" customHeight="1" ht="15.75">
      <c r="A576" s="8">
        <v>25858</v>
      </c>
      <c r="B576" s="13" t="s">
        <v>126</v>
      </c>
      <c r="C576" s="13" t="s">
        <v>5718</v>
      </c>
      <c r="D576" s="10">
        <v>0.8421</v>
      </c>
      <c r="E576" s="11">
        <v>181.54</v>
      </c>
      <c r="F576" s="10">
        <v>0.6648</v>
      </c>
      <c r="G576" s="11">
        <v>327.38</v>
      </c>
      <c r="H576" s="10">
        <v>0.5682</v>
      </c>
      <c r="I576" s="11">
        <v>388.78</v>
      </c>
      <c r="J576" s="10">
        <v>0.6604</v>
      </c>
      <c r="K576" s="11">
        <v>264.45</v>
      </c>
      <c r="L576" s="10">
        <v>0.5429</v>
      </c>
      <c r="M576" s="11">
        <v>383.71</v>
      </c>
      <c r="N576" s="10">
        <v>0.5404</v>
      </c>
      <c r="O576" s="11">
        <v>389.1</v>
      </c>
      <c r="P576" s="10">
        <v>0.8421</v>
      </c>
      <c r="Q576" s="10">
        <v>0.1696</v>
      </c>
      <c r="R576" s="10">
        <v>0.6604</v>
      </c>
      <c r="S576" s="10">
        <v>0.202</v>
      </c>
      <c r="T576" s="8">
        <f>IF(and(ISNUMBER(D576), isnumber(E576)), 1, 0) + IF(and(ISNUMBER(F576), isnumber(G576)), 1, 0) + IF(and(ISNUMBER(H576), isnumber(I576)), 1, 0) + IF(and(ISNUMBER(J576), isnumber(K576)), 1, 0) + IF(and(ISNUMBER(L576), isnumber(M576)), 1, 0) + IF(and(ISNUMBER(N576), isnumber(O576)), 1, 0)</f>
      </c>
      <c r="U576" s="8">
        <f>IF(and(ISNUMBER(P576), isnumber(Q576)), 1, 0) + IF(and(ISNUMBER(R576), isnumber(S576)), 1, 0)</f>
      </c>
      <c r="V576" s="13"/>
      <c r="W576" s="13"/>
      <c r="X576" s="16"/>
    </row>
    <row x14ac:dyDescent="0.25" r="577" customHeight="1" ht="15.75">
      <c r="A577" s="8">
        <v>25860</v>
      </c>
      <c r="B577" s="13" t="s">
        <v>126</v>
      </c>
      <c r="C577" s="13" t="s">
        <v>5721</v>
      </c>
      <c r="D577" s="10">
        <v>0.8088</v>
      </c>
      <c r="E577" s="11">
        <v>105.28</v>
      </c>
      <c r="F577" s="10">
        <v>0.652</v>
      </c>
      <c r="G577" s="11">
        <v>350.3</v>
      </c>
      <c r="H577" s="10">
        <v>0.5735</v>
      </c>
      <c r="I577" s="11">
        <v>359.29</v>
      </c>
      <c r="J577" s="10">
        <v>0.6078</v>
      </c>
      <c r="K577" s="11">
        <v>279.22</v>
      </c>
      <c r="L577" s="10">
        <v>0.5441</v>
      </c>
      <c r="M577" s="11">
        <v>378.55</v>
      </c>
      <c r="N577" s="10">
        <v>0.0049</v>
      </c>
      <c r="O577" s="11">
        <v>360</v>
      </c>
      <c r="P577" s="10">
        <v>0.8088</v>
      </c>
      <c r="Q577" s="10">
        <v>0.217</v>
      </c>
      <c r="R577" s="10">
        <v>0.6078</v>
      </c>
      <c r="S577" s="10">
        <v>0.2063</v>
      </c>
      <c r="T577" s="8">
        <f>IF(and(ISNUMBER(D577), isnumber(E577)), 1, 0) + IF(and(ISNUMBER(F577), isnumber(G577)), 1, 0) + IF(and(ISNUMBER(H577), isnumber(I577)), 1, 0) + IF(and(ISNUMBER(J577), isnumber(K577)), 1, 0) + IF(and(ISNUMBER(L577), isnumber(M577)), 1, 0) + IF(and(ISNUMBER(N577), isnumber(O577)), 1, 0)</f>
      </c>
      <c r="U577" s="8">
        <f>IF(and(ISNUMBER(P577), isnumber(Q577)), 1, 0) + IF(and(ISNUMBER(R577), isnumber(S577)), 1, 0)</f>
      </c>
      <c r="V577" s="13"/>
      <c r="W577" s="13"/>
      <c r="X577" s="16"/>
    </row>
    <row x14ac:dyDescent="0.25" r="578" customHeight="1" ht="15.75">
      <c r="A578" s="8">
        <v>25861</v>
      </c>
      <c r="B578" s="13" t="s">
        <v>126</v>
      </c>
      <c r="C578" s="13" t="s">
        <v>5723</v>
      </c>
      <c r="D578" s="10">
        <v>0.9243</v>
      </c>
      <c r="E578" s="11">
        <v>151.67</v>
      </c>
      <c r="F578" s="10">
        <v>0.4353</v>
      </c>
      <c r="G578" s="11">
        <v>330.27</v>
      </c>
      <c r="H578" s="10">
        <v>0.4208</v>
      </c>
      <c r="I578" s="11">
        <v>436.61</v>
      </c>
      <c r="J578" s="10">
        <v>0.479</v>
      </c>
      <c r="K578" s="11">
        <v>239.65</v>
      </c>
      <c r="L578" s="10">
        <v>0.413</v>
      </c>
      <c r="M578" s="11">
        <v>423.64</v>
      </c>
      <c r="N578" s="10">
        <v>0.3117</v>
      </c>
      <c r="O578" s="11" t="s">
        <v>7127</v>
      </c>
      <c r="P578" s="10">
        <v>0.9243</v>
      </c>
      <c r="Q578" s="10">
        <v>0.1539</v>
      </c>
      <c r="R578" s="10">
        <v>0.479</v>
      </c>
      <c r="S578" s="10">
        <v>0.2032</v>
      </c>
      <c r="T578" s="8">
        <f>IF(and(ISNUMBER(D578), isnumber(E578)), 1, 0) + IF(and(ISNUMBER(F578), isnumber(G578)), 1, 0) + IF(and(ISNUMBER(H578), isnumber(I578)), 1, 0) + IF(and(ISNUMBER(J578), isnumber(K578)), 1, 0) + IF(and(ISNUMBER(L578), isnumber(M578)), 1, 0) + IF(and(ISNUMBER(N578), isnumber(O578)), 1, 0)</f>
      </c>
      <c r="U578" s="8">
        <f>IF(and(ISNUMBER(P578), isnumber(Q578)), 1, 0) + IF(and(ISNUMBER(R578), isnumber(S578)), 1, 0)</f>
      </c>
      <c r="V578" s="13"/>
      <c r="W578" s="13"/>
      <c r="X578" s="16"/>
    </row>
    <row x14ac:dyDescent="0.25" r="579" customHeight="1" ht="15.75">
      <c r="A579" s="8">
        <v>25862</v>
      </c>
      <c r="B579" s="13" t="s">
        <v>126</v>
      </c>
      <c r="C579" s="13" t="s">
        <v>5726</v>
      </c>
      <c r="D579" s="10">
        <v>0.9444</v>
      </c>
      <c r="E579" s="11">
        <v>237.58</v>
      </c>
      <c r="F579" s="10">
        <v>0.6111</v>
      </c>
      <c r="G579" s="11">
        <v>503.64</v>
      </c>
      <c r="H579" s="10">
        <v>0.6944</v>
      </c>
      <c r="I579" s="11">
        <v>435.2</v>
      </c>
      <c r="J579" s="10">
        <v>0.7778</v>
      </c>
      <c r="K579" s="11">
        <v>564.29</v>
      </c>
      <c r="L579" s="10">
        <v>0.75</v>
      </c>
      <c r="M579" s="11">
        <v>536.3</v>
      </c>
      <c r="N579" s="10">
        <v>0.75</v>
      </c>
      <c r="O579" s="11">
        <v>573.33</v>
      </c>
      <c r="P579" s="10">
        <v>0.9444</v>
      </c>
      <c r="Q579" s="10">
        <v>0.2525</v>
      </c>
      <c r="R579" s="10">
        <v>0.7778</v>
      </c>
      <c r="S579" s="10">
        <v>0.2691</v>
      </c>
      <c r="T579" s="8">
        <f>IF(and(ISNUMBER(D579), isnumber(E579)), 1, 0) + IF(and(ISNUMBER(F579), isnumber(G579)), 1, 0) + IF(and(ISNUMBER(H579), isnumber(I579)), 1, 0) + IF(and(ISNUMBER(J579), isnumber(K579)), 1, 0) + IF(and(ISNUMBER(L579), isnumber(M579)), 1, 0) + IF(and(ISNUMBER(N579), isnumber(O579)), 1, 0)</f>
      </c>
      <c r="U579" s="8">
        <f>IF(and(ISNUMBER(P579), isnumber(Q579)), 1, 0) + IF(and(ISNUMBER(R579), isnumber(S579)), 1, 0)</f>
      </c>
      <c r="V579" s="13"/>
      <c r="W579" s="13"/>
      <c r="X579" s="16"/>
    </row>
    <row x14ac:dyDescent="0.25" r="580" customHeight="1" ht="15.75">
      <c r="A580" s="8">
        <v>25863</v>
      </c>
      <c r="B580" s="13" t="s">
        <v>126</v>
      </c>
      <c r="C580" s="13" t="s">
        <v>5729</v>
      </c>
      <c r="D580" s="10">
        <v>0.6021</v>
      </c>
      <c r="E580" s="11">
        <v>191.71</v>
      </c>
      <c r="F580" s="10">
        <v>0.5352</v>
      </c>
      <c r="G580" s="11">
        <v>325.31</v>
      </c>
      <c r="H580" s="10">
        <v>0.6825</v>
      </c>
      <c r="I580" s="11">
        <v>234.41</v>
      </c>
      <c r="J580" s="10">
        <v>0.6121</v>
      </c>
      <c r="K580" s="11">
        <v>301.93</v>
      </c>
      <c r="L580" s="10">
        <v>0.3519</v>
      </c>
      <c r="M580" s="11">
        <v>345.27</v>
      </c>
      <c r="N580" s="10">
        <v>0.5794</v>
      </c>
      <c r="O580" s="11">
        <v>340.87</v>
      </c>
      <c r="P580" s="10">
        <v>0.6021</v>
      </c>
      <c r="Q580" s="10">
        <v>0.206</v>
      </c>
      <c r="R580" s="10">
        <v>0.6121</v>
      </c>
      <c r="S580" s="10">
        <v>0.2038</v>
      </c>
      <c r="T580" s="8">
        <f>IF(and(ISNUMBER(D580), isnumber(E580)), 1, 0) + IF(and(ISNUMBER(F580), isnumber(G580)), 1, 0) + IF(and(ISNUMBER(H580), isnumber(I580)), 1, 0) + IF(and(ISNUMBER(J580), isnumber(K580)), 1, 0) + IF(and(ISNUMBER(L580), isnumber(M580)), 1, 0) + IF(and(ISNUMBER(N580), isnumber(O580)), 1, 0)</f>
      </c>
      <c r="U580" s="8">
        <f>IF(and(ISNUMBER(P580), isnumber(Q580)), 1, 0) + IF(and(ISNUMBER(R580), isnumber(S580)), 1, 0)</f>
      </c>
      <c r="V580" s="13"/>
      <c r="W580" s="13"/>
      <c r="X580" s="16"/>
    </row>
    <row x14ac:dyDescent="0.25" r="581" customHeight="1" ht="15.75">
      <c r="A581" s="8">
        <v>25864</v>
      </c>
      <c r="B581" s="13" t="s">
        <v>126</v>
      </c>
      <c r="C581" s="13" t="s">
        <v>5732</v>
      </c>
      <c r="D581" s="10">
        <v>0.9227</v>
      </c>
      <c r="E581" s="11">
        <v>151.8</v>
      </c>
      <c r="F581" s="10">
        <v>0.6094</v>
      </c>
      <c r="G581" s="11">
        <v>336.69</v>
      </c>
      <c r="H581" s="10">
        <v>0.6009</v>
      </c>
      <c r="I581" s="11">
        <v>360.58</v>
      </c>
      <c r="J581" s="10">
        <v>0.5365</v>
      </c>
      <c r="K581" s="11">
        <v>255.81</v>
      </c>
      <c r="L581" s="10">
        <v>0.4506</v>
      </c>
      <c r="M581" s="11">
        <v>360</v>
      </c>
      <c r="N581" s="10">
        <v>0.4335</v>
      </c>
      <c r="O581" s="11">
        <v>363.23</v>
      </c>
      <c r="P581" s="10">
        <v>0.9227</v>
      </c>
      <c r="Q581" s="10">
        <v>0.1503</v>
      </c>
      <c r="R581" s="10">
        <v>0.5365</v>
      </c>
      <c r="S581" s="10">
        <v>0.1887</v>
      </c>
      <c r="T581" s="8">
        <f>IF(and(ISNUMBER(D581), isnumber(E581)), 1, 0) + IF(and(ISNUMBER(F581), isnumber(G581)), 1, 0) + IF(and(ISNUMBER(H581), isnumber(I581)), 1, 0) + IF(and(ISNUMBER(J581), isnumber(K581)), 1, 0) + IF(and(ISNUMBER(L581), isnumber(M581)), 1, 0) + IF(and(ISNUMBER(N581), isnumber(O581)), 1, 0)</f>
      </c>
      <c r="U581" s="8">
        <f>IF(and(ISNUMBER(P581), isnumber(Q581)), 1, 0) + IF(and(ISNUMBER(R581), isnumber(S581)), 1, 0)</f>
      </c>
      <c r="V581" s="13"/>
      <c r="W581" s="13"/>
      <c r="X581" s="16"/>
    </row>
    <row x14ac:dyDescent="0.25" r="582" customHeight="1" ht="15.75">
      <c r="A582" s="8">
        <v>25865</v>
      </c>
      <c r="B582" s="13" t="s">
        <v>126</v>
      </c>
      <c r="C582" s="13" t="s">
        <v>5736</v>
      </c>
      <c r="D582" s="10">
        <v>0.7079</v>
      </c>
      <c r="E582" s="11">
        <v>133.33</v>
      </c>
      <c r="F582" s="10">
        <v>0.573</v>
      </c>
      <c r="G582" s="11">
        <v>336.67</v>
      </c>
      <c r="H582" s="10">
        <v>0.573</v>
      </c>
      <c r="I582" s="11">
        <v>379.2</v>
      </c>
      <c r="J582" s="10">
        <v>0.5393</v>
      </c>
      <c r="K582" s="11">
        <v>161.7</v>
      </c>
      <c r="L582" s="10">
        <v>0.5281</v>
      </c>
      <c r="M582" s="11">
        <v>333.91</v>
      </c>
      <c r="N582" s="10">
        <v>0</v>
      </c>
      <c r="O582" s="11" t="s">
        <v>7127</v>
      </c>
      <c r="P582" s="10">
        <v>0.7079</v>
      </c>
      <c r="Q582" s="10">
        <v>0.227</v>
      </c>
      <c r="R582" s="10">
        <v>0.5393</v>
      </c>
      <c r="S582" s="10">
        <v>0.2034</v>
      </c>
      <c r="T582" s="8">
        <f>IF(and(ISNUMBER(D582), isnumber(E582)), 1, 0) + IF(and(ISNUMBER(F582), isnumber(G582)), 1, 0) + IF(and(ISNUMBER(H582), isnumber(I582)), 1, 0) + IF(and(ISNUMBER(J582), isnumber(K582)), 1, 0) + IF(and(ISNUMBER(L582), isnumber(M582)), 1, 0) + IF(and(ISNUMBER(N582), isnumber(O582)), 1, 0)</f>
      </c>
      <c r="U582" s="8">
        <f>IF(and(ISNUMBER(P582), isnumber(Q582)), 1, 0) + IF(and(ISNUMBER(R582), isnumber(S582)), 1, 0)</f>
      </c>
      <c r="V582" s="13"/>
      <c r="W582" s="13"/>
      <c r="X582" s="16"/>
    </row>
    <row x14ac:dyDescent="0.25" r="583" customHeight="1" ht="15.75">
      <c r="A583" s="8">
        <v>25866</v>
      </c>
      <c r="B583" s="13" t="s">
        <v>126</v>
      </c>
      <c r="C583" s="13" t="s">
        <v>5739</v>
      </c>
      <c r="D583" s="10">
        <v>0.7692</v>
      </c>
      <c r="E583" s="11">
        <v>249.66</v>
      </c>
      <c r="F583" s="10">
        <v>0.8718</v>
      </c>
      <c r="G583" s="11">
        <v>518.82</v>
      </c>
      <c r="H583" s="10">
        <v>0.8462</v>
      </c>
      <c r="I583" s="11">
        <v>501.82</v>
      </c>
      <c r="J583" s="10">
        <v>0.8974</v>
      </c>
      <c r="K583" s="11">
        <v>396.47</v>
      </c>
      <c r="L583" s="10">
        <v>0.7692</v>
      </c>
      <c r="M583" s="11">
        <v>504</v>
      </c>
      <c r="N583" s="10">
        <v>0.8718</v>
      </c>
      <c r="O583" s="11">
        <v>484.85</v>
      </c>
      <c r="P583" s="10">
        <v>0.7692</v>
      </c>
      <c r="Q583" s="10">
        <v>0.231</v>
      </c>
      <c r="R583" s="10">
        <v>0.8974</v>
      </c>
      <c r="S583" s="10">
        <v>0.2028</v>
      </c>
      <c r="T583" s="8">
        <f>IF(and(ISNUMBER(D583), isnumber(E583)), 1, 0) + IF(and(ISNUMBER(F583), isnumber(G583)), 1, 0) + IF(and(ISNUMBER(H583), isnumber(I583)), 1, 0) + IF(and(ISNUMBER(J583), isnumber(K583)), 1, 0) + IF(and(ISNUMBER(L583), isnumber(M583)), 1, 0) + IF(and(ISNUMBER(N583), isnumber(O583)), 1, 0)</f>
      </c>
      <c r="U583" s="8">
        <f>IF(and(ISNUMBER(P583), isnumber(Q583)), 1, 0) + IF(and(ISNUMBER(R583), isnumber(S583)), 1, 0)</f>
      </c>
      <c r="V583" s="13"/>
      <c r="W583" s="13"/>
      <c r="X583" s="16"/>
    </row>
    <row x14ac:dyDescent="0.25" r="584" customHeight="1" ht="15.75">
      <c r="A584" s="8">
        <v>25867</v>
      </c>
      <c r="B584" s="13" t="s">
        <v>126</v>
      </c>
      <c r="C584" s="13" t="s">
        <v>5742</v>
      </c>
      <c r="D584" s="10">
        <v>0.6812</v>
      </c>
      <c r="E584" s="11">
        <v>177.02</v>
      </c>
      <c r="F584" s="10">
        <v>0.7101</v>
      </c>
      <c r="G584" s="11">
        <v>364.93</v>
      </c>
      <c r="H584" s="10">
        <v>0.4343</v>
      </c>
      <c r="I584" s="11">
        <v>384.19</v>
      </c>
      <c r="J584" s="10">
        <v>0.6984</v>
      </c>
      <c r="K584" s="11" t="s">
        <v>7127</v>
      </c>
      <c r="L584" s="10">
        <v>0.4848</v>
      </c>
      <c r="M584" s="11">
        <v>310</v>
      </c>
      <c r="N584" s="10">
        <v>0.0101</v>
      </c>
      <c r="O584" s="11" t="s">
        <v>7127</v>
      </c>
      <c r="P584" s="10">
        <v>0.6812</v>
      </c>
      <c r="Q584" s="10">
        <v>0.2026</v>
      </c>
      <c r="R584" s="10">
        <v>0.6984</v>
      </c>
      <c r="S584" s="10">
        <v>0.2077</v>
      </c>
      <c r="T584" s="8">
        <f>IF(and(ISNUMBER(D584), isnumber(E584)), 1, 0) + IF(and(ISNUMBER(F584), isnumber(G584)), 1, 0) + IF(and(ISNUMBER(H584), isnumber(I584)), 1, 0) + IF(and(ISNUMBER(J584), isnumber(K584)), 1, 0) + IF(and(ISNUMBER(L584), isnumber(M584)), 1, 0) + IF(and(ISNUMBER(N584), isnumber(O584)), 1, 0)</f>
      </c>
      <c r="U584" s="8">
        <f>IF(and(ISNUMBER(P584), isnumber(Q584)), 1, 0) + IF(and(ISNUMBER(R584), isnumber(S584)), 1, 0)</f>
      </c>
      <c r="V584" s="13"/>
      <c r="W584" s="13"/>
      <c r="X584" s="16"/>
    </row>
    <row x14ac:dyDescent="0.25" r="585" customHeight="1" ht="15.75">
      <c r="A585" s="8">
        <v>25868</v>
      </c>
      <c r="B585" s="13" t="s">
        <v>126</v>
      </c>
      <c r="C585" s="13" t="s">
        <v>5746</v>
      </c>
      <c r="D585" s="10">
        <v>0.5551</v>
      </c>
      <c r="E585" s="11">
        <v>335.87</v>
      </c>
      <c r="F585" s="10">
        <v>0.5242</v>
      </c>
      <c r="G585" s="11">
        <v>415.41</v>
      </c>
      <c r="H585" s="10">
        <v>0.2727</v>
      </c>
      <c r="I585" s="11">
        <v>385.79</v>
      </c>
      <c r="J585" s="10">
        <v>0.6634</v>
      </c>
      <c r="K585" s="11">
        <v>353.68</v>
      </c>
      <c r="L585" s="10">
        <v>0.428</v>
      </c>
      <c r="M585" s="11">
        <v>419.99</v>
      </c>
      <c r="N585" s="10">
        <v>0.2462</v>
      </c>
      <c r="O585" s="11">
        <v>421.54</v>
      </c>
      <c r="P585" s="10">
        <v>0.5551</v>
      </c>
      <c r="Q585" s="10">
        <v>0.2491</v>
      </c>
      <c r="R585" s="10">
        <v>0.6634</v>
      </c>
      <c r="S585" s="10">
        <v>0.205</v>
      </c>
      <c r="T585" s="8">
        <f>IF(and(ISNUMBER(D585), isnumber(E585)), 1, 0) + IF(and(ISNUMBER(F585), isnumber(G585)), 1, 0) + IF(and(ISNUMBER(H585), isnumber(I585)), 1, 0) + IF(and(ISNUMBER(J585), isnumber(K585)), 1, 0) + IF(and(ISNUMBER(L585), isnumber(M585)), 1, 0) + IF(and(ISNUMBER(N585), isnumber(O585)), 1, 0)</f>
      </c>
      <c r="U585" s="8">
        <f>IF(and(ISNUMBER(P585), isnumber(Q585)), 1, 0) + IF(and(ISNUMBER(R585), isnumber(S585)), 1, 0)</f>
      </c>
      <c r="V585" s="13"/>
      <c r="W585" s="13"/>
      <c r="X585" s="16"/>
    </row>
    <row x14ac:dyDescent="0.25" r="586" customHeight="1" ht="15.75">
      <c r="A586" s="8">
        <v>25869</v>
      </c>
      <c r="B586" s="13" t="s">
        <v>126</v>
      </c>
      <c r="C586" s="13" t="s">
        <v>5750</v>
      </c>
      <c r="D586" s="10">
        <v>0.4931</v>
      </c>
      <c r="E586" s="11">
        <v>240</v>
      </c>
      <c r="F586" s="10">
        <v>0.3806</v>
      </c>
      <c r="G586" s="11">
        <v>402.07</v>
      </c>
      <c r="H586" s="10">
        <v>0.4056</v>
      </c>
      <c r="I586" s="11">
        <v>421.4</v>
      </c>
      <c r="J586" s="10">
        <v>0.4903</v>
      </c>
      <c r="K586" s="11">
        <v>370.81</v>
      </c>
      <c r="L586" s="10">
        <v>0.2917</v>
      </c>
      <c r="M586" s="11">
        <v>384.47</v>
      </c>
      <c r="N586" s="10">
        <v>0.2403</v>
      </c>
      <c r="O586" s="11">
        <v>414.1</v>
      </c>
      <c r="P586" s="10">
        <v>0.4931</v>
      </c>
      <c r="Q586" s="10">
        <v>0.2319</v>
      </c>
      <c r="R586" s="10">
        <v>0.4903</v>
      </c>
      <c r="S586" s="10">
        <v>0.2056</v>
      </c>
      <c r="T586" s="8">
        <f>IF(and(ISNUMBER(D586), isnumber(E586)), 1, 0) + IF(and(ISNUMBER(F586), isnumber(G586)), 1, 0) + IF(and(ISNUMBER(H586), isnumber(I586)), 1, 0) + IF(and(ISNUMBER(J586), isnumber(K586)), 1, 0) + IF(and(ISNUMBER(L586), isnumber(M586)), 1, 0) + IF(and(ISNUMBER(N586), isnumber(O586)), 1, 0)</f>
      </c>
      <c r="U586" s="8">
        <f>IF(and(ISNUMBER(P586), isnumber(Q586)), 1, 0) + IF(and(ISNUMBER(R586), isnumber(S586)), 1, 0)</f>
      </c>
      <c r="V586" s="13"/>
      <c r="W586" s="13"/>
      <c r="X586" s="16"/>
    </row>
    <row x14ac:dyDescent="0.25" r="587" customHeight="1" ht="15.75">
      <c r="A587" s="8">
        <v>25870</v>
      </c>
      <c r="B587" s="13" t="s">
        <v>126</v>
      </c>
      <c r="C587" s="13" t="s">
        <v>5754</v>
      </c>
      <c r="D587" s="10">
        <v>0.8405</v>
      </c>
      <c r="E587" s="11">
        <v>159.71</v>
      </c>
      <c r="F587" s="10">
        <v>0.589</v>
      </c>
      <c r="G587" s="11">
        <v>362.53</v>
      </c>
      <c r="H587" s="10">
        <v>0.4969</v>
      </c>
      <c r="I587" s="11">
        <v>427.16</v>
      </c>
      <c r="J587" s="10">
        <v>0.4847</v>
      </c>
      <c r="K587" s="11">
        <v>276.41</v>
      </c>
      <c r="L587" s="10">
        <v>0.319</v>
      </c>
      <c r="M587" s="11">
        <v>360.78</v>
      </c>
      <c r="N587" s="10">
        <v>0.4724</v>
      </c>
      <c r="O587" s="11">
        <v>350</v>
      </c>
      <c r="P587" s="10">
        <v>0.8405</v>
      </c>
      <c r="Q587" s="10">
        <v>0.1694</v>
      </c>
      <c r="R587" s="10">
        <v>0.4847</v>
      </c>
      <c r="S587" s="10">
        <v>0.2017</v>
      </c>
      <c r="T587" s="8">
        <f>IF(and(ISNUMBER(D587), isnumber(E587)), 1, 0) + IF(and(ISNUMBER(F587), isnumber(G587)), 1, 0) + IF(and(ISNUMBER(H587), isnumber(I587)), 1, 0) + IF(and(ISNUMBER(J587), isnumber(K587)), 1, 0) + IF(and(ISNUMBER(L587), isnumber(M587)), 1, 0) + IF(and(ISNUMBER(N587), isnumber(O587)), 1, 0)</f>
      </c>
      <c r="U587" s="8">
        <f>IF(and(ISNUMBER(P587), isnumber(Q587)), 1, 0) + IF(and(ISNUMBER(R587), isnumber(S587)), 1, 0)</f>
      </c>
      <c r="V587" s="13"/>
      <c r="W587" s="13"/>
      <c r="X587" s="16"/>
    </row>
    <row x14ac:dyDescent="0.25" r="588" customHeight="1" ht="15.75">
      <c r="A588" s="8">
        <v>25872</v>
      </c>
      <c r="B588" s="13" t="s">
        <v>126</v>
      </c>
      <c r="C588" s="13" t="s">
        <v>5757</v>
      </c>
      <c r="D588" s="10">
        <v>1</v>
      </c>
      <c r="E588" s="11">
        <v>428.89</v>
      </c>
      <c r="F588" s="10">
        <v>0.9829</v>
      </c>
      <c r="G588" s="11">
        <v>520.52</v>
      </c>
      <c r="H588" s="10">
        <v>0.9145</v>
      </c>
      <c r="I588" s="11">
        <v>550.42</v>
      </c>
      <c r="J588" s="10">
        <v>0.9744</v>
      </c>
      <c r="K588" s="11">
        <v>472.04</v>
      </c>
      <c r="L588" s="10">
        <v>0.9615</v>
      </c>
      <c r="M588" s="11">
        <v>555.36</v>
      </c>
      <c r="N588" s="10">
        <v>0.9316</v>
      </c>
      <c r="O588" s="11">
        <v>546.73</v>
      </c>
      <c r="P588" s="10">
        <v>1</v>
      </c>
      <c r="Q588" s="10">
        <v>0.2885</v>
      </c>
      <c r="R588" s="10">
        <v>0.9744</v>
      </c>
      <c r="S588" s="10">
        <v>0.2247</v>
      </c>
      <c r="T588" s="8">
        <f>IF(and(ISNUMBER(D588), isnumber(E588)), 1, 0) + IF(and(ISNUMBER(F588), isnumber(G588)), 1, 0) + IF(and(ISNUMBER(H588), isnumber(I588)), 1, 0) + IF(and(ISNUMBER(J588), isnumber(K588)), 1, 0) + IF(and(ISNUMBER(L588), isnumber(M588)), 1, 0) + IF(and(ISNUMBER(N588), isnumber(O588)), 1, 0)</f>
      </c>
      <c r="U588" s="8">
        <f>IF(and(ISNUMBER(P588), isnumber(Q588)), 1, 0) + IF(and(ISNUMBER(R588), isnumber(S588)), 1, 0)</f>
      </c>
      <c r="V588" s="13"/>
      <c r="W588" s="13"/>
      <c r="X588" s="16"/>
    </row>
    <row x14ac:dyDescent="0.25" r="589" customHeight="1" ht="15.75">
      <c r="A589" s="8">
        <v>25873</v>
      </c>
      <c r="B589" s="13" t="s">
        <v>126</v>
      </c>
      <c r="C589" s="13" t="s">
        <v>5759</v>
      </c>
      <c r="D589" s="10">
        <v>0.8824</v>
      </c>
      <c r="E589" s="11">
        <v>213.33</v>
      </c>
      <c r="F589" s="10">
        <v>0.6667</v>
      </c>
      <c r="G589" s="11">
        <v>376.47</v>
      </c>
      <c r="H589" s="10">
        <v>0.6667</v>
      </c>
      <c r="I589" s="11">
        <v>389.41</v>
      </c>
      <c r="J589" s="10">
        <v>0.7451</v>
      </c>
      <c r="K589" s="11">
        <v>303.78</v>
      </c>
      <c r="L589" s="10">
        <v>0.6667</v>
      </c>
      <c r="M589" s="11">
        <v>383.53</v>
      </c>
      <c r="N589" s="10">
        <v>0.6667</v>
      </c>
      <c r="O589" s="11">
        <v>390.59</v>
      </c>
      <c r="P589" s="10">
        <v>0.8824</v>
      </c>
      <c r="Q589" s="10">
        <v>0.2386</v>
      </c>
      <c r="R589" s="10">
        <v>0.7451</v>
      </c>
      <c r="S589" s="10">
        <v>0.2139</v>
      </c>
      <c r="T589" s="8">
        <f>IF(and(ISNUMBER(D589), isnumber(E589)), 1, 0) + IF(and(ISNUMBER(F589), isnumber(G589)), 1, 0) + IF(and(ISNUMBER(H589), isnumber(I589)), 1, 0) + IF(and(ISNUMBER(J589), isnumber(K589)), 1, 0) + IF(and(ISNUMBER(L589), isnumber(M589)), 1, 0) + IF(and(ISNUMBER(N589), isnumber(O589)), 1, 0)</f>
      </c>
      <c r="U589" s="8">
        <f>IF(and(ISNUMBER(P589), isnumber(Q589)), 1, 0) + IF(and(ISNUMBER(R589), isnumber(S589)), 1, 0)</f>
      </c>
      <c r="V589" s="13"/>
      <c r="W589" s="13"/>
      <c r="X589" s="16"/>
    </row>
    <row x14ac:dyDescent="0.25" r="590" customHeight="1" ht="15.75">
      <c r="A590" s="8">
        <v>25874</v>
      </c>
      <c r="B590" s="13" t="s">
        <v>126</v>
      </c>
      <c r="C590" s="13" t="s">
        <v>5761</v>
      </c>
      <c r="D590" s="10">
        <v>0.649</v>
      </c>
      <c r="E590" s="11">
        <v>170.67</v>
      </c>
      <c r="F590" s="10">
        <v>0.5433</v>
      </c>
      <c r="G590" s="11">
        <v>335.5</v>
      </c>
      <c r="H590" s="10">
        <v>0.5625</v>
      </c>
      <c r="I590" s="11">
        <v>357.58</v>
      </c>
      <c r="J590" s="10">
        <v>0.4519</v>
      </c>
      <c r="K590" s="11">
        <v>234.82</v>
      </c>
      <c r="L590" s="10">
        <v>0.5673</v>
      </c>
      <c r="M590" s="11">
        <v>289.48</v>
      </c>
      <c r="N590" s="10">
        <v>0.5144</v>
      </c>
      <c r="O590" s="11">
        <v>356.26</v>
      </c>
      <c r="P590" s="10">
        <v>0.649</v>
      </c>
      <c r="Q590" s="10">
        <v>0.1837</v>
      </c>
      <c r="R590" s="10">
        <v>0.4519</v>
      </c>
      <c r="S590" s="10">
        <v>0.1711</v>
      </c>
      <c r="T590" s="8">
        <f>IF(and(ISNUMBER(D590), isnumber(E590)), 1, 0) + IF(and(ISNUMBER(F590), isnumber(G590)), 1, 0) + IF(and(ISNUMBER(H590), isnumber(I590)), 1, 0) + IF(and(ISNUMBER(J590), isnumber(K590)), 1, 0) + IF(and(ISNUMBER(L590), isnumber(M590)), 1, 0) + IF(and(ISNUMBER(N590), isnumber(O590)), 1, 0)</f>
      </c>
      <c r="U590" s="8">
        <f>IF(and(ISNUMBER(P590), isnumber(Q590)), 1, 0) + IF(and(ISNUMBER(R590), isnumber(S590)), 1, 0)</f>
      </c>
      <c r="V590" s="13"/>
      <c r="W590" s="13"/>
      <c r="X590" s="16"/>
    </row>
    <row x14ac:dyDescent="0.25" r="591" customHeight="1" ht="15.75">
      <c r="A591" s="8">
        <v>25875</v>
      </c>
      <c r="B591" s="13" t="s">
        <v>126</v>
      </c>
      <c r="C591" s="13" t="s">
        <v>5764</v>
      </c>
      <c r="D591" s="10">
        <v>0.9227</v>
      </c>
      <c r="E591" s="11">
        <v>106.47</v>
      </c>
      <c r="F591" s="10">
        <v>0.6652</v>
      </c>
      <c r="G591" s="11">
        <v>290.98</v>
      </c>
      <c r="H591" s="10">
        <v>0.5714</v>
      </c>
      <c r="I591" s="11">
        <v>375.27</v>
      </c>
      <c r="J591" s="10">
        <v>0.5741</v>
      </c>
      <c r="K591" s="11" t="s">
        <v>7127</v>
      </c>
      <c r="L591" s="10">
        <v>0.527</v>
      </c>
      <c r="M591" s="11">
        <v>363.59</v>
      </c>
      <c r="N591" s="10">
        <v>0.0032</v>
      </c>
      <c r="O591" s="11" t="s">
        <v>7127</v>
      </c>
      <c r="P591" s="10">
        <v>0.9227</v>
      </c>
      <c r="Q591" s="10">
        <v>0.1441</v>
      </c>
      <c r="R591" s="10">
        <v>0.5741</v>
      </c>
      <c r="S591" s="10">
        <v>0.1986</v>
      </c>
      <c r="T591" s="8">
        <f>IF(and(ISNUMBER(D591), isnumber(E591)), 1, 0) + IF(and(ISNUMBER(F591), isnumber(G591)), 1, 0) + IF(and(ISNUMBER(H591), isnumber(I591)), 1, 0) + IF(and(ISNUMBER(J591), isnumber(K591)), 1, 0) + IF(and(ISNUMBER(L591), isnumber(M591)), 1, 0) + IF(and(ISNUMBER(N591), isnumber(O591)), 1, 0)</f>
      </c>
      <c r="U591" s="8">
        <f>IF(and(ISNUMBER(P591), isnumber(Q591)), 1, 0) + IF(and(ISNUMBER(R591), isnumber(S591)), 1, 0)</f>
      </c>
      <c r="V591" s="13"/>
      <c r="W591" s="13"/>
      <c r="X591" s="16"/>
    </row>
    <row x14ac:dyDescent="0.25" r="592" customHeight="1" ht="15.75">
      <c r="A592" s="8">
        <v>25876</v>
      </c>
      <c r="B592" s="13" t="s">
        <v>126</v>
      </c>
      <c r="C592" s="13" t="s">
        <v>5766</v>
      </c>
      <c r="D592" s="10">
        <v>0.9451</v>
      </c>
      <c r="E592" s="11">
        <v>153.38</v>
      </c>
      <c r="F592" s="10">
        <v>0.4695</v>
      </c>
      <c r="G592" s="11">
        <v>378.01</v>
      </c>
      <c r="H592" s="10">
        <v>0.436</v>
      </c>
      <c r="I592" s="11">
        <v>429.64</v>
      </c>
      <c r="J592" s="10">
        <v>0.5579</v>
      </c>
      <c r="K592" s="11">
        <v>216.48</v>
      </c>
      <c r="L592" s="10">
        <v>0.4787</v>
      </c>
      <c r="M592" s="11">
        <v>435.32</v>
      </c>
      <c r="N592" s="10">
        <v>0.436</v>
      </c>
      <c r="O592" s="11">
        <v>450.14</v>
      </c>
      <c r="P592" s="10">
        <v>0.9451</v>
      </c>
      <c r="Q592" s="10">
        <v>0.1573</v>
      </c>
      <c r="R592" s="10">
        <v>0.5579</v>
      </c>
      <c r="S592" s="10">
        <v>0.202</v>
      </c>
      <c r="T592" s="8">
        <f>IF(and(ISNUMBER(D592), isnumber(E592)), 1, 0) + IF(and(ISNUMBER(F592), isnumber(G592)), 1, 0) + IF(and(ISNUMBER(H592), isnumber(I592)), 1, 0) + IF(and(ISNUMBER(J592), isnumber(K592)), 1, 0) + IF(and(ISNUMBER(L592), isnumber(M592)), 1, 0) + IF(and(ISNUMBER(N592), isnumber(O592)), 1, 0)</f>
      </c>
      <c r="U592" s="8">
        <f>IF(and(ISNUMBER(P592), isnumber(Q592)), 1, 0) + IF(and(ISNUMBER(R592), isnumber(S592)), 1, 0)</f>
      </c>
      <c r="V592" s="13"/>
      <c r="W592" s="13"/>
      <c r="X592" s="16"/>
    </row>
    <row x14ac:dyDescent="0.25" r="593" customHeight="1" ht="15.75">
      <c r="A593" s="8">
        <v>25877</v>
      </c>
      <c r="B593" s="13" t="s">
        <v>126</v>
      </c>
      <c r="C593" s="13" t="s">
        <v>5769</v>
      </c>
      <c r="D593" s="10">
        <v>0.8238</v>
      </c>
      <c r="E593" s="11">
        <v>321.61</v>
      </c>
      <c r="F593" s="10">
        <v>0.6311</v>
      </c>
      <c r="G593" s="11">
        <v>407.27</v>
      </c>
      <c r="H593" s="10">
        <v>0.7283</v>
      </c>
      <c r="I593" s="11">
        <v>478.99</v>
      </c>
      <c r="J593" s="10">
        <v>0.6775</v>
      </c>
      <c r="K593" s="11">
        <v>408.6</v>
      </c>
      <c r="L593" s="10">
        <v>0.5181</v>
      </c>
      <c r="M593" s="11">
        <v>445.39</v>
      </c>
      <c r="N593" s="10">
        <v>0.5652</v>
      </c>
      <c r="O593" s="11">
        <v>474.1</v>
      </c>
      <c r="P593" s="10">
        <v>0.8238</v>
      </c>
      <c r="Q593" s="10">
        <v>0.2322</v>
      </c>
      <c r="R593" s="10">
        <v>0.6775</v>
      </c>
      <c r="S593" s="10">
        <v>0.2098</v>
      </c>
      <c r="T593" s="8">
        <f>IF(and(ISNUMBER(D593), isnumber(E593)), 1, 0) + IF(and(ISNUMBER(F593), isnumber(G593)), 1, 0) + IF(and(ISNUMBER(H593), isnumber(I593)), 1, 0) + IF(and(ISNUMBER(J593), isnumber(K593)), 1, 0) + IF(and(ISNUMBER(L593), isnumber(M593)), 1, 0) + IF(and(ISNUMBER(N593), isnumber(O593)), 1, 0)</f>
      </c>
      <c r="U593" s="8">
        <f>IF(and(ISNUMBER(P593), isnumber(Q593)), 1, 0) + IF(and(ISNUMBER(R593), isnumber(S593)), 1, 0)</f>
      </c>
      <c r="V593" s="13"/>
      <c r="W593" s="13"/>
      <c r="X593" s="16"/>
    </row>
    <row x14ac:dyDescent="0.25" r="594" customHeight="1" ht="15.75">
      <c r="A594" s="8">
        <v>25878</v>
      </c>
      <c r="B594" s="13" t="s">
        <v>126</v>
      </c>
      <c r="C594" s="13" t="s">
        <v>5773</v>
      </c>
      <c r="D594" s="10">
        <v>0.7727</v>
      </c>
      <c r="E594" s="11">
        <v>206.93</v>
      </c>
      <c r="F594" s="10">
        <v>0.601</v>
      </c>
      <c r="G594" s="11">
        <v>355.09</v>
      </c>
      <c r="H594" s="10">
        <v>0.7323</v>
      </c>
      <c r="I594" s="11">
        <v>410.07</v>
      </c>
      <c r="J594" s="10">
        <v>0.6263</v>
      </c>
      <c r="K594" s="11">
        <v>264</v>
      </c>
      <c r="L594" s="10">
        <v>0.6364</v>
      </c>
      <c r="M594" s="11">
        <v>393.6</v>
      </c>
      <c r="N594" s="10">
        <v>0.5556</v>
      </c>
      <c r="O594" s="11">
        <v>416.51</v>
      </c>
      <c r="P594" s="10">
        <v>0.7727</v>
      </c>
      <c r="Q594" s="10">
        <v>0.2251</v>
      </c>
      <c r="R594" s="10">
        <v>0.6263</v>
      </c>
      <c r="S594" s="10">
        <v>0.2013</v>
      </c>
      <c r="T594" s="8">
        <f>IF(and(ISNUMBER(D594), isnumber(E594)), 1, 0) + IF(and(ISNUMBER(F594), isnumber(G594)), 1, 0) + IF(and(ISNUMBER(H594), isnumber(I594)), 1, 0) + IF(and(ISNUMBER(J594), isnumber(K594)), 1, 0) + IF(and(ISNUMBER(L594), isnumber(M594)), 1, 0) + IF(and(ISNUMBER(N594), isnumber(O594)), 1, 0)</f>
      </c>
      <c r="U594" s="8">
        <f>IF(and(ISNUMBER(P594), isnumber(Q594)), 1, 0) + IF(and(ISNUMBER(R594), isnumber(S594)), 1, 0)</f>
      </c>
      <c r="V594" s="13"/>
      <c r="W594" s="13"/>
      <c r="X594" s="16"/>
    </row>
    <row x14ac:dyDescent="0.25" r="595" customHeight="1" ht="15.75">
      <c r="A595" s="8">
        <v>25879</v>
      </c>
      <c r="B595" s="13" t="s">
        <v>126</v>
      </c>
      <c r="C595" s="13" t="s">
        <v>5777</v>
      </c>
      <c r="D595" s="10">
        <v>0.9405</v>
      </c>
      <c r="E595" s="11">
        <v>213.16</v>
      </c>
      <c r="F595" s="10">
        <v>0.7024</v>
      </c>
      <c r="G595" s="11">
        <v>360.34</v>
      </c>
      <c r="H595" s="10">
        <v>0.6845</v>
      </c>
      <c r="I595" s="11">
        <v>361.04</v>
      </c>
      <c r="J595" s="10">
        <v>0.8274</v>
      </c>
      <c r="K595" s="11">
        <v>264.89</v>
      </c>
      <c r="L595" s="10">
        <v>0.6964</v>
      </c>
      <c r="M595" s="11">
        <v>331.62</v>
      </c>
      <c r="N595" s="10">
        <v>0.6667</v>
      </c>
      <c r="O595" s="11">
        <v>323.67</v>
      </c>
      <c r="P595" s="10">
        <v>0.9405</v>
      </c>
      <c r="Q595" s="10">
        <v>0.2139</v>
      </c>
      <c r="R595" s="10">
        <v>0.8274</v>
      </c>
      <c r="S595" s="10">
        <v>0.2045</v>
      </c>
      <c r="T595" s="8">
        <f>IF(and(ISNUMBER(D595), isnumber(E595)), 1, 0) + IF(and(ISNUMBER(F595), isnumber(G595)), 1, 0) + IF(and(ISNUMBER(H595), isnumber(I595)), 1, 0) + IF(and(ISNUMBER(J595), isnumber(K595)), 1, 0) + IF(and(ISNUMBER(L595), isnumber(M595)), 1, 0) + IF(and(ISNUMBER(N595), isnumber(O595)), 1, 0)</f>
      </c>
      <c r="U595" s="8">
        <f>IF(and(ISNUMBER(P595), isnumber(Q595)), 1, 0) + IF(and(ISNUMBER(R595), isnumber(S595)), 1, 0)</f>
      </c>
      <c r="V595" s="13"/>
      <c r="W595" s="13"/>
      <c r="X595" s="16"/>
    </row>
    <row x14ac:dyDescent="0.25" r="596" customHeight="1" ht="15.75">
      <c r="A596" s="8">
        <v>25880</v>
      </c>
      <c r="B596" s="13" t="s">
        <v>126</v>
      </c>
      <c r="C596" s="13" t="s">
        <v>5780</v>
      </c>
      <c r="D596" s="10">
        <v>0.7794</v>
      </c>
      <c r="E596" s="11">
        <v>263.03</v>
      </c>
      <c r="F596" s="10">
        <v>0.5301</v>
      </c>
      <c r="G596" s="11">
        <v>368.37</v>
      </c>
      <c r="H596" s="10">
        <v>0.8065</v>
      </c>
      <c r="I596" s="11">
        <v>281.41</v>
      </c>
      <c r="J596" s="10">
        <v>0.5762</v>
      </c>
      <c r="K596" s="11">
        <v>361.66</v>
      </c>
      <c r="L596" s="10">
        <v>0.3623</v>
      </c>
      <c r="M596" s="11">
        <v>446.9</v>
      </c>
      <c r="N596" s="10">
        <v>0.6576</v>
      </c>
      <c r="O596" s="11">
        <v>277.89</v>
      </c>
      <c r="P596" s="10">
        <v>0.7794</v>
      </c>
      <c r="Q596" s="10">
        <v>0.2046</v>
      </c>
      <c r="R596" s="10">
        <v>0.5762</v>
      </c>
      <c r="S596" s="10">
        <v>0.2118</v>
      </c>
      <c r="T596" s="8">
        <f>IF(and(ISNUMBER(D596), isnumber(E596)), 1, 0) + IF(and(ISNUMBER(F596), isnumber(G596)), 1, 0) + IF(and(ISNUMBER(H596), isnumber(I596)), 1, 0) + IF(and(ISNUMBER(J596), isnumber(K596)), 1, 0) + IF(and(ISNUMBER(L596), isnumber(M596)), 1, 0) + IF(and(ISNUMBER(N596), isnumber(O596)), 1, 0)</f>
      </c>
      <c r="U596" s="8">
        <f>IF(and(ISNUMBER(P596), isnumber(Q596)), 1, 0) + IF(and(ISNUMBER(R596), isnumber(S596)), 1, 0)</f>
      </c>
      <c r="V596" s="13"/>
      <c r="W596" s="13"/>
      <c r="X596" s="16"/>
    </row>
    <row x14ac:dyDescent="0.25" r="597" customHeight="1" ht="15.75">
      <c r="A597" s="8">
        <v>25881</v>
      </c>
      <c r="B597" s="13" t="s">
        <v>126</v>
      </c>
      <c r="C597" s="13" t="s">
        <v>5784</v>
      </c>
      <c r="D597" s="10">
        <v>0.6538</v>
      </c>
      <c r="E597" s="11">
        <v>152.94</v>
      </c>
      <c r="F597" s="10">
        <v>0.6154</v>
      </c>
      <c r="G597" s="11">
        <v>360.84</v>
      </c>
      <c r="H597" s="10">
        <v>0.4048</v>
      </c>
      <c r="I597" s="11">
        <v>329.41</v>
      </c>
      <c r="J597" s="10">
        <v>0.6818</v>
      </c>
      <c r="K597" s="11">
        <v>306.66</v>
      </c>
      <c r="L597" s="10">
        <v>0.2381</v>
      </c>
      <c r="M597" s="11">
        <v>404</v>
      </c>
      <c r="N597" s="10">
        <v>0.2381</v>
      </c>
      <c r="O597" s="11" t="s">
        <v>7127</v>
      </c>
      <c r="P597" s="10">
        <v>0.6538</v>
      </c>
      <c r="Q597" s="10">
        <v>0.2447</v>
      </c>
      <c r="R597" s="10">
        <v>0.6818</v>
      </c>
      <c r="S597" s="10">
        <v>0.2134</v>
      </c>
      <c r="T597" s="8">
        <f>IF(and(ISNUMBER(D597), isnumber(E597)), 1, 0) + IF(and(ISNUMBER(F597), isnumber(G597)), 1, 0) + IF(and(ISNUMBER(H597), isnumber(I597)), 1, 0) + IF(and(ISNUMBER(J597), isnumber(K597)), 1, 0) + IF(and(ISNUMBER(L597), isnumber(M597)), 1, 0) + IF(and(ISNUMBER(N597), isnumber(O597)), 1, 0)</f>
      </c>
      <c r="U597" s="8">
        <f>IF(and(ISNUMBER(P597), isnumber(Q597)), 1, 0) + IF(and(ISNUMBER(R597), isnumber(S597)), 1, 0)</f>
      </c>
      <c r="V597" s="13"/>
      <c r="W597" s="13"/>
      <c r="X597" s="16"/>
    </row>
    <row x14ac:dyDescent="0.25" r="598" customHeight="1" ht="15.75">
      <c r="A598" s="8">
        <v>25882</v>
      </c>
      <c r="B598" s="13" t="s">
        <v>126</v>
      </c>
      <c r="C598" s="13" t="s">
        <v>5786</v>
      </c>
      <c r="D598" s="10">
        <v>0.892</v>
      </c>
      <c r="E598" s="11">
        <v>195.03</v>
      </c>
      <c r="F598" s="10">
        <v>0.6244</v>
      </c>
      <c r="G598" s="11">
        <v>391.82</v>
      </c>
      <c r="H598" s="10">
        <v>0.6385</v>
      </c>
      <c r="I598" s="11">
        <v>452.06</v>
      </c>
      <c r="J598" s="10">
        <v>0.5634</v>
      </c>
      <c r="K598" s="11">
        <v>345.52</v>
      </c>
      <c r="L598" s="10">
        <v>0.4413</v>
      </c>
      <c r="M598" s="11">
        <v>434.78</v>
      </c>
      <c r="N598" s="10">
        <v>0.4648</v>
      </c>
      <c r="O598" s="11">
        <v>427.07</v>
      </c>
      <c r="P598" s="10">
        <v>0.892</v>
      </c>
      <c r="Q598" s="10">
        <v>0.1817</v>
      </c>
      <c r="R598" s="10">
        <v>0.5634</v>
      </c>
      <c r="S598" s="10">
        <v>0.2317</v>
      </c>
      <c r="T598" s="8">
        <f>IF(and(ISNUMBER(D598), isnumber(E598)), 1, 0) + IF(and(ISNUMBER(F598), isnumber(G598)), 1, 0) + IF(and(ISNUMBER(H598), isnumber(I598)), 1, 0) + IF(and(ISNUMBER(J598), isnumber(K598)), 1, 0) + IF(and(ISNUMBER(L598), isnumber(M598)), 1, 0) + IF(and(ISNUMBER(N598), isnumber(O598)), 1, 0)</f>
      </c>
      <c r="U598" s="8">
        <f>IF(and(ISNUMBER(P598), isnumber(Q598)), 1, 0) + IF(and(ISNUMBER(R598), isnumber(S598)), 1, 0)</f>
      </c>
      <c r="V598" s="13"/>
      <c r="W598" s="13"/>
      <c r="X598" s="16"/>
    </row>
    <row x14ac:dyDescent="0.25" r="599" customHeight="1" ht="15.75">
      <c r="A599" s="8">
        <v>25883</v>
      </c>
      <c r="B599" s="13" t="s">
        <v>126</v>
      </c>
      <c r="C599" s="13" t="s">
        <v>5790</v>
      </c>
      <c r="D599" s="10">
        <v>0.6815</v>
      </c>
      <c r="E599" s="11">
        <v>108.41</v>
      </c>
      <c r="F599" s="10">
        <v>0.586</v>
      </c>
      <c r="G599" s="11">
        <v>348.76</v>
      </c>
      <c r="H599" s="10">
        <v>0.5605</v>
      </c>
      <c r="I599" s="11">
        <v>407.53</v>
      </c>
      <c r="J599" s="10">
        <v>0.6178</v>
      </c>
      <c r="K599" s="11">
        <v>274.84</v>
      </c>
      <c r="L599" s="10">
        <v>0.5669</v>
      </c>
      <c r="M599" s="11">
        <v>404.49</v>
      </c>
      <c r="N599" s="10">
        <v>0.4968</v>
      </c>
      <c r="O599" s="11">
        <v>435.84</v>
      </c>
      <c r="P599" s="10">
        <v>0.6815</v>
      </c>
      <c r="Q599" s="10">
        <v>0.1605</v>
      </c>
      <c r="R599" s="10">
        <v>0.6178</v>
      </c>
      <c r="S599" s="10">
        <v>0.2117</v>
      </c>
      <c r="T599" s="8">
        <f>IF(and(ISNUMBER(D599), isnumber(E599)), 1, 0) + IF(and(ISNUMBER(F599), isnumber(G599)), 1, 0) + IF(and(ISNUMBER(H599), isnumber(I599)), 1, 0) + IF(and(ISNUMBER(J599), isnumber(K599)), 1, 0) + IF(and(ISNUMBER(L599), isnumber(M599)), 1, 0) + IF(and(ISNUMBER(N599), isnumber(O599)), 1, 0)</f>
      </c>
      <c r="U599" s="8">
        <f>IF(and(ISNUMBER(P599), isnumber(Q599)), 1, 0) + IF(and(ISNUMBER(R599), isnumber(S599)), 1, 0)</f>
      </c>
      <c r="V599" s="13"/>
      <c r="W599" s="13"/>
      <c r="X599" s="16"/>
    </row>
    <row x14ac:dyDescent="0.25" r="600" customHeight="1" ht="15.75">
      <c r="A600" s="8">
        <v>25884</v>
      </c>
      <c r="B600" s="13" t="s">
        <v>126</v>
      </c>
      <c r="C600" s="13" t="s">
        <v>5794</v>
      </c>
      <c r="D600" s="10">
        <v>0.7175</v>
      </c>
      <c r="E600" s="11">
        <v>215.05</v>
      </c>
      <c r="F600" s="10">
        <v>0.6014</v>
      </c>
      <c r="G600" s="11">
        <v>348.14</v>
      </c>
      <c r="H600" s="10">
        <v>0.6082</v>
      </c>
      <c r="I600" s="11">
        <v>408.37</v>
      </c>
      <c r="J600" s="10">
        <v>0.6583</v>
      </c>
      <c r="K600" s="11">
        <v>267.23</v>
      </c>
      <c r="L600" s="10">
        <v>0.6173</v>
      </c>
      <c r="M600" s="11">
        <v>339.39</v>
      </c>
      <c r="N600" s="10">
        <v>0.5171</v>
      </c>
      <c r="O600" s="11">
        <v>356.04</v>
      </c>
      <c r="P600" s="10">
        <v>0.7175</v>
      </c>
      <c r="Q600" s="10">
        <v>0.2247</v>
      </c>
      <c r="R600" s="10">
        <v>0.6583</v>
      </c>
      <c r="S600" s="10">
        <v>0.1972</v>
      </c>
      <c r="T600" s="8">
        <f>IF(and(ISNUMBER(D600), isnumber(E600)), 1, 0) + IF(and(ISNUMBER(F600), isnumber(G600)), 1, 0) + IF(and(ISNUMBER(H600), isnumber(I600)), 1, 0) + IF(and(ISNUMBER(J600), isnumber(K600)), 1, 0) + IF(and(ISNUMBER(L600), isnumber(M600)), 1, 0) + IF(and(ISNUMBER(N600), isnumber(O600)), 1, 0)</f>
      </c>
      <c r="U600" s="8">
        <f>IF(and(ISNUMBER(P600), isnumber(Q600)), 1, 0) + IF(and(ISNUMBER(R600), isnumber(S600)), 1, 0)</f>
      </c>
      <c r="V600" s="13"/>
      <c r="W600" s="13"/>
      <c r="X600" s="16"/>
    </row>
    <row x14ac:dyDescent="0.25" r="601" customHeight="1" ht="15.75">
      <c r="A601" s="8">
        <v>25885</v>
      </c>
      <c r="B601" s="13" t="s">
        <v>126</v>
      </c>
      <c r="C601" s="13" t="s">
        <v>5797</v>
      </c>
      <c r="D601" s="10">
        <v>1</v>
      </c>
      <c r="E601" s="11">
        <v>465.26</v>
      </c>
      <c r="F601" s="10">
        <v>0.9737</v>
      </c>
      <c r="G601" s="11">
        <v>494.05</v>
      </c>
      <c r="H601" s="10">
        <v>0.9737</v>
      </c>
      <c r="I601" s="11">
        <v>543.78</v>
      </c>
      <c r="J601" s="10">
        <v>0.9737</v>
      </c>
      <c r="K601" s="11">
        <v>501.62</v>
      </c>
      <c r="L601" s="10">
        <v>0.9211</v>
      </c>
      <c r="M601" s="11">
        <v>532.57</v>
      </c>
      <c r="N601" s="10">
        <v>0.9474</v>
      </c>
      <c r="O601" s="11">
        <v>533.33</v>
      </c>
      <c r="P601" s="10">
        <v>1</v>
      </c>
      <c r="Q601" s="10">
        <v>0.3219</v>
      </c>
      <c r="R601" s="10">
        <v>0.9737</v>
      </c>
      <c r="S601" s="10">
        <v>0.2371</v>
      </c>
      <c r="T601" s="8">
        <f>IF(and(ISNUMBER(D601), isnumber(E601)), 1, 0) + IF(and(ISNUMBER(F601), isnumber(G601)), 1, 0) + IF(and(ISNUMBER(H601), isnumber(I601)), 1, 0) + IF(and(ISNUMBER(J601), isnumber(K601)), 1, 0) + IF(and(ISNUMBER(L601), isnumber(M601)), 1, 0) + IF(and(ISNUMBER(N601), isnumber(O601)), 1, 0)</f>
      </c>
      <c r="U601" s="8">
        <f>IF(and(ISNUMBER(P601), isnumber(Q601)), 1, 0) + IF(and(ISNUMBER(R601), isnumber(S601)), 1, 0)</f>
      </c>
      <c r="V601" s="13"/>
      <c r="W601" s="13"/>
      <c r="X601" s="16"/>
    </row>
    <row x14ac:dyDescent="0.25" r="602" customHeight="1" ht="15.75">
      <c r="A602" s="8">
        <v>25893</v>
      </c>
      <c r="B602" s="13" t="s">
        <v>126</v>
      </c>
      <c r="C602" s="13" t="s">
        <v>5800</v>
      </c>
      <c r="D602" s="10">
        <v>0.9231</v>
      </c>
      <c r="E602" s="11">
        <v>290.34</v>
      </c>
      <c r="F602" s="10">
        <v>0.7089</v>
      </c>
      <c r="G602" s="11">
        <v>435.98</v>
      </c>
      <c r="H602" s="10">
        <v>0.6821</v>
      </c>
      <c r="I602" s="11">
        <v>423.67</v>
      </c>
      <c r="J602" s="10">
        <v>0.7311</v>
      </c>
      <c r="K602" s="11">
        <v>379.55</v>
      </c>
      <c r="L602" s="10">
        <v>0.7451</v>
      </c>
      <c r="M602" s="11">
        <v>433.19</v>
      </c>
      <c r="N602" s="10">
        <v>0.7325</v>
      </c>
      <c r="O602" s="11">
        <v>430.95</v>
      </c>
      <c r="P602" s="10">
        <v>0.9231</v>
      </c>
      <c r="Q602" s="10">
        <v>0.2037</v>
      </c>
      <c r="R602" s="10">
        <v>0.7311</v>
      </c>
      <c r="S602" s="10">
        <v>0.2015</v>
      </c>
      <c r="T602" s="8">
        <f>IF(and(ISNUMBER(D602), isnumber(E602)), 1, 0) + IF(and(ISNUMBER(F602), isnumber(G602)), 1, 0) + IF(and(ISNUMBER(H602), isnumber(I602)), 1, 0) + IF(and(ISNUMBER(J602), isnumber(K602)), 1, 0) + IF(and(ISNUMBER(L602), isnumber(M602)), 1, 0) + IF(and(ISNUMBER(N602), isnumber(O602)), 1, 0)</f>
      </c>
      <c r="U602" s="8">
        <f>IF(and(ISNUMBER(P602), isnumber(Q602)), 1, 0) + IF(and(ISNUMBER(R602), isnumber(S602)), 1, 0)</f>
      </c>
      <c r="V602" s="13"/>
      <c r="W602" s="13"/>
      <c r="X602" s="16"/>
    </row>
    <row x14ac:dyDescent="0.25" r="603" customHeight="1" ht="15.75">
      <c r="A603" s="8">
        <v>25363</v>
      </c>
      <c r="B603" s="13" t="s">
        <v>103</v>
      </c>
      <c r="C603" s="13" t="s">
        <v>5803</v>
      </c>
      <c r="D603" s="10">
        <v>0.9493</v>
      </c>
      <c r="E603" s="11">
        <v>109.6</v>
      </c>
      <c r="F603" s="10">
        <v>0.9698</v>
      </c>
      <c r="G603" s="11">
        <v>208.08</v>
      </c>
      <c r="H603" s="10">
        <v>0.361</v>
      </c>
      <c r="I603" s="11" t="s">
        <v>7127</v>
      </c>
      <c r="J603" s="10">
        <v>0.4225</v>
      </c>
      <c r="K603" s="11">
        <v>230.92</v>
      </c>
      <c r="L603" s="10">
        <v>0.4314</v>
      </c>
      <c r="M603" s="11">
        <v>228.7</v>
      </c>
      <c r="N603" s="10">
        <v>0.4433</v>
      </c>
      <c r="O603" s="11">
        <v>278.03</v>
      </c>
      <c r="P603" s="10">
        <v>0.9493</v>
      </c>
      <c r="Q603" s="10">
        <v>0.1353</v>
      </c>
      <c r="R603" s="10">
        <v>0.4225</v>
      </c>
      <c r="S603" s="10">
        <v>0.2033</v>
      </c>
      <c r="T603" s="8">
        <f>IF(and(ISNUMBER(D603), isnumber(E603)), 1, 0) + IF(and(ISNUMBER(F603), isnumber(G603)), 1, 0) + IF(and(ISNUMBER(H603), isnumber(I603)), 1, 0) + IF(and(ISNUMBER(J603), isnumber(K603)), 1, 0) + IF(and(ISNUMBER(L603), isnumber(M603)), 1, 0) + IF(and(ISNUMBER(N603), isnumber(O603)), 1, 0)</f>
      </c>
      <c r="U603" s="8">
        <f>IF(and(ISNUMBER(P603), isnumber(Q603)), 1, 0) + IF(and(ISNUMBER(R603), isnumber(S603)), 1, 0)</f>
      </c>
      <c r="V603" s="13"/>
      <c r="W603" s="13"/>
      <c r="X603" s="16"/>
    </row>
    <row x14ac:dyDescent="0.25" r="604" customHeight="1" ht="15.75">
      <c r="A604" s="8">
        <v>25364</v>
      </c>
      <c r="B604" s="13" t="s">
        <v>103</v>
      </c>
      <c r="C604" s="13" t="s">
        <v>5805</v>
      </c>
      <c r="D604" s="10">
        <v>0.6557</v>
      </c>
      <c r="E604" s="11">
        <v>153.73</v>
      </c>
      <c r="F604" s="10">
        <v>0.5897</v>
      </c>
      <c r="G604" s="11">
        <v>342</v>
      </c>
      <c r="H604" s="10">
        <v>0.5165</v>
      </c>
      <c r="I604" s="11">
        <v>343.43</v>
      </c>
      <c r="J604" s="10">
        <v>0.5897</v>
      </c>
      <c r="K604" s="11">
        <v>233.21</v>
      </c>
      <c r="L604" s="10">
        <v>0.5018</v>
      </c>
      <c r="M604" s="11">
        <v>350.66</v>
      </c>
      <c r="N604" s="10">
        <v>0</v>
      </c>
      <c r="O604" s="11" t="s">
        <v>7127</v>
      </c>
      <c r="P604" s="10">
        <v>0.6557</v>
      </c>
      <c r="Q604" s="10">
        <v>0.2292</v>
      </c>
      <c r="R604" s="10">
        <v>0.5897</v>
      </c>
      <c r="S604" s="10">
        <v>0.2104</v>
      </c>
      <c r="T604" s="8">
        <f>IF(and(ISNUMBER(D604), isnumber(E604)), 1, 0) + IF(and(ISNUMBER(F604), isnumber(G604)), 1, 0) + IF(and(ISNUMBER(H604), isnumber(I604)), 1, 0) + IF(and(ISNUMBER(J604), isnumber(K604)), 1, 0) + IF(and(ISNUMBER(L604), isnumber(M604)), 1, 0) + IF(and(ISNUMBER(N604), isnumber(O604)), 1, 0)</f>
      </c>
      <c r="U604" s="8">
        <f>IF(and(ISNUMBER(P604), isnumber(Q604)), 1, 0) + IF(and(ISNUMBER(R604), isnumber(S604)), 1, 0)</f>
      </c>
      <c r="V604" s="13"/>
      <c r="W604" s="13"/>
      <c r="X604" s="16"/>
    </row>
    <row x14ac:dyDescent="0.25" r="605" customHeight="1" ht="15.75">
      <c r="A605" s="8">
        <v>25365</v>
      </c>
      <c r="B605" s="13" t="s">
        <v>103</v>
      </c>
      <c r="C605" s="13" t="s">
        <v>5807</v>
      </c>
      <c r="D605" s="10">
        <v>0.7983</v>
      </c>
      <c r="E605" s="11">
        <v>285.36</v>
      </c>
      <c r="F605" s="10">
        <v>0.6513</v>
      </c>
      <c r="G605" s="11">
        <v>381.35</v>
      </c>
      <c r="H605" s="10">
        <v>0.6686</v>
      </c>
      <c r="I605" s="11">
        <v>429.34</v>
      </c>
      <c r="J605" s="10">
        <v>0.5735</v>
      </c>
      <c r="K605" s="11">
        <v>362.14</v>
      </c>
      <c r="L605" s="10">
        <v>0.6513</v>
      </c>
      <c r="M605" s="11">
        <v>359.28</v>
      </c>
      <c r="N605" s="10">
        <v>0.0058</v>
      </c>
      <c r="O605" s="11">
        <v>260</v>
      </c>
      <c r="P605" s="10">
        <v>0.7983</v>
      </c>
      <c r="Q605" s="10">
        <v>0.2416</v>
      </c>
      <c r="R605" s="10">
        <v>0.5735</v>
      </c>
      <c r="S605" s="10">
        <v>0.2035</v>
      </c>
      <c r="T605" s="8">
        <f>IF(and(ISNUMBER(D605), isnumber(E605)), 1, 0) + IF(and(ISNUMBER(F605), isnumber(G605)), 1, 0) + IF(and(ISNUMBER(H605), isnumber(I605)), 1, 0) + IF(and(ISNUMBER(J605), isnumber(K605)), 1, 0) + IF(and(ISNUMBER(L605), isnumber(M605)), 1, 0) + IF(and(ISNUMBER(N605), isnumber(O605)), 1, 0)</f>
      </c>
      <c r="U605" s="8">
        <f>IF(and(ISNUMBER(P605), isnumber(Q605)), 1, 0) + IF(and(ISNUMBER(R605), isnumber(S605)), 1, 0)</f>
      </c>
      <c r="V605" s="13"/>
      <c r="W605" s="13"/>
      <c r="X605" s="16"/>
    </row>
    <row x14ac:dyDescent="0.25" r="606" customHeight="1" ht="15.75">
      <c r="A606" s="8">
        <v>25366</v>
      </c>
      <c r="B606" s="13" t="s">
        <v>103</v>
      </c>
      <c r="C606" s="13" t="s">
        <v>5810</v>
      </c>
      <c r="D606" s="10">
        <v>0.4118</v>
      </c>
      <c r="E606" s="11">
        <v>71.43</v>
      </c>
      <c r="F606" s="10">
        <v>0.2059</v>
      </c>
      <c r="G606" s="11">
        <v>325.71</v>
      </c>
      <c r="H606" s="10">
        <v>0.2118</v>
      </c>
      <c r="I606" s="11">
        <v>357.78</v>
      </c>
      <c r="J606" s="10">
        <v>0.6471</v>
      </c>
      <c r="K606" s="11">
        <v>210.91</v>
      </c>
      <c r="L606" s="10">
        <v>0.2706</v>
      </c>
      <c r="M606" s="11">
        <v>313.04</v>
      </c>
      <c r="N606" s="10">
        <v>0.2118</v>
      </c>
      <c r="O606" s="11">
        <v>400</v>
      </c>
      <c r="P606" s="10">
        <v>0.4118</v>
      </c>
      <c r="Q606" s="10">
        <v>0.1601</v>
      </c>
      <c r="R606" s="10">
        <v>0.6471</v>
      </c>
      <c r="S606" s="10">
        <v>0.1917</v>
      </c>
      <c r="T606" s="8">
        <f>IF(and(ISNUMBER(D606), isnumber(E606)), 1, 0) + IF(and(ISNUMBER(F606), isnumber(G606)), 1, 0) + IF(and(ISNUMBER(H606), isnumber(I606)), 1, 0) + IF(and(ISNUMBER(J606), isnumber(K606)), 1, 0) + IF(and(ISNUMBER(L606), isnumber(M606)), 1, 0) + IF(and(ISNUMBER(N606), isnumber(O606)), 1, 0)</f>
      </c>
      <c r="U606" s="8">
        <f>IF(and(ISNUMBER(P606), isnumber(Q606)), 1, 0) + IF(and(ISNUMBER(R606), isnumber(S606)), 1, 0)</f>
      </c>
      <c r="V606" s="13"/>
      <c r="W606" s="13"/>
      <c r="X606" s="16"/>
    </row>
    <row x14ac:dyDescent="0.25" r="607" customHeight="1" ht="15.75">
      <c r="A607" s="8">
        <v>25367</v>
      </c>
      <c r="B607" s="13" t="s">
        <v>103</v>
      </c>
      <c r="C607" s="13" t="s">
        <v>5811</v>
      </c>
      <c r="D607" s="10">
        <v>0.6613</v>
      </c>
      <c r="E607" s="11">
        <v>60.9</v>
      </c>
      <c r="F607" s="10">
        <v>0.4677</v>
      </c>
      <c r="G607" s="11">
        <v>315.21</v>
      </c>
      <c r="H607" s="10">
        <v>0.4097</v>
      </c>
      <c r="I607" s="11">
        <v>340</v>
      </c>
      <c r="J607" s="10">
        <v>0.5258</v>
      </c>
      <c r="K607" s="11">
        <v>272.97</v>
      </c>
      <c r="L607" s="10">
        <v>0.4194</v>
      </c>
      <c r="M607" s="11">
        <v>393.18</v>
      </c>
      <c r="N607" s="10">
        <v>0</v>
      </c>
      <c r="O607" s="11" t="s">
        <v>7127</v>
      </c>
      <c r="P607" s="10">
        <v>0.6613</v>
      </c>
      <c r="Q607" s="10">
        <v>0.2091</v>
      </c>
      <c r="R607" s="10">
        <v>0.5258</v>
      </c>
      <c r="S607" s="10">
        <v>0.1956</v>
      </c>
      <c r="T607" s="8">
        <f>IF(and(ISNUMBER(D607), isnumber(E607)), 1, 0) + IF(and(ISNUMBER(F607), isnumber(G607)), 1, 0) + IF(and(ISNUMBER(H607), isnumber(I607)), 1, 0) + IF(and(ISNUMBER(J607), isnumber(K607)), 1, 0) + IF(and(ISNUMBER(L607), isnumber(M607)), 1, 0) + IF(and(ISNUMBER(N607), isnumber(O607)), 1, 0)</f>
      </c>
      <c r="U607" s="8">
        <f>IF(and(ISNUMBER(P607), isnumber(Q607)), 1, 0) + IF(and(ISNUMBER(R607), isnumber(S607)), 1, 0)</f>
      </c>
      <c r="V607" s="13"/>
      <c r="W607" s="13"/>
      <c r="X607" s="16"/>
    </row>
    <row x14ac:dyDescent="0.25" r="608" customHeight="1" ht="15.75">
      <c r="A608" s="8">
        <v>25368</v>
      </c>
      <c r="B608" s="13" t="s">
        <v>103</v>
      </c>
      <c r="C608" s="13" t="s">
        <v>4579</v>
      </c>
      <c r="D608" s="10">
        <v>0.3636</v>
      </c>
      <c r="E608" s="11">
        <v>78.4</v>
      </c>
      <c r="F608" s="10">
        <v>0.2955</v>
      </c>
      <c r="G608" s="11">
        <v>310.4</v>
      </c>
      <c r="H608" s="10">
        <v>0.1932</v>
      </c>
      <c r="I608" s="11">
        <v>324.71</v>
      </c>
      <c r="J608" s="10">
        <v>0.2273</v>
      </c>
      <c r="K608" s="11">
        <v>288.42</v>
      </c>
      <c r="L608" s="10">
        <v>0.2273</v>
      </c>
      <c r="M608" s="11">
        <v>252.63</v>
      </c>
      <c r="N608" s="10">
        <v>0</v>
      </c>
      <c r="O608" s="11" t="s">
        <v>7127</v>
      </c>
      <c r="P608" s="10">
        <v>0.3636</v>
      </c>
      <c r="Q608" s="10">
        <v>0.1797</v>
      </c>
      <c r="R608" s="10">
        <v>0.2273</v>
      </c>
      <c r="S608" s="10">
        <v>0.2086</v>
      </c>
      <c r="T608" s="8">
        <f>IF(and(ISNUMBER(D608), isnumber(E608)), 1, 0) + IF(and(ISNUMBER(F608), isnumber(G608)), 1, 0) + IF(and(ISNUMBER(H608), isnumber(I608)), 1, 0) + IF(and(ISNUMBER(J608), isnumber(K608)), 1, 0) + IF(and(ISNUMBER(L608), isnumber(M608)), 1, 0) + IF(and(ISNUMBER(N608), isnumber(O608)), 1, 0)</f>
      </c>
      <c r="U608" s="8">
        <f>IF(and(ISNUMBER(P608), isnumber(Q608)), 1, 0) + IF(and(ISNUMBER(R608), isnumber(S608)), 1, 0)</f>
      </c>
      <c r="V608" s="13"/>
      <c r="W608" s="13"/>
      <c r="X608" s="16"/>
    </row>
    <row x14ac:dyDescent="0.25" r="609" customHeight="1" ht="15.75">
      <c r="A609" s="8">
        <v>25369</v>
      </c>
      <c r="B609" s="13" t="s">
        <v>103</v>
      </c>
      <c r="C609" s="13" t="s">
        <v>5815</v>
      </c>
      <c r="D609" s="10">
        <v>0.3094</v>
      </c>
      <c r="E609" s="11" t="s">
        <v>7127</v>
      </c>
      <c r="F609" s="10">
        <v>0.5925</v>
      </c>
      <c r="G609" s="11">
        <v>431.63</v>
      </c>
      <c r="H609" s="10">
        <v>0.3881</v>
      </c>
      <c r="I609" s="11">
        <v>495.79</v>
      </c>
      <c r="J609" s="10">
        <v>0.5979</v>
      </c>
      <c r="K609" s="11">
        <v>380.96</v>
      </c>
      <c r="L609" s="10">
        <v>0.3143</v>
      </c>
      <c r="M609" s="11">
        <v>424.05</v>
      </c>
      <c r="N609" s="10">
        <v>0</v>
      </c>
      <c r="O609" s="11" t="s">
        <v>7127</v>
      </c>
      <c r="P609" s="10">
        <v>0.3094</v>
      </c>
      <c r="Q609" s="10">
        <v>0.2501</v>
      </c>
      <c r="R609" s="10">
        <v>0.5979</v>
      </c>
      <c r="S609" s="10">
        <v>0.2132</v>
      </c>
      <c r="T609" s="8">
        <f>IF(and(ISNUMBER(D609), isnumber(E609)), 1, 0) + IF(and(ISNUMBER(F609), isnumber(G609)), 1, 0) + IF(and(ISNUMBER(H609), isnumber(I609)), 1, 0) + IF(and(ISNUMBER(J609), isnumber(K609)), 1, 0) + IF(and(ISNUMBER(L609), isnumber(M609)), 1, 0) + IF(and(ISNUMBER(N609), isnumber(O609)), 1, 0)</f>
      </c>
      <c r="U609" s="8">
        <f>IF(and(ISNUMBER(P609), isnumber(Q609)), 1, 0) + IF(and(ISNUMBER(R609), isnumber(S609)), 1, 0)</f>
      </c>
      <c r="V609" s="13"/>
      <c r="W609" s="13"/>
      <c r="X609" s="16"/>
    </row>
    <row x14ac:dyDescent="0.25" r="610" customHeight="1" ht="15.75">
      <c r="A610" s="8">
        <v>25370</v>
      </c>
      <c r="B610" s="13" t="s">
        <v>103</v>
      </c>
      <c r="C610" s="13" t="s">
        <v>5819</v>
      </c>
      <c r="D610" s="10">
        <v>0.6652</v>
      </c>
      <c r="E610" s="11">
        <v>305.94</v>
      </c>
      <c r="F610" s="10">
        <v>0.6024</v>
      </c>
      <c r="G610" s="11">
        <v>364.1</v>
      </c>
      <c r="H610" s="10">
        <v>0.5327</v>
      </c>
      <c r="I610" s="11" t="s">
        <v>7127</v>
      </c>
      <c r="J610" s="10">
        <v>0.3034</v>
      </c>
      <c r="K610" s="11">
        <v>250.69</v>
      </c>
      <c r="L610" s="10">
        <v>0.5776</v>
      </c>
      <c r="M610" s="11">
        <v>342.68</v>
      </c>
      <c r="N610" s="10">
        <v>0.0029</v>
      </c>
      <c r="O610" s="11" t="s">
        <v>7127</v>
      </c>
      <c r="P610" s="10">
        <v>0.6652</v>
      </c>
      <c r="Q610" s="10">
        <v>0.2549</v>
      </c>
      <c r="R610" s="10">
        <v>0.3034</v>
      </c>
      <c r="S610" s="10">
        <v>0.2058</v>
      </c>
      <c r="T610" s="8">
        <f>IF(and(ISNUMBER(D610), isnumber(E610)), 1, 0) + IF(and(ISNUMBER(F610), isnumber(G610)), 1, 0) + IF(and(ISNUMBER(H610), isnumber(I610)), 1, 0) + IF(and(ISNUMBER(J610), isnumber(K610)), 1, 0) + IF(and(ISNUMBER(L610), isnumber(M610)), 1, 0) + IF(and(ISNUMBER(N610), isnumber(O610)), 1, 0)</f>
      </c>
      <c r="U610" s="8">
        <f>IF(and(ISNUMBER(P610), isnumber(Q610)), 1, 0) + IF(and(ISNUMBER(R610), isnumber(S610)), 1, 0)</f>
      </c>
      <c r="V610" s="13"/>
      <c r="W610" s="13"/>
      <c r="X610" s="16"/>
    </row>
    <row x14ac:dyDescent="0.25" r="611" customHeight="1" ht="15.75">
      <c r="A611" s="8">
        <v>25371</v>
      </c>
      <c r="B611" s="13" t="s">
        <v>103</v>
      </c>
      <c r="C611" s="13" t="s">
        <v>14490</v>
      </c>
      <c r="D611" s="10">
        <v>0.4559</v>
      </c>
      <c r="E611" s="11">
        <v>115.02</v>
      </c>
      <c r="F611" s="10">
        <v>0.0147</v>
      </c>
      <c r="G611" s="11" t="s">
        <v>7127</v>
      </c>
      <c r="H611" s="10">
        <v>0.025</v>
      </c>
      <c r="I611" s="11" t="s">
        <v>7127</v>
      </c>
      <c r="J611" s="10">
        <v>0</v>
      </c>
      <c r="K611" s="11" t="s">
        <v>7127</v>
      </c>
      <c r="L611" s="10">
        <v>0</v>
      </c>
      <c r="M611" s="11" t="s">
        <v>7127</v>
      </c>
      <c r="N611" s="10">
        <v>0</v>
      </c>
      <c r="O611" s="11" t="s">
        <v>7127</v>
      </c>
      <c r="P611" s="10">
        <v>0.4559</v>
      </c>
      <c r="Q611" s="10">
        <v>0.2187</v>
      </c>
      <c r="R611" s="10">
        <v>0</v>
      </c>
      <c r="S611" s="10" t="s">
        <v>7127</v>
      </c>
      <c r="T611" s="8">
        <f>IF(and(ISNUMBER(D611), isnumber(E611)), 1, 0) + IF(and(ISNUMBER(F611), isnumber(G611)), 1, 0) + IF(and(ISNUMBER(H611), isnumber(I611)), 1, 0) + IF(and(ISNUMBER(J611), isnumber(K611)), 1, 0) + IF(and(ISNUMBER(L611), isnumber(M611)), 1, 0) + IF(and(ISNUMBER(N611), isnumber(O611)), 1, 0)</f>
      </c>
      <c r="U611" s="8">
        <f>IF(and(ISNUMBER(P611), isnumber(Q611)), 1, 0) + IF(and(ISNUMBER(R611), isnumber(S611)), 1, 0)</f>
      </c>
      <c r="V611" s="13"/>
      <c r="W611" s="13"/>
      <c r="X611" s="16"/>
    </row>
    <row x14ac:dyDescent="0.25" r="612" customHeight="1" ht="15.75">
      <c r="A612" s="8">
        <v>25372</v>
      </c>
      <c r="B612" s="13" t="s">
        <v>103</v>
      </c>
      <c r="C612" s="13" t="s">
        <v>5821</v>
      </c>
      <c r="D612" s="10">
        <v>0.7353</v>
      </c>
      <c r="E612" s="11">
        <v>209.25</v>
      </c>
      <c r="F612" s="10">
        <v>0.5588</v>
      </c>
      <c r="G612" s="11" t="s">
        <v>7127</v>
      </c>
      <c r="H612" s="10">
        <v>0.439</v>
      </c>
      <c r="I612" s="11" t="s">
        <v>7127</v>
      </c>
      <c r="J612" s="10">
        <v>0.4839</v>
      </c>
      <c r="K612" s="11">
        <v>253.33</v>
      </c>
      <c r="L612" s="10">
        <v>0.4634</v>
      </c>
      <c r="M612" s="11" t="s">
        <v>7127</v>
      </c>
      <c r="N612" s="10">
        <v>0</v>
      </c>
      <c r="O612" s="11" t="s">
        <v>7127</v>
      </c>
      <c r="P612" s="10">
        <v>0.7353</v>
      </c>
      <c r="Q612" s="10">
        <v>0.2309</v>
      </c>
      <c r="R612" s="10">
        <v>0.4839</v>
      </c>
      <c r="S612" s="10">
        <v>0.2021</v>
      </c>
      <c r="T612" s="8">
        <f>IF(and(ISNUMBER(D612), isnumber(E612)), 1, 0) + IF(and(ISNUMBER(F612), isnumber(G612)), 1, 0) + IF(and(ISNUMBER(H612), isnumber(I612)), 1, 0) + IF(and(ISNUMBER(J612), isnumber(K612)), 1, 0) + IF(and(ISNUMBER(L612), isnumber(M612)), 1, 0) + IF(and(ISNUMBER(N612), isnumber(O612)), 1, 0)</f>
      </c>
      <c r="U612" s="8">
        <f>IF(and(ISNUMBER(P612), isnumber(Q612)), 1, 0) + IF(and(ISNUMBER(R612), isnumber(S612)), 1, 0)</f>
      </c>
      <c r="V612" s="13"/>
      <c r="W612" s="13"/>
      <c r="X612" s="16"/>
    </row>
    <row x14ac:dyDescent="0.25" r="613" customHeight="1" ht="15.75">
      <c r="A613" s="8">
        <v>25373</v>
      </c>
      <c r="B613" s="13" t="s">
        <v>103</v>
      </c>
      <c r="C613" s="13" t="s">
        <v>5824</v>
      </c>
      <c r="D613" s="10">
        <v>0.4867</v>
      </c>
      <c r="E613" s="11">
        <v>228.27</v>
      </c>
      <c r="F613" s="10">
        <v>0.5683</v>
      </c>
      <c r="G613" s="11">
        <v>312.91</v>
      </c>
      <c r="H613" s="10">
        <v>0.5293</v>
      </c>
      <c r="I613" s="11">
        <v>333.48</v>
      </c>
      <c r="J613" s="10">
        <v>0.5031</v>
      </c>
      <c r="K613" s="11">
        <v>194.97</v>
      </c>
      <c r="L613" s="10">
        <v>0.3322</v>
      </c>
      <c r="M613" s="11">
        <v>332.73</v>
      </c>
      <c r="N613" s="10">
        <v>0.0009</v>
      </c>
      <c r="O613" s="11" t="s">
        <v>7127</v>
      </c>
      <c r="P613" s="10">
        <v>0.4867</v>
      </c>
      <c r="Q613" s="10">
        <v>0.2348</v>
      </c>
      <c r="R613" s="10">
        <v>0.5031</v>
      </c>
      <c r="S613" s="10">
        <v>0.197</v>
      </c>
      <c r="T613" s="8">
        <f>IF(and(ISNUMBER(D613), isnumber(E613)), 1, 0) + IF(and(ISNUMBER(F613), isnumber(G613)), 1, 0) + IF(and(ISNUMBER(H613), isnumber(I613)), 1, 0) + IF(and(ISNUMBER(J613), isnumber(K613)), 1, 0) + IF(and(ISNUMBER(L613), isnumber(M613)), 1, 0) + IF(and(ISNUMBER(N613), isnumber(O613)), 1, 0)</f>
      </c>
      <c r="U613" s="8">
        <f>IF(and(ISNUMBER(P613), isnumber(Q613)), 1, 0) + IF(and(ISNUMBER(R613), isnumber(S613)), 1, 0)</f>
      </c>
      <c r="V613" s="13"/>
      <c r="W613" s="13"/>
      <c r="X613" s="16"/>
    </row>
    <row x14ac:dyDescent="0.25" r="614" customHeight="1" ht="15.75">
      <c r="A614" s="8">
        <v>25374</v>
      </c>
      <c r="B614" s="13" t="s">
        <v>103</v>
      </c>
      <c r="C614" s="13" t="s">
        <v>5827</v>
      </c>
      <c r="D614" s="10">
        <v>0.2095</v>
      </c>
      <c r="E614" s="11">
        <v>6.32</v>
      </c>
      <c r="F614" s="10">
        <v>0</v>
      </c>
      <c r="G614" s="11" t="s">
        <v>7127</v>
      </c>
      <c r="H614" s="10">
        <v>0.4088</v>
      </c>
      <c r="I614" s="11">
        <v>234.38</v>
      </c>
      <c r="J614" s="10">
        <v>0.4764</v>
      </c>
      <c r="K614" s="11">
        <v>69.04</v>
      </c>
      <c r="L614" s="10">
        <v>0.0034</v>
      </c>
      <c r="M614" s="11">
        <v>440</v>
      </c>
      <c r="N614" s="10">
        <v>0.3851</v>
      </c>
      <c r="O614" s="11">
        <v>330.62</v>
      </c>
      <c r="P614" s="10">
        <v>0.2095</v>
      </c>
      <c r="Q614" s="10">
        <v>0.1974</v>
      </c>
      <c r="R614" s="10">
        <v>0.4764</v>
      </c>
      <c r="S614" s="10">
        <v>0.1974</v>
      </c>
      <c r="T614" s="8">
        <f>IF(and(ISNUMBER(D614), isnumber(E614)), 1, 0) + IF(and(ISNUMBER(F614), isnumber(G614)), 1, 0) + IF(and(ISNUMBER(H614), isnumber(I614)), 1, 0) + IF(and(ISNUMBER(J614), isnumber(K614)), 1, 0) + IF(and(ISNUMBER(L614), isnumber(M614)), 1, 0) + IF(and(ISNUMBER(N614), isnumber(O614)), 1, 0)</f>
      </c>
      <c r="U614" s="8">
        <f>IF(and(ISNUMBER(P614), isnumber(Q614)), 1, 0) + IF(and(ISNUMBER(R614), isnumber(S614)), 1, 0)</f>
      </c>
      <c r="V614" s="13"/>
      <c r="W614" s="13"/>
      <c r="X614" s="16"/>
    </row>
    <row x14ac:dyDescent="0.25" r="615" customHeight="1" ht="15.75">
      <c r="A615" s="8">
        <v>25375</v>
      </c>
      <c r="B615" s="13" t="s">
        <v>103</v>
      </c>
      <c r="C615" s="13" t="s">
        <v>5830</v>
      </c>
      <c r="D615" s="10">
        <v>0.6821</v>
      </c>
      <c r="E615" s="11">
        <v>117.52</v>
      </c>
      <c r="F615" s="10">
        <v>0.659</v>
      </c>
      <c r="G615" s="11">
        <v>309.82</v>
      </c>
      <c r="H615" s="10">
        <v>0.6301</v>
      </c>
      <c r="I615" s="11">
        <v>391.85</v>
      </c>
      <c r="J615" s="10">
        <v>0.6243</v>
      </c>
      <c r="K615" s="11">
        <v>286.32</v>
      </c>
      <c r="L615" s="10">
        <v>0.4855</v>
      </c>
      <c r="M615" s="11">
        <v>343.81</v>
      </c>
      <c r="N615" s="10">
        <v>0</v>
      </c>
      <c r="O615" s="11" t="s">
        <v>7127</v>
      </c>
      <c r="P615" s="10">
        <v>0.6821</v>
      </c>
      <c r="Q615" s="10">
        <v>0.2197</v>
      </c>
      <c r="R615" s="10">
        <v>0.6243</v>
      </c>
      <c r="S615" s="10">
        <v>0.1951</v>
      </c>
      <c r="T615" s="8">
        <f>IF(and(ISNUMBER(D615), isnumber(E615)), 1, 0) + IF(and(ISNUMBER(F615), isnumber(G615)), 1, 0) + IF(and(ISNUMBER(H615), isnumber(I615)), 1, 0) + IF(and(ISNUMBER(J615), isnumber(K615)), 1, 0) + IF(and(ISNUMBER(L615), isnumber(M615)), 1, 0) + IF(and(ISNUMBER(N615), isnumber(O615)), 1, 0)</f>
      </c>
      <c r="U615" s="8">
        <f>IF(and(ISNUMBER(P615), isnumber(Q615)), 1, 0) + IF(and(ISNUMBER(R615), isnumber(S615)), 1, 0)</f>
      </c>
      <c r="V615" s="13"/>
      <c r="W615" s="13"/>
      <c r="X615" s="16"/>
    </row>
    <row x14ac:dyDescent="0.25" r="616" customHeight="1" ht="15.75">
      <c r="A616" s="8">
        <v>25376</v>
      </c>
      <c r="B616" s="13" t="s">
        <v>103</v>
      </c>
      <c r="C616" s="13" t="s">
        <v>5832</v>
      </c>
      <c r="D616" s="10">
        <v>0.7607</v>
      </c>
      <c r="E616" s="11">
        <v>90.61</v>
      </c>
      <c r="F616" s="10">
        <v>0.3419</v>
      </c>
      <c r="G616" s="11">
        <v>274</v>
      </c>
      <c r="H616" s="10">
        <v>0.1768</v>
      </c>
      <c r="I616" s="11">
        <v>434.48</v>
      </c>
      <c r="J616" s="10">
        <v>0.026</v>
      </c>
      <c r="K616" s="11">
        <v>0</v>
      </c>
      <c r="L616" s="10">
        <v>0.1829</v>
      </c>
      <c r="M616" s="11">
        <v>338.67</v>
      </c>
      <c r="N616" s="10">
        <v>0</v>
      </c>
      <c r="O616" s="11" t="s">
        <v>7127</v>
      </c>
      <c r="P616" s="10">
        <v>0.7607</v>
      </c>
      <c r="Q616" s="10">
        <v>0.1148</v>
      </c>
      <c r="R616" s="10">
        <v>0.026</v>
      </c>
      <c r="S616" s="10">
        <v>0.1741</v>
      </c>
      <c r="T616" s="8">
        <f>IF(and(ISNUMBER(D616), isnumber(E616)), 1, 0) + IF(and(ISNUMBER(F616), isnumber(G616)), 1, 0) + IF(and(ISNUMBER(H616), isnumber(I616)), 1, 0) + IF(and(ISNUMBER(J616), isnumber(K616)), 1, 0) + IF(and(ISNUMBER(L616), isnumber(M616)), 1, 0) + IF(and(ISNUMBER(N616), isnumber(O616)), 1, 0)</f>
      </c>
      <c r="U616" s="8">
        <f>IF(and(ISNUMBER(P616), isnumber(Q616)), 1, 0) + IF(and(ISNUMBER(R616), isnumber(S616)), 1, 0)</f>
      </c>
      <c r="V616" s="13"/>
      <c r="W616" s="13"/>
      <c r="X616" s="16"/>
    </row>
    <row x14ac:dyDescent="0.25" r="617" customHeight="1" ht="15.75">
      <c r="A617" s="8">
        <v>25377</v>
      </c>
      <c r="B617" s="13" t="s">
        <v>103</v>
      </c>
      <c r="C617" s="13" t="s">
        <v>5835</v>
      </c>
      <c r="D617" s="10">
        <v>0.8579</v>
      </c>
      <c r="E617" s="11">
        <v>448.99</v>
      </c>
      <c r="F617" s="10">
        <v>0.8122</v>
      </c>
      <c r="G617" s="11">
        <v>478.49</v>
      </c>
      <c r="H617" s="10">
        <v>0.6447</v>
      </c>
      <c r="I617" s="11">
        <v>492.38</v>
      </c>
      <c r="J617" s="10">
        <v>0.7513</v>
      </c>
      <c r="K617" s="11">
        <v>470.32</v>
      </c>
      <c r="L617" s="10">
        <v>0.6751</v>
      </c>
      <c r="M617" s="11">
        <v>530.61</v>
      </c>
      <c r="N617" s="10">
        <v>0.0051</v>
      </c>
      <c r="O617" s="11">
        <v>600</v>
      </c>
      <c r="P617" s="10">
        <v>0.8579</v>
      </c>
      <c r="Q617" s="10">
        <v>0.3029</v>
      </c>
      <c r="R617" s="10">
        <v>0.7513</v>
      </c>
      <c r="S617" s="10">
        <v>0.224</v>
      </c>
      <c r="T617" s="8">
        <f>IF(and(ISNUMBER(D617), isnumber(E617)), 1, 0) + IF(and(ISNUMBER(F617), isnumber(G617)), 1, 0) + IF(and(ISNUMBER(H617), isnumber(I617)), 1, 0) + IF(and(ISNUMBER(J617), isnumber(K617)), 1, 0) + IF(and(ISNUMBER(L617), isnumber(M617)), 1, 0) + IF(and(ISNUMBER(N617), isnumber(O617)), 1, 0)</f>
      </c>
      <c r="U617" s="8">
        <f>IF(and(ISNUMBER(P617), isnumber(Q617)), 1, 0) + IF(and(ISNUMBER(R617), isnumber(S617)), 1, 0)</f>
      </c>
      <c r="V617" s="13"/>
      <c r="W617" s="13"/>
      <c r="X617" s="16"/>
    </row>
    <row x14ac:dyDescent="0.25" r="618" customHeight="1" ht="15.75">
      <c r="A618" s="8">
        <v>25378</v>
      </c>
      <c r="B618" s="13" t="s">
        <v>103</v>
      </c>
      <c r="C618" s="13" t="s">
        <v>5838</v>
      </c>
      <c r="D618" s="10">
        <v>0.9273</v>
      </c>
      <c r="E618" s="11">
        <v>207.41</v>
      </c>
      <c r="F618" s="10">
        <v>0.5545</v>
      </c>
      <c r="G618" s="11">
        <v>305.57</v>
      </c>
      <c r="H618" s="10">
        <v>0.5545</v>
      </c>
      <c r="I618" s="11">
        <v>400</v>
      </c>
      <c r="J618" s="10">
        <v>0.4636</v>
      </c>
      <c r="K618" s="11">
        <v>327.83</v>
      </c>
      <c r="L618" s="10">
        <v>0.4727</v>
      </c>
      <c r="M618" s="11">
        <v>306.92</v>
      </c>
      <c r="N618" s="10">
        <v>0</v>
      </c>
      <c r="O618" s="11" t="s">
        <v>7127</v>
      </c>
      <c r="P618" s="10">
        <v>0.9273</v>
      </c>
      <c r="Q618" s="10">
        <v>0.1692</v>
      </c>
      <c r="R618" s="10">
        <v>0.4636</v>
      </c>
      <c r="S618" s="10">
        <v>0.2019</v>
      </c>
      <c r="T618" s="8">
        <f>IF(and(ISNUMBER(D618), isnumber(E618)), 1, 0) + IF(and(ISNUMBER(F618), isnumber(G618)), 1, 0) + IF(and(ISNUMBER(H618), isnumber(I618)), 1, 0) + IF(and(ISNUMBER(J618), isnumber(K618)), 1, 0) + IF(and(ISNUMBER(L618), isnumber(M618)), 1, 0) + IF(and(ISNUMBER(N618), isnumber(O618)), 1, 0)</f>
      </c>
      <c r="U618" s="8">
        <f>IF(and(ISNUMBER(P618), isnumber(Q618)), 1, 0) + IF(and(ISNUMBER(R618), isnumber(S618)), 1, 0)</f>
      </c>
      <c r="V618" s="13"/>
      <c r="W618" s="13"/>
      <c r="X618" s="16"/>
    </row>
    <row x14ac:dyDescent="0.25" r="619" customHeight="1" ht="15.75">
      <c r="A619" s="8">
        <v>25379</v>
      </c>
      <c r="B619" s="13" t="s">
        <v>103</v>
      </c>
      <c r="C619" s="13" t="s">
        <v>5841</v>
      </c>
      <c r="D619" s="10">
        <v>0.6485</v>
      </c>
      <c r="E619" s="11">
        <v>221.4</v>
      </c>
      <c r="F619" s="10">
        <v>0.4629</v>
      </c>
      <c r="G619" s="11">
        <v>364.71</v>
      </c>
      <c r="H619" s="10">
        <v>0.4533</v>
      </c>
      <c r="I619" s="11">
        <v>406.14</v>
      </c>
      <c r="J619" s="10">
        <v>0.5097</v>
      </c>
      <c r="K619" s="11">
        <v>213.71</v>
      </c>
      <c r="L619" s="10">
        <v>0.3886</v>
      </c>
      <c r="M619" s="11">
        <v>363.84</v>
      </c>
      <c r="N619" s="10">
        <v>0</v>
      </c>
      <c r="O619" s="11" t="s">
        <v>7127</v>
      </c>
      <c r="P619" s="10">
        <v>0.6485</v>
      </c>
      <c r="Q619" s="10">
        <v>0.2429</v>
      </c>
      <c r="R619" s="10">
        <v>0.5097</v>
      </c>
      <c r="S619" s="10">
        <v>0.1999</v>
      </c>
      <c r="T619" s="8">
        <f>IF(and(ISNUMBER(D619), isnumber(E619)), 1, 0) + IF(and(ISNUMBER(F619), isnumber(G619)), 1, 0) + IF(and(ISNUMBER(H619), isnumber(I619)), 1, 0) + IF(and(ISNUMBER(J619), isnumber(K619)), 1, 0) + IF(and(ISNUMBER(L619), isnumber(M619)), 1, 0) + IF(and(ISNUMBER(N619), isnumber(O619)), 1, 0)</f>
      </c>
      <c r="U619" s="8">
        <f>IF(and(ISNUMBER(P619), isnumber(Q619)), 1, 0) + IF(and(ISNUMBER(R619), isnumber(S619)), 1, 0)</f>
      </c>
      <c r="V619" s="13"/>
      <c r="W619" s="13"/>
      <c r="X619" s="16"/>
    </row>
    <row x14ac:dyDescent="0.25" r="620" customHeight="1" ht="15.75">
      <c r="A620" s="8">
        <v>25380</v>
      </c>
      <c r="B620" s="13" t="s">
        <v>103</v>
      </c>
      <c r="C620" s="13" t="s">
        <v>5845</v>
      </c>
      <c r="D620" s="10">
        <v>0.631</v>
      </c>
      <c r="E620" s="11">
        <v>123.4</v>
      </c>
      <c r="F620" s="10">
        <v>0.4118</v>
      </c>
      <c r="G620" s="11" t="s">
        <v>7127</v>
      </c>
      <c r="H620" s="10">
        <v>0.3821</v>
      </c>
      <c r="I620" s="11">
        <v>379.02</v>
      </c>
      <c r="J620" s="10">
        <v>0.5394</v>
      </c>
      <c r="K620" s="11">
        <v>85.85</v>
      </c>
      <c r="L620" s="10">
        <v>0.4104</v>
      </c>
      <c r="M620" s="11">
        <v>317.59</v>
      </c>
      <c r="N620" s="10">
        <v>0</v>
      </c>
      <c r="O620" s="11" t="s">
        <v>7127</v>
      </c>
      <c r="P620" s="10">
        <v>0.631</v>
      </c>
      <c r="Q620" s="10">
        <v>0.2106</v>
      </c>
      <c r="R620" s="10">
        <v>0.5394</v>
      </c>
      <c r="S620" s="10">
        <v>0.1925</v>
      </c>
      <c r="T620" s="8">
        <f>IF(and(ISNUMBER(D620), isnumber(E620)), 1, 0) + IF(and(ISNUMBER(F620), isnumber(G620)), 1, 0) + IF(and(ISNUMBER(H620), isnumber(I620)), 1, 0) + IF(and(ISNUMBER(J620), isnumber(K620)), 1, 0) + IF(and(ISNUMBER(L620), isnumber(M620)), 1, 0) + IF(and(ISNUMBER(N620), isnumber(O620)), 1, 0)</f>
      </c>
      <c r="U620" s="8">
        <f>IF(and(ISNUMBER(P620), isnumber(Q620)), 1, 0) + IF(and(ISNUMBER(R620), isnumber(S620)), 1, 0)</f>
      </c>
      <c r="V620" s="13"/>
      <c r="W620" s="13"/>
      <c r="X620" s="16"/>
    </row>
    <row x14ac:dyDescent="0.25" r="621" customHeight="1" ht="15.75">
      <c r="A621" s="8">
        <v>25381</v>
      </c>
      <c r="B621" s="13" t="s">
        <v>103</v>
      </c>
      <c r="C621" s="13" t="s">
        <v>5847</v>
      </c>
      <c r="D621" s="10">
        <v>0.6952</v>
      </c>
      <c r="E621" s="11">
        <v>107.09</v>
      </c>
      <c r="F621" s="10">
        <v>0.2888</v>
      </c>
      <c r="G621" s="11">
        <v>296.3</v>
      </c>
      <c r="H621" s="10">
        <v>0.4599</v>
      </c>
      <c r="I621" s="11">
        <v>348.24</v>
      </c>
      <c r="J621" s="10">
        <v>0.5668</v>
      </c>
      <c r="K621" s="11">
        <v>215</v>
      </c>
      <c r="L621" s="10">
        <v>0.5348</v>
      </c>
      <c r="M621" s="11">
        <v>337.14</v>
      </c>
      <c r="N621" s="10">
        <v>0.0053</v>
      </c>
      <c r="O621" s="11">
        <v>560</v>
      </c>
      <c r="P621" s="10">
        <v>0.6952</v>
      </c>
      <c r="Q621" s="10">
        <v>0.199</v>
      </c>
      <c r="R621" s="10">
        <v>0.5668</v>
      </c>
      <c r="S621" s="10">
        <v>0.1949</v>
      </c>
      <c r="T621" s="8">
        <f>IF(and(ISNUMBER(D621), isnumber(E621)), 1, 0) + IF(and(ISNUMBER(F621), isnumber(G621)), 1, 0) + IF(and(ISNUMBER(H621), isnumber(I621)), 1, 0) + IF(and(ISNUMBER(J621), isnumber(K621)), 1, 0) + IF(and(ISNUMBER(L621), isnumber(M621)), 1, 0) + IF(and(ISNUMBER(N621), isnumber(O621)), 1, 0)</f>
      </c>
      <c r="U621" s="8">
        <f>IF(and(ISNUMBER(P621), isnumber(Q621)), 1, 0) + IF(and(ISNUMBER(R621), isnumber(S621)), 1, 0)</f>
      </c>
      <c r="V621" s="13"/>
      <c r="W621" s="13"/>
      <c r="X621" s="16"/>
    </row>
    <row x14ac:dyDescent="0.25" r="622" customHeight="1" ht="15.75">
      <c r="A622" s="8">
        <v>25382</v>
      </c>
      <c r="B622" s="13" t="s">
        <v>103</v>
      </c>
      <c r="C622" s="13" t="s">
        <v>5849</v>
      </c>
      <c r="D622" s="10">
        <v>0.4688</v>
      </c>
      <c r="E622" s="11">
        <v>210.66</v>
      </c>
      <c r="F622" s="10">
        <v>0.3125</v>
      </c>
      <c r="G622" s="11">
        <v>344</v>
      </c>
      <c r="H622" s="10">
        <v>0.2281</v>
      </c>
      <c r="I622" s="11">
        <v>347.7</v>
      </c>
      <c r="J622" s="10">
        <v>0.6222</v>
      </c>
      <c r="K622" s="11">
        <v>217.14</v>
      </c>
      <c r="L622" s="10">
        <v>0.4912</v>
      </c>
      <c r="M622" s="11">
        <v>57.14</v>
      </c>
      <c r="N622" s="10">
        <v>0</v>
      </c>
      <c r="O622" s="11" t="s">
        <v>7127</v>
      </c>
      <c r="P622" s="10">
        <v>0.4688</v>
      </c>
      <c r="Q622" s="10">
        <v>0.2243</v>
      </c>
      <c r="R622" s="10">
        <v>0.6222</v>
      </c>
      <c r="S622" s="10">
        <v>0.1862</v>
      </c>
      <c r="T622" s="8">
        <f>IF(and(ISNUMBER(D622), isnumber(E622)), 1, 0) + IF(and(ISNUMBER(F622), isnumber(G622)), 1, 0) + IF(and(ISNUMBER(H622), isnumber(I622)), 1, 0) + IF(and(ISNUMBER(J622), isnumber(K622)), 1, 0) + IF(and(ISNUMBER(L622), isnumber(M622)), 1, 0) + IF(and(ISNUMBER(N622), isnumber(O622)), 1, 0)</f>
      </c>
      <c r="U622" s="8">
        <f>IF(and(ISNUMBER(P622), isnumber(Q622)), 1, 0) + IF(and(ISNUMBER(R622), isnumber(S622)), 1, 0)</f>
      </c>
      <c r="V622" s="13"/>
      <c r="W622" s="13"/>
      <c r="X622" s="16"/>
    </row>
    <row x14ac:dyDescent="0.25" r="623" customHeight="1" ht="15.75">
      <c r="A623" s="8">
        <v>25383</v>
      </c>
      <c r="B623" s="13" t="s">
        <v>103</v>
      </c>
      <c r="C623" s="13" t="s">
        <v>11539</v>
      </c>
      <c r="D623" s="10">
        <v>0.7492</v>
      </c>
      <c r="E623" s="11">
        <v>148.35</v>
      </c>
      <c r="F623" s="10">
        <v>0.568</v>
      </c>
      <c r="G623" s="11">
        <v>281.08</v>
      </c>
      <c r="H623" s="10">
        <v>0.5952</v>
      </c>
      <c r="I623" s="11">
        <v>250.57</v>
      </c>
      <c r="J623" s="10">
        <v>0</v>
      </c>
      <c r="K623" s="11" t="s">
        <v>7127</v>
      </c>
      <c r="L623" s="10">
        <v>0.5076</v>
      </c>
      <c r="M623" s="11">
        <v>287.9</v>
      </c>
      <c r="N623" s="10">
        <v>0</v>
      </c>
      <c r="O623" s="11" t="s">
        <v>7127</v>
      </c>
      <c r="P623" s="10">
        <v>0.7492</v>
      </c>
      <c r="Q623" s="10">
        <v>0.1966</v>
      </c>
      <c r="R623" s="10">
        <v>0</v>
      </c>
      <c r="S623" s="10" t="s">
        <v>7127</v>
      </c>
      <c r="T623" s="8">
        <f>IF(and(ISNUMBER(D623), isnumber(E623)), 1, 0) + IF(and(ISNUMBER(F623), isnumber(G623)), 1, 0) + IF(and(ISNUMBER(H623), isnumber(I623)), 1, 0) + IF(and(ISNUMBER(J623), isnumber(K623)), 1, 0) + IF(and(ISNUMBER(L623), isnumber(M623)), 1, 0) + IF(and(ISNUMBER(N623), isnumber(O623)), 1, 0)</f>
      </c>
      <c r="U623" s="8">
        <f>IF(and(ISNUMBER(P623), isnumber(Q623)), 1, 0) + IF(and(ISNUMBER(R623), isnumber(S623)), 1, 0)</f>
      </c>
      <c r="V623" s="13"/>
      <c r="W623" s="13"/>
      <c r="X623" s="16"/>
    </row>
    <row x14ac:dyDescent="0.25" r="624" customHeight="1" ht="15.75">
      <c r="A624" s="8">
        <v>25384</v>
      </c>
      <c r="B624" s="13" t="s">
        <v>103</v>
      </c>
      <c r="C624" s="13" t="s">
        <v>5852</v>
      </c>
      <c r="D624" s="10">
        <v>0.7421</v>
      </c>
      <c r="E624" s="11">
        <v>151.49</v>
      </c>
      <c r="F624" s="10">
        <v>0.5737</v>
      </c>
      <c r="G624" s="11">
        <v>299.44</v>
      </c>
      <c r="H624" s="10">
        <v>0.4842</v>
      </c>
      <c r="I624" s="11">
        <v>349.78</v>
      </c>
      <c r="J624" s="10">
        <v>0.6474</v>
      </c>
      <c r="K624" s="11">
        <v>189.67</v>
      </c>
      <c r="L624" s="10">
        <v>0.6211</v>
      </c>
      <c r="M624" s="11">
        <v>356.21</v>
      </c>
      <c r="N624" s="10">
        <v>0</v>
      </c>
      <c r="O624" s="11" t="s">
        <v>7127</v>
      </c>
      <c r="P624" s="10">
        <v>0.7421</v>
      </c>
      <c r="Q624" s="10">
        <v>0.2198</v>
      </c>
      <c r="R624" s="10">
        <v>0.6474</v>
      </c>
      <c r="S624" s="10">
        <v>0.2083</v>
      </c>
      <c r="T624" s="8">
        <f>IF(and(ISNUMBER(D624), isnumber(E624)), 1, 0) + IF(and(ISNUMBER(F624), isnumber(G624)), 1, 0) + IF(and(ISNUMBER(H624), isnumber(I624)), 1, 0) + IF(and(ISNUMBER(J624), isnumber(K624)), 1, 0) + IF(and(ISNUMBER(L624), isnumber(M624)), 1, 0) + IF(and(ISNUMBER(N624), isnumber(O624)), 1, 0)</f>
      </c>
      <c r="U624" s="8">
        <f>IF(and(ISNUMBER(P624), isnumber(Q624)), 1, 0) + IF(and(ISNUMBER(R624), isnumber(S624)), 1, 0)</f>
      </c>
      <c r="V624" s="13"/>
      <c r="W624" s="13"/>
      <c r="X624" s="16"/>
    </row>
    <row x14ac:dyDescent="0.25" r="625" customHeight="1" ht="15.75">
      <c r="A625" s="8">
        <v>25385</v>
      </c>
      <c r="B625" s="13" t="s">
        <v>103</v>
      </c>
      <c r="C625" s="13" t="s">
        <v>5854</v>
      </c>
      <c r="D625" s="10">
        <v>0.5862</v>
      </c>
      <c r="E625" s="11">
        <v>122.35</v>
      </c>
      <c r="F625" s="10">
        <v>0.4</v>
      </c>
      <c r="G625" s="11">
        <v>319.32</v>
      </c>
      <c r="H625" s="10">
        <v>0.2989</v>
      </c>
      <c r="I625" s="11">
        <v>352.03</v>
      </c>
      <c r="J625" s="10">
        <v>0.4706</v>
      </c>
      <c r="K625" s="11">
        <v>190.01</v>
      </c>
      <c r="L625" s="10">
        <v>0.2174</v>
      </c>
      <c r="M625" s="11">
        <v>238.96</v>
      </c>
      <c r="N625" s="10">
        <v>0</v>
      </c>
      <c r="O625" s="11" t="s">
        <v>7127</v>
      </c>
      <c r="P625" s="10">
        <v>0.5862</v>
      </c>
      <c r="Q625" s="10">
        <v>0.2084</v>
      </c>
      <c r="R625" s="10">
        <v>0.4706</v>
      </c>
      <c r="S625" s="10">
        <v>0.1868</v>
      </c>
      <c r="T625" s="8">
        <f>IF(and(ISNUMBER(D625), isnumber(E625)), 1, 0) + IF(and(ISNUMBER(F625), isnumber(G625)), 1, 0) + IF(and(ISNUMBER(H625), isnumber(I625)), 1, 0) + IF(and(ISNUMBER(J625), isnumber(K625)), 1, 0) + IF(and(ISNUMBER(L625), isnumber(M625)), 1, 0) + IF(and(ISNUMBER(N625), isnumber(O625)), 1, 0)</f>
      </c>
      <c r="U625" s="8">
        <f>IF(and(ISNUMBER(P625), isnumber(Q625)), 1, 0) + IF(and(ISNUMBER(R625), isnumber(S625)), 1, 0)</f>
      </c>
      <c r="V625" s="13"/>
      <c r="W625" s="13"/>
      <c r="X625" s="16"/>
    </row>
    <row x14ac:dyDescent="0.25" r="626" customHeight="1" ht="15.75">
      <c r="A626" s="8">
        <v>25386</v>
      </c>
      <c r="B626" s="13" t="s">
        <v>103</v>
      </c>
      <c r="C626" s="13" t="s">
        <v>5857</v>
      </c>
      <c r="D626" s="10">
        <v>0.7877</v>
      </c>
      <c r="E626" s="11">
        <v>133.17</v>
      </c>
      <c r="F626" s="10">
        <v>0.6226</v>
      </c>
      <c r="G626" s="11">
        <v>356.77</v>
      </c>
      <c r="H626" s="10">
        <v>0.5566</v>
      </c>
      <c r="I626" s="11">
        <v>427.12</v>
      </c>
      <c r="J626" s="10">
        <v>0.5755</v>
      </c>
      <c r="K626" s="11">
        <v>327.38</v>
      </c>
      <c r="L626" s="10">
        <v>0.4575</v>
      </c>
      <c r="M626" s="11">
        <v>422.99</v>
      </c>
      <c r="N626" s="10">
        <v>0.1038</v>
      </c>
      <c r="O626" s="11">
        <v>345.45</v>
      </c>
      <c r="P626" s="10">
        <v>0.7877</v>
      </c>
      <c r="Q626" s="10">
        <v>0.2136</v>
      </c>
      <c r="R626" s="10">
        <v>0.5755</v>
      </c>
      <c r="S626" s="10">
        <v>0.2057</v>
      </c>
      <c r="T626" s="8">
        <f>IF(and(ISNUMBER(D626), isnumber(E626)), 1, 0) + IF(and(ISNUMBER(F626), isnumber(G626)), 1, 0) + IF(and(ISNUMBER(H626), isnumber(I626)), 1, 0) + IF(and(ISNUMBER(J626), isnumber(K626)), 1, 0) + IF(and(ISNUMBER(L626), isnumber(M626)), 1, 0) + IF(and(ISNUMBER(N626), isnumber(O626)), 1, 0)</f>
      </c>
      <c r="U626" s="8">
        <f>IF(and(ISNUMBER(P626), isnumber(Q626)), 1, 0) + IF(and(ISNUMBER(R626), isnumber(S626)), 1, 0)</f>
      </c>
      <c r="V626" s="13"/>
      <c r="W626" s="13"/>
      <c r="X626" s="16"/>
    </row>
    <row x14ac:dyDescent="0.25" r="627" customHeight="1" ht="15.75">
      <c r="A627" s="8">
        <v>25387</v>
      </c>
      <c r="B627" s="13" t="s">
        <v>103</v>
      </c>
      <c r="C627" s="13" t="s">
        <v>5859</v>
      </c>
      <c r="D627" s="10">
        <v>0.7556</v>
      </c>
      <c r="E627" s="11">
        <v>158.68</v>
      </c>
      <c r="F627" s="10">
        <v>0.6844</v>
      </c>
      <c r="G627" s="11">
        <v>322.35</v>
      </c>
      <c r="H627" s="10">
        <v>0.6025</v>
      </c>
      <c r="I627" s="11">
        <v>328.28</v>
      </c>
      <c r="J627" s="10">
        <v>0.6639</v>
      </c>
      <c r="K627" s="11">
        <v>300.9</v>
      </c>
      <c r="L627" s="10">
        <v>0.4754</v>
      </c>
      <c r="M627" s="11">
        <v>368.77</v>
      </c>
      <c r="N627" s="10">
        <v>0.0041</v>
      </c>
      <c r="O627" s="11">
        <v>160</v>
      </c>
      <c r="P627" s="10">
        <v>0.7556</v>
      </c>
      <c r="Q627" s="10">
        <v>0.2231</v>
      </c>
      <c r="R627" s="10">
        <v>0.6639</v>
      </c>
      <c r="S627" s="10">
        <v>0.2041</v>
      </c>
      <c r="T627" s="8">
        <f>IF(and(ISNUMBER(D627), isnumber(E627)), 1, 0) + IF(and(ISNUMBER(F627), isnumber(G627)), 1, 0) + IF(and(ISNUMBER(H627), isnumber(I627)), 1, 0) + IF(and(ISNUMBER(J627), isnumber(K627)), 1, 0) + IF(and(ISNUMBER(L627), isnumber(M627)), 1, 0) + IF(and(ISNUMBER(N627), isnumber(O627)), 1, 0)</f>
      </c>
      <c r="U627" s="8">
        <f>IF(and(ISNUMBER(P627), isnumber(Q627)), 1, 0) + IF(and(ISNUMBER(R627), isnumber(S627)), 1, 0)</f>
      </c>
      <c r="V627" s="13"/>
      <c r="W627" s="13"/>
      <c r="X627" s="16"/>
    </row>
    <row x14ac:dyDescent="0.25" r="628" customHeight="1" ht="15.75">
      <c r="A628" s="8">
        <v>25388</v>
      </c>
      <c r="B628" s="13" t="s">
        <v>103</v>
      </c>
      <c r="C628" s="13" t="s">
        <v>5862</v>
      </c>
      <c r="D628" s="10">
        <v>0.6957</v>
      </c>
      <c r="E628" s="11">
        <v>291.68</v>
      </c>
      <c r="F628" s="10">
        <v>0.3913</v>
      </c>
      <c r="G628" s="11">
        <v>413.33</v>
      </c>
      <c r="H628" s="10">
        <v>0.217</v>
      </c>
      <c r="I628" s="11">
        <v>433.04</v>
      </c>
      <c r="J628" s="10">
        <v>0.6463</v>
      </c>
      <c r="K628" s="11">
        <v>394.5</v>
      </c>
      <c r="L628" s="10">
        <v>0.217</v>
      </c>
      <c r="M628" s="11">
        <v>438.61</v>
      </c>
      <c r="N628" s="10">
        <v>0</v>
      </c>
      <c r="O628" s="11" t="s">
        <v>7127</v>
      </c>
      <c r="P628" s="10">
        <v>0.6957</v>
      </c>
      <c r="Q628" s="10">
        <v>0.2031</v>
      </c>
      <c r="R628" s="10">
        <v>0.6463</v>
      </c>
      <c r="S628" s="10">
        <v>0.1929</v>
      </c>
      <c r="T628" s="8">
        <f>IF(and(ISNUMBER(D628), isnumber(E628)), 1, 0) + IF(and(ISNUMBER(F628), isnumber(G628)), 1, 0) + IF(and(ISNUMBER(H628), isnumber(I628)), 1, 0) + IF(and(ISNUMBER(J628), isnumber(K628)), 1, 0) + IF(and(ISNUMBER(L628), isnumber(M628)), 1, 0) + IF(and(ISNUMBER(N628), isnumber(O628)), 1, 0)</f>
      </c>
      <c r="U628" s="8">
        <f>IF(and(ISNUMBER(P628), isnumber(Q628)), 1, 0) + IF(and(ISNUMBER(R628), isnumber(S628)), 1, 0)</f>
      </c>
      <c r="V628" s="13"/>
      <c r="W628" s="13"/>
      <c r="X628" s="16"/>
    </row>
    <row x14ac:dyDescent="0.25" r="629" customHeight="1" ht="15.75">
      <c r="A629" s="8">
        <v>25389</v>
      </c>
      <c r="B629" s="13" t="s">
        <v>103</v>
      </c>
      <c r="C629" s="13" t="s">
        <v>5864</v>
      </c>
      <c r="D629" s="10">
        <v>0.6364</v>
      </c>
      <c r="E629" s="11">
        <v>68.57</v>
      </c>
      <c r="F629" s="10">
        <v>0</v>
      </c>
      <c r="G629" s="11" t="s">
        <v>7127</v>
      </c>
      <c r="H629" s="10">
        <v>0.2245</v>
      </c>
      <c r="I629" s="11">
        <v>309.09</v>
      </c>
      <c r="J629" s="10">
        <v>0.4737</v>
      </c>
      <c r="K629" s="11">
        <v>165.71</v>
      </c>
      <c r="L629" s="10">
        <v>0.1633</v>
      </c>
      <c r="M629" s="11">
        <v>200</v>
      </c>
      <c r="N629" s="10">
        <v>0.2245</v>
      </c>
      <c r="O629" s="11">
        <v>320</v>
      </c>
      <c r="P629" s="10">
        <v>0.6364</v>
      </c>
      <c r="Q629" s="10">
        <v>0.229</v>
      </c>
      <c r="R629" s="10">
        <v>0.4737</v>
      </c>
      <c r="S629" s="10">
        <v>0.2133</v>
      </c>
      <c r="T629" s="8">
        <f>IF(and(ISNUMBER(D629), isnumber(E629)), 1, 0) + IF(and(ISNUMBER(F629), isnumber(G629)), 1, 0) + IF(and(ISNUMBER(H629), isnumber(I629)), 1, 0) + IF(and(ISNUMBER(J629), isnumber(K629)), 1, 0) + IF(and(ISNUMBER(L629), isnumber(M629)), 1, 0) + IF(and(ISNUMBER(N629), isnumber(O629)), 1, 0)</f>
      </c>
      <c r="U629" s="8">
        <f>IF(and(ISNUMBER(P629), isnumber(Q629)), 1, 0) + IF(and(ISNUMBER(R629), isnumber(S629)), 1, 0)</f>
      </c>
      <c r="V629" s="13"/>
      <c r="W629" s="13"/>
      <c r="X629" s="16"/>
    </row>
    <row x14ac:dyDescent="0.25" r="630" customHeight="1" ht="15.75">
      <c r="A630" s="8">
        <v>25390</v>
      </c>
      <c r="B630" s="13" t="s">
        <v>103</v>
      </c>
      <c r="C630" s="13" t="s">
        <v>11574</v>
      </c>
      <c r="D630" s="10">
        <v>0.7778</v>
      </c>
      <c r="E630" s="11">
        <v>36.19</v>
      </c>
      <c r="F630" s="10">
        <v>0.963</v>
      </c>
      <c r="G630" s="11">
        <v>12.8</v>
      </c>
      <c r="H630" s="10">
        <v>0.4839</v>
      </c>
      <c r="I630" s="11">
        <v>62.67</v>
      </c>
      <c r="J630" s="10" t="s">
        <v>7127</v>
      </c>
      <c r="K630" s="11" t="s">
        <v>7127</v>
      </c>
      <c r="L630" s="10">
        <v>0.0484</v>
      </c>
      <c r="M630" s="11">
        <v>413.33</v>
      </c>
      <c r="N630" s="10">
        <v>0.0161</v>
      </c>
      <c r="O630" s="11">
        <v>200</v>
      </c>
      <c r="P630" s="10">
        <v>0.7778</v>
      </c>
      <c r="Q630" s="10">
        <v>0.0662</v>
      </c>
      <c r="R630" s="10" t="s">
        <v>7127</v>
      </c>
      <c r="S630" s="10" t="s">
        <v>7127</v>
      </c>
      <c r="T630" s="8">
        <f>IF(and(ISNUMBER(D630), isnumber(E630)), 1, 0) + IF(and(ISNUMBER(F630), isnumber(G630)), 1, 0) + IF(and(ISNUMBER(H630), isnumber(I630)), 1, 0) + IF(and(ISNUMBER(J630), isnumber(K630)), 1, 0) + IF(and(ISNUMBER(L630), isnumber(M630)), 1, 0) + IF(and(ISNUMBER(N630), isnumber(O630)), 1, 0)</f>
      </c>
      <c r="U630" s="8">
        <f>IF(and(ISNUMBER(P630), isnumber(Q630)), 1, 0) + IF(and(ISNUMBER(R630), isnumber(S630)), 1, 0)</f>
      </c>
      <c r="V630" s="13"/>
      <c r="W630" s="13"/>
      <c r="X630" s="16"/>
    </row>
    <row x14ac:dyDescent="0.25" r="631" customHeight="1" ht="15.75">
      <c r="A631" s="8">
        <v>25391</v>
      </c>
      <c r="B631" s="13" t="s">
        <v>103</v>
      </c>
      <c r="C631" s="13" t="s">
        <v>5866</v>
      </c>
      <c r="D631" s="10">
        <v>0.6983</v>
      </c>
      <c r="E631" s="11">
        <v>119.02</v>
      </c>
      <c r="F631" s="10">
        <v>0.4712</v>
      </c>
      <c r="G631" s="11">
        <v>289.02</v>
      </c>
      <c r="H631" s="10">
        <v>0.4881</v>
      </c>
      <c r="I631" s="11">
        <v>388.29</v>
      </c>
      <c r="J631" s="10">
        <v>0.5153</v>
      </c>
      <c r="K631" s="11">
        <v>179.03</v>
      </c>
      <c r="L631" s="10">
        <v>0.4136</v>
      </c>
      <c r="M631" s="11">
        <v>333.55</v>
      </c>
      <c r="N631" s="10">
        <v>0.0034</v>
      </c>
      <c r="O631" s="11">
        <v>400</v>
      </c>
      <c r="P631" s="10">
        <v>0.6983</v>
      </c>
      <c r="Q631" s="10">
        <v>0.1435</v>
      </c>
      <c r="R631" s="10">
        <v>0.5153</v>
      </c>
      <c r="S631" s="10">
        <v>0.1896</v>
      </c>
      <c r="T631" s="8">
        <f>IF(and(ISNUMBER(D631), isnumber(E631)), 1, 0) + IF(and(ISNUMBER(F631), isnumber(G631)), 1, 0) + IF(and(ISNUMBER(H631), isnumber(I631)), 1, 0) + IF(and(ISNUMBER(J631), isnumber(K631)), 1, 0) + IF(and(ISNUMBER(L631), isnumber(M631)), 1, 0) + IF(and(ISNUMBER(N631), isnumber(O631)), 1, 0)</f>
      </c>
      <c r="U631" s="8">
        <f>IF(and(ISNUMBER(P631), isnumber(Q631)), 1, 0) + IF(and(ISNUMBER(R631), isnumber(S631)), 1, 0)</f>
      </c>
      <c r="V631" s="13"/>
      <c r="W631" s="13"/>
      <c r="X631" s="16"/>
    </row>
    <row x14ac:dyDescent="0.25" r="632" customHeight="1" ht="15.75">
      <c r="A632" s="8">
        <v>25392</v>
      </c>
      <c r="B632" s="13" t="s">
        <v>103</v>
      </c>
      <c r="C632" s="13" t="s">
        <v>5871</v>
      </c>
      <c r="D632" s="10">
        <v>0.8684</v>
      </c>
      <c r="E632" s="11">
        <v>135.36</v>
      </c>
      <c r="F632" s="10">
        <v>0.3596</v>
      </c>
      <c r="G632" s="11">
        <v>379.51</v>
      </c>
      <c r="H632" s="10">
        <v>0.4101</v>
      </c>
      <c r="I632" s="11">
        <v>376.48</v>
      </c>
      <c r="J632" s="10">
        <v>0.3871</v>
      </c>
      <c r="K632" s="11">
        <v>177.01</v>
      </c>
      <c r="L632" s="10">
        <v>0.3022</v>
      </c>
      <c r="M632" s="11">
        <v>360</v>
      </c>
      <c r="N632" s="10">
        <v>0</v>
      </c>
      <c r="O632" s="11" t="s">
        <v>7127</v>
      </c>
      <c r="P632" s="10">
        <v>0.8684</v>
      </c>
      <c r="Q632" s="10">
        <v>0.1366</v>
      </c>
      <c r="R632" s="10">
        <v>0.3871</v>
      </c>
      <c r="S632" s="10">
        <v>0.1784</v>
      </c>
      <c r="T632" s="8">
        <f>IF(and(ISNUMBER(D632), isnumber(E632)), 1, 0) + IF(and(ISNUMBER(F632), isnumber(G632)), 1, 0) + IF(and(ISNUMBER(H632), isnumber(I632)), 1, 0) + IF(and(ISNUMBER(J632), isnumber(K632)), 1, 0) + IF(and(ISNUMBER(L632), isnumber(M632)), 1, 0) + IF(and(ISNUMBER(N632), isnumber(O632)), 1, 0)</f>
      </c>
      <c r="U632" s="8">
        <f>IF(and(ISNUMBER(P632), isnumber(Q632)), 1, 0) + IF(and(ISNUMBER(R632), isnumber(S632)), 1, 0)</f>
      </c>
      <c r="V632" s="13"/>
      <c r="W632" s="13"/>
      <c r="X632" s="16"/>
    </row>
    <row x14ac:dyDescent="0.25" r="633" customHeight="1" ht="15.75">
      <c r="A633" s="8">
        <v>25393</v>
      </c>
      <c r="B633" s="13" t="s">
        <v>103</v>
      </c>
      <c r="C633" s="13" t="s">
        <v>5874</v>
      </c>
      <c r="D633" s="10">
        <v>0.4407</v>
      </c>
      <c r="E633" s="11">
        <v>258.33</v>
      </c>
      <c r="F633" s="10">
        <v>0.5424</v>
      </c>
      <c r="G633" s="11">
        <v>427.94</v>
      </c>
      <c r="H633" s="10">
        <v>0.9915</v>
      </c>
      <c r="I633" s="11">
        <v>169.23</v>
      </c>
      <c r="J633" s="10">
        <v>0.661</v>
      </c>
      <c r="K633" s="11">
        <v>273.6</v>
      </c>
      <c r="L633" s="10">
        <v>0.5932</v>
      </c>
      <c r="M633" s="11">
        <v>441.74</v>
      </c>
      <c r="N633" s="10">
        <v>0</v>
      </c>
      <c r="O633" s="11" t="s">
        <v>7127</v>
      </c>
      <c r="P633" s="10">
        <v>0.4407</v>
      </c>
      <c r="Q633" s="10">
        <v>0.2254</v>
      </c>
      <c r="R633" s="10">
        <v>0.661</v>
      </c>
      <c r="S633" s="10">
        <v>0.1942</v>
      </c>
      <c r="T633" s="8">
        <f>IF(and(ISNUMBER(D633), isnumber(E633)), 1, 0) + IF(and(ISNUMBER(F633), isnumber(G633)), 1, 0) + IF(and(ISNUMBER(H633), isnumber(I633)), 1, 0) + IF(and(ISNUMBER(J633), isnumber(K633)), 1, 0) + IF(and(ISNUMBER(L633), isnumber(M633)), 1, 0) + IF(and(ISNUMBER(N633), isnumber(O633)), 1, 0)</f>
      </c>
      <c r="U633" s="8">
        <f>IF(and(ISNUMBER(P633), isnumber(Q633)), 1, 0) + IF(and(ISNUMBER(R633), isnumber(S633)), 1, 0)</f>
      </c>
      <c r="V633" s="13"/>
      <c r="W633" s="13"/>
      <c r="X633" s="16"/>
    </row>
    <row x14ac:dyDescent="0.25" r="634" customHeight="1" ht="15.75">
      <c r="A634" s="8">
        <v>25394</v>
      </c>
      <c r="B634" s="13" t="s">
        <v>103</v>
      </c>
      <c r="C634" s="13" t="s">
        <v>5879</v>
      </c>
      <c r="D634" s="10">
        <v>0.8969</v>
      </c>
      <c r="E634" s="11">
        <v>222.82</v>
      </c>
      <c r="F634" s="10">
        <v>0.9372</v>
      </c>
      <c r="G634" s="11">
        <v>270.24</v>
      </c>
      <c r="H634" s="10">
        <v>0.8194</v>
      </c>
      <c r="I634" s="11">
        <v>279.85</v>
      </c>
      <c r="J634" s="10">
        <v>0.9067</v>
      </c>
      <c r="K634" s="11">
        <v>215.66</v>
      </c>
      <c r="L634" s="10">
        <v>0.9306</v>
      </c>
      <c r="M634" s="11">
        <v>227.01</v>
      </c>
      <c r="N634" s="10">
        <v>0.0035</v>
      </c>
      <c r="O634" s="11" t="s">
        <v>7127</v>
      </c>
      <c r="P634" s="10">
        <v>0.8969</v>
      </c>
      <c r="Q634" s="10">
        <v>0.2022</v>
      </c>
      <c r="R634" s="10">
        <v>0.9067</v>
      </c>
      <c r="S634" s="10">
        <v>0.1463</v>
      </c>
      <c r="T634" s="8">
        <f>IF(and(ISNUMBER(D634), isnumber(E634)), 1, 0) + IF(and(ISNUMBER(F634), isnumber(G634)), 1, 0) + IF(and(ISNUMBER(H634), isnumber(I634)), 1, 0) + IF(and(ISNUMBER(J634), isnumber(K634)), 1, 0) + IF(and(ISNUMBER(L634), isnumber(M634)), 1, 0) + IF(and(ISNUMBER(N634), isnumber(O634)), 1, 0)</f>
      </c>
      <c r="U634" s="8">
        <f>IF(and(ISNUMBER(P634), isnumber(Q634)), 1, 0) + IF(and(ISNUMBER(R634), isnumber(S634)), 1, 0)</f>
      </c>
      <c r="V634" s="13"/>
      <c r="W634" s="13"/>
      <c r="X634" s="16"/>
    </row>
    <row x14ac:dyDescent="0.25" r="635" customHeight="1" ht="15.75">
      <c r="A635" s="8">
        <v>25395</v>
      </c>
      <c r="B635" s="13" t="s">
        <v>103</v>
      </c>
      <c r="C635" s="13" t="s">
        <v>5881</v>
      </c>
      <c r="D635" s="10">
        <v>0.4857</v>
      </c>
      <c r="E635" s="11">
        <v>68.24</v>
      </c>
      <c r="F635" s="10">
        <v>0.4286</v>
      </c>
      <c r="G635" s="11">
        <v>280</v>
      </c>
      <c r="H635" s="10">
        <v>0.134</v>
      </c>
      <c r="I635" s="11">
        <v>381.54</v>
      </c>
      <c r="J635" s="10">
        <v>0.5484</v>
      </c>
      <c r="K635" s="11">
        <v>277.65</v>
      </c>
      <c r="L635" s="10">
        <v>0.1237</v>
      </c>
      <c r="M635" s="11">
        <v>310</v>
      </c>
      <c r="N635" s="10">
        <v>0</v>
      </c>
      <c r="O635" s="11" t="s">
        <v>7127</v>
      </c>
      <c r="P635" s="10">
        <v>0.4857</v>
      </c>
      <c r="Q635" s="10">
        <v>0.1375</v>
      </c>
      <c r="R635" s="10">
        <v>0.5484</v>
      </c>
      <c r="S635" s="10">
        <v>0.1887</v>
      </c>
      <c r="T635" s="8">
        <f>IF(and(ISNUMBER(D635), isnumber(E635)), 1, 0) + IF(and(ISNUMBER(F635), isnumber(G635)), 1, 0) + IF(and(ISNUMBER(H635), isnumber(I635)), 1, 0) + IF(and(ISNUMBER(J635), isnumber(K635)), 1, 0) + IF(and(ISNUMBER(L635), isnumber(M635)), 1, 0) + IF(and(ISNUMBER(N635), isnumber(O635)), 1, 0)</f>
      </c>
      <c r="U635" s="8">
        <f>IF(and(ISNUMBER(P635), isnumber(Q635)), 1, 0) + IF(and(ISNUMBER(R635), isnumber(S635)), 1, 0)</f>
      </c>
      <c r="V635" s="13"/>
      <c r="W635" s="13"/>
      <c r="X635" s="16"/>
    </row>
    <row x14ac:dyDescent="0.25" r="636" customHeight="1" ht="15.75">
      <c r="A636" s="8">
        <v>25396</v>
      </c>
      <c r="B636" s="13" t="s">
        <v>103</v>
      </c>
      <c r="C636" s="13" t="s">
        <v>5882</v>
      </c>
      <c r="D636" s="10">
        <v>0.9361</v>
      </c>
      <c r="E636" s="11">
        <v>431.45</v>
      </c>
      <c r="F636" s="10">
        <v>0.7583</v>
      </c>
      <c r="G636" s="11">
        <v>488.5</v>
      </c>
      <c r="H636" s="10">
        <v>0.7646</v>
      </c>
      <c r="I636" s="11">
        <v>550.73</v>
      </c>
      <c r="J636" s="10">
        <v>0.6829</v>
      </c>
      <c r="K636" s="11">
        <v>503.94</v>
      </c>
      <c r="L636" s="10">
        <v>0.6984</v>
      </c>
      <c r="M636" s="11">
        <v>513.96</v>
      </c>
      <c r="N636" s="10">
        <v>0.0026</v>
      </c>
      <c r="O636" s="11" t="s">
        <v>7127</v>
      </c>
      <c r="P636" s="10">
        <v>0.9361</v>
      </c>
      <c r="Q636" s="10">
        <v>0.2659</v>
      </c>
      <c r="R636" s="10">
        <v>0.6829</v>
      </c>
      <c r="S636" s="10">
        <v>0.2196</v>
      </c>
      <c r="T636" s="8">
        <f>IF(and(ISNUMBER(D636), isnumber(E636)), 1, 0) + IF(and(ISNUMBER(F636), isnumber(G636)), 1, 0) + IF(and(ISNUMBER(H636), isnumber(I636)), 1, 0) + IF(and(ISNUMBER(J636), isnumber(K636)), 1, 0) + IF(and(ISNUMBER(L636), isnumber(M636)), 1, 0) + IF(and(ISNUMBER(N636), isnumber(O636)), 1, 0)</f>
      </c>
      <c r="U636" s="8">
        <f>IF(and(ISNUMBER(P636), isnumber(Q636)), 1, 0) + IF(and(ISNUMBER(R636), isnumber(S636)), 1, 0)</f>
      </c>
      <c r="V636" s="13"/>
      <c r="W636" s="13"/>
      <c r="X636" s="16"/>
    </row>
    <row x14ac:dyDescent="0.25" r="637" customHeight="1" ht="15.75">
      <c r="A637" s="8">
        <v>25397</v>
      </c>
      <c r="B637" s="13" t="s">
        <v>103</v>
      </c>
      <c r="C637" s="13" t="s">
        <v>5885</v>
      </c>
      <c r="D637" s="10">
        <v>0.9175</v>
      </c>
      <c r="E637" s="11">
        <v>184.75</v>
      </c>
      <c r="F637" s="10">
        <v>0.9823</v>
      </c>
      <c r="G637" s="11">
        <v>283.45</v>
      </c>
      <c r="H637" s="10">
        <v>0.5143</v>
      </c>
      <c r="I637" s="11">
        <v>414.97</v>
      </c>
      <c r="J637" s="10">
        <v>0.7091</v>
      </c>
      <c r="K637" s="11">
        <v>331.25</v>
      </c>
      <c r="L637" s="10">
        <v>0.5987</v>
      </c>
      <c r="M637" s="11">
        <v>363.85</v>
      </c>
      <c r="N637" s="10">
        <v>0.0051</v>
      </c>
      <c r="O637" s="11" t="s">
        <v>7127</v>
      </c>
      <c r="P637" s="10">
        <v>0.9175</v>
      </c>
      <c r="Q637" s="10">
        <v>0.1695</v>
      </c>
      <c r="R637" s="10">
        <v>0.7091</v>
      </c>
      <c r="S637" s="10">
        <v>0.2075</v>
      </c>
      <c r="T637" s="8">
        <f>IF(and(ISNUMBER(D637), isnumber(E637)), 1, 0) + IF(and(ISNUMBER(F637), isnumber(G637)), 1, 0) + IF(and(ISNUMBER(H637), isnumber(I637)), 1, 0) + IF(and(ISNUMBER(J637), isnumber(K637)), 1, 0) + IF(and(ISNUMBER(L637), isnumber(M637)), 1, 0) + IF(and(ISNUMBER(N637), isnumber(O637)), 1, 0)</f>
      </c>
      <c r="U637" s="8">
        <f>IF(and(ISNUMBER(P637), isnumber(Q637)), 1, 0) + IF(and(ISNUMBER(R637), isnumber(S637)), 1, 0)</f>
      </c>
      <c r="V637" s="13"/>
      <c r="W637" s="13"/>
      <c r="X637" s="16"/>
    </row>
    <row x14ac:dyDescent="0.25" r="638" customHeight="1" ht="15.75">
      <c r="A638" s="8">
        <v>25398</v>
      </c>
      <c r="B638" s="13" t="s">
        <v>103</v>
      </c>
      <c r="C638" s="13" t="s">
        <v>5888</v>
      </c>
      <c r="D638" s="10">
        <v>0.4971</v>
      </c>
      <c r="E638" s="11">
        <v>172.61</v>
      </c>
      <c r="F638" s="10">
        <v>0.3231</v>
      </c>
      <c r="G638" s="11">
        <v>353.13</v>
      </c>
      <c r="H638" s="10">
        <v>0.3996</v>
      </c>
      <c r="I638" s="11">
        <v>333.29</v>
      </c>
      <c r="J638" s="10">
        <v>0.006</v>
      </c>
      <c r="K638" s="11">
        <v>226.67</v>
      </c>
      <c r="L638" s="10">
        <v>0.3273</v>
      </c>
      <c r="M638" s="11">
        <v>391.25</v>
      </c>
      <c r="N638" s="10">
        <v>0.0036</v>
      </c>
      <c r="O638" s="11" t="s">
        <v>7127</v>
      </c>
      <c r="P638" s="10">
        <v>0.4971</v>
      </c>
      <c r="Q638" s="10">
        <v>0.2242</v>
      </c>
      <c r="R638" s="10">
        <v>0.006</v>
      </c>
      <c r="S638" s="10">
        <v>0.1815</v>
      </c>
      <c r="T638" s="8">
        <f>IF(and(ISNUMBER(D638), isnumber(E638)), 1, 0) + IF(and(ISNUMBER(F638), isnumber(G638)), 1, 0) + IF(and(ISNUMBER(H638), isnumber(I638)), 1, 0) + IF(and(ISNUMBER(J638), isnumber(K638)), 1, 0) + IF(and(ISNUMBER(L638), isnumber(M638)), 1, 0) + IF(and(ISNUMBER(N638), isnumber(O638)), 1, 0)</f>
      </c>
      <c r="U638" s="8">
        <f>IF(and(ISNUMBER(P638), isnumber(Q638)), 1, 0) + IF(and(ISNUMBER(R638), isnumber(S638)), 1, 0)</f>
      </c>
      <c r="V638" s="13"/>
      <c r="W638" s="13"/>
      <c r="X638" s="16"/>
    </row>
    <row x14ac:dyDescent="0.25" r="639" customHeight="1" ht="15.75">
      <c r="A639" s="8">
        <v>25399</v>
      </c>
      <c r="B639" s="13" t="s">
        <v>103</v>
      </c>
      <c r="C639" s="13" t="s">
        <v>5890</v>
      </c>
      <c r="D639" s="10">
        <v>0.9462</v>
      </c>
      <c r="E639" s="11">
        <v>270.91</v>
      </c>
      <c r="F639" s="10">
        <v>0.8172</v>
      </c>
      <c r="G639" s="11">
        <v>384.74</v>
      </c>
      <c r="H639" s="10">
        <v>0.8495</v>
      </c>
      <c r="I639" s="11">
        <v>404.62</v>
      </c>
      <c r="J639" s="10">
        <v>0.9247</v>
      </c>
      <c r="K639" s="11">
        <v>346.51</v>
      </c>
      <c r="L639" s="10">
        <v>0.9247</v>
      </c>
      <c r="M639" s="11">
        <v>426.82</v>
      </c>
      <c r="N639" s="10">
        <v>0</v>
      </c>
      <c r="O639" s="11" t="s">
        <v>7127</v>
      </c>
      <c r="P639" s="10">
        <v>0.9462</v>
      </c>
      <c r="Q639" s="10">
        <v>0.2768</v>
      </c>
      <c r="R639" s="10">
        <v>0.9247</v>
      </c>
      <c r="S639" s="10">
        <v>0.221</v>
      </c>
      <c r="T639" s="8">
        <f>IF(and(ISNUMBER(D639), isnumber(E639)), 1, 0) + IF(and(ISNUMBER(F639), isnumber(G639)), 1, 0) + IF(and(ISNUMBER(H639), isnumber(I639)), 1, 0) + IF(and(ISNUMBER(J639), isnumber(K639)), 1, 0) + IF(and(ISNUMBER(L639), isnumber(M639)), 1, 0) + IF(and(ISNUMBER(N639), isnumber(O639)), 1, 0)</f>
      </c>
      <c r="U639" s="8">
        <f>IF(and(ISNUMBER(P639), isnumber(Q639)), 1, 0) + IF(and(ISNUMBER(R639), isnumber(S639)), 1, 0)</f>
      </c>
      <c r="V639" s="13"/>
      <c r="W639" s="13"/>
      <c r="X639" s="16"/>
    </row>
    <row x14ac:dyDescent="0.25" r="640" customHeight="1" ht="15.75">
      <c r="A640" s="8">
        <v>25400</v>
      </c>
      <c r="B640" s="13" t="s">
        <v>103</v>
      </c>
      <c r="C640" s="13" t="s">
        <v>5894</v>
      </c>
      <c r="D640" s="10">
        <v>1</v>
      </c>
      <c r="E640" s="11">
        <v>450</v>
      </c>
      <c r="F640" s="10">
        <v>0.2454</v>
      </c>
      <c r="G640" s="11">
        <v>544.91</v>
      </c>
      <c r="H640" s="10">
        <v>0.9583</v>
      </c>
      <c r="I640" s="11">
        <v>484.64</v>
      </c>
      <c r="J640" s="10">
        <v>0.9398</v>
      </c>
      <c r="K640" s="11">
        <v>378.92</v>
      </c>
      <c r="L640" s="10">
        <v>0.9444</v>
      </c>
      <c r="M640" s="11">
        <v>441.76</v>
      </c>
      <c r="N640" s="10">
        <v>0</v>
      </c>
      <c r="O640" s="11" t="s">
        <v>7127</v>
      </c>
      <c r="P640" s="10">
        <v>1</v>
      </c>
      <c r="Q640" s="10">
        <v>0.303</v>
      </c>
      <c r="R640" s="10">
        <v>0.9398</v>
      </c>
      <c r="S640" s="10">
        <v>0.2023</v>
      </c>
      <c r="T640" s="8">
        <f>IF(and(ISNUMBER(D640), isnumber(E640)), 1, 0) + IF(and(ISNUMBER(F640), isnumber(G640)), 1, 0) + IF(and(ISNUMBER(H640), isnumber(I640)), 1, 0) + IF(and(ISNUMBER(J640), isnumber(K640)), 1, 0) + IF(and(ISNUMBER(L640), isnumber(M640)), 1, 0) + IF(and(ISNUMBER(N640), isnumber(O640)), 1, 0)</f>
      </c>
      <c r="U640" s="8">
        <f>IF(and(ISNUMBER(P640), isnumber(Q640)), 1, 0) + IF(and(ISNUMBER(R640), isnumber(S640)), 1, 0)</f>
      </c>
      <c r="V640" s="13"/>
      <c r="W640" s="13"/>
      <c r="X640" s="16"/>
    </row>
    <row x14ac:dyDescent="0.25" r="641" customHeight="1" ht="15.75">
      <c r="A641" s="8">
        <v>25401</v>
      </c>
      <c r="B641" s="13" t="s">
        <v>103</v>
      </c>
      <c r="C641" s="13" t="s">
        <v>5895</v>
      </c>
      <c r="D641" s="10">
        <v>0.9543</v>
      </c>
      <c r="E641" s="11">
        <v>261.38</v>
      </c>
      <c r="F641" s="10">
        <v>0.0042</v>
      </c>
      <c r="G641" s="11" t="s">
        <v>7127</v>
      </c>
      <c r="H641" s="10">
        <v>0.8895</v>
      </c>
      <c r="I641" s="11">
        <v>270.82</v>
      </c>
      <c r="J641" s="10">
        <v>0.9371</v>
      </c>
      <c r="K641" s="11">
        <v>108.43</v>
      </c>
      <c r="L641" s="10">
        <v>0.9625</v>
      </c>
      <c r="M641" s="11">
        <v>261.71</v>
      </c>
      <c r="N641" s="10">
        <v>0.0019</v>
      </c>
      <c r="O641" s="11" t="s">
        <v>7127</v>
      </c>
      <c r="P641" s="10">
        <v>0.9543</v>
      </c>
      <c r="Q641" s="10">
        <v>0.1619</v>
      </c>
      <c r="R641" s="10">
        <v>0.9371</v>
      </c>
      <c r="S641" s="10">
        <v>0.0574</v>
      </c>
      <c r="T641" s="8">
        <f>IF(and(ISNUMBER(D641), isnumber(E641)), 1, 0) + IF(and(ISNUMBER(F641), isnumber(G641)), 1, 0) + IF(and(ISNUMBER(H641), isnumber(I641)), 1, 0) + IF(and(ISNUMBER(J641), isnumber(K641)), 1, 0) + IF(and(ISNUMBER(L641), isnumber(M641)), 1, 0) + IF(and(ISNUMBER(N641), isnumber(O641)), 1, 0)</f>
      </c>
      <c r="U641" s="8">
        <f>IF(and(ISNUMBER(P641), isnumber(Q641)), 1, 0) + IF(and(ISNUMBER(R641), isnumber(S641)), 1, 0)</f>
      </c>
      <c r="V641" s="13"/>
      <c r="W641" s="13"/>
      <c r="X641" s="16"/>
    </row>
    <row x14ac:dyDescent="0.25" r="642" customHeight="1" ht="15.75">
      <c r="A642" s="8">
        <v>25402</v>
      </c>
      <c r="B642" s="13" t="s">
        <v>103</v>
      </c>
      <c r="C642" s="13" t="s">
        <v>5899</v>
      </c>
      <c r="D642" s="10">
        <v>0.7122</v>
      </c>
      <c r="E642" s="11">
        <v>163.43</v>
      </c>
      <c r="F642" s="10">
        <v>0.6043</v>
      </c>
      <c r="G642" s="11">
        <v>373.55</v>
      </c>
      <c r="H642" s="10">
        <v>0.4219</v>
      </c>
      <c r="I642" s="11">
        <v>445.06</v>
      </c>
      <c r="J642" s="10">
        <v>0.5217</v>
      </c>
      <c r="K642" s="11">
        <v>218.5</v>
      </c>
      <c r="L642" s="10">
        <v>0.1899</v>
      </c>
      <c r="M642" s="11" t="s">
        <v>7127</v>
      </c>
      <c r="N642" s="10">
        <v>0</v>
      </c>
      <c r="O642" s="11" t="s">
        <v>7127</v>
      </c>
      <c r="P642" s="10">
        <v>0.7122</v>
      </c>
      <c r="Q642" s="10">
        <v>0.2148</v>
      </c>
      <c r="R642" s="10">
        <v>0.5217</v>
      </c>
      <c r="S642" s="10">
        <v>0.1957</v>
      </c>
      <c r="T642" s="8">
        <f>IF(and(ISNUMBER(D642), isnumber(E642)), 1, 0) + IF(and(ISNUMBER(F642), isnumber(G642)), 1, 0) + IF(and(ISNUMBER(H642), isnumber(I642)), 1, 0) + IF(and(ISNUMBER(J642), isnumber(K642)), 1, 0) + IF(and(ISNUMBER(L642), isnumber(M642)), 1, 0) + IF(and(ISNUMBER(N642), isnumber(O642)), 1, 0)</f>
      </c>
      <c r="U642" s="8">
        <f>IF(and(ISNUMBER(P642), isnumber(Q642)), 1, 0) + IF(and(ISNUMBER(R642), isnumber(S642)), 1, 0)</f>
      </c>
      <c r="V642" s="13"/>
      <c r="W642" s="13"/>
      <c r="X642" s="16"/>
    </row>
    <row x14ac:dyDescent="0.25" r="643" customHeight="1" ht="15.75">
      <c r="A643" s="8">
        <v>25404</v>
      </c>
      <c r="B643" s="13" t="s">
        <v>103</v>
      </c>
      <c r="C643" s="13" t="s">
        <v>5901</v>
      </c>
      <c r="D643" s="10">
        <v>0.5849</v>
      </c>
      <c r="E643" s="11">
        <v>273.64</v>
      </c>
      <c r="F643" s="10">
        <v>0.5472</v>
      </c>
      <c r="G643" s="11">
        <v>315.87</v>
      </c>
      <c r="H643" s="10">
        <v>0.4328</v>
      </c>
      <c r="I643" s="11">
        <v>360</v>
      </c>
      <c r="J643" s="10">
        <v>0.4259</v>
      </c>
      <c r="K643" s="11">
        <v>257.51</v>
      </c>
      <c r="L643" s="10">
        <v>0.4925</v>
      </c>
      <c r="M643" s="11">
        <v>373.84</v>
      </c>
      <c r="N643" s="10">
        <v>0</v>
      </c>
      <c r="O643" s="11" t="s">
        <v>7127</v>
      </c>
      <c r="P643" s="10">
        <v>0.5849</v>
      </c>
      <c r="Q643" s="10">
        <v>0.2295</v>
      </c>
      <c r="R643" s="10">
        <v>0.4259</v>
      </c>
      <c r="S643" s="10">
        <v>0.2076</v>
      </c>
      <c r="T643" s="8">
        <f>IF(and(ISNUMBER(D643), isnumber(E643)), 1, 0) + IF(and(ISNUMBER(F643), isnumber(G643)), 1, 0) + IF(and(ISNUMBER(H643), isnumber(I643)), 1, 0) + IF(and(ISNUMBER(J643), isnumber(K643)), 1, 0) + IF(and(ISNUMBER(L643), isnumber(M643)), 1, 0) + IF(and(ISNUMBER(N643), isnumber(O643)), 1, 0)</f>
      </c>
      <c r="U643" s="8">
        <f>IF(and(ISNUMBER(P643), isnumber(Q643)), 1, 0) + IF(and(ISNUMBER(R643), isnumber(S643)), 1, 0)</f>
      </c>
      <c r="V643" s="13"/>
      <c r="W643" s="13"/>
      <c r="X643" s="16"/>
    </row>
    <row x14ac:dyDescent="0.25" r="644" customHeight="1" ht="15.75">
      <c r="A644" s="8">
        <v>25405</v>
      </c>
      <c r="B644" s="13" t="s">
        <v>103</v>
      </c>
      <c r="C644" s="13" t="s">
        <v>5906</v>
      </c>
      <c r="D644" s="10">
        <v>0.9118</v>
      </c>
      <c r="E644" s="11">
        <v>21.94</v>
      </c>
      <c r="F644" s="10">
        <v>0.3235</v>
      </c>
      <c r="G644" s="11">
        <v>250.91</v>
      </c>
      <c r="H644" s="10">
        <v>0.6471</v>
      </c>
      <c r="I644" s="11">
        <v>329.09</v>
      </c>
      <c r="J644" s="10">
        <v>0.5588</v>
      </c>
      <c r="K644" s="11">
        <v>271.11</v>
      </c>
      <c r="L644" s="10">
        <v>0.5882</v>
      </c>
      <c r="M644" s="11">
        <v>394</v>
      </c>
      <c r="N644" s="10">
        <v>0</v>
      </c>
      <c r="O644" s="11" t="s">
        <v>7127</v>
      </c>
      <c r="P644" s="10">
        <v>0.9118</v>
      </c>
      <c r="Q644" s="10">
        <v>0.2165</v>
      </c>
      <c r="R644" s="10">
        <v>0.5588</v>
      </c>
      <c r="S644" s="10">
        <v>0.2465</v>
      </c>
      <c r="T644" s="8">
        <f>IF(and(ISNUMBER(D644), isnumber(E644)), 1, 0) + IF(and(ISNUMBER(F644), isnumber(G644)), 1, 0) + IF(and(ISNUMBER(H644), isnumber(I644)), 1, 0) + IF(and(ISNUMBER(J644), isnumber(K644)), 1, 0) + IF(and(ISNUMBER(L644), isnumber(M644)), 1, 0) + IF(and(ISNUMBER(N644), isnumber(O644)), 1, 0)</f>
      </c>
      <c r="U644" s="8">
        <f>IF(and(ISNUMBER(P644), isnumber(Q644)), 1, 0) + IF(and(ISNUMBER(R644), isnumber(S644)), 1, 0)</f>
      </c>
      <c r="V644" s="13"/>
      <c r="W644" s="13"/>
      <c r="X644" s="16"/>
    </row>
    <row x14ac:dyDescent="0.25" r="645" customHeight="1" ht="15.75">
      <c r="A645" s="8">
        <v>25406</v>
      </c>
      <c r="B645" s="13" t="s">
        <v>103</v>
      </c>
      <c r="C645" s="13" t="s">
        <v>5907</v>
      </c>
      <c r="D645" s="10">
        <v>0.8235</v>
      </c>
      <c r="E645" s="11">
        <v>205.72</v>
      </c>
      <c r="F645" s="10">
        <v>0.8824</v>
      </c>
      <c r="G645" s="11">
        <v>314.66</v>
      </c>
      <c r="H645" s="10">
        <v>0.3</v>
      </c>
      <c r="I645" s="11">
        <v>416.67</v>
      </c>
      <c r="J645" s="10">
        <v>0.4</v>
      </c>
      <c r="K645" s="11">
        <v>349.34</v>
      </c>
      <c r="L645" s="10">
        <v>0.375</v>
      </c>
      <c r="M645" s="11">
        <v>456</v>
      </c>
      <c r="N645" s="10">
        <v>0</v>
      </c>
      <c r="O645" s="11" t="s">
        <v>7127</v>
      </c>
      <c r="P645" s="10">
        <v>0.8235</v>
      </c>
      <c r="Q645" s="10">
        <v>0.1688</v>
      </c>
      <c r="R645" s="10">
        <v>0.4</v>
      </c>
      <c r="S645" s="10">
        <v>0.2121</v>
      </c>
      <c r="T645" s="8">
        <f>IF(and(ISNUMBER(D645), isnumber(E645)), 1, 0) + IF(and(ISNUMBER(F645), isnumber(G645)), 1, 0) + IF(and(ISNUMBER(H645), isnumber(I645)), 1, 0) + IF(and(ISNUMBER(J645), isnumber(K645)), 1, 0) + IF(and(ISNUMBER(L645), isnumber(M645)), 1, 0) + IF(and(ISNUMBER(N645), isnumber(O645)), 1, 0)</f>
      </c>
      <c r="U645" s="8">
        <f>IF(and(ISNUMBER(P645), isnumber(Q645)), 1, 0) + IF(and(ISNUMBER(R645), isnumber(S645)), 1, 0)</f>
      </c>
      <c r="V645" s="13"/>
      <c r="W645" s="13"/>
      <c r="X645" s="16"/>
    </row>
    <row x14ac:dyDescent="0.25" r="646" customHeight="1" ht="15.75">
      <c r="A646" s="8">
        <v>25407</v>
      </c>
      <c r="B646" s="13" t="s">
        <v>103</v>
      </c>
      <c r="C646" s="13" t="s">
        <v>5909</v>
      </c>
      <c r="D646" s="10">
        <v>0.5762</v>
      </c>
      <c r="E646" s="11">
        <v>177.81</v>
      </c>
      <c r="F646" s="10">
        <v>0.6887</v>
      </c>
      <c r="G646" s="11">
        <v>366.09</v>
      </c>
      <c r="H646" s="10">
        <v>0.5153</v>
      </c>
      <c r="I646" s="11">
        <v>389.22</v>
      </c>
      <c r="J646" s="10">
        <v>0.754</v>
      </c>
      <c r="K646" s="11">
        <v>291.69</v>
      </c>
      <c r="L646" s="10">
        <v>0.3929</v>
      </c>
      <c r="M646" s="11" t="s">
        <v>7127</v>
      </c>
      <c r="N646" s="10">
        <v>0</v>
      </c>
      <c r="O646" s="11" t="s">
        <v>7127</v>
      </c>
      <c r="P646" s="10">
        <v>0.5762</v>
      </c>
      <c r="Q646" s="10">
        <v>0.2199</v>
      </c>
      <c r="R646" s="10">
        <v>0.754</v>
      </c>
      <c r="S646" s="10">
        <v>0.2028</v>
      </c>
      <c r="T646" s="8">
        <f>IF(and(ISNUMBER(D646), isnumber(E646)), 1, 0) + IF(and(ISNUMBER(F646), isnumber(G646)), 1, 0) + IF(and(ISNUMBER(H646), isnumber(I646)), 1, 0) + IF(and(ISNUMBER(J646), isnumber(K646)), 1, 0) + IF(and(ISNUMBER(L646), isnumber(M646)), 1, 0) + IF(and(ISNUMBER(N646), isnumber(O646)), 1, 0)</f>
      </c>
      <c r="U646" s="8">
        <f>IF(and(ISNUMBER(P646), isnumber(Q646)), 1, 0) + IF(and(ISNUMBER(R646), isnumber(S646)), 1, 0)</f>
      </c>
      <c r="V646" s="13"/>
      <c r="W646" s="13"/>
      <c r="X646" s="16"/>
    </row>
    <row x14ac:dyDescent="0.25" r="647" customHeight="1" ht="15.75">
      <c r="A647" s="8">
        <v>25408</v>
      </c>
      <c r="B647" s="13" t="s">
        <v>103</v>
      </c>
      <c r="C647" s="13" t="s">
        <v>4496</v>
      </c>
      <c r="D647" s="10">
        <v>0.8947</v>
      </c>
      <c r="E647" s="11">
        <v>205.88</v>
      </c>
      <c r="F647" s="10">
        <v>0.3421</v>
      </c>
      <c r="G647" s="11">
        <v>320</v>
      </c>
      <c r="H647" s="10">
        <v>0.4211</v>
      </c>
      <c r="I647" s="11">
        <v>327.5</v>
      </c>
      <c r="J647" s="10">
        <v>0.5263</v>
      </c>
      <c r="K647" s="11">
        <v>252.5</v>
      </c>
      <c r="L647" s="10">
        <v>0.2632</v>
      </c>
      <c r="M647" s="11">
        <v>320</v>
      </c>
      <c r="N647" s="10">
        <v>0</v>
      </c>
      <c r="O647" s="11" t="s">
        <v>7127</v>
      </c>
      <c r="P647" s="10">
        <v>0.8947</v>
      </c>
      <c r="Q647" s="10">
        <v>0.2243</v>
      </c>
      <c r="R647" s="10">
        <v>0.5263</v>
      </c>
      <c r="S647" s="10">
        <v>0.2531</v>
      </c>
      <c r="T647" s="8">
        <f>IF(and(ISNUMBER(D647), isnumber(E647)), 1, 0) + IF(and(ISNUMBER(F647), isnumber(G647)), 1, 0) + IF(and(ISNUMBER(H647), isnumber(I647)), 1, 0) + IF(and(ISNUMBER(J647), isnumber(K647)), 1, 0) + IF(and(ISNUMBER(L647), isnumber(M647)), 1, 0) + IF(and(ISNUMBER(N647), isnumber(O647)), 1, 0)</f>
      </c>
      <c r="U647" s="8">
        <f>IF(and(ISNUMBER(P647), isnumber(Q647)), 1, 0) + IF(and(ISNUMBER(R647), isnumber(S647)), 1, 0)</f>
      </c>
      <c r="V647" s="13"/>
      <c r="W647" s="13"/>
      <c r="X647" s="16"/>
    </row>
    <row x14ac:dyDescent="0.25" r="648" customHeight="1" ht="15.75">
      <c r="A648" s="8">
        <v>25409</v>
      </c>
      <c r="B648" s="13" t="s">
        <v>103</v>
      </c>
      <c r="C648" s="13" t="s">
        <v>5912</v>
      </c>
      <c r="D648" s="10">
        <v>0.1803</v>
      </c>
      <c r="E648" s="11">
        <v>201.01</v>
      </c>
      <c r="F648" s="10">
        <v>0.3901</v>
      </c>
      <c r="G648" s="11">
        <v>387</v>
      </c>
      <c r="H648" s="10">
        <v>0.4465</v>
      </c>
      <c r="I648" s="11">
        <v>429.68</v>
      </c>
      <c r="J648" s="10">
        <v>0.2845</v>
      </c>
      <c r="K648" s="11">
        <v>206.86</v>
      </c>
      <c r="L648" s="10">
        <v>0.593</v>
      </c>
      <c r="M648" s="11">
        <v>374.22</v>
      </c>
      <c r="N648" s="10">
        <v>0</v>
      </c>
      <c r="O648" s="11" t="s">
        <v>7127</v>
      </c>
      <c r="P648" s="10">
        <v>0.1803</v>
      </c>
      <c r="Q648" s="10">
        <v>0.2313</v>
      </c>
      <c r="R648" s="10">
        <v>0.2845</v>
      </c>
      <c r="S648" s="10">
        <v>0.2008</v>
      </c>
      <c r="T648" s="8">
        <f>IF(and(ISNUMBER(D648), isnumber(E648)), 1, 0) + IF(and(ISNUMBER(F648), isnumber(G648)), 1, 0) + IF(and(ISNUMBER(H648), isnumber(I648)), 1, 0) + IF(and(ISNUMBER(J648), isnumber(K648)), 1, 0) + IF(and(ISNUMBER(L648), isnumber(M648)), 1, 0) + IF(and(ISNUMBER(N648), isnumber(O648)), 1, 0)</f>
      </c>
      <c r="U648" s="8">
        <f>IF(and(ISNUMBER(P648), isnumber(Q648)), 1, 0) + IF(and(ISNUMBER(R648), isnumber(S648)), 1, 0)</f>
      </c>
      <c r="V648" s="13"/>
      <c r="W648" s="13"/>
      <c r="X648" s="16"/>
    </row>
    <row x14ac:dyDescent="0.25" r="649" customHeight="1" ht="15.75">
      <c r="A649" s="8">
        <v>25410</v>
      </c>
      <c r="B649" s="13" t="s">
        <v>103</v>
      </c>
      <c r="C649" s="13" t="s">
        <v>5914</v>
      </c>
      <c r="D649" s="10">
        <v>0.0441</v>
      </c>
      <c r="E649" s="11">
        <v>91.58</v>
      </c>
      <c r="F649" s="10">
        <v>0.4044</v>
      </c>
      <c r="G649" s="11">
        <v>335.76</v>
      </c>
      <c r="H649" s="10">
        <v>0.3296</v>
      </c>
      <c r="I649" s="11">
        <v>368.44</v>
      </c>
      <c r="J649" s="10">
        <v>0.4526</v>
      </c>
      <c r="K649" s="11">
        <v>215.68</v>
      </c>
      <c r="L649" s="10">
        <v>0.2424</v>
      </c>
      <c r="M649" s="11" t="s">
        <v>7127</v>
      </c>
      <c r="N649" s="10">
        <v>0</v>
      </c>
      <c r="O649" s="11" t="s">
        <v>7127</v>
      </c>
      <c r="P649" s="10">
        <v>0.0441</v>
      </c>
      <c r="Q649" s="10">
        <v>0.1517</v>
      </c>
      <c r="R649" s="10">
        <v>0.4526</v>
      </c>
      <c r="S649" s="10">
        <v>0.1881</v>
      </c>
      <c r="T649" s="8">
        <f>IF(and(ISNUMBER(D649), isnumber(E649)), 1, 0) + IF(and(ISNUMBER(F649), isnumber(G649)), 1, 0) + IF(and(ISNUMBER(H649), isnumber(I649)), 1, 0) + IF(and(ISNUMBER(J649), isnumber(K649)), 1, 0) + IF(and(ISNUMBER(L649), isnumber(M649)), 1, 0) + IF(and(ISNUMBER(N649), isnumber(O649)), 1, 0)</f>
      </c>
      <c r="U649" s="8">
        <f>IF(and(ISNUMBER(P649), isnumber(Q649)), 1, 0) + IF(and(ISNUMBER(R649), isnumber(S649)), 1, 0)</f>
      </c>
      <c r="V649" s="13"/>
      <c r="W649" s="13"/>
      <c r="X649" s="16"/>
    </row>
    <row x14ac:dyDescent="0.25" r="650" customHeight="1" ht="15.75">
      <c r="A650" s="8">
        <v>25411</v>
      </c>
      <c r="B650" s="13" t="s">
        <v>103</v>
      </c>
      <c r="C650" s="13" t="s">
        <v>5918</v>
      </c>
      <c r="D650" s="10">
        <v>0.808</v>
      </c>
      <c r="E650" s="11">
        <v>248.21</v>
      </c>
      <c r="F650" s="10">
        <v>0.6618</v>
      </c>
      <c r="G650" s="11">
        <v>419.23</v>
      </c>
      <c r="H650" s="10">
        <v>0.6453</v>
      </c>
      <c r="I650" s="11">
        <v>445.49</v>
      </c>
      <c r="J650" s="10">
        <v>0.5777</v>
      </c>
      <c r="K650" s="11">
        <v>327.76</v>
      </c>
      <c r="L650" s="10">
        <v>0.5923</v>
      </c>
      <c r="M650" s="11">
        <v>447.95</v>
      </c>
      <c r="N650" s="10">
        <v>0.0037</v>
      </c>
      <c r="O650" s="11">
        <v>80</v>
      </c>
      <c r="P650" s="10">
        <v>0.808</v>
      </c>
      <c r="Q650" s="10">
        <v>0.2413</v>
      </c>
      <c r="R650" s="10">
        <v>0.5777</v>
      </c>
      <c r="S650" s="10">
        <v>0.2035</v>
      </c>
      <c r="T650" s="8">
        <f>IF(and(ISNUMBER(D650), isnumber(E650)), 1, 0) + IF(and(ISNUMBER(F650), isnumber(G650)), 1, 0) + IF(and(ISNUMBER(H650), isnumber(I650)), 1, 0) + IF(and(ISNUMBER(J650), isnumber(K650)), 1, 0) + IF(and(ISNUMBER(L650), isnumber(M650)), 1, 0) + IF(and(ISNUMBER(N650), isnumber(O650)), 1, 0)</f>
      </c>
      <c r="U650" s="8">
        <f>IF(and(ISNUMBER(P650), isnumber(Q650)), 1, 0) + IF(and(ISNUMBER(R650), isnumber(S650)), 1, 0)</f>
      </c>
      <c r="V650" s="13"/>
      <c r="W650" s="13"/>
      <c r="X650" s="16"/>
    </row>
    <row x14ac:dyDescent="0.25" r="651" customHeight="1" ht="15.75">
      <c r="A651" s="8">
        <v>25412</v>
      </c>
      <c r="B651" s="13" t="s">
        <v>103</v>
      </c>
      <c r="C651" s="13" t="s">
        <v>5922</v>
      </c>
      <c r="D651" s="10">
        <v>0.5563</v>
      </c>
      <c r="E651" s="11">
        <v>138.8</v>
      </c>
      <c r="F651" s="10">
        <v>0.6159</v>
      </c>
      <c r="G651" s="11">
        <v>358.28</v>
      </c>
      <c r="H651" s="10">
        <v>0.596</v>
      </c>
      <c r="I651" s="11">
        <v>382.67</v>
      </c>
      <c r="J651" s="10">
        <v>0.6159</v>
      </c>
      <c r="K651" s="11">
        <v>303.9</v>
      </c>
      <c r="L651" s="10">
        <v>0.5298</v>
      </c>
      <c r="M651" s="11">
        <v>386.5</v>
      </c>
      <c r="N651" s="10">
        <v>0</v>
      </c>
      <c r="O651" s="11" t="s">
        <v>7127</v>
      </c>
      <c r="P651" s="10">
        <v>0.5563</v>
      </c>
      <c r="Q651" s="10">
        <v>0.227</v>
      </c>
      <c r="R651" s="10">
        <v>0.6159</v>
      </c>
      <c r="S651" s="10">
        <v>0.2043</v>
      </c>
      <c r="T651" s="8">
        <f>IF(and(ISNUMBER(D651), isnumber(E651)), 1, 0) + IF(and(ISNUMBER(F651), isnumber(G651)), 1, 0) + IF(and(ISNUMBER(H651), isnumber(I651)), 1, 0) + IF(and(ISNUMBER(J651), isnumber(K651)), 1, 0) + IF(and(ISNUMBER(L651), isnumber(M651)), 1, 0) + IF(and(ISNUMBER(N651), isnumber(O651)), 1, 0)</f>
      </c>
      <c r="U651" s="8">
        <f>IF(and(ISNUMBER(P651), isnumber(Q651)), 1, 0) + IF(and(ISNUMBER(R651), isnumber(S651)), 1, 0)</f>
      </c>
      <c r="V651" s="13"/>
      <c r="W651" s="13"/>
      <c r="X651" s="16"/>
    </row>
    <row x14ac:dyDescent="0.25" r="652" customHeight="1" ht="15.75">
      <c r="A652" s="8">
        <v>25413</v>
      </c>
      <c r="B652" s="13" t="s">
        <v>103</v>
      </c>
      <c r="C652" s="13" t="s">
        <v>5925</v>
      </c>
      <c r="D652" s="10">
        <v>0.8468</v>
      </c>
      <c r="E652" s="11">
        <v>301.69</v>
      </c>
      <c r="F652" s="10">
        <v>0.7137</v>
      </c>
      <c r="G652" s="11">
        <v>443.39</v>
      </c>
      <c r="H652" s="10">
        <v>0.746</v>
      </c>
      <c r="I652" s="11">
        <v>443.91</v>
      </c>
      <c r="J652" s="10">
        <v>0.754</v>
      </c>
      <c r="K652" s="11">
        <v>407.95</v>
      </c>
      <c r="L652" s="10">
        <v>0.8427</v>
      </c>
      <c r="M652" s="11">
        <v>370.33</v>
      </c>
      <c r="N652" s="10">
        <v>0.004</v>
      </c>
      <c r="O652" s="11">
        <v>0</v>
      </c>
      <c r="P652" s="10">
        <v>0.8468</v>
      </c>
      <c r="Q652" s="10">
        <v>0.2576</v>
      </c>
      <c r="R652" s="10">
        <v>0.754</v>
      </c>
      <c r="S652" s="10">
        <v>0.2098</v>
      </c>
      <c r="T652" s="8">
        <f>IF(and(ISNUMBER(D652), isnumber(E652)), 1, 0) + IF(and(ISNUMBER(F652), isnumber(G652)), 1, 0) + IF(and(ISNUMBER(H652), isnumber(I652)), 1, 0) + IF(and(ISNUMBER(J652), isnumber(K652)), 1, 0) + IF(and(ISNUMBER(L652), isnumber(M652)), 1, 0) + IF(and(ISNUMBER(N652), isnumber(O652)), 1, 0)</f>
      </c>
      <c r="U652" s="8">
        <f>IF(and(ISNUMBER(P652), isnumber(Q652)), 1, 0) + IF(and(ISNUMBER(R652), isnumber(S652)), 1, 0)</f>
      </c>
      <c r="V652" s="13"/>
      <c r="W652" s="13"/>
      <c r="X652" s="16"/>
    </row>
    <row x14ac:dyDescent="0.25" r="653" customHeight="1" ht="15.75">
      <c r="A653" s="8">
        <v>25414</v>
      </c>
      <c r="B653" s="13" t="s">
        <v>103</v>
      </c>
      <c r="C653" s="13" t="s">
        <v>5928</v>
      </c>
      <c r="D653" s="10">
        <v>0.5853</v>
      </c>
      <c r="E653" s="11">
        <v>187.08</v>
      </c>
      <c r="F653" s="10">
        <v>0.4147</v>
      </c>
      <c r="G653" s="11">
        <v>360.45</v>
      </c>
      <c r="H653" s="10">
        <v>0.4332</v>
      </c>
      <c r="I653" s="11">
        <v>380.43</v>
      </c>
      <c r="J653" s="10">
        <v>0.4332</v>
      </c>
      <c r="K653" s="11">
        <v>256</v>
      </c>
      <c r="L653" s="10">
        <v>0.4793</v>
      </c>
      <c r="M653" s="11">
        <v>354.46</v>
      </c>
      <c r="N653" s="10">
        <v>0</v>
      </c>
      <c r="O653" s="11" t="s">
        <v>7127</v>
      </c>
      <c r="P653" s="10">
        <v>0.5853</v>
      </c>
      <c r="Q653" s="10">
        <v>0.2076</v>
      </c>
      <c r="R653" s="10">
        <v>0.4332</v>
      </c>
      <c r="S653" s="10">
        <v>0.205</v>
      </c>
      <c r="T653" s="8">
        <f>IF(and(ISNUMBER(D653), isnumber(E653)), 1, 0) + IF(and(ISNUMBER(F653), isnumber(G653)), 1, 0) + IF(and(ISNUMBER(H653), isnumber(I653)), 1, 0) + IF(and(ISNUMBER(J653), isnumber(K653)), 1, 0) + IF(and(ISNUMBER(L653), isnumber(M653)), 1, 0) + IF(and(ISNUMBER(N653), isnumber(O653)), 1, 0)</f>
      </c>
      <c r="U653" s="8">
        <f>IF(and(ISNUMBER(P653), isnumber(Q653)), 1, 0) + IF(and(ISNUMBER(R653), isnumber(S653)), 1, 0)</f>
      </c>
      <c r="V653" s="13"/>
      <c r="W653" s="13"/>
      <c r="X653" s="16"/>
    </row>
    <row x14ac:dyDescent="0.25" r="654" customHeight="1" ht="15.75">
      <c r="A654" s="8">
        <v>25415</v>
      </c>
      <c r="B654" s="13" t="s">
        <v>103</v>
      </c>
      <c r="C654" s="13" t="s">
        <v>5931</v>
      </c>
      <c r="D654" s="10">
        <v>0.6643</v>
      </c>
      <c r="E654" s="11">
        <v>212.29</v>
      </c>
      <c r="F654" s="10">
        <v>0</v>
      </c>
      <c r="G654" s="11" t="s">
        <v>7127</v>
      </c>
      <c r="H654" s="10">
        <v>0.5914</v>
      </c>
      <c r="I654" s="11">
        <v>406.59</v>
      </c>
      <c r="J654" s="10">
        <v>0.362</v>
      </c>
      <c r="K654" s="11">
        <v>313.4</v>
      </c>
      <c r="L654" s="10">
        <v>0.5699</v>
      </c>
      <c r="M654" s="11">
        <v>484.03</v>
      </c>
      <c r="N654" s="10">
        <v>0.0072</v>
      </c>
      <c r="O654" s="11">
        <v>360</v>
      </c>
      <c r="P654" s="10">
        <v>0.6643</v>
      </c>
      <c r="Q654" s="10">
        <v>0.2206</v>
      </c>
      <c r="R654" s="10">
        <v>0.362</v>
      </c>
      <c r="S654" s="10">
        <v>0.223</v>
      </c>
      <c r="T654" s="8">
        <f>IF(and(ISNUMBER(D654), isnumber(E654)), 1, 0) + IF(and(ISNUMBER(F654), isnumber(G654)), 1, 0) + IF(and(ISNUMBER(H654), isnumber(I654)), 1, 0) + IF(and(ISNUMBER(J654), isnumber(K654)), 1, 0) + IF(and(ISNUMBER(L654), isnumber(M654)), 1, 0) + IF(and(ISNUMBER(N654), isnumber(O654)), 1, 0)</f>
      </c>
      <c r="U654" s="8">
        <f>IF(and(ISNUMBER(P654), isnumber(Q654)), 1, 0) + IF(and(ISNUMBER(R654), isnumber(S654)), 1, 0)</f>
      </c>
      <c r="V654" s="13"/>
      <c r="W654" s="13"/>
      <c r="X654" s="16"/>
    </row>
    <row x14ac:dyDescent="0.25" r="655" customHeight="1" ht="15.75">
      <c r="A655" s="8">
        <v>25416</v>
      </c>
      <c r="B655" s="13" t="s">
        <v>103</v>
      </c>
      <c r="C655" s="13" t="s">
        <v>5934</v>
      </c>
      <c r="D655" s="10">
        <v>0.6708</v>
      </c>
      <c r="E655" s="11" t="s">
        <v>7127</v>
      </c>
      <c r="F655" s="10">
        <v>0.6345</v>
      </c>
      <c r="G655" s="11">
        <v>396.94</v>
      </c>
      <c r="H655" s="10">
        <v>0.6155</v>
      </c>
      <c r="I655" s="11">
        <v>390.4</v>
      </c>
      <c r="J655" s="10">
        <v>0.6507</v>
      </c>
      <c r="K655" s="11">
        <v>407.13</v>
      </c>
      <c r="L655" s="10">
        <v>0.537</v>
      </c>
      <c r="M655" s="11">
        <v>390.95</v>
      </c>
      <c r="N655" s="10">
        <v>0.0046</v>
      </c>
      <c r="O655" s="11" t="s">
        <v>7127</v>
      </c>
      <c r="P655" s="10">
        <v>0.6708</v>
      </c>
      <c r="Q655" s="10">
        <v>0.2285</v>
      </c>
      <c r="R655" s="10">
        <v>0.6507</v>
      </c>
      <c r="S655" s="10">
        <v>0.2009</v>
      </c>
      <c r="T655" s="8">
        <f>IF(and(ISNUMBER(D655), isnumber(E655)), 1, 0) + IF(and(ISNUMBER(F655), isnumber(G655)), 1, 0) + IF(and(ISNUMBER(H655), isnumber(I655)), 1, 0) + IF(and(ISNUMBER(J655), isnumber(K655)), 1, 0) + IF(and(ISNUMBER(L655), isnumber(M655)), 1, 0) + IF(and(ISNUMBER(N655), isnumber(O655)), 1, 0)</f>
      </c>
      <c r="U655" s="8">
        <f>IF(and(ISNUMBER(P655), isnumber(Q655)), 1, 0) + IF(and(ISNUMBER(R655), isnumber(S655)), 1, 0)</f>
      </c>
      <c r="V655" s="13"/>
      <c r="W655" s="13"/>
      <c r="X655" s="16"/>
    </row>
    <row x14ac:dyDescent="0.25" r="656" customHeight="1" ht="15.75">
      <c r="A656" s="8">
        <v>25417</v>
      </c>
      <c r="B656" s="13" t="s">
        <v>103</v>
      </c>
      <c r="C656" s="13" t="s">
        <v>5938</v>
      </c>
      <c r="D656" s="10">
        <v>0.8304</v>
      </c>
      <c r="E656" s="11">
        <v>89.94</v>
      </c>
      <c r="F656" s="10">
        <v>0.8438</v>
      </c>
      <c r="G656" s="11">
        <v>223.61</v>
      </c>
      <c r="H656" s="10">
        <v>0.4911</v>
      </c>
      <c r="I656" s="11">
        <v>451.59</v>
      </c>
      <c r="J656" s="10">
        <v>0.5759</v>
      </c>
      <c r="K656" s="11">
        <v>199.64</v>
      </c>
      <c r="L656" s="10">
        <v>0.4777</v>
      </c>
      <c r="M656" s="11">
        <v>496.33</v>
      </c>
      <c r="N656" s="10">
        <v>0.0045</v>
      </c>
      <c r="O656" s="11">
        <v>560</v>
      </c>
      <c r="P656" s="10">
        <v>0.8304</v>
      </c>
      <c r="Q656" s="10">
        <v>0.1282</v>
      </c>
      <c r="R656" s="10">
        <v>0.5759</v>
      </c>
      <c r="S656" s="10">
        <v>0.2154</v>
      </c>
      <c r="T656" s="8">
        <f>IF(and(ISNUMBER(D656), isnumber(E656)), 1, 0) + IF(and(ISNUMBER(F656), isnumber(G656)), 1, 0) + IF(and(ISNUMBER(H656), isnumber(I656)), 1, 0) + IF(and(ISNUMBER(J656), isnumber(K656)), 1, 0) + IF(and(ISNUMBER(L656), isnumber(M656)), 1, 0) + IF(and(ISNUMBER(N656), isnumber(O656)), 1, 0)</f>
      </c>
      <c r="U656" s="8">
        <f>IF(and(ISNUMBER(P656), isnumber(Q656)), 1, 0) + IF(and(ISNUMBER(R656), isnumber(S656)), 1, 0)</f>
      </c>
      <c r="V656" s="13"/>
      <c r="W656" s="13"/>
      <c r="X656" s="16"/>
    </row>
    <row x14ac:dyDescent="0.25" r="657" customHeight="1" ht="15.75">
      <c r="A657" s="8">
        <v>25418</v>
      </c>
      <c r="B657" s="13" t="s">
        <v>103</v>
      </c>
      <c r="C657" s="13" t="s">
        <v>5941</v>
      </c>
      <c r="D657" s="10">
        <v>0.2926</v>
      </c>
      <c r="E657" s="11">
        <v>39.4</v>
      </c>
      <c r="F657" s="10">
        <v>0.5266</v>
      </c>
      <c r="G657" s="11">
        <v>243.23</v>
      </c>
      <c r="H657" s="10">
        <v>0.4861</v>
      </c>
      <c r="I657" s="11">
        <v>330.53</v>
      </c>
      <c r="J657" s="10">
        <v>0.5325</v>
      </c>
      <c r="K657" s="11">
        <v>120.95</v>
      </c>
      <c r="L657" s="10">
        <v>0.4213</v>
      </c>
      <c r="M657" s="11" t="s">
        <v>7127</v>
      </c>
      <c r="N657" s="10">
        <v>0.0046</v>
      </c>
      <c r="O657" s="11" t="s">
        <v>7127</v>
      </c>
      <c r="P657" s="10">
        <v>0.2926</v>
      </c>
      <c r="Q657" s="10">
        <v>0.2133</v>
      </c>
      <c r="R657" s="10">
        <v>0.5325</v>
      </c>
      <c r="S657" s="10">
        <v>0.1974</v>
      </c>
      <c r="T657" s="8">
        <f>IF(and(ISNUMBER(D657), isnumber(E657)), 1, 0) + IF(and(ISNUMBER(F657), isnumber(G657)), 1, 0) + IF(and(ISNUMBER(H657), isnumber(I657)), 1, 0) + IF(and(ISNUMBER(J657), isnumber(K657)), 1, 0) + IF(and(ISNUMBER(L657), isnumber(M657)), 1, 0) + IF(and(ISNUMBER(N657), isnumber(O657)), 1, 0)</f>
      </c>
      <c r="U657" s="8">
        <f>IF(and(ISNUMBER(P657), isnumber(Q657)), 1, 0) + IF(and(ISNUMBER(R657), isnumber(S657)), 1, 0)</f>
      </c>
      <c r="V657" s="13"/>
      <c r="W657" s="13"/>
      <c r="X657" s="16"/>
    </row>
    <row x14ac:dyDescent="0.25" r="658" customHeight="1" ht="15.75">
      <c r="A658" s="8">
        <v>25419</v>
      </c>
      <c r="B658" s="13" t="s">
        <v>103</v>
      </c>
      <c r="C658" s="13" t="s">
        <v>5944</v>
      </c>
      <c r="D658" s="10">
        <v>0.407</v>
      </c>
      <c r="E658" s="11">
        <v>231.26</v>
      </c>
      <c r="F658" s="10">
        <v>0.1744</v>
      </c>
      <c r="G658" s="11">
        <v>512</v>
      </c>
      <c r="H658" s="10">
        <v>0.2269</v>
      </c>
      <c r="I658" s="11">
        <v>265.18</v>
      </c>
      <c r="J658" s="10">
        <v>0.4792</v>
      </c>
      <c r="K658" s="11">
        <v>64.42</v>
      </c>
      <c r="L658" s="10">
        <v>0.1429</v>
      </c>
      <c r="M658" s="11" t="s">
        <v>7127</v>
      </c>
      <c r="N658" s="10">
        <v>0.0084</v>
      </c>
      <c r="O658" s="11" t="s">
        <v>7127</v>
      </c>
      <c r="P658" s="10">
        <v>0.407</v>
      </c>
      <c r="Q658" s="10">
        <v>0.2179</v>
      </c>
      <c r="R658" s="10">
        <v>0.4792</v>
      </c>
      <c r="S658" s="10">
        <v>0.1977</v>
      </c>
      <c r="T658" s="8">
        <f>IF(and(ISNUMBER(D658), isnumber(E658)), 1, 0) + IF(and(ISNUMBER(F658), isnumber(G658)), 1, 0) + IF(and(ISNUMBER(H658), isnumber(I658)), 1, 0) + IF(and(ISNUMBER(J658), isnumber(K658)), 1, 0) + IF(and(ISNUMBER(L658), isnumber(M658)), 1, 0) + IF(and(ISNUMBER(N658), isnumber(O658)), 1, 0)</f>
      </c>
      <c r="U658" s="8">
        <f>IF(and(ISNUMBER(P658), isnumber(Q658)), 1, 0) + IF(and(ISNUMBER(R658), isnumber(S658)), 1, 0)</f>
      </c>
      <c r="V658" s="13"/>
      <c r="W658" s="13"/>
      <c r="X658" s="16"/>
    </row>
    <row x14ac:dyDescent="0.25" r="659" customHeight="1" ht="15.75">
      <c r="A659" s="8">
        <v>25420</v>
      </c>
      <c r="B659" s="13" t="s">
        <v>103</v>
      </c>
      <c r="C659" s="13" t="s">
        <v>5946</v>
      </c>
      <c r="D659" s="10">
        <v>0.5738</v>
      </c>
      <c r="E659" s="11">
        <v>253.75</v>
      </c>
      <c r="F659" s="10">
        <v>0.4836</v>
      </c>
      <c r="G659" s="11">
        <v>400</v>
      </c>
      <c r="H659" s="10">
        <v>0.4098</v>
      </c>
      <c r="I659" s="11">
        <v>426.12</v>
      </c>
      <c r="J659" s="10">
        <v>0.582</v>
      </c>
      <c r="K659" s="11">
        <v>176.72</v>
      </c>
      <c r="L659" s="10">
        <v>0.4672</v>
      </c>
      <c r="M659" s="11">
        <v>396.49</v>
      </c>
      <c r="N659" s="10">
        <v>0</v>
      </c>
      <c r="O659" s="11" t="s">
        <v>7127</v>
      </c>
      <c r="P659" s="10">
        <v>0.5738</v>
      </c>
      <c r="Q659" s="10">
        <v>0.2377</v>
      </c>
      <c r="R659" s="10">
        <v>0.582</v>
      </c>
      <c r="S659" s="10">
        <v>0.2857</v>
      </c>
      <c r="T659" s="8">
        <f>IF(and(ISNUMBER(D659), isnumber(E659)), 1, 0) + IF(and(ISNUMBER(F659), isnumber(G659)), 1, 0) + IF(and(ISNUMBER(H659), isnumber(I659)), 1, 0) + IF(and(ISNUMBER(J659), isnumber(K659)), 1, 0) + IF(and(ISNUMBER(L659), isnumber(M659)), 1, 0) + IF(and(ISNUMBER(N659), isnumber(O659)), 1, 0)</f>
      </c>
      <c r="U659" s="8">
        <f>IF(and(ISNUMBER(P659), isnumber(Q659)), 1, 0) + IF(and(ISNUMBER(R659), isnumber(S659)), 1, 0)</f>
      </c>
      <c r="V659" s="13"/>
      <c r="W659" s="13"/>
      <c r="X659" s="16"/>
    </row>
    <row x14ac:dyDescent="0.25" r="660" customHeight="1" ht="15.75">
      <c r="A660" s="8">
        <v>25421</v>
      </c>
      <c r="B660" s="13" t="s">
        <v>103</v>
      </c>
      <c r="C660" s="13" t="s">
        <v>5949</v>
      </c>
      <c r="D660" s="10">
        <v>0.6466</v>
      </c>
      <c r="E660" s="11" t="s">
        <v>7127</v>
      </c>
      <c r="F660" s="10">
        <v>0.2463</v>
      </c>
      <c r="G660" s="11">
        <v>345.19</v>
      </c>
      <c r="H660" s="10">
        <v>0.3077</v>
      </c>
      <c r="I660" s="11" t="s">
        <v>7127</v>
      </c>
      <c r="J660" s="10">
        <v>0.2843</v>
      </c>
      <c r="K660" s="11">
        <v>369.81</v>
      </c>
      <c r="L660" s="10">
        <v>0.2885</v>
      </c>
      <c r="M660" s="11">
        <v>376.7</v>
      </c>
      <c r="N660" s="10">
        <v>0.0038</v>
      </c>
      <c r="O660" s="11" t="s">
        <v>7127</v>
      </c>
      <c r="P660" s="10">
        <v>0.6466</v>
      </c>
      <c r="Q660" s="10">
        <v>0.2418</v>
      </c>
      <c r="R660" s="10">
        <v>0.2843</v>
      </c>
      <c r="S660" s="10">
        <v>0.2011</v>
      </c>
      <c r="T660" s="8">
        <f>IF(and(ISNUMBER(D660), isnumber(E660)), 1, 0) + IF(and(ISNUMBER(F660), isnumber(G660)), 1, 0) + IF(and(ISNUMBER(H660), isnumber(I660)), 1, 0) + IF(and(ISNUMBER(J660), isnumber(K660)), 1, 0) + IF(and(ISNUMBER(L660), isnumber(M660)), 1, 0) + IF(and(ISNUMBER(N660), isnumber(O660)), 1, 0)</f>
      </c>
      <c r="U660" s="8">
        <f>IF(and(ISNUMBER(P660), isnumber(Q660)), 1, 0) + IF(and(ISNUMBER(R660), isnumber(S660)), 1, 0)</f>
      </c>
      <c r="V660" s="13"/>
      <c r="W660" s="13"/>
      <c r="X660" s="16"/>
    </row>
    <row x14ac:dyDescent="0.25" r="661" customHeight="1" ht="15.75">
      <c r="A661" s="8">
        <v>25422</v>
      </c>
      <c r="B661" s="13" t="s">
        <v>103</v>
      </c>
      <c r="C661" s="13" t="s">
        <v>5952</v>
      </c>
      <c r="D661" s="10">
        <v>0.6984</v>
      </c>
      <c r="E661" s="11">
        <v>97.64</v>
      </c>
      <c r="F661" s="10">
        <v>0.5714</v>
      </c>
      <c r="G661" s="11">
        <v>310</v>
      </c>
      <c r="H661" s="10">
        <v>0.3516</v>
      </c>
      <c r="I661" s="11">
        <v>391.56</v>
      </c>
      <c r="J661" s="10">
        <v>0.6164</v>
      </c>
      <c r="K661" s="11">
        <v>272.84</v>
      </c>
      <c r="L661" s="10">
        <v>0.4176</v>
      </c>
      <c r="M661" s="11">
        <v>409.8</v>
      </c>
      <c r="N661" s="10">
        <v>0</v>
      </c>
      <c r="O661" s="11" t="s">
        <v>7127</v>
      </c>
      <c r="P661" s="10">
        <v>0.6984</v>
      </c>
      <c r="Q661" s="10">
        <v>0.224</v>
      </c>
      <c r="R661" s="10">
        <v>0.6164</v>
      </c>
      <c r="S661" s="10">
        <v>0.2026</v>
      </c>
      <c r="T661" s="8">
        <f>IF(and(ISNUMBER(D661), isnumber(E661)), 1, 0) + IF(and(ISNUMBER(F661), isnumber(G661)), 1, 0) + IF(and(ISNUMBER(H661), isnumber(I661)), 1, 0) + IF(and(ISNUMBER(J661), isnumber(K661)), 1, 0) + IF(and(ISNUMBER(L661), isnumber(M661)), 1, 0) + IF(and(ISNUMBER(N661), isnumber(O661)), 1, 0)</f>
      </c>
      <c r="U661" s="8">
        <f>IF(and(ISNUMBER(P661), isnumber(Q661)), 1, 0) + IF(and(ISNUMBER(R661), isnumber(S661)), 1, 0)</f>
      </c>
      <c r="V661" s="13"/>
      <c r="W661" s="13"/>
      <c r="X661" s="16"/>
    </row>
    <row x14ac:dyDescent="0.25" r="662" customHeight="1" ht="15.75">
      <c r="A662" s="8">
        <v>25423</v>
      </c>
      <c r="B662" s="13" t="s">
        <v>103</v>
      </c>
      <c r="C662" s="13" t="s">
        <v>5954</v>
      </c>
      <c r="D662" s="10">
        <v>0.6522</v>
      </c>
      <c r="E662" s="11">
        <v>245.21</v>
      </c>
      <c r="F662" s="10">
        <v>0.6186</v>
      </c>
      <c r="G662" s="11">
        <v>440.52</v>
      </c>
      <c r="H662" s="10">
        <v>0.5692</v>
      </c>
      <c r="I662" s="11">
        <v>410.17</v>
      </c>
      <c r="J662" s="10">
        <v>0.6008</v>
      </c>
      <c r="K662" s="11">
        <v>254.77</v>
      </c>
      <c r="L662" s="10">
        <v>0.6245</v>
      </c>
      <c r="M662" s="11">
        <v>360.38</v>
      </c>
      <c r="N662" s="10">
        <v>0.004</v>
      </c>
      <c r="O662" s="11">
        <v>480</v>
      </c>
      <c r="P662" s="10">
        <v>0.6522</v>
      </c>
      <c r="Q662" s="10">
        <v>0.2523</v>
      </c>
      <c r="R662" s="10">
        <v>0.6008</v>
      </c>
      <c r="S662" s="10">
        <v>0.2008</v>
      </c>
      <c r="T662" s="8">
        <f>IF(and(ISNUMBER(D662), isnumber(E662)), 1, 0) + IF(and(ISNUMBER(F662), isnumber(G662)), 1, 0) + IF(and(ISNUMBER(H662), isnumber(I662)), 1, 0) + IF(and(ISNUMBER(J662), isnumber(K662)), 1, 0) + IF(and(ISNUMBER(L662), isnumber(M662)), 1, 0) + IF(and(ISNUMBER(N662), isnumber(O662)), 1, 0)</f>
      </c>
      <c r="U662" s="8">
        <f>IF(and(ISNUMBER(P662), isnumber(Q662)), 1, 0) + IF(and(ISNUMBER(R662), isnumber(S662)), 1, 0)</f>
      </c>
      <c r="V662" s="13"/>
      <c r="W662" s="13"/>
      <c r="X662" s="16"/>
    </row>
    <row x14ac:dyDescent="0.25" r="663" customHeight="1" ht="15.75">
      <c r="A663" s="8">
        <v>25424</v>
      </c>
      <c r="B663" s="13" t="s">
        <v>103</v>
      </c>
      <c r="C663" s="13" t="s">
        <v>5956</v>
      </c>
      <c r="D663" s="10">
        <v>0.7725</v>
      </c>
      <c r="E663" s="11">
        <v>178.74</v>
      </c>
      <c r="F663" s="10">
        <v>0.6931</v>
      </c>
      <c r="G663" s="11">
        <v>353.4</v>
      </c>
      <c r="H663" s="10">
        <v>0.6197</v>
      </c>
      <c r="I663" s="11">
        <v>400.9</v>
      </c>
      <c r="J663" s="10">
        <v>0.5288</v>
      </c>
      <c r="K663" s="11">
        <v>312.04</v>
      </c>
      <c r="L663" s="10">
        <v>0.4805</v>
      </c>
      <c r="M663" s="11">
        <v>384.85</v>
      </c>
      <c r="N663" s="10">
        <v>0.3718</v>
      </c>
      <c r="O663" s="11" t="s">
        <v>7127</v>
      </c>
      <c r="P663" s="10">
        <v>0.7725</v>
      </c>
      <c r="Q663" s="10">
        <v>0.2407</v>
      </c>
      <c r="R663" s="10">
        <v>0.5288</v>
      </c>
      <c r="S663" s="10">
        <v>0.2066</v>
      </c>
      <c r="T663" s="8">
        <f>IF(and(ISNUMBER(D663), isnumber(E663)), 1, 0) + IF(and(ISNUMBER(F663), isnumber(G663)), 1, 0) + IF(and(ISNUMBER(H663), isnumber(I663)), 1, 0) + IF(and(ISNUMBER(J663), isnumber(K663)), 1, 0) + IF(and(ISNUMBER(L663), isnumber(M663)), 1, 0) + IF(and(ISNUMBER(N663), isnumber(O663)), 1, 0)</f>
      </c>
      <c r="U663" s="8">
        <f>IF(and(ISNUMBER(P663), isnumber(Q663)), 1, 0) + IF(and(ISNUMBER(R663), isnumber(S663)), 1, 0)</f>
      </c>
      <c r="V663" s="13"/>
      <c r="W663" s="13"/>
      <c r="X663" s="16"/>
    </row>
    <row x14ac:dyDescent="0.25" r="664" customHeight="1" ht="15.75">
      <c r="A664" s="8">
        <v>25425</v>
      </c>
      <c r="B664" s="13" t="s">
        <v>103</v>
      </c>
      <c r="C664" s="13" t="s">
        <v>5959</v>
      </c>
      <c r="D664" s="10">
        <v>0.7577</v>
      </c>
      <c r="E664" s="11">
        <v>312.45</v>
      </c>
      <c r="F664" s="10">
        <v>0.2291</v>
      </c>
      <c r="G664" s="11">
        <v>314.51</v>
      </c>
      <c r="H664" s="10">
        <v>0.2555</v>
      </c>
      <c r="I664" s="11">
        <v>400</v>
      </c>
      <c r="J664" s="10">
        <v>0.4802</v>
      </c>
      <c r="K664" s="11">
        <v>330.4</v>
      </c>
      <c r="L664" s="10">
        <v>0.3436</v>
      </c>
      <c r="M664" s="11">
        <v>387.57</v>
      </c>
      <c r="N664" s="10">
        <v>0</v>
      </c>
      <c r="O664" s="11" t="s">
        <v>7127</v>
      </c>
      <c r="P664" s="10">
        <v>0.7577</v>
      </c>
      <c r="Q664" s="10">
        <v>0.2206</v>
      </c>
      <c r="R664" s="10">
        <v>0.4802</v>
      </c>
      <c r="S664" s="10">
        <v>0.1815</v>
      </c>
      <c r="T664" s="8">
        <f>IF(and(ISNUMBER(D664), isnumber(E664)), 1, 0) + IF(and(ISNUMBER(F664), isnumber(G664)), 1, 0) + IF(and(ISNUMBER(H664), isnumber(I664)), 1, 0) + IF(and(ISNUMBER(J664), isnumber(K664)), 1, 0) + IF(and(ISNUMBER(L664), isnumber(M664)), 1, 0) + IF(and(ISNUMBER(N664), isnumber(O664)), 1, 0)</f>
      </c>
      <c r="U664" s="8">
        <f>IF(and(ISNUMBER(P664), isnumber(Q664)), 1, 0) + IF(and(ISNUMBER(R664), isnumber(S664)), 1, 0)</f>
      </c>
      <c r="V664" s="13"/>
      <c r="W664" s="13"/>
      <c r="X664" s="16"/>
    </row>
    <row x14ac:dyDescent="0.25" r="665" customHeight="1" ht="15.75">
      <c r="A665" s="8">
        <v>25426</v>
      </c>
      <c r="B665" s="13" t="s">
        <v>103</v>
      </c>
      <c r="C665" s="13" t="s">
        <v>5962</v>
      </c>
      <c r="D665" s="10">
        <v>0.2903</v>
      </c>
      <c r="E665" s="11">
        <v>64.92</v>
      </c>
      <c r="F665" s="10">
        <v>0.4194</v>
      </c>
      <c r="G665" s="11">
        <v>322.05</v>
      </c>
      <c r="H665" s="10">
        <v>0.3333</v>
      </c>
      <c r="I665" s="11">
        <v>310</v>
      </c>
      <c r="J665" s="10">
        <v>0.2838</v>
      </c>
      <c r="K665" s="11" t="s">
        <v>7127</v>
      </c>
      <c r="L665" s="10">
        <v>0.2583</v>
      </c>
      <c r="M665" s="11">
        <v>374.19</v>
      </c>
      <c r="N665" s="10">
        <v>0</v>
      </c>
      <c r="O665" s="11" t="s">
        <v>7127</v>
      </c>
      <c r="P665" s="10">
        <v>0.2903</v>
      </c>
      <c r="Q665" s="10">
        <v>0.0337</v>
      </c>
      <c r="R665" s="10">
        <v>0.2838</v>
      </c>
      <c r="S665" s="10">
        <v>0.1958</v>
      </c>
      <c r="T665" s="8">
        <f>IF(and(ISNUMBER(D665), isnumber(E665)), 1, 0) + IF(and(ISNUMBER(F665), isnumber(G665)), 1, 0) + IF(and(ISNUMBER(H665), isnumber(I665)), 1, 0) + IF(and(ISNUMBER(J665), isnumber(K665)), 1, 0) + IF(and(ISNUMBER(L665), isnumber(M665)), 1, 0) + IF(and(ISNUMBER(N665), isnumber(O665)), 1, 0)</f>
      </c>
      <c r="U665" s="8">
        <f>IF(and(ISNUMBER(P665), isnumber(Q665)), 1, 0) + IF(and(ISNUMBER(R665), isnumber(S665)), 1, 0)</f>
      </c>
      <c r="V665" s="13"/>
      <c r="W665" s="13"/>
      <c r="X665" s="16"/>
    </row>
    <row x14ac:dyDescent="0.25" r="666" customHeight="1" ht="15.75">
      <c r="A666" s="8">
        <v>25427</v>
      </c>
      <c r="B666" s="13" t="s">
        <v>103</v>
      </c>
      <c r="C666" s="13" t="s">
        <v>5964</v>
      </c>
      <c r="D666" s="10">
        <v>0.8405</v>
      </c>
      <c r="E666" s="11">
        <v>306.73</v>
      </c>
      <c r="F666" s="10">
        <v>0.5727</v>
      </c>
      <c r="G666" s="11">
        <v>426.7</v>
      </c>
      <c r="H666" s="10">
        <v>0.6692</v>
      </c>
      <c r="I666" s="11">
        <v>437.14</v>
      </c>
      <c r="J666" s="10">
        <v>0.6025</v>
      </c>
      <c r="K666" s="11">
        <v>338.89</v>
      </c>
      <c r="L666" s="10">
        <v>0.5041</v>
      </c>
      <c r="M666" s="11">
        <v>449.46</v>
      </c>
      <c r="N666" s="10">
        <v>0.4134</v>
      </c>
      <c r="O666" s="11" t="s">
        <v>7127</v>
      </c>
      <c r="P666" s="10">
        <v>0.8405</v>
      </c>
      <c r="Q666" s="10">
        <v>0.2235</v>
      </c>
      <c r="R666" s="10">
        <v>0.6025</v>
      </c>
      <c r="S666" s="10">
        <v>0.203</v>
      </c>
      <c r="T666" s="8">
        <f>IF(and(ISNUMBER(D666), isnumber(E666)), 1, 0) + IF(and(ISNUMBER(F666), isnumber(G666)), 1, 0) + IF(and(ISNUMBER(H666), isnumber(I666)), 1, 0) + IF(and(ISNUMBER(J666), isnumber(K666)), 1, 0) + IF(and(ISNUMBER(L666), isnumber(M666)), 1, 0) + IF(and(ISNUMBER(N666), isnumber(O666)), 1, 0)</f>
      </c>
      <c r="U666" s="8">
        <f>IF(and(ISNUMBER(P666), isnumber(Q666)), 1, 0) + IF(and(ISNUMBER(R666), isnumber(S666)), 1, 0)</f>
      </c>
      <c r="V666" s="13"/>
      <c r="W666" s="13"/>
      <c r="X666" s="16"/>
    </row>
    <row x14ac:dyDescent="0.25" r="667" customHeight="1" ht="15.75">
      <c r="A667" s="8">
        <v>25428</v>
      </c>
      <c r="B667" s="13" t="s">
        <v>103</v>
      </c>
      <c r="C667" s="13" t="s">
        <v>5966</v>
      </c>
      <c r="D667" s="10">
        <v>0.6474</v>
      </c>
      <c r="E667" s="11">
        <v>160.86</v>
      </c>
      <c r="F667" s="10">
        <v>0</v>
      </c>
      <c r="G667" s="11" t="s">
        <v>7127</v>
      </c>
      <c r="H667" s="10">
        <v>0.4951</v>
      </c>
      <c r="I667" s="11">
        <v>400</v>
      </c>
      <c r="J667" s="10">
        <v>0.4348</v>
      </c>
      <c r="K667" s="11">
        <v>360.66</v>
      </c>
      <c r="L667" s="10">
        <v>0.0147</v>
      </c>
      <c r="M667" s="11" t="s">
        <v>7127</v>
      </c>
      <c r="N667" s="10">
        <v>0.0049</v>
      </c>
      <c r="O667" s="11" t="s">
        <v>7127</v>
      </c>
      <c r="P667" s="10">
        <v>0.6474</v>
      </c>
      <c r="Q667" s="10">
        <v>0.2215</v>
      </c>
      <c r="R667" s="10">
        <v>0.4348</v>
      </c>
      <c r="S667" s="10">
        <v>0.2026</v>
      </c>
      <c r="T667" s="8">
        <f>IF(and(ISNUMBER(D667), isnumber(E667)), 1, 0) + IF(and(ISNUMBER(F667), isnumber(G667)), 1, 0) + IF(and(ISNUMBER(H667), isnumber(I667)), 1, 0) + IF(and(ISNUMBER(J667), isnumber(K667)), 1, 0) + IF(and(ISNUMBER(L667), isnumber(M667)), 1, 0) + IF(and(ISNUMBER(N667), isnumber(O667)), 1, 0)</f>
      </c>
      <c r="U667" s="8">
        <f>IF(and(ISNUMBER(P667), isnumber(Q667)), 1, 0) + IF(and(ISNUMBER(R667), isnumber(S667)), 1, 0)</f>
      </c>
      <c r="V667" s="13"/>
      <c r="W667" s="13"/>
      <c r="X667" s="16"/>
    </row>
    <row x14ac:dyDescent="0.25" r="668" customHeight="1" ht="15.75">
      <c r="A668" s="8">
        <v>25433</v>
      </c>
      <c r="B668" s="13" t="s">
        <v>103</v>
      </c>
      <c r="C668" s="13" t="s">
        <v>5967</v>
      </c>
      <c r="D668" s="10">
        <v>0.5377</v>
      </c>
      <c r="E668" s="11" t="s">
        <v>7127</v>
      </c>
      <c r="F668" s="10">
        <v>0.5849</v>
      </c>
      <c r="G668" s="11">
        <v>291.62</v>
      </c>
      <c r="H668" s="10">
        <v>0.4556</v>
      </c>
      <c r="I668" s="11">
        <v>408.85</v>
      </c>
      <c r="J668" s="10">
        <v>0.475</v>
      </c>
      <c r="K668" s="11">
        <v>182.3</v>
      </c>
      <c r="L668" s="10">
        <v>0.4435</v>
      </c>
      <c r="M668" s="11" t="s">
        <v>7127</v>
      </c>
      <c r="N668" s="10">
        <v>0</v>
      </c>
      <c r="O668" s="11" t="s">
        <v>7127</v>
      </c>
      <c r="P668" s="10">
        <v>0.5377</v>
      </c>
      <c r="Q668" s="10">
        <v>0.2215</v>
      </c>
      <c r="R668" s="10">
        <v>0.475</v>
      </c>
      <c r="S668" s="10">
        <v>0.1981</v>
      </c>
      <c r="T668" s="8">
        <f>IF(and(ISNUMBER(D668), isnumber(E668)), 1, 0) + IF(and(ISNUMBER(F668), isnumber(G668)), 1, 0) + IF(and(ISNUMBER(H668), isnumber(I668)), 1, 0) + IF(and(ISNUMBER(J668), isnumber(K668)), 1, 0) + IF(and(ISNUMBER(L668), isnumber(M668)), 1, 0) + IF(and(ISNUMBER(N668), isnumber(O668)), 1, 0)</f>
      </c>
      <c r="U668" s="8">
        <f>IF(and(ISNUMBER(P668), isnumber(Q668)), 1, 0) + IF(and(ISNUMBER(R668), isnumber(S668)), 1, 0)</f>
      </c>
      <c r="V668" s="13"/>
      <c r="W668" s="13"/>
      <c r="X668" s="16"/>
    </row>
    <row x14ac:dyDescent="0.25" r="669" customHeight="1" ht="15.75">
      <c r="A669" s="8">
        <v>25434</v>
      </c>
      <c r="B669" s="13" t="s">
        <v>103</v>
      </c>
      <c r="C669" s="13" t="s">
        <v>5970</v>
      </c>
      <c r="D669" s="10">
        <v>0.5777</v>
      </c>
      <c r="E669" s="11">
        <v>198.25</v>
      </c>
      <c r="F669" s="10">
        <v>0</v>
      </c>
      <c r="G669" s="11" t="s">
        <v>7127</v>
      </c>
      <c r="H669" s="10">
        <v>0.5966</v>
      </c>
      <c r="I669" s="11">
        <v>404.1</v>
      </c>
      <c r="J669" s="10">
        <v>0.1092</v>
      </c>
      <c r="K669" s="11">
        <v>283.92</v>
      </c>
      <c r="L669" s="10">
        <v>0.1429</v>
      </c>
      <c r="M669" s="11">
        <v>384.71</v>
      </c>
      <c r="N669" s="10">
        <v>0</v>
      </c>
      <c r="O669" s="11" t="s">
        <v>7127</v>
      </c>
      <c r="P669" s="10">
        <v>0.5777</v>
      </c>
      <c r="Q669" s="10">
        <v>0.2244</v>
      </c>
      <c r="R669" s="10">
        <v>0.1092</v>
      </c>
      <c r="S669" s="10">
        <v>0.1963</v>
      </c>
      <c r="T669" s="8">
        <f>IF(and(ISNUMBER(D669), isnumber(E669)), 1, 0) + IF(and(ISNUMBER(F669), isnumber(G669)), 1, 0) + IF(and(ISNUMBER(H669), isnumber(I669)), 1, 0) + IF(and(ISNUMBER(J669), isnumber(K669)), 1, 0) + IF(and(ISNUMBER(L669), isnumber(M669)), 1, 0) + IF(and(ISNUMBER(N669), isnumber(O669)), 1, 0)</f>
      </c>
      <c r="U669" s="8">
        <f>IF(and(ISNUMBER(P669), isnumber(Q669)), 1, 0) + IF(and(ISNUMBER(R669), isnumber(S669)), 1, 0)</f>
      </c>
      <c r="V669" s="13"/>
      <c r="W669" s="13"/>
      <c r="X669" s="16"/>
    </row>
    <row x14ac:dyDescent="0.25" r="670" customHeight="1" ht="15.75">
      <c r="A670" s="8">
        <v>25435</v>
      </c>
      <c r="B670" s="13" t="s">
        <v>103</v>
      </c>
      <c r="C670" s="13" t="s">
        <v>5973</v>
      </c>
      <c r="D670" s="10">
        <v>0.5856</v>
      </c>
      <c r="E670" s="11">
        <v>189.43</v>
      </c>
      <c r="F670" s="10">
        <v>0.5447</v>
      </c>
      <c r="G670" s="11">
        <v>331.64</v>
      </c>
      <c r="H670" s="10">
        <v>0.4899</v>
      </c>
      <c r="I670" s="11">
        <v>373.25</v>
      </c>
      <c r="J670" s="10">
        <v>0.4787</v>
      </c>
      <c r="K670" s="11">
        <v>243.96</v>
      </c>
      <c r="L670" s="10">
        <v>0.4609</v>
      </c>
      <c r="M670" s="11">
        <v>347.66</v>
      </c>
      <c r="N670" s="10">
        <v>0.0043</v>
      </c>
      <c r="O670" s="11" t="s">
        <v>7127</v>
      </c>
      <c r="P670" s="10">
        <v>0.5856</v>
      </c>
      <c r="Q670" s="10">
        <v>0.2267</v>
      </c>
      <c r="R670" s="10">
        <v>0.4787</v>
      </c>
      <c r="S670" s="10">
        <v>0.1989</v>
      </c>
      <c r="T670" s="8">
        <f>IF(and(ISNUMBER(D670), isnumber(E670)), 1, 0) + IF(and(ISNUMBER(F670), isnumber(G670)), 1, 0) + IF(and(ISNUMBER(H670), isnumber(I670)), 1, 0) + IF(and(ISNUMBER(J670), isnumber(K670)), 1, 0) + IF(and(ISNUMBER(L670), isnumber(M670)), 1, 0) + IF(and(ISNUMBER(N670), isnumber(O670)), 1, 0)</f>
      </c>
      <c r="U670" s="8">
        <f>IF(and(ISNUMBER(P670), isnumber(Q670)), 1, 0) + IF(and(ISNUMBER(R670), isnumber(S670)), 1, 0)</f>
      </c>
      <c r="V670" s="13"/>
      <c r="W670" s="13"/>
      <c r="X670" s="16"/>
    </row>
    <row x14ac:dyDescent="0.25" r="671" customHeight="1" ht="15.75">
      <c r="A671" s="8">
        <v>25436</v>
      </c>
      <c r="B671" s="13" t="s">
        <v>103</v>
      </c>
      <c r="C671" s="13" t="s">
        <v>5976</v>
      </c>
      <c r="D671" s="10">
        <v>0.7553</v>
      </c>
      <c r="E671" s="11">
        <v>231.2</v>
      </c>
      <c r="F671" s="10">
        <v>0.3218</v>
      </c>
      <c r="G671" s="11">
        <v>417.63</v>
      </c>
      <c r="H671" s="10">
        <v>0.6084</v>
      </c>
      <c r="I671" s="11">
        <v>420.86</v>
      </c>
      <c r="J671" s="10">
        <v>0.5386</v>
      </c>
      <c r="K671" s="11">
        <v>270.69</v>
      </c>
      <c r="L671" s="10">
        <v>0.5812</v>
      </c>
      <c r="M671" s="11">
        <v>127.55</v>
      </c>
      <c r="N671" s="10">
        <v>0</v>
      </c>
      <c r="O671" s="11" t="s">
        <v>7127</v>
      </c>
      <c r="P671" s="10">
        <v>0.7553</v>
      </c>
      <c r="Q671" s="10">
        <v>0.2352</v>
      </c>
      <c r="R671" s="10">
        <v>0.5386</v>
      </c>
      <c r="S671" s="10">
        <v>0.2045</v>
      </c>
      <c r="T671" s="8">
        <f>IF(and(ISNUMBER(D671), isnumber(E671)), 1, 0) + IF(and(ISNUMBER(F671), isnumber(G671)), 1, 0) + IF(and(ISNUMBER(H671), isnumber(I671)), 1, 0) + IF(and(ISNUMBER(J671), isnumber(K671)), 1, 0) + IF(and(ISNUMBER(L671), isnumber(M671)), 1, 0) + IF(and(ISNUMBER(N671), isnumber(O671)), 1, 0)</f>
      </c>
      <c r="U671" s="8">
        <f>IF(and(ISNUMBER(P671), isnumber(Q671)), 1, 0) + IF(and(ISNUMBER(R671), isnumber(S671)), 1, 0)</f>
      </c>
      <c r="V671" s="13"/>
      <c r="W671" s="13"/>
      <c r="X671" s="16"/>
    </row>
    <row x14ac:dyDescent="0.25" r="672" customHeight="1" ht="15.75">
      <c r="A672" s="8">
        <v>25894</v>
      </c>
      <c r="B672" s="13" t="s">
        <v>129</v>
      </c>
      <c r="C672" s="13" t="s">
        <v>5980</v>
      </c>
      <c r="D672" s="10">
        <v>0.7195</v>
      </c>
      <c r="E672" s="11">
        <v>292.76</v>
      </c>
      <c r="F672" s="10">
        <v>0.5671</v>
      </c>
      <c r="G672" s="11">
        <v>384.09</v>
      </c>
      <c r="H672" s="10">
        <v>0.6829</v>
      </c>
      <c r="I672" s="11">
        <v>462.59</v>
      </c>
      <c r="J672" s="10">
        <v>0.5915</v>
      </c>
      <c r="K672" s="11">
        <v>364.84</v>
      </c>
      <c r="L672" s="10">
        <v>0.689</v>
      </c>
      <c r="M672" s="11">
        <v>450</v>
      </c>
      <c r="N672" s="10">
        <v>0.561</v>
      </c>
      <c r="O672" s="11">
        <v>453.63</v>
      </c>
      <c r="P672" s="10">
        <v>0.7195</v>
      </c>
      <c r="Q672" s="10">
        <v>0.2277</v>
      </c>
      <c r="R672" s="10">
        <v>0.5915</v>
      </c>
      <c r="S672" s="10">
        <v>0.2142</v>
      </c>
      <c r="T672" s="8">
        <f>IF(and(ISNUMBER(D672), isnumber(E672)), 1, 0) + IF(and(ISNUMBER(F672), isnumber(G672)), 1, 0) + IF(and(ISNUMBER(H672), isnumber(I672)), 1, 0) + IF(and(ISNUMBER(J672), isnumber(K672)), 1, 0) + IF(and(ISNUMBER(L672), isnumber(M672)), 1, 0) + IF(and(ISNUMBER(N672), isnumber(O672)), 1, 0)</f>
      </c>
      <c r="U672" s="8">
        <f>IF(and(ISNUMBER(P672), isnumber(Q672)), 1, 0) + IF(and(ISNUMBER(R672), isnumber(S672)), 1, 0)</f>
      </c>
      <c r="V672" s="13"/>
      <c r="W672" s="13"/>
      <c r="X672" s="16"/>
    </row>
    <row x14ac:dyDescent="0.25" r="673" customHeight="1" ht="15.75">
      <c r="A673" s="8">
        <v>25956</v>
      </c>
      <c r="B673" s="13" t="s">
        <v>129</v>
      </c>
      <c r="C673" s="13" t="s">
        <v>5983</v>
      </c>
      <c r="D673" s="10">
        <v>0.6346</v>
      </c>
      <c r="E673" s="11">
        <v>207.82</v>
      </c>
      <c r="F673" s="10">
        <v>0.5321</v>
      </c>
      <c r="G673" s="11">
        <v>404.43</v>
      </c>
      <c r="H673" s="10">
        <v>0.4</v>
      </c>
      <c r="I673" s="11">
        <v>411.35</v>
      </c>
      <c r="J673" s="10">
        <v>0.5174</v>
      </c>
      <c r="K673" s="11">
        <v>261.58</v>
      </c>
      <c r="L673" s="10">
        <v>0.5568</v>
      </c>
      <c r="M673" s="11">
        <v>376.14</v>
      </c>
      <c r="N673" s="10">
        <v>0.5459</v>
      </c>
      <c r="O673" s="11">
        <v>385.94</v>
      </c>
      <c r="P673" s="10">
        <v>0.6346</v>
      </c>
      <c r="Q673" s="10">
        <v>0.2115</v>
      </c>
      <c r="R673" s="10">
        <v>0.5174</v>
      </c>
      <c r="S673" s="10">
        <v>0.2049</v>
      </c>
      <c r="T673" s="8">
        <f>IF(and(ISNUMBER(D673), isnumber(E673)), 1, 0) + IF(and(ISNUMBER(F673), isnumber(G673)), 1, 0) + IF(and(ISNUMBER(H673), isnumber(I673)), 1, 0) + IF(and(ISNUMBER(J673), isnumber(K673)), 1, 0) + IF(and(ISNUMBER(L673), isnumber(M673)), 1, 0) + IF(and(ISNUMBER(N673), isnumber(O673)), 1, 0)</f>
      </c>
      <c r="U673" s="8">
        <f>IF(and(ISNUMBER(P673), isnumber(Q673)), 1, 0) + IF(and(ISNUMBER(R673), isnumber(S673)), 1, 0)</f>
      </c>
      <c r="V673" s="13"/>
      <c r="W673" s="13"/>
      <c r="X673" s="16"/>
    </row>
    <row x14ac:dyDescent="0.25" r="674" customHeight="1" ht="15.75">
      <c r="A674" s="8">
        <v>25895</v>
      </c>
      <c r="B674" s="13" t="s">
        <v>129</v>
      </c>
      <c r="C674" s="13" t="s">
        <v>5986</v>
      </c>
      <c r="D674" s="10">
        <v>0.8616</v>
      </c>
      <c r="E674" s="11">
        <v>358.76</v>
      </c>
      <c r="F674" s="10">
        <v>0.817</v>
      </c>
      <c r="G674" s="11">
        <v>417.36</v>
      </c>
      <c r="H674" s="10">
        <v>0.8839</v>
      </c>
      <c r="I674" s="11">
        <v>442.23</v>
      </c>
      <c r="J674" s="10">
        <v>0.8259</v>
      </c>
      <c r="K674" s="11">
        <v>398.46</v>
      </c>
      <c r="L674" s="10">
        <v>0.8214</v>
      </c>
      <c r="M674" s="11">
        <v>428.89</v>
      </c>
      <c r="N674" s="10">
        <v>0.7813</v>
      </c>
      <c r="O674" s="11">
        <v>410.87</v>
      </c>
      <c r="P674" s="10">
        <v>0.8616</v>
      </c>
      <c r="Q674" s="10">
        <v>0.2684</v>
      </c>
      <c r="R674" s="10">
        <v>0.8259</v>
      </c>
      <c r="S674" s="10">
        <v>0.221</v>
      </c>
      <c r="T674" s="8">
        <f>IF(and(ISNUMBER(D674), isnumber(E674)), 1, 0) + IF(and(ISNUMBER(F674), isnumber(G674)), 1, 0) + IF(and(ISNUMBER(H674), isnumber(I674)), 1, 0) + IF(and(ISNUMBER(J674), isnumber(K674)), 1, 0) + IF(and(ISNUMBER(L674), isnumber(M674)), 1, 0) + IF(and(ISNUMBER(N674), isnumber(O674)), 1, 0)</f>
      </c>
      <c r="U674" s="8">
        <f>IF(and(ISNUMBER(P674), isnumber(Q674)), 1, 0) + IF(and(ISNUMBER(R674), isnumber(S674)), 1, 0)</f>
      </c>
      <c r="V674" s="13"/>
      <c r="W674" s="13"/>
      <c r="X674" s="16"/>
    </row>
    <row x14ac:dyDescent="0.25" r="675" customHeight="1" ht="15.75">
      <c r="A675" s="8">
        <v>25933</v>
      </c>
      <c r="B675" s="13" t="s">
        <v>129</v>
      </c>
      <c r="C675" s="13" t="s">
        <v>5990</v>
      </c>
      <c r="D675" s="10">
        <v>0.5826</v>
      </c>
      <c r="E675" s="11" t="s">
        <v>7127</v>
      </c>
      <c r="F675" s="10">
        <v>0.5217</v>
      </c>
      <c r="G675" s="11" t="s">
        <v>7127</v>
      </c>
      <c r="H675" s="10">
        <v>0.3977</v>
      </c>
      <c r="I675" s="11">
        <v>335.04</v>
      </c>
      <c r="J675" s="10">
        <v>0.5285</v>
      </c>
      <c r="K675" s="11">
        <v>189.93</v>
      </c>
      <c r="L675" s="10">
        <v>0.3743</v>
      </c>
      <c r="M675" s="11">
        <v>355.42</v>
      </c>
      <c r="N675" s="10">
        <v>0.3567</v>
      </c>
      <c r="O675" s="11">
        <v>336.43</v>
      </c>
      <c r="P675" s="10">
        <v>0.5826</v>
      </c>
      <c r="Q675" s="10">
        <v>0.2124</v>
      </c>
      <c r="R675" s="10">
        <v>0.5285</v>
      </c>
      <c r="S675" s="10">
        <v>0.2144</v>
      </c>
      <c r="T675" s="8">
        <f>IF(and(ISNUMBER(D675), isnumber(E675)), 1, 0) + IF(and(ISNUMBER(F675), isnumber(G675)), 1, 0) + IF(and(ISNUMBER(H675), isnumber(I675)), 1, 0) + IF(and(ISNUMBER(J675), isnumber(K675)), 1, 0) + IF(and(ISNUMBER(L675), isnumber(M675)), 1, 0) + IF(and(ISNUMBER(N675), isnumber(O675)), 1, 0)</f>
      </c>
      <c r="U675" s="8">
        <f>IF(and(ISNUMBER(P675), isnumber(Q675)), 1, 0) + IF(and(ISNUMBER(R675), isnumber(S675)), 1, 0)</f>
      </c>
      <c r="V675" s="13"/>
      <c r="W675" s="13"/>
      <c r="X675" s="16"/>
    </row>
    <row x14ac:dyDescent="0.25" r="676" customHeight="1" ht="15.75">
      <c r="A676" s="8">
        <v>25944</v>
      </c>
      <c r="B676" s="13" t="s">
        <v>129</v>
      </c>
      <c r="C676" s="13" t="s">
        <v>5994</v>
      </c>
      <c r="D676" s="10">
        <v>0.7355</v>
      </c>
      <c r="E676" s="11">
        <v>272.46</v>
      </c>
      <c r="F676" s="10">
        <v>0.6544</v>
      </c>
      <c r="G676" s="11">
        <v>372.24</v>
      </c>
      <c r="H676" s="10">
        <v>0.4731</v>
      </c>
      <c r="I676" s="11">
        <v>368.49</v>
      </c>
      <c r="J676" s="10">
        <v>0.4584</v>
      </c>
      <c r="K676" s="11">
        <v>305.91</v>
      </c>
      <c r="L676" s="10">
        <v>0.5711</v>
      </c>
      <c r="M676" s="11">
        <v>335.9</v>
      </c>
      <c r="N676" s="10">
        <v>0.4742</v>
      </c>
      <c r="O676" s="11">
        <v>421.47</v>
      </c>
      <c r="P676" s="10">
        <v>0.7355</v>
      </c>
      <c r="Q676" s="10">
        <v>0.2308</v>
      </c>
      <c r="R676" s="10">
        <v>0.4584</v>
      </c>
      <c r="S676" s="10">
        <v>0.2046</v>
      </c>
      <c r="T676" s="8">
        <f>IF(and(ISNUMBER(D676), isnumber(E676)), 1, 0) + IF(and(ISNUMBER(F676), isnumber(G676)), 1, 0) + IF(and(ISNUMBER(H676), isnumber(I676)), 1, 0) + IF(and(ISNUMBER(J676), isnumber(K676)), 1, 0) + IF(and(ISNUMBER(L676), isnumber(M676)), 1, 0) + IF(and(ISNUMBER(N676), isnumber(O676)), 1, 0)</f>
      </c>
      <c r="U676" s="8">
        <f>IF(and(ISNUMBER(P676), isnumber(Q676)), 1, 0) + IF(and(ISNUMBER(R676), isnumber(S676)), 1, 0)</f>
      </c>
      <c r="V676" s="13"/>
      <c r="W676" s="13"/>
      <c r="X676" s="16"/>
    </row>
    <row x14ac:dyDescent="0.25" r="677" customHeight="1" ht="15.75">
      <c r="A677" s="8">
        <v>25957</v>
      </c>
      <c r="B677" s="13" t="s">
        <v>129</v>
      </c>
      <c r="C677" s="13" t="s">
        <v>5997</v>
      </c>
      <c r="D677" s="10">
        <v>0.8438</v>
      </c>
      <c r="E677" s="11">
        <v>278.86</v>
      </c>
      <c r="F677" s="10">
        <v>0.6336</v>
      </c>
      <c r="G677" s="11">
        <v>396.13</v>
      </c>
      <c r="H677" s="10">
        <v>0.5726</v>
      </c>
      <c r="I677" s="11">
        <v>423.94</v>
      </c>
      <c r="J677" s="10">
        <v>0.6809</v>
      </c>
      <c r="K677" s="11">
        <v>364.71</v>
      </c>
      <c r="L677" s="10">
        <v>0.7124</v>
      </c>
      <c r="M677" s="11">
        <v>420.39</v>
      </c>
      <c r="N677" s="10">
        <v>0.6478</v>
      </c>
      <c r="O677" s="11">
        <v>457.86</v>
      </c>
      <c r="P677" s="10">
        <v>0.8438</v>
      </c>
      <c r="Q677" s="10">
        <v>0.2256</v>
      </c>
      <c r="R677" s="10">
        <v>0.6809</v>
      </c>
      <c r="S677" s="10">
        <v>0.202</v>
      </c>
      <c r="T677" s="8">
        <f>IF(and(ISNUMBER(D677), isnumber(E677)), 1, 0) + IF(and(ISNUMBER(F677), isnumber(G677)), 1, 0) + IF(and(ISNUMBER(H677), isnumber(I677)), 1, 0) + IF(and(ISNUMBER(J677), isnumber(K677)), 1, 0) + IF(and(ISNUMBER(L677), isnumber(M677)), 1, 0) + IF(and(ISNUMBER(N677), isnumber(O677)), 1, 0)</f>
      </c>
      <c r="U677" s="8">
        <f>IF(and(ISNUMBER(P677), isnumber(Q677)), 1, 0) + IF(and(ISNUMBER(R677), isnumber(S677)), 1, 0)</f>
      </c>
      <c r="V677" s="13"/>
      <c r="W677" s="13"/>
      <c r="X677" s="16"/>
    </row>
    <row x14ac:dyDescent="0.25" r="678" customHeight="1" ht="15.75">
      <c r="A678" s="8">
        <v>25945</v>
      </c>
      <c r="B678" s="13" t="s">
        <v>129</v>
      </c>
      <c r="C678" s="13" t="s">
        <v>5998</v>
      </c>
      <c r="D678" s="10">
        <v>0.721</v>
      </c>
      <c r="E678" s="11">
        <v>277.2</v>
      </c>
      <c r="F678" s="10">
        <v>0.5961</v>
      </c>
      <c r="G678" s="11">
        <v>404.91</v>
      </c>
      <c r="H678" s="10">
        <v>0.6217</v>
      </c>
      <c r="I678" s="11">
        <v>412.08</v>
      </c>
      <c r="J678" s="10">
        <v>0.5064</v>
      </c>
      <c r="K678" s="11">
        <v>321.18</v>
      </c>
      <c r="L678" s="10">
        <v>0.6453</v>
      </c>
      <c r="M678" s="11">
        <v>405.57</v>
      </c>
      <c r="N678" s="10">
        <v>0.6207</v>
      </c>
      <c r="O678" s="11">
        <v>377.45</v>
      </c>
      <c r="P678" s="10">
        <v>0.721</v>
      </c>
      <c r="Q678" s="10">
        <v>0.2399</v>
      </c>
      <c r="R678" s="10">
        <v>0.5064</v>
      </c>
      <c r="S678" s="10">
        <v>0.2143</v>
      </c>
      <c r="T678" s="8">
        <f>IF(and(ISNUMBER(D678), isnumber(E678)), 1, 0) + IF(and(ISNUMBER(F678), isnumber(G678)), 1, 0) + IF(and(ISNUMBER(H678), isnumber(I678)), 1, 0) + IF(and(ISNUMBER(J678), isnumber(K678)), 1, 0) + IF(and(ISNUMBER(L678), isnumber(M678)), 1, 0) + IF(and(ISNUMBER(N678), isnumber(O678)), 1, 0)</f>
      </c>
      <c r="U678" s="8">
        <f>IF(and(ISNUMBER(P678), isnumber(Q678)), 1, 0) + IF(and(ISNUMBER(R678), isnumber(S678)), 1, 0)</f>
      </c>
      <c r="V678" s="13"/>
      <c r="W678" s="13"/>
      <c r="X678" s="16"/>
    </row>
    <row x14ac:dyDescent="0.25" r="679" customHeight="1" ht="15.75">
      <c r="A679" s="8">
        <v>25896</v>
      </c>
      <c r="B679" s="13" t="s">
        <v>129</v>
      </c>
      <c r="C679" s="13" t="s">
        <v>6001</v>
      </c>
      <c r="D679" s="10">
        <v>0.7179</v>
      </c>
      <c r="E679" s="11">
        <v>171.33</v>
      </c>
      <c r="F679" s="10">
        <v>0.5893</v>
      </c>
      <c r="G679" s="11">
        <v>370.99</v>
      </c>
      <c r="H679" s="10">
        <v>0.5266</v>
      </c>
      <c r="I679" s="11">
        <v>412.44</v>
      </c>
      <c r="J679" s="10">
        <v>0.4922</v>
      </c>
      <c r="K679" s="11">
        <v>230.67</v>
      </c>
      <c r="L679" s="10">
        <v>0.5831</v>
      </c>
      <c r="M679" s="11">
        <v>432.57</v>
      </c>
      <c r="N679" s="10">
        <v>0.4545</v>
      </c>
      <c r="O679" s="11">
        <v>398.3</v>
      </c>
      <c r="P679" s="10">
        <v>0.7179</v>
      </c>
      <c r="Q679" s="10">
        <v>0.2252</v>
      </c>
      <c r="R679" s="10">
        <v>0.4922</v>
      </c>
      <c r="S679" s="10">
        <v>0.1971</v>
      </c>
      <c r="T679" s="8">
        <f>IF(and(ISNUMBER(D679), isnumber(E679)), 1, 0) + IF(and(ISNUMBER(F679), isnumber(G679)), 1, 0) + IF(and(ISNUMBER(H679), isnumber(I679)), 1, 0) + IF(and(ISNUMBER(J679), isnumber(K679)), 1, 0) + IF(and(ISNUMBER(L679), isnumber(M679)), 1, 0) + IF(and(ISNUMBER(N679), isnumber(O679)), 1, 0)</f>
      </c>
      <c r="U679" s="8">
        <f>IF(and(ISNUMBER(P679), isnumber(Q679)), 1, 0) + IF(and(ISNUMBER(R679), isnumber(S679)), 1, 0)</f>
      </c>
      <c r="V679" s="13"/>
      <c r="W679" s="13"/>
      <c r="X679" s="16"/>
    </row>
    <row x14ac:dyDescent="0.25" r="680" customHeight="1" ht="15.75">
      <c r="A680" s="8">
        <v>25897</v>
      </c>
      <c r="B680" s="13" t="s">
        <v>129</v>
      </c>
      <c r="C680" s="13" t="s">
        <v>6003</v>
      </c>
      <c r="D680" s="10">
        <v>0.7782</v>
      </c>
      <c r="E680" s="11">
        <v>302.08</v>
      </c>
      <c r="F680" s="10">
        <v>0.7137</v>
      </c>
      <c r="G680" s="11">
        <v>434.77</v>
      </c>
      <c r="H680" s="10">
        <v>0.7782</v>
      </c>
      <c r="I680" s="11">
        <v>435.6</v>
      </c>
      <c r="J680" s="10">
        <v>0.754</v>
      </c>
      <c r="K680" s="11">
        <v>384.78</v>
      </c>
      <c r="L680" s="10">
        <v>0.6613</v>
      </c>
      <c r="M680" s="11">
        <v>430.98</v>
      </c>
      <c r="N680" s="10">
        <v>0.7823</v>
      </c>
      <c r="O680" s="11">
        <v>471.96</v>
      </c>
      <c r="P680" s="10">
        <v>0.7782</v>
      </c>
      <c r="Q680" s="10">
        <v>0.2337</v>
      </c>
      <c r="R680" s="10">
        <v>0.754</v>
      </c>
      <c r="S680" s="10">
        <v>0.2097</v>
      </c>
      <c r="T680" s="8">
        <f>IF(and(ISNUMBER(D680), isnumber(E680)), 1, 0) + IF(and(ISNUMBER(F680), isnumber(G680)), 1, 0) + IF(and(ISNUMBER(H680), isnumber(I680)), 1, 0) + IF(and(ISNUMBER(J680), isnumber(K680)), 1, 0) + IF(and(ISNUMBER(L680), isnumber(M680)), 1, 0) + IF(and(ISNUMBER(N680), isnumber(O680)), 1, 0)</f>
      </c>
      <c r="U680" s="8">
        <f>IF(and(ISNUMBER(P680), isnumber(Q680)), 1, 0) + IF(and(ISNUMBER(R680), isnumber(S680)), 1, 0)</f>
      </c>
      <c r="V680" s="13"/>
      <c r="W680" s="13"/>
      <c r="X680" s="16"/>
    </row>
    <row x14ac:dyDescent="0.25" r="681" customHeight="1" ht="15.75">
      <c r="A681" s="8">
        <v>25946</v>
      </c>
      <c r="B681" s="13" t="s">
        <v>129</v>
      </c>
      <c r="C681" s="13" t="s">
        <v>6005</v>
      </c>
      <c r="D681" s="10">
        <v>0.6091</v>
      </c>
      <c r="E681" s="11">
        <v>168.46</v>
      </c>
      <c r="F681" s="10">
        <v>0.4773</v>
      </c>
      <c r="G681" s="11">
        <v>400.48</v>
      </c>
      <c r="H681" s="10">
        <v>0.5124</v>
      </c>
      <c r="I681" s="11">
        <v>446.5</v>
      </c>
      <c r="J681" s="10">
        <v>0.6082</v>
      </c>
      <c r="K681" s="11">
        <v>397.26</v>
      </c>
      <c r="L681" s="10">
        <v>0.4068</v>
      </c>
      <c r="M681" s="11">
        <v>404.02</v>
      </c>
      <c r="N681" s="10">
        <v>0.4037</v>
      </c>
      <c r="O681" s="11">
        <v>422.84</v>
      </c>
      <c r="P681" s="10">
        <v>0.6091</v>
      </c>
      <c r="Q681" s="10">
        <v>0.2173</v>
      </c>
      <c r="R681" s="10">
        <v>0.6082</v>
      </c>
      <c r="S681" s="10">
        <v>0.1992</v>
      </c>
      <c r="T681" s="8">
        <f>IF(and(ISNUMBER(D681), isnumber(E681)), 1, 0) + IF(and(ISNUMBER(F681), isnumber(G681)), 1, 0) + IF(and(ISNUMBER(H681), isnumber(I681)), 1, 0) + IF(and(ISNUMBER(J681), isnumber(K681)), 1, 0) + IF(and(ISNUMBER(L681), isnumber(M681)), 1, 0) + IF(and(ISNUMBER(N681), isnumber(O681)), 1, 0)</f>
      </c>
      <c r="U681" s="8">
        <f>IF(and(ISNUMBER(P681), isnumber(Q681)), 1, 0) + IF(and(ISNUMBER(R681), isnumber(S681)), 1, 0)</f>
      </c>
      <c r="V681" s="13"/>
      <c r="W681" s="13"/>
      <c r="X681" s="16"/>
    </row>
    <row x14ac:dyDescent="0.25" r="682" customHeight="1" ht="15.75">
      <c r="A682" s="8">
        <v>25898</v>
      </c>
      <c r="B682" s="13" t="s">
        <v>129</v>
      </c>
      <c r="C682" s="13" t="s">
        <v>6008</v>
      </c>
      <c r="D682" s="10">
        <v>0.8125</v>
      </c>
      <c r="E682" s="11">
        <v>265.63</v>
      </c>
      <c r="F682" s="10">
        <v>0.8047</v>
      </c>
      <c r="G682" s="11">
        <v>370.59</v>
      </c>
      <c r="H682" s="10">
        <v>0.5156</v>
      </c>
      <c r="I682" s="11">
        <v>432.12</v>
      </c>
      <c r="J682" s="10">
        <v>0.7266</v>
      </c>
      <c r="K682" s="11">
        <v>325.22</v>
      </c>
      <c r="L682" s="10">
        <v>0.7266</v>
      </c>
      <c r="M682" s="11">
        <v>445.59</v>
      </c>
      <c r="N682" s="10">
        <v>0.6406</v>
      </c>
      <c r="O682" s="11">
        <v>451.22</v>
      </c>
      <c r="P682" s="10">
        <v>0.8125</v>
      </c>
      <c r="Q682" s="10">
        <v>0.2274</v>
      </c>
      <c r="R682" s="10">
        <v>0.7266</v>
      </c>
      <c r="S682" s="10">
        <v>0.1966</v>
      </c>
      <c r="T682" s="8">
        <f>IF(and(ISNUMBER(D682), isnumber(E682)), 1, 0) + IF(and(ISNUMBER(F682), isnumber(G682)), 1, 0) + IF(and(ISNUMBER(H682), isnumber(I682)), 1, 0) + IF(and(ISNUMBER(J682), isnumber(K682)), 1, 0) + IF(and(ISNUMBER(L682), isnumber(M682)), 1, 0) + IF(and(ISNUMBER(N682), isnumber(O682)), 1, 0)</f>
      </c>
      <c r="U682" s="8">
        <f>IF(and(ISNUMBER(P682), isnumber(Q682)), 1, 0) + IF(and(ISNUMBER(R682), isnumber(S682)), 1, 0)</f>
      </c>
      <c r="V682" s="13"/>
      <c r="W682" s="13"/>
      <c r="X682" s="16"/>
    </row>
    <row x14ac:dyDescent="0.25" r="683" customHeight="1" ht="15.75">
      <c r="A683" s="8">
        <v>25899</v>
      </c>
      <c r="B683" s="13" t="s">
        <v>129</v>
      </c>
      <c r="C683" s="13" t="s">
        <v>6010</v>
      </c>
      <c r="D683" s="10">
        <v>0.5749</v>
      </c>
      <c r="E683" s="11">
        <v>132.49</v>
      </c>
      <c r="F683" s="10">
        <v>0.4551</v>
      </c>
      <c r="G683" s="11">
        <v>296.65</v>
      </c>
      <c r="H683" s="10">
        <v>0.4322</v>
      </c>
      <c r="I683" s="11">
        <v>325.58</v>
      </c>
      <c r="J683" s="10">
        <v>0.5415</v>
      </c>
      <c r="K683" s="11">
        <v>263.31</v>
      </c>
      <c r="L683" s="10">
        <v>0.407</v>
      </c>
      <c r="M683" s="11">
        <v>341.68</v>
      </c>
      <c r="N683" s="10">
        <v>0.4322</v>
      </c>
      <c r="O683" s="11">
        <v>334.39</v>
      </c>
      <c r="P683" s="10">
        <v>0.5749</v>
      </c>
      <c r="Q683" s="10">
        <v>0.2064</v>
      </c>
      <c r="R683" s="10">
        <v>0.5415</v>
      </c>
      <c r="S683" s="10">
        <v>0.1941</v>
      </c>
      <c r="T683" s="8">
        <f>IF(and(ISNUMBER(D683), isnumber(E683)), 1, 0) + IF(and(ISNUMBER(F683), isnumber(G683)), 1, 0) + IF(and(ISNUMBER(H683), isnumber(I683)), 1, 0) + IF(and(ISNUMBER(J683), isnumber(K683)), 1, 0) + IF(and(ISNUMBER(L683), isnumber(M683)), 1, 0) + IF(and(ISNUMBER(N683), isnumber(O683)), 1, 0)</f>
      </c>
      <c r="U683" s="8">
        <f>IF(and(ISNUMBER(P683), isnumber(Q683)), 1, 0) + IF(and(ISNUMBER(R683), isnumber(S683)), 1, 0)</f>
      </c>
      <c r="V683" s="13"/>
      <c r="W683" s="13"/>
      <c r="X683" s="16"/>
    </row>
    <row x14ac:dyDescent="0.25" r="684" customHeight="1" ht="15.75">
      <c r="A684" s="8">
        <v>25934</v>
      </c>
      <c r="B684" s="13" t="s">
        <v>129</v>
      </c>
      <c r="C684" s="13" t="s">
        <v>6014</v>
      </c>
      <c r="D684" s="10">
        <v>0.6932</v>
      </c>
      <c r="E684" s="11">
        <v>350.83</v>
      </c>
      <c r="F684" s="10">
        <v>0.6026</v>
      </c>
      <c r="G684" s="11">
        <v>459.8</v>
      </c>
      <c r="H684" s="10">
        <v>0.68</v>
      </c>
      <c r="I684" s="11">
        <v>509.22</v>
      </c>
      <c r="J684" s="10">
        <v>0.7692</v>
      </c>
      <c r="K684" s="11">
        <v>362.46</v>
      </c>
      <c r="L684" s="10">
        <v>0.6967</v>
      </c>
      <c r="M684" s="11">
        <v>484.61</v>
      </c>
      <c r="N684" s="10">
        <v>0.65</v>
      </c>
      <c r="O684" s="11">
        <v>459.03</v>
      </c>
      <c r="P684" s="10">
        <v>0.6932</v>
      </c>
      <c r="Q684" s="10">
        <v>0.2484</v>
      </c>
      <c r="R684" s="10">
        <v>0.7692</v>
      </c>
      <c r="S684" s="10">
        <v>0.21</v>
      </c>
      <c r="T684" s="8">
        <f>IF(and(ISNUMBER(D684), isnumber(E684)), 1, 0) + IF(and(ISNUMBER(F684), isnumber(G684)), 1, 0) + IF(and(ISNUMBER(H684), isnumber(I684)), 1, 0) + IF(and(ISNUMBER(J684), isnumber(K684)), 1, 0) + IF(and(ISNUMBER(L684), isnumber(M684)), 1, 0) + IF(and(ISNUMBER(N684), isnumber(O684)), 1, 0)</f>
      </c>
      <c r="U684" s="8">
        <f>IF(and(ISNUMBER(P684), isnumber(Q684)), 1, 0) + IF(and(ISNUMBER(R684), isnumber(S684)), 1, 0)</f>
      </c>
      <c r="V684" s="13"/>
      <c r="W684" s="13"/>
      <c r="X684" s="16"/>
    </row>
    <row x14ac:dyDescent="0.25" r="685" customHeight="1" ht="15.75">
      <c r="A685" s="8">
        <v>25958</v>
      </c>
      <c r="B685" s="13" t="s">
        <v>129</v>
      </c>
      <c r="C685" s="13" t="s">
        <v>6017</v>
      </c>
      <c r="D685" s="10">
        <v>0.913</v>
      </c>
      <c r="E685" s="11">
        <v>102.31</v>
      </c>
      <c r="F685" s="10">
        <v>0.4783</v>
      </c>
      <c r="G685" s="11">
        <v>377.69</v>
      </c>
      <c r="H685" s="10">
        <v>0.5304</v>
      </c>
      <c r="I685" s="11">
        <v>393.45</v>
      </c>
      <c r="J685" s="10">
        <v>0.5739</v>
      </c>
      <c r="K685" s="11">
        <v>220.33</v>
      </c>
      <c r="L685" s="10">
        <v>0.487</v>
      </c>
      <c r="M685" s="11">
        <v>346.4</v>
      </c>
      <c r="N685" s="10">
        <v>0.3826</v>
      </c>
      <c r="O685" s="11">
        <v>321.03</v>
      </c>
      <c r="P685" s="10">
        <v>0.913</v>
      </c>
      <c r="Q685" s="10">
        <v>0.1167</v>
      </c>
      <c r="R685" s="10">
        <v>0.5739</v>
      </c>
      <c r="S685" s="10">
        <v>0.2006</v>
      </c>
      <c r="T685" s="8">
        <f>IF(and(ISNUMBER(D685), isnumber(E685)), 1, 0) + IF(and(ISNUMBER(F685), isnumber(G685)), 1, 0) + IF(and(ISNUMBER(H685), isnumber(I685)), 1, 0) + IF(and(ISNUMBER(J685), isnumber(K685)), 1, 0) + IF(and(ISNUMBER(L685), isnumber(M685)), 1, 0) + IF(and(ISNUMBER(N685), isnumber(O685)), 1, 0)</f>
      </c>
      <c r="U685" s="8">
        <f>IF(and(ISNUMBER(P685), isnumber(Q685)), 1, 0) + IF(and(ISNUMBER(R685), isnumber(S685)), 1, 0)</f>
      </c>
      <c r="V685" s="13"/>
      <c r="W685" s="13"/>
      <c r="X685" s="16"/>
    </row>
    <row x14ac:dyDescent="0.25" r="686" customHeight="1" ht="15.75">
      <c r="A686" s="8">
        <v>25959</v>
      </c>
      <c r="B686" s="13" t="s">
        <v>129</v>
      </c>
      <c r="C686" s="13" t="s">
        <v>6019</v>
      </c>
      <c r="D686" s="10">
        <v>0.7586</v>
      </c>
      <c r="E686" s="11">
        <v>260.61</v>
      </c>
      <c r="F686" s="10">
        <v>0.6897</v>
      </c>
      <c r="G686" s="11">
        <v>372.67</v>
      </c>
      <c r="H686" s="10">
        <v>0.6396</v>
      </c>
      <c r="I686" s="11">
        <v>375.47</v>
      </c>
      <c r="J686" s="10">
        <v>0.7234</v>
      </c>
      <c r="K686" s="11">
        <v>330</v>
      </c>
      <c r="L686" s="10">
        <v>0.6757</v>
      </c>
      <c r="M686" s="11">
        <v>312.84</v>
      </c>
      <c r="N686" s="10">
        <v>0.6486</v>
      </c>
      <c r="O686" s="11">
        <v>366.21</v>
      </c>
      <c r="P686" s="10">
        <v>0.7586</v>
      </c>
      <c r="Q686" s="10">
        <v>0.2359</v>
      </c>
      <c r="R686" s="10">
        <v>0.7234</v>
      </c>
      <c r="S686" s="10">
        <v>0.2</v>
      </c>
      <c r="T686" s="8">
        <f>IF(and(ISNUMBER(D686), isnumber(E686)), 1, 0) + IF(and(ISNUMBER(F686), isnumber(G686)), 1, 0) + IF(and(ISNUMBER(H686), isnumber(I686)), 1, 0) + IF(and(ISNUMBER(J686), isnumber(K686)), 1, 0) + IF(and(ISNUMBER(L686), isnumber(M686)), 1, 0) + IF(and(ISNUMBER(N686), isnumber(O686)), 1, 0)</f>
      </c>
      <c r="U686" s="8">
        <f>IF(and(ISNUMBER(P686), isnumber(Q686)), 1, 0) + IF(and(ISNUMBER(R686), isnumber(S686)), 1, 0)</f>
      </c>
      <c r="V686" s="13"/>
      <c r="W686" s="13"/>
      <c r="X686" s="16"/>
    </row>
    <row x14ac:dyDescent="0.25" r="687" customHeight="1" ht="15.75">
      <c r="A687" s="8">
        <v>25935</v>
      </c>
      <c r="B687" s="13" t="s">
        <v>129</v>
      </c>
      <c r="C687" s="13" t="s">
        <v>6022</v>
      </c>
      <c r="D687" s="10">
        <v>0.6843</v>
      </c>
      <c r="E687" s="11">
        <v>188.89</v>
      </c>
      <c r="F687" s="10">
        <v>0.5806</v>
      </c>
      <c r="G687" s="11">
        <v>309.9</v>
      </c>
      <c r="H687" s="10">
        <v>0.543</v>
      </c>
      <c r="I687" s="11">
        <v>331.3</v>
      </c>
      <c r="J687" s="10">
        <v>0.6203</v>
      </c>
      <c r="K687" s="11">
        <v>186.65</v>
      </c>
      <c r="L687" s="10">
        <v>0.5391</v>
      </c>
      <c r="M687" s="11">
        <v>320.18</v>
      </c>
      <c r="N687" s="10">
        <v>0.5723</v>
      </c>
      <c r="O687" s="11">
        <v>330.77</v>
      </c>
      <c r="P687" s="10">
        <v>0.6843</v>
      </c>
      <c r="Q687" s="10">
        <v>0.2208</v>
      </c>
      <c r="R687" s="10">
        <v>0.6203</v>
      </c>
      <c r="S687" s="10">
        <v>0.1931</v>
      </c>
      <c r="T687" s="8">
        <f>IF(and(ISNUMBER(D687), isnumber(E687)), 1, 0) + IF(and(ISNUMBER(F687), isnumber(G687)), 1, 0) + IF(and(ISNUMBER(H687), isnumber(I687)), 1, 0) + IF(and(ISNUMBER(J687), isnumber(K687)), 1, 0) + IF(and(ISNUMBER(L687), isnumber(M687)), 1, 0) + IF(and(ISNUMBER(N687), isnumber(O687)), 1, 0)</f>
      </c>
      <c r="U687" s="8">
        <f>IF(and(ISNUMBER(P687), isnumber(Q687)), 1, 0) + IF(and(ISNUMBER(R687), isnumber(S687)), 1, 0)</f>
      </c>
      <c r="V687" s="13"/>
      <c r="W687" s="13"/>
      <c r="X687" s="16"/>
    </row>
    <row x14ac:dyDescent="0.25" r="688" customHeight="1" ht="15.75">
      <c r="A688" s="8">
        <v>25960</v>
      </c>
      <c r="B688" s="13" t="s">
        <v>129</v>
      </c>
      <c r="C688" s="13" t="s">
        <v>6026</v>
      </c>
      <c r="D688" s="10">
        <v>0.9531</v>
      </c>
      <c r="E688" s="11">
        <v>251.8</v>
      </c>
      <c r="F688" s="10">
        <v>0.75</v>
      </c>
      <c r="G688" s="11">
        <v>436.6</v>
      </c>
      <c r="H688" s="10">
        <v>0.8438</v>
      </c>
      <c r="I688" s="11">
        <v>469.43</v>
      </c>
      <c r="J688" s="10">
        <v>0.7813</v>
      </c>
      <c r="K688" s="11">
        <v>202.45</v>
      </c>
      <c r="L688" s="10">
        <v>0.6875</v>
      </c>
      <c r="M688" s="11">
        <v>408.57</v>
      </c>
      <c r="N688" s="10">
        <v>0.6563</v>
      </c>
      <c r="O688" s="11">
        <v>477.14</v>
      </c>
      <c r="P688" s="10">
        <v>0.9531</v>
      </c>
      <c r="Q688" s="10">
        <v>0.1947</v>
      </c>
      <c r="R688" s="10">
        <v>0.7813</v>
      </c>
      <c r="S688" s="10">
        <v>0.2093</v>
      </c>
      <c r="T688" s="8">
        <f>IF(and(ISNUMBER(D688), isnumber(E688)), 1, 0) + IF(and(ISNUMBER(F688), isnumber(G688)), 1, 0) + IF(and(ISNUMBER(H688), isnumber(I688)), 1, 0) + IF(and(ISNUMBER(J688), isnumber(K688)), 1, 0) + IF(and(ISNUMBER(L688), isnumber(M688)), 1, 0) + IF(and(ISNUMBER(N688), isnumber(O688)), 1, 0)</f>
      </c>
      <c r="U688" s="8">
        <f>IF(and(ISNUMBER(P688), isnumber(Q688)), 1, 0) + IF(and(ISNUMBER(R688), isnumber(S688)), 1, 0)</f>
      </c>
      <c r="V688" s="13"/>
      <c r="W688" s="13"/>
      <c r="X688" s="16"/>
    </row>
    <row x14ac:dyDescent="0.25" r="689" customHeight="1" ht="15.75">
      <c r="A689" s="8">
        <v>25961</v>
      </c>
      <c r="B689" s="13" t="s">
        <v>129</v>
      </c>
      <c r="C689" s="13" t="s">
        <v>6028</v>
      </c>
      <c r="D689" s="10">
        <v>0.7171</v>
      </c>
      <c r="E689" s="11">
        <v>170.87</v>
      </c>
      <c r="F689" s="10">
        <v>0.5559</v>
      </c>
      <c r="G689" s="11">
        <v>365.33</v>
      </c>
      <c r="H689" s="10">
        <v>0.5757</v>
      </c>
      <c r="I689" s="11">
        <v>379.42</v>
      </c>
      <c r="J689" s="10">
        <v>0.5493</v>
      </c>
      <c r="K689" s="11">
        <v>251.29</v>
      </c>
      <c r="L689" s="10">
        <v>0.6645</v>
      </c>
      <c r="M689" s="11">
        <v>320</v>
      </c>
      <c r="N689" s="10">
        <v>0.5855</v>
      </c>
      <c r="O689" s="11">
        <v>281.63</v>
      </c>
      <c r="P689" s="10">
        <v>0.7171</v>
      </c>
      <c r="Q689" s="10">
        <v>0.2146</v>
      </c>
      <c r="R689" s="10">
        <v>0.5493</v>
      </c>
      <c r="S689" s="10">
        <v>0.1947</v>
      </c>
      <c r="T689" s="8">
        <f>IF(and(ISNUMBER(D689), isnumber(E689)), 1, 0) + IF(and(ISNUMBER(F689), isnumber(G689)), 1, 0) + IF(and(ISNUMBER(H689), isnumber(I689)), 1, 0) + IF(and(ISNUMBER(J689), isnumber(K689)), 1, 0) + IF(and(ISNUMBER(L689), isnumber(M689)), 1, 0) + IF(and(ISNUMBER(N689), isnumber(O689)), 1, 0)</f>
      </c>
      <c r="U689" s="8">
        <f>IF(and(ISNUMBER(P689), isnumber(Q689)), 1, 0) + IF(and(ISNUMBER(R689), isnumber(S689)), 1, 0)</f>
      </c>
      <c r="V689" s="13"/>
      <c r="W689" s="13"/>
      <c r="X689" s="16"/>
    </row>
    <row x14ac:dyDescent="0.25" r="690" customHeight="1" ht="15.75">
      <c r="A690" s="8">
        <v>25962</v>
      </c>
      <c r="B690" s="13" t="s">
        <v>129</v>
      </c>
      <c r="C690" s="13" t="s">
        <v>6031</v>
      </c>
      <c r="D690" s="10">
        <v>0.6934</v>
      </c>
      <c r="E690" s="11">
        <v>299.89</v>
      </c>
      <c r="F690" s="10">
        <v>0.616</v>
      </c>
      <c r="G690" s="11">
        <v>389.24</v>
      </c>
      <c r="H690" s="10">
        <v>0.6344</v>
      </c>
      <c r="I690" s="11">
        <v>408.27</v>
      </c>
      <c r="J690" s="10">
        <v>0.455</v>
      </c>
      <c r="K690" s="11">
        <v>332.89</v>
      </c>
      <c r="L690" s="10">
        <v>0.523</v>
      </c>
      <c r="M690" s="11">
        <v>391.2</v>
      </c>
      <c r="N690" s="10">
        <v>0.5085</v>
      </c>
      <c r="O690" s="11">
        <v>373.59</v>
      </c>
      <c r="P690" s="10">
        <v>0.6934</v>
      </c>
      <c r="Q690" s="10">
        <v>0.2535</v>
      </c>
      <c r="R690" s="10">
        <v>0.455</v>
      </c>
      <c r="S690" s="10">
        <v>0.2079</v>
      </c>
      <c r="T690" s="8">
        <f>IF(and(ISNUMBER(D690), isnumber(E690)), 1, 0) + IF(and(ISNUMBER(F690), isnumber(G690)), 1, 0) + IF(and(ISNUMBER(H690), isnumber(I690)), 1, 0) + IF(and(ISNUMBER(J690), isnumber(K690)), 1, 0) + IF(and(ISNUMBER(L690), isnumber(M690)), 1, 0) + IF(and(ISNUMBER(N690), isnumber(O690)), 1, 0)</f>
      </c>
      <c r="U690" s="8">
        <f>IF(and(ISNUMBER(P690), isnumber(Q690)), 1, 0) + IF(and(ISNUMBER(R690), isnumber(S690)), 1, 0)</f>
      </c>
      <c r="V690" s="13"/>
      <c r="W690" s="13"/>
      <c r="X690" s="16"/>
    </row>
    <row x14ac:dyDescent="0.25" r="691" customHeight="1" ht="15.75">
      <c r="A691" s="8">
        <v>25963</v>
      </c>
      <c r="B691" s="13" t="s">
        <v>129</v>
      </c>
      <c r="C691" s="13" t="s">
        <v>6035</v>
      </c>
      <c r="D691" s="10">
        <v>0.7744</v>
      </c>
      <c r="E691" s="11">
        <v>263</v>
      </c>
      <c r="F691" s="10">
        <v>0.6829</v>
      </c>
      <c r="G691" s="11">
        <v>386.42</v>
      </c>
      <c r="H691" s="10">
        <v>0.6707</v>
      </c>
      <c r="I691" s="11">
        <v>414.18</v>
      </c>
      <c r="J691" s="10">
        <v>0.7134</v>
      </c>
      <c r="K691" s="11">
        <v>263.65</v>
      </c>
      <c r="L691" s="10">
        <v>0.6098</v>
      </c>
      <c r="M691" s="11">
        <v>377.2</v>
      </c>
      <c r="N691" s="10">
        <v>0.7073</v>
      </c>
      <c r="O691" s="11">
        <v>378.62</v>
      </c>
      <c r="P691" s="10">
        <v>0.7744</v>
      </c>
      <c r="Q691" s="10">
        <v>0.23</v>
      </c>
      <c r="R691" s="10">
        <v>0.7134</v>
      </c>
      <c r="S691" s="10">
        <v>0.1951</v>
      </c>
      <c r="T691" s="8">
        <f>IF(and(ISNUMBER(D691), isnumber(E691)), 1, 0) + IF(and(ISNUMBER(F691), isnumber(G691)), 1, 0) + IF(and(ISNUMBER(H691), isnumber(I691)), 1, 0) + IF(and(ISNUMBER(J691), isnumber(K691)), 1, 0) + IF(and(ISNUMBER(L691), isnumber(M691)), 1, 0) + IF(and(ISNUMBER(N691), isnumber(O691)), 1, 0)</f>
      </c>
      <c r="U691" s="8">
        <f>IF(and(ISNUMBER(P691), isnumber(Q691)), 1, 0) + IF(and(ISNUMBER(R691), isnumber(S691)), 1, 0)</f>
      </c>
      <c r="V691" s="13"/>
      <c r="W691" s="13"/>
      <c r="X691" s="16"/>
    </row>
    <row x14ac:dyDescent="0.25" r="692" customHeight="1" ht="15.75">
      <c r="A692" s="8">
        <v>25900</v>
      </c>
      <c r="B692" s="13" t="s">
        <v>129</v>
      </c>
      <c r="C692" s="13" t="s">
        <v>6038</v>
      </c>
      <c r="D692" s="10">
        <v>0.8352</v>
      </c>
      <c r="E692" s="11">
        <v>284.53</v>
      </c>
      <c r="F692" s="10">
        <v>0.8626</v>
      </c>
      <c r="G692" s="11">
        <v>401.81</v>
      </c>
      <c r="H692" s="10">
        <v>0.8297</v>
      </c>
      <c r="I692" s="11">
        <v>430.27</v>
      </c>
      <c r="J692" s="10">
        <v>0.7912</v>
      </c>
      <c r="K692" s="11">
        <v>323.39</v>
      </c>
      <c r="L692" s="10">
        <v>0.7912</v>
      </c>
      <c r="M692" s="11">
        <v>425.63</v>
      </c>
      <c r="N692" s="10">
        <v>0.7747</v>
      </c>
      <c r="O692" s="11">
        <v>435.11</v>
      </c>
      <c r="P692" s="10">
        <v>0.8352</v>
      </c>
      <c r="Q692" s="10">
        <v>0.2424</v>
      </c>
      <c r="R692" s="10">
        <v>0.7912</v>
      </c>
      <c r="S692" s="10">
        <v>0.1982</v>
      </c>
      <c r="T692" s="8">
        <f>IF(and(ISNUMBER(D692), isnumber(E692)), 1, 0) + IF(and(ISNUMBER(F692), isnumber(G692)), 1, 0) + IF(and(ISNUMBER(H692), isnumber(I692)), 1, 0) + IF(and(ISNUMBER(J692), isnumber(K692)), 1, 0) + IF(and(ISNUMBER(L692), isnumber(M692)), 1, 0) + IF(and(ISNUMBER(N692), isnumber(O692)), 1, 0)</f>
      </c>
      <c r="U692" s="8">
        <f>IF(and(ISNUMBER(P692), isnumber(Q692)), 1, 0) + IF(and(ISNUMBER(R692), isnumber(S692)), 1, 0)</f>
      </c>
      <c r="V692" s="13"/>
      <c r="W692" s="13"/>
      <c r="X692" s="16"/>
    </row>
    <row x14ac:dyDescent="0.25" r="693" customHeight="1" ht="15.75">
      <c r="A693" s="8">
        <v>25964</v>
      </c>
      <c r="B693" s="13" t="s">
        <v>129</v>
      </c>
      <c r="C693" s="13" t="s">
        <v>6041</v>
      </c>
      <c r="D693" s="10">
        <v>0.7736</v>
      </c>
      <c r="E693" s="11">
        <v>239.54</v>
      </c>
      <c r="F693" s="10">
        <v>0.5639</v>
      </c>
      <c r="G693" s="11">
        <v>360</v>
      </c>
      <c r="H693" s="10">
        <v>0.5597</v>
      </c>
      <c r="I693" s="11">
        <v>397.13</v>
      </c>
      <c r="J693" s="10">
        <v>0.6247</v>
      </c>
      <c r="K693" s="11">
        <v>360.32</v>
      </c>
      <c r="L693" s="10">
        <v>0.5094</v>
      </c>
      <c r="M693" s="11">
        <v>406.31</v>
      </c>
      <c r="N693" s="10">
        <v>0.5472</v>
      </c>
      <c r="O693" s="11">
        <v>429.19</v>
      </c>
      <c r="P693" s="10">
        <v>0.7736</v>
      </c>
      <c r="Q693" s="10">
        <v>0.2331</v>
      </c>
      <c r="R693" s="10">
        <v>0.6247</v>
      </c>
      <c r="S693" s="10">
        <v>0.2103</v>
      </c>
      <c r="T693" s="8">
        <f>IF(and(ISNUMBER(D693), isnumber(E693)), 1, 0) + IF(and(ISNUMBER(F693), isnumber(G693)), 1, 0) + IF(and(ISNUMBER(H693), isnumber(I693)), 1, 0) + IF(and(ISNUMBER(J693), isnumber(K693)), 1, 0) + IF(and(ISNUMBER(L693), isnumber(M693)), 1, 0) + IF(and(ISNUMBER(N693), isnumber(O693)), 1, 0)</f>
      </c>
      <c r="U693" s="8">
        <f>IF(and(ISNUMBER(P693), isnumber(Q693)), 1, 0) + IF(and(ISNUMBER(R693), isnumber(S693)), 1, 0)</f>
      </c>
      <c r="V693" s="13"/>
      <c r="W693" s="13"/>
      <c r="X693" s="16"/>
    </row>
    <row x14ac:dyDescent="0.25" r="694" customHeight="1" ht="15.75">
      <c r="A694" s="8">
        <v>25901</v>
      </c>
      <c r="B694" s="13" t="s">
        <v>129</v>
      </c>
      <c r="C694" s="13" t="s">
        <v>6044</v>
      </c>
      <c r="D694" s="10">
        <v>0.7738</v>
      </c>
      <c r="E694" s="11">
        <v>218.6</v>
      </c>
      <c r="F694" s="10">
        <v>0.625</v>
      </c>
      <c r="G694" s="11">
        <v>377.86</v>
      </c>
      <c r="H694" s="10">
        <v>0.6964</v>
      </c>
      <c r="I694" s="11">
        <v>398.57</v>
      </c>
      <c r="J694" s="10">
        <v>0.7262</v>
      </c>
      <c r="K694" s="11">
        <v>293.78</v>
      </c>
      <c r="L694" s="10">
        <v>0.7083</v>
      </c>
      <c r="M694" s="11">
        <v>398.29</v>
      </c>
      <c r="N694" s="10">
        <v>0.7143</v>
      </c>
      <c r="O694" s="11">
        <v>413.68</v>
      </c>
      <c r="P694" s="10">
        <v>0.7738</v>
      </c>
      <c r="Q694" s="10">
        <v>0.2231</v>
      </c>
      <c r="R694" s="10">
        <v>0.7262</v>
      </c>
      <c r="S694" s="10">
        <v>0.2043</v>
      </c>
      <c r="T694" s="8">
        <f>IF(and(ISNUMBER(D694), isnumber(E694)), 1, 0) + IF(and(ISNUMBER(F694), isnumber(G694)), 1, 0) + IF(and(ISNUMBER(H694), isnumber(I694)), 1, 0) + IF(and(ISNUMBER(J694), isnumber(K694)), 1, 0) + IF(and(ISNUMBER(L694), isnumber(M694)), 1, 0) + IF(and(ISNUMBER(N694), isnumber(O694)), 1, 0)</f>
      </c>
      <c r="U694" s="8">
        <f>IF(and(ISNUMBER(P694), isnumber(Q694)), 1, 0) + IF(and(ISNUMBER(R694), isnumber(S694)), 1, 0)</f>
      </c>
      <c r="V694" s="13"/>
      <c r="W694" s="13"/>
      <c r="X694" s="16"/>
    </row>
    <row x14ac:dyDescent="0.25" r="695" customHeight="1" ht="15.75">
      <c r="A695" s="8">
        <v>25902</v>
      </c>
      <c r="B695" s="13" t="s">
        <v>129</v>
      </c>
      <c r="C695" s="13" t="s">
        <v>6047</v>
      </c>
      <c r="D695" s="10">
        <v>0.8035</v>
      </c>
      <c r="E695" s="11">
        <v>199.22</v>
      </c>
      <c r="F695" s="10">
        <v>0.7118</v>
      </c>
      <c r="G695" s="11">
        <v>382.43</v>
      </c>
      <c r="H695" s="10">
        <v>0.7424</v>
      </c>
      <c r="I695" s="11">
        <v>463.46</v>
      </c>
      <c r="J695" s="10">
        <v>0.655</v>
      </c>
      <c r="K695" s="11">
        <v>358.37</v>
      </c>
      <c r="L695" s="10">
        <v>0.7074</v>
      </c>
      <c r="M695" s="11">
        <v>385.1</v>
      </c>
      <c r="N695" s="10">
        <v>0.4236</v>
      </c>
      <c r="O695" s="11">
        <v>404.3</v>
      </c>
      <c r="P695" s="10">
        <v>0.8035</v>
      </c>
      <c r="Q695" s="10">
        <v>0.2372</v>
      </c>
      <c r="R695" s="10">
        <v>0.655</v>
      </c>
      <c r="S695" s="10">
        <v>0.1992</v>
      </c>
      <c r="T695" s="8">
        <f>IF(and(ISNUMBER(D695), isnumber(E695)), 1, 0) + IF(and(ISNUMBER(F695), isnumber(G695)), 1, 0) + IF(and(ISNUMBER(H695), isnumber(I695)), 1, 0) + IF(and(ISNUMBER(J695), isnumber(K695)), 1, 0) + IF(and(ISNUMBER(L695), isnumber(M695)), 1, 0) + IF(and(ISNUMBER(N695), isnumber(O695)), 1, 0)</f>
      </c>
      <c r="U695" s="8">
        <f>IF(and(ISNUMBER(P695), isnumber(Q695)), 1, 0) + IF(and(ISNUMBER(R695), isnumber(S695)), 1, 0)</f>
      </c>
      <c r="V695" s="13"/>
      <c r="W695" s="13"/>
      <c r="X695" s="16"/>
    </row>
    <row x14ac:dyDescent="0.25" r="696" customHeight="1" ht="15.75">
      <c r="A696" s="8">
        <v>25965</v>
      </c>
      <c r="B696" s="13" t="s">
        <v>129</v>
      </c>
      <c r="C696" s="13" t="s">
        <v>6050</v>
      </c>
      <c r="D696" s="10">
        <v>0.7126</v>
      </c>
      <c r="E696" s="11">
        <v>284.61</v>
      </c>
      <c r="F696" s="10">
        <v>0.603</v>
      </c>
      <c r="G696" s="11">
        <v>420.19</v>
      </c>
      <c r="H696" s="10">
        <v>0.6329</v>
      </c>
      <c r="I696" s="11">
        <v>424.37</v>
      </c>
      <c r="J696" s="10">
        <v>0.6125</v>
      </c>
      <c r="K696" s="11">
        <v>334.67</v>
      </c>
      <c r="L696" s="10">
        <v>0.6053</v>
      </c>
      <c r="M696" s="11">
        <v>360.56</v>
      </c>
      <c r="N696" s="10">
        <v>0.5961</v>
      </c>
      <c r="O696" s="11">
        <v>395.75</v>
      </c>
      <c r="P696" s="10">
        <v>0.7126</v>
      </c>
      <c r="Q696" s="10">
        <v>0.2425</v>
      </c>
      <c r="R696" s="10">
        <v>0.6125</v>
      </c>
      <c r="S696" s="10">
        <v>0.205</v>
      </c>
      <c r="T696" s="8">
        <f>IF(and(ISNUMBER(D696), isnumber(E696)), 1, 0) + IF(and(ISNUMBER(F696), isnumber(G696)), 1, 0) + IF(and(ISNUMBER(H696), isnumber(I696)), 1, 0) + IF(and(ISNUMBER(J696), isnumber(K696)), 1, 0) + IF(and(ISNUMBER(L696), isnumber(M696)), 1, 0) + IF(and(ISNUMBER(N696), isnumber(O696)), 1, 0)</f>
      </c>
      <c r="U696" s="8">
        <f>IF(and(ISNUMBER(P696), isnumber(Q696)), 1, 0) + IF(and(ISNUMBER(R696), isnumber(S696)), 1, 0)</f>
      </c>
      <c r="V696" s="13"/>
      <c r="W696" s="13"/>
      <c r="X696" s="16"/>
    </row>
    <row x14ac:dyDescent="0.25" r="697" customHeight="1" ht="15.75">
      <c r="A697" s="8">
        <v>25947</v>
      </c>
      <c r="B697" s="13" t="s">
        <v>129</v>
      </c>
      <c r="C697" s="13" t="s">
        <v>6053</v>
      </c>
      <c r="D697" s="10">
        <v>0.6642</v>
      </c>
      <c r="E697" s="11">
        <v>129.08</v>
      </c>
      <c r="F697" s="10">
        <v>0.5474</v>
      </c>
      <c r="G697" s="11">
        <v>238.51</v>
      </c>
      <c r="H697" s="10">
        <v>0.3169</v>
      </c>
      <c r="I697" s="11">
        <v>294.26</v>
      </c>
      <c r="J697" s="10">
        <v>0.3878</v>
      </c>
      <c r="K697" s="11">
        <v>237.24</v>
      </c>
      <c r="L697" s="10">
        <v>0.4918</v>
      </c>
      <c r="M697" s="11">
        <v>303.22</v>
      </c>
      <c r="N697" s="10">
        <v>0.5628</v>
      </c>
      <c r="O697" s="11">
        <v>312.95</v>
      </c>
      <c r="P697" s="10">
        <v>0.6642</v>
      </c>
      <c r="Q697" s="10">
        <v>0.2151</v>
      </c>
      <c r="R697" s="10">
        <v>0.3878</v>
      </c>
      <c r="S697" s="10">
        <v>0.2043</v>
      </c>
      <c r="T697" s="8">
        <f>IF(and(ISNUMBER(D697), isnumber(E697)), 1, 0) + IF(and(ISNUMBER(F697), isnumber(G697)), 1, 0) + IF(and(ISNUMBER(H697), isnumber(I697)), 1, 0) + IF(and(ISNUMBER(J697), isnumber(K697)), 1, 0) + IF(and(ISNUMBER(L697), isnumber(M697)), 1, 0) + IF(and(ISNUMBER(N697), isnumber(O697)), 1, 0)</f>
      </c>
      <c r="U697" s="8">
        <f>IF(and(ISNUMBER(P697), isnumber(Q697)), 1, 0) + IF(and(ISNUMBER(R697), isnumber(S697)), 1, 0)</f>
      </c>
      <c r="V697" s="13"/>
      <c r="W697" s="13"/>
      <c r="X697" s="16"/>
    </row>
    <row x14ac:dyDescent="0.25" r="698" customHeight="1" ht="15.75">
      <c r="A698" s="8">
        <v>25948</v>
      </c>
      <c r="B698" s="13" t="s">
        <v>129</v>
      </c>
      <c r="C698" s="13" t="s">
        <v>6057</v>
      </c>
      <c r="D698" s="10">
        <v>0.6533</v>
      </c>
      <c r="E698" s="11">
        <v>297.46</v>
      </c>
      <c r="F698" s="10">
        <v>0.48</v>
      </c>
      <c r="G698" s="11">
        <v>367.19</v>
      </c>
      <c r="H698" s="10">
        <v>0.5027</v>
      </c>
      <c r="I698" s="11">
        <v>343.16</v>
      </c>
      <c r="J698" s="10">
        <v>0.5742</v>
      </c>
      <c r="K698" s="11">
        <v>315.71</v>
      </c>
      <c r="L698" s="10">
        <v>0.4809</v>
      </c>
      <c r="M698" s="11">
        <v>384.81</v>
      </c>
      <c r="N698" s="10">
        <v>0.541</v>
      </c>
      <c r="O698" s="11">
        <v>403.29</v>
      </c>
      <c r="P698" s="10">
        <v>0.6533</v>
      </c>
      <c r="Q698" s="10">
        <v>0.2116</v>
      </c>
      <c r="R698" s="10">
        <v>0.5742</v>
      </c>
      <c r="S698" s="10">
        <v>0.2045</v>
      </c>
      <c r="T698" s="8">
        <f>IF(and(ISNUMBER(D698), isnumber(E698)), 1, 0) + IF(and(ISNUMBER(F698), isnumber(G698)), 1, 0) + IF(and(ISNUMBER(H698), isnumber(I698)), 1, 0) + IF(and(ISNUMBER(J698), isnumber(K698)), 1, 0) + IF(and(ISNUMBER(L698), isnumber(M698)), 1, 0) + IF(and(ISNUMBER(N698), isnumber(O698)), 1, 0)</f>
      </c>
      <c r="U698" s="8">
        <f>IF(and(ISNUMBER(P698), isnumber(Q698)), 1, 0) + IF(and(ISNUMBER(R698), isnumber(S698)), 1, 0)</f>
      </c>
      <c r="V698" s="13"/>
      <c r="W698" s="13"/>
      <c r="X698" s="16"/>
    </row>
    <row x14ac:dyDescent="0.25" r="699" customHeight="1" ht="15.75">
      <c r="A699" s="8">
        <v>25966</v>
      </c>
      <c r="B699" s="13" t="s">
        <v>129</v>
      </c>
      <c r="C699" s="13" t="s">
        <v>6059</v>
      </c>
      <c r="D699" s="10">
        <v>0.8084</v>
      </c>
      <c r="E699" s="11">
        <v>304.97</v>
      </c>
      <c r="F699" s="10">
        <v>0.5888</v>
      </c>
      <c r="G699" s="11">
        <v>408.09</v>
      </c>
      <c r="H699" s="10">
        <v>0.6336</v>
      </c>
      <c r="I699" s="11">
        <v>402.71</v>
      </c>
      <c r="J699" s="10">
        <v>0.7027</v>
      </c>
      <c r="K699" s="11">
        <v>275.81</v>
      </c>
      <c r="L699" s="10">
        <v>0.5647</v>
      </c>
      <c r="M699" s="11">
        <v>390.11</v>
      </c>
      <c r="N699" s="10">
        <v>0.6164</v>
      </c>
      <c r="O699" s="11">
        <v>340.55</v>
      </c>
      <c r="P699" s="10">
        <v>0.8084</v>
      </c>
      <c r="Q699" s="10">
        <v>0.2467</v>
      </c>
      <c r="R699" s="10">
        <v>0.7027</v>
      </c>
      <c r="S699" s="10">
        <v>0.2034</v>
      </c>
      <c r="T699" s="8">
        <f>IF(and(ISNUMBER(D699), isnumber(E699)), 1, 0) + IF(and(ISNUMBER(F699), isnumber(G699)), 1, 0) + IF(and(ISNUMBER(H699), isnumber(I699)), 1, 0) + IF(and(ISNUMBER(J699), isnumber(K699)), 1, 0) + IF(and(ISNUMBER(L699), isnumber(M699)), 1, 0) + IF(and(ISNUMBER(N699), isnumber(O699)), 1, 0)</f>
      </c>
      <c r="U699" s="8">
        <f>IF(and(ISNUMBER(P699), isnumber(Q699)), 1, 0) + IF(and(ISNUMBER(R699), isnumber(S699)), 1, 0)</f>
      </c>
      <c r="V699" s="13"/>
      <c r="W699" s="13"/>
      <c r="X699" s="16"/>
    </row>
    <row x14ac:dyDescent="0.25" r="700" customHeight="1" ht="15.75">
      <c r="A700" s="8">
        <v>25903</v>
      </c>
      <c r="B700" s="13" t="s">
        <v>129</v>
      </c>
      <c r="C700" s="13" t="s">
        <v>6062</v>
      </c>
      <c r="D700" s="10">
        <v>0.75</v>
      </c>
      <c r="E700" s="11">
        <v>170.75</v>
      </c>
      <c r="F700" s="10">
        <v>0.3182</v>
      </c>
      <c r="G700" s="11">
        <v>312.2</v>
      </c>
      <c r="H700" s="10">
        <v>0.6212</v>
      </c>
      <c r="I700" s="11">
        <v>344.88</v>
      </c>
      <c r="J700" s="10">
        <v>0.6515</v>
      </c>
      <c r="K700" s="11">
        <v>292.68</v>
      </c>
      <c r="L700" s="10">
        <v>0.6515</v>
      </c>
      <c r="M700" s="11">
        <v>381.2</v>
      </c>
      <c r="N700" s="10">
        <v>0.5909</v>
      </c>
      <c r="O700" s="11">
        <v>369.74</v>
      </c>
      <c r="P700" s="10">
        <v>0.75</v>
      </c>
      <c r="Q700" s="10">
        <v>0.2123</v>
      </c>
      <c r="R700" s="10">
        <v>0.6515</v>
      </c>
      <c r="S700" s="10">
        <v>0.1969</v>
      </c>
      <c r="T700" s="8">
        <f>IF(and(ISNUMBER(D700), isnumber(E700)), 1, 0) + IF(and(ISNUMBER(F700), isnumber(G700)), 1, 0) + IF(and(ISNUMBER(H700), isnumber(I700)), 1, 0) + IF(and(ISNUMBER(J700), isnumber(K700)), 1, 0) + IF(and(ISNUMBER(L700), isnumber(M700)), 1, 0) + IF(and(ISNUMBER(N700), isnumber(O700)), 1, 0)</f>
      </c>
      <c r="U700" s="8">
        <f>IF(and(ISNUMBER(P700), isnumber(Q700)), 1, 0) + IF(and(ISNUMBER(R700), isnumber(S700)), 1, 0)</f>
      </c>
      <c r="V700" s="13"/>
      <c r="W700" s="13"/>
      <c r="X700" s="16"/>
    </row>
    <row x14ac:dyDescent="0.25" r="701" customHeight="1" ht="15.75">
      <c r="A701" s="8">
        <v>25949</v>
      </c>
      <c r="B701" s="13" t="s">
        <v>129</v>
      </c>
      <c r="C701" s="13" t="s">
        <v>6064</v>
      </c>
      <c r="D701" s="10">
        <v>0.8648</v>
      </c>
      <c r="E701" s="11">
        <v>290.87</v>
      </c>
      <c r="F701" s="10">
        <v>0.6885</v>
      </c>
      <c r="G701" s="11">
        <v>381.42</v>
      </c>
      <c r="H701" s="10">
        <v>0.5511</v>
      </c>
      <c r="I701" s="11">
        <v>448.51</v>
      </c>
      <c r="J701" s="10">
        <v>0.6784</v>
      </c>
      <c r="K701" s="11">
        <v>331.52</v>
      </c>
      <c r="L701" s="10">
        <v>0.635</v>
      </c>
      <c r="M701" s="11">
        <v>372.21</v>
      </c>
      <c r="N701" s="10">
        <v>0.3832</v>
      </c>
      <c r="O701" s="11">
        <v>447.23</v>
      </c>
      <c r="P701" s="10">
        <v>0.8648</v>
      </c>
      <c r="Q701" s="10">
        <v>0.24</v>
      </c>
      <c r="R701" s="10">
        <v>0.6784</v>
      </c>
      <c r="S701" s="10">
        <v>0.2175</v>
      </c>
      <c r="T701" s="8">
        <f>IF(and(ISNUMBER(D701), isnumber(E701)), 1, 0) + IF(and(ISNUMBER(F701), isnumber(G701)), 1, 0) + IF(and(ISNUMBER(H701), isnumber(I701)), 1, 0) + IF(and(ISNUMBER(J701), isnumber(K701)), 1, 0) + IF(and(ISNUMBER(L701), isnumber(M701)), 1, 0) + IF(and(ISNUMBER(N701), isnumber(O701)), 1, 0)</f>
      </c>
      <c r="U701" s="8">
        <f>IF(and(ISNUMBER(P701), isnumber(Q701)), 1, 0) + IF(and(ISNUMBER(R701), isnumber(S701)), 1, 0)</f>
      </c>
      <c r="V701" s="13"/>
      <c r="W701" s="13"/>
      <c r="X701" s="16"/>
    </row>
    <row x14ac:dyDescent="0.25" r="702" customHeight="1" ht="15.75">
      <c r="A702" s="8">
        <v>25904</v>
      </c>
      <c r="B702" s="13" t="s">
        <v>129</v>
      </c>
      <c r="C702" s="13" t="s">
        <v>6067</v>
      </c>
      <c r="D702" s="10">
        <v>0.7895</v>
      </c>
      <c r="E702" s="11">
        <v>201.89</v>
      </c>
      <c r="F702" s="10">
        <v>0.6725</v>
      </c>
      <c r="G702" s="11">
        <v>388.07</v>
      </c>
      <c r="H702" s="10">
        <v>0.807</v>
      </c>
      <c r="I702" s="11">
        <v>391.88</v>
      </c>
      <c r="J702" s="10">
        <v>0.6959</v>
      </c>
      <c r="K702" s="11">
        <v>282.09</v>
      </c>
      <c r="L702" s="10">
        <v>0.7427</v>
      </c>
      <c r="M702" s="11">
        <v>390.48</v>
      </c>
      <c r="N702" s="10">
        <v>0.7368</v>
      </c>
      <c r="O702" s="11">
        <v>394.88</v>
      </c>
      <c r="P702" s="10">
        <v>0.7895</v>
      </c>
      <c r="Q702" s="10">
        <v>0.2332</v>
      </c>
      <c r="R702" s="10">
        <v>0.6959</v>
      </c>
      <c r="S702" s="10">
        <v>0.2014</v>
      </c>
      <c r="T702" s="8">
        <f>IF(and(ISNUMBER(D702), isnumber(E702)), 1, 0) + IF(and(ISNUMBER(F702), isnumber(G702)), 1, 0) + IF(and(ISNUMBER(H702), isnumber(I702)), 1, 0) + IF(and(ISNUMBER(J702), isnumber(K702)), 1, 0) + IF(and(ISNUMBER(L702), isnumber(M702)), 1, 0) + IF(and(ISNUMBER(N702), isnumber(O702)), 1, 0)</f>
      </c>
      <c r="U702" s="8">
        <f>IF(and(ISNUMBER(P702), isnumber(Q702)), 1, 0) + IF(and(ISNUMBER(R702), isnumber(S702)), 1, 0)</f>
      </c>
      <c r="V702" s="13"/>
      <c r="W702" s="13"/>
      <c r="X702" s="16"/>
    </row>
    <row x14ac:dyDescent="0.25" r="703" customHeight="1" ht="15.75">
      <c r="A703" s="8">
        <v>25950</v>
      </c>
      <c r="B703" s="13" t="s">
        <v>129</v>
      </c>
      <c r="C703" s="13" t="s">
        <v>6068</v>
      </c>
      <c r="D703" s="10">
        <v>0.724</v>
      </c>
      <c r="E703" s="11">
        <v>183.29</v>
      </c>
      <c r="F703" s="10">
        <v>0.484</v>
      </c>
      <c r="G703" s="11">
        <v>312.34</v>
      </c>
      <c r="H703" s="10">
        <v>0.3763</v>
      </c>
      <c r="I703" s="11">
        <v>432.65</v>
      </c>
      <c r="J703" s="10">
        <v>0.498</v>
      </c>
      <c r="K703" s="11">
        <v>199.93</v>
      </c>
      <c r="L703" s="10">
        <v>0.5052</v>
      </c>
      <c r="M703" s="11">
        <v>352.73</v>
      </c>
      <c r="N703" s="10">
        <v>0.3902</v>
      </c>
      <c r="O703" s="11">
        <v>297.65</v>
      </c>
      <c r="P703" s="10">
        <v>0.724</v>
      </c>
      <c r="Q703" s="10">
        <v>0.2247</v>
      </c>
      <c r="R703" s="10">
        <v>0.498</v>
      </c>
      <c r="S703" s="10">
        <v>0.1991</v>
      </c>
      <c r="T703" s="8">
        <f>IF(and(ISNUMBER(D703), isnumber(E703)), 1, 0) + IF(and(ISNUMBER(F703), isnumber(G703)), 1, 0) + IF(and(ISNUMBER(H703), isnumber(I703)), 1, 0) + IF(and(ISNUMBER(J703), isnumber(K703)), 1, 0) + IF(and(ISNUMBER(L703), isnumber(M703)), 1, 0) + IF(and(ISNUMBER(N703), isnumber(O703)), 1, 0)</f>
      </c>
      <c r="U703" s="8">
        <f>IF(and(ISNUMBER(P703), isnumber(Q703)), 1, 0) + IF(and(ISNUMBER(R703), isnumber(S703)), 1, 0)</f>
      </c>
      <c r="V703" s="13"/>
      <c r="W703" s="13"/>
      <c r="X703" s="16"/>
    </row>
    <row x14ac:dyDescent="0.25" r="704" customHeight="1" ht="15.75">
      <c r="A704" s="8">
        <v>25905</v>
      </c>
      <c r="B704" s="13" t="s">
        <v>129</v>
      </c>
      <c r="C704" s="13" t="s">
        <v>6071</v>
      </c>
      <c r="D704" s="10">
        <v>0.8108</v>
      </c>
      <c r="E704" s="11">
        <v>287.5</v>
      </c>
      <c r="F704" s="10">
        <v>0.6441</v>
      </c>
      <c r="G704" s="11">
        <v>395.24</v>
      </c>
      <c r="H704" s="10">
        <v>0.7748</v>
      </c>
      <c r="I704" s="11">
        <v>432.51</v>
      </c>
      <c r="J704" s="10">
        <v>0.7477</v>
      </c>
      <c r="K704" s="11">
        <v>370.62</v>
      </c>
      <c r="L704" s="10">
        <v>0.7477</v>
      </c>
      <c r="M704" s="11">
        <v>398.55</v>
      </c>
      <c r="N704" s="10">
        <v>0.7568</v>
      </c>
      <c r="O704" s="11">
        <v>422.38</v>
      </c>
      <c r="P704" s="10">
        <v>0.8108</v>
      </c>
      <c r="Q704" s="10">
        <v>0.2526</v>
      </c>
      <c r="R704" s="10">
        <v>0.7477</v>
      </c>
      <c r="S704" s="10">
        <v>0.219</v>
      </c>
      <c r="T704" s="8">
        <f>IF(and(ISNUMBER(D704), isnumber(E704)), 1, 0) + IF(and(ISNUMBER(F704), isnumber(G704)), 1, 0) + IF(and(ISNUMBER(H704), isnumber(I704)), 1, 0) + IF(and(ISNUMBER(J704), isnumber(K704)), 1, 0) + IF(and(ISNUMBER(L704), isnumber(M704)), 1, 0) + IF(and(ISNUMBER(N704), isnumber(O704)), 1, 0)</f>
      </c>
      <c r="U704" s="8">
        <f>IF(and(ISNUMBER(P704), isnumber(Q704)), 1, 0) + IF(and(ISNUMBER(R704), isnumber(S704)), 1, 0)</f>
      </c>
      <c r="V704" s="13"/>
      <c r="W704" s="13"/>
      <c r="X704" s="16"/>
    </row>
    <row x14ac:dyDescent="0.25" r="705" customHeight="1" ht="15.75">
      <c r="A705" s="8">
        <v>25906</v>
      </c>
      <c r="B705" s="13" t="s">
        <v>129</v>
      </c>
      <c r="C705" s="13" t="s">
        <v>6073</v>
      </c>
      <c r="D705" s="10">
        <v>0.7679</v>
      </c>
      <c r="E705" s="11">
        <v>282.02</v>
      </c>
      <c r="F705" s="10">
        <v>0.6473</v>
      </c>
      <c r="G705" s="11">
        <v>395.16</v>
      </c>
      <c r="H705" s="10">
        <v>0.4777</v>
      </c>
      <c r="I705" s="11">
        <v>453.49</v>
      </c>
      <c r="J705" s="10">
        <v>0.6712</v>
      </c>
      <c r="K705" s="11">
        <v>390.7</v>
      </c>
      <c r="L705" s="10">
        <v>0.4296</v>
      </c>
      <c r="M705" s="11">
        <v>407.11</v>
      </c>
      <c r="N705" s="10">
        <v>0.4502</v>
      </c>
      <c r="O705" s="11">
        <v>464.74</v>
      </c>
      <c r="P705" s="10">
        <v>0.7679</v>
      </c>
      <c r="Q705" s="10">
        <v>0.2344</v>
      </c>
      <c r="R705" s="10">
        <v>0.6712</v>
      </c>
      <c r="S705" s="10">
        <v>0.2032</v>
      </c>
      <c r="T705" s="8">
        <f>IF(and(ISNUMBER(D705), isnumber(E705)), 1, 0) + IF(and(ISNUMBER(F705), isnumber(G705)), 1, 0) + IF(and(ISNUMBER(H705), isnumber(I705)), 1, 0) + IF(and(ISNUMBER(J705), isnumber(K705)), 1, 0) + IF(and(ISNUMBER(L705), isnumber(M705)), 1, 0) + IF(and(ISNUMBER(N705), isnumber(O705)), 1, 0)</f>
      </c>
      <c r="U705" s="8">
        <f>IF(and(ISNUMBER(P705), isnumber(Q705)), 1, 0) + IF(and(ISNUMBER(R705), isnumber(S705)), 1, 0)</f>
      </c>
      <c r="V705" s="13"/>
      <c r="W705" s="13"/>
      <c r="X705" s="16"/>
    </row>
    <row x14ac:dyDescent="0.25" r="706" customHeight="1" ht="15.75">
      <c r="A706" s="8">
        <v>25967</v>
      </c>
      <c r="B706" s="13" t="s">
        <v>129</v>
      </c>
      <c r="C706" s="13" t="s">
        <v>5918</v>
      </c>
      <c r="D706" s="10">
        <v>0.6098</v>
      </c>
      <c r="E706" s="11">
        <v>211.55</v>
      </c>
      <c r="F706" s="10">
        <v>0.4904</v>
      </c>
      <c r="G706" s="11">
        <v>422.71</v>
      </c>
      <c r="H706" s="10">
        <v>0.5906</v>
      </c>
      <c r="I706" s="11">
        <v>468.45</v>
      </c>
      <c r="J706" s="10">
        <v>0.533</v>
      </c>
      <c r="K706" s="11">
        <v>312.07</v>
      </c>
      <c r="L706" s="10">
        <v>0.6077</v>
      </c>
      <c r="M706" s="11">
        <v>481.41</v>
      </c>
      <c r="N706" s="10">
        <v>0.5949</v>
      </c>
      <c r="O706" s="11">
        <v>509.06</v>
      </c>
      <c r="P706" s="10">
        <v>0.6098</v>
      </c>
      <c r="Q706" s="10">
        <v>0.2484</v>
      </c>
      <c r="R706" s="10">
        <v>0.533</v>
      </c>
      <c r="S706" s="10">
        <v>0.2091</v>
      </c>
      <c r="T706" s="8">
        <f>IF(and(ISNUMBER(D706), isnumber(E706)), 1, 0) + IF(and(ISNUMBER(F706), isnumber(G706)), 1, 0) + IF(and(ISNUMBER(H706), isnumber(I706)), 1, 0) + IF(and(ISNUMBER(J706), isnumber(K706)), 1, 0) + IF(and(ISNUMBER(L706), isnumber(M706)), 1, 0) + IF(and(ISNUMBER(N706), isnumber(O706)), 1, 0)</f>
      </c>
      <c r="U706" s="8">
        <f>IF(and(ISNUMBER(P706), isnumber(Q706)), 1, 0) + IF(and(ISNUMBER(R706), isnumber(S706)), 1, 0)</f>
      </c>
      <c r="V706" s="13"/>
      <c r="W706" s="13"/>
      <c r="X706" s="16"/>
    </row>
    <row x14ac:dyDescent="0.25" r="707" customHeight="1" ht="15.75">
      <c r="A707" s="8">
        <v>25936</v>
      </c>
      <c r="B707" s="13" t="s">
        <v>129</v>
      </c>
      <c r="C707" s="13" t="s">
        <v>6075</v>
      </c>
      <c r="D707" s="10">
        <v>0.7062</v>
      </c>
      <c r="E707" s="11">
        <v>228.72</v>
      </c>
      <c r="F707" s="10">
        <v>0.5104</v>
      </c>
      <c r="G707" s="11">
        <v>338.35</v>
      </c>
      <c r="H707" s="10">
        <v>0.5045</v>
      </c>
      <c r="I707" s="11">
        <v>378.31</v>
      </c>
      <c r="J707" s="10">
        <v>0.6469</v>
      </c>
      <c r="K707" s="11">
        <v>220.78</v>
      </c>
      <c r="L707" s="10">
        <v>0.7745</v>
      </c>
      <c r="M707" s="11">
        <v>428.28</v>
      </c>
      <c r="N707" s="10">
        <v>0.7329</v>
      </c>
      <c r="O707" s="11">
        <v>415.02</v>
      </c>
      <c r="P707" s="10">
        <v>0.7062</v>
      </c>
      <c r="Q707" s="10">
        <v>0.231</v>
      </c>
      <c r="R707" s="10">
        <v>0.6469</v>
      </c>
      <c r="S707" s="10">
        <v>0.1985</v>
      </c>
      <c r="T707" s="8">
        <f>IF(and(ISNUMBER(D707), isnumber(E707)), 1, 0) + IF(and(ISNUMBER(F707), isnumber(G707)), 1, 0) + IF(and(ISNUMBER(H707), isnumber(I707)), 1, 0) + IF(and(ISNUMBER(J707), isnumber(K707)), 1, 0) + IF(and(ISNUMBER(L707), isnumber(M707)), 1, 0) + IF(and(ISNUMBER(N707), isnumber(O707)), 1, 0)</f>
      </c>
      <c r="U707" s="8">
        <f>IF(and(ISNUMBER(P707), isnumber(Q707)), 1, 0) + IF(and(ISNUMBER(R707), isnumber(S707)), 1, 0)</f>
      </c>
      <c r="V707" s="13"/>
      <c r="W707" s="13"/>
      <c r="X707" s="16"/>
    </row>
    <row x14ac:dyDescent="0.25" r="708" customHeight="1" ht="15.75">
      <c r="A708" s="8">
        <v>25937</v>
      </c>
      <c r="B708" s="13" t="s">
        <v>129</v>
      </c>
      <c r="C708" s="13" t="s">
        <v>6078</v>
      </c>
      <c r="D708" s="10">
        <v>0.7037</v>
      </c>
      <c r="E708" s="11">
        <v>202.35</v>
      </c>
      <c r="F708" s="10">
        <v>0.5556</v>
      </c>
      <c r="G708" s="11">
        <v>386.67</v>
      </c>
      <c r="H708" s="10">
        <v>0.6667</v>
      </c>
      <c r="I708" s="11">
        <v>402.22</v>
      </c>
      <c r="J708" s="10">
        <v>0.5556</v>
      </c>
      <c r="K708" s="11">
        <v>493.33</v>
      </c>
      <c r="L708" s="10">
        <v>0.7407</v>
      </c>
      <c r="M708" s="11">
        <v>402</v>
      </c>
      <c r="N708" s="10">
        <v>0.5556</v>
      </c>
      <c r="O708" s="11">
        <v>480</v>
      </c>
      <c r="P708" s="10">
        <v>0.7037</v>
      </c>
      <c r="Q708" s="10">
        <v>0.2225</v>
      </c>
      <c r="R708" s="10">
        <v>0.5556</v>
      </c>
      <c r="S708" s="10">
        <v>0.2173</v>
      </c>
      <c r="T708" s="8">
        <f>IF(and(ISNUMBER(D708), isnumber(E708)), 1, 0) + IF(and(ISNUMBER(F708), isnumber(G708)), 1, 0) + IF(and(ISNUMBER(H708), isnumber(I708)), 1, 0) + IF(and(ISNUMBER(J708), isnumber(K708)), 1, 0) + IF(and(ISNUMBER(L708), isnumber(M708)), 1, 0) + IF(and(ISNUMBER(N708), isnumber(O708)), 1, 0)</f>
      </c>
      <c r="U708" s="8">
        <f>IF(and(ISNUMBER(P708), isnumber(Q708)), 1, 0) + IF(and(ISNUMBER(R708), isnumber(S708)), 1, 0)</f>
      </c>
      <c r="V708" s="13"/>
      <c r="W708" s="13"/>
      <c r="X708" s="16"/>
    </row>
    <row x14ac:dyDescent="0.25" r="709" customHeight="1" ht="15.75">
      <c r="A709" s="8">
        <v>25938</v>
      </c>
      <c r="B709" s="13" t="s">
        <v>129</v>
      </c>
      <c r="C709" s="13" t="s">
        <v>6079</v>
      </c>
      <c r="D709" s="10">
        <v>0.5265</v>
      </c>
      <c r="E709" s="11">
        <v>330.28</v>
      </c>
      <c r="F709" s="10">
        <v>0.4941</v>
      </c>
      <c r="G709" s="11">
        <v>384.19</v>
      </c>
      <c r="H709" s="10">
        <v>0.4765</v>
      </c>
      <c r="I709" s="11">
        <v>423.85</v>
      </c>
      <c r="J709" s="10">
        <v>0.5029</v>
      </c>
      <c r="K709" s="11">
        <v>394.17</v>
      </c>
      <c r="L709" s="10">
        <v>0.3971</v>
      </c>
      <c r="M709" s="11">
        <v>416.59</v>
      </c>
      <c r="N709" s="10">
        <v>0.4706</v>
      </c>
      <c r="O709" s="11">
        <v>427.75</v>
      </c>
      <c r="P709" s="10">
        <v>0.5265</v>
      </c>
      <c r="Q709" s="10">
        <v>0.2594</v>
      </c>
      <c r="R709" s="10">
        <v>0.5029</v>
      </c>
      <c r="S709" s="10">
        <v>0.2137</v>
      </c>
      <c r="T709" s="8">
        <f>IF(and(ISNUMBER(D709), isnumber(E709)), 1, 0) + IF(and(ISNUMBER(F709), isnumber(G709)), 1, 0) + IF(and(ISNUMBER(H709), isnumber(I709)), 1, 0) + IF(and(ISNUMBER(J709), isnumber(K709)), 1, 0) + IF(and(ISNUMBER(L709), isnumber(M709)), 1, 0) + IF(and(ISNUMBER(N709), isnumber(O709)), 1, 0)</f>
      </c>
      <c r="U709" s="8">
        <f>IF(and(ISNUMBER(P709), isnumber(Q709)), 1, 0) + IF(and(ISNUMBER(R709), isnumber(S709)), 1, 0)</f>
      </c>
      <c r="V709" s="13"/>
      <c r="W709" s="13"/>
      <c r="X709" s="16"/>
    </row>
    <row x14ac:dyDescent="0.25" r="710" customHeight="1" ht="15.75">
      <c r="A710" s="8">
        <v>25907</v>
      </c>
      <c r="B710" s="13" t="s">
        <v>129</v>
      </c>
      <c r="C710" s="13" t="s">
        <v>5922</v>
      </c>
      <c r="D710" s="10">
        <v>0.792</v>
      </c>
      <c r="E710" s="11">
        <v>177.55</v>
      </c>
      <c r="F710" s="10">
        <v>0.584</v>
      </c>
      <c r="G710" s="11">
        <v>403.84</v>
      </c>
      <c r="H710" s="10">
        <v>0.576</v>
      </c>
      <c r="I710" s="11">
        <v>422.78</v>
      </c>
      <c r="J710" s="10">
        <v>0.608</v>
      </c>
      <c r="K710" s="11">
        <v>207.03</v>
      </c>
      <c r="L710" s="10">
        <v>0.44</v>
      </c>
      <c r="M710" s="11">
        <v>314.91</v>
      </c>
      <c r="N710" s="10">
        <v>0.688</v>
      </c>
      <c r="O710" s="11">
        <v>453.02</v>
      </c>
      <c r="P710" s="10">
        <v>0.792</v>
      </c>
      <c r="Q710" s="10">
        <v>0.2186</v>
      </c>
      <c r="R710" s="10">
        <v>0.608</v>
      </c>
      <c r="S710" s="10">
        <v>0.2087</v>
      </c>
      <c r="T710" s="8">
        <f>IF(and(ISNUMBER(D710), isnumber(E710)), 1, 0) + IF(and(ISNUMBER(F710), isnumber(G710)), 1, 0) + IF(and(ISNUMBER(H710), isnumber(I710)), 1, 0) + IF(and(ISNUMBER(J710), isnumber(K710)), 1, 0) + IF(and(ISNUMBER(L710), isnumber(M710)), 1, 0) + IF(and(ISNUMBER(N710), isnumber(O710)), 1, 0)</f>
      </c>
      <c r="U710" s="8">
        <f>IF(and(ISNUMBER(P710), isnumber(Q710)), 1, 0) + IF(and(ISNUMBER(R710), isnumber(S710)), 1, 0)</f>
      </c>
      <c r="V710" s="13"/>
      <c r="W710" s="13"/>
      <c r="X710" s="16"/>
    </row>
    <row x14ac:dyDescent="0.25" r="711" customHeight="1" ht="15.75">
      <c r="A711" s="8">
        <v>25908</v>
      </c>
      <c r="B711" s="13" t="s">
        <v>129</v>
      </c>
      <c r="C711" s="13" t="s">
        <v>6084</v>
      </c>
      <c r="D711" s="10">
        <v>0.6955</v>
      </c>
      <c r="E711" s="11">
        <v>352.21</v>
      </c>
      <c r="F711" s="10">
        <v>0.597</v>
      </c>
      <c r="G711" s="11">
        <v>421.01</v>
      </c>
      <c r="H711" s="10">
        <v>0.5761</v>
      </c>
      <c r="I711" s="11">
        <v>499.37</v>
      </c>
      <c r="J711" s="10">
        <v>0.6507</v>
      </c>
      <c r="K711" s="11">
        <v>369.35</v>
      </c>
      <c r="L711" s="10">
        <v>0.6239</v>
      </c>
      <c r="M711" s="11">
        <v>456.35</v>
      </c>
      <c r="N711" s="10">
        <v>0.597</v>
      </c>
      <c r="O711" s="11">
        <v>461.43</v>
      </c>
      <c r="P711" s="10">
        <v>0.6955</v>
      </c>
      <c r="Q711" s="10">
        <v>0.2583</v>
      </c>
      <c r="R711" s="10">
        <v>0.6507</v>
      </c>
      <c r="S711" s="10">
        <v>0.2094</v>
      </c>
      <c r="T711" s="8">
        <f>IF(and(ISNUMBER(D711), isnumber(E711)), 1, 0) + IF(and(ISNUMBER(F711), isnumber(G711)), 1, 0) + IF(and(ISNUMBER(H711), isnumber(I711)), 1, 0) + IF(and(ISNUMBER(J711), isnumber(K711)), 1, 0) + IF(and(ISNUMBER(L711), isnumber(M711)), 1, 0) + IF(and(ISNUMBER(N711), isnumber(O711)), 1, 0)</f>
      </c>
      <c r="U711" s="8">
        <f>IF(and(ISNUMBER(P711), isnumber(Q711)), 1, 0) + IF(and(ISNUMBER(R711), isnumber(S711)), 1, 0)</f>
      </c>
      <c r="V711" s="13"/>
      <c r="W711" s="13"/>
      <c r="X711" s="16"/>
    </row>
    <row x14ac:dyDescent="0.25" r="712" customHeight="1" ht="15.75">
      <c r="A712" s="8">
        <v>25909</v>
      </c>
      <c r="B712" s="13" t="s">
        <v>129</v>
      </c>
      <c r="C712" s="13" t="s">
        <v>6086</v>
      </c>
      <c r="D712" s="10">
        <v>0.7867</v>
      </c>
      <c r="E712" s="11">
        <v>475.88</v>
      </c>
      <c r="F712" s="10">
        <v>0.8427</v>
      </c>
      <c r="G712" s="11">
        <v>468.37</v>
      </c>
      <c r="H712" s="10">
        <v>0.816</v>
      </c>
      <c r="I712" s="11">
        <v>508.03</v>
      </c>
      <c r="J712" s="10">
        <v>0.6373</v>
      </c>
      <c r="K712" s="11">
        <v>460.42</v>
      </c>
      <c r="L712" s="10">
        <v>0.72</v>
      </c>
      <c r="M712" s="11">
        <v>527.49</v>
      </c>
      <c r="N712" s="10">
        <v>0.8187</v>
      </c>
      <c r="O712" s="11">
        <v>504.74</v>
      </c>
      <c r="P712" s="10">
        <v>0.7867</v>
      </c>
      <c r="Q712" s="10">
        <v>0.2583</v>
      </c>
      <c r="R712" s="10">
        <v>0.6373</v>
      </c>
      <c r="S712" s="10">
        <v>0.2194</v>
      </c>
      <c r="T712" s="8">
        <f>IF(and(ISNUMBER(D712), isnumber(E712)), 1, 0) + IF(and(ISNUMBER(F712), isnumber(G712)), 1, 0) + IF(and(ISNUMBER(H712), isnumber(I712)), 1, 0) + IF(and(ISNUMBER(J712), isnumber(K712)), 1, 0) + IF(and(ISNUMBER(L712), isnumber(M712)), 1, 0) + IF(and(ISNUMBER(N712), isnumber(O712)), 1, 0)</f>
      </c>
      <c r="U712" s="8">
        <f>IF(and(ISNUMBER(P712), isnumber(Q712)), 1, 0) + IF(and(ISNUMBER(R712), isnumber(S712)), 1, 0)</f>
      </c>
      <c r="V712" s="13"/>
      <c r="W712" s="13"/>
      <c r="X712" s="16"/>
    </row>
    <row x14ac:dyDescent="0.25" r="713" customHeight="1" ht="15.75">
      <c r="A713" s="8">
        <v>25951</v>
      </c>
      <c r="B713" s="13" t="s">
        <v>129</v>
      </c>
      <c r="C713" s="13" t="s">
        <v>6089</v>
      </c>
      <c r="D713" s="10">
        <v>0.7778</v>
      </c>
      <c r="E713" s="11">
        <v>59.49</v>
      </c>
      <c r="F713" s="10">
        <v>0.5903</v>
      </c>
      <c r="G713" s="11" t="s">
        <v>7127</v>
      </c>
      <c r="H713" s="10">
        <v>0.4583</v>
      </c>
      <c r="I713" s="11">
        <v>335.94</v>
      </c>
      <c r="J713" s="10">
        <v>0.4767</v>
      </c>
      <c r="K713" s="11" t="s">
        <v>7127</v>
      </c>
      <c r="L713" s="10">
        <v>0.4479</v>
      </c>
      <c r="M713" s="11">
        <v>313.78</v>
      </c>
      <c r="N713" s="10">
        <v>0.3854</v>
      </c>
      <c r="O713" s="11" t="s">
        <v>7127</v>
      </c>
      <c r="P713" s="10">
        <v>0.7778</v>
      </c>
      <c r="Q713" s="10">
        <v>0.2095</v>
      </c>
      <c r="R713" s="10">
        <v>0.4767</v>
      </c>
      <c r="S713" s="10">
        <v>0.2108</v>
      </c>
      <c r="T713" s="8">
        <f>IF(and(ISNUMBER(D713), isnumber(E713)), 1, 0) + IF(and(ISNUMBER(F713), isnumber(G713)), 1, 0) + IF(and(ISNUMBER(H713), isnumber(I713)), 1, 0) + IF(and(ISNUMBER(J713), isnumber(K713)), 1, 0) + IF(and(ISNUMBER(L713), isnumber(M713)), 1, 0) + IF(and(ISNUMBER(N713), isnumber(O713)), 1, 0)</f>
      </c>
      <c r="U713" s="8">
        <f>IF(and(ISNUMBER(P713), isnumber(Q713)), 1, 0) + IF(and(ISNUMBER(R713), isnumber(S713)), 1, 0)</f>
      </c>
      <c r="V713" s="13"/>
      <c r="W713" s="13"/>
      <c r="X713" s="16"/>
    </row>
    <row x14ac:dyDescent="0.25" r="714" customHeight="1" ht="15.75">
      <c r="A714" s="8">
        <v>25968</v>
      </c>
      <c r="B714" s="13" t="s">
        <v>129</v>
      </c>
      <c r="C714" s="13" t="s">
        <v>6092</v>
      </c>
      <c r="D714" s="10">
        <v>0.6774</v>
      </c>
      <c r="E714" s="11">
        <v>244.12</v>
      </c>
      <c r="F714" s="10">
        <v>0.5136</v>
      </c>
      <c r="G714" s="11">
        <v>396.44</v>
      </c>
      <c r="H714" s="10">
        <v>0.536</v>
      </c>
      <c r="I714" s="11">
        <v>394.64</v>
      </c>
      <c r="J714" s="10">
        <v>0.5352</v>
      </c>
      <c r="K714" s="11">
        <v>254.32</v>
      </c>
      <c r="L714" s="10">
        <v>0.4535</v>
      </c>
      <c r="M714" s="11">
        <v>348.89</v>
      </c>
      <c r="N714" s="10">
        <v>0.4365</v>
      </c>
      <c r="O714" s="11">
        <v>346.08</v>
      </c>
      <c r="P714" s="10">
        <v>0.6774</v>
      </c>
      <c r="Q714" s="10">
        <v>0.2343</v>
      </c>
      <c r="R714" s="10">
        <v>0.5352</v>
      </c>
      <c r="S714" s="10">
        <v>0.2045</v>
      </c>
      <c r="T714" s="8">
        <f>IF(and(ISNUMBER(D714), isnumber(E714)), 1, 0) + IF(and(ISNUMBER(F714), isnumber(G714)), 1, 0) + IF(and(ISNUMBER(H714), isnumber(I714)), 1, 0) + IF(and(ISNUMBER(J714), isnumber(K714)), 1, 0) + IF(and(ISNUMBER(L714), isnumber(M714)), 1, 0) + IF(and(ISNUMBER(N714), isnumber(O714)), 1, 0)</f>
      </c>
      <c r="U714" s="8">
        <f>IF(and(ISNUMBER(P714), isnumber(Q714)), 1, 0) + IF(and(ISNUMBER(R714), isnumber(S714)), 1, 0)</f>
      </c>
      <c r="V714" s="13"/>
      <c r="W714" s="13"/>
      <c r="X714" s="16"/>
    </row>
    <row x14ac:dyDescent="0.25" r="715" customHeight="1" ht="15.75">
      <c r="A715" s="8">
        <v>25952</v>
      </c>
      <c r="B715" s="13" t="s">
        <v>129</v>
      </c>
      <c r="C715" s="13" t="s">
        <v>6094</v>
      </c>
      <c r="D715" s="10">
        <v>0.9224</v>
      </c>
      <c r="E715" s="11">
        <v>137.26</v>
      </c>
      <c r="F715" s="10">
        <v>0.6207</v>
      </c>
      <c r="G715" s="11">
        <v>394.44</v>
      </c>
      <c r="H715" s="10">
        <v>0.4138</v>
      </c>
      <c r="I715" s="11">
        <v>376</v>
      </c>
      <c r="J715" s="10">
        <v>0.5276</v>
      </c>
      <c r="K715" s="11">
        <v>221.69</v>
      </c>
      <c r="L715" s="10">
        <v>0.5517</v>
      </c>
      <c r="M715" s="11">
        <v>391.58</v>
      </c>
      <c r="N715" s="10">
        <v>0.531</v>
      </c>
      <c r="O715" s="11">
        <v>366.6</v>
      </c>
      <c r="P715" s="10">
        <v>0.9224</v>
      </c>
      <c r="Q715" s="10">
        <v>0.1391</v>
      </c>
      <c r="R715" s="10">
        <v>0.5276</v>
      </c>
      <c r="S715" s="10">
        <v>0.1905</v>
      </c>
      <c r="T715" s="8">
        <f>IF(and(ISNUMBER(D715), isnumber(E715)), 1, 0) + IF(and(ISNUMBER(F715), isnumber(G715)), 1, 0) + IF(and(ISNUMBER(H715), isnumber(I715)), 1, 0) + IF(and(ISNUMBER(J715), isnumber(K715)), 1, 0) + IF(and(ISNUMBER(L715), isnumber(M715)), 1, 0) + IF(and(ISNUMBER(N715), isnumber(O715)), 1, 0)</f>
      </c>
      <c r="U715" s="8">
        <f>IF(and(ISNUMBER(P715), isnumber(Q715)), 1, 0) + IF(and(ISNUMBER(R715), isnumber(S715)), 1, 0)</f>
      </c>
      <c r="V715" s="13"/>
      <c r="W715" s="13"/>
      <c r="X715" s="16"/>
    </row>
    <row x14ac:dyDescent="0.25" r="716" customHeight="1" ht="15.75">
      <c r="A716" s="8">
        <v>25969</v>
      </c>
      <c r="B716" s="13" t="s">
        <v>129</v>
      </c>
      <c r="C716" s="13" t="s">
        <v>6096</v>
      </c>
      <c r="D716" s="10">
        <v>0.6715</v>
      </c>
      <c r="E716" s="11">
        <v>231.11</v>
      </c>
      <c r="F716" s="10">
        <v>0.4599</v>
      </c>
      <c r="G716" s="11">
        <v>378.06</v>
      </c>
      <c r="H716" s="10">
        <v>0.6346</v>
      </c>
      <c r="I716" s="11">
        <v>448.08</v>
      </c>
      <c r="J716" s="10">
        <v>0.7051</v>
      </c>
      <c r="K716" s="11">
        <v>346.23</v>
      </c>
      <c r="L716" s="10">
        <v>0.5</v>
      </c>
      <c r="M716" s="11">
        <v>440</v>
      </c>
      <c r="N716" s="10">
        <v>0.4744</v>
      </c>
      <c r="O716" s="11">
        <v>410.41</v>
      </c>
      <c r="P716" s="10">
        <v>0.6715</v>
      </c>
      <c r="Q716" s="10">
        <v>0.2122</v>
      </c>
      <c r="R716" s="10">
        <v>0.7051</v>
      </c>
      <c r="S716" s="10">
        <v>0.1986</v>
      </c>
      <c r="T716" s="8">
        <f>IF(and(ISNUMBER(D716), isnumber(E716)), 1, 0) + IF(and(ISNUMBER(F716), isnumber(G716)), 1, 0) + IF(and(ISNUMBER(H716), isnumber(I716)), 1, 0) + IF(and(ISNUMBER(J716), isnumber(K716)), 1, 0) + IF(and(ISNUMBER(L716), isnumber(M716)), 1, 0) + IF(and(ISNUMBER(N716), isnumber(O716)), 1, 0)</f>
      </c>
      <c r="U716" s="8">
        <f>IF(and(ISNUMBER(P716), isnumber(Q716)), 1, 0) + IF(and(ISNUMBER(R716), isnumber(S716)), 1, 0)</f>
      </c>
      <c r="V716" s="13"/>
      <c r="W716" s="13"/>
      <c r="X716" s="16"/>
    </row>
    <row x14ac:dyDescent="0.25" r="717" customHeight="1" ht="15.75">
      <c r="A717" s="8">
        <v>25970</v>
      </c>
      <c r="B717" s="13" t="s">
        <v>129</v>
      </c>
      <c r="C717" s="13" t="s">
        <v>6098</v>
      </c>
      <c r="D717" s="10">
        <v>0.8239</v>
      </c>
      <c r="E717" s="11">
        <v>165.38</v>
      </c>
      <c r="F717" s="10">
        <v>0.6038</v>
      </c>
      <c r="G717" s="11">
        <v>354.55</v>
      </c>
      <c r="H717" s="10">
        <v>0.7579</v>
      </c>
      <c r="I717" s="11">
        <v>371.21</v>
      </c>
      <c r="J717" s="10">
        <v>0.6635</v>
      </c>
      <c r="K717" s="11">
        <v>262.67</v>
      </c>
      <c r="L717" s="10">
        <v>0.7075</v>
      </c>
      <c r="M717" s="11">
        <v>328.14</v>
      </c>
      <c r="N717" s="10">
        <v>0.6604</v>
      </c>
      <c r="O717" s="11">
        <v>370.98</v>
      </c>
      <c r="P717" s="10">
        <v>0.8239</v>
      </c>
      <c r="Q717" s="10">
        <v>0.2367</v>
      </c>
      <c r="R717" s="10">
        <v>0.6635</v>
      </c>
      <c r="S717" s="10">
        <v>0.2016</v>
      </c>
      <c r="T717" s="8">
        <f>IF(and(ISNUMBER(D717), isnumber(E717)), 1, 0) + IF(and(ISNUMBER(F717), isnumber(G717)), 1, 0) + IF(and(ISNUMBER(H717), isnumber(I717)), 1, 0) + IF(and(ISNUMBER(J717), isnumber(K717)), 1, 0) + IF(and(ISNUMBER(L717), isnumber(M717)), 1, 0) + IF(and(ISNUMBER(N717), isnumber(O717)), 1, 0)</f>
      </c>
      <c r="U717" s="8">
        <f>IF(and(ISNUMBER(P717), isnumber(Q717)), 1, 0) + IF(and(ISNUMBER(R717), isnumber(S717)), 1, 0)</f>
      </c>
      <c r="V717" s="13"/>
      <c r="W717" s="13"/>
      <c r="X717" s="16"/>
    </row>
    <row x14ac:dyDescent="0.25" r="718" customHeight="1" ht="15.75">
      <c r="A718" s="8">
        <v>25971</v>
      </c>
      <c r="B718" s="13" t="s">
        <v>129</v>
      </c>
      <c r="C718" s="13" t="s">
        <v>6101</v>
      </c>
      <c r="D718" s="10">
        <v>0.9268</v>
      </c>
      <c r="E718" s="11">
        <v>169.2</v>
      </c>
      <c r="F718" s="10">
        <v>0.7073</v>
      </c>
      <c r="G718" s="11">
        <v>360.48</v>
      </c>
      <c r="H718" s="10">
        <v>0.9756</v>
      </c>
      <c r="I718" s="11">
        <v>169.15</v>
      </c>
      <c r="J718" s="10">
        <v>0.5935</v>
      </c>
      <c r="K718" s="11">
        <v>298.24</v>
      </c>
      <c r="L718" s="10">
        <v>0.6667</v>
      </c>
      <c r="M718" s="11">
        <v>431.6</v>
      </c>
      <c r="N718" s="10">
        <v>0.6911</v>
      </c>
      <c r="O718" s="11">
        <v>452.38</v>
      </c>
      <c r="P718" s="10">
        <v>0.9268</v>
      </c>
      <c r="Q718" s="10">
        <v>0.1803</v>
      </c>
      <c r="R718" s="10">
        <v>0.5935</v>
      </c>
      <c r="S718" s="10">
        <v>0.2109</v>
      </c>
      <c r="T718" s="8">
        <f>IF(and(ISNUMBER(D718), isnumber(E718)), 1, 0) + IF(and(ISNUMBER(F718), isnumber(G718)), 1, 0) + IF(and(ISNUMBER(H718), isnumber(I718)), 1, 0) + IF(and(ISNUMBER(J718), isnumber(K718)), 1, 0) + IF(and(ISNUMBER(L718), isnumber(M718)), 1, 0) + IF(and(ISNUMBER(N718), isnumber(O718)), 1, 0)</f>
      </c>
      <c r="U718" s="8">
        <f>IF(and(ISNUMBER(P718), isnumber(Q718)), 1, 0) + IF(and(ISNUMBER(R718), isnumber(S718)), 1, 0)</f>
      </c>
      <c r="V718" s="13"/>
      <c r="W718" s="13"/>
      <c r="X718" s="16"/>
    </row>
    <row x14ac:dyDescent="0.25" r="719" customHeight="1" ht="15.75">
      <c r="A719" s="8">
        <v>25972</v>
      </c>
      <c r="B719" s="13" t="s">
        <v>129</v>
      </c>
      <c r="C719" s="13" t="s">
        <v>6105</v>
      </c>
      <c r="D719" s="10">
        <v>0.7778</v>
      </c>
      <c r="E719" s="11">
        <v>296.43</v>
      </c>
      <c r="F719" s="10">
        <v>0.8611</v>
      </c>
      <c r="G719" s="11">
        <v>404.14</v>
      </c>
      <c r="H719" s="10">
        <v>0.875</v>
      </c>
      <c r="I719" s="11">
        <v>461.33</v>
      </c>
      <c r="J719" s="10">
        <v>0.8056</v>
      </c>
      <c r="K719" s="11">
        <v>366.43</v>
      </c>
      <c r="L719" s="10">
        <v>0.8889</v>
      </c>
      <c r="M719" s="11">
        <v>439.33</v>
      </c>
      <c r="N719" s="10">
        <v>0.8611</v>
      </c>
      <c r="O719" s="11">
        <v>444.07</v>
      </c>
      <c r="P719" s="10">
        <v>0.7778</v>
      </c>
      <c r="Q719" s="10">
        <v>0.2553</v>
      </c>
      <c r="R719" s="10">
        <v>0.8056</v>
      </c>
      <c r="S719" s="10">
        <v>0.2001</v>
      </c>
      <c r="T719" s="8">
        <f>IF(and(ISNUMBER(D719), isnumber(E719)), 1, 0) + IF(and(ISNUMBER(F719), isnumber(G719)), 1, 0) + IF(and(ISNUMBER(H719), isnumber(I719)), 1, 0) + IF(and(ISNUMBER(J719), isnumber(K719)), 1, 0) + IF(and(ISNUMBER(L719), isnumber(M719)), 1, 0) + IF(and(ISNUMBER(N719), isnumber(O719)), 1, 0)</f>
      </c>
      <c r="U719" s="8">
        <f>IF(and(ISNUMBER(P719), isnumber(Q719)), 1, 0) + IF(and(ISNUMBER(R719), isnumber(S719)), 1, 0)</f>
      </c>
      <c r="V719" s="13"/>
      <c r="W719" s="13"/>
      <c r="X719" s="16"/>
    </row>
    <row x14ac:dyDescent="0.25" r="720" customHeight="1" ht="15.75">
      <c r="A720" s="8">
        <v>25910</v>
      </c>
      <c r="B720" s="13" t="s">
        <v>129</v>
      </c>
      <c r="C720" s="13" t="s">
        <v>6106</v>
      </c>
      <c r="D720" s="10">
        <v>0.7</v>
      </c>
      <c r="E720" s="11">
        <v>269.64</v>
      </c>
      <c r="F720" s="10">
        <v>0.575</v>
      </c>
      <c r="G720" s="11">
        <v>416.96</v>
      </c>
      <c r="H720" s="10">
        <v>0.6977</v>
      </c>
      <c r="I720" s="11">
        <v>456.07</v>
      </c>
      <c r="J720" s="10">
        <v>0.436</v>
      </c>
      <c r="K720" s="11">
        <v>365.71</v>
      </c>
      <c r="L720" s="10">
        <v>0.5581</v>
      </c>
      <c r="M720" s="11">
        <v>451.37</v>
      </c>
      <c r="N720" s="10">
        <v>0.5988</v>
      </c>
      <c r="O720" s="11">
        <v>449.02</v>
      </c>
      <c r="P720" s="10">
        <v>0.7</v>
      </c>
      <c r="Q720" s="10">
        <v>0.2371</v>
      </c>
      <c r="R720" s="10">
        <v>0.436</v>
      </c>
      <c r="S720" s="10">
        <v>0.2078</v>
      </c>
      <c r="T720" s="8">
        <f>IF(and(ISNUMBER(D720), isnumber(E720)), 1, 0) + IF(and(ISNUMBER(F720), isnumber(G720)), 1, 0) + IF(and(ISNUMBER(H720), isnumber(I720)), 1, 0) + IF(and(ISNUMBER(J720), isnumber(K720)), 1, 0) + IF(and(ISNUMBER(L720), isnumber(M720)), 1, 0) + IF(and(ISNUMBER(N720), isnumber(O720)), 1, 0)</f>
      </c>
      <c r="U720" s="8">
        <f>IF(and(ISNUMBER(P720), isnumber(Q720)), 1, 0) + IF(and(ISNUMBER(R720), isnumber(S720)), 1, 0)</f>
      </c>
      <c r="V720" s="13"/>
      <c r="W720" s="13"/>
      <c r="X720" s="16"/>
    </row>
    <row x14ac:dyDescent="0.25" r="721" customHeight="1" ht="15.75">
      <c r="A721" s="8">
        <v>25973</v>
      </c>
      <c r="B721" s="13" t="s">
        <v>129</v>
      </c>
      <c r="C721" s="13" t="s">
        <v>6108</v>
      </c>
      <c r="D721" s="10">
        <v>0.6565</v>
      </c>
      <c r="E721" s="11">
        <v>122.67</v>
      </c>
      <c r="F721" s="10">
        <v>0.5382</v>
      </c>
      <c r="G721" s="11">
        <v>337.71</v>
      </c>
      <c r="H721" s="10">
        <v>0.6183</v>
      </c>
      <c r="I721" s="11">
        <v>377.53</v>
      </c>
      <c r="J721" s="10">
        <v>0.6031</v>
      </c>
      <c r="K721" s="11">
        <v>187.27</v>
      </c>
      <c r="L721" s="10">
        <v>0.626</v>
      </c>
      <c r="M721" s="11">
        <v>260.49</v>
      </c>
      <c r="N721" s="10">
        <v>0.5305</v>
      </c>
      <c r="O721" s="11">
        <v>271.88</v>
      </c>
      <c r="P721" s="10">
        <v>0.6565</v>
      </c>
      <c r="Q721" s="10">
        <v>0.2163</v>
      </c>
      <c r="R721" s="10">
        <v>0.6031</v>
      </c>
      <c r="S721" s="10">
        <v>0.197</v>
      </c>
      <c r="T721" s="8">
        <f>IF(and(ISNUMBER(D721), isnumber(E721)), 1, 0) + IF(and(ISNUMBER(F721), isnumber(G721)), 1, 0) + IF(and(ISNUMBER(H721), isnumber(I721)), 1, 0) + IF(and(ISNUMBER(J721), isnumber(K721)), 1, 0) + IF(and(ISNUMBER(L721), isnumber(M721)), 1, 0) + IF(and(ISNUMBER(N721), isnumber(O721)), 1, 0)</f>
      </c>
      <c r="U721" s="8">
        <f>IF(and(ISNUMBER(P721), isnumber(Q721)), 1, 0) + IF(and(ISNUMBER(R721), isnumber(S721)), 1, 0)</f>
      </c>
      <c r="V721" s="13"/>
      <c r="W721" s="13"/>
      <c r="X721" s="16"/>
    </row>
    <row x14ac:dyDescent="0.25" r="722" customHeight="1" ht="15.75">
      <c r="A722" s="8">
        <v>25911</v>
      </c>
      <c r="B722" s="13" t="s">
        <v>129</v>
      </c>
      <c r="C722" s="13" t="s">
        <v>6111</v>
      </c>
      <c r="D722" s="10">
        <v>0.871</v>
      </c>
      <c r="E722" s="11">
        <v>217.78</v>
      </c>
      <c r="F722" s="10">
        <v>0.6935</v>
      </c>
      <c r="G722" s="11">
        <v>362.79</v>
      </c>
      <c r="H722" s="10">
        <v>0.5161</v>
      </c>
      <c r="I722" s="11">
        <v>410.63</v>
      </c>
      <c r="J722" s="10">
        <v>0.5484</v>
      </c>
      <c r="K722" s="11">
        <v>308.48</v>
      </c>
      <c r="L722" s="10">
        <v>0.7742</v>
      </c>
      <c r="M722" s="11">
        <v>370.83</v>
      </c>
      <c r="N722" s="10">
        <v>0.6129</v>
      </c>
      <c r="O722" s="11">
        <v>407.67</v>
      </c>
      <c r="P722" s="10">
        <v>0.871</v>
      </c>
      <c r="Q722" s="10">
        <v>0.2421</v>
      </c>
      <c r="R722" s="10">
        <v>0.5484</v>
      </c>
      <c r="S722" s="10">
        <v>0.2136</v>
      </c>
      <c r="T722" s="8">
        <f>IF(and(ISNUMBER(D722), isnumber(E722)), 1, 0) + IF(and(ISNUMBER(F722), isnumber(G722)), 1, 0) + IF(and(ISNUMBER(H722), isnumber(I722)), 1, 0) + IF(and(ISNUMBER(J722), isnumber(K722)), 1, 0) + IF(and(ISNUMBER(L722), isnumber(M722)), 1, 0) + IF(and(ISNUMBER(N722), isnumber(O722)), 1, 0)</f>
      </c>
      <c r="U722" s="8">
        <f>IF(and(ISNUMBER(P722), isnumber(Q722)), 1, 0) + IF(and(ISNUMBER(R722), isnumber(S722)), 1, 0)</f>
      </c>
      <c r="V722" s="13"/>
      <c r="W722" s="13"/>
      <c r="X722" s="16"/>
    </row>
    <row x14ac:dyDescent="0.25" r="723" customHeight="1" ht="15.75">
      <c r="A723" s="8">
        <v>25912</v>
      </c>
      <c r="B723" s="13" t="s">
        <v>129</v>
      </c>
      <c r="C723" s="13" t="s">
        <v>6113</v>
      </c>
      <c r="D723" s="10">
        <v>0.6676</v>
      </c>
      <c r="E723" s="11">
        <v>209.97</v>
      </c>
      <c r="F723" s="10">
        <v>0.6731</v>
      </c>
      <c r="G723" s="11">
        <v>326.55</v>
      </c>
      <c r="H723" s="10">
        <v>0.4951</v>
      </c>
      <c r="I723" s="11">
        <v>401.22</v>
      </c>
      <c r="J723" s="10">
        <v>0.3838</v>
      </c>
      <c r="K723" s="11">
        <v>239.18</v>
      </c>
      <c r="L723" s="10">
        <v>0.6789</v>
      </c>
      <c r="M723" s="11">
        <v>388.25</v>
      </c>
      <c r="N723" s="10">
        <v>0.4632</v>
      </c>
      <c r="O723" s="11">
        <v>371.93</v>
      </c>
      <c r="P723" s="10">
        <v>0.6676</v>
      </c>
      <c r="Q723" s="10">
        <v>0.2229</v>
      </c>
      <c r="R723" s="10">
        <v>0.3838</v>
      </c>
      <c r="S723" s="10">
        <v>0.1966</v>
      </c>
      <c r="T723" s="8">
        <f>IF(and(ISNUMBER(D723), isnumber(E723)), 1, 0) + IF(and(ISNUMBER(F723), isnumber(G723)), 1, 0) + IF(and(ISNUMBER(H723), isnumber(I723)), 1, 0) + IF(and(ISNUMBER(J723), isnumber(K723)), 1, 0) + IF(and(ISNUMBER(L723), isnumber(M723)), 1, 0) + IF(and(ISNUMBER(N723), isnumber(O723)), 1, 0)</f>
      </c>
      <c r="U723" s="8">
        <f>IF(and(ISNUMBER(P723), isnumber(Q723)), 1, 0) + IF(and(ISNUMBER(R723), isnumber(S723)), 1, 0)</f>
      </c>
      <c r="V723" s="13"/>
      <c r="W723" s="13"/>
      <c r="X723" s="16"/>
    </row>
    <row x14ac:dyDescent="0.25" r="724" customHeight="1" ht="15.75">
      <c r="A724" s="8">
        <v>25913</v>
      </c>
      <c r="B724" s="13" t="s">
        <v>129</v>
      </c>
      <c r="C724" s="13" t="s">
        <v>6117</v>
      </c>
      <c r="D724" s="10">
        <v>0.7708</v>
      </c>
      <c r="E724" s="11">
        <v>296.08</v>
      </c>
      <c r="F724" s="10">
        <v>0.6245</v>
      </c>
      <c r="G724" s="11">
        <v>388.91</v>
      </c>
      <c r="H724" s="10">
        <v>0.6008</v>
      </c>
      <c r="I724" s="11">
        <v>411.92</v>
      </c>
      <c r="J724" s="10">
        <v>0.6067</v>
      </c>
      <c r="K724" s="11">
        <v>363</v>
      </c>
      <c r="L724" s="10">
        <v>0.5415</v>
      </c>
      <c r="M724" s="11">
        <v>356.76</v>
      </c>
      <c r="N724" s="10">
        <v>0.5237</v>
      </c>
      <c r="O724" s="11">
        <v>422.92</v>
      </c>
      <c r="P724" s="10">
        <v>0.7708</v>
      </c>
      <c r="Q724" s="10">
        <v>0.2597</v>
      </c>
      <c r="R724" s="10">
        <v>0.6067</v>
      </c>
      <c r="S724" s="10">
        <v>0.195</v>
      </c>
      <c r="T724" s="8">
        <f>IF(and(ISNUMBER(D724), isnumber(E724)), 1, 0) + IF(and(ISNUMBER(F724), isnumber(G724)), 1, 0) + IF(and(ISNUMBER(H724), isnumber(I724)), 1, 0) + IF(and(ISNUMBER(J724), isnumber(K724)), 1, 0) + IF(and(ISNUMBER(L724), isnumber(M724)), 1, 0) + IF(and(ISNUMBER(N724), isnumber(O724)), 1, 0)</f>
      </c>
      <c r="U724" s="8">
        <f>IF(and(ISNUMBER(P724), isnumber(Q724)), 1, 0) + IF(and(ISNUMBER(R724), isnumber(S724)), 1, 0)</f>
      </c>
      <c r="V724" s="13"/>
      <c r="W724" s="13"/>
      <c r="X724" s="16"/>
    </row>
    <row x14ac:dyDescent="0.25" r="725" customHeight="1" ht="15.75">
      <c r="A725" s="8">
        <v>25914</v>
      </c>
      <c r="B725" s="13" t="s">
        <v>129</v>
      </c>
      <c r="C725" s="13" t="s">
        <v>6122</v>
      </c>
      <c r="D725" s="10">
        <v>0.5664</v>
      </c>
      <c r="E725" s="11">
        <v>343.04</v>
      </c>
      <c r="F725" s="10">
        <v>0.5044</v>
      </c>
      <c r="G725" s="11">
        <v>525.07</v>
      </c>
      <c r="H725" s="10">
        <v>0.4422</v>
      </c>
      <c r="I725" s="11">
        <v>574.26</v>
      </c>
      <c r="J725" s="10">
        <v>0.6311</v>
      </c>
      <c r="K725" s="11">
        <v>410.6</v>
      </c>
      <c r="L725" s="10">
        <v>0.4898</v>
      </c>
      <c r="M725" s="11">
        <v>641.03</v>
      </c>
      <c r="N725" s="10">
        <v>0.4558</v>
      </c>
      <c r="O725" s="11">
        <v>527.16</v>
      </c>
      <c r="P725" s="10">
        <v>0.5664</v>
      </c>
      <c r="Q725" s="10">
        <v>0.2734</v>
      </c>
      <c r="R725" s="10">
        <v>0.6311</v>
      </c>
      <c r="S725" s="10">
        <v>0.2037</v>
      </c>
      <c r="T725" s="8">
        <f>IF(and(ISNUMBER(D725), isnumber(E725)), 1, 0) + IF(and(ISNUMBER(F725), isnumber(G725)), 1, 0) + IF(and(ISNUMBER(H725), isnumber(I725)), 1, 0) + IF(and(ISNUMBER(J725), isnumber(K725)), 1, 0) + IF(and(ISNUMBER(L725), isnumber(M725)), 1, 0) + IF(and(ISNUMBER(N725), isnumber(O725)), 1, 0)</f>
      </c>
      <c r="U725" s="8">
        <f>IF(and(ISNUMBER(P725), isnumber(Q725)), 1, 0) + IF(and(ISNUMBER(R725), isnumber(S725)), 1, 0)</f>
      </c>
      <c r="V725" s="13"/>
      <c r="W725" s="13"/>
      <c r="X725" s="16"/>
    </row>
    <row x14ac:dyDescent="0.25" r="726" customHeight="1" ht="15.75">
      <c r="A726" s="8">
        <v>25915</v>
      </c>
      <c r="B726" s="13" t="s">
        <v>129</v>
      </c>
      <c r="C726" s="13" t="s">
        <v>6124</v>
      </c>
      <c r="D726" s="10">
        <v>0.7781</v>
      </c>
      <c r="E726" s="11">
        <v>362.64</v>
      </c>
      <c r="F726" s="10">
        <v>0.7781</v>
      </c>
      <c r="G726" s="11">
        <v>471.49</v>
      </c>
      <c r="H726" s="10">
        <v>0.7781</v>
      </c>
      <c r="I726" s="11">
        <v>489.29</v>
      </c>
      <c r="J726" s="10">
        <v>0.7653</v>
      </c>
      <c r="K726" s="11">
        <v>416.47</v>
      </c>
      <c r="L726" s="10">
        <v>0.7556</v>
      </c>
      <c r="M726" s="11">
        <v>479.32</v>
      </c>
      <c r="N726" s="10">
        <v>0.7621</v>
      </c>
      <c r="O726" s="11">
        <v>507.8</v>
      </c>
      <c r="P726" s="10">
        <v>0.7781</v>
      </c>
      <c r="Q726" s="10">
        <v>0.2703</v>
      </c>
      <c r="R726" s="10">
        <v>0.7653</v>
      </c>
      <c r="S726" s="10">
        <v>0.2163</v>
      </c>
      <c r="T726" s="8">
        <f>IF(and(ISNUMBER(D726), isnumber(E726)), 1, 0) + IF(and(ISNUMBER(F726), isnumber(G726)), 1, 0) + IF(and(ISNUMBER(H726), isnumber(I726)), 1, 0) + IF(and(ISNUMBER(J726), isnumber(K726)), 1, 0) + IF(and(ISNUMBER(L726), isnumber(M726)), 1, 0) + IF(and(ISNUMBER(N726), isnumber(O726)), 1, 0)</f>
      </c>
      <c r="U726" s="8">
        <f>IF(and(ISNUMBER(P726), isnumber(Q726)), 1, 0) + IF(and(ISNUMBER(R726), isnumber(S726)), 1, 0)</f>
      </c>
      <c r="V726" s="13"/>
      <c r="W726" s="13"/>
      <c r="X726" s="16"/>
    </row>
    <row x14ac:dyDescent="0.25" r="727" customHeight="1" ht="15.75">
      <c r="A727" s="8">
        <v>25974</v>
      </c>
      <c r="B727" s="13" t="s">
        <v>129</v>
      </c>
      <c r="C727" s="13" t="s">
        <v>4531</v>
      </c>
      <c r="D727" s="10">
        <v>0.5206</v>
      </c>
      <c r="E727" s="11">
        <v>220.4</v>
      </c>
      <c r="F727" s="10">
        <v>0.6495</v>
      </c>
      <c r="G727" s="11">
        <v>358.92</v>
      </c>
      <c r="H727" s="10">
        <v>0.3969</v>
      </c>
      <c r="I727" s="11">
        <v>356.27</v>
      </c>
      <c r="J727" s="10">
        <v>0.8608</v>
      </c>
      <c r="K727" s="11">
        <v>232.34</v>
      </c>
      <c r="L727" s="10">
        <v>0.7474</v>
      </c>
      <c r="M727" s="11">
        <v>374.83</v>
      </c>
      <c r="N727" s="10">
        <v>0.7113</v>
      </c>
      <c r="O727" s="11">
        <v>408.53</v>
      </c>
      <c r="P727" s="10">
        <v>0.5206</v>
      </c>
      <c r="Q727" s="10">
        <v>0.2011</v>
      </c>
      <c r="R727" s="10">
        <v>0.8608</v>
      </c>
      <c r="S727" s="10">
        <v>0.201</v>
      </c>
      <c r="T727" s="8">
        <f>IF(and(ISNUMBER(D727), isnumber(E727)), 1, 0) + IF(and(ISNUMBER(F727), isnumber(G727)), 1, 0) + IF(and(ISNUMBER(H727), isnumber(I727)), 1, 0) + IF(and(ISNUMBER(J727), isnumber(K727)), 1, 0) + IF(and(ISNUMBER(L727), isnumber(M727)), 1, 0) + IF(and(ISNUMBER(N727), isnumber(O727)), 1, 0)</f>
      </c>
      <c r="U727" s="8">
        <f>IF(and(ISNUMBER(P727), isnumber(Q727)), 1, 0) + IF(and(ISNUMBER(R727), isnumber(S727)), 1, 0)</f>
      </c>
      <c r="V727" s="13"/>
      <c r="W727" s="13"/>
      <c r="X727" s="16"/>
    </row>
    <row x14ac:dyDescent="0.25" r="728" customHeight="1" ht="15.75">
      <c r="A728" s="8">
        <v>25939</v>
      </c>
      <c r="B728" s="13" t="s">
        <v>129</v>
      </c>
      <c r="C728" s="13" t="s">
        <v>6130</v>
      </c>
      <c r="D728" s="10">
        <v>0.7191</v>
      </c>
      <c r="E728" s="11">
        <v>238.92</v>
      </c>
      <c r="F728" s="10">
        <v>0.6624</v>
      </c>
      <c r="G728" s="11">
        <v>410.43</v>
      </c>
      <c r="H728" s="10">
        <v>0.5457</v>
      </c>
      <c r="I728" s="11">
        <v>399.47</v>
      </c>
      <c r="J728" s="10">
        <v>0.5646</v>
      </c>
      <c r="K728" s="11" t="s">
        <v>7127</v>
      </c>
      <c r="L728" s="10">
        <v>0.6838</v>
      </c>
      <c r="M728" s="11">
        <v>391.22</v>
      </c>
      <c r="N728" s="10">
        <v>0.5902</v>
      </c>
      <c r="O728" s="11">
        <v>388.65</v>
      </c>
      <c r="P728" s="10">
        <v>0.7191</v>
      </c>
      <c r="Q728" s="10">
        <v>0.2237</v>
      </c>
      <c r="R728" s="10">
        <v>0.5646</v>
      </c>
      <c r="S728" s="10">
        <v>0.1968</v>
      </c>
      <c r="T728" s="8">
        <f>IF(and(ISNUMBER(D728), isnumber(E728)), 1, 0) + IF(and(ISNUMBER(F728), isnumber(G728)), 1, 0) + IF(and(ISNUMBER(H728), isnumber(I728)), 1, 0) + IF(and(ISNUMBER(J728), isnumber(K728)), 1, 0) + IF(and(ISNUMBER(L728), isnumber(M728)), 1, 0) + IF(and(ISNUMBER(N728), isnumber(O728)), 1, 0)</f>
      </c>
      <c r="U728" s="8">
        <f>IF(and(ISNUMBER(P728), isnumber(Q728)), 1, 0) + IF(and(ISNUMBER(R728), isnumber(S728)), 1, 0)</f>
      </c>
      <c r="V728" s="13"/>
      <c r="W728" s="13"/>
      <c r="X728" s="16"/>
    </row>
    <row x14ac:dyDescent="0.25" r="729" customHeight="1" ht="15.75">
      <c r="A729" s="8">
        <v>25975</v>
      </c>
      <c r="B729" s="13" t="s">
        <v>129</v>
      </c>
      <c r="C729" s="13" t="s">
        <v>5226</v>
      </c>
      <c r="D729" s="10">
        <v>0.7881</v>
      </c>
      <c r="E729" s="11">
        <v>166.88</v>
      </c>
      <c r="F729" s="10">
        <v>0.5763</v>
      </c>
      <c r="G729" s="11">
        <v>419.1</v>
      </c>
      <c r="H729" s="10">
        <v>0.6271</v>
      </c>
      <c r="I729" s="11">
        <v>414.25</v>
      </c>
      <c r="J729" s="10">
        <v>0.6441</v>
      </c>
      <c r="K729" s="11">
        <v>306.3</v>
      </c>
      <c r="L729" s="10">
        <v>0.6949</v>
      </c>
      <c r="M729" s="11">
        <v>466.67</v>
      </c>
      <c r="N729" s="10">
        <v>0.5847</v>
      </c>
      <c r="O729" s="11">
        <v>471.88</v>
      </c>
      <c r="P729" s="10">
        <v>0.7881</v>
      </c>
      <c r="Q729" s="10">
        <v>0.2303</v>
      </c>
      <c r="R729" s="10">
        <v>0.6441</v>
      </c>
      <c r="S729" s="10">
        <v>0.2137</v>
      </c>
      <c r="T729" s="8">
        <f>IF(and(ISNUMBER(D729), isnumber(E729)), 1, 0) + IF(and(ISNUMBER(F729), isnumber(G729)), 1, 0) + IF(and(ISNUMBER(H729), isnumber(I729)), 1, 0) + IF(and(ISNUMBER(J729), isnumber(K729)), 1, 0) + IF(and(ISNUMBER(L729), isnumber(M729)), 1, 0) + IF(and(ISNUMBER(N729), isnumber(O729)), 1, 0)</f>
      </c>
      <c r="U729" s="8">
        <f>IF(and(ISNUMBER(P729), isnumber(Q729)), 1, 0) + IF(and(ISNUMBER(R729), isnumber(S729)), 1, 0)</f>
      </c>
      <c r="V729" s="13"/>
      <c r="W729" s="13"/>
      <c r="X729" s="16"/>
    </row>
    <row x14ac:dyDescent="0.25" r="730" customHeight="1" ht="15.75">
      <c r="A730" s="8">
        <v>25976</v>
      </c>
      <c r="B730" s="13" t="s">
        <v>129</v>
      </c>
      <c r="C730" s="13" t="s">
        <v>6138</v>
      </c>
      <c r="D730" s="10">
        <v>0.6735</v>
      </c>
      <c r="E730" s="11">
        <v>381.82</v>
      </c>
      <c r="F730" s="10">
        <v>0.6531</v>
      </c>
      <c r="G730" s="11">
        <v>494.19</v>
      </c>
      <c r="H730" s="10">
        <v>0.6122</v>
      </c>
      <c r="I730" s="11">
        <v>583.45</v>
      </c>
      <c r="J730" s="10">
        <v>0.8163</v>
      </c>
      <c r="K730" s="11">
        <v>424.86</v>
      </c>
      <c r="L730" s="10">
        <v>0.6939</v>
      </c>
      <c r="M730" s="11">
        <v>477.65</v>
      </c>
      <c r="N730" s="10">
        <v>0.7551</v>
      </c>
      <c r="O730" s="11">
        <v>516.76</v>
      </c>
      <c r="P730" s="10">
        <v>0.6735</v>
      </c>
      <c r="Q730" s="10">
        <v>0.2339</v>
      </c>
      <c r="R730" s="10">
        <v>0.8163</v>
      </c>
      <c r="S730" s="10">
        <v>0.2026</v>
      </c>
      <c r="T730" s="8">
        <f>IF(and(ISNUMBER(D730), isnumber(E730)), 1, 0) + IF(and(ISNUMBER(F730), isnumber(G730)), 1, 0) + IF(and(ISNUMBER(H730), isnumber(I730)), 1, 0) + IF(and(ISNUMBER(J730), isnumber(K730)), 1, 0) + IF(and(ISNUMBER(L730), isnumber(M730)), 1, 0) + IF(and(ISNUMBER(N730), isnumber(O730)), 1, 0)</f>
      </c>
      <c r="U730" s="8">
        <f>IF(and(ISNUMBER(P730), isnumber(Q730)), 1, 0) + IF(and(ISNUMBER(R730), isnumber(S730)), 1, 0)</f>
      </c>
      <c r="V730" s="13"/>
      <c r="W730" s="13"/>
      <c r="X730" s="16"/>
    </row>
    <row x14ac:dyDescent="0.25" r="731" customHeight="1" ht="15.75">
      <c r="A731" s="8">
        <v>25978</v>
      </c>
      <c r="B731" s="13" t="s">
        <v>129</v>
      </c>
      <c r="C731" s="13" t="s">
        <v>6141</v>
      </c>
      <c r="D731" s="10">
        <v>0.7164</v>
      </c>
      <c r="E731" s="11">
        <v>272.34</v>
      </c>
      <c r="F731" s="10">
        <v>0.5522</v>
      </c>
      <c r="G731" s="11">
        <v>428.89</v>
      </c>
      <c r="H731" s="10">
        <v>1</v>
      </c>
      <c r="I731" s="11">
        <v>295.38</v>
      </c>
      <c r="J731" s="10">
        <v>0.6119</v>
      </c>
      <c r="K731" s="11">
        <v>343.16</v>
      </c>
      <c r="L731" s="10">
        <v>0.7313</v>
      </c>
      <c r="M731" s="11">
        <v>394.17</v>
      </c>
      <c r="N731" s="10">
        <v>0.4328</v>
      </c>
      <c r="O731" s="11">
        <v>503.45</v>
      </c>
      <c r="P731" s="10">
        <v>0.7164</v>
      </c>
      <c r="Q731" s="10">
        <v>0.2447</v>
      </c>
      <c r="R731" s="10">
        <v>0.6119</v>
      </c>
      <c r="S731" s="10">
        <v>0.2135</v>
      </c>
      <c r="T731" s="8">
        <f>IF(and(ISNUMBER(D731), isnumber(E731)), 1, 0) + IF(and(ISNUMBER(F731), isnumber(G731)), 1, 0) + IF(and(ISNUMBER(H731), isnumber(I731)), 1, 0) + IF(and(ISNUMBER(J731), isnumber(K731)), 1, 0) + IF(and(ISNUMBER(L731), isnumber(M731)), 1, 0) + IF(and(ISNUMBER(N731), isnumber(O731)), 1, 0)</f>
      </c>
      <c r="U731" s="8">
        <f>IF(and(ISNUMBER(P731), isnumber(Q731)), 1, 0) + IF(and(ISNUMBER(R731), isnumber(S731)), 1, 0)</f>
      </c>
      <c r="V731" s="13"/>
      <c r="W731" s="13"/>
      <c r="X731" s="16"/>
    </row>
    <row x14ac:dyDescent="0.25" r="732" customHeight="1" ht="15.75">
      <c r="A732" s="8">
        <v>25916</v>
      </c>
      <c r="B732" s="13" t="s">
        <v>129</v>
      </c>
      <c r="C732" s="13" t="s">
        <v>6144</v>
      </c>
      <c r="D732" s="10">
        <v>0.6509</v>
      </c>
      <c r="E732" s="11">
        <v>165.22</v>
      </c>
      <c r="F732" s="10">
        <v>0.4906</v>
      </c>
      <c r="G732" s="11">
        <v>340</v>
      </c>
      <c r="H732" s="10">
        <v>0.4033</v>
      </c>
      <c r="I732" s="11">
        <v>296.23</v>
      </c>
      <c r="J732" s="10">
        <v>0.4885</v>
      </c>
      <c r="K732" s="11">
        <v>167.99</v>
      </c>
      <c r="L732" s="10">
        <v>0.5525</v>
      </c>
      <c r="M732" s="11">
        <v>297.02</v>
      </c>
      <c r="N732" s="10">
        <v>0.4862</v>
      </c>
      <c r="O732" s="11">
        <v>314.47</v>
      </c>
      <c r="P732" s="10">
        <v>0.6509</v>
      </c>
      <c r="Q732" s="10">
        <v>0.2155</v>
      </c>
      <c r="R732" s="10">
        <v>0.4885</v>
      </c>
      <c r="S732" s="10">
        <v>0.1928</v>
      </c>
      <c r="T732" s="8">
        <f>IF(and(ISNUMBER(D732), isnumber(E732)), 1, 0) + IF(and(ISNUMBER(F732), isnumber(G732)), 1, 0) + IF(and(ISNUMBER(H732), isnumber(I732)), 1, 0) + IF(and(ISNUMBER(J732), isnumber(K732)), 1, 0) + IF(and(ISNUMBER(L732), isnumber(M732)), 1, 0) + IF(and(ISNUMBER(N732), isnumber(O732)), 1, 0)</f>
      </c>
      <c r="U732" s="8">
        <f>IF(and(ISNUMBER(P732), isnumber(Q732)), 1, 0) + IF(and(ISNUMBER(R732), isnumber(S732)), 1, 0)</f>
      </c>
      <c r="V732" s="13"/>
      <c r="W732" s="13"/>
      <c r="X732" s="16"/>
    </row>
    <row x14ac:dyDescent="0.25" r="733" customHeight="1" ht="15.75">
      <c r="A733" s="8">
        <v>25941</v>
      </c>
      <c r="B733" s="13" t="s">
        <v>129</v>
      </c>
      <c r="C733" s="13" t="s">
        <v>6147</v>
      </c>
      <c r="D733" s="10">
        <v>0.8</v>
      </c>
      <c r="E733" s="11">
        <v>374</v>
      </c>
      <c r="F733" s="10">
        <v>0.7333</v>
      </c>
      <c r="G733" s="11">
        <v>485.45</v>
      </c>
      <c r="H733" s="10">
        <v>1</v>
      </c>
      <c r="I733" s="11">
        <v>396</v>
      </c>
      <c r="J733" s="10">
        <v>0.6</v>
      </c>
      <c r="K733" s="11">
        <v>371.76</v>
      </c>
      <c r="L733" s="10">
        <v>0.6667</v>
      </c>
      <c r="M733" s="11">
        <v>501.05</v>
      </c>
      <c r="N733" s="10">
        <v>0.5667</v>
      </c>
      <c r="O733" s="11">
        <v>451.76</v>
      </c>
      <c r="P733" s="10">
        <v>0.8</v>
      </c>
      <c r="Q733" s="10">
        <v>0.2804</v>
      </c>
      <c r="R733" s="10">
        <v>0.6</v>
      </c>
      <c r="S733" s="10">
        <v>0.2111</v>
      </c>
      <c r="T733" s="8">
        <f>IF(and(ISNUMBER(D733), isnumber(E733)), 1, 0) + IF(and(ISNUMBER(F733), isnumber(G733)), 1, 0) + IF(and(ISNUMBER(H733), isnumber(I733)), 1, 0) + IF(and(ISNUMBER(J733), isnumber(K733)), 1, 0) + IF(and(ISNUMBER(L733), isnumber(M733)), 1, 0) + IF(and(ISNUMBER(N733), isnumber(O733)), 1, 0)</f>
      </c>
      <c r="U733" s="8">
        <f>IF(and(ISNUMBER(P733), isnumber(Q733)), 1, 0) + IF(and(ISNUMBER(R733), isnumber(S733)), 1, 0)</f>
      </c>
      <c r="V733" s="13"/>
      <c r="W733" s="13"/>
      <c r="X733" s="16"/>
    </row>
    <row x14ac:dyDescent="0.25" r="734" customHeight="1" ht="15.75">
      <c r="A734" s="8">
        <v>25942</v>
      </c>
      <c r="B734" s="13" t="s">
        <v>129</v>
      </c>
      <c r="C734" s="13" t="s">
        <v>6149</v>
      </c>
      <c r="D734" s="10">
        <v>0.6366</v>
      </c>
      <c r="E734" s="11">
        <v>228.97</v>
      </c>
      <c r="F734" s="10">
        <v>0.5628</v>
      </c>
      <c r="G734" s="11">
        <v>403.36</v>
      </c>
      <c r="H734" s="10">
        <v>0.5418</v>
      </c>
      <c r="I734" s="11">
        <v>426.69</v>
      </c>
      <c r="J734" s="10">
        <v>0.7178</v>
      </c>
      <c r="K734" s="11">
        <v>315.32</v>
      </c>
      <c r="L734" s="10">
        <v>0.6062</v>
      </c>
      <c r="M734" s="11">
        <v>350.05</v>
      </c>
      <c r="N734" s="10">
        <v>0.5179</v>
      </c>
      <c r="O734" s="11">
        <v>364.42</v>
      </c>
      <c r="P734" s="10">
        <v>0.6366</v>
      </c>
      <c r="Q734" s="10">
        <v>0.2343</v>
      </c>
      <c r="R734" s="10">
        <v>0.7178</v>
      </c>
      <c r="S734" s="10">
        <v>0.2033</v>
      </c>
      <c r="T734" s="8">
        <f>IF(and(ISNUMBER(D734), isnumber(E734)), 1, 0) + IF(and(ISNUMBER(F734), isnumber(G734)), 1, 0) + IF(and(ISNUMBER(H734), isnumber(I734)), 1, 0) + IF(and(ISNUMBER(J734), isnumber(K734)), 1, 0) + IF(and(ISNUMBER(L734), isnumber(M734)), 1, 0) + IF(and(ISNUMBER(N734), isnumber(O734)), 1, 0)</f>
      </c>
      <c r="U734" s="8">
        <f>IF(and(ISNUMBER(P734), isnumber(Q734)), 1, 0) + IF(and(ISNUMBER(R734), isnumber(S734)), 1, 0)</f>
      </c>
      <c r="V734" s="13"/>
      <c r="W734" s="13"/>
      <c r="X734" s="16"/>
    </row>
    <row x14ac:dyDescent="0.25" r="735" customHeight="1" ht="15.75">
      <c r="A735" s="8">
        <v>25917</v>
      </c>
      <c r="B735" s="13" t="s">
        <v>129</v>
      </c>
      <c r="C735" s="13" t="s">
        <v>6152</v>
      </c>
      <c r="D735" s="10">
        <v>0.7485</v>
      </c>
      <c r="E735" s="11">
        <v>280</v>
      </c>
      <c r="F735" s="10">
        <v>0.7047</v>
      </c>
      <c r="G735" s="11">
        <v>425.19</v>
      </c>
      <c r="H735" s="10">
        <v>0.8655</v>
      </c>
      <c r="I735" s="11">
        <v>488.11</v>
      </c>
      <c r="J735" s="10">
        <v>0.6287</v>
      </c>
      <c r="K735" s="11">
        <v>374.53</v>
      </c>
      <c r="L735" s="10">
        <v>0.617</v>
      </c>
      <c r="M735" s="11">
        <v>454.62</v>
      </c>
      <c r="N735" s="10">
        <v>0.5702</v>
      </c>
      <c r="O735" s="11">
        <v>454.51</v>
      </c>
      <c r="P735" s="10">
        <v>0.7485</v>
      </c>
      <c r="Q735" s="10">
        <v>0.2523</v>
      </c>
      <c r="R735" s="10">
        <v>0.6287</v>
      </c>
      <c r="S735" s="10">
        <v>0.21</v>
      </c>
      <c r="T735" s="8">
        <f>IF(and(ISNUMBER(D735), isnumber(E735)), 1, 0) + IF(and(ISNUMBER(F735), isnumber(G735)), 1, 0) + IF(and(ISNUMBER(H735), isnumber(I735)), 1, 0) + IF(and(ISNUMBER(J735), isnumber(K735)), 1, 0) + IF(and(ISNUMBER(L735), isnumber(M735)), 1, 0) + IF(and(ISNUMBER(N735), isnumber(O735)), 1, 0)</f>
      </c>
      <c r="U735" s="8">
        <f>IF(and(ISNUMBER(P735), isnumber(Q735)), 1, 0) + IF(and(ISNUMBER(R735), isnumber(S735)), 1, 0)</f>
      </c>
      <c r="V735" s="13"/>
      <c r="W735" s="13"/>
      <c r="X735" s="16"/>
    </row>
    <row x14ac:dyDescent="0.25" r="736" customHeight="1" ht="15.75">
      <c r="A736" s="8">
        <v>25979</v>
      </c>
      <c r="B736" s="13" t="s">
        <v>129</v>
      </c>
      <c r="C736" s="13" t="s">
        <v>6155</v>
      </c>
      <c r="D736" s="10">
        <v>0.7411</v>
      </c>
      <c r="E736" s="11">
        <v>186.02</v>
      </c>
      <c r="F736" s="10">
        <v>0.6518</v>
      </c>
      <c r="G736" s="11">
        <v>328.33</v>
      </c>
      <c r="H736" s="10">
        <v>0.6786</v>
      </c>
      <c r="I736" s="11">
        <v>330.96</v>
      </c>
      <c r="J736" s="10">
        <v>0.5357</v>
      </c>
      <c r="K736" s="11">
        <v>191.86</v>
      </c>
      <c r="L736" s="10">
        <v>0.6339</v>
      </c>
      <c r="M736" s="11">
        <v>313.53</v>
      </c>
      <c r="N736" s="10">
        <v>0.5089</v>
      </c>
      <c r="O736" s="11">
        <v>408.57</v>
      </c>
      <c r="P736" s="10">
        <v>0.7411</v>
      </c>
      <c r="Q736" s="10">
        <v>0.2259</v>
      </c>
      <c r="R736" s="10">
        <v>0.5357</v>
      </c>
      <c r="S736" s="10">
        <v>0.1942</v>
      </c>
      <c r="T736" s="8">
        <f>IF(and(ISNUMBER(D736), isnumber(E736)), 1, 0) + IF(and(ISNUMBER(F736), isnumber(G736)), 1, 0) + IF(and(ISNUMBER(H736), isnumber(I736)), 1, 0) + IF(and(ISNUMBER(J736), isnumber(K736)), 1, 0) + IF(and(ISNUMBER(L736), isnumber(M736)), 1, 0) + IF(and(ISNUMBER(N736), isnumber(O736)), 1, 0)</f>
      </c>
      <c r="U736" s="8">
        <f>IF(and(ISNUMBER(P736), isnumber(Q736)), 1, 0) + IF(and(ISNUMBER(R736), isnumber(S736)), 1, 0)</f>
      </c>
      <c r="V736" s="13"/>
      <c r="W736" s="13"/>
      <c r="X736" s="16"/>
    </row>
    <row x14ac:dyDescent="0.25" r="737" customHeight="1" ht="15.75">
      <c r="A737" s="8">
        <v>25980</v>
      </c>
      <c r="B737" s="13" t="s">
        <v>129</v>
      </c>
      <c r="C737" s="13" t="s">
        <v>6158</v>
      </c>
      <c r="D737" s="10">
        <v>0.5176</v>
      </c>
      <c r="E737" s="11">
        <v>165.35</v>
      </c>
      <c r="F737" s="10">
        <v>0.3994</v>
      </c>
      <c r="G737" s="11">
        <v>345.9</v>
      </c>
      <c r="H737" s="10">
        <v>0.492</v>
      </c>
      <c r="I737" s="11">
        <v>344.8</v>
      </c>
      <c r="J737" s="10">
        <v>0.4856</v>
      </c>
      <c r="K737" s="11">
        <v>104</v>
      </c>
      <c r="L737" s="10">
        <v>0.5208</v>
      </c>
      <c r="M737" s="11">
        <v>238.49</v>
      </c>
      <c r="N737" s="10">
        <v>0.4984</v>
      </c>
      <c r="O737" s="11">
        <v>244.9</v>
      </c>
      <c r="P737" s="10">
        <v>0.5176</v>
      </c>
      <c r="Q737" s="10">
        <v>0.2179</v>
      </c>
      <c r="R737" s="10">
        <v>0.4856</v>
      </c>
      <c r="S737" s="10">
        <v>0.1894</v>
      </c>
      <c r="T737" s="8">
        <f>IF(and(ISNUMBER(D737), isnumber(E737)), 1, 0) + IF(and(ISNUMBER(F737), isnumber(G737)), 1, 0) + IF(and(ISNUMBER(H737), isnumber(I737)), 1, 0) + IF(and(ISNUMBER(J737), isnumber(K737)), 1, 0) + IF(and(ISNUMBER(L737), isnumber(M737)), 1, 0) + IF(and(ISNUMBER(N737), isnumber(O737)), 1, 0)</f>
      </c>
      <c r="U737" s="8">
        <f>IF(and(ISNUMBER(P737), isnumber(Q737)), 1, 0) + IF(and(ISNUMBER(R737), isnumber(S737)), 1, 0)</f>
      </c>
      <c r="V737" s="13"/>
      <c r="W737" s="13"/>
      <c r="X737" s="16"/>
    </row>
    <row x14ac:dyDescent="0.25" r="738" customHeight="1" ht="15.75">
      <c r="A738" s="8">
        <v>25918</v>
      </c>
      <c r="B738" s="13" t="s">
        <v>129</v>
      </c>
      <c r="C738" s="13" t="s">
        <v>6161</v>
      </c>
      <c r="D738" s="10">
        <v>0.8627</v>
      </c>
      <c r="E738" s="11">
        <v>122.73</v>
      </c>
      <c r="F738" s="10">
        <v>0.7843</v>
      </c>
      <c r="G738" s="11">
        <v>310.53</v>
      </c>
      <c r="H738" s="10">
        <v>0.8431</v>
      </c>
      <c r="I738" s="11">
        <v>235</v>
      </c>
      <c r="J738" s="10">
        <v>0.7647</v>
      </c>
      <c r="K738" s="11">
        <v>251.89</v>
      </c>
      <c r="L738" s="10">
        <v>0.8039</v>
      </c>
      <c r="M738" s="11">
        <v>335.14</v>
      </c>
      <c r="N738" s="10">
        <v>0.8039</v>
      </c>
      <c r="O738" s="11">
        <v>289.23</v>
      </c>
      <c r="P738" s="10">
        <v>0.8627</v>
      </c>
      <c r="Q738" s="10">
        <v>0.2198</v>
      </c>
      <c r="R738" s="10">
        <v>0.7647</v>
      </c>
      <c r="S738" s="10">
        <v>0.2089</v>
      </c>
      <c r="T738" s="8">
        <f>IF(and(ISNUMBER(D738), isnumber(E738)), 1, 0) + IF(and(ISNUMBER(F738), isnumber(G738)), 1, 0) + IF(and(ISNUMBER(H738), isnumber(I738)), 1, 0) + IF(and(ISNUMBER(J738), isnumber(K738)), 1, 0) + IF(and(ISNUMBER(L738), isnumber(M738)), 1, 0) + IF(and(ISNUMBER(N738), isnumber(O738)), 1, 0)</f>
      </c>
      <c r="U738" s="8">
        <f>IF(and(ISNUMBER(P738), isnumber(Q738)), 1, 0) + IF(and(ISNUMBER(R738), isnumber(S738)), 1, 0)</f>
      </c>
      <c r="V738" s="13"/>
      <c r="W738" s="13"/>
      <c r="X738" s="16"/>
    </row>
    <row x14ac:dyDescent="0.25" r="739" customHeight="1" ht="15.75">
      <c r="A739" s="8">
        <v>25981</v>
      </c>
      <c r="B739" s="13" t="s">
        <v>129</v>
      </c>
      <c r="C739" s="13" t="s">
        <v>6163</v>
      </c>
      <c r="D739" s="10">
        <v>0.875</v>
      </c>
      <c r="E739" s="11">
        <v>302.86</v>
      </c>
      <c r="F739" s="10">
        <v>0.875</v>
      </c>
      <c r="G739" s="11">
        <v>440</v>
      </c>
      <c r="H739" s="10">
        <v>0.8125</v>
      </c>
      <c r="I739" s="11">
        <v>452.31</v>
      </c>
      <c r="J739" s="10">
        <v>0.6875</v>
      </c>
      <c r="K739" s="11">
        <v>348</v>
      </c>
      <c r="L739" s="10">
        <v>0.75</v>
      </c>
      <c r="M739" s="11">
        <v>420</v>
      </c>
      <c r="N739" s="10">
        <v>0.8125</v>
      </c>
      <c r="O739" s="11">
        <v>473.33</v>
      </c>
      <c r="P739" s="10">
        <v>0.875</v>
      </c>
      <c r="Q739" s="10">
        <v>0.25</v>
      </c>
      <c r="R739" s="10">
        <v>0.6875</v>
      </c>
      <c r="S739" s="10">
        <v>0.2089</v>
      </c>
      <c r="T739" s="8">
        <f>IF(and(ISNUMBER(D739), isnumber(E739)), 1, 0) + IF(and(ISNUMBER(F739), isnumber(G739)), 1, 0) + IF(and(ISNUMBER(H739), isnumber(I739)), 1, 0) + IF(and(ISNUMBER(J739), isnumber(K739)), 1, 0) + IF(and(ISNUMBER(L739), isnumber(M739)), 1, 0) + IF(and(ISNUMBER(N739), isnumber(O739)), 1, 0)</f>
      </c>
      <c r="U739" s="8">
        <f>IF(and(ISNUMBER(P739), isnumber(Q739)), 1, 0) + IF(and(ISNUMBER(R739), isnumber(S739)), 1, 0)</f>
      </c>
      <c r="V739" s="13"/>
      <c r="W739" s="13"/>
      <c r="X739" s="16"/>
    </row>
    <row x14ac:dyDescent="0.25" r="740" customHeight="1" ht="15.75">
      <c r="A740" s="8">
        <v>25982</v>
      </c>
      <c r="B740" s="13" t="s">
        <v>129</v>
      </c>
      <c r="C740" s="13" t="s">
        <v>6164</v>
      </c>
      <c r="D740" s="10">
        <v>0.5952</v>
      </c>
      <c r="E740" s="11">
        <v>38.4</v>
      </c>
      <c r="F740" s="10">
        <v>0.6071</v>
      </c>
      <c r="G740" s="11">
        <v>324.8</v>
      </c>
      <c r="H740" s="10">
        <v>0.4881</v>
      </c>
      <c r="I740" s="11">
        <v>324.88</v>
      </c>
      <c r="J740" s="10">
        <v>0.3929</v>
      </c>
      <c r="K740" s="11">
        <v>195</v>
      </c>
      <c r="L740" s="10">
        <v>0.6548</v>
      </c>
      <c r="M740" s="11">
        <v>320.73</v>
      </c>
      <c r="N740" s="10">
        <v>0.3929</v>
      </c>
      <c r="O740" s="11">
        <v>367.27</v>
      </c>
      <c r="P740" s="10">
        <v>0.5952</v>
      </c>
      <c r="Q740" s="10">
        <v>0.2039</v>
      </c>
      <c r="R740" s="10">
        <v>0.3929</v>
      </c>
      <c r="S740" s="10">
        <v>0.1972</v>
      </c>
      <c r="T740" s="8">
        <f>IF(and(ISNUMBER(D740), isnumber(E740)), 1, 0) + IF(and(ISNUMBER(F740), isnumber(G740)), 1, 0) + IF(and(ISNUMBER(H740), isnumber(I740)), 1, 0) + IF(and(ISNUMBER(J740), isnumber(K740)), 1, 0) + IF(and(ISNUMBER(L740), isnumber(M740)), 1, 0) + IF(and(ISNUMBER(N740), isnumber(O740)), 1, 0)</f>
      </c>
      <c r="U740" s="8">
        <f>IF(and(ISNUMBER(P740), isnumber(Q740)), 1, 0) + IF(and(ISNUMBER(R740), isnumber(S740)), 1, 0)</f>
      </c>
      <c r="V740" s="13"/>
      <c r="W740" s="13"/>
      <c r="X740" s="16"/>
    </row>
    <row x14ac:dyDescent="0.25" r="741" customHeight="1" ht="15.75">
      <c r="A741" s="8">
        <v>25983</v>
      </c>
      <c r="B741" s="13" t="s">
        <v>129</v>
      </c>
      <c r="C741" s="13" t="s">
        <v>6166</v>
      </c>
      <c r="D741" s="10">
        <v>0.7429</v>
      </c>
      <c r="E741" s="11">
        <v>267.69</v>
      </c>
      <c r="F741" s="10">
        <v>0.7714</v>
      </c>
      <c r="G741" s="11">
        <v>398.52</v>
      </c>
      <c r="H741" s="10">
        <v>0.7143</v>
      </c>
      <c r="I741" s="11">
        <v>483.2</v>
      </c>
      <c r="J741" s="10">
        <v>0.7143</v>
      </c>
      <c r="K741" s="11">
        <v>358.4</v>
      </c>
      <c r="L741" s="10">
        <v>0.7714</v>
      </c>
      <c r="M741" s="11">
        <v>481.48</v>
      </c>
      <c r="N741" s="10">
        <v>0.7143</v>
      </c>
      <c r="O741" s="11">
        <v>395.2</v>
      </c>
      <c r="P741" s="10">
        <v>0.7429</v>
      </c>
      <c r="Q741" s="10">
        <v>0.2584</v>
      </c>
      <c r="R741" s="10">
        <v>0.7143</v>
      </c>
      <c r="S741" s="10">
        <v>0.2125</v>
      </c>
      <c r="T741" s="8">
        <f>IF(and(ISNUMBER(D741), isnumber(E741)), 1, 0) + IF(and(ISNUMBER(F741), isnumber(G741)), 1, 0) + IF(and(ISNUMBER(H741), isnumber(I741)), 1, 0) + IF(and(ISNUMBER(J741), isnumber(K741)), 1, 0) + IF(and(ISNUMBER(L741), isnumber(M741)), 1, 0) + IF(and(ISNUMBER(N741), isnumber(O741)), 1, 0)</f>
      </c>
      <c r="U741" s="8">
        <f>IF(and(ISNUMBER(P741), isnumber(Q741)), 1, 0) + IF(and(ISNUMBER(R741), isnumber(S741)), 1, 0)</f>
      </c>
      <c r="V741" s="13"/>
      <c r="W741" s="13"/>
      <c r="X741" s="16"/>
    </row>
    <row x14ac:dyDescent="0.25" r="742" customHeight="1" ht="15.75">
      <c r="A742" s="8">
        <v>25984</v>
      </c>
      <c r="B742" s="13" t="s">
        <v>129</v>
      </c>
      <c r="C742" s="13" t="s">
        <v>6169</v>
      </c>
      <c r="D742" s="10">
        <v>0.7699</v>
      </c>
      <c r="E742" s="11">
        <v>298.89</v>
      </c>
      <c r="F742" s="10">
        <v>0.7658</v>
      </c>
      <c r="G742" s="11">
        <v>431.29</v>
      </c>
      <c r="H742" s="10">
        <v>0.7556</v>
      </c>
      <c r="I742" s="11">
        <v>453.37</v>
      </c>
      <c r="J742" s="10">
        <v>0.7026</v>
      </c>
      <c r="K742" s="11">
        <v>421.2</v>
      </c>
      <c r="L742" s="10">
        <v>0.6986</v>
      </c>
      <c r="M742" s="11">
        <v>466.98</v>
      </c>
      <c r="N742" s="10">
        <v>0.7006</v>
      </c>
      <c r="O742" s="11">
        <v>457.31</v>
      </c>
      <c r="P742" s="10">
        <v>0.7699</v>
      </c>
      <c r="Q742" s="10">
        <v>0.269</v>
      </c>
      <c r="R742" s="10">
        <v>0.7026</v>
      </c>
      <c r="S742" s="10">
        <v>0.2071</v>
      </c>
      <c r="T742" s="8">
        <f>IF(and(ISNUMBER(D742), isnumber(E742)), 1, 0) + IF(and(ISNUMBER(F742), isnumber(G742)), 1, 0) + IF(and(ISNUMBER(H742), isnumber(I742)), 1, 0) + IF(and(ISNUMBER(J742), isnumber(K742)), 1, 0) + IF(and(ISNUMBER(L742), isnumber(M742)), 1, 0) + IF(and(ISNUMBER(N742), isnumber(O742)), 1, 0)</f>
      </c>
      <c r="U742" s="8">
        <f>IF(and(ISNUMBER(P742), isnumber(Q742)), 1, 0) + IF(and(ISNUMBER(R742), isnumber(S742)), 1, 0)</f>
      </c>
      <c r="V742" s="13"/>
      <c r="W742" s="13"/>
      <c r="X742" s="16"/>
    </row>
    <row x14ac:dyDescent="0.25" r="743" customHeight="1" ht="15.75">
      <c r="A743" s="8">
        <v>25985</v>
      </c>
      <c r="B743" s="13" t="s">
        <v>129</v>
      </c>
      <c r="C743" s="13" t="s">
        <v>6173</v>
      </c>
      <c r="D743" s="10">
        <v>0.8018</v>
      </c>
      <c r="E743" s="11">
        <v>319.09</v>
      </c>
      <c r="F743" s="10">
        <v>0.6577</v>
      </c>
      <c r="G743" s="11">
        <v>443.29</v>
      </c>
      <c r="H743" s="10">
        <v>0.7928</v>
      </c>
      <c r="I743" s="11">
        <v>480.91</v>
      </c>
      <c r="J743" s="10">
        <v>0.6396</v>
      </c>
      <c r="K743" s="11">
        <v>429.3</v>
      </c>
      <c r="L743" s="10">
        <v>0.7207</v>
      </c>
      <c r="M743" s="11">
        <v>521.5</v>
      </c>
      <c r="N743" s="10">
        <v>0.7477</v>
      </c>
      <c r="O743" s="11">
        <v>500.24</v>
      </c>
      <c r="P743" s="10">
        <v>0.8018</v>
      </c>
      <c r="Q743" s="10">
        <v>0.2417</v>
      </c>
      <c r="R743" s="10">
        <v>0.6396</v>
      </c>
      <c r="S743" s="10">
        <v>0.2159</v>
      </c>
      <c r="T743" s="8">
        <f>IF(and(ISNUMBER(D743), isnumber(E743)), 1, 0) + IF(and(ISNUMBER(F743), isnumber(G743)), 1, 0) + IF(and(ISNUMBER(H743), isnumber(I743)), 1, 0) + IF(and(ISNUMBER(J743), isnumber(K743)), 1, 0) + IF(and(ISNUMBER(L743), isnumber(M743)), 1, 0) + IF(and(ISNUMBER(N743), isnumber(O743)), 1, 0)</f>
      </c>
      <c r="U743" s="8">
        <f>IF(and(ISNUMBER(P743), isnumber(Q743)), 1, 0) + IF(and(ISNUMBER(R743), isnumber(S743)), 1, 0)</f>
      </c>
      <c r="V743" s="13"/>
      <c r="W743" s="13"/>
      <c r="X743" s="16"/>
    </row>
    <row x14ac:dyDescent="0.25" r="744" customHeight="1" ht="15.75">
      <c r="A744" s="8">
        <v>25986</v>
      </c>
      <c r="B744" s="13" t="s">
        <v>129</v>
      </c>
      <c r="C744" s="13" t="s">
        <v>6176</v>
      </c>
      <c r="D744" s="10">
        <v>0.9014</v>
      </c>
      <c r="E744" s="11">
        <v>235.87</v>
      </c>
      <c r="F744" s="10">
        <v>0.6851</v>
      </c>
      <c r="G744" s="11">
        <v>415.8</v>
      </c>
      <c r="H744" s="10">
        <v>0.5807</v>
      </c>
      <c r="I744" s="11">
        <v>461.79</v>
      </c>
      <c r="J744" s="10">
        <v>0.516</v>
      </c>
      <c r="K744" s="11">
        <v>341.11</v>
      </c>
      <c r="L744" s="10">
        <v>0.5413</v>
      </c>
      <c r="M744" s="11">
        <v>463.14</v>
      </c>
      <c r="N744" s="10">
        <v>0.561</v>
      </c>
      <c r="O744" s="11">
        <v>428.24</v>
      </c>
      <c r="P744" s="10">
        <v>0.9014</v>
      </c>
      <c r="Q744" s="10">
        <v>0.2221</v>
      </c>
      <c r="R744" s="10">
        <v>0.516</v>
      </c>
      <c r="S744" s="10">
        <v>0.2031</v>
      </c>
      <c r="T744" s="8">
        <f>IF(and(ISNUMBER(D744), isnumber(E744)), 1, 0) + IF(and(ISNUMBER(F744), isnumber(G744)), 1, 0) + IF(and(ISNUMBER(H744), isnumber(I744)), 1, 0) + IF(and(ISNUMBER(J744), isnumber(K744)), 1, 0) + IF(and(ISNUMBER(L744), isnumber(M744)), 1, 0) + IF(and(ISNUMBER(N744), isnumber(O744)), 1, 0)</f>
      </c>
      <c r="U744" s="8">
        <f>IF(and(ISNUMBER(P744), isnumber(Q744)), 1, 0) + IF(and(ISNUMBER(R744), isnumber(S744)), 1, 0)</f>
      </c>
      <c r="V744" s="13"/>
      <c r="W744" s="13"/>
      <c r="X744" s="16"/>
    </row>
    <row x14ac:dyDescent="0.25" r="745" customHeight="1" ht="15.75">
      <c r="A745" s="8">
        <v>25919</v>
      </c>
      <c r="B745" s="13" t="s">
        <v>129</v>
      </c>
      <c r="C745" s="13" t="s">
        <v>6180</v>
      </c>
      <c r="D745" s="10">
        <v>0.5962</v>
      </c>
      <c r="E745" s="11">
        <v>184.52</v>
      </c>
      <c r="F745" s="10">
        <v>0.7308</v>
      </c>
      <c r="G745" s="11">
        <v>358.95</v>
      </c>
      <c r="H745" s="10">
        <v>0.6923</v>
      </c>
      <c r="I745" s="11">
        <v>454.44</v>
      </c>
      <c r="J745" s="10">
        <v>0.5</v>
      </c>
      <c r="K745" s="11">
        <v>164.62</v>
      </c>
      <c r="L745" s="10">
        <v>0.8654</v>
      </c>
      <c r="M745" s="11">
        <v>417.78</v>
      </c>
      <c r="N745" s="10">
        <v>0.7115</v>
      </c>
      <c r="O745" s="11">
        <v>474.59</v>
      </c>
      <c r="P745" s="10">
        <v>0.5962</v>
      </c>
      <c r="Q745" s="10">
        <v>0.2388</v>
      </c>
      <c r="R745" s="10">
        <v>0.5</v>
      </c>
      <c r="S745" s="10">
        <v>0.2111</v>
      </c>
      <c r="T745" s="8">
        <f>IF(and(ISNUMBER(D745), isnumber(E745)), 1, 0) + IF(and(ISNUMBER(F745), isnumber(G745)), 1, 0) + IF(and(ISNUMBER(H745), isnumber(I745)), 1, 0) + IF(and(ISNUMBER(J745), isnumber(K745)), 1, 0) + IF(and(ISNUMBER(L745), isnumber(M745)), 1, 0) + IF(and(ISNUMBER(N745), isnumber(O745)), 1, 0)</f>
      </c>
      <c r="U745" s="8">
        <f>IF(and(ISNUMBER(P745), isnumber(Q745)), 1, 0) + IF(and(ISNUMBER(R745), isnumber(S745)), 1, 0)</f>
      </c>
      <c r="V745" s="13"/>
      <c r="W745" s="13"/>
      <c r="X745" s="16"/>
    </row>
    <row x14ac:dyDescent="0.25" r="746" customHeight="1" ht="15.75">
      <c r="A746" s="8">
        <v>25987</v>
      </c>
      <c r="B746" s="13" t="s">
        <v>129</v>
      </c>
      <c r="C746" s="13" t="s">
        <v>6182</v>
      </c>
      <c r="D746" s="10">
        <v>0.8527</v>
      </c>
      <c r="E746" s="11">
        <v>372.54</v>
      </c>
      <c r="F746" s="10">
        <v>0.7778</v>
      </c>
      <c r="G746" s="11">
        <v>473.54</v>
      </c>
      <c r="H746" s="10">
        <v>0.8478</v>
      </c>
      <c r="I746" s="11">
        <v>482.51</v>
      </c>
      <c r="J746" s="10">
        <v>0.7271</v>
      </c>
      <c r="K746" s="11">
        <v>438.4</v>
      </c>
      <c r="L746" s="10">
        <v>0.7826</v>
      </c>
      <c r="M746" s="11">
        <v>479.26</v>
      </c>
      <c r="N746" s="10">
        <v>0.843</v>
      </c>
      <c r="O746" s="11">
        <v>476.1</v>
      </c>
      <c r="P746" s="10">
        <v>0.8527</v>
      </c>
      <c r="Q746" s="10">
        <v>0.2702</v>
      </c>
      <c r="R746" s="10">
        <v>0.7271</v>
      </c>
      <c r="S746" s="10">
        <v>0.2059</v>
      </c>
      <c r="T746" s="8">
        <f>IF(and(ISNUMBER(D746), isnumber(E746)), 1, 0) + IF(and(ISNUMBER(F746), isnumber(G746)), 1, 0) + IF(and(ISNUMBER(H746), isnumber(I746)), 1, 0) + IF(and(ISNUMBER(J746), isnumber(K746)), 1, 0) + IF(and(ISNUMBER(L746), isnumber(M746)), 1, 0) + IF(and(ISNUMBER(N746), isnumber(O746)), 1, 0)</f>
      </c>
      <c r="U746" s="8">
        <f>IF(and(ISNUMBER(P746), isnumber(Q746)), 1, 0) + IF(and(ISNUMBER(R746), isnumber(S746)), 1, 0)</f>
      </c>
      <c r="V746" s="13"/>
      <c r="W746" s="13"/>
      <c r="X746" s="16"/>
    </row>
    <row x14ac:dyDescent="0.25" r="747" customHeight="1" ht="15.75">
      <c r="A747" s="8">
        <v>25920</v>
      </c>
      <c r="B747" s="13" t="s">
        <v>129</v>
      </c>
      <c r="C747" s="13" t="s">
        <v>6186</v>
      </c>
      <c r="D747" s="10">
        <v>0.9195</v>
      </c>
      <c r="E747" s="11">
        <v>257.44</v>
      </c>
      <c r="F747" s="10">
        <v>0.8276</v>
      </c>
      <c r="G747" s="11">
        <v>363.33</v>
      </c>
      <c r="H747" s="10">
        <v>0.7356</v>
      </c>
      <c r="I747" s="11">
        <v>422.5</v>
      </c>
      <c r="J747" s="10">
        <v>0.7816</v>
      </c>
      <c r="K747" s="11">
        <v>380.31</v>
      </c>
      <c r="L747" s="10">
        <v>0.7586</v>
      </c>
      <c r="M747" s="11">
        <v>409.85</v>
      </c>
      <c r="N747" s="10">
        <v>0.7471</v>
      </c>
      <c r="O747" s="11">
        <v>417.5</v>
      </c>
      <c r="P747" s="10">
        <v>0.9195</v>
      </c>
      <c r="Q747" s="10">
        <v>0.2416</v>
      </c>
      <c r="R747" s="10">
        <v>0.7816</v>
      </c>
      <c r="S747" s="10">
        <v>0.2058</v>
      </c>
      <c r="T747" s="8">
        <f>IF(and(ISNUMBER(D747), isnumber(E747)), 1, 0) + IF(and(ISNUMBER(F747), isnumber(G747)), 1, 0) + IF(and(ISNUMBER(H747), isnumber(I747)), 1, 0) + IF(and(ISNUMBER(J747), isnumber(K747)), 1, 0) + IF(and(ISNUMBER(L747), isnumber(M747)), 1, 0) + IF(and(ISNUMBER(N747), isnumber(O747)), 1, 0)</f>
      </c>
      <c r="U747" s="8">
        <f>IF(and(ISNUMBER(P747), isnumber(Q747)), 1, 0) + IF(and(ISNUMBER(R747), isnumber(S747)), 1, 0)</f>
      </c>
      <c r="V747" s="13"/>
      <c r="W747" s="13"/>
      <c r="X747" s="16"/>
    </row>
    <row x14ac:dyDescent="0.25" r="748" customHeight="1" ht="15.75">
      <c r="A748" s="8">
        <v>25921</v>
      </c>
      <c r="B748" s="13" t="s">
        <v>129</v>
      </c>
      <c r="C748" s="13" t="s">
        <v>6189</v>
      </c>
      <c r="D748" s="10">
        <v>0.7295</v>
      </c>
      <c r="E748" s="11">
        <v>155.31</v>
      </c>
      <c r="F748" s="10">
        <v>0.5479</v>
      </c>
      <c r="G748" s="11">
        <v>391.38</v>
      </c>
      <c r="H748" s="10">
        <v>0.5037</v>
      </c>
      <c r="I748" s="11">
        <v>378.45</v>
      </c>
      <c r="J748" s="10">
        <v>0.5462</v>
      </c>
      <c r="K748" s="11">
        <v>287.47</v>
      </c>
      <c r="L748" s="10">
        <v>0.4239</v>
      </c>
      <c r="M748" s="11">
        <v>369.42</v>
      </c>
      <c r="N748" s="10">
        <v>0.4239</v>
      </c>
      <c r="O748" s="11">
        <v>326.62</v>
      </c>
      <c r="P748" s="10">
        <v>0.7295</v>
      </c>
      <c r="Q748" s="10">
        <v>0.2148</v>
      </c>
      <c r="R748" s="10">
        <v>0.5462</v>
      </c>
      <c r="S748" s="10">
        <v>0.1969</v>
      </c>
      <c r="T748" s="8">
        <f>IF(and(ISNUMBER(D748), isnumber(E748)), 1, 0) + IF(and(ISNUMBER(F748), isnumber(G748)), 1, 0) + IF(and(ISNUMBER(H748), isnumber(I748)), 1, 0) + IF(and(ISNUMBER(J748), isnumber(K748)), 1, 0) + IF(and(ISNUMBER(L748), isnumber(M748)), 1, 0) + IF(and(ISNUMBER(N748), isnumber(O748)), 1, 0)</f>
      </c>
      <c r="U748" s="8">
        <f>IF(and(ISNUMBER(P748), isnumber(Q748)), 1, 0) + IF(and(ISNUMBER(R748), isnumber(S748)), 1, 0)</f>
      </c>
      <c r="V748" s="13"/>
      <c r="W748" s="13"/>
      <c r="X748" s="16"/>
    </row>
    <row x14ac:dyDescent="0.25" r="749" customHeight="1" ht="15.75">
      <c r="A749" s="8">
        <v>25953</v>
      </c>
      <c r="B749" s="13" t="s">
        <v>129</v>
      </c>
      <c r="C749" s="13" t="s">
        <v>6192</v>
      </c>
      <c r="D749" s="10">
        <v>0.7277</v>
      </c>
      <c r="E749" s="11">
        <v>217.14</v>
      </c>
      <c r="F749" s="10">
        <v>0.7079</v>
      </c>
      <c r="G749" s="11">
        <v>396.06</v>
      </c>
      <c r="H749" s="10">
        <v>0.7155</v>
      </c>
      <c r="I749" s="11">
        <v>421.09</v>
      </c>
      <c r="J749" s="10">
        <v>0.6121</v>
      </c>
      <c r="K749" s="11">
        <v>343.94</v>
      </c>
      <c r="L749" s="10">
        <v>0.7457</v>
      </c>
      <c r="M749" s="11">
        <v>442.79</v>
      </c>
      <c r="N749" s="10">
        <v>0.6336</v>
      </c>
      <c r="O749" s="11">
        <v>430.96</v>
      </c>
      <c r="P749" s="10">
        <v>0.7277</v>
      </c>
      <c r="Q749" s="10">
        <v>0.255</v>
      </c>
      <c r="R749" s="10">
        <v>0.6121</v>
      </c>
      <c r="S749" s="10">
        <v>0.2152</v>
      </c>
      <c r="T749" s="8">
        <f>IF(and(ISNUMBER(D749), isnumber(E749)), 1, 0) + IF(and(ISNUMBER(F749), isnumber(G749)), 1, 0) + IF(and(ISNUMBER(H749), isnumber(I749)), 1, 0) + IF(and(ISNUMBER(J749), isnumber(K749)), 1, 0) + IF(and(ISNUMBER(L749), isnumber(M749)), 1, 0) + IF(and(ISNUMBER(N749), isnumber(O749)), 1, 0)</f>
      </c>
      <c r="U749" s="8">
        <f>IF(and(ISNUMBER(P749), isnumber(Q749)), 1, 0) + IF(and(ISNUMBER(R749), isnumber(S749)), 1, 0)</f>
      </c>
      <c r="V749" s="13"/>
      <c r="W749" s="13"/>
      <c r="X749" s="16"/>
    </row>
    <row x14ac:dyDescent="0.25" r="750" customHeight="1" ht="15.75">
      <c r="A750" s="8">
        <v>25922</v>
      </c>
      <c r="B750" s="13" t="s">
        <v>129</v>
      </c>
      <c r="C750" s="13" t="s">
        <v>6195</v>
      </c>
      <c r="D750" s="10">
        <v>0.6364</v>
      </c>
      <c r="E750" s="11">
        <v>96.43</v>
      </c>
      <c r="F750" s="10">
        <v>0.5795</v>
      </c>
      <c r="G750" s="11">
        <v>336.8</v>
      </c>
      <c r="H750" s="10">
        <v>0.6364</v>
      </c>
      <c r="I750" s="11">
        <v>374.29</v>
      </c>
      <c r="J750" s="10">
        <v>0.6818</v>
      </c>
      <c r="K750" s="11">
        <v>348.36</v>
      </c>
      <c r="L750" s="10">
        <v>0.7386</v>
      </c>
      <c r="M750" s="11">
        <v>359.37</v>
      </c>
      <c r="N750" s="10">
        <v>0.625</v>
      </c>
      <c r="O750" s="11">
        <v>418.91</v>
      </c>
      <c r="P750" s="10">
        <v>0.6364</v>
      </c>
      <c r="Q750" s="10">
        <v>0.2322</v>
      </c>
      <c r="R750" s="10">
        <v>0.6818</v>
      </c>
      <c r="S750" s="10">
        <v>0.2111</v>
      </c>
      <c r="T750" s="8">
        <f>IF(and(ISNUMBER(D750), isnumber(E750)), 1, 0) + IF(and(ISNUMBER(F750), isnumber(G750)), 1, 0) + IF(and(ISNUMBER(H750), isnumber(I750)), 1, 0) + IF(and(ISNUMBER(J750), isnumber(K750)), 1, 0) + IF(and(ISNUMBER(L750), isnumber(M750)), 1, 0) + IF(and(ISNUMBER(N750), isnumber(O750)), 1, 0)</f>
      </c>
      <c r="U750" s="8">
        <f>IF(and(ISNUMBER(P750), isnumber(Q750)), 1, 0) + IF(and(ISNUMBER(R750), isnumber(S750)), 1, 0)</f>
      </c>
      <c r="V750" s="13"/>
      <c r="W750" s="13"/>
      <c r="X750" s="16"/>
    </row>
    <row x14ac:dyDescent="0.25" r="751" customHeight="1" ht="15.75">
      <c r="A751" s="8">
        <v>25923</v>
      </c>
      <c r="B751" s="13" t="s">
        <v>129</v>
      </c>
      <c r="C751" s="13" t="s">
        <v>6196</v>
      </c>
      <c r="D751" s="10">
        <v>0.6712</v>
      </c>
      <c r="E751" s="11">
        <v>219.46</v>
      </c>
      <c r="F751" s="10">
        <v>0.5495</v>
      </c>
      <c r="G751" s="11">
        <v>303.47</v>
      </c>
      <c r="H751" s="10">
        <v>0.6055</v>
      </c>
      <c r="I751" s="11">
        <v>313.51</v>
      </c>
      <c r="J751" s="10">
        <v>0.5664</v>
      </c>
      <c r="K751" s="11">
        <v>275</v>
      </c>
      <c r="L751" s="10">
        <v>0.5039</v>
      </c>
      <c r="M751" s="11">
        <v>292.09</v>
      </c>
      <c r="N751" s="10">
        <v>0.625</v>
      </c>
      <c r="O751" s="11">
        <v>316.94</v>
      </c>
      <c r="P751" s="10">
        <v>0.6712</v>
      </c>
      <c r="Q751" s="10">
        <v>0.224</v>
      </c>
      <c r="R751" s="10">
        <v>0.5664</v>
      </c>
      <c r="S751" s="10">
        <v>0.2019</v>
      </c>
      <c r="T751" s="8">
        <f>IF(and(ISNUMBER(D751), isnumber(E751)), 1, 0) + IF(and(ISNUMBER(F751), isnumber(G751)), 1, 0) + IF(and(ISNUMBER(H751), isnumber(I751)), 1, 0) + IF(and(ISNUMBER(J751), isnumber(K751)), 1, 0) + IF(and(ISNUMBER(L751), isnumber(M751)), 1, 0) + IF(and(ISNUMBER(N751), isnumber(O751)), 1, 0)</f>
      </c>
      <c r="U751" s="8">
        <f>IF(and(ISNUMBER(P751), isnumber(Q751)), 1, 0) + IF(and(ISNUMBER(R751), isnumber(S751)), 1, 0)</f>
      </c>
      <c r="V751" s="13"/>
      <c r="W751" s="13"/>
      <c r="X751" s="16"/>
    </row>
    <row x14ac:dyDescent="0.25" r="752" customHeight="1" ht="15.75">
      <c r="A752" s="8">
        <v>25924</v>
      </c>
      <c r="B752" s="13" t="s">
        <v>129</v>
      </c>
      <c r="C752" s="13" t="s">
        <v>6197</v>
      </c>
      <c r="D752" s="10">
        <v>0.7143</v>
      </c>
      <c r="E752" s="11">
        <v>205.49</v>
      </c>
      <c r="F752" s="10">
        <v>0.5325</v>
      </c>
      <c r="G752" s="11">
        <v>320</v>
      </c>
      <c r="H752" s="10">
        <v>0.7273</v>
      </c>
      <c r="I752" s="11">
        <v>431.27</v>
      </c>
      <c r="J752" s="10">
        <v>0.6883</v>
      </c>
      <c r="K752" s="11">
        <v>315</v>
      </c>
      <c r="L752" s="10">
        <v>0.6623</v>
      </c>
      <c r="M752" s="11">
        <v>353.47</v>
      </c>
      <c r="N752" s="10">
        <v>0.7273</v>
      </c>
      <c r="O752" s="11">
        <v>401.48</v>
      </c>
      <c r="P752" s="10">
        <v>0.7143</v>
      </c>
      <c r="Q752" s="10">
        <v>0.2143</v>
      </c>
      <c r="R752" s="10">
        <v>0.6883</v>
      </c>
      <c r="S752" s="10">
        <v>0.197</v>
      </c>
      <c r="T752" s="8">
        <f>IF(and(ISNUMBER(D752), isnumber(E752)), 1, 0) + IF(and(ISNUMBER(F752), isnumber(G752)), 1, 0) + IF(and(ISNUMBER(H752), isnumber(I752)), 1, 0) + IF(and(ISNUMBER(J752), isnumber(K752)), 1, 0) + IF(and(ISNUMBER(L752), isnumber(M752)), 1, 0) + IF(and(ISNUMBER(N752), isnumber(O752)), 1, 0)</f>
      </c>
      <c r="U752" s="8">
        <f>IF(and(ISNUMBER(P752), isnumber(Q752)), 1, 0) + IF(and(ISNUMBER(R752), isnumber(S752)), 1, 0)</f>
      </c>
      <c r="V752" s="13"/>
      <c r="W752" s="13"/>
      <c r="X752" s="16"/>
    </row>
    <row x14ac:dyDescent="0.25" r="753" customHeight="1" ht="15.75">
      <c r="A753" s="8">
        <v>25943</v>
      </c>
      <c r="B753" s="13" t="s">
        <v>129</v>
      </c>
      <c r="C753" s="13" t="s">
        <v>6199</v>
      </c>
      <c r="D753" s="10">
        <v>0.5906</v>
      </c>
      <c r="E753" s="11">
        <v>238.93</v>
      </c>
      <c r="F753" s="10">
        <v>0.6693</v>
      </c>
      <c r="G753" s="11">
        <v>324.71</v>
      </c>
      <c r="H753" s="10">
        <v>0.5039</v>
      </c>
      <c r="I753" s="11">
        <v>428.75</v>
      </c>
      <c r="J753" s="10">
        <v>0.5354</v>
      </c>
      <c r="K753" s="11">
        <v>203.64</v>
      </c>
      <c r="L753" s="10">
        <v>0.6614</v>
      </c>
      <c r="M753" s="11">
        <v>341.43</v>
      </c>
      <c r="N753" s="10">
        <v>0.5827</v>
      </c>
      <c r="O753" s="11">
        <v>357.84</v>
      </c>
      <c r="P753" s="10">
        <v>0.5906</v>
      </c>
      <c r="Q753" s="10">
        <v>0.234</v>
      </c>
      <c r="R753" s="10">
        <v>0.5354</v>
      </c>
      <c r="S753" s="10">
        <v>0.1895</v>
      </c>
      <c r="T753" s="8">
        <f>IF(and(ISNUMBER(D753), isnumber(E753)), 1, 0) + IF(and(ISNUMBER(F753), isnumber(G753)), 1, 0) + IF(and(ISNUMBER(H753), isnumber(I753)), 1, 0) + IF(and(ISNUMBER(J753), isnumber(K753)), 1, 0) + IF(and(ISNUMBER(L753), isnumber(M753)), 1, 0) + IF(and(ISNUMBER(N753), isnumber(O753)), 1, 0)</f>
      </c>
      <c r="U753" s="8">
        <f>IF(and(ISNUMBER(P753), isnumber(Q753)), 1, 0) + IF(and(ISNUMBER(R753), isnumber(S753)), 1, 0)</f>
      </c>
      <c r="V753" s="13"/>
      <c r="W753" s="13"/>
      <c r="X753" s="16"/>
    </row>
    <row x14ac:dyDescent="0.25" r="754" customHeight="1" ht="15.75">
      <c r="A754" s="8">
        <v>25925</v>
      </c>
      <c r="B754" s="13" t="s">
        <v>129</v>
      </c>
      <c r="C754" s="13" t="s">
        <v>6201</v>
      </c>
      <c r="D754" s="10">
        <v>0.4793</v>
      </c>
      <c r="E754" s="11">
        <v>194.15</v>
      </c>
      <c r="F754" s="10">
        <v>0.4132</v>
      </c>
      <c r="G754" s="11">
        <v>309.21</v>
      </c>
      <c r="H754" s="10">
        <v>0.3262</v>
      </c>
      <c r="I754" s="11">
        <v>414.78</v>
      </c>
      <c r="J754" s="10">
        <v>0.5543</v>
      </c>
      <c r="K754" s="11">
        <v>171.43</v>
      </c>
      <c r="L754" s="10">
        <v>0.7589</v>
      </c>
      <c r="M754" s="11">
        <v>217.2</v>
      </c>
      <c r="N754" s="10">
        <v>0.5532</v>
      </c>
      <c r="O754" s="11">
        <v>305.53</v>
      </c>
      <c r="P754" s="10">
        <v>0.4793</v>
      </c>
      <c r="Q754" s="10">
        <v>0.188</v>
      </c>
      <c r="R754" s="10">
        <v>0.5543</v>
      </c>
      <c r="S754" s="10">
        <v>0.1961</v>
      </c>
      <c r="T754" s="8">
        <f>IF(and(ISNUMBER(D754), isnumber(E754)), 1, 0) + IF(and(ISNUMBER(F754), isnumber(G754)), 1, 0) + IF(and(ISNUMBER(H754), isnumber(I754)), 1, 0) + IF(and(ISNUMBER(J754), isnumber(K754)), 1, 0) + IF(and(ISNUMBER(L754), isnumber(M754)), 1, 0) + IF(and(ISNUMBER(N754), isnumber(O754)), 1, 0)</f>
      </c>
      <c r="U754" s="8">
        <f>IF(and(ISNUMBER(P754), isnumber(Q754)), 1, 0) + IF(and(ISNUMBER(R754), isnumber(S754)), 1, 0)</f>
      </c>
      <c r="V754" s="13"/>
      <c r="W754" s="13"/>
      <c r="X754" s="16"/>
    </row>
    <row x14ac:dyDescent="0.25" r="755" customHeight="1" ht="15.75">
      <c r="A755" s="8">
        <v>25926</v>
      </c>
      <c r="B755" s="13" t="s">
        <v>129</v>
      </c>
      <c r="C755" s="13" t="s">
        <v>6204</v>
      </c>
      <c r="D755" s="10">
        <v>0.5102</v>
      </c>
      <c r="E755" s="11">
        <v>140.27</v>
      </c>
      <c r="F755" s="10">
        <v>0.2755</v>
      </c>
      <c r="G755" s="11">
        <v>335.39</v>
      </c>
      <c r="H755" s="10">
        <v>0.4157</v>
      </c>
      <c r="I755" s="11">
        <v>337.55</v>
      </c>
      <c r="J755" s="10">
        <v>0.5156</v>
      </c>
      <c r="K755" s="11">
        <v>296.27</v>
      </c>
      <c r="L755" s="10">
        <v>0.4906</v>
      </c>
      <c r="M755" s="11">
        <v>301.74</v>
      </c>
      <c r="N755" s="10">
        <v>0.2846</v>
      </c>
      <c r="O755" s="11">
        <v>373.15</v>
      </c>
      <c r="P755" s="10">
        <v>0.5102</v>
      </c>
      <c r="Q755" s="10">
        <v>0.2196</v>
      </c>
      <c r="R755" s="10">
        <v>0.5156</v>
      </c>
      <c r="S755" s="10">
        <v>0.2109</v>
      </c>
      <c r="T755" s="8">
        <f>IF(and(ISNUMBER(D755), isnumber(E755)), 1, 0) + IF(and(ISNUMBER(F755), isnumber(G755)), 1, 0) + IF(and(ISNUMBER(H755), isnumber(I755)), 1, 0) + IF(and(ISNUMBER(J755), isnumber(K755)), 1, 0) + IF(and(ISNUMBER(L755), isnumber(M755)), 1, 0) + IF(and(ISNUMBER(N755), isnumber(O755)), 1, 0)</f>
      </c>
      <c r="U755" s="8">
        <f>IF(and(ISNUMBER(P755), isnumber(Q755)), 1, 0) + IF(and(ISNUMBER(R755), isnumber(S755)), 1, 0)</f>
      </c>
      <c r="V755" s="13"/>
      <c r="W755" s="13"/>
      <c r="X755" s="16"/>
    </row>
    <row x14ac:dyDescent="0.25" r="756" customHeight="1" ht="15.75">
      <c r="A756" s="8">
        <v>25927</v>
      </c>
      <c r="B756" s="13" t="s">
        <v>129</v>
      </c>
      <c r="C756" s="13" t="s">
        <v>6206</v>
      </c>
      <c r="D756" s="10">
        <v>0.7542</v>
      </c>
      <c r="E756" s="11">
        <v>175.45</v>
      </c>
      <c r="F756" s="10">
        <v>0.7373</v>
      </c>
      <c r="G756" s="11">
        <v>360.94</v>
      </c>
      <c r="H756" s="10">
        <v>0.7712</v>
      </c>
      <c r="I756" s="11">
        <v>363.08</v>
      </c>
      <c r="J756" s="10">
        <v>0.6525</v>
      </c>
      <c r="K756" s="11">
        <v>260.54</v>
      </c>
      <c r="L756" s="10">
        <v>0.5169</v>
      </c>
      <c r="M756" s="11">
        <v>437.38</v>
      </c>
      <c r="N756" s="10">
        <v>0.5932</v>
      </c>
      <c r="O756" s="11">
        <v>389.57</v>
      </c>
      <c r="P756" s="10">
        <v>0.7542</v>
      </c>
      <c r="Q756" s="10">
        <v>0.2324</v>
      </c>
      <c r="R756" s="10">
        <v>0.6525</v>
      </c>
      <c r="S756" s="10">
        <v>0.2129</v>
      </c>
      <c r="T756" s="8">
        <f>IF(and(ISNUMBER(D756), isnumber(E756)), 1, 0) + IF(and(ISNUMBER(F756), isnumber(G756)), 1, 0) + IF(and(ISNUMBER(H756), isnumber(I756)), 1, 0) + IF(and(ISNUMBER(J756), isnumber(K756)), 1, 0) + IF(and(ISNUMBER(L756), isnumber(M756)), 1, 0) + IF(and(ISNUMBER(N756), isnumber(O756)), 1, 0)</f>
      </c>
      <c r="U756" s="8">
        <f>IF(and(ISNUMBER(P756), isnumber(Q756)), 1, 0) + IF(and(ISNUMBER(R756), isnumber(S756)), 1, 0)</f>
      </c>
      <c r="V756" s="13"/>
      <c r="W756" s="13"/>
      <c r="X756" s="16"/>
    </row>
    <row x14ac:dyDescent="0.25" r="757" customHeight="1" ht="15.75">
      <c r="A757" s="8">
        <v>25928</v>
      </c>
      <c r="B757" s="13" t="s">
        <v>129</v>
      </c>
      <c r="C757" s="13" t="s">
        <v>6209</v>
      </c>
      <c r="D757" s="10">
        <v>0.6863</v>
      </c>
      <c r="E757" s="11">
        <v>240</v>
      </c>
      <c r="F757" s="10">
        <v>0.5294</v>
      </c>
      <c r="G757" s="11">
        <v>354.07</v>
      </c>
      <c r="H757" s="10">
        <v>0.3333</v>
      </c>
      <c r="I757" s="11">
        <v>391.5</v>
      </c>
      <c r="J757" s="10">
        <v>0.6129</v>
      </c>
      <c r="K757" s="11">
        <v>235.29</v>
      </c>
      <c r="L757" s="10">
        <v>0.9103</v>
      </c>
      <c r="M757" s="11">
        <v>145.13</v>
      </c>
      <c r="N757" s="10">
        <v>0.9744</v>
      </c>
      <c r="O757" s="11">
        <v>64.74</v>
      </c>
      <c r="P757" s="10">
        <v>0.6863</v>
      </c>
      <c r="Q757" s="10">
        <v>0.2269</v>
      </c>
      <c r="R757" s="10">
        <v>0.6129</v>
      </c>
      <c r="S757" s="10">
        <v>0.1867</v>
      </c>
      <c r="T757" s="8">
        <f>IF(and(ISNUMBER(D757), isnumber(E757)), 1, 0) + IF(and(ISNUMBER(F757), isnumber(G757)), 1, 0) + IF(and(ISNUMBER(H757), isnumber(I757)), 1, 0) + IF(and(ISNUMBER(J757), isnumber(K757)), 1, 0) + IF(and(ISNUMBER(L757), isnumber(M757)), 1, 0) + IF(and(ISNUMBER(N757), isnumber(O757)), 1, 0)</f>
      </c>
      <c r="U757" s="8">
        <f>IF(and(ISNUMBER(P757), isnumber(Q757)), 1, 0) + IF(and(ISNUMBER(R757), isnumber(S757)), 1, 0)</f>
      </c>
      <c r="V757" s="13"/>
      <c r="W757" s="13"/>
      <c r="X757" s="16"/>
    </row>
    <row x14ac:dyDescent="0.25" r="758" customHeight="1" ht="15.75">
      <c r="A758" s="8">
        <v>25929</v>
      </c>
      <c r="B758" s="13" t="s">
        <v>129</v>
      </c>
      <c r="C758" s="13" t="s">
        <v>6212</v>
      </c>
      <c r="D758" s="10">
        <v>0.8378</v>
      </c>
      <c r="E758" s="11">
        <v>393.11</v>
      </c>
      <c r="F758" s="10">
        <v>0.6973</v>
      </c>
      <c r="G758" s="11">
        <v>462.95</v>
      </c>
      <c r="H758" s="10">
        <v>0.8378</v>
      </c>
      <c r="I758" s="11">
        <v>516.39</v>
      </c>
      <c r="J758" s="10">
        <v>0.6432</v>
      </c>
      <c r="K758" s="11">
        <v>479.33</v>
      </c>
      <c r="L758" s="10">
        <v>0.6595</v>
      </c>
      <c r="M758" s="11">
        <v>513.44</v>
      </c>
      <c r="N758" s="10">
        <v>0.6216</v>
      </c>
      <c r="O758" s="11">
        <v>434.69</v>
      </c>
      <c r="P758" s="10">
        <v>0.8378</v>
      </c>
      <c r="Q758" s="10">
        <v>0.2688</v>
      </c>
      <c r="R758" s="10">
        <v>0.6432</v>
      </c>
      <c r="S758" s="10">
        <v>0.2254</v>
      </c>
      <c r="T758" s="8">
        <f>IF(and(ISNUMBER(D758), isnumber(E758)), 1, 0) + IF(and(ISNUMBER(F758), isnumber(G758)), 1, 0) + IF(and(ISNUMBER(H758), isnumber(I758)), 1, 0) + IF(and(ISNUMBER(J758), isnumber(K758)), 1, 0) + IF(and(ISNUMBER(L758), isnumber(M758)), 1, 0) + IF(and(ISNUMBER(N758), isnumber(O758)), 1, 0)</f>
      </c>
      <c r="U758" s="8">
        <f>IF(and(ISNUMBER(P758), isnumber(Q758)), 1, 0) + IF(and(ISNUMBER(R758), isnumber(S758)), 1, 0)</f>
      </c>
      <c r="V758" s="13"/>
      <c r="W758" s="13"/>
      <c r="X758" s="16"/>
    </row>
    <row x14ac:dyDescent="0.25" r="759" customHeight="1" ht="15.75">
      <c r="A759" s="8">
        <v>25930</v>
      </c>
      <c r="B759" s="13" t="s">
        <v>129</v>
      </c>
      <c r="C759" s="13" t="s">
        <v>6215</v>
      </c>
      <c r="D759" s="10">
        <v>0.7671</v>
      </c>
      <c r="E759" s="11">
        <v>223.09</v>
      </c>
      <c r="F759" s="10">
        <v>0.4384</v>
      </c>
      <c r="G759" s="11">
        <v>406.98</v>
      </c>
      <c r="H759" s="10">
        <v>0.5411</v>
      </c>
      <c r="I759" s="11">
        <v>426.49</v>
      </c>
      <c r="J759" s="10">
        <v>0.5822</v>
      </c>
      <c r="K759" s="11">
        <v>294.15</v>
      </c>
      <c r="L759" s="10">
        <v>0.5753</v>
      </c>
      <c r="M759" s="11">
        <v>444.76</v>
      </c>
      <c r="N759" s="10">
        <v>0.4932</v>
      </c>
      <c r="O759" s="11">
        <v>460</v>
      </c>
      <c r="P759" s="10">
        <v>0.7671</v>
      </c>
      <c r="Q759" s="10">
        <v>0.2125</v>
      </c>
      <c r="R759" s="10">
        <v>0.5822</v>
      </c>
      <c r="S759" s="10">
        <v>0.2031</v>
      </c>
      <c r="T759" s="8">
        <f>IF(and(ISNUMBER(D759), isnumber(E759)), 1, 0) + IF(and(ISNUMBER(F759), isnumber(G759)), 1, 0) + IF(and(ISNUMBER(H759), isnumber(I759)), 1, 0) + IF(and(ISNUMBER(J759), isnumber(K759)), 1, 0) + IF(and(ISNUMBER(L759), isnumber(M759)), 1, 0) + IF(and(ISNUMBER(N759), isnumber(O759)), 1, 0)</f>
      </c>
      <c r="U759" s="8">
        <f>IF(and(ISNUMBER(P759), isnumber(Q759)), 1, 0) + IF(and(ISNUMBER(R759), isnumber(S759)), 1, 0)</f>
      </c>
      <c r="V759" s="13"/>
      <c r="W759" s="13"/>
      <c r="X759" s="16"/>
    </row>
    <row x14ac:dyDescent="0.25" r="760" customHeight="1" ht="15.75">
      <c r="A760" s="8">
        <v>25954</v>
      </c>
      <c r="B760" s="13" t="s">
        <v>129</v>
      </c>
      <c r="C760" s="13" t="s">
        <v>6218</v>
      </c>
      <c r="D760" s="10">
        <v>0.6721</v>
      </c>
      <c r="E760" s="11">
        <v>247.8</v>
      </c>
      <c r="F760" s="10">
        <v>0.6721</v>
      </c>
      <c r="G760" s="11">
        <v>231</v>
      </c>
      <c r="H760" s="10">
        <v>0.9836</v>
      </c>
      <c r="I760" s="11">
        <v>302</v>
      </c>
      <c r="J760" s="10">
        <v>0.8361</v>
      </c>
      <c r="K760" s="11">
        <v>200.8</v>
      </c>
      <c r="L760" s="10">
        <v>0.7377</v>
      </c>
      <c r="M760" s="11">
        <v>356.44</v>
      </c>
      <c r="N760" s="10">
        <v>0.7377</v>
      </c>
      <c r="O760" s="11">
        <v>327.11</v>
      </c>
      <c r="P760" s="10">
        <v>0.6721</v>
      </c>
      <c r="Q760" s="10">
        <v>0.2442</v>
      </c>
      <c r="R760" s="10">
        <v>0.8361</v>
      </c>
      <c r="S760" s="10">
        <v>0.2025</v>
      </c>
      <c r="T760" s="8">
        <f>IF(and(ISNUMBER(D760), isnumber(E760)), 1, 0) + IF(and(ISNUMBER(F760), isnumber(G760)), 1, 0) + IF(and(ISNUMBER(H760), isnumber(I760)), 1, 0) + IF(and(ISNUMBER(J760), isnumber(K760)), 1, 0) + IF(and(ISNUMBER(L760), isnumber(M760)), 1, 0) + IF(and(ISNUMBER(N760), isnumber(O760)), 1, 0)</f>
      </c>
      <c r="U760" s="8">
        <f>IF(and(ISNUMBER(P760), isnumber(Q760)), 1, 0) + IF(and(ISNUMBER(R760), isnumber(S760)), 1, 0)</f>
      </c>
      <c r="V760" s="13"/>
      <c r="W760" s="13"/>
      <c r="X760" s="16"/>
    </row>
    <row x14ac:dyDescent="0.25" r="761" customHeight="1" ht="15.75">
      <c r="A761" s="8">
        <v>25988</v>
      </c>
      <c r="B761" s="13" t="s">
        <v>129</v>
      </c>
      <c r="C761" s="13" t="s">
        <v>6220</v>
      </c>
      <c r="D761" s="10">
        <v>0.8675</v>
      </c>
      <c r="E761" s="11">
        <v>314.63</v>
      </c>
      <c r="F761" s="10">
        <v>0.996</v>
      </c>
      <c r="G761" s="11">
        <v>359.67</v>
      </c>
      <c r="H761" s="10">
        <v>0.8153</v>
      </c>
      <c r="I761" s="11">
        <v>472.28</v>
      </c>
      <c r="J761" s="10">
        <v>0.8554</v>
      </c>
      <c r="K761" s="11">
        <v>394.29</v>
      </c>
      <c r="L761" s="10">
        <v>0.8514</v>
      </c>
      <c r="M761" s="11">
        <v>480.95</v>
      </c>
      <c r="N761" s="10">
        <v>0.751</v>
      </c>
      <c r="O761" s="11">
        <v>489.63</v>
      </c>
      <c r="P761" s="10">
        <v>0.8675</v>
      </c>
      <c r="Q761" s="10">
        <v>0.2627</v>
      </c>
      <c r="R761" s="10">
        <v>0.8554</v>
      </c>
      <c r="S761" s="10">
        <v>0.2168</v>
      </c>
      <c r="T761" s="8">
        <f>IF(and(ISNUMBER(D761), isnumber(E761)), 1, 0) + IF(and(ISNUMBER(F761), isnumber(G761)), 1, 0) + IF(and(ISNUMBER(H761), isnumber(I761)), 1, 0) + IF(and(ISNUMBER(J761), isnumber(K761)), 1, 0) + IF(and(ISNUMBER(L761), isnumber(M761)), 1, 0) + IF(and(ISNUMBER(N761), isnumber(O761)), 1, 0)</f>
      </c>
      <c r="U761" s="8">
        <f>IF(and(ISNUMBER(P761), isnumber(Q761)), 1, 0) + IF(and(ISNUMBER(R761), isnumber(S761)), 1, 0)</f>
      </c>
      <c r="V761" s="13"/>
      <c r="W761" s="13"/>
      <c r="X761" s="16"/>
    </row>
    <row x14ac:dyDescent="0.25" r="762" customHeight="1" ht="15.75">
      <c r="A762" s="8">
        <v>25989</v>
      </c>
      <c r="B762" s="13" t="s">
        <v>129</v>
      </c>
      <c r="C762" s="13" t="s">
        <v>6221</v>
      </c>
      <c r="D762" s="10">
        <v>0.7536</v>
      </c>
      <c r="E762" s="11">
        <v>294.92</v>
      </c>
      <c r="F762" s="10">
        <v>0.4058</v>
      </c>
      <c r="G762" s="11">
        <v>517.03</v>
      </c>
      <c r="H762" s="10">
        <v>0.336</v>
      </c>
      <c r="I762" s="11">
        <v>457.46</v>
      </c>
      <c r="J762" s="10">
        <v>0.3984</v>
      </c>
      <c r="K762" s="11">
        <v>368.78</v>
      </c>
      <c r="L762" s="10">
        <v>0.288</v>
      </c>
      <c r="M762" s="11">
        <v>470.1</v>
      </c>
      <c r="N762" s="10">
        <v>0.408</v>
      </c>
      <c r="O762" s="11">
        <v>418.82</v>
      </c>
      <c r="P762" s="10">
        <v>0.7536</v>
      </c>
      <c r="Q762" s="10">
        <v>0.2244</v>
      </c>
      <c r="R762" s="10">
        <v>0.3984</v>
      </c>
      <c r="S762" s="10">
        <v>0.2109</v>
      </c>
      <c r="T762" s="8">
        <f>IF(and(ISNUMBER(D762), isnumber(E762)), 1, 0) + IF(and(ISNUMBER(F762), isnumber(G762)), 1, 0) + IF(and(ISNUMBER(H762), isnumber(I762)), 1, 0) + IF(and(ISNUMBER(J762), isnumber(K762)), 1, 0) + IF(and(ISNUMBER(L762), isnumber(M762)), 1, 0) + IF(and(ISNUMBER(N762), isnumber(O762)), 1, 0)</f>
      </c>
      <c r="U762" s="8">
        <f>IF(and(ISNUMBER(P762), isnumber(Q762)), 1, 0) + IF(and(ISNUMBER(R762), isnumber(S762)), 1, 0)</f>
      </c>
      <c r="V762" s="13"/>
      <c r="W762" s="13"/>
      <c r="X762" s="16"/>
    </row>
    <row x14ac:dyDescent="0.25" r="763" customHeight="1" ht="15.75">
      <c r="A763" s="8">
        <v>25990</v>
      </c>
      <c r="B763" s="13" t="s">
        <v>129</v>
      </c>
      <c r="C763" s="13" t="s">
        <v>6224</v>
      </c>
      <c r="D763" s="10">
        <v>0.7561</v>
      </c>
      <c r="E763" s="11">
        <v>203.23</v>
      </c>
      <c r="F763" s="10">
        <v>0.6341</v>
      </c>
      <c r="G763" s="11">
        <v>332.5</v>
      </c>
      <c r="H763" s="10">
        <v>0.7653</v>
      </c>
      <c r="I763" s="11">
        <v>284.38</v>
      </c>
      <c r="J763" s="10">
        <v>0.5714</v>
      </c>
      <c r="K763" s="11">
        <v>306.92</v>
      </c>
      <c r="L763" s="10">
        <v>0.5408</v>
      </c>
      <c r="M763" s="11">
        <v>290.2</v>
      </c>
      <c r="N763" s="10">
        <v>0.3571</v>
      </c>
      <c r="O763" s="11">
        <v>329.41</v>
      </c>
      <c r="P763" s="10">
        <v>0.7561</v>
      </c>
      <c r="Q763" s="10">
        <v>0.2289</v>
      </c>
      <c r="R763" s="10">
        <v>0.5714</v>
      </c>
      <c r="S763" s="10">
        <v>0.2013</v>
      </c>
      <c r="T763" s="8">
        <f>IF(and(ISNUMBER(D763), isnumber(E763)), 1, 0) + IF(and(ISNUMBER(F763), isnumber(G763)), 1, 0) + IF(and(ISNUMBER(H763), isnumber(I763)), 1, 0) + IF(and(ISNUMBER(J763), isnumber(K763)), 1, 0) + IF(and(ISNUMBER(L763), isnumber(M763)), 1, 0) + IF(and(ISNUMBER(N763), isnumber(O763)), 1, 0)</f>
      </c>
      <c r="U763" s="8">
        <f>IF(and(ISNUMBER(P763), isnumber(Q763)), 1, 0) + IF(and(ISNUMBER(R763), isnumber(S763)), 1, 0)</f>
      </c>
      <c r="V763" s="13"/>
      <c r="W763" s="13"/>
      <c r="X763" s="16"/>
    </row>
    <row x14ac:dyDescent="0.25" r="764" customHeight="1" ht="15.75">
      <c r="A764" s="8">
        <v>25991</v>
      </c>
      <c r="B764" s="13" t="s">
        <v>129</v>
      </c>
      <c r="C764" s="13" t="s">
        <v>6226</v>
      </c>
      <c r="D764" s="10">
        <v>0.8812</v>
      </c>
      <c r="E764" s="11">
        <v>181</v>
      </c>
      <c r="F764" s="10">
        <v>0.7624</v>
      </c>
      <c r="G764" s="11">
        <v>331.95</v>
      </c>
      <c r="H764" s="10">
        <v>0.7129</v>
      </c>
      <c r="I764" s="11">
        <v>386.48</v>
      </c>
      <c r="J764" s="10">
        <v>0.5743</v>
      </c>
      <c r="K764" s="11">
        <v>231.03</v>
      </c>
      <c r="L764" s="10">
        <v>0.7228</v>
      </c>
      <c r="M764" s="11">
        <v>362.19</v>
      </c>
      <c r="N764" s="10">
        <v>0.4455</v>
      </c>
      <c r="O764" s="11">
        <v>257.78</v>
      </c>
      <c r="P764" s="10">
        <v>0.8812</v>
      </c>
      <c r="Q764" s="10">
        <v>0.1885</v>
      </c>
      <c r="R764" s="10">
        <v>0.5743</v>
      </c>
      <c r="S764" s="10">
        <v>0.2084</v>
      </c>
      <c r="T764" s="8">
        <f>IF(and(ISNUMBER(D764), isnumber(E764)), 1, 0) + IF(and(ISNUMBER(F764), isnumber(G764)), 1, 0) + IF(and(ISNUMBER(H764), isnumber(I764)), 1, 0) + IF(and(ISNUMBER(J764), isnumber(K764)), 1, 0) + IF(and(ISNUMBER(L764), isnumber(M764)), 1, 0) + IF(and(ISNUMBER(N764), isnumber(O764)), 1, 0)</f>
      </c>
      <c r="U764" s="8">
        <f>IF(and(ISNUMBER(P764), isnumber(Q764)), 1, 0) + IF(and(ISNUMBER(R764), isnumber(S764)), 1, 0)</f>
      </c>
      <c r="V764" s="13"/>
      <c r="W764" s="13"/>
      <c r="X764" s="16"/>
    </row>
    <row x14ac:dyDescent="0.25" r="765" customHeight="1" ht="15.75">
      <c r="A765" s="8">
        <v>25955</v>
      </c>
      <c r="B765" s="13" t="s">
        <v>129</v>
      </c>
      <c r="C765" s="13" t="s">
        <v>6229</v>
      </c>
      <c r="D765" s="10">
        <v>0.7115</v>
      </c>
      <c r="E765" s="11">
        <v>347.92</v>
      </c>
      <c r="F765" s="10">
        <v>0.6891</v>
      </c>
      <c r="G765" s="11">
        <v>474.53</v>
      </c>
      <c r="H765" s="10">
        <v>0.5878</v>
      </c>
      <c r="I765" s="11">
        <v>492.61</v>
      </c>
      <c r="J765" s="10">
        <v>0.5207</v>
      </c>
      <c r="K765" s="11">
        <v>433</v>
      </c>
      <c r="L765" s="10">
        <v>0.5439</v>
      </c>
      <c r="M765" s="11">
        <v>485.03</v>
      </c>
      <c r="N765" s="10">
        <v>0.4634</v>
      </c>
      <c r="O765" s="11">
        <v>445.48</v>
      </c>
      <c r="P765" s="10">
        <v>0.7115</v>
      </c>
      <c r="Q765" s="10">
        <v>0.2644</v>
      </c>
      <c r="R765" s="10">
        <v>0.5207</v>
      </c>
      <c r="S765" s="10">
        <v>0.2134</v>
      </c>
      <c r="T765" s="8">
        <f>IF(and(ISNUMBER(D765), isnumber(E765)), 1, 0) + IF(and(ISNUMBER(F765), isnumber(G765)), 1, 0) + IF(and(ISNUMBER(H765), isnumber(I765)), 1, 0) + IF(and(ISNUMBER(J765), isnumber(K765)), 1, 0) + IF(and(ISNUMBER(L765), isnumber(M765)), 1, 0) + IF(and(ISNUMBER(N765), isnumber(O765)), 1, 0)</f>
      </c>
      <c r="U765" s="8">
        <f>IF(and(ISNUMBER(P765), isnumber(Q765)), 1, 0) + IF(and(ISNUMBER(R765), isnumber(S765)), 1, 0)</f>
      </c>
      <c r="V765" s="13"/>
      <c r="W765" s="13"/>
      <c r="X765" s="16"/>
    </row>
    <row x14ac:dyDescent="0.25" r="766" customHeight="1" ht="15.75">
      <c r="A766" s="8">
        <v>25021</v>
      </c>
      <c r="B766" s="13" t="s">
        <v>109</v>
      </c>
      <c r="C766" s="13" t="s">
        <v>6233</v>
      </c>
      <c r="D766" s="10">
        <v>1</v>
      </c>
      <c r="E766" s="11">
        <v>358.37</v>
      </c>
      <c r="F766" s="10">
        <v>0.8571</v>
      </c>
      <c r="G766" s="11">
        <v>463.41</v>
      </c>
      <c r="H766" s="10">
        <v>0.8571</v>
      </c>
      <c r="I766" s="11">
        <v>492.68</v>
      </c>
      <c r="J766" s="10">
        <v>0.898</v>
      </c>
      <c r="K766" s="11">
        <v>461.82</v>
      </c>
      <c r="L766" s="10">
        <v>0.8163</v>
      </c>
      <c r="M766" s="11">
        <v>512</v>
      </c>
      <c r="N766" s="10">
        <v>0.7551</v>
      </c>
      <c r="O766" s="11">
        <v>489.73</v>
      </c>
      <c r="P766" s="10">
        <v>1</v>
      </c>
      <c r="Q766" s="10">
        <v>0.2374</v>
      </c>
      <c r="R766" s="10">
        <v>0.898</v>
      </c>
      <c r="S766" s="10">
        <v>0.1947</v>
      </c>
      <c r="T766" s="8">
        <f>IF(and(ISNUMBER(D766), isnumber(E766)), 1, 0) + IF(and(ISNUMBER(F766), isnumber(G766)), 1, 0) + IF(and(ISNUMBER(H766), isnumber(I766)), 1, 0) + IF(and(ISNUMBER(J766), isnumber(K766)), 1, 0) + IF(and(ISNUMBER(L766), isnumber(M766)), 1, 0) + IF(and(ISNUMBER(N766), isnumber(O766)), 1, 0)</f>
      </c>
      <c r="U766" s="8">
        <f>IF(and(ISNUMBER(P766), isnumber(Q766)), 1, 0) + IF(and(ISNUMBER(R766), isnumber(S766)), 1, 0)</f>
      </c>
      <c r="V766" s="13"/>
      <c r="W766" s="13"/>
      <c r="X766" s="16"/>
    </row>
    <row x14ac:dyDescent="0.25" r="767" customHeight="1" ht="15.75">
      <c r="A767" s="8">
        <v>25003</v>
      </c>
      <c r="B767" s="13" t="s">
        <v>109</v>
      </c>
      <c r="C767" s="13" t="s">
        <v>6236</v>
      </c>
      <c r="D767" s="10">
        <v>0.9333</v>
      </c>
      <c r="E767" s="11">
        <v>90</v>
      </c>
      <c r="F767" s="10">
        <v>0.4667</v>
      </c>
      <c r="G767" s="11">
        <v>440</v>
      </c>
      <c r="H767" s="10">
        <v>0.8</v>
      </c>
      <c r="I767" s="11">
        <v>305.45</v>
      </c>
      <c r="J767" s="10">
        <v>0.7333</v>
      </c>
      <c r="K767" s="11">
        <v>288.89</v>
      </c>
      <c r="L767" s="10">
        <v>0.7333</v>
      </c>
      <c r="M767" s="11">
        <v>356.36</v>
      </c>
      <c r="N767" s="10">
        <v>0.8</v>
      </c>
      <c r="O767" s="11">
        <v>386.67</v>
      </c>
      <c r="P767" s="10">
        <v>0.9333</v>
      </c>
      <c r="Q767" s="10">
        <v>0.1936</v>
      </c>
      <c r="R767" s="10">
        <v>0.7333</v>
      </c>
      <c r="S767" s="10">
        <v>0.1949</v>
      </c>
      <c r="T767" s="8">
        <f>IF(and(ISNUMBER(D767), isnumber(E767)), 1, 0) + IF(and(ISNUMBER(F767), isnumber(G767)), 1, 0) + IF(and(ISNUMBER(H767), isnumber(I767)), 1, 0) + IF(and(ISNUMBER(J767), isnumber(K767)), 1, 0) + IF(and(ISNUMBER(L767), isnumber(M767)), 1, 0) + IF(and(ISNUMBER(N767), isnumber(O767)), 1, 0)</f>
      </c>
      <c r="U767" s="8">
        <f>IF(and(ISNUMBER(P767), isnumber(Q767)), 1, 0) + IF(and(ISNUMBER(R767), isnumber(S767)), 1, 0)</f>
      </c>
      <c r="V767" s="13"/>
      <c r="W767" s="13"/>
      <c r="X767" s="16"/>
    </row>
    <row x14ac:dyDescent="0.25" r="768" customHeight="1" ht="15.75">
      <c r="A768" s="8">
        <v>25050</v>
      </c>
      <c r="B768" s="13" t="s">
        <v>109</v>
      </c>
      <c r="C768" s="13" t="s">
        <v>6238</v>
      </c>
      <c r="D768" s="10">
        <v>0.9161</v>
      </c>
      <c r="E768" s="11">
        <v>309.58</v>
      </c>
      <c r="F768" s="10">
        <v>0.7613</v>
      </c>
      <c r="G768" s="11">
        <v>426.44</v>
      </c>
      <c r="H768" s="10">
        <v>0.8323</v>
      </c>
      <c r="I768" s="11">
        <v>463.17</v>
      </c>
      <c r="J768" s="10">
        <v>0.7742</v>
      </c>
      <c r="K768" s="11">
        <v>404.1</v>
      </c>
      <c r="L768" s="10">
        <v>0.6839</v>
      </c>
      <c r="M768" s="11">
        <v>473.96</v>
      </c>
      <c r="N768" s="10">
        <v>0.7419</v>
      </c>
      <c r="O768" s="11">
        <v>477.19</v>
      </c>
      <c r="P768" s="10">
        <v>0.9161</v>
      </c>
      <c r="Q768" s="10">
        <v>0.2563</v>
      </c>
      <c r="R768" s="10">
        <v>0.7742</v>
      </c>
      <c r="S768" s="10">
        <v>0.2307</v>
      </c>
      <c r="T768" s="8">
        <f>IF(and(ISNUMBER(D768), isnumber(E768)), 1, 0) + IF(and(ISNUMBER(F768), isnumber(G768)), 1, 0) + IF(and(ISNUMBER(H768), isnumber(I768)), 1, 0) + IF(and(ISNUMBER(J768), isnumber(K768)), 1, 0) + IF(and(ISNUMBER(L768), isnumber(M768)), 1, 0) + IF(and(ISNUMBER(N768), isnumber(O768)), 1, 0)</f>
      </c>
      <c r="U768" s="8">
        <f>IF(and(ISNUMBER(P768), isnumber(Q768)), 1, 0) + IF(and(ISNUMBER(R768), isnumber(S768)), 1, 0)</f>
      </c>
      <c r="V768" s="13"/>
      <c r="W768" s="13"/>
      <c r="X768" s="16"/>
    </row>
    <row x14ac:dyDescent="0.25" r="769" customHeight="1" ht="15.75">
      <c r="A769" s="8">
        <v>25022</v>
      </c>
      <c r="B769" s="13" t="s">
        <v>109</v>
      </c>
      <c r="C769" s="13" t="s">
        <v>6241</v>
      </c>
      <c r="D769" s="10">
        <v>0.9316</v>
      </c>
      <c r="E769" s="11">
        <v>256.03</v>
      </c>
      <c r="F769" s="10">
        <v>0.8547</v>
      </c>
      <c r="G769" s="11">
        <v>212</v>
      </c>
      <c r="H769" s="10">
        <v>0.8125</v>
      </c>
      <c r="I769" s="11">
        <v>331.54</v>
      </c>
      <c r="J769" s="10">
        <v>0.6261</v>
      </c>
      <c r="K769" s="11" t="s">
        <v>7127</v>
      </c>
      <c r="L769" s="10">
        <v>0.5859</v>
      </c>
      <c r="M769" s="11">
        <v>358.94</v>
      </c>
      <c r="N769" s="10">
        <v>0.6484</v>
      </c>
      <c r="O769" s="11">
        <v>397.68</v>
      </c>
      <c r="P769" s="10">
        <v>0.9316</v>
      </c>
      <c r="Q769" s="10">
        <v>0.1933</v>
      </c>
      <c r="R769" s="10">
        <v>0.6261</v>
      </c>
      <c r="S769" s="10">
        <v>0.2052</v>
      </c>
      <c r="T769" s="8">
        <f>IF(and(ISNUMBER(D769), isnumber(E769)), 1, 0) + IF(and(ISNUMBER(F769), isnumber(G769)), 1, 0) + IF(and(ISNUMBER(H769), isnumber(I769)), 1, 0) + IF(and(ISNUMBER(J769), isnumber(K769)), 1, 0) + IF(and(ISNUMBER(L769), isnumber(M769)), 1, 0) + IF(and(ISNUMBER(N769), isnumber(O769)), 1, 0)</f>
      </c>
      <c r="U769" s="8">
        <f>IF(and(ISNUMBER(P769), isnumber(Q769)), 1, 0) + IF(and(ISNUMBER(R769), isnumber(S769)), 1, 0)</f>
      </c>
      <c r="V769" s="13"/>
      <c r="W769" s="13"/>
      <c r="X769" s="16"/>
    </row>
    <row x14ac:dyDescent="0.25" r="770" customHeight="1" ht="15.75">
      <c r="A770" s="8">
        <v>25023</v>
      </c>
      <c r="B770" s="13" t="s">
        <v>109</v>
      </c>
      <c r="C770" s="13" t="s">
        <v>6243</v>
      </c>
      <c r="D770" s="10">
        <v>0.9789</v>
      </c>
      <c r="E770" s="11">
        <v>403.66</v>
      </c>
      <c r="F770" s="10">
        <v>0.8842</v>
      </c>
      <c r="G770" s="11" t="s">
        <v>7127</v>
      </c>
      <c r="H770" s="10">
        <v>0.8832</v>
      </c>
      <c r="I770" s="11">
        <v>531.64</v>
      </c>
      <c r="J770" s="10">
        <v>0.9286</v>
      </c>
      <c r="K770" s="11">
        <v>453.65</v>
      </c>
      <c r="L770" s="10">
        <v>0.8883</v>
      </c>
      <c r="M770" s="11">
        <v>540.8</v>
      </c>
      <c r="N770" s="10">
        <v>0.8173</v>
      </c>
      <c r="O770" s="11">
        <v>474.5</v>
      </c>
      <c r="P770" s="10">
        <v>0.9789</v>
      </c>
      <c r="Q770" s="10">
        <v>0.2541</v>
      </c>
      <c r="R770" s="10">
        <v>0.9286</v>
      </c>
      <c r="S770" s="10">
        <v>0.24</v>
      </c>
      <c r="T770" s="8">
        <f>IF(and(ISNUMBER(D770), isnumber(E770)), 1, 0) + IF(and(ISNUMBER(F770), isnumber(G770)), 1, 0) + IF(and(ISNUMBER(H770), isnumber(I770)), 1, 0) + IF(and(ISNUMBER(J770), isnumber(K770)), 1, 0) + IF(and(ISNUMBER(L770), isnumber(M770)), 1, 0) + IF(and(ISNUMBER(N770), isnumber(O770)), 1, 0)</f>
      </c>
      <c r="U770" s="8">
        <f>IF(and(ISNUMBER(P770), isnumber(Q770)), 1, 0) + IF(and(ISNUMBER(R770), isnumber(S770)), 1, 0)</f>
      </c>
      <c r="V770" s="13"/>
      <c r="W770" s="13"/>
      <c r="X770" s="16"/>
    </row>
    <row x14ac:dyDescent="0.25" r="771" customHeight="1" ht="15.75">
      <c r="A771" s="8">
        <v>25042</v>
      </c>
      <c r="B771" s="13" t="s">
        <v>109</v>
      </c>
      <c r="C771" s="13" t="s">
        <v>6246</v>
      </c>
      <c r="D771" s="10">
        <v>0.8485</v>
      </c>
      <c r="E771" s="11">
        <v>163.2</v>
      </c>
      <c r="F771" s="10">
        <v>0.6667</v>
      </c>
      <c r="G771" s="11">
        <v>341.82</v>
      </c>
      <c r="H771" s="10">
        <v>0.8182</v>
      </c>
      <c r="I771" s="11">
        <v>312.59</v>
      </c>
      <c r="J771" s="10">
        <v>0.8788</v>
      </c>
      <c r="K771" s="11">
        <v>320</v>
      </c>
      <c r="L771" s="10">
        <v>0.9091</v>
      </c>
      <c r="M771" s="11">
        <v>438.67</v>
      </c>
      <c r="N771" s="10">
        <v>0.9091</v>
      </c>
      <c r="O771" s="11">
        <v>426.21</v>
      </c>
      <c r="P771" s="10">
        <v>0.8485</v>
      </c>
      <c r="Q771" s="10">
        <v>0.2387</v>
      </c>
      <c r="R771" s="10">
        <v>0.8788</v>
      </c>
      <c r="S771" s="10">
        <v>0.2556</v>
      </c>
      <c r="T771" s="8">
        <f>IF(and(ISNUMBER(D771), isnumber(E771)), 1, 0) + IF(and(ISNUMBER(F771), isnumber(G771)), 1, 0) + IF(and(ISNUMBER(H771), isnumber(I771)), 1, 0) + IF(and(ISNUMBER(J771), isnumber(K771)), 1, 0) + IF(and(ISNUMBER(L771), isnumber(M771)), 1, 0) + IF(and(ISNUMBER(N771), isnumber(O771)), 1, 0)</f>
      </c>
      <c r="U771" s="8">
        <f>IF(and(ISNUMBER(P771), isnumber(Q771)), 1, 0) + IF(and(ISNUMBER(R771), isnumber(S771)), 1, 0)</f>
      </c>
      <c r="V771" s="13"/>
      <c r="W771" s="13"/>
      <c r="X771" s="16"/>
    </row>
    <row x14ac:dyDescent="0.25" r="772" customHeight="1" ht="15.75">
      <c r="A772" s="8">
        <v>25037</v>
      </c>
      <c r="B772" s="13" t="s">
        <v>109</v>
      </c>
      <c r="C772" s="13" t="s">
        <v>6250</v>
      </c>
      <c r="D772" s="10">
        <v>0.93</v>
      </c>
      <c r="E772" s="11">
        <v>293.27</v>
      </c>
      <c r="F772" s="10">
        <v>0.6296</v>
      </c>
      <c r="G772" s="11" t="s">
        <v>7127</v>
      </c>
      <c r="H772" s="10">
        <v>0.729</v>
      </c>
      <c r="I772" s="11">
        <v>465.45</v>
      </c>
      <c r="J772" s="10">
        <v>0.5976</v>
      </c>
      <c r="K772" s="11" t="s">
        <v>7127</v>
      </c>
      <c r="L772" s="10">
        <v>0.7672</v>
      </c>
      <c r="M772" s="11">
        <v>506.18</v>
      </c>
      <c r="N772" s="10">
        <v>0.5458</v>
      </c>
      <c r="O772" s="11">
        <v>510.42</v>
      </c>
      <c r="P772" s="10">
        <v>0.93</v>
      </c>
      <c r="Q772" s="10">
        <v>0.2682</v>
      </c>
      <c r="R772" s="10">
        <v>0.5976</v>
      </c>
      <c r="S772" s="10">
        <v>0.2197</v>
      </c>
      <c r="T772" s="8">
        <f>IF(and(ISNUMBER(D772), isnumber(E772)), 1, 0) + IF(and(ISNUMBER(F772), isnumber(G772)), 1, 0) + IF(and(ISNUMBER(H772), isnumber(I772)), 1, 0) + IF(and(ISNUMBER(J772), isnumber(K772)), 1, 0) + IF(and(ISNUMBER(L772), isnumber(M772)), 1, 0) + IF(and(ISNUMBER(N772), isnumber(O772)), 1, 0)</f>
      </c>
      <c r="U772" s="8">
        <f>IF(and(ISNUMBER(P772), isnumber(Q772)), 1, 0) + IF(and(ISNUMBER(R772), isnumber(S772)), 1, 0)</f>
      </c>
      <c r="V772" s="13"/>
      <c r="W772" s="13"/>
      <c r="X772" s="16"/>
    </row>
    <row x14ac:dyDescent="0.25" r="773" customHeight="1" ht="15.75">
      <c r="A773" s="8">
        <v>25046</v>
      </c>
      <c r="B773" s="13" t="s">
        <v>109</v>
      </c>
      <c r="C773" s="13" t="s">
        <v>6253</v>
      </c>
      <c r="D773" s="10">
        <v>0.7927</v>
      </c>
      <c r="E773" s="11">
        <v>261.94</v>
      </c>
      <c r="F773" s="10">
        <v>0.6341</v>
      </c>
      <c r="G773" s="11">
        <v>360.77</v>
      </c>
      <c r="H773" s="10">
        <v>0.622</v>
      </c>
      <c r="I773" s="11">
        <v>502.75</v>
      </c>
      <c r="J773" s="10">
        <v>0.5122</v>
      </c>
      <c r="K773" s="11">
        <v>328.57</v>
      </c>
      <c r="L773" s="10">
        <v>0.4634</v>
      </c>
      <c r="M773" s="11">
        <v>469.47</v>
      </c>
      <c r="N773" s="10">
        <v>0.5122</v>
      </c>
      <c r="O773" s="11">
        <v>469.52</v>
      </c>
      <c r="P773" s="10">
        <v>0.7927</v>
      </c>
      <c r="Q773" s="10">
        <v>0.2253</v>
      </c>
      <c r="R773" s="10">
        <v>0.5122</v>
      </c>
      <c r="S773" s="10">
        <v>0.1987</v>
      </c>
      <c r="T773" s="8">
        <f>IF(and(ISNUMBER(D773), isnumber(E773)), 1, 0) + IF(and(ISNUMBER(F773), isnumber(G773)), 1, 0) + IF(and(ISNUMBER(H773), isnumber(I773)), 1, 0) + IF(and(ISNUMBER(J773), isnumber(K773)), 1, 0) + IF(and(ISNUMBER(L773), isnumber(M773)), 1, 0) + IF(and(ISNUMBER(N773), isnumber(O773)), 1, 0)</f>
      </c>
      <c r="U773" s="8">
        <f>IF(and(ISNUMBER(P773), isnumber(Q773)), 1, 0) + IF(and(ISNUMBER(R773), isnumber(S773)), 1, 0)</f>
      </c>
      <c r="V773" s="13"/>
      <c r="W773" s="13"/>
      <c r="X773" s="16"/>
    </row>
    <row x14ac:dyDescent="0.25" r="774" customHeight="1" ht="15.75">
      <c r="A774" s="8">
        <v>25024</v>
      </c>
      <c r="B774" s="13" t="s">
        <v>109</v>
      </c>
      <c r="C774" s="13" t="s">
        <v>6256</v>
      </c>
      <c r="D774" s="10">
        <v>0.9653</v>
      </c>
      <c r="E774" s="11">
        <v>369.95</v>
      </c>
      <c r="F774" s="10">
        <v>0.9505</v>
      </c>
      <c r="G774" s="11">
        <v>460.42</v>
      </c>
      <c r="H774" s="10">
        <v>0.8745</v>
      </c>
      <c r="I774" s="11">
        <v>525.7</v>
      </c>
      <c r="J774" s="10">
        <v>0.9004</v>
      </c>
      <c r="K774" s="11">
        <v>459.62</v>
      </c>
      <c r="L774" s="10">
        <v>0.9307</v>
      </c>
      <c r="M774" s="11">
        <v>537.96</v>
      </c>
      <c r="N774" s="10">
        <v>0.9134</v>
      </c>
      <c r="O774" s="11">
        <v>591.25</v>
      </c>
      <c r="P774" s="10">
        <v>0.9653</v>
      </c>
      <c r="Q774" s="10">
        <v>0.2798</v>
      </c>
      <c r="R774" s="10">
        <v>0.9004</v>
      </c>
      <c r="S774" s="10">
        <v>0.2272</v>
      </c>
      <c r="T774" s="8">
        <f>IF(and(ISNUMBER(D774), isnumber(E774)), 1, 0) + IF(and(ISNUMBER(F774), isnumber(G774)), 1, 0) + IF(and(ISNUMBER(H774), isnumber(I774)), 1, 0) + IF(and(ISNUMBER(J774), isnumber(K774)), 1, 0) + IF(and(ISNUMBER(L774), isnumber(M774)), 1, 0) + IF(and(ISNUMBER(N774), isnumber(O774)), 1, 0)</f>
      </c>
      <c r="U774" s="8">
        <f>IF(and(ISNUMBER(P774), isnumber(Q774)), 1, 0) + IF(and(ISNUMBER(R774), isnumber(S774)), 1, 0)</f>
      </c>
      <c r="V774" s="13"/>
      <c r="W774" s="13"/>
      <c r="X774" s="16"/>
    </row>
    <row x14ac:dyDescent="0.25" r="775" customHeight="1" ht="15.75">
      <c r="A775" s="8">
        <v>25025</v>
      </c>
      <c r="B775" s="13" t="s">
        <v>109</v>
      </c>
      <c r="C775" s="13" t="s">
        <v>6259</v>
      </c>
      <c r="D775" s="10">
        <v>0.9661</v>
      </c>
      <c r="E775" s="11">
        <v>121.4</v>
      </c>
      <c r="F775" s="10">
        <v>0.9831</v>
      </c>
      <c r="G775" s="11">
        <v>454.48</v>
      </c>
      <c r="H775" s="10">
        <v>0.7627</v>
      </c>
      <c r="I775" s="11">
        <v>599.09</v>
      </c>
      <c r="J775" s="10">
        <v>0.8305</v>
      </c>
      <c r="K775" s="11">
        <v>527.62</v>
      </c>
      <c r="L775" s="10">
        <v>0.8305</v>
      </c>
      <c r="M775" s="11">
        <v>625.31</v>
      </c>
      <c r="N775" s="10">
        <v>0.7966</v>
      </c>
      <c r="O775" s="11">
        <v>641.74</v>
      </c>
      <c r="P775" s="10">
        <v>0.9661</v>
      </c>
      <c r="Q775" s="10">
        <v>0.2276</v>
      </c>
      <c r="R775" s="10">
        <v>0.8305</v>
      </c>
      <c r="S775" s="10">
        <v>0.2075</v>
      </c>
      <c r="T775" s="8">
        <f>IF(and(ISNUMBER(D775), isnumber(E775)), 1, 0) + IF(and(ISNUMBER(F775), isnumber(G775)), 1, 0) + IF(and(ISNUMBER(H775), isnumber(I775)), 1, 0) + IF(and(ISNUMBER(J775), isnumber(K775)), 1, 0) + IF(and(ISNUMBER(L775), isnumber(M775)), 1, 0) + IF(and(ISNUMBER(N775), isnumber(O775)), 1, 0)</f>
      </c>
      <c r="U775" s="8">
        <f>IF(and(ISNUMBER(P775), isnumber(Q775)), 1, 0) + IF(and(ISNUMBER(R775), isnumber(S775)), 1, 0)</f>
      </c>
      <c r="V775" s="13"/>
      <c r="W775" s="13"/>
      <c r="X775" s="16"/>
    </row>
    <row x14ac:dyDescent="0.25" r="776" customHeight="1" ht="15.75">
      <c r="A776" s="8">
        <v>25051</v>
      </c>
      <c r="B776" s="13" t="s">
        <v>109</v>
      </c>
      <c r="C776" s="13" t="s">
        <v>6262</v>
      </c>
      <c r="D776" s="10">
        <v>0.7685</v>
      </c>
      <c r="E776" s="11">
        <v>254.01</v>
      </c>
      <c r="F776" s="10">
        <v>0.4537</v>
      </c>
      <c r="G776" s="11" t="s">
        <v>7127</v>
      </c>
      <c r="H776" s="10">
        <v>0.4173</v>
      </c>
      <c r="I776" s="11">
        <v>422.97</v>
      </c>
      <c r="J776" s="10">
        <v>0.6832</v>
      </c>
      <c r="K776" s="11">
        <v>208.02</v>
      </c>
      <c r="L776" s="10">
        <v>0.6063</v>
      </c>
      <c r="M776" s="11">
        <v>596.88</v>
      </c>
      <c r="N776" s="10">
        <v>0.4409</v>
      </c>
      <c r="O776" s="11">
        <v>511.43</v>
      </c>
      <c r="P776" s="10">
        <v>0.7685</v>
      </c>
      <c r="Q776" s="10">
        <v>0.2337</v>
      </c>
      <c r="R776" s="10">
        <v>0.6832</v>
      </c>
      <c r="S776" s="10">
        <v>0.1276</v>
      </c>
      <c r="T776" s="8">
        <f>IF(and(ISNUMBER(D776), isnumber(E776)), 1, 0) + IF(and(ISNUMBER(F776), isnumber(G776)), 1, 0) + IF(and(ISNUMBER(H776), isnumber(I776)), 1, 0) + IF(and(ISNUMBER(J776), isnumber(K776)), 1, 0) + IF(and(ISNUMBER(L776), isnumber(M776)), 1, 0) + IF(and(ISNUMBER(N776), isnumber(O776)), 1, 0)</f>
      </c>
      <c r="U776" s="8">
        <f>IF(and(ISNUMBER(P776), isnumber(Q776)), 1, 0) + IF(and(ISNUMBER(R776), isnumber(S776)), 1, 0)</f>
      </c>
      <c r="V776" s="13"/>
      <c r="W776" s="13"/>
      <c r="X776" s="16"/>
    </row>
    <row x14ac:dyDescent="0.25" r="777" customHeight="1" ht="15.75">
      <c r="A777" s="8">
        <v>25026</v>
      </c>
      <c r="B777" s="13" t="s">
        <v>109</v>
      </c>
      <c r="C777" s="13" t="s">
        <v>6264</v>
      </c>
      <c r="D777" s="10">
        <v>0.8846</v>
      </c>
      <c r="E777" s="11">
        <v>415.65</v>
      </c>
      <c r="F777" s="10">
        <v>0.75</v>
      </c>
      <c r="G777" s="11">
        <v>466.67</v>
      </c>
      <c r="H777" s="10">
        <v>0.8654</v>
      </c>
      <c r="I777" s="11">
        <v>503.64</v>
      </c>
      <c r="J777" s="10">
        <v>0.8846</v>
      </c>
      <c r="K777" s="11">
        <v>478.22</v>
      </c>
      <c r="L777" s="10">
        <v>0.7692</v>
      </c>
      <c r="M777" s="11">
        <v>512.82</v>
      </c>
      <c r="N777" s="10">
        <v>0.4423</v>
      </c>
      <c r="O777" s="11">
        <v>532.17</v>
      </c>
      <c r="P777" s="10">
        <v>0.8846</v>
      </c>
      <c r="Q777" s="10">
        <v>0.2828</v>
      </c>
      <c r="R777" s="10">
        <v>0.8846</v>
      </c>
      <c r="S777" s="10">
        <v>0.217</v>
      </c>
      <c r="T777" s="8">
        <f>IF(and(ISNUMBER(D777), isnumber(E777)), 1, 0) + IF(and(ISNUMBER(F777), isnumber(G777)), 1, 0) + IF(and(ISNUMBER(H777), isnumber(I777)), 1, 0) + IF(and(ISNUMBER(J777), isnumber(K777)), 1, 0) + IF(and(ISNUMBER(L777), isnumber(M777)), 1, 0) + IF(and(ISNUMBER(N777), isnumber(O777)), 1, 0)</f>
      </c>
      <c r="U777" s="8">
        <f>IF(and(ISNUMBER(P777), isnumber(Q777)), 1, 0) + IF(and(ISNUMBER(R777), isnumber(S777)), 1, 0)</f>
      </c>
      <c r="V777" s="13"/>
      <c r="W777" s="13"/>
      <c r="X777" s="16"/>
    </row>
    <row x14ac:dyDescent="0.25" r="778" customHeight="1" ht="15.75">
      <c r="A778" s="8">
        <v>25004</v>
      </c>
      <c r="B778" s="13" t="s">
        <v>109</v>
      </c>
      <c r="C778" s="13" t="s">
        <v>6266</v>
      </c>
      <c r="D778" s="10">
        <v>0.8098</v>
      </c>
      <c r="E778" s="11">
        <v>351.11</v>
      </c>
      <c r="F778" s="10">
        <v>0.712</v>
      </c>
      <c r="G778" s="11">
        <v>491.08</v>
      </c>
      <c r="H778" s="10">
        <v>0.5924</v>
      </c>
      <c r="I778" s="11">
        <v>521.47</v>
      </c>
      <c r="J778" s="10">
        <v>0.7446</v>
      </c>
      <c r="K778" s="11">
        <v>427.37</v>
      </c>
      <c r="L778" s="10">
        <v>0.6467</v>
      </c>
      <c r="M778" s="11">
        <v>488.4</v>
      </c>
      <c r="N778" s="10">
        <v>0.4728</v>
      </c>
      <c r="O778" s="11">
        <v>464.65</v>
      </c>
      <c r="P778" s="10">
        <v>0.8098</v>
      </c>
      <c r="Q778" s="10">
        <v>0.2744</v>
      </c>
      <c r="R778" s="10">
        <v>0.7446</v>
      </c>
      <c r="S778" s="10">
        <v>0.2121</v>
      </c>
      <c r="T778" s="8">
        <f>IF(and(ISNUMBER(D778), isnumber(E778)), 1, 0) + IF(and(ISNUMBER(F778), isnumber(G778)), 1, 0) + IF(and(ISNUMBER(H778), isnumber(I778)), 1, 0) + IF(and(ISNUMBER(J778), isnumber(K778)), 1, 0) + IF(and(ISNUMBER(L778), isnumber(M778)), 1, 0) + IF(and(ISNUMBER(N778), isnumber(O778)), 1, 0)</f>
      </c>
      <c r="U778" s="8">
        <f>IF(and(ISNUMBER(P778), isnumber(Q778)), 1, 0) + IF(and(ISNUMBER(R778), isnumber(S778)), 1, 0)</f>
      </c>
      <c r="V778" s="13"/>
      <c r="W778" s="13"/>
      <c r="X778" s="16"/>
    </row>
    <row x14ac:dyDescent="0.25" r="779" customHeight="1" ht="15.75">
      <c r="A779" s="8">
        <v>25043</v>
      </c>
      <c r="B779" s="13" t="s">
        <v>109</v>
      </c>
      <c r="C779" s="13" t="s">
        <v>6269</v>
      </c>
      <c r="D779" s="10">
        <v>0.9861</v>
      </c>
      <c r="E779" s="11">
        <v>261.41</v>
      </c>
      <c r="F779" s="10">
        <v>0.9722</v>
      </c>
      <c r="G779" s="11">
        <v>332.17</v>
      </c>
      <c r="H779" s="10">
        <v>0.875</v>
      </c>
      <c r="I779" s="11">
        <v>383.49</v>
      </c>
      <c r="J779" s="10">
        <v>0.9861</v>
      </c>
      <c r="K779" s="11">
        <v>234.2</v>
      </c>
      <c r="L779" s="10">
        <v>0.75</v>
      </c>
      <c r="M779" s="11">
        <v>440.74</v>
      </c>
      <c r="N779" s="10">
        <v>0.8611</v>
      </c>
      <c r="O779" s="11">
        <v>406.45</v>
      </c>
      <c r="P779" s="10">
        <v>0.9861</v>
      </c>
      <c r="Q779" s="10">
        <v>0.2486</v>
      </c>
      <c r="R779" s="10">
        <v>0.9861</v>
      </c>
      <c r="S779" s="10">
        <v>0.1715</v>
      </c>
      <c r="T779" s="8">
        <f>IF(and(ISNUMBER(D779), isnumber(E779)), 1, 0) + IF(and(ISNUMBER(F779), isnumber(G779)), 1, 0) + IF(and(ISNUMBER(H779), isnumber(I779)), 1, 0) + IF(and(ISNUMBER(J779), isnumber(K779)), 1, 0) + IF(and(ISNUMBER(L779), isnumber(M779)), 1, 0) + IF(and(ISNUMBER(N779), isnumber(O779)), 1, 0)</f>
      </c>
      <c r="U779" s="8">
        <f>IF(and(ISNUMBER(P779), isnumber(Q779)), 1, 0) + IF(and(ISNUMBER(R779), isnumber(S779)), 1, 0)</f>
      </c>
      <c r="V779" s="13"/>
      <c r="W779" s="13"/>
      <c r="X779" s="16"/>
    </row>
    <row x14ac:dyDescent="0.25" r="780" customHeight="1" ht="15.75">
      <c r="A780" s="8">
        <v>25044</v>
      </c>
      <c r="B780" s="13" t="s">
        <v>109</v>
      </c>
      <c r="C780" s="13" t="s">
        <v>6272</v>
      </c>
      <c r="D780" s="10">
        <v>0.9623</v>
      </c>
      <c r="E780" s="11">
        <v>336.47</v>
      </c>
      <c r="F780" s="10">
        <v>0.9434</v>
      </c>
      <c r="G780" s="11">
        <v>414.69</v>
      </c>
      <c r="H780" s="10">
        <v>0.9434</v>
      </c>
      <c r="I780" s="11">
        <v>440.8</v>
      </c>
      <c r="J780" s="10">
        <v>0.9434</v>
      </c>
      <c r="K780" s="11">
        <v>447.35</v>
      </c>
      <c r="L780" s="10">
        <v>0.9057</v>
      </c>
      <c r="M780" s="11">
        <v>471.49</v>
      </c>
      <c r="N780" s="10">
        <v>0.9245</v>
      </c>
      <c r="O780" s="11">
        <v>488.98</v>
      </c>
      <c r="P780" s="10">
        <v>0.9623</v>
      </c>
      <c r="Q780" s="10">
        <v>0.256</v>
      </c>
      <c r="R780" s="10">
        <v>0.9434</v>
      </c>
      <c r="S780" s="10">
        <v>0.2253</v>
      </c>
      <c r="T780" s="8">
        <f>IF(and(ISNUMBER(D780), isnumber(E780)), 1, 0) + IF(and(ISNUMBER(F780), isnumber(G780)), 1, 0) + IF(and(ISNUMBER(H780), isnumber(I780)), 1, 0) + IF(and(ISNUMBER(J780), isnumber(K780)), 1, 0) + IF(and(ISNUMBER(L780), isnumber(M780)), 1, 0) + IF(and(ISNUMBER(N780), isnumber(O780)), 1, 0)</f>
      </c>
      <c r="U780" s="8">
        <f>IF(and(ISNUMBER(P780), isnumber(Q780)), 1, 0) + IF(and(ISNUMBER(R780), isnumber(S780)), 1, 0)</f>
      </c>
      <c r="V780" s="13"/>
      <c r="W780" s="13"/>
      <c r="X780" s="16"/>
    </row>
    <row x14ac:dyDescent="0.25" r="781" customHeight="1" ht="15.75">
      <c r="A781" s="8">
        <v>25016</v>
      </c>
      <c r="B781" s="13" t="s">
        <v>109</v>
      </c>
      <c r="C781" s="13" t="s">
        <v>6275</v>
      </c>
      <c r="D781" s="10">
        <v>0.9242</v>
      </c>
      <c r="E781" s="11">
        <v>305.57</v>
      </c>
      <c r="F781" s="10">
        <v>0.5833</v>
      </c>
      <c r="G781" s="11" t="s">
        <v>7127</v>
      </c>
      <c r="H781" s="10">
        <v>0.7019</v>
      </c>
      <c r="I781" s="11">
        <v>586.8</v>
      </c>
      <c r="J781" s="10">
        <v>0.7303</v>
      </c>
      <c r="K781" s="11">
        <v>552.52</v>
      </c>
      <c r="L781" s="10">
        <v>0.646</v>
      </c>
      <c r="M781" s="11">
        <v>608.2</v>
      </c>
      <c r="N781" s="10">
        <v>0.6522</v>
      </c>
      <c r="O781" s="11">
        <v>615.24</v>
      </c>
      <c r="P781" s="10">
        <v>0.9242</v>
      </c>
      <c r="Q781" s="10">
        <v>0.2412</v>
      </c>
      <c r="R781" s="10">
        <v>0.7303</v>
      </c>
      <c r="S781" s="10">
        <v>0.2305</v>
      </c>
      <c r="T781" s="8">
        <f>IF(and(ISNUMBER(D781), isnumber(E781)), 1, 0) + IF(and(ISNUMBER(F781), isnumber(G781)), 1, 0) + IF(and(ISNUMBER(H781), isnumber(I781)), 1, 0) + IF(and(ISNUMBER(J781), isnumber(K781)), 1, 0) + IF(and(ISNUMBER(L781), isnumber(M781)), 1, 0) + IF(and(ISNUMBER(N781), isnumber(O781)), 1, 0)</f>
      </c>
      <c r="U781" s="8">
        <f>IF(and(ISNUMBER(P781), isnumber(Q781)), 1, 0) + IF(and(ISNUMBER(R781), isnumber(S781)), 1, 0)</f>
      </c>
      <c r="V781" s="13"/>
      <c r="W781" s="13"/>
      <c r="X781" s="16"/>
    </row>
    <row x14ac:dyDescent="0.25" r="782" customHeight="1" ht="15.75">
      <c r="A782" s="8">
        <v>25047</v>
      </c>
      <c r="B782" s="13" t="s">
        <v>109</v>
      </c>
      <c r="C782" s="13" t="s">
        <v>6280</v>
      </c>
      <c r="D782" s="10">
        <v>1</v>
      </c>
      <c r="E782" s="11">
        <v>404.21</v>
      </c>
      <c r="F782" s="10">
        <v>0.8947</v>
      </c>
      <c r="G782" s="11">
        <v>541.18</v>
      </c>
      <c r="H782" s="10">
        <v>1</v>
      </c>
      <c r="I782" s="11">
        <v>629.47</v>
      </c>
      <c r="J782" s="10">
        <v>1</v>
      </c>
      <c r="K782" s="11">
        <v>448.42</v>
      </c>
      <c r="L782" s="10">
        <v>0.8947</v>
      </c>
      <c r="M782" s="11">
        <v>649.41</v>
      </c>
      <c r="N782" s="10">
        <v>0.9474</v>
      </c>
      <c r="O782" s="11">
        <v>586.67</v>
      </c>
      <c r="P782" s="10">
        <v>1</v>
      </c>
      <c r="Q782" s="10">
        <v>0.3006</v>
      </c>
      <c r="R782" s="10">
        <v>1</v>
      </c>
      <c r="S782" s="10">
        <v>0.2392</v>
      </c>
      <c r="T782" s="8">
        <f>IF(and(ISNUMBER(D782), isnumber(E782)), 1, 0) + IF(and(ISNUMBER(F782), isnumber(G782)), 1, 0) + IF(and(ISNUMBER(H782), isnumber(I782)), 1, 0) + IF(and(ISNUMBER(J782), isnumber(K782)), 1, 0) + IF(and(ISNUMBER(L782), isnumber(M782)), 1, 0) + IF(and(ISNUMBER(N782), isnumber(O782)), 1, 0)</f>
      </c>
      <c r="U782" s="8">
        <f>IF(and(ISNUMBER(P782), isnumber(Q782)), 1, 0) + IF(and(ISNUMBER(R782), isnumber(S782)), 1, 0)</f>
      </c>
      <c r="V782" s="13"/>
      <c r="W782" s="13"/>
      <c r="X782" s="16"/>
    </row>
    <row x14ac:dyDescent="0.25" r="783" customHeight="1" ht="15.75">
      <c r="A783" s="8">
        <v>25005</v>
      </c>
      <c r="B783" s="13" t="s">
        <v>109</v>
      </c>
      <c r="C783" s="13" t="s">
        <v>6035</v>
      </c>
      <c r="D783" s="10">
        <v>0.6901</v>
      </c>
      <c r="E783" s="11">
        <v>158.31</v>
      </c>
      <c r="F783" s="10">
        <v>0.5352</v>
      </c>
      <c r="G783" s="11">
        <v>412.7</v>
      </c>
      <c r="H783" s="10">
        <v>0.4487</v>
      </c>
      <c r="I783" s="11">
        <v>408</v>
      </c>
      <c r="J783" s="10">
        <v>0.5882</v>
      </c>
      <c r="K783" s="11">
        <v>241.11</v>
      </c>
      <c r="L783" s="10">
        <v>0.4103</v>
      </c>
      <c r="M783" s="11" t="s">
        <v>7127</v>
      </c>
      <c r="N783" s="10">
        <v>0.4872</v>
      </c>
      <c r="O783" s="11" t="s">
        <v>7127</v>
      </c>
      <c r="P783" s="10">
        <v>0.6901</v>
      </c>
      <c r="Q783" s="10">
        <v>0.1985</v>
      </c>
      <c r="R783" s="10">
        <v>0.5882</v>
      </c>
      <c r="S783" s="10">
        <v>0.246</v>
      </c>
      <c r="T783" s="8">
        <f>IF(and(ISNUMBER(D783), isnumber(E783)), 1, 0) + IF(and(ISNUMBER(F783), isnumber(G783)), 1, 0) + IF(and(ISNUMBER(H783), isnumber(I783)), 1, 0) + IF(and(ISNUMBER(J783), isnumber(K783)), 1, 0) + IF(and(ISNUMBER(L783), isnumber(M783)), 1, 0) + IF(and(ISNUMBER(N783), isnumber(O783)), 1, 0)</f>
      </c>
      <c r="U783" s="8">
        <f>IF(and(ISNUMBER(P783), isnumber(Q783)), 1, 0) + IF(and(ISNUMBER(R783), isnumber(S783)), 1, 0)</f>
      </c>
      <c r="V783" s="13"/>
      <c r="W783" s="13"/>
      <c r="X783" s="16"/>
    </row>
    <row x14ac:dyDescent="0.25" r="784" customHeight="1" ht="15.75">
      <c r="A784" s="8">
        <v>25017</v>
      </c>
      <c r="B784" s="13" t="s">
        <v>109</v>
      </c>
      <c r="C784" s="13" t="s">
        <v>6286</v>
      </c>
      <c r="D784" s="10">
        <v>0.9508</v>
      </c>
      <c r="E784" s="11">
        <v>252.36</v>
      </c>
      <c r="F784" s="10">
        <v>0.7705</v>
      </c>
      <c r="G784" s="11">
        <v>427.23</v>
      </c>
      <c r="H784" s="10">
        <v>0.8689</v>
      </c>
      <c r="I784" s="11">
        <v>531.54</v>
      </c>
      <c r="J784" s="10">
        <v>0.8852</v>
      </c>
      <c r="K784" s="11">
        <v>313.33</v>
      </c>
      <c r="L784" s="10">
        <v>0.9016</v>
      </c>
      <c r="M784" s="11">
        <v>649.45</v>
      </c>
      <c r="N784" s="10">
        <v>0.9016</v>
      </c>
      <c r="O784" s="11">
        <v>640</v>
      </c>
      <c r="P784" s="10">
        <v>0.9508</v>
      </c>
      <c r="Q784" s="10">
        <v>0.271</v>
      </c>
      <c r="R784" s="10">
        <v>0.8852</v>
      </c>
      <c r="S784" s="10">
        <v>0.2413</v>
      </c>
      <c r="T784" s="8">
        <f>IF(and(ISNUMBER(D784), isnumber(E784)), 1, 0) + IF(and(ISNUMBER(F784), isnumber(G784)), 1, 0) + IF(and(ISNUMBER(H784), isnumber(I784)), 1, 0) + IF(and(ISNUMBER(J784), isnumber(K784)), 1, 0) + IF(and(ISNUMBER(L784), isnumber(M784)), 1, 0) + IF(and(ISNUMBER(N784), isnumber(O784)), 1, 0)</f>
      </c>
      <c r="U784" s="8">
        <f>IF(and(ISNUMBER(P784), isnumber(Q784)), 1, 0) + IF(and(ISNUMBER(R784), isnumber(S784)), 1, 0)</f>
      </c>
      <c r="V784" s="13"/>
      <c r="W784" s="13"/>
      <c r="X784" s="16"/>
    </row>
    <row x14ac:dyDescent="0.25" r="785" customHeight="1" ht="15.75">
      <c r="A785" s="8">
        <v>25014</v>
      </c>
      <c r="B785" s="13" t="s">
        <v>109</v>
      </c>
      <c r="C785" s="13" t="s">
        <v>6289</v>
      </c>
      <c r="D785" s="10">
        <v>0.8525</v>
      </c>
      <c r="E785" s="11">
        <v>336.54</v>
      </c>
      <c r="F785" s="10">
        <v>0.9754</v>
      </c>
      <c r="G785" s="11">
        <v>316.31</v>
      </c>
      <c r="H785" s="10">
        <v>0.6642</v>
      </c>
      <c r="I785" s="11">
        <v>465.49</v>
      </c>
      <c r="J785" s="10">
        <v>0.6964</v>
      </c>
      <c r="K785" s="11">
        <v>440.51</v>
      </c>
      <c r="L785" s="10">
        <v>0.5182</v>
      </c>
      <c r="M785" s="11" t="s">
        <v>7127</v>
      </c>
      <c r="N785" s="10">
        <v>0.5109</v>
      </c>
      <c r="O785" s="11">
        <v>512</v>
      </c>
      <c r="P785" s="10">
        <v>0.8525</v>
      </c>
      <c r="Q785" s="10">
        <v>0.2727</v>
      </c>
      <c r="R785" s="10">
        <v>0.6964</v>
      </c>
      <c r="S785" s="10">
        <v>0.2538</v>
      </c>
      <c r="T785" s="8">
        <f>IF(and(ISNUMBER(D785), isnumber(E785)), 1, 0) + IF(and(ISNUMBER(F785), isnumber(G785)), 1, 0) + IF(and(ISNUMBER(H785), isnumber(I785)), 1, 0) + IF(and(ISNUMBER(J785), isnumber(K785)), 1, 0) + IF(and(ISNUMBER(L785), isnumber(M785)), 1, 0) + IF(and(ISNUMBER(N785), isnumber(O785)), 1, 0)</f>
      </c>
      <c r="U785" s="8">
        <f>IF(and(ISNUMBER(P785), isnumber(Q785)), 1, 0) + IF(and(ISNUMBER(R785), isnumber(S785)), 1, 0)</f>
      </c>
      <c r="V785" s="13"/>
      <c r="W785" s="13"/>
      <c r="X785" s="16"/>
    </row>
    <row x14ac:dyDescent="0.25" r="786" customHeight="1" ht="15.75">
      <c r="A786" s="8">
        <v>25052</v>
      </c>
      <c r="B786" s="13" t="s">
        <v>109</v>
      </c>
      <c r="C786" s="13" t="s">
        <v>6291</v>
      </c>
      <c r="D786" s="10">
        <v>0.931</v>
      </c>
      <c r="E786" s="11">
        <v>370.37</v>
      </c>
      <c r="F786" s="10">
        <v>0.8621</v>
      </c>
      <c r="G786" s="11">
        <v>446.49</v>
      </c>
      <c r="H786" s="10">
        <v>0.8391</v>
      </c>
      <c r="I786" s="11">
        <v>435</v>
      </c>
      <c r="J786" s="10">
        <v>0.9655</v>
      </c>
      <c r="K786" s="11">
        <v>257.07</v>
      </c>
      <c r="L786" s="10">
        <v>0.9425</v>
      </c>
      <c r="M786" s="11">
        <v>485.5</v>
      </c>
      <c r="N786" s="10">
        <v>0.9195</v>
      </c>
      <c r="O786" s="11">
        <v>464.5</v>
      </c>
      <c r="P786" s="10">
        <v>0.931</v>
      </c>
      <c r="Q786" s="10">
        <v>0.2771</v>
      </c>
      <c r="R786" s="10">
        <v>0.9655</v>
      </c>
      <c r="S786" s="10">
        <v>0.2205</v>
      </c>
      <c r="T786" s="8">
        <f>IF(and(ISNUMBER(D786), isnumber(E786)), 1, 0) + IF(and(ISNUMBER(F786), isnumber(G786)), 1, 0) + IF(and(ISNUMBER(H786), isnumber(I786)), 1, 0) + IF(and(ISNUMBER(J786), isnumber(K786)), 1, 0) + IF(and(ISNUMBER(L786), isnumber(M786)), 1, 0) + IF(and(ISNUMBER(N786), isnumber(O786)), 1, 0)</f>
      </c>
      <c r="U786" s="8">
        <f>IF(and(ISNUMBER(P786), isnumber(Q786)), 1, 0) + IF(and(ISNUMBER(R786), isnumber(S786)), 1, 0)</f>
      </c>
      <c r="V786" s="13"/>
      <c r="W786" s="13"/>
      <c r="X786" s="16"/>
    </row>
    <row x14ac:dyDescent="0.25" r="787" customHeight="1" ht="15.75">
      <c r="A787" s="8">
        <v>25018</v>
      </c>
      <c r="B787" s="13" t="s">
        <v>109</v>
      </c>
      <c r="C787" s="13" t="s">
        <v>6295</v>
      </c>
      <c r="D787" s="10">
        <v>1</v>
      </c>
      <c r="E787" s="11">
        <v>433.04</v>
      </c>
      <c r="F787" s="10">
        <v>1</v>
      </c>
      <c r="G787" s="11">
        <v>561.82</v>
      </c>
      <c r="H787" s="10">
        <v>0.7391</v>
      </c>
      <c r="I787" s="11">
        <v>588.24</v>
      </c>
      <c r="J787" s="10">
        <v>0.913</v>
      </c>
      <c r="K787" s="11">
        <v>436.19</v>
      </c>
      <c r="L787" s="10">
        <v>0.8261</v>
      </c>
      <c r="M787" s="11">
        <v>557.89</v>
      </c>
      <c r="N787" s="10">
        <v>0.9565</v>
      </c>
      <c r="O787" s="11">
        <v>571.43</v>
      </c>
      <c r="P787" s="10">
        <v>1</v>
      </c>
      <c r="Q787" s="10">
        <v>0.2925</v>
      </c>
      <c r="R787" s="10">
        <v>0.913</v>
      </c>
      <c r="S787" s="10">
        <v>0.2306</v>
      </c>
      <c r="T787" s="8">
        <f>IF(and(ISNUMBER(D787), isnumber(E787)), 1, 0) + IF(and(ISNUMBER(F787), isnumber(G787)), 1, 0) + IF(and(ISNUMBER(H787), isnumber(I787)), 1, 0) + IF(and(ISNUMBER(J787), isnumber(K787)), 1, 0) + IF(and(ISNUMBER(L787), isnumber(M787)), 1, 0) + IF(and(ISNUMBER(N787), isnumber(O787)), 1, 0)</f>
      </c>
      <c r="U787" s="8">
        <f>IF(and(ISNUMBER(P787), isnumber(Q787)), 1, 0) + IF(and(ISNUMBER(R787), isnumber(S787)), 1, 0)</f>
      </c>
      <c r="V787" s="13"/>
      <c r="W787" s="13"/>
      <c r="X787" s="16"/>
    </row>
    <row x14ac:dyDescent="0.25" r="788" customHeight="1" ht="15.75">
      <c r="A788" s="8">
        <v>25048</v>
      </c>
      <c r="B788" s="13" t="s">
        <v>109</v>
      </c>
      <c r="C788" s="13" t="s">
        <v>6296</v>
      </c>
      <c r="D788" s="10">
        <v>0.8182</v>
      </c>
      <c r="E788" s="11">
        <v>124.71</v>
      </c>
      <c r="F788" s="10">
        <v>0.75</v>
      </c>
      <c r="G788" s="11">
        <v>326.06</v>
      </c>
      <c r="H788" s="10">
        <v>0.5957</v>
      </c>
      <c r="I788" s="11" t="s">
        <v>7127</v>
      </c>
      <c r="J788" s="10">
        <v>0.7381</v>
      </c>
      <c r="K788" s="11">
        <v>316.49</v>
      </c>
      <c r="L788" s="10">
        <v>0.6383</v>
      </c>
      <c r="M788" s="11">
        <v>364.97</v>
      </c>
      <c r="N788" s="10">
        <v>0.5319</v>
      </c>
      <c r="O788" s="11">
        <v>435.2</v>
      </c>
      <c r="P788" s="10">
        <v>0.8182</v>
      </c>
      <c r="Q788" s="10">
        <v>0.215</v>
      </c>
      <c r="R788" s="10">
        <v>0.7381</v>
      </c>
      <c r="S788" s="10">
        <v>0.2102</v>
      </c>
      <c r="T788" s="8">
        <f>IF(and(ISNUMBER(D788), isnumber(E788)), 1, 0) + IF(and(ISNUMBER(F788), isnumber(G788)), 1, 0) + IF(and(ISNUMBER(H788), isnumber(I788)), 1, 0) + IF(and(ISNUMBER(J788), isnumber(K788)), 1, 0) + IF(and(ISNUMBER(L788), isnumber(M788)), 1, 0) + IF(and(ISNUMBER(N788), isnumber(O788)), 1, 0)</f>
      </c>
      <c r="U788" s="8">
        <f>IF(and(ISNUMBER(P788), isnumber(Q788)), 1, 0) + IF(and(ISNUMBER(R788), isnumber(S788)), 1, 0)</f>
      </c>
      <c r="V788" s="13"/>
      <c r="W788" s="13"/>
      <c r="X788" s="16"/>
    </row>
    <row x14ac:dyDescent="0.25" r="789" customHeight="1" ht="15.75">
      <c r="A789" s="8">
        <v>25027</v>
      </c>
      <c r="B789" s="13" t="s">
        <v>109</v>
      </c>
      <c r="C789" s="13" t="s">
        <v>6297</v>
      </c>
      <c r="D789" s="10">
        <v>0.7647</v>
      </c>
      <c r="E789" s="11">
        <v>203.08</v>
      </c>
      <c r="F789" s="10">
        <v>0.7647</v>
      </c>
      <c r="G789" s="11">
        <v>335.38</v>
      </c>
      <c r="H789" s="10">
        <v>0.7059</v>
      </c>
      <c r="I789" s="11">
        <v>393.33</v>
      </c>
      <c r="J789" s="10">
        <v>0.7647</v>
      </c>
      <c r="K789" s="11">
        <v>332.31</v>
      </c>
      <c r="L789" s="10">
        <v>0.7647</v>
      </c>
      <c r="M789" s="11">
        <v>375.38</v>
      </c>
      <c r="N789" s="10">
        <v>0.7647</v>
      </c>
      <c r="O789" s="11">
        <v>396.92</v>
      </c>
      <c r="P789" s="10">
        <v>0.7647</v>
      </c>
      <c r="Q789" s="10">
        <v>0.238</v>
      </c>
      <c r="R789" s="10">
        <v>0.7647</v>
      </c>
      <c r="S789" s="10">
        <v>0.215</v>
      </c>
      <c r="T789" s="8">
        <f>IF(and(ISNUMBER(D789), isnumber(E789)), 1, 0) + IF(and(ISNUMBER(F789), isnumber(G789)), 1, 0) + IF(and(ISNUMBER(H789), isnumber(I789)), 1, 0) + IF(and(ISNUMBER(J789), isnumber(K789)), 1, 0) + IF(and(ISNUMBER(L789), isnumber(M789)), 1, 0) + IF(and(ISNUMBER(N789), isnumber(O789)), 1, 0)</f>
      </c>
      <c r="U789" s="8">
        <f>IF(and(ISNUMBER(P789), isnumber(Q789)), 1, 0) + IF(and(ISNUMBER(R789), isnumber(S789)), 1, 0)</f>
      </c>
      <c r="V789" s="13"/>
      <c r="W789" s="13"/>
      <c r="X789" s="16"/>
    </row>
    <row x14ac:dyDescent="0.25" r="790" customHeight="1" ht="15.75">
      <c r="A790" s="8">
        <v>25019</v>
      </c>
      <c r="B790" s="13" t="s">
        <v>109</v>
      </c>
      <c r="C790" s="13" t="s">
        <v>6299</v>
      </c>
      <c r="D790" s="10">
        <v>1</v>
      </c>
      <c r="E790" s="11">
        <v>495.17</v>
      </c>
      <c r="F790" s="10">
        <v>1</v>
      </c>
      <c r="G790" s="11">
        <v>485.71</v>
      </c>
      <c r="H790" s="10">
        <v>0.9655</v>
      </c>
      <c r="I790" s="11">
        <v>580</v>
      </c>
      <c r="J790" s="10">
        <v>0.8966</v>
      </c>
      <c r="K790" s="11">
        <v>507.69</v>
      </c>
      <c r="L790" s="10">
        <v>0.931</v>
      </c>
      <c r="M790" s="11">
        <v>551.11</v>
      </c>
      <c r="N790" s="10">
        <v>0.931</v>
      </c>
      <c r="O790" s="11">
        <v>568.89</v>
      </c>
      <c r="P790" s="10">
        <v>1</v>
      </c>
      <c r="Q790" s="10">
        <v>0.313</v>
      </c>
      <c r="R790" s="10">
        <v>0.8966</v>
      </c>
      <c r="S790" s="10">
        <v>0.2558</v>
      </c>
      <c r="T790" s="8">
        <f>IF(and(ISNUMBER(D790), isnumber(E790)), 1, 0) + IF(and(ISNUMBER(F790), isnumber(G790)), 1, 0) + IF(and(ISNUMBER(H790), isnumber(I790)), 1, 0) + IF(and(ISNUMBER(J790), isnumber(K790)), 1, 0) + IF(and(ISNUMBER(L790), isnumber(M790)), 1, 0) + IF(and(ISNUMBER(N790), isnumber(O790)), 1, 0)</f>
      </c>
      <c r="U790" s="8">
        <f>IF(and(ISNUMBER(P790), isnumber(Q790)), 1, 0) + IF(and(ISNUMBER(R790), isnumber(S790)), 1, 0)</f>
      </c>
      <c r="V790" s="13"/>
      <c r="W790" s="13"/>
      <c r="X790" s="16"/>
    </row>
    <row x14ac:dyDescent="0.25" r="791" customHeight="1" ht="15.75">
      <c r="A791" s="8">
        <v>25028</v>
      </c>
      <c r="B791" s="13" t="s">
        <v>109</v>
      </c>
      <c r="C791" s="13" t="s">
        <v>6302</v>
      </c>
      <c r="D791" s="10">
        <v>0.9479</v>
      </c>
      <c r="E791" s="11">
        <v>224</v>
      </c>
      <c r="F791" s="10">
        <v>0.9147</v>
      </c>
      <c r="G791" s="11">
        <v>291.3</v>
      </c>
      <c r="H791" s="10">
        <v>0.8348</v>
      </c>
      <c r="I791" s="11">
        <v>326.28</v>
      </c>
      <c r="J791" s="10">
        <v>0.7163</v>
      </c>
      <c r="K791" s="11">
        <v>324.64</v>
      </c>
      <c r="L791" s="10">
        <v>0.6261</v>
      </c>
      <c r="M791" s="11" t="s">
        <v>7127</v>
      </c>
      <c r="N791" s="10">
        <v>0.5304</v>
      </c>
      <c r="O791" s="11">
        <v>437.05</v>
      </c>
      <c r="P791" s="10">
        <v>0.9479</v>
      </c>
      <c r="Q791" s="10">
        <v>0.2155</v>
      </c>
      <c r="R791" s="10">
        <v>0.7163</v>
      </c>
      <c r="S791" s="10">
        <v>0.2245</v>
      </c>
      <c r="T791" s="8">
        <f>IF(and(ISNUMBER(D791), isnumber(E791)), 1, 0) + IF(and(ISNUMBER(F791), isnumber(G791)), 1, 0) + IF(and(ISNUMBER(H791), isnumber(I791)), 1, 0) + IF(and(ISNUMBER(J791), isnumber(K791)), 1, 0) + IF(and(ISNUMBER(L791), isnumber(M791)), 1, 0) + IF(and(ISNUMBER(N791), isnumber(O791)), 1, 0)</f>
      </c>
      <c r="U791" s="8">
        <f>IF(and(ISNUMBER(P791), isnumber(Q791)), 1, 0) + IF(and(ISNUMBER(R791), isnumber(S791)), 1, 0)</f>
      </c>
      <c r="V791" s="13"/>
      <c r="W791" s="13"/>
      <c r="X791" s="16"/>
    </row>
    <row x14ac:dyDescent="0.25" r="792" customHeight="1" ht="15.75">
      <c r="A792" s="8">
        <v>25001</v>
      </c>
      <c r="B792" s="13" t="s">
        <v>109</v>
      </c>
      <c r="C792" s="13" t="s">
        <v>6305</v>
      </c>
      <c r="D792" s="10">
        <v>0.6709</v>
      </c>
      <c r="E792" s="11">
        <v>228.68</v>
      </c>
      <c r="F792" s="10">
        <v>0.481</v>
      </c>
      <c r="G792" s="11">
        <v>491.58</v>
      </c>
      <c r="H792" s="10">
        <v>0.6047</v>
      </c>
      <c r="I792" s="11">
        <v>517.69</v>
      </c>
      <c r="J792" s="10">
        <v>0.6053</v>
      </c>
      <c r="K792" s="11">
        <v>318.41</v>
      </c>
      <c r="L792" s="10">
        <v>0.6279</v>
      </c>
      <c r="M792" s="11">
        <v>403.2</v>
      </c>
      <c r="N792" s="10">
        <v>0.5116</v>
      </c>
      <c r="O792" s="11">
        <v>407.61</v>
      </c>
      <c r="P792" s="10">
        <v>0.6709</v>
      </c>
      <c r="Q792" s="10">
        <v>0.2277</v>
      </c>
      <c r="R792" s="10">
        <v>0.6053</v>
      </c>
      <c r="S792" s="10">
        <v>0.207</v>
      </c>
      <c r="T792" s="8">
        <f>IF(and(ISNUMBER(D792), isnumber(E792)), 1, 0) + IF(and(ISNUMBER(F792), isnumber(G792)), 1, 0) + IF(and(ISNUMBER(H792), isnumber(I792)), 1, 0) + IF(and(ISNUMBER(J792), isnumber(K792)), 1, 0) + IF(and(ISNUMBER(L792), isnumber(M792)), 1, 0) + IF(and(ISNUMBER(N792), isnumber(O792)), 1, 0)</f>
      </c>
      <c r="U792" s="8">
        <f>IF(and(ISNUMBER(P792), isnumber(Q792)), 1, 0) + IF(and(ISNUMBER(R792), isnumber(S792)), 1, 0)</f>
      </c>
      <c r="V792" s="13"/>
      <c r="W792" s="13"/>
      <c r="X792" s="16"/>
    </row>
    <row x14ac:dyDescent="0.25" r="793" customHeight="1" ht="15.75">
      <c r="A793" s="8">
        <v>25029</v>
      </c>
      <c r="B793" s="13" t="s">
        <v>109</v>
      </c>
      <c r="C793" s="13" t="s">
        <v>6306</v>
      </c>
      <c r="D793" s="10">
        <v>0.9692</v>
      </c>
      <c r="E793" s="11">
        <v>370.16</v>
      </c>
      <c r="F793" s="10">
        <v>0.8308</v>
      </c>
      <c r="G793" s="11">
        <v>441.54</v>
      </c>
      <c r="H793" s="10">
        <v>1</v>
      </c>
      <c r="I793" s="11">
        <v>418.41</v>
      </c>
      <c r="J793" s="10">
        <v>0.9077</v>
      </c>
      <c r="K793" s="11">
        <v>377.93</v>
      </c>
      <c r="L793" s="10">
        <v>0.8308</v>
      </c>
      <c r="M793" s="11">
        <v>462.96</v>
      </c>
      <c r="N793" s="10">
        <v>0.8154</v>
      </c>
      <c r="O793" s="11">
        <v>469.23</v>
      </c>
      <c r="P793" s="10">
        <v>0.9692</v>
      </c>
      <c r="Q793" s="10">
        <v>0.243</v>
      </c>
      <c r="R793" s="10">
        <v>0.9077</v>
      </c>
      <c r="S793" s="10">
        <v>0.2128</v>
      </c>
      <c r="T793" s="8">
        <f>IF(and(ISNUMBER(D793), isnumber(E793)), 1, 0) + IF(and(ISNUMBER(F793), isnumber(G793)), 1, 0) + IF(and(ISNUMBER(H793), isnumber(I793)), 1, 0) + IF(and(ISNUMBER(J793), isnumber(K793)), 1, 0) + IF(and(ISNUMBER(L793), isnumber(M793)), 1, 0) + IF(and(ISNUMBER(N793), isnumber(O793)), 1, 0)</f>
      </c>
      <c r="U793" s="8">
        <f>IF(and(ISNUMBER(P793), isnumber(Q793)), 1, 0) + IF(and(ISNUMBER(R793), isnumber(S793)), 1, 0)</f>
      </c>
      <c r="V793" s="13"/>
      <c r="W793" s="13"/>
      <c r="X793" s="16"/>
    </row>
    <row x14ac:dyDescent="0.25" r="794" customHeight="1" ht="15.75">
      <c r="A794" s="8">
        <v>25006</v>
      </c>
      <c r="B794" s="13" t="s">
        <v>109</v>
      </c>
      <c r="C794" s="13" t="s">
        <v>6309</v>
      </c>
      <c r="D794" s="10">
        <v>0.8421</v>
      </c>
      <c r="E794" s="11">
        <v>161.33</v>
      </c>
      <c r="F794" s="10">
        <v>0.8158</v>
      </c>
      <c r="G794" s="11">
        <v>341.33</v>
      </c>
      <c r="H794" s="10">
        <v>0.8158</v>
      </c>
      <c r="I794" s="11">
        <v>414.19</v>
      </c>
      <c r="J794" s="10">
        <v>0.8158</v>
      </c>
      <c r="K794" s="11">
        <v>365.33</v>
      </c>
      <c r="L794" s="10">
        <v>0.8684</v>
      </c>
      <c r="M794" s="11">
        <v>387.5</v>
      </c>
      <c r="N794" s="10">
        <v>0.7368</v>
      </c>
      <c r="O794" s="11">
        <v>488.89</v>
      </c>
      <c r="P794" s="10">
        <v>0.8421</v>
      </c>
      <c r="Q794" s="10">
        <v>0.2267</v>
      </c>
      <c r="R794" s="10">
        <v>0.8158</v>
      </c>
      <c r="S794" s="10">
        <v>0.1996</v>
      </c>
      <c r="T794" s="8">
        <f>IF(and(ISNUMBER(D794), isnumber(E794)), 1, 0) + IF(and(ISNUMBER(F794), isnumber(G794)), 1, 0) + IF(and(ISNUMBER(H794), isnumber(I794)), 1, 0) + IF(and(ISNUMBER(J794), isnumber(K794)), 1, 0) + IF(and(ISNUMBER(L794), isnumber(M794)), 1, 0) + IF(and(ISNUMBER(N794), isnumber(O794)), 1, 0)</f>
      </c>
      <c r="U794" s="8">
        <f>IF(and(ISNUMBER(P794), isnumber(Q794)), 1, 0) + IF(and(ISNUMBER(R794), isnumber(S794)), 1, 0)</f>
      </c>
      <c r="V794" s="13"/>
      <c r="W794" s="13"/>
      <c r="X794" s="16"/>
    </row>
    <row x14ac:dyDescent="0.25" r="795" customHeight="1" ht="15.75">
      <c r="A795" s="8">
        <v>25038</v>
      </c>
      <c r="B795" s="13" t="s">
        <v>109</v>
      </c>
      <c r="C795" s="13" t="s">
        <v>6311</v>
      </c>
      <c r="D795" s="10">
        <v>0.7736</v>
      </c>
      <c r="E795" s="11">
        <v>213</v>
      </c>
      <c r="F795" s="10">
        <v>0.566</v>
      </c>
      <c r="G795" s="11">
        <v>393.33</v>
      </c>
      <c r="H795" s="10">
        <v>0.8113</v>
      </c>
      <c r="I795" s="11">
        <v>468.84</v>
      </c>
      <c r="J795" s="10">
        <v>0.8679</v>
      </c>
      <c r="K795" s="11">
        <v>283.56</v>
      </c>
      <c r="L795" s="10">
        <v>0.8113</v>
      </c>
      <c r="M795" s="11">
        <v>460.95</v>
      </c>
      <c r="N795" s="10">
        <v>0.8113</v>
      </c>
      <c r="O795" s="11">
        <v>303.81</v>
      </c>
      <c r="P795" s="10">
        <v>0.7736</v>
      </c>
      <c r="Q795" s="10">
        <v>0.2508</v>
      </c>
      <c r="R795" s="10">
        <v>0.8679</v>
      </c>
      <c r="S795" s="10">
        <v>0.2657</v>
      </c>
      <c r="T795" s="8">
        <f>IF(and(ISNUMBER(D795), isnumber(E795)), 1, 0) + IF(and(ISNUMBER(F795), isnumber(G795)), 1, 0) + IF(and(ISNUMBER(H795), isnumber(I795)), 1, 0) + IF(and(ISNUMBER(J795), isnumber(K795)), 1, 0) + IF(and(ISNUMBER(L795), isnumber(M795)), 1, 0) + IF(and(ISNUMBER(N795), isnumber(O795)), 1, 0)</f>
      </c>
      <c r="U795" s="8">
        <f>IF(and(ISNUMBER(P795), isnumber(Q795)), 1, 0) + IF(and(ISNUMBER(R795), isnumber(S795)), 1, 0)</f>
      </c>
      <c r="V795" s="13"/>
      <c r="W795" s="13"/>
      <c r="X795" s="16"/>
    </row>
    <row x14ac:dyDescent="0.25" r="796" customHeight="1" ht="15.75">
      <c r="A796" s="8">
        <v>25007</v>
      </c>
      <c r="B796" s="13" t="s">
        <v>109</v>
      </c>
      <c r="C796" s="13" t="s">
        <v>6062</v>
      </c>
      <c r="D796" s="10">
        <v>0.9286</v>
      </c>
      <c r="E796" s="11">
        <v>332.31</v>
      </c>
      <c r="F796" s="10">
        <v>0.8571</v>
      </c>
      <c r="G796" s="11">
        <v>429.09</v>
      </c>
      <c r="H796" s="10">
        <v>0.8571</v>
      </c>
      <c r="I796" s="11">
        <v>523.64</v>
      </c>
      <c r="J796" s="10">
        <v>0.9286</v>
      </c>
      <c r="K796" s="11">
        <v>433.33</v>
      </c>
      <c r="L796" s="10">
        <v>1</v>
      </c>
      <c r="M796" s="11">
        <v>516.92</v>
      </c>
      <c r="N796" s="10">
        <v>0.8571</v>
      </c>
      <c r="O796" s="11">
        <v>560</v>
      </c>
      <c r="P796" s="10">
        <v>0.9286</v>
      </c>
      <c r="Q796" s="10">
        <v>0.2403</v>
      </c>
      <c r="R796" s="10">
        <v>0.9286</v>
      </c>
      <c r="S796" s="10">
        <v>0.2111</v>
      </c>
      <c r="T796" s="8">
        <f>IF(and(ISNUMBER(D796), isnumber(E796)), 1, 0) + IF(and(ISNUMBER(F796), isnumber(G796)), 1, 0) + IF(and(ISNUMBER(H796), isnumber(I796)), 1, 0) + IF(and(ISNUMBER(J796), isnumber(K796)), 1, 0) + IF(and(ISNUMBER(L796), isnumber(M796)), 1, 0) + IF(and(ISNUMBER(N796), isnumber(O796)), 1, 0)</f>
      </c>
      <c r="U796" s="8">
        <f>IF(and(ISNUMBER(P796), isnumber(Q796)), 1, 0) + IF(and(ISNUMBER(R796), isnumber(S796)), 1, 0)</f>
      </c>
      <c r="V796" s="13"/>
      <c r="W796" s="13"/>
      <c r="X796" s="16"/>
    </row>
    <row x14ac:dyDescent="0.25" r="797" customHeight="1" ht="15.75">
      <c r="A797" s="8">
        <v>25008</v>
      </c>
      <c r="B797" s="13" t="s">
        <v>109</v>
      </c>
      <c r="C797" s="13" t="s">
        <v>6315</v>
      </c>
      <c r="D797" s="10">
        <v>0.9167</v>
      </c>
      <c r="E797" s="11">
        <v>18.18</v>
      </c>
      <c r="F797" s="10">
        <v>1</v>
      </c>
      <c r="G797" s="11">
        <v>613.33</v>
      </c>
      <c r="H797" s="10">
        <v>1</v>
      </c>
      <c r="I797" s="11">
        <v>580</v>
      </c>
      <c r="J797" s="10">
        <v>1</v>
      </c>
      <c r="K797" s="11">
        <v>546.67</v>
      </c>
      <c r="L797" s="10">
        <v>0.9167</v>
      </c>
      <c r="M797" s="11">
        <v>620</v>
      </c>
      <c r="N797" s="10">
        <v>0.9167</v>
      </c>
      <c r="O797" s="11">
        <v>614.55</v>
      </c>
      <c r="P797" s="10">
        <v>0.9167</v>
      </c>
      <c r="Q797" s="10">
        <v>0.223</v>
      </c>
      <c r="R797" s="10">
        <v>1</v>
      </c>
      <c r="S797" s="10">
        <v>0.2787</v>
      </c>
      <c r="T797" s="8">
        <f>IF(and(ISNUMBER(D797), isnumber(E797)), 1, 0) + IF(and(ISNUMBER(F797), isnumber(G797)), 1, 0) + IF(and(ISNUMBER(H797), isnumber(I797)), 1, 0) + IF(and(ISNUMBER(J797), isnumber(K797)), 1, 0) + IF(and(ISNUMBER(L797), isnumber(M797)), 1, 0) + IF(and(ISNUMBER(N797), isnumber(O797)), 1, 0)</f>
      </c>
      <c r="U797" s="8">
        <f>IF(and(ISNUMBER(P797), isnumber(Q797)), 1, 0) + IF(and(ISNUMBER(R797), isnumber(S797)), 1, 0)</f>
      </c>
      <c r="V797" s="13"/>
      <c r="W797" s="13"/>
      <c r="X797" s="16"/>
    </row>
    <row x14ac:dyDescent="0.25" r="798" customHeight="1" ht="15.75">
      <c r="A798" s="8">
        <v>25058</v>
      </c>
      <c r="B798" s="13" t="s">
        <v>109</v>
      </c>
      <c r="C798" s="13" t="s">
        <v>6316</v>
      </c>
      <c r="D798" s="10">
        <v>0.8621</v>
      </c>
      <c r="E798" s="11">
        <v>206.11</v>
      </c>
      <c r="F798" s="10">
        <v>0.8046</v>
      </c>
      <c r="G798" s="11">
        <v>400</v>
      </c>
      <c r="H798" s="10">
        <v>0.7816</v>
      </c>
      <c r="I798" s="11">
        <v>397.06</v>
      </c>
      <c r="J798" s="10">
        <v>0.8276</v>
      </c>
      <c r="K798" s="11">
        <v>397.75</v>
      </c>
      <c r="L798" s="10">
        <v>0.7931</v>
      </c>
      <c r="M798" s="11">
        <v>432.46</v>
      </c>
      <c r="N798" s="10">
        <v>0.7241</v>
      </c>
      <c r="O798" s="11">
        <v>394.75</v>
      </c>
      <c r="P798" s="10">
        <v>0.8621</v>
      </c>
      <c r="Q798" s="10">
        <v>0.2383</v>
      </c>
      <c r="R798" s="10">
        <v>0.8276</v>
      </c>
      <c r="S798" s="10">
        <v>0.2075</v>
      </c>
      <c r="T798" s="8">
        <f>IF(and(ISNUMBER(D798), isnumber(E798)), 1, 0) + IF(and(ISNUMBER(F798), isnumber(G798)), 1, 0) + IF(and(ISNUMBER(H798), isnumber(I798)), 1, 0) + IF(and(ISNUMBER(J798), isnumber(K798)), 1, 0) + IF(and(ISNUMBER(L798), isnumber(M798)), 1, 0) + IF(and(ISNUMBER(N798), isnumber(O798)), 1, 0)</f>
      </c>
      <c r="U798" s="8">
        <f>IF(and(ISNUMBER(P798), isnumber(Q798)), 1, 0) + IF(and(ISNUMBER(R798), isnumber(S798)), 1, 0)</f>
      </c>
      <c r="V798" s="13"/>
      <c r="W798" s="13"/>
      <c r="X798" s="16"/>
    </row>
    <row x14ac:dyDescent="0.25" r="799" customHeight="1" ht="15.75">
      <c r="A799" s="8">
        <v>25030</v>
      </c>
      <c r="B799" s="13" t="s">
        <v>109</v>
      </c>
      <c r="C799" s="13" t="s">
        <v>6317</v>
      </c>
      <c r="D799" s="10">
        <v>0.6923</v>
      </c>
      <c r="E799" s="11">
        <v>249.14</v>
      </c>
      <c r="F799" s="10">
        <v>0.6538</v>
      </c>
      <c r="G799" s="11">
        <v>391.76</v>
      </c>
      <c r="H799" s="10">
        <v>0.5132</v>
      </c>
      <c r="I799" s="11">
        <v>387.69</v>
      </c>
      <c r="J799" s="10">
        <v>0.5882</v>
      </c>
      <c r="K799" s="11">
        <v>306</v>
      </c>
      <c r="L799" s="10">
        <v>0.4342</v>
      </c>
      <c r="M799" s="11">
        <v>318.79</v>
      </c>
      <c r="N799" s="10">
        <v>0.1842</v>
      </c>
      <c r="O799" s="11">
        <v>380</v>
      </c>
      <c r="P799" s="10">
        <v>0.6923</v>
      </c>
      <c r="Q799" s="10">
        <v>0.2295</v>
      </c>
      <c r="R799" s="10">
        <v>0.5882</v>
      </c>
      <c r="S799" s="10">
        <v>0.2163</v>
      </c>
      <c r="T799" s="8">
        <f>IF(and(ISNUMBER(D799), isnumber(E799)), 1, 0) + IF(and(ISNUMBER(F799), isnumber(G799)), 1, 0) + IF(and(ISNUMBER(H799), isnumber(I799)), 1, 0) + IF(and(ISNUMBER(J799), isnumber(K799)), 1, 0) + IF(and(ISNUMBER(L799), isnumber(M799)), 1, 0) + IF(and(ISNUMBER(N799), isnumber(O799)), 1, 0)</f>
      </c>
      <c r="U799" s="8">
        <f>IF(and(ISNUMBER(P799), isnumber(Q799)), 1, 0) + IF(and(ISNUMBER(R799), isnumber(S799)), 1, 0)</f>
      </c>
      <c r="V799" s="13"/>
      <c r="W799" s="13"/>
      <c r="X799" s="16"/>
    </row>
    <row x14ac:dyDescent="0.25" r="800" customHeight="1" ht="15.75">
      <c r="A800" s="8">
        <v>25011</v>
      </c>
      <c r="B800" s="13" t="s">
        <v>109</v>
      </c>
      <c r="C800" s="13" t="s">
        <v>6318</v>
      </c>
      <c r="D800" s="10">
        <v>0.9265</v>
      </c>
      <c r="E800" s="11">
        <v>256.67</v>
      </c>
      <c r="F800" s="10">
        <v>0.5882</v>
      </c>
      <c r="G800" s="11">
        <v>455.79</v>
      </c>
      <c r="H800" s="10">
        <v>0.6765</v>
      </c>
      <c r="I800" s="11">
        <v>462.61</v>
      </c>
      <c r="J800" s="10">
        <v>0.4265</v>
      </c>
      <c r="K800" s="11">
        <v>264.62</v>
      </c>
      <c r="L800" s="10">
        <v>0.6471</v>
      </c>
      <c r="M800" s="11">
        <v>513.64</v>
      </c>
      <c r="N800" s="10">
        <v>0.3529</v>
      </c>
      <c r="O800" s="11">
        <v>583.33</v>
      </c>
      <c r="P800" s="10">
        <v>0.9265</v>
      </c>
      <c r="Q800" s="10">
        <v>0.2643</v>
      </c>
      <c r="R800" s="10">
        <v>0.4265</v>
      </c>
      <c r="S800" s="10">
        <v>0.2062</v>
      </c>
      <c r="T800" s="8">
        <f>IF(and(ISNUMBER(D800), isnumber(E800)), 1, 0) + IF(and(ISNUMBER(F800), isnumber(G800)), 1, 0) + IF(and(ISNUMBER(H800), isnumber(I800)), 1, 0) + IF(and(ISNUMBER(J800), isnumber(K800)), 1, 0) + IF(and(ISNUMBER(L800), isnumber(M800)), 1, 0) + IF(and(ISNUMBER(N800), isnumber(O800)), 1, 0)</f>
      </c>
      <c r="U800" s="8">
        <f>IF(and(ISNUMBER(P800), isnumber(Q800)), 1, 0) + IF(and(ISNUMBER(R800), isnumber(S800)), 1, 0)</f>
      </c>
      <c r="V800" s="13"/>
      <c r="W800" s="13"/>
      <c r="X800" s="16"/>
    </row>
    <row x14ac:dyDescent="0.25" r="801" customHeight="1" ht="15.75">
      <c r="A801" s="8">
        <v>25009</v>
      </c>
      <c r="B801" s="13" t="s">
        <v>109</v>
      </c>
      <c r="C801" s="13" t="s">
        <v>6321</v>
      </c>
      <c r="D801" s="10">
        <v>0.6905</v>
      </c>
      <c r="E801" s="11">
        <v>136.55</v>
      </c>
      <c r="F801" s="10">
        <v>0</v>
      </c>
      <c r="G801" s="11" t="s">
        <v>7127</v>
      </c>
      <c r="H801" s="10">
        <v>0.5476</v>
      </c>
      <c r="I801" s="11">
        <v>474.78</v>
      </c>
      <c r="J801" s="10">
        <v>0.5952</v>
      </c>
      <c r="K801" s="11">
        <v>408.33</v>
      </c>
      <c r="L801" s="10">
        <v>0.5952</v>
      </c>
      <c r="M801" s="11">
        <v>483.2</v>
      </c>
      <c r="N801" s="10">
        <v>0.5238</v>
      </c>
      <c r="O801" s="11">
        <v>498.18</v>
      </c>
      <c r="P801" s="10">
        <v>0.6905</v>
      </c>
      <c r="Q801" s="10">
        <v>0.2291</v>
      </c>
      <c r="R801" s="10">
        <v>0.5952</v>
      </c>
      <c r="S801" s="10">
        <v>0.2111</v>
      </c>
      <c r="T801" s="8">
        <f>IF(and(ISNUMBER(D801), isnumber(E801)), 1, 0) + IF(and(ISNUMBER(F801), isnumber(G801)), 1, 0) + IF(and(ISNUMBER(H801), isnumber(I801)), 1, 0) + IF(and(ISNUMBER(J801), isnumber(K801)), 1, 0) + IF(and(ISNUMBER(L801), isnumber(M801)), 1, 0) + IF(and(ISNUMBER(N801), isnumber(O801)), 1, 0)</f>
      </c>
      <c r="U801" s="8">
        <f>IF(and(ISNUMBER(P801), isnumber(Q801)), 1, 0) + IF(and(ISNUMBER(R801), isnumber(S801)), 1, 0)</f>
      </c>
      <c r="V801" s="13"/>
      <c r="W801" s="13"/>
      <c r="X801" s="16"/>
    </row>
    <row x14ac:dyDescent="0.25" r="802" customHeight="1" ht="15.75">
      <c r="A802" s="8">
        <v>25053</v>
      </c>
      <c r="B802" s="13" t="s">
        <v>109</v>
      </c>
      <c r="C802" s="13" t="s">
        <v>6322</v>
      </c>
      <c r="D802" s="10">
        <v>0.9732</v>
      </c>
      <c r="E802" s="11">
        <v>507.02</v>
      </c>
      <c r="F802" s="10">
        <v>0.9732</v>
      </c>
      <c r="G802" s="11">
        <v>533.85</v>
      </c>
      <c r="H802" s="10">
        <v>0.8869</v>
      </c>
      <c r="I802" s="11">
        <v>578.96</v>
      </c>
      <c r="J802" s="10">
        <v>0.9268</v>
      </c>
      <c r="K802" s="11">
        <v>550</v>
      </c>
      <c r="L802" s="10">
        <v>0.8929</v>
      </c>
      <c r="M802" s="11">
        <v>564.71</v>
      </c>
      <c r="N802" s="10">
        <v>0.8571</v>
      </c>
      <c r="O802" s="11">
        <v>557.8</v>
      </c>
      <c r="P802" s="10">
        <v>0.9732</v>
      </c>
      <c r="Q802" s="10">
        <v>0.2758</v>
      </c>
      <c r="R802" s="10">
        <v>0.9268</v>
      </c>
      <c r="S802" s="10">
        <v>0.2195</v>
      </c>
      <c r="T802" s="8">
        <f>IF(and(ISNUMBER(D802), isnumber(E802)), 1, 0) + IF(and(ISNUMBER(F802), isnumber(G802)), 1, 0) + IF(and(ISNUMBER(H802), isnumber(I802)), 1, 0) + IF(and(ISNUMBER(J802), isnumber(K802)), 1, 0) + IF(and(ISNUMBER(L802), isnumber(M802)), 1, 0) + IF(and(ISNUMBER(N802), isnumber(O802)), 1, 0)</f>
      </c>
      <c r="U802" s="8">
        <f>IF(and(ISNUMBER(P802), isnumber(Q802)), 1, 0) + IF(and(ISNUMBER(R802), isnumber(S802)), 1, 0)</f>
      </c>
      <c r="V802" s="13"/>
      <c r="W802" s="13"/>
      <c r="X802" s="16"/>
    </row>
    <row x14ac:dyDescent="0.25" r="803" customHeight="1" ht="15.75">
      <c r="A803" s="8">
        <v>25039</v>
      </c>
      <c r="B803" s="13" t="s">
        <v>109</v>
      </c>
      <c r="C803" s="13" t="s">
        <v>6325</v>
      </c>
      <c r="D803" s="10">
        <v>1</v>
      </c>
      <c r="E803" s="11">
        <v>434.29</v>
      </c>
      <c r="F803" s="10">
        <v>1</v>
      </c>
      <c r="G803" s="11">
        <v>500</v>
      </c>
      <c r="H803" s="10">
        <v>1</v>
      </c>
      <c r="I803" s="11">
        <v>550</v>
      </c>
      <c r="J803" s="10">
        <v>1</v>
      </c>
      <c r="K803" s="11">
        <v>445.71</v>
      </c>
      <c r="L803" s="10">
        <v>0.9643</v>
      </c>
      <c r="M803" s="11">
        <v>597.04</v>
      </c>
      <c r="N803" s="10">
        <v>1</v>
      </c>
      <c r="O803" s="11">
        <v>588.57</v>
      </c>
      <c r="P803" s="10">
        <v>1</v>
      </c>
      <c r="Q803" s="10">
        <v>0.2764</v>
      </c>
      <c r="R803" s="10">
        <v>1</v>
      </c>
      <c r="S803" s="10">
        <v>0.2101</v>
      </c>
      <c r="T803" s="8">
        <f>IF(and(ISNUMBER(D803), isnumber(E803)), 1, 0) + IF(and(ISNUMBER(F803), isnumber(G803)), 1, 0) + IF(and(ISNUMBER(H803), isnumber(I803)), 1, 0) + IF(and(ISNUMBER(J803), isnumber(K803)), 1, 0) + IF(and(ISNUMBER(L803), isnumber(M803)), 1, 0) + IF(and(ISNUMBER(N803), isnumber(O803)), 1, 0)</f>
      </c>
      <c r="U803" s="8">
        <f>IF(and(ISNUMBER(P803), isnumber(Q803)), 1, 0) + IF(and(ISNUMBER(R803), isnumber(S803)), 1, 0)</f>
      </c>
      <c r="V803" s="13"/>
      <c r="W803" s="13"/>
      <c r="X803" s="16"/>
    </row>
    <row x14ac:dyDescent="0.25" r="804" customHeight="1" ht="15.75">
      <c r="A804" s="8">
        <v>25031</v>
      </c>
      <c r="B804" s="13" t="s">
        <v>109</v>
      </c>
      <c r="C804" s="13" t="s">
        <v>6326</v>
      </c>
      <c r="D804" s="10">
        <v>1</v>
      </c>
      <c r="E804" s="11">
        <v>326.45</v>
      </c>
      <c r="F804" s="10">
        <v>1</v>
      </c>
      <c r="G804" s="11">
        <v>417.33</v>
      </c>
      <c r="H804" s="10">
        <v>0.8387</v>
      </c>
      <c r="I804" s="11">
        <v>446.15</v>
      </c>
      <c r="J804" s="10">
        <v>0.8387</v>
      </c>
      <c r="K804" s="11">
        <v>440</v>
      </c>
      <c r="L804" s="10">
        <v>0.8387</v>
      </c>
      <c r="M804" s="11">
        <v>472</v>
      </c>
      <c r="N804" s="10">
        <v>0.7419</v>
      </c>
      <c r="O804" s="11">
        <v>549.09</v>
      </c>
      <c r="P804" s="10">
        <v>1</v>
      </c>
      <c r="Q804" s="10">
        <v>0.2744</v>
      </c>
      <c r="R804" s="10">
        <v>0.8387</v>
      </c>
      <c r="S804" s="10">
        <v>0.2196</v>
      </c>
      <c r="T804" s="8">
        <f>IF(and(ISNUMBER(D804), isnumber(E804)), 1, 0) + IF(and(ISNUMBER(F804), isnumber(G804)), 1, 0) + IF(and(ISNUMBER(H804), isnumber(I804)), 1, 0) + IF(and(ISNUMBER(J804), isnumber(K804)), 1, 0) + IF(and(ISNUMBER(L804), isnumber(M804)), 1, 0) + IF(and(ISNUMBER(N804), isnumber(O804)), 1, 0)</f>
      </c>
      <c r="U804" s="8">
        <f>IF(and(ISNUMBER(P804), isnumber(Q804)), 1, 0) + IF(and(ISNUMBER(R804), isnumber(S804)), 1, 0)</f>
      </c>
      <c r="V804" s="13"/>
      <c r="W804" s="13"/>
      <c r="X804" s="16"/>
    </row>
    <row x14ac:dyDescent="0.25" r="805" customHeight="1" ht="15.75">
      <c r="A805" s="8">
        <v>25032</v>
      </c>
      <c r="B805" s="13" t="s">
        <v>109</v>
      </c>
      <c r="C805" s="13" t="s">
        <v>6328</v>
      </c>
      <c r="D805" s="10">
        <v>0.9123</v>
      </c>
      <c r="E805" s="11">
        <v>499.61</v>
      </c>
      <c r="F805" s="10">
        <v>0.614</v>
      </c>
      <c r="G805" s="11">
        <v>634.29</v>
      </c>
      <c r="H805" s="10">
        <v>0.5965</v>
      </c>
      <c r="I805" s="11">
        <v>611.76</v>
      </c>
      <c r="J805" s="10">
        <v>0.6316</v>
      </c>
      <c r="K805" s="11">
        <v>482.35</v>
      </c>
      <c r="L805" s="10">
        <v>0.5965</v>
      </c>
      <c r="M805" s="11">
        <v>527.06</v>
      </c>
      <c r="N805" s="10">
        <v>0.5965</v>
      </c>
      <c r="O805" s="11">
        <v>560</v>
      </c>
      <c r="P805" s="10">
        <v>0.9123</v>
      </c>
      <c r="Q805" s="10">
        <v>0.2763</v>
      </c>
      <c r="R805" s="10">
        <v>0.6316</v>
      </c>
      <c r="S805" s="10">
        <v>0.2184</v>
      </c>
      <c r="T805" s="8">
        <f>IF(and(ISNUMBER(D805), isnumber(E805)), 1, 0) + IF(and(ISNUMBER(F805), isnumber(G805)), 1, 0) + IF(and(ISNUMBER(H805), isnumber(I805)), 1, 0) + IF(and(ISNUMBER(J805), isnumber(K805)), 1, 0) + IF(and(ISNUMBER(L805), isnumber(M805)), 1, 0) + IF(and(ISNUMBER(N805), isnumber(O805)), 1, 0)</f>
      </c>
      <c r="U805" s="8">
        <f>IF(and(ISNUMBER(P805), isnumber(Q805)), 1, 0) + IF(and(ISNUMBER(R805), isnumber(S805)), 1, 0)</f>
      </c>
      <c r="V805" s="13"/>
      <c r="W805" s="13"/>
      <c r="X805" s="16"/>
    </row>
    <row x14ac:dyDescent="0.25" r="806" customHeight="1" ht="15.75">
      <c r="A806" s="8">
        <v>25054</v>
      </c>
      <c r="B806" s="13" t="s">
        <v>109</v>
      </c>
      <c r="C806" s="13" t="s">
        <v>6330</v>
      </c>
      <c r="D806" s="10">
        <v>0.8765</v>
      </c>
      <c r="E806" s="11">
        <v>358.87</v>
      </c>
      <c r="F806" s="10">
        <v>0.6049</v>
      </c>
      <c r="G806" s="11">
        <v>405.83</v>
      </c>
      <c r="H806" s="10">
        <v>0.8395</v>
      </c>
      <c r="I806" s="11">
        <v>392.35</v>
      </c>
      <c r="J806" s="10">
        <v>0.8889</v>
      </c>
      <c r="K806" s="11">
        <v>372.35</v>
      </c>
      <c r="L806" s="10">
        <v>0.8395</v>
      </c>
      <c r="M806" s="11">
        <v>468.48</v>
      </c>
      <c r="N806" s="10">
        <v>0.8148</v>
      </c>
      <c r="O806" s="11">
        <v>432.73</v>
      </c>
      <c r="P806" s="10">
        <v>0.8765</v>
      </c>
      <c r="Q806" s="10">
        <v>0.3061</v>
      </c>
      <c r="R806" s="10">
        <v>0.8889</v>
      </c>
      <c r="S806" s="10">
        <v>0.2583</v>
      </c>
      <c r="T806" s="8">
        <f>IF(and(ISNUMBER(D806), isnumber(E806)), 1, 0) + IF(and(ISNUMBER(F806), isnumber(G806)), 1, 0) + IF(and(ISNUMBER(H806), isnumber(I806)), 1, 0) + IF(and(ISNUMBER(J806), isnumber(K806)), 1, 0) + IF(and(ISNUMBER(L806), isnumber(M806)), 1, 0) + IF(and(ISNUMBER(N806), isnumber(O806)), 1, 0)</f>
      </c>
      <c r="U806" s="8">
        <f>IF(and(ISNUMBER(P806), isnumber(Q806)), 1, 0) + IF(and(ISNUMBER(R806), isnumber(S806)), 1, 0)</f>
      </c>
      <c r="V806" s="13"/>
      <c r="W806" s="13"/>
      <c r="X806" s="16"/>
    </row>
    <row x14ac:dyDescent="0.25" r="807" customHeight="1" ht="15.75">
      <c r="A807" s="8">
        <v>25033</v>
      </c>
      <c r="B807" s="13" t="s">
        <v>109</v>
      </c>
      <c r="C807" s="13" t="s">
        <v>6332</v>
      </c>
      <c r="D807" s="10">
        <v>1</v>
      </c>
      <c r="E807" s="11">
        <v>141.33</v>
      </c>
      <c r="F807" s="10">
        <v>0.8444</v>
      </c>
      <c r="G807" s="11">
        <v>287.37</v>
      </c>
      <c r="H807" s="10">
        <v>0.6222</v>
      </c>
      <c r="I807" s="11">
        <v>339.26</v>
      </c>
      <c r="J807" s="10">
        <v>0.7333</v>
      </c>
      <c r="K807" s="11">
        <v>138.18</v>
      </c>
      <c r="L807" s="10">
        <v>0.7111</v>
      </c>
      <c r="M807" s="11">
        <v>180</v>
      </c>
      <c r="N807" s="10">
        <v>0.6667</v>
      </c>
      <c r="O807" s="11">
        <v>206.67</v>
      </c>
      <c r="P807" s="10">
        <v>1</v>
      </c>
      <c r="Q807" s="10">
        <v>0.2118</v>
      </c>
      <c r="R807" s="10">
        <v>0.7333</v>
      </c>
      <c r="S807" s="10">
        <v>0.2081</v>
      </c>
      <c r="T807" s="8">
        <f>IF(and(ISNUMBER(D807), isnumber(E807)), 1, 0) + IF(and(ISNUMBER(F807), isnumber(G807)), 1, 0) + IF(and(ISNUMBER(H807), isnumber(I807)), 1, 0) + IF(and(ISNUMBER(J807), isnumber(K807)), 1, 0) + IF(and(ISNUMBER(L807), isnumber(M807)), 1, 0) + IF(and(ISNUMBER(N807), isnumber(O807)), 1, 0)</f>
      </c>
      <c r="U807" s="8">
        <f>IF(and(ISNUMBER(P807), isnumber(Q807)), 1, 0) + IF(and(ISNUMBER(R807), isnumber(S807)), 1, 0)</f>
      </c>
      <c r="V807" s="13"/>
      <c r="W807" s="13"/>
      <c r="X807" s="16"/>
    </row>
    <row x14ac:dyDescent="0.25" r="808" customHeight="1" ht="15.75">
      <c r="A808" s="8">
        <v>25055</v>
      </c>
      <c r="B808" s="13" t="s">
        <v>109</v>
      </c>
      <c r="C808" s="13" t="s">
        <v>6333</v>
      </c>
      <c r="D808" s="10">
        <v>0.98</v>
      </c>
      <c r="E808" s="11">
        <v>528.16</v>
      </c>
      <c r="F808" s="10">
        <v>0.98</v>
      </c>
      <c r="G808" s="11">
        <v>527.35</v>
      </c>
      <c r="H808" s="10">
        <v>0.88</v>
      </c>
      <c r="I808" s="11">
        <v>607.27</v>
      </c>
      <c r="J808" s="10">
        <v>0.94</v>
      </c>
      <c r="K808" s="11">
        <v>599.15</v>
      </c>
      <c r="L808" s="10">
        <v>0.86</v>
      </c>
      <c r="M808" s="11">
        <v>625.12</v>
      </c>
      <c r="N808" s="10">
        <v>0.82</v>
      </c>
      <c r="O808" s="11">
        <v>592</v>
      </c>
      <c r="P808" s="10">
        <v>0.98</v>
      </c>
      <c r="Q808" s="10">
        <v>0.2973</v>
      </c>
      <c r="R808" s="10">
        <v>0.94</v>
      </c>
      <c r="S808" s="10">
        <v>0.2269</v>
      </c>
      <c r="T808" s="8">
        <f>IF(and(ISNUMBER(D808), isnumber(E808)), 1, 0) + IF(and(ISNUMBER(F808), isnumber(G808)), 1, 0) + IF(and(ISNUMBER(H808), isnumber(I808)), 1, 0) + IF(and(ISNUMBER(J808), isnumber(K808)), 1, 0) + IF(and(ISNUMBER(L808), isnumber(M808)), 1, 0) + IF(and(ISNUMBER(N808), isnumber(O808)), 1, 0)</f>
      </c>
      <c r="U808" s="8">
        <f>IF(and(ISNUMBER(P808), isnumber(Q808)), 1, 0) + IF(and(ISNUMBER(R808), isnumber(S808)), 1, 0)</f>
      </c>
      <c r="V808" s="13"/>
      <c r="W808" s="13"/>
      <c r="X808" s="16"/>
    </row>
    <row x14ac:dyDescent="0.25" r="809" customHeight="1" ht="15.75">
      <c r="A809" s="8">
        <v>25056</v>
      </c>
      <c r="B809" s="13" t="s">
        <v>109</v>
      </c>
      <c r="C809" s="13" t="s">
        <v>6335</v>
      </c>
      <c r="D809" s="10">
        <v>0.9167</v>
      </c>
      <c r="E809" s="11">
        <v>317.58</v>
      </c>
      <c r="F809" s="10">
        <v>0.7222</v>
      </c>
      <c r="G809" s="11">
        <v>404.62</v>
      </c>
      <c r="H809" s="10">
        <v>0.7222</v>
      </c>
      <c r="I809" s="11">
        <v>500</v>
      </c>
      <c r="J809" s="10">
        <v>0.8611</v>
      </c>
      <c r="K809" s="11">
        <v>419.35</v>
      </c>
      <c r="L809" s="10">
        <v>0.8889</v>
      </c>
      <c r="M809" s="11">
        <v>470</v>
      </c>
      <c r="N809" s="10">
        <v>0.8889</v>
      </c>
      <c r="O809" s="11">
        <v>488.75</v>
      </c>
      <c r="P809" s="10">
        <v>0.9167</v>
      </c>
      <c r="Q809" s="10">
        <v>0.2667</v>
      </c>
      <c r="R809" s="10">
        <v>0.8611</v>
      </c>
      <c r="S809" s="10">
        <v>0.2095</v>
      </c>
      <c r="T809" s="8">
        <f>IF(and(ISNUMBER(D809), isnumber(E809)), 1, 0) + IF(and(ISNUMBER(F809), isnumber(G809)), 1, 0) + IF(and(ISNUMBER(H809), isnumber(I809)), 1, 0) + IF(and(ISNUMBER(J809), isnumber(K809)), 1, 0) + IF(and(ISNUMBER(L809), isnumber(M809)), 1, 0) + IF(and(ISNUMBER(N809), isnumber(O809)), 1, 0)</f>
      </c>
      <c r="U809" s="8">
        <f>IF(and(ISNUMBER(P809), isnumber(Q809)), 1, 0) + IF(and(ISNUMBER(R809), isnumber(S809)), 1, 0)</f>
      </c>
      <c r="V809" s="13"/>
      <c r="W809" s="13"/>
      <c r="X809" s="16"/>
    </row>
    <row x14ac:dyDescent="0.25" r="810" customHeight="1" ht="15.75">
      <c r="A810" s="8">
        <v>25012</v>
      </c>
      <c r="B810" s="13" t="s">
        <v>109</v>
      </c>
      <c r="C810" s="13" t="s">
        <v>6336</v>
      </c>
      <c r="D810" s="10">
        <v>1</v>
      </c>
      <c r="E810" s="11">
        <v>327.62</v>
      </c>
      <c r="F810" s="10">
        <v>0.8095</v>
      </c>
      <c r="G810" s="11">
        <v>470.59</v>
      </c>
      <c r="H810" s="10">
        <v>1</v>
      </c>
      <c r="I810" s="11">
        <v>405.71</v>
      </c>
      <c r="J810" s="10">
        <v>0.7143</v>
      </c>
      <c r="K810" s="11">
        <v>388.97</v>
      </c>
      <c r="L810" s="10">
        <v>0.8095</v>
      </c>
      <c r="M810" s="11">
        <v>472.94</v>
      </c>
      <c r="N810" s="10">
        <v>0.7381</v>
      </c>
      <c r="O810" s="11">
        <v>539.35</v>
      </c>
      <c r="P810" s="10">
        <v>1</v>
      </c>
      <c r="Q810" s="10">
        <v>0.2302</v>
      </c>
      <c r="R810" s="10">
        <v>0.7143</v>
      </c>
      <c r="S810" s="10">
        <v>0.1998</v>
      </c>
      <c r="T810" s="8">
        <f>IF(and(ISNUMBER(D810), isnumber(E810)), 1, 0) + IF(and(ISNUMBER(F810), isnumber(G810)), 1, 0) + IF(and(ISNUMBER(H810), isnumber(I810)), 1, 0) + IF(and(ISNUMBER(J810), isnumber(K810)), 1, 0) + IF(and(ISNUMBER(L810), isnumber(M810)), 1, 0) + IF(and(ISNUMBER(N810), isnumber(O810)), 1, 0)</f>
      </c>
      <c r="U810" s="8">
        <f>IF(and(ISNUMBER(P810), isnumber(Q810)), 1, 0) + IF(and(ISNUMBER(R810), isnumber(S810)), 1, 0)</f>
      </c>
      <c r="V810" s="13"/>
      <c r="W810" s="13"/>
      <c r="X810" s="16"/>
    </row>
    <row x14ac:dyDescent="0.25" r="811" customHeight="1" ht="15.75">
      <c r="A811" s="8">
        <v>25015</v>
      </c>
      <c r="B811" s="13" t="s">
        <v>109</v>
      </c>
      <c r="C811" s="13" t="s">
        <v>6337</v>
      </c>
      <c r="D811" s="10">
        <v>0.9649</v>
      </c>
      <c r="E811" s="11">
        <v>560</v>
      </c>
      <c r="F811" s="10">
        <v>0.886</v>
      </c>
      <c r="G811" s="11">
        <v>566.73</v>
      </c>
      <c r="H811" s="10">
        <v>0.8246</v>
      </c>
      <c r="I811" s="11">
        <v>563.4</v>
      </c>
      <c r="J811" s="10">
        <v>0.9123</v>
      </c>
      <c r="K811" s="11">
        <v>520.8</v>
      </c>
      <c r="L811" s="10">
        <v>0.8947</v>
      </c>
      <c r="M811" s="11">
        <v>588.63</v>
      </c>
      <c r="N811" s="10">
        <v>0.8772</v>
      </c>
      <c r="O811" s="11">
        <v>588.8</v>
      </c>
      <c r="P811" s="10">
        <v>0.9649</v>
      </c>
      <c r="Q811" s="10">
        <v>0.3487</v>
      </c>
      <c r="R811" s="10">
        <v>0.9123</v>
      </c>
      <c r="S811" s="10">
        <v>0.2516</v>
      </c>
      <c r="T811" s="8">
        <f>IF(and(ISNUMBER(D811), isnumber(E811)), 1, 0) + IF(and(ISNUMBER(F811), isnumber(G811)), 1, 0) + IF(and(ISNUMBER(H811), isnumber(I811)), 1, 0) + IF(and(ISNUMBER(J811), isnumber(K811)), 1, 0) + IF(and(ISNUMBER(L811), isnumber(M811)), 1, 0) + IF(and(ISNUMBER(N811), isnumber(O811)), 1, 0)</f>
      </c>
      <c r="U811" s="8">
        <f>IF(and(ISNUMBER(P811), isnumber(Q811)), 1, 0) + IF(and(ISNUMBER(R811), isnumber(S811)), 1, 0)</f>
      </c>
      <c r="V811" s="13"/>
      <c r="W811" s="13"/>
      <c r="X811" s="16"/>
    </row>
    <row x14ac:dyDescent="0.25" r="812" customHeight="1" ht="15.75">
      <c r="A812" s="8">
        <v>25035</v>
      </c>
      <c r="B812" s="13" t="s">
        <v>109</v>
      </c>
      <c r="C812" s="13" t="s">
        <v>6341</v>
      </c>
      <c r="D812" s="10">
        <v>0.9335</v>
      </c>
      <c r="E812" s="11">
        <v>285.16</v>
      </c>
      <c r="F812" s="10">
        <v>0.7463</v>
      </c>
      <c r="G812" s="11">
        <v>431.87</v>
      </c>
      <c r="H812" s="10">
        <v>0.7562</v>
      </c>
      <c r="I812" s="11">
        <v>495.03</v>
      </c>
      <c r="J812" s="10">
        <v>0.8202</v>
      </c>
      <c r="K812" s="11">
        <v>343.1</v>
      </c>
      <c r="L812" s="10">
        <v>0.6256</v>
      </c>
      <c r="M812" s="11">
        <v>486.64</v>
      </c>
      <c r="N812" s="10">
        <v>0.6724</v>
      </c>
      <c r="O812" s="11">
        <v>440.3</v>
      </c>
      <c r="P812" s="10">
        <v>0.9335</v>
      </c>
      <c r="Q812" s="10">
        <v>0.2587</v>
      </c>
      <c r="R812" s="10">
        <v>0.8202</v>
      </c>
      <c r="S812" s="10">
        <v>0.2106</v>
      </c>
      <c r="T812" s="8">
        <f>IF(and(ISNUMBER(D812), isnumber(E812)), 1, 0) + IF(and(ISNUMBER(F812), isnumber(G812)), 1, 0) + IF(and(ISNUMBER(H812), isnumber(I812)), 1, 0) + IF(and(ISNUMBER(J812), isnumber(K812)), 1, 0) + IF(and(ISNUMBER(L812), isnumber(M812)), 1, 0) + IF(and(ISNUMBER(N812), isnumber(O812)), 1, 0)</f>
      </c>
      <c r="U812" s="8">
        <f>IF(and(ISNUMBER(P812), isnumber(Q812)), 1, 0) + IF(and(ISNUMBER(R812), isnumber(S812)), 1, 0)</f>
      </c>
      <c r="V812" s="13"/>
      <c r="W812" s="13"/>
      <c r="X812" s="16"/>
    </row>
    <row x14ac:dyDescent="0.25" r="813" customHeight="1" ht="15.75">
      <c r="A813" s="8">
        <v>25040</v>
      </c>
      <c r="B813" s="13" t="s">
        <v>109</v>
      </c>
      <c r="C813" s="13" t="s">
        <v>6345</v>
      </c>
      <c r="D813" s="10">
        <v>0.7959</v>
      </c>
      <c r="E813" s="11">
        <v>219.31</v>
      </c>
      <c r="F813" s="10">
        <v>0.5918</v>
      </c>
      <c r="G813" s="11">
        <v>395.56</v>
      </c>
      <c r="H813" s="10">
        <v>0.7347</v>
      </c>
      <c r="I813" s="11">
        <v>418.89</v>
      </c>
      <c r="J813" s="10">
        <v>0.6531</v>
      </c>
      <c r="K813" s="11">
        <v>369.52</v>
      </c>
      <c r="L813" s="10">
        <v>0.5714</v>
      </c>
      <c r="M813" s="11">
        <v>516.92</v>
      </c>
      <c r="N813" s="10">
        <v>0.5714</v>
      </c>
      <c r="O813" s="11">
        <v>478.52</v>
      </c>
      <c r="P813" s="10">
        <v>0.7959</v>
      </c>
      <c r="Q813" s="10">
        <v>0.3157</v>
      </c>
      <c r="R813" s="10">
        <v>0.6531</v>
      </c>
      <c r="S813" s="10">
        <v>0.2599</v>
      </c>
      <c r="T813" s="8">
        <f>IF(and(ISNUMBER(D813), isnumber(E813)), 1, 0) + IF(and(ISNUMBER(F813), isnumber(G813)), 1, 0) + IF(and(ISNUMBER(H813), isnumber(I813)), 1, 0) + IF(and(ISNUMBER(J813), isnumber(K813)), 1, 0) + IF(and(ISNUMBER(L813), isnumber(M813)), 1, 0) + IF(and(ISNUMBER(N813), isnumber(O813)), 1, 0)</f>
      </c>
      <c r="U813" s="8">
        <f>IF(and(ISNUMBER(P813), isnumber(Q813)), 1, 0) + IF(and(ISNUMBER(R813), isnumber(S813)), 1, 0)</f>
      </c>
      <c r="V813" s="13"/>
      <c r="W813" s="13"/>
      <c r="X813" s="16"/>
    </row>
    <row x14ac:dyDescent="0.25" r="814" customHeight="1" ht="15.75">
      <c r="A814" s="8">
        <v>25020</v>
      </c>
      <c r="B814" s="13" t="s">
        <v>109</v>
      </c>
      <c r="C814" s="13" t="s">
        <v>6349</v>
      </c>
      <c r="D814" s="10">
        <v>0.775</v>
      </c>
      <c r="E814" s="11">
        <v>402.93</v>
      </c>
      <c r="F814" s="10">
        <v>0.65</v>
      </c>
      <c r="G814" s="11">
        <v>534.62</v>
      </c>
      <c r="H814" s="10">
        <v>0.6063</v>
      </c>
      <c r="I814" s="11">
        <v>506.39</v>
      </c>
      <c r="J814" s="10">
        <v>0.7063</v>
      </c>
      <c r="K814" s="11">
        <v>499.82</v>
      </c>
      <c r="L814" s="10">
        <v>0.7</v>
      </c>
      <c r="M814" s="11">
        <v>474.55</v>
      </c>
      <c r="N814" s="10">
        <v>0.3063</v>
      </c>
      <c r="O814" s="11">
        <v>537.5</v>
      </c>
      <c r="P814" s="10">
        <v>0.775</v>
      </c>
      <c r="Q814" s="10">
        <v>0.2877</v>
      </c>
      <c r="R814" s="10">
        <v>0.7063</v>
      </c>
      <c r="S814" s="10">
        <v>0.2465</v>
      </c>
      <c r="T814" s="8">
        <f>IF(and(ISNUMBER(D814), isnumber(E814)), 1, 0) + IF(and(ISNUMBER(F814), isnumber(G814)), 1, 0) + IF(and(ISNUMBER(H814), isnumber(I814)), 1, 0) + IF(and(ISNUMBER(J814), isnumber(K814)), 1, 0) + IF(and(ISNUMBER(L814), isnumber(M814)), 1, 0) + IF(and(ISNUMBER(N814), isnumber(O814)), 1, 0)</f>
      </c>
      <c r="U814" s="8">
        <f>IF(and(ISNUMBER(P814), isnumber(Q814)), 1, 0) + IF(and(ISNUMBER(R814), isnumber(S814)), 1, 0)</f>
      </c>
      <c r="V814" s="13"/>
      <c r="W814" s="13"/>
      <c r="X814" s="16"/>
    </row>
    <row x14ac:dyDescent="0.25" r="815" customHeight="1" ht="15.75">
      <c r="A815" s="8">
        <v>25013</v>
      </c>
      <c r="B815" s="13" t="s">
        <v>109</v>
      </c>
      <c r="C815" s="13" t="s">
        <v>6352</v>
      </c>
      <c r="D815" s="10">
        <v>0.8788</v>
      </c>
      <c r="E815" s="11">
        <v>309.66</v>
      </c>
      <c r="F815" s="10">
        <v>0.7121</v>
      </c>
      <c r="G815" s="11">
        <v>393.91</v>
      </c>
      <c r="H815" s="10">
        <v>0.8333</v>
      </c>
      <c r="I815" s="11">
        <v>431.11</v>
      </c>
      <c r="J815" s="10">
        <v>0.8788</v>
      </c>
      <c r="K815" s="11">
        <v>359.27</v>
      </c>
      <c r="L815" s="10">
        <v>0.7727</v>
      </c>
      <c r="M815" s="11">
        <v>440</v>
      </c>
      <c r="N815" s="10">
        <v>0.8333</v>
      </c>
      <c r="O815" s="11">
        <v>464</v>
      </c>
      <c r="P815" s="10">
        <v>0.8788</v>
      </c>
      <c r="Q815" s="10">
        <v>0.2537</v>
      </c>
      <c r="R815" s="10">
        <v>0.8788</v>
      </c>
      <c r="S815" s="10">
        <v>0.1969</v>
      </c>
      <c r="T815" s="8">
        <f>IF(and(ISNUMBER(D815), isnumber(E815)), 1, 0) + IF(and(ISNUMBER(F815), isnumber(G815)), 1, 0) + IF(and(ISNUMBER(H815), isnumber(I815)), 1, 0) + IF(and(ISNUMBER(J815), isnumber(K815)), 1, 0) + IF(and(ISNUMBER(L815), isnumber(M815)), 1, 0) + IF(and(ISNUMBER(N815), isnumber(O815)), 1, 0)</f>
      </c>
      <c r="U815" s="8">
        <f>IF(and(ISNUMBER(P815), isnumber(Q815)), 1, 0) + IF(and(ISNUMBER(R815), isnumber(S815)), 1, 0)</f>
      </c>
      <c r="V815" s="13"/>
      <c r="W815" s="13"/>
      <c r="X815" s="16"/>
    </row>
    <row x14ac:dyDescent="0.25" r="816" customHeight="1" ht="15.75">
      <c r="A816" s="8">
        <v>25036</v>
      </c>
      <c r="B816" s="13" t="s">
        <v>109</v>
      </c>
      <c r="C816" s="13" t="s">
        <v>6354</v>
      </c>
      <c r="D816" s="10">
        <v>0.9141</v>
      </c>
      <c r="E816" s="11">
        <v>258.46</v>
      </c>
      <c r="F816" s="10">
        <v>0.7266</v>
      </c>
      <c r="G816" s="11">
        <v>419.17</v>
      </c>
      <c r="H816" s="10">
        <v>0.7872</v>
      </c>
      <c r="I816" s="11">
        <v>450.28</v>
      </c>
      <c r="J816" s="10">
        <v>0.876</v>
      </c>
      <c r="K816" s="11">
        <v>356.57</v>
      </c>
      <c r="L816" s="10">
        <v>0.7518</v>
      </c>
      <c r="M816" s="11">
        <v>383.26</v>
      </c>
      <c r="N816" s="10">
        <v>0.7234</v>
      </c>
      <c r="O816" s="11">
        <v>427.84</v>
      </c>
      <c r="P816" s="10">
        <v>0.9141</v>
      </c>
      <c r="Q816" s="10">
        <v>0.2427</v>
      </c>
      <c r="R816" s="10">
        <v>0.876</v>
      </c>
      <c r="S816" s="10">
        <v>0.2143</v>
      </c>
      <c r="T816" s="8">
        <f>IF(and(ISNUMBER(D816), isnumber(E816)), 1, 0) + IF(and(ISNUMBER(F816), isnumber(G816)), 1, 0) + IF(and(ISNUMBER(H816), isnumber(I816)), 1, 0) + IF(and(ISNUMBER(J816), isnumber(K816)), 1, 0) + IF(and(ISNUMBER(L816), isnumber(M816)), 1, 0) + IF(and(ISNUMBER(N816), isnumber(O816)), 1, 0)</f>
      </c>
      <c r="U816" s="8">
        <f>IF(and(ISNUMBER(P816), isnumber(Q816)), 1, 0) + IF(and(ISNUMBER(R816), isnumber(S816)), 1, 0)</f>
      </c>
      <c r="V816" s="13"/>
      <c r="W816" s="13"/>
      <c r="X816" s="16"/>
    </row>
    <row x14ac:dyDescent="0.25" r="817" customHeight="1" ht="15.75">
      <c r="A817" s="8">
        <v>25002</v>
      </c>
      <c r="B817" s="13" t="s">
        <v>109</v>
      </c>
      <c r="C817" s="13" t="s">
        <v>6357</v>
      </c>
      <c r="D817" s="10">
        <v>0.9412</v>
      </c>
      <c r="E817" s="11">
        <v>360.73</v>
      </c>
      <c r="F817" s="10">
        <v>0.8487</v>
      </c>
      <c r="G817" s="11">
        <v>469.09</v>
      </c>
      <c r="H817" s="10">
        <v>0.8487</v>
      </c>
      <c r="I817" s="11">
        <v>451.72</v>
      </c>
      <c r="J817" s="10">
        <v>0.9412</v>
      </c>
      <c r="K817" s="11">
        <v>442.22</v>
      </c>
      <c r="L817" s="10">
        <v>0.7815</v>
      </c>
      <c r="M817" s="11">
        <v>554.78</v>
      </c>
      <c r="N817" s="10">
        <v>0.7479</v>
      </c>
      <c r="O817" s="11">
        <v>527.27</v>
      </c>
      <c r="P817" s="10">
        <v>0.9412</v>
      </c>
      <c r="Q817" s="10">
        <v>0.2366</v>
      </c>
      <c r="R817" s="10">
        <v>0.9412</v>
      </c>
      <c r="S817" s="10">
        <v>0.211</v>
      </c>
      <c r="T817" s="8">
        <f>IF(and(ISNUMBER(D817), isnumber(E817)), 1, 0) + IF(and(ISNUMBER(F817), isnumber(G817)), 1, 0) + IF(and(ISNUMBER(H817), isnumber(I817)), 1, 0) + IF(and(ISNUMBER(J817), isnumber(K817)), 1, 0) + IF(and(ISNUMBER(L817), isnumber(M817)), 1, 0) + IF(and(ISNUMBER(N817), isnumber(O817)), 1, 0)</f>
      </c>
      <c r="U817" s="8">
        <f>IF(and(ISNUMBER(P817), isnumber(Q817)), 1, 0) + IF(and(ISNUMBER(R817), isnumber(S817)), 1, 0)</f>
      </c>
      <c r="V817" s="13"/>
      <c r="W817" s="13"/>
      <c r="X817" s="16"/>
    </row>
    <row x14ac:dyDescent="0.25" r="818" customHeight="1" ht="15.75">
      <c r="A818" s="8">
        <v>25045</v>
      </c>
      <c r="B818" s="13" t="s">
        <v>109</v>
      </c>
      <c r="C818" s="13" t="s">
        <v>6359</v>
      </c>
      <c r="D818" s="10">
        <v>0.9032</v>
      </c>
      <c r="E818" s="11">
        <v>415.44</v>
      </c>
      <c r="F818" s="10">
        <v>0.9032</v>
      </c>
      <c r="G818" s="11">
        <v>442.86</v>
      </c>
      <c r="H818" s="10">
        <v>0.8871</v>
      </c>
      <c r="I818" s="11">
        <v>471.27</v>
      </c>
      <c r="J818" s="10">
        <v>0.9032</v>
      </c>
      <c r="K818" s="11">
        <v>397.82</v>
      </c>
      <c r="L818" s="10">
        <v>0.8871</v>
      </c>
      <c r="M818" s="11">
        <v>428.36</v>
      </c>
      <c r="N818" s="10">
        <v>0.5484</v>
      </c>
      <c r="O818" s="11">
        <v>437.65</v>
      </c>
      <c r="P818" s="10">
        <v>0.9032</v>
      </c>
      <c r="Q818" s="10">
        <v>0.267</v>
      </c>
      <c r="R818" s="10">
        <v>0.9032</v>
      </c>
      <c r="S818" s="10">
        <v>0.2191</v>
      </c>
      <c r="T818" s="8">
        <f>IF(and(ISNUMBER(D818), isnumber(E818)), 1, 0) + IF(and(ISNUMBER(F818), isnumber(G818)), 1, 0) + IF(and(ISNUMBER(H818), isnumber(I818)), 1, 0) + IF(and(ISNUMBER(J818), isnumber(K818)), 1, 0) + IF(and(ISNUMBER(L818), isnumber(M818)), 1, 0) + IF(and(ISNUMBER(N818), isnumber(O818)), 1, 0)</f>
      </c>
      <c r="U818" s="8">
        <f>IF(and(ISNUMBER(P818), isnumber(Q818)), 1, 0) + IF(and(ISNUMBER(R818), isnumber(S818)), 1, 0)</f>
      </c>
      <c r="V818" s="13"/>
      <c r="W818" s="13"/>
      <c r="X818" s="16"/>
    </row>
    <row x14ac:dyDescent="0.25" r="819" customHeight="1" ht="15.75">
      <c r="A819" s="8">
        <v>25059</v>
      </c>
      <c r="B819" s="13" t="s">
        <v>109</v>
      </c>
      <c r="C819" s="13" t="s">
        <v>6361</v>
      </c>
      <c r="D819" s="10">
        <v>0.9091</v>
      </c>
      <c r="E819" s="11">
        <v>266.11</v>
      </c>
      <c r="F819" s="10">
        <v>0.689</v>
      </c>
      <c r="G819" s="11" t="s">
        <v>7127</v>
      </c>
      <c r="H819" s="10">
        <v>0.7867</v>
      </c>
      <c r="I819" s="11">
        <v>477.51</v>
      </c>
      <c r="J819" s="10">
        <v>0.8125</v>
      </c>
      <c r="K819" s="11">
        <v>430.99</v>
      </c>
      <c r="L819" s="10">
        <v>0.76</v>
      </c>
      <c r="M819" s="11">
        <v>448.65</v>
      </c>
      <c r="N819" s="10">
        <v>0.8222</v>
      </c>
      <c r="O819" s="11">
        <v>472.43</v>
      </c>
      <c r="P819" s="10">
        <v>0.9091</v>
      </c>
      <c r="Q819" s="10">
        <v>0.2447</v>
      </c>
      <c r="R819" s="10">
        <v>0.8125</v>
      </c>
      <c r="S819" s="10">
        <v>0.2133</v>
      </c>
      <c r="T819" s="8">
        <f>IF(and(ISNUMBER(D819), isnumber(E819)), 1, 0) + IF(and(ISNUMBER(F819), isnumber(G819)), 1, 0) + IF(and(ISNUMBER(H819), isnumber(I819)), 1, 0) + IF(and(ISNUMBER(J819), isnumber(K819)), 1, 0) + IF(and(ISNUMBER(L819), isnumber(M819)), 1, 0) + IF(and(ISNUMBER(N819), isnumber(O819)), 1, 0)</f>
      </c>
      <c r="U819" s="8">
        <f>IF(and(ISNUMBER(P819), isnumber(Q819)), 1, 0) + IF(and(ISNUMBER(R819), isnumber(S819)), 1, 0)</f>
      </c>
      <c r="V819" s="13"/>
      <c r="W819" s="13"/>
      <c r="X819" s="16"/>
    </row>
    <row x14ac:dyDescent="0.25" r="820" customHeight="1" ht="15.75">
      <c r="A820" s="8">
        <v>25041</v>
      </c>
      <c r="B820" s="13" t="s">
        <v>109</v>
      </c>
      <c r="C820" s="13" t="s">
        <v>6363</v>
      </c>
      <c r="D820" s="10">
        <v>0.9842</v>
      </c>
      <c r="E820" s="11">
        <v>298.4</v>
      </c>
      <c r="F820" s="10">
        <v>0.8474</v>
      </c>
      <c r="G820" s="11">
        <v>478.99</v>
      </c>
      <c r="H820" s="10">
        <v>0.8211</v>
      </c>
      <c r="I820" s="11">
        <v>534.47</v>
      </c>
      <c r="J820" s="10">
        <v>0.9053</v>
      </c>
      <c r="K820" s="11">
        <v>418.81</v>
      </c>
      <c r="L820" s="10">
        <v>0.8842</v>
      </c>
      <c r="M820" s="11">
        <v>507.56</v>
      </c>
      <c r="N820" s="10">
        <v>0.8</v>
      </c>
      <c r="O820" s="11">
        <v>495.57</v>
      </c>
      <c r="P820" s="10">
        <v>0.9842</v>
      </c>
      <c r="Q820" s="10">
        <v>0.2478</v>
      </c>
      <c r="R820" s="10">
        <v>0.9053</v>
      </c>
      <c r="S820" s="10">
        <v>0.2315</v>
      </c>
      <c r="T820" s="8">
        <f>IF(and(ISNUMBER(D820), isnumber(E820)), 1, 0) + IF(and(ISNUMBER(F820), isnumber(G820)), 1, 0) + IF(and(ISNUMBER(H820), isnumber(I820)), 1, 0) + IF(and(ISNUMBER(J820), isnumber(K820)), 1, 0) + IF(and(ISNUMBER(L820), isnumber(M820)), 1, 0) + IF(and(ISNUMBER(N820), isnumber(O820)), 1, 0)</f>
      </c>
      <c r="U820" s="8">
        <f>IF(and(ISNUMBER(P820), isnumber(Q820)), 1, 0) + IF(and(ISNUMBER(R820), isnumber(S820)), 1, 0)</f>
      </c>
      <c r="V820" s="13"/>
      <c r="W820" s="13"/>
      <c r="X820" s="16"/>
    </row>
    <row x14ac:dyDescent="0.25" r="821" customHeight="1" ht="15.75">
      <c r="A821" s="8">
        <v>25010</v>
      </c>
      <c r="B821" s="13" t="s">
        <v>109</v>
      </c>
      <c r="C821" s="13" t="s">
        <v>6366</v>
      </c>
      <c r="D821" s="10">
        <v>0.72</v>
      </c>
      <c r="E821" s="11">
        <v>344.78</v>
      </c>
      <c r="F821" s="10">
        <v>0.755</v>
      </c>
      <c r="G821" s="11">
        <v>420.4</v>
      </c>
      <c r="H821" s="10">
        <v>0.73</v>
      </c>
      <c r="I821" s="11">
        <v>427.67</v>
      </c>
      <c r="J821" s="10">
        <v>0.86</v>
      </c>
      <c r="K821" s="11">
        <v>324.47</v>
      </c>
      <c r="L821" s="10">
        <v>0.76</v>
      </c>
      <c r="M821" s="11">
        <v>397.33</v>
      </c>
      <c r="N821" s="10">
        <v>0.76</v>
      </c>
      <c r="O821" s="11">
        <v>406.62</v>
      </c>
      <c r="P821" s="10">
        <v>0.72</v>
      </c>
      <c r="Q821" s="10">
        <v>0.2584</v>
      </c>
      <c r="R821" s="10">
        <v>0.86</v>
      </c>
      <c r="S821" s="10">
        <v>0.2109</v>
      </c>
      <c r="T821" s="8">
        <f>IF(and(ISNUMBER(D821), isnumber(E821)), 1, 0) + IF(and(ISNUMBER(F821), isnumber(G821)), 1, 0) + IF(and(ISNUMBER(H821), isnumber(I821)), 1, 0) + IF(and(ISNUMBER(J821), isnumber(K821)), 1, 0) + IF(and(ISNUMBER(L821), isnumber(M821)), 1, 0) + IF(and(ISNUMBER(N821), isnumber(O821)), 1, 0)</f>
      </c>
      <c r="U821" s="8">
        <f>IF(and(ISNUMBER(P821), isnumber(Q821)), 1, 0) + IF(and(ISNUMBER(R821), isnumber(S821)), 1, 0)</f>
      </c>
      <c r="V821" s="13"/>
      <c r="W821" s="13"/>
      <c r="X821" s="16"/>
    </row>
    <row x14ac:dyDescent="0.25" r="822" customHeight="1" ht="15.75">
      <c r="A822" s="8">
        <v>25049</v>
      </c>
      <c r="B822" s="13" t="s">
        <v>109</v>
      </c>
      <c r="C822" s="13" t="s">
        <v>6368</v>
      </c>
      <c r="D822" s="10">
        <v>0.9286</v>
      </c>
      <c r="E822" s="11">
        <v>275</v>
      </c>
      <c r="F822" s="10">
        <v>0.8786</v>
      </c>
      <c r="G822" s="11">
        <v>400.33</v>
      </c>
      <c r="H822" s="10">
        <v>0.8143</v>
      </c>
      <c r="I822" s="11">
        <v>417.5</v>
      </c>
      <c r="J822" s="10">
        <v>0.8643</v>
      </c>
      <c r="K822" s="11">
        <v>378.97</v>
      </c>
      <c r="L822" s="10">
        <v>0.8571</v>
      </c>
      <c r="M822" s="11">
        <v>424.54</v>
      </c>
      <c r="N822" s="10">
        <v>0.8214</v>
      </c>
      <c r="O822" s="11">
        <v>417.04</v>
      </c>
      <c r="P822" s="10">
        <v>0.9286</v>
      </c>
      <c r="Q822" s="10">
        <v>0.2409</v>
      </c>
      <c r="R822" s="10">
        <v>0.8643</v>
      </c>
      <c r="S822" s="10">
        <v>0.2069</v>
      </c>
      <c r="T822" s="8">
        <f>IF(and(ISNUMBER(D822), isnumber(E822)), 1, 0) + IF(and(ISNUMBER(F822), isnumber(G822)), 1, 0) + IF(and(ISNUMBER(H822), isnumber(I822)), 1, 0) + IF(and(ISNUMBER(J822), isnumber(K822)), 1, 0) + IF(and(ISNUMBER(L822), isnumber(M822)), 1, 0) + IF(and(ISNUMBER(N822), isnumber(O822)), 1, 0)</f>
      </c>
      <c r="U822" s="8">
        <f>IF(and(ISNUMBER(P822), isnumber(Q822)), 1, 0) + IF(and(ISNUMBER(R822), isnumber(S822)), 1, 0)</f>
      </c>
      <c r="V822" s="13"/>
      <c r="W822" s="13"/>
      <c r="X822" s="16"/>
    </row>
    <row x14ac:dyDescent="0.25" r="823" customHeight="1" ht="15.75">
      <c r="A823" s="8">
        <v>25149</v>
      </c>
      <c r="B823" s="13" t="s">
        <v>227</v>
      </c>
      <c r="C823" s="13" t="s">
        <v>6371</v>
      </c>
      <c r="D823" s="10">
        <v>0.9504</v>
      </c>
      <c r="E823" s="11">
        <v>286.79</v>
      </c>
      <c r="F823" s="10">
        <v>0.7107</v>
      </c>
      <c r="G823" s="11">
        <v>414.42</v>
      </c>
      <c r="H823" s="10">
        <v>0.6519</v>
      </c>
      <c r="I823" s="11">
        <v>459.09</v>
      </c>
      <c r="J823" s="10">
        <v>0.7073</v>
      </c>
      <c r="K823" s="11">
        <v>396.91</v>
      </c>
      <c r="L823" s="10">
        <v>0.6296</v>
      </c>
      <c r="M823" s="11">
        <v>460.07</v>
      </c>
      <c r="N823" s="10">
        <v>0.637</v>
      </c>
      <c r="O823" s="11">
        <v>476.28</v>
      </c>
      <c r="P823" s="10">
        <v>0.9504</v>
      </c>
      <c r="Q823" s="10">
        <v>0.2067</v>
      </c>
      <c r="R823" s="10">
        <v>0.7073</v>
      </c>
      <c r="S823" s="10">
        <v>0.1998</v>
      </c>
      <c r="T823" s="8">
        <f>IF(and(ISNUMBER(D823), isnumber(E823)), 1, 0) + IF(and(ISNUMBER(F823), isnumber(G823)), 1, 0) + IF(and(ISNUMBER(H823), isnumber(I823)), 1, 0) + IF(and(ISNUMBER(J823), isnumber(K823)), 1, 0) + IF(and(ISNUMBER(L823), isnumber(M823)), 1, 0) + IF(and(ISNUMBER(N823), isnumber(O823)), 1, 0)</f>
      </c>
      <c r="U823" s="8">
        <f>IF(and(ISNUMBER(P823), isnumber(Q823)), 1, 0) + IF(and(ISNUMBER(R823), isnumber(S823)), 1, 0)</f>
      </c>
      <c r="V823" s="13"/>
      <c r="W823" s="13"/>
      <c r="X823" s="16"/>
    </row>
    <row x14ac:dyDescent="0.25" r="824" customHeight="1" ht="15.75">
      <c r="A824" s="8">
        <v>25141</v>
      </c>
      <c r="B824" s="13" t="s">
        <v>227</v>
      </c>
      <c r="C824" s="13" t="s">
        <v>6373</v>
      </c>
      <c r="D824" s="10">
        <v>0.9778</v>
      </c>
      <c r="E824" s="11">
        <v>472.28</v>
      </c>
      <c r="F824" s="10">
        <v>1</v>
      </c>
      <c r="G824" s="11">
        <v>420.3</v>
      </c>
      <c r="H824" s="10">
        <v>1</v>
      </c>
      <c r="I824" s="11">
        <v>475.2</v>
      </c>
      <c r="J824" s="10">
        <v>0.9468</v>
      </c>
      <c r="K824" s="11">
        <v>465.22</v>
      </c>
      <c r="L824" s="10">
        <v>0.94</v>
      </c>
      <c r="M824" s="11">
        <v>466.38</v>
      </c>
      <c r="N824" s="10">
        <v>0.95</v>
      </c>
      <c r="O824" s="11">
        <v>441.68</v>
      </c>
      <c r="P824" s="10">
        <v>0.9778</v>
      </c>
      <c r="Q824" s="10">
        <v>0.3013</v>
      </c>
      <c r="R824" s="10">
        <v>0.9468</v>
      </c>
      <c r="S824" s="10">
        <v>0.218</v>
      </c>
      <c r="T824" s="8">
        <f>IF(and(ISNUMBER(D824), isnumber(E824)), 1, 0) + IF(and(ISNUMBER(F824), isnumber(G824)), 1, 0) + IF(and(ISNUMBER(H824), isnumber(I824)), 1, 0) + IF(and(ISNUMBER(J824), isnumber(K824)), 1, 0) + IF(and(ISNUMBER(L824), isnumber(M824)), 1, 0) + IF(and(ISNUMBER(N824), isnumber(O824)), 1, 0)</f>
      </c>
      <c r="U824" s="8">
        <f>IF(and(ISNUMBER(P824), isnumber(Q824)), 1, 0) + IF(and(ISNUMBER(R824), isnumber(S824)), 1, 0)</f>
      </c>
      <c r="V824" s="13"/>
      <c r="W824" s="13"/>
      <c r="X824" s="16"/>
    </row>
    <row x14ac:dyDescent="0.25" r="825" customHeight="1" ht="15.75">
      <c r="A825" s="8">
        <v>25150</v>
      </c>
      <c r="B825" s="13" t="s">
        <v>227</v>
      </c>
      <c r="C825" s="13" t="s">
        <v>6377</v>
      </c>
      <c r="D825" s="10">
        <v>0.8226</v>
      </c>
      <c r="E825" s="11">
        <v>382.88</v>
      </c>
      <c r="F825" s="10">
        <v>0.5887</v>
      </c>
      <c r="G825" s="11">
        <v>447.05</v>
      </c>
      <c r="H825" s="10">
        <v>0.6094</v>
      </c>
      <c r="I825" s="11">
        <v>452</v>
      </c>
      <c r="J825" s="10">
        <v>0.8125</v>
      </c>
      <c r="K825" s="11">
        <v>394.66</v>
      </c>
      <c r="L825" s="10">
        <v>0.6211</v>
      </c>
      <c r="M825" s="11">
        <v>493.58</v>
      </c>
      <c r="N825" s="10">
        <v>0.5781</v>
      </c>
      <c r="O825" s="11">
        <v>488.79</v>
      </c>
      <c r="P825" s="10">
        <v>0.8226</v>
      </c>
      <c r="Q825" s="10">
        <v>0.2672</v>
      </c>
      <c r="R825" s="10">
        <v>0.8125</v>
      </c>
      <c r="S825" s="10">
        <v>0.2317</v>
      </c>
      <c r="T825" s="8">
        <f>IF(and(ISNUMBER(D825), isnumber(E825)), 1, 0) + IF(and(ISNUMBER(F825), isnumber(G825)), 1, 0) + IF(and(ISNUMBER(H825), isnumber(I825)), 1, 0) + IF(and(ISNUMBER(J825), isnumber(K825)), 1, 0) + IF(and(ISNUMBER(L825), isnumber(M825)), 1, 0) + IF(and(ISNUMBER(N825), isnumber(O825)), 1, 0)</f>
      </c>
      <c r="U825" s="8">
        <f>IF(and(ISNUMBER(P825), isnumber(Q825)), 1, 0) + IF(and(ISNUMBER(R825), isnumber(S825)), 1, 0)</f>
      </c>
      <c r="V825" s="13"/>
      <c r="W825" s="13"/>
      <c r="X825" s="16"/>
    </row>
    <row x14ac:dyDescent="0.25" r="826" customHeight="1" ht="15.75">
      <c r="A826" s="8">
        <v>25060</v>
      </c>
      <c r="B826" s="13" t="s">
        <v>227</v>
      </c>
      <c r="C826" s="13" t="s">
        <v>6380</v>
      </c>
      <c r="D826" s="10">
        <v>0.7619</v>
      </c>
      <c r="E826" s="11">
        <v>116.38</v>
      </c>
      <c r="F826" s="10">
        <v>0.7619</v>
      </c>
      <c r="G826" s="11">
        <v>416.25</v>
      </c>
      <c r="H826" s="10">
        <v>0.5818</v>
      </c>
      <c r="I826" s="11">
        <v>490</v>
      </c>
      <c r="J826" s="10">
        <v>0.5536</v>
      </c>
      <c r="K826" s="11">
        <v>241.13</v>
      </c>
      <c r="L826" s="10">
        <v>0.1455</v>
      </c>
      <c r="M826" s="11" t="s">
        <v>7127</v>
      </c>
      <c r="N826" s="10">
        <v>0</v>
      </c>
      <c r="O826" s="11" t="s">
        <v>7127</v>
      </c>
      <c r="P826" s="10">
        <v>0.7619</v>
      </c>
      <c r="Q826" s="10">
        <v>0.2038</v>
      </c>
      <c r="R826" s="10">
        <v>0.5536</v>
      </c>
      <c r="S826" s="10">
        <v>0.1966</v>
      </c>
      <c r="T826" s="8">
        <f>IF(and(ISNUMBER(D826), isnumber(E826)), 1, 0) + IF(and(ISNUMBER(F826), isnumber(G826)), 1, 0) + IF(and(ISNUMBER(H826), isnumber(I826)), 1, 0) + IF(and(ISNUMBER(J826), isnumber(K826)), 1, 0) + IF(and(ISNUMBER(L826), isnumber(M826)), 1, 0) + IF(and(ISNUMBER(N826), isnumber(O826)), 1, 0)</f>
      </c>
      <c r="U826" s="8">
        <f>IF(and(ISNUMBER(P826), isnumber(Q826)), 1, 0) + IF(and(ISNUMBER(R826), isnumber(S826)), 1, 0)</f>
      </c>
      <c r="V826" s="13"/>
      <c r="W826" s="13"/>
      <c r="X826" s="16"/>
    </row>
    <row x14ac:dyDescent="0.25" r="827" customHeight="1" ht="15.75">
      <c r="A827" s="8">
        <v>25061</v>
      </c>
      <c r="B827" s="13" t="s">
        <v>227</v>
      </c>
      <c r="C827" s="13" t="s">
        <v>6382</v>
      </c>
      <c r="D827" s="10">
        <v>0.6573</v>
      </c>
      <c r="E827" s="11">
        <v>189.27</v>
      </c>
      <c r="F827" s="10">
        <v>0.4719</v>
      </c>
      <c r="G827" s="11">
        <v>364.54</v>
      </c>
      <c r="H827" s="10">
        <v>0.6911</v>
      </c>
      <c r="I827" s="11">
        <v>404.24</v>
      </c>
      <c r="J827" s="10">
        <v>0.8242</v>
      </c>
      <c r="K827" s="11">
        <v>340.44</v>
      </c>
      <c r="L827" s="10">
        <v>0.6597</v>
      </c>
      <c r="M827" s="11" t="s">
        <v>7127</v>
      </c>
      <c r="N827" s="10">
        <v>0</v>
      </c>
      <c r="O827" s="11" t="s">
        <v>7127</v>
      </c>
      <c r="P827" s="10">
        <v>0.6573</v>
      </c>
      <c r="Q827" s="10">
        <v>0.2258</v>
      </c>
      <c r="R827" s="10">
        <v>0.8242</v>
      </c>
      <c r="S827" s="10">
        <v>0.2042</v>
      </c>
      <c r="T827" s="8">
        <f>IF(and(ISNUMBER(D827), isnumber(E827)), 1, 0) + IF(and(ISNUMBER(F827), isnumber(G827)), 1, 0) + IF(and(ISNUMBER(H827), isnumber(I827)), 1, 0) + IF(and(ISNUMBER(J827), isnumber(K827)), 1, 0) + IF(and(ISNUMBER(L827), isnumber(M827)), 1, 0) + IF(and(ISNUMBER(N827), isnumber(O827)), 1, 0)</f>
      </c>
      <c r="U827" s="8">
        <f>IF(and(ISNUMBER(P827), isnumber(Q827)), 1, 0) + IF(and(ISNUMBER(R827), isnumber(S827)), 1, 0)</f>
      </c>
      <c r="V827" s="13"/>
      <c r="W827" s="13"/>
      <c r="X827" s="16"/>
    </row>
    <row x14ac:dyDescent="0.25" r="828" customHeight="1" ht="15.75">
      <c r="A828" s="8">
        <v>25142</v>
      </c>
      <c r="B828" s="13" t="s">
        <v>227</v>
      </c>
      <c r="C828" s="13" t="s">
        <v>6385</v>
      </c>
      <c r="D828" s="10">
        <v>0.8727</v>
      </c>
      <c r="E828" s="11">
        <v>262.94</v>
      </c>
      <c r="F828" s="10">
        <v>0.5273</v>
      </c>
      <c r="G828" s="11" t="s">
        <v>7127</v>
      </c>
      <c r="H828" s="10">
        <v>0.5758</v>
      </c>
      <c r="I828" s="11">
        <v>482.1</v>
      </c>
      <c r="J828" s="10">
        <v>0.7419</v>
      </c>
      <c r="K828" s="11">
        <v>283.48</v>
      </c>
      <c r="L828" s="10">
        <v>0.6212</v>
      </c>
      <c r="M828" s="11" t="s">
        <v>7127</v>
      </c>
      <c r="N828" s="10">
        <v>0.697</v>
      </c>
      <c r="O828" s="11" t="s">
        <v>7127</v>
      </c>
      <c r="P828" s="10">
        <v>0.8727</v>
      </c>
      <c r="Q828" s="10">
        <v>0.2438</v>
      </c>
      <c r="R828" s="10">
        <v>0.7419</v>
      </c>
      <c r="S828" s="10">
        <v>0.209</v>
      </c>
      <c r="T828" s="8">
        <f>IF(and(ISNUMBER(D828), isnumber(E828)), 1, 0) + IF(and(ISNUMBER(F828), isnumber(G828)), 1, 0) + IF(and(ISNUMBER(H828), isnumber(I828)), 1, 0) + IF(and(ISNUMBER(J828), isnumber(K828)), 1, 0) + IF(and(ISNUMBER(L828), isnumber(M828)), 1, 0) + IF(and(ISNUMBER(N828), isnumber(O828)), 1, 0)</f>
      </c>
      <c r="U828" s="8">
        <f>IF(and(ISNUMBER(P828), isnumber(Q828)), 1, 0) + IF(and(ISNUMBER(R828), isnumber(S828)), 1, 0)</f>
      </c>
      <c r="V828" s="13"/>
      <c r="W828" s="13"/>
      <c r="X828" s="16"/>
    </row>
    <row x14ac:dyDescent="0.25" r="829" customHeight="1" ht="15.75">
      <c r="A829" s="8">
        <v>25062</v>
      </c>
      <c r="B829" s="13" t="s">
        <v>227</v>
      </c>
      <c r="C829" s="13" t="s">
        <v>6387</v>
      </c>
      <c r="D829" s="10">
        <v>1</v>
      </c>
      <c r="E829" s="11">
        <v>170.09</v>
      </c>
      <c r="F829" s="10">
        <v>0.8609</v>
      </c>
      <c r="G829" s="11">
        <v>329.48</v>
      </c>
      <c r="H829" s="10">
        <v>1</v>
      </c>
      <c r="I829" s="11">
        <v>281.75</v>
      </c>
      <c r="J829" s="10">
        <v>1</v>
      </c>
      <c r="K829" s="11">
        <v>194.39</v>
      </c>
      <c r="L829" s="10">
        <v>1</v>
      </c>
      <c r="M829" s="11">
        <v>223.01</v>
      </c>
      <c r="N829" s="10">
        <v>1</v>
      </c>
      <c r="O829" s="11">
        <v>322.11</v>
      </c>
      <c r="P829" s="10">
        <v>1</v>
      </c>
      <c r="Q829" s="10">
        <v>0.1877</v>
      </c>
      <c r="R829" s="10">
        <v>1</v>
      </c>
      <c r="S829" s="10">
        <v>0.1296</v>
      </c>
      <c r="T829" s="8">
        <f>IF(and(ISNUMBER(D829), isnumber(E829)), 1, 0) + IF(and(ISNUMBER(F829), isnumber(G829)), 1, 0) + IF(and(ISNUMBER(H829), isnumber(I829)), 1, 0) + IF(and(ISNUMBER(J829), isnumber(K829)), 1, 0) + IF(and(ISNUMBER(L829), isnumber(M829)), 1, 0) + IF(and(ISNUMBER(N829), isnumber(O829)), 1, 0)</f>
      </c>
      <c r="U829" s="8">
        <f>IF(and(ISNUMBER(P829), isnumber(Q829)), 1, 0) + IF(and(ISNUMBER(R829), isnumber(S829)), 1, 0)</f>
      </c>
      <c r="V829" s="13"/>
      <c r="W829" s="13"/>
      <c r="X829" s="16"/>
    </row>
    <row x14ac:dyDescent="0.25" r="830" customHeight="1" ht="15.75">
      <c r="A830" s="8">
        <v>25110</v>
      </c>
      <c r="B830" s="13" t="s">
        <v>227</v>
      </c>
      <c r="C830" s="13" t="s">
        <v>6389</v>
      </c>
      <c r="D830" s="10">
        <v>0.986</v>
      </c>
      <c r="E830" s="11">
        <v>205.69</v>
      </c>
      <c r="F830" s="10">
        <v>0.9626</v>
      </c>
      <c r="G830" s="11">
        <v>335.57</v>
      </c>
      <c r="H830" s="10">
        <v>0.9953</v>
      </c>
      <c r="I830" s="11">
        <v>304.83</v>
      </c>
      <c r="J830" s="10">
        <v>0.5888</v>
      </c>
      <c r="K830" s="11">
        <v>339.67</v>
      </c>
      <c r="L830" s="10">
        <v>0.3411</v>
      </c>
      <c r="M830" s="11">
        <v>500.57</v>
      </c>
      <c r="N830" s="10">
        <v>0.4486</v>
      </c>
      <c r="O830" s="11">
        <v>588.21</v>
      </c>
      <c r="P830" s="10">
        <v>0.986</v>
      </c>
      <c r="Q830" s="10">
        <v>0.2084</v>
      </c>
      <c r="R830" s="10">
        <v>0.5888</v>
      </c>
      <c r="S830" s="10">
        <v>0.2147</v>
      </c>
      <c r="T830" s="8">
        <f>IF(and(ISNUMBER(D830), isnumber(E830)), 1, 0) + IF(and(ISNUMBER(F830), isnumber(G830)), 1, 0) + IF(and(ISNUMBER(H830), isnumber(I830)), 1, 0) + IF(and(ISNUMBER(J830), isnumber(K830)), 1, 0) + IF(and(ISNUMBER(L830), isnumber(M830)), 1, 0) + IF(and(ISNUMBER(N830), isnumber(O830)), 1, 0)</f>
      </c>
      <c r="U830" s="8">
        <f>IF(and(ISNUMBER(P830), isnumber(Q830)), 1, 0) + IF(and(ISNUMBER(R830), isnumber(S830)), 1, 0)</f>
      </c>
      <c r="V830" s="13"/>
      <c r="W830" s="13"/>
      <c r="X830" s="16"/>
    </row>
    <row x14ac:dyDescent="0.25" r="831" customHeight="1" ht="15.75">
      <c r="A831" s="8">
        <v>25135</v>
      </c>
      <c r="B831" s="13" t="s">
        <v>227</v>
      </c>
      <c r="C831" s="13" t="s">
        <v>4947</v>
      </c>
      <c r="D831" s="10">
        <v>0.8525</v>
      </c>
      <c r="E831" s="11">
        <v>279.22</v>
      </c>
      <c r="F831" s="10">
        <v>0.8361</v>
      </c>
      <c r="G831" s="11">
        <v>348</v>
      </c>
      <c r="H831" s="10">
        <v>0.9016</v>
      </c>
      <c r="I831" s="11">
        <v>373.88</v>
      </c>
      <c r="J831" s="10">
        <v>0.8525</v>
      </c>
      <c r="K831" s="11">
        <v>332</v>
      </c>
      <c r="L831" s="10">
        <v>0.8525</v>
      </c>
      <c r="M831" s="11">
        <v>400.77</v>
      </c>
      <c r="N831" s="10">
        <v>0.8525</v>
      </c>
      <c r="O831" s="11">
        <v>413.08</v>
      </c>
      <c r="P831" s="10">
        <v>0.8525</v>
      </c>
      <c r="Q831" s="10">
        <v>0.2482</v>
      </c>
      <c r="R831" s="10">
        <v>0.8525</v>
      </c>
      <c r="S831" s="10">
        <v>0.2052</v>
      </c>
      <c r="T831" s="8">
        <f>IF(and(ISNUMBER(D831), isnumber(E831)), 1, 0) + IF(and(ISNUMBER(F831), isnumber(G831)), 1, 0) + IF(and(ISNUMBER(H831), isnumber(I831)), 1, 0) + IF(and(ISNUMBER(J831), isnumber(K831)), 1, 0) + IF(and(ISNUMBER(L831), isnumber(M831)), 1, 0) + IF(and(ISNUMBER(N831), isnumber(O831)), 1, 0)</f>
      </c>
      <c r="U831" s="8">
        <f>IF(and(ISNUMBER(P831), isnumber(Q831)), 1, 0) + IF(and(ISNUMBER(R831), isnumber(S831)), 1, 0)</f>
      </c>
      <c r="V831" s="13"/>
      <c r="W831" s="13"/>
      <c r="X831" s="16"/>
    </row>
    <row x14ac:dyDescent="0.25" r="832" customHeight="1" ht="15.75">
      <c r="A832" s="8">
        <v>25063</v>
      </c>
      <c r="B832" s="13" t="s">
        <v>227</v>
      </c>
      <c r="C832" s="13" t="s">
        <v>6392</v>
      </c>
      <c r="D832" s="10">
        <v>0.8125</v>
      </c>
      <c r="E832" s="11">
        <v>109.95</v>
      </c>
      <c r="F832" s="10">
        <v>0.6797</v>
      </c>
      <c r="G832" s="11">
        <v>411.95</v>
      </c>
      <c r="H832" s="10">
        <v>0.5806</v>
      </c>
      <c r="I832" s="11">
        <v>460.26</v>
      </c>
      <c r="J832" s="10">
        <v>0.8058</v>
      </c>
      <c r="K832" s="11">
        <v>209.09</v>
      </c>
      <c r="L832" s="10">
        <v>0.5226</v>
      </c>
      <c r="M832" s="11">
        <v>417.22</v>
      </c>
      <c r="N832" s="10">
        <v>0.6903</v>
      </c>
      <c r="O832" s="11">
        <v>419.86</v>
      </c>
      <c r="P832" s="10">
        <v>0.8125</v>
      </c>
      <c r="Q832" s="10">
        <v>0.1957</v>
      </c>
      <c r="R832" s="10">
        <v>0.8058</v>
      </c>
      <c r="S832" s="10">
        <v>0.1959</v>
      </c>
      <c r="T832" s="8">
        <f>IF(and(ISNUMBER(D832), isnumber(E832)), 1, 0) + IF(and(ISNUMBER(F832), isnumber(G832)), 1, 0) + IF(and(ISNUMBER(H832), isnumber(I832)), 1, 0) + IF(and(ISNUMBER(J832), isnumber(K832)), 1, 0) + IF(and(ISNUMBER(L832), isnumber(M832)), 1, 0) + IF(and(ISNUMBER(N832), isnumber(O832)), 1, 0)</f>
      </c>
      <c r="U832" s="8">
        <f>IF(and(ISNUMBER(P832), isnumber(Q832)), 1, 0) + IF(and(ISNUMBER(R832), isnumber(S832)), 1, 0)</f>
      </c>
      <c r="V832" s="13"/>
      <c r="W832" s="13"/>
      <c r="X832" s="16"/>
    </row>
    <row x14ac:dyDescent="0.25" r="833" customHeight="1" ht="15.75">
      <c r="A833" s="8">
        <v>25112</v>
      </c>
      <c r="B833" s="13" t="s">
        <v>227</v>
      </c>
      <c r="C833" s="13" t="s">
        <v>6394</v>
      </c>
      <c r="D833" s="10">
        <v>0.8125</v>
      </c>
      <c r="E833" s="11">
        <v>163.48</v>
      </c>
      <c r="F833" s="10">
        <v>0</v>
      </c>
      <c r="G833" s="11" t="s">
        <v>7127</v>
      </c>
      <c r="H833" s="10">
        <v>0.625</v>
      </c>
      <c r="I833" s="11">
        <v>454</v>
      </c>
      <c r="J833" s="10">
        <v>0.5313</v>
      </c>
      <c r="K833" s="11">
        <v>224.62</v>
      </c>
      <c r="L833" s="10">
        <v>0.625</v>
      </c>
      <c r="M833" s="11">
        <v>606</v>
      </c>
      <c r="N833" s="10">
        <v>0</v>
      </c>
      <c r="O833" s="11" t="s">
        <v>7127</v>
      </c>
      <c r="P833" s="10">
        <v>0.8125</v>
      </c>
      <c r="Q833" s="10">
        <v>0.2142</v>
      </c>
      <c r="R833" s="10">
        <v>0.5313</v>
      </c>
      <c r="S833" s="10">
        <v>0.2667</v>
      </c>
      <c r="T833" s="8">
        <f>IF(and(ISNUMBER(D833), isnumber(E833)), 1, 0) + IF(and(ISNUMBER(F833), isnumber(G833)), 1, 0) + IF(and(ISNUMBER(H833), isnumber(I833)), 1, 0) + IF(and(ISNUMBER(J833), isnumber(K833)), 1, 0) + IF(and(ISNUMBER(L833), isnumber(M833)), 1, 0) + IF(and(ISNUMBER(N833), isnumber(O833)), 1, 0)</f>
      </c>
      <c r="U833" s="8">
        <f>IF(and(ISNUMBER(P833), isnumber(Q833)), 1, 0) + IF(and(ISNUMBER(R833), isnumber(S833)), 1, 0)</f>
      </c>
      <c r="V833" s="13"/>
      <c r="W833" s="13"/>
      <c r="X833" s="16"/>
    </row>
    <row x14ac:dyDescent="0.25" r="834" customHeight="1" ht="15.75">
      <c r="A834" s="8">
        <v>25151</v>
      </c>
      <c r="B834" s="13" t="s">
        <v>227</v>
      </c>
      <c r="C834" s="13" t="s">
        <v>6395</v>
      </c>
      <c r="D834" s="10">
        <v>0.5636</v>
      </c>
      <c r="E834" s="11" t="s">
        <v>7127</v>
      </c>
      <c r="F834" s="10">
        <v>0.4545</v>
      </c>
      <c r="G834" s="11">
        <v>264</v>
      </c>
      <c r="H834" s="10">
        <v>0.3649</v>
      </c>
      <c r="I834" s="11">
        <v>293.33</v>
      </c>
      <c r="J834" s="10">
        <v>0.5952</v>
      </c>
      <c r="K834" s="11">
        <v>81.6</v>
      </c>
      <c r="L834" s="10">
        <v>0.1216</v>
      </c>
      <c r="M834" s="11" t="s">
        <v>7127</v>
      </c>
      <c r="N834" s="10">
        <v>0.3514</v>
      </c>
      <c r="O834" s="11" t="s">
        <v>7127</v>
      </c>
      <c r="P834" s="10">
        <v>0.5636</v>
      </c>
      <c r="Q834" s="10">
        <v>0.2135</v>
      </c>
      <c r="R834" s="10">
        <v>0.5952</v>
      </c>
      <c r="S834" s="10">
        <v>0.1941</v>
      </c>
      <c r="T834" s="8">
        <f>IF(and(ISNUMBER(D834), isnumber(E834)), 1, 0) + IF(and(ISNUMBER(F834), isnumber(G834)), 1, 0) + IF(and(ISNUMBER(H834), isnumber(I834)), 1, 0) + IF(and(ISNUMBER(J834), isnumber(K834)), 1, 0) + IF(and(ISNUMBER(L834), isnumber(M834)), 1, 0) + IF(and(ISNUMBER(N834), isnumber(O834)), 1, 0)</f>
      </c>
      <c r="U834" s="8">
        <f>IF(and(ISNUMBER(P834), isnumber(Q834)), 1, 0) + IF(and(ISNUMBER(R834), isnumber(S834)), 1, 0)</f>
      </c>
      <c r="V834" s="13"/>
      <c r="W834" s="13"/>
      <c r="X834" s="16"/>
    </row>
    <row x14ac:dyDescent="0.25" r="835" customHeight="1" ht="15.75">
      <c r="A835" s="8">
        <v>25130</v>
      </c>
      <c r="B835" s="13" t="s">
        <v>227</v>
      </c>
      <c r="C835" s="13" t="s">
        <v>6397</v>
      </c>
      <c r="D835" s="10">
        <v>0.8925</v>
      </c>
      <c r="E835" s="11">
        <v>286.33</v>
      </c>
      <c r="F835" s="10">
        <v>0.7412</v>
      </c>
      <c r="G835" s="11" t="s">
        <v>7127</v>
      </c>
      <c r="H835" s="10">
        <v>0.7495</v>
      </c>
      <c r="I835" s="11">
        <v>354.77</v>
      </c>
      <c r="J835" s="10">
        <v>0.7</v>
      </c>
      <c r="K835" s="11">
        <v>270.38</v>
      </c>
      <c r="L835" s="10">
        <v>0.4933</v>
      </c>
      <c r="M835" s="11" t="s">
        <v>7127</v>
      </c>
      <c r="N835" s="10">
        <v>0.0019</v>
      </c>
      <c r="O835" s="11" t="s">
        <v>7127</v>
      </c>
      <c r="P835" s="10">
        <v>0.8925</v>
      </c>
      <c r="Q835" s="10">
        <v>0.2131</v>
      </c>
      <c r="R835" s="10">
        <v>0.7</v>
      </c>
      <c r="S835" s="10">
        <v>0.1559</v>
      </c>
      <c r="T835" s="8">
        <f>IF(and(ISNUMBER(D835), isnumber(E835)), 1, 0) + IF(and(ISNUMBER(F835), isnumber(G835)), 1, 0) + IF(and(ISNUMBER(H835), isnumber(I835)), 1, 0) + IF(and(ISNUMBER(J835), isnumber(K835)), 1, 0) + IF(and(ISNUMBER(L835), isnumber(M835)), 1, 0) + IF(and(ISNUMBER(N835), isnumber(O835)), 1, 0)</f>
      </c>
      <c r="U835" s="8">
        <f>IF(and(ISNUMBER(P835), isnumber(Q835)), 1, 0) + IF(and(ISNUMBER(R835), isnumber(S835)), 1, 0)</f>
      </c>
      <c r="V835" s="13"/>
      <c r="W835" s="13"/>
      <c r="X835" s="16"/>
    </row>
    <row x14ac:dyDescent="0.25" r="836" customHeight="1" ht="15.75">
      <c r="A836" s="8">
        <v>25064</v>
      </c>
      <c r="B836" s="13" t="s">
        <v>227</v>
      </c>
      <c r="C836" s="13" t="s">
        <v>6400</v>
      </c>
      <c r="D836" s="10">
        <v>0.7391</v>
      </c>
      <c r="E836" s="11">
        <v>224.05</v>
      </c>
      <c r="F836" s="10">
        <v>0.5652</v>
      </c>
      <c r="G836" s="11">
        <v>365.66</v>
      </c>
      <c r="H836" s="10">
        <v>0.6139</v>
      </c>
      <c r="I836" s="11">
        <v>285.34</v>
      </c>
      <c r="J836" s="10">
        <v>0.4643</v>
      </c>
      <c r="K836" s="11">
        <v>188.55</v>
      </c>
      <c r="L836" s="10">
        <v>0.5228</v>
      </c>
      <c r="M836" s="11">
        <v>247.1</v>
      </c>
      <c r="N836" s="10">
        <v>0.0027</v>
      </c>
      <c r="O836" s="11" t="s">
        <v>7127</v>
      </c>
      <c r="P836" s="10">
        <v>0.7391</v>
      </c>
      <c r="Q836" s="10">
        <v>0.2341</v>
      </c>
      <c r="R836" s="10">
        <v>0.4643</v>
      </c>
      <c r="S836" s="10">
        <v>0.1982</v>
      </c>
      <c r="T836" s="8">
        <f>IF(and(ISNUMBER(D836), isnumber(E836)), 1, 0) + IF(and(ISNUMBER(F836), isnumber(G836)), 1, 0) + IF(and(ISNUMBER(H836), isnumber(I836)), 1, 0) + IF(and(ISNUMBER(J836), isnumber(K836)), 1, 0) + IF(and(ISNUMBER(L836), isnumber(M836)), 1, 0) + IF(and(ISNUMBER(N836), isnumber(O836)), 1, 0)</f>
      </c>
      <c r="U836" s="8">
        <f>IF(and(ISNUMBER(P836), isnumber(Q836)), 1, 0) + IF(and(ISNUMBER(R836), isnumber(S836)), 1, 0)</f>
      </c>
      <c r="V836" s="13"/>
      <c r="W836" s="13"/>
      <c r="X836" s="16"/>
    </row>
    <row x14ac:dyDescent="0.25" r="837" customHeight="1" ht="15.75">
      <c r="A837" s="8">
        <v>25065</v>
      </c>
      <c r="B837" s="13" t="s">
        <v>227</v>
      </c>
      <c r="C837" s="13" t="s">
        <v>6401</v>
      </c>
      <c r="D837" s="10">
        <v>0.7875</v>
      </c>
      <c r="E837" s="11">
        <v>77.19</v>
      </c>
      <c r="F837" s="10">
        <v>0.625</v>
      </c>
      <c r="G837" s="11">
        <v>407.66</v>
      </c>
      <c r="H837" s="10">
        <v>0.4375</v>
      </c>
      <c r="I837" s="11">
        <v>472.94</v>
      </c>
      <c r="J837" s="10">
        <v>0.6125</v>
      </c>
      <c r="K837" s="11">
        <v>212.5</v>
      </c>
      <c r="L837" s="10">
        <v>0.575</v>
      </c>
      <c r="M837" s="11">
        <v>331.56</v>
      </c>
      <c r="N837" s="10">
        <v>0.6</v>
      </c>
      <c r="O837" s="11">
        <v>478.33</v>
      </c>
      <c r="P837" s="10">
        <v>0.7875</v>
      </c>
      <c r="Q837" s="10">
        <v>0.2079</v>
      </c>
      <c r="R837" s="10">
        <v>0.6125</v>
      </c>
      <c r="S837" s="10">
        <v>0.1839</v>
      </c>
      <c r="T837" s="8">
        <f>IF(and(ISNUMBER(D837), isnumber(E837)), 1, 0) + IF(and(ISNUMBER(F837), isnumber(G837)), 1, 0) + IF(and(ISNUMBER(H837), isnumber(I837)), 1, 0) + IF(and(ISNUMBER(J837), isnumber(K837)), 1, 0) + IF(and(ISNUMBER(L837), isnumber(M837)), 1, 0) + IF(and(ISNUMBER(N837), isnumber(O837)), 1, 0)</f>
      </c>
      <c r="U837" s="8">
        <f>IF(and(ISNUMBER(P837), isnumber(Q837)), 1, 0) + IF(and(ISNUMBER(R837), isnumber(S837)), 1, 0)</f>
      </c>
      <c r="V837" s="13"/>
      <c r="W837" s="13"/>
      <c r="X837" s="16"/>
    </row>
    <row x14ac:dyDescent="0.25" r="838" customHeight="1" ht="15.75">
      <c r="A838" s="8">
        <v>25066</v>
      </c>
      <c r="B838" s="13" t="s">
        <v>227</v>
      </c>
      <c r="C838" s="13" t="s">
        <v>6404</v>
      </c>
      <c r="D838" s="10">
        <v>0.6982</v>
      </c>
      <c r="E838" s="11">
        <v>193.56</v>
      </c>
      <c r="F838" s="10">
        <v>0.5544</v>
      </c>
      <c r="G838" s="11">
        <v>397.49</v>
      </c>
      <c r="H838" s="10">
        <v>0.3981</v>
      </c>
      <c r="I838" s="11">
        <v>415.97</v>
      </c>
      <c r="J838" s="10">
        <v>0.4838</v>
      </c>
      <c r="K838" s="11">
        <v>258.98</v>
      </c>
      <c r="L838" s="10">
        <v>0.4228</v>
      </c>
      <c r="M838" s="11">
        <v>416.79</v>
      </c>
      <c r="N838" s="10">
        <v>0.5</v>
      </c>
      <c r="O838" s="11">
        <v>396.02</v>
      </c>
      <c r="P838" s="10">
        <v>0.6982</v>
      </c>
      <c r="Q838" s="10">
        <v>0.2237</v>
      </c>
      <c r="R838" s="10">
        <v>0.4838</v>
      </c>
      <c r="S838" s="10">
        <v>0.1977</v>
      </c>
      <c r="T838" s="8">
        <f>IF(and(ISNUMBER(D838), isnumber(E838)), 1, 0) + IF(and(ISNUMBER(F838), isnumber(G838)), 1, 0) + IF(and(ISNUMBER(H838), isnumber(I838)), 1, 0) + IF(and(ISNUMBER(J838), isnumber(K838)), 1, 0) + IF(and(ISNUMBER(L838), isnumber(M838)), 1, 0) + IF(and(ISNUMBER(N838), isnumber(O838)), 1, 0)</f>
      </c>
      <c r="U838" s="8">
        <f>IF(and(ISNUMBER(P838), isnumber(Q838)), 1, 0) + IF(and(ISNUMBER(R838), isnumber(S838)), 1, 0)</f>
      </c>
      <c r="V838" s="13"/>
      <c r="W838" s="13"/>
      <c r="X838" s="16"/>
    </row>
    <row x14ac:dyDescent="0.25" r="839" customHeight="1" ht="15.75">
      <c r="A839" s="8">
        <v>25136</v>
      </c>
      <c r="B839" s="13" t="s">
        <v>227</v>
      </c>
      <c r="C839" s="13" t="s">
        <v>6406</v>
      </c>
      <c r="D839" s="10">
        <v>0.7169</v>
      </c>
      <c r="E839" s="11">
        <v>346.98</v>
      </c>
      <c r="F839" s="10">
        <v>0.7169</v>
      </c>
      <c r="G839" s="11">
        <v>430.71</v>
      </c>
      <c r="H839" s="10">
        <v>0.6594</v>
      </c>
      <c r="I839" s="11">
        <v>503.35</v>
      </c>
      <c r="J839" s="10">
        <v>0.6912</v>
      </c>
      <c r="K839" s="11">
        <v>487.73</v>
      </c>
      <c r="L839" s="10">
        <v>0.6131</v>
      </c>
      <c r="M839" s="11">
        <v>477.66</v>
      </c>
      <c r="N839" s="10">
        <v>0.6431</v>
      </c>
      <c r="O839" s="11">
        <v>485.76</v>
      </c>
      <c r="P839" s="10">
        <v>0.7169</v>
      </c>
      <c r="Q839" s="10">
        <v>0.2843</v>
      </c>
      <c r="R839" s="10">
        <v>0.6912</v>
      </c>
      <c r="S839" s="10">
        <v>0.227</v>
      </c>
      <c r="T839" s="8">
        <f>IF(and(ISNUMBER(D839), isnumber(E839)), 1, 0) + IF(and(ISNUMBER(F839), isnumber(G839)), 1, 0) + IF(and(ISNUMBER(H839), isnumber(I839)), 1, 0) + IF(and(ISNUMBER(J839), isnumber(K839)), 1, 0) + IF(and(ISNUMBER(L839), isnumber(M839)), 1, 0) + IF(and(ISNUMBER(N839), isnumber(O839)), 1, 0)</f>
      </c>
      <c r="U839" s="8">
        <f>IF(and(ISNUMBER(P839), isnumber(Q839)), 1, 0) + IF(and(ISNUMBER(R839), isnumber(S839)), 1, 0)</f>
      </c>
      <c r="V839" s="13"/>
      <c r="W839" s="13"/>
      <c r="X839" s="16"/>
    </row>
    <row x14ac:dyDescent="0.25" r="840" customHeight="1" ht="15.75">
      <c r="A840" s="8">
        <v>25067</v>
      </c>
      <c r="B840" s="13" t="s">
        <v>227</v>
      </c>
      <c r="C840" s="13" t="s">
        <v>6409</v>
      </c>
      <c r="D840" s="10">
        <v>0.9611</v>
      </c>
      <c r="E840" s="11">
        <v>218.5</v>
      </c>
      <c r="F840" s="10">
        <v>0.7278</v>
      </c>
      <c r="G840" s="11">
        <v>365.99</v>
      </c>
      <c r="H840" s="10">
        <v>0.5735</v>
      </c>
      <c r="I840" s="11">
        <v>411.4</v>
      </c>
      <c r="J840" s="10">
        <v>0.6</v>
      </c>
      <c r="K840" s="11">
        <v>325.15</v>
      </c>
      <c r="L840" s="10">
        <v>0.2843</v>
      </c>
      <c r="M840" s="11">
        <v>368</v>
      </c>
      <c r="N840" s="10">
        <v>0.5735</v>
      </c>
      <c r="O840" s="11">
        <v>293.94</v>
      </c>
      <c r="P840" s="10">
        <v>0.9611</v>
      </c>
      <c r="Q840" s="10">
        <v>0.1862</v>
      </c>
      <c r="R840" s="10">
        <v>0.6</v>
      </c>
      <c r="S840" s="10">
        <v>0.2036</v>
      </c>
      <c r="T840" s="8">
        <f>IF(and(ISNUMBER(D840), isnumber(E840)), 1, 0) + IF(and(ISNUMBER(F840), isnumber(G840)), 1, 0) + IF(and(ISNUMBER(H840), isnumber(I840)), 1, 0) + IF(and(ISNUMBER(J840), isnumber(K840)), 1, 0) + IF(and(ISNUMBER(L840), isnumber(M840)), 1, 0) + IF(and(ISNUMBER(N840), isnumber(O840)), 1, 0)</f>
      </c>
      <c r="U840" s="8">
        <f>IF(and(ISNUMBER(P840), isnumber(Q840)), 1, 0) + IF(and(ISNUMBER(R840), isnumber(S840)), 1, 0)</f>
      </c>
      <c r="V840" s="13"/>
      <c r="W840" s="13"/>
      <c r="X840" s="16"/>
    </row>
    <row x14ac:dyDescent="0.25" r="841" customHeight="1" ht="15.75">
      <c r="A841" s="8">
        <v>25068</v>
      </c>
      <c r="B841" s="13" t="s">
        <v>227</v>
      </c>
      <c r="C841" s="13" t="s">
        <v>6411</v>
      </c>
      <c r="D841" s="10">
        <v>0.7417</v>
      </c>
      <c r="E841" s="11">
        <v>285.37</v>
      </c>
      <c r="F841" s="10">
        <v>0.351</v>
      </c>
      <c r="G841" s="11">
        <v>326.72</v>
      </c>
      <c r="H841" s="10">
        <v>0.4205</v>
      </c>
      <c r="I841" s="11">
        <v>492.97</v>
      </c>
      <c r="J841" s="10">
        <v>0.6667</v>
      </c>
      <c r="K841" s="11">
        <v>339.35</v>
      </c>
      <c r="L841" s="10">
        <v>0.6193</v>
      </c>
      <c r="M841" s="11">
        <v>591.1</v>
      </c>
      <c r="N841" s="10">
        <v>0.6023</v>
      </c>
      <c r="O841" s="11">
        <v>601.23</v>
      </c>
      <c r="P841" s="10">
        <v>0.7417</v>
      </c>
      <c r="Q841" s="10">
        <v>0.2228</v>
      </c>
      <c r="R841" s="10">
        <v>0.6667</v>
      </c>
      <c r="S841" s="10">
        <v>0.1951</v>
      </c>
      <c r="T841" s="8">
        <f>IF(and(ISNUMBER(D841), isnumber(E841)), 1, 0) + IF(and(ISNUMBER(F841), isnumber(G841)), 1, 0) + IF(and(ISNUMBER(H841), isnumber(I841)), 1, 0) + IF(and(ISNUMBER(J841), isnumber(K841)), 1, 0) + IF(and(ISNUMBER(L841), isnumber(M841)), 1, 0) + IF(and(ISNUMBER(N841), isnumber(O841)), 1, 0)</f>
      </c>
      <c r="U841" s="8">
        <f>IF(and(ISNUMBER(P841), isnumber(Q841)), 1, 0) + IF(and(ISNUMBER(R841), isnumber(S841)), 1, 0)</f>
      </c>
      <c r="V841" s="13"/>
      <c r="W841" s="13"/>
      <c r="X841" s="16"/>
    </row>
    <row x14ac:dyDescent="0.25" r="842" customHeight="1" ht="15.75">
      <c r="A842" s="8">
        <v>25143</v>
      </c>
      <c r="B842" s="13" t="s">
        <v>227</v>
      </c>
      <c r="C842" s="13" t="s">
        <v>6413</v>
      </c>
      <c r="D842" s="10">
        <v>0.9528</v>
      </c>
      <c r="E842" s="11">
        <v>267.72</v>
      </c>
      <c r="F842" s="10">
        <v>0.7642</v>
      </c>
      <c r="G842" s="11">
        <v>470.12</v>
      </c>
      <c r="H842" s="10">
        <v>0.8537</v>
      </c>
      <c r="I842" s="11">
        <v>288.38</v>
      </c>
      <c r="J842" s="10">
        <v>0.7965</v>
      </c>
      <c r="K842" s="11">
        <v>440.09</v>
      </c>
      <c r="L842" s="10">
        <v>0.3496</v>
      </c>
      <c r="M842" s="11">
        <v>506.98</v>
      </c>
      <c r="N842" s="10">
        <v>0.7398</v>
      </c>
      <c r="O842" s="11">
        <v>507.69</v>
      </c>
      <c r="P842" s="10">
        <v>0.9528</v>
      </c>
      <c r="Q842" s="10">
        <v>0.242</v>
      </c>
      <c r="R842" s="10">
        <v>0.7965</v>
      </c>
      <c r="S842" s="10">
        <v>0.2444</v>
      </c>
      <c r="T842" s="8">
        <f>IF(and(ISNUMBER(D842), isnumber(E842)), 1, 0) + IF(and(ISNUMBER(F842), isnumber(G842)), 1, 0) + IF(and(ISNUMBER(H842), isnumber(I842)), 1, 0) + IF(and(ISNUMBER(J842), isnumber(K842)), 1, 0) + IF(and(ISNUMBER(L842), isnumber(M842)), 1, 0) + IF(and(ISNUMBER(N842), isnumber(O842)), 1, 0)</f>
      </c>
      <c r="U842" s="8">
        <f>IF(and(ISNUMBER(P842), isnumber(Q842)), 1, 0) + IF(and(ISNUMBER(R842), isnumber(S842)), 1, 0)</f>
      </c>
      <c r="V842" s="13"/>
      <c r="W842" s="13"/>
      <c r="X842" s="16"/>
    </row>
    <row x14ac:dyDescent="0.25" r="843" customHeight="1" ht="15.75">
      <c r="A843" s="8">
        <v>25069</v>
      </c>
      <c r="B843" s="13" t="s">
        <v>227</v>
      </c>
      <c r="C843" s="13" t="s">
        <v>6416</v>
      </c>
      <c r="D843" s="10">
        <v>0.8413</v>
      </c>
      <c r="E843" s="11">
        <v>247.09</v>
      </c>
      <c r="F843" s="10">
        <v>0.8571</v>
      </c>
      <c r="G843" s="11">
        <v>329.45</v>
      </c>
      <c r="H843" s="10">
        <v>0.5696</v>
      </c>
      <c r="I843" s="11">
        <v>392.48</v>
      </c>
      <c r="J843" s="10">
        <v>0.7642</v>
      </c>
      <c r="K843" s="11">
        <v>348.5</v>
      </c>
      <c r="L843" s="10">
        <v>0.5696</v>
      </c>
      <c r="M843" s="11">
        <v>408.45</v>
      </c>
      <c r="N843" s="10">
        <v>0.6392</v>
      </c>
      <c r="O843" s="11">
        <v>396.99</v>
      </c>
      <c r="P843" s="10">
        <v>0.8413</v>
      </c>
      <c r="Q843" s="10">
        <v>0.2389</v>
      </c>
      <c r="R843" s="10">
        <v>0.7642</v>
      </c>
      <c r="S843" s="10">
        <v>0.2117</v>
      </c>
      <c r="T843" s="8">
        <f>IF(and(ISNUMBER(D843), isnumber(E843)), 1, 0) + IF(and(ISNUMBER(F843), isnumber(G843)), 1, 0) + IF(and(ISNUMBER(H843), isnumber(I843)), 1, 0) + IF(and(ISNUMBER(J843), isnumber(K843)), 1, 0) + IF(and(ISNUMBER(L843), isnumber(M843)), 1, 0) + IF(and(ISNUMBER(N843), isnumber(O843)), 1, 0)</f>
      </c>
      <c r="U843" s="8">
        <f>IF(and(ISNUMBER(P843), isnumber(Q843)), 1, 0) + IF(and(ISNUMBER(R843), isnumber(S843)), 1, 0)</f>
      </c>
      <c r="V843" s="13"/>
      <c r="W843" s="13"/>
      <c r="X843" s="16"/>
    </row>
    <row x14ac:dyDescent="0.25" r="844" customHeight="1" ht="15.75">
      <c r="A844" s="8">
        <v>25070</v>
      </c>
      <c r="B844" s="13" t="s">
        <v>227</v>
      </c>
      <c r="C844" s="13" t="s">
        <v>6420</v>
      </c>
      <c r="D844" s="10">
        <v>0.8101</v>
      </c>
      <c r="E844" s="11">
        <v>94.84</v>
      </c>
      <c r="F844" s="10">
        <v>0.9367</v>
      </c>
      <c r="G844" s="11">
        <v>227.4</v>
      </c>
      <c r="H844" s="10">
        <v>0.6835</v>
      </c>
      <c r="I844" s="11">
        <v>282.26</v>
      </c>
      <c r="J844" s="10">
        <v>0.7215</v>
      </c>
      <c r="K844" s="11">
        <v>237.09</v>
      </c>
      <c r="L844" s="10">
        <v>0.4557</v>
      </c>
      <c r="M844" s="11">
        <v>437.78</v>
      </c>
      <c r="N844" s="10">
        <v>0.5823</v>
      </c>
      <c r="O844" s="11">
        <v>381.74</v>
      </c>
      <c r="P844" s="10">
        <v>0.8101</v>
      </c>
      <c r="Q844" s="10">
        <v>0.2134</v>
      </c>
      <c r="R844" s="10">
        <v>0.7215</v>
      </c>
      <c r="S844" s="10">
        <v>0.1909</v>
      </c>
      <c r="T844" s="8">
        <f>IF(and(ISNUMBER(D844), isnumber(E844)), 1, 0) + IF(and(ISNUMBER(F844), isnumber(G844)), 1, 0) + IF(and(ISNUMBER(H844), isnumber(I844)), 1, 0) + IF(and(ISNUMBER(J844), isnumber(K844)), 1, 0) + IF(and(ISNUMBER(L844), isnumber(M844)), 1, 0) + IF(and(ISNUMBER(N844), isnumber(O844)), 1, 0)</f>
      </c>
      <c r="U844" s="8">
        <f>IF(and(ISNUMBER(P844), isnumber(Q844)), 1, 0) + IF(and(ISNUMBER(R844), isnumber(S844)), 1, 0)</f>
      </c>
      <c r="V844" s="13"/>
      <c r="W844" s="13"/>
      <c r="X844" s="16"/>
    </row>
    <row x14ac:dyDescent="0.25" r="845" customHeight="1" ht="15.75">
      <c r="A845" s="8">
        <v>25071</v>
      </c>
      <c r="B845" s="13" t="s">
        <v>227</v>
      </c>
      <c r="C845" s="13" t="s">
        <v>6423</v>
      </c>
      <c r="D845" s="10">
        <v>0.6087</v>
      </c>
      <c r="E845" s="11" t="s">
        <v>7127</v>
      </c>
      <c r="F845" s="10">
        <v>0.2989</v>
      </c>
      <c r="G845" s="11">
        <v>326.64</v>
      </c>
      <c r="H845" s="10">
        <v>0.4645</v>
      </c>
      <c r="I845" s="11">
        <v>300.03</v>
      </c>
      <c r="J845" s="10">
        <v>0.3186</v>
      </c>
      <c r="K845" s="11">
        <v>87.31</v>
      </c>
      <c r="L845" s="10">
        <v>0.1564</v>
      </c>
      <c r="M845" s="11">
        <v>293.33</v>
      </c>
      <c r="N845" s="10">
        <v>0.2275</v>
      </c>
      <c r="O845" s="11">
        <v>415.54</v>
      </c>
      <c r="P845" s="10">
        <v>0.6087</v>
      </c>
      <c r="Q845" s="10">
        <v>0.1688</v>
      </c>
      <c r="R845" s="10">
        <v>0.3186</v>
      </c>
      <c r="S845" s="10">
        <v>0.1943</v>
      </c>
      <c r="T845" s="8">
        <f>IF(and(ISNUMBER(D845), isnumber(E845)), 1, 0) + IF(and(ISNUMBER(F845), isnumber(G845)), 1, 0) + IF(and(ISNUMBER(H845), isnumber(I845)), 1, 0) + IF(and(ISNUMBER(J845), isnumber(K845)), 1, 0) + IF(and(ISNUMBER(L845), isnumber(M845)), 1, 0) + IF(and(ISNUMBER(N845), isnumber(O845)), 1, 0)</f>
      </c>
      <c r="U845" s="8">
        <f>IF(and(ISNUMBER(P845), isnumber(Q845)), 1, 0) + IF(and(ISNUMBER(R845), isnumber(S845)), 1, 0)</f>
      </c>
      <c r="V845" s="13"/>
      <c r="W845" s="13"/>
      <c r="X845" s="16"/>
    </row>
    <row x14ac:dyDescent="0.25" r="846" customHeight="1" ht="15.75">
      <c r="A846" s="8">
        <v>25072</v>
      </c>
      <c r="B846" s="13" t="s">
        <v>227</v>
      </c>
      <c r="C846" s="13" t="s">
        <v>6424</v>
      </c>
      <c r="D846" s="10">
        <v>0.9643</v>
      </c>
      <c r="E846" s="11">
        <v>77.74</v>
      </c>
      <c r="F846" s="10">
        <v>0.9643</v>
      </c>
      <c r="G846" s="11">
        <v>266.38</v>
      </c>
      <c r="H846" s="10">
        <v>0.5893</v>
      </c>
      <c r="I846" s="11">
        <v>350</v>
      </c>
      <c r="J846" s="10">
        <v>0.5357</v>
      </c>
      <c r="K846" s="11">
        <v>138.67</v>
      </c>
      <c r="L846" s="10">
        <v>0.5714</v>
      </c>
      <c r="M846" s="11">
        <v>432.5</v>
      </c>
      <c r="N846" s="10">
        <v>0.3929</v>
      </c>
      <c r="O846" s="11">
        <v>421.82</v>
      </c>
      <c r="P846" s="10">
        <v>0.9643</v>
      </c>
      <c r="Q846" s="10">
        <v>0.1486</v>
      </c>
      <c r="R846" s="10">
        <v>0.5357</v>
      </c>
      <c r="S846" s="10">
        <v>0.1858</v>
      </c>
      <c r="T846" s="8">
        <f>IF(and(ISNUMBER(D846), isnumber(E846)), 1, 0) + IF(and(ISNUMBER(F846), isnumber(G846)), 1, 0) + IF(and(ISNUMBER(H846), isnumber(I846)), 1, 0) + IF(and(ISNUMBER(J846), isnumber(K846)), 1, 0) + IF(and(ISNUMBER(L846), isnumber(M846)), 1, 0) + IF(and(ISNUMBER(N846), isnumber(O846)), 1, 0)</f>
      </c>
      <c r="U846" s="8">
        <f>IF(and(ISNUMBER(P846), isnumber(Q846)), 1, 0) + IF(and(ISNUMBER(R846), isnumber(S846)), 1, 0)</f>
      </c>
      <c r="V846" s="13"/>
      <c r="W846" s="13"/>
      <c r="X846" s="16"/>
    </row>
    <row x14ac:dyDescent="0.25" r="847" customHeight="1" ht="15.75">
      <c r="A847" s="8">
        <v>25073</v>
      </c>
      <c r="B847" s="13" t="s">
        <v>227</v>
      </c>
      <c r="C847" s="13" t="s">
        <v>6428</v>
      </c>
      <c r="D847" s="10">
        <v>0.8679</v>
      </c>
      <c r="E847" s="11">
        <v>313.91</v>
      </c>
      <c r="F847" s="10">
        <v>0.8302</v>
      </c>
      <c r="G847" s="11">
        <v>470.91</v>
      </c>
      <c r="H847" s="10">
        <v>0.9623</v>
      </c>
      <c r="I847" s="11">
        <v>483.92</v>
      </c>
      <c r="J847" s="10">
        <v>0.8868</v>
      </c>
      <c r="K847" s="11">
        <v>378.26</v>
      </c>
      <c r="L847" s="10">
        <v>0.8491</v>
      </c>
      <c r="M847" s="11">
        <v>467.56</v>
      </c>
      <c r="N847" s="10">
        <v>0.8302</v>
      </c>
      <c r="O847" s="11">
        <v>465.45</v>
      </c>
      <c r="P847" s="10">
        <v>0.8679</v>
      </c>
      <c r="Q847" s="10">
        <v>0.2497</v>
      </c>
      <c r="R847" s="10">
        <v>0.8868</v>
      </c>
      <c r="S847" s="10">
        <v>0.2017</v>
      </c>
      <c r="T847" s="8">
        <f>IF(and(ISNUMBER(D847), isnumber(E847)), 1, 0) + IF(and(ISNUMBER(F847), isnumber(G847)), 1, 0) + IF(and(ISNUMBER(H847), isnumber(I847)), 1, 0) + IF(and(ISNUMBER(J847), isnumber(K847)), 1, 0) + IF(and(ISNUMBER(L847), isnumber(M847)), 1, 0) + IF(and(ISNUMBER(N847), isnumber(O847)), 1, 0)</f>
      </c>
      <c r="U847" s="8">
        <f>IF(and(ISNUMBER(P847), isnumber(Q847)), 1, 0) + IF(and(ISNUMBER(R847), isnumber(S847)), 1, 0)</f>
      </c>
      <c r="V847" s="13"/>
      <c r="W847" s="13"/>
      <c r="X847" s="16"/>
    </row>
    <row x14ac:dyDescent="0.25" r="848" customHeight="1" ht="15.75">
      <c r="A848" s="8">
        <v>25074</v>
      </c>
      <c r="B848" s="13" t="s">
        <v>227</v>
      </c>
      <c r="C848" s="13" t="s">
        <v>6430</v>
      </c>
      <c r="D848" s="10">
        <v>0.7296</v>
      </c>
      <c r="E848" s="11">
        <v>312.7</v>
      </c>
      <c r="F848" s="10">
        <v>0.4949</v>
      </c>
      <c r="G848" s="11">
        <v>365.89</v>
      </c>
      <c r="H848" s="10">
        <v>0.6224</v>
      </c>
      <c r="I848" s="11">
        <v>359.01</v>
      </c>
      <c r="J848" s="10">
        <v>0.6939</v>
      </c>
      <c r="K848" s="11">
        <v>280.6</v>
      </c>
      <c r="L848" s="10">
        <v>0.6582</v>
      </c>
      <c r="M848" s="11">
        <v>452.19</v>
      </c>
      <c r="N848" s="10">
        <v>0.6531</v>
      </c>
      <c r="O848" s="11">
        <v>442.5</v>
      </c>
      <c r="P848" s="10">
        <v>0.7296</v>
      </c>
      <c r="Q848" s="10">
        <v>0.2365</v>
      </c>
      <c r="R848" s="10">
        <v>0.6939</v>
      </c>
      <c r="S848" s="10">
        <v>0.2021</v>
      </c>
      <c r="T848" s="8">
        <f>IF(and(ISNUMBER(D848), isnumber(E848)), 1, 0) + IF(and(ISNUMBER(F848), isnumber(G848)), 1, 0) + IF(and(ISNUMBER(H848), isnumber(I848)), 1, 0) + IF(and(ISNUMBER(J848), isnumber(K848)), 1, 0) + IF(and(ISNUMBER(L848), isnumber(M848)), 1, 0) + IF(and(ISNUMBER(N848), isnumber(O848)), 1, 0)</f>
      </c>
      <c r="U848" s="8">
        <f>IF(and(ISNUMBER(P848), isnumber(Q848)), 1, 0) + IF(and(ISNUMBER(R848), isnumber(S848)), 1, 0)</f>
      </c>
      <c r="V848" s="13"/>
      <c r="W848" s="13"/>
      <c r="X848" s="16"/>
    </row>
    <row x14ac:dyDescent="0.25" r="849" customHeight="1" ht="15.75">
      <c r="A849" s="8">
        <v>25152</v>
      </c>
      <c r="B849" s="13" t="s">
        <v>227</v>
      </c>
      <c r="C849" s="13" t="s">
        <v>6433</v>
      </c>
      <c r="D849" s="10">
        <v>0.7692</v>
      </c>
      <c r="E849" s="11">
        <v>197.33</v>
      </c>
      <c r="F849" s="10">
        <v>0.9573</v>
      </c>
      <c r="G849" s="11">
        <v>326.27</v>
      </c>
      <c r="H849" s="10">
        <v>0.6364</v>
      </c>
      <c r="I849" s="11">
        <v>420.94</v>
      </c>
      <c r="J849" s="10">
        <v>0.6842</v>
      </c>
      <c r="K849" s="11">
        <v>346.96</v>
      </c>
      <c r="L849" s="10">
        <v>0.6853</v>
      </c>
      <c r="M849" s="11">
        <v>415.92</v>
      </c>
      <c r="N849" s="10">
        <v>0.5944</v>
      </c>
      <c r="O849" s="11">
        <v>467.3</v>
      </c>
      <c r="P849" s="10">
        <v>0.7692</v>
      </c>
      <c r="Q849" s="10">
        <v>0.2387</v>
      </c>
      <c r="R849" s="10">
        <v>0.6842</v>
      </c>
      <c r="S849" s="10">
        <v>0.2185</v>
      </c>
      <c r="T849" s="8">
        <f>IF(and(ISNUMBER(D849), isnumber(E849)), 1, 0) + IF(and(ISNUMBER(F849), isnumber(G849)), 1, 0) + IF(and(ISNUMBER(H849), isnumber(I849)), 1, 0) + IF(and(ISNUMBER(J849), isnumber(K849)), 1, 0) + IF(and(ISNUMBER(L849), isnumber(M849)), 1, 0) + IF(and(ISNUMBER(N849), isnumber(O849)), 1, 0)</f>
      </c>
      <c r="U849" s="8">
        <f>IF(and(ISNUMBER(P849), isnumber(Q849)), 1, 0) + IF(and(ISNUMBER(R849), isnumber(S849)), 1, 0)</f>
      </c>
      <c r="V849" s="13"/>
      <c r="W849" s="13"/>
      <c r="X849" s="16"/>
    </row>
    <row x14ac:dyDescent="0.25" r="850" customHeight="1" ht="15.75">
      <c r="A850" s="8">
        <v>25153</v>
      </c>
      <c r="B850" s="13" t="s">
        <v>227</v>
      </c>
      <c r="C850" s="13" t="s">
        <v>6434</v>
      </c>
      <c r="D850" s="10">
        <v>0.9868</v>
      </c>
      <c r="E850" s="11">
        <v>204.27</v>
      </c>
      <c r="F850" s="10">
        <v>0.6711</v>
      </c>
      <c r="G850" s="11">
        <v>346.36</v>
      </c>
      <c r="H850" s="10">
        <v>0.5921</v>
      </c>
      <c r="I850" s="11">
        <v>412.44</v>
      </c>
      <c r="J850" s="10">
        <v>0.7237</v>
      </c>
      <c r="K850" s="11">
        <v>360</v>
      </c>
      <c r="L850" s="10">
        <v>0.5658</v>
      </c>
      <c r="M850" s="11">
        <v>378.1</v>
      </c>
      <c r="N850" s="10">
        <v>0.5658</v>
      </c>
      <c r="O850" s="11">
        <v>346.67</v>
      </c>
      <c r="P850" s="10">
        <v>0.9868</v>
      </c>
      <c r="Q850" s="10">
        <v>0.2094</v>
      </c>
      <c r="R850" s="10">
        <v>0.7237</v>
      </c>
      <c r="S850" s="10">
        <v>0.2</v>
      </c>
      <c r="T850" s="8">
        <f>IF(and(ISNUMBER(D850), isnumber(E850)), 1, 0) + IF(and(ISNUMBER(F850), isnumber(G850)), 1, 0) + IF(and(ISNUMBER(H850), isnumber(I850)), 1, 0) + IF(and(ISNUMBER(J850), isnumber(K850)), 1, 0) + IF(and(ISNUMBER(L850), isnumber(M850)), 1, 0) + IF(and(ISNUMBER(N850), isnumber(O850)), 1, 0)</f>
      </c>
      <c r="U850" s="8">
        <f>IF(and(ISNUMBER(P850), isnumber(Q850)), 1, 0) + IF(and(ISNUMBER(R850), isnumber(S850)), 1, 0)</f>
      </c>
      <c r="V850" s="13"/>
      <c r="W850" s="13"/>
      <c r="X850" s="16"/>
    </row>
    <row x14ac:dyDescent="0.25" r="851" customHeight="1" ht="15.75">
      <c r="A851" s="8">
        <v>25075</v>
      </c>
      <c r="B851" s="13" t="s">
        <v>227</v>
      </c>
      <c r="C851" s="13" t="s">
        <v>6437</v>
      </c>
      <c r="D851" s="10">
        <v>0.9805</v>
      </c>
      <c r="E851" s="11">
        <v>183.4</v>
      </c>
      <c r="F851" s="10">
        <v>0.7902</v>
      </c>
      <c r="G851" s="11">
        <v>389.81</v>
      </c>
      <c r="H851" s="10">
        <v>0.7722</v>
      </c>
      <c r="I851" s="11">
        <v>412.02</v>
      </c>
      <c r="J851" s="10">
        <v>0.7511</v>
      </c>
      <c r="K851" s="11">
        <v>327.86</v>
      </c>
      <c r="L851" s="10">
        <v>0.7384</v>
      </c>
      <c r="M851" s="11">
        <v>378.29</v>
      </c>
      <c r="N851" s="10">
        <v>0.692</v>
      </c>
      <c r="O851" s="11">
        <v>417</v>
      </c>
      <c r="P851" s="10">
        <v>0.9805</v>
      </c>
      <c r="Q851" s="10">
        <v>0.2173</v>
      </c>
      <c r="R851" s="10">
        <v>0.7511</v>
      </c>
      <c r="S851" s="10">
        <v>0.2052</v>
      </c>
      <c r="T851" s="8">
        <f>IF(and(ISNUMBER(D851), isnumber(E851)), 1, 0) + IF(and(ISNUMBER(F851), isnumber(G851)), 1, 0) + IF(and(ISNUMBER(H851), isnumber(I851)), 1, 0) + IF(and(ISNUMBER(J851), isnumber(K851)), 1, 0) + IF(and(ISNUMBER(L851), isnumber(M851)), 1, 0) + IF(and(ISNUMBER(N851), isnumber(O851)), 1, 0)</f>
      </c>
      <c r="U851" s="8">
        <f>IF(and(ISNUMBER(P851), isnumber(Q851)), 1, 0) + IF(and(ISNUMBER(R851), isnumber(S851)), 1, 0)</f>
      </c>
      <c r="V851" s="13"/>
      <c r="W851" s="13"/>
      <c r="X851" s="16"/>
    </row>
    <row x14ac:dyDescent="0.25" r="852" customHeight="1" ht="15.75">
      <c r="A852" s="8">
        <v>25076</v>
      </c>
      <c r="B852" s="13" t="s">
        <v>227</v>
      </c>
      <c r="C852" s="13" t="s">
        <v>6439</v>
      </c>
      <c r="D852" s="10">
        <v>0.8435</v>
      </c>
      <c r="E852" s="11">
        <v>334.52</v>
      </c>
      <c r="F852" s="10">
        <v>0.6395</v>
      </c>
      <c r="G852" s="11">
        <v>474.78</v>
      </c>
      <c r="H852" s="10">
        <v>0.7415</v>
      </c>
      <c r="I852" s="11">
        <v>454.07</v>
      </c>
      <c r="J852" s="10">
        <v>0.6939</v>
      </c>
      <c r="K852" s="11">
        <v>364</v>
      </c>
      <c r="L852" s="10">
        <v>0.7143</v>
      </c>
      <c r="M852" s="11">
        <v>434.62</v>
      </c>
      <c r="N852" s="10">
        <v>0.6803</v>
      </c>
      <c r="O852" s="11">
        <v>430.3</v>
      </c>
      <c r="P852" s="10">
        <v>0.8435</v>
      </c>
      <c r="Q852" s="10">
        <v>0.2767</v>
      </c>
      <c r="R852" s="10">
        <v>0.6939</v>
      </c>
      <c r="S852" s="10">
        <v>0.209</v>
      </c>
      <c r="T852" s="8">
        <f>IF(and(ISNUMBER(D852), isnumber(E852)), 1, 0) + IF(and(ISNUMBER(F852), isnumber(G852)), 1, 0) + IF(and(ISNUMBER(H852), isnumber(I852)), 1, 0) + IF(and(ISNUMBER(J852), isnumber(K852)), 1, 0) + IF(and(ISNUMBER(L852), isnumber(M852)), 1, 0) + IF(and(ISNUMBER(N852), isnumber(O852)), 1, 0)</f>
      </c>
      <c r="U852" s="8">
        <f>IF(and(ISNUMBER(P852), isnumber(Q852)), 1, 0) + IF(and(ISNUMBER(R852), isnumber(S852)), 1, 0)</f>
      </c>
      <c r="V852" s="13"/>
      <c r="W852" s="13"/>
      <c r="X852" s="16"/>
    </row>
    <row x14ac:dyDescent="0.25" r="853" customHeight="1" ht="15.75">
      <c r="A853" s="8">
        <v>25077</v>
      </c>
      <c r="B853" s="13" t="s">
        <v>227</v>
      </c>
      <c r="C853" s="13" t="s">
        <v>6442</v>
      </c>
      <c r="D853" s="10">
        <v>0.9386</v>
      </c>
      <c r="E853" s="11">
        <v>128.23</v>
      </c>
      <c r="F853" s="10">
        <v>0.6813</v>
      </c>
      <c r="G853" s="11">
        <v>235.37</v>
      </c>
      <c r="H853" s="10">
        <v>0.6366</v>
      </c>
      <c r="I853" s="11">
        <v>403.86</v>
      </c>
      <c r="J853" s="10">
        <v>0.587</v>
      </c>
      <c r="K853" s="11">
        <v>237.82</v>
      </c>
      <c r="L853" s="10">
        <v>0.5437</v>
      </c>
      <c r="M853" s="11" t="s">
        <v>7127</v>
      </c>
      <c r="N853" s="10">
        <v>0.5929</v>
      </c>
      <c r="O853" s="11">
        <v>331.53</v>
      </c>
      <c r="P853" s="10">
        <v>0.9386</v>
      </c>
      <c r="Q853" s="10">
        <v>0.1649</v>
      </c>
      <c r="R853" s="10">
        <v>0.587</v>
      </c>
      <c r="S853" s="10">
        <v>0.1932</v>
      </c>
      <c r="T853" s="8">
        <f>IF(and(ISNUMBER(D853), isnumber(E853)), 1, 0) + IF(and(ISNUMBER(F853), isnumber(G853)), 1, 0) + IF(and(ISNUMBER(H853), isnumber(I853)), 1, 0) + IF(and(ISNUMBER(J853), isnumber(K853)), 1, 0) + IF(and(ISNUMBER(L853), isnumber(M853)), 1, 0) + IF(and(ISNUMBER(N853), isnumber(O853)), 1, 0)</f>
      </c>
      <c r="U853" s="8">
        <f>IF(and(ISNUMBER(P853), isnumber(Q853)), 1, 0) + IF(and(ISNUMBER(R853), isnumber(S853)), 1, 0)</f>
      </c>
      <c r="V853" s="13"/>
      <c r="W853" s="13"/>
      <c r="X853" s="16"/>
    </row>
    <row x14ac:dyDescent="0.25" r="854" customHeight="1" ht="15.75">
      <c r="A854" s="8">
        <v>25113</v>
      </c>
      <c r="B854" s="13" t="s">
        <v>227</v>
      </c>
      <c r="C854" s="13" t="s">
        <v>6445</v>
      </c>
      <c r="D854" s="10">
        <v>0.8654</v>
      </c>
      <c r="E854" s="11">
        <v>199.09</v>
      </c>
      <c r="F854" s="10">
        <v>0.5577</v>
      </c>
      <c r="G854" s="11">
        <v>430.4</v>
      </c>
      <c r="H854" s="10">
        <v>0.7885</v>
      </c>
      <c r="I854" s="11">
        <v>346</v>
      </c>
      <c r="J854" s="10">
        <v>0.9038</v>
      </c>
      <c r="K854" s="11">
        <v>272</v>
      </c>
      <c r="L854" s="10">
        <v>0.6154</v>
      </c>
      <c r="M854" s="11">
        <v>375.17</v>
      </c>
      <c r="N854" s="10">
        <v>0.6346</v>
      </c>
      <c r="O854" s="11">
        <v>419.31</v>
      </c>
      <c r="P854" s="10">
        <v>0.8654</v>
      </c>
      <c r="Q854" s="10">
        <v>0.209</v>
      </c>
      <c r="R854" s="10">
        <v>0.9038</v>
      </c>
      <c r="S854" s="10">
        <v>0.1652</v>
      </c>
      <c r="T854" s="8">
        <f>IF(and(ISNUMBER(D854), isnumber(E854)), 1, 0) + IF(and(ISNUMBER(F854), isnumber(G854)), 1, 0) + IF(and(ISNUMBER(H854), isnumber(I854)), 1, 0) + IF(and(ISNUMBER(J854), isnumber(K854)), 1, 0) + IF(and(ISNUMBER(L854), isnumber(M854)), 1, 0) + IF(and(ISNUMBER(N854), isnumber(O854)), 1, 0)</f>
      </c>
      <c r="U854" s="8">
        <f>IF(and(ISNUMBER(P854), isnumber(Q854)), 1, 0) + IF(and(ISNUMBER(R854), isnumber(S854)), 1, 0)</f>
      </c>
      <c r="V854" s="13"/>
      <c r="W854" s="13"/>
      <c r="X854" s="16"/>
    </row>
    <row x14ac:dyDescent="0.25" r="855" customHeight="1" ht="15.75">
      <c r="A855" s="8">
        <v>25137</v>
      </c>
      <c r="B855" s="13" t="s">
        <v>227</v>
      </c>
      <c r="C855" s="13" t="s">
        <v>6448</v>
      </c>
      <c r="D855" s="10">
        <v>0.7063</v>
      </c>
      <c r="E855" s="11">
        <v>293.86</v>
      </c>
      <c r="F855" s="10">
        <v>0.6643</v>
      </c>
      <c r="G855" s="11">
        <v>446.74</v>
      </c>
      <c r="H855" s="10">
        <v>0.6294</v>
      </c>
      <c r="I855" s="11">
        <v>482.27</v>
      </c>
      <c r="J855" s="10">
        <v>0.6853</v>
      </c>
      <c r="K855" s="11">
        <v>325.53</v>
      </c>
      <c r="L855" s="10">
        <v>0.7413</v>
      </c>
      <c r="M855" s="11">
        <v>447.92</v>
      </c>
      <c r="N855" s="10">
        <v>0.6783</v>
      </c>
      <c r="O855" s="11">
        <v>483.71</v>
      </c>
      <c r="P855" s="10">
        <v>0.7063</v>
      </c>
      <c r="Q855" s="10">
        <v>0.2782</v>
      </c>
      <c r="R855" s="10">
        <v>0.6853</v>
      </c>
      <c r="S855" s="10">
        <v>0.2279</v>
      </c>
      <c r="T855" s="8">
        <f>IF(and(ISNUMBER(D855), isnumber(E855)), 1, 0) + IF(and(ISNUMBER(F855), isnumber(G855)), 1, 0) + IF(and(ISNUMBER(H855), isnumber(I855)), 1, 0) + IF(and(ISNUMBER(J855), isnumber(K855)), 1, 0) + IF(and(ISNUMBER(L855), isnumber(M855)), 1, 0) + IF(and(ISNUMBER(N855), isnumber(O855)), 1, 0)</f>
      </c>
      <c r="U855" s="8">
        <f>IF(and(ISNUMBER(P855), isnumber(Q855)), 1, 0) + IF(and(ISNUMBER(R855), isnumber(S855)), 1, 0)</f>
      </c>
      <c r="V855" s="13"/>
      <c r="W855" s="13"/>
      <c r="X855" s="16"/>
    </row>
    <row x14ac:dyDescent="0.25" r="856" customHeight="1" ht="15.75">
      <c r="A856" s="8">
        <v>25144</v>
      </c>
      <c r="B856" s="13" t="s">
        <v>227</v>
      </c>
      <c r="C856" s="13" t="s">
        <v>6449</v>
      </c>
      <c r="D856" s="10">
        <v>1</v>
      </c>
      <c r="E856" s="11">
        <v>307.03</v>
      </c>
      <c r="F856" s="10">
        <v>0.7838</v>
      </c>
      <c r="G856" s="11">
        <v>472.28</v>
      </c>
      <c r="H856" s="10">
        <v>0.7297</v>
      </c>
      <c r="I856" s="11">
        <v>492.59</v>
      </c>
      <c r="J856" s="10">
        <v>0.7297</v>
      </c>
      <c r="K856" s="11">
        <v>374.81</v>
      </c>
      <c r="L856" s="10">
        <v>0.7162</v>
      </c>
      <c r="M856" s="11">
        <v>517.74</v>
      </c>
      <c r="N856" s="10">
        <v>0.7568</v>
      </c>
      <c r="O856" s="11">
        <v>502.14</v>
      </c>
      <c r="P856" s="10">
        <v>1</v>
      </c>
      <c r="Q856" s="10">
        <v>0.2573</v>
      </c>
      <c r="R856" s="10">
        <v>0.7297</v>
      </c>
      <c r="S856" s="10">
        <v>0.2142</v>
      </c>
      <c r="T856" s="8">
        <f>IF(and(ISNUMBER(D856), isnumber(E856)), 1, 0) + IF(and(ISNUMBER(F856), isnumber(G856)), 1, 0) + IF(and(ISNUMBER(H856), isnumber(I856)), 1, 0) + IF(and(ISNUMBER(J856), isnumber(K856)), 1, 0) + IF(and(ISNUMBER(L856), isnumber(M856)), 1, 0) + IF(and(ISNUMBER(N856), isnumber(O856)), 1, 0)</f>
      </c>
      <c r="U856" s="8">
        <f>IF(and(ISNUMBER(P856), isnumber(Q856)), 1, 0) + IF(and(ISNUMBER(R856), isnumber(S856)), 1, 0)</f>
      </c>
      <c r="V856" s="13"/>
      <c r="W856" s="13"/>
      <c r="X856" s="16"/>
    </row>
    <row x14ac:dyDescent="0.25" r="857" customHeight="1" ht="15.75">
      <c r="A857" s="8">
        <v>25078</v>
      </c>
      <c r="B857" s="13" t="s">
        <v>227</v>
      </c>
      <c r="C857" s="13" t="s">
        <v>6452</v>
      </c>
      <c r="D857" s="10">
        <v>0.9302</v>
      </c>
      <c r="E857" s="11">
        <v>162</v>
      </c>
      <c r="F857" s="10">
        <v>0.6977</v>
      </c>
      <c r="G857" s="11">
        <v>495.17</v>
      </c>
      <c r="H857" s="10">
        <v>0.6744</v>
      </c>
      <c r="I857" s="11">
        <v>532.41</v>
      </c>
      <c r="J857" s="10">
        <v>0.6744</v>
      </c>
      <c r="K857" s="11">
        <v>400</v>
      </c>
      <c r="L857" s="10">
        <v>0.6512</v>
      </c>
      <c r="M857" s="11">
        <v>572.86</v>
      </c>
      <c r="N857" s="10">
        <v>0.6279</v>
      </c>
      <c r="O857" s="11">
        <v>571.85</v>
      </c>
      <c r="P857" s="10">
        <v>0.9302</v>
      </c>
      <c r="Q857" s="10">
        <v>0.1938</v>
      </c>
      <c r="R857" s="10">
        <v>0.6744</v>
      </c>
      <c r="S857" s="10">
        <v>0.2101</v>
      </c>
      <c r="T857" s="8">
        <f>IF(and(ISNUMBER(D857), isnumber(E857)), 1, 0) + IF(and(ISNUMBER(F857), isnumber(G857)), 1, 0) + IF(and(ISNUMBER(H857), isnumber(I857)), 1, 0) + IF(and(ISNUMBER(J857), isnumber(K857)), 1, 0) + IF(and(ISNUMBER(L857), isnumber(M857)), 1, 0) + IF(and(ISNUMBER(N857), isnumber(O857)), 1, 0)</f>
      </c>
      <c r="U857" s="8">
        <f>IF(and(ISNUMBER(P857), isnumber(Q857)), 1, 0) + IF(and(ISNUMBER(R857), isnumber(S857)), 1, 0)</f>
      </c>
      <c r="V857" s="13"/>
      <c r="W857" s="13"/>
      <c r="X857" s="16"/>
    </row>
    <row x14ac:dyDescent="0.25" r="858" customHeight="1" ht="15.75">
      <c r="A858" s="8">
        <v>25079</v>
      </c>
      <c r="B858" s="13" t="s">
        <v>227</v>
      </c>
      <c r="C858" s="13" t="s">
        <v>6454</v>
      </c>
      <c r="D858" s="10">
        <v>0.9086</v>
      </c>
      <c r="E858" s="11">
        <v>128.92</v>
      </c>
      <c r="F858" s="10">
        <v>0.5533</v>
      </c>
      <c r="G858" s="11">
        <v>413.58</v>
      </c>
      <c r="H858" s="10">
        <v>0.2629</v>
      </c>
      <c r="I858" s="11">
        <v>408.57</v>
      </c>
      <c r="J858" s="10">
        <v>0.5261</v>
      </c>
      <c r="K858" s="11">
        <v>235.61</v>
      </c>
      <c r="L858" s="10">
        <v>0.3233</v>
      </c>
      <c r="M858" s="11">
        <v>401.6</v>
      </c>
      <c r="N858" s="10">
        <v>0.4009</v>
      </c>
      <c r="O858" s="11">
        <v>458.43</v>
      </c>
      <c r="P858" s="10">
        <v>0.9086</v>
      </c>
      <c r="Q858" s="10">
        <v>0.1562</v>
      </c>
      <c r="R858" s="10">
        <v>0.5261</v>
      </c>
      <c r="S858" s="10">
        <v>0.2388</v>
      </c>
      <c r="T858" s="8">
        <f>IF(and(ISNUMBER(D858), isnumber(E858)), 1, 0) + IF(and(ISNUMBER(F858), isnumber(G858)), 1, 0) + IF(and(ISNUMBER(H858), isnumber(I858)), 1, 0) + IF(and(ISNUMBER(J858), isnumber(K858)), 1, 0) + IF(and(ISNUMBER(L858), isnumber(M858)), 1, 0) + IF(and(ISNUMBER(N858), isnumber(O858)), 1, 0)</f>
      </c>
      <c r="U858" s="8">
        <f>IF(and(ISNUMBER(P858), isnumber(Q858)), 1, 0) + IF(and(ISNUMBER(R858), isnumber(S858)), 1, 0)</f>
      </c>
      <c r="V858" s="13"/>
      <c r="W858" s="13"/>
      <c r="X858" s="16"/>
    </row>
    <row x14ac:dyDescent="0.25" r="859" customHeight="1" ht="15.75">
      <c r="A859" s="8">
        <v>25138</v>
      </c>
      <c r="B859" s="13" t="s">
        <v>227</v>
      </c>
      <c r="C859" s="13" t="s">
        <v>6458</v>
      </c>
      <c r="D859" s="10">
        <v>1</v>
      </c>
      <c r="E859" s="11">
        <v>379.56</v>
      </c>
      <c r="F859" s="10">
        <v>0.8222</v>
      </c>
      <c r="G859" s="11">
        <v>401.27</v>
      </c>
      <c r="H859" s="10">
        <v>0.6491</v>
      </c>
      <c r="I859" s="11">
        <v>458.38</v>
      </c>
      <c r="J859" s="10">
        <v>0.6731</v>
      </c>
      <c r="K859" s="11">
        <v>418.29</v>
      </c>
      <c r="L859" s="10">
        <v>0.6491</v>
      </c>
      <c r="M859" s="11">
        <v>480</v>
      </c>
      <c r="N859" s="10">
        <v>0.6667</v>
      </c>
      <c r="O859" s="11">
        <v>484.21</v>
      </c>
      <c r="P859" s="10">
        <v>1</v>
      </c>
      <c r="Q859" s="10">
        <v>0.1901</v>
      </c>
      <c r="R859" s="10">
        <v>0.6731</v>
      </c>
      <c r="S859" s="10">
        <v>0.2064</v>
      </c>
      <c r="T859" s="8">
        <f>IF(and(ISNUMBER(D859), isnumber(E859)), 1, 0) + IF(and(ISNUMBER(F859), isnumber(G859)), 1, 0) + IF(and(ISNUMBER(H859), isnumber(I859)), 1, 0) + IF(and(ISNUMBER(J859), isnumber(K859)), 1, 0) + IF(and(ISNUMBER(L859), isnumber(M859)), 1, 0) + IF(and(ISNUMBER(N859), isnumber(O859)), 1, 0)</f>
      </c>
      <c r="U859" s="8">
        <f>IF(and(ISNUMBER(P859), isnumber(Q859)), 1, 0) + IF(and(ISNUMBER(R859), isnumber(S859)), 1, 0)</f>
      </c>
      <c r="V859" s="13"/>
      <c r="W859" s="13"/>
      <c r="X859" s="16"/>
    </row>
    <row x14ac:dyDescent="0.25" r="860" customHeight="1" ht="15.75">
      <c r="A860" s="8">
        <v>25118</v>
      </c>
      <c r="B860" s="13" t="s">
        <v>227</v>
      </c>
      <c r="C860" s="13" t="s">
        <v>6459</v>
      </c>
      <c r="D860" s="10">
        <v>0.6484</v>
      </c>
      <c r="E860" s="11">
        <v>293.21</v>
      </c>
      <c r="F860" s="10">
        <v>0.6888</v>
      </c>
      <c r="G860" s="11">
        <v>404.57</v>
      </c>
      <c r="H860" s="10">
        <v>0.6566</v>
      </c>
      <c r="I860" s="11">
        <v>425.54</v>
      </c>
      <c r="J860" s="10">
        <v>0.5828</v>
      </c>
      <c r="K860" s="11">
        <v>279.29</v>
      </c>
      <c r="L860" s="10">
        <v>0.5055</v>
      </c>
      <c r="M860" s="11" t="s">
        <v>7127</v>
      </c>
      <c r="N860" s="10">
        <v>0.5082</v>
      </c>
      <c r="O860" s="11">
        <v>403.02</v>
      </c>
      <c r="P860" s="10">
        <v>0.6484</v>
      </c>
      <c r="Q860" s="10">
        <v>0.2459</v>
      </c>
      <c r="R860" s="10">
        <v>0.5828</v>
      </c>
      <c r="S860" s="10">
        <v>0.2002</v>
      </c>
      <c r="T860" s="8">
        <f>IF(and(ISNUMBER(D860), isnumber(E860)), 1, 0) + IF(and(ISNUMBER(F860), isnumber(G860)), 1, 0) + IF(and(ISNUMBER(H860), isnumber(I860)), 1, 0) + IF(and(ISNUMBER(J860), isnumber(K860)), 1, 0) + IF(and(ISNUMBER(L860), isnumber(M860)), 1, 0) + IF(and(ISNUMBER(N860), isnumber(O860)), 1, 0)</f>
      </c>
      <c r="U860" s="8">
        <f>IF(and(ISNUMBER(P860), isnumber(Q860)), 1, 0) + IF(and(ISNUMBER(R860), isnumber(S860)), 1, 0)</f>
      </c>
      <c r="V860" s="13"/>
      <c r="W860" s="13"/>
      <c r="X860" s="16"/>
    </row>
    <row x14ac:dyDescent="0.25" r="861" customHeight="1" ht="15.75">
      <c r="A861" s="8">
        <v>25131</v>
      </c>
      <c r="B861" s="13" t="s">
        <v>227</v>
      </c>
      <c r="C861" s="13" t="s">
        <v>6461</v>
      </c>
      <c r="D861" s="10">
        <v>0.0224</v>
      </c>
      <c r="E861" s="11">
        <v>126.15</v>
      </c>
      <c r="F861" s="10">
        <v>0.0052</v>
      </c>
      <c r="G861" s="11">
        <v>346.67</v>
      </c>
      <c r="H861" s="10">
        <v>0.006</v>
      </c>
      <c r="I861" s="11">
        <v>491.43</v>
      </c>
      <c r="J861" s="10">
        <v>0.0103</v>
      </c>
      <c r="K861" s="11">
        <v>341.82</v>
      </c>
      <c r="L861" s="10">
        <v>0.0095</v>
      </c>
      <c r="M861" s="11">
        <v>530.91</v>
      </c>
      <c r="N861" s="10">
        <v>0.0121</v>
      </c>
      <c r="O861" s="11">
        <v>348.57</v>
      </c>
      <c r="P861" s="10">
        <v>0.0224</v>
      </c>
      <c r="Q861" s="10">
        <v>0.0591</v>
      </c>
      <c r="R861" s="10">
        <v>0.0103</v>
      </c>
      <c r="S861" s="10">
        <v>0.2016</v>
      </c>
      <c r="T861" s="8">
        <f>IF(and(ISNUMBER(D861), isnumber(E861)), 1, 0) + IF(and(ISNUMBER(F861), isnumber(G861)), 1, 0) + IF(and(ISNUMBER(H861), isnumber(I861)), 1, 0) + IF(and(ISNUMBER(J861), isnumber(K861)), 1, 0) + IF(and(ISNUMBER(L861), isnumber(M861)), 1, 0) + IF(and(ISNUMBER(N861), isnumber(O861)), 1, 0)</f>
      </c>
      <c r="U861" s="8">
        <f>IF(and(ISNUMBER(P861), isnumber(Q861)), 1, 0) + IF(and(ISNUMBER(R861), isnumber(S861)), 1, 0)</f>
      </c>
      <c r="V861" s="13"/>
      <c r="W861" s="13"/>
      <c r="X861" s="16"/>
    </row>
    <row x14ac:dyDescent="0.25" r="862" customHeight="1" ht="15.75">
      <c r="A862" s="8">
        <v>25154</v>
      </c>
      <c r="B862" s="13" t="s">
        <v>227</v>
      </c>
      <c r="C862" s="13" t="s">
        <v>6462</v>
      </c>
      <c r="D862" s="10">
        <v>1</v>
      </c>
      <c r="E862" s="11">
        <v>276.4</v>
      </c>
      <c r="F862" s="10">
        <v>1</v>
      </c>
      <c r="G862" s="11">
        <v>351.52</v>
      </c>
      <c r="H862" s="10">
        <v>1</v>
      </c>
      <c r="I862" s="11">
        <v>359.6</v>
      </c>
      <c r="J862" s="10">
        <v>1</v>
      </c>
      <c r="K862" s="11">
        <v>304.4</v>
      </c>
      <c r="L862" s="10">
        <v>1</v>
      </c>
      <c r="M862" s="11">
        <v>324.85</v>
      </c>
      <c r="N862" s="10">
        <v>1</v>
      </c>
      <c r="O862" s="11">
        <v>335.2</v>
      </c>
      <c r="P862" s="10">
        <v>1</v>
      </c>
      <c r="Q862" s="10">
        <v>0.2501</v>
      </c>
      <c r="R862" s="10">
        <v>1</v>
      </c>
      <c r="S862" s="10">
        <v>0.1558</v>
      </c>
      <c r="T862" s="8">
        <f>IF(and(ISNUMBER(D862), isnumber(E862)), 1, 0) + IF(and(ISNUMBER(F862), isnumber(G862)), 1, 0) + IF(and(ISNUMBER(H862), isnumber(I862)), 1, 0) + IF(and(ISNUMBER(J862), isnumber(K862)), 1, 0) + IF(and(ISNUMBER(L862), isnumber(M862)), 1, 0) + IF(and(ISNUMBER(N862), isnumber(O862)), 1, 0)</f>
      </c>
      <c r="U862" s="8">
        <f>IF(and(ISNUMBER(P862), isnumber(Q862)), 1, 0) + IF(and(ISNUMBER(R862), isnumber(S862)), 1, 0)</f>
      </c>
      <c r="V862" s="13"/>
      <c r="W862" s="13"/>
      <c r="X862" s="16"/>
    </row>
    <row x14ac:dyDescent="0.25" r="863" customHeight="1" ht="15.75">
      <c r="A863" s="8">
        <v>25080</v>
      </c>
      <c r="B863" s="13" t="s">
        <v>227</v>
      </c>
      <c r="C863" s="13" t="s">
        <v>6464</v>
      </c>
      <c r="D863" s="10">
        <v>0.9148</v>
      </c>
      <c r="E863" s="11">
        <v>284.18</v>
      </c>
      <c r="F863" s="10">
        <v>0.7386</v>
      </c>
      <c r="G863" s="11">
        <v>419.24</v>
      </c>
      <c r="H863" s="10">
        <v>0.7453</v>
      </c>
      <c r="I863" s="11">
        <v>458.97</v>
      </c>
      <c r="J863" s="10">
        <v>0.5087</v>
      </c>
      <c r="K863" s="11">
        <v>291.88</v>
      </c>
      <c r="L863" s="10">
        <v>0.5657</v>
      </c>
      <c r="M863" s="11" t="s">
        <v>7127</v>
      </c>
      <c r="N863" s="10">
        <v>0.5362</v>
      </c>
      <c r="O863" s="11" t="s">
        <v>7127</v>
      </c>
      <c r="P863" s="10">
        <v>0.9148</v>
      </c>
      <c r="Q863" s="10">
        <v>0.2188</v>
      </c>
      <c r="R863" s="10">
        <v>0.5087</v>
      </c>
      <c r="S863" s="10">
        <v>0.211</v>
      </c>
      <c r="T863" s="8">
        <f>IF(and(ISNUMBER(D863), isnumber(E863)), 1, 0) + IF(and(ISNUMBER(F863), isnumber(G863)), 1, 0) + IF(and(ISNUMBER(H863), isnumber(I863)), 1, 0) + IF(and(ISNUMBER(J863), isnumber(K863)), 1, 0) + IF(and(ISNUMBER(L863), isnumber(M863)), 1, 0) + IF(and(ISNUMBER(N863), isnumber(O863)), 1, 0)</f>
      </c>
      <c r="U863" s="8">
        <f>IF(and(ISNUMBER(P863), isnumber(Q863)), 1, 0) + IF(and(ISNUMBER(R863), isnumber(S863)), 1, 0)</f>
      </c>
      <c r="V863" s="13"/>
      <c r="W863" s="13"/>
      <c r="X863" s="16"/>
    </row>
    <row x14ac:dyDescent="0.25" r="864" customHeight="1" ht="15.75">
      <c r="A864" s="8">
        <v>25145</v>
      </c>
      <c r="B864" s="13" t="s">
        <v>227</v>
      </c>
      <c r="C864" s="13" t="s">
        <v>6467</v>
      </c>
      <c r="D864" s="10">
        <v>1</v>
      </c>
      <c r="E864" s="11">
        <v>233.72</v>
      </c>
      <c r="F864" s="10">
        <v>1</v>
      </c>
      <c r="G864" s="11">
        <v>321.22</v>
      </c>
      <c r="H864" s="10">
        <v>1</v>
      </c>
      <c r="I864" s="11">
        <v>278.12</v>
      </c>
      <c r="J864" s="10">
        <v>0.8889</v>
      </c>
      <c r="K864" s="11">
        <v>325.84</v>
      </c>
      <c r="L864" s="10">
        <v>1</v>
      </c>
      <c r="M864" s="11">
        <v>296.25</v>
      </c>
      <c r="N864" s="10">
        <v>0.9688</v>
      </c>
      <c r="O864" s="11">
        <v>372.25</v>
      </c>
      <c r="P864" s="10">
        <v>1</v>
      </c>
      <c r="Q864" s="10">
        <v>0.2168</v>
      </c>
      <c r="R864" s="10">
        <v>0.8889</v>
      </c>
      <c r="S864" s="10">
        <v>0.2039</v>
      </c>
      <c r="T864" s="8">
        <f>IF(and(ISNUMBER(D864), isnumber(E864)), 1, 0) + IF(and(ISNUMBER(F864), isnumber(G864)), 1, 0) + IF(and(ISNUMBER(H864), isnumber(I864)), 1, 0) + IF(and(ISNUMBER(J864), isnumber(K864)), 1, 0) + IF(and(ISNUMBER(L864), isnumber(M864)), 1, 0) + IF(and(ISNUMBER(N864), isnumber(O864)), 1, 0)</f>
      </c>
      <c r="U864" s="8">
        <f>IF(and(ISNUMBER(P864), isnumber(Q864)), 1, 0) + IF(and(ISNUMBER(R864), isnumber(S864)), 1, 0)</f>
      </c>
      <c r="V864" s="13"/>
      <c r="W864" s="13"/>
      <c r="X864" s="16"/>
    </row>
    <row x14ac:dyDescent="0.25" r="865" customHeight="1" ht="15.75">
      <c r="A865" s="8">
        <v>25119</v>
      </c>
      <c r="B865" s="13" t="s">
        <v>227</v>
      </c>
      <c r="C865" s="13" t="s">
        <v>6468</v>
      </c>
      <c r="D865" s="10">
        <v>0.6554</v>
      </c>
      <c r="E865" s="11">
        <v>270.43</v>
      </c>
      <c r="F865" s="10">
        <v>0.5094</v>
      </c>
      <c r="G865" s="11" t="s">
        <v>7127</v>
      </c>
      <c r="H865" s="10">
        <v>0.4736</v>
      </c>
      <c r="I865" s="11">
        <v>377.39</v>
      </c>
      <c r="J865" s="10">
        <v>0.2686</v>
      </c>
      <c r="K865" s="11">
        <v>285.15</v>
      </c>
      <c r="L865" s="10">
        <v>0.4827</v>
      </c>
      <c r="M865" s="11" t="s">
        <v>7127</v>
      </c>
      <c r="N865" s="10">
        <v>0.4171</v>
      </c>
      <c r="O865" s="11" t="s">
        <v>7127</v>
      </c>
      <c r="P865" s="10">
        <v>0.6554</v>
      </c>
      <c r="Q865" s="10">
        <v>0.237</v>
      </c>
      <c r="R865" s="10">
        <v>0.2686</v>
      </c>
      <c r="S865" s="10">
        <v>0.1977</v>
      </c>
      <c r="T865" s="8">
        <f>IF(and(ISNUMBER(D865), isnumber(E865)), 1, 0) + IF(and(ISNUMBER(F865), isnumber(G865)), 1, 0) + IF(and(ISNUMBER(H865), isnumber(I865)), 1, 0) + IF(and(ISNUMBER(J865), isnumber(K865)), 1, 0) + IF(and(ISNUMBER(L865), isnumber(M865)), 1, 0) + IF(and(ISNUMBER(N865), isnumber(O865)), 1, 0)</f>
      </c>
      <c r="U865" s="8">
        <f>IF(and(ISNUMBER(P865), isnumber(Q865)), 1, 0) + IF(and(ISNUMBER(R865), isnumber(S865)), 1, 0)</f>
      </c>
      <c r="V865" s="13"/>
      <c r="W865" s="13"/>
      <c r="X865" s="16"/>
    </row>
    <row x14ac:dyDescent="0.25" r="866" customHeight="1" ht="15.75">
      <c r="A866" s="8">
        <v>25081</v>
      </c>
      <c r="B866" s="13" t="s">
        <v>227</v>
      </c>
      <c r="C866" s="13" t="s">
        <v>6471</v>
      </c>
      <c r="D866" s="10">
        <v>0.7304</v>
      </c>
      <c r="E866" s="11">
        <v>300.86</v>
      </c>
      <c r="F866" s="10">
        <v>0.652</v>
      </c>
      <c r="G866" s="11">
        <v>446.84</v>
      </c>
      <c r="H866" s="10">
        <v>0.4973</v>
      </c>
      <c r="I866" s="11">
        <v>494.01</v>
      </c>
      <c r="J866" s="10">
        <v>0.5571</v>
      </c>
      <c r="K866" s="11">
        <v>299.74</v>
      </c>
      <c r="L866" s="10">
        <v>0.4574</v>
      </c>
      <c r="M866" s="11" t="s">
        <v>7127</v>
      </c>
      <c r="N866" s="10">
        <v>0.5027</v>
      </c>
      <c r="O866" s="11">
        <v>562.27</v>
      </c>
      <c r="P866" s="10">
        <v>0.7304</v>
      </c>
      <c r="Q866" s="10">
        <v>0.2445</v>
      </c>
      <c r="R866" s="10">
        <v>0.5571</v>
      </c>
      <c r="S866" s="10">
        <v>0.2012</v>
      </c>
      <c r="T866" s="8">
        <f>IF(and(ISNUMBER(D866), isnumber(E866)), 1, 0) + IF(and(ISNUMBER(F866), isnumber(G866)), 1, 0) + IF(and(ISNUMBER(H866), isnumber(I866)), 1, 0) + IF(and(ISNUMBER(J866), isnumber(K866)), 1, 0) + IF(and(ISNUMBER(L866), isnumber(M866)), 1, 0) + IF(and(ISNUMBER(N866), isnumber(O866)), 1, 0)</f>
      </c>
      <c r="U866" s="8">
        <f>IF(and(ISNUMBER(P866), isnumber(Q866)), 1, 0) + IF(and(ISNUMBER(R866), isnumber(S866)), 1, 0)</f>
      </c>
      <c r="V866" s="13"/>
      <c r="W866" s="13"/>
      <c r="X866" s="16"/>
    </row>
    <row x14ac:dyDescent="0.25" r="867" customHeight="1" ht="15.75">
      <c r="A867" s="8">
        <v>25082</v>
      </c>
      <c r="B867" s="13" t="s">
        <v>227</v>
      </c>
      <c r="C867" s="13" t="s">
        <v>6473</v>
      </c>
      <c r="D867" s="10">
        <v>0.9412</v>
      </c>
      <c r="E867" s="11">
        <v>123.71</v>
      </c>
      <c r="F867" s="10">
        <v>0.9638</v>
      </c>
      <c r="G867" s="11">
        <v>226.54</v>
      </c>
      <c r="H867" s="10">
        <v>0.5328</v>
      </c>
      <c r="I867" s="11">
        <v>417.05</v>
      </c>
      <c r="J867" s="10">
        <v>0.5721</v>
      </c>
      <c r="K867" s="11">
        <v>275.06</v>
      </c>
      <c r="L867" s="10">
        <v>0.5984</v>
      </c>
      <c r="M867" s="11">
        <v>365.06</v>
      </c>
      <c r="N867" s="10">
        <v>0.0041</v>
      </c>
      <c r="O867" s="11" t="s">
        <v>7127</v>
      </c>
      <c r="P867" s="10">
        <v>0.9412</v>
      </c>
      <c r="Q867" s="10">
        <v>0.1731</v>
      </c>
      <c r="R867" s="10">
        <v>0.5721</v>
      </c>
      <c r="S867" s="10">
        <v>0.1952</v>
      </c>
      <c r="T867" s="8">
        <f>IF(and(ISNUMBER(D867), isnumber(E867)), 1, 0) + IF(and(ISNUMBER(F867), isnumber(G867)), 1, 0) + IF(and(ISNUMBER(H867), isnumber(I867)), 1, 0) + IF(and(ISNUMBER(J867), isnumber(K867)), 1, 0) + IF(and(ISNUMBER(L867), isnumber(M867)), 1, 0) + IF(and(ISNUMBER(N867), isnumber(O867)), 1, 0)</f>
      </c>
      <c r="U867" s="8">
        <f>IF(and(ISNUMBER(P867), isnumber(Q867)), 1, 0) + IF(and(ISNUMBER(R867), isnumber(S867)), 1, 0)</f>
      </c>
      <c r="V867" s="13"/>
      <c r="W867" s="13"/>
      <c r="X867" s="16"/>
    </row>
    <row x14ac:dyDescent="0.25" r="868" customHeight="1" ht="15.75">
      <c r="A868" s="8">
        <v>25083</v>
      </c>
      <c r="B868" s="13" t="s">
        <v>227</v>
      </c>
      <c r="C868" s="13" t="s">
        <v>6475</v>
      </c>
      <c r="D868" s="10">
        <v>0.8492</v>
      </c>
      <c r="E868" s="11">
        <v>260.56</v>
      </c>
      <c r="F868" s="10">
        <v>0.9524</v>
      </c>
      <c r="G868" s="11">
        <v>279.3</v>
      </c>
      <c r="H868" s="10">
        <v>0.754</v>
      </c>
      <c r="I868" s="11">
        <v>487.83</v>
      </c>
      <c r="J868" s="10">
        <v>0.5952</v>
      </c>
      <c r="K868" s="11">
        <v>395</v>
      </c>
      <c r="L868" s="10">
        <v>0.5714</v>
      </c>
      <c r="M868" s="11">
        <v>402.82</v>
      </c>
      <c r="N868" s="10">
        <v>0.6429</v>
      </c>
      <c r="O868" s="11">
        <v>446</v>
      </c>
      <c r="P868" s="10">
        <v>0.8492</v>
      </c>
      <c r="Q868" s="10">
        <v>0.2129</v>
      </c>
      <c r="R868" s="10">
        <v>0.5952</v>
      </c>
      <c r="S868" s="10">
        <v>0.2071</v>
      </c>
      <c r="T868" s="8">
        <f>IF(and(ISNUMBER(D868), isnumber(E868)), 1, 0) + IF(and(ISNUMBER(F868), isnumber(G868)), 1, 0) + IF(and(ISNUMBER(H868), isnumber(I868)), 1, 0) + IF(and(ISNUMBER(J868), isnumber(K868)), 1, 0) + IF(and(ISNUMBER(L868), isnumber(M868)), 1, 0) + IF(and(ISNUMBER(N868), isnumber(O868)), 1, 0)</f>
      </c>
      <c r="U868" s="8">
        <f>IF(and(ISNUMBER(P868), isnumber(Q868)), 1, 0) + IF(and(ISNUMBER(R868), isnumber(S868)), 1, 0)</f>
      </c>
      <c r="V868" s="13"/>
      <c r="W868" s="13"/>
      <c r="X868" s="16"/>
    </row>
    <row x14ac:dyDescent="0.25" r="869" customHeight="1" ht="15.75">
      <c r="A869" s="8">
        <v>25084</v>
      </c>
      <c r="B869" s="13" t="s">
        <v>227</v>
      </c>
      <c r="C869" s="13" t="s">
        <v>6477</v>
      </c>
      <c r="D869" s="10">
        <v>0.9906</v>
      </c>
      <c r="E869" s="11">
        <v>291.81</v>
      </c>
      <c r="F869" s="10">
        <v>0.9906</v>
      </c>
      <c r="G869" s="11">
        <v>317.33</v>
      </c>
      <c r="H869" s="10">
        <v>0.811</v>
      </c>
      <c r="I869" s="11">
        <v>327.93</v>
      </c>
      <c r="J869" s="10">
        <v>1</v>
      </c>
      <c r="K869" s="11">
        <v>300.62</v>
      </c>
      <c r="L869" s="10">
        <v>0.8661</v>
      </c>
      <c r="M869" s="11">
        <v>346.86</v>
      </c>
      <c r="N869" s="10">
        <v>0.8583</v>
      </c>
      <c r="O869" s="11">
        <v>339.71</v>
      </c>
      <c r="P869" s="10">
        <v>0.9906</v>
      </c>
      <c r="Q869" s="10">
        <v>0.1994</v>
      </c>
      <c r="R869" s="10">
        <v>1</v>
      </c>
      <c r="S869" s="10">
        <v>0.1723</v>
      </c>
      <c r="T869" s="8">
        <f>IF(and(ISNUMBER(D869), isnumber(E869)), 1, 0) + IF(and(ISNUMBER(F869), isnumber(G869)), 1, 0) + IF(and(ISNUMBER(H869), isnumber(I869)), 1, 0) + IF(and(ISNUMBER(J869), isnumber(K869)), 1, 0) + IF(and(ISNUMBER(L869), isnumber(M869)), 1, 0) + IF(and(ISNUMBER(N869), isnumber(O869)), 1, 0)</f>
      </c>
      <c r="U869" s="8">
        <f>IF(and(ISNUMBER(P869), isnumber(Q869)), 1, 0) + IF(and(ISNUMBER(R869), isnumber(S869)), 1, 0)</f>
      </c>
      <c r="V869" s="13"/>
      <c r="W869" s="13"/>
      <c r="X869" s="16"/>
    </row>
    <row x14ac:dyDescent="0.25" r="870" customHeight="1" ht="15.75">
      <c r="A870" s="8">
        <v>25120</v>
      </c>
      <c r="B870" s="13" t="s">
        <v>227</v>
      </c>
      <c r="C870" s="13" t="s">
        <v>6480</v>
      </c>
      <c r="D870" s="10">
        <v>0.5782</v>
      </c>
      <c r="E870" s="11">
        <v>271.89</v>
      </c>
      <c r="F870" s="10">
        <v>0.617</v>
      </c>
      <c r="G870" s="11">
        <v>446.37</v>
      </c>
      <c r="H870" s="10">
        <v>0.6111</v>
      </c>
      <c r="I870" s="11">
        <v>476.84</v>
      </c>
      <c r="J870" s="10">
        <v>0.3333</v>
      </c>
      <c r="K870" s="11">
        <v>329.11</v>
      </c>
      <c r="L870" s="10">
        <v>0.5856</v>
      </c>
      <c r="M870" s="11">
        <v>501.95</v>
      </c>
      <c r="N870" s="10">
        <v>0.5532</v>
      </c>
      <c r="O870" s="11">
        <v>494.48</v>
      </c>
      <c r="P870" s="10">
        <v>0.5782</v>
      </c>
      <c r="Q870" s="10">
        <v>0.2406</v>
      </c>
      <c r="R870" s="10">
        <v>0.3333</v>
      </c>
      <c r="S870" s="10">
        <v>0.2037</v>
      </c>
      <c r="T870" s="8">
        <f>IF(and(ISNUMBER(D870), isnumber(E870)), 1, 0) + IF(and(ISNUMBER(F870), isnumber(G870)), 1, 0) + IF(and(ISNUMBER(H870), isnumber(I870)), 1, 0) + IF(and(ISNUMBER(J870), isnumber(K870)), 1, 0) + IF(and(ISNUMBER(L870), isnumber(M870)), 1, 0) + IF(and(ISNUMBER(N870), isnumber(O870)), 1, 0)</f>
      </c>
      <c r="U870" s="8">
        <f>IF(and(ISNUMBER(P870), isnumber(Q870)), 1, 0) + IF(and(ISNUMBER(R870), isnumber(S870)), 1, 0)</f>
      </c>
      <c r="V870" s="13"/>
      <c r="W870" s="13"/>
      <c r="X870" s="16"/>
    </row>
    <row x14ac:dyDescent="0.25" r="871" customHeight="1" ht="15.75">
      <c r="A871" s="8">
        <v>25085</v>
      </c>
      <c r="B871" s="13" t="s">
        <v>227</v>
      </c>
      <c r="C871" s="13" t="s">
        <v>6482</v>
      </c>
      <c r="D871" s="10">
        <v>0.9709</v>
      </c>
      <c r="E871" s="11">
        <v>226.83</v>
      </c>
      <c r="F871" s="10">
        <v>0.9942</v>
      </c>
      <c r="G871" s="11">
        <v>322.29</v>
      </c>
      <c r="H871" s="10">
        <v>0.8125</v>
      </c>
      <c r="I871" s="11">
        <v>330</v>
      </c>
      <c r="J871" s="10">
        <v>0.7895</v>
      </c>
      <c r="K871" s="11">
        <v>307.77</v>
      </c>
      <c r="L871" s="10">
        <v>0.9323</v>
      </c>
      <c r="M871" s="11">
        <v>256.76</v>
      </c>
      <c r="N871" s="10">
        <v>0.8438</v>
      </c>
      <c r="O871" s="11">
        <v>265.93</v>
      </c>
      <c r="P871" s="10">
        <v>0.9709</v>
      </c>
      <c r="Q871" s="10">
        <v>0.2125</v>
      </c>
      <c r="R871" s="10">
        <v>0.7895</v>
      </c>
      <c r="S871" s="10">
        <v>0.1734</v>
      </c>
      <c r="T871" s="8">
        <f>IF(and(ISNUMBER(D871), isnumber(E871)), 1, 0) + IF(and(ISNUMBER(F871), isnumber(G871)), 1, 0) + IF(and(ISNUMBER(H871), isnumber(I871)), 1, 0) + IF(and(ISNUMBER(J871), isnumber(K871)), 1, 0) + IF(and(ISNUMBER(L871), isnumber(M871)), 1, 0) + IF(and(ISNUMBER(N871), isnumber(O871)), 1, 0)</f>
      </c>
      <c r="U871" s="8">
        <f>IF(and(ISNUMBER(P871), isnumber(Q871)), 1, 0) + IF(and(ISNUMBER(R871), isnumber(S871)), 1, 0)</f>
      </c>
      <c r="V871" s="13"/>
      <c r="W871" s="13"/>
      <c r="X871" s="16"/>
    </row>
    <row x14ac:dyDescent="0.25" r="872" customHeight="1" ht="15.75">
      <c r="A872" s="8">
        <v>25086</v>
      </c>
      <c r="B872" s="13" t="s">
        <v>227</v>
      </c>
      <c r="C872" s="13" t="s">
        <v>6484</v>
      </c>
      <c r="D872" s="10">
        <v>0.9535</v>
      </c>
      <c r="E872" s="11">
        <v>187.43</v>
      </c>
      <c r="F872" s="10">
        <v>0.7209</v>
      </c>
      <c r="G872" s="11">
        <v>317.42</v>
      </c>
      <c r="H872" s="10">
        <v>0.4884</v>
      </c>
      <c r="I872" s="11">
        <v>415.24</v>
      </c>
      <c r="J872" s="10">
        <v>0.4884</v>
      </c>
      <c r="K872" s="11">
        <v>316.36</v>
      </c>
      <c r="L872" s="10">
        <v>0.6512</v>
      </c>
      <c r="M872" s="11">
        <v>498.57</v>
      </c>
      <c r="N872" s="10">
        <v>0.5116</v>
      </c>
      <c r="O872" s="11">
        <v>432.73</v>
      </c>
      <c r="P872" s="10">
        <v>0.9535</v>
      </c>
      <c r="Q872" s="10">
        <v>0.2059</v>
      </c>
      <c r="R872" s="10">
        <v>0.4884</v>
      </c>
      <c r="S872" s="10">
        <v>0.1995</v>
      </c>
      <c r="T872" s="8">
        <f>IF(and(ISNUMBER(D872), isnumber(E872)), 1, 0) + IF(and(ISNUMBER(F872), isnumber(G872)), 1, 0) + IF(and(ISNUMBER(H872), isnumber(I872)), 1, 0) + IF(and(ISNUMBER(J872), isnumber(K872)), 1, 0) + IF(and(ISNUMBER(L872), isnumber(M872)), 1, 0) + IF(and(ISNUMBER(N872), isnumber(O872)), 1, 0)</f>
      </c>
      <c r="U872" s="8">
        <f>IF(and(ISNUMBER(P872), isnumber(Q872)), 1, 0) + IF(and(ISNUMBER(R872), isnumber(S872)), 1, 0)</f>
      </c>
      <c r="V872" s="13"/>
      <c r="W872" s="13"/>
      <c r="X872" s="16"/>
    </row>
    <row x14ac:dyDescent="0.25" r="873" customHeight="1" ht="15.75">
      <c r="A873" s="8">
        <v>25121</v>
      </c>
      <c r="B873" s="13" t="s">
        <v>227</v>
      </c>
      <c r="C873" s="13" t="s">
        <v>6485</v>
      </c>
      <c r="D873" s="10">
        <v>0.7105</v>
      </c>
      <c r="E873" s="11">
        <v>246.95</v>
      </c>
      <c r="F873" s="10">
        <v>0.6162</v>
      </c>
      <c r="G873" s="11" t="s">
        <v>7127</v>
      </c>
      <c r="H873" s="10">
        <v>0.5021</v>
      </c>
      <c r="I873" s="11">
        <v>421.79</v>
      </c>
      <c r="J873" s="10">
        <v>0.5298</v>
      </c>
      <c r="K873" s="11">
        <v>290.77</v>
      </c>
      <c r="L873" s="10">
        <v>0.4731</v>
      </c>
      <c r="M873" s="11">
        <v>370.73</v>
      </c>
      <c r="N873" s="10">
        <v>0.4938</v>
      </c>
      <c r="O873" s="11">
        <v>408.58</v>
      </c>
      <c r="P873" s="10">
        <v>0.7105</v>
      </c>
      <c r="Q873" s="10">
        <v>0.2468</v>
      </c>
      <c r="R873" s="10">
        <v>0.5298</v>
      </c>
      <c r="S873" s="10">
        <v>0.2071</v>
      </c>
      <c r="T873" s="8">
        <f>IF(and(ISNUMBER(D873), isnumber(E873)), 1, 0) + IF(and(ISNUMBER(F873), isnumber(G873)), 1, 0) + IF(and(ISNUMBER(H873), isnumber(I873)), 1, 0) + IF(and(ISNUMBER(J873), isnumber(K873)), 1, 0) + IF(and(ISNUMBER(L873), isnumber(M873)), 1, 0) + IF(and(ISNUMBER(N873), isnumber(O873)), 1, 0)</f>
      </c>
      <c r="U873" s="8">
        <f>IF(and(ISNUMBER(P873), isnumber(Q873)), 1, 0) + IF(and(ISNUMBER(R873), isnumber(S873)), 1, 0)</f>
      </c>
      <c r="V873" s="13"/>
      <c r="W873" s="13"/>
      <c r="X873" s="16"/>
    </row>
    <row x14ac:dyDescent="0.25" r="874" customHeight="1" ht="15.75">
      <c r="A874" s="8">
        <v>25139</v>
      </c>
      <c r="B874" s="13" t="s">
        <v>227</v>
      </c>
      <c r="C874" s="13" t="s">
        <v>6488</v>
      </c>
      <c r="D874" s="10">
        <v>0.2436</v>
      </c>
      <c r="E874" s="11">
        <v>106.32</v>
      </c>
      <c r="F874" s="10">
        <v>0.5577</v>
      </c>
      <c r="G874" s="11">
        <v>432.64</v>
      </c>
      <c r="H874" s="10">
        <v>0.509</v>
      </c>
      <c r="I874" s="11">
        <v>422.59</v>
      </c>
      <c r="J874" s="10">
        <v>0.1795</v>
      </c>
      <c r="K874" s="11">
        <v>320.41</v>
      </c>
      <c r="L874" s="10">
        <v>0.1796</v>
      </c>
      <c r="M874" s="11">
        <v>341.34</v>
      </c>
      <c r="N874" s="10">
        <v>0.1916</v>
      </c>
      <c r="O874" s="11">
        <v>423.75</v>
      </c>
      <c r="P874" s="10">
        <v>0.2436</v>
      </c>
      <c r="Q874" s="10">
        <v>0.2216</v>
      </c>
      <c r="R874" s="10">
        <v>0.1795</v>
      </c>
      <c r="S874" s="10">
        <v>0.191</v>
      </c>
      <c r="T874" s="8">
        <f>IF(and(ISNUMBER(D874), isnumber(E874)), 1, 0) + IF(and(ISNUMBER(F874), isnumber(G874)), 1, 0) + IF(and(ISNUMBER(H874), isnumber(I874)), 1, 0) + IF(and(ISNUMBER(J874), isnumber(K874)), 1, 0) + IF(and(ISNUMBER(L874), isnumber(M874)), 1, 0) + IF(and(ISNUMBER(N874), isnumber(O874)), 1, 0)</f>
      </c>
      <c r="U874" s="8">
        <f>IF(and(ISNUMBER(P874), isnumber(Q874)), 1, 0) + IF(and(ISNUMBER(R874), isnumber(S874)), 1, 0)</f>
      </c>
      <c r="V874" s="13"/>
      <c r="W874" s="13"/>
      <c r="X874" s="16"/>
    </row>
    <row x14ac:dyDescent="0.25" r="875" customHeight="1" ht="15.75">
      <c r="A875" s="8">
        <v>25087</v>
      </c>
      <c r="B875" s="13" t="s">
        <v>227</v>
      </c>
      <c r="C875" s="13" t="s">
        <v>6490</v>
      </c>
      <c r="D875" s="10">
        <v>0.7531</v>
      </c>
      <c r="E875" s="11">
        <v>218</v>
      </c>
      <c r="F875" s="10">
        <v>0.642</v>
      </c>
      <c r="G875" s="11">
        <v>364.69</v>
      </c>
      <c r="H875" s="10">
        <v>0.5308</v>
      </c>
      <c r="I875" s="11">
        <v>358.9</v>
      </c>
      <c r="J875" s="10">
        <v>0.5538</v>
      </c>
      <c r="K875" s="11">
        <v>251.23</v>
      </c>
      <c r="L875" s="10">
        <v>0</v>
      </c>
      <c r="M875" s="11" t="s">
        <v>7127</v>
      </c>
      <c r="N875" s="10">
        <v>0.058</v>
      </c>
      <c r="O875" s="11" t="s">
        <v>7127</v>
      </c>
      <c r="P875" s="10">
        <v>0.7531</v>
      </c>
      <c r="Q875" s="10">
        <v>0.2289</v>
      </c>
      <c r="R875" s="10">
        <v>0.5538</v>
      </c>
      <c r="S875" s="10">
        <v>0.1998</v>
      </c>
      <c r="T875" s="8">
        <f>IF(and(ISNUMBER(D875), isnumber(E875)), 1, 0) + IF(and(ISNUMBER(F875), isnumber(G875)), 1, 0) + IF(and(ISNUMBER(H875), isnumber(I875)), 1, 0) + IF(and(ISNUMBER(J875), isnumber(K875)), 1, 0) + IF(and(ISNUMBER(L875), isnumber(M875)), 1, 0) + IF(and(ISNUMBER(N875), isnumber(O875)), 1, 0)</f>
      </c>
      <c r="U875" s="8">
        <f>IF(and(ISNUMBER(P875), isnumber(Q875)), 1, 0) + IF(and(ISNUMBER(R875), isnumber(S875)), 1, 0)</f>
      </c>
      <c r="V875" s="13"/>
      <c r="W875" s="13"/>
      <c r="X875" s="16"/>
    </row>
    <row x14ac:dyDescent="0.25" r="876" customHeight="1" ht="15.75">
      <c r="A876" s="8">
        <v>25088</v>
      </c>
      <c r="B876" s="13" t="s">
        <v>227</v>
      </c>
      <c r="C876" s="13" t="s">
        <v>6493</v>
      </c>
      <c r="D876" s="10">
        <v>0.9681</v>
      </c>
      <c r="E876" s="11">
        <v>71.91</v>
      </c>
      <c r="F876" s="10">
        <v>0.8617</v>
      </c>
      <c r="G876" s="11">
        <v>337.22</v>
      </c>
      <c r="H876" s="10">
        <v>0.7447</v>
      </c>
      <c r="I876" s="11">
        <v>399.42</v>
      </c>
      <c r="J876" s="10">
        <v>0.7872</v>
      </c>
      <c r="K876" s="11">
        <v>295</v>
      </c>
      <c r="L876" s="10">
        <v>0.7128</v>
      </c>
      <c r="M876" s="11">
        <v>459.1</v>
      </c>
      <c r="N876" s="10">
        <v>0.8085</v>
      </c>
      <c r="O876" s="11">
        <v>464.74</v>
      </c>
      <c r="P876" s="10">
        <v>0.9681</v>
      </c>
      <c r="Q876" s="10">
        <v>0.2004</v>
      </c>
      <c r="R876" s="10">
        <v>0.7872</v>
      </c>
      <c r="S876" s="10">
        <v>0.1917</v>
      </c>
      <c r="T876" s="8">
        <f>IF(and(ISNUMBER(D876), isnumber(E876)), 1, 0) + IF(and(ISNUMBER(F876), isnumber(G876)), 1, 0) + IF(and(ISNUMBER(H876), isnumber(I876)), 1, 0) + IF(and(ISNUMBER(J876), isnumber(K876)), 1, 0) + IF(and(ISNUMBER(L876), isnumber(M876)), 1, 0) + IF(and(ISNUMBER(N876), isnumber(O876)), 1, 0)</f>
      </c>
      <c r="U876" s="8">
        <f>IF(and(ISNUMBER(P876), isnumber(Q876)), 1, 0) + IF(and(ISNUMBER(R876), isnumber(S876)), 1, 0)</f>
      </c>
      <c r="V876" s="13"/>
      <c r="W876" s="13"/>
      <c r="X876" s="16"/>
    </row>
    <row x14ac:dyDescent="0.25" r="877" customHeight="1" ht="15.75">
      <c r="A877" s="8">
        <v>25089</v>
      </c>
      <c r="B877" s="13" t="s">
        <v>227</v>
      </c>
      <c r="C877" s="13" t="s">
        <v>4496</v>
      </c>
      <c r="D877" s="10">
        <v>0.8121</v>
      </c>
      <c r="E877" s="11">
        <v>172.37</v>
      </c>
      <c r="F877" s="10">
        <v>0.6274</v>
      </c>
      <c r="G877" s="11">
        <v>362.7</v>
      </c>
      <c r="H877" s="10">
        <v>0.5973</v>
      </c>
      <c r="I877" s="11">
        <v>286.45</v>
      </c>
      <c r="J877" s="10">
        <v>0.7198</v>
      </c>
      <c r="K877" s="11">
        <v>220.19</v>
      </c>
      <c r="L877" s="10">
        <v>0.6602</v>
      </c>
      <c r="M877" s="11">
        <v>366.95</v>
      </c>
      <c r="N877" s="10">
        <v>0.6617</v>
      </c>
      <c r="O877" s="11">
        <v>340.67</v>
      </c>
      <c r="P877" s="10">
        <v>0.8121</v>
      </c>
      <c r="Q877" s="10">
        <v>0.2078</v>
      </c>
      <c r="R877" s="10">
        <v>0.7198</v>
      </c>
      <c r="S877" s="10">
        <v>0.1968</v>
      </c>
      <c r="T877" s="8">
        <f>IF(and(ISNUMBER(D877), isnumber(E877)), 1, 0) + IF(and(ISNUMBER(F877), isnumber(G877)), 1, 0) + IF(and(ISNUMBER(H877), isnumber(I877)), 1, 0) + IF(and(ISNUMBER(J877), isnumber(K877)), 1, 0) + IF(and(ISNUMBER(L877), isnumber(M877)), 1, 0) + IF(and(ISNUMBER(N877), isnumber(O877)), 1, 0)</f>
      </c>
      <c r="U877" s="8">
        <f>IF(and(ISNUMBER(P877), isnumber(Q877)), 1, 0) + IF(and(ISNUMBER(R877), isnumber(S877)), 1, 0)</f>
      </c>
      <c r="V877" s="13"/>
      <c r="W877" s="13"/>
      <c r="X877" s="16"/>
    </row>
    <row x14ac:dyDescent="0.25" r="878" customHeight="1" ht="15.75">
      <c r="A878" s="8">
        <v>25090</v>
      </c>
      <c r="B878" s="13" t="s">
        <v>227</v>
      </c>
      <c r="C878" s="13" t="s">
        <v>6498</v>
      </c>
      <c r="D878" s="10">
        <v>0.8065</v>
      </c>
      <c r="E878" s="11">
        <v>124.9</v>
      </c>
      <c r="F878" s="10">
        <v>0.7419</v>
      </c>
      <c r="G878" s="11">
        <v>363.64</v>
      </c>
      <c r="H878" s="10">
        <v>0.7903</v>
      </c>
      <c r="I878" s="11">
        <v>361.86</v>
      </c>
      <c r="J878" s="10">
        <v>0.7258</v>
      </c>
      <c r="K878" s="11">
        <v>301.9</v>
      </c>
      <c r="L878" s="10">
        <v>0.6613</v>
      </c>
      <c r="M878" s="11">
        <v>365.13</v>
      </c>
      <c r="N878" s="10">
        <v>0.3065</v>
      </c>
      <c r="O878" s="11">
        <v>343.16</v>
      </c>
      <c r="P878" s="10">
        <v>0.8065</v>
      </c>
      <c r="Q878" s="10">
        <v>0.1936</v>
      </c>
      <c r="R878" s="10">
        <v>0.7258</v>
      </c>
      <c r="S878" s="10">
        <v>0.2076</v>
      </c>
      <c r="T878" s="8">
        <f>IF(and(ISNUMBER(D878), isnumber(E878)), 1, 0) + IF(and(ISNUMBER(F878), isnumber(G878)), 1, 0) + IF(and(ISNUMBER(H878), isnumber(I878)), 1, 0) + IF(and(ISNUMBER(J878), isnumber(K878)), 1, 0) + IF(and(ISNUMBER(L878), isnumber(M878)), 1, 0) + IF(and(ISNUMBER(N878), isnumber(O878)), 1, 0)</f>
      </c>
      <c r="U878" s="8">
        <f>IF(and(ISNUMBER(P878), isnumber(Q878)), 1, 0) + IF(and(ISNUMBER(R878), isnumber(S878)), 1, 0)</f>
      </c>
      <c r="V878" s="13"/>
      <c r="W878" s="13"/>
      <c r="X878" s="16"/>
    </row>
    <row x14ac:dyDescent="0.25" r="879" customHeight="1" ht="15.75">
      <c r="A879" s="8">
        <v>25091</v>
      </c>
      <c r="B879" s="13" t="s">
        <v>227</v>
      </c>
      <c r="C879" s="13" t="s">
        <v>6500</v>
      </c>
      <c r="D879" s="10">
        <v>0.9825</v>
      </c>
      <c r="E879" s="11">
        <v>60</v>
      </c>
      <c r="F879" s="10">
        <v>0.7544</v>
      </c>
      <c r="G879" s="11">
        <v>292.87</v>
      </c>
      <c r="H879" s="10">
        <v>0.5244</v>
      </c>
      <c r="I879" s="11">
        <v>316.28</v>
      </c>
      <c r="J879" s="10">
        <v>0.5833</v>
      </c>
      <c r="K879" s="11">
        <v>100.83</v>
      </c>
      <c r="L879" s="10">
        <v>0.6951</v>
      </c>
      <c r="M879" s="11">
        <v>265.97</v>
      </c>
      <c r="N879" s="10">
        <v>0.6951</v>
      </c>
      <c r="O879" s="11">
        <v>314.39</v>
      </c>
      <c r="P879" s="10">
        <v>0.9825</v>
      </c>
      <c r="Q879" s="10">
        <v>0.1516</v>
      </c>
      <c r="R879" s="10">
        <v>0.5833</v>
      </c>
      <c r="S879" s="10">
        <v>0.1839</v>
      </c>
      <c r="T879" s="8">
        <f>IF(and(ISNUMBER(D879), isnumber(E879)), 1, 0) + IF(and(ISNUMBER(F879), isnumber(G879)), 1, 0) + IF(and(ISNUMBER(H879), isnumber(I879)), 1, 0) + IF(and(ISNUMBER(J879), isnumber(K879)), 1, 0) + IF(and(ISNUMBER(L879), isnumber(M879)), 1, 0) + IF(and(ISNUMBER(N879), isnumber(O879)), 1, 0)</f>
      </c>
      <c r="U879" s="8">
        <f>IF(and(ISNUMBER(P879), isnumber(Q879)), 1, 0) + IF(and(ISNUMBER(R879), isnumber(S879)), 1, 0)</f>
      </c>
      <c r="V879" s="13"/>
      <c r="W879" s="13"/>
      <c r="X879" s="16"/>
    </row>
    <row x14ac:dyDescent="0.25" r="880" customHeight="1" ht="15.75">
      <c r="A880" s="8">
        <v>25146</v>
      </c>
      <c r="B880" s="13" t="s">
        <v>227</v>
      </c>
      <c r="C880" s="13" t="s">
        <v>6501</v>
      </c>
      <c r="D880" s="10">
        <v>1</v>
      </c>
      <c r="E880" s="11">
        <v>159.32</v>
      </c>
      <c r="F880" s="10">
        <v>1</v>
      </c>
      <c r="G880" s="11">
        <v>216.95</v>
      </c>
      <c r="H880" s="10">
        <v>0.9831</v>
      </c>
      <c r="I880" s="11">
        <v>245.52</v>
      </c>
      <c r="J880" s="10">
        <v>0.6949</v>
      </c>
      <c r="K880" s="11">
        <v>228.29</v>
      </c>
      <c r="L880" s="10">
        <v>0.7966</v>
      </c>
      <c r="M880" s="11">
        <v>317.45</v>
      </c>
      <c r="N880" s="10">
        <v>0.6102</v>
      </c>
      <c r="O880" s="11">
        <v>361.14</v>
      </c>
      <c r="P880" s="10">
        <v>1</v>
      </c>
      <c r="Q880" s="10">
        <v>0.1581</v>
      </c>
      <c r="R880" s="10">
        <v>0.6949</v>
      </c>
      <c r="S880" s="10">
        <v>0.1967</v>
      </c>
      <c r="T880" s="8">
        <f>IF(and(ISNUMBER(D880), isnumber(E880)), 1, 0) + IF(and(ISNUMBER(F880), isnumber(G880)), 1, 0) + IF(and(ISNUMBER(H880), isnumber(I880)), 1, 0) + IF(and(ISNUMBER(J880), isnumber(K880)), 1, 0) + IF(and(ISNUMBER(L880), isnumber(M880)), 1, 0) + IF(and(ISNUMBER(N880), isnumber(O880)), 1, 0)</f>
      </c>
      <c r="U880" s="8">
        <f>IF(and(ISNUMBER(P880), isnumber(Q880)), 1, 0) + IF(and(ISNUMBER(R880), isnumber(S880)), 1, 0)</f>
      </c>
      <c r="V880" s="13"/>
      <c r="W880" s="13"/>
      <c r="X880" s="16"/>
    </row>
    <row x14ac:dyDescent="0.25" r="881" customHeight="1" ht="15.75">
      <c r="A881" s="8">
        <v>25122</v>
      </c>
      <c r="B881" s="13" t="s">
        <v>227</v>
      </c>
      <c r="C881" s="13" t="s">
        <v>6502</v>
      </c>
      <c r="D881" s="10">
        <v>0.9255</v>
      </c>
      <c r="E881" s="11">
        <v>240.27</v>
      </c>
      <c r="F881" s="10">
        <v>0.6522</v>
      </c>
      <c r="G881" s="11">
        <v>401.94</v>
      </c>
      <c r="H881" s="10">
        <v>0.6243</v>
      </c>
      <c r="I881" s="11">
        <v>479.27</v>
      </c>
      <c r="J881" s="10">
        <v>0.6481</v>
      </c>
      <c r="K881" s="11">
        <v>302.72</v>
      </c>
      <c r="L881" s="10">
        <v>0.474</v>
      </c>
      <c r="M881" s="11">
        <v>389.64</v>
      </c>
      <c r="N881" s="10">
        <v>0.5896</v>
      </c>
      <c r="O881" s="11" t="s">
        <v>7127</v>
      </c>
      <c r="P881" s="10">
        <v>0.9255</v>
      </c>
      <c r="Q881" s="10">
        <v>0.2198</v>
      </c>
      <c r="R881" s="10">
        <v>0.6481</v>
      </c>
      <c r="S881" s="10">
        <v>0.2105</v>
      </c>
      <c r="T881" s="8">
        <f>IF(and(ISNUMBER(D881), isnumber(E881)), 1, 0) + IF(and(ISNUMBER(F881), isnumber(G881)), 1, 0) + IF(and(ISNUMBER(H881), isnumber(I881)), 1, 0) + IF(and(ISNUMBER(J881), isnumber(K881)), 1, 0) + IF(and(ISNUMBER(L881), isnumber(M881)), 1, 0) + IF(and(ISNUMBER(N881), isnumber(O881)), 1, 0)</f>
      </c>
      <c r="U881" s="8">
        <f>IF(and(ISNUMBER(P881), isnumber(Q881)), 1, 0) + IF(and(ISNUMBER(R881), isnumber(S881)), 1, 0)</f>
      </c>
      <c r="V881" s="13"/>
      <c r="W881" s="13"/>
      <c r="X881" s="16"/>
    </row>
    <row x14ac:dyDescent="0.25" r="882" customHeight="1" ht="15.75">
      <c r="A882" s="8">
        <v>25092</v>
      </c>
      <c r="B882" s="13" t="s">
        <v>227</v>
      </c>
      <c r="C882" s="13" t="s">
        <v>6504</v>
      </c>
      <c r="D882" s="10">
        <v>1</v>
      </c>
      <c r="E882" s="11">
        <v>282.28</v>
      </c>
      <c r="F882" s="10">
        <v>0.7714</v>
      </c>
      <c r="G882" s="11">
        <v>457.03</v>
      </c>
      <c r="H882" s="10">
        <v>0.7805</v>
      </c>
      <c r="I882" s="11">
        <v>443.69</v>
      </c>
      <c r="J882" s="10">
        <v>0.85</v>
      </c>
      <c r="K882" s="11">
        <v>358.38</v>
      </c>
      <c r="L882" s="10">
        <v>0.7805</v>
      </c>
      <c r="M882" s="11">
        <v>500.5</v>
      </c>
      <c r="N882" s="10">
        <v>0.7927</v>
      </c>
      <c r="O882" s="11">
        <v>488</v>
      </c>
      <c r="P882" s="10">
        <v>1</v>
      </c>
      <c r="Q882" s="10">
        <v>0.2038</v>
      </c>
      <c r="R882" s="10">
        <v>0.85</v>
      </c>
      <c r="S882" s="10">
        <v>0.2731</v>
      </c>
      <c r="T882" s="8">
        <f>IF(and(ISNUMBER(D882), isnumber(E882)), 1, 0) + IF(and(ISNUMBER(F882), isnumber(G882)), 1, 0) + IF(and(ISNUMBER(H882), isnumber(I882)), 1, 0) + IF(and(ISNUMBER(J882), isnumber(K882)), 1, 0) + IF(and(ISNUMBER(L882), isnumber(M882)), 1, 0) + IF(and(ISNUMBER(N882), isnumber(O882)), 1, 0)</f>
      </c>
      <c r="U882" s="8">
        <f>IF(and(ISNUMBER(P882), isnumber(Q882)), 1, 0) + IF(and(ISNUMBER(R882), isnumber(S882)), 1, 0)</f>
      </c>
      <c r="V882" s="13"/>
      <c r="W882" s="13"/>
      <c r="X882" s="16"/>
    </row>
    <row x14ac:dyDescent="0.25" r="883" customHeight="1" ht="15.75">
      <c r="A883" s="8">
        <v>25123</v>
      </c>
      <c r="B883" s="13" t="s">
        <v>227</v>
      </c>
      <c r="C883" s="13" t="s">
        <v>6507</v>
      </c>
      <c r="D883" s="10">
        <v>0.7395</v>
      </c>
      <c r="E883" s="11">
        <v>217.59</v>
      </c>
      <c r="F883" s="10">
        <v>0.003</v>
      </c>
      <c r="G883" s="11">
        <v>280</v>
      </c>
      <c r="H883" s="10">
        <v>0.5419</v>
      </c>
      <c r="I883" s="11">
        <v>417.24</v>
      </c>
      <c r="J883" s="10">
        <v>0.5</v>
      </c>
      <c r="K883" s="11">
        <v>282.42</v>
      </c>
      <c r="L883" s="10">
        <v>0.2784</v>
      </c>
      <c r="M883" s="11">
        <v>401.32</v>
      </c>
      <c r="N883" s="10">
        <v>0.3802</v>
      </c>
      <c r="O883" s="11">
        <v>371.2</v>
      </c>
      <c r="P883" s="10">
        <v>0.7395</v>
      </c>
      <c r="Q883" s="10">
        <v>0.2356</v>
      </c>
      <c r="R883" s="10">
        <v>0.5</v>
      </c>
      <c r="S883" s="10">
        <v>0.2162</v>
      </c>
      <c r="T883" s="8">
        <f>IF(and(ISNUMBER(D883), isnumber(E883)), 1, 0) + IF(and(ISNUMBER(F883), isnumber(G883)), 1, 0) + IF(and(ISNUMBER(H883), isnumber(I883)), 1, 0) + IF(and(ISNUMBER(J883), isnumber(K883)), 1, 0) + IF(and(ISNUMBER(L883), isnumber(M883)), 1, 0) + IF(and(ISNUMBER(N883), isnumber(O883)), 1, 0)</f>
      </c>
      <c r="U883" s="8">
        <f>IF(and(ISNUMBER(P883), isnumber(Q883)), 1, 0) + IF(and(ISNUMBER(R883), isnumber(S883)), 1, 0)</f>
      </c>
      <c r="V883" s="13"/>
      <c r="W883" s="13"/>
      <c r="X883" s="16"/>
    </row>
    <row x14ac:dyDescent="0.25" r="884" customHeight="1" ht="15.75">
      <c r="A884" s="8">
        <v>25093</v>
      </c>
      <c r="B884" s="13" t="s">
        <v>227</v>
      </c>
      <c r="C884" s="13" t="s">
        <v>6510</v>
      </c>
      <c r="D884" s="10">
        <v>0.7867</v>
      </c>
      <c r="E884" s="11">
        <v>89.2</v>
      </c>
      <c r="F884" s="10">
        <v>0.5267</v>
      </c>
      <c r="G884" s="11">
        <v>294.87</v>
      </c>
      <c r="H884" s="10">
        <v>0.58</v>
      </c>
      <c r="I884" s="11">
        <v>412.41</v>
      </c>
      <c r="J884" s="10">
        <v>0.64</v>
      </c>
      <c r="K884" s="11">
        <v>195.11</v>
      </c>
      <c r="L884" s="10">
        <v>0.5267</v>
      </c>
      <c r="M884" s="11">
        <v>333.16</v>
      </c>
      <c r="N884" s="10">
        <v>0.5867</v>
      </c>
      <c r="O884" s="11">
        <v>324.65</v>
      </c>
      <c r="P884" s="10">
        <v>0.7867</v>
      </c>
      <c r="Q884" s="10">
        <v>0.1888</v>
      </c>
      <c r="R884" s="10">
        <v>0.64</v>
      </c>
      <c r="S884" s="10">
        <v>0.1909</v>
      </c>
      <c r="T884" s="8">
        <f>IF(and(ISNUMBER(D884), isnumber(E884)), 1, 0) + IF(and(ISNUMBER(F884), isnumber(G884)), 1, 0) + IF(and(ISNUMBER(H884), isnumber(I884)), 1, 0) + IF(and(ISNUMBER(J884), isnumber(K884)), 1, 0) + IF(and(ISNUMBER(L884), isnumber(M884)), 1, 0) + IF(and(ISNUMBER(N884), isnumber(O884)), 1, 0)</f>
      </c>
      <c r="U884" s="8">
        <f>IF(and(ISNUMBER(P884), isnumber(Q884)), 1, 0) + IF(and(ISNUMBER(R884), isnumber(S884)), 1, 0)</f>
      </c>
      <c r="V884" s="13"/>
      <c r="W884" s="13"/>
      <c r="X884" s="16"/>
    </row>
    <row x14ac:dyDescent="0.25" r="885" customHeight="1" ht="15.75">
      <c r="A885" s="8">
        <v>25124</v>
      </c>
      <c r="B885" s="13" t="s">
        <v>227</v>
      </c>
      <c r="C885" s="13" t="s">
        <v>6512</v>
      </c>
      <c r="D885" s="10">
        <v>0.9758</v>
      </c>
      <c r="E885" s="11">
        <v>143.52</v>
      </c>
      <c r="F885" s="10">
        <v>0.7576</v>
      </c>
      <c r="G885" s="11">
        <v>362.65</v>
      </c>
      <c r="H885" s="10">
        <v>0.8833</v>
      </c>
      <c r="I885" s="11">
        <v>226.52</v>
      </c>
      <c r="J885" s="10">
        <v>0.9595</v>
      </c>
      <c r="K885" s="11">
        <v>161.96</v>
      </c>
      <c r="L885" s="10">
        <v>0.9444</v>
      </c>
      <c r="M885" s="11">
        <v>242.23</v>
      </c>
      <c r="N885" s="10">
        <v>0.9222</v>
      </c>
      <c r="O885" s="11">
        <v>211.14</v>
      </c>
      <c r="P885" s="10">
        <v>0.9758</v>
      </c>
      <c r="Q885" s="10">
        <v>0.177</v>
      </c>
      <c r="R885" s="10">
        <v>0.9595</v>
      </c>
      <c r="S885" s="10">
        <v>0.1201</v>
      </c>
      <c r="T885" s="8">
        <f>IF(and(ISNUMBER(D885), isnumber(E885)), 1, 0) + IF(and(ISNUMBER(F885), isnumber(G885)), 1, 0) + IF(and(ISNUMBER(H885), isnumber(I885)), 1, 0) + IF(and(ISNUMBER(J885), isnumber(K885)), 1, 0) + IF(and(ISNUMBER(L885), isnumber(M885)), 1, 0) + IF(and(ISNUMBER(N885), isnumber(O885)), 1, 0)</f>
      </c>
      <c r="U885" s="8">
        <f>IF(and(ISNUMBER(P885), isnumber(Q885)), 1, 0) + IF(and(ISNUMBER(R885), isnumber(S885)), 1, 0)</f>
      </c>
      <c r="V885" s="13"/>
      <c r="W885" s="13"/>
      <c r="X885" s="16"/>
    </row>
    <row x14ac:dyDescent="0.25" r="886" customHeight="1" ht="15.75">
      <c r="A886" s="8">
        <v>25155</v>
      </c>
      <c r="B886" s="13" t="s">
        <v>227</v>
      </c>
      <c r="C886" s="13" t="s">
        <v>6517</v>
      </c>
      <c r="D886" s="10">
        <v>0.9789</v>
      </c>
      <c r="E886" s="11">
        <v>112.23</v>
      </c>
      <c r="F886" s="10">
        <v>0.9718</v>
      </c>
      <c r="G886" s="11">
        <v>221.6</v>
      </c>
      <c r="H886" s="10">
        <v>0.465</v>
      </c>
      <c r="I886" s="11">
        <v>293.7</v>
      </c>
      <c r="J886" s="10">
        <v>0.6099</v>
      </c>
      <c r="K886" s="11">
        <v>226.51</v>
      </c>
      <c r="L886" s="10">
        <v>0.5541</v>
      </c>
      <c r="M886" s="11">
        <v>376.09</v>
      </c>
      <c r="N886" s="10">
        <v>0.5159</v>
      </c>
      <c r="O886" s="11">
        <v>363.46</v>
      </c>
      <c r="P886" s="10">
        <v>0.9789</v>
      </c>
      <c r="Q886" s="10">
        <v>0.1648</v>
      </c>
      <c r="R886" s="10">
        <v>0.6099</v>
      </c>
      <c r="S886" s="10">
        <v>0.1949</v>
      </c>
      <c r="T886" s="8">
        <f>IF(and(ISNUMBER(D886), isnumber(E886)), 1, 0) + IF(and(ISNUMBER(F886), isnumber(G886)), 1, 0) + IF(and(ISNUMBER(H886), isnumber(I886)), 1, 0) + IF(and(ISNUMBER(J886), isnumber(K886)), 1, 0) + IF(and(ISNUMBER(L886), isnumber(M886)), 1, 0) + IF(and(ISNUMBER(N886), isnumber(O886)), 1, 0)</f>
      </c>
      <c r="U886" s="8">
        <f>IF(and(ISNUMBER(P886), isnumber(Q886)), 1, 0) + IF(and(ISNUMBER(R886), isnumber(S886)), 1, 0)</f>
      </c>
      <c r="V886" s="13"/>
      <c r="W886" s="13"/>
      <c r="X886" s="16"/>
    </row>
    <row x14ac:dyDescent="0.25" r="887" customHeight="1" ht="15.75">
      <c r="A887" s="8">
        <v>25132</v>
      </c>
      <c r="B887" s="13" t="s">
        <v>227</v>
      </c>
      <c r="C887" s="13" t="s">
        <v>6519</v>
      </c>
      <c r="D887" s="10">
        <v>0.989</v>
      </c>
      <c r="E887" s="11">
        <v>266.67</v>
      </c>
      <c r="F887" s="10">
        <v>1</v>
      </c>
      <c r="G887" s="11">
        <v>313.78</v>
      </c>
      <c r="H887" s="10">
        <v>0.7692</v>
      </c>
      <c r="I887" s="11">
        <v>458.24</v>
      </c>
      <c r="J887" s="10">
        <v>0.7253</v>
      </c>
      <c r="K887" s="11">
        <v>361.21</v>
      </c>
      <c r="L887" s="10">
        <v>0.8132</v>
      </c>
      <c r="M887" s="11">
        <v>490.56</v>
      </c>
      <c r="N887" s="10">
        <v>0.7363</v>
      </c>
      <c r="O887" s="11">
        <v>462.69</v>
      </c>
      <c r="P887" s="10">
        <v>0.989</v>
      </c>
      <c r="Q887" s="10">
        <v>0.2256</v>
      </c>
      <c r="R887" s="10">
        <v>0.7253</v>
      </c>
      <c r="S887" s="10">
        <v>0.2234</v>
      </c>
      <c r="T887" s="8">
        <f>IF(and(ISNUMBER(D887), isnumber(E887)), 1, 0) + IF(and(ISNUMBER(F887), isnumber(G887)), 1, 0) + IF(and(ISNUMBER(H887), isnumber(I887)), 1, 0) + IF(and(ISNUMBER(J887), isnumber(K887)), 1, 0) + IF(and(ISNUMBER(L887), isnumber(M887)), 1, 0) + IF(and(ISNUMBER(N887), isnumber(O887)), 1, 0)</f>
      </c>
      <c r="U887" s="8">
        <f>IF(and(ISNUMBER(P887), isnumber(Q887)), 1, 0) + IF(and(ISNUMBER(R887), isnumber(S887)), 1, 0)</f>
      </c>
      <c r="V887" s="13"/>
      <c r="W887" s="13"/>
      <c r="X887" s="16"/>
    </row>
    <row x14ac:dyDescent="0.25" r="888" customHeight="1" ht="15.75">
      <c r="A888" s="8">
        <v>25094</v>
      </c>
      <c r="B888" s="13" t="s">
        <v>227</v>
      </c>
      <c r="C888" s="13" t="s">
        <v>6522</v>
      </c>
      <c r="D888" s="10">
        <v>0.9668</v>
      </c>
      <c r="E888" s="11">
        <v>192.18</v>
      </c>
      <c r="F888" s="10">
        <v>0.9917</v>
      </c>
      <c r="G888" s="11">
        <v>281.02</v>
      </c>
      <c r="H888" s="10">
        <v>0.995</v>
      </c>
      <c r="I888" s="11">
        <v>218.16</v>
      </c>
      <c r="J888" s="10">
        <v>1</v>
      </c>
      <c r="K888" s="11">
        <v>175.82</v>
      </c>
      <c r="L888" s="10">
        <v>0.9934</v>
      </c>
      <c r="M888" s="11">
        <v>182.83</v>
      </c>
      <c r="N888" s="10">
        <v>0.9934</v>
      </c>
      <c r="O888" s="11">
        <v>154.54</v>
      </c>
      <c r="P888" s="10">
        <v>0.9668</v>
      </c>
      <c r="Q888" s="10">
        <v>0.1867</v>
      </c>
      <c r="R888" s="10">
        <v>1</v>
      </c>
      <c r="S888" s="10">
        <v>0.1276</v>
      </c>
      <c r="T888" s="8">
        <f>IF(and(ISNUMBER(D888), isnumber(E888)), 1, 0) + IF(and(ISNUMBER(F888), isnumber(G888)), 1, 0) + IF(and(ISNUMBER(H888), isnumber(I888)), 1, 0) + IF(and(ISNUMBER(J888), isnumber(K888)), 1, 0) + IF(and(ISNUMBER(L888), isnumber(M888)), 1, 0) + IF(and(ISNUMBER(N888), isnumber(O888)), 1, 0)</f>
      </c>
      <c r="U888" s="8">
        <f>IF(and(ISNUMBER(P888), isnumber(Q888)), 1, 0) + IF(and(ISNUMBER(R888), isnumber(S888)), 1, 0)</f>
      </c>
      <c r="V888" s="13"/>
      <c r="W888" s="13"/>
      <c r="X888" s="16"/>
    </row>
    <row x14ac:dyDescent="0.25" r="889" customHeight="1" ht="15.75">
      <c r="A889" s="8">
        <v>25147</v>
      </c>
      <c r="B889" s="13" t="s">
        <v>227</v>
      </c>
      <c r="C889" s="13" t="s">
        <v>6524</v>
      </c>
      <c r="D889" s="10">
        <v>0.9107</v>
      </c>
      <c r="E889" s="11">
        <v>220.7</v>
      </c>
      <c r="F889" s="10">
        <v>0.8185</v>
      </c>
      <c r="G889" s="11">
        <v>402.13</v>
      </c>
      <c r="H889" s="10">
        <v>0.8329</v>
      </c>
      <c r="I889" s="11">
        <v>460.76</v>
      </c>
      <c r="J889" s="10">
        <v>0.8125</v>
      </c>
      <c r="K889" s="11" t="s">
        <v>7127</v>
      </c>
      <c r="L889" s="10">
        <v>0.9045</v>
      </c>
      <c r="M889" s="11">
        <v>472.2</v>
      </c>
      <c r="N889" s="10">
        <v>0.8674</v>
      </c>
      <c r="O889" s="11">
        <v>411.17</v>
      </c>
      <c r="P889" s="10">
        <v>0.9107</v>
      </c>
      <c r="Q889" s="10">
        <v>0.2111</v>
      </c>
      <c r="R889" s="10">
        <v>0.8125</v>
      </c>
      <c r="S889" s="10">
        <v>0.3813</v>
      </c>
      <c r="T889" s="8">
        <f>IF(and(ISNUMBER(D889), isnumber(E889)), 1, 0) + IF(and(ISNUMBER(F889), isnumber(G889)), 1, 0) + IF(and(ISNUMBER(H889), isnumber(I889)), 1, 0) + IF(and(ISNUMBER(J889), isnumber(K889)), 1, 0) + IF(and(ISNUMBER(L889), isnumber(M889)), 1, 0) + IF(and(ISNUMBER(N889), isnumber(O889)), 1, 0)</f>
      </c>
      <c r="U889" s="8">
        <f>IF(and(ISNUMBER(P889), isnumber(Q889)), 1, 0) + IF(and(ISNUMBER(R889), isnumber(S889)), 1, 0)</f>
      </c>
      <c r="V889" s="13"/>
      <c r="W889" s="13"/>
      <c r="X889" s="16"/>
    </row>
    <row x14ac:dyDescent="0.25" r="890" customHeight="1" ht="15.75">
      <c r="A890" s="8">
        <v>25125</v>
      </c>
      <c r="B890" s="13" t="s">
        <v>227</v>
      </c>
      <c r="C890" s="13" t="s">
        <v>6527</v>
      </c>
      <c r="D890" s="10">
        <v>0.6888</v>
      </c>
      <c r="E890" s="11">
        <v>126.84</v>
      </c>
      <c r="F890" s="10">
        <v>0.4855</v>
      </c>
      <c r="G890" s="11">
        <v>298.12</v>
      </c>
      <c r="H890" s="10">
        <v>0.4834</v>
      </c>
      <c r="I890" s="11">
        <v>393.67</v>
      </c>
      <c r="J890" s="10">
        <v>0.49</v>
      </c>
      <c r="K890" s="11">
        <v>251</v>
      </c>
      <c r="L890" s="10">
        <v>0.4371</v>
      </c>
      <c r="M890" s="11">
        <v>336.82</v>
      </c>
      <c r="N890" s="10">
        <v>0.3377</v>
      </c>
      <c r="O890" s="11">
        <v>356.81</v>
      </c>
      <c r="P890" s="10">
        <v>0.6888</v>
      </c>
      <c r="Q890" s="10">
        <v>0.2001</v>
      </c>
      <c r="R890" s="10">
        <v>0.49</v>
      </c>
      <c r="S890" s="10">
        <v>0.1977</v>
      </c>
      <c r="T890" s="8">
        <f>IF(and(ISNUMBER(D890), isnumber(E890)), 1, 0) + IF(and(ISNUMBER(F890), isnumber(G890)), 1, 0) + IF(and(ISNUMBER(H890), isnumber(I890)), 1, 0) + IF(and(ISNUMBER(J890), isnumber(K890)), 1, 0) + IF(and(ISNUMBER(L890), isnumber(M890)), 1, 0) + IF(and(ISNUMBER(N890), isnumber(O890)), 1, 0)</f>
      </c>
      <c r="U890" s="8">
        <f>IF(and(ISNUMBER(P890), isnumber(Q890)), 1, 0) + IF(and(ISNUMBER(R890), isnumber(S890)), 1, 0)</f>
      </c>
      <c r="V890" s="13"/>
      <c r="W890" s="13"/>
      <c r="X890" s="16"/>
    </row>
    <row x14ac:dyDescent="0.25" r="891" customHeight="1" ht="15.75">
      <c r="A891" s="8">
        <v>25095</v>
      </c>
      <c r="B891" s="13" t="s">
        <v>227</v>
      </c>
      <c r="C891" s="13" t="s">
        <v>6530</v>
      </c>
      <c r="D891" s="10">
        <v>0.9831</v>
      </c>
      <c r="E891" s="11">
        <v>117.24</v>
      </c>
      <c r="F891" s="10">
        <v>0.7881</v>
      </c>
      <c r="G891" s="11">
        <v>384.05</v>
      </c>
      <c r="H891" s="10">
        <v>0.912</v>
      </c>
      <c r="I891" s="11">
        <v>357.3</v>
      </c>
      <c r="J891" s="10">
        <v>1</v>
      </c>
      <c r="K891" s="11">
        <v>171.81</v>
      </c>
      <c r="L891" s="10">
        <v>0.632</v>
      </c>
      <c r="M891" s="11">
        <v>492.9</v>
      </c>
      <c r="N891" s="10">
        <v>0.672</v>
      </c>
      <c r="O891" s="11">
        <v>456.12</v>
      </c>
      <c r="P891" s="10">
        <v>0.9831</v>
      </c>
      <c r="Q891" s="10">
        <v>0.1914</v>
      </c>
      <c r="R891" s="10">
        <v>1</v>
      </c>
      <c r="S891" s="10">
        <v>0.1724</v>
      </c>
      <c r="T891" s="8">
        <f>IF(and(ISNUMBER(D891), isnumber(E891)), 1, 0) + IF(and(ISNUMBER(F891), isnumber(G891)), 1, 0) + IF(and(ISNUMBER(H891), isnumber(I891)), 1, 0) + IF(and(ISNUMBER(J891), isnumber(K891)), 1, 0) + IF(and(ISNUMBER(L891), isnumber(M891)), 1, 0) + IF(and(ISNUMBER(N891), isnumber(O891)), 1, 0)</f>
      </c>
      <c r="U891" s="8">
        <f>IF(and(ISNUMBER(P891), isnumber(Q891)), 1, 0) + IF(and(ISNUMBER(R891), isnumber(S891)), 1, 0)</f>
      </c>
      <c r="V891" s="13"/>
      <c r="W891" s="13"/>
      <c r="X891" s="16"/>
    </row>
    <row x14ac:dyDescent="0.25" r="892" customHeight="1" ht="15.75">
      <c r="A892" s="8">
        <v>25109</v>
      </c>
      <c r="B892" s="13" t="s">
        <v>227</v>
      </c>
      <c r="C892" s="13" t="s">
        <v>6531</v>
      </c>
      <c r="D892" s="10">
        <v>0.7063</v>
      </c>
      <c r="E892" s="11">
        <v>155.2</v>
      </c>
      <c r="F892" s="10">
        <v>0.5397</v>
      </c>
      <c r="G892" s="11">
        <v>389.71</v>
      </c>
      <c r="H892" s="10">
        <v>0.2958</v>
      </c>
      <c r="I892" s="11">
        <v>404.04</v>
      </c>
      <c r="J892" s="10">
        <v>0.6417</v>
      </c>
      <c r="K892" s="11" t="s">
        <v>7127</v>
      </c>
      <c r="L892" s="10">
        <v>0.4225</v>
      </c>
      <c r="M892" s="11" t="s">
        <v>7127</v>
      </c>
      <c r="N892" s="10">
        <v>0.0423</v>
      </c>
      <c r="O892" s="11">
        <v>373.34</v>
      </c>
      <c r="P892" s="10">
        <v>0.7063</v>
      </c>
      <c r="Q892" s="10">
        <v>0.2057</v>
      </c>
      <c r="R892" s="10">
        <v>0.6417</v>
      </c>
      <c r="S892" s="10">
        <v>0.1363</v>
      </c>
      <c r="T892" s="8">
        <f>IF(and(ISNUMBER(D892), isnumber(E892)), 1, 0) + IF(and(ISNUMBER(F892), isnumber(G892)), 1, 0) + IF(and(ISNUMBER(H892), isnumber(I892)), 1, 0) + IF(and(ISNUMBER(J892), isnumber(K892)), 1, 0) + IF(and(ISNUMBER(L892), isnumber(M892)), 1, 0) + IF(and(ISNUMBER(N892), isnumber(O892)), 1, 0)</f>
      </c>
      <c r="U892" s="8">
        <f>IF(and(ISNUMBER(P892), isnumber(Q892)), 1, 0) + IF(and(ISNUMBER(R892), isnumber(S892)), 1, 0)</f>
      </c>
      <c r="V892" s="13"/>
      <c r="W892" s="13"/>
      <c r="X892" s="16"/>
    </row>
    <row x14ac:dyDescent="0.25" r="893" customHeight="1" ht="15.75">
      <c r="A893" s="8">
        <v>25115</v>
      </c>
      <c r="B893" s="13" t="s">
        <v>227</v>
      </c>
      <c r="C893" s="13" t="s">
        <v>6533</v>
      </c>
      <c r="D893" s="10">
        <v>0.982</v>
      </c>
      <c r="E893" s="11">
        <v>255.68</v>
      </c>
      <c r="F893" s="10">
        <v>0.9928</v>
      </c>
      <c r="G893" s="11">
        <v>365.65</v>
      </c>
      <c r="H893" s="10">
        <v>0.8652</v>
      </c>
      <c r="I893" s="11">
        <v>389.71</v>
      </c>
      <c r="J893" s="10">
        <v>0.9223</v>
      </c>
      <c r="K893" s="11">
        <v>347.95</v>
      </c>
      <c r="L893" s="10">
        <v>0.8809</v>
      </c>
      <c r="M893" s="11">
        <v>377.65</v>
      </c>
      <c r="N893" s="10">
        <v>0.884</v>
      </c>
      <c r="O893" s="11">
        <v>340.86</v>
      </c>
      <c r="P893" s="10">
        <v>0.982</v>
      </c>
      <c r="Q893" s="10">
        <v>0.1941</v>
      </c>
      <c r="R893" s="10">
        <v>0.9223</v>
      </c>
      <c r="S893" s="10">
        <v>0.1645</v>
      </c>
      <c r="T893" s="8">
        <f>IF(and(ISNUMBER(D893), isnumber(E893)), 1, 0) + IF(and(ISNUMBER(F893), isnumber(G893)), 1, 0) + IF(and(ISNUMBER(H893), isnumber(I893)), 1, 0) + IF(and(ISNUMBER(J893), isnumber(K893)), 1, 0) + IF(and(ISNUMBER(L893), isnumber(M893)), 1, 0) + IF(and(ISNUMBER(N893), isnumber(O893)), 1, 0)</f>
      </c>
      <c r="U893" s="8">
        <f>IF(and(ISNUMBER(P893), isnumber(Q893)), 1, 0) + IF(and(ISNUMBER(R893), isnumber(S893)), 1, 0)</f>
      </c>
      <c r="V893" s="13"/>
      <c r="W893" s="13"/>
      <c r="X893" s="16"/>
    </row>
    <row x14ac:dyDescent="0.25" r="894" customHeight="1" ht="15.75">
      <c r="A894" s="8">
        <v>25126</v>
      </c>
      <c r="B894" s="13" t="s">
        <v>227</v>
      </c>
      <c r="C894" s="13" t="s">
        <v>6537</v>
      </c>
      <c r="D894" s="10">
        <v>0.9684</v>
      </c>
      <c r="E894" s="11">
        <v>356.86</v>
      </c>
      <c r="F894" s="10">
        <v>0.6677</v>
      </c>
      <c r="G894" s="11">
        <v>470.1</v>
      </c>
      <c r="H894" s="10">
        <v>0.6519</v>
      </c>
      <c r="I894" s="11">
        <v>470.87</v>
      </c>
      <c r="J894" s="10">
        <v>0.4905</v>
      </c>
      <c r="K894" s="11">
        <v>437.29</v>
      </c>
      <c r="L894" s="10">
        <v>0.5475</v>
      </c>
      <c r="M894" s="11">
        <v>441.16</v>
      </c>
      <c r="N894" s="10">
        <v>0.4778</v>
      </c>
      <c r="O894" s="11">
        <v>487.79</v>
      </c>
      <c r="P894" s="10">
        <v>0.9684</v>
      </c>
      <c r="Q894" s="10">
        <v>0.2153</v>
      </c>
      <c r="R894" s="10">
        <v>0.4905</v>
      </c>
      <c r="S894" s="10">
        <v>0.2121</v>
      </c>
      <c r="T894" s="8">
        <f>IF(and(ISNUMBER(D894), isnumber(E894)), 1, 0) + IF(and(ISNUMBER(F894), isnumber(G894)), 1, 0) + IF(and(ISNUMBER(H894), isnumber(I894)), 1, 0) + IF(and(ISNUMBER(J894), isnumber(K894)), 1, 0) + IF(and(ISNUMBER(L894), isnumber(M894)), 1, 0) + IF(and(ISNUMBER(N894), isnumber(O894)), 1, 0)</f>
      </c>
      <c r="U894" s="8">
        <f>IF(and(ISNUMBER(P894), isnumber(Q894)), 1, 0) + IF(and(ISNUMBER(R894), isnumber(S894)), 1, 0)</f>
      </c>
      <c r="V894" s="13"/>
      <c r="W894" s="13"/>
      <c r="X894" s="16"/>
    </row>
    <row x14ac:dyDescent="0.25" r="895" customHeight="1" ht="15.75">
      <c r="A895" s="8">
        <v>25129</v>
      </c>
      <c r="B895" s="13" t="s">
        <v>227</v>
      </c>
      <c r="C895" s="13" t="s">
        <v>6540</v>
      </c>
      <c r="D895" s="10">
        <v>0.9496</v>
      </c>
      <c r="E895" s="11">
        <v>177.25</v>
      </c>
      <c r="F895" s="10">
        <v>0.911</v>
      </c>
      <c r="G895" s="11">
        <v>279.17</v>
      </c>
      <c r="H895" s="10">
        <v>0.676</v>
      </c>
      <c r="I895" s="11">
        <v>428.49</v>
      </c>
      <c r="J895" s="10">
        <v>0.5507</v>
      </c>
      <c r="K895" s="11">
        <v>295.99</v>
      </c>
      <c r="L895" s="10">
        <v>0.6285</v>
      </c>
      <c r="M895" s="11">
        <v>436.19</v>
      </c>
      <c r="N895" s="10">
        <v>0.5363</v>
      </c>
      <c r="O895" s="11">
        <v>424.32</v>
      </c>
      <c r="P895" s="10">
        <v>0.9496</v>
      </c>
      <c r="Q895" s="10">
        <v>0.1834</v>
      </c>
      <c r="R895" s="10">
        <v>0.5507</v>
      </c>
      <c r="S895" s="10">
        <v>0.2118</v>
      </c>
      <c r="T895" s="8">
        <f>IF(and(ISNUMBER(D895), isnumber(E895)), 1, 0) + IF(and(ISNUMBER(F895), isnumber(G895)), 1, 0) + IF(and(ISNUMBER(H895), isnumber(I895)), 1, 0) + IF(and(ISNUMBER(J895), isnumber(K895)), 1, 0) + IF(and(ISNUMBER(L895), isnumber(M895)), 1, 0) + IF(and(ISNUMBER(N895), isnumber(O895)), 1, 0)</f>
      </c>
      <c r="U895" s="8">
        <f>IF(and(ISNUMBER(P895), isnumber(Q895)), 1, 0) + IF(and(ISNUMBER(R895), isnumber(S895)), 1, 0)</f>
      </c>
      <c r="V895" s="13"/>
      <c r="W895" s="13"/>
      <c r="X895" s="16"/>
    </row>
    <row x14ac:dyDescent="0.25" r="896" customHeight="1" ht="15.75">
      <c r="A896" s="8">
        <v>25096</v>
      </c>
      <c r="B896" s="13" t="s">
        <v>227</v>
      </c>
      <c r="C896" s="13" t="s">
        <v>6543</v>
      </c>
      <c r="D896" s="10">
        <v>0.978</v>
      </c>
      <c r="E896" s="11">
        <v>97.53</v>
      </c>
      <c r="F896" s="10">
        <v>0.956</v>
      </c>
      <c r="G896" s="11">
        <v>154.35</v>
      </c>
      <c r="H896" s="10">
        <v>0.4725</v>
      </c>
      <c r="I896" s="11">
        <v>427.62</v>
      </c>
      <c r="J896" s="10">
        <v>0.6154</v>
      </c>
      <c r="K896" s="11">
        <v>114.29</v>
      </c>
      <c r="L896" s="10">
        <v>0.5714</v>
      </c>
      <c r="M896" s="11">
        <v>342.31</v>
      </c>
      <c r="N896" s="10">
        <v>0.5714</v>
      </c>
      <c r="O896" s="11">
        <v>347.45</v>
      </c>
      <c r="P896" s="10">
        <v>0.978</v>
      </c>
      <c r="Q896" s="10">
        <v>0.1743</v>
      </c>
      <c r="R896" s="10">
        <v>0.6154</v>
      </c>
      <c r="S896" s="10">
        <v>0.2044</v>
      </c>
      <c r="T896" s="8">
        <f>IF(and(ISNUMBER(D896), isnumber(E896)), 1, 0) + IF(and(ISNUMBER(F896), isnumber(G896)), 1, 0) + IF(and(ISNUMBER(H896), isnumber(I896)), 1, 0) + IF(and(ISNUMBER(J896), isnumber(K896)), 1, 0) + IF(and(ISNUMBER(L896), isnumber(M896)), 1, 0) + IF(and(ISNUMBER(N896), isnumber(O896)), 1, 0)</f>
      </c>
      <c r="U896" s="8">
        <f>IF(and(ISNUMBER(P896), isnumber(Q896)), 1, 0) + IF(and(ISNUMBER(R896), isnumber(S896)), 1, 0)</f>
      </c>
      <c r="V896" s="13"/>
      <c r="W896" s="13"/>
      <c r="X896" s="16"/>
    </row>
    <row x14ac:dyDescent="0.25" r="897" customHeight="1" ht="15.75">
      <c r="A897" s="8">
        <v>25098</v>
      </c>
      <c r="B897" s="13" t="s">
        <v>227</v>
      </c>
      <c r="C897" s="13" t="s">
        <v>6546</v>
      </c>
      <c r="D897" s="10">
        <v>0.751</v>
      </c>
      <c r="E897" s="11">
        <v>173.91</v>
      </c>
      <c r="F897" s="10">
        <v>0.6546</v>
      </c>
      <c r="G897" s="11">
        <v>414.59</v>
      </c>
      <c r="H897" s="10">
        <v>0.4528</v>
      </c>
      <c r="I897" s="11">
        <v>425.58</v>
      </c>
      <c r="J897" s="10">
        <v>0.6511</v>
      </c>
      <c r="K897" s="11">
        <v>305.21</v>
      </c>
      <c r="L897" s="10">
        <v>0.3935</v>
      </c>
      <c r="M897" s="11">
        <v>442.88</v>
      </c>
      <c r="N897" s="10">
        <v>0.1671</v>
      </c>
      <c r="O897" s="11" t="s">
        <v>7127</v>
      </c>
      <c r="P897" s="10">
        <v>0.751</v>
      </c>
      <c r="Q897" s="10">
        <v>0.2288</v>
      </c>
      <c r="R897" s="10">
        <v>0.6511</v>
      </c>
      <c r="S897" s="10">
        <v>0.2049</v>
      </c>
      <c r="T897" s="8">
        <f>IF(and(ISNUMBER(D897), isnumber(E897)), 1, 0) + IF(and(ISNUMBER(F897), isnumber(G897)), 1, 0) + IF(and(ISNUMBER(H897), isnumber(I897)), 1, 0) + IF(and(ISNUMBER(J897), isnumber(K897)), 1, 0) + IF(and(ISNUMBER(L897), isnumber(M897)), 1, 0) + IF(and(ISNUMBER(N897), isnumber(O897)), 1, 0)</f>
      </c>
      <c r="U897" s="8">
        <f>IF(and(ISNUMBER(P897), isnumber(Q897)), 1, 0) + IF(and(ISNUMBER(R897), isnumber(S897)), 1, 0)</f>
      </c>
      <c r="V897" s="13"/>
      <c r="W897" s="13"/>
      <c r="X897" s="16"/>
    </row>
    <row x14ac:dyDescent="0.25" r="898" customHeight="1" ht="15.75">
      <c r="A898" s="8">
        <v>25099</v>
      </c>
      <c r="B898" s="13" t="s">
        <v>227</v>
      </c>
      <c r="C898" s="13" t="s">
        <v>6548</v>
      </c>
      <c r="D898" s="10">
        <v>0.9783</v>
      </c>
      <c r="E898" s="11">
        <v>95.11</v>
      </c>
      <c r="F898" s="10">
        <v>0.587</v>
      </c>
      <c r="G898" s="11">
        <v>301.96</v>
      </c>
      <c r="H898" s="10">
        <v>0.3824</v>
      </c>
      <c r="I898" s="11">
        <v>372.31</v>
      </c>
      <c r="J898" s="10">
        <v>0.5882</v>
      </c>
      <c r="K898" s="11">
        <v>109.33</v>
      </c>
      <c r="L898" s="10">
        <v>0.3676</v>
      </c>
      <c r="M898" s="11">
        <v>310.4</v>
      </c>
      <c r="N898" s="10">
        <v>0.5</v>
      </c>
      <c r="O898" s="11">
        <v>312.75</v>
      </c>
      <c r="P898" s="10">
        <v>0.9783</v>
      </c>
      <c r="Q898" s="10">
        <v>0.1446</v>
      </c>
      <c r="R898" s="10">
        <v>0.5882</v>
      </c>
      <c r="S898" s="10">
        <v>0.185</v>
      </c>
      <c r="T898" s="8">
        <f>IF(and(ISNUMBER(D898), isnumber(E898)), 1, 0) + IF(and(ISNUMBER(F898), isnumber(G898)), 1, 0) + IF(and(ISNUMBER(H898), isnumber(I898)), 1, 0) + IF(and(ISNUMBER(J898), isnumber(K898)), 1, 0) + IF(and(ISNUMBER(L898), isnumber(M898)), 1, 0) + IF(and(ISNUMBER(N898), isnumber(O898)), 1, 0)</f>
      </c>
      <c r="U898" s="8">
        <f>IF(and(ISNUMBER(P898), isnumber(Q898)), 1, 0) + IF(and(ISNUMBER(R898), isnumber(S898)), 1, 0)</f>
      </c>
      <c r="V898" s="13"/>
      <c r="W898" s="13"/>
      <c r="X898" s="16"/>
    </row>
    <row x14ac:dyDescent="0.25" r="899" customHeight="1" ht="15.75">
      <c r="A899" s="8">
        <v>25134</v>
      </c>
      <c r="B899" s="13" t="s">
        <v>227</v>
      </c>
      <c r="C899" s="13" t="s">
        <v>6550</v>
      </c>
      <c r="D899" s="10">
        <v>0.6288</v>
      </c>
      <c r="E899" s="11">
        <v>209.45</v>
      </c>
      <c r="F899" s="10">
        <v>0.4298</v>
      </c>
      <c r="G899" s="11">
        <v>331.91</v>
      </c>
      <c r="H899" s="10">
        <v>0.5116</v>
      </c>
      <c r="I899" s="11">
        <v>183.08</v>
      </c>
      <c r="J899" s="10">
        <v>0.1526</v>
      </c>
      <c r="K899" s="11">
        <v>195.97</v>
      </c>
      <c r="L899" s="10">
        <v>0.5604</v>
      </c>
      <c r="M899" s="11">
        <v>216.39</v>
      </c>
      <c r="N899" s="10">
        <v>0.5018</v>
      </c>
      <c r="O899" s="11">
        <v>236.76</v>
      </c>
      <c r="P899" s="10">
        <v>0.6288</v>
      </c>
      <c r="Q899" s="10">
        <v>0.2264</v>
      </c>
      <c r="R899" s="10">
        <v>0.1526</v>
      </c>
      <c r="S899" s="10">
        <v>0.1611</v>
      </c>
      <c r="T899" s="8">
        <f>IF(and(ISNUMBER(D899), isnumber(E899)), 1, 0) + IF(and(ISNUMBER(F899), isnumber(G899)), 1, 0) + IF(and(ISNUMBER(H899), isnumber(I899)), 1, 0) + IF(and(ISNUMBER(J899), isnumber(K899)), 1, 0) + IF(and(ISNUMBER(L899), isnumber(M899)), 1, 0) + IF(and(ISNUMBER(N899), isnumber(O899)), 1, 0)</f>
      </c>
      <c r="U899" s="8">
        <f>IF(and(ISNUMBER(P899), isnumber(Q899)), 1, 0) + IF(and(ISNUMBER(R899), isnumber(S899)), 1, 0)</f>
      </c>
      <c r="V899" s="13"/>
      <c r="W899" s="13"/>
      <c r="X899" s="16"/>
    </row>
    <row x14ac:dyDescent="0.25" r="900" customHeight="1" ht="15.75">
      <c r="A900" s="8">
        <v>25100</v>
      </c>
      <c r="B900" s="13" t="s">
        <v>227</v>
      </c>
      <c r="C900" s="13" t="s">
        <v>6553</v>
      </c>
      <c r="D900" s="10">
        <v>0.7727</v>
      </c>
      <c r="E900" s="11">
        <v>160.59</v>
      </c>
      <c r="F900" s="10">
        <v>0.7614</v>
      </c>
      <c r="G900" s="11">
        <v>253.13</v>
      </c>
      <c r="H900" s="10">
        <v>0.8864</v>
      </c>
      <c r="I900" s="11">
        <v>325.79</v>
      </c>
      <c r="J900" s="10">
        <v>0.8409</v>
      </c>
      <c r="K900" s="11">
        <v>107.78</v>
      </c>
      <c r="L900" s="10">
        <v>0.7273</v>
      </c>
      <c r="M900" s="11">
        <v>344.38</v>
      </c>
      <c r="N900" s="10">
        <v>0.7273</v>
      </c>
      <c r="O900" s="11">
        <v>259.05</v>
      </c>
      <c r="P900" s="10">
        <v>0.7727</v>
      </c>
      <c r="Q900" s="10">
        <v>0.2251</v>
      </c>
      <c r="R900" s="10">
        <v>0.8409</v>
      </c>
      <c r="S900" s="10">
        <v>0.1978</v>
      </c>
      <c r="T900" s="8">
        <f>IF(and(ISNUMBER(D900), isnumber(E900)), 1, 0) + IF(and(ISNUMBER(F900), isnumber(G900)), 1, 0) + IF(and(ISNUMBER(H900), isnumber(I900)), 1, 0) + IF(and(ISNUMBER(J900), isnumber(K900)), 1, 0) + IF(and(ISNUMBER(L900), isnumber(M900)), 1, 0) + IF(and(ISNUMBER(N900), isnumber(O900)), 1, 0)</f>
      </c>
      <c r="U900" s="8">
        <f>IF(and(ISNUMBER(P900), isnumber(Q900)), 1, 0) + IF(and(ISNUMBER(R900), isnumber(S900)), 1, 0)</f>
      </c>
      <c r="V900" s="13"/>
      <c r="W900" s="13"/>
      <c r="X900" s="16"/>
    </row>
    <row x14ac:dyDescent="0.25" r="901" customHeight="1" ht="15.75">
      <c r="A901" s="8">
        <v>25101</v>
      </c>
      <c r="B901" s="13" t="s">
        <v>227</v>
      </c>
      <c r="C901" s="13" t="s">
        <v>6555</v>
      </c>
      <c r="D901" s="10">
        <v>0.7391</v>
      </c>
      <c r="E901" s="11">
        <v>190.59</v>
      </c>
      <c r="F901" s="10">
        <v>0.6522</v>
      </c>
      <c r="G901" s="11">
        <v>306.66</v>
      </c>
      <c r="H901" s="10">
        <v>0.5526</v>
      </c>
      <c r="I901" s="11">
        <v>401.9</v>
      </c>
      <c r="J901" s="10">
        <v>0.7568</v>
      </c>
      <c r="K901" s="11">
        <v>252.42</v>
      </c>
      <c r="L901" s="10">
        <v>0.5</v>
      </c>
      <c r="M901" s="11">
        <v>400.21</v>
      </c>
      <c r="N901" s="10">
        <v>0.5526</v>
      </c>
      <c r="O901" s="11">
        <v>366.41</v>
      </c>
      <c r="P901" s="10">
        <v>0.7391</v>
      </c>
      <c r="Q901" s="10">
        <v>0.2003</v>
      </c>
      <c r="R901" s="10">
        <v>0.7568</v>
      </c>
      <c r="S901" s="10">
        <v>0.2039</v>
      </c>
      <c r="T901" s="8">
        <f>IF(and(ISNUMBER(D901), isnumber(E901)), 1, 0) + IF(and(ISNUMBER(F901), isnumber(G901)), 1, 0) + IF(and(ISNUMBER(H901), isnumber(I901)), 1, 0) + IF(and(ISNUMBER(J901), isnumber(K901)), 1, 0) + IF(and(ISNUMBER(L901), isnumber(M901)), 1, 0) + IF(and(ISNUMBER(N901), isnumber(O901)), 1, 0)</f>
      </c>
      <c r="U901" s="8">
        <f>IF(and(ISNUMBER(P901), isnumber(Q901)), 1, 0) + IF(and(ISNUMBER(R901), isnumber(S901)), 1, 0)</f>
      </c>
      <c r="V901" s="13"/>
      <c r="W901" s="13"/>
      <c r="X901" s="16"/>
    </row>
    <row x14ac:dyDescent="0.25" r="902" customHeight="1" ht="15.75">
      <c r="A902" s="8">
        <v>25116</v>
      </c>
      <c r="B902" s="13" t="s">
        <v>227</v>
      </c>
      <c r="C902" s="13" t="s">
        <v>6556</v>
      </c>
      <c r="D902" s="10">
        <v>0.9545</v>
      </c>
      <c r="E902" s="11">
        <v>188.57</v>
      </c>
      <c r="F902" s="10">
        <v>0.6818</v>
      </c>
      <c r="G902" s="11">
        <v>408.57</v>
      </c>
      <c r="H902" s="10">
        <v>0.8182</v>
      </c>
      <c r="I902" s="11">
        <v>444.44</v>
      </c>
      <c r="J902" s="10">
        <v>0.7273</v>
      </c>
      <c r="K902" s="11">
        <v>194.67</v>
      </c>
      <c r="L902" s="10">
        <v>0.7727</v>
      </c>
      <c r="M902" s="11">
        <v>418.82</v>
      </c>
      <c r="N902" s="10">
        <v>0.7273</v>
      </c>
      <c r="O902" s="11">
        <v>390</v>
      </c>
      <c r="P902" s="10">
        <v>0.9545</v>
      </c>
      <c r="Q902" s="10">
        <v>0.2427</v>
      </c>
      <c r="R902" s="10">
        <v>0.7273</v>
      </c>
      <c r="S902" s="10">
        <v>0.1827</v>
      </c>
      <c r="T902" s="8">
        <f>IF(and(ISNUMBER(D902), isnumber(E902)), 1, 0) + IF(and(ISNUMBER(F902), isnumber(G902)), 1, 0) + IF(and(ISNUMBER(H902), isnumber(I902)), 1, 0) + IF(and(ISNUMBER(J902), isnumber(K902)), 1, 0) + IF(and(ISNUMBER(L902), isnumber(M902)), 1, 0) + IF(and(ISNUMBER(N902), isnumber(O902)), 1, 0)</f>
      </c>
      <c r="U902" s="8">
        <f>IF(and(ISNUMBER(P902), isnumber(Q902)), 1, 0) + IF(and(ISNUMBER(R902), isnumber(S902)), 1, 0)</f>
      </c>
      <c r="V902" s="13"/>
      <c r="W902" s="13"/>
      <c r="X902" s="16"/>
    </row>
    <row x14ac:dyDescent="0.25" r="903" customHeight="1" ht="15.75">
      <c r="A903" s="8">
        <v>25128</v>
      </c>
      <c r="B903" s="13" t="s">
        <v>227</v>
      </c>
      <c r="C903" s="13" t="s">
        <v>6558</v>
      </c>
      <c r="D903" s="10">
        <v>0.8262</v>
      </c>
      <c r="E903" s="11">
        <v>313.54</v>
      </c>
      <c r="F903" s="10">
        <v>0.5346</v>
      </c>
      <c r="G903" s="11">
        <v>470.51</v>
      </c>
      <c r="H903" s="10">
        <v>0.6168</v>
      </c>
      <c r="I903" s="11">
        <v>461.05</v>
      </c>
      <c r="J903" s="10">
        <v>0.6667</v>
      </c>
      <c r="K903" s="11">
        <v>309.85</v>
      </c>
      <c r="L903" s="10">
        <v>0.6756</v>
      </c>
      <c r="M903" s="11">
        <v>462</v>
      </c>
      <c r="N903" s="10">
        <v>0.5865</v>
      </c>
      <c r="O903" s="11">
        <v>471.61</v>
      </c>
      <c r="P903" s="10">
        <v>0.8262</v>
      </c>
      <c r="Q903" s="10">
        <v>0.2308</v>
      </c>
      <c r="R903" s="10">
        <v>0.6667</v>
      </c>
      <c r="S903" s="10">
        <v>0.2113</v>
      </c>
      <c r="T903" s="8">
        <f>IF(and(ISNUMBER(D903), isnumber(E903)), 1, 0) + IF(and(ISNUMBER(F903), isnumber(G903)), 1, 0) + IF(and(ISNUMBER(H903), isnumber(I903)), 1, 0) + IF(and(ISNUMBER(J903), isnumber(K903)), 1, 0) + IF(and(ISNUMBER(L903), isnumber(M903)), 1, 0) + IF(and(ISNUMBER(N903), isnumber(O903)), 1, 0)</f>
      </c>
      <c r="U903" s="8">
        <f>IF(and(ISNUMBER(P903), isnumber(Q903)), 1, 0) + IF(and(ISNUMBER(R903), isnumber(S903)), 1, 0)</f>
      </c>
      <c r="V903" s="13"/>
      <c r="W903" s="13"/>
      <c r="X903" s="16"/>
    </row>
    <row x14ac:dyDescent="0.25" r="904" customHeight="1" ht="15.75">
      <c r="A904" s="8">
        <v>25102</v>
      </c>
      <c r="B904" s="13" t="s">
        <v>227</v>
      </c>
      <c r="C904" s="13" t="s">
        <v>6560</v>
      </c>
      <c r="D904" s="10">
        <v>0.775</v>
      </c>
      <c r="E904" s="11">
        <v>206.45</v>
      </c>
      <c r="F904" s="10">
        <v>0.625</v>
      </c>
      <c r="G904" s="11">
        <v>352.96</v>
      </c>
      <c r="H904" s="10">
        <v>0.5102</v>
      </c>
      <c r="I904" s="11">
        <v>315.28</v>
      </c>
      <c r="J904" s="10">
        <v>0.8293</v>
      </c>
      <c r="K904" s="11">
        <v>329.41</v>
      </c>
      <c r="L904" s="10">
        <v>0.4082</v>
      </c>
      <c r="M904" s="11" t="s">
        <v>7127</v>
      </c>
      <c r="N904" s="10">
        <v>0.4694</v>
      </c>
      <c r="O904" s="11">
        <v>401.74</v>
      </c>
      <c r="P904" s="10">
        <v>0.775</v>
      </c>
      <c r="Q904" s="10">
        <v>0.2376</v>
      </c>
      <c r="R904" s="10">
        <v>0.8293</v>
      </c>
      <c r="S904" s="10">
        <v>0.202</v>
      </c>
      <c r="T904" s="8">
        <f>IF(and(ISNUMBER(D904), isnumber(E904)), 1, 0) + IF(and(ISNUMBER(F904), isnumber(G904)), 1, 0) + IF(and(ISNUMBER(H904), isnumber(I904)), 1, 0) + IF(and(ISNUMBER(J904), isnumber(K904)), 1, 0) + IF(and(ISNUMBER(L904), isnumber(M904)), 1, 0) + IF(and(ISNUMBER(N904), isnumber(O904)), 1, 0)</f>
      </c>
      <c r="U904" s="8">
        <f>IF(and(ISNUMBER(P904), isnumber(Q904)), 1, 0) + IF(and(ISNUMBER(R904), isnumber(S904)), 1, 0)</f>
      </c>
      <c r="V904" s="13"/>
      <c r="W904" s="13"/>
      <c r="X904" s="16"/>
    </row>
    <row x14ac:dyDescent="0.25" r="905" customHeight="1" ht="15.75">
      <c r="A905" s="8">
        <v>25103</v>
      </c>
      <c r="B905" s="13" t="s">
        <v>227</v>
      </c>
      <c r="C905" s="13" t="s">
        <v>6562</v>
      </c>
      <c r="D905" s="10">
        <v>0.9775</v>
      </c>
      <c r="E905" s="11">
        <v>197.24</v>
      </c>
      <c r="F905" s="10">
        <v>0.9888</v>
      </c>
      <c r="G905" s="11">
        <v>285.5</v>
      </c>
      <c r="H905" s="10">
        <v>1</v>
      </c>
      <c r="I905" s="11">
        <v>279.09</v>
      </c>
      <c r="J905" s="10">
        <v>0.9888</v>
      </c>
      <c r="K905" s="11">
        <v>217.73</v>
      </c>
      <c r="L905" s="10">
        <v>1</v>
      </c>
      <c r="M905" s="11">
        <v>313.26</v>
      </c>
      <c r="N905" s="10">
        <v>1</v>
      </c>
      <c r="O905" s="11">
        <v>334.55</v>
      </c>
      <c r="P905" s="10">
        <v>0.9775</v>
      </c>
      <c r="Q905" s="10">
        <v>0.2085</v>
      </c>
      <c r="R905" s="10">
        <v>0.9888</v>
      </c>
      <c r="S905" s="10">
        <v>0.1479</v>
      </c>
      <c r="T905" s="8">
        <f>IF(and(ISNUMBER(D905), isnumber(E905)), 1, 0) + IF(and(ISNUMBER(F905), isnumber(G905)), 1, 0) + IF(and(ISNUMBER(H905), isnumber(I905)), 1, 0) + IF(and(ISNUMBER(J905), isnumber(K905)), 1, 0) + IF(and(ISNUMBER(L905), isnumber(M905)), 1, 0) + IF(and(ISNUMBER(N905), isnumber(O905)), 1, 0)</f>
      </c>
      <c r="U905" s="8">
        <f>IF(and(ISNUMBER(P905), isnumber(Q905)), 1, 0) + IF(and(ISNUMBER(R905), isnumber(S905)), 1, 0)</f>
      </c>
      <c r="V905" s="13"/>
      <c r="W905" s="13"/>
      <c r="X905" s="16"/>
    </row>
    <row x14ac:dyDescent="0.25" r="906" customHeight="1" ht="15.75">
      <c r="A906" s="8">
        <v>25104</v>
      </c>
      <c r="B906" s="13" t="s">
        <v>227</v>
      </c>
      <c r="C906" s="13" t="s">
        <v>6566</v>
      </c>
      <c r="D906" s="10">
        <v>1</v>
      </c>
      <c r="E906" s="11">
        <v>174.29</v>
      </c>
      <c r="F906" s="10">
        <v>0.75</v>
      </c>
      <c r="G906" s="11">
        <v>410.91</v>
      </c>
      <c r="H906" s="10">
        <v>0.7</v>
      </c>
      <c r="I906" s="11">
        <v>400.95</v>
      </c>
      <c r="J906" s="10">
        <v>0.6333</v>
      </c>
      <c r="K906" s="11">
        <v>365</v>
      </c>
      <c r="L906" s="10">
        <v>0.6</v>
      </c>
      <c r="M906" s="11">
        <v>455.56</v>
      </c>
      <c r="N906" s="10">
        <v>0.5167</v>
      </c>
      <c r="O906" s="11">
        <v>442.58</v>
      </c>
      <c r="P906" s="10">
        <v>1</v>
      </c>
      <c r="Q906" s="10">
        <v>0.222</v>
      </c>
      <c r="R906" s="10">
        <v>0.6333</v>
      </c>
      <c r="S906" s="10">
        <v>0.226</v>
      </c>
      <c r="T906" s="8">
        <f>IF(and(ISNUMBER(D906), isnumber(E906)), 1, 0) + IF(and(ISNUMBER(F906), isnumber(G906)), 1, 0) + IF(and(ISNUMBER(H906), isnumber(I906)), 1, 0) + IF(and(ISNUMBER(J906), isnumber(K906)), 1, 0) + IF(and(ISNUMBER(L906), isnumber(M906)), 1, 0) + IF(and(ISNUMBER(N906), isnumber(O906)), 1, 0)</f>
      </c>
      <c r="U906" s="8">
        <f>IF(and(ISNUMBER(P906), isnumber(Q906)), 1, 0) + IF(and(ISNUMBER(R906), isnumber(S906)), 1, 0)</f>
      </c>
      <c r="V906" s="13"/>
      <c r="W906" s="13"/>
      <c r="X906" s="16"/>
    </row>
    <row x14ac:dyDescent="0.25" r="907" customHeight="1" ht="15.75">
      <c r="A907" s="8">
        <v>25105</v>
      </c>
      <c r="B907" s="13" t="s">
        <v>227</v>
      </c>
      <c r="C907" s="13" t="s">
        <v>6568</v>
      </c>
      <c r="D907" s="10">
        <v>0.91</v>
      </c>
      <c r="E907" s="11">
        <v>365.79</v>
      </c>
      <c r="F907" s="10">
        <v>0.97</v>
      </c>
      <c r="G907" s="11">
        <v>418.62</v>
      </c>
      <c r="H907" s="10">
        <v>0.6613</v>
      </c>
      <c r="I907" s="11">
        <v>559.51</v>
      </c>
      <c r="J907" s="10">
        <v>0.6263</v>
      </c>
      <c r="K907" s="11">
        <v>563.55</v>
      </c>
      <c r="L907" s="10">
        <v>0.5</v>
      </c>
      <c r="M907" s="11" t="s">
        <v>7127</v>
      </c>
      <c r="N907" s="10">
        <v>0.4677</v>
      </c>
      <c r="O907" s="11">
        <v>617.93</v>
      </c>
      <c r="P907" s="10">
        <v>0.91</v>
      </c>
      <c r="Q907" s="10">
        <v>0.258</v>
      </c>
      <c r="R907" s="10">
        <v>0.6263</v>
      </c>
      <c r="S907" s="10">
        <v>0.2021</v>
      </c>
      <c r="T907" s="8">
        <f>IF(and(ISNUMBER(D907), isnumber(E907)), 1, 0) + IF(and(ISNUMBER(F907), isnumber(G907)), 1, 0) + IF(and(ISNUMBER(H907), isnumber(I907)), 1, 0) + IF(and(ISNUMBER(J907), isnumber(K907)), 1, 0) + IF(and(ISNUMBER(L907), isnumber(M907)), 1, 0) + IF(and(ISNUMBER(N907), isnumber(O907)), 1, 0)</f>
      </c>
      <c r="U907" s="8">
        <f>IF(and(ISNUMBER(P907), isnumber(Q907)), 1, 0) + IF(and(ISNUMBER(R907), isnumber(S907)), 1, 0)</f>
      </c>
      <c r="V907" s="13"/>
      <c r="W907" s="13"/>
      <c r="X907" s="16"/>
    </row>
    <row x14ac:dyDescent="0.25" r="908" customHeight="1" ht="15.75">
      <c r="A908" s="8">
        <v>25111</v>
      </c>
      <c r="B908" s="13" t="s">
        <v>227</v>
      </c>
      <c r="C908" s="13" t="s">
        <v>6570</v>
      </c>
      <c r="D908" s="10">
        <v>1</v>
      </c>
      <c r="E908" s="11">
        <v>199.07</v>
      </c>
      <c r="F908" s="10">
        <v>0.6744</v>
      </c>
      <c r="G908" s="11">
        <v>497.93</v>
      </c>
      <c r="H908" s="10">
        <v>0.4561</v>
      </c>
      <c r="I908" s="11">
        <v>530.77</v>
      </c>
      <c r="J908" s="10">
        <v>0.8235</v>
      </c>
      <c r="K908" s="11">
        <v>437.48</v>
      </c>
      <c r="L908" s="10">
        <v>0.4737</v>
      </c>
      <c r="M908" s="11">
        <v>491.85</v>
      </c>
      <c r="N908" s="10">
        <v>0.4912</v>
      </c>
      <c r="O908" s="11">
        <v>531.43</v>
      </c>
      <c r="P908" s="10">
        <v>1</v>
      </c>
      <c r="Q908" s="10">
        <v>0.2044</v>
      </c>
      <c r="R908" s="10">
        <v>0.8235</v>
      </c>
      <c r="S908" s="10">
        <v>0.2041</v>
      </c>
      <c r="T908" s="8">
        <f>IF(and(ISNUMBER(D908), isnumber(E908)), 1, 0) + IF(and(ISNUMBER(F908), isnumber(G908)), 1, 0) + IF(and(ISNUMBER(H908), isnumber(I908)), 1, 0) + IF(and(ISNUMBER(J908), isnumber(K908)), 1, 0) + IF(and(ISNUMBER(L908), isnumber(M908)), 1, 0) + IF(and(ISNUMBER(N908), isnumber(O908)), 1, 0)</f>
      </c>
      <c r="U908" s="8">
        <f>IF(and(ISNUMBER(P908), isnumber(Q908)), 1, 0) + IF(and(ISNUMBER(R908), isnumber(S908)), 1, 0)</f>
      </c>
      <c r="V908" s="13"/>
      <c r="W908" s="13"/>
      <c r="X908" s="16"/>
    </row>
    <row x14ac:dyDescent="0.25" r="909" customHeight="1" ht="15.75">
      <c r="A909" s="8">
        <v>25106</v>
      </c>
      <c r="B909" s="13" t="s">
        <v>227</v>
      </c>
      <c r="C909" s="13" t="s">
        <v>6571</v>
      </c>
      <c r="D909" s="10">
        <v>0.7692</v>
      </c>
      <c r="E909" s="11">
        <v>66</v>
      </c>
      <c r="F909" s="10">
        <v>0.7692</v>
      </c>
      <c r="G909" s="11">
        <v>380</v>
      </c>
      <c r="H909" s="10">
        <v>0.413</v>
      </c>
      <c r="I909" s="11">
        <v>273.26</v>
      </c>
      <c r="J909" s="10">
        <v>0.7647</v>
      </c>
      <c r="K909" s="11">
        <v>181.26</v>
      </c>
      <c r="L909" s="10">
        <v>0.2826</v>
      </c>
      <c r="M909" s="11">
        <v>486.15</v>
      </c>
      <c r="N909" s="10">
        <v>0.3913</v>
      </c>
      <c r="O909" s="11">
        <v>378.59</v>
      </c>
      <c r="P909" s="10">
        <v>0.7692</v>
      </c>
      <c r="Q909" s="10">
        <v>0.1929</v>
      </c>
      <c r="R909" s="10">
        <v>0.7647</v>
      </c>
      <c r="S909" s="10">
        <v>0.2343</v>
      </c>
      <c r="T909" s="8">
        <f>IF(and(ISNUMBER(D909), isnumber(E909)), 1, 0) + IF(and(ISNUMBER(F909), isnumber(G909)), 1, 0) + IF(and(ISNUMBER(H909), isnumber(I909)), 1, 0) + IF(and(ISNUMBER(J909), isnumber(K909)), 1, 0) + IF(and(ISNUMBER(L909), isnumber(M909)), 1, 0) + IF(and(ISNUMBER(N909), isnumber(O909)), 1, 0)</f>
      </c>
      <c r="U909" s="8">
        <f>IF(and(ISNUMBER(P909), isnumber(Q909)), 1, 0) + IF(and(ISNUMBER(R909), isnumber(S909)), 1, 0)</f>
      </c>
      <c r="V909" s="13"/>
      <c r="W909" s="13"/>
      <c r="X909" s="16"/>
    </row>
    <row x14ac:dyDescent="0.25" r="910" customHeight="1" ht="15.75">
      <c r="A910" s="8">
        <v>25148</v>
      </c>
      <c r="B910" s="13" t="s">
        <v>227</v>
      </c>
      <c r="C910" s="13" t="s">
        <v>6572</v>
      </c>
      <c r="D910" s="10">
        <v>0.9789</v>
      </c>
      <c r="E910" s="11">
        <v>175.91</v>
      </c>
      <c r="F910" s="10">
        <v>0.6737</v>
      </c>
      <c r="G910" s="11">
        <v>365.08</v>
      </c>
      <c r="H910" s="10">
        <v>0.5895</v>
      </c>
      <c r="I910" s="11">
        <v>444.36</v>
      </c>
      <c r="J910" s="10">
        <v>0.7263</v>
      </c>
      <c r="K910" s="11">
        <v>363.08</v>
      </c>
      <c r="L910" s="10">
        <v>0.6211</v>
      </c>
      <c r="M910" s="11">
        <v>445.42</v>
      </c>
      <c r="N910" s="10">
        <v>0.6</v>
      </c>
      <c r="O910" s="11">
        <v>468.07</v>
      </c>
      <c r="P910" s="10">
        <v>0.9789</v>
      </c>
      <c r="Q910" s="10">
        <v>0.1831</v>
      </c>
      <c r="R910" s="10">
        <v>0.7263</v>
      </c>
      <c r="S910" s="10">
        <v>0.3616</v>
      </c>
      <c r="T910" s="8">
        <f>IF(and(ISNUMBER(D910), isnumber(E910)), 1, 0) + IF(and(ISNUMBER(F910), isnumber(G910)), 1, 0) + IF(and(ISNUMBER(H910), isnumber(I910)), 1, 0) + IF(and(ISNUMBER(J910), isnumber(K910)), 1, 0) + IF(and(ISNUMBER(L910), isnumber(M910)), 1, 0) + IF(and(ISNUMBER(N910), isnumber(O910)), 1, 0)</f>
      </c>
      <c r="U910" s="8">
        <f>IF(and(ISNUMBER(P910), isnumber(Q910)), 1, 0) + IF(and(ISNUMBER(R910), isnumber(S910)), 1, 0)</f>
      </c>
      <c r="V910" s="13"/>
      <c r="W910" s="13"/>
      <c r="X910" s="16"/>
    </row>
    <row x14ac:dyDescent="0.25" r="911" customHeight="1" ht="15.75">
      <c r="A911" s="8">
        <v>25108</v>
      </c>
      <c r="B911" s="13" t="s">
        <v>227</v>
      </c>
      <c r="C911" s="13" t="s">
        <v>6575</v>
      </c>
      <c r="D911" s="10">
        <v>0.8413</v>
      </c>
      <c r="E911" s="11">
        <v>285.8</v>
      </c>
      <c r="F911" s="10">
        <v>0.5258</v>
      </c>
      <c r="G911" s="11">
        <v>396.35</v>
      </c>
      <c r="H911" s="10">
        <v>0.5315</v>
      </c>
      <c r="I911" s="11">
        <v>459.42</v>
      </c>
      <c r="J911" s="10">
        <v>0.5698</v>
      </c>
      <c r="K911" s="11">
        <v>401.35</v>
      </c>
      <c r="L911" s="10">
        <v>0.6291</v>
      </c>
      <c r="M911" s="11">
        <v>476.94</v>
      </c>
      <c r="N911" s="10">
        <v>0.5201</v>
      </c>
      <c r="O911" s="11">
        <v>463.53</v>
      </c>
      <c r="P911" s="10">
        <v>0.8413</v>
      </c>
      <c r="Q911" s="10">
        <v>0.1929</v>
      </c>
      <c r="R911" s="10">
        <v>0.5698</v>
      </c>
      <c r="S911" s="10">
        <v>0.2207</v>
      </c>
      <c r="T911" s="8">
        <f>IF(and(ISNUMBER(D911), isnumber(E911)), 1, 0) + IF(and(ISNUMBER(F911), isnumber(G911)), 1, 0) + IF(and(ISNUMBER(H911), isnumber(I911)), 1, 0) + IF(and(ISNUMBER(J911), isnumber(K911)), 1, 0) + IF(and(ISNUMBER(L911), isnumber(M911)), 1, 0) + IF(and(ISNUMBER(N911), isnumber(O911)), 1, 0)</f>
      </c>
      <c r="U911" s="8">
        <f>IF(and(ISNUMBER(P911), isnumber(Q911)), 1, 0) + IF(and(ISNUMBER(R911), isnumber(S911)), 1, 0)</f>
      </c>
      <c r="V911" s="13"/>
      <c r="W911" s="13"/>
      <c r="X911" s="16"/>
    </row>
    <row x14ac:dyDescent="0.25" r="912" customHeight="1" ht="15.75">
      <c r="A912" s="8">
        <v>25748</v>
      </c>
      <c r="B912" s="13" t="s">
        <v>198</v>
      </c>
      <c r="C912" s="13" t="s">
        <v>6577</v>
      </c>
      <c r="D912" s="10">
        <v>0.9854</v>
      </c>
      <c r="E912" s="11">
        <v>244.15</v>
      </c>
      <c r="F912" s="10">
        <v>0.7105</v>
      </c>
      <c r="G912" s="11">
        <v>422.22</v>
      </c>
      <c r="H912" s="10">
        <v>0.6449</v>
      </c>
      <c r="I912" s="11">
        <v>484.46</v>
      </c>
      <c r="J912" s="10">
        <v>0.6619</v>
      </c>
      <c r="K912" s="11">
        <v>399.57</v>
      </c>
      <c r="L912" s="10">
        <v>0.618</v>
      </c>
      <c r="M912" s="11">
        <v>469.11</v>
      </c>
      <c r="N912" s="10">
        <v>0.5798</v>
      </c>
      <c r="O912" s="11">
        <v>496.2</v>
      </c>
      <c r="P912" s="10">
        <v>0.9854</v>
      </c>
      <c r="Q912" s="10">
        <v>0.2032</v>
      </c>
      <c r="R912" s="10">
        <v>0.6619</v>
      </c>
      <c r="S912" s="10">
        <v>0.2201</v>
      </c>
      <c r="T912" s="8">
        <f>IF(and(ISNUMBER(D912), isnumber(E912)), 1, 0) + IF(and(ISNUMBER(F912), isnumber(G912)), 1, 0) + IF(and(ISNUMBER(H912), isnumber(I912)), 1, 0) + IF(and(ISNUMBER(J912), isnumber(K912)), 1, 0) + IF(and(ISNUMBER(L912), isnumber(M912)), 1, 0) + IF(and(ISNUMBER(N912), isnumber(O912)), 1, 0)</f>
      </c>
      <c r="U912" s="8">
        <f>IF(and(ISNUMBER(P912), isnumber(Q912)), 1, 0) + IF(and(ISNUMBER(R912), isnumber(S912)), 1, 0)</f>
      </c>
      <c r="V912" s="13"/>
      <c r="W912" s="13"/>
      <c r="X912" s="16"/>
    </row>
    <row x14ac:dyDescent="0.25" r="913" customHeight="1" ht="15.75">
      <c r="A913" s="8">
        <v>25798</v>
      </c>
      <c r="B913" s="13" t="s">
        <v>198</v>
      </c>
      <c r="C913" s="13" t="s">
        <v>6581</v>
      </c>
      <c r="D913" s="10">
        <v>0.9846</v>
      </c>
      <c r="E913" s="11">
        <v>499.38</v>
      </c>
      <c r="F913" s="10">
        <v>0.9846</v>
      </c>
      <c r="G913" s="11">
        <v>537.5</v>
      </c>
      <c r="H913" s="10">
        <v>0.9692</v>
      </c>
      <c r="I913" s="11">
        <v>610.79</v>
      </c>
      <c r="J913" s="10">
        <v>0.9692</v>
      </c>
      <c r="K913" s="11">
        <v>599.37</v>
      </c>
      <c r="L913" s="10">
        <v>0.9538</v>
      </c>
      <c r="M913" s="11">
        <v>622.58</v>
      </c>
      <c r="N913" s="10">
        <v>0.9077</v>
      </c>
      <c r="O913" s="11">
        <v>606.1</v>
      </c>
      <c r="P913" s="10">
        <v>0.9846</v>
      </c>
      <c r="Q913" s="10">
        <v>0.3167</v>
      </c>
      <c r="R913" s="10">
        <v>0.9692</v>
      </c>
      <c r="S913" s="10">
        <v>0.2481</v>
      </c>
      <c r="T913" s="8">
        <f>IF(and(ISNUMBER(D913), isnumber(E913)), 1, 0) + IF(and(ISNUMBER(F913), isnumber(G913)), 1, 0) + IF(and(ISNUMBER(H913), isnumber(I913)), 1, 0) + IF(and(ISNUMBER(J913), isnumber(K913)), 1, 0) + IF(and(ISNUMBER(L913), isnumber(M913)), 1, 0) + IF(and(ISNUMBER(N913), isnumber(O913)), 1, 0)</f>
      </c>
      <c r="U913" s="8">
        <f>IF(and(ISNUMBER(P913), isnumber(Q913)), 1, 0) + IF(and(ISNUMBER(R913), isnumber(S913)), 1, 0)</f>
      </c>
      <c r="V913" s="13"/>
      <c r="W913" s="13"/>
      <c r="X913" s="16"/>
    </row>
    <row x14ac:dyDescent="0.25" r="914" customHeight="1" ht="15.75">
      <c r="A914" s="8">
        <v>25745</v>
      </c>
      <c r="B914" s="13" t="s">
        <v>198</v>
      </c>
      <c r="C914" s="13" t="s">
        <v>6584</v>
      </c>
      <c r="D914" s="10">
        <v>1</v>
      </c>
      <c r="E914" s="11">
        <v>283.72</v>
      </c>
      <c r="F914" s="10">
        <v>0.7442</v>
      </c>
      <c r="G914" s="11">
        <v>456.25</v>
      </c>
      <c r="H914" s="10">
        <v>0.9302</v>
      </c>
      <c r="I914" s="11">
        <v>486</v>
      </c>
      <c r="J914" s="10">
        <v>0.9767</v>
      </c>
      <c r="K914" s="11">
        <v>346.67</v>
      </c>
      <c r="L914" s="10">
        <v>1</v>
      </c>
      <c r="M914" s="11">
        <v>458.6</v>
      </c>
      <c r="N914" s="10">
        <v>1</v>
      </c>
      <c r="O914" s="11">
        <v>400</v>
      </c>
      <c r="P914" s="10">
        <v>1</v>
      </c>
      <c r="Q914" s="10">
        <v>0.2527</v>
      </c>
      <c r="R914" s="10">
        <v>0.9767</v>
      </c>
      <c r="S914" s="10">
        <v>0.2107</v>
      </c>
      <c r="T914" s="8">
        <f>IF(and(ISNUMBER(D914), isnumber(E914)), 1, 0) + IF(and(ISNUMBER(F914), isnumber(G914)), 1, 0) + IF(and(ISNUMBER(H914), isnumber(I914)), 1, 0) + IF(and(ISNUMBER(J914), isnumber(K914)), 1, 0) + IF(and(ISNUMBER(L914), isnumber(M914)), 1, 0) + IF(and(ISNUMBER(N914), isnumber(O914)), 1, 0)</f>
      </c>
      <c r="U914" s="8">
        <f>IF(and(ISNUMBER(P914), isnumber(Q914)), 1, 0) + IF(and(ISNUMBER(R914), isnumber(S914)), 1, 0)</f>
      </c>
      <c r="V914" s="13"/>
      <c r="W914" s="13"/>
      <c r="X914" s="16"/>
    </row>
    <row x14ac:dyDescent="0.25" r="915" customHeight="1" ht="15.75">
      <c r="A915" s="8">
        <v>25789</v>
      </c>
      <c r="B915" s="13" t="s">
        <v>198</v>
      </c>
      <c r="C915" s="13" t="s">
        <v>6587</v>
      </c>
      <c r="D915" s="10">
        <v>0.9862</v>
      </c>
      <c r="E915" s="11">
        <v>384.91</v>
      </c>
      <c r="F915" s="10">
        <v>0.8165</v>
      </c>
      <c r="G915" s="11">
        <v>479.32</v>
      </c>
      <c r="H915" s="10">
        <v>0.6935</v>
      </c>
      <c r="I915" s="11">
        <v>495.35</v>
      </c>
      <c r="J915" s="10">
        <v>0.7863</v>
      </c>
      <c r="K915" s="11">
        <v>466.38</v>
      </c>
      <c r="L915" s="10">
        <v>0.6694</v>
      </c>
      <c r="M915" s="11">
        <v>440.48</v>
      </c>
      <c r="N915" s="10">
        <v>0.7097</v>
      </c>
      <c r="O915" s="11">
        <v>449.37</v>
      </c>
      <c r="P915" s="10">
        <v>0.9862</v>
      </c>
      <c r="Q915" s="10">
        <v>0.2597</v>
      </c>
      <c r="R915" s="10">
        <v>0.7863</v>
      </c>
      <c r="S915" s="10">
        <v>0.2267</v>
      </c>
      <c r="T915" s="8">
        <f>IF(and(ISNUMBER(D915), isnumber(E915)), 1, 0) + IF(and(ISNUMBER(F915), isnumber(G915)), 1, 0) + IF(and(ISNUMBER(H915), isnumber(I915)), 1, 0) + IF(and(ISNUMBER(J915), isnumber(K915)), 1, 0) + IF(and(ISNUMBER(L915), isnumber(M915)), 1, 0) + IF(and(ISNUMBER(N915), isnumber(O915)), 1, 0)</f>
      </c>
      <c r="U915" s="8">
        <f>IF(and(ISNUMBER(P915), isnumber(Q915)), 1, 0) + IF(and(ISNUMBER(R915), isnumber(S915)), 1, 0)</f>
      </c>
      <c r="V915" s="13"/>
      <c r="W915" s="13"/>
      <c r="X915" s="16"/>
    </row>
    <row x14ac:dyDescent="0.25" r="916" customHeight="1" ht="15.75">
      <c r="A916" s="8">
        <v>25770</v>
      </c>
      <c r="B916" s="13" t="s">
        <v>198</v>
      </c>
      <c r="C916" s="13" t="s">
        <v>6590</v>
      </c>
      <c r="D916" s="10">
        <v>0.9892</v>
      </c>
      <c r="E916" s="11">
        <v>293.59</v>
      </c>
      <c r="F916" s="10">
        <v>0.6883</v>
      </c>
      <c r="G916" s="11">
        <v>438.88</v>
      </c>
      <c r="H916" s="10">
        <v>0.6856</v>
      </c>
      <c r="I916" s="11">
        <v>497.53</v>
      </c>
      <c r="J916" s="10">
        <v>0.6802</v>
      </c>
      <c r="K916" s="11">
        <v>421.15</v>
      </c>
      <c r="L916" s="10">
        <v>0.6504</v>
      </c>
      <c r="M916" s="11">
        <v>464</v>
      </c>
      <c r="N916" s="10">
        <v>0.6125</v>
      </c>
      <c r="O916" s="11">
        <v>466.43</v>
      </c>
      <c r="P916" s="10">
        <v>0.9892</v>
      </c>
      <c r="Q916" s="10">
        <v>0.2284</v>
      </c>
      <c r="R916" s="10">
        <v>0.6802</v>
      </c>
      <c r="S916" s="10">
        <v>0.2138</v>
      </c>
      <c r="T916" s="8">
        <f>IF(and(ISNUMBER(D916), isnumber(E916)), 1, 0) + IF(and(ISNUMBER(F916), isnumber(G916)), 1, 0) + IF(and(ISNUMBER(H916), isnumber(I916)), 1, 0) + IF(and(ISNUMBER(J916), isnumber(K916)), 1, 0) + IF(and(ISNUMBER(L916), isnumber(M916)), 1, 0) + IF(and(ISNUMBER(N916), isnumber(O916)), 1, 0)</f>
      </c>
      <c r="U916" s="8">
        <f>IF(and(ISNUMBER(P916), isnumber(Q916)), 1, 0) + IF(and(ISNUMBER(R916), isnumber(S916)), 1, 0)</f>
      </c>
      <c r="V916" s="13"/>
      <c r="W916" s="13"/>
      <c r="X916" s="16"/>
    </row>
    <row x14ac:dyDescent="0.25" r="917" customHeight="1" ht="15.75">
      <c r="A917" s="8">
        <v>25799</v>
      </c>
      <c r="B917" s="13" t="s">
        <v>198</v>
      </c>
      <c r="C917" s="13" t="s">
        <v>6594</v>
      </c>
      <c r="D917" s="10">
        <v>0.8789</v>
      </c>
      <c r="E917" s="11">
        <v>145.44</v>
      </c>
      <c r="F917" s="10">
        <v>0.5746</v>
      </c>
      <c r="G917" s="11">
        <v>388.19</v>
      </c>
      <c r="H917" s="10">
        <v>0.4645</v>
      </c>
      <c r="I917" s="11">
        <v>484.21</v>
      </c>
      <c r="J917" s="10">
        <v>0.7945</v>
      </c>
      <c r="K917" s="11">
        <v>368.37</v>
      </c>
      <c r="L917" s="10">
        <v>0.4645</v>
      </c>
      <c r="M917" s="11" t="s">
        <v>7127</v>
      </c>
      <c r="N917" s="10">
        <v>0.0127</v>
      </c>
      <c r="O917" s="11" t="s">
        <v>7127</v>
      </c>
      <c r="P917" s="10">
        <v>0.8789</v>
      </c>
      <c r="Q917" s="10">
        <v>0.1919</v>
      </c>
      <c r="R917" s="10">
        <v>0.7945</v>
      </c>
      <c r="S917" s="10">
        <v>0.3849</v>
      </c>
      <c r="T917" s="8">
        <f>IF(and(ISNUMBER(D917), isnumber(E917)), 1, 0) + IF(and(ISNUMBER(F917), isnumber(G917)), 1, 0) + IF(and(ISNUMBER(H917), isnumber(I917)), 1, 0) + IF(and(ISNUMBER(J917), isnumber(K917)), 1, 0) + IF(and(ISNUMBER(L917), isnumber(M917)), 1, 0) + IF(and(ISNUMBER(N917), isnumber(O917)), 1, 0)</f>
      </c>
      <c r="U917" s="8">
        <f>IF(and(ISNUMBER(P917), isnumber(Q917)), 1, 0) + IF(and(ISNUMBER(R917), isnumber(S917)), 1, 0)</f>
      </c>
      <c r="V917" s="13"/>
      <c r="W917" s="13"/>
      <c r="X917" s="16"/>
    </row>
    <row x14ac:dyDescent="0.25" r="918" customHeight="1" ht="15.75">
      <c r="A918" s="8">
        <v>25747</v>
      </c>
      <c r="B918" s="13" t="s">
        <v>198</v>
      </c>
      <c r="C918" s="13" t="s">
        <v>6598</v>
      </c>
      <c r="D918" s="10">
        <v>0.9778</v>
      </c>
      <c r="E918" s="11">
        <v>220.23</v>
      </c>
      <c r="F918" s="10">
        <v>0.7056</v>
      </c>
      <c r="G918" s="11" t="s">
        <v>7127</v>
      </c>
      <c r="H918" s="10">
        <v>0.5936</v>
      </c>
      <c r="I918" s="11" t="s">
        <v>7127</v>
      </c>
      <c r="J918" s="10">
        <v>0.6649</v>
      </c>
      <c r="K918" s="11" t="s">
        <v>7127</v>
      </c>
      <c r="L918" s="10">
        <v>0.7433</v>
      </c>
      <c r="M918" s="11">
        <v>473.38</v>
      </c>
      <c r="N918" s="10">
        <v>0.7968</v>
      </c>
      <c r="O918" s="11">
        <v>473.21</v>
      </c>
      <c r="P918" s="10">
        <v>0.9778</v>
      </c>
      <c r="Q918" s="10">
        <v>0.1741</v>
      </c>
      <c r="R918" s="10">
        <v>0.6649</v>
      </c>
      <c r="S918" s="10">
        <v>0.2374</v>
      </c>
      <c r="T918" s="8">
        <f>IF(and(ISNUMBER(D918), isnumber(E918)), 1, 0) + IF(and(ISNUMBER(F918), isnumber(G918)), 1, 0) + IF(and(ISNUMBER(H918), isnumber(I918)), 1, 0) + IF(and(ISNUMBER(J918), isnumber(K918)), 1, 0) + IF(and(ISNUMBER(L918), isnumber(M918)), 1, 0) + IF(and(ISNUMBER(N918), isnumber(O918)), 1, 0)</f>
      </c>
      <c r="U918" s="8">
        <f>IF(and(ISNUMBER(P918), isnumber(Q918)), 1, 0) + IF(and(ISNUMBER(R918), isnumber(S918)), 1, 0)</f>
      </c>
      <c r="V918" s="13"/>
      <c r="W918" s="13"/>
      <c r="X918" s="16"/>
    </row>
    <row x14ac:dyDescent="0.25" r="919" customHeight="1" ht="15.75">
      <c r="A919" s="8">
        <v>25782</v>
      </c>
      <c r="B919" s="13" t="s">
        <v>198</v>
      </c>
      <c r="C919" s="13" t="s">
        <v>6600</v>
      </c>
      <c r="D919" s="10">
        <v>0.9583</v>
      </c>
      <c r="E919" s="11">
        <v>260.43</v>
      </c>
      <c r="F919" s="10">
        <v>0.6544</v>
      </c>
      <c r="G919" s="11">
        <v>450.08</v>
      </c>
      <c r="H919" s="10">
        <v>0.6364</v>
      </c>
      <c r="I919" s="11">
        <v>503.7</v>
      </c>
      <c r="J919" s="10">
        <v>0.6364</v>
      </c>
      <c r="K919" s="11">
        <v>416.4</v>
      </c>
      <c r="L919" s="10">
        <v>0.7226</v>
      </c>
      <c r="M919" s="11">
        <v>474.93</v>
      </c>
      <c r="N919" s="10">
        <v>0.662</v>
      </c>
      <c r="O919" s="11">
        <v>490.35</v>
      </c>
      <c r="P919" s="10">
        <v>0.9583</v>
      </c>
      <c r="Q919" s="10">
        <v>0.2235</v>
      </c>
      <c r="R919" s="10">
        <v>0.6364</v>
      </c>
      <c r="S919" s="10">
        <v>0.225</v>
      </c>
      <c r="T919" s="8">
        <f>IF(and(ISNUMBER(D919), isnumber(E919)), 1, 0) + IF(and(ISNUMBER(F919), isnumber(G919)), 1, 0) + IF(and(ISNUMBER(H919), isnumber(I919)), 1, 0) + IF(and(ISNUMBER(J919), isnumber(K919)), 1, 0) + IF(and(ISNUMBER(L919), isnumber(M919)), 1, 0) + IF(and(ISNUMBER(N919), isnumber(O919)), 1, 0)</f>
      </c>
      <c r="U919" s="8">
        <f>IF(and(ISNUMBER(P919), isnumber(Q919)), 1, 0) + IF(and(ISNUMBER(R919), isnumber(S919)), 1, 0)</f>
      </c>
      <c r="V919" s="13"/>
      <c r="W919" s="13"/>
      <c r="X919" s="16"/>
    </row>
    <row x14ac:dyDescent="0.25" r="920" customHeight="1" ht="15.75">
      <c r="A920" s="8">
        <v>25751</v>
      </c>
      <c r="B920" s="13" t="s">
        <v>198</v>
      </c>
      <c r="C920" s="13" t="s">
        <v>6602</v>
      </c>
      <c r="D920" s="10">
        <v>1</v>
      </c>
      <c r="E920" s="11">
        <v>281.47</v>
      </c>
      <c r="F920" s="10">
        <v>0.822</v>
      </c>
      <c r="G920" s="11">
        <v>432.16</v>
      </c>
      <c r="H920" s="10">
        <v>0.7435</v>
      </c>
      <c r="I920" s="11">
        <v>415.89</v>
      </c>
      <c r="J920" s="10">
        <v>0.7853</v>
      </c>
      <c r="K920" s="11">
        <v>330</v>
      </c>
      <c r="L920" s="10">
        <v>0.8325</v>
      </c>
      <c r="M920" s="11">
        <v>407.64</v>
      </c>
      <c r="N920" s="10">
        <v>0.8796</v>
      </c>
      <c r="O920" s="11">
        <v>411.67</v>
      </c>
      <c r="P920" s="10">
        <v>1</v>
      </c>
      <c r="Q920" s="10">
        <v>0.2431</v>
      </c>
      <c r="R920" s="10">
        <v>0.7853</v>
      </c>
      <c r="S920" s="10">
        <v>0.2114</v>
      </c>
      <c r="T920" s="8">
        <f>IF(and(ISNUMBER(D920), isnumber(E920)), 1, 0) + IF(and(ISNUMBER(F920), isnumber(G920)), 1, 0) + IF(and(ISNUMBER(H920), isnumber(I920)), 1, 0) + IF(and(ISNUMBER(J920), isnumber(K920)), 1, 0) + IF(and(ISNUMBER(L920), isnumber(M920)), 1, 0) + IF(and(ISNUMBER(N920), isnumber(O920)), 1, 0)</f>
      </c>
      <c r="U920" s="8">
        <f>IF(and(ISNUMBER(P920), isnumber(Q920)), 1, 0) + IF(and(ISNUMBER(R920), isnumber(S920)), 1, 0)</f>
      </c>
      <c r="V920" s="13"/>
      <c r="W920" s="13"/>
      <c r="X920" s="16"/>
    </row>
    <row x14ac:dyDescent="0.25" r="921" customHeight="1" ht="15.75">
      <c r="A921" s="8">
        <v>25749</v>
      </c>
      <c r="B921" s="13" t="s">
        <v>198</v>
      </c>
      <c r="C921" s="13" t="s">
        <v>6603</v>
      </c>
      <c r="D921" s="10">
        <v>0.9955</v>
      </c>
      <c r="E921" s="11">
        <v>244.91</v>
      </c>
      <c r="F921" s="10">
        <v>0.8326</v>
      </c>
      <c r="G921" s="11">
        <v>392.22</v>
      </c>
      <c r="H921" s="10">
        <v>0.7466</v>
      </c>
      <c r="I921" s="11">
        <v>365.64</v>
      </c>
      <c r="J921" s="10">
        <v>0.5611</v>
      </c>
      <c r="K921" s="11">
        <v>322.35</v>
      </c>
      <c r="L921" s="10">
        <v>0.81</v>
      </c>
      <c r="M921" s="11">
        <v>348.6</v>
      </c>
      <c r="N921" s="10">
        <v>0.5701</v>
      </c>
      <c r="O921" s="11">
        <v>390.82</v>
      </c>
      <c r="P921" s="10">
        <v>0.9955</v>
      </c>
      <c r="Q921" s="10">
        <v>0.2034</v>
      </c>
      <c r="R921" s="10">
        <v>0.5611</v>
      </c>
      <c r="S921" s="10">
        <v>0.215</v>
      </c>
      <c r="T921" s="8">
        <f>IF(and(ISNUMBER(D921), isnumber(E921)), 1, 0) + IF(and(ISNUMBER(F921), isnumber(G921)), 1, 0) + IF(and(ISNUMBER(H921), isnumber(I921)), 1, 0) + IF(and(ISNUMBER(J921), isnumber(K921)), 1, 0) + IF(and(ISNUMBER(L921), isnumber(M921)), 1, 0) + IF(and(ISNUMBER(N921), isnumber(O921)), 1, 0)</f>
      </c>
      <c r="U921" s="8">
        <f>IF(and(ISNUMBER(P921), isnumber(Q921)), 1, 0) + IF(and(ISNUMBER(R921), isnumber(S921)), 1, 0)</f>
      </c>
      <c r="V921" s="13"/>
      <c r="W921" s="13"/>
      <c r="X921" s="16"/>
    </row>
    <row x14ac:dyDescent="0.25" r="922" customHeight="1" ht="15.75">
      <c r="A922" s="8">
        <v>25771</v>
      </c>
      <c r="B922" s="13" t="s">
        <v>198</v>
      </c>
      <c r="C922" s="13" t="s">
        <v>6606</v>
      </c>
      <c r="D922" s="10">
        <v>0.9796</v>
      </c>
      <c r="E922" s="11">
        <v>272.5</v>
      </c>
      <c r="F922" s="10">
        <v>0.8844</v>
      </c>
      <c r="G922" s="11">
        <v>440</v>
      </c>
      <c r="H922" s="10">
        <v>0.8912</v>
      </c>
      <c r="I922" s="11">
        <v>489.85</v>
      </c>
      <c r="J922" s="10">
        <v>0.8707</v>
      </c>
      <c r="K922" s="11">
        <v>415.36</v>
      </c>
      <c r="L922" s="10">
        <v>0.8844</v>
      </c>
      <c r="M922" s="11">
        <v>489.3</v>
      </c>
      <c r="N922" s="10">
        <v>0.8707</v>
      </c>
      <c r="O922" s="11">
        <v>479.68</v>
      </c>
      <c r="P922" s="10">
        <v>0.9796</v>
      </c>
      <c r="Q922" s="10">
        <v>0.227</v>
      </c>
      <c r="R922" s="10">
        <v>0.8707</v>
      </c>
      <c r="S922" s="10">
        <v>0.2089</v>
      </c>
      <c r="T922" s="8">
        <f>IF(and(ISNUMBER(D922), isnumber(E922)), 1, 0) + IF(and(ISNUMBER(F922), isnumber(G922)), 1, 0) + IF(and(ISNUMBER(H922), isnumber(I922)), 1, 0) + IF(and(ISNUMBER(J922), isnumber(K922)), 1, 0) + IF(and(ISNUMBER(L922), isnumber(M922)), 1, 0) + IF(and(ISNUMBER(N922), isnumber(O922)), 1, 0)</f>
      </c>
      <c r="U922" s="8">
        <f>IF(and(ISNUMBER(P922), isnumber(Q922)), 1, 0) + IF(and(ISNUMBER(R922), isnumber(S922)), 1, 0)</f>
      </c>
      <c r="V922" s="13"/>
      <c r="W922" s="13"/>
      <c r="X922" s="16"/>
    </row>
    <row x14ac:dyDescent="0.25" r="923" customHeight="1" ht="15.75">
      <c r="A923" s="8">
        <v>25752</v>
      </c>
      <c r="B923" s="13" t="s">
        <v>198</v>
      </c>
      <c r="C923" s="13" t="s">
        <v>6609</v>
      </c>
      <c r="D923" s="10">
        <v>0.8791</v>
      </c>
      <c r="E923" s="11">
        <v>192.49</v>
      </c>
      <c r="F923" s="10">
        <v>0.6093</v>
      </c>
      <c r="G923" s="11">
        <v>375.29</v>
      </c>
      <c r="H923" s="10">
        <v>0.5965</v>
      </c>
      <c r="I923" s="11">
        <v>395.85</v>
      </c>
      <c r="J923" s="10">
        <v>0.7058</v>
      </c>
      <c r="K923" s="11">
        <v>334</v>
      </c>
      <c r="L923" s="10">
        <v>0.6291</v>
      </c>
      <c r="M923" s="11">
        <v>336.95</v>
      </c>
      <c r="N923" s="10">
        <v>0.5523</v>
      </c>
      <c r="O923" s="11">
        <v>410.74</v>
      </c>
      <c r="P923" s="10">
        <v>0.8791</v>
      </c>
      <c r="Q923" s="10">
        <v>0.1944</v>
      </c>
      <c r="R923" s="10">
        <v>0.7058</v>
      </c>
      <c r="S923" s="10">
        <v>0.2616</v>
      </c>
      <c r="T923" s="8">
        <f>IF(and(ISNUMBER(D923), isnumber(E923)), 1, 0) + IF(and(ISNUMBER(F923), isnumber(G923)), 1, 0) + IF(and(ISNUMBER(H923), isnumber(I923)), 1, 0) + IF(and(ISNUMBER(J923), isnumber(K923)), 1, 0) + IF(and(ISNUMBER(L923), isnumber(M923)), 1, 0) + IF(and(ISNUMBER(N923), isnumber(O923)), 1, 0)</f>
      </c>
      <c r="U923" s="8">
        <f>IF(and(ISNUMBER(P923), isnumber(Q923)), 1, 0) + IF(and(ISNUMBER(R923), isnumber(S923)), 1, 0)</f>
      </c>
      <c r="V923" s="13"/>
      <c r="W923" s="13"/>
      <c r="X923" s="16"/>
    </row>
    <row x14ac:dyDescent="0.25" r="924" customHeight="1" ht="15.75">
      <c r="A924" s="8">
        <v>25772</v>
      </c>
      <c r="B924" s="13" t="s">
        <v>198</v>
      </c>
      <c r="C924" s="13" t="s">
        <v>6612</v>
      </c>
      <c r="D924" s="10">
        <v>0.9208</v>
      </c>
      <c r="E924" s="11">
        <v>324.62</v>
      </c>
      <c r="F924" s="10">
        <v>0.5998</v>
      </c>
      <c r="G924" s="11">
        <v>421.38</v>
      </c>
      <c r="H924" s="10">
        <v>0.5507</v>
      </c>
      <c r="I924" s="11">
        <v>482.31</v>
      </c>
      <c r="J924" s="10">
        <v>0.711</v>
      </c>
      <c r="K924" s="11">
        <v>429.82</v>
      </c>
      <c r="L924" s="10">
        <v>0.6437</v>
      </c>
      <c r="M924" s="11">
        <v>469.99</v>
      </c>
      <c r="N924" s="10">
        <v>0.5413</v>
      </c>
      <c r="O924" s="11">
        <v>457.83</v>
      </c>
      <c r="P924" s="10">
        <v>0.9208</v>
      </c>
      <c r="Q924" s="10">
        <v>0.2279</v>
      </c>
      <c r="R924" s="10">
        <v>0.711</v>
      </c>
      <c r="S924" s="10">
        <v>0.2222</v>
      </c>
      <c r="T924" s="8">
        <f>IF(and(ISNUMBER(D924), isnumber(E924)), 1, 0) + IF(and(ISNUMBER(F924), isnumber(G924)), 1, 0) + IF(and(ISNUMBER(H924), isnumber(I924)), 1, 0) + IF(and(ISNUMBER(J924), isnumber(K924)), 1, 0) + IF(and(ISNUMBER(L924), isnumber(M924)), 1, 0) + IF(and(ISNUMBER(N924), isnumber(O924)), 1, 0)</f>
      </c>
      <c r="U924" s="8">
        <f>IF(and(ISNUMBER(P924), isnumber(Q924)), 1, 0) + IF(and(ISNUMBER(R924), isnumber(S924)), 1, 0)</f>
      </c>
      <c r="V924" s="13"/>
      <c r="W924" s="13"/>
      <c r="X924" s="16"/>
    </row>
    <row x14ac:dyDescent="0.25" r="925" customHeight="1" ht="15.75">
      <c r="A925" s="8">
        <v>25800</v>
      </c>
      <c r="B925" s="13" t="s">
        <v>198</v>
      </c>
      <c r="C925" s="13" t="s">
        <v>6615</v>
      </c>
      <c r="D925" s="10">
        <v>0.9364</v>
      </c>
      <c r="E925" s="11">
        <v>270.3</v>
      </c>
      <c r="F925" s="10">
        <v>0.6818</v>
      </c>
      <c r="G925" s="11">
        <v>385.6</v>
      </c>
      <c r="H925" s="10">
        <v>0.5636</v>
      </c>
      <c r="I925" s="11">
        <v>350.97</v>
      </c>
      <c r="J925" s="10">
        <v>0.7</v>
      </c>
      <c r="K925" s="11">
        <v>233.42</v>
      </c>
      <c r="L925" s="10">
        <v>0.6091</v>
      </c>
      <c r="M925" s="11">
        <v>388.66</v>
      </c>
      <c r="N925" s="10">
        <v>0.6636</v>
      </c>
      <c r="O925" s="11">
        <v>443.84</v>
      </c>
      <c r="P925" s="10">
        <v>0.9364</v>
      </c>
      <c r="Q925" s="10">
        <v>0.2244</v>
      </c>
      <c r="R925" s="10">
        <v>0.7</v>
      </c>
      <c r="S925" s="10">
        <v>0.2086</v>
      </c>
      <c r="T925" s="8">
        <f>IF(and(ISNUMBER(D925), isnumber(E925)), 1, 0) + IF(and(ISNUMBER(F925), isnumber(G925)), 1, 0) + IF(and(ISNUMBER(H925), isnumber(I925)), 1, 0) + IF(and(ISNUMBER(J925), isnumber(K925)), 1, 0) + IF(and(ISNUMBER(L925), isnumber(M925)), 1, 0) + IF(and(ISNUMBER(N925), isnumber(O925)), 1, 0)</f>
      </c>
      <c r="U925" s="8">
        <f>IF(and(ISNUMBER(P925), isnumber(Q925)), 1, 0) + IF(and(ISNUMBER(R925), isnumber(S925)), 1, 0)</f>
      </c>
      <c r="V925" s="13"/>
      <c r="W925" s="13"/>
      <c r="X925" s="16"/>
    </row>
    <row x14ac:dyDescent="0.25" r="926" customHeight="1" ht="15.75">
      <c r="A926" s="8">
        <v>25790</v>
      </c>
      <c r="B926" s="13" t="s">
        <v>198</v>
      </c>
      <c r="C926" s="13" t="s">
        <v>6617</v>
      </c>
      <c r="D926" s="10">
        <v>0.5792</v>
      </c>
      <c r="E926" s="11" t="s">
        <v>7127</v>
      </c>
      <c r="F926" s="10">
        <v>0.5915</v>
      </c>
      <c r="G926" s="11">
        <v>364.02</v>
      </c>
      <c r="H926" s="10">
        <v>0.922</v>
      </c>
      <c r="I926" s="11">
        <v>293.62</v>
      </c>
      <c r="J926" s="10">
        <v>0.6152</v>
      </c>
      <c r="K926" s="11">
        <v>311.63</v>
      </c>
      <c r="L926" s="10">
        <v>0.6288</v>
      </c>
      <c r="M926" s="11" t="s">
        <v>7127</v>
      </c>
      <c r="N926" s="10">
        <v>0.5</v>
      </c>
      <c r="O926" s="11">
        <v>395.12</v>
      </c>
      <c r="P926" s="10">
        <v>0.5792</v>
      </c>
      <c r="Q926" s="10">
        <v>0.1646</v>
      </c>
      <c r="R926" s="10">
        <v>0.6152</v>
      </c>
      <c r="S926" s="10">
        <v>0.1952</v>
      </c>
      <c r="T926" s="8">
        <f>IF(and(ISNUMBER(D926), isnumber(E926)), 1, 0) + IF(and(ISNUMBER(F926), isnumber(G926)), 1, 0) + IF(and(ISNUMBER(H926), isnumber(I926)), 1, 0) + IF(and(ISNUMBER(J926), isnumber(K926)), 1, 0) + IF(and(ISNUMBER(L926), isnumber(M926)), 1, 0) + IF(and(ISNUMBER(N926), isnumber(O926)), 1, 0)</f>
      </c>
      <c r="U926" s="8">
        <f>IF(and(ISNUMBER(P926), isnumber(Q926)), 1, 0) + IF(and(ISNUMBER(R926), isnumber(S926)), 1, 0)</f>
      </c>
      <c r="V926" s="13"/>
      <c r="W926" s="13"/>
      <c r="X926" s="16"/>
    </row>
    <row x14ac:dyDescent="0.25" r="927" customHeight="1" ht="15.75">
      <c r="A927" s="8">
        <v>25773</v>
      </c>
      <c r="B927" s="13" t="s">
        <v>198</v>
      </c>
      <c r="C927" s="13" t="s">
        <v>6619</v>
      </c>
      <c r="D927" s="10">
        <v>0.984</v>
      </c>
      <c r="E927" s="11">
        <v>190.87</v>
      </c>
      <c r="F927" s="10">
        <v>0.9786</v>
      </c>
      <c r="G927" s="11">
        <v>293.48</v>
      </c>
      <c r="H927" s="10">
        <v>0.9947</v>
      </c>
      <c r="I927" s="11">
        <v>331.01</v>
      </c>
      <c r="J927" s="10">
        <v>0.9947</v>
      </c>
      <c r="K927" s="11">
        <v>257.75</v>
      </c>
      <c r="L927" s="10">
        <v>1</v>
      </c>
      <c r="M927" s="11">
        <v>326.95</v>
      </c>
      <c r="N927" s="10">
        <v>1</v>
      </c>
      <c r="O927" s="11">
        <v>302.95</v>
      </c>
      <c r="P927" s="10">
        <v>0.984</v>
      </c>
      <c r="Q927" s="10">
        <v>0.2119</v>
      </c>
      <c r="R927" s="10">
        <v>0.9947</v>
      </c>
      <c r="S927" s="10">
        <v>0.1649</v>
      </c>
      <c r="T927" s="8">
        <f>IF(and(ISNUMBER(D927), isnumber(E927)), 1, 0) + IF(and(ISNUMBER(F927), isnumber(G927)), 1, 0) + IF(and(ISNUMBER(H927), isnumber(I927)), 1, 0) + IF(and(ISNUMBER(J927), isnumber(K927)), 1, 0) + IF(and(ISNUMBER(L927), isnumber(M927)), 1, 0) + IF(and(ISNUMBER(N927), isnumber(O927)), 1, 0)</f>
      </c>
      <c r="U927" s="8">
        <f>IF(and(ISNUMBER(P927), isnumber(Q927)), 1, 0) + IF(and(ISNUMBER(R927), isnumber(S927)), 1, 0)</f>
      </c>
      <c r="V927" s="13"/>
      <c r="W927" s="13"/>
      <c r="X927" s="16"/>
    </row>
    <row x14ac:dyDescent="0.25" r="928" customHeight="1" ht="15.75">
      <c r="A928" s="8">
        <v>25791</v>
      </c>
      <c r="B928" s="13" t="s">
        <v>198</v>
      </c>
      <c r="C928" s="13" t="s">
        <v>6622</v>
      </c>
      <c r="D928" s="10">
        <v>0.9805</v>
      </c>
      <c r="E928" s="11">
        <v>262.42</v>
      </c>
      <c r="F928" s="10">
        <v>0.7018</v>
      </c>
      <c r="G928" s="11" t="s">
        <v>7127</v>
      </c>
      <c r="H928" s="10">
        <v>0.8023</v>
      </c>
      <c r="I928" s="11">
        <v>476.83</v>
      </c>
      <c r="J928" s="10">
        <v>0.6279</v>
      </c>
      <c r="K928" s="11">
        <v>412.67</v>
      </c>
      <c r="L928" s="10">
        <v>0.5665</v>
      </c>
      <c r="M928" s="11">
        <v>488.27</v>
      </c>
      <c r="N928" s="10">
        <v>0.654</v>
      </c>
      <c r="O928" s="11">
        <v>477.44</v>
      </c>
      <c r="P928" s="10">
        <v>0.9805</v>
      </c>
      <c r="Q928" s="10">
        <v>0.2006</v>
      </c>
      <c r="R928" s="10">
        <v>0.6279</v>
      </c>
      <c r="S928" s="10">
        <v>0.2147</v>
      </c>
      <c r="T928" s="8">
        <f>IF(and(ISNUMBER(D928), isnumber(E928)), 1, 0) + IF(and(ISNUMBER(F928), isnumber(G928)), 1, 0) + IF(and(ISNUMBER(H928), isnumber(I928)), 1, 0) + IF(and(ISNUMBER(J928), isnumber(K928)), 1, 0) + IF(and(ISNUMBER(L928), isnumber(M928)), 1, 0) + IF(and(ISNUMBER(N928), isnumber(O928)), 1, 0)</f>
      </c>
      <c r="U928" s="8">
        <f>IF(and(ISNUMBER(P928), isnumber(Q928)), 1, 0) + IF(and(ISNUMBER(R928), isnumber(S928)), 1, 0)</f>
      </c>
      <c r="V928" s="13"/>
      <c r="W928" s="13"/>
      <c r="X928" s="16"/>
    </row>
    <row x14ac:dyDescent="0.25" r="929" customHeight="1" ht="15.75">
      <c r="A929" s="8">
        <v>25792</v>
      </c>
      <c r="B929" s="13" t="s">
        <v>198</v>
      </c>
      <c r="C929" s="13" t="s">
        <v>6624</v>
      </c>
      <c r="D929" s="10">
        <v>0.9318</v>
      </c>
      <c r="E929" s="11">
        <v>305.37</v>
      </c>
      <c r="F929" s="10">
        <v>0.75</v>
      </c>
      <c r="G929" s="11">
        <v>421.88</v>
      </c>
      <c r="H929" s="10">
        <v>0.7727</v>
      </c>
      <c r="I929" s="11">
        <v>465.88</v>
      </c>
      <c r="J929" s="10">
        <v>0.8523</v>
      </c>
      <c r="K929" s="11">
        <v>398.31</v>
      </c>
      <c r="L929" s="10">
        <v>0.6818</v>
      </c>
      <c r="M929" s="11">
        <v>430</v>
      </c>
      <c r="N929" s="10">
        <v>0.7614</v>
      </c>
      <c r="O929" s="11">
        <v>432.84</v>
      </c>
      <c r="P929" s="10">
        <v>0.9318</v>
      </c>
      <c r="Q929" s="10">
        <v>0.2339</v>
      </c>
      <c r="R929" s="10">
        <v>0.8523</v>
      </c>
      <c r="S929" s="10">
        <v>0.2218</v>
      </c>
      <c r="T929" s="8">
        <f>IF(and(ISNUMBER(D929), isnumber(E929)), 1, 0) + IF(and(ISNUMBER(F929), isnumber(G929)), 1, 0) + IF(and(ISNUMBER(H929), isnumber(I929)), 1, 0) + IF(and(ISNUMBER(J929), isnumber(K929)), 1, 0) + IF(and(ISNUMBER(L929), isnumber(M929)), 1, 0) + IF(and(ISNUMBER(N929), isnumber(O929)), 1, 0)</f>
      </c>
      <c r="U929" s="8">
        <f>IF(and(ISNUMBER(P929), isnumber(Q929)), 1, 0) + IF(and(ISNUMBER(R929), isnumber(S929)), 1, 0)</f>
      </c>
      <c r="V929" s="13"/>
      <c r="W929" s="13"/>
      <c r="X929" s="16"/>
    </row>
    <row x14ac:dyDescent="0.25" r="930" customHeight="1" ht="15.75">
      <c r="A930" s="8">
        <v>25801</v>
      </c>
      <c r="B930" s="13" t="s">
        <v>198</v>
      </c>
      <c r="C930" s="13" t="s">
        <v>6626</v>
      </c>
      <c r="D930" s="10">
        <v>1</v>
      </c>
      <c r="E930" s="11">
        <v>182.58</v>
      </c>
      <c r="F930" s="10">
        <v>0.8548</v>
      </c>
      <c r="G930" s="11">
        <v>404.8</v>
      </c>
      <c r="H930" s="10">
        <v>0.7742</v>
      </c>
      <c r="I930" s="11">
        <v>536.52</v>
      </c>
      <c r="J930" s="10">
        <v>0.8226</v>
      </c>
      <c r="K930" s="11">
        <v>442.45</v>
      </c>
      <c r="L930" s="10">
        <v>0.8065</v>
      </c>
      <c r="M930" s="11">
        <v>489.57</v>
      </c>
      <c r="N930" s="10">
        <v>0.8065</v>
      </c>
      <c r="O930" s="11">
        <v>476</v>
      </c>
      <c r="P930" s="10">
        <v>1</v>
      </c>
      <c r="Q930" s="10">
        <v>0.2248</v>
      </c>
      <c r="R930" s="10">
        <v>0.8226</v>
      </c>
      <c r="S930" s="10">
        <v>0.2806</v>
      </c>
      <c r="T930" s="8">
        <f>IF(and(ISNUMBER(D930), isnumber(E930)), 1, 0) + IF(and(ISNUMBER(F930), isnumber(G930)), 1, 0) + IF(and(ISNUMBER(H930), isnumber(I930)), 1, 0) + IF(and(ISNUMBER(J930), isnumber(K930)), 1, 0) + IF(and(ISNUMBER(L930), isnumber(M930)), 1, 0) + IF(and(ISNUMBER(N930), isnumber(O930)), 1, 0)</f>
      </c>
      <c r="U930" s="8">
        <f>IF(and(ISNUMBER(P930), isnumber(Q930)), 1, 0) + IF(and(ISNUMBER(R930), isnumber(S930)), 1, 0)</f>
      </c>
      <c r="V930" s="13"/>
      <c r="W930" s="13"/>
      <c r="X930" s="16"/>
    </row>
    <row x14ac:dyDescent="0.25" r="931" customHeight="1" ht="15.75">
      <c r="A931" s="8">
        <v>25793</v>
      </c>
      <c r="B931" s="13" t="s">
        <v>198</v>
      </c>
      <c r="C931" s="13" t="s">
        <v>6627</v>
      </c>
      <c r="D931" s="10">
        <v>0.7634</v>
      </c>
      <c r="E931" s="11">
        <v>273.35</v>
      </c>
      <c r="F931" s="10">
        <v>0.7004</v>
      </c>
      <c r="G931" s="11">
        <v>422.62</v>
      </c>
      <c r="H931" s="10">
        <v>0.5944</v>
      </c>
      <c r="I931" s="11">
        <v>454.33</v>
      </c>
      <c r="J931" s="10">
        <v>0.6076</v>
      </c>
      <c r="K931" s="11">
        <v>366.67</v>
      </c>
      <c r="L931" s="10">
        <v>0.6026</v>
      </c>
      <c r="M931" s="11">
        <v>448.85</v>
      </c>
      <c r="N931" s="10">
        <v>0.5829</v>
      </c>
      <c r="O931" s="11">
        <v>461.02</v>
      </c>
      <c r="P931" s="10">
        <v>0.7634</v>
      </c>
      <c r="Q931" s="10">
        <v>0.2287</v>
      </c>
      <c r="R931" s="10">
        <v>0.6076</v>
      </c>
      <c r="S931" s="10">
        <v>0.2212</v>
      </c>
      <c r="T931" s="8">
        <f>IF(and(ISNUMBER(D931), isnumber(E931)), 1, 0) + IF(and(ISNUMBER(F931), isnumber(G931)), 1, 0) + IF(and(ISNUMBER(H931), isnumber(I931)), 1, 0) + IF(and(ISNUMBER(J931), isnumber(K931)), 1, 0) + IF(and(ISNUMBER(L931), isnumber(M931)), 1, 0) + IF(and(ISNUMBER(N931), isnumber(O931)), 1, 0)</f>
      </c>
      <c r="U931" s="8">
        <f>IF(and(ISNUMBER(P931), isnumber(Q931)), 1, 0) + IF(and(ISNUMBER(R931), isnumber(S931)), 1, 0)</f>
      </c>
      <c r="V931" s="13"/>
      <c r="W931" s="13"/>
      <c r="X931" s="16"/>
    </row>
    <row x14ac:dyDescent="0.25" r="932" customHeight="1" ht="15.75">
      <c r="A932" s="8">
        <v>25774</v>
      </c>
      <c r="B932" s="13" t="s">
        <v>198</v>
      </c>
      <c r="C932" s="13" t="s">
        <v>6631</v>
      </c>
      <c r="D932" s="10">
        <v>0.9888</v>
      </c>
      <c r="E932" s="11">
        <v>237.36</v>
      </c>
      <c r="F932" s="10">
        <v>0.7207</v>
      </c>
      <c r="G932" s="11">
        <v>421.33</v>
      </c>
      <c r="H932" s="10">
        <v>0.6622</v>
      </c>
      <c r="I932" s="11">
        <v>466.56</v>
      </c>
      <c r="J932" s="10">
        <v>0.7564</v>
      </c>
      <c r="K932" s="11">
        <v>359.95</v>
      </c>
      <c r="L932" s="10">
        <v>0.6166</v>
      </c>
      <c r="M932" s="11">
        <v>462.43</v>
      </c>
      <c r="N932" s="10">
        <v>0.6193</v>
      </c>
      <c r="O932" s="11">
        <v>456.45</v>
      </c>
      <c r="P932" s="10">
        <v>0.9888</v>
      </c>
      <c r="Q932" s="10">
        <v>0.2064</v>
      </c>
      <c r="R932" s="10">
        <v>0.7564</v>
      </c>
      <c r="S932" s="10">
        <v>0.2143</v>
      </c>
      <c r="T932" s="8">
        <f>IF(and(ISNUMBER(D932), isnumber(E932)), 1, 0) + IF(and(ISNUMBER(F932), isnumber(G932)), 1, 0) + IF(and(ISNUMBER(H932), isnumber(I932)), 1, 0) + IF(and(ISNUMBER(J932), isnumber(K932)), 1, 0) + IF(and(ISNUMBER(L932), isnumber(M932)), 1, 0) + IF(and(ISNUMBER(N932), isnumber(O932)), 1, 0)</f>
      </c>
      <c r="U932" s="8">
        <f>IF(and(ISNUMBER(P932), isnumber(Q932)), 1, 0) + IF(and(ISNUMBER(R932), isnumber(S932)), 1, 0)</f>
      </c>
      <c r="V932" s="13"/>
      <c r="W932" s="13"/>
      <c r="X932" s="16"/>
    </row>
    <row x14ac:dyDescent="0.25" r="933" customHeight="1" ht="15.75">
      <c r="A933" s="8">
        <v>25753</v>
      </c>
      <c r="B933" s="13" t="s">
        <v>198</v>
      </c>
      <c r="C933" s="13" t="s">
        <v>6633</v>
      </c>
      <c r="D933" s="10">
        <v>0.9517</v>
      </c>
      <c r="E933" s="11">
        <v>291.66</v>
      </c>
      <c r="F933" s="10">
        <v>0.7172</v>
      </c>
      <c r="G933" s="11">
        <v>477.69</v>
      </c>
      <c r="H933" s="10">
        <v>0.6037</v>
      </c>
      <c r="I933" s="11">
        <v>449.42</v>
      </c>
      <c r="J933" s="10">
        <v>0.8525</v>
      </c>
      <c r="K933" s="11">
        <v>437.87</v>
      </c>
      <c r="L933" s="10">
        <v>0.6037</v>
      </c>
      <c r="M933" s="11">
        <v>502.62</v>
      </c>
      <c r="N933" s="10">
        <v>0.5244</v>
      </c>
      <c r="O933" s="11">
        <v>476.27</v>
      </c>
      <c r="P933" s="10">
        <v>0.9517</v>
      </c>
      <c r="Q933" s="10">
        <v>0.2206</v>
      </c>
      <c r="R933" s="10">
        <v>0.8525</v>
      </c>
      <c r="S933" s="10">
        <v>0.2102</v>
      </c>
      <c r="T933" s="8">
        <f>IF(and(ISNUMBER(D933), isnumber(E933)), 1, 0) + IF(and(ISNUMBER(F933), isnumber(G933)), 1, 0) + IF(and(ISNUMBER(H933), isnumber(I933)), 1, 0) + IF(and(ISNUMBER(J933), isnumber(K933)), 1, 0) + IF(and(ISNUMBER(L933), isnumber(M933)), 1, 0) + IF(and(ISNUMBER(N933), isnumber(O933)), 1, 0)</f>
      </c>
      <c r="U933" s="8">
        <f>IF(and(ISNUMBER(P933), isnumber(Q933)), 1, 0) + IF(and(ISNUMBER(R933), isnumber(S933)), 1, 0)</f>
      </c>
      <c r="V933" s="13"/>
      <c r="W933" s="13"/>
      <c r="X933" s="16"/>
    </row>
    <row x14ac:dyDescent="0.25" r="934" customHeight="1" ht="15.75">
      <c r="A934" s="8">
        <v>25754</v>
      </c>
      <c r="B934" s="13" t="s">
        <v>198</v>
      </c>
      <c r="C934" s="13" t="s">
        <v>6635</v>
      </c>
      <c r="D934" s="10">
        <v>0.9815</v>
      </c>
      <c r="E934" s="11" t="s">
        <v>7127</v>
      </c>
      <c r="F934" s="10">
        <v>0.6826</v>
      </c>
      <c r="G934" s="11" t="s">
        <v>7127</v>
      </c>
      <c r="H934" s="10">
        <v>0.8119</v>
      </c>
      <c r="I934" s="11">
        <v>433.45</v>
      </c>
      <c r="J934" s="10">
        <v>0.8046</v>
      </c>
      <c r="K934" s="11">
        <v>325.32</v>
      </c>
      <c r="L934" s="10">
        <v>0.7858</v>
      </c>
      <c r="M934" s="11">
        <v>427.24</v>
      </c>
      <c r="N934" s="10">
        <v>0.8133</v>
      </c>
      <c r="O934" s="11">
        <v>446.88</v>
      </c>
      <c r="P934" s="10">
        <v>0.9815</v>
      </c>
      <c r="Q934" s="10">
        <v>0.1766</v>
      </c>
      <c r="R934" s="10">
        <v>0.8046</v>
      </c>
      <c r="S934" s="10">
        <v>0.2058</v>
      </c>
      <c r="T934" s="8">
        <f>IF(and(ISNUMBER(D934), isnumber(E934)), 1, 0) + IF(and(ISNUMBER(F934), isnumber(G934)), 1, 0) + IF(and(ISNUMBER(H934), isnumber(I934)), 1, 0) + IF(and(ISNUMBER(J934), isnumber(K934)), 1, 0) + IF(and(ISNUMBER(L934), isnumber(M934)), 1, 0) + IF(and(ISNUMBER(N934), isnumber(O934)), 1, 0)</f>
      </c>
      <c r="U934" s="8">
        <f>IF(and(ISNUMBER(P934), isnumber(Q934)), 1, 0) + IF(and(ISNUMBER(R934), isnumber(S934)), 1, 0)</f>
      </c>
      <c r="V934" s="13"/>
      <c r="W934" s="13"/>
      <c r="X934" s="16"/>
    </row>
    <row x14ac:dyDescent="0.25" r="935" customHeight="1" ht="15.75">
      <c r="A935" s="8">
        <v>25794</v>
      </c>
      <c r="B935" s="13" t="s">
        <v>198</v>
      </c>
      <c r="C935" s="13" t="s">
        <v>6302</v>
      </c>
      <c r="D935" s="10">
        <v>0.9943</v>
      </c>
      <c r="E935" s="11">
        <v>253.1</v>
      </c>
      <c r="F935" s="10">
        <v>0.6857</v>
      </c>
      <c r="G935" s="11">
        <v>376.75</v>
      </c>
      <c r="H935" s="10">
        <v>0.7943</v>
      </c>
      <c r="I935" s="11">
        <v>468.7</v>
      </c>
      <c r="J935" s="10">
        <v>0.6971</v>
      </c>
      <c r="K935" s="11">
        <v>366.96</v>
      </c>
      <c r="L935" s="10">
        <v>0.8</v>
      </c>
      <c r="M935" s="11">
        <v>448.57</v>
      </c>
      <c r="N935" s="10">
        <v>0.7657</v>
      </c>
      <c r="O935" s="11">
        <v>449.85</v>
      </c>
      <c r="P935" s="10">
        <v>0.9943</v>
      </c>
      <c r="Q935" s="10">
        <v>0.238</v>
      </c>
      <c r="R935" s="10">
        <v>0.6971</v>
      </c>
      <c r="S935" s="10">
        <v>0.2038</v>
      </c>
      <c r="T935" s="8">
        <f>IF(and(ISNUMBER(D935), isnumber(E935)), 1, 0) + IF(and(ISNUMBER(F935), isnumber(G935)), 1, 0) + IF(and(ISNUMBER(H935), isnumber(I935)), 1, 0) + IF(and(ISNUMBER(J935), isnumber(K935)), 1, 0) + IF(and(ISNUMBER(L935), isnumber(M935)), 1, 0) + IF(and(ISNUMBER(N935), isnumber(O935)), 1, 0)</f>
      </c>
      <c r="U935" s="8">
        <f>IF(and(ISNUMBER(P935), isnumber(Q935)), 1, 0) + IF(and(ISNUMBER(R935), isnumber(S935)), 1, 0)</f>
      </c>
      <c r="V935" s="13"/>
      <c r="W935" s="13"/>
      <c r="X935" s="16"/>
    </row>
    <row x14ac:dyDescent="0.25" r="936" customHeight="1" ht="15.75">
      <c r="A936" s="8">
        <v>25746</v>
      </c>
      <c r="B936" s="13" t="s">
        <v>198</v>
      </c>
      <c r="C936" s="13" t="s">
        <v>6639</v>
      </c>
      <c r="D936" s="10">
        <v>0.9841</v>
      </c>
      <c r="E936" s="11">
        <v>239.52</v>
      </c>
      <c r="F936" s="10">
        <v>0.5657</v>
      </c>
      <c r="G936" s="11">
        <v>430.76</v>
      </c>
      <c r="H936" s="10">
        <v>0.7027</v>
      </c>
      <c r="I936" s="11">
        <v>469.5</v>
      </c>
      <c r="J936" s="10">
        <v>0.592</v>
      </c>
      <c r="K936" s="11">
        <v>335.88</v>
      </c>
      <c r="L936" s="10">
        <v>0.6448</v>
      </c>
      <c r="M936" s="11">
        <v>441.44</v>
      </c>
      <c r="N936" s="10">
        <v>0.6834</v>
      </c>
      <c r="O936" s="11" t="s">
        <v>7127</v>
      </c>
      <c r="P936" s="10">
        <v>0.9841</v>
      </c>
      <c r="Q936" s="10">
        <v>0.2028</v>
      </c>
      <c r="R936" s="10">
        <v>0.592</v>
      </c>
      <c r="S936" s="10">
        <v>0.2411</v>
      </c>
      <c r="T936" s="8">
        <f>IF(and(ISNUMBER(D936), isnumber(E936)), 1, 0) + IF(and(ISNUMBER(F936), isnumber(G936)), 1, 0) + IF(and(ISNUMBER(H936), isnumber(I936)), 1, 0) + IF(and(ISNUMBER(J936), isnumber(K936)), 1, 0) + IF(and(ISNUMBER(L936), isnumber(M936)), 1, 0) + IF(and(ISNUMBER(N936), isnumber(O936)), 1, 0)</f>
      </c>
      <c r="U936" s="8">
        <f>IF(and(ISNUMBER(P936), isnumber(Q936)), 1, 0) + IF(and(ISNUMBER(R936), isnumber(S936)), 1, 0)</f>
      </c>
      <c r="V936" s="13"/>
      <c r="W936" s="13"/>
      <c r="X936" s="16"/>
    </row>
    <row x14ac:dyDescent="0.25" r="937" customHeight="1" ht="15.75">
      <c r="A937" s="8">
        <v>25755</v>
      </c>
      <c r="B937" s="13" t="s">
        <v>198</v>
      </c>
      <c r="C937" s="13" t="s">
        <v>6641</v>
      </c>
      <c r="D937" s="10">
        <v>0.9728</v>
      </c>
      <c r="E937" s="11">
        <v>189.79</v>
      </c>
      <c r="F937" s="10">
        <v>0.6293</v>
      </c>
      <c r="G937" s="11">
        <v>383.94</v>
      </c>
      <c r="H937" s="10">
        <v>0.5494</v>
      </c>
      <c r="I937" s="11">
        <v>408.01</v>
      </c>
      <c r="J937" s="10">
        <v>0.6736</v>
      </c>
      <c r="K937" s="11">
        <v>323.99</v>
      </c>
      <c r="L937" s="10">
        <v>0.5349</v>
      </c>
      <c r="M937" s="11">
        <v>396.39</v>
      </c>
      <c r="N937" s="10">
        <v>0.3372</v>
      </c>
      <c r="O937" s="11">
        <v>440.04</v>
      </c>
      <c r="P937" s="10">
        <v>0.9728</v>
      </c>
      <c r="Q937" s="10">
        <v>0.1808</v>
      </c>
      <c r="R937" s="10">
        <v>0.6736</v>
      </c>
      <c r="S937" s="10">
        <v>0.2085</v>
      </c>
      <c r="T937" s="8">
        <f>IF(and(ISNUMBER(D937), isnumber(E937)), 1, 0) + IF(and(ISNUMBER(F937), isnumber(G937)), 1, 0) + IF(and(ISNUMBER(H937), isnumber(I937)), 1, 0) + IF(and(ISNUMBER(J937), isnumber(K937)), 1, 0) + IF(and(ISNUMBER(L937), isnumber(M937)), 1, 0) + IF(and(ISNUMBER(N937), isnumber(O937)), 1, 0)</f>
      </c>
      <c r="U937" s="8">
        <f>IF(and(ISNUMBER(P937), isnumber(Q937)), 1, 0) + IF(and(ISNUMBER(R937), isnumber(S937)), 1, 0)</f>
      </c>
      <c r="V937" s="13"/>
      <c r="W937" s="13"/>
      <c r="X937" s="16"/>
    </row>
    <row x14ac:dyDescent="0.25" r="938" customHeight="1" ht="15.75">
      <c r="A938" s="8">
        <v>25783</v>
      </c>
      <c r="B938" s="13" t="s">
        <v>198</v>
      </c>
      <c r="C938" s="13" t="s">
        <v>6643</v>
      </c>
      <c r="D938" s="10">
        <v>0.9851</v>
      </c>
      <c r="E938" s="11">
        <v>416.43</v>
      </c>
      <c r="F938" s="10">
        <v>0.7761</v>
      </c>
      <c r="G938" s="11">
        <v>510.77</v>
      </c>
      <c r="H938" s="10">
        <v>0.7836</v>
      </c>
      <c r="I938" s="11">
        <v>548.19</v>
      </c>
      <c r="J938" s="10">
        <v>0.7537</v>
      </c>
      <c r="K938" s="11">
        <v>491.96</v>
      </c>
      <c r="L938" s="10">
        <v>0.7313</v>
      </c>
      <c r="M938" s="11">
        <v>590.61</v>
      </c>
      <c r="N938" s="10">
        <v>0.5896</v>
      </c>
      <c r="O938" s="11">
        <v>533.16</v>
      </c>
      <c r="P938" s="10">
        <v>0.9851</v>
      </c>
      <c r="Q938" s="10">
        <v>0.2861</v>
      </c>
      <c r="R938" s="10">
        <v>0.7537</v>
      </c>
      <c r="S938" s="10">
        <v>0.2396</v>
      </c>
      <c r="T938" s="8">
        <f>IF(and(ISNUMBER(D938), isnumber(E938)), 1, 0) + IF(and(ISNUMBER(F938), isnumber(G938)), 1, 0) + IF(and(ISNUMBER(H938), isnumber(I938)), 1, 0) + IF(and(ISNUMBER(J938), isnumber(K938)), 1, 0) + IF(and(ISNUMBER(L938), isnumber(M938)), 1, 0) + IF(and(ISNUMBER(N938), isnumber(O938)), 1, 0)</f>
      </c>
      <c r="U938" s="8">
        <f>IF(and(ISNUMBER(P938), isnumber(Q938)), 1, 0) + IF(and(ISNUMBER(R938), isnumber(S938)), 1, 0)</f>
      </c>
      <c r="V938" s="13"/>
      <c r="W938" s="13"/>
      <c r="X938" s="16"/>
    </row>
    <row x14ac:dyDescent="0.25" r="939" customHeight="1" ht="15.75">
      <c r="A939" s="8">
        <v>25802</v>
      </c>
      <c r="B939" s="13" t="s">
        <v>198</v>
      </c>
      <c r="C939" s="13" t="s">
        <v>5405</v>
      </c>
      <c r="D939" s="10">
        <v>0.7072</v>
      </c>
      <c r="E939" s="11">
        <v>173.33</v>
      </c>
      <c r="F939" s="10">
        <v>0.3423</v>
      </c>
      <c r="G939" s="11" t="s">
        <v>7127</v>
      </c>
      <c r="H939" s="10">
        <v>0.3902</v>
      </c>
      <c r="I939" s="11">
        <v>426.41</v>
      </c>
      <c r="J939" s="10">
        <v>0.4721</v>
      </c>
      <c r="K939" s="11">
        <v>251.64</v>
      </c>
      <c r="L939" s="10">
        <v>0.4091</v>
      </c>
      <c r="M939" s="11">
        <v>428.74</v>
      </c>
      <c r="N939" s="10">
        <v>0.3712</v>
      </c>
      <c r="O939" s="11">
        <v>507.35</v>
      </c>
      <c r="P939" s="10">
        <v>0.7072</v>
      </c>
      <c r="Q939" s="10">
        <v>0.1661</v>
      </c>
      <c r="R939" s="10">
        <v>0.4721</v>
      </c>
      <c r="S939" s="10">
        <v>0.229</v>
      </c>
      <c r="T939" s="8">
        <f>IF(and(ISNUMBER(D939), isnumber(E939)), 1, 0) + IF(and(ISNUMBER(F939), isnumber(G939)), 1, 0) + IF(and(ISNUMBER(H939), isnumber(I939)), 1, 0) + IF(and(ISNUMBER(J939), isnumber(K939)), 1, 0) + IF(and(ISNUMBER(L939), isnumber(M939)), 1, 0) + IF(and(ISNUMBER(N939), isnumber(O939)), 1, 0)</f>
      </c>
      <c r="U939" s="8">
        <f>IF(and(ISNUMBER(P939), isnumber(Q939)), 1, 0) + IF(and(ISNUMBER(R939), isnumber(S939)), 1, 0)</f>
      </c>
      <c r="V939" s="13"/>
      <c r="W939" s="13"/>
      <c r="X939" s="16"/>
    </row>
    <row x14ac:dyDescent="0.25" r="940" customHeight="1" ht="15.75">
      <c r="A940" s="8">
        <v>25756</v>
      </c>
      <c r="B940" s="13" t="s">
        <v>198</v>
      </c>
      <c r="C940" s="13" t="s">
        <v>6650</v>
      </c>
      <c r="D940" s="10">
        <v>0.9609</v>
      </c>
      <c r="E940" s="11">
        <v>224.54</v>
      </c>
      <c r="F940" s="10">
        <v>0.7622</v>
      </c>
      <c r="G940" s="11">
        <v>451.26</v>
      </c>
      <c r="H940" s="10">
        <v>0.7297</v>
      </c>
      <c r="I940" s="11">
        <v>505.12</v>
      </c>
      <c r="J940" s="10">
        <v>0.7748</v>
      </c>
      <c r="K940" s="11">
        <v>386.17</v>
      </c>
      <c r="L940" s="10">
        <v>0.7868</v>
      </c>
      <c r="M940" s="11">
        <v>507.28</v>
      </c>
      <c r="N940" s="10">
        <v>0.7538</v>
      </c>
      <c r="O940" s="11">
        <v>523.4</v>
      </c>
      <c r="P940" s="10">
        <v>0.9609</v>
      </c>
      <c r="Q940" s="10">
        <v>0.2109</v>
      </c>
      <c r="R940" s="10">
        <v>0.7748</v>
      </c>
      <c r="S940" s="10">
        <v>0.2117</v>
      </c>
      <c r="T940" s="8">
        <f>IF(and(ISNUMBER(D940), isnumber(E940)), 1, 0) + IF(and(ISNUMBER(F940), isnumber(G940)), 1, 0) + IF(and(ISNUMBER(H940), isnumber(I940)), 1, 0) + IF(and(ISNUMBER(J940), isnumber(K940)), 1, 0) + IF(and(ISNUMBER(L940), isnumber(M940)), 1, 0) + IF(and(ISNUMBER(N940), isnumber(O940)), 1, 0)</f>
      </c>
      <c r="U940" s="8">
        <f>IF(and(ISNUMBER(P940), isnumber(Q940)), 1, 0) + IF(and(ISNUMBER(R940), isnumber(S940)), 1, 0)</f>
      </c>
      <c r="V940" s="13"/>
      <c r="W940" s="13"/>
      <c r="X940" s="16"/>
    </row>
    <row x14ac:dyDescent="0.25" r="941" customHeight="1" ht="15.75">
      <c r="A941" s="8">
        <v>25784</v>
      </c>
      <c r="B941" s="13" t="s">
        <v>198</v>
      </c>
      <c r="C941" s="13" t="s">
        <v>6653</v>
      </c>
      <c r="D941" s="10">
        <v>1</v>
      </c>
      <c r="E941" s="11">
        <v>322.35</v>
      </c>
      <c r="F941" s="10">
        <v>1</v>
      </c>
      <c r="G941" s="11">
        <v>310.59</v>
      </c>
      <c r="H941" s="10">
        <v>0.8824</v>
      </c>
      <c r="I941" s="11">
        <v>436</v>
      </c>
      <c r="J941" s="10">
        <v>0.9118</v>
      </c>
      <c r="K941" s="11">
        <v>322.58</v>
      </c>
      <c r="L941" s="10">
        <v>0.8529</v>
      </c>
      <c r="M941" s="11">
        <v>339.31</v>
      </c>
      <c r="N941" s="10">
        <v>0.8529</v>
      </c>
      <c r="O941" s="11">
        <v>442.76</v>
      </c>
      <c r="P941" s="10">
        <v>1</v>
      </c>
      <c r="Q941" s="10">
        <v>0.2538</v>
      </c>
      <c r="R941" s="10">
        <v>0.9118</v>
      </c>
      <c r="S941" s="10">
        <v>0.2201</v>
      </c>
      <c r="T941" s="8">
        <f>IF(and(ISNUMBER(D941), isnumber(E941)), 1, 0) + IF(and(ISNUMBER(F941), isnumber(G941)), 1, 0) + IF(and(ISNUMBER(H941), isnumber(I941)), 1, 0) + IF(and(ISNUMBER(J941), isnumber(K941)), 1, 0) + IF(and(ISNUMBER(L941), isnumber(M941)), 1, 0) + IF(and(ISNUMBER(N941), isnumber(O941)), 1, 0)</f>
      </c>
      <c r="U941" s="8">
        <f>IF(and(ISNUMBER(P941), isnumber(Q941)), 1, 0) + IF(and(ISNUMBER(R941), isnumber(S941)), 1, 0)</f>
      </c>
      <c r="V941" s="13"/>
      <c r="W941" s="13"/>
      <c r="X941" s="16"/>
    </row>
    <row x14ac:dyDescent="0.25" r="942" customHeight="1" ht="15.75">
      <c r="A942" s="8">
        <v>25795</v>
      </c>
      <c r="B942" s="13" t="s">
        <v>198</v>
      </c>
      <c r="C942" s="13" t="s">
        <v>6654</v>
      </c>
      <c r="D942" s="10">
        <v>0.9633</v>
      </c>
      <c r="E942" s="11">
        <v>219.81</v>
      </c>
      <c r="F942" s="10">
        <v>0.5872</v>
      </c>
      <c r="G942" s="11">
        <v>425.16</v>
      </c>
      <c r="H942" s="10">
        <v>0.6514</v>
      </c>
      <c r="I942" s="11">
        <v>443.94</v>
      </c>
      <c r="J942" s="10">
        <v>0.7615</v>
      </c>
      <c r="K942" s="11">
        <v>364.44</v>
      </c>
      <c r="L942" s="10">
        <v>0.6789</v>
      </c>
      <c r="M942" s="11">
        <v>435.14</v>
      </c>
      <c r="N942" s="10">
        <v>0.4679</v>
      </c>
      <c r="O942" s="11">
        <v>456.47</v>
      </c>
      <c r="P942" s="10">
        <v>0.9633</v>
      </c>
      <c r="Q942" s="10">
        <v>0.2078</v>
      </c>
      <c r="R942" s="10">
        <v>0.7615</v>
      </c>
      <c r="S942" s="10">
        <v>0.2145</v>
      </c>
      <c r="T942" s="8">
        <f>IF(and(ISNUMBER(D942), isnumber(E942)), 1, 0) + IF(and(ISNUMBER(F942), isnumber(G942)), 1, 0) + IF(and(ISNUMBER(H942), isnumber(I942)), 1, 0) + IF(and(ISNUMBER(J942), isnumber(K942)), 1, 0) + IF(and(ISNUMBER(L942), isnumber(M942)), 1, 0) + IF(and(ISNUMBER(N942), isnumber(O942)), 1, 0)</f>
      </c>
      <c r="U942" s="8">
        <f>IF(and(ISNUMBER(P942), isnumber(Q942)), 1, 0) + IF(and(ISNUMBER(R942), isnumber(S942)), 1, 0)</f>
      </c>
      <c r="V942" s="13"/>
      <c r="W942" s="13"/>
      <c r="X942" s="16"/>
    </row>
    <row x14ac:dyDescent="0.25" r="943" customHeight="1" ht="15.75">
      <c r="A943" s="8">
        <v>25775</v>
      </c>
      <c r="B943" s="13" t="s">
        <v>198</v>
      </c>
      <c r="C943" s="13" t="s">
        <v>6657</v>
      </c>
      <c r="D943" s="10">
        <v>0.9082</v>
      </c>
      <c r="E943" s="11">
        <v>229.95</v>
      </c>
      <c r="F943" s="10">
        <v>0.7551</v>
      </c>
      <c r="G943" s="11">
        <v>388.74</v>
      </c>
      <c r="H943" s="10">
        <v>0.7898</v>
      </c>
      <c r="I943" s="11">
        <v>437.57</v>
      </c>
      <c r="J943" s="10">
        <v>0.6033</v>
      </c>
      <c r="K943" s="11">
        <v>317.71</v>
      </c>
      <c r="L943" s="10">
        <v>0.6967</v>
      </c>
      <c r="M943" s="11">
        <v>392.58</v>
      </c>
      <c r="N943" s="10">
        <v>0.5736</v>
      </c>
      <c r="O943" s="11" t="s">
        <v>7127</v>
      </c>
      <c r="P943" s="10">
        <v>0.9082</v>
      </c>
      <c r="Q943" s="10">
        <v>0.2019</v>
      </c>
      <c r="R943" s="10">
        <v>0.6033</v>
      </c>
      <c r="S943" s="10">
        <v>0.2064</v>
      </c>
      <c r="T943" s="8">
        <f>IF(and(ISNUMBER(D943), isnumber(E943)), 1, 0) + IF(and(ISNUMBER(F943), isnumber(G943)), 1, 0) + IF(and(ISNUMBER(H943), isnumber(I943)), 1, 0) + IF(and(ISNUMBER(J943), isnumber(K943)), 1, 0) + IF(and(ISNUMBER(L943), isnumber(M943)), 1, 0) + IF(and(ISNUMBER(N943), isnumber(O943)), 1, 0)</f>
      </c>
      <c r="U943" s="8">
        <f>IF(and(ISNUMBER(P943), isnumber(Q943)), 1, 0) + IF(and(ISNUMBER(R943), isnumber(S943)), 1, 0)</f>
      </c>
      <c r="V943" s="13"/>
      <c r="W943" s="13"/>
      <c r="X943" s="16"/>
    </row>
    <row x14ac:dyDescent="0.25" r="944" customHeight="1" ht="15.75">
      <c r="A944" s="8">
        <v>25757</v>
      </c>
      <c r="B944" s="13" t="s">
        <v>198</v>
      </c>
      <c r="C944" s="13" t="s">
        <v>6659</v>
      </c>
      <c r="D944" s="10">
        <v>0.9463</v>
      </c>
      <c r="E944" s="11">
        <v>189.33</v>
      </c>
      <c r="F944" s="10">
        <v>0.6706</v>
      </c>
      <c r="G944" s="11">
        <v>442.1</v>
      </c>
      <c r="H944" s="10">
        <v>0.5743</v>
      </c>
      <c r="I944" s="11">
        <v>497.48</v>
      </c>
      <c r="J944" s="10">
        <v>0.6762</v>
      </c>
      <c r="K944" s="11">
        <v>348.16</v>
      </c>
      <c r="L944" s="10">
        <v>0.5297</v>
      </c>
      <c r="M944" s="11">
        <v>561.16</v>
      </c>
      <c r="N944" s="10">
        <v>0.5257</v>
      </c>
      <c r="O944" s="11">
        <v>501.57</v>
      </c>
      <c r="P944" s="10">
        <v>0.9463</v>
      </c>
      <c r="Q944" s="10">
        <v>0.1824</v>
      </c>
      <c r="R944" s="10">
        <v>0.6762</v>
      </c>
      <c r="S944" s="10">
        <v>0.2096</v>
      </c>
      <c r="T944" s="8">
        <f>IF(and(ISNUMBER(D944), isnumber(E944)), 1, 0) + IF(and(ISNUMBER(F944), isnumber(G944)), 1, 0) + IF(and(ISNUMBER(H944), isnumber(I944)), 1, 0) + IF(and(ISNUMBER(J944), isnumber(K944)), 1, 0) + IF(and(ISNUMBER(L944), isnumber(M944)), 1, 0) + IF(and(ISNUMBER(N944), isnumber(O944)), 1, 0)</f>
      </c>
      <c r="U944" s="8">
        <f>IF(and(ISNUMBER(P944), isnumber(Q944)), 1, 0) + IF(and(ISNUMBER(R944), isnumber(S944)), 1, 0)</f>
      </c>
      <c r="V944" s="13"/>
      <c r="W944" s="13"/>
      <c r="X944" s="16"/>
    </row>
    <row x14ac:dyDescent="0.25" r="945" customHeight="1" ht="15.75">
      <c r="A945" s="8">
        <v>25803</v>
      </c>
      <c r="B945" s="13" t="s">
        <v>198</v>
      </c>
      <c r="C945" s="13" t="s">
        <v>6663</v>
      </c>
      <c r="D945" s="10">
        <v>0.9689</v>
      </c>
      <c r="E945" s="11">
        <v>242.06</v>
      </c>
      <c r="F945" s="10">
        <v>0.4845</v>
      </c>
      <c r="G945" s="11">
        <v>448.31</v>
      </c>
      <c r="H945" s="10">
        <v>0.7205</v>
      </c>
      <c r="I945" s="11">
        <v>444.6</v>
      </c>
      <c r="J945" s="10">
        <v>0.5217</v>
      </c>
      <c r="K945" s="11">
        <v>397.56</v>
      </c>
      <c r="L945" s="10">
        <v>0.6211</v>
      </c>
      <c r="M945" s="11">
        <v>364.85</v>
      </c>
      <c r="N945" s="10">
        <v>0.7081</v>
      </c>
      <c r="O945" s="11">
        <v>345.23</v>
      </c>
      <c r="P945" s="10">
        <v>0.9689</v>
      </c>
      <c r="Q945" s="10">
        <v>0.2101</v>
      </c>
      <c r="R945" s="10">
        <v>0.5217</v>
      </c>
      <c r="S945" s="10">
        <v>0.2139</v>
      </c>
      <c r="T945" s="8">
        <f>IF(and(ISNUMBER(D945), isnumber(E945)), 1, 0) + IF(and(ISNUMBER(F945), isnumber(G945)), 1, 0) + IF(and(ISNUMBER(H945), isnumber(I945)), 1, 0) + IF(and(ISNUMBER(J945), isnumber(K945)), 1, 0) + IF(and(ISNUMBER(L945), isnumber(M945)), 1, 0) + IF(and(ISNUMBER(N945), isnumber(O945)), 1, 0)</f>
      </c>
      <c r="U945" s="8">
        <f>IF(and(ISNUMBER(P945), isnumber(Q945)), 1, 0) + IF(and(ISNUMBER(R945), isnumber(S945)), 1, 0)</f>
      </c>
      <c r="V945" s="13"/>
      <c r="W945" s="13"/>
      <c r="X945" s="16"/>
    </row>
    <row x14ac:dyDescent="0.25" r="946" customHeight="1" ht="15.75">
      <c r="A946" s="8">
        <v>25758</v>
      </c>
      <c r="B946" s="13" t="s">
        <v>198</v>
      </c>
      <c r="C946" s="13" t="s">
        <v>6665</v>
      </c>
      <c r="D946" s="10">
        <v>0.9548</v>
      </c>
      <c r="E946" s="11">
        <v>318.15</v>
      </c>
      <c r="F946" s="10">
        <v>0.7458</v>
      </c>
      <c r="G946" s="11">
        <v>441.4</v>
      </c>
      <c r="H946" s="10">
        <v>0.7303</v>
      </c>
      <c r="I946" s="11">
        <v>488.9</v>
      </c>
      <c r="J946" s="10">
        <v>0.6052</v>
      </c>
      <c r="K946" s="11">
        <v>390.64</v>
      </c>
      <c r="L946" s="10">
        <v>0.6245</v>
      </c>
      <c r="M946" s="11">
        <v>494.16</v>
      </c>
      <c r="N946" s="10">
        <v>0.0013</v>
      </c>
      <c r="O946" s="11">
        <v>360</v>
      </c>
      <c r="P946" s="10">
        <v>0.9548</v>
      </c>
      <c r="Q946" s="10">
        <v>0.2151</v>
      </c>
      <c r="R946" s="10">
        <v>0.6052</v>
      </c>
      <c r="S946" s="10">
        <v>0.2081</v>
      </c>
      <c r="T946" s="8">
        <f>IF(and(ISNUMBER(D946), isnumber(E946)), 1, 0) + IF(and(ISNUMBER(F946), isnumber(G946)), 1, 0) + IF(and(ISNUMBER(H946), isnumber(I946)), 1, 0) + IF(and(ISNUMBER(J946), isnumber(K946)), 1, 0) + IF(and(ISNUMBER(L946), isnumber(M946)), 1, 0) + IF(and(ISNUMBER(N946), isnumber(O946)), 1, 0)</f>
      </c>
      <c r="U946" s="8">
        <f>IF(and(ISNUMBER(P946), isnumber(Q946)), 1, 0) + IF(and(ISNUMBER(R946), isnumber(S946)), 1, 0)</f>
      </c>
      <c r="V946" s="13"/>
      <c r="W946" s="13"/>
      <c r="X946" s="16"/>
    </row>
    <row x14ac:dyDescent="0.25" r="947" customHeight="1" ht="15.75">
      <c r="A947" s="8">
        <v>25750</v>
      </c>
      <c r="B947" s="13" t="s">
        <v>198</v>
      </c>
      <c r="C947" s="13" t="s">
        <v>6668</v>
      </c>
      <c r="D947" s="10">
        <v>0.9926</v>
      </c>
      <c r="E947" s="11">
        <v>208.04</v>
      </c>
      <c r="F947" s="10">
        <v>0.684</v>
      </c>
      <c r="G947" s="11">
        <v>357.85</v>
      </c>
      <c r="H947" s="10">
        <v>0.5563</v>
      </c>
      <c r="I947" s="11">
        <v>394.13</v>
      </c>
      <c r="J947" s="10">
        <v>0.7012</v>
      </c>
      <c r="K947" s="11">
        <v>340.66</v>
      </c>
      <c r="L947" s="10">
        <v>0.5688</v>
      </c>
      <c r="M947" s="11">
        <v>363.99</v>
      </c>
      <c r="N947" s="10">
        <v>0.5094</v>
      </c>
      <c r="O947" s="11" t="s">
        <v>7127</v>
      </c>
      <c r="P947" s="10">
        <v>0.9926</v>
      </c>
      <c r="Q947" s="10">
        <v>0.1894</v>
      </c>
      <c r="R947" s="10">
        <v>0.7012</v>
      </c>
      <c r="S947" s="10">
        <v>0.2071</v>
      </c>
      <c r="T947" s="8">
        <f>IF(and(ISNUMBER(D947), isnumber(E947)), 1, 0) + IF(and(ISNUMBER(F947), isnumber(G947)), 1, 0) + IF(and(ISNUMBER(H947), isnumber(I947)), 1, 0) + IF(and(ISNUMBER(J947), isnumber(K947)), 1, 0) + IF(and(ISNUMBER(L947), isnumber(M947)), 1, 0) + IF(and(ISNUMBER(N947), isnumber(O947)), 1, 0)</f>
      </c>
      <c r="U947" s="8">
        <f>IF(and(ISNUMBER(P947), isnumber(Q947)), 1, 0) + IF(and(ISNUMBER(R947), isnumber(S947)), 1, 0)</f>
      </c>
      <c r="V947" s="13"/>
      <c r="W947" s="13"/>
      <c r="X947" s="16"/>
    </row>
    <row x14ac:dyDescent="0.25" r="948" customHeight="1" ht="15.75">
      <c r="A948" s="8">
        <v>25785</v>
      </c>
      <c r="B948" s="13" t="s">
        <v>198</v>
      </c>
      <c r="C948" s="13" t="s">
        <v>6670</v>
      </c>
      <c r="D948" s="10">
        <v>0.9921</v>
      </c>
      <c r="E948" s="11">
        <v>362.24</v>
      </c>
      <c r="F948" s="10">
        <v>0.8254</v>
      </c>
      <c r="G948" s="11">
        <v>447.31</v>
      </c>
      <c r="H948" s="10">
        <v>0.8016</v>
      </c>
      <c r="I948" s="11">
        <v>444.75</v>
      </c>
      <c r="J948" s="10">
        <v>0.8651</v>
      </c>
      <c r="K948" s="11">
        <v>404.81</v>
      </c>
      <c r="L948" s="10">
        <v>0.8175</v>
      </c>
      <c r="M948" s="11">
        <v>452.67</v>
      </c>
      <c r="N948" s="10">
        <v>0.6746</v>
      </c>
      <c r="O948" s="11">
        <v>457.41</v>
      </c>
      <c r="P948" s="10">
        <v>0.9921</v>
      </c>
      <c r="Q948" s="10">
        <v>0.2746</v>
      </c>
      <c r="R948" s="10">
        <v>0.8651</v>
      </c>
      <c r="S948" s="10">
        <v>0.2268</v>
      </c>
      <c r="T948" s="8">
        <f>IF(and(ISNUMBER(D948), isnumber(E948)), 1, 0) + IF(and(ISNUMBER(F948), isnumber(G948)), 1, 0) + IF(and(ISNUMBER(H948), isnumber(I948)), 1, 0) + IF(and(ISNUMBER(J948), isnumber(K948)), 1, 0) + IF(and(ISNUMBER(L948), isnumber(M948)), 1, 0) + IF(and(ISNUMBER(N948), isnumber(O948)), 1, 0)</f>
      </c>
      <c r="U948" s="8">
        <f>IF(and(ISNUMBER(P948), isnumber(Q948)), 1, 0) + IF(and(ISNUMBER(R948), isnumber(S948)), 1, 0)</f>
      </c>
      <c r="V948" s="13"/>
      <c r="W948" s="13"/>
      <c r="X948" s="16"/>
    </row>
    <row x14ac:dyDescent="0.25" r="949" customHeight="1" ht="15.75">
      <c r="A949" s="8">
        <v>25759</v>
      </c>
      <c r="B949" s="13" t="s">
        <v>198</v>
      </c>
      <c r="C949" s="13" t="s">
        <v>6674</v>
      </c>
      <c r="D949" s="10">
        <v>0.9372</v>
      </c>
      <c r="E949" s="11">
        <v>312.65</v>
      </c>
      <c r="F949" s="10">
        <v>0.3865</v>
      </c>
      <c r="G949" s="11">
        <v>411</v>
      </c>
      <c r="H949" s="10">
        <v>0.6763</v>
      </c>
      <c r="I949" s="11">
        <v>405.47</v>
      </c>
      <c r="J949" s="10">
        <v>0.6522</v>
      </c>
      <c r="K949" s="11">
        <v>305.85</v>
      </c>
      <c r="L949" s="10">
        <v>0.7343</v>
      </c>
      <c r="M949" s="11">
        <v>484.53</v>
      </c>
      <c r="N949" s="10">
        <v>0.7488</v>
      </c>
      <c r="O949" s="11">
        <v>496.47</v>
      </c>
      <c r="P949" s="10">
        <v>0.9372</v>
      </c>
      <c r="Q949" s="10">
        <v>0.2075</v>
      </c>
      <c r="R949" s="10">
        <v>0.6522</v>
      </c>
      <c r="S949" s="10">
        <v>0.2065</v>
      </c>
      <c r="T949" s="8">
        <f>IF(and(ISNUMBER(D949), isnumber(E949)), 1, 0) + IF(and(ISNUMBER(F949), isnumber(G949)), 1, 0) + IF(and(ISNUMBER(H949), isnumber(I949)), 1, 0) + IF(and(ISNUMBER(J949), isnumber(K949)), 1, 0) + IF(and(ISNUMBER(L949), isnumber(M949)), 1, 0) + IF(and(ISNUMBER(N949), isnumber(O949)), 1, 0)</f>
      </c>
      <c r="U949" s="8">
        <f>IF(and(ISNUMBER(P949), isnumber(Q949)), 1, 0) + IF(and(ISNUMBER(R949), isnumber(S949)), 1, 0)</f>
      </c>
      <c r="V949" s="13"/>
      <c r="W949" s="13"/>
      <c r="X949" s="16"/>
    </row>
    <row x14ac:dyDescent="0.25" r="950" customHeight="1" ht="15.75">
      <c r="A950" s="8">
        <v>25760</v>
      </c>
      <c r="B950" s="13" t="s">
        <v>198</v>
      </c>
      <c r="C950" s="13" t="s">
        <v>6676</v>
      </c>
      <c r="D950" s="10">
        <v>1</v>
      </c>
      <c r="E950" s="11">
        <v>321.71</v>
      </c>
      <c r="F950" s="10">
        <v>0.766</v>
      </c>
      <c r="G950" s="11">
        <v>455.47</v>
      </c>
      <c r="H950" s="10">
        <v>0.8227</v>
      </c>
      <c r="I950" s="11">
        <v>495.22</v>
      </c>
      <c r="J950" s="10">
        <v>0.8865</v>
      </c>
      <c r="K950" s="11">
        <v>389.35</v>
      </c>
      <c r="L950" s="10">
        <v>0.8014</v>
      </c>
      <c r="M950" s="11">
        <v>466.55</v>
      </c>
      <c r="N950" s="10">
        <v>0.8085</v>
      </c>
      <c r="O950" s="11">
        <v>459.1</v>
      </c>
      <c r="P950" s="10">
        <v>1</v>
      </c>
      <c r="Q950" s="10">
        <v>0.2373</v>
      </c>
      <c r="R950" s="10">
        <v>0.8865</v>
      </c>
      <c r="S950" s="10">
        <v>0.217</v>
      </c>
      <c r="T950" s="8">
        <f>IF(and(ISNUMBER(D950), isnumber(E950)), 1, 0) + IF(and(ISNUMBER(F950), isnumber(G950)), 1, 0) + IF(and(ISNUMBER(H950), isnumber(I950)), 1, 0) + IF(and(ISNUMBER(J950), isnumber(K950)), 1, 0) + IF(and(ISNUMBER(L950), isnumber(M950)), 1, 0) + IF(and(ISNUMBER(N950), isnumber(O950)), 1, 0)</f>
      </c>
      <c r="U950" s="8">
        <f>IF(and(ISNUMBER(P950), isnumber(Q950)), 1, 0) + IF(and(ISNUMBER(R950), isnumber(S950)), 1, 0)</f>
      </c>
      <c r="V950" s="13"/>
      <c r="W950" s="13"/>
      <c r="X950" s="16"/>
    </row>
    <row x14ac:dyDescent="0.25" r="951" customHeight="1" ht="15.75">
      <c r="A951" s="8">
        <v>25786</v>
      </c>
      <c r="B951" s="13" t="s">
        <v>198</v>
      </c>
      <c r="C951" s="13" t="s">
        <v>6678</v>
      </c>
      <c r="D951" s="10">
        <v>1</v>
      </c>
      <c r="E951" s="11">
        <v>307.64</v>
      </c>
      <c r="F951" s="10">
        <v>1</v>
      </c>
      <c r="G951" s="11">
        <v>440</v>
      </c>
      <c r="H951" s="10">
        <v>0.9091</v>
      </c>
      <c r="I951" s="11">
        <v>577.14</v>
      </c>
      <c r="J951" s="10">
        <v>0.7455</v>
      </c>
      <c r="K951" s="11">
        <v>467.69</v>
      </c>
      <c r="L951" s="10">
        <v>0.8182</v>
      </c>
      <c r="M951" s="11">
        <v>525.33</v>
      </c>
      <c r="N951" s="10">
        <v>0.8909</v>
      </c>
      <c r="O951" s="11">
        <v>580</v>
      </c>
      <c r="P951" s="10">
        <v>1</v>
      </c>
      <c r="Q951" s="10">
        <v>0.2465</v>
      </c>
      <c r="R951" s="10">
        <v>0.7455</v>
      </c>
      <c r="S951" s="10">
        <v>0.2246</v>
      </c>
      <c r="T951" s="8">
        <f>IF(and(ISNUMBER(D951), isnumber(E951)), 1, 0) + IF(and(ISNUMBER(F951), isnumber(G951)), 1, 0) + IF(and(ISNUMBER(H951), isnumber(I951)), 1, 0) + IF(and(ISNUMBER(J951), isnumber(K951)), 1, 0) + IF(and(ISNUMBER(L951), isnumber(M951)), 1, 0) + IF(and(ISNUMBER(N951), isnumber(O951)), 1, 0)</f>
      </c>
      <c r="U951" s="8">
        <f>IF(and(ISNUMBER(P951), isnumber(Q951)), 1, 0) + IF(and(ISNUMBER(R951), isnumber(S951)), 1, 0)</f>
      </c>
      <c r="V951" s="13"/>
      <c r="W951" s="13"/>
      <c r="X951" s="16"/>
    </row>
    <row x14ac:dyDescent="0.25" r="952" customHeight="1" ht="15.75">
      <c r="A952" s="8">
        <v>25804</v>
      </c>
      <c r="B952" s="13" t="s">
        <v>198</v>
      </c>
      <c r="C952" s="13" t="s">
        <v>6679</v>
      </c>
      <c r="D952" s="10">
        <v>0.9895</v>
      </c>
      <c r="E952" s="11">
        <v>218.49</v>
      </c>
      <c r="F952" s="10">
        <v>1</v>
      </c>
      <c r="G952" s="11">
        <v>306.94</v>
      </c>
      <c r="H952" s="10">
        <v>1</v>
      </c>
      <c r="I952" s="11">
        <v>410.31</v>
      </c>
      <c r="J952" s="10">
        <v>1</v>
      </c>
      <c r="K952" s="11">
        <v>275.46</v>
      </c>
      <c r="L952" s="10">
        <v>1</v>
      </c>
      <c r="M952" s="11">
        <v>296</v>
      </c>
      <c r="N952" s="10">
        <v>1</v>
      </c>
      <c r="O952" s="11">
        <v>314.58</v>
      </c>
      <c r="P952" s="10">
        <v>0.9895</v>
      </c>
      <c r="Q952" s="10">
        <v>0.1919</v>
      </c>
      <c r="R952" s="10">
        <v>1</v>
      </c>
      <c r="S952" s="10">
        <v>0.1427</v>
      </c>
      <c r="T952" s="8">
        <f>IF(and(ISNUMBER(D952), isnumber(E952)), 1, 0) + IF(and(ISNUMBER(F952), isnumber(G952)), 1, 0) + IF(and(ISNUMBER(H952), isnumber(I952)), 1, 0) + IF(and(ISNUMBER(J952), isnumber(K952)), 1, 0) + IF(and(ISNUMBER(L952), isnumber(M952)), 1, 0) + IF(and(ISNUMBER(N952), isnumber(O952)), 1, 0)</f>
      </c>
      <c r="U952" s="8">
        <f>IF(and(ISNUMBER(P952), isnumber(Q952)), 1, 0) + IF(and(ISNUMBER(R952), isnumber(S952)), 1, 0)</f>
      </c>
      <c r="V952" s="13"/>
      <c r="W952" s="13"/>
      <c r="X952" s="16"/>
    </row>
    <row x14ac:dyDescent="0.25" r="953" customHeight="1" ht="15.75">
      <c r="A953" s="8">
        <v>25776</v>
      </c>
      <c r="B953" s="13" t="s">
        <v>198</v>
      </c>
      <c r="C953" s="13" t="s">
        <v>5698</v>
      </c>
      <c r="D953" s="10">
        <v>0.9515</v>
      </c>
      <c r="E953" s="11">
        <v>316.89</v>
      </c>
      <c r="F953" s="10">
        <v>0.804</v>
      </c>
      <c r="G953" s="11">
        <v>438.4</v>
      </c>
      <c r="H953" s="10">
        <v>0.6822</v>
      </c>
      <c r="I953" s="11">
        <v>506.89</v>
      </c>
      <c r="J953" s="10">
        <v>0.7789</v>
      </c>
      <c r="K953" s="11">
        <v>432.46</v>
      </c>
      <c r="L953" s="10">
        <v>0.6919</v>
      </c>
      <c r="M953" s="11">
        <v>480.11</v>
      </c>
      <c r="N953" s="10">
        <v>0.6279</v>
      </c>
      <c r="O953" s="11">
        <v>467</v>
      </c>
      <c r="P953" s="10">
        <v>0.9515</v>
      </c>
      <c r="Q953" s="10">
        <v>0.254</v>
      </c>
      <c r="R953" s="10">
        <v>0.7789</v>
      </c>
      <c r="S953" s="10">
        <v>0.2409</v>
      </c>
      <c r="T953" s="8">
        <f>IF(and(ISNUMBER(D953), isnumber(E953)), 1, 0) + IF(and(ISNUMBER(F953), isnumber(G953)), 1, 0) + IF(and(ISNUMBER(H953), isnumber(I953)), 1, 0) + IF(and(ISNUMBER(J953), isnumber(K953)), 1, 0) + IF(and(ISNUMBER(L953), isnumber(M953)), 1, 0) + IF(and(ISNUMBER(N953), isnumber(O953)), 1, 0)</f>
      </c>
      <c r="U953" s="8">
        <f>IF(and(ISNUMBER(P953), isnumber(Q953)), 1, 0) + IF(and(ISNUMBER(R953), isnumber(S953)), 1, 0)</f>
      </c>
      <c r="V953" s="13"/>
      <c r="W953" s="13"/>
      <c r="X953" s="16"/>
    </row>
    <row x14ac:dyDescent="0.25" r="954" customHeight="1" ht="15.75">
      <c r="A954" s="8">
        <v>25761</v>
      </c>
      <c r="B954" s="13" t="s">
        <v>198</v>
      </c>
      <c r="C954" s="13" t="s">
        <v>6685</v>
      </c>
      <c r="D954" s="10">
        <v>0.7619</v>
      </c>
      <c r="E954" s="11">
        <v>244.17</v>
      </c>
      <c r="F954" s="10">
        <v>0.6984</v>
      </c>
      <c r="G954" s="11">
        <v>365.45</v>
      </c>
      <c r="H954" s="10">
        <v>0.6032</v>
      </c>
      <c r="I954" s="11">
        <v>383.16</v>
      </c>
      <c r="J954" s="10">
        <v>0.6667</v>
      </c>
      <c r="K954" s="11">
        <v>312</v>
      </c>
      <c r="L954" s="10">
        <v>0.6825</v>
      </c>
      <c r="M954" s="11">
        <v>393.17</v>
      </c>
      <c r="N954" s="10">
        <v>0.6508</v>
      </c>
      <c r="O954" s="11">
        <v>383.41</v>
      </c>
      <c r="P954" s="10">
        <v>0.7619</v>
      </c>
      <c r="Q954" s="10">
        <v>0.2037</v>
      </c>
      <c r="R954" s="10">
        <v>0.6667</v>
      </c>
      <c r="S954" s="10">
        <v>0.1911</v>
      </c>
      <c r="T954" s="8">
        <f>IF(and(ISNUMBER(D954), isnumber(E954)), 1, 0) + IF(and(ISNUMBER(F954), isnumber(G954)), 1, 0) + IF(and(ISNUMBER(H954), isnumber(I954)), 1, 0) + IF(and(ISNUMBER(J954), isnumber(K954)), 1, 0) + IF(and(ISNUMBER(L954), isnumber(M954)), 1, 0) + IF(and(ISNUMBER(N954), isnumber(O954)), 1, 0)</f>
      </c>
      <c r="U954" s="8">
        <f>IF(and(ISNUMBER(P954), isnumber(Q954)), 1, 0) + IF(and(ISNUMBER(R954), isnumber(S954)), 1, 0)</f>
      </c>
      <c r="V954" s="13"/>
      <c r="W954" s="13"/>
      <c r="X954" s="16"/>
    </row>
    <row x14ac:dyDescent="0.25" r="955" customHeight="1" ht="15.75">
      <c r="A955" s="8">
        <v>25805</v>
      </c>
      <c r="B955" s="13" t="s">
        <v>198</v>
      </c>
      <c r="C955" s="13" t="s">
        <v>6686</v>
      </c>
      <c r="D955" s="10">
        <v>1</v>
      </c>
      <c r="E955" s="11">
        <v>214.71</v>
      </c>
      <c r="F955" s="10">
        <v>0.7586</v>
      </c>
      <c r="G955" s="11">
        <v>367.27</v>
      </c>
      <c r="H955" s="10">
        <v>0.5588</v>
      </c>
      <c r="I955" s="11" t="s">
        <v>7127</v>
      </c>
      <c r="J955" s="10">
        <v>0.8333</v>
      </c>
      <c r="K955" s="11">
        <v>171.08</v>
      </c>
      <c r="L955" s="10">
        <v>0.7353</v>
      </c>
      <c r="M955" s="11">
        <v>422.4</v>
      </c>
      <c r="N955" s="10">
        <v>0.6863</v>
      </c>
      <c r="O955" s="11">
        <v>458.86</v>
      </c>
      <c r="P955" s="10">
        <v>1</v>
      </c>
      <c r="Q955" s="10">
        <v>0.2097</v>
      </c>
      <c r="R955" s="10">
        <v>0.8333</v>
      </c>
      <c r="S955" s="10">
        <v>0.1998</v>
      </c>
      <c r="T955" s="8">
        <f>IF(and(ISNUMBER(D955), isnumber(E955)), 1, 0) + IF(and(ISNUMBER(F955), isnumber(G955)), 1, 0) + IF(and(ISNUMBER(H955), isnumber(I955)), 1, 0) + IF(and(ISNUMBER(J955), isnumber(K955)), 1, 0) + IF(and(ISNUMBER(L955), isnumber(M955)), 1, 0) + IF(and(ISNUMBER(N955), isnumber(O955)), 1, 0)</f>
      </c>
      <c r="U955" s="8">
        <f>IF(and(ISNUMBER(P955), isnumber(Q955)), 1, 0) + IF(and(ISNUMBER(R955), isnumber(S955)), 1, 0)</f>
      </c>
      <c r="V955" s="13"/>
      <c r="W955" s="13"/>
      <c r="X955" s="16"/>
    </row>
    <row x14ac:dyDescent="0.25" r="956" customHeight="1" ht="15.75">
      <c r="A956" s="8">
        <v>25762</v>
      </c>
      <c r="B956" s="13" t="s">
        <v>198</v>
      </c>
      <c r="C956" s="13" t="s">
        <v>6687</v>
      </c>
      <c r="D956" s="10">
        <v>0.9778</v>
      </c>
      <c r="E956" s="11">
        <v>164.96</v>
      </c>
      <c r="F956" s="10">
        <v>0.9778</v>
      </c>
      <c r="G956" s="11">
        <v>296.77</v>
      </c>
      <c r="H956" s="10">
        <v>0.6055</v>
      </c>
      <c r="I956" s="11">
        <v>350.36</v>
      </c>
      <c r="J956" s="10">
        <v>0.7168</v>
      </c>
      <c r="K956" s="11">
        <v>260.46</v>
      </c>
      <c r="L956" s="10">
        <v>0.6466</v>
      </c>
      <c r="M956" s="11">
        <v>388.3</v>
      </c>
      <c r="N956" s="10">
        <v>0.6521</v>
      </c>
      <c r="O956" s="11">
        <v>410.17</v>
      </c>
      <c r="P956" s="10">
        <v>0.9778</v>
      </c>
      <c r="Q956" s="10">
        <v>0.1774</v>
      </c>
      <c r="R956" s="10">
        <v>0.7168</v>
      </c>
      <c r="S956" s="10">
        <v>0.2116</v>
      </c>
      <c r="T956" s="8">
        <f>IF(and(ISNUMBER(D956), isnumber(E956)), 1, 0) + IF(and(ISNUMBER(F956), isnumber(G956)), 1, 0) + IF(and(ISNUMBER(H956), isnumber(I956)), 1, 0) + IF(and(ISNUMBER(J956), isnumber(K956)), 1, 0) + IF(and(ISNUMBER(L956), isnumber(M956)), 1, 0) + IF(and(ISNUMBER(N956), isnumber(O956)), 1, 0)</f>
      </c>
      <c r="U956" s="8">
        <f>IF(and(ISNUMBER(P956), isnumber(Q956)), 1, 0) + IF(and(ISNUMBER(R956), isnumber(S956)), 1, 0)</f>
      </c>
      <c r="V956" s="13"/>
      <c r="W956" s="13"/>
      <c r="X956" s="16"/>
    </row>
    <row x14ac:dyDescent="0.25" r="957" customHeight="1" ht="15.75">
      <c r="A957" s="8">
        <v>25763</v>
      </c>
      <c r="B957" s="13" t="s">
        <v>198</v>
      </c>
      <c r="C957" s="13" t="s">
        <v>6689</v>
      </c>
      <c r="D957" s="10">
        <v>0.9573</v>
      </c>
      <c r="E957" s="11">
        <v>324</v>
      </c>
      <c r="F957" s="10">
        <v>0.9487</v>
      </c>
      <c r="G957" s="11">
        <v>416.58</v>
      </c>
      <c r="H957" s="10">
        <v>1</v>
      </c>
      <c r="I957" s="11">
        <v>433.39</v>
      </c>
      <c r="J957" s="10">
        <v>1</v>
      </c>
      <c r="K957" s="11">
        <v>387.24</v>
      </c>
      <c r="L957" s="10">
        <v>1</v>
      </c>
      <c r="M957" s="11">
        <v>408.21</v>
      </c>
      <c r="N957" s="10">
        <v>1</v>
      </c>
      <c r="O957" s="11">
        <v>420</v>
      </c>
      <c r="P957" s="10">
        <v>0.9573</v>
      </c>
      <c r="Q957" s="10">
        <v>0.2792</v>
      </c>
      <c r="R957" s="10">
        <v>1</v>
      </c>
      <c r="S957" s="10">
        <v>0.1926</v>
      </c>
      <c r="T957" s="8">
        <f>IF(and(ISNUMBER(D957), isnumber(E957)), 1, 0) + IF(and(ISNUMBER(F957), isnumber(G957)), 1, 0) + IF(and(ISNUMBER(H957), isnumber(I957)), 1, 0) + IF(and(ISNUMBER(J957), isnumber(K957)), 1, 0) + IF(and(ISNUMBER(L957), isnumber(M957)), 1, 0) + IF(and(ISNUMBER(N957), isnumber(O957)), 1, 0)</f>
      </c>
      <c r="U957" s="8">
        <f>IF(and(ISNUMBER(P957), isnumber(Q957)), 1, 0) + IF(and(ISNUMBER(R957), isnumber(S957)), 1, 0)</f>
      </c>
      <c r="V957" s="13"/>
      <c r="W957" s="13"/>
      <c r="X957" s="16"/>
    </row>
    <row x14ac:dyDescent="0.25" r="958" customHeight="1" ht="15.75">
      <c r="A958" s="8">
        <v>25797</v>
      </c>
      <c r="B958" s="13" t="s">
        <v>198</v>
      </c>
      <c r="C958" s="13" t="s">
        <v>6692</v>
      </c>
      <c r="D958" s="10">
        <v>0.9953</v>
      </c>
      <c r="E958" s="11">
        <v>361.14</v>
      </c>
      <c r="F958" s="10">
        <v>0.7896</v>
      </c>
      <c r="G958" s="11">
        <v>494.34</v>
      </c>
      <c r="H958" s="10">
        <v>0.8936</v>
      </c>
      <c r="I958" s="11">
        <v>501.97</v>
      </c>
      <c r="J958" s="10">
        <v>0.8747</v>
      </c>
      <c r="K958" s="11">
        <v>442.56</v>
      </c>
      <c r="L958" s="10">
        <v>0.8061</v>
      </c>
      <c r="M958" s="11">
        <v>532.47</v>
      </c>
      <c r="N958" s="10">
        <v>0.643</v>
      </c>
      <c r="O958" s="11">
        <v>528.44</v>
      </c>
      <c r="P958" s="10">
        <v>0.9953</v>
      </c>
      <c r="Q958" s="10">
        <v>0.2412</v>
      </c>
      <c r="R958" s="10">
        <v>0.8747</v>
      </c>
      <c r="S958" s="10">
        <v>0.2205</v>
      </c>
      <c r="T958" s="8">
        <f>IF(and(ISNUMBER(D958), isnumber(E958)), 1, 0) + IF(and(ISNUMBER(F958), isnumber(G958)), 1, 0) + IF(and(ISNUMBER(H958), isnumber(I958)), 1, 0) + IF(and(ISNUMBER(J958), isnumber(K958)), 1, 0) + IF(and(ISNUMBER(L958), isnumber(M958)), 1, 0) + IF(and(ISNUMBER(N958), isnumber(O958)), 1, 0)</f>
      </c>
      <c r="U958" s="8">
        <f>IF(and(ISNUMBER(P958), isnumber(Q958)), 1, 0) + IF(and(ISNUMBER(R958), isnumber(S958)), 1, 0)</f>
      </c>
      <c r="V958" s="13"/>
      <c r="W958" s="13"/>
      <c r="X958" s="16"/>
    </row>
    <row x14ac:dyDescent="0.25" r="959" customHeight="1" ht="15.75">
      <c r="A959" s="8">
        <v>25778</v>
      </c>
      <c r="B959" s="13" t="s">
        <v>198</v>
      </c>
      <c r="C959" s="13" t="s">
        <v>6695</v>
      </c>
      <c r="D959" s="10">
        <v>1</v>
      </c>
      <c r="E959" s="11">
        <v>440</v>
      </c>
      <c r="F959" s="10">
        <v>1</v>
      </c>
      <c r="G959" s="11">
        <v>520</v>
      </c>
      <c r="H959" s="10">
        <v>1</v>
      </c>
      <c r="I959" s="11">
        <v>600</v>
      </c>
      <c r="J959" s="10">
        <v>1</v>
      </c>
      <c r="K959" s="11">
        <v>460</v>
      </c>
      <c r="L959" s="10">
        <v>1</v>
      </c>
      <c r="M959" s="11">
        <v>450</v>
      </c>
      <c r="N959" s="10">
        <v>0.75</v>
      </c>
      <c r="O959" s="11">
        <v>506.67</v>
      </c>
      <c r="P959" s="10">
        <v>1</v>
      </c>
      <c r="Q959" s="10">
        <v>0.3394</v>
      </c>
      <c r="R959" s="10">
        <v>1</v>
      </c>
      <c r="S959" s="10">
        <v>0.2208</v>
      </c>
      <c r="T959" s="8">
        <f>IF(and(ISNUMBER(D959), isnumber(E959)), 1, 0) + IF(and(ISNUMBER(F959), isnumber(G959)), 1, 0) + IF(and(ISNUMBER(H959), isnumber(I959)), 1, 0) + IF(and(ISNUMBER(J959), isnumber(K959)), 1, 0) + IF(and(ISNUMBER(L959), isnumber(M959)), 1, 0) + IF(and(ISNUMBER(N959), isnumber(O959)), 1, 0)</f>
      </c>
      <c r="U959" s="8">
        <f>IF(and(ISNUMBER(P959), isnumber(Q959)), 1, 0) + IF(and(ISNUMBER(R959), isnumber(S959)), 1, 0)</f>
      </c>
      <c r="V959" s="13"/>
      <c r="W959" s="13"/>
      <c r="X959" s="16"/>
    </row>
    <row x14ac:dyDescent="0.25" r="960" customHeight="1" ht="15.75">
      <c r="A960" s="8">
        <v>25764</v>
      </c>
      <c r="B960" s="13" t="s">
        <v>198</v>
      </c>
      <c r="C960" s="13" t="s">
        <v>6697</v>
      </c>
      <c r="D960" s="10">
        <v>0.9738</v>
      </c>
      <c r="E960" s="11">
        <v>201.08</v>
      </c>
      <c r="F960" s="10">
        <v>0.7948</v>
      </c>
      <c r="G960" s="11">
        <v>375.64</v>
      </c>
      <c r="H960" s="10">
        <v>0.681</v>
      </c>
      <c r="I960" s="11">
        <v>431.74</v>
      </c>
      <c r="J960" s="10">
        <v>0.8136</v>
      </c>
      <c r="K960" s="11">
        <v>328.38</v>
      </c>
      <c r="L960" s="10">
        <v>0.7025</v>
      </c>
      <c r="M960" s="11">
        <v>444.18</v>
      </c>
      <c r="N960" s="10">
        <v>0.638</v>
      </c>
      <c r="O960" s="11">
        <v>411.46</v>
      </c>
      <c r="P960" s="10">
        <v>0.9738</v>
      </c>
      <c r="Q960" s="10">
        <v>0.1755</v>
      </c>
      <c r="R960" s="10">
        <v>0.8136</v>
      </c>
      <c r="S960" s="10">
        <v>0.2209</v>
      </c>
      <c r="T960" s="8">
        <f>IF(and(ISNUMBER(D960), isnumber(E960)), 1, 0) + IF(and(ISNUMBER(F960), isnumber(G960)), 1, 0) + IF(and(ISNUMBER(H960), isnumber(I960)), 1, 0) + IF(and(ISNUMBER(J960), isnumber(K960)), 1, 0) + IF(and(ISNUMBER(L960), isnumber(M960)), 1, 0) + IF(and(ISNUMBER(N960), isnumber(O960)), 1, 0)</f>
      </c>
      <c r="U960" s="8">
        <f>IF(and(ISNUMBER(P960), isnumber(Q960)), 1, 0) + IF(and(ISNUMBER(R960), isnumber(S960)), 1, 0)</f>
      </c>
      <c r="V960" s="13"/>
      <c r="W960" s="13"/>
      <c r="X960" s="16"/>
    </row>
    <row x14ac:dyDescent="0.25" r="961" customHeight="1" ht="15.75">
      <c r="A961" s="8">
        <v>25765</v>
      </c>
      <c r="B961" s="13" t="s">
        <v>198</v>
      </c>
      <c r="C961" s="13" t="s">
        <v>6700</v>
      </c>
      <c r="D961" s="10">
        <v>0.9802</v>
      </c>
      <c r="E961" s="11">
        <v>292.32</v>
      </c>
      <c r="F961" s="10">
        <v>0.7921</v>
      </c>
      <c r="G961" s="11">
        <v>443.5</v>
      </c>
      <c r="H961" s="10">
        <v>1</v>
      </c>
      <c r="I961" s="11">
        <v>351.04</v>
      </c>
      <c r="J961" s="10">
        <v>1</v>
      </c>
      <c r="K961" s="11">
        <v>298.07</v>
      </c>
      <c r="L961" s="10">
        <v>1</v>
      </c>
      <c r="M961" s="11">
        <v>344.52</v>
      </c>
      <c r="N961" s="10">
        <v>1</v>
      </c>
      <c r="O961" s="11">
        <v>300.1</v>
      </c>
      <c r="P961" s="10">
        <v>0.9802</v>
      </c>
      <c r="Q961" s="10">
        <v>0.2016</v>
      </c>
      <c r="R961" s="10">
        <v>1</v>
      </c>
      <c r="S961" s="10">
        <v>0.1715</v>
      </c>
      <c r="T961" s="8">
        <f>IF(and(ISNUMBER(D961), isnumber(E961)), 1, 0) + IF(and(ISNUMBER(F961), isnumber(G961)), 1, 0) + IF(and(ISNUMBER(H961), isnumber(I961)), 1, 0) + IF(and(ISNUMBER(J961), isnumber(K961)), 1, 0) + IF(and(ISNUMBER(L961), isnumber(M961)), 1, 0) + IF(and(ISNUMBER(N961), isnumber(O961)), 1, 0)</f>
      </c>
      <c r="U961" s="8">
        <f>IF(and(ISNUMBER(P961), isnumber(Q961)), 1, 0) + IF(and(ISNUMBER(R961), isnumber(S961)), 1, 0)</f>
      </c>
      <c r="V961" s="13"/>
      <c r="W961" s="13"/>
      <c r="X961" s="16"/>
    </row>
    <row x14ac:dyDescent="0.25" r="962" customHeight="1" ht="15.75">
      <c r="A962" s="8">
        <v>25779</v>
      </c>
      <c r="B962" s="13" t="s">
        <v>198</v>
      </c>
      <c r="C962" s="13" t="s">
        <v>6702</v>
      </c>
      <c r="D962" s="10">
        <v>0.9906</v>
      </c>
      <c r="E962" s="11">
        <v>246.71</v>
      </c>
      <c r="F962" s="10">
        <v>0.6865</v>
      </c>
      <c r="G962" s="11">
        <v>380.82</v>
      </c>
      <c r="H962" s="10">
        <v>0.7486</v>
      </c>
      <c r="I962" s="11">
        <v>456.11</v>
      </c>
      <c r="J962" s="10">
        <v>0.7383</v>
      </c>
      <c r="K962" s="11">
        <v>383.63</v>
      </c>
      <c r="L962" s="10">
        <v>0.6086</v>
      </c>
      <c r="M962" s="11">
        <v>424.7</v>
      </c>
      <c r="N962" s="10">
        <v>0.4343</v>
      </c>
      <c r="O962" s="11" t="s">
        <v>7127</v>
      </c>
      <c r="P962" s="10">
        <v>0.9906</v>
      </c>
      <c r="Q962" s="10">
        <v>0.185</v>
      </c>
      <c r="R962" s="10">
        <v>0.7383</v>
      </c>
      <c r="S962" s="10">
        <v>0.2039</v>
      </c>
      <c r="T962" s="8">
        <f>IF(and(ISNUMBER(D962), isnumber(E962)), 1, 0) + IF(and(ISNUMBER(F962), isnumber(G962)), 1, 0) + IF(and(ISNUMBER(H962), isnumber(I962)), 1, 0) + IF(and(ISNUMBER(J962), isnumber(K962)), 1, 0) + IF(and(ISNUMBER(L962), isnumber(M962)), 1, 0) + IF(and(ISNUMBER(N962), isnumber(O962)), 1, 0)</f>
      </c>
      <c r="U962" s="8">
        <f>IF(and(ISNUMBER(P962), isnumber(Q962)), 1, 0) + IF(and(ISNUMBER(R962), isnumber(S962)), 1, 0)</f>
      </c>
      <c r="V962" s="13"/>
      <c r="W962" s="13"/>
      <c r="X962" s="16"/>
    </row>
    <row x14ac:dyDescent="0.25" r="963" customHeight="1" ht="15.75">
      <c r="A963" s="8">
        <v>25766</v>
      </c>
      <c r="B963" s="13" t="s">
        <v>198</v>
      </c>
      <c r="C963" s="13" t="s">
        <v>6704</v>
      </c>
      <c r="D963" s="10">
        <v>0.9545</v>
      </c>
      <c r="E963" s="11">
        <v>191.43</v>
      </c>
      <c r="F963" s="10">
        <v>0.6136</v>
      </c>
      <c r="G963" s="11">
        <v>389.63</v>
      </c>
      <c r="H963" s="10">
        <v>0.4091</v>
      </c>
      <c r="I963" s="11">
        <v>346.67</v>
      </c>
      <c r="J963" s="10">
        <v>0.7143</v>
      </c>
      <c r="K963" s="11">
        <v>77.33</v>
      </c>
      <c r="L963" s="10">
        <v>0.4242</v>
      </c>
      <c r="M963" s="11">
        <v>244.29</v>
      </c>
      <c r="N963" s="10">
        <v>0.4848</v>
      </c>
      <c r="O963" s="11">
        <v>386.25</v>
      </c>
      <c r="P963" s="10">
        <v>0.9545</v>
      </c>
      <c r="Q963" s="10">
        <v>0.181</v>
      </c>
      <c r="R963" s="10">
        <v>0.7143</v>
      </c>
      <c r="S963" s="10">
        <v>0.2175</v>
      </c>
      <c r="T963" s="8">
        <f>IF(and(ISNUMBER(D963), isnumber(E963)), 1, 0) + IF(and(ISNUMBER(F963), isnumber(G963)), 1, 0) + IF(and(ISNUMBER(H963), isnumber(I963)), 1, 0) + IF(and(ISNUMBER(J963), isnumber(K963)), 1, 0) + IF(and(ISNUMBER(L963), isnumber(M963)), 1, 0) + IF(and(ISNUMBER(N963), isnumber(O963)), 1, 0)</f>
      </c>
      <c r="U963" s="8">
        <f>IF(and(ISNUMBER(P963), isnumber(Q963)), 1, 0) + IF(and(ISNUMBER(R963), isnumber(S963)), 1, 0)</f>
      </c>
      <c r="V963" s="13"/>
      <c r="W963" s="13"/>
      <c r="X963" s="16"/>
    </row>
    <row x14ac:dyDescent="0.25" r="964" customHeight="1" ht="15.75">
      <c r="A964" s="8">
        <v>25780</v>
      </c>
      <c r="B964" s="13" t="s">
        <v>198</v>
      </c>
      <c r="C964" s="13" t="s">
        <v>6706</v>
      </c>
      <c r="D964" s="10">
        <v>0.9853</v>
      </c>
      <c r="E964" s="11">
        <v>270.05</v>
      </c>
      <c r="F964" s="10">
        <v>0.7892</v>
      </c>
      <c r="G964" s="11">
        <v>430.75</v>
      </c>
      <c r="H964" s="10">
        <v>0.6457</v>
      </c>
      <c r="I964" s="11">
        <v>458.88</v>
      </c>
      <c r="J964" s="10">
        <v>0.684</v>
      </c>
      <c r="K964" s="11">
        <v>402.69</v>
      </c>
      <c r="L964" s="10">
        <v>0.5561</v>
      </c>
      <c r="M964" s="11">
        <v>436.45</v>
      </c>
      <c r="N964" s="10">
        <v>0.574</v>
      </c>
      <c r="O964" s="11">
        <v>446.57</v>
      </c>
      <c r="P964" s="10">
        <v>0.9853</v>
      </c>
      <c r="Q964" s="10">
        <v>0.2113</v>
      </c>
      <c r="R964" s="10">
        <v>0.684</v>
      </c>
      <c r="S964" s="10">
        <v>0.2203</v>
      </c>
      <c r="T964" s="8">
        <f>IF(and(ISNUMBER(D964), isnumber(E964)), 1, 0) + IF(and(ISNUMBER(F964), isnumber(G964)), 1, 0) + IF(and(ISNUMBER(H964), isnumber(I964)), 1, 0) + IF(and(ISNUMBER(J964), isnumber(K964)), 1, 0) + IF(and(ISNUMBER(L964), isnumber(M964)), 1, 0) + IF(and(ISNUMBER(N964), isnumber(O964)), 1, 0)</f>
      </c>
      <c r="U964" s="8">
        <f>IF(and(ISNUMBER(P964), isnumber(Q964)), 1, 0) + IF(and(ISNUMBER(R964), isnumber(S964)), 1, 0)</f>
      </c>
      <c r="V964" s="13"/>
      <c r="W964" s="13"/>
      <c r="X964" s="16"/>
    </row>
    <row x14ac:dyDescent="0.25" r="965" customHeight="1" ht="15.75">
      <c r="A965" s="8">
        <v>25788</v>
      </c>
      <c r="B965" s="13" t="s">
        <v>198</v>
      </c>
      <c r="C965" s="13" t="s">
        <v>6710</v>
      </c>
      <c r="D965" s="10">
        <v>0.8284</v>
      </c>
      <c r="E965" s="11">
        <v>238.48</v>
      </c>
      <c r="F965" s="10">
        <v>0.6194</v>
      </c>
      <c r="G965" s="11">
        <v>435.61</v>
      </c>
      <c r="H965" s="10">
        <v>0.2537</v>
      </c>
      <c r="I965" s="11">
        <v>492.12</v>
      </c>
      <c r="J965" s="10">
        <v>0.791</v>
      </c>
      <c r="K965" s="11">
        <v>266.41</v>
      </c>
      <c r="L965" s="10">
        <v>0.8134</v>
      </c>
      <c r="M965" s="11">
        <v>410.09</v>
      </c>
      <c r="N965" s="10">
        <v>0.7313</v>
      </c>
      <c r="O965" s="11">
        <v>400</v>
      </c>
      <c r="P965" s="10">
        <v>0.8284</v>
      </c>
      <c r="Q965" s="10">
        <v>0.2206</v>
      </c>
      <c r="R965" s="10">
        <v>0.791</v>
      </c>
      <c r="S965" s="10">
        <v>0.2116</v>
      </c>
      <c r="T965" s="8">
        <f>IF(and(ISNUMBER(D965), isnumber(E965)), 1, 0) + IF(and(ISNUMBER(F965), isnumber(G965)), 1, 0) + IF(and(ISNUMBER(H965), isnumber(I965)), 1, 0) + IF(and(ISNUMBER(J965), isnumber(K965)), 1, 0) + IF(and(ISNUMBER(L965), isnumber(M965)), 1, 0) + IF(and(ISNUMBER(N965), isnumber(O965)), 1, 0)</f>
      </c>
      <c r="U965" s="8">
        <f>IF(and(ISNUMBER(P965), isnumber(Q965)), 1, 0) + IF(and(ISNUMBER(R965), isnumber(S965)), 1, 0)</f>
      </c>
      <c r="V965" s="13"/>
      <c r="W965" s="13"/>
      <c r="X965" s="16"/>
    </row>
    <row x14ac:dyDescent="0.25" r="966" customHeight="1" ht="15.75">
      <c r="A966" s="8">
        <v>25767</v>
      </c>
      <c r="B966" s="13" t="s">
        <v>198</v>
      </c>
      <c r="C966" s="13" t="s">
        <v>6712</v>
      </c>
      <c r="D966" s="10">
        <v>0.8</v>
      </c>
      <c r="E966" s="11">
        <v>140.56</v>
      </c>
      <c r="F966" s="10">
        <v>0.575</v>
      </c>
      <c r="G966" s="11">
        <v>360.58</v>
      </c>
      <c r="H966" s="10">
        <v>0.3459</v>
      </c>
      <c r="I966" s="11">
        <v>370.91</v>
      </c>
      <c r="J966" s="10">
        <v>0.5772</v>
      </c>
      <c r="K966" s="11">
        <v>194.81</v>
      </c>
      <c r="L966" s="10">
        <v>0.3899</v>
      </c>
      <c r="M966" s="11">
        <v>375.48</v>
      </c>
      <c r="N966" s="10">
        <v>0.3648</v>
      </c>
      <c r="O966" s="11">
        <v>410.39</v>
      </c>
      <c r="P966" s="10">
        <v>0.8</v>
      </c>
      <c r="Q966" s="10">
        <v>0.1561</v>
      </c>
      <c r="R966" s="10">
        <v>0.5772</v>
      </c>
      <c r="S966" s="10">
        <v>0.2042</v>
      </c>
      <c r="T966" s="8">
        <f>IF(and(ISNUMBER(D966), isnumber(E966)), 1, 0) + IF(and(ISNUMBER(F966), isnumber(G966)), 1, 0) + IF(and(ISNUMBER(H966), isnumber(I966)), 1, 0) + IF(and(ISNUMBER(J966), isnumber(K966)), 1, 0) + IF(and(ISNUMBER(L966), isnumber(M966)), 1, 0) + IF(and(ISNUMBER(N966), isnumber(O966)), 1, 0)</f>
      </c>
      <c r="U966" s="8">
        <f>IF(and(ISNUMBER(P966), isnumber(Q966)), 1, 0) + IF(and(ISNUMBER(R966), isnumber(S966)), 1, 0)</f>
      </c>
      <c r="V966" s="13"/>
      <c r="W966" s="13"/>
      <c r="X966" s="16"/>
    </row>
    <row x14ac:dyDescent="0.25" r="967" customHeight="1" ht="15.75">
      <c r="A967" s="8">
        <v>25768</v>
      </c>
      <c r="B967" s="13" t="s">
        <v>198</v>
      </c>
      <c r="C967" s="13" t="s">
        <v>6715</v>
      </c>
      <c r="D967" s="10">
        <v>0.7829</v>
      </c>
      <c r="E967" s="11">
        <v>286.76</v>
      </c>
      <c r="F967" s="10">
        <v>0.573</v>
      </c>
      <c r="G967" s="11">
        <v>439.75</v>
      </c>
      <c r="H967" s="10">
        <v>0.6335</v>
      </c>
      <c r="I967" s="11">
        <v>433.14</v>
      </c>
      <c r="J967" s="10">
        <v>0.7509</v>
      </c>
      <c r="K967" s="11">
        <v>383.88</v>
      </c>
      <c r="L967" s="10">
        <v>0.5587</v>
      </c>
      <c r="M967" s="11">
        <v>473.33</v>
      </c>
      <c r="N967" s="10">
        <v>0.6263</v>
      </c>
      <c r="O967" s="11">
        <v>464.74</v>
      </c>
      <c r="P967" s="10">
        <v>0.7829</v>
      </c>
      <c r="Q967" s="10">
        <v>0.1992</v>
      </c>
      <c r="R967" s="10">
        <v>0.7509</v>
      </c>
      <c r="S967" s="10">
        <v>0.2166</v>
      </c>
      <c r="T967" s="8">
        <f>IF(and(ISNUMBER(D967), isnumber(E967)), 1, 0) + IF(and(ISNUMBER(F967), isnumber(G967)), 1, 0) + IF(and(ISNUMBER(H967), isnumber(I967)), 1, 0) + IF(and(ISNUMBER(J967), isnumber(K967)), 1, 0) + IF(and(ISNUMBER(L967), isnumber(M967)), 1, 0) + IF(and(ISNUMBER(N967), isnumber(O967)), 1, 0)</f>
      </c>
      <c r="U967" s="8">
        <f>IF(and(ISNUMBER(P967), isnumber(Q967)), 1, 0) + IF(and(ISNUMBER(R967), isnumber(S967)), 1, 0)</f>
      </c>
      <c r="V967" s="13"/>
      <c r="W967" s="13"/>
      <c r="X967" s="16"/>
    </row>
    <row x14ac:dyDescent="0.25" r="968" customHeight="1" ht="15.75">
      <c r="A968" s="8">
        <v>25769</v>
      </c>
      <c r="B968" s="13" t="s">
        <v>198</v>
      </c>
      <c r="C968" s="13" t="s">
        <v>6717</v>
      </c>
      <c r="D968" s="10">
        <v>0.9559</v>
      </c>
      <c r="E968" s="11">
        <v>113.23</v>
      </c>
      <c r="F968" s="10">
        <v>0.5441</v>
      </c>
      <c r="G968" s="11">
        <v>327.57</v>
      </c>
      <c r="H968" s="10">
        <v>0.5294</v>
      </c>
      <c r="I968" s="11">
        <v>420.44</v>
      </c>
      <c r="J968" s="10">
        <v>0.6563</v>
      </c>
      <c r="K968" s="11">
        <v>372.63</v>
      </c>
      <c r="L968" s="10">
        <v>0.3647</v>
      </c>
      <c r="M968" s="11" t="s">
        <v>7127</v>
      </c>
      <c r="N968" s="10">
        <v>0.4706</v>
      </c>
      <c r="O968" s="11">
        <v>451</v>
      </c>
      <c r="P968" s="10">
        <v>0.9559</v>
      </c>
      <c r="Q968" s="10">
        <v>0.1348</v>
      </c>
      <c r="R968" s="10">
        <v>0.6563</v>
      </c>
      <c r="S968" s="10">
        <v>0.2126</v>
      </c>
      <c r="T968" s="8">
        <f>IF(and(ISNUMBER(D968), isnumber(E968)), 1, 0) + IF(and(ISNUMBER(F968), isnumber(G968)), 1, 0) + IF(and(ISNUMBER(H968), isnumber(I968)), 1, 0) + IF(and(ISNUMBER(J968), isnumber(K968)), 1, 0) + IF(and(ISNUMBER(L968), isnumber(M968)), 1, 0) + IF(and(ISNUMBER(N968), isnumber(O968)), 1, 0)</f>
      </c>
      <c r="U968" s="8">
        <f>IF(and(ISNUMBER(P968), isnumber(Q968)), 1, 0) + IF(and(ISNUMBER(R968), isnumber(S968)), 1, 0)</f>
      </c>
      <c r="V968" s="13"/>
      <c r="W968" s="13"/>
      <c r="X968" s="16"/>
    </row>
    <row x14ac:dyDescent="0.25" r="969" customHeight="1" ht="15.75">
      <c r="A969" s="8">
        <v>25807</v>
      </c>
      <c r="B969" s="13" t="s">
        <v>198</v>
      </c>
      <c r="C969" s="13" t="s">
        <v>6720</v>
      </c>
      <c r="D969" s="10">
        <v>0.9263</v>
      </c>
      <c r="E969" s="11">
        <v>247.32</v>
      </c>
      <c r="F969" s="10">
        <v>0.5789</v>
      </c>
      <c r="G969" s="11">
        <v>372.08</v>
      </c>
      <c r="H969" s="10">
        <v>0.6842</v>
      </c>
      <c r="I969" s="11">
        <v>408.52</v>
      </c>
      <c r="J969" s="10">
        <v>0.5368</v>
      </c>
      <c r="K969" s="11">
        <v>346.67</v>
      </c>
      <c r="L969" s="10">
        <v>0.5158</v>
      </c>
      <c r="M969" s="11">
        <v>480.85</v>
      </c>
      <c r="N969" s="10">
        <v>0.6</v>
      </c>
      <c r="O969" s="11">
        <v>411.11</v>
      </c>
      <c r="P969" s="10">
        <v>0.9263</v>
      </c>
      <c r="Q969" s="10">
        <v>0.1718</v>
      </c>
      <c r="R969" s="10">
        <v>0.5368</v>
      </c>
      <c r="S969" s="10">
        <v>0.2247</v>
      </c>
      <c r="T969" s="8">
        <f>IF(and(ISNUMBER(D969), isnumber(E969)), 1, 0) + IF(and(ISNUMBER(F969), isnumber(G969)), 1, 0) + IF(and(ISNUMBER(H969), isnumber(I969)), 1, 0) + IF(and(ISNUMBER(J969), isnumber(K969)), 1, 0) + IF(and(ISNUMBER(L969), isnumber(M969)), 1, 0) + IF(and(ISNUMBER(N969), isnumber(O969)), 1, 0)</f>
      </c>
      <c r="U969" s="8">
        <f>IF(and(ISNUMBER(P969), isnumber(Q969)), 1, 0) + IF(and(ISNUMBER(R969), isnumber(S969)), 1, 0)</f>
      </c>
      <c r="V969" s="13"/>
      <c r="W969" s="13"/>
      <c r="X969" s="16"/>
    </row>
    <row x14ac:dyDescent="0.25" r="970" customHeight="1" ht="15.75">
      <c r="A970" s="8">
        <v>25781</v>
      </c>
      <c r="B970" s="13" t="s">
        <v>198</v>
      </c>
      <c r="C970" s="13" t="s">
        <v>6723</v>
      </c>
      <c r="D970" s="10">
        <v>0.99</v>
      </c>
      <c r="E970" s="11">
        <v>255.21</v>
      </c>
      <c r="F970" s="10">
        <v>0.7231</v>
      </c>
      <c r="G970" s="11">
        <v>392.68</v>
      </c>
      <c r="H970" s="10">
        <v>0.7968</v>
      </c>
      <c r="I970" s="11">
        <v>429.8</v>
      </c>
      <c r="J970" s="10">
        <v>0.6215</v>
      </c>
      <c r="K970" s="11">
        <v>381.1</v>
      </c>
      <c r="L970" s="10">
        <v>0.6992</v>
      </c>
      <c r="M970" s="11">
        <v>411.76</v>
      </c>
      <c r="N970" s="10">
        <v>0.6892</v>
      </c>
      <c r="O970" s="11">
        <v>423.24</v>
      </c>
      <c r="P970" s="10">
        <v>0.99</v>
      </c>
      <c r="Q970" s="10">
        <v>0.2067</v>
      </c>
      <c r="R970" s="10">
        <v>0.6215</v>
      </c>
      <c r="S970" s="10">
        <v>0.2134</v>
      </c>
      <c r="T970" s="8">
        <f>IF(and(ISNUMBER(D970), isnumber(E970)), 1, 0) + IF(and(ISNUMBER(F970), isnumber(G970)), 1, 0) + IF(and(ISNUMBER(H970), isnumber(I970)), 1, 0) + IF(and(ISNUMBER(J970), isnumber(K970)), 1, 0) + IF(and(ISNUMBER(L970), isnumber(M970)), 1, 0) + IF(and(ISNUMBER(N970), isnumber(O970)), 1, 0)</f>
      </c>
      <c r="U970" s="8">
        <f>IF(and(ISNUMBER(P970), isnumber(Q970)), 1, 0) + IF(and(ISNUMBER(R970), isnumber(S970)), 1, 0)</f>
      </c>
      <c r="V970" s="13"/>
      <c r="W970" s="13"/>
      <c r="X970" s="16"/>
    </row>
    <row x14ac:dyDescent="0.25" r="971" customHeight="1" ht="15.75">
      <c r="A971" s="8">
        <v>25808</v>
      </c>
      <c r="B971" s="13" t="s">
        <v>198</v>
      </c>
      <c r="C971" s="13" t="s">
        <v>6726</v>
      </c>
      <c r="D971" s="10">
        <v>0.9758</v>
      </c>
      <c r="E971" s="11">
        <v>388.76</v>
      </c>
      <c r="F971" s="10">
        <v>0.9758</v>
      </c>
      <c r="G971" s="11">
        <v>548.33</v>
      </c>
      <c r="H971" s="10">
        <v>0.8468</v>
      </c>
      <c r="I971" s="11">
        <v>580.95</v>
      </c>
      <c r="J971" s="10">
        <v>0.8306</v>
      </c>
      <c r="K971" s="11">
        <v>555.64</v>
      </c>
      <c r="L971" s="10">
        <v>0.8306</v>
      </c>
      <c r="M971" s="11">
        <v>548.74</v>
      </c>
      <c r="N971" s="10">
        <v>0.8306</v>
      </c>
      <c r="O971" s="11">
        <v>475.73</v>
      </c>
      <c r="P971" s="10">
        <v>0.9758</v>
      </c>
      <c r="Q971" s="10">
        <v>0.3049</v>
      </c>
      <c r="R971" s="10">
        <v>0.8306</v>
      </c>
      <c r="S971" s="10">
        <v>0.2329</v>
      </c>
      <c r="T971" s="8">
        <f>IF(and(ISNUMBER(D971), isnumber(E971)), 1, 0) + IF(and(ISNUMBER(F971), isnumber(G971)), 1, 0) + IF(and(ISNUMBER(H971), isnumber(I971)), 1, 0) + IF(and(ISNUMBER(J971), isnumber(K971)), 1, 0) + IF(and(ISNUMBER(L971), isnumber(M971)), 1, 0) + IF(and(ISNUMBER(N971), isnumber(O971)), 1, 0)</f>
      </c>
      <c r="U971" s="8">
        <f>IF(and(ISNUMBER(P971), isnumber(Q971)), 1, 0) + IF(and(ISNUMBER(R971), isnumber(S971)), 1, 0)</f>
      </c>
      <c r="V971" s="13"/>
      <c r="W971" s="13"/>
      <c r="X971" s="16"/>
    </row>
    <row x14ac:dyDescent="0.25" r="972" customHeight="1" ht="15.75">
      <c r="A972" s="8">
        <v>25175</v>
      </c>
      <c r="B972" s="13" t="s">
        <v>391</v>
      </c>
      <c r="C972" s="13" t="s">
        <v>6729</v>
      </c>
      <c r="D972" s="10">
        <v>0.9388</v>
      </c>
      <c r="E972" s="11">
        <v>523.48</v>
      </c>
      <c r="F972" s="10">
        <v>0.9592</v>
      </c>
      <c r="G972" s="11">
        <v>601.7</v>
      </c>
      <c r="H972" s="10">
        <v>0.9592</v>
      </c>
      <c r="I972" s="11">
        <v>613.62</v>
      </c>
      <c r="J972" s="10">
        <v>0.9592</v>
      </c>
      <c r="K972" s="11">
        <v>480</v>
      </c>
      <c r="L972" s="10">
        <v>0.9184</v>
      </c>
      <c r="M972" s="11">
        <v>574.22</v>
      </c>
      <c r="N972" s="10">
        <v>0.9592</v>
      </c>
      <c r="O972" s="11">
        <v>612.77</v>
      </c>
      <c r="P972" s="10">
        <v>0.9388</v>
      </c>
      <c r="Q972" s="10">
        <v>0.2929</v>
      </c>
      <c r="R972" s="10">
        <v>0.9592</v>
      </c>
      <c r="S972" s="10">
        <v>0.2251</v>
      </c>
      <c r="T972" s="8">
        <f>IF(and(ISNUMBER(D972), isnumber(E972)), 1, 0) + IF(and(ISNUMBER(F972), isnumber(G972)), 1, 0) + IF(and(ISNUMBER(H972), isnumber(I972)), 1, 0) + IF(and(ISNUMBER(J972), isnumber(K972)), 1, 0) + IF(and(ISNUMBER(L972), isnumber(M972)), 1, 0) + IF(and(ISNUMBER(N972), isnumber(O972)), 1, 0)</f>
      </c>
      <c r="U972" s="8">
        <f>IF(and(ISNUMBER(P972), isnumber(Q972)), 1, 0) + IF(and(ISNUMBER(R972), isnumber(S972)), 1, 0)</f>
      </c>
      <c r="V972" s="13"/>
      <c r="W972" s="13"/>
      <c r="X972" s="16"/>
    </row>
    <row x14ac:dyDescent="0.25" r="973" customHeight="1" ht="15.75">
      <c r="A973" s="8">
        <v>25188</v>
      </c>
      <c r="B973" s="13" t="s">
        <v>391</v>
      </c>
      <c r="C973" s="13" t="s">
        <v>6732</v>
      </c>
      <c r="D973" s="10">
        <v>0.9592</v>
      </c>
      <c r="E973" s="11">
        <v>562.55</v>
      </c>
      <c r="F973" s="10">
        <v>0.9388</v>
      </c>
      <c r="G973" s="11">
        <v>645.22</v>
      </c>
      <c r="H973" s="10">
        <v>1</v>
      </c>
      <c r="I973" s="11">
        <v>560.82</v>
      </c>
      <c r="J973" s="10">
        <v>0.9796</v>
      </c>
      <c r="K973" s="11">
        <v>636.67</v>
      </c>
      <c r="L973" s="10">
        <v>1</v>
      </c>
      <c r="M973" s="11">
        <v>541.22</v>
      </c>
      <c r="N973" s="10">
        <v>1</v>
      </c>
      <c r="O973" s="11">
        <v>528.98</v>
      </c>
      <c r="P973" s="10">
        <v>0.9592</v>
      </c>
      <c r="Q973" s="10">
        <v>0.3242</v>
      </c>
      <c r="R973" s="10">
        <v>0.9796</v>
      </c>
      <c r="S973" s="10">
        <v>0.2623</v>
      </c>
      <c r="T973" s="8">
        <f>IF(and(ISNUMBER(D973), isnumber(E973)), 1, 0) + IF(and(ISNUMBER(F973), isnumber(G973)), 1, 0) + IF(and(ISNUMBER(H973), isnumber(I973)), 1, 0) + IF(and(ISNUMBER(J973), isnumber(K973)), 1, 0) + IF(and(ISNUMBER(L973), isnumber(M973)), 1, 0) + IF(and(ISNUMBER(N973), isnumber(O973)), 1, 0)</f>
      </c>
      <c r="U973" s="8">
        <f>IF(and(ISNUMBER(P973), isnumber(Q973)), 1, 0) + IF(and(ISNUMBER(R973), isnumber(S973)), 1, 0)</f>
      </c>
      <c r="V973" s="13"/>
      <c r="W973" s="13"/>
      <c r="X973" s="16"/>
    </row>
    <row x14ac:dyDescent="0.25" r="974" customHeight="1" ht="15.75">
      <c r="A974" s="8">
        <v>25194</v>
      </c>
      <c r="B974" s="13" t="s">
        <v>391</v>
      </c>
      <c r="C974" s="13" t="s">
        <v>6734</v>
      </c>
      <c r="D974" s="10">
        <v>0.9178</v>
      </c>
      <c r="E974" s="11">
        <v>366.06</v>
      </c>
      <c r="F974" s="10">
        <v>0.863</v>
      </c>
      <c r="G974" s="11">
        <v>434.29</v>
      </c>
      <c r="H974" s="10">
        <v>0.8356</v>
      </c>
      <c r="I974" s="11">
        <v>470</v>
      </c>
      <c r="J974" s="10">
        <v>0.7808</v>
      </c>
      <c r="K974" s="11">
        <v>360</v>
      </c>
      <c r="L974" s="10">
        <v>0.7534</v>
      </c>
      <c r="M974" s="11">
        <v>513.33</v>
      </c>
      <c r="N974" s="10">
        <v>0.6986</v>
      </c>
      <c r="O974" s="11">
        <v>546.67</v>
      </c>
      <c r="P974" s="10">
        <v>0.9178</v>
      </c>
      <c r="Q974" s="10">
        <v>0.2444</v>
      </c>
      <c r="R974" s="10">
        <v>0.7808</v>
      </c>
      <c r="S974" s="10">
        <v>0.2058</v>
      </c>
      <c r="T974" s="8">
        <f>IF(and(ISNUMBER(D974), isnumber(E974)), 1, 0) + IF(and(ISNUMBER(F974), isnumber(G974)), 1, 0) + IF(and(ISNUMBER(H974), isnumber(I974)), 1, 0) + IF(and(ISNUMBER(J974), isnumber(K974)), 1, 0) + IF(and(ISNUMBER(L974), isnumber(M974)), 1, 0) + IF(and(ISNUMBER(N974), isnumber(O974)), 1, 0)</f>
      </c>
      <c r="U974" s="8">
        <f>IF(and(ISNUMBER(P974), isnumber(Q974)), 1, 0) + IF(and(ISNUMBER(R974), isnumber(S974)), 1, 0)</f>
      </c>
      <c r="V974" s="13"/>
      <c r="W974" s="13"/>
      <c r="X974" s="16"/>
    </row>
    <row x14ac:dyDescent="0.25" r="975" customHeight="1" ht="15.75">
      <c r="A975" s="8">
        <v>25189</v>
      </c>
      <c r="B975" s="13" t="s">
        <v>391</v>
      </c>
      <c r="C975" s="13" t="s">
        <v>6737</v>
      </c>
      <c r="D975" s="10">
        <v>0.8731</v>
      </c>
      <c r="E975" s="11">
        <v>309.66</v>
      </c>
      <c r="F975" s="10">
        <v>0.7836</v>
      </c>
      <c r="G975" s="11">
        <v>382.48</v>
      </c>
      <c r="H975" s="10">
        <v>0.7239</v>
      </c>
      <c r="I975" s="11">
        <v>385.26</v>
      </c>
      <c r="J975" s="10">
        <v>0.709</v>
      </c>
      <c r="K975" s="11">
        <v>200</v>
      </c>
      <c r="L975" s="10">
        <v>0.709</v>
      </c>
      <c r="M975" s="11">
        <v>442.11</v>
      </c>
      <c r="N975" s="10">
        <v>0.6866</v>
      </c>
      <c r="O975" s="11">
        <v>395.16</v>
      </c>
      <c r="P975" s="10">
        <v>0.8731</v>
      </c>
      <c r="Q975" s="10">
        <v>0.2702</v>
      </c>
      <c r="R975" s="10">
        <v>0.709</v>
      </c>
      <c r="S975" s="10">
        <v>0.2052</v>
      </c>
      <c r="T975" s="8">
        <f>IF(and(ISNUMBER(D975), isnumber(E975)), 1, 0) + IF(and(ISNUMBER(F975), isnumber(G975)), 1, 0) + IF(and(ISNUMBER(H975), isnumber(I975)), 1, 0) + IF(and(ISNUMBER(J975), isnumber(K975)), 1, 0) + IF(and(ISNUMBER(L975), isnumber(M975)), 1, 0) + IF(and(ISNUMBER(N975), isnumber(O975)), 1, 0)</f>
      </c>
      <c r="U975" s="8">
        <f>IF(and(ISNUMBER(P975), isnumber(Q975)), 1, 0) + IF(and(ISNUMBER(R975), isnumber(S975)), 1, 0)</f>
      </c>
      <c r="V975" s="13"/>
      <c r="W975" s="13"/>
      <c r="X975" s="16"/>
    </row>
    <row x14ac:dyDescent="0.25" r="976" customHeight="1" ht="15.75">
      <c r="A976" s="8">
        <v>25200</v>
      </c>
      <c r="B976" s="13" t="s">
        <v>391</v>
      </c>
      <c r="C976" s="13" t="s">
        <v>6739</v>
      </c>
      <c r="D976" s="10">
        <v>0.9127</v>
      </c>
      <c r="E976" s="11">
        <v>492.17</v>
      </c>
      <c r="F976" s="10">
        <v>0.8254</v>
      </c>
      <c r="G976" s="11">
        <v>540</v>
      </c>
      <c r="H976" s="10">
        <v>0.8333</v>
      </c>
      <c r="I976" s="11">
        <v>548.85</v>
      </c>
      <c r="J976" s="10">
        <v>0.8095</v>
      </c>
      <c r="K976" s="11">
        <v>545.1</v>
      </c>
      <c r="L976" s="10">
        <v>0.7698</v>
      </c>
      <c r="M976" s="11">
        <v>604.12</v>
      </c>
      <c r="N976" s="10">
        <v>0.7143</v>
      </c>
      <c r="O976" s="11">
        <v>560.45</v>
      </c>
      <c r="P976" s="10">
        <v>0.9127</v>
      </c>
      <c r="Q976" s="10">
        <v>0.3443</v>
      </c>
      <c r="R976" s="10">
        <v>0.8095</v>
      </c>
      <c r="S976" s="10">
        <v>0.2614</v>
      </c>
      <c r="T976" s="8">
        <f>IF(and(ISNUMBER(D976), isnumber(E976)), 1, 0) + IF(and(ISNUMBER(F976), isnumber(G976)), 1, 0) + IF(and(ISNUMBER(H976), isnumber(I976)), 1, 0) + IF(and(ISNUMBER(J976), isnumber(K976)), 1, 0) + IF(and(ISNUMBER(L976), isnumber(M976)), 1, 0) + IF(and(ISNUMBER(N976), isnumber(O976)), 1, 0)</f>
      </c>
      <c r="U976" s="8">
        <f>IF(and(ISNUMBER(P976), isnumber(Q976)), 1, 0) + IF(and(ISNUMBER(R976), isnumber(S976)), 1, 0)</f>
      </c>
      <c r="V976" s="13"/>
      <c r="W976" s="13"/>
      <c r="X976" s="16"/>
    </row>
    <row x14ac:dyDescent="0.25" r="977" customHeight="1" ht="15.75">
      <c r="A977" s="8">
        <v>25161</v>
      </c>
      <c r="B977" s="13" t="s">
        <v>391</v>
      </c>
      <c r="C977" s="13" t="s">
        <v>6744</v>
      </c>
      <c r="D977" s="10">
        <v>0.8163</v>
      </c>
      <c r="E977" s="11">
        <v>215.43</v>
      </c>
      <c r="F977" s="10">
        <v>0.7857</v>
      </c>
      <c r="G977" s="11">
        <v>344.93</v>
      </c>
      <c r="H977" s="10">
        <v>0.4198</v>
      </c>
      <c r="I977" s="11" t="s">
        <v>7127</v>
      </c>
      <c r="J977" s="10">
        <v>0.7391</v>
      </c>
      <c r="K977" s="11">
        <v>311.67</v>
      </c>
      <c r="L977" s="10">
        <v>0.6336</v>
      </c>
      <c r="M977" s="11">
        <v>336.74</v>
      </c>
      <c r="N977" s="10">
        <v>0.5267</v>
      </c>
      <c r="O977" s="11">
        <v>378.55</v>
      </c>
      <c r="P977" s="10">
        <v>0.8163</v>
      </c>
      <c r="Q977" s="10">
        <v>0.2353</v>
      </c>
      <c r="R977" s="10">
        <v>0.7391</v>
      </c>
      <c r="S977" s="10">
        <v>0.2056</v>
      </c>
      <c r="T977" s="8">
        <f>IF(and(ISNUMBER(D977), isnumber(E977)), 1, 0) + IF(and(ISNUMBER(F977), isnumber(G977)), 1, 0) + IF(and(ISNUMBER(H977), isnumber(I977)), 1, 0) + IF(and(ISNUMBER(J977), isnumber(K977)), 1, 0) + IF(and(ISNUMBER(L977), isnumber(M977)), 1, 0) + IF(and(ISNUMBER(N977), isnumber(O977)), 1, 0)</f>
      </c>
      <c r="U977" s="8">
        <f>IF(and(ISNUMBER(P977), isnumber(Q977)), 1, 0) + IF(and(ISNUMBER(R977), isnumber(S977)), 1, 0)</f>
      </c>
      <c r="V977" s="13"/>
      <c r="W977" s="13"/>
      <c r="X977" s="16"/>
    </row>
    <row x14ac:dyDescent="0.25" r="978" customHeight="1" ht="15.75">
      <c r="A978" s="8">
        <v>25225</v>
      </c>
      <c r="B978" s="13" t="s">
        <v>391</v>
      </c>
      <c r="C978" s="13" t="s">
        <v>6745</v>
      </c>
      <c r="D978" s="10">
        <v>1</v>
      </c>
      <c r="E978" s="11">
        <v>203.81</v>
      </c>
      <c r="F978" s="10">
        <v>0.7188</v>
      </c>
      <c r="G978" s="11">
        <v>430.05</v>
      </c>
      <c r="H978" s="10">
        <v>0.6488</v>
      </c>
      <c r="I978" s="11" t="s">
        <v>7127</v>
      </c>
      <c r="J978" s="10">
        <v>0.7613</v>
      </c>
      <c r="K978" s="11">
        <v>217.65</v>
      </c>
      <c r="L978" s="10">
        <v>0.7381</v>
      </c>
      <c r="M978" s="11">
        <v>455.36</v>
      </c>
      <c r="N978" s="10">
        <v>0.6607</v>
      </c>
      <c r="O978" s="11">
        <v>462.76</v>
      </c>
      <c r="P978" s="10">
        <v>1</v>
      </c>
      <c r="Q978" s="10">
        <v>0.2128</v>
      </c>
      <c r="R978" s="10">
        <v>0.7613</v>
      </c>
      <c r="S978" s="10">
        <v>0.2224</v>
      </c>
      <c r="T978" s="8">
        <f>IF(and(ISNUMBER(D978), isnumber(E978)), 1, 0) + IF(and(ISNUMBER(F978), isnumber(G978)), 1, 0) + IF(and(ISNUMBER(H978), isnumber(I978)), 1, 0) + IF(and(ISNUMBER(J978), isnumber(K978)), 1, 0) + IF(and(ISNUMBER(L978), isnumber(M978)), 1, 0) + IF(and(ISNUMBER(N978), isnumber(O978)), 1, 0)</f>
      </c>
      <c r="U978" s="8">
        <f>IF(and(ISNUMBER(P978), isnumber(Q978)), 1, 0) + IF(and(ISNUMBER(R978), isnumber(S978)), 1, 0)</f>
      </c>
      <c r="V978" s="13"/>
      <c r="W978" s="13"/>
      <c r="X978" s="16"/>
    </row>
    <row x14ac:dyDescent="0.25" r="979" customHeight="1" ht="15.75">
      <c r="A979" s="8">
        <v>25181</v>
      </c>
      <c r="B979" s="13" t="s">
        <v>391</v>
      </c>
      <c r="C979" s="13" t="s">
        <v>6747</v>
      </c>
      <c r="D979" s="10">
        <v>0.6557</v>
      </c>
      <c r="E979" s="11">
        <v>300.31</v>
      </c>
      <c r="F979" s="10">
        <v>0.5509</v>
      </c>
      <c r="G979" s="11">
        <v>379.78</v>
      </c>
      <c r="H979" s="10">
        <v>0.4581</v>
      </c>
      <c r="I979" s="11">
        <v>462.89</v>
      </c>
      <c r="J979" s="10">
        <v>0.6377</v>
      </c>
      <c r="K979" s="11">
        <v>353.65</v>
      </c>
      <c r="L979" s="10">
        <v>0.5988</v>
      </c>
      <c r="M979" s="11">
        <v>413.6</v>
      </c>
      <c r="N979" s="10">
        <v>0.6168</v>
      </c>
      <c r="O979" s="11">
        <v>406.11</v>
      </c>
      <c r="P979" s="10">
        <v>0.6557</v>
      </c>
      <c r="Q979" s="10">
        <v>0.2537</v>
      </c>
      <c r="R979" s="10">
        <v>0.6377</v>
      </c>
      <c r="S979" s="10">
        <v>0.2034</v>
      </c>
      <c r="T979" s="8">
        <f>IF(and(ISNUMBER(D979), isnumber(E979)), 1, 0) + IF(and(ISNUMBER(F979), isnumber(G979)), 1, 0) + IF(and(ISNUMBER(H979), isnumber(I979)), 1, 0) + IF(and(ISNUMBER(J979), isnumber(K979)), 1, 0) + IF(and(ISNUMBER(L979), isnumber(M979)), 1, 0) + IF(and(ISNUMBER(N979), isnumber(O979)), 1, 0)</f>
      </c>
      <c r="U979" s="8">
        <f>IF(and(ISNUMBER(P979), isnumber(Q979)), 1, 0) + IF(and(ISNUMBER(R979), isnumber(S979)), 1, 0)</f>
      </c>
      <c r="V979" s="13"/>
      <c r="W979" s="13"/>
      <c r="X979" s="16"/>
    </row>
    <row x14ac:dyDescent="0.25" r="980" customHeight="1" ht="15.75">
      <c r="A980" s="8">
        <v>25231</v>
      </c>
      <c r="B980" s="13" t="s">
        <v>391</v>
      </c>
      <c r="C980" s="13" t="s">
        <v>6749</v>
      </c>
      <c r="D980" s="10">
        <v>0.9588</v>
      </c>
      <c r="E980" s="11">
        <v>292.47</v>
      </c>
      <c r="F980" s="10">
        <v>0.9588</v>
      </c>
      <c r="G980" s="11">
        <v>232.73</v>
      </c>
      <c r="H980" s="10">
        <v>0.9794</v>
      </c>
      <c r="I980" s="11">
        <v>293.47</v>
      </c>
      <c r="J980" s="10">
        <v>0.9897</v>
      </c>
      <c r="K980" s="11">
        <v>253.33</v>
      </c>
      <c r="L980" s="10">
        <v>0.9691</v>
      </c>
      <c r="M980" s="11">
        <v>273.62</v>
      </c>
      <c r="N980" s="10">
        <v>0.9794</v>
      </c>
      <c r="O980" s="11">
        <v>339.15</v>
      </c>
      <c r="P980" s="10">
        <v>0.9588</v>
      </c>
      <c r="Q980" s="10">
        <v>0.2306</v>
      </c>
      <c r="R980" s="10">
        <v>0.9897</v>
      </c>
      <c r="S980" s="10">
        <v>0.1351</v>
      </c>
      <c r="T980" s="8">
        <f>IF(and(ISNUMBER(D980), isnumber(E980)), 1, 0) + IF(and(ISNUMBER(F980), isnumber(G980)), 1, 0) + IF(and(ISNUMBER(H980), isnumber(I980)), 1, 0) + IF(and(ISNUMBER(J980), isnumber(K980)), 1, 0) + IF(and(ISNUMBER(L980), isnumber(M980)), 1, 0) + IF(and(ISNUMBER(N980), isnumber(O980)), 1, 0)</f>
      </c>
      <c r="U980" s="8">
        <f>IF(and(ISNUMBER(P980), isnumber(Q980)), 1, 0) + IF(and(ISNUMBER(R980), isnumber(S980)), 1, 0)</f>
      </c>
      <c r="V980" s="13"/>
      <c r="W980" s="13"/>
      <c r="X980" s="16"/>
    </row>
    <row x14ac:dyDescent="0.25" r="981" customHeight="1" ht="15.75">
      <c r="A981" s="8">
        <v>25201</v>
      </c>
      <c r="B981" s="13" t="s">
        <v>391</v>
      </c>
      <c r="C981" s="13" t="s">
        <v>6752</v>
      </c>
      <c r="D981" s="10">
        <v>0.6911</v>
      </c>
      <c r="E981" s="11">
        <v>366.18</v>
      </c>
      <c r="F981" s="10">
        <v>0.5602</v>
      </c>
      <c r="G981" s="11">
        <v>495.56</v>
      </c>
      <c r="H981" s="10">
        <v>0.4925</v>
      </c>
      <c r="I981" s="11">
        <v>525.05</v>
      </c>
      <c r="J981" s="10">
        <v>0.5579</v>
      </c>
      <c r="K981" s="11">
        <v>468.44</v>
      </c>
      <c r="L981" s="10">
        <v>0.4925</v>
      </c>
      <c r="M981" s="11">
        <v>562.86</v>
      </c>
      <c r="N981" s="10">
        <v>0.5025</v>
      </c>
      <c r="O981" s="11">
        <v>452.57</v>
      </c>
      <c r="P981" s="10">
        <v>0.6911</v>
      </c>
      <c r="Q981" s="10">
        <v>0.2699</v>
      </c>
      <c r="R981" s="10">
        <v>0.5579</v>
      </c>
      <c r="S981" s="10">
        <v>0.2311</v>
      </c>
      <c r="T981" s="8">
        <f>IF(and(ISNUMBER(D981), isnumber(E981)), 1, 0) + IF(and(ISNUMBER(F981), isnumber(G981)), 1, 0) + IF(and(ISNUMBER(H981), isnumber(I981)), 1, 0) + IF(and(ISNUMBER(J981), isnumber(K981)), 1, 0) + IF(and(ISNUMBER(L981), isnumber(M981)), 1, 0) + IF(and(ISNUMBER(N981), isnumber(O981)), 1, 0)</f>
      </c>
      <c r="U981" s="8">
        <f>IF(and(ISNUMBER(P981), isnumber(Q981)), 1, 0) + IF(and(ISNUMBER(R981), isnumber(S981)), 1, 0)</f>
      </c>
      <c r="V981" s="13"/>
      <c r="W981" s="13"/>
      <c r="X981" s="16"/>
    </row>
    <row x14ac:dyDescent="0.25" r="982" customHeight="1" ht="15.75">
      <c r="A982" s="8">
        <v>25202</v>
      </c>
      <c r="B982" s="13" t="s">
        <v>391</v>
      </c>
      <c r="C982" s="13" t="s">
        <v>13640</v>
      </c>
      <c r="D982" s="10">
        <v>0.0222</v>
      </c>
      <c r="E982" s="11">
        <v>360</v>
      </c>
      <c r="F982" s="10">
        <v>0.9333</v>
      </c>
      <c r="G982" s="11">
        <v>502.86</v>
      </c>
      <c r="H982" s="10">
        <v>0.8889</v>
      </c>
      <c r="I982" s="11">
        <v>558</v>
      </c>
      <c r="J982" s="10">
        <v>0.8667</v>
      </c>
      <c r="K982" s="11">
        <v>500.51</v>
      </c>
      <c r="L982" s="10">
        <v>0.7556</v>
      </c>
      <c r="M982" s="11">
        <v>524.85</v>
      </c>
      <c r="N982" s="10">
        <v>0.9111</v>
      </c>
      <c r="O982" s="11">
        <v>484.88</v>
      </c>
      <c r="P982" s="10">
        <v>0.0222</v>
      </c>
      <c r="Q982" s="10" t="s">
        <v>7127</v>
      </c>
      <c r="R982" s="10">
        <v>0.8667</v>
      </c>
      <c r="S982" s="10">
        <v>0.2343</v>
      </c>
      <c r="T982" s="8">
        <f>IF(and(ISNUMBER(D982), isnumber(E982)), 1, 0) + IF(and(ISNUMBER(F982), isnumber(G982)), 1, 0) + IF(and(ISNUMBER(H982), isnumber(I982)), 1, 0) + IF(and(ISNUMBER(J982), isnumber(K982)), 1, 0) + IF(and(ISNUMBER(L982), isnumber(M982)), 1, 0) + IF(and(ISNUMBER(N982), isnumber(O982)), 1, 0)</f>
      </c>
      <c r="U982" s="8">
        <f>IF(and(ISNUMBER(P982), isnumber(Q982)), 1, 0) + IF(and(ISNUMBER(R982), isnumber(S982)), 1, 0)</f>
      </c>
      <c r="V982" s="13"/>
      <c r="W982" s="13"/>
      <c r="X982" s="16"/>
    </row>
    <row x14ac:dyDescent="0.25" r="983" customHeight="1" ht="15.75">
      <c r="A983" s="8">
        <v>25182</v>
      </c>
      <c r="B983" s="13" t="s">
        <v>391</v>
      </c>
      <c r="C983" s="13" t="s">
        <v>6755</v>
      </c>
      <c r="D983" s="10">
        <v>0.815</v>
      </c>
      <c r="E983" s="11">
        <v>223.52</v>
      </c>
      <c r="F983" s="10">
        <v>0.7269</v>
      </c>
      <c r="G983" s="11">
        <v>374.91</v>
      </c>
      <c r="H983" s="10">
        <v>0.7841</v>
      </c>
      <c r="I983" s="11">
        <v>420.68</v>
      </c>
      <c r="J983" s="10">
        <v>0.5771</v>
      </c>
      <c r="K983" s="11">
        <v>379.57</v>
      </c>
      <c r="L983" s="10">
        <v>0.6079</v>
      </c>
      <c r="M983" s="11">
        <v>503.77</v>
      </c>
      <c r="N983" s="10">
        <v>0.2952</v>
      </c>
      <c r="O983" s="11">
        <v>625.45</v>
      </c>
      <c r="P983" s="10">
        <v>0.815</v>
      </c>
      <c r="Q983" s="10">
        <v>0.2438</v>
      </c>
      <c r="R983" s="10">
        <v>0.5771</v>
      </c>
      <c r="S983" s="10">
        <v>0.2184</v>
      </c>
      <c r="T983" s="8">
        <f>IF(and(ISNUMBER(D983), isnumber(E983)), 1, 0) + IF(and(ISNUMBER(F983), isnumber(G983)), 1, 0) + IF(and(ISNUMBER(H983), isnumber(I983)), 1, 0) + IF(and(ISNUMBER(J983), isnumber(K983)), 1, 0) + IF(and(ISNUMBER(L983), isnumber(M983)), 1, 0) + IF(and(ISNUMBER(N983), isnumber(O983)), 1, 0)</f>
      </c>
      <c r="U983" s="8">
        <f>IF(and(ISNUMBER(P983), isnumber(Q983)), 1, 0) + IF(and(ISNUMBER(R983), isnumber(S983)), 1, 0)</f>
      </c>
      <c r="V983" s="13"/>
      <c r="W983" s="13"/>
      <c r="X983" s="16"/>
    </row>
    <row x14ac:dyDescent="0.25" r="984" customHeight="1" ht="15.75">
      <c r="A984" s="8">
        <v>25170</v>
      </c>
      <c r="B984" s="13" t="s">
        <v>391</v>
      </c>
      <c r="C984" s="13" t="s">
        <v>6758</v>
      </c>
      <c r="D984" s="10">
        <v>1</v>
      </c>
      <c r="E984" s="11">
        <v>376</v>
      </c>
      <c r="F984" s="10">
        <v>0.85</v>
      </c>
      <c r="G984" s="11">
        <v>374.12</v>
      </c>
      <c r="H984" s="10">
        <v>0.95</v>
      </c>
      <c r="I984" s="11">
        <v>486.32</v>
      </c>
      <c r="J984" s="10">
        <v>0.9</v>
      </c>
      <c r="K984" s="11">
        <v>462.22</v>
      </c>
      <c r="L984" s="10">
        <v>0.9</v>
      </c>
      <c r="M984" s="11">
        <v>557.65</v>
      </c>
      <c r="N984" s="10">
        <v>0.85</v>
      </c>
      <c r="O984" s="11">
        <v>524.71</v>
      </c>
      <c r="P984" s="10">
        <v>1</v>
      </c>
      <c r="Q984" s="10">
        <v>0.2622</v>
      </c>
      <c r="R984" s="10">
        <v>0.9</v>
      </c>
      <c r="S984" s="10">
        <v>0.2253</v>
      </c>
      <c r="T984" s="8">
        <f>IF(and(ISNUMBER(D984), isnumber(E984)), 1, 0) + IF(and(ISNUMBER(F984), isnumber(G984)), 1, 0) + IF(and(ISNUMBER(H984), isnumber(I984)), 1, 0) + IF(and(ISNUMBER(J984), isnumber(K984)), 1, 0) + IF(and(ISNUMBER(L984), isnumber(M984)), 1, 0) + IF(and(ISNUMBER(N984), isnumber(O984)), 1, 0)</f>
      </c>
      <c r="U984" s="8">
        <f>IF(and(ISNUMBER(P984), isnumber(Q984)), 1, 0) + IF(and(ISNUMBER(R984), isnumber(S984)), 1, 0)</f>
      </c>
      <c r="V984" s="13"/>
      <c r="W984" s="13"/>
      <c r="X984" s="16"/>
    </row>
    <row x14ac:dyDescent="0.25" r="985" customHeight="1" ht="15.75">
      <c r="A985" s="8">
        <v>25190</v>
      </c>
      <c r="B985" s="13" t="s">
        <v>391</v>
      </c>
      <c r="C985" s="13" t="s">
        <v>6760</v>
      </c>
      <c r="D985" s="10">
        <v>0.9737</v>
      </c>
      <c r="E985" s="11">
        <v>440</v>
      </c>
      <c r="F985" s="10">
        <v>0.9737</v>
      </c>
      <c r="G985" s="11">
        <v>435.68</v>
      </c>
      <c r="H985" s="10">
        <v>1</v>
      </c>
      <c r="I985" s="11">
        <v>496.84</v>
      </c>
      <c r="J985" s="10">
        <v>1</v>
      </c>
      <c r="K985" s="11">
        <v>412.97</v>
      </c>
      <c r="L985" s="10">
        <v>1</v>
      </c>
      <c r="M985" s="11">
        <v>383.16</v>
      </c>
      <c r="N985" s="10">
        <v>1</v>
      </c>
      <c r="O985" s="11">
        <v>453.68</v>
      </c>
      <c r="P985" s="10">
        <v>0.9737</v>
      </c>
      <c r="Q985" s="10">
        <v>0.3055</v>
      </c>
      <c r="R985" s="10">
        <v>1</v>
      </c>
      <c r="S985" s="10">
        <v>0.144</v>
      </c>
      <c r="T985" s="8">
        <f>IF(and(ISNUMBER(D985), isnumber(E985)), 1, 0) + IF(and(ISNUMBER(F985), isnumber(G985)), 1, 0) + IF(and(ISNUMBER(H985), isnumber(I985)), 1, 0) + IF(and(ISNUMBER(J985), isnumber(K985)), 1, 0) + IF(and(ISNUMBER(L985), isnumber(M985)), 1, 0) + IF(and(ISNUMBER(N985), isnumber(O985)), 1, 0)</f>
      </c>
      <c r="U985" s="8">
        <f>IF(and(ISNUMBER(P985), isnumber(Q985)), 1, 0) + IF(and(ISNUMBER(R985), isnumber(S985)), 1, 0)</f>
      </c>
      <c r="V985" s="13"/>
      <c r="W985" s="13"/>
      <c r="X985" s="16"/>
    </row>
    <row x14ac:dyDescent="0.25" r="986" customHeight="1" ht="15.75">
      <c r="A986" s="8">
        <v>25203</v>
      </c>
      <c r="B986" s="13" t="s">
        <v>391</v>
      </c>
      <c r="C986" s="13" t="s">
        <v>6762</v>
      </c>
      <c r="D986" s="10">
        <v>0.7917</v>
      </c>
      <c r="E986" s="11">
        <v>278.16</v>
      </c>
      <c r="F986" s="10">
        <v>0.6302</v>
      </c>
      <c r="G986" s="11">
        <v>424.37</v>
      </c>
      <c r="H986" s="10">
        <v>0.5</v>
      </c>
      <c r="I986" s="11">
        <v>429.64</v>
      </c>
      <c r="J986" s="10">
        <v>0.573</v>
      </c>
      <c r="K986" s="11">
        <v>292.22</v>
      </c>
      <c r="L986" s="10">
        <v>0.4554</v>
      </c>
      <c r="M986" s="11">
        <v>398.62</v>
      </c>
      <c r="N986" s="10">
        <v>0.5594</v>
      </c>
      <c r="O986" s="11">
        <v>403.18</v>
      </c>
      <c r="P986" s="10">
        <v>0.7917</v>
      </c>
      <c r="Q986" s="10">
        <v>0.2533</v>
      </c>
      <c r="R986" s="10">
        <v>0.573</v>
      </c>
      <c r="S986" s="10">
        <v>0.203</v>
      </c>
      <c r="T986" s="8">
        <f>IF(and(ISNUMBER(D986), isnumber(E986)), 1, 0) + IF(and(ISNUMBER(F986), isnumber(G986)), 1, 0) + IF(and(ISNUMBER(H986), isnumber(I986)), 1, 0) + IF(and(ISNUMBER(J986), isnumber(K986)), 1, 0) + IF(and(ISNUMBER(L986), isnumber(M986)), 1, 0) + IF(and(ISNUMBER(N986), isnumber(O986)), 1, 0)</f>
      </c>
      <c r="U986" s="8">
        <f>IF(and(ISNUMBER(P986), isnumber(Q986)), 1, 0) + IF(and(ISNUMBER(R986), isnumber(S986)), 1, 0)</f>
      </c>
      <c r="V986" s="13"/>
      <c r="W986" s="13"/>
      <c r="X986" s="16"/>
    </row>
    <row x14ac:dyDescent="0.25" r="987" customHeight="1" ht="15.75">
      <c r="A987" s="8">
        <v>25171</v>
      </c>
      <c r="B987" s="13" t="s">
        <v>391</v>
      </c>
      <c r="C987" s="13" t="s">
        <v>6765</v>
      </c>
      <c r="D987" s="10">
        <v>0.8824</v>
      </c>
      <c r="E987" s="11">
        <v>290.37</v>
      </c>
      <c r="F987" s="10">
        <v>0</v>
      </c>
      <c r="G987" s="11" t="s">
        <v>7127</v>
      </c>
      <c r="H987" s="10">
        <v>0.7941</v>
      </c>
      <c r="I987" s="11">
        <v>482.96</v>
      </c>
      <c r="J987" s="10">
        <v>0.7353</v>
      </c>
      <c r="K987" s="11">
        <v>296</v>
      </c>
      <c r="L987" s="10">
        <v>0.6176</v>
      </c>
      <c r="M987" s="11">
        <v>430.48</v>
      </c>
      <c r="N987" s="10">
        <v>0.6765</v>
      </c>
      <c r="O987" s="11">
        <v>520</v>
      </c>
      <c r="P987" s="10">
        <v>0.8824</v>
      </c>
      <c r="Q987" s="10">
        <v>0.255</v>
      </c>
      <c r="R987" s="10">
        <v>0.7353</v>
      </c>
      <c r="S987" s="10">
        <v>0.2159</v>
      </c>
      <c r="T987" s="8">
        <f>IF(and(ISNUMBER(D987), isnumber(E987)), 1, 0) + IF(and(ISNUMBER(F987), isnumber(G987)), 1, 0) + IF(and(ISNUMBER(H987), isnumber(I987)), 1, 0) + IF(and(ISNUMBER(J987), isnumber(K987)), 1, 0) + IF(and(ISNUMBER(L987), isnumber(M987)), 1, 0) + IF(and(ISNUMBER(N987), isnumber(O987)), 1, 0)</f>
      </c>
      <c r="U987" s="8">
        <f>IF(and(ISNUMBER(P987), isnumber(Q987)), 1, 0) + IF(and(ISNUMBER(R987), isnumber(S987)), 1, 0)</f>
      </c>
      <c r="V987" s="13"/>
      <c r="W987" s="13"/>
      <c r="X987" s="16"/>
    </row>
    <row x14ac:dyDescent="0.25" r="988" customHeight="1" ht="15.75">
      <c r="A988" s="8">
        <v>25204</v>
      </c>
      <c r="B988" s="13" t="s">
        <v>391</v>
      </c>
      <c r="C988" s="13" t="s">
        <v>6766</v>
      </c>
      <c r="D988" s="10">
        <v>0.712</v>
      </c>
      <c r="E988" s="11">
        <v>440</v>
      </c>
      <c r="F988" s="10">
        <v>0.584</v>
      </c>
      <c r="G988" s="11">
        <v>531.11</v>
      </c>
      <c r="H988" s="10">
        <v>0.664</v>
      </c>
      <c r="I988" s="11">
        <v>559.51</v>
      </c>
      <c r="J988" s="10">
        <v>0.696</v>
      </c>
      <c r="K988" s="11">
        <v>555.76</v>
      </c>
      <c r="L988" s="10">
        <v>0.696</v>
      </c>
      <c r="M988" s="11">
        <v>604.6</v>
      </c>
      <c r="N988" s="10">
        <v>0.672</v>
      </c>
      <c r="O988" s="11">
        <v>624.39</v>
      </c>
      <c r="P988" s="10">
        <v>0.712</v>
      </c>
      <c r="Q988" s="10">
        <v>0.2749</v>
      </c>
      <c r="R988" s="10">
        <v>0.696</v>
      </c>
      <c r="S988" s="10">
        <v>0.2156</v>
      </c>
      <c r="T988" s="8">
        <f>IF(and(ISNUMBER(D988), isnumber(E988)), 1, 0) + IF(and(ISNUMBER(F988), isnumber(G988)), 1, 0) + IF(and(ISNUMBER(H988), isnumber(I988)), 1, 0) + IF(and(ISNUMBER(J988), isnumber(K988)), 1, 0) + IF(and(ISNUMBER(L988), isnumber(M988)), 1, 0) + IF(and(ISNUMBER(N988), isnumber(O988)), 1, 0)</f>
      </c>
      <c r="U988" s="8">
        <f>IF(and(ISNUMBER(P988), isnumber(Q988)), 1, 0) + IF(and(ISNUMBER(R988), isnumber(S988)), 1, 0)</f>
      </c>
      <c r="V988" s="13"/>
      <c r="W988" s="13"/>
      <c r="X988" s="16"/>
    </row>
    <row x14ac:dyDescent="0.25" r="989" customHeight="1" ht="15.75">
      <c r="A989" s="8">
        <v>25205</v>
      </c>
      <c r="B989" s="13" t="s">
        <v>391</v>
      </c>
      <c r="C989" s="13" t="s">
        <v>6771</v>
      </c>
      <c r="D989" s="10">
        <v>0.812</v>
      </c>
      <c r="E989" s="11">
        <v>428.21</v>
      </c>
      <c r="F989" s="10">
        <v>0.7949</v>
      </c>
      <c r="G989" s="11">
        <v>495.91</v>
      </c>
      <c r="H989" s="10">
        <v>0.5643</v>
      </c>
      <c r="I989" s="11">
        <v>554.94</v>
      </c>
      <c r="J989" s="10">
        <v>0.5377</v>
      </c>
      <c r="K989" s="11">
        <v>425.96</v>
      </c>
      <c r="L989" s="10">
        <v>0.5857</v>
      </c>
      <c r="M989" s="11">
        <v>436.59</v>
      </c>
      <c r="N989" s="10">
        <v>0.6571</v>
      </c>
      <c r="O989" s="11">
        <v>581.74</v>
      </c>
      <c r="P989" s="10">
        <v>0.812</v>
      </c>
      <c r="Q989" s="10">
        <v>0.2916</v>
      </c>
      <c r="R989" s="10">
        <v>0.5377</v>
      </c>
      <c r="S989" s="10">
        <v>0.243</v>
      </c>
      <c r="T989" s="8">
        <f>IF(and(ISNUMBER(D989), isnumber(E989)), 1, 0) + IF(and(ISNUMBER(F989), isnumber(G989)), 1, 0) + IF(and(ISNUMBER(H989), isnumber(I989)), 1, 0) + IF(and(ISNUMBER(J989), isnumber(K989)), 1, 0) + IF(and(ISNUMBER(L989), isnumber(M989)), 1, 0) + IF(and(ISNUMBER(N989), isnumber(O989)), 1, 0)</f>
      </c>
      <c r="U989" s="8">
        <f>IF(and(ISNUMBER(P989), isnumber(Q989)), 1, 0) + IF(and(ISNUMBER(R989), isnumber(S989)), 1, 0)</f>
      </c>
      <c r="V989" s="13"/>
      <c r="W989" s="13"/>
      <c r="X989" s="16"/>
    </row>
    <row x14ac:dyDescent="0.25" r="990" customHeight="1" ht="15.75">
      <c r="A990" s="8">
        <v>25156</v>
      </c>
      <c r="B990" s="13" t="s">
        <v>391</v>
      </c>
      <c r="C990" s="13" t="s">
        <v>6774</v>
      </c>
      <c r="D990" s="10">
        <v>0.9608</v>
      </c>
      <c r="E990" s="11">
        <v>295.83</v>
      </c>
      <c r="F990" s="10">
        <v>0.8235</v>
      </c>
      <c r="G990" s="11">
        <v>431.43</v>
      </c>
      <c r="H990" s="10">
        <v>0.7647</v>
      </c>
      <c r="I990" s="11">
        <v>475.9</v>
      </c>
      <c r="J990" s="10">
        <v>0.7059</v>
      </c>
      <c r="K990" s="11">
        <v>432</v>
      </c>
      <c r="L990" s="10">
        <v>0.7059</v>
      </c>
      <c r="M990" s="11">
        <v>448.89</v>
      </c>
      <c r="N990" s="10">
        <v>0.7255</v>
      </c>
      <c r="O990" s="11">
        <v>443.24</v>
      </c>
      <c r="P990" s="10">
        <v>0.9608</v>
      </c>
      <c r="Q990" s="10">
        <v>0.2564</v>
      </c>
      <c r="R990" s="10">
        <v>0.7059</v>
      </c>
      <c r="S990" s="10">
        <v>0.2116</v>
      </c>
      <c r="T990" s="8">
        <f>IF(and(ISNUMBER(D990), isnumber(E990)), 1, 0) + IF(and(ISNUMBER(F990), isnumber(G990)), 1, 0) + IF(and(ISNUMBER(H990), isnumber(I990)), 1, 0) + IF(and(ISNUMBER(J990), isnumber(K990)), 1, 0) + IF(and(ISNUMBER(L990), isnumber(M990)), 1, 0) + IF(and(ISNUMBER(N990), isnumber(O990)), 1, 0)</f>
      </c>
      <c r="U990" s="8">
        <f>IF(and(ISNUMBER(P990), isnumber(Q990)), 1, 0) + IF(and(ISNUMBER(R990), isnumber(S990)), 1, 0)</f>
      </c>
      <c r="V990" s="13"/>
      <c r="W990" s="13"/>
      <c r="X990" s="16"/>
    </row>
    <row x14ac:dyDescent="0.25" r="991" customHeight="1" ht="15.75">
      <c r="A991" s="8">
        <v>25206</v>
      </c>
      <c r="B991" s="13" t="s">
        <v>391</v>
      </c>
      <c r="C991" s="13" t="s">
        <v>6777</v>
      </c>
      <c r="D991" s="10">
        <v>0.9308</v>
      </c>
      <c r="E991" s="11">
        <v>295.53</v>
      </c>
      <c r="F991" s="10">
        <v>0.7538</v>
      </c>
      <c r="G991" s="11">
        <v>471.02</v>
      </c>
      <c r="H991" s="10">
        <v>0.618</v>
      </c>
      <c r="I991" s="11">
        <v>515.61</v>
      </c>
      <c r="J991" s="10">
        <v>0.6504</v>
      </c>
      <c r="K991" s="11">
        <v>524</v>
      </c>
      <c r="L991" s="10">
        <v>0.5206</v>
      </c>
      <c r="M991" s="11">
        <v>516.77</v>
      </c>
      <c r="N991" s="10">
        <v>0.5955</v>
      </c>
      <c r="O991" s="11">
        <v>537.11</v>
      </c>
      <c r="P991" s="10">
        <v>0.9308</v>
      </c>
      <c r="Q991" s="10">
        <v>0.259</v>
      </c>
      <c r="R991" s="10">
        <v>0.6504</v>
      </c>
      <c r="S991" s="10">
        <v>0.2244</v>
      </c>
      <c r="T991" s="8">
        <f>IF(and(ISNUMBER(D991), isnumber(E991)), 1, 0) + IF(and(ISNUMBER(F991), isnumber(G991)), 1, 0) + IF(and(ISNUMBER(H991), isnumber(I991)), 1, 0) + IF(and(ISNUMBER(J991), isnumber(K991)), 1, 0) + IF(and(ISNUMBER(L991), isnumber(M991)), 1, 0) + IF(and(ISNUMBER(N991), isnumber(O991)), 1, 0)</f>
      </c>
      <c r="U991" s="8">
        <f>IF(and(ISNUMBER(P991), isnumber(Q991)), 1, 0) + IF(and(ISNUMBER(R991), isnumber(S991)), 1, 0)</f>
      </c>
      <c r="V991" s="13"/>
      <c r="W991" s="13"/>
      <c r="X991" s="16"/>
    </row>
    <row x14ac:dyDescent="0.25" r="992" customHeight="1" ht="15.75">
      <c r="A992" s="8">
        <v>25207</v>
      </c>
      <c r="B992" s="13" t="s">
        <v>391</v>
      </c>
      <c r="C992" s="13" t="s">
        <v>6780</v>
      </c>
      <c r="D992" s="10">
        <v>0.8817</v>
      </c>
      <c r="E992" s="11">
        <v>251.79</v>
      </c>
      <c r="F992" s="10">
        <v>0.7419</v>
      </c>
      <c r="G992" s="11">
        <v>514.78</v>
      </c>
      <c r="H992" s="10">
        <v>0.6452</v>
      </c>
      <c r="I992" s="11">
        <v>479.33</v>
      </c>
      <c r="J992" s="10">
        <v>0.9462</v>
      </c>
      <c r="K992" s="11">
        <v>157.27</v>
      </c>
      <c r="L992" s="10">
        <v>0.4301</v>
      </c>
      <c r="M992" s="11">
        <v>381</v>
      </c>
      <c r="N992" s="10">
        <v>0.5484</v>
      </c>
      <c r="O992" s="11">
        <v>396.86</v>
      </c>
      <c r="P992" s="10">
        <v>0.8817</v>
      </c>
      <c r="Q992" s="10">
        <v>0.2264</v>
      </c>
      <c r="R992" s="10">
        <v>0.9462</v>
      </c>
      <c r="S992" s="10">
        <v>0.1148</v>
      </c>
      <c r="T992" s="8">
        <f>IF(and(ISNUMBER(D992), isnumber(E992)), 1, 0) + IF(and(ISNUMBER(F992), isnumber(G992)), 1, 0) + IF(and(ISNUMBER(H992), isnumber(I992)), 1, 0) + IF(and(ISNUMBER(J992), isnumber(K992)), 1, 0) + IF(and(ISNUMBER(L992), isnumber(M992)), 1, 0) + IF(and(ISNUMBER(N992), isnumber(O992)), 1, 0)</f>
      </c>
      <c r="U992" s="8">
        <f>IF(and(ISNUMBER(P992), isnumber(Q992)), 1, 0) + IF(and(ISNUMBER(R992), isnumber(S992)), 1, 0)</f>
      </c>
      <c r="V992" s="13"/>
      <c r="W992" s="13"/>
      <c r="X992" s="16"/>
    </row>
    <row x14ac:dyDescent="0.25" r="993" customHeight="1" ht="15.75">
      <c r="A993" s="8">
        <v>25208</v>
      </c>
      <c r="B993" s="13" t="s">
        <v>391</v>
      </c>
      <c r="C993" s="13" t="s">
        <v>6782</v>
      </c>
      <c r="D993" s="10">
        <v>0.9417</v>
      </c>
      <c r="E993" s="11">
        <v>190.52</v>
      </c>
      <c r="F993" s="10">
        <v>0.8252</v>
      </c>
      <c r="G993" s="11">
        <v>423.61</v>
      </c>
      <c r="H993" s="10">
        <v>0.7864</v>
      </c>
      <c r="I993" s="11">
        <v>448.61</v>
      </c>
      <c r="J993" s="10">
        <v>0.6505</v>
      </c>
      <c r="K993" s="11">
        <v>300.61</v>
      </c>
      <c r="L993" s="10">
        <v>0.767</v>
      </c>
      <c r="M993" s="11">
        <v>392.91</v>
      </c>
      <c r="N993" s="10">
        <v>0.7476</v>
      </c>
      <c r="O993" s="11">
        <v>424.66</v>
      </c>
      <c r="P993" s="10">
        <v>0.9417</v>
      </c>
      <c r="Q993" s="10">
        <v>0.2382</v>
      </c>
      <c r="R993" s="10">
        <v>0.6505</v>
      </c>
      <c r="S993" s="10">
        <v>0.2125</v>
      </c>
      <c r="T993" s="8">
        <f>IF(and(ISNUMBER(D993), isnumber(E993)), 1, 0) + IF(and(ISNUMBER(F993), isnumber(G993)), 1, 0) + IF(and(ISNUMBER(H993), isnumber(I993)), 1, 0) + IF(and(ISNUMBER(J993), isnumber(K993)), 1, 0) + IF(and(ISNUMBER(L993), isnumber(M993)), 1, 0) + IF(and(ISNUMBER(N993), isnumber(O993)), 1, 0)</f>
      </c>
      <c r="U993" s="8">
        <f>IF(and(ISNUMBER(P993), isnumber(Q993)), 1, 0) + IF(and(ISNUMBER(R993), isnumber(S993)), 1, 0)</f>
      </c>
      <c r="V993" s="13"/>
      <c r="W993" s="13"/>
      <c r="X993" s="16"/>
    </row>
    <row x14ac:dyDescent="0.25" r="994" customHeight="1" ht="15.75">
      <c r="A994" s="8">
        <v>25209</v>
      </c>
      <c r="B994" s="13" t="s">
        <v>391</v>
      </c>
      <c r="C994" s="13" t="s">
        <v>6786</v>
      </c>
      <c r="D994" s="10">
        <v>0.9292</v>
      </c>
      <c r="E994" s="11">
        <v>414.1</v>
      </c>
      <c r="F994" s="10">
        <v>0.6726</v>
      </c>
      <c r="G994" s="11">
        <v>440</v>
      </c>
      <c r="H994" s="10">
        <v>0.823</v>
      </c>
      <c r="I994" s="11">
        <v>541.3</v>
      </c>
      <c r="J994" s="10">
        <v>0.7876</v>
      </c>
      <c r="K994" s="11">
        <v>499.55</v>
      </c>
      <c r="L994" s="10">
        <v>0.6991</v>
      </c>
      <c r="M994" s="11">
        <v>545.64</v>
      </c>
      <c r="N994" s="10">
        <v>0.7434</v>
      </c>
      <c r="O994" s="11">
        <v>577.14</v>
      </c>
      <c r="P994" s="10">
        <v>0.9292</v>
      </c>
      <c r="Q994" s="10">
        <v>0.2819</v>
      </c>
      <c r="R994" s="10">
        <v>0.7876</v>
      </c>
      <c r="S994" s="10">
        <v>0.2423</v>
      </c>
      <c r="T994" s="8">
        <f>IF(and(ISNUMBER(D994), isnumber(E994)), 1, 0) + IF(and(ISNUMBER(F994), isnumber(G994)), 1, 0) + IF(and(ISNUMBER(H994), isnumber(I994)), 1, 0) + IF(and(ISNUMBER(J994), isnumber(K994)), 1, 0) + IF(and(ISNUMBER(L994), isnumber(M994)), 1, 0) + IF(and(ISNUMBER(N994), isnumber(O994)), 1, 0)</f>
      </c>
      <c r="U994" s="8">
        <f>IF(and(ISNUMBER(P994), isnumber(Q994)), 1, 0) + IF(and(ISNUMBER(R994), isnumber(S994)), 1, 0)</f>
      </c>
      <c r="V994" s="13"/>
      <c r="W994" s="13"/>
      <c r="X994" s="16"/>
    </row>
    <row x14ac:dyDescent="0.25" r="995" customHeight="1" ht="15.75">
      <c r="A995" s="8">
        <v>25210</v>
      </c>
      <c r="B995" s="13" t="s">
        <v>391</v>
      </c>
      <c r="C995" s="13" t="s">
        <v>6789</v>
      </c>
      <c r="D995" s="10">
        <v>0.7407</v>
      </c>
      <c r="E995" s="11">
        <v>343.16</v>
      </c>
      <c r="F995" s="10">
        <v>0.7963</v>
      </c>
      <c r="G995" s="11">
        <v>364.65</v>
      </c>
      <c r="H995" s="10">
        <v>0.9444</v>
      </c>
      <c r="I995" s="11">
        <v>505.88</v>
      </c>
      <c r="J995" s="10">
        <v>0.7778</v>
      </c>
      <c r="K995" s="11">
        <v>443.64</v>
      </c>
      <c r="L995" s="10">
        <v>0.8333</v>
      </c>
      <c r="M995" s="11">
        <v>485.33</v>
      </c>
      <c r="N995" s="10">
        <v>0.963</v>
      </c>
      <c r="O995" s="11">
        <v>518.46</v>
      </c>
      <c r="P995" s="10">
        <v>0.7407</v>
      </c>
      <c r="Q995" s="10">
        <v>0.2448</v>
      </c>
      <c r="R995" s="10">
        <v>0.7778</v>
      </c>
      <c r="S995" s="10">
        <v>0.1956</v>
      </c>
      <c r="T995" s="8">
        <f>IF(and(ISNUMBER(D995), isnumber(E995)), 1, 0) + IF(and(ISNUMBER(F995), isnumber(G995)), 1, 0) + IF(and(ISNUMBER(H995), isnumber(I995)), 1, 0) + IF(and(ISNUMBER(J995), isnumber(K995)), 1, 0) + IF(and(ISNUMBER(L995), isnumber(M995)), 1, 0) + IF(and(ISNUMBER(N995), isnumber(O995)), 1, 0)</f>
      </c>
      <c r="U995" s="8">
        <f>IF(and(ISNUMBER(P995), isnumber(Q995)), 1, 0) + IF(and(ISNUMBER(R995), isnumber(S995)), 1, 0)</f>
      </c>
      <c r="V995" s="13"/>
      <c r="W995" s="13"/>
      <c r="X995" s="16"/>
    </row>
    <row x14ac:dyDescent="0.25" r="996" customHeight="1" ht="15.75">
      <c r="A996" s="8">
        <v>25198</v>
      </c>
      <c r="B996" s="13" t="s">
        <v>391</v>
      </c>
      <c r="C996" s="13" t="s">
        <v>6790</v>
      </c>
      <c r="D996" s="10">
        <v>0.9306</v>
      </c>
      <c r="E996" s="11">
        <v>305.19</v>
      </c>
      <c r="F996" s="10">
        <v>0</v>
      </c>
      <c r="G996" s="11" t="s">
        <v>7127</v>
      </c>
      <c r="H996" s="10">
        <v>0.6706</v>
      </c>
      <c r="I996" s="11">
        <v>461.75</v>
      </c>
      <c r="J996" s="10">
        <v>0.9333</v>
      </c>
      <c r="K996" s="11">
        <v>317.33</v>
      </c>
      <c r="L996" s="10">
        <v>0.8</v>
      </c>
      <c r="M996" s="11">
        <v>432.41</v>
      </c>
      <c r="N996" s="10">
        <v>0.8588</v>
      </c>
      <c r="O996" s="11">
        <v>330.47</v>
      </c>
      <c r="P996" s="10">
        <v>0.9306</v>
      </c>
      <c r="Q996" s="10">
        <v>0.2638</v>
      </c>
      <c r="R996" s="10">
        <v>0.9333</v>
      </c>
      <c r="S996" s="10">
        <v>0.2198</v>
      </c>
      <c r="T996" s="8">
        <f>IF(and(ISNUMBER(D996), isnumber(E996)), 1, 0) + IF(and(ISNUMBER(F996), isnumber(G996)), 1, 0) + IF(and(ISNUMBER(H996), isnumber(I996)), 1, 0) + IF(and(ISNUMBER(J996), isnumber(K996)), 1, 0) + IF(and(ISNUMBER(L996), isnumber(M996)), 1, 0) + IF(and(ISNUMBER(N996), isnumber(O996)), 1, 0)</f>
      </c>
      <c r="U996" s="8">
        <f>IF(and(ISNUMBER(P996), isnumber(Q996)), 1, 0) + IF(and(ISNUMBER(R996), isnumber(S996)), 1, 0)</f>
      </c>
      <c r="V996" s="13"/>
      <c r="W996" s="13"/>
      <c r="X996" s="16"/>
    </row>
    <row x14ac:dyDescent="0.25" r="997" customHeight="1" ht="15.75">
      <c r="A997" s="8">
        <v>25176</v>
      </c>
      <c r="B997" s="13" t="s">
        <v>391</v>
      </c>
      <c r="C997" s="13" t="s">
        <v>6793</v>
      </c>
      <c r="D997" s="10">
        <v>0.8261</v>
      </c>
      <c r="E997" s="11">
        <v>284.21</v>
      </c>
      <c r="F997" s="10">
        <v>0.5652</v>
      </c>
      <c r="G997" s="11" t="s">
        <v>7127</v>
      </c>
      <c r="H997" s="10">
        <v>0.4906</v>
      </c>
      <c r="I997" s="11">
        <v>480</v>
      </c>
      <c r="J997" s="10">
        <v>0.75</v>
      </c>
      <c r="K997" s="11">
        <v>470</v>
      </c>
      <c r="L997" s="10">
        <v>0.5283</v>
      </c>
      <c r="M997" s="11">
        <v>527.14</v>
      </c>
      <c r="N997" s="10">
        <v>0.5094</v>
      </c>
      <c r="O997" s="11">
        <v>487.41</v>
      </c>
      <c r="P997" s="10">
        <v>0.8261</v>
      </c>
      <c r="Q997" s="10">
        <v>0.2355</v>
      </c>
      <c r="R997" s="10">
        <v>0.75</v>
      </c>
      <c r="S997" s="10">
        <v>0.2015</v>
      </c>
      <c r="T997" s="8">
        <f>IF(and(ISNUMBER(D997), isnumber(E997)), 1, 0) + IF(and(ISNUMBER(F997), isnumber(G997)), 1, 0) + IF(and(ISNUMBER(H997), isnumber(I997)), 1, 0) + IF(and(ISNUMBER(J997), isnumber(K997)), 1, 0) + IF(and(ISNUMBER(L997), isnumber(M997)), 1, 0) + IF(and(ISNUMBER(N997), isnumber(O997)), 1, 0)</f>
      </c>
      <c r="U997" s="8">
        <f>IF(and(ISNUMBER(P997), isnumber(Q997)), 1, 0) + IF(and(ISNUMBER(R997), isnumber(S997)), 1, 0)</f>
      </c>
      <c r="V997" s="13"/>
      <c r="W997" s="13"/>
      <c r="X997" s="16"/>
    </row>
    <row x14ac:dyDescent="0.25" r="998" customHeight="1" ht="15.75">
      <c r="A998" s="8">
        <v>25183</v>
      </c>
      <c r="B998" s="13" t="s">
        <v>391</v>
      </c>
      <c r="C998" s="13" t="s">
        <v>6795</v>
      </c>
      <c r="D998" s="10">
        <v>0.9259</v>
      </c>
      <c r="E998" s="11">
        <v>168</v>
      </c>
      <c r="F998" s="10">
        <v>0.8148</v>
      </c>
      <c r="G998" s="11">
        <v>474.55</v>
      </c>
      <c r="H998" s="10">
        <v>0.7407</v>
      </c>
      <c r="I998" s="11">
        <v>476</v>
      </c>
      <c r="J998" s="10">
        <v>0.7037</v>
      </c>
      <c r="K998" s="11">
        <v>346.67</v>
      </c>
      <c r="L998" s="10">
        <v>0.6296</v>
      </c>
      <c r="M998" s="11">
        <v>447.06</v>
      </c>
      <c r="N998" s="10">
        <v>0.5926</v>
      </c>
      <c r="O998" s="11">
        <v>490</v>
      </c>
      <c r="P998" s="10">
        <v>0.9259</v>
      </c>
      <c r="Q998" s="10">
        <v>0.2215</v>
      </c>
      <c r="R998" s="10">
        <v>0.7037</v>
      </c>
      <c r="S998" s="10">
        <v>0.217</v>
      </c>
      <c r="T998" s="8">
        <f>IF(and(ISNUMBER(D998), isnumber(E998)), 1, 0) + IF(and(ISNUMBER(F998), isnumber(G998)), 1, 0) + IF(and(ISNUMBER(H998), isnumber(I998)), 1, 0) + IF(and(ISNUMBER(J998), isnumber(K998)), 1, 0) + IF(and(ISNUMBER(L998), isnumber(M998)), 1, 0) + IF(and(ISNUMBER(N998), isnumber(O998)), 1, 0)</f>
      </c>
      <c r="U998" s="8">
        <f>IF(and(ISNUMBER(P998), isnumber(Q998)), 1, 0) + IF(and(ISNUMBER(R998), isnumber(S998)), 1, 0)</f>
      </c>
      <c r="V998" s="13"/>
      <c r="W998" s="13"/>
      <c r="X998" s="16"/>
    </row>
    <row x14ac:dyDescent="0.25" r="999" customHeight="1" ht="15.75">
      <c r="A999" s="8">
        <v>25177</v>
      </c>
      <c r="B999" s="13" t="s">
        <v>391</v>
      </c>
      <c r="C999" s="13" t="s">
        <v>13727</v>
      </c>
      <c r="D999" s="10">
        <v>0</v>
      </c>
      <c r="E999" s="11" t="s">
        <v>7127</v>
      </c>
      <c r="F999" s="10">
        <v>0.8</v>
      </c>
      <c r="G999" s="11">
        <v>370</v>
      </c>
      <c r="H999" s="10">
        <v>0.9</v>
      </c>
      <c r="I999" s="11">
        <v>306.67</v>
      </c>
      <c r="J999" s="10">
        <v>0.9</v>
      </c>
      <c r="K999" s="11">
        <v>364.44</v>
      </c>
      <c r="L999" s="10">
        <v>0.9</v>
      </c>
      <c r="M999" s="11">
        <v>528.89</v>
      </c>
      <c r="N999" s="10">
        <v>0.9</v>
      </c>
      <c r="O999" s="11">
        <v>462.22</v>
      </c>
      <c r="P999" s="10">
        <v>0</v>
      </c>
      <c r="Q999" s="10" t="s">
        <v>7127</v>
      </c>
      <c r="R999" s="10">
        <v>0.9</v>
      </c>
      <c r="S999" s="10">
        <v>0.2241</v>
      </c>
      <c r="T999" s="8">
        <f>IF(and(ISNUMBER(D999), isnumber(E999)), 1, 0) + IF(and(ISNUMBER(F999), isnumber(G999)), 1, 0) + IF(and(ISNUMBER(H999), isnumber(I999)), 1, 0) + IF(and(ISNUMBER(J999), isnumber(K999)), 1, 0) + IF(and(ISNUMBER(L999), isnumber(M999)), 1, 0) + IF(and(ISNUMBER(N999), isnumber(O999)), 1, 0)</f>
      </c>
      <c r="U999" s="8">
        <f>IF(and(ISNUMBER(P999), isnumber(Q999)), 1, 0) + IF(and(ISNUMBER(R999), isnumber(S999)), 1, 0)</f>
      </c>
      <c r="V999" s="13"/>
      <c r="W999" s="13"/>
      <c r="X999" s="16"/>
    </row>
    <row x14ac:dyDescent="0.25" r="1000" customHeight="1" ht="15.75">
      <c r="A1000" s="8">
        <v>25226</v>
      </c>
      <c r="B1000" s="13" t="s">
        <v>391</v>
      </c>
      <c r="C1000" s="13" t="s">
        <v>6797</v>
      </c>
      <c r="D1000" s="10">
        <v>1</v>
      </c>
      <c r="E1000" s="11">
        <v>386.32</v>
      </c>
      <c r="F1000" s="10">
        <v>0.8947</v>
      </c>
      <c r="G1000" s="11">
        <v>438.79</v>
      </c>
      <c r="H1000" s="10">
        <v>0.8158</v>
      </c>
      <c r="I1000" s="11">
        <v>485.33</v>
      </c>
      <c r="J1000" s="10">
        <v>0.7632</v>
      </c>
      <c r="K1000" s="11">
        <v>481.43</v>
      </c>
      <c r="L1000" s="10">
        <v>0.8421</v>
      </c>
      <c r="M1000" s="11">
        <v>420</v>
      </c>
      <c r="N1000" s="10">
        <v>0.8158</v>
      </c>
      <c r="O1000" s="11">
        <v>416.77</v>
      </c>
      <c r="P1000" s="10">
        <v>1</v>
      </c>
      <c r="Q1000" s="10">
        <v>0.2599</v>
      </c>
      <c r="R1000" s="10">
        <v>0.7632</v>
      </c>
      <c r="S1000" s="10">
        <v>0.2362</v>
      </c>
      <c r="T1000" s="8">
        <f>IF(and(ISNUMBER(D1000), isnumber(E1000)), 1, 0) + IF(and(ISNUMBER(F1000), isnumber(G1000)), 1, 0) + IF(and(ISNUMBER(H1000), isnumber(I1000)), 1, 0) + IF(and(ISNUMBER(J1000), isnumber(K1000)), 1, 0) + IF(and(ISNUMBER(L1000), isnumber(M1000)), 1, 0) + IF(and(ISNUMBER(N1000), isnumber(O1000)), 1, 0)</f>
      </c>
      <c r="U1000" s="8">
        <f>IF(and(ISNUMBER(P1000), isnumber(Q1000)), 1, 0) + IF(and(ISNUMBER(R1000), isnumber(S1000)), 1, 0)</f>
      </c>
      <c r="V1000" s="13"/>
      <c r="W1000" s="13"/>
      <c r="X1000" s="16"/>
    </row>
    <row x14ac:dyDescent="0.25" r="1001" customHeight="1" ht="15.75">
      <c r="A1001" s="8">
        <v>25172</v>
      </c>
      <c r="B1001" s="13" t="s">
        <v>391</v>
      </c>
      <c r="C1001" s="13" t="s">
        <v>6800</v>
      </c>
      <c r="D1001" s="10">
        <v>0.9167</v>
      </c>
      <c r="E1001" s="11">
        <v>397.58</v>
      </c>
      <c r="F1001" s="10">
        <v>0.9444</v>
      </c>
      <c r="G1001" s="11">
        <v>482.35</v>
      </c>
      <c r="H1001" s="10">
        <v>0.8611</v>
      </c>
      <c r="I1001" s="11">
        <v>411.61</v>
      </c>
      <c r="J1001" s="10">
        <v>0.8333</v>
      </c>
      <c r="K1001" s="11">
        <v>337.33</v>
      </c>
      <c r="L1001" s="10">
        <v>0.7778</v>
      </c>
      <c r="M1001" s="11">
        <v>607.14</v>
      </c>
      <c r="N1001" s="10">
        <v>0.7778</v>
      </c>
      <c r="O1001" s="11">
        <v>570</v>
      </c>
      <c r="P1001" s="10">
        <v>0.9167</v>
      </c>
      <c r="Q1001" s="10">
        <v>0.2573</v>
      </c>
      <c r="R1001" s="10">
        <v>0.8333</v>
      </c>
      <c r="S1001" s="10">
        <v>0.2079</v>
      </c>
      <c r="T1001" s="8">
        <f>IF(and(ISNUMBER(D1001), isnumber(E1001)), 1, 0) + IF(and(ISNUMBER(F1001), isnumber(G1001)), 1, 0) + IF(and(ISNUMBER(H1001), isnumber(I1001)), 1, 0) + IF(and(ISNUMBER(J1001), isnumber(K1001)), 1, 0) + IF(and(ISNUMBER(L1001), isnumber(M1001)), 1, 0) + IF(and(ISNUMBER(N1001), isnumber(O1001)), 1, 0)</f>
      </c>
      <c r="U1001" s="8">
        <f>IF(and(ISNUMBER(P1001), isnumber(Q1001)), 1, 0) + IF(and(ISNUMBER(R1001), isnumber(S1001)), 1, 0)</f>
      </c>
      <c r="V1001" s="13"/>
      <c r="W1001" s="13"/>
      <c r="X1001" s="16"/>
    </row>
    <row x14ac:dyDescent="0.25" r="1002" customHeight="1" ht="15.75">
      <c r="A1002" s="8">
        <v>25233</v>
      </c>
      <c r="B1002" s="13" t="s">
        <v>391</v>
      </c>
      <c r="C1002" s="13" t="s">
        <v>6801</v>
      </c>
      <c r="D1002" s="10">
        <v>1</v>
      </c>
      <c r="E1002" s="11">
        <v>280</v>
      </c>
      <c r="F1002" s="10">
        <v>0.9375</v>
      </c>
      <c r="G1002" s="11">
        <v>440</v>
      </c>
      <c r="H1002" s="10">
        <v>0.8125</v>
      </c>
      <c r="I1002" s="11">
        <v>526.15</v>
      </c>
      <c r="J1002" s="10">
        <v>0.75</v>
      </c>
      <c r="K1002" s="11">
        <v>416.67</v>
      </c>
      <c r="L1002" s="10">
        <v>0.8125</v>
      </c>
      <c r="M1002" s="11">
        <v>461.54</v>
      </c>
      <c r="N1002" s="10">
        <v>0.8125</v>
      </c>
      <c r="O1002" s="11">
        <v>452.31</v>
      </c>
      <c r="P1002" s="10">
        <v>1</v>
      </c>
      <c r="Q1002" s="10">
        <v>0.2506</v>
      </c>
      <c r="R1002" s="10">
        <v>0.75</v>
      </c>
      <c r="S1002" s="10">
        <v>0.2192</v>
      </c>
      <c r="T1002" s="8">
        <f>IF(and(ISNUMBER(D1002), isnumber(E1002)), 1, 0) + IF(and(ISNUMBER(F1002), isnumber(G1002)), 1, 0) + IF(and(ISNUMBER(H1002), isnumber(I1002)), 1, 0) + IF(and(ISNUMBER(J1002), isnumber(K1002)), 1, 0) + IF(and(ISNUMBER(L1002), isnumber(M1002)), 1, 0) + IF(and(ISNUMBER(N1002), isnumber(O1002)), 1, 0)</f>
      </c>
      <c r="U1002" s="8">
        <f>IF(and(ISNUMBER(P1002), isnumber(Q1002)), 1, 0) + IF(and(ISNUMBER(R1002), isnumber(S1002)), 1, 0)</f>
      </c>
      <c r="V1002" s="13"/>
      <c r="W1002" s="13"/>
      <c r="X1002" s="16"/>
    </row>
    <row x14ac:dyDescent="0.25" r="1003" customHeight="1" ht="15.75">
      <c r="A1003" s="8">
        <v>25227</v>
      </c>
      <c r="B1003" s="13" t="s">
        <v>391</v>
      </c>
      <c r="C1003" s="13" t="s">
        <v>6804</v>
      </c>
      <c r="D1003" s="10">
        <v>0.9565</v>
      </c>
      <c r="E1003" s="11">
        <v>420</v>
      </c>
      <c r="F1003" s="10">
        <v>0.7826</v>
      </c>
      <c r="G1003" s="11">
        <v>444.44</v>
      </c>
      <c r="H1003" s="10">
        <v>0.8696</v>
      </c>
      <c r="I1003" s="11">
        <v>543.16</v>
      </c>
      <c r="J1003" s="10">
        <v>1</v>
      </c>
      <c r="K1003" s="11">
        <v>427.27</v>
      </c>
      <c r="L1003" s="10">
        <v>0.9565</v>
      </c>
      <c r="M1003" s="11">
        <v>441.9</v>
      </c>
      <c r="N1003" s="10">
        <v>0.9565</v>
      </c>
      <c r="O1003" s="11">
        <v>474.55</v>
      </c>
      <c r="P1003" s="10">
        <v>0.9565</v>
      </c>
      <c r="Q1003" s="10">
        <v>0.2763</v>
      </c>
      <c r="R1003" s="10">
        <v>1</v>
      </c>
      <c r="S1003" s="10">
        <v>0.1967</v>
      </c>
      <c r="T1003" s="8">
        <f>IF(and(ISNUMBER(D1003), isnumber(E1003)), 1, 0) + IF(and(ISNUMBER(F1003), isnumber(G1003)), 1, 0) + IF(and(ISNUMBER(H1003), isnumber(I1003)), 1, 0) + IF(and(ISNUMBER(J1003), isnumber(K1003)), 1, 0) + IF(and(ISNUMBER(L1003), isnumber(M1003)), 1, 0) + IF(and(ISNUMBER(N1003), isnumber(O1003)), 1, 0)</f>
      </c>
      <c r="U1003" s="8">
        <f>IF(and(ISNUMBER(P1003), isnumber(Q1003)), 1, 0) + IF(and(ISNUMBER(R1003), isnumber(S1003)), 1, 0)</f>
      </c>
      <c r="V1003" s="13"/>
      <c r="W1003" s="13"/>
      <c r="X1003" s="16"/>
    </row>
    <row x14ac:dyDescent="0.25" r="1004" customHeight="1" ht="15.75">
      <c r="A1004" s="8">
        <v>25199</v>
      </c>
      <c r="B1004" s="13" t="s">
        <v>391</v>
      </c>
      <c r="C1004" s="13" t="s">
        <v>6805</v>
      </c>
      <c r="D1004" s="10">
        <v>0.7293</v>
      </c>
      <c r="E1004" s="11">
        <v>274.35</v>
      </c>
      <c r="F1004" s="10">
        <v>0.8195</v>
      </c>
      <c r="G1004" s="11">
        <v>354.81</v>
      </c>
      <c r="H1004" s="10">
        <v>0.7444</v>
      </c>
      <c r="I1004" s="11">
        <v>480</v>
      </c>
      <c r="J1004" s="10">
        <v>0.7293</v>
      </c>
      <c r="K1004" s="11">
        <v>334.78</v>
      </c>
      <c r="L1004" s="10">
        <v>0.6617</v>
      </c>
      <c r="M1004" s="11">
        <v>480.92</v>
      </c>
      <c r="N1004" s="10">
        <v>0.782</v>
      </c>
      <c r="O1004" s="11">
        <v>436.89</v>
      </c>
      <c r="P1004" s="10">
        <v>0.7293</v>
      </c>
      <c r="Q1004" s="10">
        <v>0.2612</v>
      </c>
      <c r="R1004" s="10">
        <v>0.7293</v>
      </c>
      <c r="S1004" s="10">
        <v>0.2145</v>
      </c>
      <c r="T1004" s="8">
        <f>IF(and(ISNUMBER(D1004), isnumber(E1004)), 1, 0) + IF(and(ISNUMBER(F1004), isnumber(G1004)), 1, 0) + IF(and(ISNUMBER(H1004), isnumber(I1004)), 1, 0) + IF(and(ISNUMBER(J1004), isnumber(K1004)), 1, 0) + IF(and(ISNUMBER(L1004), isnumber(M1004)), 1, 0) + IF(and(ISNUMBER(N1004), isnumber(O1004)), 1, 0)</f>
      </c>
      <c r="U1004" s="8">
        <f>IF(and(ISNUMBER(P1004), isnumber(Q1004)), 1, 0) + IF(and(ISNUMBER(R1004), isnumber(S1004)), 1, 0)</f>
      </c>
      <c r="V1004" s="13"/>
      <c r="W1004" s="13"/>
      <c r="X1004" s="16"/>
    </row>
    <row x14ac:dyDescent="0.25" r="1005" customHeight="1" ht="15.75">
      <c r="A1005" s="8">
        <v>25211</v>
      </c>
      <c r="B1005" s="13" t="s">
        <v>391</v>
      </c>
      <c r="C1005" s="13" t="s">
        <v>6808</v>
      </c>
      <c r="D1005" s="10">
        <v>0.913</v>
      </c>
      <c r="E1005" s="11">
        <v>463.81</v>
      </c>
      <c r="F1005" s="10">
        <v>0</v>
      </c>
      <c r="G1005" s="11" t="s">
        <v>7127</v>
      </c>
      <c r="H1005" s="10">
        <v>0.7609</v>
      </c>
      <c r="I1005" s="11">
        <v>544</v>
      </c>
      <c r="J1005" s="10">
        <v>0.6087</v>
      </c>
      <c r="K1005" s="11">
        <v>472.59</v>
      </c>
      <c r="L1005" s="10">
        <v>0.6957</v>
      </c>
      <c r="M1005" s="11">
        <v>570</v>
      </c>
      <c r="N1005" s="10">
        <v>0.6304</v>
      </c>
      <c r="O1005" s="11">
        <v>594.48</v>
      </c>
      <c r="P1005" s="10">
        <v>0.913</v>
      </c>
      <c r="Q1005" s="10">
        <v>0.3196</v>
      </c>
      <c r="R1005" s="10">
        <v>0.6087</v>
      </c>
      <c r="S1005" s="10">
        <v>0.2371</v>
      </c>
      <c r="T1005" s="8">
        <f>IF(and(ISNUMBER(D1005), isnumber(E1005)), 1, 0) + IF(and(ISNUMBER(F1005), isnumber(G1005)), 1, 0) + IF(and(ISNUMBER(H1005), isnumber(I1005)), 1, 0) + IF(and(ISNUMBER(J1005), isnumber(K1005)), 1, 0) + IF(and(ISNUMBER(L1005), isnumber(M1005)), 1, 0) + IF(and(ISNUMBER(N1005), isnumber(O1005)), 1, 0)</f>
      </c>
      <c r="U1005" s="8">
        <f>IF(and(ISNUMBER(P1005), isnumber(Q1005)), 1, 0) + IF(and(ISNUMBER(R1005), isnumber(S1005)), 1, 0)</f>
      </c>
      <c r="V1005" s="13"/>
      <c r="W1005" s="13"/>
      <c r="X1005" s="16"/>
    </row>
    <row x14ac:dyDescent="0.25" r="1006" customHeight="1" ht="15.75">
      <c r="A1006" s="8">
        <v>25212</v>
      </c>
      <c r="B1006" s="13" t="s">
        <v>391</v>
      </c>
      <c r="C1006" s="13" t="s">
        <v>6810</v>
      </c>
      <c r="D1006" s="10">
        <v>0.8162</v>
      </c>
      <c r="E1006" s="11">
        <v>322.79</v>
      </c>
      <c r="F1006" s="10">
        <v>0.9926</v>
      </c>
      <c r="G1006" s="11">
        <v>379.85</v>
      </c>
      <c r="H1006" s="10">
        <v>0.9779</v>
      </c>
      <c r="I1006" s="11">
        <v>435.76</v>
      </c>
      <c r="J1006" s="10">
        <v>0.8456</v>
      </c>
      <c r="K1006" s="11">
        <v>477.41</v>
      </c>
      <c r="L1006" s="10">
        <v>0.8015</v>
      </c>
      <c r="M1006" s="11">
        <v>521.83</v>
      </c>
      <c r="N1006" s="10">
        <v>0.0074</v>
      </c>
      <c r="O1006" s="11">
        <v>560</v>
      </c>
      <c r="P1006" s="10">
        <v>0.8162</v>
      </c>
      <c r="Q1006" s="10">
        <v>0.2438</v>
      </c>
      <c r="R1006" s="10">
        <v>0.8456</v>
      </c>
      <c r="S1006" s="10">
        <v>0.2188</v>
      </c>
      <c r="T1006" s="8">
        <f>IF(and(ISNUMBER(D1006), isnumber(E1006)), 1, 0) + IF(and(ISNUMBER(F1006), isnumber(G1006)), 1, 0) + IF(and(ISNUMBER(H1006), isnumber(I1006)), 1, 0) + IF(and(ISNUMBER(J1006), isnumber(K1006)), 1, 0) + IF(and(ISNUMBER(L1006), isnumber(M1006)), 1, 0) + IF(and(ISNUMBER(N1006), isnumber(O1006)), 1, 0)</f>
      </c>
      <c r="U1006" s="8">
        <f>IF(and(ISNUMBER(P1006), isnumber(Q1006)), 1, 0) + IF(and(ISNUMBER(R1006), isnumber(S1006)), 1, 0)</f>
      </c>
      <c r="V1006" s="13"/>
      <c r="W1006" s="13"/>
      <c r="X1006" s="16"/>
    </row>
    <row x14ac:dyDescent="0.25" r="1007" customHeight="1" ht="15.75">
      <c r="A1007" s="8">
        <v>25157</v>
      </c>
      <c r="B1007" s="13" t="s">
        <v>391</v>
      </c>
      <c r="C1007" s="13" t="s">
        <v>6813</v>
      </c>
      <c r="D1007" s="10">
        <v>1</v>
      </c>
      <c r="E1007" s="11">
        <v>393.44</v>
      </c>
      <c r="F1007" s="10">
        <v>0</v>
      </c>
      <c r="G1007" s="11" t="s">
        <v>7127</v>
      </c>
      <c r="H1007" s="10">
        <v>1</v>
      </c>
      <c r="I1007" s="11">
        <v>390.48</v>
      </c>
      <c r="J1007" s="10">
        <v>0.6825</v>
      </c>
      <c r="K1007" s="11">
        <v>400</v>
      </c>
      <c r="L1007" s="10">
        <v>0.9365</v>
      </c>
      <c r="M1007" s="11">
        <v>413.56</v>
      </c>
      <c r="N1007" s="10">
        <v>1</v>
      </c>
      <c r="O1007" s="11">
        <v>422.22</v>
      </c>
      <c r="P1007" s="10">
        <v>1</v>
      </c>
      <c r="Q1007" s="10">
        <v>0.2894</v>
      </c>
      <c r="R1007" s="10">
        <v>0.6825</v>
      </c>
      <c r="S1007" s="10">
        <v>0.2281</v>
      </c>
      <c r="T1007" s="8">
        <f>IF(and(ISNUMBER(D1007), isnumber(E1007)), 1, 0) + IF(and(ISNUMBER(F1007), isnumber(G1007)), 1, 0) + IF(and(ISNUMBER(H1007), isnumber(I1007)), 1, 0) + IF(and(ISNUMBER(J1007), isnumber(K1007)), 1, 0) + IF(and(ISNUMBER(L1007), isnumber(M1007)), 1, 0) + IF(and(ISNUMBER(N1007), isnumber(O1007)), 1, 0)</f>
      </c>
      <c r="U1007" s="8">
        <f>IF(and(ISNUMBER(P1007), isnumber(Q1007)), 1, 0) + IF(and(ISNUMBER(R1007), isnumber(S1007)), 1, 0)</f>
      </c>
      <c r="V1007" s="13"/>
      <c r="W1007" s="13"/>
      <c r="X1007" s="16"/>
    </row>
    <row x14ac:dyDescent="0.25" r="1008" customHeight="1" ht="15.75">
      <c r="A1008" s="8">
        <v>25235</v>
      </c>
      <c r="B1008" s="13" t="s">
        <v>391</v>
      </c>
      <c r="C1008" s="13" t="s">
        <v>6816</v>
      </c>
      <c r="D1008" s="10">
        <v>0.9153</v>
      </c>
      <c r="E1008" s="11">
        <v>245.19</v>
      </c>
      <c r="F1008" s="10">
        <v>0.8305</v>
      </c>
      <c r="G1008" s="11">
        <v>396.67</v>
      </c>
      <c r="H1008" s="10">
        <v>0.6949</v>
      </c>
      <c r="I1008" s="11">
        <v>418.54</v>
      </c>
      <c r="J1008" s="10">
        <v>0.7458</v>
      </c>
      <c r="K1008" s="11">
        <v>404.76</v>
      </c>
      <c r="L1008" s="10">
        <v>0.8305</v>
      </c>
      <c r="M1008" s="11">
        <v>499.17</v>
      </c>
      <c r="N1008" s="10">
        <v>0.7458</v>
      </c>
      <c r="O1008" s="11">
        <v>492.68</v>
      </c>
      <c r="P1008" s="10">
        <v>0.9153</v>
      </c>
      <c r="Q1008" s="10">
        <v>0.2545</v>
      </c>
      <c r="R1008" s="10">
        <v>0.7458</v>
      </c>
      <c r="S1008" s="10">
        <v>0.2149</v>
      </c>
      <c r="T1008" s="8">
        <f>IF(and(ISNUMBER(D1008), isnumber(E1008)), 1, 0) + IF(and(ISNUMBER(F1008), isnumber(G1008)), 1, 0) + IF(and(ISNUMBER(H1008), isnumber(I1008)), 1, 0) + IF(and(ISNUMBER(J1008), isnumber(K1008)), 1, 0) + IF(and(ISNUMBER(L1008), isnumber(M1008)), 1, 0) + IF(and(ISNUMBER(N1008), isnumber(O1008)), 1, 0)</f>
      </c>
      <c r="U1008" s="8">
        <f>IF(and(ISNUMBER(P1008), isnumber(Q1008)), 1, 0) + IF(and(ISNUMBER(R1008), isnumber(S1008)), 1, 0)</f>
      </c>
      <c r="V1008" s="13"/>
      <c r="W1008" s="13"/>
      <c r="X1008" s="16"/>
    </row>
    <row x14ac:dyDescent="0.25" r="1009" customHeight="1" ht="15.75">
      <c r="A1009" s="8">
        <v>25195</v>
      </c>
      <c r="B1009" s="13" t="s">
        <v>391</v>
      </c>
      <c r="C1009" s="13" t="s">
        <v>6821</v>
      </c>
      <c r="D1009" s="10">
        <v>0.902</v>
      </c>
      <c r="E1009" s="11">
        <v>310</v>
      </c>
      <c r="F1009" s="10">
        <v>0.8039</v>
      </c>
      <c r="G1009" s="11">
        <v>436.1</v>
      </c>
      <c r="H1009" s="10">
        <v>0.7843</v>
      </c>
      <c r="I1009" s="11">
        <v>514</v>
      </c>
      <c r="J1009" s="10">
        <v>0.8235</v>
      </c>
      <c r="K1009" s="11">
        <v>453.33</v>
      </c>
      <c r="L1009" s="10">
        <v>0.5882</v>
      </c>
      <c r="M1009" s="11">
        <v>538.67</v>
      </c>
      <c r="N1009" s="10">
        <v>0.6275</v>
      </c>
      <c r="O1009" s="11">
        <v>567.5</v>
      </c>
      <c r="P1009" s="10">
        <v>0.902</v>
      </c>
      <c r="Q1009" s="10">
        <v>0.282</v>
      </c>
      <c r="R1009" s="10">
        <v>0.8235</v>
      </c>
      <c r="S1009" s="10">
        <v>0.2284</v>
      </c>
      <c r="T1009" s="8">
        <f>IF(and(ISNUMBER(D1009), isnumber(E1009)), 1, 0) + IF(and(ISNUMBER(F1009), isnumber(G1009)), 1, 0) + IF(and(ISNUMBER(H1009), isnumber(I1009)), 1, 0) + IF(and(ISNUMBER(J1009), isnumber(K1009)), 1, 0) + IF(and(ISNUMBER(L1009), isnumber(M1009)), 1, 0) + IF(and(ISNUMBER(N1009), isnumber(O1009)), 1, 0)</f>
      </c>
      <c r="U1009" s="8">
        <f>IF(and(ISNUMBER(P1009), isnumber(Q1009)), 1, 0) + IF(and(ISNUMBER(R1009), isnumber(S1009)), 1, 0)</f>
      </c>
      <c r="V1009" s="13"/>
      <c r="W1009" s="13"/>
      <c r="X1009" s="16"/>
    </row>
    <row x14ac:dyDescent="0.25" r="1010" customHeight="1" ht="15.75">
      <c r="A1010" s="8">
        <v>25162</v>
      </c>
      <c r="B1010" s="13" t="s">
        <v>391</v>
      </c>
      <c r="C1010" s="13" t="s">
        <v>6823</v>
      </c>
      <c r="D1010" s="10">
        <v>0.9568</v>
      </c>
      <c r="E1010" s="11">
        <v>260.61</v>
      </c>
      <c r="F1010" s="10">
        <v>0.9712</v>
      </c>
      <c r="G1010" s="11">
        <v>316.64</v>
      </c>
      <c r="H1010" s="10">
        <v>0.9856</v>
      </c>
      <c r="I1010" s="11">
        <v>314.12</v>
      </c>
      <c r="J1010" s="10">
        <v>0.8489</v>
      </c>
      <c r="K1010" s="11">
        <v>325.13</v>
      </c>
      <c r="L1010" s="10">
        <v>0.9065</v>
      </c>
      <c r="M1010" s="11">
        <v>333.44</v>
      </c>
      <c r="N1010" s="10">
        <v>0.5108</v>
      </c>
      <c r="O1010" s="11">
        <v>471.18</v>
      </c>
      <c r="P1010" s="10">
        <v>0.9568</v>
      </c>
      <c r="Q1010" s="10">
        <v>0.2004</v>
      </c>
      <c r="R1010" s="10">
        <v>0.8489</v>
      </c>
      <c r="S1010" s="10">
        <v>0.1837</v>
      </c>
      <c r="T1010" s="8">
        <f>IF(and(ISNUMBER(D1010), isnumber(E1010)), 1, 0) + IF(and(ISNUMBER(F1010), isnumber(G1010)), 1, 0) + IF(and(ISNUMBER(H1010), isnumber(I1010)), 1, 0) + IF(and(ISNUMBER(J1010), isnumber(K1010)), 1, 0) + IF(and(ISNUMBER(L1010), isnumber(M1010)), 1, 0) + IF(and(ISNUMBER(N1010), isnumber(O1010)), 1, 0)</f>
      </c>
      <c r="U1010" s="8">
        <f>IF(and(ISNUMBER(P1010), isnumber(Q1010)), 1, 0) + IF(and(ISNUMBER(R1010), isnumber(S1010)), 1, 0)</f>
      </c>
      <c r="V1010" s="13"/>
      <c r="W1010" s="13"/>
      <c r="X1010" s="16"/>
    </row>
    <row x14ac:dyDescent="0.25" r="1011" customHeight="1" ht="15.75">
      <c r="A1011" s="8">
        <v>25163</v>
      </c>
      <c r="B1011" s="13" t="s">
        <v>391</v>
      </c>
      <c r="C1011" s="13" t="s">
        <v>4480</v>
      </c>
      <c r="D1011" s="10">
        <v>0.8109</v>
      </c>
      <c r="E1011" s="11">
        <v>332.67</v>
      </c>
      <c r="F1011" s="10">
        <v>0.8458</v>
      </c>
      <c r="G1011" s="11">
        <v>509.41</v>
      </c>
      <c r="H1011" s="10">
        <v>0.7562</v>
      </c>
      <c r="I1011" s="11">
        <v>495.1</v>
      </c>
      <c r="J1011" s="10">
        <v>0.6617</v>
      </c>
      <c r="K1011" s="11">
        <v>471.63</v>
      </c>
      <c r="L1011" s="10">
        <v>0.791</v>
      </c>
      <c r="M1011" s="11">
        <v>507.42</v>
      </c>
      <c r="N1011" s="10">
        <v>0.7811</v>
      </c>
      <c r="O1011" s="11">
        <v>440.77</v>
      </c>
      <c r="P1011" s="10" t="s">
        <v>7127</v>
      </c>
      <c r="Q1011" s="10" t="s">
        <v>7127</v>
      </c>
      <c r="R1011" s="10" t="s">
        <v>7127</v>
      </c>
      <c r="S1011" s="10" t="s">
        <v>7127</v>
      </c>
      <c r="T1011" s="8">
        <f>IF(and(ISNUMBER(D1011), isnumber(E1011)), 1, 0) + IF(and(ISNUMBER(F1011), isnumber(G1011)), 1, 0) + IF(and(ISNUMBER(H1011), isnumber(I1011)), 1, 0) + IF(and(ISNUMBER(J1011), isnumber(K1011)), 1, 0) + IF(and(ISNUMBER(L1011), isnumber(M1011)), 1, 0) + IF(and(ISNUMBER(N1011), isnumber(O1011)), 1, 0)</f>
      </c>
      <c r="U1011" s="8">
        <f>IF(and(ISNUMBER(P1011), isnumber(Q1011)), 1, 0) + IF(and(ISNUMBER(R1011), isnumber(S1011)), 1, 0)</f>
      </c>
      <c r="V1011" s="13"/>
      <c r="W1011" s="13"/>
      <c r="X1011" s="16"/>
    </row>
    <row x14ac:dyDescent="0.25" r="1012" customHeight="1" ht="15.75">
      <c r="A1012" s="8">
        <v>25173</v>
      </c>
      <c r="B1012" s="13" t="s">
        <v>391</v>
      </c>
      <c r="C1012" s="13" t="s">
        <v>4480</v>
      </c>
      <c r="D1012" s="10">
        <v>0.9096</v>
      </c>
      <c r="E1012" s="11">
        <v>354.09</v>
      </c>
      <c r="F1012" s="10">
        <v>0.8193</v>
      </c>
      <c r="G1012" s="11">
        <v>445</v>
      </c>
      <c r="H1012" s="10">
        <v>0.8072</v>
      </c>
      <c r="I1012" s="11">
        <v>476.99</v>
      </c>
      <c r="J1012" s="10">
        <v>0.7831</v>
      </c>
      <c r="K1012" s="11">
        <v>434.96</v>
      </c>
      <c r="L1012" s="10">
        <v>0.7892</v>
      </c>
      <c r="M1012" s="11">
        <v>466.26</v>
      </c>
      <c r="N1012" s="10">
        <v>0.7349</v>
      </c>
      <c r="O1012" s="11">
        <v>486.33</v>
      </c>
      <c r="P1012" s="10" t="s">
        <v>7127</v>
      </c>
      <c r="Q1012" s="10" t="s">
        <v>7127</v>
      </c>
      <c r="R1012" s="10" t="s">
        <v>7127</v>
      </c>
      <c r="S1012" s="10" t="s">
        <v>7127</v>
      </c>
      <c r="T1012" s="8">
        <f>IF(and(ISNUMBER(D1012), isnumber(E1012)), 1, 0) + IF(and(ISNUMBER(F1012), isnumber(G1012)), 1, 0) + IF(and(ISNUMBER(H1012), isnumber(I1012)), 1, 0) + IF(and(ISNUMBER(J1012), isnumber(K1012)), 1, 0) + IF(and(ISNUMBER(L1012), isnumber(M1012)), 1, 0) + IF(and(ISNUMBER(N1012), isnumber(O1012)), 1, 0)</f>
      </c>
      <c r="U1012" s="8">
        <f>IF(and(ISNUMBER(P1012), isnumber(Q1012)), 1, 0) + IF(and(ISNUMBER(R1012), isnumber(S1012)), 1, 0)</f>
      </c>
      <c r="V1012" s="13"/>
      <c r="W1012" s="13"/>
      <c r="X1012" s="16"/>
    </row>
    <row x14ac:dyDescent="0.25" r="1013" customHeight="1" ht="15.75">
      <c r="A1013" s="8">
        <v>25213</v>
      </c>
      <c r="B1013" s="13" t="s">
        <v>391</v>
      </c>
      <c r="C1013" s="13" t="s">
        <v>6826</v>
      </c>
      <c r="D1013" s="10">
        <v>0.8704</v>
      </c>
      <c r="E1013" s="11">
        <v>471.49</v>
      </c>
      <c r="F1013" s="10">
        <v>0.7222</v>
      </c>
      <c r="G1013" s="11">
        <v>543.16</v>
      </c>
      <c r="H1013" s="10">
        <v>0.6481</v>
      </c>
      <c r="I1013" s="11">
        <v>595.43</v>
      </c>
      <c r="J1013" s="10">
        <v>0.6852</v>
      </c>
      <c r="K1013" s="11">
        <v>448.65</v>
      </c>
      <c r="L1013" s="10">
        <v>0.6111</v>
      </c>
      <c r="M1013" s="11">
        <v>553.94</v>
      </c>
      <c r="N1013" s="10">
        <v>0.463</v>
      </c>
      <c r="O1013" s="11">
        <v>590.4</v>
      </c>
      <c r="P1013" s="10">
        <v>0.8704</v>
      </c>
      <c r="Q1013" s="10">
        <v>0.3213</v>
      </c>
      <c r="R1013" s="10">
        <v>0.6852</v>
      </c>
      <c r="S1013" s="10">
        <v>0.2417</v>
      </c>
      <c r="T1013" s="8">
        <f>IF(and(ISNUMBER(D1013), isnumber(E1013)), 1, 0) + IF(and(ISNUMBER(F1013), isnumber(G1013)), 1, 0) + IF(and(ISNUMBER(H1013), isnumber(I1013)), 1, 0) + IF(and(ISNUMBER(J1013), isnumber(K1013)), 1, 0) + IF(and(ISNUMBER(L1013), isnumber(M1013)), 1, 0) + IF(and(ISNUMBER(N1013), isnumber(O1013)), 1, 0)</f>
      </c>
      <c r="U1013" s="8">
        <f>IF(and(ISNUMBER(P1013), isnumber(Q1013)), 1, 0) + IF(and(ISNUMBER(R1013), isnumber(S1013)), 1, 0)</f>
      </c>
      <c r="V1013" s="13"/>
      <c r="W1013" s="13"/>
      <c r="X1013" s="16"/>
    </row>
    <row x14ac:dyDescent="0.25" r="1014" customHeight="1" ht="15.75">
      <c r="A1014" s="8">
        <v>25214</v>
      </c>
      <c r="B1014" s="13" t="s">
        <v>391</v>
      </c>
      <c r="C1014" s="13" t="s">
        <v>6829</v>
      </c>
      <c r="D1014" s="10">
        <v>0.8889</v>
      </c>
      <c r="E1014" s="11">
        <v>290</v>
      </c>
      <c r="F1014" s="10">
        <v>0.7407</v>
      </c>
      <c r="G1014" s="11">
        <v>551.58</v>
      </c>
      <c r="H1014" s="10">
        <v>0.7037</v>
      </c>
      <c r="I1014" s="11">
        <v>545.26</v>
      </c>
      <c r="J1014" s="10">
        <v>0.9259</v>
      </c>
      <c r="K1014" s="11">
        <v>467.2</v>
      </c>
      <c r="L1014" s="10">
        <v>0.8148</v>
      </c>
      <c r="M1014" s="11">
        <v>540</v>
      </c>
      <c r="N1014" s="10">
        <v>0.7778</v>
      </c>
      <c r="O1014" s="11">
        <v>523.81</v>
      </c>
      <c r="P1014" s="10">
        <v>0.8889</v>
      </c>
      <c r="Q1014" s="10">
        <v>0.2673</v>
      </c>
      <c r="R1014" s="10">
        <v>0.9259</v>
      </c>
      <c r="S1014" s="10">
        <v>0.2196</v>
      </c>
      <c r="T1014" s="8">
        <f>IF(and(ISNUMBER(D1014), isnumber(E1014)), 1, 0) + IF(and(ISNUMBER(F1014), isnumber(G1014)), 1, 0) + IF(and(ISNUMBER(H1014), isnumber(I1014)), 1, 0) + IF(and(ISNUMBER(J1014), isnumber(K1014)), 1, 0) + IF(and(ISNUMBER(L1014), isnumber(M1014)), 1, 0) + IF(and(ISNUMBER(N1014), isnumber(O1014)), 1, 0)</f>
      </c>
      <c r="U1014" s="8">
        <f>IF(and(ISNUMBER(P1014), isnumber(Q1014)), 1, 0) + IF(and(ISNUMBER(R1014), isnumber(S1014)), 1, 0)</f>
      </c>
      <c r="V1014" s="13"/>
      <c r="W1014" s="13"/>
      <c r="X1014" s="16"/>
    </row>
    <row x14ac:dyDescent="0.25" r="1015" customHeight="1" ht="15.75">
      <c r="A1015" s="8">
        <v>25178</v>
      </c>
      <c r="B1015" s="13" t="s">
        <v>391</v>
      </c>
      <c r="C1015" s="13" t="s">
        <v>6831</v>
      </c>
      <c r="D1015" s="10">
        <v>0.5938</v>
      </c>
      <c r="E1015" s="11">
        <v>370.53</v>
      </c>
      <c r="F1015" s="10">
        <v>0.8646</v>
      </c>
      <c r="G1015" s="11">
        <v>413.17</v>
      </c>
      <c r="H1015" s="10">
        <v>0.8854</v>
      </c>
      <c r="I1015" s="11">
        <v>500.48</v>
      </c>
      <c r="J1015" s="10">
        <v>0.8646</v>
      </c>
      <c r="K1015" s="11">
        <v>431.11</v>
      </c>
      <c r="L1015" s="10">
        <v>0.8125</v>
      </c>
      <c r="M1015" s="11">
        <v>431.47</v>
      </c>
      <c r="N1015" s="10">
        <v>0.8958</v>
      </c>
      <c r="O1015" s="11">
        <v>535.81</v>
      </c>
      <c r="P1015" s="10">
        <v>0.5938</v>
      </c>
      <c r="Q1015" s="10">
        <v>0.2547</v>
      </c>
      <c r="R1015" s="10">
        <v>0.8646</v>
      </c>
      <c r="S1015" s="10">
        <v>0.2303</v>
      </c>
      <c r="T1015" s="8">
        <f>IF(and(ISNUMBER(D1015), isnumber(E1015)), 1, 0) + IF(and(ISNUMBER(F1015), isnumber(G1015)), 1, 0) + IF(and(ISNUMBER(H1015), isnumber(I1015)), 1, 0) + IF(and(ISNUMBER(J1015), isnumber(K1015)), 1, 0) + IF(and(ISNUMBER(L1015), isnumber(M1015)), 1, 0) + IF(and(ISNUMBER(N1015), isnumber(O1015)), 1, 0)</f>
      </c>
      <c r="U1015" s="8">
        <f>IF(and(ISNUMBER(P1015), isnumber(Q1015)), 1, 0) + IF(and(ISNUMBER(R1015), isnumber(S1015)), 1, 0)</f>
      </c>
      <c r="V1015" s="13"/>
      <c r="W1015" s="13"/>
      <c r="X1015" s="16"/>
    </row>
    <row x14ac:dyDescent="0.25" r="1016" customHeight="1" ht="15.75">
      <c r="A1016" s="8">
        <v>25215</v>
      </c>
      <c r="B1016" s="13" t="s">
        <v>391</v>
      </c>
      <c r="C1016" s="13" t="s">
        <v>6833</v>
      </c>
      <c r="D1016" s="10">
        <v>1</v>
      </c>
      <c r="E1016" s="11">
        <v>303.03</v>
      </c>
      <c r="F1016" s="10">
        <v>0.9706</v>
      </c>
      <c r="G1016" s="11">
        <v>450.91</v>
      </c>
      <c r="H1016" s="10">
        <v>0.8824</v>
      </c>
      <c r="I1016" s="11">
        <v>547.59</v>
      </c>
      <c r="J1016" s="10">
        <v>0.9412</v>
      </c>
      <c r="K1016" s="11">
        <v>455.48</v>
      </c>
      <c r="L1016" s="10">
        <v>0.8824</v>
      </c>
      <c r="M1016" s="11">
        <v>469.33</v>
      </c>
      <c r="N1016" s="10">
        <v>0.9412</v>
      </c>
      <c r="O1016" s="11">
        <v>505</v>
      </c>
      <c r="P1016" s="10">
        <v>1</v>
      </c>
      <c r="Q1016" s="10">
        <v>0.2421</v>
      </c>
      <c r="R1016" s="10">
        <v>0.9412</v>
      </c>
      <c r="S1016" s="10">
        <v>0.2406</v>
      </c>
      <c r="T1016" s="8">
        <f>IF(and(ISNUMBER(D1016), isnumber(E1016)), 1, 0) + IF(and(ISNUMBER(F1016), isnumber(G1016)), 1, 0) + IF(and(ISNUMBER(H1016), isnumber(I1016)), 1, 0) + IF(and(ISNUMBER(J1016), isnumber(K1016)), 1, 0) + IF(and(ISNUMBER(L1016), isnumber(M1016)), 1, 0) + IF(and(ISNUMBER(N1016), isnumber(O1016)), 1, 0)</f>
      </c>
      <c r="U1016" s="8">
        <f>IF(and(ISNUMBER(P1016), isnumber(Q1016)), 1, 0) + IF(and(ISNUMBER(R1016), isnumber(S1016)), 1, 0)</f>
      </c>
      <c r="V1016" s="13"/>
      <c r="W1016" s="13"/>
      <c r="X1016" s="16"/>
    </row>
    <row x14ac:dyDescent="0.25" r="1017" customHeight="1" ht="15.75">
      <c r="A1017" s="8">
        <v>25216</v>
      </c>
      <c r="B1017" s="13" t="s">
        <v>391</v>
      </c>
      <c r="C1017" s="13" t="s">
        <v>6834</v>
      </c>
      <c r="D1017" s="10">
        <v>0.9145</v>
      </c>
      <c r="E1017" s="11">
        <v>196.76</v>
      </c>
      <c r="F1017" s="10">
        <v>0.6353</v>
      </c>
      <c r="G1017" s="11">
        <v>459.28</v>
      </c>
      <c r="H1017" s="10">
        <v>0.5783</v>
      </c>
      <c r="I1017" s="11">
        <v>517.83</v>
      </c>
      <c r="J1017" s="10">
        <v>0.5185</v>
      </c>
      <c r="K1017" s="11">
        <v>394</v>
      </c>
      <c r="L1017" s="10">
        <v>0.5954</v>
      </c>
      <c r="M1017" s="11">
        <v>482.31</v>
      </c>
      <c r="N1017" s="10">
        <v>0.5385</v>
      </c>
      <c r="O1017" s="11">
        <v>398.09</v>
      </c>
      <c r="P1017" s="10">
        <v>0.9145</v>
      </c>
      <c r="Q1017" s="10">
        <v>0.1873</v>
      </c>
      <c r="R1017" s="10">
        <v>0.5185</v>
      </c>
      <c r="S1017" s="10">
        <v>0.2295</v>
      </c>
      <c r="T1017" s="8">
        <f>IF(and(ISNUMBER(D1017), isnumber(E1017)), 1, 0) + IF(and(ISNUMBER(F1017), isnumber(G1017)), 1, 0) + IF(and(ISNUMBER(H1017), isnumber(I1017)), 1, 0) + IF(and(ISNUMBER(J1017), isnumber(K1017)), 1, 0) + IF(and(ISNUMBER(L1017), isnumber(M1017)), 1, 0) + IF(and(ISNUMBER(N1017), isnumber(O1017)), 1, 0)</f>
      </c>
      <c r="U1017" s="8">
        <f>IF(and(ISNUMBER(P1017), isnumber(Q1017)), 1, 0) + IF(and(ISNUMBER(R1017), isnumber(S1017)), 1, 0)</f>
      </c>
      <c r="V1017" s="13"/>
      <c r="W1017" s="13"/>
      <c r="X1017" s="16"/>
    </row>
    <row x14ac:dyDescent="0.25" r="1018" customHeight="1" ht="15.75">
      <c r="A1018" s="8">
        <v>25158</v>
      </c>
      <c r="B1018" s="13" t="s">
        <v>391</v>
      </c>
      <c r="C1018" s="13" t="s">
        <v>6836</v>
      </c>
      <c r="D1018" s="10">
        <v>0.8226</v>
      </c>
      <c r="E1018" s="11">
        <v>317.21</v>
      </c>
      <c r="F1018" s="10">
        <v>0.8387</v>
      </c>
      <c r="G1018" s="11">
        <v>430</v>
      </c>
      <c r="H1018" s="10">
        <v>0.9194</v>
      </c>
      <c r="I1018" s="11">
        <v>464.29</v>
      </c>
      <c r="J1018" s="10">
        <v>0.9194</v>
      </c>
      <c r="K1018" s="11">
        <v>362.11</v>
      </c>
      <c r="L1018" s="10">
        <v>0.7903</v>
      </c>
      <c r="M1018" s="11">
        <v>471.84</v>
      </c>
      <c r="N1018" s="10">
        <v>0.7903</v>
      </c>
      <c r="O1018" s="11">
        <v>459.59</v>
      </c>
      <c r="P1018" s="10">
        <v>0.8226</v>
      </c>
      <c r="Q1018" s="10">
        <v>0.2594</v>
      </c>
      <c r="R1018" s="10">
        <v>0.9194</v>
      </c>
      <c r="S1018" s="10">
        <v>0.2204</v>
      </c>
      <c r="T1018" s="8">
        <f>IF(and(ISNUMBER(D1018), isnumber(E1018)), 1, 0) + IF(and(ISNUMBER(F1018), isnumber(G1018)), 1, 0) + IF(and(ISNUMBER(H1018), isnumber(I1018)), 1, 0) + IF(and(ISNUMBER(J1018), isnumber(K1018)), 1, 0) + IF(and(ISNUMBER(L1018), isnumber(M1018)), 1, 0) + IF(and(ISNUMBER(N1018), isnumber(O1018)), 1, 0)</f>
      </c>
      <c r="U1018" s="8">
        <f>IF(and(ISNUMBER(P1018), isnumber(Q1018)), 1, 0) + IF(and(ISNUMBER(R1018), isnumber(S1018)), 1, 0)</f>
      </c>
      <c r="V1018" s="13"/>
      <c r="W1018" s="13"/>
      <c r="X1018" s="16"/>
    </row>
    <row x14ac:dyDescent="0.25" r="1019" customHeight="1" ht="15.75">
      <c r="A1019" s="8">
        <v>25184</v>
      </c>
      <c r="B1019" s="13" t="s">
        <v>391</v>
      </c>
      <c r="C1019" s="13" t="s">
        <v>6838</v>
      </c>
      <c r="D1019" s="10">
        <v>0.9306</v>
      </c>
      <c r="E1019" s="11">
        <v>274.55</v>
      </c>
      <c r="F1019" s="10">
        <v>0.6528</v>
      </c>
      <c r="G1019" s="11">
        <v>411.3</v>
      </c>
      <c r="H1019" s="10">
        <v>0.7917</v>
      </c>
      <c r="I1019" s="11">
        <v>438.57</v>
      </c>
      <c r="J1019" s="10">
        <v>0.8472</v>
      </c>
      <c r="K1019" s="11">
        <v>326.32</v>
      </c>
      <c r="L1019" s="10">
        <v>0.7778</v>
      </c>
      <c r="M1019" s="11">
        <v>389.29</v>
      </c>
      <c r="N1019" s="10">
        <v>0.6111</v>
      </c>
      <c r="O1019" s="11">
        <v>324.55</v>
      </c>
      <c r="P1019" s="10">
        <v>0.9306</v>
      </c>
      <c r="Q1019" s="10">
        <v>0.2647</v>
      </c>
      <c r="R1019" s="10">
        <v>0.8472</v>
      </c>
      <c r="S1019" s="10">
        <v>0.2184</v>
      </c>
      <c r="T1019" s="8">
        <f>IF(and(ISNUMBER(D1019), isnumber(E1019)), 1, 0) + IF(and(ISNUMBER(F1019), isnumber(G1019)), 1, 0) + IF(and(ISNUMBER(H1019), isnumber(I1019)), 1, 0) + IF(and(ISNUMBER(J1019), isnumber(K1019)), 1, 0) + IF(and(ISNUMBER(L1019), isnumber(M1019)), 1, 0) + IF(and(ISNUMBER(N1019), isnumber(O1019)), 1, 0)</f>
      </c>
      <c r="U1019" s="8">
        <f>IF(and(ISNUMBER(P1019), isnumber(Q1019)), 1, 0) + IF(and(ISNUMBER(R1019), isnumber(S1019)), 1, 0)</f>
      </c>
      <c r="V1019" s="13"/>
      <c r="W1019" s="13"/>
      <c r="X1019" s="16"/>
    </row>
    <row x14ac:dyDescent="0.25" r="1020" customHeight="1" ht="15.75">
      <c r="A1020" s="8">
        <v>25217</v>
      </c>
      <c r="B1020" s="13" t="s">
        <v>391</v>
      </c>
      <c r="C1020" s="13" t="s">
        <v>6840</v>
      </c>
      <c r="D1020" s="10">
        <v>0.6939</v>
      </c>
      <c r="E1020" s="11">
        <v>409.7</v>
      </c>
      <c r="F1020" s="10">
        <v>0.5714</v>
      </c>
      <c r="G1020" s="11">
        <v>452.86</v>
      </c>
      <c r="H1020" s="10">
        <v>0.6735</v>
      </c>
      <c r="I1020" s="11">
        <v>240</v>
      </c>
      <c r="J1020" s="10">
        <v>0.551</v>
      </c>
      <c r="K1020" s="11">
        <v>353.85</v>
      </c>
      <c r="L1020" s="10">
        <v>0.6531</v>
      </c>
      <c r="M1020" s="11">
        <v>408.75</v>
      </c>
      <c r="N1020" s="10">
        <v>0.6735</v>
      </c>
      <c r="O1020" s="11">
        <v>396.36</v>
      </c>
      <c r="P1020" s="10">
        <v>0.6939</v>
      </c>
      <c r="Q1020" s="10">
        <v>0.3024</v>
      </c>
      <c r="R1020" s="10">
        <v>0.551</v>
      </c>
      <c r="S1020" s="10">
        <v>0.2276</v>
      </c>
      <c r="T1020" s="8">
        <f>IF(and(ISNUMBER(D1020), isnumber(E1020)), 1, 0) + IF(and(ISNUMBER(F1020), isnumber(G1020)), 1, 0) + IF(and(ISNUMBER(H1020), isnumber(I1020)), 1, 0) + IF(and(ISNUMBER(J1020), isnumber(K1020)), 1, 0) + IF(and(ISNUMBER(L1020), isnumber(M1020)), 1, 0) + IF(and(ISNUMBER(N1020), isnumber(O1020)), 1, 0)</f>
      </c>
      <c r="U1020" s="8">
        <f>IF(and(ISNUMBER(P1020), isnumber(Q1020)), 1, 0) + IF(and(ISNUMBER(R1020), isnumber(S1020)), 1, 0)</f>
      </c>
      <c r="V1020" s="13"/>
      <c r="W1020" s="13"/>
      <c r="X1020" s="16"/>
    </row>
    <row x14ac:dyDescent="0.25" r="1021" customHeight="1" ht="15.75">
      <c r="A1021" s="8">
        <v>25164</v>
      </c>
      <c r="B1021" s="13" t="s">
        <v>391</v>
      </c>
      <c r="C1021" s="13" t="s">
        <v>6842</v>
      </c>
      <c r="D1021" s="10">
        <v>0.6243</v>
      </c>
      <c r="E1021" s="11">
        <v>241.7</v>
      </c>
      <c r="F1021" s="10">
        <v>0.6614</v>
      </c>
      <c r="G1021" s="11">
        <v>362.76</v>
      </c>
      <c r="H1021" s="10">
        <v>0.5422</v>
      </c>
      <c r="I1021" s="11">
        <v>447.83</v>
      </c>
      <c r="J1021" s="10">
        <v>0.7422</v>
      </c>
      <c r="K1021" s="11">
        <v>265.97</v>
      </c>
      <c r="L1021" s="10">
        <v>0.5944</v>
      </c>
      <c r="M1021" s="11">
        <v>406.92</v>
      </c>
      <c r="N1021" s="10">
        <v>0.3855</v>
      </c>
      <c r="O1021" s="11" t="s">
        <v>7127</v>
      </c>
      <c r="P1021" s="10">
        <v>0.6243</v>
      </c>
      <c r="Q1021" s="10">
        <v>0.2297</v>
      </c>
      <c r="R1021" s="10">
        <v>0.7422</v>
      </c>
      <c r="S1021" s="10">
        <v>0.2067</v>
      </c>
      <c r="T1021" s="8">
        <f>IF(and(ISNUMBER(D1021), isnumber(E1021)), 1, 0) + IF(and(ISNUMBER(F1021), isnumber(G1021)), 1, 0) + IF(and(ISNUMBER(H1021), isnumber(I1021)), 1, 0) + IF(and(ISNUMBER(J1021), isnumber(K1021)), 1, 0) + IF(and(ISNUMBER(L1021), isnumber(M1021)), 1, 0) + IF(and(ISNUMBER(N1021), isnumber(O1021)), 1, 0)</f>
      </c>
      <c r="U1021" s="8">
        <f>IF(and(ISNUMBER(P1021), isnumber(Q1021)), 1, 0) + IF(and(ISNUMBER(R1021), isnumber(S1021)), 1, 0)</f>
      </c>
      <c r="V1021" s="13"/>
      <c r="W1021" s="13"/>
      <c r="X1021" s="16"/>
    </row>
    <row x14ac:dyDescent="0.25" r="1022" customHeight="1" ht="15.75">
      <c r="A1022" s="8">
        <v>25159</v>
      </c>
      <c r="B1022" s="13" t="s">
        <v>391</v>
      </c>
      <c r="C1022" s="13" t="s">
        <v>6845</v>
      </c>
      <c r="D1022" s="10">
        <v>0.973</v>
      </c>
      <c r="E1022" s="11">
        <v>360</v>
      </c>
      <c r="F1022" s="10">
        <v>0.7973</v>
      </c>
      <c r="G1022" s="11">
        <v>441.69</v>
      </c>
      <c r="H1022" s="10">
        <v>0.8514</v>
      </c>
      <c r="I1022" s="11">
        <v>492.26</v>
      </c>
      <c r="J1022" s="10">
        <v>0.7703</v>
      </c>
      <c r="K1022" s="11">
        <v>427.02</v>
      </c>
      <c r="L1022" s="10">
        <v>0.6554</v>
      </c>
      <c r="M1022" s="11">
        <v>474.23</v>
      </c>
      <c r="N1022" s="10">
        <v>0.6824</v>
      </c>
      <c r="O1022" s="11">
        <v>462.57</v>
      </c>
      <c r="P1022" s="10">
        <v>0.973</v>
      </c>
      <c r="Q1022" s="10">
        <v>0.2669</v>
      </c>
      <c r="R1022" s="10">
        <v>0.7703</v>
      </c>
      <c r="S1022" s="10">
        <v>0.2128</v>
      </c>
      <c r="T1022" s="8">
        <f>IF(and(ISNUMBER(D1022), isnumber(E1022)), 1, 0) + IF(and(ISNUMBER(F1022), isnumber(G1022)), 1, 0) + IF(and(ISNUMBER(H1022), isnumber(I1022)), 1, 0) + IF(and(ISNUMBER(J1022), isnumber(K1022)), 1, 0) + IF(and(ISNUMBER(L1022), isnumber(M1022)), 1, 0) + IF(and(ISNUMBER(N1022), isnumber(O1022)), 1, 0)</f>
      </c>
      <c r="U1022" s="8">
        <f>IF(and(ISNUMBER(P1022), isnumber(Q1022)), 1, 0) + IF(and(ISNUMBER(R1022), isnumber(S1022)), 1, 0)</f>
      </c>
      <c r="V1022" s="13"/>
      <c r="W1022" s="13"/>
      <c r="X1022" s="16"/>
    </row>
    <row x14ac:dyDescent="0.25" r="1023" customHeight="1" ht="15.75">
      <c r="A1023" s="8">
        <v>25218</v>
      </c>
      <c r="B1023" s="13" t="s">
        <v>391</v>
      </c>
      <c r="C1023" s="13" t="s">
        <v>6848</v>
      </c>
      <c r="D1023" s="10">
        <v>0.9231</v>
      </c>
      <c r="E1023" s="11">
        <v>408.33</v>
      </c>
      <c r="F1023" s="10">
        <v>0.5</v>
      </c>
      <c r="G1023" s="11">
        <v>523.08</v>
      </c>
      <c r="H1023" s="10">
        <v>0.8462</v>
      </c>
      <c r="I1023" s="11">
        <v>543.64</v>
      </c>
      <c r="J1023" s="10">
        <v>0.8462</v>
      </c>
      <c r="K1023" s="11">
        <v>476.36</v>
      </c>
      <c r="L1023" s="10">
        <v>0.8846</v>
      </c>
      <c r="M1023" s="11">
        <v>542.61</v>
      </c>
      <c r="N1023" s="10">
        <v>0.8846</v>
      </c>
      <c r="O1023" s="11">
        <v>513.04</v>
      </c>
      <c r="P1023" s="10">
        <v>0.9231</v>
      </c>
      <c r="Q1023" s="10">
        <v>0.2826</v>
      </c>
      <c r="R1023" s="10">
        <v>0.8462</v>
      </c>
      <c r="S1023" s="10">
        <v>0.2148</v>
      </c>
      <c r="T1023" s="8">
        <f>IF(and(ISNUMBER(D1023), isnumber(E1023)), 1, 0) + IF(and(ISNUMBER(F1023), isnumber(G1023)), 1, 0) + IF(and(ISNUMBER(H1023), isnumber(I1023)), 1, 0) + IF(and(ISNUMBER(J1023), isnumber(K1023)), 1, 0) + IF(and(ISNUMBER(L1023), isnumber(M1023)), 1, 0) + IF(and(ISNUMBER(N1023), isnumber(O1023)), 1, 0)</f>
      </c>
      <c r="U1023" s="8">
        <f>IF(and(ISNUMBER(P1023), isnumber(Q1023)), 1, 0) + IF(and(ISNUMBER(R1023), isnumber(S1023)), 1, 0)</f>
      </c>
      <c r="V1023" s="13"/>
      <c r="W1023" s="13"/>
      <c r="X1023" s="16"/>
    </row>
    <row x14ac:dyDescent="0.25" r="1024" customHeight="1" ht="15.75">
      <c r="A1024" s="8">
        <v>25185</v>
      </c>
      <c r="B1024" s="13" t="s">
        <v>391</v>
      </c>
      <c r="C1024" s="13" t="s">
        <v>6850</v>
      </c>
      <c r="D1024" s="10">
        <v>0.8989</v>
      </c>
      <c r="E1024" s="11">
        <v>255</v>
      </c>
      <c r="F1024" s="10">
        <v>0.7416</v>
      </c>
      <c r="G1024" s="11">
        <v>391.52</v>
      </c>
      <c r="H1024" s="10">
        <v>0.7978</v>
      </c>
      <c r="I1024" s="11">
        <v>469.71</v>
      </c>
      <c r="J1024" s="10">
        <v>0.7978</v>
      </c>
      <c r="K1024" s="11">
        <v>386.23</v>
      </c>
      <c r="L1024" s="10">
        <v>0.7865</v>
      </c>
      <c r="M1024" s="11">
        <v>473.04</v>
      </c>
      <c r="N1024" s="10">
        <v>0.7416</v>
      </c>
      <c r="O1024" s="11">
        <v>471.52</v>
      </c>
      <c r="P1024" s="10">
        <v>0.8989</v>
      </c>
      <c r="Q1024" s="10">
        <v>0.2586</v>
      </c>
      <c r="R1024" s="10">
        <v>0.7978</v>
      </c>
      <c r="S1024" s="10">
        <v>0.2126</v>
      </c>
      <c r="T1024" s="8">
        <f>IF(and(ISNUMBER(D1024), isnumber(E1024)), 1, 0) + IF(and(ISNUMBER(F1024), isnumber(G1024)), 1, 0) + IF(and(ISNUMBER(H1024), isnumber(I1024)), 1, 0) + IF(and(ISNUMBER(J1024), isnumber(K1024)), 1, 0) + IF(and(ISNUMBER(L1024), isnumber(M1024)), 1, 0) + IF(and(ISNUMBER(N1024), isnumber(O1024)), 1, 0)</f>
      </c>
      <c r="U1024" s="8">
        <f>IF(and(ISNUMBER(P1024), isnumber(Q1024)), 1, 0) + IF(and(ISNUMBER(R1024), isnumber(S1024)), 1, 0)</f>
      </c>
      <c r="V1024" s="13"/>
      <c r="W1024" s="13"/>
      <c r="X1024" s="16"/>
    </row>
    <row x14ac:dyDescent="0.25" r="1025" customHeight="1" ht="15.75">
      <c r="A1025" s="8">
        <v>25219</v>
      </c>
      <c r="B1025" s="13" t="s">
        <v>391</v>
      </c>
      <c r="C1025" s="13" t="s">
        <v>6853</v>
      </c>
      <c r="D1025" s="10">
        <v>0.8904</v>
      </c>
      <c r="E1025" s="11">
        <v>456</v>
      </c>
      <c r="F1025" s="10">
        <v>0.7671</v>
      </c>
      <c r="G1025" s="11">
        <v>497.86</v>
      </c>
      <c r="H1025" s="10">
        <v>0.726</v>
      </c>
      <c r="I1025" s="11">
        <v>561.51</v>
      </c>
      <c r="J1025" s="10">
        <v>0.7397</v>
      </c>
      <c r="K1025" s="11">
        <v>463.53</v>
      </c>
      <c r="L1025" s="10">
        <v>0.6301</v>
      </c>
      <c r="M1025" s="11">
        <v>529.57</v>
      </c>
      <c r="N1025" s="10">
        <v>0.7123</v>
      </c>
      <c r="O1025" s="11">
        <v>578.04</v>
      </c>
      <c r="P1025" s="10">
        <v>0.8904</v>
      </c>
      <c r="Q1025" s="10">
        <v>0.2905</v>
      </c>
      <c r="R1025" s="10">
        <v>0.7397</v>
      </c>
      <c r="S1025" s="10">
        <v>0.2426</v>
      </c>
      <c r="T1025" s="8">
        <f>IF(and(ISNUMBER(D1025), isnumber(E1025)), 1, 0) + IF(and(ISNUMBER(F1025), isnumber(G1025)), 1, 0) + IF(and(ISNUMBER(H1025), isnumber(I1025)), 1, 0) + IF(and(ISNUMBER(J1025), isnumber(K1025)), 1, 0) + IF(and(ISNUMBER(L1025), isnumber(M1025)), 1, 0) + IF(and(ISNUMBER(N1025), isnumber(O1025)), 1, 0)</f>
      </c>
      <c r="U1025" s="8">
        <f>IF(and(ISNUMBER(P1025), isnumber(Q1025)), 1, 0) + IF(and(ISNUMBER(R1025), isnumber(S1025)), 1, 0)</f>
      </c>
      <c r="V1025" s="13"/>
      <c r="W1025" s="13"/>
      <c r="X1025" s="16"/>
    </row>
    <row x14ac:dyDescent="0.25" r="1026" customHeight="1" ht="15.75">
      <c r="A1026" s="8">
        <v>25186</v>
      </c>
      <c r="B1026" s="13" t="s">
        <v>391</v>
      </c>
      <c r="C1026" s="13" t="s">
        <v>6857</v>
      </c>
      <c r="D1026" s="10">
        <v>0.931</v>
      </c>
      <c r="E1026" s="11">
        <v>250.19</v>
      </c>
      <c r="F1026" s="10">
        <v>0.6381</v>
      </c>
      <c r="G1026" s="11">
        <v>402</v>
      </c>
      <c r="H1026" s="10">
        <v>0.6862</v>
      </c>
      <c r="I1026" s="11">
        <v>457.25</v>
      </c>
      <c r="J1026" s="10">
        <v>0.7741</v>
      </c>
      <c r="K1026" s="11">
        <v>385.41</v>
      </c>
      <c r="L1026" s="10">
        <v>0.6611</v>
      </c>
      <c r="M1026" s="11">
        <v>393.83</v>
      </c>
      <c r="N1026" s="10">
        <v>0.6548</v>
      </c>
      <c r="O1026" s="11">
        <v>504.71</v>
      </c>
      <c r="P1026" s="10">
        <v>0.931</v>
      </c>
      <c r="Q1026" s="10">
        <v>0.2275</v>
      </c>
      <c r="R1026" s="10">
        <v>0.7741</v>
      </c>
      <c r="S1026" s="10">
        <v>0.2058</v>
      </c>
      <c r="T1026" s="8">
        <f>IF(and(ISNUMBER(D1026), isnumber(E1026)), 1, 0) + IF(and(ISNUMBER(F1026), isnumber(G1026)), 1, 0) + IF(and(ISNUMBER(H1026), isnumber(I1026)), 1, 0) + IF(and(ISNUMBER(J1026), isnumber(K1026)), 1, 0) + IF(and(ISNUMBER(L1026), isnumber(M1026)), 1, 0) + IF(and(ISNUMBER(N1026), isnumber(O1026)), 1, 0)</f>
      </c>
      <c r="U1026" s="8">
        <f>IF(and(ISNUMBER(P1026), isnumber(Q1026)), 1, 0) + IF(and(ISNUMBER(R1026), isnumber(S1026)), 1, 0)</f>
      </c>
      <c r="V1026" s="13"/>
      <c r="W1026" s="13"/>
      <c r="X1026" s="16"/>
    </row>
    <row x14ac:dyDescent="0.25" r="1027" customHeight="1" ht="15.75">
      <c r="A1027" s="8">
        <v>25165</v>
      </c>
      <c r="B1027" s="13" t="s">
        <v>391</v>
      </c>
      <c r="C1027" s="13" t="s">
        <v>6859</v>
      </c>
      <c r="D1027" s="10">
        <v>0.8475</v>
      </c>
      <c r="E1027" s="11">
        <v>267.06</v>
      </c>
      <c r="F1027" s="10">
        <v>0.6441</v>
      </c>
      <c r="G1027" s="11">
        <v>365.26</v>
      </c>
      <c r="H1027" s="10">
        <v>0.6102</v>
      </c>
      <c r="I1027" s="11">
        <v>380.57</v>
      </c>
      <c r="J1027" s="10">
        <v>0.7119</v>
      </c>
      <c r="K1027" s="11">
        <v>227.62</v>
      </c>
      <c r="L1027" s="10">
        <v>0.7458</v>
      </c>
      <c r="M1027" s="11">
        <v>450.23</v>
      </c>
      <c r="N1027" s="10">
        <v>0.8305</v>
      </c>
      <c r="O1027" s="11">
        <v>271.02</v>
      </c>
      <c r="P1027" s="10">
        <v>0.8475</v>
      </c>
      <c r="Q1027" s="10">
        <v>0.2392</v>
      </c>
      <c r="R1027" s="10">
        <v>0.7119</v>
      </c>
      <c r="S1027" s="10">
        <v>0.2001</v>
      </c>
      <c r="T1027" s="8">
        <f>IF(and(ISNUMBER(D1027), isnumber(E1027)), 1, 0) + IF(and(ISNUMBER(F1027), isnumber(G1027)), 1, 0) + IF(and(ISNUMBER(H1027), isnumber(I1027)), 1, 0) + IF(and(ISNUMBER(J1027), isnumber(K1027)), 1, 0) + IF(and(ISNUMBER(L1027), isnumber(M1027)), 1, 0) + IF(and(ISNUMBER(N1027), isnumber(O1027)), 1, 0)</f>
      </c>
      <c r="U1027" s="8">
        <f>IF(and(ISNUMBER(P1027), isnumber(Q1027)), 1, 0) + IF(and(ISNUMBER(R1027), isnumber(S1027)), 1, 0)</f>
      </c>
      <c r="V1027" s="13"/>
      <c r="W1027" s="13"/>
      <c r="X1027" s="16"/>
    </row>
    <row x14ac:dyDescent="0.25" r="1028" customHeight="1" ht="15.75">
      <c r="A1028" s="8">
        <v>25229</v>
      </c>
      <c r="B1028" s="13" t="s">
        <v>391</v>
      </c>
      <c r="C1028" s="13" t="s">
        <v>6860</v>
      </c>
      <c r="D1028" s="10">
        <v>0.7727</v>
      </c>
      <c r="E1028" s="11">
        <v>193.47</v>
      </c>
      <c r="F1028" s="10">
        <v>0.5909</v>
      </c>
      <c r="G1028" s="11">
        <v>342.75</v>
      </c>
      <c r="H1028" s="10">
        <v>0.625</v>
      </c>
      <c r="I1028" s="11">
        <v>391.85</v>
      </c>
      <c r="J1028" s="10">
        <v>0.8068</v>
      </c>
      <c r="K1028" s="11">
        <v>363.48</v>
      </c>
      <c r="L1028" s="10">
        <v>0.6932</v>
      </c>
      <c r="M1028" s="11">
        <v>454.67</v>
      </c>
      <c r="N1028" s="10">
        <v>0.7159</v>
      </c>
      <c r="O1028" s="11">
        <v>485.08</v>
      </c>
      <c r="P1028" s="10">
        <v>0.7727</v>
      </c>
      <c r="Q1028" s="10">
        <v>0.2264</v>
      </c>
      <c r="R1028" s="10">
        <v>0.8068</v>
      </c>
      <c r="S1028" s="10">
        <v>0.2137</v>
      </c>
      <c r="T1028" s="8">
        <f>IF(and(ISNUMBER(D1028), isnumber(E1028)), 1, 0) + IF(and(ISNUMBER(F1028), isnumber(G1028)), 1, 0) + IF(and(ISNUMBER(H1028), isnumber(I1028)), 1, 0) + IF(and(ISNUMBER(J1028), isnumber(K1028)), 1, 0) + IF(and(ISNUMBER(L1028), isnumber(M1028)), 1, 0) + IF(and(ISNUMBER(N1028), isnumber(O1028)), 1, 0)</f>
      </c>
      <c r="U1028" s="8">
        <f>IF(and(ISNUMBER(P1028), isnumber(Q1028)), 1, 0) + IF(and(ISNUMBER(R1028), isnumber(S1028)), 1, 0)</f>
      </c>
      <c r="V1028" s="13"/>
      <c r="W1028" s="13"/>
      <c r="X1028" s="16"/>
    </row>
    <row x14ac:dyDescent="0.25" r="1029" customHeight="1" ht="15.75">
      <c r="A1029" s="8">
        <v>25230</v>
      </c>
      <c r="B1029" s="13" t="s">
        <v>391</v>
      </c>
      <c r="C1029" s="13" t="s">
        <v>6862</v>
      </c>
      <c r="D1029" s="10">
        <v>0.8359</v>
      </c>
      <c r="E1029" s="11">
        <v>251.73</v>
      </c>
      <c r="F1029" s="10">
        <v>0.7</v>
      </c>
      <c r="G1029" s="11">
        <v>358.65</v>
      </c>
      <c r="H1029" s="10">
        <v>0.6077</v>
      </c>
      <c r="I1029" s="11">
        <v>401.49</v>
      </c>
      <c r="J1029" s="10">
        <v>0.6764</v>
      </c>
      <c r="K1029" s="11">
        <v>313.26</v>
      </c>
      <c r="L1029" s="10">
        <v>0.6032</v>
      </c>
      <c r="M1029" s="11">
        <v>359.4</v>
      </c>
      <c r="N1029" s="10">
        <v>0.6372</v>
      </c>
      <c r="O1029" s="11">
        <v>398.48</v>
      </c>
      <c r="P1029" s="10">
        <v>0.8359</v>
      </c>
      <c r="Q1029" s="10">
        <v>0.2231</v>
      </c>
      <c r="R1029" s="10">
        <v>0.6764</v>
      </c>
      <c r="S1029" s="10">
        <v>0.2023</v>
      </c>
      <c r="T1029" s="8">
        <f>IF(and(ISNUMBER(D1029), isnumber(E1029)), 1, 0) + IF(and(ISNUMBER(F1029), isnumber(G1029)), 1, 0) + IF(and(ISNUMBER(H1029), isnumber(I1029)), 1, 0) + IF(and(ISNUMBER(J1029), isnumber(K1029)), 1, 0) + IF(and(ISNUMBER(L1029), isnumber(M1029)), 1, 0) + IF(and(ISNUMBER(N1029), isnumber(O1029)), 1, 0)</f>
      </c>
      <c r="U1029" s="8">
        <f>IF(and(ISNUMBER(P1029), isnumber(Q1029)), 1, 0) + IF(and(ISNUMBER(R1029), isnumber(S1029)), 1, 0)</f>
      </c>
      <c r="V1029" s="13"/>
      <c r="W1029" s="13"/>
      <c r="X1029" s="16"/>
    </row>
    <row x14ac:dyDescent="0.25" r="1030" customHeight="1" ht="15.75">
      <c r="A1030" s="8">
        <v>25166</v>
      </c>
      <c r="B1030" s="13" t="s">
        <v>391</v>
      </c>
      <c r="C1030" s="13" t="s">
        <v>6864</v>
      </c>
      <c r="D1030" s="10">
        <v>0.8121</v>
      </c>
      <c r="E1030" s="11">
        <v>289.62</v>
      </c>
      <c r="F1030" s="10">
        <v>0.6303</v>
      </c>
      <c r="G1030" s="11">
        <v>400.39</v>
      </c>
      <c r="H1030" s="10">
        <v>0.6</v>
      </c>
      <c r="I1030" s="11">
        <v>460.82</v>
      </c>
      <c r="J1030" s="10">
        <v>0.6061</v>
      </c>
      <c r="K1030" s="11">
        <v>343.05</v>
      </c>
      <c r="L1030" s="10">
        <v>0.2545</v>
      </c>
      <c r="M1030" s="11">
        <v>375.24</v>
      </c>
      <c r="N1030" s="10">
        <v>0.3939</v>
      </c>
      <c r="O1030" s="11">
        <v>460.63</v>
      </c>
      <c r="P1030" s="10">
        <v>0.8121</v>
      </c>
      <c r="Q1030" s="10">
        <v>0.2547</v>
      </c>
      <c r="R1030" s="10">
        <v>0.6061</v>
      </c>
      <c r="S1030" s="10">
        <v>0.2081</v>
      </c>
      <c r="T1030" s="8">
        <f>IF(and(ISNUMBER(D1030), isnumber(E1030)), 1, 0) + IF(and(ISNUMBER(F1030), isnumber(G1030)), 1, 0) + IF(and(ISNUMBER(H1030), isnumber(I1030)), 1, 0) + IF(and(ISNUMBER(J1030), isnumber(K1030)), 1, 0) + IF(and(ISNUMBER(L1030), isnumber(M1030)), 1, 0) + IF(and(ISNUMBER(N1030), isnumber(O1030)), 1, 0)</f>
      </c>
      <c r="U1030" s="8">
        <f>IF(and(ISNUMBER(P1030), isnumber(Q1030)), 1, 0) + IF(and(ISNUMBER(R1030), isnumber(S1030)), 1, 0)</f>
      </c>
      <c r="V1030" s="13"/>
      <c r="W1030" s="13"/>
      <c r="X1030" s="16"/>
    </row>
    <row x14ac:dyDescent="0.25" r="1031" customHeight="1" ht="15.75">
      <c r="A1031" s="8">
        <v>25221</v>
      </c>
      <c r="B1031" s="13" t="s">
        <v>391</v>
      </c>
      <c r="C1031" s="13" t="s">
        <v>6865</v>
      </c>
      <c r="D1031" s="10">
        <v>0.9634</v>
      </c>
      <c r="E1031" s="11">
        <v>365.06</v>
      </c>
      <c r="F1031" s="10">
        <v>0.9024</v>
      </c>
      <c r="G1031" s="11">
        <v>512.43</v>
      </c>
      <c r="H1031" s="10">
        <v>0.8829</v>
      </c>
      <c r="I1031" s="11">
        <v>579.59</v>
      </c>
      <c r="J1031" s="10">
        <v>0.8649</v>
      </c>
      <c r="K1031" s="11">
        <v>464.84</v>
      </c>
      <c r="L1031" s="10">
        <v>0.8739</v>
      </c>
      <c r="M1031" s="11">
        <v>625.15</v>
      </c>
      <c r="N1031" s="10">
        <v>0.7838</v>
      </c>
      <c r="O1031" s="11">
        <v>563.22</v>
      </c>
      <c r="P1031" s="10">
        <v>0.9634</v>
      </c>
      <c r="Q1031" s="10">
        <v>0.2571</v>
      </c>
      <c r="R1031" s="10">
        <v>0.8649</v>
      </c>
      <c r="S1031" s="10">
        <v>0.2301</v>
      </c>
      <c r="T1031" s="8">
        <f>IF(and(ISNUMBER(D1031), isnumber(E1031)), 1, 0) + IF(and(ISNUMBER(F1031), isnumber(G1031)), 1, 0) + IF(and(ISNUMBER(H1031), isnumber(I1031)), 1, 0) + IF(and(ISNUMBER(J1031), isnumber(K1031)), 1, 0) + IF(and(ISNUMBER(L1031), isnumber(M1031)), 1, 0) + IF(and(ISNUMBER(N1031), isnumber(O1031)), 1, 0)</f>
      </c>
      <c r="U1031" s="8">
        <f>IF(and(ISNUMBER(P1031), isnumber(Q1031)), 1, 0) + IF(and(ISNUMBER(R1031), isnumber(S1031)), 1, 0)</f>
      </c>
      <c r="V1031" s="13"/>
      <c r="W1031" s="13"/>
      <c r="X1031" s="16"/>
    </row>
    <row x14ac:dyDescent="0.25" r="1032" customHeight="1" ht="15.75">
      <c r="A1032" s="8">
        <v>25167</v>
      </c>
      <c r="B1032" s="13" t="s">
        <v>391</v>
      </c>
      <c r="C1032" s="13" t="s">
        <v>6867</v>
      </c>
      <c r="D1032" s="10">
        <v>0.9091</v>
      </c>
      <c r="E1032" s="11">
        <v>330</v>
      </c>
      <c r="F1032" s="10">
        <v>0.8636</v>
      </c>
      <c r="G1032" s="11">
        <v>424.44</v>
      </c>
      <c r="H1032" s="10">
        <v>0.7273</v>
      </c>
      <c r="I1032" s="11">
        <v>505</v>
      </c>
      <c r="J1032" s="10">
        <v>0.6818</v>
      </c>
      <c r="K1032" s="11">
        <v>464</v>
      </c>
      <c r="L1032" s="10">
        <v>0.5</v>
      </c>
      <c r="M1032" s="11">
        <v>541.82</v>
      </c>
      <c r="N1032" s="10">
        <v>0.5</v>
      </c>
      <c r="O1032" s="11">
        <v>356.36</v>
      </c>
      <c r="P1032" s="10">
        <v>0.9091</v>
      </c>
      <c r="Q1032" s="10">
        <v>0.265</v>
      </c>
      <c r="R1032" s="10">
        <v>0.6818</v>
      </c>
      <c r="S1032" s="10">
        <v>0.248</v>
      </c>
      <c r="T1032" s="8">
        <f>IF(and(ISNUMBER(D1032), isnumber(E1032)), 1, 0) + IF(and(ISNUMBER(F1032), isnumber(G1032)), 1, 0) + IF(and(ISNUMBER(H1032), isnumber(I1032)), 1, 0) + IF(and(ISNUMBER(J1032), isnumber(K1032)), 1, 0) + IF(and(ISNUMBER(L1032), isnumber(M1032)), 1, 0) + IF(and(ISNUMBER(N1032), isnumber(O1032)), 1, 0)</f>
      </c>
      <c r="U1032" s="8">
        <f>IF(and(ISNUMBER(P1032), isnumber(Q1032)), 1, 0) + IF(and(ISNUMBER(R1032), isnumber(S1032)), 1, 0)</f>
      </c>
      <c r="V1032" s="13"/>
      <c r="W1032" s="13"/>
      <c r="X1032" s="16"/>
    </row>
    <row x14ac:dyDescent="0.25" r="1033" customHeight="1" ht="15.75">
      <c r="A1033" s="8">
        <v>25192</v>
      </c>
      <c r="B1033" s="13" t="s">
        <v>391</v>
      </c>
      <c r="C1033" s="13" t="s">
        <v>6870</v>
      </c>
      <c r="D1033" s="10">
        <v>0.9444</v>
      </c>
      <c r="E1033" s="11">
        <v>267.84</v>
      </c>
      <c r="F1033" s="10">
        <v>0.9537</v>
      </c>
      <c r="G1033" s="11">
        <v>369.39</v>
      </c>
      <c r="H1033" s="10">
        <v>0.9722</v>
      </c>
      <c r="I1033" s="11">
        <v>365.38</v>
      </c>
      <c r="J1033" s="10">
        <v>0.9907</v>
      </c>
      <c r="K1033" s="11">
        <v>307.92</v>
      </c>
      <c r="L1033" s="10">
        <v>0.9722</v>
      </c>
      <c r="M1033" s="11">
        <v>313.52</v>
      </c>
      <c r="N1033" s="10">
        <v>0.9722</v>
      </c>
      <c r="O1033" s="11">
        <v>335</v>
      </c>
      <c r="P1033" s="10">
        <v>0.9444</v>
      </c>
      <c r="Q1033" s="10">
        <v>0.221</v>
      </c>
      <c r="R1033" s="10">
        <v>0.9907</v>
      </c>
      <c r="S1033" s="10">
        <v>0.1687</v>
      </c>
      <c r="T1033" s="8">
        <f>IF(and(ISNUMBER(D1033), isnumber(E1033)), 1, 0) + IF(and(ISNUMBER(F1033), isnumber(G1033)), 1, 0) + IF(and(ISNUMBER(H1033), isnumber(I1033)), 1, 0) + IF(and(ISNUMBER(J1033), isnumber(K1033)), 1, 0) + IF(and(ISNUMBER(L1033), isnumber(M1033)), 1, 0) + IF(and(ISNUMBER(N1033), isnumber(O1033)), 1, 0)</f>
      </c>
      <c r="U1033" s="8">
        <f>IF(and(ISNUMBER(P1033), isnumber(Q1033)), 1, 0) + IF(and(ISNUMBER(R1033), isnumber(S1033)), 1, 0)</f>
      </c>
      <c r="V1033" s="13"/>
      <c r="W1033" s="13"/>
      <c r="X1033" s="16"/>
    </row>
    <row x14ac:dyDescent="0.25" r="1034" customHeight="1" ht="15.75">
      <c r="A1034" s="8">
        <v>25228</v>
      </c>
      <c r="B1034" s="13" t="s">
        <v>391</v>
      </c>
      <c r="C1034" s="13" t="s">
        <v>6872</v>
      </c>
      <c r="D1034" s="10">
        <v>0.9706</v>
      </c>
      <c r="E1034" s="11">
        <v>350.3</v>
      </c>
      <c r="F1034" s="10">
        <v>1</v>
      </c>
      <c r="G1034" s="11">
        <v>429.41</v>
      </c>
      <c r="H1034" s="10">
        <v>1</v>
      </c>
      <c r="I1034" s="11">
        <v>0</v>
      </c>
      <c r="J1034" s="10">
        <v>0.8824</v>
      </c>
      <c r="K1034" s="11">
        <v>264.83</v>
      </c>
      <c r="L1034" s="10">
        <v>0.8824</v>
      </c>
      <c r="M1034" s="11">
        <v>532</v>
      </c>
      <c r="N1034" s="10">
        <v>0.8235</v>
      </c>
      <c r="O1034" s="11">
        <v>421.43</v>
      </c>
      <c r="P1034" s="10">
        <v>0.9706</v>
      </c>
      <c r="Q1034" s="10">
        <v>0.2094</v>
      </c>
      <c r="R1034" s="10">
        <v>0.8824</v>
      </c>
      <c r="S1034" s="10">
        <v>0.1917</v>
      </c>
      <c r="T1034" s="8">
        <f>IF(and(ISNUMBER(D1034), isnumber(E1034)), 1, 0) + IF(and(ISNUMBER(F1034), isnumber(G1034)), 1, 0) + IF(and(ISNUMBER(H1034), isnumber(I1034)), 1, 0) + IF(and(ISNUMBER(J1034), isnumber(K1034)), 1, 0) + IF(and(ISNUMBER(L1034), isnumber(M1034)), 1, 0) + IF(and(ISNUMBER(N1034), isnumber(O1034)), 1, 0)</f>
      </c>
      <c r="U1034" s="8">
        <f>IF(and(ISNUMBER(P1034), isnumber(Q1034)), 1, 0) + IF(and(ISNUMBER(R1034), isnumber(S1034)), 1, 0)</f>
      </c>
      <c r="V1034" s="13"/>
      <c r="W1034" s="13"/>
      <c r="X1034" s="16"/>
    </row>
    <row x14ac:dyDescent="0.25" r="1035" customHeight="1" ht="15.75">
      <c r="A1035" s="8">
        <v>25174</v>
      </c>
      <c r="B1035" s="13" t="s">
        <v>391</v>
      </c>
      <c r="C1035" s="13" t="s">
        <v>6874</v>
      </c>
      <c r="D1035" s="10">
        <v>0.6842</v>
      </c>
      <c r="E1035" s="11">
        <v>186.67</v>
      </c>
      <c r="F1035" s="10">
        <v>0.6667</v>
      </c>
      <c r="G1035" s="11">
        <v>415.91</v>
      </c>
      <c r="H1035" s="10">
        <v>0.6</v>
      </c>
      <c r="I1035" s="11">
        <v>449.92</v>
      </c>
      <c r="J1035" s="10">
        <v>0.9</v>
      </c>
      <c r="K1035" s="11">
        <v>385.45</v>
      </c>
      <c r="L1035" s="10">
        <v>0.68</v>
      </c>
      <c r="M1035" s="11">
        <v>437.65</v>
      </c>
      <c r="N1035" s="10">
        <v>0.5333</v>
      </c>
      <c r="O1035" s="11">
        <v>449.43</v>
      </c>
      <c r="P1035" s="10">
        <v>0.6842</v>
      </c>
      <c r="Q1035" s="10">
        <v>0.1903</v>
      </c>
      <c r="R1035" s="10">
        <v>0.9</v>
      </c>
      <c r="S1035" s="10">
        <v>0.1998</v>
      </c>
      <c r="T1035" s="8">
        <f>IF(and(ISNUMBER(D1035), isnumber(E1035)), 1, 0) + IF(and(ISNUMBER(F1035), isnumber(G1035)), 1, 0) + IF(and(ISNUMBER(H1035), isnumber(I1035)), 1, 0) + IF(and(ISNUMBER(J1035), isnumber(K1035)), 1, 0) + IF(and(ISNUMBER(L1035), isnumber(M1035)), 1, 0) + IF(and(ISNUMBER(N1035), isnumber(O1035)), 1, 0)</f>
      </c>
      <c r="U1035" s="8">
        <f>IF(and(ISNUMBER(P1035), isnumber(Q1035)), 1, 0) + IF(and(ISNUMBER(R1035), isnumber(S1035)), 1, 0)</f>
      </c>
      <c r="V1035" s="13"/>
      <c r="W1035" s="13"/>
      <c r="X1035" s="16"/>
    </row>
    <row x14ac:dyDescent="0.25" r="1036" customHeight="1" ht="15.75">
      <c r="A1036" s="8">
        <v>25236</v>
      </c>
      <c r="B1036" s="13" t="s">
        <v>391</v>
      </c>
      <c r="C1036" s="13" t="s">
        <v>6876</v>
      </c>
      <c r="D1036" s="10">
        <v>1</v>
      </c>
      <c r="E1036" s="11">
        <v>338.13</v>
      </c>
      <c r="F1036" s="10">
        <v>0.8594</v>
      </c>
      <c r="G1036" s="11">
        <v>413.08</v>
      </c>
      <c r="H1036" s="10">
        <v>0.9922</v>
      </c>
      <c r="I1036" s="11">
        <v>445.81</v>
      </c>
      <c r="J1036" s="10">
        <v>0.8984</v>
      </c>
      <c r="K1036" s="11">
        <v>347.07</v>
      </c>
      <c r="L1036" s="10">
        <v>0.9063</v>
      </c>
      <c r="M1036" s="11">
        <v>514.74</v>
      </c>
      <c r="N1036" s="10">
        <v>0.7813</v>
      </c>
      <c r="O1036" s="11">
        <v>492.08</v>
      </c>
      <c r="P1036" s="10">
        <v>1</v>
      </c>
      <c r="Q1036" s="10">
        <v>0.2136</v>
      </c>
      <c r="R1036" s="10">
        <v>0.8984</v>
      </c>
      <c r="S1036" s="10">
        <v>0.2105</v>
      </c>
      <c r="T1036" s="8">
        <f>IF(and(ISNUMBER(D1036), isnumber(E1036)), 1, 0) + IF(and(ISNUMBER(F1036), isnumber(G1036)), 1, 0) + IF(and(ISNUMBER(H1036), isnumber(I1036)), 1, 0) + IF(and(ISNUMBER(J1036), isnumber(K1036)), 1, 0) + IF(and(ISNUMBER(L1036), isnumber(M1036)), 1, 0) + IF(and(ISNUMBER(N1036), isnumber(O1036)), 1, 0)</f>
      </c>
      <c r="U1036" s="8">
        <f>IF(and(ISNUMBER(P1036), isnumber(Q1036)), 1, 0) + IF(and(ISNUMBER(R1036), isnumber(S1036)), 1, 0)</f>
      </c>
      <c r="V1036" s="13"/>
      <c r="W1036" s="13"/>
      <c r="X1036" s="16"/>
    </row>
    <row x14ac:dyDescent="0.25" r="1037" customHeight="1" ht="15.75">
      <c r="A1037" s="8">
        <v>25180</v>
      </c>
      <c r="B1037" s="13" t="s">
        <v>391</v>
      </c>
      <c r="C1037" s="13" t="s">
        <v>6877</v>
      </c>
      <c r="D1037" s="10">
        <v>0.9231</v>
      </c>
      <c r="E1037" s="11">
        <v>500.87</v>
      </c>
      <c r="F1037" s="10">
        <v>0.9519</v>
      </c>
      <c r="G1037" s="11">
        <v>470.32</v>
      </c>
      <c r="H1037" s="10">
        <v>0.9712</v>
      </c>
      <c r="I1037" s="11">
        <v>566.8</v>
      </c>
      <c r="J1037" s="10">
        <v>0.8269</v>
      </c>
      <c r="K1037" s="11">
        <v>553.95</v>
      </c>
      <c r="L1037" s="10">
        <v>0.8269</v>
      </c>
      <c r="M1037" s="11">
        <v>599.53</v>
      </c>
      <c r="N1037" s="10">
        <v>0.9904</v>
      </c>
      <c r="O1037" s="11">
        <v>593.73</v>
      </c>
      <c r="P1037" s="10">
        <v>0.9231</v>
      </c>
      <c r="Q1037" s="10">
        <v>0.284</v>
      </c>
      <c r="R1037" s="10">
        <v>0.8269</v>
      </c>
      <c r="S1037" s="10">
        <v>0.2362</v>
      </c>
      <c r="T1037" s="8">
        <f>IF(and(ISNUMBER(D1037), isnumber(E1037)), 1, 0) + IF(and(ISNUMBER(F1037), isnumber(G1037)), 1, 0) + IF(and(ISNUMBER(H1037), isnumber(I1037)), 1, 0) + IF(and(ISNUMBER(J1037), isnumber(K1037)), 1, 0) + IF(and(ISNUMBER(L1037), isnumber(M1037)), 1, 0) + IF(and(ISNUMBER(N1037), isnumber(O1037)), 1, 0)</f>
      </c>
      <c r="U1037" s="8">
        <f>IF(and(ISNUMBER(P1037), isnumber(Q1037)), 1, 0) + IF(and(ISNUMBER(R1037), isnumber(S1037)), 1, 0)</f>
      </c>
      <c r="V1037" s="13"/>
      <c r="W1037" s="13"/>
      <c r="X1037" s="16"/>
    </row>
    <row x14ac:dyDescent="0.25" r="1038" customHeight="1" ht="15.75">
      <c r="A1038" s="8">
        <v>25232</v>
      </c>
      <c r="B1038" s="13" t="s">
        <v>391</v>
      </c>
      <c r="C1038" s="13" t="s">
        <v>6880</v>
      </c>
      <c r="D1038" s="10">
        <v>0.9787</v>
      </c>
      <c r="E1038" s="11">
        <v>409.13</v>
      </c>
      <c r="F1038" s="10">
        <v>0.8191</v>
      </c>
      <c r="G1038" s="11">
        <v>505.79</v>
      </c>
      <c r="H1038" s="10">
        <v>0.9574</v>
      </c>
      <c r="I1038" s="11">
        <v>524.55</v>
      </c>
      <c r="J1038" s="10">
        <v>0.9255</v>
      </c>
      <c r="K1038" s="11">
        <v>447.36</v>
      </c>
      <c r="L1038" s="10">
        <v>0.9362</v>
      </c>
      <c r="M1038" s="11">
        <v>531.03</v>
      </c>
      <c r="N1038" s="10">
        <v>0.8191</v>
      </c>
      <c r="O1038" s="11">
        <v>514.29</v>
      </c>
      <c r="P1038" s="10">
        <v>0.9787</v>
      </c>
      <c r="Q1038" s="10">
        <v>0.2908</v>
      </c>
      <c r="R1038" s="10">
        <v>0.9255</v>
      </c>
      <c r="S1038" s="10">
        <v>0.2187</v>
      </c>
      <c r="T1038" s="8">
        <f>IF(and(ISNUMBER(D1038), isnumber(E1038)), 1, 0) + IF(and(ISNUMBER(F1038), isnumber(G1038)), 1, 0) + IF(and(ISNUMBER(H1038), isnumber(I1038)), 1, 0) + IF(and(ISNUMBER(J1038), isnumber(K1038)), 1, 0) + IF(and(ISNUMBER(L1038), isnumber(M1038)), 1, 0) + IF(and(ISNUMBER(N1038), isnumber(O1038)), 1, 0)</f>
      </c>
      <c r="U1038" s="8">
        <f>IF(and(ISNUMBER(P1038), isnumber(Q1038)), 1, 0) + IF(and(ISNUMBER(R1038), isnumber(S1038)), 1, 0)</f>
      </c>
      <c r="V1038" s="13"/>
      <c r="W1038" s="13"/>
      <c r="X1038" s="16"/>
    </row>
    <row x14ac:dyDescent="0.25" r="1039" customHeight="1" ht="15.75">
      <c r="A1039" s="8">
        <v>25160</v>
      </c>
      <c r="B1039" s="13" t="s">
        <v>391</v>
      </c>
      <c r="C1039" s="13" t="s">
        <v>6882</v>
      </c>
      <c r="D1039" s="10">
        <v>0.9189</v>
      </c>
      <c r="E1039" s="11">
        <v>414.12</v>
      </c>
      <c r="F1039" s="10">
        <v>0.8378</v>
      </c>
      <c r="G1039" s="11">
        <v>492.9</v>
      </c>
      <c r="H1039" s="10">
        <v>0.7432</v>
      </c>
      <c r="I1039" s="11">
        <v>568</v>
      </c>
      <c r="J1039" s="10">
        <v>0.7703</v>
      </c>
      <c r="K1039" s="11">
        <v>493.33</v>
      </c>
      <c r="L1039" s="10">
        <v>0.7162</v>
      </c>
      <c r="M1039" s="11">
        <v>523.85</v>
      </c>
      <c r="N1039" s="10">
        <v>0.7432</v>
      </c>
      <c r="O1039" s="11">
        <v>569.45</v>
      </c>
      <c r="P1039" s="10">
        <v>0.9189</v>
      </c>
      <c r="Q1039" s="10">
        <v>0.2786</v>
      </c>
      <c r="R1039" s="10">
        <v>0.7703</v>
      </c>
      <c r="S1039" s="10">
        <v>0.231</v>
      </c>
      <c r="T1039" s="8">
        <f>IF(and(ISNUMBER(D1039), isnumber(E1039)), 1, 0) + IF(and(ISNUMBER(F1039), isnumber(G1039)), 1, 0) + IF(and(ISNUMBER(H1039), isnumber(I1039)), 1, 0) + IF(and(ISNUMBER(J1039), isnumber(K1039)), 1, 0) + IF(and(ISNUMBER(L1039), isnumber(M1039)), 1, 0) + IF(and(ISNUMBER(N1039), isnumber(O1039)), 1, 0)</f>
      </c>
      <c r="U1039" s="8">
        <f>IF(and(ISNUMBER(P1039), isnumber(Q1039)), 1, 0) + IF(and(ISNUMBER(R1039), isnumber(S1039)), 1, 0)</f>
      </c>
      <c r="V1039" s="13"/>
      <c r="W1039" s="13"/>
      <c r="X1039" s="16"/>
    </row>
    <row x14ac:dyDescent="0.25" r="1040" customHeight="1" ht="15.75">
      <c r="A1040" s="8">
        <v>25168</v>
      </c>
      <c r="B1040" s="13" t="s">
        <v>391</v>
      </c>
      <c r="C1040" s="13" t="s">
        <v>6885</v>
      </c>
      <c r="D1040" s="10">
        <v>0.4054</v>
      </c>
      <c r="E1040" s="11">
        <v>322.67</v>
      </c>
      <c r="F1040" s="10">
        <v>0.6757</v>
      </c>
      <c r="G1040" s="11">
        <v>451.2</v>
      </c>
      <c r="H1040" s="10">
        <v>0.8108</v>
      </c>
      <c r="I1040" s="11">
        <v>474.67</v>
      </c>
      <c r="J1040" s="10">
        <v>0.7027</v>
      </c>
      <c r="K1040" s="11">
        <v>312.31</v>
      </c>
      <c r="L1040" s="10">
        <v>0.5135</v>
      </c>
      <c r="M1040" s="11">
        <v>414.74</v>
      </c>
      <c r="N1040" s="10">
        <v>0.4865</v>
      </c>
      <c r="O1040" s="11">
        <v>362.22</v>
      </c>
      <c r="P1040" s="10">
        <v>0.4054</v>
      </c>
      <c r="Q1040" s="10">
        <v>0.2416</v>
      </c>
      <c r="R1040" s="10">
        <v>0.7027</v>
      </c>
      <c r="S1040" s="10">
        <v>0.223</v>
      </c>
      <c r="T1040" s="8">
        <f>IF(and(ISNUMBER(D1040), isnumber(E1040)), 1, 0) + IF(and(ISNUMBER(F1040), isnumber(G1040)), 1, 0) + IF(and(ISNUMBER(H1040), isnumber(I1040)), 1, 0) + IF(and(ISNUMBER(J1040), isnumber(K1040)), 1, 0) + IF(and(ISNUMBER(L1040), isnumber(M1040)), 1, 0) + IF(and(ISNUMBER(N1040), isnumber(O1040)), 1, 0)</f>
      </c>
      <c r="U1040" s="8">
        <f>IF(and(ISNUMBER(P1040), isnumber(Q1040)), 1, 0) + IF(and(ISNUMBER(R1040), isnumber(S1040)), 1, 0)</f>
      </c>
      <c r="V1040" s="13"/>
      <c r="W1040" s="13"/>
      <c r="X1040" s="16"/>
    </row>
    <row x14ac:dyDescent="0.25" r="1041" customHeight="1" ht="15.75">
      <c r="A1041" s="8">
        <v>25169</v>
      </c>
      <c r="B1041" s="13" t="s">
        <v>391</v>
      </c>
      <c r="C1041" s="13" t="s">
        <v>6887</v>
      </c>
      <c r="D1041" s="10">
        <v>1</v>
      </c>
      <c r="E1041" s="11">
        <v>441.82</v>
      </c>
      <c r="F1041" s="10">
        <v>1</v>
      </c>
      <c r="G1041" s="11">
        <v>565.71</v>
      </c>
      <c r="H1041" s="10">
        <v>1</v>
      </c>
      <c r="I1041" s="11">
        <v>563.64</v>
      </c>
      <c r="J1041" s="10">
        <v>1</v>
      </c>
      <c r="K1041" s="11">
        <v>465.45</v>
      </c>
      <c r="L1041" s="10">
        <v>1</v>
      </c>
      <c r="M1041" s="11">
        <v>583.64</v>
      </c>
      <c r="N1041" s="10">
        <v>0.9091</v>
      </c>
      <c r="O1041" s="11">
        <v>598</v>
      </c>
      <c r="P1041" s="10">
        <v>1</v>
      </c>
      <c r="Q1041" s="10">
        <v>0.2989</v>
      </c>
      <c r="R1041" s="10">
        <v>1</v>
      </c>
      <c r="S1041" s="10">
        <v>0.2396</v>
      </c>
      <c r="T1041" s="8">
        <f>IF(and(ISNUMBER(D1041), isnumber(E1041)), 1, 0) + IF(and(ISNUMBER(F1041), isnumber(G1041)), 1, 0) + IF(and(ISNUMBER(H1041), isnumber(I1041)), 1, 0) + IF(and(ISNUMBER(J1041), isnumber(K1041)), 1, 0) + IF(and(ISNUMBER(L1041), isnumber(M1041)), 1, 0) + IF(and(ISNUMBER(N1041), isnumber(O1041)), 1, 0)</f>
      </c>
      <c r="U1041" s="8">
        <f>IF(and(ISNUMBER(P1041), isnumber(Q1041)), 1, 0) + IF(and(ISNUMBER(R1041), isnumber(S1041)), 1, 0)</f>
      </c>
      <c r="V1041" s="13"/>
      <c r="W1041" s="13"/>
      <c r="X1041" s="16"/>
    </row>
    <row x14ac:dyDescent="0.25" r="1042" customHeight="1" ht="15.75">
      <c r="A1042" s="8">
        <v>25222</v>
      </c>
      <c r="B1042" s="13" t="s">
        <v>391</v>
      </c>
      <c r="C1042" s="13" t="s">
        <v>6889</v>
      </c>
      <c r="D1042" s="10">
        <v>0.8889</v>
      </c>
      <c r="E1042" s="11">
        <v>327.06</v>
      </c>
      <c r="F1042" s="10">
        <v>0.8889</v>
      </c>
      <c r="G1042" s="11">
        <v>365</v>
      </c>
      <c r="H1042" s="10">
        <v>0.7407</v>
      </c>
      <c r="I1042" s="11">
        <v>434</v>
      </c>
      <c r="J1042" s="10">
        <v>0.8148</v>
      </c>
      <c r="K1042" s="11">
        <v>263.64</v>
      </c>
      <c r="L1042" s="10">
        <v>0.7037</v>
      </c>
      <c r="M1042" s="11">
        <v>414.74</v>
      </c>
      <c r="N1042" s="10">
        <v>0.7407</v>
      </c>
      <c r="O1042" s="11">
        <v>392</v>
      </c>
      <c r="P1042" s="10">
        <v>0.8889</v>
      </c>
      <c r="Q1042" s="10">
        <v>0.2515</v>
      </c>
      <c r="R1042" s="10">
        <v>0.8148</v>
      </c>
      <c r="S1042" s="10">
        <v>0.2298</v>
      </c>
      <c r="T1042" s="8">
        <f>IF(and(ISNUMBER(D1042), isnumber(E1042)), 1, 0) + IF(and(ISNUMBER(F1042), isnumber(G1042)), 1, 0) + IF(and(ISNUMBER(H1042), isnumber(I1042)), 1, 0) + IF(and(ISNUMBER(J1042), isnumber(K1042)), 1, 0) + IF(and(ISNUMBER(L1042), isnumber(M1042)), 1, 0) + IF(and(ISNUMBER(N1042), isnumber(O1042)), 1, 0)</f>
      </c>
      <c r="U1042" s="8">
        <f>IF(and(ISNUMBER(P1042), isnumber(Q1042)), 1, 0) + IF(and(ISNUMBER(R1042), isnumber(S1042)), 1, 0)</f>
      </c>
      <c r="V1042" s="13"/>
      <c r="W1042" s="13"/>
      <c r="X1042" s="16"/>
    </row>
    <row x14ac:dyDescent="0.25" r="1043" customHeight="1" ht="15.75">
      <c r="A1043" s="8">
        <v>25197</v>
      </c>
      <c r="B1043" s="13" t="s">
        <v>391</v>
      </c>
      <c r="C1043" s="13" t="s">
        <v>6891</v>
      </c>
      <c r="D1043" s="10">
        <v>0.9118</v>
      </c>
      <c r="E1043" s="11">
        <v>306.9</v>
      </c>
      <c r="F1043" s="10">
        <v>0.9412</v>
      </c>
      <c r="G1043" s="11">
        <v>451.43</v>
      </c>
      <c r="H1043" s="10">
        <v>0.6176</v>
      </c>
      <c r="I1043" s="11">
        <v>466.67</v>
      </c>
      <c r="J1043" s="10">
        <v>0.7353</v>
      </c>
      <c r="K1043" s="11">
        <v>404.8</v>
      </c>
      <c r="L1043" s="10">
        <v>0.7941</v>
      </c>
      <c r="M1043" s="11">
        <v>477.78</v>
      </c>
      <c r="N1043" s="10">
        <v>0.7353</v>
      </c>
      <c r="O1043" s="11">
        <v>488</v>
      </c>
      <c r="P1043" s="10">
        <v>0.9118</v>
      </c>
      <c r="Q1043" s="10">
        <v>0.2492</v>
      </c>
      <c r="R1043" s="10">
        <v>0.7353</v>
      </c>
      <c r="S1043" s="10">
        <v>0.2062</v>
      </c>
      <c r="T1043" s="8">
        <f>IF(and(ISNUMBER(D1043), isnumber(E1043)), 1, 0) + IF(and(ISNUMBER(F1043), isnumber(G1043)), 1, 0) + IF(and(ISNUMBER(H1043), isnumber(I1043)), 1, 0) + IF(and(ISNUMBER(J1043), isnumber(K1043)), 1, 0) + IF(and(ISNUMBER(L1043), isnumber(M1043)), 1, 0) + IF(and(ISNUMBER(N1043), isnumber(O1043)), 1, 0)</f>
      </c>
      <c r="U1043" s="8">
        <f>IF(and(ISNUMBER(P1043), isnumber(Q1043)), 1, 0) + IF(and(ISNUMBER(R1043), isnumber(S1043)), 1, 0)</f>
      </c>
      <c r="V1043" s="13"/>
      <c r="W1043" s="13"/>
      <c r="X1043" s="16"/>
    </row>
    <row x14ac:dyDescent="0.25" r="1044" customHeight="1" ht="15.75">
      <c r="A1044" s="8">
        <v>25224</v>
      </c>
      <c r="B1044" s="13" t="s">
        <v>391</v>
      </c>
      <c r="C1044" s="13" t="s">
        <v>6893</v>
      </c>
      <c r="D1044" s="10">
        <v>0.8675</v>
      </c>
      <c r="E1044" s="11">
        <v>392.5</v>
      </c>
      <c r="F1044" s="10">
        <v>0.7289</v>
      </c>
      <c r="G1044" s="11">
        <v>508.67</v>
      </c>
      <c r="H1044" s="10">
        <v>0.8494</v>
      </c>
      <c r="I1044" s="11">
        <v>504.68</v>
      </c>
      <c r="J1044" s="10">
        <v>0.8554</v>
      </c>
      <c r="K1044" s="11">
        <v>506.45</v>
      </c>
      <c r="L1044" s="10">
        <v>0.747</v>
      </c>
      <c r="M1044" s="11">
        <v>570.32</v>
      </c>
      <c r="N1044" s="10">
        <v>0.6988</v>
      </c>
      <c r="O1044" s="11">
        <v>532.87</v>
      </c>
      <c r="P1044" s="10">
        <v>0.8675</v>
      </c>
      <c r="Q1044" s="10">
        <v>0.2917</v>
      </c>
      <c r="R1044" s="10">
        <v>0.8554</v>
      </c>
      <c r="S1044" s="10">
        <v>0.2489</v>
      </c>
      <c r="T1044" s="8">
        <f>IF(and(ISNUMBER(D1044), isnumber(E1044)), 1, 0) + IF(and(ISNUMBER(F1044), isnumber(G1044)), 1, 0) + IF(and(ISNUMBER(H1044), isnumber(I1044)), 1, 0) + IF(and(ISNUMBER(J1044), isnumber(K1044)), 1, 0) + IF(and(ISNUMBER(L1044), isnumber(M1044)), 1, 0) + IF(and(ISNUMBER(N1044), isnumber(O1044)), 1, 0)</f>
      </c>
      <c r="U1044" s="8">
        <f>IF(and(ISNUMBER(P1044), isnumber(Q1044)), 1, 0) + IF(and(ISNUMBER(R1044), isnumber(S1044)), 1, 0)</f>
      </c>
      <c r="V1044" s="13"/>
      <c r="W1044" s="13"/>
      <c r="X1044" s="16"/>
    </row>
    <row x14ac:dyDescent="0.25" r="1045" customHeight="1" ht="15.75">
      <c r="A1045" s="8">
        <v>25193</v>
      </c>
      <c r="B1045" s="13" t="s">
        <v>391</v>
      </c>
      <c r="C1045" s="13" t="s">
        <v>6894</v>
      </c>
      <c r="D1045" s="10">
        <v>0.9865</v>
      </c>
      <c r="E1045" s="11">
        <v>355.07</v>
      </c>
      <c r="F1045" s="10">
        <v>1</v>
      </c>
      <c r="G1045" s="11">
        <v>416.99</v>
      </c>
      <c r="H1045" s="10">
        <v>1</v>
      </c>
      <c r="I1045" s="11">
        <v>411.35</v>
      </c>
      <c r="J1045" s="10">
        <v>0.973</v>
      </c>
      <c r="K1045" s="11">
        <v>428.89</v>
      </c>
      <c r="L1045" s="10">
        <v>0.9595</v>
      </c>
      <c r="M1045" s="11">
        <v>471.55</v>
      </c>
      <c r="N1045" s="10">
        <v>0.9595</v>
      </c>
      <c r="O1045" s="11">
        <v>482.25</v>
      </c>
      <c r="P1045" s="10">
        <v>0.9865</v>
      </c>
      <c r="Q1045" s="10">
        <v>0.2619</v>
      </c>
      <c r="R1045" s="10">
        <v>0.973</v>
      </c>
      <c r="S1045" s="10">
        <v>0.2106</v>
      </c>
      <c r="T1045" s="8">
        <f>IF(and(ISNUMBER(D1045), isnumber(E1045)), 1, 0) + IF(and(ISNUMBER(F1045), isnumber(G1045)), 1, 0) + IF(and(ISNUMBER(H1045), isnumber(I1045)), 1, 0) + IF(and(ISNUMBER(J1045), isnumber(K1045)), 1, 0) + IF(and(ISNUMBER(L1045), isnumber(M1045)), 1, 0) + IF(and(ISNUMBER(N1045), isnumber(O1045)), 1, 0)</f>
      </c>
      <c r="U1045" s="8">
        <f>IF(and(ISNUMBER(P1045), isnumber(Q1045)), 1, 0) + IF(and(ISNUMBER(R1045), isnumber(S1045)), 1, 0)</f>
      </c>
      <c r="V1045" s="13"/>
      <c r="W1045" s="13"/>
      <c r="X1045" s="16"/>
    </row>
    <row x14ac:dyDescent="0.25" r="1046" customHeight="1" ht="15.75">
      <c r="A1046" s="8">
        <v>26210</v>
      </c>
      <c r="B1046" s="13" t="s">
        <v>116</v>
      </c>
      <c r="C1046" s="13" t="s">
        <v>6896</v>
      </c>
      <c r="D1046" s="10">
        <v>0.8846</v>
      </c>
      <c r="E1046" s="11">
        <v>403.48</v>
      </c>
      <c r="F1046" s="10">
        <v>0.9231</v>
      </c>
      <c r="G1046" s="11">
        <v>460</v>
      </c>
      <c r="H1046" s="10">
        <v>0.9615</v>
      </c>
      <c r="I1046" s="11">
        <v>538.33</v>
      </c>
      <c r="J1046" s="10">
        <v>1</v>
      </c>
      <c r="K1046" s="11">
        <v>501.54</v>
      </c>
      <c r="L1046" s="10">
        <v>0.9615</v>
      </c>
      <c r="M1046" s="11">
        <v>582.4</v>
      </c>
      <c r="N1046" s="10">
        <v>0.9231</v>
      </c>
      <c r="O1046" s="11">
        <v>536.67</v>
      </c>
      <c r="P1046" s="10">
        <v>0.8846</v>
      </c>
      <c r="Q1046" s="10">
        <v>0.2738</v>
      </c>
      <c r="R1046" s="10">
        <v>1</v>
      </c>
      <c r="S1046" s="10">
        <v>0.2169</v>
      </c>
      <c r="T1046" s="8">
        <f>IF(and(ISNUMBER(D1046), isnumber(E1046)), 1, 0) + IF(and(ISNUMBER(F1046), isnumber(G1046)), 1, 0) + IF(and(ISNUMBER(H1046), isnumber(I1046)), 1, 0) + IF(and(ISNUMBER(J1046), isnumber(K1046)), 1, 0) + IF(and(ISNUMBER(L1046), isnumber(M1046)), 1, 0) + IF(and(ISNUMBER(N1046), isnumber(O1046)), 1, 0)</f>
      </c>
      <c r="U1046" s="8">
        <f>IF(and(ISNUMBER(P1046), isnumber(Q1046)), 1, 0) + IF(and(ISNUMBER(R1046), isnumber(S1046)), 1, 0)</f>
      </c>
      <c r="V1046" s="13"/>
      <c r="W1046" s="13"/>
      <c r="X1046" s="16"/>
    </row>
    <row x14ac:dyDescent="0.25" r="1047" customHeight="1" ht="15.75">
      <c r="A1047" s="8">
        <v>26190</v>
      </c>
      <c r="B1047" s="13" t="s">
        <v>116</v>
      </c>
      <c r="C1047" s="13" t="s">
        <v>6897</v>
      </c>
      <c r="D1047" s="10">
        <v>0.7751</v>
      </c>
      <c r="E1047" s="11">
        <v>245.47</v>
      </c>
      <c r="F1047" s="10">
        <v>0.6024</v>
      </c>
      <c r="G1047" s="11">
        <v>445.95</v>
      </c>
      <c r="H1047" s="10">
        <v>0.5863</v>
      </c>
      <c r="I1047" s="11">
        <v>475.21</v>
      </c>
      <c r="J1047" s="10">
        <v>0.6988</v>
      </c>
      <c r="K1047" s="11">
        <v>254.5</v>
      </c>
      <c r="L1047" s="10">
        <v>0.6225</v>
      </c>
      <c r="M1047" s="11">
        <v>496.1</v>
      </c>
      <c r="N1047" s="10">
        <v>0.5984</v>
      </c>
      <c r="O1047" s="11">
        <v>493.89</v>
      </c>
      <c r="P1047" s="10">
        <v>0.7751</v>
      </c>
      <c r="Q1047" s="10">
        <v>0.218</v>
      </c>
      <c r="R1047" s="10">
        <v>0.6988</v>
      </c>
      <c r="S1047" s="10">
        <v>0.2567</v>
      </c>
      <c r="T1047" s="8">
        <f>IF(and(ISNUMBER(D1047), isnumber(E1047)), 1, 0) + IF(and(ISNUMBER(F1047), isnumber(G1047)), 1, 0) + IF(and(ISNUMBER(H1047), isnumber(I1047)), 1, 0) + IF(and(ISNUMBER(J1047), isnumber(K1047)), 1, 0) + IF(and(ISNUMBER(L1047), isnumber(M1047)), 1, 0) + IF(and(ISNUMBER(N1047), isnumber(O1047)), 1, 0)</f>
      </c>
      <c r="U1047" s="8">
        <f>IF(and(ISNUMBER(P1047), isnumber(Q1047)), 1, 0) + IF(and(ISNUMBER(R1047), isnumber(S1047)), 1, 0)</f>
      </c>
      <c r="V1047" s="13"/>
      <c r="W1047" s="13"/>
      <c r="X1047" s="16"/>
    </row>
    <row x14ac:dyDescent="0.25" r="1048" customHeight="1" ht="15.75">
      <c r="A1048" s="8">
        <v>26207</v>
      </c>
      <c r="B1048" s="13" t="s">
        <v>116</v>
      </c>
      <c r="C1048" s="13" t="s">
        <v>6900</v>
      </c>
      <c r="D1048" s="10">
        <v>0.8065</v>
      </c>
      <c r="E1048" s="11">
        <v>333.06</v>
      </c>
      <c r="F1048" s="10">
        <v>0.7097</v>
      </c>
      <c r="G1048" s="11">
        <v>374.55</v>
      </c>
      <c r="H1048" s="10">
        <v>0.4032</v>
      </c>
      <c r="I1048" s="11">
        <v>445</v>
      </c>
      <c r="J1048" s="10">
        <v>0.5806</v>
      </c>
      <c r="K1048" s="11">
        <v>389.71</v>
      </c>
      <c r="L1048" s="10">
        <v>0.5968</v>
      </c>
      <c r="M1048" s="11">
        <v>451.89</v>
      </c>
      <c r="N1048" s="10">
        <v>0.6129</v>
      </c>
      <c r="O1048" s="11">
        <v>458.38</v>
      </c>
      <c r="P1048" s="10">
        <v>0.8065</v>
      </c>
      <c r="Q1048" s="10">
        <v>0.2826</v>
      </c>
      <c r="R1048" s="10">
        <v>0.5806</v>
      </c>
      <c r="S1048" s="10">
        <v>0.2166</v>
      </c>
      <c r="T1048" s="8">
        <f>IF(and(ISNUMBER(D1048), isnumber(E1048)), 1, 0) + IF(and(ISNUMBER(F1048), isnumber(G1048)), 1, 0) + IF(and(ISNUMBER(H1048), isnumber(I1048)), 1, 0) + IF(and(ISNUMBER(J1048), isnumber(K1048)), 1, 0) + IF(and(ISNUMBER(L1048), isnumber(M1048)), 1, 0) + IF(and(ISNUMBER(N1048), isnumber(O1048)), 1, 0)</f>
      </c>
      <c r="U1048" s="8">
        <f>IF(and(ISNUMBER(P1048), isnumber(Q1048)), 1, 0) + IF(and(ISNUMBER(R1048), isnumber(S1048)), 1, 0)</f>
      </c>
      <c r="V1048" s="13"/>
      <c r="W1048" s="13"/>
      <c r="X1048" s="16"/>
    </row>
    <row x14ac:dyDescent="0.25" r="1049" customHeight="1" ht="15.75">
      <c r="A1049" s="8">
        <v>26184</v>
      </c>
      <c r="B1049" s="13" t="s">
        <v>116</v>
      </c>
      <c r="C1049" s="13" t="s">
        <v>6902</v>
      </c>
      <c r="D1049" s="10">
        <v>0.989</v>
      </c>
      <c r="E1049" s="11">
        <v>326.81</v>
      </c>
      <c r="F1049" s="10">
        <v>0.9048</v>
      </c>
      <c r="G1049" s="11">
        <v>400.65</v>
      </c>
      <c r="H1049" s="10">
        <v>0.7656</v>
      </c>
      <c r="I1049" s="11">
        <v>456.43</v>
      </c>
      <c r="J1049" s="10">
        <v>0.7656</v>
      </c>
      <c r="K1049" s="11">
        <v>433.89</v>
      </c>
      <c r="L1049" s="10">
        <v>0.7216</v>
      </c>
      <c r="M1049" s="11">
        <v>483.27</v>
      </c>
      <c r="N1049" s="10">
        <v>0.6996</v>
      </c>
      <c r="O1049" s="11">
        <v>481.49</v>
      </c>
      <c r="P1049" s="10">
        <v>0.989</v>
      </c>
      <c r="Q1049" s="10">
        <v>0.2386</v>
      </c>
      <c r="R1049" s="10">
        <v>0.7656</v>
      </c>
      <c r="S1049" s="10">
        <v>0.2347</v>
      </c>
      <c r="T1049" s="8">
        <f>IF(and(ISNUMBER(D1049), isnumber(E1049)), 1, 0) + IF(and(ISNUMBER(F1049), isnumber(G1049)), 1, 0) + IF(and(ISNUMBER(H1049), isnumber(I1049)), 1, 0) + IF(and(ISNUMBER(J1049), isnumber(K1049)), 1, 0) + IF(and(ISNUMBER(L1049), isnumber(M1049)), 1, 0) + IF(and(ISNUMBER(N1049), isnumber(O1049)), 1, 0)</f>
      </c>
      <c r="U1049" s="8">
        <f>IF(and(ISNUMBER(P1049), isnumber(Q1049)), 1, 0) + IF(and(ISNUMBER(R1049), isnumber(S1049)), 1, 0)</f>
      </c>
      <c r="V1049" s="13"/>
      <c r="W1049" s="13"/>
      <c r="X1049" s="16"/>
    </row>
    <row x14ac:dyDescent="0.25" r="1050" customHeight="1" ht="15.75">
      <c r="A1050" s="8">
        <v>26194</v>
      </c>
      <c r="B1050" s="13" t="s">
        <v>116</v>
      </c>
      <c r="C1050" s="13" t="s">
        <v>6904</v>
      </c>
      <c r="D1050" s="10">
        <v>0.7554</v>
      </c>
      <c r="E1050" s="11" t="s">
        <v>7127</v>
      </c>
      <c r="F1050" s="10">
        <v>0.7296</v>
      </c>
      <c r="G1050" s="11">
        <v>387.7</v>
      </c>
      <c r="H1050" s="10">
        <v>0.7438</v>
      </c>
      <c r="I1050" s="11">
        <v>447.7</v>
      </c>
      <c r="J1050" s="10">
        <v>0.8701</v>
      </c>
      <c r="K1050" s="11">
        <v>344.68</v>
      </c>
      <c r="L1050" s="10">
        <v>0.686</v>
      </c>
      <c r="M1050" s="11">
        <v>425.68</v>
      </c>
      <c r="N1050" s="10">
        <v>0.6033</v>
      </c>
      <c r="O1050" s="11">
        <v>413.26</v>
      </c>
      <c r="P1050" s="10">
        <v>0.7554</v>
      </c>
      <c r="Q1050" s="10">
        <v>0.2602</v>
      </c>
      <c r="R1050" s="10">
        <v>0.8701</v>
      </c>
      <c r="S1050" s="10">
        <v>0.2083</v>
      </c>
      <c r="T1050" s="8">
        <f>IF(and(ISNUMBER(D1050), isnumber(E1050)), 1, 0) + IF(and(ISNUMBER(F1050), isnumber(G1050)), 1, 0) + IF(and(ISNUMBER(H1050), isnumber(I1050)), 1, 0) + IF(and(ISNUMBER(J1050), isnumber(K1050)), 1, 0) + IF(and(ISNUMBER(L1050), isnumber(M1050)), 1, 0) + IF(and(ISNUMBER(N1050), isnumber(O1050)), 1, 0)</f>
      </c>
      <c r="U1050" s="8">
        <f>IF(and(ISNUMBER(P1050), isnumber(Q1050)), 1, 0) + IF(and(ISNUMBER(R1050), isnumber(S1050)), 1, 0)</f>
      </c>
      <c r="V1050" s="13"/>
      <c r="W1050" s="13"/>
      <c r="X1050" s="16"/>
    </row>
    <row x14ac:dyDescent="0.25" r="1051" customHeight="1" ht="15.75">
      <c r="A1051" s="8">
        <v>26195</v>
      </c>
      <c r="B1051" s="13" t="s">
        <v>116</v>
      </c>
      <c r="C1051" s="13" t="s">
        <v>6907</v>
      </c>
      <c r="D1051" s="10">
        <v>0.9487</v>
      </c>
      <c r="E1051" s="11">
        <v>444.86</v>
      </c>
      <c r="F1051" s="10">
        <v>0.8718</v>
      </c>
      <c r="G1051" s="11">
        <v>486.67</v>
      </c>
      <c r="H1051" s="10">
        <v>0.8462</v>
      </c>
      <c r="I1051" s="11">
        <v>484.85</v>
      </c>
      <c r="J1051" s="10">
        <v>0.9231</v>
      </c>
      <c r="K1051" s="11">
        <v>518.31</v>
      </c>
      <c r="L1051" s="10">
        <v>0.7949</v>
      </c>
      <c r="M1051" s="11">
        <v>534.19</v>
      </c>
      <c r="N1051" s="10">
        <v>0.8462</v>
      </c>
      <c r="O1051" s="11">
        <v>515.15</v>
      </c>
      <c r="P1051" s="10">
        <v>0.9487</v>
      </c>
      <c r="Q1051" s="10">
        <v>0.2964</v>
      </c>
      <c r="R1051" s="10">
        <v>0.9231</v>
      </c>
      <c r="S1051" s="10">
        <v>0.2453</v>
      </c>
      <c r="T1051" s="8">
        <f>IF(and(ISNUMBER(D1051), isnumber(E1051)), 1, 0) + IF(and(ISNUMBER(F1051), isnumber(G1051)), 1, 0) + IF(and(ISNUMBER(H1051), isnumber(I1051)), 1, 0) + IF(and(ISNUMBER(J1051), isnumber(K1051)), 1, 0) + IF(and(ISNUMBER(L1051), isnumber(M1051)), 1, 0) + IF(and(ISNUMBER(N1051), isnumber(O1051)), 1, 0)</f>
      </c>
      <c r="U1051" s="8">
        <f>IF(and(ISNUMBER(P1051), isnumber(Q1051)), 1, 0) + IF(and(ISNUMBER(R1051), isnumber(S1051)), 1, 0)</f>
      </c>
      <c r="V1051" s="13"/>
      <c r="W1051" s="13"/>
      <c r="X1051" s="16"/>
    </row>
    <row x14ac:dyDescent="0.25" r="1052" customHeight="1" ht="15.75">
      <c r="A1052" s="8">
        <v>26196</v>
      </c>
      <c r="B1052" s="13" t="s">
        <v>116</v>
      </c>
      <c r="C1052" s="13" t="s">
        <v>6911</v>
      </c>
      <c r="D1052" s="10">
        <v>0.8813</v>
      </c>
      <c r="E1052" s="11">
        <v>318.7</v>
      </c>
      <c r="F1052" s="10">
        <v>0.7125</v>
      </c>
      <c r="G1052" s="11">
        <v>469.2</v>
      </c>
      <c r="H1052" s="10">
        <v>0.6532</v>
      </c>
      <c r="I1052" s="11">
        <v>509.73</v>
      </c>
      <c r="J1052" s="10">
        <v>0.7188</v>
      </c>
      <c r="K1052" s="11">
        <v>452.82</v>
      </c>
      <c r="L1052" s="10">
        <v>0.6936</v>
      </c>
      <c r="M1052" s="11">
        <v>479.1</v>
      </c>
      <c r="N1052" s="10">
        <v>0.6069</v>
      </c>
      <c r="O1052" s="11">
        <v>492.81</v>
      </c>
      <c r="P1052" s="10">
        <v>0.8813</v>
      </c>
      <c r="Q1052" s="10">
        <v>0.2645</v>
      </c>
      <c r="R1052" s="10">
        <v>0.7188</v>
      </c>
      <c r="S1052" s="10">
        <v>0.2305</v>
      </c>
      <c r="T1052" s="8">
        <f>IF(and(ISNUMBER(D1052), isnumber(E1052)), 1, 0) + IF(and(ISNUMBER(F1052), isnumber(G1052)), 1, 0) + IF(and(ISNUMBER(H1052), isnumber(I1052)), 1, 0) + IF(and(ISNUMBER(J1052), isnumber(K1052)), 1, 0) + IF(and(ISNUMBER(L1052), isnumber(M1052)), 1, 0) + IF(and(ISNUMBER(N1052), isnumber(O1052)), 1, 0)</f>
      </c>
      <c r="U1052" s="8">
        <f>IF(and(ISNUMBER(P1052), isnumber(Q1052)), 1, 0) + IF(and(ISNUMBER(R1052), isnumber(S1052)), 1, 0)</f>
      </c>
      <c r="V1052" s="13"/>
      <c r="W1052" s="13"/>
      <c r="X1052" s="16"/>
    </row>
    <row x14ac:dyDescent="0.25" r="1053" customHeight="1" ht="15.75">
      <c r="A1053" s="8">
        <v>26148</v>
      </c>
      <c r="B1053" s="13" t="s">
        <v>116</v>
      </c>
      <c r="C1053" s="13" t="s">
        <v>6915</v>
      </c>
      <c r="D1053" s="10">
        <v>0.6274</v>
      </c>
      <c r="E1053" s="11">
        <v>271.64</v>
      </c>
      <c r="F1053" s="10">
        <v>0.8885</v>
      </c>
      <c r="G1053" s="11">
        <v>218.08</v>
      </c>
      <c r="H1053" s="10">
        <v>0.8694</v>
      </c>
      <c r="I1053" s="11">
        <v>284.02</v>
      </c>
      <c r="J1053" s="10">
        <v>0.5875</v>
      </c>
      <c r="K1053" s="11">
        <v>426.04</v>
      </c>
      <c r="L1053" s="10">
        <v>0.575</v>
      </c>
      <c r="M1053" s="11">
        <v>463.53</v>
      </c>
      <c r="N1053" s="10">
        <v>0.5667</v>
      </c>
      <c r="O1053" s="11">
        <v>534.31</v>
      </c>
      <c r="P1053" s="10">
        <v>0.6274</v>
      </c>
      <c r="Q1053" s="10">
        <v>0.2376</v>
      </c>
      <c r="R1053" s="10">
        <v>0.5875</v>
      </c>
      <c r="S1053" s="10">
        <v>0.1849</v>
      </c>
      <c r="T1053" s="8">
        <f>IF(and(ISNUMBER(D1053), isnumber(E1053)), 1, 0) + IF(and(ISNUMBER(F1053), isnumber(G1053)), 1, 0) + IF(and(ISNUMBER(H1053), isnumber(I1053)), 1, 0) + IF(and(ISNUMBER(J1053), isnumber(K1053)), 1, 0) + IF(and(ISNUMBER(L1053), isnumber(M1053)), 1, 0) + IF(and(ISNUMBER(N1053), isnumber(O1053)), 1, 0)</f>
      </c>
      <c r="U1053" s="8">
        <f>IF(and(ISNUMBER(P1053), isnumber(Q1053)), 1, 0) + IF(and(ISNUMBER(R1053), isnumber(S1053)), 1, 0)</f>
      </c>
      <c r="V1053" s="13"/>
      <c r="W1053" s="13"/>
      <c r="X1053" s="16"/>
    </row>
    <row x14ac:dyDescent="0.25" r="1054" customHeight="1" ht="15.75">
      <c r="A1054" s="8">
        <v>26197</v>
      </c>
      <c r="B1054" s="13" t="s">
        <v>116</v>
      </c>
      <c r="C1054" s="13" t="s">
        <v>6917</v>
      </c>
      <c r="D1054" s="10">
        <v>0.8061</v>
      </c>
      <c r="E1054" s="11">
        <v>326.08</v>
      </c>
      <c r="F1054" s="10">
        <v>0.6633</v>
      </c>
      <c r="G1054" s="11">
        <v>473.85</v>
      </c>
      <c r="H1054" s="10">
        <v>0.7551</v>
      </c>
      <c r="I1054" s="11">
        <v>464.86</v>
      </c>
      <c r="J1054" s="10">
        <v>0.6531</v>
      </c>
      <c r="K1054" s="11">
        <v>456.36</v>
      </c>
      <c r="L1054" s="10">
        <v>0.6837</v>
      </c>
      <c r="M1054" s="11">
        <v>473.43</v>
      </c>
      <c r="N1054" s="10">
        <v>0.6735</v>
      </c>
      <c r="O1054" s="11">
        <v>509.09</v>
      </c>
      <c r="P1054" s="10">
        <v>0.8061</v>
      </c>
      <c r="Q1054" s="10">
        <v>0.3152</v>
      </c>
      <c r="R1054" s="10">
        <v>0.6531</v>
      </c>
      <c r="S1054" s="10">
        <v>0.2347</v>
      </c>
      <c r="T1054" s="8">
        <f>IF(and(ISNUMBER(D1054), isnumber(E1054)), 1, 0) + IF(and(ISNUMBER(F1054), isnumber(G1054)), 1, 0) + IF(and(ISNUMBER(H1054), isnumber(I1054)), 1, 0) + IF(and(ISNUMBER(J1054), isnumber(K1054)), 1, 0) + IF(and(ISNUMBER(L1054), isnumber(M1054)), 1, 0) + IF(and(ISNUMBER(N1054), isnumber(O1054)), 1, 0)</f>
      </c>
      <c r="U1054" s="8">
        <f>IF(and(ISNUMBER(P1054), isnumber(Q1054)), 1, 0) + IF(and(ISNUMBER(R1054), isnumber(S1054)), 1, 0)</f>
      </c>
      <c r="V1054" s="13"/>
      <c r="W1054" s="13"/>
      <c r="X1054" s="16"/>
    </row>
    <row x14ac:dyDescent="0.25" r="1055" customHeight="1" ht="15.75">
      <c r="A1055" s="8">
        <v>26162</v>
      </c>
      <c r="B1055" s="13" t="s">
        <v>116</v>
      </c>
      <c r="C1055" s="13" t="s">
        <v>6920</v>
      </c>
      <c r="D1055" s="10">
        <v>0.5731</v>
      </c>
      <c r="E1055" s="11">
        <v>381.2</v>
      </c>
      <c r="F1055" s="10">
        <v>0.5365</v>
      </c>
      <c r="G1055" s="11">
        <v>471.97</v>
      </c>
      <c r="H1055" s="10">
        <v>0.6712</v>
      </c>
      <c r="I1055" s="11">
        <v>495.53</v>
      </c>
      <c r="J1055" s="10">
        <v>0.5</v>
      </c>
      <c r="K1055" s="11">
        <v>425.07</v>
      </c>
      <c r="L1055" s="10">
        <v>0.7009</v>
      </c>
      <c r="M1055" s="11">
        <v>484.04</v>
      </c>
      <c r="N1055" s="10">
        <v>0.6438</v>
      </c>
      <c r="O1055" s="11">
        <v>492.71</v>
      </c>
      <c r="P1055" s="10">
        <v>0.5731</v>
      </c>
      <c r="Q1055" s="10">
        <v>0.2613</v>
      </c>
      <c r="R1055" s="10">
        <v>0.5</v>
      </c>
      <c r="S1055" s="10">
        <v>0.2142</v>
      </c>
      <c r="T1055" s="8">
        <f>IF(and(ISNUMBER(D1055), isnumber(E1055)), 1, 0) + IF(and(ISNUMBER(F1055), isnumber(G1055)), 1, 0) + IF(and(ISNUMBER(H1055), isnumber(I1055)), 1, 0) + IF(and(ISNUMBER(J1055), isnumber(K1055)), 1, 0) + IF(and(ISNUMBER(L1055), isnumber(M1055)), 1, 0) + IF(and(ISNUMBER(N1055), isnumber(O1055)), 1, 0)</f>
      </c>
      <c r="U1055" s="8">
        <f>IF(and(ISNUMBER(P1055), isnumber(Q1055)), 1, 0) + IF(and(ISNUMBER(R1055), isnumber(S1055)), 1, 0)</f>
      </c>
      <c r="V1055" s="13"/>
      <c r="W1055" s="13"/>
      <c r="X1055" s="16"/>
    </row>
    <row x14ac:dyDescent="0.25" r="1056" customHeight="1" ht="15.75">
      <c r="A1056" s="8">
        <v>26163</v>
      </c>
      <c r="B1056" s="13" t="s">
        <v>116</v>
      </c>
      <c r="C1056" s="13" t="s">
        <v>6923</v>
      </c>
      <c r="D1056" s="10">
        <v>0.8114</v>
      </c>
      <c r="E1056" s="11">
        <v>278.4</v>
      </c>
      <c r="F1056" s="10">
        <v>0.5778</v>
      </c>
      <c r="G1056" s="11">
        <v>456.38</v>
      </c>
      <c r="H1056" s="10">
        <v>0.6422</v>
      </c>
      <c r="I1056" s="11">
        <v>458.82</v>
      </c>
      <c r="J1056" s="10">
        <v>0.5105</v>
      </c>
      <c r="K1056" s="11">
        <v>337.52</v>
      </c>
      <c r="L1056" s="10">
        <v>0.6572</v>
      </c>
      <c r="M1056" s="11">
        <v>472.56</v>
      </c>
      <c r="N1056" s="10">
        <v>0.6602</v>
      </c>
      <c r="O1056" s="11">
        <v>423.63</v>
      </c>
      <c r="P1056" s="10">
        <v>0.8114</v>
      </c>
      <c r="Q1056" s="10">
        <v>0.253</v>
      </c>
      <c r="R1056" s="10">
        <v>0.5105</v>
      </c>
      <c r="S1056" s="10">
        <v>0.2113</v>
      </c>
      <c r="T1056" s="8">
        <f>IF(and(ISNUMBER(D1056), isnumber(E1056)), 1, 0) + IF(and(ISNUMBER(F1056), isnumber(G1056)), 1, 0) + IF(and(ISNUMBER(H1056), isnumber(I1056)), 1, 0) + IF(and(ISNUMBER(J1056), isnumber(K1056)), 1, 0) + IF(and(ISNUMBER(L1056), isnumber(M1056)), 1, 0) + IF(and(ISNUMBER(N1056), isnumber(O1056)), 1, 0)</f>
      </c>
      <c r="U1056" s="8">
        <f>IF(and(ISNUMBER(P1056), isnumber(Q1056)), 1, 0) + IF(and(ISNUMBER(R1056), isnumber(S1056)), 1, 0)</f>
      </c>
      <c r="V1056" s="13"/>
      <c r="W1056" s="13"/>
      <c r="X1056" s="16"/>
    </row>
    <row x14ac:dyDescent="0.25" r="1057" customHeight="1" ht="15.75">
      <c r="A1057" s="8">
        <v>26211</v>
      </c>
      <c r="B1057" s="13" t="s">
        <v>116</v>
      </c>
      <c r="C1057" s="13" t="s">
        <v>6926</v>
      </c>
      <c r="D1057" s="10">
        <v>0.8444</v>
      </c>
      <c r="E1057" s="11">
        <v>249.67</v>
      </c>
      <c r="F1057" s="10">
        <v>0.6178</v>
      </c>
      <c r="G1057" s="11">
        <v>491.01</v>
      </c>
      <c r="H1057" s="10">
        <v>0.5733</v>
      </c>
      <c r="I1057" s="11">
        <v>474.73</v>
      </c>
      <c r="J1057" s="10">
        <v>0.52</v>
      </c>
      <c r="K1057" s="11">
        <v>380.35</v>
      </c>
      <c r="L1057" s="10">
        <v>0.68</v>
      </c>
      <c r="M1057" s="11">
        <v>459.87</v>
      </c>
      <c r="N1057" s="10">
        <v>0.6178</v>
      </c>
      <c r="O1057" s="11">
        <v>462.45</v>
      </c>
      <c r="P1057" s="10">
        <v>0.8444</v>
      </c>
      <c r="Q1057" s="10">
        <v>0.2415</v>
      </c>
      <c r="R1057" s="10">
        <v>0.52</v>
      </c>
      <c r="S1057" s="10">
        <v>0.2049</v>
      </c>
      <c r="T1057" s="8">
        <f>IF(and(ISNUMBER(D1057), isnumber(E1057)), 1, 0) + IF(and(ISNUMBER(F1057), isnumber(G1057)), 1, 0) + IF(and(ISNUMBER(H1057), isnumber(I1057)), 1, 0) + IF(and(ISNUMBER(J1057), isnumber(K1057)), 1, 0) + IF(and(ISNUMBER(L1057), isnumber(M1057)), 1, 0) + IF(and(ISNUMBER(N1057), isnumber(O1057)), 1, 0)</f>
      </c>
      <c r="U1057" s="8">
        <f>IF(and(ISNUMBER(P1057), isnumber(Q1057)), 1, 0) + IF(and(ISNUMBER(R1057), isnumber(S1057)), 1, 0)</f>
      </c>
      <c r="V1057" s="13"/>
      <c r="W1057" s="13"/>
      <c r="X1057" s="16"/>
    </row>
    <row x14ac:dyDescent="0.25" r="1058" customHeight="1" ht="15.75">
      <c r="A1058" s="8">
        <v>26164</v>
      </c>
      <c r="B1058" s="13" t="s">
        <v>116</v>
      </c>
      <c r="C1058" s="13" t="s">
        <v>6927</v>
      </c>
      <c r="D1058" s="10">
        <v>0.8333</v>
      </c>
      <c r="E1058" s="11">
        <v>214.06</v>
      </c>
      <c r="F1058" s="10">
        <v>0.9242</v>
      </c>
      <c r="G1058" s="11">
        <v>284.26</v>
      </c>
      <c r="H1058" s="10">
        <v>0.6569</v>
      </c>
      <c r="I1058" s="11" t="s">
        <v>7127</v>
      </c>
      <c r="J1058" s="10">
        <v>0.813</v>
      </c>
      <c r="K1058" s="11">
        <v>371.13</v>
      </c>
      <c r="L1058" s="10">
        <v>0.6277</v>
      </c>
      <c r="M1058" s="11" t="s">
        <v>7127</v>
      </c>
      <c r="N1058" s="10">
        <v>0.6715</v>
      </c>
      <c r="O1058" s="11">
        <v>443.1</v>
      </c>
      <c r="P1058" s="10">
        <v>0.8333</v>
      </c>
      <c r="Q1058" s="10">
        <v>0.2108</v>
      </c>
      <c r="R1058" s="10">
        <v>0.813</v>
      </c>
      <c r="S1058" s="10">
        <v>0.2494</v>
      </c>
      <c r="T1058" s="8">
        <f>IF(and(ISNUMBER(D1058), isnumber(E1058)), 1, 0) + IF(and(ISNUMBER(F1058), isnumber(G1058)), 1, 0) + IF(and(ISNUMBER(H1058), isnumber(I1058)), 1, 0) + IF(and(ISNUMBER(J1058), isnumber(K1058)), 1, 0) + IF(and(ISNUMBER(L1058), isnumber(M1058)), 1, 0) + IF(and(ISNUMBER(N1058), isnumber(O1058)), 1, 0)</f>
      </c>
      <c r="U1058" s="8">
        <f>IF(and(ISNUMBER(P1058), isnumber(Q1058)), 1, 0) + IF(and(ISNUMBER(R1058), isnumber(S1058)), 1, 0)</f>
      </c>
      <c r="V1058" s="13"/>
      <c r="W1058" s="13"/>
      <c r="X1058" s="16"/>
    </row>
    <row x14ac:dyDescent="0.25" r="1059" customHeight="1" ht="15.75">
      <c r="A1059" s="8">
        <v>26212</v>
      </c>
      <c r="B1059" s="13" t="s">
        <v>116</v>
      </c>
      <c r="C1059" s="13" t="s">
        <v>6930</v>
      </c>
      <c r="D1059" s="10">
        <v>0.6022</v>
      </c>
      <c r="E1059" s="11">
        <v>263.11</v>
      </c>
      <c r="F1059" s="10">
        <v>0.5591</v>
      </c>
      <c r="G1059" s="11">
        <v>338.82</v>
      </c>
      <c r="H1059" s="10">
        <v>0.6774</v>
      </c>
      <c r="I1059" s="11">
        <v>400</v>
      </c>
      <c r="J1059" s="10">
        <v>0.6882</v>
      </c>
      <c r="K1059" s="11">
        <v>346.67</v>
      </c>
      <c r="L1059" s="10">
        <v>0.6774</v>
      </c>
      <c r="M1059" s="11">
        <v>400.63</v>
      </c>
      <c r="N1059" s="10">
        <v>0.6989</v>
      </c>
      <c r="O1059" s="11">
        <v>450.32</v>
      </c>
      <c r="P1059" s="10">
        <v>0.6022</v>
      </c>
      <c r="Q1059" s="10">
        <v>0.2258</v>
      </c>
      <c r="R1059" s="10">
        <v>0.6882</v>
      </c>
      <c r="S1059" s="10">
        <v>0.1994</v>
      </c>
      <c r="T1059" s="8">
        <f>IF(and(ISNUMBER(D1059), isnumber(E1059)), 1, 0) + IF(and(ISNUMBER(F1059), isnumber(G1059)), 1, 0) + IF(and(ISNUMBER(H1059), isnumber(I1059)), 1, 0) + IF(and(ISNUMBER(J1059), isnumber(K1059)), 1, 0) + IF(and(ISNUMBER(L1059), isnumber(M1059)), 1, 0) + IF(and(ISNUMBER(N1059), isnumber(O1059)), 1, 0)</f>
      </c>
      <c r="U1059" s="8">
        <f>IF(and(ISNUMBER(P1059), isnumber(Q1059)), 1, 0) + IF(and(ISNUMBER(R1059), isnumber(S1059)), 1, 0)</f>
      </c>
      <c r="V1059" s="13"/>
      <c r="W1059" s="13"/>
      <c r="X1059" s="16"/>
    </row>
    <row x14ac:dyDescent="0.25" r="1060" customHeight="1" ht="15.75">
      <c r="A1060" s="8">
        <v>26149</v>
      </c>
      <c r="B1060" s="13" t="s">
        <v>116</v>
      </c>
      <c r="C1060" s="13" t="s">
        <v>6933</v>
      </c>
      <c r="D1060" s="10">
        <v>0.6393</v>
      </c>
      <c r="E1060" s="11">
        <v>240</v>
      </c>
      <c r="F1060" s="10">
        <v>0.7049</v>
      </c>
      <c r="G1060" s="11">
        <v>369.3</v>
      </c>
      <c r="H1060" s="10">
        <v>0.7705</v>
      </c>
      <c r="I1060" s="11">
        <v>430.64</v>
      </c>
      <c r="J1060" s="10">
        <v>0.6557</v>
      </c>
      <c r="K1060" s="11">
        <v>270.53</v>
      </c>
      <c r="L1060" s="10">
        <v>0.6721</v>
      </c>
      <c r="M1060" s="11">
        <v>386</v>
      </c>
      <c r="N1060" s="10">
        <v>0.6885</v>
      </c>
      <c r="O1060" s="11">
        <v>343.81</v>
      </c>
      <c r="P1060" s="10">
        <v>0.6393</v>
      </c>
      <c r="Q1060" s="10">
        <v>0.2396</v>
      </c>
      <c r="R1060" s="10">
        <v>0.6557</v>
      </c>
      <c r="S1060" s="10">
        <v>0.2089</v>
      </c>
      <c r="T1060" s="8">
        <f>IF(and(ISNUMBER(D1060), isnumber(E1060)), 1, 0) + IF(and(ISNUMBER(F1060), isnumber(G1060)), 1, 0) + IF(and(ISNUMBER(H1060), isnumber(I1060)), 1, 0) + IF(and(ISNUMBER(J1060), isnumber(K1060)), 1, 0) + IF(and(ISNUMBER(L1060), isnumber(M1060)), 1, 0) + IF(and(ISNUMBER(N1060), isnumber(O1060)), 1, 0)</f>
      </c>
      <c r="U1060" s="8">
        <f>IF(and(ISNUMBER(P1060), isnumber(Q1060)), 1, 0) + IF(and(ISNUMBER(R1060), isnumber(S1060)), 1, 0)</f>
      </c>
      <c r="V1060" s="13"/>
      <c r="W1060" s="13"/>
      <c r="X1060" s="16"/>
    </row>
    <row x14ac:dyDescent="0.25" r="1061" customHeight="1" ht="15.75">
      <c r="A1061" s="8">
        <v>26180</v>
      </c>
      <c r="B1061" s="13" t="s">
        <v>116</v>
      </c>
      <c r="C1061" s="13" t="s">
        <v>6934</v>
      </c>
      <c r="D1061" s="10">
        <v>0.7386</v>
      </c>
      <c r="E1061" s="11">
        <v>215.39</v>
      </c>
      <c r="F1061" s="10">
        <v>0.6477</v>
      </c>
      <c r="G1061" s="11">
        <v>385.27</v>
      </c>
      <c r="H1061" s="10">
        <v>0.4545</v>
      </c>
      <c r="I1061" s="11">
        <v>412.01</v>
      </c>
      <c r="J1061" s="10">
        <v>0.5376</v>
      </c>
      <c r="K1061" s="11">
        <v>315.73</v>
      </c>
      <c r="L1061" s="10">
        <v>0.5758</v>
      </c>
      <c r="M1061" s="11">
        <v>383.8</v>
      </c>
      <c r="N1061" s="10">
        <v>0.5152</v>
      </c>
      <c r="O1061" s="11">
        <v>424.88</v>
      </c>
      <c r="P1061" s="10">
        <v>0.7386</v>
      </c>
      <c r="Q1061" s="10">
        <v>0.2455</v>
      </c>
      <c r="R1061" s="10">
        <v>0.5376</v>
      </c>
      <c r="S1061" s="10">
        <v>0.2201</v>
      </c>
      <c r="T1061" s="8">
        <f>IF(and(ISNUMBER(D1061), isnumber(E1061)), 1, 0) + IF(and(ISNUMBER(F1061), isnumber(G1061)), 1, 0) + IF(and(ISNUMBER(H1061), isnumber(I1061)), 1, 0) + IF(and(ISNUMBER(J1061), isnumber(K1061)), 1, 0) + IF(and(ISNUMBER(L1061), isnumber(M1061)), 1, 0) + IF(and(ISNUMBER(N1061), isnumber(O1061)), 1, 0)</f>
      </c>
      <c r="U1061" s="8">
        <f>IF(and(ISNUMBER(P1061), isnumber(Q1061)), 1, 0) + IF(and(ISNUMBER(R1061), isnumber(S1061)), 1, 0)</f>
      </c>
      <c r="V1061" s="13"/>
      <c r="W1061" s="13"/>
      <c r="X1061" s="16"/>
    </row>
    <row x14ac:dyDescent="0.25" r="1062" customHeight="1" ht="15.75">
      <c r="A1062" s="8">
        <v>26188</v>
      </c>
      <c r="B1062" s="13" t="s">
        <v>116</v>
      </c>
      <c r="C1062" s="13" t="s">
        <v>6938</v>
      </c>
      <c r="D1062" s="10">
        <v>0.8793</v>
      </c>
      <c r="E1062" s="11">
        <v>271.37</v>
      </c>
      <c r="F1062" s="10">
        <v>0.8448</v>
      </c>
      <c r="G1062" s="11">
        <v>440</v>
      </c>
      <c r="H1062" s="10">
        <v>0.75</v>
      </c>
      <c r="I1062" s="11">
        <v>480</v>
      </c>
      <c r="J1062" s="10">
        <v>0.7759</v>
      </c>
      <c r="K1062" s="11">
        <v>420</v>
      </c>
      <c r="L1062" s="10">
        <v>0.6897</v>
      </c>
      <c r="M1062" s="11">
        <v>435.95</v>
      </c>
      <c r="N1062" s="10">
        <v>0.6034</v>
      </c>
      <c r="O1062" s="11">
        <v>462.03</v>
      </c>
      <c r="P1062" s="10">
        <v>0.8793</v>
      </c>
      <c r="Q1062" s="10">
        <v>0.2433</v>
      </c>
      <c r="R1062" s="10">
        <v>0.7759</v>
      </c>
      <c r="S1062" s="10">
        <v>0.2142</v>
      </c>
      <c r="T1062" s="8">
        <f>IF(and(ISNUMBER(D1062), isnumber(E1062)), 1, 0) + IF(and(ISNUMBER(F1062), isnumber(G1062)), 1, 0) + IF(and(ISNUMBER(H1062), isnumber(I1062)), 1, 0) + IF(and(ISNUMBER(J1062), isnumber(K1062)), 1, 0) + IF(and(ISNUMBER(L1062), isnumber(M1062)), 1, 0) + IF(and(ISNUMBER(N1062), isnumber(O1062)), 1, 0)</f>
      </c>
      <c r="U1062" s="8">
        <f>IF(and(ISNUMBER(P1062), isnumber(Q1062)), 1, 0) + IF(and(ISNUMBER(R1062), isnumber(S1062)), 1, 0)</f>
      </c>
      <c r="V1062" s="13"/>
      <c r="W1062" s="13"/>
      <c r="X1062" s="16"/>
    </row>
    <row x14ac:dyDescent="0.25" r="1063" customHeight="1" ht="15.75">
      <c r="A1063" s="8">
        <v>26165</v>
      </c>
      <c r="B1063" s="13" t="s">
        <v>116</v>
      </c>
      <c r="C1063" s="13" t="s">
        <v>6942</v>
      </c>
      <c r="D1063" s="10">
        <v>0.8056</v>
      </c>
      <c r="E1063" s="11">
        <v>271.54</v>
      </c>
      <c r="F1063" s="10">
        <v>0.5778</v>
      </c>
      <c r="G1063" s="11">
        <v>427.18</v>
      </c>
      <c r="H1063" s="10">
        <v>0.7056</v>
      </c>
      <c r="I1063" s="11">
        <v>457.32</v>
      </c>
      <c r="J1063" s="10">
        <v>0.6833</v>
      </c>
      <c r="K1063" s="11">
        <v>379.63</v>
      </c>
      <c r="L1063" s="10">
        <v>0.6611</v>
      </c>
      <c r="M1063" s="11">
        <v>433.95</v>
      </c>
      <c r="N1063" s="10">
        <v>0.5722</v>
      </c>
      <c r="O1063" s="11">
        <v>461.96</v>
      </c>
      <c r="P1063" s="10">
        <v>0.8056</v>
      </c>
      <c r="Q1063" s="10">
        <v>0.2554</v>
      </c>
      <c r="R1063" s="10">
        <v>0.6833</v>
      </c>
      <c r="S1063" s="10">
        <v>0.2069</v>
      </c>
      <c r="T1063" s="8">
        <f>IF(and(ISNUMBER(D1063), isnumber(E1063)), 1, 0) + IF(and(ISNUMBER(F1063), isnumber(G1063)), 1, 0) + IF(and(ISNUMBER(H1063), isnumber(I1063)), 1, 0) + IF(and(ISNUMBER(J1063), isnumber(K1063)), 1, 0) + IF(and(ISNUMBER(L1063), isnumber(M1063)), 1, 0) + IF(and(ISNUMBER(N1063), isnumber(O1063)), 1, 0)</f>
      </c>
      <c r="U1063" s="8">
        <f>IF(and(ISNUMBER(P1063), isnumber(Q1063)), 1, 0) + IF(and(ISNUMBER(R1063), isnumber(S1063)), 1, 0)</f>
      </c>
      <c r="V1063" s="13"/>
      <c r="W1063" s="13"/>
      <c r="X1063" s="16"/>
    </row>
    <row x14ac:dyDescent="0.25" r="1064" customHeight="1" ht="15.75">
      <c r="A1064" s="8">
        <v>26150</v>
      </c>
      <c r="B1064" s="13" t="s">
        <v>116</v>
      </c>
      <c r="C1064" s="13" t="s">
        <v>4993</v>
      </c>
      <c r="D1064" s="10">
        <v>0.7217</v>
      </c>
      <c r="E1064" s="11">
        <v>34.29</v>
      </c>
      <c r="F1064" s="10">
        <v>0.5566</v>
      </c>
      <c r="G1064" s="11">
        <v>434.12</v>
      </c>
      <c r="H1064" s="10">
        <v>0.6731</v>
      </c>
      <c r="I1064" s="11">
        <v>423.3</v>
      </c>
      <c r="J1064" s="10">
        <v>0.5243</v>
      </c>
      <c r="K1064" s="11">
        <v>261</v>
      </c>
      <c r="L1064" s="10">
        <v>0.6731</v>
      </c>
      <c r="M1064" s="11">
        <v>434.56</v>
      </c>
      <c r="N1064" s="10">
        <v>0.6117</v>
      </c>
      <c r="O1064" s="11">
        <v>411.06</v>
      </c>
      <c r="P1064" s="10">
        <v>0.7217</v>
      </c>
      <c r="Q1064" s="10">
        <v>0.2562</v>
      </c>
      <c r="R1064" s="10">
        <v>0.5243</v>
      </c>
      <c r="S1064" s="10">
        <v>0.207</v>
      </c>
      <c r="T1064" s="8">
        <f>IF(and(ISNUMBER(D1064), isnumber(E1064)), 1, 0) + IF(and(ISNUMBER(F1064), isnumber(G1064)), 1, 0) + IF(and(ISNUMBER(H1064), isnumber(I1064)), 1, 0) + IF(and(ISNUMBER(J1064), isnumber(K1064)), 1, 0) + IF(and(ISNUMBER(L1064), isnumber(M1064)), 1, 0) + IF(and(ISNUMBER(N1064), isnumber(O1064)), 1, 0)</f>
      </c>
      <c r="U1064" s="8">
        <f>IF(and(ISNUMBER(P1064), isnumber(Q1064)), 1, 0) + IF(and(ISNUMBER(R1064), isnumber(S1064)), 1, 0)</f>
      </c>
      <c r="V1064" s="13"/>
      <c r="W1064" s="13"/>
      <c r="X1064" s="16"/>
    </row>
    <row x14ac:dyDescent="0.25" r="1065" customHeight="1" ht="15.75">
      <c r="A1065" s="8">
        <v>26191</v>
      </c>
      <c r="B1065" s="13" t="s">
        <v>116</v>
      </c>
      <c r="C1065" s="13" t="s">
        <v>6947</v>
      </c>
      <c r="D1065" s="10">
        <v>0.8418</v>
      </c>
      <c r="E1065" s="11">
        <v>311.68</v>
      </c>
      <c r="F1065" s="10">
        <v>0.7006</v>
      </c>
      <c r="G1065" s="11">
        <v>425.67</v>
      </c>
      <c r="H1065" s="10">
        <v>0.5989</v>
      </c>
      <c r="I1065" s="11">
        <v>452.31</v>
      </c>
      <c r="J1065" s="10">
        <v>0.7062</v>
      </c>
      <c r="K1065" s="11">
        <v>368.36</v>
      </c>
      <c r="L1065" s="10">
        <v>0.7627</v>
      </c>
      <c r="M1065" s="11">
        <v>480.3</v>
      </c>
      <c r="N1065" s="10">
        <v>0.7175</v>
      </c>
      <c r="O1065" s="11">
        <v>498.39</v>
      </c>
      <c r="P1065" s="10">
        <v>0.8418</v>
      </c>
      <c r="Q1065" s="10">
        <v>0.2638</v>
      </c>
      <c r="R1065" s="10">
        <v>0.7062</v>
      </c>
      <c r="S1065" s="10">
        <v>0.2001</v>
      </c>
      <c r="T1065" s="8">
        <f>IF(and(ISNUMBER(D1065), isnumber(E1065)), 1, 0) + IF(and(ISNUMBER(F1065), isnumber(G1065)), 1, 0) + IF(and(ISNUMBER(H1065), isnumber(I1065)), 1, 0) + IF(and(ISNUMBER(J1065), isnumber(K1065)), 1, 0) + IF(and(ISNUMBER(L1065), isnumber(M1065)), 1, 0) + IF(and(ISNUMBER(N1065), isnumber(O1065)), 1, 0)</f>
      </c>
      <c r="U1065" s="8">
        <f>IF(and(ISNUMBER(P1065), isnumber(Q1065)), 1, 0) + IF(and(ISNUMBER(R1065), isnumber(S1065)), 1, 0)</f>
      </c>
      <c r="V1065" s="13"/>
      <c r="W1065" s="13"/>
      <c r="X1065" s="16"/>
    </row>
    <row x14ac:dyDescent="0.25" r="1066" customHeight="1" ht="15.75">
      <c r="A1066" s="8">
        <v>26151</v>
      </c>
      <c r="B1066" s="13" t="s">
        <v>116</v>
      </c>
      <c r="C1066" s="13" t="s">
        <v>6949</v>
      </c>
      <c r="D1066" s="10">
        <v>0.1558</v>
      </c>
      <c r="E1066" s="11">
        <v>164.34</v>
      </c>
      <c r="F1066" s="10">
        <v>0.5358</v>
      </c>
      <c r="G1066" s="11">
        <v>389.46</v>
      </c>
      <c r="H1066" s="10">
        <v>0.4706</v>
      </c>
      <c r="I1066" s="11">
        <v>433.06</v>
      </c>
      <c r="J1066" s="10">
        <v>0.3577</v>
      </c>
      <c r="K1066" s="11">
        <v>411.56</v>
      </c>
      <c r="L1066" s="10">
        <v>0.3704</v>
      </c>
      <c r="M1066" s="11">
        <v>452.41</v>
      </c>
      <c r="N1066" s="10">
        <v>0.345</v>
      </c>
      <c r="O1066" s="11">
        <v>457.76</v>
      </c>
      <c r="P1066" s="10">
        <v>0.1558</v>
      </c>
      <c r="Q1066" s="10">
        <v>0.1999</v>
      </c>
      <c r="R1066" s="10">
        <v>0.3577</v>
      </c>
      <c r="S1066" s="10">
        <v>0.1986</v>
      </c>
      <c r="T1066" s="8">
        <f>IF(and(ISNUMBER(D1066), isnumber(E1066)), 1, 0) + IF(and(ISNUMBER(F1066), isnumber(G1066)), 1, 0) + IF(and(ISNUMBER(H1066), isnumber(I1066)), 1, 0) + IF(and(ISNUMBER(J1066), isnumber(K1066)), 1, 0) + IF(and(ISNUMBER(L1066), isnumber(M1066)), 1, 0) + IF(and(ISNUMBER(N1066), isnumber(O1066)), 1, 0)</f>
      </c>
      <c r="U1066" s="8">
        <f>IF(and(ISNUMBER(P1066), isnumber(Q1066)), 1, 0) + IF(and(ISNUMBER(R1066), isnumber(S1066)), 1, 0)</f>
      </c>
      <c r="V1066" s="13"/>
      <c r="W1066" s="13"/>
      <c r="X1066" s="16"/>
    </row>
    <row x14ac:dyDescent="0.25" r="1067" customHeight="1" ht="15.75">
      <c r="A1067" s="8">
        <v>26198</v>
      </c>
      <c r="B1067" s="13" t="s">
        <v>116</v>
      </c>
      <c r="C1067" s="13" t="s">
        <v>6951</v>
      </c>
      <c r="D1067" s="10">
        <v>0.6561</v>
      </c>
      <c r="E1067" s="11">
        <v>186.16</v>
      </c>
      <c r="F1067" s="10">
        <v>0.6652</v>
      </c>
      <c r="G1067" s="11">
        <v>361.41</v>
      </c>
      <c r="H1067" s="10">
        <v>0.6245</v>
      </c>
      <c r="I1067" s="11">
        <v>396.08</v>
      </c>
      <c r="J1067" s="10">
        <v>0.6027</v>
      </c>
      <c r="K1067" s="11">
        <v>209.68</v>
      </c>
      <c r="L1067" s="10">
        <v>0.4716</v>
      </c>
      <c r="M1067" s="11" t="s">
        <v>7127</v>
      </c>
      <c r="N1067" s="10">
        <v>0.5721</v>
      </c>
      <c r="O1067" s="11">
        <v>429.41</v>
      </c>
      <c r="P1067" s="10">
        <v>0.6561</v>
      </c>
      <c r="Q1067" s="10">
        <v>0.2525</v>
      </c>
      <c r="R1067" s="10">
        <v>0.6027</v>
      </c>
      <c r="S1067" s="10">
        <v>0.1967</v>
      </c>
      <c r="T1067" s="8">
        <f>IF(and(ISNUMBER(D1067), isnumber(E1067)), 1, 0) + IF(and(ISNUMBER(F1067), isnumber(G1067)), 1, 0) + IF(and(ISNUMBER(H1067), isnumber(I1067)), 1, 0) + IF(and(ISNUMBER(J1067), isnumber(K1067)), 1, 0) + IF(and(ISNUMBER(L1067), isnumber(M1067)), 1, 0) + IF(and(ISNUMBER(N1067), isnumber(O1067)), 1, 0)</f>
      </c>
      <c r="U1067" s="8">
        <f>IF(and(ISNUMBER(P1067), isnumber(Q1067)), 1, 0) + IF(and(ISNUMBER(R1067), isnumber(S1067)), 1, 0)</f>
      </c>
      <c r="V1067" s="13"/>
      <c r="W1067" s="13"/>
      <c r="X1067" s="16"/>
    </row>
    <row x14ac:dyDescent="0.25" r="1068" customHeight="1" ht="15.75">
      <c r="A1068" s="8">
        <v>26185</v>
      </c>
      <c r="B1068" s="13" t="s">
        <v>116</v>
      </c>
      <c r="C1068" s="13" t="s">
        <v>6953</v>
      </c>
      <c r="D1068" s="10">
        <v>0.8397</v>
      </c>
      <c r="E1068" s="11">
        <v>164.37</v>
      </c>
      <c r="F1068" s="10">
        <v>0.4071</v>
      </c>
      <c r="G1068" s="11">
        <v>400.66</v>
      </c>
      <c r="H1068" s="10">
        <v>0.4504</v>
      </c>
      <c r="I1068" s="11" t="s">
        <v>7127</v>
      </c>
      <c r="J1068" s="10">
        <v>0.397</v>
      </c>
      <c r="K1068" s="11">
        <v>322.5</v>
      </c>
      <c r="L1068" s="10">
        <v>0.4165</v>
      </c>
      <c r="M1068" s="11">
        <v>426.04</v>
      </c>
      <c r="N1068" s="10">
        <v>0.1889</v>
      </c>
      <c r="O1068" s="11" t="s">
        <v>7127</v>
      </c>
      <c r="P1068" s="10">
        <v>0.8397</v>
      </c>
      <c r="Q1068" s="10">
        <v>0.1662</v>
      </c>
      <c r="R1068" s="10">
        <v>0.397</v>
      </c>
      <c r="S1068" s="10">
        <v>0.214</v>
      </c>
      <c r="T1068" s="8">
        <f>IF(and(ISNUMBER(D1068), isnumber(E1068)), 1, 0) + IF(and(ISNUMBER(F1068), isnumber(G1068)), 1, 0) + IF(and(ISNUMBER(H1068), isnumber(I1068)), 1, 0) + IF(and(ISNUMBER(J1068), isnumber(K1068)), 1, 0) + IF(and(ISNUMBER(L1068), isnumber(M1068)), 1, 0) + IF(and(ISNUMBER(N1068), isnumber(O1068)), 1, 0)</f>
      </c>
      <c r="U1068" s="8">
        <f>IF(and(ISNUMBER(P1068), isnumber(Q1068)), 1, 0) + IF(and(ISNUMBER(R1068), isnumber(S1068)), 1, 0)</f>
      </c>
      <c r="V1068" s="13"/>
      <c r="W1068" s="13"/>
      <c r="X1068" s="16"/>
    </row>
    <row x14ac:dyDescent="0.25" r="1069" customHeight="1" ht="15.75">
      <c r="A1069" s="8">
        <v>26199</v>
      </c>
      <c r="B1069" s="13" t="s">
        <v>116</v>
      </c>
      <c r="C1069" s="13" t="s">
        <v>6957</v>
      </c>
      <c r="D1069" s="10">
        <v>0.8108</v>
      </c>
      <c r="E1069" s="11">
        <v>288.67</v>
      </c>
      <c r="F1069" s="10">
        <v>0.6081</v>
      </c>
      <c r="G1069" s="11">
        <v>448.89</v>
      </c>
      <c r="H1069" s="10">
        <v>0.8649</v>
      </c>
      <c r="I1069" s="11">
        <v>536.88</v>
      </c>
      <c r="J1069" s="10">
        <v>0.8243</v>
      </c>
      <c r="K1069" s="11">
        <v>463.45</v>
      </c>
      <c r="L1069" s="10">
        <v>0.8378</v>
      </c>
      <c r="M1069" s="11">
        <v>499.35</v>
      </c>
      <c r="N1069" s="10">
        <v>0.7162</v>
      </c>
      <c r="O1069" s="11">
        <v>500</v>
      </c>
      <c r="P1069" s="10">
        <v>0.8108</v>
      </c>
      <c r="Q1069" s="10">
        <v>0.2804</v>
      </c>
      <c r="R1069" s="10">
        <v>0.8243</v>
      </c>
      <c r="S1069" s="10">
        <v>0.2217</v>
      </c>
      <c r="T1069" s="8">
        <f>IF(and(ISNUMBER(D1069), isnumber(E1069)), 1, 0) + IF(and(ISNUMBER(F1069), isnumber(G1069)), 1, 0) + IF(and(ISNUMBER(H1069), isnumber(I1069)), 1, 0) + IF(and(ISNUMBER(J1069), isnumber(K1069)), 1, 0) + IF(and(ISNUMBER(L1069), isnumber(M1069)), 1, 0) + IF(and(ISNUMBER(N1069), isnumber(O1069)), 1, 0)</f>
      </c>
      <c r="U1069" s="8">
        <f>IF(and(ISNUMBER(P1069), isnumber(Q1069)), 1, 0) + IF(and(ISNUMBER(R1069), isnumber(S1069)), 1, 0)</f>
      </c>
      <c r="V1069" s="13"/>
      <c r="W1069" s="13"/>
      <c r="X1069" s="16"/>
    </row>
    <row x14ac:dyDescent="0.25" r="1070" customHeight="1" ht="15.75">
      <c r="A1070" s="8">
        <v>26208</v>
      </c>
      <c r="B1070" s="13" t="s">
        <v>116</v>
      </c>
      <c r="C1070" s="13" t="s">
        <v>6958</v>
      </c>
      <c r="D1070" s="10">
        <v>0.9952</v>
      </c>
      <c r="E1070" s="11">
        <v>339.33</v>
      </c>
      <c r="F1070" s="10">
        <v>0.8286</v>
      </c>
      <c r="G1070" s="11">
        <v>416.74</v>
      </c>
      <c r="H1070" s="10">
        <v>0.8783</v>
      </c>
      <c r="I1070" s="11">
        <v>491.68</v>
      </c>
      <c r="J1070" s="10">
        <v>0.8826</v>
      </c>
      <c r="K1070" s="11">
        <v>450.35</v>
      </c>
      <c r="L1070" s="10">
        <v>0.8826</v>
      </c>
      <c r="M1070" s="11">
        <v>482.36</v>
      </c>
      <c r="N1070" s="10">
        <v>0.8391</v>
      </c>
      <c r="O1070" s="11">
        <v>508.81</v>
      </c>
      <c r="P1070" s="10">
        <v>0.9952</v>
      </c>
      <c r="Q1070" s="10">
        <v>0.237</v>
      </c>
      <c r="R1070" s="10">
        <v>0.8826</v>
      </c>
      <c r="S1070" s="10">
        <v>0.2201</v>
      </c>
      <c r="T1070" s="8">
        <f>IF(and(ISNUMBER(D1070), isnumber(E1070)), 1, 0) + IF(and(ISNUMBER(F1070), isnumber(G1070)), 1, 0) + IF(and(ISNUMBER(H1070), isnumber(I1070)), 1, 0) + IF(and(ISNUMBER(J1070), isnumber(K1070)), 1, 0) + IF(and(ISNUMBER(L1070), isnumber(M1070)), 1, 0) + IF(and(ISNUMBER(N1070), isnumber(O1070)), 1, 0)</f>
      </c>
      <c r="U1070" s="8">
        <f>IF(and(ISNUMBER(P1070), isnumber(Q1070)), 1, 0) + IF(and(ISNUMBER(R1070), isnumber(S1070)), 1, 0)</f>
      </c>
      <c r="V1070" s="13"/>
      <c r="W1070" s="13"/>
      <c r="X1070" s="16"/>
    </row>
    <row x14ac:dyDescent="0.25" r="1071" customHeight="1" ht="15.75">
      <c r="A1071" s="8">
        <v>26213</v>
      </c>
      <c r="B1071" s="13" t="s">
        <v>116</v>
      </c>
      <c r="C1071" s="13" t="s">
        <v>6961</v>
      </c>
      <c r="D1071" s="10">
        <v>0.4444</v>
      </c>
      <c r="E1071" s="11">
        <v>198.33</v>
      </c>
      <c r="F1071" s="10">
        <v>0.5926</v>
      </c>
      <c r="G1071" s="11">
        <v>368.75</v>
      </c>
      <c r="H1071" s="10">
        <v>0.3387</v>
      </c>
      <c r="I1071" s="11">
        <v>350.48</v>
      </c>
      <c r="J1071" s="10">
        <v>0.5094</v>
      </c>
      <c r="K1071" s="11">
        <v>215.52</v>
      </c>
      <c r="L1071" s="10">
        <v>0.4677</v>
      </c>
      <c r="M1071" s="11">
        <v>308.97</v>
      </c>
      <c r="N1071" s="10">
        <v>0.4839</v>
      </c>
      <c r="O1071" s="11">
        <v>257.33</v>
      </c>
      <c r="P1071" s="10">
        <v>0.4444</v>
      </c>
      <c r="Q1071" s="10">
        <v>0.2256</v>
      </c>
      <c r="R1071" s="10">
        <v>0.5094</v>
      </c>
      <c r="S1071" s="10">
        <v>0.1914</v>
      </c>
      <c r="T1071" s="8">
        <f>IF(and(ISNUMBER(D1071), isnumber(E1071)), 1, 0) + IF(and(ISNUMBER(F1071), isnumber(G1071)), 1, 0) + IF(and(ISNUMBER(H1071), isnumber(I1071)), 1, 0) + IF(and(ISNUMBER(J1071), isnumber(K1071)), 1, 0) + IF(and(ISNUMBER(L1071), isnumber(M1071)), 1, 0) + IF(and(ISNUMBER(N1071), isnumber(O1071)), 1, 0)</f>
      </c>
      <c r="U1071" s="8">
        <f>IF(and(ISNUMBER(P1071), isnumber(Q1071)), 1, 0) + IF(and(ISNUMBER(R1071), isnumber(S1071)), 1, 0)</f>
      </c>
      <c r="V1071" s="13"/>
      <c r="W1071" s="13"/>
      <c r="X1071" s="16"/>
    </row>
    <row x14ac:dyDescent="0.25" r="1072" customHeight="1" ht="15.75">
      <c r="A1072" s="8">
        <v>26214</v>
      </c>
      <c r="B1072" s="13" t="s">
        <v>116</v>
      </c>
      <c r="C1072" s="13" t="s">
        <v>6963</v>
      </c>
      <c r="D1072" s="10">
        <v>0.8355</v>
      </c>
      <c r="E1072" s="11">
        <v>305.2</v>
      </c>
      <c r="F1072" s="10">
        <v>0.6842</v>
      </c>
      <c r="G1072" s="11">
        <v>410.77</v>
      </c>
      <c r="H1072" s="10">
        <v>0.5592</v>
      </c>
      <c r="I1072" s="11">
        <v>439.53</v>
      </c>
      <c r="J1072" s="10">
        <v>0.5197</v>
      </c>
      <c r="K1072" s="11">
        <v>404.62</v>
      </c>
      <c r="L1072" s="10">
        <v>0.7039</v>
      </c>
      <c r="M1072" s="11">
        <v>427.29</v>
      </c>
      <c r="N1072" s="10">
        <v>0.5395</v>
      </c>
      <c r="O1072" s="11">
        <v>449.27</v>
      </c>
      <c r="P1072" s="10">
        <v>0.8355</v>
      </c>
      <c r="Q1072" s="10">
        <v>0.2547</v>
      </c>
      <c r="R1072" s="10">
        <v>0.5197</v>
      </c>
      <c r="S1072" s="10">
        <v>0.2189</v>
      </c>
      <c r="T1072" s="8">
        <f>IF(and(ISNUMBER(D1072), isnumber(E1072)), 1, 0) + IF(and(ISNUMBER(F1072), isnumber(G1072)), 1, 0) + IF(and(ISNUMBER(H1072), isnumber(I1072)), 1, 0) + IF(and(ISNUMBER(J1072), isnumber(K1072)), 1, 0) + IF(and(ISNUMBER(L1072), isnumber(M1072)), 1, 0) + IF(and(ISNUMBER(N1072), isnumber(O1072)), 1, 0)</f>
      </c>
      <c r="U1072" s="8">
        <f>IF(and(ISNUMBER(P1072), isnumber(Q1072)), 1, 0) + IF(and(ISNUMBER(R1072), isnumber(S1072)), 1, 0)</f>
      </c>
      <c r="V1072" s="13"/>
      <c r="W1072" s="13"/>
      <c r="X1072" s="16"/>
    </row>
    <row x14ac:dyDescent="0.25" r="1073" customHeight="1" ht="15.75">
      <c r="A1073" s="8">
        <v>26181</v>
      </c>
      <c r="B1073" s="13" t="s">
        <v>116</v>
      </c>
      <c r="C1073" s="13" t="s">
        <v>6967</v>
      </c>
      <c r="D1073" s="10">
        <v>0.908</v>
      </c>
      <c r="E1073" s="11">
        <v>162.56</v>
      </c>
      <c r="F1073" s="10">
        <v>0.8966</v>
      </c>
      <c r="G1073" s="11">
        <v>198.22</v>
      </c>
      <c r="H1073" s="10">
        <v>0.3945</v>
      </c>
      <c r="I1073" s="11">
        <v>390.28</v>
      </c>
      <c r="J1073" s="10">
        <v>0.5158</v>
      </c>
      <c r="K1073" s="11">
        <v>247.12</v>
      </c>
      <c r="L1073" s="10">
        <v>0.5321</v>
      </c>
      <c r="M1073" s="11">
        <v>379.19</v>
      </c>
      <c r="N1073" s="10">
        <v>0.4312</v>
      </c>
      <c r="O1073" s="11">
        <v>384.98</v>
      </c>
      <c r="P1073" s="10">
        <v>0.908</v>
      </c>
      <c r="Q1073" s="10">
        <v>0.1411</v>
      </c>
      <c r="R1073" s="10">
        <v>0.5158</v>
      </c>
      <c r="S1073" s="10">
        <v>0.1972</v>
      </c>
      <c r="T1073" s="8">
        <f>IF(and(ISNUMBER(D1073), isnumber(E1073)), 1, 0) + IF(and(ISNUMBER(F1073), isnumber(G1073)), 1, 0) + IF(and(ISNUMBER(H1073), isnumber(I1073)), 1, 0) + IF(and(ISNUMBER(J1073), isnumber(K1073)), 1, 0) + IF(and(ISNUMBER(L1073), isnumber(M1073)), 1, 0) + IF(and(ISNUMBER(N1073), isnumber(O1073)), 1, 0)</f>
      </c>
      <c r="U1073" s="8">
        <f>IF(and(ISNUMBER(P1073), isnumber(Q1073)), 1, 0) + IF(and(ISNUMBER(R1073), isnumber(S1073)), 1, 0)</f>
      </c>
      <c r="V1073" s="13"/>
      <c r="W1073" s="13"/>
      <c r="X1073" s="16"/>
    </row>
    <row x14ac:dyDescent="0.25" r="1074" customHeight="1" ht="15.75">
      <c r="A1074" s="8">
        <v>26152</v>
      </c>
      <c r="B1074" s="13" t="s">
        <v>116</v>
      </c>
      <c r="C1074" s="13" t="s">
        <v>6971</v>
      </c>
      <c r="D1074" s="10">
        <v>0.8151</v>
      </c>
      <c r="E1074" s="11">
        <v>232.88</v>
      </c>
      <c r="F1074" s="10">
        <v>0.5336</v>
      </c>
      <c r="G1074" s="11">
        <v>354.47</v>
      </c>
      <c r="H1074" s="10">
        <v>0.6513</v>
      </c>
      <c r="I1074" s="11">
        <v>454.03</v>
      </c>
      <c r="J1074" s="10">
        <v>0.3403</v>
      </c>
      <c r="K1074" s="11">
        <v>371.05</v>
      </c>
      <c r="L1074" s="10">
        <v>0.6765</v>
      </c>
      <c r="M1074" s="11">
        <v>445.22</v>
      </c>
      <c r="N1074" s="10">
        <v>0.6681</v>
      </c>
      <c r="O1074" s="11">
        <v>442.53</v>
      </c>
      <c r="P1074" s="10">
        <v>0.8151</v>
      </c>
      <c r="Q1074" s="10">
        <v>0.2265</v>
      </c>
      <c r="R1074" s="10">
        <v>0.3403</v>
      </c>
      <c r="S1074" s="10">
        <v>0.2005</v>
      </c>
      <c r="T1074" s="8">
        <f>IF(and(ISNUMBER(D1074), isnumber(E1074)), 1, 0) + IF(and(ISNUMBER(F1074), isnumber(G1074)), 1, 0) + IF(and(ISNUMBER(H1074), isnumber(I1074)), 1, 0) + IF(and(ISNUMBER(J1074), isnumber(K1074)), 1, 0) + IF(and(ISNUMBER(L1074), isnumber(M1074)), 1, 0) + IF(and(ISNUMBER(N1074), isnumber(O1074)), 1, 0)</f>
      </c>
      <c r="U1074" s="8">
        <f>IF(and(ISNUMBER(P1074), isnumber(Q1074)), 1, 0) + IF(and(ISNUMBER(R1074), isnumber(S1074)), 1, 0)</f>
      </c>
      <c r="V1074" s="13"/>
      <c r="W1074" s="13"/>
      <c r="X1074" s="16"/>
    </row>
    <row x14ac:dyDescent="0.25" r="1075" customHeight="1" ht="15.75">
      <c r="A1075" s="8">
        <v>26166</v>
      </c>
      <c r="B1075" s="13" t="s">
        <v>116</v>
      </c>
      <c r="C1075" s="13" t="s">
        <v>6975</v>
      </c>
      <c r="D1075" s="10">
        <v>0.697</v>
      </c>
      <c r="E1075" s="11">
        <v>360</v>
      </c>
      <c r="F1075" s="10">
        <v>0.6894</v>
      </c>
      <c r="G1075" s="11">
        <v>380.22</v>
      </c>
      <c r="H1075" s="10">
        <v>0.6842</v>
      </c>
      <c r="I1075" s="11">
        <v>449.78</v>
      </c>
      <c r="J1075" s="10">
        <v>0.6165</v>
      </c>
      <c r="K1075" s="11">
        <v>390.59</v>
      </c>
      <c r="L1075" s="10">
        <v>0.5639</v>
      </c>
      <c r="M1075" s="11">
        <v>484.38</v>
      </c>
      <c r="N1075" s="10">
        <v>0.6241</v>
      </c>
      <c r="O1075" s="11">
        <v>447.71</v>
      </c>
      <c r="P1075" s="10">
        <v>0.697</v>
      </c>
      <c r="Q1075" s="10">
        <v>0.2538</v>
      </c>
      <c r="R1075" s="10">
        <v>0.6165</v>
      </c>
      <c r="S1075" s="10">
        <v>0.2185</v>
      </c>
      <c r="T1075" s="8">
        <f>IF(and(ISNUMBER(D1075), isnumber(E1075)), 1, 0) + IF(and(ISNUMBER(F1075), isnumber(G1075)), 1, 0) + IF(and(ISNUMBER(H1075), isnumber(I1075)), 1, 0) + IF(and(ISNUMBER(J1075), isnumber(K1075)), 1, 0) + IF(and(ISNUMBER(L1075), isnumber(M1075)), 1, 0) + IF(and(ISNUMBER(N1075), isnumber(O1075)), 1, 0)</f>
      </c>
      <c r="U1075" s="8">
        <f>IF(and(ISNUMBER(P1075), isnumber(Q1075)), 1, 0) + IF(and(ISNUMBER(R1075), isnumber(S1075)), 1, 0)</f>
      </c>
      <c r="V1075" s="13"/>
      <c r="W1075" s="13"/>
      <c r="X1075" s="16"/>
    </row>
    <row x14ac:dyDescent="0.25" r="1076" customHeight="1" ht="15.75">
      <c r="A1076" s="8">
        <v>26167</v>
      </c>
      <c r="B1076" s="13" t="s">
        <v>116</v>
      </c>
      <c r="C1076" s="13" t="s">
        <v>6978</v>
      </c>
      <c r="D1076" s="10">
        <v>0.8403</v>
      </c>
      <c r="E1076" s="11">
        <v>322.22</v>
      </c>
      <c r="F1076" s="10">
        <v>0.5972</v>
      </c>
      <c r="G1076" s="11">
        <v>459.52</v>
      </c>
      <c r="H1076" s="10">
        <v>0.5486</v>
      </c>
      <c r="I1076" s="11">
        <v>469.23</v>
      </c>
      <c r="J1076" s="10">
        <v>0.5625</v>
      </c>
      <c r="K1076" s="11">
        <v>393.85</v>
      </c>
      <c r="L1076" s="10">
        <v>0.5208</v>
      </c>
      <c r="M1076" s="11">
        <v>480</v>
      </c>
      <c r="N1076" s="10">
        <v>0.5278</v>
      </c>
      <c r="O1076" s="11">
        <v>456.84</v>
      </c>
      <c r="P1076" s="10">
        <v>0.8403</v>
      </c>
      <c r="Q1076" s="10">
        <v>0.2492</v>
      </c>
      <c r="R1076" s="10">
        <v>0.5625</v>
      </c>
      <c r="S1076" s="10">
        <v>0.2029</v>
      </c>
      <c r="T1076" s="8">
        <f>IF(and(ISNUMBER(D1076), isnumber(E1076)), 1, 0) + IF(and(ISNUMBER(F1076), isnumber(G1076)), 1, 0) + IF(and(ISNUMBER(H1076), isnumber(I1076)), 1, 0) + IF(and(ISNUMBER(J1076), isnumber(K1076)), 1, 0) + IF(and(ISNUMBER(L1076), isnumber(M1076)), 1, 0) + IF(and(ISNUMBER(N1076), isnumber(O1076)), 1, 0)</f>
      </c>
      <c r="U1076" s="8">
        <f>IF(and(ISNUMBER(P1076), isnumber(Q1076)), 1, 0) + IF(and(ISNUMBER(R1076), isnumber(S1076)), 1, 0)</f>
      </c>
      <c r="V1076" s="13"/>
      <c r="W1076" s="13"/>
      <c r="X1076" s="16"/>
    </row>
    <row x14ac:dyDescent="0.25" r="1077" customHeight="1" ht="15.75">
      <c r="A1077" s="8">
        <v>26182</v>
      </c>
      <c r="B1077" s="13" t="s">
        <v>116</v>
      </c>
      <c r="C1077" s="13" t="s">
        <v>6980</v>
      </c>
      <c r="D1077" s="10">
        <v>0.9703</v>
      </c>
      <c r="E1077" s="11">
        <v>225.69</v>
      </c>
      <c r="F1077" s="10">
        <v>0.7192</v>
      </c>
      <c r="G1077" s="11">
        <v>458.5</v>
      </c>
      <c r="H1077" s="10">
        <v>0.535</v>
      </c>
      <c r="I1077" s="11">
        <v>511.08</v>
      </c>
      <c r="J1077" s="10">
        <v>0.5148</v>
      </c>
      <c r="K1077" s="11">
        <v>414.37</v>
      </c>
      <c r="L1077" s="10">
        <v>0.4947</v>
      </c>
      <c r="M1077" s="11">
        <v>542.83</v>
      </c>
      <c r="N1077" s="10">
        <v>0.5265</v>
      </c>
      <c r="O1077" s="11">
        <v>531.67</v>
      </c>
      <c r="P1077" s="10">
        <v>0.9703</v>
      </c>
      <c r="Q1077" s="10">
        <v>0.2245</v>
      </c>
      <c r="R1077" s="10">
        <v>0.5148</v>
      </c>
      <c r="S1077" s="10">
        <v>0.2094</v>
      </c>
      <c r="T1077" s="8">
        <f>IF(and(ISNUMBER(D1077), isnumber(E1077)), 1, 0) + IF(and(ISNUMBER(F1077), isnumber(G1077)), 1, 0) + IF(and(ISNUMBER(H1077), isnumber(I1077)), 1, 0) + IF(and(ISNUMBER(J1077), isnumber(K1077)), 1, 0) + IF(and(ISNUMBER(L1077), isnumber(M1077)), 1, 0) + IF(and(ISNUMBER(N1077), isnumber(O1077)), 1, 0)</f>
      </c>
      <c r="U1077" s="8">
        <f>IF(and(ISNUMBER(P1077), isnumber(Q1077)), 1, 0) + IF(and(ISNUMBER(R1077), isnumber(S1077)), 1, 0)</f>
      </c>
      <c r="V1077" s="13"/>
      <c r="W1077" s="13"/>
      <c r="X1077" s="16"/>
    </row>
    <row x14ac:dyDescent="0.25" r="1078" customHeight="1" ht="15.75">
      <c r="A1078" s="8">
        <v>26153</v>
      </c>
      <c r="B1078" s="13" t="s">
        <v>116</v>
      </c>
      <c r="C1078" s="13" t="s">
        <v>6983</v>
      </c>
      <c r="D1078" s="10">
        <v>0.8427</v>
      </c>
      <c r="E1078" s="11">
        <v>371.81</v>
      </c>
      <c r="F1078" s="10">
        <v>0.8258</v>
      </c>
      <c r="G1078" s="11">
        <v>439.73</v>
      </c>
      <c r="H1078" s="10">
        <v>0.691</v>
      </c>
      <c r="I1078" s="11">
        <v>451</v>
      </c>
      <c r="J1078" s="10">
        <v>0.6798</v>
      </c>
      <c r="K1078" s="11">
        <v>431.26</v>
      </c>
      <c r="L1078" s="10">
        <v>0.7809</v>
      </c>
      <c r="M1078" s="11">
        <v>462.48</v>
      </c>
      <c r="N1078" s="10">
        <v>0.7584</v>
      </c>
      <c r="O1078" s="11">
        <v>453.64</v>
      </c>
      <c r="P1078" s="10">
        <v>0.8427</v>
      </c>
      <c r="Q1078" s="10">
        <v>0.2567</v>
      </c>
      <c r="R1078" s="10">
        <v>0.6798</v>
      </c>
      <c r="S1078" s="10">
        <v>0.2285</v>
      </c>
      <c r="T1078" s="8">
        <f>IF(and(ISNUMBER(D1078), isnumber(E1078)), 1, 0) + IF(and(ISNUMBER(F1078), isnumber(G1078)), 1, 0) + IF(and(ISNUMBER(H1078), isnumber(I1078)), 1, 0) + IF(and(ISNUMBER(J1078), isnumber(K1078)), 1, 0) + IF(and(ISNUMBER(L1078), isnumber(M1078)), 1, 0) + IF(and(ISNUMBER(N1078), isnumber(O1078)), 1, 0)</f>
      </c>
      <c r="U1078" s="8">
        <f>IF(and(ISNUMBER(P1078), isnumber(Q1078)), 1, 0) + IF(and(ISNUMBER(R1078), isnumber(S1078)), 1, 0)</f>
      </c>
      <c r="V1078" s="13"/>
      <c r="W1078" s="13"/>
      <c r="X1078" s="16"/>
    </row>
    <row x14ac:dyDescent="0.25" r="1079" customHeight="1" ht="15.75">
      <c r="A1079" s="8">
        <v>26168</v>
      </c>
      <c r="B1079" s="13" t="s">
        <v>116</v>
      </c>
      <c r="C1079" s="13" t="s">
        <v>6986</v>
      </c>
      <c r="D1079" s="10">
        <v>0.6727</v>
      </c>
      <c r="E1079" s="11">
        <v>296.57</v>
      </c>
      <c r="F1079" s="10">
        <v>0.6636</v>
      </c>
      <c r="G1079" s="11">
        <v>329.28</v>
      </c>
      <c r="H1079" s="10">
        <v>0.6909</v>
      </c>
      <c r="I1079" s="11">
        <v>426.3</v>
      </c>
      <c r="J1079" s="10">
        <v>0.6455</v>
      </c>
      <c r="K1079" s="11">
        <v>317.61</v>
      </c>
      <c r="L1079" s="10">
        <v>0.6273</v>
      </c>
      <c r="M1079" s="11">
        <v>274.71</v>
      </c>
      <c r="N1079" s="10">
        <v>0.6727</v>
      </c>
      <c r="O1079" s="11">
        <v>401.1</v>
      </c>
      <c r="P1079" s="10">
        <v>0.6727</v>
      </c>
      <c r="Q1079" s="10">
        <v>0.2286</v>
      </c>
      <c r="R1079" s="10">
        <v>0.6455</v>
      </c>
      <c r="S1079" s="10">
        <v>0.2038</v>
      </c>
      <c r="T1079" s="8">
        <f>IF(and(ISNUMBER(D1079), isnumber(E1079)), 1, 0) + IF(and(ISNUMBER(F1079), isnumber(G1079)), 1, 0) + IF(and(ISNUMBER(H1079), isnumber(I1079)), 1, 0) + IF(and(ISNUMBER(J1079), isnumber(K1079)), 1, 0) + IF(and(ISNUMBER(L1079), isnumber(M1079)), 1, 0) + IF(and(ISNUMBER(N1079), isnumber(O1079)), 1, 0)</f>
      </c>
      <c r="U1079" s="8">
        <f>IF(and(ISNUMBER(P1079), isnumber(Q1079)), 1, 0) + IF(and(ISNUMBER(R1079), isnumber(S1079)), 1, 0)</f>
      </c>
      <c r="V1079" s="13"/>
      <c r="W1079" s="13"/>
      <c r="X1079" s="16"/>
    </row>
    <row x14ac:dyDescent="0.25" r="1080" customHeight="1" ht="15.75">
      <c r="A1080" s="8">
        <v>26200</v>
      </c>
      <c r="B1080" s="13" t="s">
        <v>116</v>
      </c>
      <c r="C1080" s="13" t="s">
        <v>6989</v>
      </c>
      <c r="D1080" s="10">
        <v>0.6375</v>
      </c>
      <c r="E1080" s="11">
        <v>303.95</v>
      </c>
      <c r="F1080" s="10">
        <v>0.5896</v>
      </c>
      <c r="G1080" s="11">
        <v>427.6</v>
      </c>
      <c r="H1080" s="10">
        <v>0.5016</v>
      </c>
      <c r="I1080" s="11">
        <v>470.41</v>
      </c>
      <c r="J1080" s="10">
        <v>0.6035</v>
      </c>
      <c r="K1080" s="11">
        <v>371.42</v>
      </c>
      <c r="L1080" s="10">
        <v>0.5363</v>
      </c>
      <c r="M1080" s="11">
        <v>477.64</v>
      </c>
      <c r="N1080" s="10">
        <v>0.4637</v>
      </c>
      <c r="O1080" s="11">
        <v>483.54</v>
      </c>
      <c r="P1080" s="10">
        <v>0.6375</v>
      </c>
      <c r="Q1080" s="10">
        <v>0.2316</v>
      </c>
      <c r="R1080" s="10">
        <v>0.6035</v>
      </c>
      <c r="S1080" s="10">
        <v>0.2034</v>
      </c>
      <c r="T1080" s="8">
        <f>IF(and(ISNUMBER(D1080), isnumber(E1080)), 1, 0) + IF(and(ISNUMBER(F1080), isnumber(G1080)), 1, 0) + IF(and(ISNUMBER(H1080), isnumber(I1080)), 1, 0) + IF(and(ISNUMBER(J1080), isnumber(K1080)), 1, 0) + IF(and(ISNUMBER(L1080), isnumber(M1080)), 1, 0) + IF(and(ISNUMBER(N1080), isnumber(O1080)), 1, 0)</f>
      </c>
      <c r="U1080" s="8">
        <f>IF(and(ISNUMBER(P1080), isnumber(Q1080)), 1, 0) + IF(and(ISNUMBER(R1080), isnumber(S1080)), 1, 0)</f>
      </c>
      <c r="V1080" s="13"/>
      <c r="W1080" s="13"/>
      <c r="X1080" s="16"/>
    </row>
    <row x14ac:dyDescent="0.25" r="1081" customHeight="1" ht="15.75">
      <c r="A1081" s="8">
        <v>26183</v>
      </c>
      <c r="B1081" s="13" t="s">
        <v>116</v>
      </c>
      <c r="C1081" s="13" t="s">
        <v>6992</v>
      </c>
      <c r="D1081" s="10">
        <v>0.6891</v>
      </c>
      <c r="E1081" s="11">
        <v>282.56</v>
      </c>
      <c r="F1081" s="10">
        <v>0.4538</v>
      </c>
      <c r="G1081" s="11">
        <v>398.15</v>
      </c>
      <c r="H1081" s="10">
        <v>0.6007</v>
      </c>
      <c r="I1081" s="11">
        <v>429.77</v>
      </c>
      <c r="J1081" s="10">
        <v>0.4098</v>
      </c>
      <c r="K1081" s="11">
        <v>306.71</v>
      </c>
      <c r="L1081" s="10">
        <v>0.5709</v>
      </c>
      <c r="M1081" s="11">
        <v>479.47</v>
      </c>
      <c r="N1081" s="10">
        <v>0.194</v>
      </c>
      <c r="O1081" s="11" t="s">
        <v>7127</v>
      </c>
      <c r="P1081" s="10">
        <v>0.6891</v>
      </c>
      <c r="Q1081" s="10">
        <v>0.2534</v>
      </c>
      <c r="R1081" s="10">
        <v>0.4098</v>
      </c>
      <c r="S1081" s="10">
        <v>0.1949</v>
      </c>
      <c r="T1081" s="8">
        <f>IF(and(ISNUMBER(D1081), isnumber(E1081)), 1, 0) + IF(and(ISNUMBER(F1081), isnumber(G1081)), 1, 0) + IF(and(ISNUMBER(H1081), isnumber(I1081)), 1, 0) + IF(and(ISNUMBER(J1081), isnumber(K1081)), 1, 0) + IF(and(ISNUMBER(L1081), isnumber(M1081)), 1, 0) + IF(and(ISNUMBER(N1081), isnumber(O1081)), 1, 0)</f>
      </c>
      <c r="U1081" s="8">
        <f>IF(and(ISNUMBER(P1081), isnumber(Q1081)), 1, 0) + IF(and(ISNUMBER(R1081), isnumber(S1081)), 1, 0)</f>
      </c>
      <c r="V1081" s="13"/>
      <c r="W1081" s="13"/>
      <c r="X1081" s="16"/>
    </row>
    <row x14ac:dyDescent="0.25" r="1082" customHeight="1" ht="15.75">
      <c r="A1082" s="8">
        <v>26154</v>
      </c>
      <c r="B1082" s="13" t="s">
        <v>116</v>
      </c>
      <c r="C1082" s="13" t="s">
        <v>6995</v>
      </c>
      <c r="D1082" s="10">
        <v>0.9497</v>
      </c>
      <c r="E1082" s="11">
        <v>155.24</v>
      </c>
      <c r="F1082" s="10">
        <v>0.6751</v>
      </c>
      <c r="G1082" s="11">
        <v>388.08</v>
      </c>
      <c r="H1082" s="10">
        <v>0.5103</v>
      </c>
      <c r="I1082" s="11">
        <v>464.46</v>
      </c>
      <c r="J1082" s="10">
        <v>0.6309</v>
      </c>
      <c r="K1082" s="11">
        <v>326</v>
      </c>
      <c r="L1082" s="10">
        <v>0.5929</v>
      </c>
      <c r="M1082" s="11">
        <v>374.74</v>
      </c>
      <c r="N1082" s="10">
        <v>0.5347</v>
      </c>
      <c r="O1082" s="11">
        <v>433.6</v>
      </c>
      <c r="P1082" s="10">
        <v>0.9497</v>
      </c>
      <c r="Q1082" s="10">
        <v>0.1619</v>
      </c>
      <c r="R1082" s="10">
        <v>0.6309</v>
      </c>
      <c r="S1082" s="10">
        <v>0.2072</v>
      </c>
      <c r="T1082" s="8">
        <f>IF(and(ISNUMBER(D1082), isnumber(E1082)), 1, 0) + IF(and(ISNUMBER(F1082), isnumber(G1082)), 1, 0) + IF(and(ISNUMBER(H1082), isnumber(I1082)), 1, 0) + IF(and(ISNUMBER(J1082), isnumber(K1082)), 1, 0) + IF(and(ISNUMBER(L1082), isnumber(M1082)), 1, 0) + IF(and(ISNUMBER(N1082), isnumber(O1082)), 1, 0)</f>
      </c>
      <c r="U1082" s="8">
        <f>IF(and(ISNUMBER(P1082), isnumber(Q1082)), 1, 0) + IF(and(ISNUMBER(R1082), isnumber(S1082)), 1, 0)</f>
      </c>
      <c r="V1082" s="13"/>
      <c r="W1082" s="13"/>
      <c r="X1082" s="16"/>
    </row>
    <row x14ac:dyDescent="0.25" r="1083" customHeight="1" ht="15.75">
      <c r="A1083" s="8">
        <v>26215</v>
      </c>
      <c r="B1083" s="13" t="s">
        <v>116</v>
      </c>
      <c r="C1083" s="13" t="s">
        <v>6998</v>
      </c>
      <c r="D1083" s="10">
        <v>0.7872</v>
      </c>
      <c r="E1083" s="11">
        <v>343.33</v>
      </c>
      <c r="F1083" s="10">
        <v>0.6099</v>
      </c>
      <c r="G1083" s="11">
        <v>445.12</v>
      </c>
      <c r="H1083" s="10">
        <v>0.7589</v>
      </c>
      <c r="I1083" s="11">
        <v>501.31</v>
      </c>
      <c r="J1083" s="10">
        <v>0.7943</v>
      </c>
      <c r="K1083" s="11">
        <v>401.52</v>
      </c>
      <c r="L1083" s="10">
        <v>0.7801</v>
      </c>
      <c r="M1083" s="11">
        <v>493.94</v>
      </c>
      <c r="N1083" s="10">
        <v>0.7021</v>
      </c>
      <c r="O1083" s="11">
        <v>494.95</v>
      </c>
      <c r="P1083" s="10">
        <v>0.7872</v>
      </c>
      <c r="Q1083" s="10">
        <v>0.2538</v>
      </c>
      <c r="R1083" s="10">
        <v>0.7943</v>
      </c>
      <c r="S1083" s="10">
        <v>0.2131</v>
      </c>
      <c r="T1083" s="8">
        <f>IF(and(ISNUMBER(D1083), isnumber(E1083)), 1, 0) + IF(and(ISNUMBER(F1083), isnumber(G1083)), 1, 0) + IF(and(ISNUMBER(H1083), isnumber(I1083)), 1, 0) + IF(and(ISNUMBER(J1083), isnumber(K1083)), 1, 0) + IF(and(ISNUMBER(L1083), isnumber(M1083)), 1, 0) + IF(and(ISNUMBER(N1083), isnumber(O1083)), 1, 0)</f>
      </c>
      <c r="U1083" s="8">
        <f>IF(and(ISNUMBER(P1083), isnumber(Q1083)), 1, 0) + IF(and(ISNUMBER(R1083), isnumber(S1083)), 1, 0)</f>
      </c>
      <c r="V1083" s="13"/>
      <c r="W1083" s="13"/>
      <c r="X1083" s="16"/>
    </row>
    <row x14ac:dyDescent="0.25" r="1084" customHeight="1" ht="15.75">
      <c r="A1084" s="8">
        <v>26169</v>
      </c>
      <c r="B1084" s="13" t="s">
        <v>116</v>
      </c>
      <c r="C1084" s="13" t="s">
        <v>6999</v>
      </c>
      <c r="D1084" s="10">
        <v>0.9697</v>
      </c>
      <c r="E1084" s="11">
        <v>222.5</v>
      </c>
      <c r="F1084" s="10">
        <v>0.8182</v>
      </c>
      <c r="G1084" s="11">
        <v>370.37</v>
      </c>
      <c r="H1084" s="10">
        <v>0.8788</v>
      </c>
      <c r="I1084" s="11">
        <v>433.1</v>
      </c>
      <c r="J1084" s="10">
        <v>0.7273</v>
      </c>
      <c r="K1084" s="11">
        <v>326.96</v>
      </c>
      <c r="L1084" s="10">
        <v>0.8182</v>
      </c>
      <c r="M1084" s="11">
        <v>428.15</v>
      </c>
      <c r="N1084" s="10">
        <v>0.7273</v>
      </c>
      <c r="O1084" s="11">
        <v>460</v>
      </c>
      <c r="P1084" s="10">
        <v>0.9697</v>
      </c>
      <c r="Q1084" s="10">
        <v>0.2326</v>
      </c>
      <c r="R1084" s="10">
        <v>0.7273</v>
      </c>
      <c r="S1084" s="10">
        <v>0.216</v>
      </c>
      <c r="T1084" s="8">
        <f>IF(and(ISNUMBER(D1084), isnumber(E1084)), 1, 0) + IF(and(ISNUMBER(F1084), isnumber(G1084)), 1, 0) + IF(and(ISNUMBER(H1084), isnumber(I1084)), 1, 0) + IF(and(ISNUMBER(J1084), isnumber(K1084)), 1, 0) + IF(and(ISNUMBER(L1084), isnumber(M1084)), 1, 0) + IF(and(ISNUMBER(N1084), isnumber(O1084)), 1, 0)</f>
      </c>
      <c r="U1084" s="8">
        <f>IF(and(ISNUMBER(P1084), isnumber(Q1084)), 1, 0) + IF(and(ISNUMBER(R1084), isnumber(S1084)), 1, 0)</f>
      </c>
      <c r="V1084" s="13"/>
      <c r="W1084" s="13"/>
      <c r="X1084" s="16"/>
    </row>
    <row x14ac:dyDescent="0.25" r="1085" customHeight="1" ht="15.75">
      <c r="A1085" s="8">
        <v>26192</v>
      </c>
      <c r="B1085" s="13" t="s">
        <v>116</v>
      </c>
      <c r="C1085" s="13" t="s">
        <v>7001</v>
      </c>
      <c r="D1085" s="10">
        <v>0.9636</v>
      </c>
      <c r="E1085" s="11">
        <v>199.18</v>
      </c>
      <c r="F1085" s="10">
        <v>0.5727</v>
      </c>
      <c r="G1085" s="11">
        <v>399.97</v>
      </c>
      <c r="H1085" s="10">
        <v>0.5738</v>
      </c>
      <c r="I1085" s="11">
        <v>464.4</v>
      </c>
      <c r="J1085" s="10">
        <v>0.5926</v>
      </c>
      <c r="K1085" s="11">
        <v>350</v>
      </c>
      <c r="L1085" s="10">
        <v>0.582</v>
      </c>
      <c r="M1085" s="11">
        <v>464.23</v>
      </c>
      <c r="N1085" s="10">
        <v>0.4344</v>
      </c>
      <c r="O1085" s="11">
        <v>480</v>
      </c>
      <c r="P1085" s="10">
        <v>0.9636</v>
      </c>
      <c r="Q1085" s="10">
        <v>0.1749</v>
      </c>
      <c r="R1085" s="10">
        <v>0.5926</v>
      </c>
      <c r="S1085" s="10">
        <v>0.221</v>
      </c>
      <c r="T1085" s="8">
        <f>IF(and(ISNUMBER(D1085), isnumber(E1085)), 1, 0) + IF(and(ISNUMBER(F1085), isnumber(G1085)), 1, 0) + IF(and(ISNUMBER(H1085), isnumber(I1085)), 1, 0) + IF(and(ISNUMBER(J1085), isnumber(K1085)), 1, 0) + IF(and(ISNUMBER(L1085), isnumber(M1085)), 1, 0) + IF(and(ISNUMBER(N1085), isnumber(O1085)), 1, 0)</f>
      </c>
      <c r="U1085" s="8">
        <f>IF(and(ISNUMBER(P1085), isnumber(Q1085)), 1, 0) + IF(and(ISNUMBER(R1085), isnumber(S1085)), 1, 0)</f>
      </c>
      <c r="V1085" s="13"/>
      <c r="W1085" s="13"/>
      <c r="X1085" s="16"/>
    </row>
    <row x14ac:dyDescent="0.25" r="1086" customHeight="1" ht="15.75">
      <c r="A1086" s="8">
        <v>26201</v>
      </c>
      <c r="B1086" s="13" t="s">
        <v>116</v>
      </c>
      <c r="C1086" s="13" t="s">
        <v>5912</v>
      </c>
      <c r="D1086" s="10">
        <v>0.9607</v>
      </c>
      <c r="E1086" s="11">
        <v>288.11</v>
      </c>
      <c r="F1086" s="10">
        <v>0.7505</v>
      </c>
      <c r="G1086" s="11">
        <v>450.61</v>
      </c>
      <c r="H1086" s="10">
        <v>0.6173</v>
      </c>
      <c r="I1086" s="11">
        <v>484.22</v>
      </c>
      <c r="J1086" s="10">
        <v>0.6492</v>
      </c>
      <c r="K1086" s="11">
        <v>449.48</v>
      </c>
      <c r="L1086" s="10">
        <v>0.773</v>
      </c>
      <c r="M1086" s="11">
        <v>435.28</v>
      </c>
      <c r="N1086" s="10">
        <v>0.7448</v>
      </c>
      <c r="O1086" s="11">
        <v>436.52</v>
      </c>
      <c r="P1086" s="10">
        <v>0.9607</v>
      </c>
      <c r="Q1086" s="10">
        <v>0.2235</v>
      </c>
      <c r="R1086" s="10">
        <v>0.6492</v>
      </c>
      <c r="S1086" s="10">
        <v>0.2067</v>
      </c>
      <c r="T1086" s="8">
        <f>IF(and(ISNUMBER(D1086), isnumber(E1086)), 1, 0) + IF(and(ISNUMBER(F1086), isnumber(G1086)), 1, 0) + IF(and(ISNUMBER(H1086), isnumber(I1086)), 1, 0) + IF(and(ISNUMBER(J1086), isnumber(K1086)), 1, 0) + IF(and(ISNUMBER(L1086), isnumber(M1086)), 1, 0) + IF(and(ISNUMBER(N1086), isnumber(O1086)), 1, 0)</f>
      </c>
      <c r="U1086" s="8">
        <f>IF(and(ISNUMBER(P1086), isnumber(Q1086)), 1, 0) + IF(and(ISNUMBER(R1086), isnumber(S1086)), 1, 0)</f>
      </c>
      <c r="V1086" s="13"/>
      <c r="W1086" s="13"/>
      <c r="X1086" s="16"/>
    </row>
    <row x14ac:dyDescent="0.25" r="1087" customHeight="1" ht="15.75">
      <c r="A1087" s="8">
        <v>26202</v>
      </c>
      <c r="B1087" s="13" t="s">
        <v>116</v>
      </c>
      <c r="C1087" s="13" t="s">
        <v>7005</v>
      </c>
      <c r="D1087" s="10">
        <v>0.7333</v>
      </c>
      <c r="E1087" s="11">
        <v>306.01</v>
      </c>
      <c r="F1087" s="10">
        <v>0.6148</v>
      </c>
      <c r="G1087" s="11">
        <v>412.25</v>
      </c>
      <c r="H1087" s="10">
        <v>0.7613</v>
      </c>
      <c r="I1087" s="11" t="s">
        <v>7127</v>
      </c>
      <c r="J1087" s="10">
        <v>0.71</v>
      </c>
      <c r="K1087" s="11">
        <v>341.64</v>
      </c>
      <c r="L1087" s="10">
        <v>0.771</v>
      </c>
      <c r="M1087" s="11">
        <v>444.39</v>
      </c>
      <c r="N1087" s="10">
        <v>0.629</v>
      </c>
      <c r="O1087" s="11">
        <v>410.62</v>
      </c>
      <c r="P1087" s="10">
        <v>0.7333</v>
      </c>
      <c r="Q1087" s="10">
        <v>0.2497</v>
      </c>
      <c r="R1087" s="10">
        <v>0.71</v>
      </c>
      <c r="S1087" s="10">
        <v>0.203</v>
      </c>
      <c r="T1087" s="8">
        <f>IF(and(ISNUMBER(D1087), isnumber(E1087)), 1, 0) + IF(and(ISNUMBER(F1087), isnumber(G1087)), 1, 0) + IF(and(ISNUMBER(H1087), isnumber(I1087)), 1, 0) + IF(and(ISNUMBER(J1087), isnumber(K1087)), 1, 0) + IF(and(ISNUMBER(L1087), isnumber(M1087)), 1, 0) + IF(and(ISNUMBER(N1087), isnumber(O1087)), 1, 0)</f>
      </c>
      <c r="U1087" s="8">
        <f>IF(and(ISNUMBER(P1087), isnumber(Q1087)), 1, 0) + IF(and(ISNUMBER(R1087), isnumber(S1087)), 1, 0)</f>
      </c>
      <c r="V1087" s="13"/>
      <c r="W1087" s="13"/>
      <c r="X1087" s="16"/>
    </row>
    <row x14ac:dyDescent="0.25" r="1088" customHeight="1" ht="15.75">
      <c r="A1088" s="8">
        <v>26203</v>
      </c>
      <c r="B1088" s="13" t="s">
        <v>116</v>
      </c>
      <c r="C1088" s="13" t="s">
        <v>7007</v>
      </c>
      <c r="D1088" s="10">
        <v>0.9276</v>
      </c>
      <c r="E1088" s="11">
        <v>309.54</v>
      </c>
      <c r="F1088" s="10">
        <v>0.7123</v>
      </c>
      <c r="G1088" s="11">
        <v>436.48</v>
      </c>
      <c r="H1088" s="10">
        <v>0.6922</v>
      </c>
      <c r="I1088" s="11">
        <v>456.89</v>
      </c>
      <c r="J1088" s="10">
        <v>0.5513</v>
      </c>
      <c r="K1088" s="11">
        <v>414.62</v>
      </c>
      <c r="L1088" s="10">
        <v>0.6559</v>
      </c>
      <c r="M1088" s="11">
        <v>423.59</v>
      </c>
      <c r="N1088" s="10">
        <v>0.7082</v>
      </c>
      <c r="O1088" s="11">
        <v>436.81</v>
      </c>
      <c r="P1088" s="10">
        <v>0.9276</v>
      </c>
      <c r="Q1088" s="10">
        <v>0.2121</v>
      </c>
      <c r="R1088" s="10">
        <v>0.5513</v>
      </c>
      <c r="S1088" s="10">
        <v>0.2179</v>
      </c>
      <c r="T1088" s="8">
        <f>IF(and(ISNUMBER(D1088), isnumber(E1088)), 1, 0) + IF(and(ISNUMBER(F1088), isnumber(G1088)), 1, 0) + IF(and(ISNUMBER(H1088), isnumber(I1088)), 1, 0) + IF(and(ISNUMBER(J1088), isnumber(K1088)), 1, 0) + IF(and(ISNUMBER(L1088), isnumber(M1088)), 1, 0) + IF(and(ISNUMBER(N1088), isnumber(O1088)), 1, 0)</f>
      </c>
      <c r="U1088" s="8">
        <f>IF(and(ISNUMBER(P1088), isnumber(Q1088)), 1, 0) + IF(and(ISNUMBER(R1088), isnumber(S1088)), 1, 0)</f>
      </c>
      <c r="V1088" s="13"/>
      <c r="W1088" s="13"/>
      <c r="X1088" s="16"/>
    </row>
    <row x14ac:dyDescent="0.25" r="1089" customHeight="1" ht="15.75">
      <c r="A1089" s="8">
        <v>26216</v>
      </c>
      <c r="B1089" s="13" t="s">
        <v>116</v>
      </c>
      <c r="C1089" s="13" t="s">
        <v>7009</v>
      </c>
      <c r="D1089" s="10">
        <v>0.7551</v>
      </c>
      <c r="E1089" s="11">
        <v>141.73</v>
      </c>
      <c r="F1089" s="10">
        <v>0.551</v>
      </c>
      <c r="G1089" s="11">
        <v>399.26</v>
      </c>
      <c r="H1089" s="10">
        <v>0.5556</v>
      </c>
      <c r="I1089" s="11">
        <v>406.67</v>
      </c>
      <c r="J1089" s="10">
        <v>0.6957</v>
      </c>
      <c r="K1089" s="11">
        <v>332.5</v>
      </c>
      <c r="L1089" s="10">
        <v>0.7037</v>
      </c>
      <c r="M1089" s="11">
        <v>456.84</v>
      </c>
      <c r="N1089" s="10">
        <v>0.6852</v>
      </c>
      <c r="O1089" s="11">
        <v>410.81</v>
      </c>
      <c r="P1089" s="10">
        <v>0.7551</v>
      </c>
      <c r="Q1089" s="10">
        <v>0.2514</v>
      </c>
      <c r="R1089" s="10">
        <v>0.6957</v>
      </c>
      <c r="S1089" s="10">
        <v>0.2047</v>
      </c>
      <c r="T1089" s="8">
        <f>IF(and(ISNUMBER(D1089), isnumber(E1089)), 1, 0) + IF(and(ISNUMBER(F1089), isnumber(G1089)), 1, 0) + IF(and(ISNUMBER(H1089), isnumber(I1089)), 1, 0) + IF(and(ISNUMBER(J1089), isnumber(K1089)), 1, 0) + IF(and(ISNUMBER(L1089), isnumber(M1089)), 1, 0) + IF(and(ISNUMBER(N1089), isnumber(O1089)), 1, 0)</f>
      </c>
      <c r="U1089" s="8">
        <f>IF(and(ISNUMBER(P1089), isnumber(Q1089)), 1, 0) + IF(and(ISNUMBER(R1089), isnumber(S1089)), 1, 0)</f>
      </c>
      <c r="V1089" s="13"/>
      <c r="W1089" s="13"/>
      <c r="X1089" s="16"/>
    </row>
    <row x14ac:dyDescent="0.25" r="1090" customHeight="1" ht="15.75">
      <c r="A1090" s="8">
        <v>26155</v>
      </c>
      <c r="B1090" s="13" t="s">
        <v>116</v>
      </c>
      <c r="C1090" s="13" t="s">
        <v>7011</v>
      </c>
      <c r="D1090" s="10">
        <v>0.7805</v>
      </c>
      <c r="E1090" s="11">
        <v>238.62</v>
      </c>
      <c r="F1090" s="10">
        <v>0.6829</v>
      </c>
      <c r="G1090" s="11">
        <v>517.04</v>
      </c>
      <c r="H1090" s="10">
        <v>0.1951</v>
      </c>
      <c r="I1090" s="11">
        <v>131.43</v>
      </c>
      <c r="J1090" s="10">
        <v>0.6098</v>
      </c>
      <c r="K1090" s="11">
        <v>83.2</v>
      </c>
      <c r="L1090" s="10">
        <v>0.4146</v>
      </c>
      <c r="M1090" s="11">
        <v>327.06</v>
      </c>
      <c r="N1090" s="10">
        <v>0.7317</v>
      </c>
      <c r="O1090" s="11">
        <v>322.76</v>
      </c>
      <c r="P1090" s="10">
        <v>0.7805</v>
      </c>
      <c r="Q1090" s="10">
        <v>0.2102</v>
      </c>
      <c r="R1090" s="10">
        <v>0.6098</v>
      </c>
      <c r="S1090" s="10">
        <v>0.2038</v>
      </c>
      <c r="T1090" s="8">
        <f>IF(and(ISNUMBER(D1090), isnumber(E1090)), 1, 0) + IF(and(ISNUMBER(F1090), isnumber(G1090)), 1, 0) + IF(and(ISNUMBER(H1090), isnumber(I1090)), 1, 0) + IF(and(ISNUMBER(J1090), isnumber(K1090)), 1, 0) + IF(and(ISNUMBER(L1090), isnumber(M1090)), 1, 0) + IF(and(ISNUMBER(N1090), isnumber(O1090)), 1, 0)</f>
      </c>
      <c r="U1090" s="8">
        <f>IF(and(ISNUMBER(P1090), isnumber(Q1090)), 1, 0) + IF(and(ISNUMBER(R1090), isnumber(S1090)), 1, 0)</f>
      </c>
      <c r="V1090" s="13"/>
      <c r="W1090" s="13"/>
      <c r="X1090" s="16"/>
    </row>
    <row x14ac:dyDescent="0.25" r="1091" customHeight="1" ht="15.75">
      <c r="A1091" s="8">
        <v>26217</v>
      </c>
      <c r="B1091" s="13" t="s">
        <v>116</v>
      </c>
      <c r="C1091" s="13" t="s">
        <v>7013</v>
      </c>
      <c r="D1091" s="10">
        <v>0.9661</v>
      </c>
      <c r="E1091" s="11">
        <v>484.91</v>
      </c>
      <c r="F1091" s="10">
        <v>0.9322</v>
      </c>
      <c r="G1091" s="11">
        <v>499.64</v>
      </c>
      <c r="H1091" s="10">
        <v>0.9661</v>
      </c>
      <c r="I1091" s="11">
        <v>564.21</v>
      </c>
      <c r="J1091" s="10">
        <v>0.9322</v>
      </c>
      <c r="K1091" s="11">
        <v>512.59</v>
      </c>
      <c r="L1091" s="10">
        <v>1</v>
      </c>
      <c r="M1091" s="11">
        <v>566.78</v>
      </c>
      <c r="N1091" s="10">
        <v>1</v>
      </c>
      <c r="O1091" s="11">
        <v>546.44</v>
      </c>
      <c r="P1091" s="10">
        <v>0.9661</v>
      </c>
      <c r="Q1091" s="10">
        <v>0.3288</v>
      </c>
      <c r="R1091" s="10">
        <v>0.9322</v>
      </c>
      <c r="S1091" s="10">
        <v>0.2459</v>
      </c>
      <c r="T1091" s="8">
        <f>IF(and(ISNUMBER(D1091), isnumber(E1091)), 1, 0) + IF(and(ISNUMBER(F1091), isnumber(G1091)), 1, 0) + IF(and(ISNUMBER(H1091), isnumber(I1091)), 1, 0) + IF(and(ISNUMBER(J1091), isnumber(K1091)), 1, 0) + IF(and(ISNUMBER(L1091), isnumber(M1091)), 1, 0) + IF(and(ISNUMBER(N1091), isnumber(O1091)), 1, 0)</f>
      </c>
      <c r="U1091" s="8">
        <f>IF(and(ISNUMBER(P1091), isnumber(Q1091)), 1, 0) + IF(and(ISNUMBER(R1091), isnumber(S1091)), 1, 0)</f>
      </c>
      <c r="V1091" s="13"/>
      <c r="W1091" s="13"/>
      <c r="X1091" s="16"/>
    </row>
    <row x14ac:dyDescent="0.25" r="1092" customHeight="1" ht="15.75">
      <c r="A1092" s="8">
        <v>26218</v>
      </c>
      <c r="B1092" s="13" t="s">
        <v>116</v>
      </c>
      <c r="C1092" s="13" t="s">
        <v>7015</v>
      </c>
      <c r="D1092" s="10">
        <v>0.6393</v>
      </c>
      <c r="E1092" s="11">
        <v>254.36</v>
      </c>
      <c r="F1092" s="10">
        <v>0.5082</v>
      </c>
      <c r="G1092" s="11">
        <v>361.33</v>
      </c>
      <c r="H1092" s="10">
        <v>0.6301</v>
      </c>
      <c r="I1092" s="11">
        <v>470.43</v>
      </c>
      <c r="J1092" s="10">
        <v>0.6712</v>
      </c>
      <c r="K1092" s="11">
        <v>396.36</v>
      </c>
      <c r="L1092" s="10">
        <v>0.589</v>
      </c>
      <c r="M1092" s="11">
        <v>447.8</v>
      </c>
      <c r="N1092" s="10">
        <v>0.589</v>
      </c>
      <c r="O1092" s="11">
        <v>453.33</v>
      </c>
      <c r="P1092" s="10">
        <v>0.6393</v>
      </c>
      <c r="Q1092" s="10">
        <v>0.2432</v>
      </c>
      <c r="R1092" s="10">
        <v>0.6712</v>
      </c>
      <c r="S1092" s="10">
        <v>0.2022</v>
      </c>
      <c r="T1092" s="8">
        <f>IF(and(ISNUMBER(D1092), isnumber(E1092)), 1, 0) + IF(and(ISNUMBER(F1092), isnumber(G1092)), 1, 0) + IF(and(ISNUMBER(H1092), isnumber(I1092)), 1, 0) + IF(and(ISNUMBER(J1092), isnumber(K1092)), 1, 0) + IF(and(ISNUMBER(L1092), isnumber(M1092)), 1, 0) + IF(and(ISNUMBER(N1092), isnumber(O1092)), 1, 0)</f>
      </c>
      <c r="U1092" s="8">
        <f>IF(and(ISNUMBER(P1092), isnumber(Q1092)), 1, 0) + IF(and(ISNUMBER(R1092), isnumber(S1092)), 1, 0)</f>
      </c>
      <c r="V1092" s="13"/>
      <c r="W1092" s="13"/>
      <c r="X1092" s="16"/>
    </row>
    <row x14ac:dyDescent="0.25" r="1093" customHeight="1" ht="15.75">
      <c r="A1093" s="8">
        <v>26219</v>
      </c>
      <c r="B1093" s="13" t="s">
        <v>116</v>
      </c>
      <c r="C1093" s="13" t="s">
        <v>7016</v>
      </c>
      <c r="D1093" s="10">
        <v>0.7857</v>
      </c>
      <c r="E1093" s="11">
        <v>205.34</v>
      </c>
      <c r="F1093" s="10">
        <v>0.6143</v>
      </c>
      <c r="G1093" s="11">
        <v>412.03</v>
      </c>
      <c r="H1093" s="10">
        <v>0.545</v>
      </c>
      <c r="I1093" s="11">
        <v>425.96</v>
      </c>
      <c r="J1093" s="10">
        <v>0.5922</v>
      </c>
      <c r="K1093" s="11">
        <v>304.61</v>
      </c>
      <c r="L1093" s="10">
        <v>0.5676</v>
      </c>
      <c r="M1093" s="11">
        <v>388.89</v>
      </c>
      <c r="N1093" s="10">
        <v>0.4369</v>
      </c>
      <c r="O1093" s="11">
        <v>392.58</v>
      </c>
      <c r="P1093" s="10">
        <v>0.7857</v>
      </c>
      <c r="Q1093" s="10">
        <v>0.2404</v>
      </c>
      <c r="R1093" s="10">
        <v>0.5922</v>
      </c>
      <c r="S1093" s="10">
        <v>0.2047</v>
      </c>
      <c r="T1093" s="8">
        <f>IF(and(ISNUMBER(D1093), isnumber(E1093)), 1, 0) + IF(and(ISNUMBER(F1093), isnumber(G1093)), 1, 0) + IF(and(ISNUMBER(H1093), isnumber(I1093)), 1, 0) + IF(and(ISNUMBER(J1093), isnumber(K1093)), 1, 0) + IF(and(ISNUMBER(L1093), isnumber(M1093)), 1, 0) + IF(and(ISNUMBER(N1093), isnumber(O1093)), 1, 0)</f>
      </c>
      <c r="U1093" s="8">
        <f>IF(and(ISNUMBER(P1093), isnumber(Q1093)), 1, 0) + IF(and(ISNUMBER(R1093), isnumber(S1093)), 1, 0)</f>
      </c>
      <c r="V1093" s="13"/>
      <c r="W1093" s="13"/>
      <c r="X1093" s="16"/>
    </row>
    <row x14ac:dyDescent="0.25" r="1094" customHeight="1" ht="15.75">
      <c r="A1094" s="8">
        <v>26204</v>
      </c>
      <c r="B1094" s="13" t="s">
        <v>116</v>
      </c>
      <c r="C1094" s="13" t="s">
        <v>7018</v>
      </c>
      <c r="D1094" s="10">
        <v>0.7209</v>
      </c>
      <c r="E1094" s="11">
        <v>312.01</v>
      </c>
      <c r="F1094" s="10">
        <v>0.6395</v>
      </c>
      <c r="G1094" s="11">
        <v>434.19</v>
      </c>
      <c r="H1094" s="10">
        <v>0.5876</v>
      </c>
      <c r="I1094" s="11">
        <v>482.1</v>
      </c>
      <c r="J1094" s="10">
        <v>0.6951</v>
      </c>
      <c r="K1094" s="11">
        <v>390.37</v>
      </c>
      <c r="L1094" s="10">
        <v>0.7216</v>
      </c>
      <c r="M1094" s="11">
        <v>460.57</v>
      </c>
      <c r="N1094" s="10">
        <v>0.7113</v>
      </c>
      <c r="O1094" s="11">
        <v>460.29</v>
      </c>
      <c r="P1094" s="10">
        <v>0.7209</v>
      </c>
      <c r="Q1094" s="10">
        <v>0.2385</v>
      </c>
      <c r="R1094" s="10">
        <v>0.6951</v>
      </c>
      <c r="S1094" s="10">
        <v>0.2012</v>
      </c>
      <c r="T1094" s="8">
        <f>IF(and(ISNUMBER(D1094), isnumber(E1094)), 1, 0) + IF(and(ISNUMBER(F1094), isnumber(G1094)), 1, 0) + IF(and(ISNUMBER(H1094), isnumber(I1094)), 1, 0) + IF(and(ISNUMBER(J1094), isnumber(K1094)), 1, 0) + IF(and(ISNUMBER(L1094), isnumber(M1094)), 1, 0) + IF(and(ISNUMBER(N1094), isnumber(O1094)), 1, 0)</f>
      </c>
      <c r="U1094" s="8">
        <f>IF(and(ISNUMBER(P1094), isnumber(Q1094)), 1, 0) + IF(and(ISNUMBER(R1094), isnumber(S1094)), 1, 0)</f>
      </c>
      <c r="V1094" s="13"/>
      <c r="W1094" s="13"/>
      <c r="X1094" s="16"/>
    </row>
    <row x14ac:dyDescent="0.25" r="1095" customHeight="1" ht="15.75">
      <c r="A1095" s="8">
        <v>26170</v>
      </c>
      <c r="B1095" s="13" t="s">
        <v>116</v>
      </c>
      <c r="C1095" s="13" t="s">
        <v>7019</v>
      </c>
      <c r="D1095" s="10">
        <v>0.6893</v>
      </c>
      <c r="E1095" s="11">
        <v>366.38</v>
      </c>
      <c r="F1095" s="10">
        <v>0.6505</v>
      </c>
      <c r="G1095" s="11">
        <v>413.33</v>
      </c>
      <c r="H1095" s="10">
        <v>0.8155</v>
      </c>
      <c r="I1095" s="11">
        <v>525.71</v>
      </c>
      <c r="J1095" s="10">
        <v>0.5049</v>
      </c>
      <c r="K1095" s="11">
        <v>391.63</v>
      </c>
      <c r="L1095" s="10">
        <v>0.6893</v>
      </c>
      <c r="M1095" s="11">
        <v>485.07</v>
      </c>
      <c r="N1095" s="10">
        <v>0.7573</v>
      </c>
      <c r="O1095" s="11">
        <v>541.82</v>
      </c>
      <c r="P1095" s="10">
        <v>0.6893</v>
      </c>
      <c r="Q1095" s="10">
        <v>0.2609</v>
      </c>
      <c r="R1095" s="10">
        <v>0.5049</v>
      </c>
      <c r="S1095" s="10">
        <v>0.2176</v>
      </c>
      <c r="T1095" s="8">
        <f>IF(and(ISNUMBER(D1095), isnumber(E1095)), 1, 0) + IF(and(ISNUMBER(F1095), isnumber(G1095)), 1, 0) + IF(and(ISNUMBER(H1095), isnumber(I1095)), 1, 0) + IF(and(ISNUMBER(J1095), isnumber(K1095)), 1, 0) + IF(and(ISNUMBER(L1095), isnumber(M1095)), 1, 0) + IF(and(ISNUMBER(N1095), isnumber(O1095)), 1, 0)</f>
      </c>
      <c r="U1095" s="8">
        <f>IF(and(ISNUMBER(P1095), isnumber(Q1095)), 1, 0) + IF(and(ISNUMBER(R1095), isnumber(S1095)), 1, 0)</f>
      </c>
      <c r="V1095" s="13"/>
      <c r="W1095" s="13"/>
      <c r="X1095" s="16"/>
    </row>
    <row x14ac:dyDescent="0.25" r="1096" customHeight="1" ht="15.75">
      <c r="A1096" s="8">
        <v>26193</v>
      </c>
      <c r="B1096" s="13" t="s">
        <v>116</v>
      </c>
      <c r="C1096" s="13" t="s">
        <v>7022</v>
      </c>
      <c r="D1096" s="10">
        <v>0.6089</v>
      </c>
      <c r="E1096" s="11">
        <v>229.55</v>
      </c>
      <c r="F1096" s="10">
        <v>0.6734</v>
      </c>
      <c r="G1096" s="11">
        <v>376.16</v>
      </c>
      <c r="H1096" s="10">
        <v>0.5437</v>
      </c>
      <c r="I1096" s="11">
        <v>447.55</v>
      </c>
      <c r="J1096" s="10">
        <v>0.587</v>
      </c>
      <c r="K1096" s="11">
        <v>406.22</v>
      </c>
      <c r="L1096" s="10">
        <v>0.5817</v>
      </c>
      <c r="M1096" s="11">
        <v>490.98</v>
      </c>
      <c r="N1096" s="10">
        <v>0.5817</v>
      </c>
      <c r="O1096" s="11" t="s">
        <v>7127</v>
      </c>
      <c r="P1096" s="10">
        <v>0.6089</v>
      </c>
      <c r="Q1096" s="10">
        <v>0.2362</v>
      </c>
      <c r="R1096" s="10">
        <v>0.587</v>
      </c>
      <c r="S1096" s="10">
        <v>0.2083</v>
      </c>
      <c r="T1096" s="8">
        <f>IF(and(ISNUMBER(D1096), isnumber(E1096)), 1, 0) + IF(and(ISNUMBER(F1096), isnumber(G1096)), 1, 0) + IF(and(ISNUMBER(H1096), isnumber(I1096)), 1, 0) + IF(and(ISNUMBER(J1096), isnumber(K1096)), 1, 0) + IF(and(ISNUMBER(L1096), isnumber(M1096)), 1, 0) + IF(and(ISNUMBER(N1096), isnumber(O1096)), 1, 0)</f>
      </c>
      <c r="U1096" s="8">
        <f>IF(and(ISNUMBER(P1096), isnumber(Q1096)), 1, 0) + IF(and(ISNUMBER(R1096), isnumber(S1096)), 1, 0)</f>
      </c>
      <c r="V1096" s="13"/>
      <c r="W1096" s="13"/>
      <c r="X1096" s="16"/>
    </row>
    <row x14ac:dyDescent="0.25" r="1097" customHeight="1" ht="15.75">
      <c r="A1097" s="8">
        <v>26220</v>
      </c>
      <c r="B1097" s="13" t="s">
        <v>116</v>
      </c>
      <c r="C1097" s="13" t="s">
        <v>7024</v>
      </c>
      <c r="D1097" s="10">
        <v>0.9211</v>
      </c>
      <c r="E1097" s="11">
        <v>314.45</v>
      </c>
      <c r="F1097" s="10">
        <v>0.875</v>
      </c>
      <c r="G1097" s="11">
        <v>440</v>
      </c>
      <c r="H1097" s="10">
        <v>0.8092</v>
      </c>
      <c r="I1097" s="11">
        <v>476.67</v>
      </c>
      <c r="J1097" s="10">
        <v>0.8487</v>
      </c>
      <c r="K1097" s="11">
        <v>466.77</v>
      </c>
      <c r="L1097" s="10">
        <v>0.8289</v>
      </c>
      <c r="M1097" s="11">
        <v>520</v>
      </c>
      <c r="N1097" s="10">
        <v>0.7697</v>
      </c>
      <c r="O1097" s="11">
        <v>578.12</v>
      </c>
      <c r="P1097" s="10">
        <v>0.9211</v>
      </c>
      <c r="Q1097" s="10">
        <v>0.236</v>
      </c>
      <c r="R1097" s="10">
        <v>0.8487</v>
      </c>
      <c r="S1097" s="10">
        <v>0.2068</v>
      </c>
      <c r="T1097" s="8">
        <f>IF(and(ISNUMBER(D1097), isnumber(E1097)), 1, 0) + IF(and(ISNUMBER(F1097), isnumber(G1097)), 1, 0) + IF(and(ISNUMBER(H1097), isnumber(I1097)), 1, 0) + IF(and(ISNUMBER(J1097), isnumber(K1097)), 1, 0) + IF(and(ISNUMBER(L1097), isnumber(M1097)), 1, 0) + IF(and(ISNUMBER(N1097), isnumber(O1097)), 1, 0)</f>
      </c>
      <c r="U1097" s="8">
        <f>IF(and(ISNUMBER(P1097), isnumber(Q1097)), 1, 0) + IF(and(ISNUMBER(R1097), isnumber(S1097)), 1, 0)</f>
      </c>
      <c r="V1097" s="13"/>
      <c r="W1097" s="13"/>
      <c r="X1097" s="16"/>
    </row>
    <row x14ac:dyDescent="0.25" r="1098" customHeight="1" ht="15.75">
      <c r="A1098" s="8">
        <v>26221</v>
      </c>
      <c r="B1098" s="13" t="s">
        <v>116</v>
      </c>
      <c r="C1098" s="13" t="s">
        <v>7027</v>
      </c>
      <c r="D1098" s="10">
        <v>0.8324</v>
      </c>
      <c r="E1098" s="11">
        <v>325.14</v>
      </c>
      <c r="F1098" s="10">
        <v>0.7514</v>
      </c>
      <c r="G1098" s="11">
        <v>437.17</v>
      </c>
      <c r="H1098" s="10">
        <v>0.7746</v>
      </c>
      <c r="I1098" s="11">
        <v>506.87</v>
      </c>
      <c r="J1098" s="10">
        <v>0.6879</v>
      </c>
      <c r="K1098" s="11">
        <v>461.79</v>
      </c>
      <c r="L1098" s="10">
        <v>0.6618</v>
      </c>
      <c r="M1098" s="11">
        <v>481.23</v>
      </c>
      <c r="N1098" s="10">
        <v>0.5809</v>
      </c>
      <c r="O1098" s="11">
        <v>507.66</v>
      </c>
      <c r="P1098" s="10">
        <v>0.8324</v>
      </c>
      <c r="Q1098" s="10">
        <v>0.2172</v>
      </c>
      <c r="R1098" s="10">
        <v>0.6879</v>
      </c>
      <c r="S1098" s="10">
        <v>0.2143</v>
      </c>
      <c r="T1098" s="8">
        <f>IF(and(ISNUMBER(D1098), isnumber(E1098)), 1, 0) + IF(and(ISNUMBER(F1098), isnumber(G1098)), 1, 0) + IF(and(ISNUMBER(H1098), isnumber(I1098)), 1, 0) + IF(and(ISNUMBER(J1098), isnumber(K1098)), 1, 0) + IF(and(ISNUMBER(L1098), isnumber(M1098)), 1, 0) + IF(and(ISNUMBER(N1098), isnumber(O1098)), 1, 0)</f>
      </c>
      <c r="U1098" s="8">
        <f>IF(and(ISNUMBER(P1098), isnumber(Q1098)), 1, 0) + IF(and(ISNUMBER(R1098), isnumber(S1098)), 1, 0)</f>
      </c>
      <c r="V1098" s="13"/>
      <c r="W1098" s="13"/>
      <c r="X1098" s="16"/>
    </row>
    <row x14ac:dyDescent="0.25" r="1099" customHeight="1" ht="15.75">
      <c r="A1099" s="8">
        <v>26222</v>
      </c>
      <c r="B1099" s="13" t="s">
        <v>116</v>
      </c>
      <c r="C1099" s="13" t="s">
        <v>7030</v>
      </c>
      <c r="D1099" s="10">
        <v>0.6861</v>
      </c>
      <c r="E1099" s="11">
        <v>290.09</v>
      </c>
      <c r="F1099" s="10">
        <v>0.6502</v>
      </c>
      <c r="G1099" s="11">
        <v>434.18</v>
      </c>
      <c r="H1099" s="10">
        <v>0.5802</v>
      </c>
      <c r="I1099" s="11">
        <v>452.67</v>
      </c>
      <c r="J1099" s="10">
        <v>0.464</v>
      </c>
      <c r="K1099" s="11">
        <v>374.59</v>
      </c>
      <c r="L1099" s="10">
        <v>0.6008</v>
      </c>
      <c r="M1099" s="11">
        <v>451.75</v>
      </c>
      <c r="N1099" s="10">
        <v>0.6132</v>
      </c>
      <c r="O1099" s="11">
        <v>451.1</v>
      </c>
      <c r="P1099" s="10">
        <v>0.6861</v>
      </c>
      <c r="Q1099" s="10">
        <v>0.2521</v>
      </c>
      <c r="R1099" s="10">
        <v>0.464</v>
      </c>
      <c r="S1099" s="10">
        <v>0.2037</v>
      </c>
      <c r="T1099" s="8">
        <f>IF(and(ISNUMBER(D1099), isnumber(E1099)), 1, 0) + IF(and(ISNUMBER(F1099), isnumber(G1099)), 1, 0) + IF(and(ISNUMBER(H1099), isnumber(I1099)), 1, 0) + IF(and(ISNUMBER(J1099), isnumber(K1099)), 1, 0) + IF(and(ISNUMBER(L1099), isnumber(M1099)), 1, 0) + IF(and(ISNUMBER(N1099), isnumber(O1099)), 1, 0)</f>
      </c>
      <c r="U1099" s="8">
        <f>IF(and(ISNUMBER(P1099), isnumber(Q1099)), 1, 0) + IF(and(ISNUMBER(R1099), isnumber(S1099)), 1, 0)</f>
      </c>
      <c r="V1099" s="13"/>
      <c r="W1099" s="13"/>
      <c r="X1099" s="16"/>
    </row>
    <row x14ac:dyDescent="0.25" r="1100" customHeight="1" ht="15.75">
      <c r="A1100" s="8">
        <v>26156</v>
      </c>
      <c r="B1100" s="13" t="s">
        <v>116</v>
      </c>
      <c r="C1100" s="13" t="s">
        <v>7033</v>
      </c>
      <c r="D1100" s="10">
        <v>0.8178</v>
      </c>
      <c r="E1100" s="11">
        <v>308.89</v>
      </c>
      <c r="F1100" s="10">
        <v>0.7249</v>
      </c>
      <c r="G1100" s="11">
        <v>473.03</v>
      </c>
      <c r="H1100" s="10">
        <v>0.6803</v>
      </c>
      <c r="I1100" s="11">
        <v>474.73</v>
      </c>
      <c r="J1100" s="10">
        <v>0.6394</v>
      </c>
      <c r="K1100" s="11">
        <v>445.83</v>
      </c>
      <c r="L1100" s="10">
        <v>0.6208</v>
      </c>
      <c r="M1100" s="11">
        <v>466.18</v>
      </c>
      <c r="N1100" s="10">
        <v>0.4498</v>
      </c>
      <c r="O1100" s="11">
        <v>460</v>
      </c>
      <c r="P1100" s="10">
        <v>0.8178</v>
      </c>
      <c r="Q1100" s="10">
        <v>0.2961</v>
      </c>
      <c r="R1100" s="10">
        <v>0.6394</v>
      </c>
      <c r="S1100" s="10">
        <v>0.2433</v>
      </c>
      <c r="T1100" s="8">
        <f>IF(and(ISNUMBER(D1100), isnumber(E1100)), 1, 0) + IF(and(ISNUMBER(F1100), isnumber(G1100)), 1, 0) + IF(and(ISNUMBER(H1100), isnumber(I1100)), 1, 0) + IF(and(ISNUMBER(J1100), isnumber(K1100)), 1, 0) + IF(and(ISNUMBER(L1100), isnumber(M1100)), 1, 0) + IF(and(ISNUMBER(N1100), isnumber(O1100)), 1, 0)</f>
      </c>
      <c r="U1100" s="8">
        <f>IF(and(ISNUMBER(P1100), isnumber(Q1100)), 1, 0) + IF(and(ISNUMBER(R1100), isnumber(S1100)), 1, 0)</f>
      </c>
      <c r="V1100" s="13"/>
      <c r="W1100" s="13"/>
      <c r="X1100" s="16"/>
    </row>
    <row x14ac:dyDescent="0.25" r="1101" customHeight="1" ht="15.75">
      <c r="A1101" s="8">
        <v>26223</v>
      </c>
      <c r="B1101" s="13" t="s">
        <v>116</v>
      </c>
      <c r="C1101" s="13" t="s">
        <v>7036</v>
      </c>
      <c r="D1101" s="10">
        <v>0.5741</v>
      </c>
      <c r="E1101" s="11">
        <v>281.33</v>
      </c>
      <c r="F1101" s="10">
        <v>0.463</v>
      </c>
      <c r="G1101" s="11">
        <v>406.4</v>
      </c>
      <c r="H1101" s="10">
        <v>0.4444</v>
      </c>
      <c r="I1101" s="11">
        <v>415</v>
      </c>
      <c r="J1101" s="10">
        <v>0.4074</v>
      </c>
      <c r="K1101" s="11">
        <v>332.73</v>
      </c>
      <c r="L1101" s="10">
        <v>0.4815</v>
      </c>
      <c r="M1101" s="11">
        <v>385.6</v>
      </c>
      <c r="N1101" s="10">
        <v>0.3519</v>
      </c>
      <c r="O1101" s="11">
        <v>446.32</v>
      </c>
      <c r="P1101" s="10">
        <v>0.5741</v>
      </c>
      <c r="Q1101" s="10">
        <v>0.2545</v>
      </c>
      <c r="R1101" s="10">
        <v>0.4074</v>
      </c>
      <c r="S1101" s="10">
        <v>0.2047</v>
      </c>
      <c r="T1101" s="8">
        <f>IF(and(ISNUMBER(D1101), isnumber(E1101)), 1, 0) + IF(and(ISNUMBER(F1101), isnumber(G1101)), 1, 0) + IF(and(ISNUMBER(H1101), isnumber(I1101)), 1, 0) + IF(and(ISNUMBER(J1101), isnumber(K1101)), 1, 0) + IF(and(ISNUMBER(L1101), isnumber(M1101)), 1, 0) + IF(and(ISNUMBER(N1101), isnumber(O1101)), 1, 0)</f>
      </c>
      <c r="U1101" s="8">
        <f>IF(and(ISNUMBER(P1101), isnumber(Q1101)), 1, 0) + IF(and(ISNUMBER(R1101), isnumber(S1101)), 1, 0)</f>
      </c>
      <c r="V1101" s="13"/>
      <c r="W1101" s="13"/>
      <c r="X1101" s="16"/>
    </row>
    <row x14ac:dyDescent="0.25" r="1102" customHeight="1" ht="15.75">
      <c r="A1102" s="8">
        <v>26171</v>
      </c>
      <c r="B1102" s="13" t="s">
        <v>116</v>
      </c>
      <c r="C1102" s="13" t="s">
        <v>7037</v>
      </c>
      <c r="D1102" s="10">
        <v>0.8112</v>
      </c>
      <c r="E1102" s="11">
        <v>264.48</v>
      </c>
      <c r="F1102" s="10">
        <v>0.5594</v>
      </c>
      <c r="G1102" s="11" t="s">
        <v>7127</v>
      </c>
      <c r="H1102" s="10">
        <v>0.5472</v>
      </c>
      <c r="I1102" s="11">
        <v>386.61</v>
      </c>
      <c r="J1102" s="10">
        <v>0.5369</v>
      </c>
      <c r="K1102" s="11">
        <v>329.23</v>
      </c>
      <c r="L1102" s="10">
        <v>0.6164</v>
      </c>
      <c r="M1102" s="11">
        <v>427.08</v>
      </c>
      <c r="N1102" s="10">
        <v>0.4465</v>
      </c>
      <c r="O1102" s="11">
        <v>442.2</v>
      </c>
      <c r="P1102" s="10">
        <v>0.8112</v>
      </c>
      <c r="Q1102" s="10">
        <v>0.2393</v>
      </c>
      <c r="R1102" s="10">
        <v>0.5369</v>
      </c>
      <c r="S1102" s="10">
        <v>0.1724</v>
      </c>
      <c r="T1102" s="8">
        <f>IF(and(ISNUMBER(D1102), isnumber(E1102)), 1, 0) + IF(and(ISNUMBER(F1102), isnumber(G1102)), 1, 0) + IF(and(ISNUMBER(H1102), isnumber(I1102)), 1, 0) + IF(and(ISNUMBER(J1102), isnumber(K1102)), 1, 0) + IF(and(ISNUMBER(L1102), isnumber(M1102)), 1, 0) + IF(and(ISNUMBER(N1102), isnumber(O1102)), 1, 0)</f>
      </c>
      <c r="U1102" s="8">
        <f>IF(and(ISNUMBER(P1102), isnumber(Q1102)), 1, 0) + IF(and(ISNUMBER(R1102), isnumber(S1102)), 1, 0)</f>
      </c>
      <c r="V1102" s="13"/>
      <c r="W1102" s="13"/>
      <c r="X1102" s="16"/>
    </row>
    <row x14ac:dyDescent="0.25" r="1103" customHeight="1" ht="15.75">
      <c r="A1103" s="8">
        <v>26224</v>
      </c>
      <c r="B1103" s="13" t="s">
        <v>116</v>
      </c>
      <c r="C1103" s="13" t="s">
        <v>6328</v>
      </c>
      <c r="D1103" s="10">
        <v>0.8095</v>
      </c>
      <c r="E1103" s="11">
        <v>363.2</v>
      </c>
      <c r="F1103" s="10">
        <v>0.6984</v>
      </c>
      <c r="G1103" s="11">
        <v>437.27</v>
      </c>
      <c r="H1103" s="10">
        <v>0.746</v>
      </c>
      <c r="I1103" s="11">
        <v>511.49</v>
      </c>
      <c r="J1103" s="10">
        <v>0.6984</v>
      </c>
      <c r="K1103" s="11">
        <v>436.28</v>
      </c>
      <c r="L1103" s="10">
        <v>0.7778</v>
      </c>
      <c r="M1103" s="11">
        <v>470.83</v>
      </c>
      <c r="N1103" s="10">
        <v>0.7937</v>
      </c>
      <c r="O1103" s="11">
        <v>483.2</v>
      </c>
      <c r="P1103" s="10">
        <v>0.8095</v>
      </c>
      <c r="Q1103" s="10">
        <v>0.2749</v>
      </c>
      <c r="R1103" s="10">
        <v>0.6984</v>
      </c>
      <c r="S1103" s="10">
        <v>0.206</v>
      </c>
      <c r="T1103" s="8">
        <f>IF(and(ISNUMBER(D1103), isnumber(E1103)), 1, 0) + IF(and(ISNUMBER(F1103), isnumber(G1103)), 1, 0) + IF(and(ISNUMBER(H1103), isnumber(I1103)), 1, 0) + IF(and(ISNUMBER(J1103), isnumber(K1103)), 1, 0) + IF(and(ISNUMBER(L1103), isnumber(M1103)), 1, 0) + IF(and(ISNUMBER(N1103), isnumber(O1103)), 1, 0)</f>
      </c>
      <c r="U1103" s="8">
        <f>IF(and(ISNUMBER(P1103), isnumber(Q1103)), 1, 0) + IF(and(ISNUMBER(R1103), isnumber(S1103)), 1, 0)</f>
      </c>
      <c r="V1103" s="13"/>
      <c r="W1103" s="13"/>
      <c r="X1103" s="16"/>
    </row>
    <row x14ac:dyDescent="0.25" r="1104" customHeight="1" ht="15.75">
      <c r="A1104" s="8">
        <v>26225</v>
      </c>
      <c r="B1104" s="13" t="s">
        <v>116</v>
      </c>
      <c r="C1104" s="13" t="s">
        <v>5212</v>
      </c>
      <c r="D1104" s="10">
        <v>0.7361</v>
      </c>
      <c r="E1104" s="11">
        <v>278.31</v>
      </c>
      <c r="F1104" s="10">
        <v>0.5778</v>
      </c>
      <c r="G1104" s="11">
        <v>434.9</v>
      </c>
      <c r="H1104" s="10">
        <v>0.6528</v>
      </c>
      <c r="I1104" s="11">
        <v>475.34</v>
      </c>
      <c r="J1104" s="10">
        <v>0.5444</v>
      </c>
      <c r="K1104" s="11">
        <v>377.94</v>
      </c>
      <c r="L1104" s="10">
        <v>0.6167</v>
      </c>
      <c r="M1104" s="11">
        <v>508.02</v>
      </c>
      <c r="N1104" s="10">
        <v>0.4944</v>
      </c>
      <c r="O1104" s="11">
        <v>440.45</v>
      </c>
      <c r="P1104" s="10">
        <v>0.7361</v>
      </c>
      <c r="Q1104" s="10">
        <v>0.2601</v>
      </c>
      <c r="R1104" s="10">
        <v>0.5444</v>
      </c>
      <c r="S1104" s="10">
        <v>0.2009</v>
      </c>
      <c r="T1104" s="8">
        <f>IF(and(ISNUMBER(D1104), isnumber(E1104)), 1, 0) + IF(and(ISNUMBER(F1104), isnumber(G1104)), 1, 0) + IF(and(ISNUMBER(H1104), isnumber(I1104)), 1, 0) + IF(and(ISNUMBER(J1104), isnumber(K1104)), 1, 0) + IF(and(ISNUMBER(L1104), isnumber(M1104)), 1, 0) + IF(and(ISNUMBER(N1104), isnumber(O1104)), 1, 0)</f>
      </c>
      <c r="U1104" s="8">
        <f>IF(and(ISNUMBER(P1104), isnumber(Q1104)), 1, 0) + IF(and(ISNUMBER(R1104), isnumber(S1104)), 1, 0)</f>
      </c>
      <c r="V1104" s="13"/>
      <c r="W1104" s="13"/>
      <c r="X1104" s="16"/>
    </row>
    <row x14ac:dyDescent="0.25" r="1105" customHeight="1" ht="15.75">
      <c r="A1105" s="8">
        <v>26226</v>
      </c>
      <c r="B1105" s="13" t="s">
        <v>116</v>
      </c>
      <c r="C1105" s="13" t="s">
        <v>7043</v>
      </c>
      <c r="D1105" s="10">
        <v>0.7027</v>
      </c>
      <c r="E1105" s="11">
        <v>278.26</v>
      </c>
      <c r="F1105" s="10">
        <v>0.7838</v>
      </c>
      <c r="G1105" s="11">
        <v>393.1</v>
      </c>
      <c r="H1105" s="10">
        <v>0.7568</v>
      </c>
      <c r="I1105" s="11">
        <v>477.14</v>
      </c>
      <c r="J1105" s="10">
        <v>0.5946</v>
      </c>
      <c r="K1105" s="11">
        <v>376.36</v>
      </c>
      <c r="L1105" s="10">
        <v>0.7568</v>
      </c>
      <c r="M1105" s="11">
        <v>424.29</v>
      </c>
      <c r="N1105" s="10">
        <v>0.7838</v>
      </c>
      <c r="O1105" s="11">
        <v>459.31</v>
      </c>
      <c r="P1105" s="10">
        <v>0.7027</v>
      </c>
      <c r="Q1105" s="10">
        <v>0.2317</v>
      </c>
      <c r="R1105" s="10">
        <v>0.5946</v>
      </c>
      <c r="S1105" s="10">
        <v>0.1966</v>
      </c>
      <c r="T1105" s="8">
        <f>IF(and(ISNUMBER(D1105), isnumber(E1105)), 1, 0) + IF(and(ISNUMBER(F1105), isnumber(G1105)), 1, 0) + IF(and(ISNUMBER(H1105), isnumber(I1105)), 1, 0) + IF(and(ISNUMBER(J1105), isnumber(K1105)), 1, 0) + IF(and(ISNUMBER(L1105), isnumber(M1105)), 1, 0) + IF(and(ISNUMBER(N1105), isnumber(O1105)), 1, 0)</f>
      </c>
      <c r="U1105" s="8">
        <f>IF(and(ISNUMBER(P1105), isnumber(Q1105)), 1, 0) + IF(and(ISNUMBER(R1105), isnumber(S1105)), 1, 0)</f>
      </c>
      <c r="V1105" s="13"/>
      <c r="W1105" s="13"/>
      <c r="X1105" s="16"/>
    </row>
    <row x14ac:dyDescent="0.25" r="1106" customHeight="1" ht="15.75">
      <c r="A1106" s="8">
        <v>26172</v>
      </c>
      <c r="B1106" s="13" t="s">
        <v>116</v>
      </c>
      <c r="C1106" s="13" t="s">
        <v>7044</v>
      </c>
      <c r="D1106" s="10">
        <v>0.6574</v>
      </c>
      <c r="E1106" s="11">
        <v>296.79</v>
      </c>
      <c r="F1106" s="10">
        <v>0.7052</v>
      </c>
      <c r="G1106" s="11">
        <v>408.14</v>
      </c>
      <c r="H1106" s="10">
        <v>0.7171</v>
      </c>
      <c r="I1106" s="11">
        <v>471.24</v>
      </c>
      <c r="J1106" s="10">
        <v>0.6414</v>
      </c>
      <c r="K1106" s="11">
        <v>408.13</v>
      </c>
      <c r="L1106" s="10">
        <v>0.7092</v>
      </c>
      <c r="M1106" s="11">
        <v>458.86</v>
      </c>
      <c r="N1106" s="10">
        <v>0.7092</v>
      </c>
      <c r="O1106" s="11">
        <v>450.91</v>
      </c>
      <c r="P1106" s="10">
        <v>0.6574</v>
      </c>
      <c r="Q1106" s="10">
        <v>0.2459</v>
      </c>
      <c r="R1106" s="10">
        <v>0.6414</v>
      </c>
      <c r="S1106" s="10">
        <v>0.2041</v>
      </c>
      <c r="T1106" s="8">
        <f>IF(and(ISNUMBER(D1106), isnumber(E1106)), 1, 0) + IF(and(ISNUMBER(F1106), isnumber(G1106)), 1, 0) + IF(and(ISNUMBER(H1106), isnumber(I1106)), 1, 0) + IF(and(ISNUMBER(J1106), isnumber(K1106)), 1, 0) + IF(and(ISNUMBER(L1106), isnumber(M1106)), 1, 0) + IF(and(ISNUMBER(N1106), isnumber(O1106)), 1, 0)</f>
      </c>
      <c r="U1106" s="8">
        <f>IF(and(ISNUMBER(P1106), isnumber(Q1106)), 1, 0) + IF(and(ISNUMBER(R1106), isnumber(S1106)), 1, 0)</f>
      </c>
      <c r="V1106" s="13"/>
      <c r="W1106" s="13"/>
      <c r="X1106" s="16"/>
    </row>
    <row x14ac:dyDescent="0.25" r="1107" customHeight="1" ht="15.75">
      <c r="A1107" s="8">
        <v>26173</v>
      </c>
      <c r="B1107" s="13" t="s">
        <v>116</v>
      </c>
      <c r="C1107" s="13" t="s">
        <v>7046</v>
      </c>
      <c r="D1107" s="10">
        <v>0.5176</v>
      </c>
      <c r="E1107" s="11" t="s">
        <v>7127</v>
      </c>
      <c r="F1107" s="10">
        <v>0.4588</v>
      </c>
      <c r="G1107" s="11">
        <v>423.59</v>
      </c>
      <c r="H1107" s="10">
        <v>0.203</v>
      </c>
      <c r="I1107" s="11">
        <v>613.33</v>
      </c>
      <c r="J1107" s="10">
        <v>0.2283</v>
      </c>
      <c r="K1107" s="11">
        <v>473.61</v>
      </c>
      <c r="L1107" s="10">
        <v>0.2556</v>
      </c>
      <c r="M1107" s="11">
        <v>630.59</v>
      </c>
      <c r="N1107" s="10">
        <v>0.2105</v>
      </c>
      <c r="O1107" s="11" t="s">
        <v>7127</v>
      </c>
      <c r="P1107" s="10">
        <v>0.5176</v>
      </c>
      <c r="Q1107" s="10">
        <v>0.2258</v>
      </c>
      <c r="R1107" s="10">
        <v>0.2283</v>
      </c>
      <c r="S1107" s="10">
        <v>0.2551</v>
      </c>
      <c r="T1107" s="8">
        <f>IF(and(ISNUMBER(D1107), isnumber(E1107)), 1, 0) + IF(and(ISNUMBER(F1107), isnumber(G1107)), 1, 0) + IF(and(ISNUMBER(H1107), isnumber(I1107)), 1, 0) + IF(and(ISNUMBER(J1107), isnumber(K1107)), 1, 0) + IF(and(ISNUMBER(L1107), isnumber(M1107)), 1, 0) + IF(and(ISNUMBER(N1107), isnumber(O1107)), 1, 0)</f>
      </c>
      <c r="U1107" s="8">
        <f>IF(and(ISNUMBER(P1107), isnumber(Q1107)), 1, 0) + IF(and(ISNUMBER(R1107), isnumber(S1107)), 1, 0)</f>
      </c>
      <c r="V1107" s="13"/>
      <c r="W1107" s="13"/>
      <c r="X1107" s="16"/>
    </row>
    <row x14ac:dyDescent="0.25" r="1108" customHeight="1" ht="15.75">
      <c r="A1108" s="8">
        <v>26158</v>
      </c>
      <c r="B1108" s="13" t="s">
        <v>116</v>
      </c>
      <c r="C1108" s="13" t="s">
        <v>14491</v>
      </c>
      <c r="D1108" s="10">
        <v>0.9412</v>
      </c>
      <c r="E1108" s="11">
        <v>120</v>
      </c>
      <c r="F1108" s="10">
        <v>0.5294</v>
      </c>
      <c r="G1108" s="11">
        <v>0</v>
      </c>
      <c r="H1108" s="10">
        <v>0</v>
      </c>
      <c r="I1108" s="11" t="s">
        <v>7127</v>
      </c>
      <c r="J1108" s="10">
        <v>0</v>
      </c>
      <c r="K1108" s="11" t="s">
        <v>7127</v>
      </c>
      <c r="L1108" s="10">
        <v>0</v>
      </c>
      <c r="M1108" s="11" t="s">
        <v>7127</v>
      </c>
      <c r="N1108" s="10">
        <v>0</v>
      </c>
      <c r="O1108" s="11" t="s">
        <v>7127</v>
      </c>
      <c r="P1108" s="10">
        <v>0.9412</v>
      </c>
      <c r="Q1108" s="10">
        <v>0.2019</v>
      </c>
      <c r="R1108" s="10">
        <v>0</v>
      </c>
      <c r="S1108" s="10" t="s">
        <v>7127</v>
      </c>
      <c r="T1108" s="8">
        <f>IF(and(ISNUMBER(D1108), isnumber(E1108)), 1, 0) + IF(and(ISNUMBER(F1108), isnumber(G1108)), 1, 0) + IF(and(ISNUMBER(H1108), isnumber(I1108)), 1, 0) + IF(and(ISNUMBER(J1108), isnumber(K1108)), 1, 0) + IF(and(ISNUMBER(L1108), isnumber(M1108)), 1, 0) + IF(and(ISNUMBER(N1108), isnumber(O1108)), 1, 0)</f>
      </c>
      <c r="U1108" s="8">
        <f>IF(and(ISNUMBER(P1108), isnumber(Q1108)), 1, 0) + IF(and(ISNUMBER(R1108), isnumber(S1108)), 1, 0)</f>
      </c>
      <c r="V1108" s="13"/>
      <c r="W1108" s="13"/>
      <c r="X1108" s="16"/>
    </row>
    <row x14ac:dyDescent="0.25" r="1109" customHeight="1" ht="15.75">
      <c r="A1109" s="8">
        <v>26228</v>
      </c>
      <c r="B1109" s="13" t="s">
        <v>116</v>
      </c>
      <c r="C1109" s="13" t="s">
        <v>7048</v>
      </c>
      <c r="D1109" s="10">
        <v>0.7368</v>
      </c>
      <c r="E1109" s="11">
        <v>345.32</v>
      </c>
      <c r="F1109" s="10">
        <v>0.5614</v>
      </c>
      <c r="G1109" s="11">
        <v>506.88</v>
      </c>
      <c r="H1109" s="10">
        <v>0.6579</v>
      </c>
      <c r="I1109" s="11">
        <v>493.33</v>
      </c>
      <c r="J1109" s="10">
        <v>0.5702</v>
      </c>
      <c r="K1109" s="11">
        <v>459.68</v>
      </c>
      <c r="L1109" s="10">
        <v>0.6316</v>
      </c>
      <c r="M1109" s="11">
        <v>507.22</v>
      </c>
      <c r="N1109" s="10">
        <v>0.6667</v>
      </c>
      <c r="O1109" s="11">
        <v>489.47</v>
      </c>
      <c r="P1109" s="10">
        <v>0.7368</v>
      </c>
      <c r="Q1109" s="10">
        <v>0.2386</v>
      </c>
      <c r="R1109" s="10">
        <v>0.5702</v>
      </c>
      <c r="S1109" s="10">
        <v>0.2149</v>
      </c>
      <c r="T1109" s="8">
        <f>IF(and(ISNUMBER(D1109), isnumber(E1109)), 1, 0) + IF(and(ISNUMBER(F1109), isnumber(G1109)), 1, 0) + IF(and(ISNUMBER(H1109), isnumber(I1109)), 1, 0) + IF(and(ISNUMBER(J1109), isnumber(K1109)), 1, 0) + IF(and(ISNUMBER(L1109), isnumber(M1109)), 1, 0) + IF(and(ISNUMBER(N1109), isnumber(O1109)), 1, 0)</f>
      </c>
      <c r="U1109" s="8">
        <f>IF(and(ISNUMBER(P1109), isnumber(Q1109)), 1, 0) + IF(and(ISNUMBER(R1109), isnumber(S1109)), 1, 0)</f>
      </c>
      <c r="V1109" s="13"/>
      <c r="W1109" s="13"/>
      <c r="X1109" s="16"/>
    </row>
    <row x14ac:dyDescent="0.25" r="1110" customHeight="1" ht="15.75">
      <c r="A1110" s="8">
        <v>26159</v>
      </c>
      <c r="B1110" s="13" t="s">
        <v>116</v>
      </c>
      <c r="C1110" s="13" t="s">
        <v>7050</v>
      </c>
      <c r="D1110" s="10">
        <v>0.6369</v>
      </c>
      <c r="E1110" s="11">
        <v>262.7</v>
      </c>
      <c r="F1110" s="10">
        <v>0.3687</v>
      </c>
      <c r="G1110" s="11" t="s">
        <v>7127</v>
      </c>
      <c r="H1110" s="10">
        <v>0.3934</v>
      </c>
      <c r="I1110" s="11">
        <v>451.57</v>
      </c>
      <c r="J1110" s="10">
        <v>0.6519</v>
      </c>
      <c r="K1110" s="11">
        <v>426.57</v>
      </c>
      <c r="L1110" s="10">
        <v>0.4313</v>
      </c>
      <c r="M1110" s="11">
        <v>445.84</v>
      </c>
      <c r="N1110" s="10">
        <v>0.5829</v>
      </c>
      <c r="O1110" s="11">
        <v>466.67</v>
      </c>
      <c r="P1110" s="10">
        <v>0.6369</v>
      </c>
      <c r="Q1110" s="10">
        <v>0.2372</v>
      </c>
      <c r="R1110" s="10">
        <v>0.6519</v>
      </c>
      <c r="S1110" s="10">
        <v>0.2289</v>
      </c>
      <c r="T1110" s="8">
        <f>IF(and(ISNUMBER(D1110), isnumber(E1110)), 1, 0) + IF(and(ISNUMBER(F1110), isnumber(G1110)), 1, 0) + IF(and(ISNUMBER(H1110), isnumber(I1110)), 1, 0) + IF(and(ISNUMBER(J1110), isnumber(K1110)), 1, 0) + IF(and(ISNUMBER(L1110), isnumber(M1110)), 1, 0) + IF(and(ISNUMBER(N1110), isnumber(O1110)), 1, 0)</f>
      </c>
      <c r="U1110" s="8">
        <f>IF(and(ISNUMBER(P1110), isnumber(Q1110)), 1, 0) + IF(and(ISNUMBER(R1110), isnumber(S1110)), 1, 0)</f>
      </c>
      <c r="V1110" s="13"/>
      <c r="W1110" s="13"/>
      <c r="X1110" s="16"/>
    </row>
    <row x14ac:dyDescent="0.25" r="1111" customHeight="1" ht="15.75">
      <c r="A1111" s="8">
        <v>26189</v>
      </c>
      <c r="B1111" s="13" t="s">
        <v>116</v>
      </c>
      <c r="C1111" s="13" t="s">
        <v>7051</v>
      </c>
      <c r="D1111" s="10">
        <v>0.8208</v>
      </c>
      <c r="E1111" s="11">
        <v>309.83</v>
      </c>
      <c r="F1111" s="10">
        <v>0.7394</v>
      </c>
      <c r="G1111" s="11">
        <v>415.32</v>
      </c>
      <c r="H1111" s="10">
        <v>0.6063</v>
      </c>
      <c r="I1111" s="11">
        <v>476.43</v>
      </c>
      <c r="J1111" s="10">
        <v>0.6687</v>
      </c>
      <c r="K1111" s="11">
        <v>415.3</v>
      </c>
      <c r="L1111" s="10">
        <v>0.6983</v>
      </c>
      <c r="M1111" s="11">
        <v>466.6</v>
      </c>
      <c r="N1111" s="10">
        <v>0.6408</v>
      </c>
      <c r="O1111" s="11">
        <v>462.42</v>
      </c>
      <c r="P1111" s="10">
        <v>0.8208</v>
      </c>
      <c r="Q1111" s="10">
        <v>0.2603</v>
      </c>
      <c r="R1111" s="10">
        <v>0.6687</v>
      </c>
      <c r="S1111" s="10">
        <v>0.2138</v>
      </c>
      <c r="T1111" s="8">
        <f>IF(and(ISNUMBER(D1111), isnumber(E1111)), 1, 0) + IF(and(ISNUMBER(F1111), isnumber(G1111)), 1, 0) + IF(and(ISNUMBER(H1111), isnumber(I1111)), 1, 0) + IF(and(ISNUMBER(J1111), isnumber(K1111)), 1, 0) + IF(and(ISNUMBER(L1111), isnumber(M1111)), 1, 0) + IF(and(ISNUMBER(N1111), isnumber(O1111)), 1, 0)</f>
      </c>
      <c r="U1111" s="8">
        <f>IF(and(ISNUMBER(P1111), isnumber(Q1111)), 1, 0) + IF(and(ISNUMBER(R1111), isnumber(S1111)), 1, 0)</f>
      </c>
      <c r="V1111" s="13"/>
      <c r="W1111" s="13"/>
      <c r="X1111" s="16"/>
    </row>
    <row x14ac:dyDescent="0.25" r="1112" customHeight="1" ht="15.75">
      <c r="A1112" s="8">
        <v>26175</v>
      </c>
      <c r="B1112" s="13" t="s">
        <v>116</v>
      </c>
      <c r="C1112" s="13" t="s">
        <v>7055</v>
      </c>
      <c r="D1112" s="10">
        <v>0.4557</v>
      </c>
      <c r="E1112" s="11">
        <v>357.71</v>
      </c>
      <c r="F1112" s="10">
        <v>0.6582</v>
      </c>
      <c r="G1112" s="11">
        <v>402.31</v>
      </c>
      <c r="H1112" s="10">
        <v>0.6329</v>
      </c>
      <c r="I1112" s="11">
        <v>524.8</v>
      </c>
      <c r="J1112" s="10">
        <v>0.6709</v>
      </c>
      <c r="K1112" s="11">
        <v>507.76</v>
      </c>
      <c r="L1112" s="10">
        <v>0.6456</v>
      </c>
      <c r="M1112" s="11">
        <v>541.18</v>
      </c>
      <c r="N1112" s="10">
        <v>0.6709</v>
      </c>
      <c r="O1112" s="11">
        <v>484.53</v>
      </c>
      <c r="P1112" s="10">
        <v>0.4557</v>
      </c>
      <c r="Q1112" s="10">
        <v>0.2415</v>
      </c>
      <c r="R1112" s="10">
        <v>0.6709</v>
      </c>
      <c r="S1112" s="10">
        <v>0.3734</v>
      </c>
      <c r="T1112" s="8">
        <f>IF(and(ISNUMBER(D1112), isnumber(E1112)), 1, 0) + IF(and(ISNUMBER(F1112), isnumber(G1112)), 1, 0) + IF(and(ISNUMBER(H1112), isnumber(I1112)), 1, 0) + IF(and(ISNUMBER(J1112), isnumber(K1112)), 1, 0) + IF(and(ISNUMBER(L1112), isnumber(M1112)), 1, 0) + IF(and(ISNUMBER(N1112), isnumber(O1112)), 1, 0)</f>
      </c>
      <c r="U1112" s="8">
        <f>IF(and(ISNUMBER(P1112), isnumber(Q1112)), 1, 0) + IF(and(ISNUMBER(R1112), isnumber(S1112)), 1, 0)</f>
      </c>
      <c r="V1112" s="13"/>
      <c r="W1112" s="13"/>
      <c r="X1112" s="16"/>
    </row>
    <row x14ac:dyDescent="0.25" r="1113" customHeight="1" ht="15.75">
      <c r="A1113" s="8">
        <v>26229</v>
      </c>
      <c r="B1113" s="13" t="s">
        <v>116</v>
      </c>
      <c r="C1113" s="13" t="s">
        <v>7058</v>
      </c>
      <c r="D1113" s="10">
        <v>0.7422</v>
      </c>
      <c r="E1113" s="11">
        <v>311.9</v>
      </c>
      <c r="F1113" s="10">
        <v>0.5625</v>
      </c>
      <c r="G1113" s="11">
        <v>373.33</v>
      </c>
      <c r="H1113" s="10">
        <v>0.5078</v>
      </c>
      <c r="I1113" s="11">
        <v>476.88</v>
      </c>
      <c r="J1113" s="10">
        <v>0.5938</v>
      </c>
      <c r="K1113" s="11">
        <v>300.27</v>
      </c>
      <c r="L1113" s="10">
        <v>0.625</v>
      </c>
      <c r="M1113" s="11">
        <v>441</v>
      </c>
      <c r="N1113" s="10">
        <v>0.5313</v>
      </c>
      <c r="O1113" s="11">
        <v>475.88</v>
      </c>
      <c r="P1113" s="10">
        <v>0.7422</v>
      </c>
      <c r="Q1113" s="10">
        <v>0.2615</v>
      </c>
      <c r="R1113" s="10">
        <v>0.5938</v>
      </c>
      <c r="S1113" s="10">
        <v>0.196</v>
      </c>
      <c r="T1113" s="8">
        <f>IF(and(ISNUMBER(D1113), isnumber(E1113)), 1, 0) + IF(and(ISNUMBER(F1113), isnumber(G1113)), 1, 0) + IF(and(ISNUMBER(H1113), isnumber(I1113)), 1, 0) + IF(and(ISNUMBER(J1113), isnumber(K1113)), 1, 0) + IF(and(ISNUMBER(L1113), isnumber(M1113)), 1, 0) + IF(and(ISNUMBER(N1113), isnumber(O1113)), 1, 0)</f>
      </c>
      <c r="U1113" s="8">
        <f>IF(and(ISNUMBER(P1113), isnumber(Q1113)), 1, 0) + IF(and(ISNUMBER(R1113), isnumber(S1113)), 1, 0)</f>
      </c>
      <c r="V1113" s="13"/>
      <c r="W1113" s="13"/>
      <c r="X1113" s="16"/>
    </row>
    <row x14ac:dyDescent="0.25" r="1114" customHeight="1" ht="15.75">
      <c r="A1114" s="8">
        <v>26230</v>
      </c>
      <c r="B1114" s="13" t="s">
        <v>116</v>
      </c>
      <c r="C1114" s="13" t="s">
        <v>7060</v>
      </c>
      <c r="D1114" s="10">
        <v>0.7769</v>
      </c>
      <c r="E1114" s="11">
        <v>353.7</v>
      </c>
      <c r="F1114" s="10">
        <v>0.7311</v>
      </c>
      <c r="G1114" s="11">
        <v>429.97</v>
      </c>
      <c r="H1114" s="10">
        <v>0.6661</v>
      </c>
      <c r="I1114" s="11">
        <v>472.93</v>
      </c>
      <c r="J1114" s="10">
        <v>0.7049</v>
      </c>
      <c r="K1114" s="11">
        <v>394.49</v>
      </c>
      <c r="L1114" s="10">
        <v>0.7678</v>
      </c>
      <c r="M1114" s="11">
        <v>463.4</v>
      </c>
      <c r="N1114" s="10">
        <v>0.6678</v>
      </c>
      <c r="O1114" s="11">
        <v>451.11</v>
      </c>
      <c r="P1114" s="10">
        <v>0.7769</v>
      </c>
      <c r="Q1114" s="10">
        <v>0.2697</v>
      </c>
      <c r="R1114" s="10">
        <v>0.7049</v>
      </c>
      <c r="S1114" s="10">
        <v>0.2193</v>
      </c>
      <c r="T1114" s="8">
        <f>IF(and(ISNUMBER(D1114), isnumber(E1114)), 1, 0) + IF(and(ISNUMBER(F1114), isnumber(G1114)), 1, 0) + IF(and(ISNUMBER(H1114), isnumber(I1114)), 1, 0) + IF(and(ISNUMBER(J1114), isnumber(K1114)), 1, 0) + IF(and(ISNUMBER(L1114), isnumber(M1114)), 1, 0) + IF(and(ISNUMBER(N1114), isnumber(O1114)), 1, 0)</f>
      </c>
      <c r="U1114" s="8">
        <f>IF(and(ISNUMBER(P1114), isnumber(Q1114)), 1, 0) + IF(and(ISNUMBER(R1114), isnumber(S1114)), 1, 0)</f>
      </c>
      <c r="V1114" s="13"/>
      <c r="W1114" s="13"/>
      <c r="X1114" s="16"/>
    </row>
    <row x14ac:dyDescent="0.25" r="1115" customHeight="1" ht="15.75">
      <c r="A1115" s="8">
        <v>26209</v>
      </c>
      <c r="B1115" s="13" t="s">
        <v>116</v>
      </c>
      <c r="C1115" s="13" t="s">
        <v>7063</v>
      </c>
      <c r="D1115" s="10">
        <v>0.9941</v>
      </c>
      <c r="E1115" s="11">
        <v>305.71</v>
      </c>
      <c r="F1115" s="10">
        <v>0.9882</v>
      </c>
      <c r="G1115" s="11">
        <v>374.63</v>
      </c>
      <c r="H1115" s="10">
        <v>0.7101</v>
      </c>
      <c r="I1115" s="11">
        <v>500.34</v>
      </c>
      <c r="J1115" s="10">
        <v>0.6923</v>
      </c>
      <c r="K1115" s="11">
        <v>432.35</v>
      </c>
      <c r="L1115" s="10">
        <v>0.7219</v>
      </c>
      <c r="M1115" s="11">
        <v>466.89</v>
      </c>
      <c r="N1115" s="10">
        <v>0.6923</v>
      </c>
      <c r="O1115" s="11">
        <v>460</v>
      </c>
      <c r="P1115" s="10">
        <v>0.9941</v>
      </c>
      <c r="Q1115" s="10">
        <v>0.2317</v>
      </c>
      <c r="R1115" s="10">
        <v>0.6923</v>
      </c>
      <c r="S1115" s="10">
        <v>0.2199</v>
      </c>
      <c r="T1115" s="8">
        <f>IF(and(ISNUMBER(D1115), isnumber(E1115)), 1, 0) + IF(and(ISNUMBER(F1115), isnumber(G1115)), 1, 0) + IF(and(ISNUMBER(H1115), isnumber(I1115)), 1, 0) + IF(and(ISNUMBER(J1115), isnumber(K1115)), 1, 0) + IF(and(ISNUMBER(L1115), isnumber(M1115)), 1, 0) + IF(and(ISNUMBER(N1115), isnumber(O1115)), 1, 0)</f>
      </c>
      <c r="U1115" s="8">
        <f>IF(and(ISNUMBER(P1115), isnumber(Q1115)), 1, 0) + IF(and(ISNUMBER(R1115), isnumber(S1115)), 1, 0)</f>
      </c>
      <c r="V1115" s="13"/>
      <c r="W1115" s="13"/>
      <c r="X1115" s="16"/>
    </row>
    <row x14ac:dyDescent="0.25" r="1116" customHeight="1" ht="15.75">
      <c r="A1116" s="8">
        <v>26231</v>
      </c>
      <c r="B1116" s="13" t="s">
        <v>116</v>
      </c>
      <c r="C1116" s="13" t="s">
        <v>7065</v>
      </c>
      <c r="D1116" s="10">
        <v>0.8182</v>
      </c>
      <c r="E1116" s="11">
        <v>169.01</v>
      </c>
      <c r="F1116" s="10">
        <v>0.7273</v>
      </c>
      <c r="G1116" s="11">
        <v>349.85</v>
      </c>
      <c r="H1116" s="10">
        <v>0.5424</v>
      </c>
      <c r="I1116" s="11">
        <v>408.75</v>
      </c>
      <c r="J1116" s="10">
        <v>0.7381</v>
      </c>
      <c r="K1116" s="11">
        <v>309.82</v>
      </c>
      <c r="L1116" s="10">
        <v>0.5424</v>
      </c>
      <c r="M1116" s="11">
        <v>436.25</v>
      </c>
      <c r="N1116" s="10">
        <v>0.5932</v>
      </c>
      <c r="O1116" s="11">
        <v>414.86</v>
      </c>
      <c r="P1116" s="10">
        <v>0.8182</v>
      </c>
      <c r="Q1116" s="10">
        <v>0.2248</v>
      </c>
      <c r="R1116" s="10">
        <v>0.7381</v>
      </c>
      <c r="S1116" s="10">
        <v>0.1876</v>
      </c>
      <c r="T1116" s="8">
        <f>IF(and(ISNUMBER(D1116), isnumber(E1116)), 1, 0) + IF(and(ISNUMBER(F1116), isnumber(G1116)), 1, 0) + IF(and(ISNUMBER(H1116), isnumber(I1116)), 1, 0) + IF(and(ISNUMBER(J1116), isnumber(K1116)), 1, 0) + IF(and(ISNUMBER(L1116), isnumber(M1116)), 1, 0) + IF(and(ISNUMBER(N1116), isnumber(O1116)), 1, 0)</f>
      </c>
      <c r="U1116" s="8">
        <f>IF(and(ISNUMBER(P1116), isnumber(Q1116)), 1, 0) + IF(and(ISNUMBER(R1116), isnumber(S1116)), 1, 0)</f>
      </c>
      <c r="V1116" s="13"/>
      <c r="W1116" s="13"/>
      <c r="X1116" s="16"/>
    </row>
    <row x14ac:dyDescent="0.25" r="1117" customHeight="1" ht="15.75">
      <c r="A1117" s="8">
        <v>26160</v>
      </c>
      <c r="B1117" s="13" t="s">
        <v>116</v>
      </c>
      <c r="C1117" s="13" t="s">
        <v>7067</v>
      </c>
      <c r="D1117" s="10">
        <v>0.8462</v>
      </c>
      <c r="E1117" s="11">
        <v>200.09</v>
      </c>
      <c r="F1117" s="10">
        <v>0.6455</v>
      </c>
      <c r="G1117" s="11">
        <v>385.93</v>
      </c>
      <c r="H1117" s="10">
        <v>0.4706</v>
      </c>
      <c r="I1117" s="11" t="s">
        <v>7127</v>
      </c>
      <c r="J1117" s="10">
        <v>0.2095</v>
      </c>
      <c r="K1117" s="11">
        <v>304.84</v>
      </c>
      <c r="L1117" s="10">
        <v>0.582</v>
      </c>
      <c r="M1117" s="11">
        <v>325.53</v>
      </c>
      <c r="N1117" s="10">
        <v>0.5759</v>
      </c>
      <c r="O1117" s="11">
        <v>374.4</v>
      </c>
      <c r="P1117" s="10">
        <v>0.8462</v>
      </c>
      <c r="Q1117" s="10">
        <v>0.1753</v>
      </c>
      <c r="R1117" s="10">
        <v>0.2095</v>
      </c>
      <c r="S1117" s="10">
        <v>0.2071</v>
      </c>
      <c r="T1117" s="8">
        <f>IF(and(ISNUMBER(D1117), isnumber(E1117)), 1, 0) + IF(and(ISNUMBER(F1117), isnumber(G1117)), 1, 0) + IF(and(ISNUMBER(H1117), isnumber(I1117)), 1, 0) + IF(and(ISNUMBER(J1117), isnumber(K1117)), 1, 0) + IF(and(ISNUMBER(L1117), isnumber(M1117)), 1, 0) + IF(and(ISNUMBER(N1117), isnumber(O1117)), 1, 0)</f>
      </c>
      <c r="U1117" s="8">
        <f>IF(and(ISNUMBER(P1117), isnumber(Q1117)), 1, 0) + IF(and(ISNUMBER(R1117), isnumber(S1117)), 1, 0)</f>
      </c>
      <c r="V1117" s="13"/>
      <c r="W1117" s="13"/>
      <c r="X1117" s="16"/>
    </row>
    <row x14ac:dyDescent="0.25" r="1118" customHeight="1" ht="15.75">
      <c r="A1118" s="8">
        <v>26206</v>
      </c>
      <c r="B1118" s="13" t="s">
        <v>116</v>
      </c>
      <c r="C1118" s="13" t="s">
        <v>7069</v>
      </c>
      <c r="D1118" s="10">
        <v>0.6579</v>
      </c>
      <c r="E1118" s="11">
        <v>199.54</v>
      </c>
      <c r="F1118" s="10">
        <v>0.5789</v>
      </c>
      <c r="G1118" s="11">
        <v>407.49</v>
      </c>
      <c r="H1118" s="10">
        <v>0.4024</v>
      </c>
      <c r="I1118" s="11">
        <v>428.94</v>
      </c>
      <c r="J1118" s="10">
        <v>0.5338</v>
      </c>
      <c r="K1118" s="11">
        <v>394.31</v>
      </c>
      <c r="L1118" s="10">
        <v>0.4268</v>
      </c>
      <c r="M1118" s="11" t="s">
        <v>7127</v>
      </c>
      <c r="N1118" s="10">
        <v>0.4146</v>
      </c>
      <c r="O1118" s="11">
        <v>489</v>
      </c>
      <c r="P1118" s="10">
        <v>0.6579</v>
      </c>
      <c r="Q1118" s="10">
        <v>0.2469</v>
      </c>
      <c r="R1118" s="10">
        <v>0.5338</v>
      </c>
      <c r="S1118" s="10">
        <v>0.2032</v>
      </c>
      <c r="T1118" s="8">
        <f>IF(and(ISNUMBER(D1118), isnumber(E1118)), 1, 0) + IF(and(ISNUMBER(F1118), isnumber(G1118)), 1, 0) + IF(and(ISNUMBER(H1118), isnumber(I1118)), 1, 0) + IF(and(ISNUMBER(J1118), isnumber(K1118)), 1, 0) + IF(and(ISNUMBER(L1118), isnumber(M1118)), 1, 0) + IF(and(ISNUMBER(N1118), isnumber(O1118)), 1, 0)</f>
      </c>
      <c r="U1118" s="8">
        <f>IF(and(ISNUMBER(P1118), isnumber(Q1118)), 1, 0) + IF(and(ISNUMBER(R1118), isnumber(S1118)), 1, 0)</f>
      </c>
      <c r="V1118" s="13"/>
      <c r="W1118" s="13"/>
      <c r="X1118" s="16"/>
    </row>
    <row x14ac:dyDescent="0.25" r="1119" customHeight="1" ht="15.75">
      <c r="A1119" s="8">
        <v>26232</v>
      </c>
      <c r="B1119" s="13" t="s">
        <v>116</v>
      </c>
      <c r="C1119" s="13" t="s">
        <v>7072</v>
      </c>
      <c r="D1119" s="10">
        <v>0.9512</v>
      </c>
      <c r="E1119" s="11">
        <v>635.9</v>
      </c>
      <c r="F1119" s="10">
        <v>0.9024</v>
      </c>
      <c r="G1119" s="11">
        <v>596.76</v>
      </c>
      <c r="H1119" s="10">
        <v>0.8537</v>
      </c>
      <c r="I1119" s="11">
        <v>672</v>
      </c>
      <c r="J1119" s="10">
        <v>0.9512</v>
      </c>
      <c r="K1119" s="11">
        <v>680</v>
      </c>
      <c r="L1119" s="10">
        <v>0.9512</v>
      </c>
      <c r="M1119" s="11">
        <v>693.33</v>
      </c>
      <c r="N1119" s="10">
        <v>0.8049</v>
      </c>
      <c r="O1119" s="11">
        <v>699.39</v>
      </c>
      <c r="P1119" s="10">
        <v>0.9512</v>
      </c>
      <c r="Q1119" s="10">
        <v>0.4069</v>
      </c>
      <c r="R1119" s="10">
        <v>0.9512</v>
      </c>
      <c r="S1119" s="10">
        <v>0.3427</v>
      </c>
      <c r="T1119" s="8">
        <f>IF(and(ISNUMBER(D1119), isnumber(E1119)), 1, 0) + IF(and(ISNUMBER(F1119), isnumber(G1119)), 1, 0) + IF(and(ISNUMBER(H1119), isnumber(I1119)), 1, 0) + IF(and(ISNUMBER(J1119), isnumber(K1119)), 1, 0) + IF(and(ISNUMBER(L1119), isnumber(M1119)), 1, 0) + IF(and(ISNUMBER(N1119), isnumber(O1119)), 1, 0)</f>
      </c>
      <c r="U1119" s="8">
        <f>IF(and(ISNUMBER(P1119), isnumber(Q1119)), 1, 0) + IF(and(ISNUMBER(R1119), isnumber(S1119)), 1, 0)</f>
      </c>
      <c r="V1119" s="13"/>
      <c r="W1119" s="13"/>
      <c r="X1119" s="16"/>
    </row>
    <row x14ac:dyDescent="0.25" r="1120" customHeight="1" ht="15.75">
      <c r="A1120" s="8">
        <v>26233</v>
      </c>
      <c r="B1120" s="13" t="s">
        <v>116</v>
      </c>
      <c r="C1120" s="13" t="s">
        <v>7075</v>
      </c>
      <c r="D1120" s="10">
        <v>0.9778</v>
      </c>
      <c r="E1120" s="11">
        <v>272.82</v>
      </c>
      <c r="F1120" s="10">
        <v>0.6222</v>
      </c>
      <c r="G1120" s="11">
        <v>395.71</v>
      </c>
      <c r="H1120" s="10">
        <v>0.8222</v>
      </c>
      <c r="I1120" s="11">
        <v>456.67</v>
      </c>
      <c r="J1120" s="10">
        <v>0.7111</v>
      </c>
      <c r="K1120" s="11">
        <v>366.25</v>
      </c>
      <c r="L1120" s="10">
        <v>0.8444</v>
      </c>
      <c r="M1120" s="11">
        <v>418.95</v>
      </c>
      <c r="N1120" s="10">
        <v>0.7778</v>
      </c>
      <c r="O1120" s="11">
        <v>480</v>
      </c>
      <c r="P1120" s="10">
        <v>0.9778</v>
      </c>
      <c r="Q1120" s="10">
        <v>0.2193</v>
      </c>
      <c r="R1120" s="10">
        <v>0.7111</v>
      </c>
      <c r="S1120" s="10">
        <v>0.2214</v>
      </c>
      <c r="T1120" s="8">
        <f>IF(and(ISNUMBER(D1120), isnumber(E1120)), 1, 0) + IF(and(ISNUMBER(F1120), isnumber(G1120)), 1, 0) + IF(and(ISNUMBER(H1120), isnumber(I1120)), 1, 0) + IF(and(ISNUMBER(J1120), isnumber(K1120)), 1, 0) + IF(and(ISNUMBER(L1120), isnumber(M1120)), 1, 0) + IF(and(ISNUMBER(N1120), isnumber(O1120)), 1, 0)</f>
      </c>
      <c r="U1120" s="8">
        <f>IF(and(ISNUMBER(P1120), isnumber(Q1120)), 1, 0) + IF(and(ISNUMBER(R1120), isnumber(S1120)), 1, 0)</f>
      </c>
      <c r="V1120" s="13"/>
      <c r="W1120" s="13"/>
      <c r="X1120" s="16"/>
    </row>
    <row x14ac:dyDescent="0.25" r="1121" customHeight="1" ht="15.75">
      <c r="A1121" s="8">
        <v>26176</v>
      </c>
      <c r="B1121" s="13" t="s">
        <v>116</v>
      </c>
      <c r="C1121" s="13" t="s">
        <v>7077</v>
      </c>
      <c r="D1121" s="10">
        <v>0.9333</v>
      </c>
      <c r="E1121" s="11">
        <v>262.86</v>
      </c>
      <c r="F1121" s="10">
        <v>0.8222</v>
      </c>
      <c r="G1121" s="11">
        <v>444.33</v>
      </c>
      <c r="H1121" s="10">
        <v>0.55</v>
      </c>
      <c r="I1121" s="11">
        <v>506.66</v>
      </c>
      <c r="J1121" s="10">
        <v>0.7333</v>
      </c>
      <c r="K1121" s="11">
        <v>415.76</v>
      </c>
      <c r="L1121" s="10">
        <v>0.5</v>
      </c>
      <c r="M1121" s="11">
        <v>468</v>
      </c>
      <c r="N1121" s="10">
        <v>0.6</v>
      </c>
      <c r="O1121" s="11">
        <v>456.67</v>
      </c>
      <c r="P1121" s="10">
        <v>0.9333</v>
      </c>
      <c r="Q1121" s="10">
        <v>0.1869</v>
      </c>
      <c r="R1121" s="10">
        <v>0.7333</v>
      </c>
      <c r="S1121" s="10">
        <v>0.2153</v>
      </c>
      <c r="T1121" s="8">
        <f>IF(and(ISNUMBER(D1121), isnumber(E1121)), 1, 0) + IF(and(ISNUMBER(F1121), isnumber(G1121)), 1, 0) + IF(and(ISNUMBER(H1121), isnumber(I1121)), 1, 0) + IF(and(ISNUMBER(J1121), isnumber(K1121)), 1, 0) + IF(and(ISNUMBER(L1121), isnumber(M1121)), 1, 0) + IF(and(ISNUMBER(N1121), isnumber(O1121)), 1, 0)</f>
      </c>
      <c r="U1121" s="8">
        <f>IF(and(ISNUMBER(P1121), isnumber(Q1121)), 1, 0) + IF(and(ISNUMBER(R1121), isnumber(S1121)), 1, 0)</f>
      </c>
      <c r="V1121" s="13"/>
      <c r="W1121" s="13"/>
      <c r="X1121" s="16"/>
    </row>
    <row x14ac:dyDescent="0.25" r="1122" customHeight="1" ht="15.75">
      <c r="A1122" s="8">
        <v>26177</v>
      </c>
      <c r="B1122" s="13" t="s">
        <v>116</v>
      </c>
      <c r="C1122" s="13" t="s">
        <v>7079</v>
      </c>
      <c r="D1122" s="10">
        <v>0.7797</v>
      </c>
      <c r="E1122" s="11">
        <v>373.36</v>
      </c>
      <c r="F1122" s="10">
        <v>0.6441</v>
      </c>
      <c r="G1122" s="11">
        <v>515.79</v>
      </c>
      <c r="H1122" s="10">
        <v>0.5278</v>
      </c>
      <c r="I1122" s="11">
        <v>516.85</v>
      </c>
      <c r="J1122" s="10">
        <v>0.8246</v>
      </c>
      <c r="K1122" s="11">
        <v>459.71</v>
      </c>
      <c r="L1122" s="10">
        <v>0.5833</v>
      </c>
      <c r="M1122" s="11">
        <v>504.77</v>
      </c>
      <c r="N1122" s="10">
        <v>0.6528</v>
      </c>
      <c r="O1122" s="11">
        <v>530.21</v>
      </c>
      <c r="P1122" s="10">
        <v>0.7797</v>
      </c>
      <c r="Q1122" s="10">
        <v>0.2969</v>
      </c>
      <c r="R1122" s="10">
        <v>0.8246</v>
      </c>
      <c r="S1122" s="10">
        <v>0.23</v>
      </c>
      <c r="T1122" s="8">
        <f>IF(and(ISNUMBER(D1122), isnumber(E1122)), 1, 0) + IF(and(ISNUMBER(F1122), isnumber(G1122)), 1, 0) + IF(and(ISNUMBER(H1122), isnumber(I1122)), 1, 0) + IF(and(ISNUMBER(J1122), isnumber(K1122)), 1, 0) + IF(and(ISNUMBER(L1122), isnumber(M1122)), 1, 0) + IF(and(ISNUMBER(N1122), isnumber(O1122)), 1, 0)</f>
      </c>
      <c r="U1122" s="8">
        <f>IF(and(ISNUMBER(P1122), isnumber(Q1122)), 1, 0) + IF(and(ISNUMBER(R1122), isnumber(S1122)), 1, 0)</f>
      </c>
      <c r="V1122" s="13"/>
      <c r="W1122" s="13"/>
      <c r="X1122" s="16"/>
    </row>
    <row x14ac:dyDescent="0.25" r="1123" customHeight="1" ht="15.75">
      <c r="A1123" s="8">
        <v>26179</v>
      </c>
      <c r="B1123" s="13" t="s">
        <v>116</v>
      </c>
      <c r="C1123" s="13" t="s">
        <v>7082</v>
      </c>
      <c r="D1123" s="10">
        <v>0.7333</v>
      </c>
      <c r="E1123" s="11">
        <v>234.81</v>
      </c>
      <c r="F1123" s="10">
        <v>0.6944</v>
      </c>
      <c r="G1123" s="11">
        <v>396.21</v>
      </c>
      <c r="H1123" s="10">
        <v>0.6508</v>
      </c>
      <c r="I1123" s="11">
        <v>426.06</v>
      </c>
      <c r="J1123" s="10">
        <v>0.6846</v>
      </c>
      <c r="K1123" s="11">
        <v>385.25</v>
      </c>
      <c r="L1123" s="10">
        <v>0.6432</v>
      </c>
      <c r="M1123" s="11">
        <v>418.1</v>
      </c>
      <c r="N1123" s="10">
        <v>0.5879</v>
      </c>
      <c r="O1123" s="11">
        <v>429.99</v>
      </c>
      <c r="P1123" s="10">
        <v>0.7333</v>
      </c>
      <c r="Q1123" s="10">
        <v>0.2576</v>
      </c>
      <c r="R1123" s="10">
        <v>0.6846</v>
      </c>
      <c r="S1123" s="10">
        <v>0.2051</v>
      </c>
      <c r="T1123" s="8">
        <f>IF(and(ISNUMBER(D1123), isnumber(E1123)), 1, 0) + IF(and(ISNUMBER(F1123), isnumber(G1123)), 1, 0) + IF(and(ISNUMBER(H1123), isnumber(I1123)), 1, 0) + IF(and(ISNUMBER(J1123), isnumber(K1123)), 1, 0) + IF(and(ISNUMBER(L1123), isnumber(M1123)), 1, 0) + IF(and(ISNUMBER(N1123), isnumber(O1123)), 1, 0)</f>
      </c>
      <c r="U1123" s="8">
        <f>IF(and(ISNUMBER(P1123), isnumber(Q1123)), 1, 0) + IF(and(ISNUMBER(R1123), isnumber(S1123)), 1, 0)</f>
      </c>
      <c r="V1123" s="13"/>
      <c r="W1123" s="13"/>
      <c r="X1123" s="16"/>
    </row>
    <row x14ac:dyDescent="0.25" r="1124" customHeight="1" ht="15.75">
      <c r="A1124" s="8">
        <v>26178</v>
      </c>
      <c r="B1124" s="13" t="s">
        <v>116</v>
      </c>
      <c r="C1124" s="13" t="s">
        <v>7084</v>
      </c>
      <c r="D1124" s="10">
        <v>0.9663</v>
      </c>
      <c r="E1124" s="11">
        <v>224.29</v>
      </c>
      <c r="F1124" s="10">
        <v>0.9625</v>
      </c>
      <c r="G1124" s="11">
        <v>341.13</v>
      </c>
      <c r="H1124" s="10">
        <v>0.7234</v>
      </c>
      <c r="I1124" s="11">
        <v>478.43</v>
      </c>
      <c r="J1124" s="10">
        <v>0.6457</v>
      </c>
      <c r="K1124" s="11">
        <v>404.33</v>
      </c>
      <c r="L1124" s="10">
        <v>0.8191</v>
      </c>
      <c r="M1124" s="11">
        <v>456.26</v>
      </c>
      <c r="N1124" s="10">
        <v>0.8191</v>
      </c>
      <c r="O1124" s="11">
        <v>491.12</v>
      </c>
      <c r="P1124" s="10">
        <v>0.9663</v>
      </c>
      <c r="Q1124" s="10">
        <v>0.2125</v>
      </c>
      <c r="R1124" s="10">
        <v>0.6457</v>
      </c>
      <c r="S1124" s="10">
        <v>0.2088</v>
      </c>
      <c r="T1124" s="8">
        <f>IF(and(ISNUMBER(D1124), isnumber(E1124)), 1, 0) + IF(and(ISNUMBER(F1124), isnumber(G1124)), 1, 0) + IF(and(ISNUMBER(H1124), isnumber(I1124)), 1, 0) + IF(and(ISNUMBER(J1124), isnumber(K1124)), 1, 0) + IF(and(ISNUMBER(L1124), isnumber(M1124)), 1, 0) + IF(and(ISNUMBER(N1124), isnumber(O1124)), 1, 0)</f>
      </c>
      <c r="U1124" s="8">
        <f>IF(and(ISNUMBER(P1124), isnumber(Q1124)), 1, 0) + IF(and(ISNUMBER(R1124), isnumber(S1124)), 1, 0)</f>
      </c>
      <c r="V1124" s="13"/>
      <c r="W1124" s="13"/>
      <c r="X1124" s="16"/>
    </row>
    <row x14ac:dyDescent="0.25" r="1125" customHeight="1" ht="15.75">
      <c r="A1125" s="8">
        <v>26161</v>
      </c>
      <c r="B1125" s="13" t="s">
        <v>116</v>
      </c>
      <c r="C1125" s="13" t="s">
        <v>7087</v>
      </c>
      <c r="D1125" s="10">
        <v>0.6473</v>
      </c>
      <c r="E1125" s="11">
        <v>263.65</v>
      </c>
      <c r="F1125" s="10">
        <v>0.5514</v>
      </c>
      <c r="G1125" s="11">
        <v>408.33</v>
      </c>
      <c r="H1125" s="10">
        <v>0.4969</v>
      </c>
      <c r="I1125" s="11">
        <v>436.1</v>
      </c>
      <c r="J1125" s="10">
        <v>0.5567</v>
      </c>
      <c r="K1125" s="11">
        <v>323.29</v>
      </c>
      <c r="L1125" s="10">
        <v>0.5497</v>
      </c>
      <c r="M1125" s="11">
        <v>422.15</v>
      </c>
      <c r="N1125" s="10">
        <v>0.4627</v>
      </c>
      <c r="O1125" s="11">
        <v>399.04</v>
      </c>
      <c r="P1125" s="10">
        <v>0.6473</v>
      </c>
      <c r="Q1125" s="10">
        <v>0.2447</v>
      </c>
      <c r="R1125" s="10">
        <v>0.5567</v>
      </c>
      <c r="S1125" s="10">
        <v>0.2009</v>
      </c>
      <c r="T1125" s="8">
        <f>IF(and(ISNUMBER(D1125), isnumber(E1125)), 1, 0) + IF(and(ISNUMBER(F1125), isnumber(G1125)), 1, 0) + IF(and(ISNUMBER(H1125), isnumber(I1125)), 1, 0) + IF(and(ISNUMBER(J1125), isnumber(K1125)), 1, 0) + IF(and(ISNUMBER(L1125), isnumber(M1125)), 1, 0) + IF(and(ISNUMBER(N1125), isnumber(O1125)), 1, 0)</f>
      </c>
      <c r="U1125" s="8">
        <f>IF(and(ISNUMBER(P1125), isnumber(Q1125)), 1, 0) + IF(and(ISNUMBER(R1125), isnumber(S1125)), 1, 0)</f>
      </c>
      <c r="V1125" s="13"/>
      <c r="W1125" s="13"/>
      <c r="X1125" s="16"/>
    </row>
    <row x14ac:dyDescent="0.25" r="1126" customHeight="1" ht="15.75">
      <c r="A1126" s="8">
        <v>26187</v>
      </c>
      <c r="B1126" s="13" t="s">
        <v>116</v>
      </c>
      <c r="C1126" s="13" t="s">
        <v>7089</v>
      </c>
      <c r="D1126" s="10">
        <v>0.8844</v>
      </c>
      <c r="E1126" s="11">
        <v>303.55</v>
      </c>
      <c r="F1126" s="10">
        <v>0.8356</v>
      </c>
      <c r="G1126" s="11">
        <v>437.45</v>
      </c>
      <c r="H1126" s="10">
        <v>0.8089</v>
      </c>
      <c r="I1126" s="11">
        <v>498.12</v>
      </c>
      <c r="J1126" s="10">
        <v>0.8622</v>
      </c>
      <c r="K1126" s="11">
        <v>389.02</v>
      </c>
      <c r="L1126" s="10">
        <v>0.7867</v>
      </c>
      <c r="M1126" s="11">
        <v>508.86</v>
      </c>
      <c r="N1126" s="10">
        <v>0.7822</v>
      </c>
      <c r="O1126" s="11">
        <v>500.45</v>
      </c>
      <c r="P1126" s="10">
        <v>0.8844</v>
      </c>
      <c r="Q1126" s="10">
        <v>0.2782</v>
      </c>
      <c r="R1126" s="10">
        <v>0.8622</v>
      </c>
      <c r="S1126" s="10">
        <v>0.2119</v>
      </c>
      <c r="T1126" s="8">
        <f>IF(and(ISNUMBER(D1126), isnumber(E1126)), 1, 0) + IF(and(ISNUMBER(F1126), isnumber(G1126)), 1, 0) + IF(and(ISNUMBER(H1126), isnumber(I1126)), 1, 0) + IF(and(ISNUMBER(J1126), isnumber(K1126)), 1, 0) + IF(and(ISNUMBER(L1126), isnumber(M1126)), 1, 0) + IF(and(ISNUMBER(N1126), isnumber(O1126)), 1, 0)</f>
      </c>
      <c r="U1126" s="8">
        <f>IF(and(ISNUMBER(P1126), isnumber(Q1126)), 1, 0) + IF(and(ISNUMBER(R1126), isnumber(S1126)), 1, 0)</f>
      </c>
      <c r="V1126" s="13"/>
      <c r="W1126" s="13"/>
      <c r="X1126" s="16"/>
    </row>
    <row x14ac:dyDescent="0.25" r="1127" customHeight="1" ht="15.75">
      <c r="A1127" s="8">
        <v>26235</v>
      </c>
      <c r="B1127" s="13" t="s">
        <v>116</v>
      </c>
      <c r="C1127" s="13" t="s">
        <v>7092</v>
      </c>
      <c r="D1127" s="10">
        <v>0.9894</v>
      </c>
      <c r="E1127" s="11">
        <v>293.67</v>
      </c>
      <c r="F1127" s="10">
        <v>0.9469</v>
      </c>
      <c r="G1127" s="11">
        <v>297.47</v>
      </c>
      <c r="H1127" s="10">
        <v>0.6769</v>
      </c>
      <c r="I1127" s="11">
        <v>452.51</v>
      </c>
      <c r="J1127" s="10">
        <v>0.98</v>
      </c>
      <c r="K1127" s="11">
        <v>104.21</v>
      </c>
      <c r="L1127" s="10">
        <v>0.9858</v>
      </c>
      <c r="M1127" s="11">
        <v>321.2</v>
      </c>
      <c r="N1127" s="10">
        <v>0.9823</v>
      </c>
      <c r="O1127" s="11">
        <v>305.48</v>
      </c>
      <c r="P1127" s="10">
        <v>0.9894</v>
      </c>
      <c r="Q1127" s="10">
        <v>0.1994</v>
      </c>
      <c r="R1127" s="10">
        <v>0.98</v>
      </c>
      <c r="S1127" s="10">
        <v>0.0325</v>
      </c>
      <c r="T1127" s="8">
        <f>IF(and(ISNUMBER(D1127), isnumber(E1127)), 1, 0) + IF(and(ISNUMBER(F1127), isnumber(G1127)), 1, 0) + IF(and(ISNUMBER(H1127), isnumber(I1127)), 1, 0) + IF(and(ISNUMBER(J1127), isnumber(K1127)), 1, 0) + IF(and(ISNUMBER(L1127), isnumber(M1127)), 1, 0) + IF(and(ISNUMBER(N1127), isnumber(O1127)), 1, 0)</f>
      </c>
      <c r="U1127" s="8">
        <f>IF(and(ISNUMBER(P1127), isnumber(Q1127)), 1, 0) + IF(and(ISNUMBER(R1127), isnumber(S1127)), 1, 0)</f>
      </c>
      <c r="V1127" s="13"/>
      <c r="W1127" s="13"/>
      <c r="X1127" s="16"/>
    </row>
    <row x14ac:dyDescent="0.25" r="1128" customHeight="1" ht="15.75">
      <c r="A1128" s="8">
        <v>25343</v>
      </c>
      <c r="B1128" s="13" t="s">
        <v>38</v>
      </c>
      <c r="C1128" s="13" t="s">
        <v>14492</v>
      </c>
      <c r="D1128" s="10" t="s">
        <v>7127</v>
      </c>
      <c r="E1128" s="11" t="s">
        <v>7127</v>
      </c>
      <c r="F1128" s="10" t="s">
        <v>7127</v>
      </c>
      <c r="G1128" s="11" t="s">
        <v>7127</v>
      </c>
      <c r="H1128" s="10">
        <v>0</v>
      </c>
      <c r="I1128" s="11" t="s">
        <v>7127</v>
      </c>
      <c r="J1128" s="10" t="s">
        <v>7127</v>
      </c>
      <c r="K1128" s="11" t="s">
        <v>7127</v>
      </c>
      <c r="L1128" s="10">
        <v>0</v>
      </c>
      <c r="M1128" s="11" t="s">
        <v>7127</v>
      </c>
      <c r="N1128" s="10">
        <v>0.0185</v>
      </c>
      <c r="O1128" s="11">
        <v>160</v>
      </c>
      <c r="P1128" s="10" t="s">
        <v>7127</v>
      </c>
      <c r="Q1128" s="10" t="s">
        <v>7127</v>
      </c>
      <c r="R1128" s="10" t="s">
        <v>7127</v>
      </c>
      <c r="S1128" s="10" t="s">
        <v>7127</v>
      </c>
      <c r="T1128" s="8">
        <f>IF(and(ISNUMBER(D1128), isnumber(E1128)), 1, 0) + IF(and(ISNUMBER(F1128), isnumber(G1128)), 1, 0) + IF(and(ISNUMBER(H1128), isnumber(I1128)), 1, 0) + IF(and(ISNUMBER(J1128), isnumber(K1128)), 1, 0) + IF(and(ISNUMBER(L1128), isnumber(M1128)), 1, 0) + IF(and(ISNUMBER(N1128), isnumber(O1128)), 1, 0)</f>
      </c>
      <c r="U1128" s="8">
        <f>IF(and(ISNUMBER(P1128), isnumber(Q1128)), 1, 0) + IF(and(ISNUMBER(R1128), isnumber(S1128)), 1, 0)</f>
      </c>
      <c r="V1128" s="13"/>
      <c r="W1128" s="13"/>
      <c r="X1128" s="16"/>
    </row>
    <row x14ac:dyDescent="0.25" r="1129" customHeight="1" ht="15.75">
      <c r="A1129" s="8">
        <v>25344</v>
      </c>
      <c r="B1129" s="13" t="s">
        <v>38</v>
      </c>
      <c r="C1129" s="13" t="s">
        <v>14493</v>
      </c>
      <c r="D1129" s="10" t="s">
        <v>7127</v>
      </c>
      <c r="E1129" s="11" t="s">
        <v>7127</v>
      </c>
      <c r="F1129" s="10" t="s">
        <v>7127</v>
      </c>
      <c r="G1129" s="11" t="s">
        <v>7127</v>
      </c>
      <c r="H1129" s="10">
        <v>0</v>
      </c>
      <c r="I1129" s="11" t="s">
        <v>7127</v>
      </c>
      <c r="J1129" s="10" t="s">
        <v>7127</v>
      </c>
      <c r="K1129" s="11" t="s">
        <v>7127</v>
      </c>
      <c r="L1129" s="10">
        <v>0</v>
      </c>
      <c r="M1129" s="11" t="s">
        <v>7127</v>
      </c>
      <c r="N1129" s="10">
        <v>0</v>
      </c>
      <c r="O1129" s="11" t="s">
        <v>7127</v>
      </c>
      <c r="P1129" s="10" t="s">
        <v>7127</v>
      </c>
      <c r="Q1129" s="10" t="s">
        <v>7127</v>
      </c>
      <c r="R1129" s="10" t="s">
        <v>7127</v>
      </c>
      <c r="S1129" s="10" t="s">
        <v>7127</v>
      </c>
      <c r="T1129" s="8">
        <f>IF(and(ISNUMBER(D1129), isnumber(E1129)), 1, 0) + IF(and(ISNUMBER(F1129), isnumber(G1129)), 1, 0) + IF(and(ISNUMBER(H1129), isnumber(I1129)), 1, 0) + IF(and(ISNUMBER(J1129), isnumber(K1129)), 1, 0) + IF(and(ISNUMBER(L1129), isnumber(M1129)), 1, 0) + IF(and(ISNUMBER(N1129), isnumber(O1129)), 1, 0)</f>
      </c>
      <c r="U1129" s="8">
        <f>IF(and(ISNUMBER(P1129), isnumber(Q1129)), 1, 0) + IF(and(ISNUMBER(R1129), isnumber(S1129)), 1, 0)</f>
      </c>
      <c r="V1129" s="13"/>
      <c r="W1129" s="13"/>
      <c r="X1129" s="16"/>
    </row>
    <row x14ac:dyDescent="0.25" r="1130" customHeight="1" ht="15.75">
      <c r="A1130" s="8">
        <v>25345</v>
      </c>
      <c r="B1130" s="13" t="s">
        <v>38</v>
      </c>
      <c r="C1130" s="13" t="s">
        <v>14494</v>
      </c>
      <c r="D1130" s="10" t="s">
        <v>7127</v>
      </c>
      <c r="E1130" s="11" t="s">
        <v>7127</v>
      </c>
      <c r="F1130" s="10" t="s">
        <v>7127</v>
      </c>
      <c r="G1130" s="11" t="s">
        <v>7127</v>
      </c>
      <c r="H1130" s="10">
        <v>0</v>
      </c>
      <c r="I1130" s="11" t="s">
        <v>7127</v>
      </c>
      <c r="J1130" s="10" t="s">
        <v>7127</v>
      </c>
      <c r="K1130" s="11" t="s">
        <v>7127</v>
      </c>
      <c r="L1130" s="10">
        <v>0</v>
      </c>
      <c r="M1130" s="11" t="s">
        <v>7127</v>
      </c>
      <c r="N1130" s="10">
        <v>0</v>
      </c>
      <c r="O1130" s="11" t="s">
        <v>7127</v>
      </c>
      <c r="P1130" s="10" t="s">
        <v>7127</v>
      </c>
      <c r="Q1130" s="10" t="s">
        <v>7127</v>
      </c>
      <c r="R1130" s="10" t="s">
        <v>7127</v>
      </c>
      <c r="S1130" s="10" t="s">
        <v>7127</v>
      </c>
      <c r="T1130" s="8">
        <f>IF(and(ISNUMBER(D1130), isnumber(E1130)), 1, 0) + IF(and(ISNUMBER(F1130), isnumber(G1130)), 1, 0) + IF(and(ISNUMBER(H1130), isnumber(I1130)), 1, 0) + IF(and(ISNUMBER(J1130), isnumber(K1130)), 1, 0) + IF(and(ISNUMBER(L1130), isnumber(M1130)), 1, 0) + IF(and(ISNUMBER(N1130), isnumber(O1130)), 1, 0)</f>
      </c>
      <c r="U1130" s="8">
        <f>IF(and(ISNUMBER(P1130), isnumber(Q1130)), 1, 0) + IF(and(ISNUMBER(R1130), isnumber(S1130)), 1, 0)</f>
      </c>
      <c r="V1130" s="13"/>
      <c r="W1130" s="13"/>
      <c r="X1130" s="16"/>
    </row>
    <row x14ac:dyDescent="0.25" r="1131" customHeight="1" ht="15.75">
      <c r="A1131" s="8">
        <v>25346</v>
      </c>
      <c r="B1131" s="13" t="s">
        <v>38</v>
      </c>
      <c r="C1131" s="13" t="s">
        <v>14495</v>
      </c>
      <c r="D1131" s="10" t="s">
        <v>7127</v>
      </c>
      <c r="E1131" s="11" t="s">
        <v>7127</v>
      </c>
      <c r="F1131" s="10" t="s">
        <v>7127</v>
      </c>
      <c r="G1131" s="11" t="s">
        <v>7127</v>
      </c>
      <c r="H1131" s="10">
        <v>0</v>
      </c>
      <c r="I1131" s="11" t="s">
        <v>7127</v>
      </c>
      <c r="J1131" s="10" t="s">
        <v>7127</v>
      </c>
      <c r="K1131" s="11" t="s">
        <v>7127</v>
      </c>
      <c r="L1131" s="10">
        <v>0</v>
      </c>
      <c r="M1131" s="11" t="s">
        <v>7127</v>
      </c>
      <c r="N1131" s="10">
        <v>0</v>
      </c>
      <c r="O1131" s="11" t="s">
        <v>7127</v>
      </c>
      <c r="P1131" s="10" t="s">
        <v>7127</v>
      </c>
      <c r="Q1131" s="10" t="s">
        <v>7127</v>
      </c>
      <c r="R1131" s="10" t="s">
        <v>7127</v>
      </c>
      <c r="S1131" s="10" t="s">
        <v>7127</v>
      </c>
      <c r="T1131" s="8">
        <f>IF(and(ISNUMBER(D1131), isnumber(E1131)), 1, 0) + IF(and(ISNUMBER(F1131), isnumber(G1131)), 1, 0) + IF(and(ISNUMBER(H1131), isnumber(I1131)), 1, 0) + IF(and(ISNUMBER(J1131), isnumber(K1131)), 1, 0) + IF(and(ISNUMBER(L1131), isnumber(M1131)), 1, 0) + IF(and(ISNUMBER(N1131), isnumber(O1131)), 1, 0)</f>
      </c>
      <c r="U1131" s="8">
        <f>IF(and(ISNUMBER(P1131), isnumber(Q1131)), 1, 0) + IF(and(ISNUMBER(R1131), isnumber(S1131)), 1, 0)</f>
      </c>
      <c r="V1131" s="13"/>
      <c r="W1131" s="13"/>
      <c r="X1131" s="16"/>
    </row>
    <row x14ac:dyDescent="0.25" r="1132" customHeight="1" ht="15.75">
      <c r="A1132" s="8">
        <v>25341</v>
      </c>
      <c r="B1132" s="13" t="s">
        <v>38</v>
      </c>
      <c r="C1132" s="13" t="s">
        <v>14496</v>
      </c>
      <c r="D1132" s="10" t="s">
        <v>7127</v>
      </c>
      <c r="E1132" s="11" t="s">
        <v>7127</v>
      </c>
      <c r="F1132" s="10" t="s">
        <v>7127</v>
      </c>
      <c r="G1132" s="11" t="s">
        <v>7127</v>
      </c>
      <c r="H1132" s="10">
        <v>0</v>
      </c>
      <c r="I1132" s="11" t="s">
        <v>7127</v>
      </c>
      <c r="J1132" s="10" t="s">
        <v>7127</v>
      </c>
      <c r="K1132" s="11" t="s">
        <v>7127</v>
      </c>
      <c r="L1132" s="10">
        <v>0</v>
      </c>
      <c r="M1132" s="11" t="s">
        <v>7127</v>
      </c>
      <c r="N1132" s="10">
        <v>0</v>
      </c>
      <c r="O1132" s="11" t="s">
        <v>7127</v>
      </c>
      <c r="P1132" s="10" t="s">
        <v>7127</v>
      </c>
      <c r="Q1132" s="10" t="s">
        <v>7127</v>
      </c>
      <c r="R1132" s="10" t="s">
        <v>7127</v>
      </c>
      <c r="S1132" s="10" t="s">
        <v>7127</v>
      </c>
      <c r="T1132" s="8">
        <f>IF(and(ISNUMBER(D1132), isnumber(E1132)), 1, 0) + IF(and(ISNUMBER(F1132), isnumber(G1132)), 1, 0) + IF(and(ISNUMBER(H1132), isnumber(I1132)), 1, 0) + IF(and(ISNUMBER(J1132), isnumber(K1132)), 1, 0) + IF(and(ISNUMBER(L1132), isnumber(M1132)), 1, 0) + IF(and(ISNUMBER(N1132), isnumber(O1132)), 1, 0)</f>
      </c>
      <c r="U1132" s="8">
        <f>IF(and(ISNUMBER(P1132), isnumber(Q1132)), 1, 0) + IF(and(ISNUMBER(R1132), isnumber(S1132)), 1, 0)</f>
      </c>
      <c r="V1132" s="13"/>
      <c r="W1132" s="13"/>
      <c r="X1132" s="16"/>
    </row>
    <row x14ac:dyDescent="0.25" r="1133" customHeight="1" ht="15.75">
      <c r="A1133" s="8">
        <v>25362</v>
      </c>
      <c r="B1133" s="13" t="s">
        <v>38</v>
      </c>
      <c r="C1133" s="13" t="s">
        <v>14497</v>
      </c>
      <c r="D1133" s="10" t="s">
        <v>7127</v>
      </c>
      <c r="E1133" s="11" t="s">
        <v>7127</v>
      </c>
      <c r="F1133" s="10" t="s">
        <v>7127</v>
      </c>
      <c r="G1133" s="11" t="s">
        <v>7127</v>
      </c>
      <c r="H1133" s="10">
        <v>0</v>
      </c>
      <c r="I1133" s="11" t="s">
        <v>7127</v>
      </c>
      <c r="J1133" s="10" t="s">
        <v>7127</v>
      </c>
      <c r="K1133" s="11" t="s">
        <v>7127</v>
      </c>
      <c r="L1133" s="10">
        <v>0</v>
      </c>
      <c r="M1133" s="11" t="s">
        <v>7127</v>
      </c>
      <c r="N1133" s="10">
        <v>0</v>
      </c>
      <c r="O1133" s="11" t="s">
        <v>7127</v>
      </c>
      <c r="P1133" s="10" t="s">
        <v>7127</v>
      </c>
      <c r="Q1133" s="10" t="s">
        <v>7127</v>
      </c>
      <c r="R1133" s="10" t="s">
        <v>7127</v>
      </c>
      <c r="S1133" s="10" t="s">
        <v>7127</v>
      </c>
      <c r="T1133" s="8">
        <f>IF(and(ISNUMBER(D1133), isnumber(E1133)), 1, 0) + IF(and(ISNUMBER(F1133), isnumber(G1133)), 1, 0) + IF(and(ISNUMBER(H1133), isnumber(I1133)), 1, 0) + IF(and(ISNUMBER(J1133), isnumber(K1133)), 1, 0) + IF(and(ISNUMBER(L1133), isnumber(M1133)), 1, 0) + IF(and(ISNUMBER(N1133), isnumber(O1133)), 1, 0)</f>
      </c>
      <c r="U1133" s="8">
        <f>IF(and(ISNUMBER(P1133), isnumber(Q1133)), 1, 0) + IF(and(ISNUMBER(R1133), isnumber(S1133)), 1, 0)</f>
      </c>
      <c r="V1133" s="13"/>
      <c r="W1133" s="13"/>
      <c r="X1133" s="16"/>
    </row>
    <row x14ac:dyDescent="0.25" r="1134" customHeight="1" ht="15.75">
      <c r="A1134" s="8">
        <v>25336</v>
      </c>
      <c r="B1134" s="13" t="s">
        <v>38</v>
      </c>
      <c r="C1134" s="13" t="s">
        <v>14498</v>
      </c>
      <c r="D1134" s="10" t="s">
        <v>7127</v>
      </c>
      <c r="E1134" s="11" t="s">
        <v>7127</v>
      </c>
      <c r="F1134" s="10" t="s">
        <v>7127</v>
      </c>
      <c r="G1134" s="11" t="s">
        <v>7127</v>
      </c>
      <c r="H1134" s="10">
        <v>0</v>
      </c>
      <c r="I1134" s="11" t="s">
        <v>7127</v>
      </c>
      <c r="J1134" s="10" t="s">
        <v>7127</v>
      </c>
      <c r="K1134" s="11" t="s">
        <v>7127</v>
      </c>
      <c r="L1134" s="10">
        <v>0</v>
      </c>
      <c r="M1134" s="11" t="s">
        <v>7127</v>
      </c>
      <c r="N1134" s="10">
        <v>0</v>
      </c>
      <c r="O1134" s="11" t="s">
        <v>7127</v>
      </c>
      <c r="P1134" s="10" t="s">
        <v>7127</v>
      </c>
      <c r="Q1134" s="10" t="s">
        <v>7127</v>
      </c>
      <c r="R1134" s="10" t="s">
        <v>7127</v>
      </c>
      <c r="S1134" s="10">
        <v>0.1556</v>
      </c>
      <c r="T1134" s="8">
        <f>IF(and(ISNUMBER(D1134), isnumber(E1134)), 1, 0) + IF(and(ISNUMBER(F1134), isnumber(G1134)), 1, 0) + IF(and(ISNUMBER(H1134), isnumber(I1134)), 1, 0) + IF(and(ISNUMBER(J1134), isnumber(K1134)), 1, 0) + IF(and(ISNUMBER(L1134), isnumber(M1134)), 1, 0) + IF(and(ISNUMBER(N1134), isnumber(O1134)), 1, 0)</f>
      </c>
      <c r="U1134" s="8">
        <f>IF(and(ISNUMBER(P1134), isnumber(Q1134)), 1, 0) + IF(and(ISNUMBER(R1134), isnumber(S1134)), 1, 0)</f>
      </c>
      <c r="V1134" s="13"/>
      <c r="W1134" s="13"/>
      <c r="X1134" s="16"/>
    </row>
    <row x14ac:dyDescent="0.25" r="1135" customHeight="1" ht="15.75">
      <c r="A1135" s="8">
        <v>25348</v>
      </c>
      <c r="B1135" s="13" t="s">
        <v>38</v>
      </c>
      <c r="C1135" s="13" t="s">
        <v>14499</v>
      </c>
      <c r="D1135" s="10" t="s">
        <v>7127</v>
      </c>
      <c r="E1135" s="11" t="s">
        <v>7127</v>
      </c>
      <c r="F1135" s="10" t="s">
        <v>7127</v>
      </c>
      <c r="G1135" s="11" t="s">
        <v>7127</v>
      </c>
      <c r="H1135" s="10">
        <v>0</v>
      </c>
      <c r="I1135" s="11" t="s">
        <v>7127</v>
      </c>
      <c r="J1135" s="10" t="s">
        <v>7127</v>
      </c>
      <c r="K1135" s="11" t="s">
        <v>7127</v>
      </c>
      <c r="L1135" s="10">
        <v>0</v>
      </c>
      <c r="M1135" s="11" t="s">
        <v>7127</v>
      </c>
      <c r="N1135" s="10">
        <v>0</v>
      </c>
      <c r="O1135" s="11" t="s">
        <v>7127</v>
      </c>
      <c r="P1135" s="10" t="s">
        <v>7127</v>
      </c>
      <c r="Q1135" s="10" t="s">
        <v>7127</v>
      </c>
      <c r="R1135" s="10" t="s">
        <v>7127</v>
      </c>
      <c r="S1135" s="10" t="s">
        <v>7127</v>
      </c>
      <c r="T1135" s="8">
        <f>IF(and(ISNUMBER(D1135), isnumber(E1135)), 1, 0) + IF(and(ISNUMBER(F1135), isnumber(G1135)), 1, 0) + IF(and(ISNUMBER(H1135), isnumber(I1135)), 1, 0) + IF(and(ISNUMBER(J1135), isnumber(K1135)), 1, 0) + IF(and(ISNUMBER(L1135), isnumber(M1135)), 1, 0) + IF(and(ISNUMBER(N1135), isnumber(O1135)), 1, 0)</f>
      </c>
      <c r="U1135" s="8">
        <f>IF(and(ISNUMBER(P1135), isnumber(Q1135)), 1, 0) + IF(and(ISNUMBER(R1135), isnumber(S1135)), 1, 0)</f>
      </c>
      <c r="V1135" s="13"/>
      <c r="W1135" s="13"/>
      <c r="X1135" s="16"/>
    </row>
    <row x14ac:dyDescent="0.25" r="1136" customHeight="1" ht="15.75">
      <c r="A1136" s="8">
        <v>25350</v>
      </c>
      <c r="B1136" s="13" t="s">
        <v>38</v>
      </c>
      <c r="C1136" s="13" t="s">
        <v>14500</v>
      </c>
      <c r="D1136" s="10" t="s">
        <v>7127</v>
      </c>
      <c r="E1136" s="11" t="s">
        <v>7127</v>
      </c>
      <c r="F1136" s="10" t="s">
        <v>7127</v>
      </c>
      <c r="G1136" s="11" t="s">
        <v>7127</v>
      </c>
      <c r="H1136" s="10">
        <v>0</v>
      </c>
      <c r="I1136" s="11" t="s">
        <v>7127</v>
      </c>
      <c r="J1136" s="10" t="s">
        <v>7127</v>
      </c>
      <c r="K1136" s="11" t="s">
        <v>7127</v>
      </c>
      <c r="L1136" s="10">
        <v>0</v>
      </c>
      <c r="M1136" s="11" t="s">
        <v>7127</v>
      </c>
      <c r="N1136" s="10">
        <v>0</v>
      </c>
      <c r="O1136" s="11" t="s">
        <v>7127</v>
      </c>
      <c r="P1136" s="10" t="s">
        <v>7127</v>
      </c>
      <c r="Q1136" s="10" t="s">
        <v>7127</v>
      </c>
      <c r="R1136" s="10" t="s">
        <v>7127</v>
      </c>
      <c r="S1136" s="10" t="s">
        <v>7127</v>
      </c>
      <c r="T1136" s="8">
        <f>IF(and(ISNUMBER(D1136), isnumber(E1136)), 1, 0) + IF(and(ISNUMBER(F1136), isnumber(G1136)), 1, 0) + IF(and(ISNUMBER(H1136), isnumber(I1136)), 1, 0) + IF(and(ISNUMBER(J1136), isnumber(K1136)), 1, 0) + IF(and(ISNUMBER(L1136), isnumber(M1136)), 1, 0) + IF(and(ISNUMBER(N1136), isnumber(O1136)), 1, 0)</f>
      </c>
      <c r="U1136" s="8">
        <f>IF(and(ISNUMBER(P1136), isnumber(Q1136)), 1, 0) + IF(and(ISNUMBER(R1136), isnumber(S1136)), 1, 0)</f>
      </c>
      <c r="V1136" s="13"/>
      <c r="W1136" s="13"/>
      <c r="X1136" s="16"/>
    </row>
    <row x14ac:dyDescent="0.25" r="1137" customHeight="1" ht="15.75">
      <c r="A1137" s="8">
        <v>25351</v>
      </c>
      <c r="B1137" s="13" t="s">
        <v>38</v>
      </c>
      <c r="C1137" s="13" t="s">
        <v>14501</v>
      </c>
      <c r="D1137" s="10" t="s">
        <v>7127</v>
      </c>
      <c r="E1137" s="11" t="s">
        <v>7127</v>
      </c>
      <c r="F1137" s="10" t="s">
        <v>7127</v>
      </c>
      <c r="G1137" s="11" t="s">
        <v>7127</v>
      </c>
      <c r="H1137" s="10">
        <v>0</v>
      </c>
      <c r="I1137" s="11" t="s">
        <v>7127</v>
      </c>
      <c r="J1137" s="10" t="s">
        <v>7127</v>
      </c>
      <c r="K1137" s="11" t="s">
        <v>7127</v>
      </c>
      <c r="L1137" s="10">
        <v>0</v>
      </c>
      <c r="M1137" s="11" t="s">
        <v>7127</v>
      </c>
      <c r="N1137" s="10">
        <v>0</v>
      </c>
      <c r="O1137" s="11" t="s">
        <v>7127</v>
      </c>
      <c r="P1137" s="10" t="s">
        <v>7127</v>
      </c>
      <c r="Q1137" s="10" t="s">
        <v>7127</v>
      </c>
      <c r="R1137" s="10" t="s">
        <v>7127</v>
      </c>
      <c r="S1137" s="10" t="s">
        <v>7127</v>
      </c>
      <c r="T1137" s="8">
        <f>IF(and(ISNUMBER(D1137), isnumber(E1137)), 1, 0) + IF(and(ISNUMBER(F1137), isnumber(G1137)), 1, 0) + IF(and(ISNUMBER(H1137), isnumber(I1137)), 1, 0) + IF(and(ISNUMBER(J1137), isnumber(K1137)), 1, 0) + IF(and(ISNUMBER(L1137), isnumber(M1137)), 1, 0) + IF(and(ISNUMBER(N1137), isnumber(O1137)), 1, 0)</f>
      </c>
      <c r="U1137" s="8">
        <f>IF(and(ISNUMBER(P1137), isnumber(Q1137)), 1, 0) + IF(and(ISNUMBER(R1137), isnumber(S1137)), 1, 0)</f>
      </c>
      <c r="V1137" s="13"/>
      <c r="W1137" s="13"/>
      <c r="X1137" s="16"/>
    </row>
    <row x14ac:dyDescent="0.25" r="1138" customHeight="1" ht="15.75">
      <c r="A1138" s="8">
        <v>25352</v>
      </c>
      <c r="B1138" s="13" t="s">
        <v>38</v>
      </c>
      <c r="C1138" s="13" t="s">
        <v>14502</v>
      </c>
      <c r="D1138" s="10" t="s">
        <v>7127</v>
      </c>
      <c r="E1138" s="11" t="s">
        <v>7127</v>
      </c>
      <c r="F1138" s="10" t="s">
        <v>7127</v>
      </c>
      <c r="G1138" s="11" t="s">
        <v>7127</v>
      </c>
      <c r="H1138" s="10">
        <v>0</v>
      </c>
      <c r="I1138" s="11" t="s">
        <v>7127</v>
      </c>
      <c r="J1138" s="10" t="s">
        <v>7127</v>
      </c>
      <c r="K1138" s="11" t="s">
        <v>7127</v>
      </c>
      <c r="L1138" s="10">
        <v>0</v>
      </c>
      <c r="M1138" s="11" t="s">
        <v>7127</v>
      </c>
      <c r="N1138" s="10">
        <v>0</v>
      </c>
      <c r="O1138" s="11" t="s">
        <v>7127</v>
      </c>
      <c r="P1138" s="10" t="s">
        <v>7127</v>
      </c>
      <c r="Q1138" s="10" t="s">
        <v>7127</v>
      </c>
      <c r="R1138" s="10" t="s">
        <v>7127</v>
      </c>
      <c r="S1138" s="10" t="s">
        <v>7127</v>
      </c>
      <c r="T1138" s="8">
        <f>IF(and(ISNUMBER(D1138), isnumber(E1138)), 1, 0) + IF(and(ISNUMBER(F1138), isnumber(G1138)), 1, 0) + IF(and(ISNUMBER(H1138), isnumber(I1138)), 1, 0) + IF(and(ISNUMBER(J1138), isnumber(K1138)), 1, 0) + IF(and(ISNUMBER(L1138), isnumber(M1138)), 1, 0) + IF(and(ISNUMBER(N1138), isnumber(O1138)), 1, 0)</f>
      </c>
      <c r="U1138" s="8">
        <f>IF(and(ISNUMBER(P1138), isnumber(Q1138)), 1, 0) + IF(and(ISNUMBER(R1138), isnumber(S1138)), 1, 0)</f>
      </c>
      <c r="V1138" s="13"/>
      <c r="W1138" s="13"/>
      <c r="X1138" s="16"/>
    </row>
    <row x14ac:dyDescent="0.25" r="1139" customHeight="1" ht="15.75">
      <c r="A1139" s="8">
        <v>25354</v>
      </c>
      <c r="B1139" s="13" t="s">
        <v>38</v>
      </c>
      <c r="C1139" s="13" t="s">
        <v>14503</v>
      </c>
      <c r="D1139" s="10" t="s">
        <v>7127</v>
      </c>
      <c r="E1139" s="11" t="s">
        <v>7127</v>
      </c>
      <c r="F1139" s="10" t="s">
        <v>7127</v>
      </c>
      <c r="G1139" s="11" t="s">
        <v>7127</v>
      </c>
      <c r="H1139" s="10">
        <v>0</v>
      </c>
      <c r="I1139" s="11" t="s">
        <v>7127</v>
      </c>
      <c r="J1139" s="10" t="s">
        <v>7127</v>
      </c>
      <c r="K1139" s="11" t="s">
        <v>7127</v>
      </c>
      <c r="L1139" s="10">
        <v>0</v>
      </c>
      <c r="M1139" s="11" t="s">
        <v>7127</v>
      </c>
      <c r="N1139" s="10">
        <v>0</v>
      </c>
      <c r="O1139" s="11" t="s">
        <v>7127</v>
      </c>
      <c r="P1139" s="10" t="s">
        <v>7127</v>
      </c>
      <c r="Q1139" s="10" t="s">
        <v>7127</v>
      </c>
      <c r="R1139" s="10" t="s">
        <v>7127</v>
      </c>
      <c r="S1139" s="10" t="s">
        <v>7127</v>
      </c>
      <c r="T1139" s="8">
        <f>IF(and(ISNUMBER(D1139), isnumber(E1139)), 1, 0) + IF(and(ISNUMBER(F1139), isnumber(G1139)), 1, 0) + IF(and(ISNUMBER(H1139), isnumber(I1139)), 1, 0) + IF(and(ISNUMBER(J1139), isnumber(K1139)), 1, 0) + IF(and(ISNUMBER(L1139), isnumber(M1139)), 1, 0) + IF(and(ISNUMBER(N1139), isnumber(O1139)), 1, 0)</f>
      </c>
      <c r="U1139" s="8">
        <f>IF(and(ISNUMBER(P1139), isnumber(Q1139)), 1, 0) + IF(and(ISNUMBER(R1139), isnumber(S1139)), 1, 0)</f>
      </c>
      <c r="V1139" s="13"/>
      <c r="W1139" s="13"/>
      <c r="X1139" s="16"/>
    </row>
    <row x14ac:dyDescent="0.25" r="1140" customHeight="1" ht="15.75">
      <c r="A1140" s="8">
        <v>25355</v>
      </c>
      <c r="B1140" s="13" t="s">
        <v>38</v>
      </c>
      <c r="C1140" s="13" t="s">
        <v>14504</v>
      </c>
      <c r="D1140" s="10" t="s">
        <v>7127</v>
      </c>
      <c r="E1140" s="11" t="s">
        <v>7127</v>
      </c>
      <c r="F1140" s="10" t="s">
        <v>7127</v>
      </c>
      <c r="G1140" s="11" t="s">
        <v>7127</v>
      </c>
      <c r="H1140" s="10">
        <v>0</v>
      </c>
      <c r="I1140" s="11" t="s">
        <v>7127</v>
      </c>
      <c r="J1140" s="10" t="s">
        <v>7127</v>
      </c>
      <c r="K1140" s="11" t="s">
        <v>7127</v>
      </c>
      <c r="L1140" s="10">
        <v>0</v>
      </c>
      <c r="M1140" s="11" t="s">
        <v>7127</v>
      </c>
      <c r="N1140" s="10">
        <v>0</v>
      </c>
      <c r="O1140" s="11" t="s">
        <v>7127</v>
      </c>
      <c r="P1140" s="10" t="s">
        <v>7127</v>
      </c>
      <c r="Q1140" s="10" t="s">
        <v>7127</v>
      </c>
      <c r="R1140" s="10" t="s">
        <v>7127</v>
      </c>
      <c r="S1140" s="10" t="s">
        <v>7127</v>
      </c>
      <c r="T1140" s="8">
        <f>IF(and(ISNUMBER(D1140), isnumber(E1140)), 1, 0) + IF(and(ISNUMBER(F1140), isnumber(G1140)), 1, 0) + IF(and(ISNUMBER(H1140), isnumber(I1140)), 1, 0) + IF(and(ISNUMBER(J1140), isnumber(K1140)), 1, 0) + IF(and(ISNUMBER(L1140), isnumber(M1140)), 1, 0) + IF(and(ISNUMBER(N1140), isnumber(O1140)), 1, 0)</f>
      </c>
      <c r="U1140" s="8">
        <f>IF(and(ISNUMBER(P1140), isnumber(Q1140)), 1, 0) + IF(and(ISNUMBER(R1140), isnumber(S1140)), 1, 0)</f>
      </c>
      <c r="V1140" s="13"/>
      <c r="W1140" s="13"/>
      <c r="X1140" s="16"/>
    </row>
    <row x14ac:dyDescent="0.25" r="1141" customHeight="1" ht="15.75">
      <c r="A1141" s="8">
        <v>25356</v>
      </c>
      <c r="B1141" s="13" t="s">
        <v>38</v>
      </c>
      <c r="C1141" s="13" t="s">
        <v>14505</v>
      </c>
      <c r="D1141" s="10" t="s">
        <v>7127</v>
      </c>
      <c r="E1141" s="11" t="s">
        <v>7127</v>
      </c>
      <c r="F1141" s="10" t="s">
        <v>7127</v>
      </c>
      <c r="G1141" s="11" t="s">
        <v>7127</v>
      </c>
      <c r="H1141" s="10">
        <v>0</v>
      </c>
      <c r="I1141" s="11" t="s">
        <v>7127</v>
      </c>
      <c r="J1141" s="10" t="s">
        <v>7127</v>
      </c>
      <c r="K1141" s="11" t="s">
        <v>7127</v>
      </c>
      <c r="L1141" s="10">
        <v>0</v>
      </c>
      <c r="M1141" s="11" t="s">
        <v>7127</v>
      </c>
      <c r="N1141" s="10">
        <v>0</v>
      </c>
      <c r="O1141" s="11" t="s">
        <v>7127</v>
      </c>
      <c r="P1141" s="10" t="s">
        <v>7127</v>
      </c>
      <c r="Q1141" s="10" t="s">
        <v>7127</v>
      </c>
      <c r="R1141" s="10" t="s">
        <v>7127</v>
      </c>
      <c r="S1141" s="10" t="s">
        <v>7127</v>
      </c>
      <c r="T1141" s="8">
        <f>IF(and(ISNUMBER(D1141), isnumber(E1141)), 1, 0) + IF(and(ISNUMBER(F1141), isnumber(G1141)), 1, 0) + IF(and(ISNUMBER(H1141), isnumber(I1141)), 1, 0) + IF(and(ISNUMBER(J1141), isnumber(K1141)), 1, 0) + IF(and(ISNUMBER(L1141), isnumber(M1141)), 1, 0) + IF(and(ISNUMBER(N1141), isnumber(O1141)), 1, 0)</f>
      </c>
      <c r="U1141" s="8">
        <f>IF(and(ISNUMBER(P1141), isnumber(Q1141)), 1, 0) + IF(and(ISNUMBER(R1141), isnumber(S1141)), 1, 0)</f>
      </c>
      <c r="V1141" s="13"/>
      <c r="W1141" s="13"/>
      <c r="X1141" s="16"/>
    </row>
    <row x14ac:dyDescent="0.25" r="1142" customHeight="1" ht="15.75">
      <c r="A1142" s="8">
        <v>25357</v>
      </c>
      <c r="B1142" s="13" t="s">
        <v>38</v>
      </c>
      <c r="C1142" s="13" t="s">
        <v>14506</v>
      </c>
      <c r="D1142" s="10" t="s">
        <v>7127</v>
      </c>
      <c r="E1142" s="11" t="s">
        <v>7127</v>
      </c>
      <c r="F1142" s="10" t="s">
        <v>7127</v>
      </c>
      <c r="G1142" s="11" t="s">
        <v>7127</v>
      </c>
      <c r="H1142" s="10">
        <v>0</v>
      </c>
      <c r="I1142" s="11" t="s">
        <v>7127</v>
      </c>
      <c r="J1142" s="10" t="s">
        <v>7127</v>
      </c>
      <c r="K1142" s="11" t="s">
        <v>7127</v>
      </c>
      <c r="L1142" s="10">
        <v>0</v>
      </c>
      <c r="M1142" s="11" t="s">
        <v>7127</v>
      </c>
      <c r="N1142" s="10">
        <v>0</v>
      </c>
      <c r="O1142" s="11" t="s">
        <v>7127</v>
      </c>
      <c r="P1142" s="10" t="s">
        <v>7127</v>
      </c>
      <c r="Q1142" s="10" t="s">
        <v>7127</v>
      </c>
      <c r="R1142" s="10" t="s">
        <v>7127</v>
      </c>
      <c r="S1142" s="10" t="s">
        <v>7127</v>
      </c>
      <c r="T1142" s="8">
        <f>IF(and(ISNUMBER(D1142), isnumber(E1142)), 1, 0) + IF(and(ISNUMBER(F1142), isnumber(G1142)), 1, 0) + IF(and(ISNUMBER(H1142), isnumber(I1142)), 1, 0) + IF(and(ISNUMBER(J1142), isnumber(K1142)), 1, 0) + IF(and(ISNUMBER(L1142), isnumber(M1142)), 1, 0) + IF(and(ISNUMBER(N1142), isnumber(O1142)), 1, 0)</f>
      </c>
      <c r="U1142" s="8">
        <f>IF(and(ISNUMBER(P1142), isnumber(Q1142)), 1, 0) + IF(and(ISNUMBER(R1142), isnumber(S1142)), 1, 0)</f>
      </c>
      <c r="V1142" s="13"/>
      <c r="W1142" s="13"/>
      <c r="X1142" s="16"/>
    </row>
    <row x14ac:dyDescent="0.25" r="1143" customHeight="1" ht="15.75">
      <c r="A1143" s="8">
        <v>25358</v>
      </c>
      <c r="B1143" s="13" t="s">
        <v>38</v>
      </c>
      <c r="C1143" s="13" t="s">
        <v>14507</v>
      </c>
      <c r="D1143" s="10" t="s">
        <v>7127</v>
      </c>
      <c r="E1143" s="11" t="s">
        <v>7127</v>
      </c>
      <c r="F1143" s="10" t="s">
        <v>7127</v>
      </c>
      <c r="G1143" s="11" t="s">
        <v>7127</v>
      </c>
      <c r="H1143" s="10">
        <v>0</v>
      </c>
      <c r="I1143" s="11" t="s">
        <v>7127</v>
      </c>
      <c r="J1143" s="10" t="s">
        <v>7127</v>
      </c>
      <c r="K1143" s="11" t="s">
        <v>7127</v>
      </c>
      <c r="L1143" s="10">
        <v>0</v>
      </c>
      <c r="M1143" s="11" t="s">
        <v>7127</v>
      </c>
      <c r="N1143" s="10">
        <v>0</v>
      </c>
      <c r="O1143" s="11" t="s">
        <v>7127</v>
      </c>
      <c r="P1143" s="10" t="s">
        <v>7127</v>
      </c>
      <c r="Q1143" s="10" t="s">
        <v>7127</v>
      </c>
      <c r="R1143" s="10" t="s">
        <v>7127</v>
      </c>
      <c r="S1143" s="10" t="s">
        <v>7127</v>
      </c>
      <c r="T1143" s="8">
        <f>IF(and(ISNUMBER(D1143), isnumber(E1143)), 1, 0) + IF(and(ISNUMBER(F1143), isnumber(G1143)), 1, 0) + IF(and(ISNUMBER(H1143), isnumber(I1143)), 1, 0) + IF(and(ISNUMBER(J1143), isnumber(K1143)), 1, 0) + IF(and(ISNUMBER(L1143), isnumber(M1143)), 1, 0) + IF(and(ISNUMBER(N1143), isnumber(O1143)), 1, 0)</f>
      </c>
      <c r="U1143" s="8">
        <f>IF(and(ISNUMBER(P1143), isnumber(Q1143)), 1, 0) + IF(and(ISNUMBER(R1143), isnumber(S1143)), 1, 0)</f>
      </c>
      <c r="V1143" s="13"/>
      <c r="W1143" s="13"/>
      <c r="X1143" s="16"/>
    </row>
    <row x14ac:dyDescent="0.25" r="1144" customHeight="1" ht="15.75">
      <c r="A1144" s="8">
        <v>25359</v>
      </c>
      <c r="B1144" s="13" t="s">
        <v>38</v>
      </c>
      <c r="C1144" s="13" t="s">
        <v>14508</v>
      </c>
      <c r="D1144" s="10" t="s">
        <v>7127</v>
      </c>
      <c r="E1144" s="11" t="s">
        <v>7127</v>
      </c>
      <c r="F1144" s="10" t="s">
        <v>7127</v>
      </c>
      <c r="G1144" s="11" t="s">
        <v>7127</v>
      </c>
      <c r="H1144" s="10">
        <v>0</v>
      </c>
      <c r="I1144" s="11" t="s">
        <v>7127</v>
      </c>
      <c r="J1144" s="10" t="s">
        <v>7127</v>
      </c>
      <c r="K1144" s="11" t="s">
        <v>7127</v>
      </c>
      <c r="L1144" s="10">
        <v>0</v>
      </c>
      <c r="M1144" s="11" t="s">
        <v>7127</v>
      </c>
      <c r="N1144" s="10">
        <v>0</v>
      </c>
      <c r="O1144" s="11" t="s">
        <v>7127</v>
      </c>
      <c r="P1144" s="10" t="s">
        <v>7127</v>
      </c>
      <c r="Q1144" s="10" t="s">
        <v>7127</v>
      </c>
      <c r="R1144" s="10" t="s">
        <v>7127</v>
      </c>
      <c r="S1144" s="10" t="s">
        <v>7127</v>
      </c>
      <c r="T1144" s="8">
        <f>IF(and(ISNUMBER(D1144), isnumber(E1144)), 1, 0) + IF(and(ISNUMBER(F1144), isnumber(G1144)), 1, 0) + IF(and(ISNUMBER(H1144), isnumber(I1144)), 1, 0) + IF(and(ISNUMBER(J1144), isnumber(K1144)), 1, 0) + IF(and(ISNUMBER(L1144), isnumber(M1144)), 1, 0) + IF(and(ISNUMBER(N1144), isnumber(O1144)), 1, 0)</f>
      </c>
      <c r="U1144" s="8">
        <f>IF(and(ISNUMBER(P1144), isnumber(Q1144)), 1, 0) + IF(and(ISNUMBER(R1144), isnumber(S1144)), 1, 0)</f>
      </c>
      <c r="V1144" s="13"/>
      <c r="W1144" s="13"/>
      <c r="X1144" s="16"/>
    </row>
    <row x14ac:dyDescent="0.25" r="1145" customHeight="1" ht="15.75">
      <c r="A1145" s="8">
        <v>25361</v>
      </c>
      <c r="B1145" s="13" t="s">
        <v>38</v>
      </c>
      <c r="C1145" s="13" t="s">
        <v>14509</v>
      </c>
      <c r="D1145" s="10" t="s">
        <v>7127</v>
      </c>
      <c r="E1145" s="11" t="s">
        <v>7127</v>
      </c>
      <c r="F1145" s="10" t="s">
        <v>7127</v>
      </c>
      <c r="G1145" s="11" t="s">
        <v>7127</v>
      </c>
      <c r="H1145" s="10">
        <v>0</v>
      </c>
      <c r="I1145" s="11" t="s">
        <v>7127</v>
      </c>
      <c r="J1145" s="10" t="s">
        <v>7127</v>
      </c>
      <c r="K1145" s="11" t="s">
        <v>7127</v>
      </c>
      <c r="L1145" s="10">
        <v>0</v>
      </c>
      <c r="M1145" s="11" t="s">
        <v>7127</v>
      </c>
      <c r="N1145" s="10">
        <v>0</v>
      </c>
      <c r="O1145" s="11" t="s">
        <v>7127</v>
      </c>
      <c r="P1145" s="10" t="s">
        <v>7127</v>
      </c>
      <c r="Q1145" s="10" t="s">
        <v>7127</v>
      </c>
      <c r="R1145" s="10" t="s">
        <v>7127</v>
      </c>
      <c r="S1145" s="10" t="s">
        <v>7127</v>
      </c>
      <c r="T1145" s="8">
        <f>IF(and(ISNUMBER(D1145), isnumber(E1145)), 1, 0) + IF(and(ISNUMBER(F1145), isnumber(G1145)), 1, 0) + IF(and(ISNUMBER(H1145), isnumber(I1145)), 1, 0) + IF(and(ISNUMBER(J1145), isnumber(K1145)), 1, 0) + IF(and(ISNUMBER(L1145), isnumber(M1145)), 1, 0) + IF(and(ISNUMBER(N1145), isnumber(O1145)), 1, 0)</f>
      </c>
      <c r="U1145" s="8">
        <f>IF(and(ISNUMBER(P1145), isnumber(Q1145)), 1, 0) + IF(and(ISNUMBER(R1145), isnumber(S1145)), 1, 0)</f>
      </c>
      <c r="V1145" s="13"/>
      <c r="W1145" s="13"/>
      <c r="X1145" s="16"/>
    </row>
    <row x14ac:dyDescent="0.25" r="1146" customHeight="1" ht="15.75">
      <c r="A1146" s="8">
        <v>25337</v>
      </c>
      <c r="B1146" s="13" t="s">
        <v>38</v>
      </c>
      <c r="C1146" s="13" t="s">
        <v>5698</v>
      </c>
      <c r="D1146" s="10" t="s">
        <v>7127</v>
      </c>
      <c r="E1146" s="11" t="s">
        <v>7127</v>
      </c>
      <c r="F1146" s="10" t="s">
        <v>7127</v>
      </c>
      <c r="G1146" s="11" t="s">
        <v>7127</v>
      </c>
      <c r="H1146" s="10">
        <v>0</v>
      </c>
      <c r="I1146" s="11" t="s">
        <v>7127</v>
      </c>
      <c r="J1146" s="10" t="s">
        <v>7127</v>
      </c>
      <c r="K1146" s="11" t="s">
        <v>7127</v>
      </c>
      <c r="L1146" s="10">
        <v>0</v>
      </c>
      <c r="M1146" s="11" t="s">
        <v>7127</v>
      </c>
      <c r="N1146" s="10">
        <v>0</v>
      </c>
      <c r="O1146" s="11" t="s">
        <v>7127</v>
      </c>
      <c r="P1146" s="10" t="s">
        <v>7127</v>
      </c>
      <c r="Q1146" s="10" t="s">
        <v>7127</v>
      </c>
      <c r="R1146" s="10" t="s">
        <v>7127</v>
      </c>
      <c r="S1146" s="10" t="s">
        <v>7127</v>
      </c>
      <c r="T1146" s="8">
        <f>IF(and(ISNUMBER(D1146), isnumber(E1146)), 1, 0) + IF(and(ISNUMBER(F1146), isnumber(G1146)), 1, 0) + IF(and(ISNUMBER(H1146), isnumber(I1146)), 1, 0) + IF(and(ISNUMBER(J1146), isnumber(K1146)), 1, 0) + IF(and(ISNUMBER(L1146), isnumber(M1146)), 1, 0) + IF(and(ISNUMBER(N1146), isnumber(O1146)), 1, 0)</f>
      </c>
      <c r="U1146" s="8">
        <f>IF(and(ISNUMBER(P1146), isnumber(Q1146)), 1, 0) + IF(and(ISNUMBER(R1146), isnumber(S1146)), 1, 0)</f>
      </c>
      <c r="V1146" s="13"/>
      <c r="W1146" s="13"/>
      <c r="X1146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134"/>
  <sheetViews>
    <sheetView workbookViewId="0" tabSelected="1"/>
  </sheetViews>
  <sheetFormatPr defaultRowHeight="15" x14ac:dyDescent="0.25"/>
  <cols>
    <col min="1" max="1" style="20" width="12.576428571428572" customWidth="1" bestFit="1"/>
    <col min="2" max="2" style="29" width="31.576428571428572" customWidth="1" bestFit="1"/>
    <col min="3" max="3" style="29" width="64.005" customWidth="1" bestFit="1"/>
    <col min="4" max="4" style="30" width="17.005" customWidth="1" bestFit="1"/>
    <col min="5" max="5" style="30" width="17.005" customWidth="1" bestFit="1"/>
    <col min="6" max="6" style="30" width="17.005" customWidth="1" bestFit="1"/>
    <col min="7" max="7" style="30" width="17.005" customWidth="1" bestFit="1"/>
    <col min="8" max="8" style="30" width="17.005" customWidth="1" bestFit="1"/>
    <col min="9" max="9" style="30" width="17.005" customWidth="1" bestFit="1"/>
    <col min="10" max="10" style="30" width="17.005" customWidth="1" bestFit="1"/>
    <col min="11" max="11" style="30" width="17.005" customWidth="1" bestFit="1"/>
    <col min="12" max="12" style="30" width="17.005" customWidth="1" bestFit="1"/>
    <col min="13" max="13" style="30" width="17.005" customWidth="1" bestFit="1"/>
    <col min="14" max="14" style="30" width="17.005" customWidth="1" bestFit="1"/>
    <col min="15" max="15" style="30" width="17.005" customWidth="1" bestFit="1"/>
  </cols>
  <sheetData>
    <row x14ac:dyDescent="0.25" r="1" customHeight="1" ht="54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x14ac:dyDescent="0.25" r="2" customHeight="1" ht="15.75">
      <c r="A2" s="8">
        <v>25248</v>
      </c>
      <c r="B2" s="13" t="s">
        <v>27</v>
      </c>
      <c r="C2" s="13" t="s">
        <v>4059</v>
      </c>
      <c r="D2" s="32" t="s">
        <v>4060</v>
      </c>
      <c r="E2" s="32" t="s">
        <v>7111</v>
      </c>
      <c r="F2" s="32" t="s">
        <v>6569</v>
      </c>
      <c r="G2" s="32" t="s">
        <v>7112</v>
      </c>
      <c r="H2" s="32" t="s">
        <v>7113</v>
      </c>
      <c r="I2" s="32" t="s">
        <v>7114</v>
      </c>
      <c r="J2" s="32" t="s">
        <v>4061</v>
      </c>
      <c r="K2" s="32" t="s">
        <v>7115</v>
      </c>
      <c r="L2" s="32" t="s">
        <v>7116</v>
      </c>
      <c r="M2" s="32" t="s">
        <v>7117</v>
      </c>
      <c r="N2" s="32" t="s">
        <v>2142</v>
      </c>
      <c r="O2" s="32" t="s">
        <v>7118</v>
      </c>
    </row>
    <row x14ac:dyDescent="0.25" r="3" customHeight="1" ht="15.75">
      <c r="A3" s="8">
        <v>25273</v>
      </c>
      <c r="B3" s="13" t="s">
        <v>27</v>
      </c>
      <c r="C3" s="13" t="s">
        <v>4579</v>
      </c>
      <c r="D3" s="32" t="s">
        <v>7119</v>
      </c>
      <c r="E3" s="32" t="s">
        <v>7120</v>
      </c>
      <c r="F3" s="32" t="s">
        <v>7121</v>
      </c>
      <c r="G3" s="32" t="s">
        <v>7122</v>
      </c>
      <c r="H3" s="32" t="s">
        <v>1416</v>
      </c>
      <c r="I3" s="32" t="s">
        <v>7123</v>
      </c>
      <c r="J3" s="32" t="s">
        <v>6647</v>
      </c>
      <c r="K3" s="32" t="s">
        <v>7124</v>
      </c>
      <c r="L3" s="32" t="s">
        <v>7125</v>
      </c>
      <c r="M3" s="32" t="s">
        <v>7126</v>
      </c>
      <c r="N3" s="32" t="s">
        <v>29</v>
      </c>
      <c r="O3" s="32" t="s">
        <v>7127</v>
      </c>
    </row>
    <row x14ac:dyDescent="0.25" r="4" customHeight="1" ht="15.75">
      <c r="A4" s="8">
        <v>25321</v>
      </c>
      <c r="B4" s="13" t="s">
        <v>27</v>
      </c>
      <c r="C4" s="13" t="s">
        <v>4579</v>
      </c>
      <c r="D4" s="32" t="s">
        <v>7128</v>
      </c>
      <c r="E4" s="32" t="s">
        <v>7129</v>
      </c>
      <c r="F4" s="32" t="s">
        <v>5767</v>
      </c>
      <c r="G4" s="32" t="s">
        <v>7130</v>
      </c>
      <c r="H4" s="32" t="s">
        <v>7131</v>
      </c>
      <c r="I4" s="32" t="s">
        <v>7132</v>
      </c>
      <c r="J4" s="32" t="s">
        <v>7133</v>
      </c>
      <c r="K4" s="32" t="s">
        <v>7134</v>
      </c>
      <c r="L4" s="32" t="s">
        <v>7135</v>
      </c>
      <c r="M4" s="32" t="s">
        <v>7136</v>
      </c>
      <c r="N4" s="32" t="s">
        <v>7137</v>
      </c>
      <c r="O4" s="32" t="s">
        <v>7138</v>
      </c>
    </row>
    <row x14ac:dyDescent="0.25" r="5" customHeight="1" ht="15.75">
      <c r="A5" s="8">
        <v>25314</v>
      </c>
      <c r="B5" s="13" t="s">
        <v>27</v>
      </c>
      <c r="C5" s="13" t="s">
        <v>4062</v>
      </c>
      <c r="D5" s="32" t="s">
        <v>4063</v>
      </c>
      <c r="E5" s="32" t="s">
        <v>7139</v>
      </c>
      <c r="F5" s="32" t="s">
        <v>6020</v>
      </c>
      <c r="G5" s="32" t="s">
        <v>7140</v>
      </c>
      <c r="H5" s="32" t="s">
        <v>7141</v>
      </c>
      <c r="I5" s="32" t="s">
        <v>7142</v>
      </c>
      <c r="J5" s="32" t="s">
        <v>4065</v>
      </c>
      <c r="K5" s="32" t="s">
        <v>7143</v>
      </c>
      <c r="L5" s="32" t="s">
        <v>6020</v>
      </c>
      <c r="M5" s="32" t="s">
        <v>7144</v>
      </c>
      <c r="N5" s="32" t="s">
        <v>7145</v>
      </c>
      <c r="O5" s="32" t="s">
        <v>7146</v>
      </c>
    </row>
    <row x14ac:dyDescent="0.25" r="6" customHeight="1" ht="15.75">
      <c r="A6" s="8">
        <v>25238</v>
      </c>
      <c r="B6" s="13" t="s">
        <v>27</v>
      </c>
      <c r="C6" s="13" t="s">
        <v>4066</v>
      </c>
      <c r="D6" s="32" t="s">
        <v>4067</v>
      </c>
      <c r="E6" s="32" t="s">
        <v>7147</v>
      </c>
      <c r="F6" s="32" t="s">
        <v>4140</v>
      </c>
      <c r="G6" s="32" t="s">
        <v>7148</v>
      </c>
      <c r="H6" s="32" t="s">
        <v>4548</v>
      </c>
      <c r="I6" s="32" t="s">
        <v>7149</v>
      </c>
      <c r="J6" s="32" t="s">
        <v>4069</v>
      </c>
      <c r="K6" s="32" t="s">
        <v>7150</v>
      </c>
      <c r="L6" s="32" t="s">
        <v>4140</v>
      </c>
      <c r="M6" s="32" t="s">
        <v>7151</v>
      </c>
      <c r="N6" s="32" t="s">
        <v>6222</v>
      </c>
      <c r="O6" s="32" t="s">
        <v>7152</v>
      </c>
    </row>
    <row x14ac:dyDescent="0.25" r="7" customHeight="1" ht="15.75">
      <c r="A7" s="8">
        <v>25315</v>
      </c>
      <c r="B7" s="13" t="s">
        <v>27</v>
      </c>
      <c r="C7" s="13" t="s">
        <v>4078</v>
      </c>
      <c r="D7" s="32" t="s">
        <v>4079</v>
      </c>
      <c r="E7" s="32" t="s">
        <v>7153</v>
      </c>
      <c r="F7" s="32" t="s">
        <v>7154</v>
      </c>
      <c r="G7" s="32" t="s">
        <v>7155</v>
      </c>
      <c r="H7" s="32" t="s">
        <v>5863</v>
      </c>
      <c r="I7" s="32" t="s">
        <v>7156</v>
      </c>
      <c r="J7" s="32" t="s">
        <v>4081</v>
      </c>
      <c r="K7" s="32" t="s">
        <v>7127</v>
      </c>
      <c r="L7" s="32" t="s">
        <v>5863</v>
      </c>
      <c r="M7" s="32" t="s">
        <v>7157</v>
      </c>
      <c r="N7" s="32" t="s">
        <v>271</v>
      </c>
      <c r="O7" s="32" t="s">
        <v>7158</v>
      </c>
    </row>
    <row x14ac:dyDescent="0.25" r="8" customHeight="1" ht="15.75">
      <c r="A8" s="8">
        <v>25316</v>
      </c>
      <c r="B8" s="13" t="s">
        <v>27</v>
      </c>
      <c r="C8" s="13" t="s">
        <v>4083</v>
      </c>
      <c r="D8" s="32" t="s">
        <v>4084</v>
      </c>
      <c r="E8" s="32" t="s">
        <v>7159</v>
      </c>
      <c r="F8" s="32" t="s">
        <v>7160</v>
      </c>
      <c r="G8" s="32" t="s">
        <v>7161</v>
      </c>
      <c r="H8" s="32" t="s">
        <v>7162</v>
      </c>
      <c r="I8" s="32" t="s">
        <v>7163</v>
      </c>
      <c r="J8" s="32" t="s">
        <v>4086</v>
      </c>
      <c r="K8" s="32" t="s">
        <v>7164</v>
      </c>
      <c r="L8" s="32" t="s">
        <v>7165</v>
      </c>
      <c r="M8" s="32" t="s">
        <v>7166</v>
      </c>
      <c r="N8" s="32" t="s">
        <v>7167</v>
      </c>
      <c r="O8" s="32" t="s">
        <v>7168</v>
      </c>
    </row>
    <row x14ac:dyDescent="0.25" r="9" customHeight="1" ht="15.75">
      <c r="A9" s="8">
        <v>25276</v>
      </c>
      <c r="B9" s="13" t="s">
        <v>27</v>
      </c>
      <c r="C9" s="13" t="s">
        <v>4087</v>
      </c>
      <c r="D9" s="32" t="s">
        <v>4088</v>
      </c>
      <c r="E9" s="32" t="s">
        <v>7169</v>
      </c>
      <c r="F9" s="32" t="s">
        <v>7170</v>
      </c>
      <c r="G9" s="32" t="s">
        <v>7171</v>
      </c>
      <c r="H9" s="32" t="s">
        <v>7172</v>
      </c>
      <c r="I9" s="32" t="s">
        <v>7173</v>
      </c>
      <c r="J9" s="32" t="s">
        <v>4090</v>
      </c>
      <c r="K9" s="32" t="s">
        <v>7174</v>
      </c>
      <c r="L9" s="32" t="s">
        <v>7175</v>
      </c>
      <c r="M9" s="32" t="s">
        <v>7176</v>
      </c>
      <c r="N9" s="32" t="s">
        <v>7177</v>
      </c>
      <c r="O9" s="32" t="s">
        <v>7178</v>
      </c>
    </row>
    <row x14ac:dyDescent="0.25" r="10" customHeight="1" ht="15.75">
      <c r="A10" s="8">
        <v>25317</v>
      </c>
      <c r="B10" s="13" t="s">
        <v>27</v>
      </c>
      <c r="C10" s="13" t="s">
        <v>4092</v>
      </c>
      <c r="D10" s="32" t="s">
        <v>4093</v>
      </c>
      <c r="E10" s="32" t="s">
        <v>7179</v>
      </c>
      <c r="F10" s="32" t="s">
        <v>2740</v>
      </c>
      <c r="G10" s="32" t="s">
        <v>7180</v>
      </c>
      <c r="H10" s="32" t="s">
        <v>7181</v>
      </c>
      <c r="I10" s="32" t="s">
        <v>7182</v>
      </c>
      <c r="J10" s="32" t="s">
        <v>4094</v>
      </c>
      <c r="K10" s="32" t="s">
        <v>7183</v>
      </c>
      <c r="L10" s="32" t="s">
        <v>1826</v>
      </c>
      <c r="M10" s="32" t="s">
        <v>7184</v>
      </c>
      <c r="N10" s="32" t="s">
        <v>2740</v>
      </c>
      <c r="O10" s="32" t="s">
        <v>7185</v>
      </c>
    </row>
    <row x14ac:dyDescent="0.25" r="11" customHeight="1" ht="15.75">
      <c r="A11" s="8">
        <v>25263</v>
      </c>
      <c r="B11" s="13" t="s">
        <v>27</v>
      </c>
      <c r="C11" s="13" t="s">
        <v>4096</v>
      </c>
      <c r="D11" s="32" t="s">
        <v>4097</v>
      </c>
      <c r="E11" s="32" t="s">
        <v>7186</v>
      </c>
      <c r="F11" s="32" t="s">
        <v>7187</v>
      </c>
      <c r="G11" s="32" t="s">
        <v>7188</v>
      </c>
      <c r="H11" s="32" t="s">
        <v>4629</v>
      </c>
      <c r="I11" s="32" t="s">
        <v>7189</v>
      </c>
      <c r="J11" s="32" t="s">
        <v>4099</v>
      </c>
      <c r="K11" s="32" t="s">
        <v>7190</v>
      </c>
      <c r="L11" s="32" t="s">
        <v>5468</v>
      </c>
      <c r="M11" s="32" t="s">
        <v>7191</v>
      </c>
      <c r="N11" s="32" t="s">
        <v>1528</v>
      </c>
      <c r="O11" s="32" t="s">
        <v>7192</v>
      </c>
    </row>
    <row x14ac:dyDescent="0.25" r="12" customHeight="1" ht="15.75">
      <c r="A12" s="8">
        <v>25277</v>
      </c>
      <c r="B12" s="13" t="s">
        <v>27</v>
      </c>
      <c r="C12" s="13" t="s">
        <v>4100</v>
      </c>
      <c r="D12" s="32" t="s">
        <v>4101</v>
      </c>
      <c r="E12" s="32" t="s">
        <v>7193</v>
      </c>
      <c r="F12" s="32" t="s">
        <v>4084</v>
      </c>
      <c r="G12" s="32" t="s">
        <v>7194</v>
      </c>
      <c r="H12" s="32" t="s">
        <v>5389</v>
      </c>
      <c r="I12" s="32" t="s">
        <v>7195</v>
      </c>
      <c r="J12" s="32" t="s">
        <v>4103</v>
      </c>
      <c r="K12" s="32" t="s">
        <v>7196</v>
      </c>
      <c r="L12" s="32" t="s">
        <v>5115</v>
      </c>
      <c r="M12" s="32" t="s">
        <v>7197</v>
      </c>
      <c r="N12" s="32" t="s">
        <v>2093</v>
      </c>
      <c r="O12" s="32" t="s">
        <v>7198</v>
      </c>
    </row>
    <row x14ac:dyDescent="0.25" r="13" customHeight="1" ht="15.75">
      <c r="A13" s="8">
        <v>25278</v>
      </c>
      <c r="B13" s="13" t="s">
        <v>27</v>
      </c>
      <c r="C13" s="13" t="s">
        <v>4105</v>
      </c>
      <c r="D13" s="32" t="s">
        <v>4106</v>
      </c>
      <c r="E13" s="32" t="s">
        <v>7199</v>
      </c>
      <c r="F13" s="32" t="s">
        <v>7200</v>
      </c>
      <c r="G13" s="32" t="s">
        <v>7201</v>
      </c>
      <c r="H13" s="32" t="s">
        <v>2109</v>
      </c>
      <c r="I13" s="32" t="s">
        <v>7202</v>
      </c>
      <c r="J13" s="32" t="s">
        <v>2411</v>
      </c>
      <c r="K13" s="32" t="s">
        <v>7203</v>
      </c>
      <c r="L13" s="32" t="s">
        <v>7204</v>
      </c>
      <c r="M13" s="32" t="s">
        <v>7205</v>
      </c>
      <c r="N13" s="32" t="s">
        <v>29</v>
      </c>
      <c r="O13" s="32" t="s">
        <v>7127</v>
      </c>
    </row>
    <row x14ac:dyDescent="0.25" r="14" customHeight="1" ht="15.75">
      <c r="A14" s="8">
        <v>25279</v>
      </c>
      <c r="B14" s="13" t="s">
        <v>27</v>
      </c>
      <c r="C14" s="13" t="s">
        <v>4109</v>
      </c>
      <c r="D14" s="32" t="s">
        <v>4110</v>
      </c>
      <c r="E14" s="32" t="s">
        <v>7206</v>
      </c>
      <c r="F14" s="32" t="s">
        <v>4783</v>
      </c>
      <c r="G14" s="32" t="s">
        <v>7207</v>
      </c>
      <c r="H14" s="32" t="s">
        <v>7208</v>
      </c>
      <c r="I14" s="32" t="s">
        <v>7209</v>
      </c>
      <c r="J14" s="32" t="s">
        <v>4111</v>
      </c>
      <c r="K14" s="32" t="s">
        <v>7210</v>
      </c>
      <c r="L14" s="32" t="s">
        <v>7211</v>
      </c>
      <c r="M14" s="32" t="s">
        <v>7212</v>
      </c>
      <c r="N14" s="32" t="s">
        <v>7213</v>
      </c>
      <c r="O14" s="32" t="s">
        <v>7214</v>
      </c>
    </row>
    <row x14ac:dyDescent="0.25" r="15" customHeight="1" ht="15.75">
      <c r="A15" s="8">
        <v>25280</v>
      </c>
      <c r="B15" s="13" t="s">
        <v>27</v>
      </c>
      <c r="C15" s="13" t="s">
        <v>4113</v>
      </c>
      <c r="D15" s="32" t="s">
        <v>4114</v>
      </c>
      <c r="E15" s="32" t="s">
        <v>7215</v>
      </c>
      <c r="F15" s="32" t="s">
        <v>4506</v>
      </c>
      <c r="G15" s="32" t="s">
        <v>7216</v>
      </c>
      <c r="H15" s="32" t="s">
        <v>7217</v>
      </c>
      <c r="I15" s="32" t="s">
        <v>7218</v>
      </c>
      <c r="J15" s="32" t="s">
        <v>4116</v>
      </c>
      <c r="K15" s="32" t="s">
        <v>7219</v>
      </c>
      <c r="L15" s="32" t="s">
        <v>4626</v>
      </c>
      <c r="M15" s="32" t="s">
        <v>7220</v>
      </c>
      <c r="N15" s="32" t="s">
        <v>2573</v>
      </c>
      <c r="O15" s="32" t="s">
        <v>7221</v>
      </c>
    </row>
    <row x14ac:dyDescent="0.25" r="16" customHeight="1" ht="15.75">
      <c r="A16" s="8">
        <v>25318</v>
      </c>
      <c r="B16" s="13" t="s">
        <v>27</v>
      </c>
      <c r="C16" s="13" t="s">
        <v>4118</v>
      </c>
      <c r="D16" s="32" t="s">
        <v>4119</v>
      </c>
      <c r="E16" s="32" t="s">
        <v>7222</v>
      </c>
      <c r="F16" s="32" t="s">
        <v>6640</v>
      </c>
      <c r="G16" s="32" t="s">
        <v>7223</v>
      </c>
      <c r="H16" s="32" t="s">
        <v>7224</v>
      </c>
      <c r="I16" s="32" t="s">
        <v>7225</v>
      </c>
      <c r="J16" s="32" t="s">
        <v>4121</v>
      </c>
      <c r="K16" s="32" t="s">
        <v>7226</v>
      </c>
      <c r="L16" s="32" t="s">
        <v>7227</v>
      </c>
      <c r="M16" s="32" t="s">
        <v>7228</v>
      </c>
      <c r="N16" s="32" t="s">
        <v>29</v>
      </c>
      <c r="O16" s="32" t="s">
        <v>7127</v>
      </c>
    </row>
    <row x14ac:dyDescent="0.25" r="17" customHeight="1" ht="15.75">
      <c r="A17" s="8">
        <v>25264</v>
      </c>
      <c r="B17" s="13" t="s">
        <v>27</v>
      </c>
      <c r="C17" s="13" t="s">
        <v>4122</v>
      </c>
      <c r="D17" s="32" t="s">
        <v>4123</v>
      </c>
      <c r="E17" s="32" t="s">
        <v>7229</v>
      </c>
      <c r="F17" s="32" t="s">
        <v>4442</v>
      </c>
      <c r="G17" s="32" t="s">
        <v>7230</v>
      </c>
      <c r="H17" s="32" t="s">
        <v>2518</v>
      </c>
      <c r="I17" s="32" t="s">
        <v>7231</v>
      </c>
      <c r="J17" s="32" t="s">
        <v>4125</v>
      </c>
      <c r="K17" s="32" t="s">
        <v>7232</v>
      </c>
      <c r="L17" s="32" t="s">
        <v>74</v>
      </c>
      <c r="M17" s="32" t="s">
        <v>7233</v>
      </c>
      <c r="N17" s="32" t="s">
        <v>7234</v>
      </c>
      <c r="O17" s="32" t="s">
        <v>7235</v>
      </c>
    </row>
    <row x14ac:dyDescent="0.25" r="18" customHeight="1" ht="15.75">
      <c r="A18" s="8">
        <v>25322</v>
      </c>
      <c r="B18" s="13" t="s">
        <v>27</v>
      </c>
      <c r="C18" s="13" t="s">
        <v>4127</v>
      </c>
      <c r="D18" s="32" t="s">
        <v>4128</v>
      </c>
      <c r="E18" s="32" t="s">
        <v>7236</v>
      </c>
      <c r="F18" s="32" t="s">
        <v>7237</v>
      </c>
      <c r="G18" s="32" t="s">
        <v>7238</v>
      </c>
      <c r="H18" s="32" t="s">
        <v>4863</v>
      </c>
      <c r="I18" s="32" t="s">
        <v>7239</v>
      </c>
      <c r="J18" s="32" t="s">
        <v>4130</v>
      </c>
      <c r="K18" s="32" t="s">
        <v>7240</v>
      </c>
      <c r="L18" s="32" t="s">
        <v>7241</v>
      </c>
      <c r="M18" s="32" t="s">
        <v>7242</v>
      </c>
      <c r="N18" s="32" t="s">
        <v>7243</v>
      </c>
      <c r="O18" s="32" t="s">
        <v>7244</v>
      </c>
    </row>
    <row x14ac:dyDescent="0.25" r="19" customHeight="1" ht="15.75">
      <c r="A19" s="8">
        <v>25261</v>
      </c>
      <c r="B19" s="13" t="s">
        <v>27</v>
      </c>
      <c r="C19" s="13" t="s">
        <v>4131</v>
      </c>
      <c r="D19" s="32" t="s">
        <v>4132</v>
      </c>
      <c r="E19" s="32" t="s">
        <v>7245</v>
      </c>
      <c r="F19" s="32" t="s">
        <v>7246</v>
      </c>
      <c r="G19" s="32" t="s">
        <v>7247</v>
      </c>
      <c r="H19" s="32" t="s">
        <v>7248</v>
      </c>
      <c r="I19" s="32" t="s">
        <v>7249</v>
      </c>
      <c r="J19" s="32" t="s">
        <v>4133</v>
      </c>
      <c r="K19" s="32" t="s">
        <v>7250</v>
      </c>
      <c r="L19" s="32" t="s">
        <v>7251</v>
      </c>
      <c r="M19" s="32" t="s">
        <v>7252</v>
      </c>
      <c r="N19" s="32" t="s">
        <v>4969</v>
      </c>
      <c r="O19" s="32" t="s">
        <v>7253</v>
      </c>
    </row>
    <row x14ac:dyDescent="0.25" r="20" customHeight="1" ht="15.75">
      <c r="A20" s="8">
        <v>25265</v>
      </c>
      <c r="B20" s="13" t="s">
        <v>27</v>
      </c>
      <c r="C20" s="13" t="s">
        <v>4134</v>
      </c>
      <c r="D20" s="32" t="s">
        <v>4135</v>
      </c>
      <c r="E20" s="32" t="s">
        <v>7254</v>
      </c>
      <c r="F20" s="32" t="s">
        <v>1583</v>
      </c>
      <c r="G20" s="32" t="s">
        <v>7255</v>
      </c>
      <c r="H20" s="32" t="s">
        <v>7256</v>
      </c>
      <c r="I20" s="32" t="s">
        <v>7257</v>
      </c>
      <c r="J20" s="32" t="s">
        <v>4137</v>
      </c>
      <c r="K20" s="32" t="s">
        <v>7258</v>
      </c>
      <c r="L20" s="32" t="s">
        <v>7259</v>
      </c>
      <c r="M20" s="32" t="s">
        <v>7260</v>
      </c>
      <c r="N20" s="32" t="s">
        <v>7261</v>
      </c>
      <c r="O20" s="32" t="s">
        <v>7262</v>
      </c>
    </row>
    <row x14ac:dyDescent="0.25" r="21" customHeight="1" ht="15.75">
      <c r="A21" s="8">
        <v>25281</v>
      </c>
      <c r="B21" s="13" t="s">
        <v>27</v>
      </c>
      <c r="C21" s="13" t="s">
        <v>4139</v>
      </c>
      <c r="D21" s="32" t="s">
        <v>4140</v>
      </c>
      <c r="E21" s="32" t="s">
        <v>7263</v>
      </c>
      <c r="F21" s="32" t="s">
        <v>7264</v>
      </c>
      <c r="G21" s="32" t="s">
        <v>7265</v>
      </c>
      <c r="H21" s="32" t="s">
        <v>7266</v>
      </c>
      <c r="I21" s="32" t="s">
        <v>7267</v>
      </c>
      <c r="J21" s="32" t="s">
        <v>4142</v>
      </c>
      <c r="K21" s="32" t="s">
        <v>7268</v>
      </c>
      <c r="L21" s="32" t="s">
        <v>29</v>
      </c>
      <c r="M21" s="32" t="s">
        <v>7127</v>
      </c>
      <c r="N21" s="32" t="s">
        <v>4836</v>
      </c>
      <c r="O21" s="32" t="s">
        <v>7269</v>
      </c>
    </row>
    <row x14ac:dyDescent="0.25" r="22" customHeight="1" ht="15.75">
      <c r="A22" s="8">
        <v>25282</v>
      </c>
      <c r="B22" s="13" t="s">
        <v>27</v>
      </c>
      <c r="C22" s="13" t="s">
        <v>4144</v>
      </c>
      <c r="D22" s="32" t="s">
        <v>74</v>
      </c>
      <c r="E22" s="32" t="s">
        <v>7270</v>
      </c>
      <c r="F22" s="32" t="s">
        <v>6358</v>
      </c>
      <c r="G22" s="32" t="s">
        <v>7271</v>
      </c>
      <c r="H22" s="32" t="s">
        <v>74</v>
      </c>
      <c r="I22" s="32" t="s">
        <v>7272</v>
      </c>
      <c r="J22" s="32" t="s">
        <v>74</v>
      </c>
      <c r="K22" s="32" t="s">
        <v>7273</v>
      </c>
      <c r="L22" s="32" t="s">
        <v>74</v>
      </c>
      <c r="M22" s="32" t="s">
        <v>7274</v>
      </c>
      <c r="N22" s="32" t="s">
        <v>5275</v>
      </c>
      <c r="O22" s="32" t="s">
        <v>7275</v>
      </c>
    </row>
    <row x14ac:dyDescent="0.25" r="23" customHeight="1" ht="15.75">
      <c r="A23" s="8">
        <v>25329</v>
      </c>
      <c r="B23" s="13" t="s">
        <v>27</v>
      </c>
      <c r="C23" s="13" t="s">
        <v>4147</v>
      </c>
      <c r="D23" s="32" t="s">
        <v>4148</v>
      </c>
      <c r="E23" s="32" t="s">
        <v>7276</v>
      </c>
      <c r="F23" s="32" t="s">
        <v>2681</v>
      </c>
      <c r="G23" s="32" t="s">
        <v>7277</v>
      </c>
      <c r="H23" s="32" t="s">
        <v>7278</v>
      </c>
      <c r="I23" s="32" t="s">
        <v>7279</v>
      </c>
      <c r="J23" s="32" t="s">
        <v>4150</v>
      </c>
      <c r="K23" s="32" t="s">
        <v>7280</v>
      </c>
      <c r="L23" s="32" t="s">
        <v>7281</v>
      </c>
      <c r="M23" s="32" t="s">
        <v>7282</v>
      </c>
      <c r="N23" s="32" t="s">
        <v>7281</v>
      </c>
      <c r="O23" s="32" t="s">
        <v>7283</v>
      </c>
    </row>
    <row x14ac:dyDescent="0.25" r="24" customHeight="1" ht="15.75">
      <c r="A24" s="8">
        <v>25239</v>
      </c>
      <c r="B24" s="13" t="s">
        <v>27</v>
      </c>
      <c r="C24" s="13" t="s">
        <v>4152</v>
      </c>
      <c r="D24" s="32" t="s">
        <v>4153</v>
      </c>
      <c r="E24" s="32" t="s">
        <v>7284</v>
      </c>
      <c r="F24" s="32" t="s">
        <v>6120</v>
      </c>
      <c r="G24" s="32" t="s">
        <v>7285</v>
      </c>
      <c r="H24" s="32" t="s">
        <v>7286</v>
      </c>
      <c r="I24" s="32" t="s">
        <v>7287</v>
      </c>
      <c r="J24" s="32" t="s">
        <v>4155</v>
      </c>
      <c r="K24" s="32" t="s">
        <v>7127</v>
      </c>
      <c r="L24" s="32" t="s">
        <v>7288</v>
      </c>
      <c r="M24" s="32" t="s">
        <v>7289</v>
      </c>
      <c r="N24" s="32" t="s">
        <v>2151</v>
      </c>
      <c r="O24" s="32" t="s">
        <v>7290</v>
      </c>
    </row>
    <row x14ac:dyDescent="0.25" r="25" customHeight="1" ht="15.75">
      <c r="A25" s="8">
        <v>25266</v>
      </c>
      <c r="B25" s="13" t="s">
        <v>27</v>
      </c>
      <c r="C25" s="13" t="s">
        <v>4157</v>
      </c>
      <c r="D25" s="32" t="s">
        <v>4158</v>
      </c>
      <c r="E25" s="32" t="s">
        <v>7291</v>
      </c>
      <c r="F25" s="32" t="s">
        <v>943</v>
      </c>
      <c r="G25" s="32" t="s">
        <v>7127</v>
      </c>
      <c r="H25" s="32" t="s">
        <v>7292</v>
      </c>
      <c r="I25" s="32" t="s">
        <v>7293</v>
      </c>
      <c r="J25" s="32" t="s">
        <v>4160</v>
      </c>
      <c r="K25" s="32" t="s">
        <v>7294</v>
      </c>
      <c r="L25" s="32" t="s">
        <v>4653</v>
      </c>
      <c r="M25" s="32" t="s">
        <v>7295</v>
      </c>
      <c r="N25" s="32" t="s">
        <v>2035</v>
      </c>
      <c r="O25" s="32" t="s">
        <v>7127</v>
      </c>
    </row>
    <row x14ac:dyDescent="0.25" r="26" customHeight="1" ht="15.75">
      <c r="A26" s="8">
        <v>25284</v>
      </c>
      <c r="B26" s="13" t="s">
        <v>27</v>
      </c>
      <c r="C26" s="13" t="s">
        <v>4161</v>
      </c>
      <c r="D26" s="32" t="s">
        <v>1348</v>
      </c>
      <c r="E26" s="32" t="s">
        <v>7296</v>
      </c>
      <c r="F26" s="32" t="s">
        <v>2000</v>
      </c>
      <c r="G26" s="32" t="s">
        <v>7297</v>
      </c>
      <c r="H26" s="32" t="s">
        <v>88</v>
      </c>
      <c r="I26" s="32" t="s">
        <v>7298</v>
      </c>
      <c r="J26" s="32" t="s">
        <v>2000</v>
      </c>
      <c r="K26" s="32" t="s">
        <v>7299</v>
      </c>
      <c r="L26" s="32" t="s">
        <v>7300</v>
      </c>
      <c r="M26" s="32" t="s">
        <v>7301</v>
      </c>
      <c r="N26" s="32" t="s">
        <v>4221</v>
      </c>
      <c r="O26" s="32" t="s">
        <v>7302</v>
      </c>
    </row>
    <row x14ac:dyDescent="0.25" r="27" customHeight="1" ht="15.75">
      <c r="A27" s="8">
        <v>25267</v>
      </c>
      <c r="B27" s="13" t="s">
        <v>27</v>
      </c>
      <c r="C27" s="13" t="s">
        <v>4164</v>
      </c>
      <c r="D27" s="32" t="s">
        <v>4165</v>
      </c>
      <c r="E27" s="32" t="s">
        <v>7303</v>
      </c>
      <c r="F27" s="32" t="s">
        <v>7304</v>
      </c>
      <c r="G27" s="32" t="s">
        <v>7305</v>
      </c>
      <c r="H27" s="32" t="s">
        <v>74</v>
      </c>
      <c r="I27" s="32" t="s">
        <v>7306</v>
      </c>
      <c r="J27" s="32" t="s">
        <v>74</v>
      </c>
      <c r="K27" s="32" t="s">
        <v>7307</v>
      </c>
      <c r="L27" s="32" t="s">
        <v>2765</v>
      </c>
      <c r="M27" s="32" t="s">
        <v>7308</v>
      </c>
      <c r="N27" s="32" t="s">
        <v>1362</v>
      </c>
      <c r="O27" s="32" t="s">
        <v>7309</v>
      </c>
    </row>
    <row x14ac:dyDescent="0.25" r="28" customHeight="1" ht="15.75">
      <c r="A28" s="8">
        <v>25285</v>
      </c>
      <c r="B28" s="13" t="s">
        <v>27</v>
      </c>
      <c r="C28" s="13" t="s">
        <v>4167</v>
      </c>
      <c r="D28" s="32" t="s">
        <v>4168</v>
      </c>
      <c r="E28" s="32" t="s">
        <v>7310</v>
      </c>
      <c r="F28" s="32" t="s">
        <v>7311</v>
      </c>
      <c r="G28" s="32" t="s">
        <v>7312</v>
      </c>
      <c r="H28" s="32" t="s">
        <v>7313</v>
      </c>
      <c r="I28" s="32" t="s">
        <v>7314</v>
      </c>
      <c r="J28" s="32" t="s">
        <v>4169</v>
      </c>
      <c r="K28" s="32" t="s">
        <v>7315</v>
      </c>
      <c r="L28" s="32" t="s">
        <v>7316</v>
      </c>
      <c r="M28" s="32" t="s">
        <v>7317</v>
      </c>
      <c r="N28" s="32" t="s">
        <v>7318</v>
      </c>
      <c r="O28" s="32" t="s">
        <v>7319</v>
      </c>
    </row>
    <row x14ac:dyDescent="0.25" r="29" customHeight="1" ht="15.75">
      <c r="A29" s="8">
        <v>25268</v>
      </c>
      <c r="B29" s="13" t="s">
        <v>27</v>
      </c>
      <c r="C29" s="13" t="s">
        <v>4171</v>
      </c>
      <c r="D29" s="32" t="s">
        <v>4172</v>
      </c>
      <c r="E29" s="32" t="s">
        <v>7320</v>
      </c>
      <c r="F29" s="32" t="s">
        <v>5246</v>
      </c>
      <c r="G29" s="32" t="s">
        <v>7321</v>
      </c>
      <c r="H29" s="32" t="s">
        <v>2448</v>
      </c>
      <c r="I29" s="32" t="s">
        <v>7322</v>
      </c>
      <c r="J29" s="32" t="s">
        <v>4086</v>
      </c>
      <c r="K29" s="32" t="s">
        <v>7323</v>
      </c>
      <c r="L29" s="32" t="s">
        <v>7324</v>
      </c>
      <c r="M29" s="32" t="s">
        <v>7325</v>
      </c>
      <c r="N29" s="32" t="s">
        <v>7326</v>
      </c>
      <c r="O29" s="32" t="s">
        <v>7327</v>
      </c>
    </row>
    <row x14ac:dyDescent="0.25" r="30" customHeight="1" ht="15.75">
      <c r="A30" s="8">
        <v>25286</v>
      </c>
      <c r="B30" s="13" t="s">
        <v>27</v>
      </c>
      <c r="C30" s="13" t="s">
        <v>4175</v>
      </c>
      <c r="D30" s="32" t="s">
        <v>4176</v>
      </c>
      <c r="E30" s="32" t="s">
        <v>7328</v>
      </c>
      <c r="F30" s="32" t="s">
        <v>7329</v>
      </c>
      <c r="G30" s="32" t="s">
        <v>7330</v>
      </c>
      <c r="H30" s="32" t="s">
        <v>7331</v>
      </c>
      <c r="I30" s="32" t="s">
        <v>7332</v>
      </c>
      <c r="J30" s="32" t="s">
        <v>4178</v>
      </c>
      <c r="K30" s="32" t="s">
        <v>7333</v>
      </c>
      <c r="L30" s="32" t="s">
        <v>5491</v>
      </c>
      <c r="M30" s="32" t="s">
        <v>7334</v>
      </c>
      <c r="N30" s="32" t="s">
        <v>7335</v>
      </c>
      <c r="O30" s="32" t="s">
        <v>7336</v>
      </c>
    </row>
    <row x14ac:dyDescent="0.25" r="31" customHeight="1" ht="15.75">
      <c r="A31" s="8">
        <v>25287</v>
      </c>
      <c r="B31" s="13" t="s">
        <v>27</v>
      </c>
      <c r="C31" s="13" t="s">
        <v>4179</v>
      </c>
      <c r="D31" s="32" t="s">
        <v>4180</v>
      </c>
      <c r="E31" s="32" t="s">
        <v>7337</v>
      </c>
      <c r="F31" s="32" t="s">
        <v>88</v>
      </c>
      <c r="G31" s="32" t="s">
        <v>7338</v>
      </c>
      <c r="H31" s="32" t="s">
        <v>4274</v>
      </c>
      <c r="I31" s="32" t="s">
        <v>7339</v>
      </c>
      <c r="J31" s="32" t="s">
        <v>4182</v>
      </c>
      <c r="K31" s="32" t="s">
        <v>7340</v>
      </c>
      <c r="L31" s="32" t="s">
        <v>2462</v>
      </c>
      <c r="M31" s="32" t="s">
        <v>7341</v>
      </c>
      <c r="N31" s="32" t="s">
        <v>7342</v>
      </c>
      <c r="O31" s="32" t="s">
        <v>7343</v>
      </c>
    </row>
    <row x14ac:dyDescent="0.25" r="32" customHeight="1" ht="15.75">
      <c r="A32" s="8">
        <v>25330</v>
      </c>
      <c r="B32" s="13" t="s">
        <v>27</v>
      </c>
      <c r="C32" s="13" t="s">
        <v>4184</v>
      </c>
      <c r="D32" s="32" t="s">
        <v>4185</v>
      </c>
      <c r="E32" s="32" t="s">
        <v>7344</v>
      </c>
      <c r="F32" s="32" t="s">
        <v>7345</v>
      </c>
      <c r="G32" s="32" t="s">
        <v>7346</v>
      </c>
      <c r="H32" s="32" t="s">
        <v>4725</v>
      </c>
      <c r="I32" s="32" t="s">
        <v>7347</v>
      </c>
      <c r="J32" s="32" t="s">
        <v>4187</v>
      </c>
      <c r="K32" s="32" t="s">
        <v>7348</v>
      </c>
      <c r="L32" s="32" t="s">
        <v>7349</v>
      </c>
      <c r="M32" s="32" t="s">
        <v>7350</v>
      </c>
      <c r="N32" s="32" t="s">
        <v>7351</v>
      </c>
      <c r="O32" s="32" t="s">
        <v>7352</v>
      </c>
    </row>
    <row x14ac:dyDescent="0.25" r="33" customHeight="1" ht="15.75">
      <c r="A33" s="8">
        <v>25247</v>
      </c>
      <c r="B33" s="13" t="s">
        <v>27</v>
      </c>
      <c r="C33" s="13" t="s">
        <v>4189</v>
      </c>
      <c r="D33" s="32" t="s">
        <v>4190</v>
      </c>
      <c r="E33" s="32" t="s">
        <v>7353</v>
      </c>
      <c r="F33" s="32" t="s">
        <v>7354</v>
      </c>
      <c r="G33" s="32" t="s">
        <v>7355</v>
      </c>
      <c r="H33" s="32" t="s">
        <v>7356</v>
      </c>
      <c r="I33" s="32" t="s">
        <v>7357</v>
      </c>
      <c r="J33" s="32" t="s">
        <v>4142</v>
      </c>
      <c r="K33" s="32" t="s">
        <v>7358</v>
      </c>
      <c r="L33" s="32" t="s">
        <v>7359</v>
      </c>
      <c r="M33" s="32" t="s">
        <v>7360</v>
      </c>
      <c r="N33" s="32" t="s">
        <v>1926</v>
      </c>
      <c r="O33" s="32" t="s">
        <v>7361</v>
      </c>
    </row>
    <row x14ac:dyDescent="0.25" r="34" customHeight="1" ht="15.75">
      <c r="A34" s="8">
        <v>25288</v>
      </c>
      <c r="B34" s="13" t="s">
        <v>27</v>
      </c>
      <c r="C34" s="13" t="s">
        <v>4192</v>
      </c>
      <c r="D34" s="32" t="s">
        <v>4193</v>
      </c>
      <c r="E34" s="32" t="s">
        <v>7362</v>
      </c>
      <c r="F34" s="32" t="s">
        <v>1054</v>
      </c>
      <c r="G34" s="32" t="s">
        <v>7127</v>
      </c>
      <c r="H34" s="32" t="s">
        <v>7363</v>
      </c>
      <c r="I34" s="32" t="s">
        <v>7364</v>
      </c>
      <c r="J34" s="32" t="s">
        <v>4195</v>
      </c>
      <c r="K34" s="32" t="s">
        <v>7365</v>
      </c>
      <c r="L34" s="32" t="s">
        <v>7366</v>
      </c>
      <c r="M34" s="32" t="s">
        <v>7367</v>
      </c>
      <c r="N34" s="32" t="s">
        <v>7368</v>
      </c>
      <c r="O34" s="32" t="s">
        <v>7369</v>
      </c>
    </row>
    <row x14ac:dyDescent="0.25" r="35" customHeight="1" ht="15.75">
      <c r="A35" s="8">
        <v>25289</v>
      </c>
      <c r="B35" s="13" t="s">
        <v>27</v>
      </c>
      <c r="C35" s="13" t="s">
        <v>4197</v>
      </c>
      <c r="D35" s="32" t="s">
        <v>4198</v>
      </c>
      <c r="E35" s="32" t="s">
        <v>7370</v>
      </c>
      <c r="F35" s="32" t="s">
        <v>7371</v>
      </c>
      <c r="G35" s="32" t="s">
        <v>7372</v>
      </c>
      <c r="H35" s="32" t="s">
        <v>4199</v>
      </c>
      <c r="I35" s="32" t="s">
        <v>7373</v>
      </c>
      <c r="J35" s="32" t="s">
        <v>4199</v>
      </c>
      <c r="K35" s="32" t="s">
        <v>7374</v>
      </c>
      <c r="L35" s="32" t="s">
        <v>4550</v>
      </c>
      <c r="M35" s="32" t="s">
        <v>7375</v>
      </c>
      <c r="N35" s="32" t="s">
        <v>7371</v>
      </c>
      <c r="O35" s="32" t="s">
        <v>7376</v>
      </c>
    </row>
    <row x14ac:dyDescent="0.25" r="36" customHeight="1" ht="15.75">
      <c r="A36" s="8">
        <v>25319</v>
      </c>
      <c r="B36" s="13" t="s">
        <v>27</v>
      </c>
      <c r="C36" s="13" t="s">
        <v>4201</v>
      </c>
      <c r="D36" s="32" t="s">
        <v>4202</v>
      </c>
      <c r="E36" s="32" t="s">
        <v>7377</v>
      </c>
      <c r="F36" s="32" t="s">
        <v>7378</v>
      </c>
      <c r="G36" s="32" t="s">
        <v>7379</v>
      </c>
      <c r="H36" s="32" t="s">
        <v>7380</v>
      </c>
      <c r="I36" s="32" t="s">
        <v>7381</v>
      </c>
      <c r="J36" s="32" t="s">
        <v>74</v>
      </c>
      <c r="K36" s="32" t="s">
        <v>7382</v>
      </c>
      <c r="L36" s="32" t="s">
        <v>7383</v>
      </c>
      <c r="M36" s="32" t="s">
        <v>7384</v>
      </c>
      <c r="N36" s="32" t="s">
        <v>7385</v>
      </c>
      <c r="O36" s="32" t="s">
        <v>7386</v>
      </c>
    </row>
    <row x14ac:dyDescent="0.25" r="37" customHeight="1" ht="15.75">
      <c r="A37" s="8">
        <v>25323</v>
      </c>
      <c r="B37" s="13" t="s">
        <v>27</v>
      </c>
      <c r="C37" s="13" t="s">
        <v>4204</v>
      </c>
      <c r="D37" s="32" t="s">
        <v>4205</v>
      </c>
      <c r="E37" s="32" t="s">
        <v>7387</v>
      </c>
      <c r="F37" s="32" t="s">
        <v>4977</v>
      </c>
      <c r="G37" s="32" t="s">
        <v>7388</v>
      </c>
      <c r="H37" s="32" t="s">
        <v>7389</v>
      </c>
      <c r="I37" s="32" t="s">
        <v>7390</v>
      </c>
      <c r="J37" s="32" t="s">
        <v>4206</v>
      </c>
      <c r="K37" s="32" t="s">
        <v>7391</v>
      </c>
      <c r="L37" s="32" t="s">
        <v>7392</v>
      </c>
      <c r="M37" s="32" t="s">
        <v>7393</v>
      </c>
      <c r="N37" s="32" t="s">
        <v>29</v>
      </c>
      <c r="O37" s="32" t="s">
        <v>7127</v>
      </c>
    </row>
    <row x14ac:dyDescent="0.25" r="38" customHeight="1" ht="15.75">
      <c r="A38" s="8">
        <v>25290</v>
      </c>
      <c r="B38" s="13" t="s">
        <v>27</v>
      </c>
      <c r="C38" s="13" t="s">
        <v>4207</v>
      </c>
      <c r="D38" s="32" t="s">
        <v>4208</v>
      </c>
      <c r="E38" s="32" t="s">
        <v>7394</v>
      </c>
      <c r="F38" s="32" t="s">
        <v>7395</v>
      </c>
      <c r="G38" s="32" t="s">
        <v>7127</v>
      </c>
      <c r="H38" s="32" t="s">
        <v>7396</v>
      </c>
      <c r="I38" s="32" t="s">
        <v>7397</v>
      </c>
      <c r="J38" s="32" t="s">
        <v>696</v>
      </c>
      <c r="K38" s="32" t="s">
        <v>7398</v>
      </c>
      <c r="L38" s="32" t="s">
        <v>29</v>
      </c>
      <c r="M38" s="32" t="s">
        <v>7127</v>
      </c>
      <c r="N38" s="32" t="s">
        <v>29</v>
      </c>
      <c r="O38" s="32" t="s">
        <v>7127</v>
      </c>
    </row>
    <row x14ac:dyDescent="0.25" r="39" customHeight="1" ht="15.75">
      <c r="A39" s="8">
        <v>25291</v>
      </c>
      <c r="B39" s="13" t="s">
        <v>27</v>
      </c>
      <c r="C39" s="13" t="s">
        <v>4211</v>
      </c>
      <c r="D39" s="32" t="s">
        <v>4212</v>
      </c>
      <c r="E39" s="32" t="s">
        <v>7399</v>
      </c>
      <c r="F39" s="32" t="s">
        <v>7400</v>
      </c>
      <c r="G39" s="32" t="s">
        <v>7401</v>
      </c>
      <c r="H39" s="32" t="s">
        <v>7402</v>
      </c>
      <c r="I39" s="32" t="s">
        <v>7403</v>
      </c>
      <c r="J39" s="32" t="s">
        <v>4214</v>
      </c>
      <c r="K39" s="32" t="s">
        <v>7404</v>
      </c>
      <c r="L39" s="32" t="s">
        <v>7405</v>
      </c>
      <c r="M39" s="32" t="s">
        <v>7406</v>
      </c>
      <c r="N39" s="32" t="s">
        <v>5985</v>
      </c>
      <c r="O39" s="32" t="s">
        <v>7407</v>
      </c>
    </row>
    <row x14ac:dyDescent="0.25" r="40" customHeight="1" ht="15.75">
      <c r="A40" s="8">
        <v>25292</v>
      </c>
      <c r="B40" s="13" t="s">
        <v>27</v>
      </c>
      <c r="C40" s="13" t="s">
        <v>4216</v>
      </c>
      <c r="D40" s="32" t="s">
        <v>4217</v>
      </c>
      <c r="E40" s="32" t="s">
        <v>7408</v>
      </c>
      <c r="F40" s="32" t="s">
        <v>7409</v>
      </c>
      <c r="G40" s="32" t="s">
        <v>7410</v>
      </c>
      <c r="H40" s="32" t="s">
        <v>4476</v>
      </c>
      <c r="I40" s="32" t="s">
        <v>7411</v>
      </c>
      <c r="J40" s="32" t="s">
        <v>4178</v>
      </c>
      <c r="K40" s="32" t="s">
        <v>7412</v>
      </c>
      <c r="L40" s="32" t="s">
        <v>5373</v>
      </c>
      <c r="M40" s="32" t="s">
        <v>7413</v>
      </c>
      <c r="N40" s="32" t="s">
        <v>2562</v>
      </c>
      <c r="O40" s="32" t="s">
        <v>7414</v>
      </c>
    </row>
    <row x14ac:dyDescent="0.25" r="41" customHeight="1" ht="15.75">
      <c r="A41" s="8">
        <v>25293</v>
      </c>
      <c r="B41" s="13" t="s">
        <v>27</v>
      </c>
      <c r="C41" s="13" t="s">
        <v>4220</v>
      </c>
      <c r="D41" s="32" t="s">
        <v>4221</v>
      </c>
      <c r="E41" s="32" t="s">
        <v>7415</v>
      </c>
      <c r="F41" s="32" t="s">
        <v>34</v>
      </c>
      <c r="G41" s="32" t="s">
        <v>7127</v>
      </c>
      <c r="H41" s="32" t="s">
        <v>2079</v>
      </c>
      <c r="I41" s="32" t="s">
        <v>7416</v>
      </c>
      <c r="J41" s="32" t="s">
        <v>4222</v>
      </c>
      <c r="K41" s="32" t="s">
        <v>7417</v>
      </c>
      <c r="L41" s="32" t="s">
        <v>115</v>
      </c>
      <c r="M41" s="32" t="s">
        <v>7418</v>
      </c>
      <c r="N41" s="32" t="s">
        <v>7419</v>
      </c>
      <c r="O41" s="32" t="s">
        <v>7420</v>
      </c>
    </row>
    <row x14ac:dyDescent="0.25" r="42" customHeight="1" ht="15.75">
      <c r="A42" s="8">
        <v>25294</v>
      </c>
      <c r="B42" s="13" t="s">
        <v>27</v>
      </c>
      <c r="C42" s="13" t="s">
        <v>4224</v>
      </c>
      <c r="D42" s="32" t="s">
        <v>74</v>
      </c>
      <c r="E42" s="32" t="s">
        <v>7421</v>
      </c>
      <c r="F42" s="32" t="s">
        <v>29</v>
      </c>
      <c r="G42" s="32" t="s">
        <v>7127</v>
      </c>
      <c r="H42" s="32" t="s">
        <v>4695</v>
      </c>
      <c r="I42" s="32" t="s">
        <v>7422</v>
      </c>
      <c r="J42" s="32" t="s">
        <v>4226</v>
      </c>
      <c r="K42" s="32" t="s">
        <v>7423</v>
      </c>
      <c r="L42" s="32" t="s">
        <v>29</v>
      </c>
      <c r="M42" s="32" t="s">
        <v>7127</v>
      </c>
      <c r="N42" s="32" t="s">
        <v>149</v>
      </c>
      <c r="O42" s="32" t="s">
        <v>7424</v>
      </c>
    </row>
    <row x14ac:dyDescent="0.25" r="43" customHeight="1" ht="15.75">
      <c r="A43" s="8">
        <v>25295</v>
      </c>
      <c r="B43" s="13" t="s">
        <v>27</v>
      </c>
      <c r="C43" s="13" t="s">
        <v>7425</v>
      </c>
      <c r="D43" s="32" t="s">
        <v>5801</v>
      </c>
      <c r="E43" s="32" t="s">
        <v>7426</v>
      </c>
      <c r="F43" s="32" t="s">
        <v>857</v>
      </c>
      <c r="G43" s="32" t="s">
        <v>7427</v>
      </c>
      <c r="H43" s="32" t="s">
        <v>2679</v>
      </c>
      <c r="I43" s="32" t="s">
        <v>7428</v>
      </c>
      <c r="J43" s="32" t="s">
        <v>7127</v>
      </c>
      <c r="K43" s="32" t="s">
        <v>7127</v>
      </c>
      <c r="L43" s="32" t="s">
        <v>29</v>
      </c>
      <c r="M43" s="32" t="s">
        <v>7127</v>
      </c>
      <c r="N43" s="32" t="s">
        <v>29</v>
      </c>
      <c r="O43" s="32" t="s">
        <v>7127</v>
      </c>
    </row>
    <row x14ac:dyDescent="0.25" r="44" customHeight="1" ht="15.75">
      <c r="A44" s="8">
        <v>25251</v>
      </c>
      <c r="B44" s="13" t="s">
        <v>27</v>
      </c>
      <c r="C44" s="13" t="s">
        <v>4228</v>
      </c>
      <c r="D44" s="32" t="s">
        <v>4229</v>
      </c>
      <c r="E44" s="32" t="s">
        <v>7429</v>
      </c>
      <c r="F44" s="32" t="s">
        <v>7430</v>
      </c>
      <c r="G44" s="32" t="s">
        <v>7431</v>
      </c>
      <c r="H44" s="32" t="s">
        <v>7432</v>
      </c>
      <c r="I44" s="32" t="s">
        <v>7433</v>
      </c>
      <c r="J44" s="32" t="s">
        <v>4230</v>
      </c>
      <c r="K44" s="32" t="s">
        <v>7434</v>
      </c>
      <c r="L44" s="32" t="s">
        <v>7435</v>
      </c>
      <c r="M44" s="32" t="s">
        <v>7436</v>
      </c>
      <c r="N44" s="32" t="s">
        <v>1649</v>
      </c>
      <c r="O44" s="32" t="s">
        <v>7437</v>
      </c>
    </row>
    <row x14ac:dyDescent="0.25" r="45" customHeight="1" ht="15.75">
      <c r="A45" s="8">
        <v>25296</v>
      </c>
      <c r="B45" s="13" t="s">
        <v>27</v>
      </c>
      <c r="C45" s="13" t="s">
        <v>4232</v>
      </c>
      <c r="D45" s="32" t="s">
        <v>4233</v>
      </c>
      <c r="E45" s="32" t="s">
        <v>7438</v>
      </c>
      <c r="F45" s="32" t="s">
        <v>5013</v>
      </c>
      <c r="G45" s="32" t="s">
        <v>7439</v>
      </c>
      <c r="H45" s="32" t="s">
        <v>7440</v>
      </c>
      <c r="I45" s="32" t="s">
        <v>7441</v>
      </c>
      <c r="J45" s="32" t="s">
        <v>4234</v>
      </c>
      <c r="K45" s="32" t="s">
        <v>7442</v>
      </c>
      <c r="L45" s="32" t="s">
        <v>29</v>
      </c>
      <c r="M45" s="32" t="s">
        <v>7127</v>
      </c>
      <c r="N45" s="32" t="s">
        <v>7443</v>
      </c>
      <c r="O45" s="32" t="s">
        <v>7444</v>
      </c>
    </row>
    <row x14ac:dyDescent="0.25" r="46" customHeight="1" ht="15.75">
      <c r="A46" s="8">
        <v>25324</v>
      </c>
      <c r="B46" s="13" t="s">
        <v>27</v>
      </c>
      <c r="C46" s="13" t="s">
        <v>4236</v>
      </c>
      <c r="D46" s="32" t="s">
        <v>2705</v>
      </c>
      <c r="E46" s="32" t="s">
        <v>7445</v>
      </c>
      <c r="F46" s="32" t="s">
        <v>7446</v>
      </c>
      <c r="G46" s="32" t="s">
        <v>7447</v>
      </c>
      <c r="H46" s="32" t="s">
        <v>7448</v>
      </c>
      <c r="I46" s="32" t="s">
        <v>7449</v>
      </c>
      <c r="J46" s="32" t="s">
        <v>2539</v>
      </c>
      <c r="K46" s="32" t="s">
        <v>7450</v>
      </c>
      <c r="L46" s="32" t="s">
        <v>213</v>
      </c>
      <c r="M46" s="32" t="s">
        <v>7127</v>
      </c>
      <c r="N46" s="32" t="s">
        <v>7451</v>
      </c>
      <c r="O46" s="32" t="s">
        <v>7452</v>
      </c>
    </row>
    <row x14ac:dyDescent="0.25" r="47" customHeight="1" ht="15.75">
      <c r="A47" s="8">
        <v>25331</v>
      </c>
      <c r="B47" s="13" t="s">
        <v>27</v>
      </c>
      <c r="C47" s="13" t="s">
        <v>4238</v>
      </c>
      <c r="D47" s="32" t="s">
        <v>4239</v>
      </c>
      <c r="E47" s="32" t="s">
        <v>7453</v>
      </c>
      <c r="F47" s="32" t="s">
        <v>5672</v>
      </c>
      <c r="G47" s="32" t="s">
        <v>7454</v>
      </c>
      <c r="H47" s="32" t="s">
        <v>4317</v>
      </c>
      <c r="I47" s="32" t="s">
        <v>7455</v>
      </c>
      <c r="J47" s="32" t="s">
        <v>4241</v>
      </c>
      <c r="K47" s="32" t="s">
        <v>7456</v>
      </c>
      <c r="L47" s="32" t="s">
        <v>6145</v>
      </c>
      <c r="M47" s="32" t="s">
        <v>7457</v>
      </c>
      <c r="N47" s="32" t="s">
        <v>7088</v>
      </c>
      <c r="O47" s="32" t="s">
        <v>7458</v>
      </c>
    </row>
    <row x14ac:dyDescent="0.25" r="48" customHeight="1" ht="15.75">
      <c r="A48" s="8">
        <v>25332</v>
      </c>
      <c r="B48" s="13" t="s">
        <v>27</v>
      </c>
      <c r="C48" s="13" t="s">
        <v>4242</v>
      </c>
      <c r="D48" s="32" t="s">
        <v>4243</v>
      </c>
      <c r="E48" s="32" t="s">
        <v>7459</v>
      </c>
      <c r="F48" s="32" t="s">
        <v>5505</v>
      </c>
      <c r="G48" s="32" t="s">
        <v>7460</v>
      </c>
      <c r="H48" s="32" t="s">
        <v>6051</v>
      </c>
      <c r="I48" s="32" t="s">
        <v>7461</v>
      </c>
      <c r="J48" s="32" t="s">
        <v>4245</v>
      </c>
      <c r="K48" s="32" t="s">
        <v>7462</v>
      </c>
      <c r="L48" s="32" t="s">
        <v>7463</v>
      </c>
      <c r="M48" s="32" t="s">
        <v>7464</v>
      </c>
      <c r="N48" s="32" t="s">
        <v>1752</v>
      </c>
      <c r="O48" s="32" t="s">
        <v>7375</v>
      </c>
    </row>
    <row x14ac:dyDescent="0.25" r="49" customHeight="1" ht="15.75">
      <c r="A49" s="8">
        <v>25297</v>
      </c>
      <c r="B49" s="13" t="s">
        <v>27</v>
      </c>
      <c r="C49" s="13" t="s">
        <v>4246</v>
      </c>
      <c r="D49" s="32" t="s">
        <v>4247</v>
      </c>
      <c r="E49" s="32" t="s">
        <v>7465</v>
      </c>
      <c r="F49" s="32" t="s">
        <v>5045</v>
      </c>
      <c r="G49" s="32" t="s">
        <v>7466</v>
      </c>
      <c r="H49" s="32" t="s">
        <v>7467</v>
      </c>
      <c r="I49" s="32" t="s">
        <v>7468</v>
      </c>
      <c r="J49" s="32" t="s">
        <v>34</v>
      </c>
      <c r="K49" s="32" t="s">
        <v>7469</v>
      </c>
      <c r="L49" s="32" t="s">
        <v>7470</v>
      </c>
      <c r="M49" s="32" t="s">
        <v>7471</v>
      </c>
      <c r="N49" s="32" t="s">
        <v>34</v>
      </c>
      <c r="O49" s="32" t="s">
        <v>7472</v>
      </c>
    </row>
    <row x14ac:dyDescent="0.25" r="50" customHeight="1" ht="15.75">
      <c r="A50" s="8">
        <v>25298</v>
      </c>
      <c r="B50" s="13" t="s">
        <v>27</v>
      </c>
      <c r="C50" s="13" t="s">
        <v>4250</v>
      </c>
      <c r="D50" s="32" t="s">
        <v>1419</v>
      </c>
      <c r="E50" s="32" t="s">
        <v>7473</v>
      </c>
      <c r="F50" s="32" t="s">
        <v>7076</v>
      </c>
      <c r="G50" s="32" t="s">
        <v>7474</v>
      </c>
      <c r="H50" s="32" t="s">
        <v>81</v>
      </c>
      <c r="I50" s="32" t="s">
        <v>7475</v>
      </c>
      <c r="J50" s="32" t="s">
        <v>4252</v>
      </c>
      <c r="K50" s="32" t="s">
        <v>7476</v>
      </c>
      <c r="L50" s="32" t="s">
        <v>1143</v>
      </c>
      <c r="M50" s="32" t="s">
        <v>7477</v>
      </c>
      <c r="N50" s="32" t="s">
        <v>29</v>
      </c>
      <c r="O50" s="32" t="s">
        <v>7127</v>
      </c>
    </row>
    <row x14ac:dyDescent="0.25" r="51" customHeight="1" ht="15.75">
      <c r="A51" s="8">
        <v>25252</v>
      </c>
      <c r="B51" s="13" t="s">
        <v>27</v>
      </c>
      <c r="C51" s="13" t="s">
        <v>4253</v>
      </c>
      <c r="D51" s="32" t="s">
        <v>4254</v>
      </c>
      <c r="E51" s="32" t="s">
        <v>7478</v>
      </c>
      <c r="F51" s="32" t="s">
        <v>4368</v>
      </c>
      <c r="G51" s="32" t="s">
        <v>7479</v>
      </c>
      <c r="H51" s="32" t="s">
        <v>2635</v>
      </c>
      <c r="I51" s="32" t="s">
        <v>7480</v>
      </c>
      <c r="J51" s="32" t="s">
        <v>4256</v>
      </c>
      <c r="K51" s="32" t="s">
        <v>7481</v>
      </c>
      <c r="L51" s="32" t="s">
        <v>7482</v>
      </c>
      <c r="M51" s="32" t="s">
        <v>7483</v>
      </c>
      <c r="N51" s="32" t="s">
        <v>1054</v>
      </c>
      <c r="O51" s="32" t="s">
        <v>7426</v>
      </c>
    </row>
    <row x14ac:dyDescent="0.25" r="52" customHeight="1" ht="15.75">
      <c r="A52" s="8">
        <v>25253</v>
      </c>
      <c r="B52" s="13" t="s">
        <v>27</v>
      </c>
      <c r="C52" s="13" t="s">
        <v>4258</v>
      </c>
      <c r="D52" s="32" t="s">
        <v>1505</v>
      </c>
      <c r="E52" s="32" t="s">
        <v>7484</v>
      </c>
      <c r="F52" s="32" t="s">
        <v>2679</v>
      </c>
      <c r="G52" s="32" t="s">
        <v>7485</v>
      </c>
      <c r="H52" s="32" t="s">
        <v>857</v>
      </c>
      <c r="I52" s="32" t="s">
        <v>7486</v>
      </c>
      <c r="J52" s="32" t="s">
        <v>4259</v>
      </c>
      <c r="K52" s="32" t="s">
        <v>7487</v>
      </c>
      <c r="L52" s="32" t="s">
        <v>29</v>
      </c>
      <c r="M52" s="32" t="s">
        <v>7127</v>
      </c>
      <c r="N52" s="32" t="s">
        <v>29</v>
      </c>
      <c r="O52" s="32" t="s">
        <v>7127</v>
      </c>
    </row>
    <row x14ac:dyDescent="0.25" r="53" customHeight="1" ht="15.75">
      <c r="A53" s="8">
        <v>25269</v>
      </c>
      <c r="B53" s="13" t="s">
        <v>27</v>
      </c>
      <c r="C53" s="13" t="s">
        <v>4261</v>
      </c>
      <c r="D53" s="32" t="s">
        <v>2030</v>
      </c>
      <c r="E53" s="32" t="s">
        <v>7488</v>
      </c>
      <c r="F53" s="32" t="s">
        <v>7489</v>
      </c>
      <c r="G53" s="32" t="s">
        <v>7127</v>
      </c>
      <c r="H53" s="32" t="s">
        <v>7366</v>
      </c>
      <c r="I53" s="32" t="s">
        <v>7127</v>
      </c>
      <c r="J53" s="32" t="s">
        <v>2192</v>
      </c>
      <c r="K53" s="32" t="s">
        <v>7490</v>
      </c>
      <c r="L53" s="32" t="s">
        <v>7491</v>
      </c>
      <c r="M53" s="32" t="s">
        <v>7492</v>
      </c>
      <c r="N53" s="32" t="s">
        <v>2104</v>
      </c>
      <c r="O53" s="32" t="s">
        <v>7127</v>
      </c>
    </row>
    <row x14ac:dyDescent="0.25" r="54" customHeight="1" ht="15.75">
      <c r="A54" s="8">
        <v>25320</v>
      </c>
      <c r="B54" s="13" t="s">
        <v>27</v>
      </c>
      <c r="C54" s="13" t="s">
        <v>4264</v>
      </c>
      <c r="D54" s="32" t="s">
        <v>4265</v>
      </c>
      <c r="E54" s="32" t="s">
        <v>7493</v>
      </c>
      <c r="F54" s="32" t="s">
        <v>74</v>
      </c>
      <c r="G54" s="32" t="s">
        <v>7494</v>
      </c>
      <c r="H54" s="32" t="s">
        <v>4538</v>
      </c>
      <c r="I54" s="32" t="s">
        <v>7495</v>
      </c>
      <c r="J54" s="32" t="s">
        <v>4267</v>
      </c>
      <c r="K54" s="32" t="s">
        <v>7309</v>
      </c>
      <c r="L54" s="32" t="s">
        <v>7496</v>
      </c>
      <c r="M54" s="32" t="s">
        <v>7497</v>
      </c>
      <c r="N54" s="32" t="s">
        <v>43</v>
      </c>
      <c r="O54" s="32" t="s">
        <v>7498</v>
      </c>
    </row>
    <row x14ac:dyDescent="0.25" r="55" customHeight="1" ht="15.75">
      <c r="A55" s="8">
        <v>25240</v>
      </c>
      <c r="B55" s="13" t="s">
        <v>27</v>
      </c>
      <c r="C55" s="13" t="s">
        <v>4269</v>
      </c>
      <c r="D55" s="32" t="s">
        <v>4270</v>
      </c>
      <c r="E55" s="32" t="s">
        <v>7499</v>
      </c>
      <c r="F55" s="32" t="s">
        <v>6453</v>
      </c>
      <c r="G55" s="32" t="s">
        <v>7500</v>
      </c>
      <c r="H55" s="32" t="s">
        <v>7501</v>
      </c>
      <c r="I55" s="32" t="s">
        <v>7502</v>
      </c>
      <c r="J55" s="32" t="s">
        <v>4272</v>
      </c>
      <c r="K55" s="32" t="s">
        <v>7503</v>
      </c>
      <c r="L55" s="32" t="s">
        <v>6453</v>
      </c>
      <c r="M55" s="32" t="s">
        <v>7504</v>
      </c>
      <c r="N55" s="32" t="s">
        <v>7505</v>
      </c>
      <c r="O55" s="32" t="s">
        <v>7506</v>
      </c>
    </row>
    <row x14ac:dyDescent="0.25" r="56" customHeight="1" ht="15.75">
      <c r="A56" s="8">
        <v>25254</v>
      </c>
      <c r="B56" s="13" t="s">
        <v>27</v>
      </c>
      <c r="C56" s="13" t="s">
        <v>4273</v>
      </c>
      <c r="D56" s="32" t="s">
        <v>4274</v>
      </c>
      <c r="E56" s="32" t="s">
        <v>7507</v>
      </c>
      <c r="F56" s="32" t="s">
        <v>4716</v>
      </c>
      <c r="G56" s="32" t="s">
        <v>7508</v>
      </c>
      <c r="H56" s="32" t="s">
        <v>5472</v>
      </c>
      <c r="I56" s="32" t="s">
        <v>7509</v>
      </c>
      <c r="J56" s="32" t="s">
        <v>4275</v>
      </c>
      <c r="K56" s="32" t="s">
        <v>7510</v>
      </c>
      <c r="L56" s="32" t="s">
        <v>1047</v>
      </c>
      <c r="M56" s="32" t="s">
        <v>7511</v>
      </c>
      <c r="N56" s="32" t="s">
        <v>7512</v>
      </c>
      <c r="O56" s="32" t="s">
        <v>7332</v>
      </c>
    </row>
    <row x14ac:dyDescent="0.25" r="57" customHeight="1" ht="15.75">
      <c r="A57" s="8">
        <v>25299</v>
      </c>
      <c r="B57" s="13" t="s">
        <v>27</v>
      </c>
      <c r="C57" s="13" t="s">
        <v>4276</v>
      </c>
      <c r="D57" s="32" t="s">
        <v>4277</v>
      </c>
      <c r="E57" s="32" t="s">
        <v>7513</v>
      </c>
      <c r="F57" s="32" t="s">
        <v>7514</v>
      </c>
      <c r="G57" s="32" t="s">
        <v>7515</v>
      </c>
      <c r="H57" s="32" t="s">
        <v>5428</v>
      </c>
      <c r="I57" s="32" t="s">
        <v>7516</v>
      </c>
      <c r="J57" s="32" t="s">
        <v>4278</v>
      </c>
      <c r="K57" s="32" t="s">
        <v>7517</v>
      </c>
      <c r="L57" s="32" t="s">
        <v>7518</v>
      </c>
      <c r="M57" s="32" t="s">
        <v>7519</v>
      </c>
      <c r="N57" s="32" t="s">
        <v>7520</v>
      </c>
      <c r="O57" s="32" t="s">
        <v>7521</v>
      </c>
    </row>
    <row x14ac:dyDescent="0.25" r="58" customHeight="1" ht="15.75">
      <c r="A58" s="8">
        <v>25270</v>
      </c>
      <c r="B58" s="13" t="s">
        <v>27</v>
      </c>
      <c r="C58" s="13" t="s">
        <v>4279</v>
      </c>
      <c r="D58" s="32" t="s">
        <v>4280</v>
      </c>
      <c r="E58" s="32" t="s">
        <v>7522</v>
      </c>
      <c r="F58" s="32" t="s">
        <v>7523</v>
      </c>
      <c r="G58" s="32" t="s">
        <v>7524</v>
      </c>
      <c r="H58" s="32" t="s">
        <v>7525</v>
      </c>
      <c r="I58" s="32" t="s">
        <v>7526</v>
      </c>
      <c r="J58" s="32" t="s">
        <v>4282</v>
      </c>
      <c r="K58" s="32" t="s">
        <v>7527</v>
      </c>
      <c r="L58" s="32" t="s">
        <v>122</v>
      </c>
      <c r="M58" s="32" t="s">
        <v>7528</v>
      </c>
      <c r="N58" s="32" t="s">
        <v>7529</v>
      </c>
      <c r="O58" s="32" t="s">
        <v>7530</v>
      </c>
    </row>
    <row x14ac:dyDescent="0.25" r="59" customHeight="1" ht="15.75">
      <c r="A59" s="8">
        <v>25241</v>
      </c>
      <c r="B59" s="13" t="s">
        <v>27</v>
      </c>
      <c r="C59" s="13" t="s">
        <v>4284</v>
      </c>
      <c r="D59" s="32" t="s">
        <v>4285</v>
      </c>
      <c r="E59" s="32" t="s">
        <v>7531</v>
      </c>
      <c r="F59" s="32" t="s">
        <v>7532</v>
      </c>
      <c r="G59" s="32" t="s">
        <v>7533</v>
      </c>
      <c r="H59" s="32" t="s">
        <v>7534</v>
      </c>
      <c r="I59" s="32" t="s">
        <v>7535</v>
      </c>
      <c r="J59" s="32" t="s">
        <v>4286</v>
      </c>
      <c r="K59" s="32" t="s">
        <v>7536</v>
      </c>
      <c r="L59" s="32" t="s">
        <v>7537</v>
      </c>
      <c r="M59" s="32" t="s">
        <v>7127</v>
      </c>
      <c r="N59" s="32" t="s">
        <v>7538</v>
      </c>
      <c r="O59" s="32" t="s">
        <v>7539</v>
      </c>
    </row>
    <row x14ac:dyDescent="0.25" r="60" customHeight="1" ht="15.75">
      <c r="A60" s="8">
        <v>25300</v>
      </c>
      <c r="B60" s="13" t="s">
        <v>27</v>
      </c>
      <c r="C60" s="13" t="s">
        <v>4288</v>
      </c>
      <c r="D60" s="32" t="s">
        <v>4289</v>
      </c>
      <c r="E60" s="32" t="s">
        <v>7540</v>
      </c>
      <c r="F60" s="32" t="s">
        <v>7541</v>
      </c>
      <c r="G60" s="32" t="s">
        <v>7542</v>
      </c>
      <c r="H60" s="32" t="s">
        <v>7543</v>
      </c>
      <c r="I60" s="32" t="s">
        <v>7544</v>
      </c>
      <c r="J60" s="32" t="s">
        <v>2802</v>
      </c>
      <c r="K60" s="32" t="s">
        <v>7545</v>
      </c>
      <c r="L60" s="32" t="s">
        <v>7359</v>
      </c>
      <c r="M60" s="32" t="s">
        <v>7546</v>
      </c>
      <c r="N60" s="32" t="s">
        <v>7547</v>
      </c>
      <c r="O60" s="32" t="s">
        <v>7548</v>
      </c>
    </row>
    <row x14ac:dyDescent="0.25" r="61" customHeight="1" ht="15.75">
      <c r="A61" s="8">
        <v>25333</v>
      </c>
      <c r="B61" s="13" t="s">
        <v>27</v>
      </c>
      <c r="C61" s="13" t="s">
        <v>4291</v>
      </c>
      <c r="D61" s="32" t="s">
        <v>4292</v>
      </c>
      <c r="E61" s="32" t="s">
        <v>7549</v>
      </c>
      <c r="F61" s="32" t="s">
        <v>7550</v>
      </c>
      <c r="G61" s="32" t="s">
        <v>7551</v>
      </c>
      <c r="H61" s="32" t="s">
        <v>7552</v>
      </c>
      <c r="I61" s="32" t="s">
        <v>7553</v>
      </c>
      <c r="J61" s="32" t="s">
        <v>4294</v>
      </c>
      <c r="K61" s="32" t="s">
        <v>7127</v>
      </c>
      <c r="L61" s="32" t="s">
        <v>7554</v>
      </c>
      <c r="M61" s="32" t="s">
        <v>7555</v>
      </c>
      <c r="N61" s="32" t="s">
        <v>7556</v>
      </c>
      <c r="O61" s="32" t="s">
        <v>7557</v>
      </c>
    </row>
    <row x14ac:dyDescent="0.25" r="62" customHeight="1" ht="15.75">
      <c r="A62" s="8">
        <v>25242</v>
      </c>
      <c r="B62" s="13" t="s">
        <v>27</v>
      </c>
      <c r="C62" s="13" t="s">
        <v>4296</v>
      </c>
      <c r="D62" s="32" t="s">
        <v>4297</v>
      </c>
      <c r="E62" s="32" t="s">
        <v>7558</v>
      </c>
      <c r="F62" s="32" t="s">
        <v>7559</v>
      </c>
      <c r="G62" s="32" t="s">
        <v>7560</v>
      </c>
      <c r="H62" s="32" t="s">
        <v>5632</v>
      </c>
      <c r="I62" s="32" t="s">
        <v>7561</v>
      </c>
      <c r="J62" s="32" t="s">
        <v>2679</v>
      </c>
      <c r="K62" s="32" t="s">
        <v>7562</v>
      </c>
      <c r="L62" s="32" t="s">
        <v>5026</v>
      </c>
      <c r="M62" s="32" t="s">
        <v>7563</v>
      </c>
      <c r="N62" s="32" t="s">
        <v>2599</v>
      </c>
      <c r="O62" s="32" t="s">
        <v>7564</v>
      </c>
    </row>
    <row x14ac:dyDescent="0.25" r="63" customHeight="1" ht="15.75">
      <c r="A63" s="8">
        <v>25249</v>
      </c>
      <c r="B63" s="13" t="s">
        <v>27</v>
      </c>
      <c r="C63" s="13" t="s">
        <v>4299</v>
      </c>
      <c r="D63" s="32" t="s">
        <v>4300</v>
      </c>
      <c r="E63" s="32" t="s">
        <v>7565</v>
      </c>
      <c r="F63" s="32" t="s">
        <v>7566</v>
      </c>
      <c r="G63" s="32" t="s">
        <v>7567</v>
      </c>
      <c r="H63" s="32" t="s">
        <v>7568</v>
      </c>
      <c r="I63" s="32" t="s">
        <v>7569</v>
      </c>
      <c r="J63" s="32" t="s">
        <v>4301</v>
      </c>
      <c r="K63" s="32" t="s">
        <v>7570</v>
      </c>
      <c r="L63" s="32" t="s">
        <v>2564</v>
      </c>
      <c r="M63" s="32" t="s">
        <v>7571</v>
      </c>
      <c r="N63" s="32" t="s">
        <v>7224</v>
      </c>
      <c r="O63" s="32" t="s">
        <v>7572</v>
      </c>
    </row>
    <row x14ac:dyDescent="0.25" r="64" customHeight="1" ht="15.75">
      <c r="A64" s="8">
        <v>25301</v>
      </c>
      <c r="B64" s="13" t="s">
        <v>27</v>
      </c>
      <c r="C64" s="13" t="s">
        <v>4303</v>
      </c>
      <c r="D64" s="32" t="s">
        <v>2721</v>
      </c>
      <c r="E64" s="32" t="s">
        <v>7153</v>
      </c>
      <c r="F64" s="32" t="s">
        <v>7573</v>
      </c>
      <c r="G64" s="32" t="s">
        <v>7574</v>
      </c>
      <c r="H64" s="32" t="s">
        <v>7575</v>
      </c>
      <c r="I64" s="32" t="s">
        <v>7576</v>
      </c>
      <c r="J64" s="32" t="s">
        <v>4304</v>
      </c>
      <c r="K64" s="32" t="s">
        <v>7577</v>
      </c>
      <c r="L64" s="32" t="s">
        <v>7578</v>
      </c>
      <c r="M64" s="32" t="s">
        <v>7579</v>
      </c>
      <c r="N64" s="32" t="s">
        <v>2573</v>
      </c>
      <c r="O64" s="32" t="s">
        <v>7580</v>
      </c>
    </row>
    <row x14ac:dyDescent="0.25" r="65" customHeight="1" ht="15.75">
      <c r="A65" s="8">
        <v>25326</v>
      </c>
      <c r="B65" s="13" t="s">
        <v>27</v>
      </c>
      <c r="C65" s="13" t="s">
        <v>4306</v>
      </c>
      <c r="D65" s="32" t="s">
        <v>4307</v>
      </c>
      <c r="E65" s="32" t="s">
        <v>7581</v>
      </c>
      <c r="F65" s="32" t="s">
        <v>5285</v>
      </c>
      <c r="G65" s="32" t="s">
        <v>7582</v>
      </c>
      <c r="H65" s="32" t="s">
        <v>7583</v>
      </c>
      <c r="I65" s="32" t="s">
        <v>7584</v>
      </c>
      <c r="J65" s="32" t="s">
        <v>4309</v>
      </c>
      <c r="K65" s="32" t="s">
        <v>7585</v>
      </c>
      <c r="L65" s="32" t="s">
        <v>2498</v>
      </c>
      <c r="M65" s="32" t="s">
        <v>7586</v>
      </c>
      <c r="N65" s="32" t="s">
        <v>4307</v>
      </c>
      <c r="O65" s="32" t="s">
        <v>7587</v>
      </c>
    </row>
    <row x14ac:dyDescent="0.25" r="66" customHeight="1" ht="15.75">
      <c r="A66" s="8">
        <v>25243</v>
      </c>
      <c r="B66" s="13" t="s">
        <v>27</v>
      </c>
      <c r="C66" s="13" t="s">
        <v>4311</v>
      </c>
      <c r="D66" s="32" t="s">
        <v>4312</v>
      </c>
      <c r="E66" s="32" t="s">
        <v>7588</v>
      </c>
      <c r="F66" s="32" t="s">
        <v>7589</v>
      </c>
      <c r="G66" s="32" t="s">
        <v>7590</v>
      </c>
      <c r="H66" s="32" t="s">
        <v>4384</v>
      </c>
      <c r="I66" s="32" t="s">
        <v>7591</v>
      </c>
      <c r="J66" s="32" t="s">
        <v>4314</v>
      </c>
      <c r="K66" s="32" t="s">
        <v>7592</v>
      </c>
      <c r="L66" s="32" t="s">
        <v>7589</v>
      </c>
      <c r="M66" s="32" t="s">
        <v>7593</v>
      </c>
      <c r="N66" s="32" t="s">
        <v>7594</v>
      </c>
      <c r="O66" s="32" t="s">
        <v>7595</v>
      </c>
    </row>
    <row x14ac:dyDescent="0.25" r="67" customHeight="1" ht="15.75">
      <c r="A67" s="8">
        <v>25255</v>
      </c>
      <c r="B67" s="13" t="s">
        <v>27</v>
      </c>
      <c r="C67" s="13" t="s">
        <v>4316</v>
      </c>
      <c r="D67" s="32" t="s">
        <v>4317</v>
      </c>
      <c r="E67" s="32" t="s">
        <v>7596</v>
      </c>
      <c r="F67" s="32" t="s">
        <v>2414</v>
      </c>
      <c r="G67" s="32" t="s">
        <v>7597</v>
      </c>
      <c r="H67" s="32" t="s">
        <v>7598</v>
      </c>
      <c r="I67" s="32" t="s">
        <v>7599</v>
      </c>
      <c r="J67" s="32" t="s">
        <v>4319</v>
      </c>
      <c r="K67" s="32" t="s">
        <v>7600</v>
      </c>
      <c r="L67" s="32" t="s">
        <v>7601</v>
      </c>
      <c r="M67" s="32" t="s">
        <v>7127</v>
      </c>
      <c r="N67" s="32" t="s">
        <v>29</v>
      </c>
      <c r="O67" s="32" t="s">
        <v>7127</v>
      </c>
    </row>
    <row x14ac:dyDescent="0.25" r="68" customHeight="1" ht="15.75">
      <c r="A68" s="8">
        <v>25303</v>
      </c>
      <c r="B68" s="13" t="s">
        <v>27</v>
      </c>
      <c r="C68" s="13" t="s">
        <v>4321</v>
      </c>
      <c r="D68" s="32" t="s">
        <v>2650</v>
      </c>
      <c r="E68" s="32" t="s">
        <v>7602</v>
      </c>
      <c r="F68" s="32" t="s">
        <v>81</v>
      </c>
      <c r="G68" s="32" t="s">
        <v>7603</v>
      </c>
      <c r="H68" s="32" t="s">
        <v>88</v>
      </c>
      <c r="I68" s="32" t="s">
        <v>7604</v>
      </c>
      <c r="J68" s="32" t="s">
        <v>2088</v>
      </c>
      <c r="K68" s="32" t="s">
        <v>7605</v>
      </c>
      <c r="L68" s="32" t="s">
        <v>4319</v>
      </c>
      <c r="M68" s="32" t="s">
        <v>7606</v>
      </c>
      <c r="N68" s="32" t="s">
        <v>88</v>
      </c>
      <c r="O68" s="32" t="s">
        <v>7562</v>
      </c>
    </row>
    <row x14ac:dyDescent="0.25" r="69" customHeight="1" ht="15.75">
      <c r="A69" s="8">
        <v>25244</v>
      </c>
      <c r="B69" s="13" t="s">
        <v>27</v>
      </c>
      <c r="C69" s="13" t="s">
        <v>4324</v>
      </c>
      <c r="D69" s="32" t="s">
        <v>4325</v>
      </c>
      <c r="E69" s="32" t="s">
        <v>7607</v>
      </c>
      <c r="F69" s="32" t="s">
        <v>2616</v>
      </c>
      <c r="G69" s="32" t="s">
        <v>7608</v>
      </c>
      <c r="H69" s="32" t="s">
        <v>74</v>
      </c>
      <c r="I69" s="32" t="s">
        <v>7609</v>
      </c>
      <c r="J69" s="32" t="s">
        <v>4326</v>
      </c>
      <c r="K69" s="32" t="s">
        <v>7610</v>
      </c>
      <c r="L69" s="32" t="s">
        <v>1968</v>
      </c>
      <c r="M69" s="32" t="s">
        <v>7424</v>
      </c>
      <c r="N69" s="32" t="s">
        <v>271</v>
      </c>
      <c r="O69" s="32" t="s">
        <v>7584</v>
      </c>
    </row>
    <row x14ac:dyDescent="0.25" r="70" customHeight="1" ht="15.75">
      <c r="A70" s="8">
        <v>25334</v>
      </c>
      <c r="B70" s="13" t="s">
        <v>27</v>
      </c>
      <c r="C70" s="13" t="s">
        <v>4328</v>
      </c>
      <c r="D70" s="32" t="s">
        <v>4329</v>
      </c>
      <c r="E70" s="32" t="s">
        <v>7611</v>
      </c>
      <c r="F70" s="32" t="s">
        <v>7612</v>
      </c>
      <c r="G70" s="32" t="s">
        <v>7613</v>
      </c>
      <c r="H70" s="32" t="s">
        <v>7614</v>
      </c>
      <c r="I70" s="32" t="s">
        <v>7615</v>
      </c>
      <c r="J70" s="32" t="s">
        <v>4330</v>
      </c>
      <c r="K70" s="32" t="s">
        <v>7616</v>
      </c>
      <c r="L70" s="32" t="s">
        <v>2805</v>
      </c>
      <c r="M70" s="32" t="s">
        <v>7158</v>
      </c>
      <c r="N70" s="32" t="s">
        <v>7617</v>
      </c>
      <c r="O70" s="32" t="s">
        <v>7618</v>
      </c>
    </row>
    <row x14ac:dyDescent="0.25" r="71" customHeight="1" ht="15.75">
      <c r="A71" s="8">
        <v>25271</v>
      </c>
      <c r="B71" s="13" t="s">
        <v>27</v>
      </c>
      <c r="C71" s="13" t="s">
        <v>4332</v>
      </c>
      <c r="D71" s="32" t="s">
        <v>4333</v>
      </c>
      <c r="E71" s="32" t="s">
        <v>7619</v>
      </c>
      <c r="F71" s="32" t="s">
        <v>2486</v>
      </c>
      <c r="G71" s="32" t="s">
        <v>7620</v>
      </c>
      <c r="H71" s="32" t="s">
        <v>7621</v>
      </c>
      <c r="I71" s="32" t="s">
        <v>7622</v>
      </c>
      <c r="J71" s="32" t="s">
        <v>4335</v>
      </c>
      <c r="K71" s="32" t="s">
        <v>7623</v>
      </c>
      <c r="L71" s="32" t="s">
        <v>7624</v>
      </c>
      <c r="M71" s="32" t="s">
        <v>7625</v>
      </c>
      <c r="N71" s="32" t="s">
        <v>2394</v>
      </c>
      <c r="O71" s="32" t="s">
        <v>7626</v>
      </c>
    </row>
    <row x14ac:dyDescent="0.25" r="72" customHeight="1" ht="15.75">
      <c r="A72" s="8">
        <v>25327</v>
      </c>
      <c r="B72" s="13" t="s">
        <v>27</v>
      </c>
      <c r="C72" s="13" t="s">
        <v>4336</v>
      </c>
      <c r="D72" s="32" t="s">
        <v>2618</v>
      </c>
      <c r="E72" s="32" t="s">
        <v>7127</v>
      </c>
      <c r="F72" s="32" t="s">
        <v>2519</v>
      </c>
      <c r="G72" s="32" t="s">
        <v>7627</v>
      </c>
      <c r="H72" s="32" t="s">
        <v>7628</v>
      </c>
      <c r="I72" s="32" t="s">
        <v>7629</v>
      </c>
      <c r="J72" s="32" t="s">
        <v>4338</v>
      </c>
      <c r="K72" s="32" t="s">
        <v>7630</v>
      </c>
      <c r="L72" s="32" t="s">
        <v>7631</v>
      </c>
      <c r="M72" s="32" t="s">
        <v>7632</v>
      </c>
      <c r="N72" s="32" t="s">
        <v>2605</v>
      </c>
      <c r="O72" s="32" t="s">
        <v>7127</v>
      </c>
    </row>
    <row x14ac:dyDescent="0.25" r="73" customHeight="1" ht="15.75">
      <c r="A73" s="8">
        <v>25328</v>
      </c>
      <c r="B73" s="13" t="s">
        <v>27</v>
      </c>
      <c r="C73" s="13" t="s">
        <v>4340</v>
      </c>
      <c r="D73" s="32" t="s">
        <v>4341</v>
      </c>
      <c r="E73" s="32" t="s">
        <v>7633</v>
      </c>
      <c r="F73" s="32" t="s">
        <v>7634</v>
      </c>
      <c r="G73" s="32" t="s">
        <v>7635</v>
      </c>
      <c r="H73" s="32" t="s">
        <v>7636</v>
      </c>
      <c r="I73" s="32" t="s">
        <v>7637</v>
      </c>
      <c r="J73" s="32" t="s">
        <v>2496</v>
      </c>
      <c r="K73" s="32" t="s">
        <v>7638</v>
      </c>
      <c r="L73" s="32" t="s">
        <v>7636</v>
      </c>
      <c r="M73" s="32" t="s">
        <v>7639</v>
      </c>
      <c r="N73" s="32" t="s">
        <v>5459</v>
      </c>
      <c r="O73" s="32" t="s">
        <v>7640</v>
      </c>
    </row>
    <row x14ac:dyDescent="0.25" r="74" customHeight="1" ht="15.75">
      <c r="A74" s="8">
        <v>25304</v>
      </c>
      <c r="B74" s="13" t="s">
        <v>27</v>
      </c>
      <c r="C74" s="13" t="s">
        <v>4344</v>
      </c>
      <c r="D74" s="32" t="s">
        <v>4345</v>
      </c>
      <c r="E74" s="32" t="s">
        <v>7641</v>
      </c>
      <c r="F74" s="32" t="s">
        <v>5900</v>
      </c>
      <c r="G74" s="32" t="s">
        <v>7642</v>
      </c>
      <c r="H74" s="32" t="s">
        <v>5523</v>
      </c>
      <c r="I74" s="32" t="s">
        <v>7643</v>
      </c>
      <c r="J74" s="32" t="s">
        <v>4347</v>
      </c>
      <c r="K74" s="32" t="s">
        <v>7644</v>
      </c>
      <c r="L74" s="32" t="s">
        <v>5513</v>
      </c>
      <c r="M74" s="32" t="s">
        <v>7645</v>
      </c>
      <c r="N74" s="32" t="s">
        <v>7646</v>
      </c>
      <c r="O74" s="32" t="s">
        <v>7647</v>
      </c>
    </row>
    <row x14ac:dyDescent="0.25" r="75" customHeight="1" ht="15.75">
      <c r="A75" s="8">
        <v>25256</v>
      </c>
      <c r="B75" s="13" t="s">
        <v>27</v>
      </c>
      <c r="C75" s="13" t="s">
        <v>4349</v>
      </c>
      <c r="D75" s="32" t="s">
        <v>4350</v>
      </c>
      <c r="E75" s="32" t="s">
        <v>7648</v>
      </c>
      <c r="F75" s="32" t="s">
        <v>7649</v>
      </c>
      <c r="G75" s="32" t="s">
        <v>7650</v>
      </c>
      <c r="H75" s="32" t="s">
        <v>7651</v>
      </c>
      <c r="I75" s="32" t="s">
        <v>7652</v>
      </c>
      <c r="J75" s="32" t="s">
        <v>4351</v>
      </c>
      <c r="K75" s="32" t="s">
        <v>7653</v>
      </c>
      <c r="L75" s="32" t="s">
        <v>7654</v>
      </c>
      <c r="M75" s="32" t="s">
        <v>7655</v>
      </c>
      <c r="N75" s="32" t="s">
        <v>5474</v>
      </c>
      <c r="O75" s="32" t="s">
        <v>7656</v>
      </c>
    </row>
    <row x14ac:dyDescent="0.25" r="76" customHeight="1" ht="15.75">
      <c r="A76" s="8">
        <v>25257</v>
      </c>
      <c r="B76" s="13" t="s">
        <v>27</v>
      </c>
      <c r="C76" s="13" t="s">
        <v>4352</v>
      </c>
      <c r="D76" s="32" t="s">
        <v>1460</v>
      </c>
      <c r="E76" s="32" t="s">
        <v>7657</v>
      </c>
      <c r="F76" s="32" t="s">
        <v>4489</v>
      </c>
      <c r="G76" s="32" t="s">
        <v>7658</v>
      </c>
      <c r="H76" s="32" t="s">
        <v>7659</v>
      </c>
      <c r="I76" s="32" t="s">
        <v>7660</v>
      </c>
      <c r="J76" s="32" t="s">
        <v>2276</v>
      </c>
      <c r="K76" s="32" t="s">
        <v>7661</v>
      </c>
      <c r="L76" s="32" t="s">
        <v>29</v>
      </c>
      <c r="M76" s="32" t="s">
        <v>7127</v>
      </c>
      <c r="N76" s="32" t="s">
        <v>29</v>
      </c>
      <c r="O76" s="32" t="s">
        <v>7127</v>
      </c>
    </row>
    <row x14ac:dyDescent="0.25" r="77" customHeight="1" ht="15.75">
      <c r="A77" s="8">
        <v>25335</v>
      </c>
      <c r="B77" s="13" t="s">
        <v>27</v>
      </c>
      <c r="C77" s="13" t="s">
        <v>7662</v>
      </c>
      <c r="D77" s="32" t="s">
        <v>29</v>
      </c>
      <c r="E77" s="32" t="s">
        <v>7127</v>
      </c>
      <c r="F77" s="32" t="s">
        <v>7663</v>
      </c>
      <c r="G77" s="32" t="s">
        <v>7664</v>
      </c>
      <c r="H77" s="32" t="s">
        <v>7665</v>
      </c>
      <c r="I77" s="32" t="s">
        <v>7666</v>
      </c>
      <c r="J77" s="32" t="s">
        <v>2717</v>
      </c>
      <c r="K77" s="32" t="s">
        <v>7667</v>
      </c>
      <c r="L77" s="32" t="s">
        <v>7668</v>
      </c>
      <c r="M77" s="32" t="s">
        <v>7127</v>
      </c>
      <c r="N77" s="32" t="s">
        <v>4322</v>
      </c>
      <c r="O77" s="32" t="s">
        <v>7669</v>
      </c>
    </row>
    <row x14ac:dyDescent="0.25" r="78" customHeight="1" ht="15.75">
      <c r="A78" s="8">
        <v>25245</v>
      </c>
      <c r="B78" s="13" t="s">
        <v>27</v>
      </c>
      <c r="C78" s="13" t="s">
        <v>4355</v>
      </c>
      <c r="D78" s="32" t="s">
        <v>4356</v>
      </c>
      <c r="E78" s="32" t="s">
        <v>7670</v>
      </c>
      <c r="F78" s="32" t="s">
        <v>7671</v>
      </c>
      <c r="G78" s="32" t="s">
        <v>7672</v>
      </c>
      <c r="H78" s="32" t="s">
        <v>7673</v>
      </c>
      <c r="I78" s="32" t="s">
        <v>7674</v>
      </c>
      <c r="J78" s="32" t="s">
        <v>4140</v>
      </c>
      <c r="K78" s="32" t="s">
        <v>7675</v>
      </c>
      <c r="L78" s="32" t="s">
        <v>6284</v>
      </c>
      <c r="M78" s="32" t="s">
        <v>7676</v>
      </c>
      <c r="N78" s="32" t="s">
        <v>2470</v>
      </c>
      <c r="O78" s="32" t="s">
        <v>7677</v>
      </c>
    </row>
    <row x14ac:dyDescent="0.25" r="79" customHeight="1" ht="15.75">
      <c r="A79" s="8">
        <v>25305</v>
      </c>
      <c r="B79" s="13" t="s">
        <v>27</v>
      </c>
      <c r="C79" s="13" t="s">
        <v>4361</v>
      </c>
      <c r="D79" s="32" t="s">
        <v>4362</v>
      </c>
      <c r="E79" s="32" t="s">
        <v>7678</v>
      </c>
      <c r="F79" s="32" t="s">
        <v>7679</v>
      </c>
      <c r="G79" s="32" t="s">
        <v>7680</v>
      </c>
      <c r="H79" s="32" t="s">
        <v>7681</v>
      </c>
      <c r="I79" s="32" t="s">
        <v>7682</v>
      </c>
      <c r="J79" s="32" t="s">
        <v>4364</v>
      </c>
      <c r="K79" s="32" t="s">
        <v>7683</v>
      </c>
      <c r="L79" s="32" t="s">
        <v>7684</v>
      </c>
      <c r="M79" s="32" t="s">
        <v>7127</v>
      </c>
      <c r="N79" s="32" t="s">
        <v>7685</v>
      </c>
      <c r="O79" s="32" t="s">
        <v>7127</v>
      </c>
    </row>
    <row x14ac:dyDescent="0.25" r="80" customHeight="1" ht="15.75">
      <c r="A80" s="8">
        <v>25306</v>
      </c>
      <c r="B80" s="13" t="s">
        <v>27</v>
      </c>
      <c r="C80" s="13" t="s">
        <v>4366</v>
      </c>
      <c r="D80" s="32" t="s">
        <v>74</v>
      </c>
      <c r="E80" s="32" t="s">
        <v>7686</v>
      </c>
      <c r="F80" s="32" t="s">
        <v>5676</v>
      </c>
      <c r="G80" s="32" t="s">
        <v>7687</v>
      </c>
      <c r="H80" s="32" t="s">
        <v>7688</v>
      </c>
      <c r="I80" s="32" t="s">
        <v>7689</v>
      </c>
      <c r="J80" s="32" t="s">
        <v>4368</v>
      </c>
      <c r="K80" s="32" t="s">
        <v>7690</v>
      </c>
      <c r="L80" s="32" t="s">
        <v>7691</v>
      </c>
      <c r="M80" s="32" t="s">
        <v>7692</v>
      </c>
      <c r="N80" s="32" t="s">
        <v>122</v>
      </c>
      <c r="O80" s="32" t="s">
        <v>7693</v>
      </c>
    </row>
    <row x14ac:dyDescent="0.25" r="81" customHeight="1" ht="15.75">
      <c r="A81" s="8">
        <v>25262</v>
      </c>
      <c r="B81" s="13" t="s">
        <v>27</v>
      </c>
      <c r="C81" s="13" t="s">
        <v>4370</v>
      </c>
      <c r="D81" s="32" t="s">
        <v>4371</v>
      </c>
      <c r="E81" s="32" t="s">
        <v>7694</v>
      </c>
      <c r="F81" s="32" t="s">
        <v>5131</v>
      </c>
      <c r="G81" s="32" t="s">
        <v>7695</v>
      </c>
      <c r="H81" s="32" t="s">
        <v>7696</v>
      </c>
      <c r="I81" s="32" t="s">
        <v>7697</v>
      </c>
      <c r="J81" s="32" t="s">
        <v>4373</v>
      </c>
      <c r="K81" s="32" t="s">
        <v>7698</v>
      </c>
      <c r="L81" s="32" t="s">
        <v>6205</v>
      </c>
      <c r="M81" s="32" t="s">
        <v>7699</v>
      </c>
      <c r="N81" s="32" t="s">
        <v>7700</v>
      </c>
      <c r="O81" s="32" t="s">
        <v>7701</v>
      </c>
    </row>
    <row x14ac:dyDescent="0.25" r="82" customHeight="1" ht="15.75">
      <c r="A82" s="8">
        <v>25258</v>
      </c>
      <c r="B82" s="13" t="s">
        <v>27</v>
      </c>
      <c r="C82" s="13" t="s">
        <v>4374</v>
      </c>
      <c r="D82" s="32" t="s">
        <v>4375</v>
      </c>
      <c r="E82" s="32" t="s">
        <v>7702</v>
      </c>
      <c r="F82" s="32" t="s">
        <v>5813</v>
      </c>
      <c r="G82" s="32" t="s">
        <v>7703</v>
      </c>
      <c r="H82" s="32" t="s">
        <v>7704</v>
      </c>
      <c r="I82" s="32" t="s">
        <v>7705</v>
      </c>
      <c r="J82" s="32" t="s">
        <v>4377</v>
      </c>
      <c r="K82" s="32" t="s">
        <v>7127</v>
      </c>
      <c r="L82" s="32" t="s">
        <v>7706</v>
      </c>
      <c r="M82" s="32" t="s">
        <v>7707</v>
      </c>
      <c r="N82" s="32" t="s">
        <v>7708</v>
      </c>
      <c r="O82" s="32" t="s">
        <v>7709</v>
      </c>
    </row>
    <row x14ac:dyDescent="0.25" r="83" customHeight="1" ht="15.75">
      <c r="A83" s="8">
        <v>25246</v>
      </c>
      <c r="B83" s="13" t="s">
        <v>27</v>
      </c>
      <c r="C83" s="13" t="s">
        <v>4378</v>
      </c>
      <c r="D83" s="32" t="s">
        <v>4379</v>
      </c>
      <c r="E83" s="32" t="s">
        <v>7710</v>
      </c>
      <c r="F83" s="32" t="s">
        <v>5991</v>
      </c>
      <c r="G83" s="32" t="s">
        <v>7711</v>
      </c>
      <c r="H83" s="32" t="s">
        <v>758</v>
      </c>
      <c r="I83" s="32" t="s">
        <v>7127</v>
      </c>
      <c r="J83" s="32" t="s">
        <v>857</v>
      </c>
      <c r="K83" s="32" t="s">
        <v>7712</v>
      </c>
      <c r="L83" s="32" t="s">
        <v>4230</v>
      </c>
      <c r="M83" s="32" t="s">
        <v>7713</v>
      </c>
      <c r="N83" s="32" t="s">
        <v>7714</v>
      </c>
      <c r="O83" s="32" t="s">
        <v>7715</v>
      </c>
    </row>
    <row x14ac:dyDescent="0.25" r="84" customHeight="1" ht="15.75">
      <c r="A84" s="8">
        <v>25312</v>
      </c>
      <c r="B84" s="13" t="s">
        <v>27</v>
      </c>
      <c r="C84" s="13" t="s">
        <v>4381</v>
      </c>
      <c r="D84" s="32" t="s">
        <v>4382</v>
      </c>
      <c r="E84" s="32" t="s">
        <v>7716</v>
      </c>
      <c r="F84" s="32" t="s">
        <v>5702</v>
      </c>
      <c r="G84" s="32" t="s">
        <v>7717</v>
      </c>
      <c r="H84" s="32" t="s">
        <v>6190</v>
      </c>
      <c r="I84" s="32" t="s">
        <v>7718</v>
      </c>
      <c r="J84" s="32" t="s">
        <v>4384</v>
      </c>
      <c r="K84" s="32" t="s">
        <v>7719</v>
      </c>
      <c r="L84" s="32" t="s">
        <v>2518</v>
      </c>
      <c r="M84" s="32" t="s">
        <v>7720</v>
      </c>
      <c r="N84" s="32" t="s">
        <v>7721</v>
      </c>
      <c r="O84" s="32" t="s">
        <v>7722</v>
      </c>
    </row>
    <row x14ac:dyDescent="0.25" r="85" customHeight="1" ht="15.75">
      <c r="A85" s="8">
        <v>25260</v>
      </c>
      <c r="B85" s="13" t="s">
        <v>27</v>
      </c>
      <c r="C85" s="13" t="s">
        <v>4385</v>
      </c>
      <c r="D85" s="32" t="s">
        <v>4386</v>
      </c>
      <c r="E85" s="32" t="s">
        <v>7723</v>
      </c>
      <c r="F85" s="32" t="s">
        <v>7724</v>
      </c>
      <c r="G85" s="32" t="s">
        <v>7725</v>
      </c>
      <c r="H85" s="32" t="s">
        <v>6165</v>
      </c>
      <c r="I85" s="32" t="s">
        <v>7726</v>
      </c>
      <c r="J85" s="32" t="s">
        <v>4387</v>
      </c>
      <c r="K85" s="32" t="s">
        <v>7727</v>
      </c>
      <c r="L85" s="32" t="s">
        <v>7728</v>
      </c>
      <c r="M85" s="32" t="s">
        <v>7729</v>
      </c>
      <c r="N85" s="32" t="s">
        <v>7728</v>
      </c>
      <c r="O85" s="32" t="s">
        <v>7730</v>
      </c>
    </row>
    <row x14ac:dyDescent="0.25" r="86" customHeight="1" ht="15.75">
      <c r="A86" s="8">
        <v>25313</v>
      </c>
      <c r="B86" s="13" t="s">
        <v>27</v>
      </c>
      <c r="C86" s="13" t="s">
        <v>4389</v>
      </c>
      <c r="D86" s="32" t="s">
        <v>4390</v>
      </c>
      <c r="E86" s="32" t="s">
        <v>7731</v>
      </c>
      <c r="F86" s="32" t="s">
        <v>7732</v>
      </c>
      <c r="G86" s="32" t="s">
        <v>7733</v>
      </c>
      <c r="H86" s="32" t="s">
        <v>4863</v>
      </c>
      <c r="I86" s="32" t="s">
        <v>7734</v>
      </c>
      <c r="J86" s="32" t="s">
        <v>4391</v>
      </c>
      <c r="K86" s="32" t="s">
        <v>7127</v>
      </c>
      <c r="L86" s="32" t="s">
        <v>2535</v>
      </c>
      <c r="M86" s="32" t="s">
        <v>7735</v>
      </c>
      <c r="N86" s="32" t="s">
        <v>131</v>
      </c>
      <c r="O86" s="32" t="s">
        <v>7127</v>
      </c>
    </row>
    <row x14ac:dyDescent="0.25" r="87" customHeight="1" ht="15.75">
      <c r="A87" s="8">
        <v>26131</v>
      </c>
      <c r="B87" s="13" t="s">
        <v>512</v>
      </c>
      <c r="C87" s="13" t="s">
        <v>4393</v>
      </c>
      <c r="D87" s="32" t="s">
        <v>4394</v>
      </c>
      <c r="E87" s="32" t="s">
        <v>7736</v>
      </c>
      <c r="F87" s="32" t="s">
        <v>7737</v>
      </c>
      <c r="G87" s="32" t="s">
        <v>7738</v>
      </c>
      <c r="H87" s="32" t="s">
        <v>7739</v>
      </c>
      <c r="I87" s="32" t="s">
        <v>7740</v>
      </c>
      <c r="J87" s="32" t="s">
        <v>4396</v>
      </c>
      <c r="K87" s="32" t="s">
        <v>7741</v>
      </c>
      <c r="L87" s="32" t="s">
        <v>7742</v>
      </c>
      <c r="M87" s="32" t="s">
        <v>7743</v>
      </c>
      <c r="N87" s="32" t="s">
        <v>7742</v>
      </c>
      <c r="O87" s="32" t="s">
        <v>7744</v>
      </c>
    </row>
    <row x14ac:dyDescent="0.25" r="88" customHeight="1" ht="15.75">
      <c r="A88" s="8">
        <v>26132</v>
      </c>
      <c r="B88" s="13" t="s">
        <v>512</v>
      </c>
      <c r="C88" s="13" t="s">
        <v>4397</v>
      </c>
      <c r="D88" s="32" t="s">
        <v>4398</v>
      </c>
      <c r="E88" s="32" t="s">
        <v>7745</v>
      </c>
      <c r="F88" s="32" t="s">
        <v>7746</v>
      </c>
      <c r="G88" s="32" t="s">
        <v>7747</v>
      </c>
      <c r="H88" s="32" t="s">
        <v>4451</v>
      </c>
      <c r="I88" s="32" t="s">
        <v>7748</v>
      </c>
      <c r="J88" s="32" t="s">
        <v>4399</v>
      </c>
      <c r="K88" s="32" t="s">
        <v>7749</v>
      </c>
      <c r="L88" s="32" t="s">
        <v>7746</v>
      </c>
      <c r="M88" s="32" t="s">
        <v>7750</v>
      </c>
      <c r="N88" s="32" t="s">
        <v>6177</v>
      </c>
      <c r="O88" s="32" t="s">
        <v>7751</v>
      </c>
    </row>
    <row x14ac:dyDescent="0.25" r="89" customHeight="1" ht="15.75">
      <c r="A89" s="8">
        <v>26113</v>
      </c>
      <c r="B89" s="13" t="s">
        <v>512</v>
      </c>
      <c r="C89" s="13" t="s">
        <v>4400</v>
      </c>
      <c r="D89" s="32" t="s">
        <v>74</v>
      </c>
      <c r="E89" s="32" t="s">
        <v>7752</v>
      </c>
      <c r="F89" s="32" t="s">
        <v>5225</v>
      </c>
      <c r="G89" s="32" t="s">
        <v>7753</v>
      </c>
      <c r="H89" s="32" t="s">
        <v>7754</v>
      </c>
      <c r="I89" s="32" t="s">
        <v>7755</v>
      </c>
      <c r="J89" s="32" t="s">
        <v>4401</v>
      </c>
      <c r="K89" s="32" t="s">
        <v>7756</v>
      </c>
      <c r="L89" s="32" t="s">
        <v>5013</v>
      </c>
      <c r="M89" s="32" t="s">
        <v>7757</v>
      </c>
      <c r="N89" s="32" t="s">
        <v>7758</v>
      </c>
      <c r="O89" s="32" t="s">
        <v>7759</v>
      </c>
    </row>
    <row x14ac:dyDescent="0.25" r="90" customHeight="1" ht="15.75">
      <c r="A90" s="8">
        <v>26143</v>
      </c>
      <c r="B90" s="13" t="s">
        <v>512</v>
      </c>
      <c r="C90" s="13" t="s">
        <v>4402</v>
      </c>
      <c r="D90" s="32" t="s">
        <v>4403</v>
      </c>
      <c r="E90" s="32" t="s">
        <v>7760</v>
      </c>
      <c r="F90" s="32" t="s">
        <v>7761</v>
      </c>
      <c r="G90" s="32" t="s">
        <v>7762</v>
      </c>
      <c r="H90" s="32" t="s">
        <v>7761</v>
      </c>
      <c r="I90" s="32" t="s">
        <v>7763</v>
      </c>
      <c r="J90" s="32" t="s">
        <v>4405</v>
      </c>
      <c r="K90" s="32" t="s">
        <v>7764</v>
      </c>
      <c r="L90" s="32" t="s">
        <v>7765</v>
      </c>
      <c r="M90" s="32" t="s">
        <v>7766</v>
      </c>
      <c r="N90" s="32" t="s">
        <v>7765</v>
      </c>
      <c r="O90" s="32" t="s">
        <v>7767</v>
      </c>
    </row>
    <row x14ac:dyDescent="0.25" r="91" customHeight="1" ht="15.75">
      <c r="A91" s="8">
        <v>26133</v>
      </c>
      <c r="B91" s="13" t="s">
        <v>512</v>
      </c>
      <c r="C91" s="13" t="s">
        <v>4407</v>
      </c>
      <c r="D91" s="32" t="s">
        <v>4408</v>
      </c>
      <c r="E91" s="32" t="s">
        <v>7768</v>
      </c>
      <c r="F91" s="32" t="s">
        <v>7769</v>
      </c>
      <c r="G91" s="32" t="s">
        <v>7770</v>
      </c>
      <c r="H91" s="32" t="s">
        <v>7771</v>
      </c>
      <c r="I91" s="32" t="s">
        <v>7772</v>
      </c>
      <c r="J91" s="32" t="s">
        <v>4410</v>
      </c>
      <c r="K91" s="32" t="s">
        <v>7773</v>
      </c>
      <c r="L91" s="32" t="s">
        <v>4536</v>
      </c>
      <c r="M91" s="32" t="s">
        <v>7774</v>
      </c>
      <c r="N91" s="32" t="s">
        <v>4319</v>
      </c>
      <c r="O91" s="32" t="s">
        <v>7775</v>
      </c>
    </row>
    <row x14ac:dyDescent="0.25" r="92" customHeight="1" ht="15.75">
      <c r="A92" s="8">
        <v>26134</v>
      </c>
      <c r="B92" s="13" t="s">
        <v>512</v>
      </c>
      <c r="C92" s="13" t="s">
        <v>4412</v>
      </c>
      <c r="D92" s="32" t="s">
        <v>1505</v>
      </c>
      <c r="E92" s="32" t="s">
        <v>7776</v>
      </c>
      <c r="F92" s="32" t="s">
        <v>7777</v>
      </c>
      <c r="G92" s="32" t="s">
        <v>7778</v>
      </c>
      <c r="H92" s="32" t="s">
        <v>34</v>
      </c>
      <c r="I92" s="32" t="s">
        <v>7779</v>
      </c>
      <c r="J92" s="32" t="s">
        <v>2679</v>
      </c>
      <c r="K92" s="32" t="s">
        <v>7780</v>
      </c>
      <c r="L92" s="32" t="s">
        <v>7781</v>
      </c>
      <c r="M92" s="32" t="s">
        <v>7782</v>
      </c>
      <c r="N92" s="32" t="s">
        <v>857</v>
      </c>
      <c r="O92" s="32" t="s">
        <v>7783</v>
      </c>
    </row>
    <row x14ac:dyDescent="0.25" r="93" customHeight="1" ht="15.75">
      <c r="A93" s="8">
        <v>26121</v>
      </c>
      <c r="B93" s="13" t="s">
        <v>512</v>
      </c>
      <c r="C93" s="13" t="s">
        <v>4415</v>
      </c>
      <c r="D93" s="32" t="s">
        <v>4416</v>
      </c>
      <c r="E93" s="32" t="s">
        <v>7784</v>
      </c>
      <c r="F93" s="32" t="s">
        <v>7785</v>
      </c>
      <c r="G93" s="32" t="s">
        <v>7786</v>
      </c>
      <c r="H93" s="32" t="s">
        <v>4706</v>
      </c>
      <c r="I93" s="32" t="s">
        <v>7787</v>
      </c>
      <c r="J93" s="32" t="s">
        <v>4417</v>
      </c>
      <c r="K93" s="32" t="s">
        <v>7788</v>
      </c>
      <c r="L93" s="32" t="s">
        <v>7789</v>
      </c>
      <c r="M93" s="32" t="s">
        <v>7790</v>
      </c>
      <c r="N93" s="32" t="s">
        <v>7791</v>
      </c>
      <c r="O93" s="32" t="s">
        <v>7792</v>
      </c>
    </row>
    <row x14ac:dyDescent="0.25" r="94" customHeight="1" ht="15.75">
      <c r="A94" s="8">
        <v>26098</v>
      </c>
      <c r="B94" s="13" t="s">
        <v>512</v>
      </c>
      <c r="C94" s="13" t="s">
        <v>4418</v>
      </c>
      <c r="D94" s="32" t="s">
        <v>4419</v>
      </c>
      <c r="E94" s="32" t="s">
        <v>7793</v>
      </c>
      <c r="F94" s="32" t="s">
        <v>5104</v>
      </c>
      <c r="G94" s="32" t="s">
        <v>7794</v>
      </c>
      <c r="H94" s="32" t="s">
        <v>7795</v>
      </c>
      <c r="I94" s="32" t="s">
        <v>7796</v>
      </c>
      <c r="J94" s="32" t="s">
        <v>4421</v>
      </c>
      <c r="K94" s="32" t="s">
        <v>7797</v>
      </c>
      <c r="L94" s="32" t="s">
        <v>5244</v>
      </c>
      <c r="M94" s="32" t="s">
        <v>7798</v>
      </c>
      <c r="N94" s="32" t="s">
        <v>5244</v>
      </c>
      <c r="O94" s="32" t="s">
        <v>7799</v>
      </c>
    </row>
    <row x14ac:dyDescent="0.25" r="95" customHeight="1" ht="15.75">
      <c r="A95" s="8">
        <v>26122</v>
      </c>
      <c r="B95" s="13" t="s">
        <v>512</v>
      </c>
      <c r="C95" s="13" t="s">
        <v>4423</v>
      </c>
      <c r="D95" s="32" t="s">
        <v>4424</v>
      </c>
      <c r="E95" s="32" t="s">
        <v>7155</v>
      </c>
      <c r="F95" s="32" t="s">
        <v>7800</v>
      </c>
      <c r="G95" s="32" t="s">
        <v>7801</v>
      </c>
      <c r="H95" s="32" t="s">
        <v>7802</v>
      </c>
      <c r="I95" s="32" t="s">
        <v>7803</v>
      </c>
      <c r="J95" s="32" t="s">
        <v>4426</v>
      </c>
      <c r="K95" s="32" t="s">
        <v>7804</v>
      </c>
      <c r="L95" s="32" t="s">
        <v>7805</v>
      </c>
      <c r="M95" s="32" t="s">
        <v>7806</v>
      </c>
      <c r="N95" s="32" t="s">
        <v>6304</v>
      </c>
      <c r="O95" s="32" t="s">
        <v>7807</v>
      </c>
    </row>
    <row x14ac:dyDescent="0.25" r="96" customHeight="1" ht="15.75">
      <c r="A96" s="8">
        <v>26114</v>
      </c>
      <c r="B96" s="13" t="s">
        <v>512</v>
      </c>
      <c r="C96" s="13" t="s">
        <v>4428</v>
      </c>
      <c r="D96" s="32" t="s">
        <v>4429</v>
      </c>
      <c r="E96" s="32" t="s">
        <v>7808</v>
      </c>
      <c r="F96" s="32" t="s">
        <v>4429</v>
      </c>
      <c r="G96" s="32" t="s">
        <v>7809</v>
      </c>
      <c r="H96" s="32" t="s">
        <v>951</v>
      </c>
      <c r="I96" s="32" t="s">
        <v>7810</v>
      </c>
      <c r="J96" s="32" t="s">
        <v>4429</v>
      </c>
      <c r="K96" s="32" t="s">
        <v>7811</v>
      </c>
      <c r="L96" s="32" t="s">
        <v>2705</v>
      </c>
      <c r="M96" s="32" t="s">
        <v>7812</v>
      </c>
      <c r="N96" s="32" t="s">
        <v>2705</v>
      </c>
      <c r="O96" s="32" t="s">
        <v>7813</v>
      </c>
    </row>
    <row x14ac:dyDescent="0.25" r="97" customHeight="1" ht="15.75">
      <c r="A97" s="8">
        <v>26144</v>
      </c>
      <c r="B97" s="13" t="s">
        <v>512</v>
      </c>
      <c r="C97" s="13" t="s">
        <v>4431</v>
      </c>
      <c r="D97" s="32" t="s">
        <v>4067</v>
      </c>
      <c r="E97" s="32" t="s">
        <v>7814</v>
      </c>
      <c r="F97" s="32" t="s">
        <v>4140</v>
      </c>
      <c r="G97" s="32" t="s">
        <v>7815</v>
      </c>
      <c r="H97" s="32" t="s">
        <v>4433</v>
      </c>
      <c r="I97" s="32" t="s">
        <v>7816</v>
      </c>
      <c r="J97" s="32" t="s">
        <v>4433</v>
      </c>
      <c r="K97" s="32" t="s">
        <v>7817</v>
      </c>
      <c r="L97" s="32" t="s">
        <v>4713</v>
      </c>
      <c r="M97" s="32" t="s">
        <v>7818</v>
      </c>
      <c r="N97" s="32" t="s">
        <v>2539</v>
      </c>
      <c r="O97" s="32" t="s">
        <v>7819</v>
      </c>
    </row>
    <row x14ac:dyDescent="0.25" r="98" customHeight="1" ht="15.75">
      <c r="A98" s="8">
        <v>26135</v>
      </c>
      <c r="B98" s="13" t="s">
        <v>512</v>
      </c>
      <c r="C98" s="13" t="s">
        <v>4434</v>
      </c>
      <c r="D98" s="32" t="s">
        <v>4435</v>
      </c>
      <c r="E98" s="32" t="s">
        <v>7820</v>
      </c>
      <c r="F98" s="32" t="s">
        <v>74</v>
      </c>
      <c r="G98" s="32" t="s">
        <v>7821</v>
      </c>
      <c r="H98" s="32" t="s">
        <v>74</v>
      </c>
      <c r="I98" s="32" t="s">
        <v>7822</v>
      </c>
      <c r="J98" s="32" t="s">
        <v>74</v>
      </c>
      <c r="K98" s="32" t="s">
        <v>7823</v>
      </c>
      <c r="L98" s="32" t="s">
        <v>7824</v>
      </c>
      <c r="M98" s="32" t="s">
        <v>7825</v>
      </c>
      <c r="N98" s="32" t="s">
        <v>4272</v>
      </c>
      <c r="O98" s="32" t="s">
        <v>7826</v>
      </c>
    </row>
    <row x14ac:dyDescent="0.25" r="99" customHeight="1" ht="15.75">
      <c r="A99" s="8">
        <v>26099</v>
      </c>
      <c r="B99" s="13" t="s">
        <v>512</v>
      </c>
      <c r="C99" s="13" t="s">
        <v>4438</v>
      </c>
      <c r="D99" s="32" t="s">
        <v>2714</v>
      </c>
      <c r="E99" s="32" t="s">
        <v>7827</v>
      </c>
      <c r="F99" s="32" t="s">
        <v>74</v>
      </c>
      <c r="G99" s="32" t="s">
        <v>7828</v>
      </c>
      <c r="H99" s="32" t="s">
        <v>7829</v>
      </c>
      <c r="I99" s="32" t="s">
        <v>7830</v>
      </c>
      <c r="J99" s="32" t="s">
        <v>4440</v>
      </c>
      <c r="K99" s="32" t="s">
        <v>7831</v>
      </c>
      <c r="L99" s="32" t="s">
        <v>7832</v>
      </c>
      <c r="M99" s="32" t="s">
        <v>7833</v>
      </c>
      <c r="N99" s="32" t="s">
        <v>6636</v>
      </c>
      <c r="O99" s="32" t="s">
        <v>7834</v>
      </c>
    </row>
    <row x14ac:dyDescent="0.25" r="100" customHeight="1" ht="15.75">
      <c r="A100" s="8">
        <v>26115</v>
      </c>
      <c r="B100" s="13" t="s">
        <v>512</v>
      </c>
      <c r="C100" s="13" t="s">
        <v>4441</v>
      </c>
      <c r="D100" s="32" t="s">
        <v>4442</v>
      </c>
      <c r="E100" s="32" t="s">
        <v>7835</v>
      </c>
      <c r="F100" s="32" t="s">
        <v>7836</v>
      </c>
      <c r="G100" s="32" t="s">
        <v>7837</v>
      </c>
      <c r="H100" s="32" t="s">
        <v>5776</v>
      </c>
      <c r="I100" s="32" t="s">
        <v>7838</v>
      </c>
      <c r="J100" s="32" t="s">
        <v>2276</v>
      </c>
      <c r="K100" s="32" t="s">
        <v>7839</v>
      </c>
      <c r="L100" s="32" t="s">
        <v>7840</v>
      </c>
      <c r="M100" s="32" t="s">
        <v>7841</v>
      </c>
      <c r="N100" s="32" t="s">
        <v>7842</v>
      </c>
      <c r="O100" s="32" t="s">
        <v>7843</v>
      </c>
    </row>
    <row x14ac:dyDescent="0.25" r="101" customHeight="1" ht="15.75">
      <c r="A101" s="8">
        <v>26136</v>
      </c>
      <c r="B101" s="13" t="s">
        <v>512</v>
      </c>
      <c r="C101" s="13" t="s">
        <v>4444</v>
      </c>
      <c r="D101" s="32" t="s">
        <v>4408</v>
      </c>
      <c r="E101" s="32" t="s">
        <v>7844</v>
      </c>
      <c r="F101" s="32" t="s">
        <v>4820</v>
      </c>
      <c r="G101" s="32" t="s">
        <v>7845</v>
      </c>
      <c r="H101" s="32" t="s">
        <v>88</v>
      </c>
      <c r="I101" s="32" t="s">
        <v>7536</v>
      </c>
      <c r="J101" s="32" t="s">
        <v>4446</v>
      </c>
      <c r="K101" s="32" t="s">
        <v>7846</v>
      </c>
      <c r="L101" s="32" t="s">
        <v>4820</v>
      </c>
      <c r="M101" s="32" t="s">
        <v>7618</v>
      </c>
      <c r="N101" s="32" t="s">
        <v>88</v>
      </c>
      <c r="O101" s="32" t="s">
        <v>7847</v>
      </c>
    </row>
    <row x14ac:dyDescent="0.25" r="102" customHeight="1" ht="15.75">
      <c r="A102" s="8">
        <v>26111</v>
      </c>
      <c r="B102" s="13" t="s">
        <v>512</v>
      </c>
      <c r="C102" s="13" t="s">
        <v>4448</v>
      </c>
      <c r="D102" s="32" t="s">
        <v>4449</v>
      </c>
      <c r="E102" s="32" t="s">
        <v>7848</v>
      </c>
      <c r="F102" s="32" t="s">
        <v>6451</v>
      </c>
      <c r="G102" s="32" t="s">
        <v>7849</v>
      </c>
      <c r="H102" s="32" t="s">
        <v>5863</v>
      </c>
      <c r="I102" s="32" t="s">
        <v>7850</v>
      </c>
      <c r="J102" s="32" t="s">
        <v>4451</v>
      </c>
      <c r="K102" s="32" t="s">
        <v>7851</v>
      </c>
      <c r="L102" s="32" t="s">
        <v>2616</v>
      </c>
      <c r="M102" s="32" t="s">
        <v>7852</v>
      </c>
      <c r="N102" s="32" t="s">
        <v>4848</v>
      </c>
      <c r="O102" s="32" t="s">
        <v>7853</v>
      </c>
    </row>
    <row x14ac:dyDescent="0.25" r="103" customHeight="1" ht="15.75">
      <c r="A103" s="8">
        <v>26137</v>
      </c>
      <c r="B103" s="13" t="s">
        <v>512</v>
      </c>
      <c r="C103" s="13" t="s">
        <v>4453</v>
      </c>
      <c r="D103" s="32" t="s">
        <v>4454</v>
      </c>
      <c r="E103" s="32" t="s">
        <v>7854</v>
      </c>
      <c r="F103" s="32" t="s">
        <v>6446</v>
      </c>
      <c r="G103" s="32" t="s">
        <v>7855</v>
      </c>
      <c r="H103" s="32" t="s">
        <v>5240</v>
      </c>
      <c r="I103" s="32" t="s">
        <v>7856</v>
      </c>
      <c r="J103" s="32" t="s">
        <v>4456</v>
      </c>
      <c r="K103" s="32" t="s">
        <v>7857</v>
      </c>
      <c r="L103" s="32" t="s">
        <v>7858</v>
      </c>
      <c r="M103" s="32" t="s">
        <v>7859</v>
      </c>
      <c r="N103" s="32" t="s">
        <v>7860</v>
      </c>
      <c r="O103" s="32" t="s">
        <v>7861</v>
      </c>
    </row>
    <row x14ac:dyDescent="0.25" r="104" customHeight="1" ht="15.75">
      <c r="A104" s="8">
        <v>26126</v>
      </c>
      <c r="B104" s="13" t="s">
        <v>512</v>
      </c>
      <c r="C104" s="13" t="s">
        <v>4458</v>
      </c>
      <c r="D104" s="32" t="s">
        <v>4459</v>
      </c>
      <c r="E104" s="32" t="s">
        <v>7862</v>
      </c>
      <c r="F104" s="32" t="s">
        <v>7863</v>
      </c>
      <c r="G104" s="32" t="s">
        <v>7864</v>
      </c>
      <c r="H104" s="32" t="s">
        <v>6129</v>
      </c>
      <c r="I104" s="32" t="s">
        <v>7865</v>
      </c>
      <c r="J104" s="32" t="s">
        <v>4461</v>
      </c>
      <c r="K104" s="32" t="s">
        <v>7866</v>
      </c>
      <c r="L104" s="32" t="s">
        <v>7867</v>
      </c>
      <c r="M104" s="32" t="s">
        <v>7868</v>
      </c>
      <c r="N104" s="32" t="s">
        <v>2592</v>
      </c>
      <c r="O104" s="32" t="s">
        <v>7869</v>
      </c>
    </row>
    <row x14ac:dyDescent="0.25" r="105" customHeight="1" ht="15.75">
      <c r="A105" s="8">
        <v>26109</v>
      </c>
      <c r="B105" s="13" t="s">
        <v>512</v>
      </c>
      <c r="C105" s="13" t="s">
        <v>4462</v>
      </c>
      <c r="D105" s="32" t="s">
        <v>4463</v>
      </c>
      <c r="E105" s="32" t="s">
        <v>7870</v>
      </c>
      <c r="F105" s="32" t="s">
        <v>7871</v>
      </c>
      <c r="G105" s="32" t="s">
        <v>7872</v>
      </c>
      <c r="H105" s="32" t="s">
        <v>4464</v>
      </c>
      <c r="I105" s="32" t="s">
        <v>7873</v>
      </c>
      <c r="J105" s="32" t="s">
        <v>4464</v>
      </c>
      <c r="K105" s="32" t="s">
        <v>7874</v>
      </c>
      <c r="L105" s="32" t="s">
        <v>74</v>
      </c>
      <c r="M105" s="32" t="s">
        <v>7875</v>
      </c>
      <c r="N105" s="32" t="s">
        <v>74</v>
      </c>
      <c r="O105" s="32" t="s">
        <v>7562</v>
      </c>
    </row>
    <row x14ac:dyDescent="0.25" r="106" customHeight="1" ht="15.75">
      <c r="A106" s="8">
        <v>26100</v>
      </c>
      <c r="B106" s="13" t="s">
        <v>512</v>
      </c>
      <c r="C106" s="13" t="s">
        <v>4466</v>
      </c>
      <c r="D106" s="32" t="s">
        <v>4247</v>
      </c>
      <c r="E106" s="32" t="s">
        <v>7876</v>
      </c>
      <c r="F106" s="32" t="s">
        <v>7877</v>
      </c>
      <c r="G106" s="32" t="s">
        <v>7878</v>
      </c>
      <c r="H106" s="32" t="s">
        <v>7879</v>
      </c>
      <c r="I106" s="32" t="s">
        <v>7880</v>
      </c>
      <c r="J106" s="32" t="s">
        <v>4468</v>
      </c>
      <c r="K106" s="32" t="s">
        <v>7881</v>
      </c>
      <c r="L106" s="32" t="s">
        <v>7882</v>
      </c>
      <c r="M106" s="32" t="s">
        <v>7883</v>
      </c>
      <c r="N106" s="32" t="s">
        <v>7884</v>
      </c>
      <c r="O106" s="32" t="s">
        <v>7885</v>
      </c>
    </row>
    <row x14ac:dyDescent="0.25" r="107" customHeight="1" ht="15.75">
      <c r="A107" s="8">
        <v>26138</v>
      </c>
      <c r="B107" s="13" t="s">
        <v>512</v>
      </c>
      <c r="C107" s="13" t="s">
        <v>4470</v>
      </c>
      <c r="D107" s="32" t="s">
        <v>4471</v>
      </c>
      <c r="E107" s="32" t="s">
        <v>7886</v>
      </c>
      <c r="F107" s="32" t="s">
        <v>7463</v>
      </c>
      <c r="G107" s="32" t="s">
        <v>7887</v>
      </c>
      <c r="H107" s="32" t="s">
        <v>7888</v>
      </c>
      <c r="I107" s="32" t="s">
        <v>7889</v>
      </c>
      <c r="J107" s="32" t="s">
        <v>4473</v>
      </c>
      <c r="K107" s="32" t="s">
        <v>7890</v>
      </c>
      <c r="L107" s="32" t="s">
        <v>7891</v>
      </c>
      <c r="M107" s="32" t="s">
        <v>7892</v>
      </c>
      <c r="N107" s="32" t="s">
        <v>7893</v>
      </c>
      <c r="O107" s="32" t="s">
        <v>7894</v>
      </c>
    </row>
    <row x14ac:dyDescent="0.25" r="108" customHeight="1" ht="15.75">
      <c r="A108" s="8">
        <v>26123</v>
      </c>
      <c r="B108" s="13" t="s">
        <v>512</v>
      </c>
      <c r="C108" s="13" t="s">
        <v>4475</v>
      </c>
      <c r="D108" s="32" t="s">
        <v>4476</v>
      </c>
      <c r="E108" s="32" t="s">
        <v>7895</v>
      </c>
      <c r="F108" s="32" t="s">
        <v>7896</v>
      </c>
      <c r="G108" s="32" t="s">
        <v>7897</v>
      </c>
      <c r="H108" s="32" t="s">
        <v>4949</v>
      </c>
      <c r="I108" s="32" t="s">
        <v>7898</v>
      </c>
      <c r="J108" s="32" t="s">
        <v>4478</v>
      </c>
      <c r="K108" s="32" t="s">
        <v>7899</v>
      </c>
      <c r="L108" s="32" t="s">
        <v>7128</v>
      </c>
      <c r="M108" s="32" t="s">
        <v>7900</v>
      </c>
      <c r="N108" s="32" t="s">
        <v>7901</v>
      </c>
      <c r="O108" s="32" t="s">
        <v>7902</v>
      </c>
    </row>
    <row x14ac:dyDescent="0.25" r="109" customHeight="1" ht="15.75">
      <c r="A109" s="8">
        <v>26124</v>
      </c>
      <c r="B109" s="13" t="s">
        <v>512</v>
      </c>
      <c r="C109" s="13" t="s">
        <v>4480</v>
      </c>
      <c r="D109" s="32" t="s">
        <v>4481</v>
      </c>
      <c r="E109" s="32" t="s">
        <v>7903</v>
      </c>
      <c r="F109" s="32" t="s">
        <v>6944</v>
      </c>
      <c r="G109" s="32" t="s">
        <v>7904</v>
      </c>
      <c r="H109" s="32" t="s">
        <v>7905</v>
      </c>
      <c r="I109" s="32" t="s">
        <v>7906</v>
      </c>
      <c r="J109" s="32" t="s">
        <v>4483</v>
      </c>
      <c r="K109" s="32" t="s">
        <v>7907</v>
      </c>
      <c r="L109" s="32" t="s">
        <v>2000</v>
      </c>
      <c r="M109" s="32" t="s">
        <v>7908</v>
      </c>
      <c r="N109" s="32" t="s">
        <v>5991</v>
      </c>
      <c r="O109" s="32" t="s">
        <v>7909</v>
      </c>
    </row>
    <row x14ac:dyDescent="0.25" r="110" customHeight="1" ht="15.75">
      <c r="A110" s="8">
        <v>26145</v>
      </c>
      <c r="B110" s="13" t="s">
        <v>512</v>
      </c>
      <c r="C110" s="13" t="s">
        <v>4484</v>
      </c>
      <c r="D110" s="32" t="s">
        <v>4485</v>
      </c>
      <c r="E110" s="32" t="s">
        <v>7910</v>
      </c>
      <c r="F110" s="32" t="s">
        <v>4309</v>
      </c>
      <c r="G110" s="32" t="s">
        <v>7911</v>
      </c>
      <c r="H110" s="32" t="s">
        <v>7912</v>
      </c>
      <c r="I110" s="32" t="s">
        <v>7913</v>
      </c>
      <c r="J110" s="32" t="s">
        <v>4487</v>
      </c>
      <c r="K110" s="32" t="s">
        <v>7914</v>
      </c>
      <c r="L110" s="32" t="s">
        <v>7915</v>
      </c>
      <c r="M110" s="32" t="s">
        <v>7916</v>
      </c>
      <c r="N110" s="32" t="s">
        <v>7917</v>
      </c>
      <c r="O110" s="32" t="s">
        <v>7918</v>
      </c>
    </row>
    <row x14ac:dyDescent="0.25" r="111" customHeight="1" ht="15.75">
      <c r="A111" s="8">
        <v>26125</v>
      </c>
      <c r="B111" s="13" t="s">
        <v>512</v>
      </c>
      <c r="C111" s="13" t="s">
        <v>4488</v>
      </c>
      <c r="D111" s="32" t="s">
        <v>4489</v>
      </c>
      <c r="E111" s="32" t="s">
        <v>7919</v>
      </c>
      <c r="F111" s="32" t="s">
        <v>7920</v>
      </c>
      <c r="G111" s="32" t="s">
        <v>7921</v>
      </c>
      <c r="H111" s="32" t="s">
        <v>7922</v>
      </c>
      <c r="I111" s="32" t="s">
        <v>7923</v>
      </c>
      <c r="J111" s="32" t="s">
        <v>4491</v>
      </c>
      <c r="K111" s="32" t="s">
        <v>7924</v>
      </c>
      <c r="L111" s="32" t="s">
        <v>7925</v>
      </c>
      <c r="M111" s="32" t="s">
        <v>7926</v>
      </c>
      <c r="N111" s="32" t="s">
        <v>7927</v>
      </c>
      <c r="O111" s="32" t="s">
        <v>7928</v>
      </c>
    </row>
    <row x14ac:dyDescent="0.25" r="112" customHeight="1" ht="15.75">
      <c r="A112" s="8">
        <v>26129</v>
      </c>
      <c r="B112" s="13" t="s">
        <v>512</v>
      </c>
      <c r="C112" s="13" t="s">
        <v>4492</v>
      </c>
      <c r="D112" s="32" t="s">
        <v>74</v>
      </c>
      <c r="E112" s="32" t="s">
        <v>7929</v>
      </c>
      <c r="F112" s="32" t="s">
        <v>7930</v>
      </c>
      <c r="G112" s="32" t="s">
        <v>7931</v>
      </c>
      <c r="H112" s="32" t="s">
        <v>7932</v>
      </c>
      <c r="I112" s="32" t="s">
        <v>7933</v>
      </c>
      <c r="J112" s="32" t="s">
        <v>4494</v>
      </c>
      <c r="K112" s="32" t="s">
        <v>7934</v>
      </c>
      <c r="L112" s="32" t="s">
        <v>7935</v>
      </c>
      <c r="M112" s="32" t="s">
        <v>7936</v>
      </c>
      <c r="N112" s="32" t="s">
        <v>7937</v>
      </c>
      <c r="O112" s="32" t="s">
        <v>7938</v>
      </c>
    </row>
    <row x14ac:dyDescent="0.25" r="113" customHeight="1" ht="15.75">
      <c r="A113" s="8">
        <v>26101</v>
      </c>
      <c r="B113" s="13" t="s">
        <v>512</v>
      </c>
      <c r="C113" s="13" t="s">
        <v>4496</v>
      </c>
      <c r="D113" s="32" t="s">
        <v>4217</v>
      </c>
      <c r="E113" s="32" t="s">
        <v>7939</v>
      </c>
      <c r="F113" s="32" t="s">
        <v>4233</v>
      </c>
      <c r="G113" s="32" t="s">
        <v>7940</v>
      </c>
      <c r="H113" s="32" t="s">
        <v>4233</v>
      </c>
      <c r="I113" s="32" t="s">
        <v>7941</v>
      </c>
      <c r="J113" s="32" t="s">
        <v>4498</v>
      </c>
      <c r="K113" s="32" t="s">
        <v>7942</v>
      </c>
      <c r="L113" s="32" t="s">
        <v>6137</v>
      </c>
      <c r="M113" s="32" t="s">
        <v>7943</v>
      </c>
      <c r="N113" s="32" t="s">
        <v>5461</v>
      </c>
      <c r="O113" s="32" t="s">
        <v>7944</v>
      </c>
    </row>
    <row x14ac:dyDescent="0.25" r="114" customHeight="1" ht="15.75">
      <c r="A114" s="8">
        <v>26139</v>
      </c>
      <c r="B114" s="13" t="s">
        <v>512</v>
      </c>
      <c r="C114" s="13" t="s">
        <v>4499</v>
      </c>
      <c r="D114" s="32" t="s">
        <v>4500</v>
      </c>
      <c r="E114" s="32" t="s">
        <v>7945</v>
      </c>
      <c r="F114" s="32" t="s">
        <v>4500</v>
      </c>
      <c r="G114" s="32" t="s">
        <v>7946</v>
      </c>
      <c r="H114" s="32" t="s">
        <v>7947</v>
      </c>
      <c r="I114" s="32" t="s">
        <v>7414</v>
      </c>
      <c r="J114" s="32" t="s">
        <v>4502</v>
      </c>
      <c r="K114" s="32" t="s">
        <v>7948</v>
      </c>
      <c r="L114" s="32" t="s">
        <v>7949</v>
      </c>
      <c r="M114" s="32" t="s">
        <v>7950</v>
      </c>
      <c r="N114" s="32" t="s">
        <v>6268</v>
      </c>
      <c r="O114" s="32" t="s">
        <v>7951</v>
      </c>
    </row>
    <row x14ac:dyDescent="0.25" r="115" customHeight="1" ht="15.75">
      <c r="A115" s="8">
        <v>26118</v>
      </c>
      <c r="B115" s="13" t="s">
        <v>512</v>
      </c>
      <c r="C115" s="13" t="s">
        <v>4504</v>
      </c>
      <c r="D115" s="32" t="s">
        <v>4505</v>
      </c>
      <c r="E115" s="32" t="s">
        <v>7952</v>
      </c>
      <c r="F115" s="32" t="s">
        <v>7953</v>
      </c>
      <c r="G115" s="32" t="s">
        <v>7954</v>
      </c>
      <c r="H115" s="32" t="s">
        <v>2549</v>
      </c>
      <c r="I115" s="32" t="s">
        <v>7955</v>
      </c>
      <c r="J115" s="32" t="s">
        <v>4506</v>
      </c>
      <c r="K115" s="32" t="s">
        <v>7956</v>
      </c>
      <c r="L115" s="32" t="s">
        <v>7957</v>
      </c>
      <c r="M115" s="32" t="s">
        <v>7127</v>
      </c>
      <c r="N115" s="32" t="s">
        <v>7045</v>
      </c>
      <c r="O115" s="32" t="s">
        <v>7958</v>
      </c>
    </row>
    <row x14ac:dyDescent="0.25" r="116" customHeight="1" ht="15.75">
      <c r="A116" s="8">
        <v>26102</v>
      </c>
      <c r="B116" s="13" t="s">
        <v>512</v>
      </c>
      <c r="C116" s="13" t="s">
        <v>4508</v>
      </c>
      <c r="D116" s="32" t="s">
        <v>350</v>
      </c>
      <c r="E116" s="32" t="s">
        <v>7959</v>
      </c>
      <c r="F116" s="32" t="s">
        <v>7771</v>
      </c>
      <c r="G116" s="32" t="s">
        <v>7960</v>
      </c>
      <c r="H116" s="32" t="s">
        <v>88</v>
      </c>
      <c r="I116" s="32" t="s">
        <v>7961</v>
      </c>
      <c r="J116" s="32" t="s">
        <v>81</v>
      </c>
      <c r="K116" s="32" t="s">
        <v>7962</v>
      </c>
      <c r="L116" s="32" t="s">
        <v>7771</v>
      </c>
      <c r="M116" s="32" t="s">
        <v>7963</v>
      </c>
      <c r="N116" s="32" t="s">
        <v>4319</v>
      </c>
      <c r="O116" s="32" t="s">
        <v>7964</v>
      </c>
    </row>
    <row x14ac:dyDescent="0.25" r="117" customHeight="1" ht="15.75">
      <c r="A117" s="8">
        <v>26112</v>
      </c>
      <c r="B117" s="13" t="s">
        <v>512</v>
      </c>
      <c r="C117" s="13" t="s">
        <v>4510</v>
      </c>
      <c r="D117" s="32" t="s">
        <v>4511</v>
      </c>
      <c r="E117" s="32" t="s">
        <v>7965</v>
      </c>
      <c r="F117" s="32" t="s">
        <v>6284</v>
      </c>
      <c r="G117" s="32" t="s">
        <v>7966</v>
      </c>
      <c r="H117" s="32" t="s">
        <v>4512</v>
      </c>
      <c r="I117" s="32" t="s">
        <v>7967</v>
      </c>
      <c r="J117" s="32" t="s">
        <v>4512</v>
      </c>
      <c r="K117" s="32" t="s">
        <v>7968</v>
      </c>
      <c r="L117" s="32" t="s">
        <v>7969</v>
      </c>
      <c r="M117" s="32" t="s">
        <v>7970</v>
      </c>
      <c r="N117" s="32" t="s">
        <v>7971</v>
      </c>
      <c r="O117" s="32" t="s">
        <v>7152</v>
      </c>
    </row>
    <row x14ac:dyDescent="0.25" r="118" customHeight="1" ht="15.75">
      <c r="A118" s="8">
        <v>26103</v>
      </c>
      <c r="B118" s="13" t="s">
        <v>512</v>
      </c>
      <c r="C118" s="13" t="s">
        <v>4513</v>
      </c>
      <c r="D118" s="32" t="s">
        <v>74</v>
      </c>
      <c r="E118" s="32" t="s">
        <v>7972</v>
      </c>
      <c r="F118" s="32" t="s">
        <v>74</v>
      </c>
      <c r="G118" s="32" t="s">
        <v>7973</v>
      </c>
      <c r="H118" s="32" t="s">
        <v>7974</v>
      </c>
      <c r="I118" s="32" t="s">
        <v>7975</v>
      </c>
      <c r="J118" s="32" t="s">
        <v>951</v>
      </c>
      <c r="K118" s="32" t="s">
        <v>7976</v>
      </c>
      <c r="L118" s="32" t="s">
        <v>7977</v>
      </c>
      <c r="M118" s="32" t="s">
        <v>7833</v>
      </c>
      <c r="N118" s="32" t="s">
        <v>7974</v>
      </c>
      <c r="O118" s="32" t="s">
        <v>7978</v>
      </c>
    </row>
    <row x14ac:dyDescent="0.25" r="119" customHeight="1" ht="15.75">
      <c r="A119" s="8">
        <v>26127</v>
      </c>
      <c r="B119" s="13" t="s">
        <v>512</v>
      </c>
      <c r="C119" s="13" t="s">
        <v>4515</v>
      </c>
      <c r="D119" s="32" t="s">
        <v>4516</v>
      </c>
      <c r="E119" s="32" t="s">
        <v>7979</v>
      </c>
      <c r="F119" s="32" t="s">
        <v>7980</v>
      </c>
      <c r="G119" s="32" t="s">
        <v>7981</v>
      </c>
      <c r="H119" s="32" t="s">
        <v>5252</v>
      </c>
      <c r="I119" s="32" t="s">
        <v>7982</v>
      </c>
      <c r="J119" s="32" t="s">
        <v>1562</v>
      </c>
      <c r="K119" s="32" t="s">
        <v>7127</v>
      </c>
      <c r="L119" s="32" t="s">
        <v>6367</v>
      </c>
      <c r="M119" s="32" t="s">
        <v>7127</v>
      </c>
      <c r="N119" s="32" t="s">
        <v>4319</v>
      </c>
      <c r="O119" s="32" t="s">
        <v>7983</v>
      </c>
    </row>
    <row x14ac:dyDescent="0.25" r="120" customHeight="1" ht="15.75">
      <c r="A120" s="8">
        <v>26110</v>
      </c>
      <c r="B120" s="13" t="s">
        <v>512</v>
      </c>
      <c r="C120" s="13" t="s">
        <v>4518</v>
      </c>
      <c r="D120" s="32" t="s">
        <v>4180</v>
      </c>
      <c r="E120" s="32" t="s">
        <v>7984</v>
      </c>
      <c r="F120" s="32" t="s">
        <v>4419</v>
      </c>
      <c r="G120" s="32" t="s">
        <v>7985</v>
      </c>
      <c r="H120" s="32" t="s">
        <v>2679</v>
      </c>
      <c r="I120" s="32" t="s">
        <v>7986</v>
      </c>
      <c r="J120" s="32" t="s">
        <v>4520</v>
      </c>
      <c r="K120" s="32" t="s">
        <v>7987</v>
      </c>
      <c r="L120" s="32" t="s">
        <v>5026</v>
      </c>
      <c r="M120" s="32" t="s">
        <v>7988</v>
      </c>
      <c r="N120" s="32" t="s">
        <v>2504</v>
      </c>
      <c r="O120" s="32" t="s">
        <v>7989</v>
      </c>
    </row>
    <row x14ac:dyDescent="0.25" r="121" customHeight="1" ht="15.75">
      <c r="A121" s="8">
        <v>26104</v>
      </c>
      <c r="B121" s="13" t="s">
        <v>512</v>
      </c>
      <c r="C121" s="13" t="s">
        <v>4522</v>
      </c>
      <c r="D121" s="32" t="s">
        <v>4523</v>
      </c>
      <c r="E121" s="32" t="s">
        <v>7990</v>
      </c>
      <c r="F121" s="32" t="s">
        <v>200</v>
      </c>
      <c r="G121" s="32" t="s">
        <v>7127</v>
      </c>
      <c r="H121" s="32" t="s">
        <v>7991</v>
      </c>
      <c r="I121" s="32" t="s">
        <v>7992</v>
      </c>
      <c r="J121" s="32" t="s">
        <v>4525</v>
      </c>
      <c r="K121" s="32" t="s">
        <v>7993</v>
      </c>
      <c r="L121" s="32" t="s">
        <v>7994</v>
      </c>
      <c r="M121" s="32" t="s">
        <v>7995</v>
      </c>
      <c r="N121" s="32" t="s">
        <v>2109</v>
      </c>
      <c r="O121" s="32" t="s">
        <v>7127</v>
      </c>
    </row>
    <row x14ac:dyDescent="0.25" r="122" customHeight="1" ht="15.75">
      <c r="A122" s="8">
        <v>26140</v>
      </c>
      <c r="B122" s="13" t="s">
        <v>512</v>
      </c>
      <c r="C122" s="13" t="s">
        <v>4527</v>
      </c>
      <c r="D122" s="32" t="s">
        <v>4528</v>
      </c>
      <c r="E122" s="32" t="s">
        <v>7996</v>
      </c>
      <c r="F122" s="32" t="s">
        <v>2602</v>
      </c>
      <c r="G122" s="32" t="s">
        <v>7997</v>
      </c>
      <c r="H122" s="32" t="s">
        <v>7998</v>
      </c>
      <c r="I122" s="32" t="s">
        <v>7999</v>
      </c>
      <c r="J122" s="32" t="s">
        <v>4530</v>
      </c>
      <c r="K122" s="32" t="s">
        <v>8000</v>
      </c>
      <c r="L122" s="32" t="s">
        <v>4101</v>
      </c>
      <c r="M122" s="32" t="s">
        <v>8001</v>
      </c>
      <c r="N122" s="32" t="s">
        <v>8002</v>
      </c>
      <c r="O122" s="32" t="s">
        <v>8003</v>
      </c>
    </row>
    <row x14ac:dyDescent="0.25" r="123" customHeight="1" ht="15.75">
      <c r="A123" s="8">
        <v>26116</v>
      </c>
      <c r="B123" s="13" t="s">
        <v>512</v>
      </c>
      <c r="C123" s="13" t="s">
        <v>4531</v>
      </c>
      <c r="D123" s="32" t="s">
        <v>4205</v>
      </c>
      <c r="E123" s="32" t="s">
        <v>8004</v>
      </c>
      <c r="F123" s="32" t="s">
        <v>4533</v>
      </c>
      <c r="G123" s="32" t="s">
        <v>8005</v>
      </c>
      <c r="H123" s="32" t="s">
        <v>2687</v>
      </c>
      <c r="I123" s="32" t="s">
        <v>8006</v>
      </c>
      <c r="J123" s="32" t="s">
        <v>4533</v>
      </c>
      <c r="K123" s="32" t="s">
        <v>8007</v>
      </c>
      <c r="L123" s="32" t="s">
        <v>4205</v>
      </c>
      <c r="M123" s="32" t="s">
        <v>8008</v>
      </c>
      <c r="N123" s="32" t="s">
        <v>8009</v>
      </c>
      <c r="O123" s="32" t="s">
        <v>8010</v>
      </c>
    </row>
    <row x14ac:dyDescent="0.25" r="124" customHeight="1" ht="15.75">
      <c r="A124" s="8">
        <v>26142</v>
      </c>
      <c r="B124" s="13" t="s">
        <v>512</v>
      </c>
      <c r="C124" s="13" t="s">
        <v>4534</v>
      </c>
      <c r="D124" s="32" t="s">
        <v>2743</v>
      </c>
      <c r="E124" s="32" t="s">
        <v>8011</v>
      </c>
      <c r="F124" s="32" t="s">
        <v>4637</v>
      </c>
      <c r="G124" s="32" t="s">
        <v>8012</v>
      </c>
      <c r="H124" s="32" t="s">
        <v>1826</v>
      </c>
      <c r="I124" s="32" t="s">
        <v>8013</v>
      </c>
      <c r="J124" s="32" t="s">
        <v>4536</v>
      </c>
      <c r="K124" s="32" t="s">
        <v>8014</v>
      </c>
      <c r="L124" s="32" t="s">
        <v>4637</v>
      </c>
      <c r="M124" s="32" t="s">
        <v>8015</v>
      </c>
      <c r="N124" s="32" t="s">
        <v>4536</v>
      </c>
      <c r="O124" s="32" t="s">
        <v>8016</v>
      </c>
    </row>
    <row x14ac:dyDescent="0.25" r="125" customHeight="1" ht="15.75">
      <c r="A125" s="8">
        <v>26119</v>
      </c>
      <c r="B125" s="13" t="s">
        <v>512</v>
      </c>
      <c r="C125" s="13" t="s">
        <v>4537</v>
      </c>
      <c r="D125" s="32" t="s">
        <v>4538</v>
      </c>
      <c r="E125" s="32" t="s">
        <v>8017</v>
      </c>
      <c r="F125" s="32" t="s">
        <v>8018</v>
      </c>
      <c r="G125" s="32" t="s">
        <v>8019</v>
      </c>
      <c r="H125" s="32" t="s">
        <v>8020</v>
      </c>
      <c r="I125" s="32" t="s">
        <v>8021</v>
      </c>
      <c r="J125" s="32" t="s">
        <v>4540</v>
      </c>
      <c r="K125" s="32" t="s">
        <v>8022</v>
      </c>
      <c r="L125" s="32" t="s">
        <v>8020</v>
      </c>
      <c r="M125" s="32" t="s">
        <v>8023</v>
      </c>
      <c r="N125" s="32" t="s">
        <v>2527</v>
      </c>
      <c r="O125" s="32" t="s">
        <v>7603</v>
      </c>
    </row>
    <row x14ac:dyDescent="0.25" r="126" customHeight="1" ht="15.75">
      <c r="A126" s="8">
        <v>26128</v>
      </c>
      <c r="B126" s="13" t="s">
        <v>512</v>
      </c>
      <c r="C126" s="13" t="s">
        <v>4542</v>
      </c>
      <c r="D126" s="32" t="s">
        <v>4543</v>
      </c>
      <c r="E126" s="32" t="s">
        <v>8024</v>
      </c>
      <c r="F126" s="32" t="s">
        <v>6011</v>
      </c>
      <c r="G126" s="32" t="s">
        <v>8025</v>
      </c>
      <c r="H126" s="32" t="s">
        <v>8026</v>
      </c>
      <c r="I126" s="32" t="s">
        <v>8027</v>
      </c>
      <c r="J126" s="32" t="s">
        <v>4545</v>
      </c>
      <c r="K126" s="32" t="s">
        <v>8028</v>
      </c>
      <c r="L126" s="32" t="s">
        <v>8029</v>
      </c>
      <c r="M126" s="32" t="s">
        <v>8030</v>
      </c>
      <c r="N126" s="32" t="s">
        <v>8031</v>
      </c>
      <c r="O126" s="32" t="s">
        <v>8032</v>
      </c>
    </row>
    <row x14ac:dyDescent="0.25" r="127" customHeight="1" ht="15.75">
      <c r="A127" s="8">
        <v>26105</v>
      </c>
      <c r="B127" s="13" t="s">
        <v>512</v>
      </c>
      <c r="C127" s="13" t="s">
        <v>4547</v>
      </c>
      <c r="D127" s="32" t="s">
        <v>4548</v>
      </c>
      <c r="E127" s="32" t="s">
        <v>7127</v>
      </c>
      <c r="F127" s="32" t="s">
        <v>8033</v>
      </c>
      <c r="G127" s="32" t="s">
        <v>8034</v>
      </c>
      <c r="H127" s="32" t="s">
        <v>2186</v>
      </c>
      <c r="I127" s="32" t="s">
        <v>8035</v>
      </c>
      <c r="J127" s="32" t="s">
        <v>4550</v>
      </c>
      <c r="K127" s="32" t="s">
        <v>8036</v>
      </c>
      <c r="L127" s="32" t="s">
        <v>2143</v>
      </c>
      <c r="M127" s="32" t="s">
        <v>8037</v>
      </c>
      <c r="N127" s="32" t="s">
        <v>8038</v>
      </c>
      <c r="O127" s="32" t="s">
        <v>8039</v>
      </c>
    </row>
    <row x14ac:dyDescent="0.25" r="128" customHeight="1" ht="15.75">
      <c r="A128" s="8">
        <v>26106</v>
      </c>
      <c r="B128" s="13" t="s">
        <v>512</v>
      </c>
      <c r="C128" s="13" t="s">
        <v>4552</v>
      </c>
      <c r="D128" s="32" t="s">
        <v>2740</v>
      </c>
      <c r="E128" s="32" t="s">
        <v>8040</v>
      </c>
      <c r="F128" s="32" t="s">
        <v>122</v>
      </c>
      <c r="G128" s="32" t="s">
        <v>7658</v>
      </c>
      <c r="H128" s="32" t="s">
        <v>5695</v>
      </c>
      <c r="I128" s="32" t="s">
        <v>8041</v>
      </c>
      <c r="J128" s="32" t="s">
        <v>122</v>
      </c>
      <c r="K128" s="32" t="s">
        <v>8042</v>
      </c>
      <c r="L128" s="32" t="s">
        <v>8043</v>
      </c>
      <c r="M128" s="32" t="s">
        <v>7764</v>
      </c>
      <c r="N128" s="32" t="s">
        <v>7095</v>
      </c>
      <c r="O128" s="32" t="s">
        <v>8044</v>
      </c>
    </row>
    <row x14ac:dyDescent="0.25" r="129" customHeight="1" ht="15.75">
      <c r="A129" s="8">
        <v>26146</v>
      </c>
      <c r="B129" s="13" t="s">
        <v>512</v>
      </c>
      <c r="C129" s="13" t="s">
        <v>4554</v>
      </c>
      <c r="D129" s="32" t="s">
        <v>4555</v>
      </c>
      <c r="E129" s="32" t="s">
        <v>8045</v>
      </c>
      <c r="F129" s="32" t="s">
        <v>8046</v>
      </c>
      <c r="G129" s="32" t="s">
        <v>8047</v>
      </c>
      <c r="H129" s="32" t="s">
        <v>6216</v>
      </c>
      <c r="I129" s="32" t="s">
        <v>8048</v>
      </c>
      <c r="J129" s="32" t="s">
        <v>4557</v>
      </c>
      <c r="K129" s="32" t="s">
        <v>8049</v>
      </c>
      <c r="L129" s="32" t="s">
        <v>8050</v>
      </c>
      <c r="M129" s="32" t="s">
        <v>8051</v>
      </c>
      <c r="N129" s="32" t="s">
        <v>2657</v>
      </c>
      <c r="O129" s="32" t="s">
        <v>8052</v>
      </c>
    </row>
    <row x14ac:dyDescent="0.25" r="130" customHeight="1" ht="15.75">
      <c r="A130" s="8">
        <v>26130</v>
      </c>
      <c r="B130" s="13" t="s">
        <v>512</v>
      </c>
      <c r="C130" s="13" t="s">
        <v>4559</v>
      </c>
      <c r="D130" s="32" t="s">
        <v>2655</v>
      </c>
      <c r="E130" s="32" t="s">
        <v>8053</v>
      </c>
      <c r="F130" s="32" t="s">
        <v>8054</v>
      </c>
      <c r="G130" s="32" t="s">
        <v>8055</v>
      </c>
      <c r="H130" s="32" t="s">
        <v>2407</v>
      </c>
      <c r="I130" s="32" t="s">
        <v>7127</v>
      </c>
      <c r="J130" s="32" t="s">
        <v>4561</v>
      </c>
      <c r="K130" s="32" t="s">
        <v>8056</v>
      </c>
      <c r="L130" s="32" t="s">
        <v>8057</v>
      </c>
      <c r="M130" s="32" t="s">
        <v>8058</v>
      </c>
      <c r="N130" s="32" t="s">
        <v>8059</v>
      </c>
      <c r="O130" s="32" t="s">
        <v>8060</v>
      </c>
    </row>
    <row x14ac:dyDescent="0.25" r="131" customHeight="1" ht="15.75">
      <c r="A131" s="8">
        <v>26107</v>
      </c>
      <c r="B131" s="13" t="s">
        <v>512</v>
      </c>
      <c r="C131" s="13" t="s">
        <v>4563</v>
      </c>
      <c r="D131" s="32" t="s">
        <v>4564</v>
      </c>
      <c r="E131" s="32" t="s">
        <v>8061</v>
      </c>
      <c r="F131" s="32" t="s">
        <v>2166</v>
      </c>
      <c r="G131" s="32" t="s">
        <v>8062</v>
      </c>
      <c r="H131" s="32" t="s">
        <v>4533</v>
      </c>
      <c r="I131" s="32" t="s">
        <v>8063</v>
      </c>
      <c r="J131" s="32" t="s">
        <v>2716</v>
      </c>
      <c r="K131" s="32" t="s">
        <v>7161</v>
      </c>
      <c r="L131" s="32" t="s">
        <v>2687</v>
      </c>
      <c r="M131" s="32" t="s">
        <v>8064</v>
      </c>
      <c r="N131" s="32" t="s">
        <v>2687</v>
      </c>
      <c r="O131" s="32" t="s">
        <v>8065</v>
      </c>
    </row>
    <row x14ac:dyDescent="0.25" r="132" customHeight="1" ht="15.75">
      <c r="A132" s="8">
        <v>26117</v>
      </c>
      <c r="B132" s="13" t="s">
        <v>512</v>
      </c>
      <c r="C132" s="13" t="s">
        <v>4566</v>
      </c>
      <c r="D132" s="32" t="s">
        <v>74</v>
      </c>
      <c r="E132" s="32" t="s">
        <v>8066</v>
      </c>
      <c r="F132" s="32" t="s">
        <v>4706</v>
      </c>
      <c r="G132" s="32" t="s">
        <v>8067</v>
      </c>
      <c r="H132" s="32" t="s">
        <v>4093</v>
      </c>
      <c r="I132" s="32" t="s">
        <v>8068</v>
      </c>
      <c r="J132" s="32" t="s">
        <v>4568</v>
      </c>
      <c r="K132" s="32" t="s">
        <v>8069</v>
      </c>
      <c r="L132" s="32" t="s">
        <v>1348</v>
      </c>
      <c r="M132" s="32" t="s">
        <v>8070</v>
      </c>
      <c r="N132" s="32" t="s">
        <v>8071</v>
      </c>
      <c r="O132" s="32" t="s">
        <v>8072</v>
      </c>
    </row>
    <row x14ac:dyDescent="0.25" r="133" customHeight="1" ht="15.75">
      <c r="A133" s="8">
        <v>26120</v>
      </c>
      <c r="B133" s="13" t="s">
        <v>512</v>
      </c>
      <c r="C133" s="13" t="s">
        <v>4569</v>
      </c>
      <c r="D133" s="32" t="s">
        <v>4570</v>
      </c>
      <c r="E133" s="32" t="s">
        <v>8073</v>
      </c>
      <c r="F133" s="32" t="s">
        <v>8074</v>
      </c>
      <c r="G133" s="32" t="s">
        <v>8075</v>
      </c>
      <c r="H133" s="32" t="s">
        <v>4572</v>
      </c>
      <c r="I133" s="32" t="s">
        <v>8076</v>
      </c>
      <c r="J133" s="32" t="s">
        <v>4572</v>
      </c>
      <c r="K133" s="32" t="s">
        <v>8077</v>
      </c>
      <c r="L133" s="32" t="s">
        <v>8078</v>
      </c>
      <c r="M133" s="32" t="s">
        <v>8079</v>
      </c>
      <c r="N133" s="32" t="s">
        <v>4572</v>
      </c>
      <c r="O133" s="32" t="s">
        <v>8080</v>
      </c>
    </row>
    <row x14ac:dyDescent="0.25" r="134" customHeight="1" ht="15.75">
      <c r="A134" s="8">
        <v>26005</v>
      </c>
      <c r="B134" s="13" t="s">
        <v>184</v>
      </c>
      <c r="C134" s="13" t="s">
        <v>4574</v>
      </c>
      <c r="D134" s="32" t="s">
        <v>1952</v>
      </c>
      <c r="E134" s="32" t="s">
        <v>8081</v>
      </c>
      <c r="F134" s="32" t="s">
        <v>8082</v>
      </c>
      <c r="G134" s="32" t="s">
        <v>8083</v>
      </c>
      <c r="H134" s="32" t="s">
        <v>81</v>
      </c>
      <c r="I134" s="32" t="s">
        <v>8084</v>
      </c>
      <c r="J134" s="32" t="s">
        <v>2498</v>
      </c>
      <c r="K134" s="32" t="s">
        <v>8085</v>
      </c>
      <c r="L134" s="32" t="s">
        <v>8086</v>
      </c>
      <c r="M134" s="32" t="s">
        <v>8087</v>
      </c>
      <c r="N134" s="32" t="s">
        <v>8088</v>
      </c>
      <c r="O134" s="32" t="s">
        <v>8089</v>
      </c>
    </row>
    <row x14ac:dyDescent="0.25" r="135" customHeight="1" ht="15.75">
      <c r="A135" s="8">
        <v>26006</v>
      </c>
      <c r="B135" s="13" t="s">
        <v>184</v>
      </c>
      <c r="C135" s="13" t="s">
        <v>4575</v>
      </c>
      <c r="D135" s="32" t="s">
        <v>74</v>
      </c>
      <c r="E135" s="32" t="s">
        <v>8090</v>
      </c>
      <c r="F135" s="32" t="s">
        <v>8091</v>
      </c>
      <c r="G135" s="32" t="s">
        <v>8092</v>
      </c>
      <c r="H135" s="32" t="s">
        <v>8093</v>
      </c>
      <c r="I135" s="32" t="s">
        <v>8094</v>
      </c>
      <c r="J135" s="32" t="s">
        <v>4577</v>
      </c>
      <c r="K135" s="32" t="s">
        <v>8095</v>
      </c>
      <c r="L135" s="32" t="s">
        <v>6541</v>
      </c>
      <c r="M135" s="32" t="s">
        <v>8096</v>
      </c>
      <c r="N135" s="32" t="s">
        <v>8097</v>
      </c>
      <c r="O135" s="32" t="s">
        <v>8098</v>
      </c>
    </row>
    <row x14ac:dyDescent="0.25" r="136" customHeight="1" ht="15.75">
      <c r="A136" s="8">
        <v>25997</v>
      </c>
      <c r="B136" s="13" t="s">
        <v>184</v>
      </c>
      <c r="C136" s="13" t="s">
        <v>4579</v>
      </c>
      <c r="D136" s="32" t="s">
        <v>4580</v>
      </c>
      <c r="E136" s="32" t="s">
        <v>8099</v>
      </c>
      <c r="F136" s="32" t="s">
        <v>6873</v>
      </c>
      <c r="G136" s="32" t="s">
        <v>7610</v>
      </c>
      <c r="H136" s="32" t="s">
        <v>4416</v>
      </c>
      <c r="I136" s="32" t="s">
        <v>8100</v>
      </c>
      <c r="J136" s="32" t="s">
        <v>74</v>
      </c>
      <c r="K136" s="32" t="s">
        <v>8101</v>
      </c>
      <c r="L136" s="32" t="s">
        <v>74</v>
      </c>
      <c r="M136" s="32" t="s">
        <v>8102</v>
      </c>
      <c r="N136" s="32" t="s">
        <v>74</v>
      </c>
      <c r="O136" s="32" t="s">
        <v>8103</v>
      </c>
    </row>
    <row x14ac:dyDescent="0.25" r="137" customHeight="1" ht="15.75">
      <c r="A137" s="8">
        <v>26007</v>
      </c>
      <c r="B137" s="13" t="s">
        <v>184</v>
      </c>
      <c r="C137" s="13" t="s">
        <v>4582</v>
      </c>
      <c r="D137" s="32" t="s">
        <v>2364</v>
      </c>
      <c r="E137" s="32" t="s">
        <v>8104</v>
      </c>
      <c r="F137" s="32" t="s">
        <v>2364</v>
      </c>
      <c r="G137" s="32" t="s">
        <v>7658</v>
      </c>
      <c r="H137" s="32" t="s">
        <v>4894</v>
      </c>
      <c r="I137" s="32" t="s">
        <v>8105</v>
      </c>
      <c r="J137" s="32" t="s">
        <v>4583</v>
      </c>
      <c r="K137" s="32" t="s">
        <v>8106</v>
      </c>
      <c r="L137" s="32" t="s">
        <v>6557</v>
      </c>
      <c r="M137" s="32" t="s">
        <v>8107</v>
      </c>
      <c r="N137" s="32" t="s">
        <v>4894</v>
      </c>
      <c r="O137" s="32" t="s">
        <v>8108</v>
      </c>
    </row>
    <row x14ac:dyDescent="0.25" r="138" customHeight="1" ht="15.75">
      <c r="A138" s="8">
        <v>26008</v>
      </c>
      <c r="B138" s="13" t="s">
        <v>184</v>
      </c>
      <c r="C138" s="13" t="s">
        <v>4584</v>
      </c>
      <c r="D138" s="32" t="s">
        <v>4585</v>
      </c>
      <c r="E138" s="32" t="s">
        <v>8109</v>
      </c>
      <c r="F138" s="32" t="s">
        <v>5544</v>
      </c>
      <c r="G138" s="32" t="s">
        <v>8110</v>
      </c>
      <c r="H138" s="32" t="s">
        <v>7491</v>
      </c>
      <c r="I138" s="32" t="s">
        <v>8111</v>
      </c>
      <c r="J138" s="32" t="s">
        <v>4586</v>
      </c>
      <c r="K138" s="32" t="s">
        <v>8112</v>
      </c>
      <c r="L138" s="32" t="s">
        <v>8113</v>
      </c>
      <c r="M138" s="32" t="s">
        <v>8114</v>
      </c>
      <c r="N138" s="32" t="s">
        <v>8115</v>
      </c>
      <c r="O138" s="32" t="s">
        <v>8116</v>
      </c>
    </row>
    <row x14ac:dyDescent="0.25" r="139" customHeight="1" ht="15.75">
      <c r="A139" s="8">
        <v>25998</v>
      </c>
      <c r="B139" s="13" t="s">
        <v>184</v>
      </c>
      <c r="C139" s="13" t="s">
        <v>4587</v>
      </c>
      <c r="D139" s="32" t="s">
        <v>4588</v>
      </c>
      <c r="E139" s="32" t="s">
        <v>8117</v>
      </c>
      <c r="F139" s="32" t="s">
        <v>4502</v>
      </c>
      <c r="G139" s="32" t="s">
        <v>8118</v>
      </c>
      <c r="H139" s="32" t="s">
        <v>4590</v>
      </c>
      <c r="I139" s="32" t="s">
        <v>8119</v>
      </c>
      <c r="J139" s="32" t="s">
        <v>4590</v>
      </c>
      <c r="K139" s="32" t="s">
        <v>8120</v>
      </c>
      <c r="L139" s="32" t="s">
        <v>5497</v>
      </c>
      <c r="M139" s="32" t="s">
        <v>8121</v>
      </c>
      <c r="N139" s="32" t="s">
        <v>4590</v>
      </c>
      <c r="O139" s="32" t="s">
        <v>8122</v>
      </c>
    </row>
    <row x14ac:dyDescent="0.25" r="140" customHeight="1" ht="15.75">
      <c r="A140" s="8">
        <v>26009</v>
      </c>
      <c r="B140" s="13" t="s">
        <v>184</v>
      </c>
      <c r="C140" s="13" t="s">
        <v>4592</v>
      </c>
      <c r="D140" s="32" t="s">
        <v>4593</v>
      </c>
      <c r="E140" s="32" t="s">
        <v>8123</v>
      </c>
      <c r="F140" s="32" t="s">
        <v>7031</v>
      </c>
      <c r="G140" s="32" t="s">
        <v>8124</v>
      </c>
      <c r="H140" s="32" t="s">
        <v>8125</v>
      </c>
      <c r="I140" s="32" t="s">
        <v>8126</v>
      </c>
      <c r="J140" s="32" t="s">
        <v>4594</v>
      </c>
      <c r="K140" s="32" t="s">
        <v>8127</v>
      </c>
      <c r="L140" s="32" t="s">
        <v>6518</v>
      </c>
      <c r="M140" s="32" t="s">
        <v>8128</v>
      </c>
      <c r="N140" s="32" t="s">
        <v>8129</v>
      </c>
      <c r="O140" s="32" t="s">
        <v>8130</v>
      </c>
    </row>
    <row x14ac:dyDescent="0.25" r="141" customHeight="1" ht="15.75">
      <c r="A141" s="8">
        <v>26010</v>
      </c>
      <c r="B141" s="13" t="s">
        <v>184</v>
      </c>
      <c r="C141" s="13" t="s">
        <v>4595</v>
      </c>
      <c r="D141" s="32" t="s">
        <v>4596</v>
      </c>
      <c r="E141" s="32" t="s">
        <v>8131</v>
      </c>
      <c r="F141" s="32" t="s">
        <v>8132</v>
      </c>
      <c r="G141" s="32" t="s">
        <v>8133</v>
      </c>
      <c r="H141" s="32" t="s">
        <v>8134</v>
      </c>
      <c r="I141" s="32" t="s">
        <v>8135</v>
      </c>
      <c r="J141" s="32" t="s">
        <v>4598</v>
      </c>
      <c r="K141" s="32" t="s">
        <v>8136</v>
      </c>
      <c r="L141" s="32" t="s">
        <v>7704</v>
      </c>
      <c r="M141" s="32" t="s">
        <v>7127</v>
      </c>
      <c r="N141" s="32" t="s">
        <v>8137</v>
      </c>
      <c r="O141" s="32" t="s">
        <v>8138</v>
      </c>
    </row>
    <row x14ac:dyDescent="0.25" r="142" customHeight="1" ht="15.75">
      <c r="A142" s="8">
        <v>25999</v>
      </c>
      <c r="B142" s="13" t="s">
        <v>184</v>
      </c>
      <c r="C142" s="13" t="s">
        <v>4599</v>
      </c>
      <c r="D142" s="32" t="s">
        <v>4600</v>
      </c>
      <c r="E142" s="32" t="s">
        <v>8139</v>
      </c>
      <c r="F142" s="32" t="s">
        <v>7237</v>
      </c>
      <c r="G142" s="32" t="s">
        <v>8140</v>
      </c>
      <c r="H142" s="32" t="s">
        <v>4601</v>
      </c>
      <c r="I142" s="32" t="s">
        <v>8141</v>
      </c>
      <c r="J142" s="32" t="s">
        <v>4601</v>
      </c>
      <c r="K142" s="32" t="s">
        <v>8142</v>
      </c>
      <c r="L142" s="32" t="s">
        <v>2518</v>
      </c>
      <c r="M142" s="32" t="s">
        <v>8143</v>
      </c>
      <c r="N142" s="32" t="s">
        <v>8144</v>
      </c>
      <c r="O142" s="32" t="s">
        <v>8145</v>
      </c>
    </row>
    <row x14ac:dyDescent="0.25" r="143" customHeight="1" ht="15.75">
      <c r="A143" s="8">
        <v>26011</v>
      </c>
      <c r="B143" s="13" t="s">
        <v>184</v>
      </c>
      <c r="C143" s="13" t="s">
        <v>4603</v>
      </c>
      <c r="D143" s="32" t="s">
        <v>4604</v>
      </c>
      <c r="E143" s="32" t="s">
        <v>8146</v>
      </c>
      <c r="F143" s="32" t="s">
        <v>8147</v>
      </c>
      <c r="G143" s="32" t="s">
        <v>8148</v>
      </c>
      <c r="H143" s="32" t="s">
        <v>122</v>
      </c>
      <c r="I143" s="32" t="s">
        <v>8149</v>
      </c>
      <c r="J143" s="32" t="s">
        <v>4606</v>
      </c>
      <c r="K143" s="32" t="s">
        <v>8150</v>
      </c>
      <c r="L143" s="32" t="s">
        <v>7102</v>
      </c>
      <c r="M143" s="32" t="s">
        <v>8151</v>
      </c>
      <c r="N143" s="32" t="s">
        <v>8152</v>
      </c>
      <c r="O143" s="32" t="s">
        <v>8153</v>
      </c>
    </row>
    <row x14ac:dyDescent="0.25" r="144" customHeight="1" ht="15.75">
      <c r="A144" s="8">
        <v>26012</v>
      </c>
      <c r="B144" s="13" t="s">
        <v>184</v>
      </c>
      <c r="C144" s="13" t="s">
        <v>4608</v>
      </c>
      <c r="D144" s="32" t="s">
        <v>4609</v>
      </c>
      <c r="E144" s="32" t="s">
        <v>8154</v>
      </c>
      <c r="F144" s="32" t="s">
        <v>8155</v>
      </c>
      <c r="G144" s="32" t="s">
        <v>8156</v>
      </c>
      <c r="H144" s="32" t="s">
        <v>8157</v>
      </c>
      <c r="I144" s="32" t="s">
        <v>8158</v>
      </c>
      <c r="J144" s="32" t="s">
        <v>4610</v>
      </c>
      <c r="K144" s="32" t="s">
        <v>8159</v>
      </c>
      <c r="L144" s="32" t="s">
        <v>8160</v>
      </c>
      <c r="M144" s="32" t="s">
        <v>8161</v>
      </c>
      <c r="N144" s="32" t="s">
        <v>2518</v>
      </c>
      <c r="O144" s="32" t="s">
        <v>8162</v>
      </c>
    </row>
    <row x14ac:dyDescent="0.25" r="145" customHeight="1" ht="15.75">
      <c r="A145" s="8">
        <v>26013</v>
      </c>
      <c r="B145" s="13" t="s">
        <v>184</v>
      </c>
      <c r="C145" s="13" t="s">
        <v>4611</v>
      </c>
      <c r="D145" s="32" t="s">
        <v>122</v>
      </c>
      <c r="E145" s="32" t="s">
        <v>8163</v>
      </c>
      <c r="F145" s="32" t="s">
        <v>4101</v>
      </c>
      <c r="G145" s="32" t="s">
        <v>8164</v>
      </c>
      <c r="H145" s="32" t="s">
        <v>8165</v>
      </c>
      <c r="I145" s="32" t="s">
        <v>8166</v>
      </c>
      <c r="J145" s="32" t="s">
        <v>4613</v>
      </c>
      <c r="K145" s="32" t="s">
        <v>8167</v>
      </c>
      <c r="L145" s="32" t="s">
        <v>8168</v>
      </c>
      <c r="M145" s="32" t="s">
        <v>8169</v>
      </c>
      <c r="N145" s="32" t="s">
        <v>8170</v>
      </c>
      <c r="O145" s="32" t="s">
        <v>8171</v>
      </c>
    </row>
    <row x14ac:dyDescent="0.25" r="146" customHeight="1" ht="15.75">
      <c r="A146" s="8">
        <v>26014</v>
      </c>
      <c r="B146" s="13" t="s">
        <v>184</v>
      </c>
      <c r="C146" s="13" t="s">
        <v>4615</v>
      </c>
      <c r="D146" s="32" t="s">
        <v>4616</v>
      </c>
      <c r="E146" s="32" t="s">
        <v>8172</v>
      </c>
      <c r="F146" s="32" t="s">
        <v>8173</v>
      </c>
      <c r="G146" s="32" t="s">
        <v>8174</v>
      </c>
      <c r="H146" s="32" t="s">
        <v>8175</v>
      </c>
      <c r="I146" s="32" t="s">
        <v>8176</v>
      </c>
      <c r="J146" s="32" t="s">
        <v>4618</v>
      </c>
      <c r="K146" s="32" t="s">
        <v>8177</v>
      </c>
      <c r="L146" s="32" t="s">
        <v>8178</v>
      </c>
      <c r="M146" s="32" t="s">
        <v>8179</v>
      </c>
      <c r="N146" s="32" t="s">
        <v>8180</v>
      </c>
      <c r="O146" s="32" t="s">
        <v>8181</v>
      </c>
    </row>
    <row x14ac:dyDescent="0.25" r="147" customHeight="1" ht="15.75">
      <c r="A147" s="8">
        <v>26015</v>
      </c>
      <c r="B147" s="13" t="s">
        <v>184</v>
      </c>
      <c r="C147" s="13" t="s">
        <v>4619</v>
      </c>
      <c r="D147" s="32" t="s">
        <v>4132</v>
      </c>
      <c r="E147" s="32" t="s">
        <v>8182</v>
      </c>
      <c r="F147" s="32" t="s">
        <v>5659</v>
      </c>
      <c r="G147" s="32" t="s">
        <v>8183</v>
      </c>
      <c r="H147" s="32" t="s">
        <v>8184</v>
      </c>
      <c r="I147" s="32" t="s">
        <v>8185</v>
      </c>
      <c r="J147" s="32" t="s">
        <v>4621</v>
      </c>
      <c r="K147" s="32" t="s">
        <v>8186</v>
      </c>
      <c r="L147" s="32" t="s">
        <v>8187</v>
      </c>
      <c r="M147" s="32" t="s">
        <v>8188</v>
      </c>
      <c r="N147" s="32" t="s">
        <v>8189</v>
      </c>
      <c r="O147" s="32" t="s">
        <v>8190</v>
      </c>
    </row>
    <row x14ac:dyDescent="0.25" r="148" customHeight="1" ht="15.75">
      <c r="A148" s="8">
        <v>26086</v>
      </c>
      <c r="B148" s="13" t="s">
        <v>184</v>
      </c>
      <c r="C148" s="13" t="s">
        <v>4622</v>
      </c>
      <c r="D148" s="32" t="s">
        <v>4623</v>
      </c>
      <c r="E148" s="32" t="s">
        <v>8191</v>
      </c>
      <c r="F148" s="32" t="s">
        <v>4666</v>
      </c>
      <c r="G148" s="32" t="s">
        <v>8192</v>
      </c>
      <c r="H148" s="32" t="s">
        <v>8193</v>
      </c>
      <c r="I148" s="32" t="s">
        <v>8194</v>
      </c>
      <c r="J148" s="32" t="s">
        <v>4536</v>
      </c>
      <c r="K148" s="32" t="s">
        <v>8195</v>
      </c>
      <c r="L148" s="32" t="s">
        <v>4666</v>
      </c>
      <c r="M148" s="32" t="s">
        <v>8196</v>
      </c>
      <c r="N148" s="32" t="s">
        <v>8197</v>
      </c>
      <c r="O148" s="32" t="s">
        <v>8198</v>
      </c>
    </row>
    <row x14ac:dyDescent="0.25" r="149" customHeight="1" ht="15.75">
      <c r="A149" s="8">
        <v>26087</v>
      </c>
      <c r="B149" s="13" t="s">
        <v>184</v>
      </c>
      <c r="C149" s="13" t="s">
        <v>4624</v>
      </c>
      <c r="D149" s="32" t="s">
        <v>4625</v>
      </c>
      <c r="E149" s="32" t="s">
        <v>8199</v>
      </c>
      <c r="F149" s="32" t="s">
        <v>6391</v>
      </c>
      <c r="G149" s="32" t="s">
        <v>8200</v>
      </c>
      <c r="H149" s="32" t="s">
        <v>8201</v>
      </c>
      <c r="I149" s="32" t="s">
        <v>8202</v>
      </c>
      <c r="J149" s="32" t="s">
        <v>4626</v>
      </c>
      <c r="K149" s="32" t="s">
        <v>8203</v>
      </c>
      <c r="L149" s="32" t="s">
        <v>4233</v>
      </c>
      <c r="M149" s="32" t="s">
        <v>8204</v>
      </c>
      <c r="N149" s="32" t="s">
        <v>6662</v>
      </c>
      <c r="O149" s="32" t="s">
        <v>8205</v>
      </c>
    </row>
    <row x14ac:dyDescent="0.25" r="150" customHeight="1" ht="15.75">
      <c r="A150" s="8">
        <v>26016</v>
      </c>
      <c r="B150" s="13" t="s">
        <v>184</v>
      </c>
      <c r="C150" s="13" t="s">
        <v>4627</v>
      </c>
      <c r="D150" s="32" t="s">
        <v>4628</v>
      </c>
      <c r="E150" s="32" t="s">
        <v>8206</v>
      </c>
      <c r="F150" s="32" t="s">
        <v>8207</v>
      </c>
      <c r="G150" s="32" t="s">
        <v>8208</v>
      </c>
      <c r="H150" s="32" t="s">
        <v>8209</v>
      </c>
      <c r="I150" s="32" t="s">
        <v>8210</v>
      </c>
      <c r="J150" s="32" t="s">
        <v>4629</v>
      </c>
      <c r="K150" s="32" t="s">
        <v>8211</v>
      </c>
      <c r="L150" s="32" t="s">
        <v>8212</v>
      </c>
      <c r="M150" s="32" t="s">
        <v>8213</v>
      </c>
      <c r="N150" s="32" t="s">
        <v>443</v>
      </c>
      <c r="O150" s="32" t="s">
        <v>8214</v>
      </c>
    </row>
    <row x14ac:dyDescent="0.25" r="151" customHeight="1" ht="15.75">
      <c r="A151" s="8">
        <v>26017</v>
      </c>
      <c r="B151" s="13" t="s">
        <v>184</v>
      </c>
      <c r="C151" s="13" t="s">
        <v>4631</v>
      </c>
      <c r="D151" s="32" t="s">
        <v>4632</v>
      </c>
      <c r="E151" s="32" t="s">
        <v>8215</v>
      </c>
      <c r="F151" s="32" t="s">
        <v>8216</v>
      </c>
      <c r="G151" s="32" t="s">
        <v>8217</v>
      </c>
      <c r="H151" s="32" t="s">
        <v>5447</v>
      </c>
      <c r="I151" s="32" t="s">
        <v>8218</v>
      </c>
      <c r="J151" s="32" t="s">
        <v>4634</v>
      </c>
      <c r="K151" s="32" t="s">
        <v>8219</v>
      </c>
      <c r="L151" s="32" t="s">
        <v>8220</v>
      </c>
      <c r="M151" s="32" t="s">
        <v>8221</v>
      </c>
      <c r="N151" s="32" t="s">
        <v>8222</v>
      </c>
      <c r="O151" s="32" t="s">
        <v>8223</v>
      </c>
    </row>
    <row x14ac:dyDescent="0.25" r="152" customHeight="1" ht="15.75">
      <c r="A152" s="8">
        <v>26018</v>
      </c>
      <c r="B152" s="13" t="s">
        <v>184</v>
      </c>
      <c r="C152" s="13" t="s">
        <v>4636</v>
      </c>
      <c r="D152" s="32" t="s">
        <v>4637</v>
      </c>
      <c r="E152" s="32" t="s">
        <v>8224</v>
      </c>
      <c r="F152" s="32" t="s">
        <v>2401</v>
      </c>
      <c r="G152" s="32" t="s">
        <v>8225</v>
      </c>
      <c r="H152" s="32" t="s">
        <v>6832</v>
      </c>
      <c r="I152" s="32" t="s">
        <v>7819</v>
      </c>
      <c r="J152" s="32" t="s">
        <v>4638</v>
      </c>
      <c r="K152" s="32" t="s">
        <v>7309</v>
      </c>
      <c r="L152" s="32" t="s">
        <v>4638</v>
      </c>
      <c r="M152" s="32" t="s">
        <v>8226</v>
      </c>
      <c r="N152" s="32" t="s">
        <v>1826</v>
      </c>
      <c r="O152" s="32" t="s">
        <v>8227</v>
      </c>
    </row>
    <row x14ac:dyDescent="0.25" r="153" customHeight="1" ht="15.75">
      <c r="A153" s="8">
        <v>26019</v>
      </c>
      <c r="B153" s="13" t="s">
        <v>184</v>
      </c>
      <c r="C153" s="13" t="s">
        <v>4640</v>
      </c>
      <c r="D153" s="32" t="s">
        <v>4641</v>
      </c>
      <c r="E153" s="32" t="s">
        <v>8228</v>
      </c>
      <c r="F153" s="32" t="s">
        <v>8229</v>
      </c>
      <c r="G153" s="32" t="s">
        <v>8230</v>
      </c>
      <c r="H153" s="32" t="s">
        <v>8231</v>
      </c>
      <c r="I153" s="32" t="s">
        <v>8232</v>
      </c>
      <c r="J153" s="32" t="s">
        <v>4247</v>
      </c>
      <c r="K153" s="32" t="s">
        <v>8233</v>
      </c>
      <c r="L153" s="32" t="s">
        <v>8234</v>
      </c>
      <c r="M153" s="32" t="s">
        <v>8235</v>
      </c>
      <c r="N153" s="32" t="s">
        <v>4338</v>
      </c>
      <c r="O153" s="32" t="s">
        <v>8236</v>
      </c>
    </row>
    <row x14ac:dyDescent="0.25" r="154" customHeight="1" ht="15.75">
      <c r="A154" s="8">
        <v>26000</v>
      </c>
      <c r="B154" s="13" t="s">
        <v>184</v>
      </c>
      <c r="C154" s="13" t="s">
        <v>4644</v>
      </c>
      <c r="D154" s="32" t="s">
        <v>4645</v>
      </c>
      <c r="E154" s="32" t="s">
        <v>8237</v>
      </c>
      <c r="F154" s="32" t="s">
        <v>8238</v>
      </c>
      <c r="G154" s="32" t="s">
        <v>8239</v>
      </c>
      <c r="H154" s="32" t="s">
        <v>8240</v>
      </c>
      <c r="I154" s="32" t="s">
        <v>8241</v>
      </c>
      <c r="J154" s="32" t="s">
        <v>4647</v>
      </c>
      <c r="K154" s="32" t="s">
        <v>8242</v>
      </c>
      <c r="L154" s="32" t="s">
        <v>7331</v>
      </c>
      <c r="M154" s="32" t="s">
        <v>8243</v>
      </c>
      <c r="N154" s="32" t="s">
        <v>2372</v>
      </c>
      <c r="O154" s="32" t="s">
        <v>8244</v>
      </c>
    </row>
    <row x14ac:dyDescent="0.25" r="155" customHeight="1" ht="15.75">
      <c r="A155" s="8">
        <v>26020</v>
      </c>
      <c r="B155" s="13" t="s">
        <v>184</v>
      </c>
      <c r="C155" s="13" t="s">
        <v>4648</v>
      </c>
      <c r="D155" s="32" t="s">
        <v>4649</v>
      </c>
      <c r="E155" s="32" t="s">
        <v>8245</v>
      </c>
      <c r="F155" s="32" t="s">
        <v>8246</v>
      </c>
      <c r="G155" s="32" t="s">
        <v>8247</v>
      </c>
      <c r="H155" s="32" t="s">
        <v>8248</v>
      </c>
      <c r="I155" s="32" t="s">
        <v>8249</v>
      </c>
      <c r="J155" s="32" t="s">
        <v>4651</v>
      </c>
      <c r="K155" s="32" t="s">
        <v>8250</v>
      </c>
      <c r="L155" s="32" t="s">
        <v>8251</v>
      </c>
      <c r="M155" s="32" t="s">
        <v>8252</v>
      </c>
      <c r="N155" s="32" t="s">
        <v>5454</v>
      </c>
      <c r="O155" s="32" t="s">
        <v>8253</v>
      </c>
    </row>
    <row x14ac:dyDescent="0.25" r="156" customHeight="1" ht="15.75">
      <c r="A156" s="8">
        <v>26021</v>
      </c>
      <c r="B156" s="13" t="s">
        <v>184</v>
      </c>
      <c r="C156" s="13" t="s">
        <v>4652</v>
      </c>
      <c r="D156" s="32" t="s">
        <v>4653</v>
      </c>
      <c r="E156" s="32" t="s">
        <v>8254</v>
      </c>
      <c r="F156" s="32" t="s">
        <v>6469</v>
      </c>
      <c r="G156" s="32" t="s">
        <v>8255</v>
      </c>
      <c r="H156" s="32" t="s">
        <v>8256</v>
      </c>
      <c r="I156" s="32" t="s">
        <v>8257</v>
      </c>
      <c r="J156" s="32" t="s">
        <v>4655</v>
      </c>
      <c r="K156" s="32" t="s">
        <v>8258</v>
      </c>
      <c r="L156" s="32" t="s">
        <v>8259</v>
      </c>
      <c r="M156" s="32" t="s">
        <v>7158</v>
      </c>
      <c r="N156" s="32" t="s">
        <v>8260</v>
      </c>
      <c r="O156" s="32" t="s">
        <v>8261</v>
      </c>
    </row>
    <row x14ac:dyDescent="0.25" r="157" customHeight="1" ht="15.75">
      <c r="A157" s="8">
        <v>26022</v>
      </c>
      <c r="B157" s="13" t="s">
        <v>184</v>
      </c>
      <c r="C157" s="13" t="s">
        <v>4657</v>
      </c>
      <c r="D157" s="32" t="s">
        <v>4658</v>
      </c>
      <c r="E157" s="32" t="s">
        <v>8262</v>
      </c>
      <c r="F157" s="32" t="s">
        <v>8263</v>
      </c>
      <c r="G157" s="32" t="s">
        <v>8264</v>
      </c>
      <c r="H157" s="32" t="s">
        <v>8265</v>
      </c>
      <c r="I157" s="32" t="s">
        <v>8266</v>
      </c>
      <c r="J157" s="32" t="s">
        <v>4659</v>
      </c>
      <c r="K157" s="32" t="s">
        <v>8267</v>
      </c>
      <c r="L157" s="32" t="s">
        <v>8268</v>
      </c>
      <c r="M157" s="32" t="s">
        <v>8269</v>
      </c>
      <c r="N157" s="32" t="s">
        <v>8270</v>
      </c>
      <c r="O157" s="32" t="s">
        <v>8171</v>
      </c>
    </row>
    <row x14ac:dyDescent="0.25" r="158" customHeight="1" ht="15.75">
      <c r="A158" s="8">
        <v>26023</v>
      </c>
      <c r="B158" s="13" t="s">
        <v>184</v>
      </c>
      <c r="C158" s="13" t="s">
        <v>4660</v>
      </c>
      <c r="D158" s="32" t="s">
        <v>74</v>
      </c>
      <c r="E158" s="32" t="s">
        <v>8271</v>
      </c>
      <c r="F158" s="32" t="s">
        <v>8272</v>
      </c>
      <c r="G158" s="32" t="s">
        <v>8273</v>
      </c>
      <c r="H158" s="32" t="s">
        <v>8274</v>
      </c>
      <c r="I158" s="32" t="s">
        <v>8275</v>
      </c>
      <c r="J158" s="32" t="s">
        <v>4662</v>
      </c>
      <c r="K158" s="32" t="s">
        <v>8276</v>
      </c>
      <c r="L158" s="32" t="s">
        <v>6216</v>
      </c>
      <c r="M158" s="32" t="s">
        <v>8277</v>
      </c>
      <c r="N158" s="32" t="s">
        <v>8278</v>
      </c>
      <c r="O158" s="32" t="s">
        <v>8279</v>
      </c>
    </row>
    <row x14ac:dyDescent="0.25" r="159" customHeight="1" ht="15.75">
      <c r="A159" s="8">
        <v>26001</v>
      </c>
      <c r="B159" s="13" t="s">
        <v>184</v>
      </c>
      <c r="C159" s="13" t="s">
        <v>4664</v>
      </c>
      <c r="D159" s="32" t="s">
        <v>2649</v>
      </c>
      <c r="E159" s="32" t="s">
        <v>8280</v>
      </c>
      <c r="F159" s="32" t="s">
        <v>8281</v>
      </c>
      <c r="G159" s="32" t="s">
        <v>8282</v>
      </c>
      <c r="H159" s="32" t="s">
        <v>6193</v>
      </c>
      <c r="I159" s="32" t="s">
        <v>8283</v>
      </c>
      <c r="J159" s="32" t="s">
        <v>4666</v>
      </c>
      <c r="K159" s="32" t="s">
        <v>8284</v>
      </c>
      <c r="L159" s="32" t="s">
        <v>8285</v>
      </c>
      <c r="M159" s="32" t="s">
        <v>8286</v>
      </c>
      <c r="N159" s="32" t="s">
        <v>5919</v>
      </c>
      <c r="O159" s="32" t="s">
        <v>8287</v>
      </c>
    </row>
    <row x14ac:dyDescent="0.25" r="160" customHeight="1" ht="15.75">
      <c r="A160" s="8">
        <v>26024</v>
      </c>
      <c r="B160" s="13" t="s">
        <v>184</v>
      </c>
      <c r="C160" s="13" t="s">
        <v>4668</v>
      </c>
      <c r="D160" s="32" t="s">
        <v>4669</v>
      </c>
      <c r="E160" s="32" t="s">
        <v>8288</v>
      </c>
      <c r="F160" s="32" t="s">
        <v>8289</v>
      </c>
      <c r="G160" s="32" t="s">
        <v>8290</v>
      </c>
      <c r="H160" s="32" t="s">
        <v>8291</v>
      </c>
      <c r="I160" s="32" t="s">
        <v>8292</v>
      </c>
      <c r="J160" s="32" t="s">
        <v>4670</v>
      </c>
      <c r="K160" s="32" t="s">
        <v>8293</v>
      </c>
      <c r="L160" s="32" t="s">
        <v>4512</v>
      </c>
      <c r="M160" s="32" t="s">
        <v>8294</v>
      </c>
      <c r="N160" s="32" t="s">
        <v>8295</v>
      </c>
      <c r="O160" s="32" t="s">
        <v>7780</v>
      </c>
    </row>
    <row x14ac:dyDescent="0.25" r="161" customHeight="1" ht="15.75">
      <c r="A161" s="8">
        <v>26025</v>
      </c>
      <c r="B161" s="13" t="s">
        <v>184</v>
      </c>
      <c r="C161" s="13" t="s">
        <v>4672</v>
      </c>
      <c r="D161" s="32" t="s">
        <v>4673</v>
      </c>
      <c r="E161" s="32" t="s">
        <v>8296</v>
      </c>
      <c r="F161" s="32" t="s">
        <v>8297</v>
      </c>
      <c r="G161" s="32" t="s">
        <v>8298</v>
      </c>
      <c r="H161" s="32" t="s">
        <v>8299</v>
      </c>
      <c r="I161" s="32" t="s">
        <v>8300</v>
      </c>
      <c r="J161" s="32" t="s">
        <v>4675</v>
      </c>
      <c r="K161" s="32" t="s">
        <v>8301</v>
      </c>
      <c r="L161" s="32" t="s">
        <v>2652</v>
      </c>
      <c r="M161" s="32" t="s">
        <v>8302</v>
      </c>
      <c r="N161" s="32" t="s">
        <v>4956</v>
      </c>
      <c r="O161" s="32" t="s">
        <v>8303</v>
      </c>
    </row>
    <row x14ac:dyDescent="0.25" r="162" customHeight="1" ht="15.75">
      <c r="A162" s="8">
        <v>26026</v>
      </c>
      <c r="B162" s="13" t="s">
        <v>184</v>
      </c>
      <c r="C162" s="13" t="s">
        <v>4676</v>
      </c>
      <c r="D162" s="32" t="s">
        <v>4677</v>
      </c>
      <c r="E162" s="32" t="s">
        <v>8304</v>
      </c>
      <c r="F162" s="32" t="s">
        <v>8305</v>
      </c>
      <c r="G162" s="32" t="s">
        <v>8306</v>
      </c>
      <c r="H162" s="32" t="s">
        <v>122</v>
      </c>
      <c r="I162" s="32" t="s">
        <v>7572</v>
      </c>
      <c r="J162" s="32" t="s">
        <v>4678</v>
      </c>
      <c r="K162" s="32" t="s">
        <v>8307</v>
      </c>
      <c r="L162" s="32" t="s">
        <v>88</v>
      </c>
      <c r="M162" s="32" t="s">
        <v>8308</v>
      </c>
      <c r="N162" s="32" t="s">
        <v>8309</v>
      </c>
      <c r="O162" s="32" t="s">
        <v>8310</v>
      </c>
    </row>
    <row x14ac:dyDescent="0.25" r="163" customHeight="1" ht="15.75">
      <c r="A163" s="8">
        <v>26027</v>
      </c>
      <c r="B163" s="13" t="s">
        <v>184</v>
      </c>
      <c r="C163" s="13" t="s">
        <v>4679</v>
      </c>
      <c r="D163" s="32" t="s">
        <v>4680</v>
      </c>
      <c r="E163" s="32" t="s">
        <v>8311</v>
      </c>
      <c r="F163" s="32" t="s">
        <v>8312</v>
      </c>
      <c r="G163" s="32" t="s">
        <v>8313</v>
      </c>
      <c r="H163" s="32" t="s">
        <v>6090</v>
      </c>
      <c r="I163" s="32" t="s">
        <v>8314</v>
      </c>
      <c r="J163" s="32" t="s">
        <v>4681</v>
      </c>
      <c r="K163" s="32" t="s">
        <v>8315</v>
      </c>
      <c r="L163" s="32" t="s">
        <v>8316</v>
      </c>
      <c r="M163" s="32" t="s">
        <v>8317</v>
      </c>
      <c r="N163" s="32" t="s">
        <v>4135</v>
      </c>
      <c r="O163" s="32" t="s">
        <v>8318</v>
      </c>
    </row>
    <row x14ac:dyDescent="0.25" r="164" customHeight="1" ht="15.75">
      <c r="A164" s="8">
        <v>26028</v>
      </c>
      <c r="B164" s="13" t="s">
        <v>184</v>
      </c>
      <c r="C164" s="13" t="s">
        <v>4683</v>
      </c>
      <c r="D164" s="32" t="s">
        <v>4684</v>
      </c>
      <c r="E164" s="32" t="s">
        <v>8319</v>
      </c>
      <c r="F164" s="32" t="s">
        <v>74</v>
      </c>
      <c r="G164" s="32" t="s">
        <v>8320</v>
      </c>
      <c r="H164" s="32" t="s">
        <v>74</v>
      </c>
      <c r="I164" s="32" t="s">
        <v>8321</v>
      </c>
      <c r="J164" s="32" t="s">
        <v>74</v>
      </c>
      <c r="K164" s="32" t="s">
        <v>8322</v>
      </c>
      <c r="L164" s="32" t="s">
        <v>74</v>
      </c>
      <c r="M164" s="32" t="s">
        <v>8323</v>
      </c>
      <c r="N164" s="32" t="s">
        <v>74</v>
      </c>
      <c r="O164" s="32" t="s">
        <v>8324</v>
      </c>
    </row>
    <row x14ac:dyDescent="0.25" r="165" customHeight="1" ht="15.75">
      <c r="A165" s="8">
        <v>26029</v>
      </c>
      <c r="B165" s="13" t="s">
        <v>184</v>
      </c>
      <c r="C165" s="13" t="s">
        <v>4686</v>
      </c>
      <c r="D165" s="32" t="s">
        <v>4687</v>
      </c>
      <c r="E165" s="32" t="s">
        <v>7191</v>
      </c>
      <c r="F165" s="32" t="s">
        <v>8325</v>
      </c>
      <c r="G165" s="32" t="s">
        <v>8326</v>
      </c>
      <c r="H165" s="32" t="s">
        <v>8152</v>
      </c>
      <c r="I165" s="32" t="s">
        <v>8327</v>
      </c>
      <c r="J165" s="32" t="s">
        <v>4688</v>
      </c>
      <c r="K165" s="32" t="s">
        <v>8328</v>
      </c>
      <c r="L165" s="32" t="s">
        <v>8329</v>
      </c>
      <c r="M165" s="32" t="s">
        <v>8330</v>
      </c>
      <c r="N165" s="32" t="s">
        <v>8331</v>
      </c>
      <c r="O165" s="32" t="s">
        <v>8332</v>
      </c>
    </row>
    <row x14ac:dyDescent="0.25" r="166" customHeight="1" ht="15.75">
      <c r="A166" s="8">
        <v>26030</v>
      </c>
      <c r="B166" s="13" t="s">
        <v>184</v>
      </c>
      <c r="C166" s="13" t="s">
        <v>4690</v>
      </c>
      <c r="D166" s="32" t="s">
        <v>4691</v>
      </c>
      <c r="E166" s="32" t="s">
        <v>8333</v>
      </c>
      <c r="F166" s="32" t="s">
        <v>8334</v>
      </c>
      <c r="G166" s="32" t="s">
        <v>8335</v>
      </c>
      <c r="H166" s="32" t="s">
        <v>2699</v>
      </c>
      <c r="I166" s="32" t="s">
        <v>8336</v>
      </c>
      <c r="J166" s="32" t="s">
        <v>4692</v>
      </c>
      <c r="K166" s="32" t="s">
        <v>8337</v>
      </c>
      <c r="L166" s="32" t="s">
        <v>1672</v>
      </c>
      <c r="M166" s="32" t="s">
        <v>8338</v>
      </c>
      <c r="N166" s="32" t="s">
        <v>8339</v>
      </c>
      <c r="O166" s="32" t="s">
        <v>8340</v>
      </c>
    </row>
    <row x14ac:dyDescent="0.25" r="167" customHeight="1" ht="15.75">
      <c r="A167" s="8">
        <v>26088</v>
      </c>
      <c r="B167" s="13" t="s">
        <v>184</v>
      </c>
      <c r="C167" s="13" t="s">
        <v>4694</v>
      </c>
      <c r="D167" s="32" t="s">
        <v>4695</v>
      </c>
      <c r="E167" s="32" t="s">
        <v>8341</v>
      </c>
      <c r="F167" s="32" t="s">
        <v>8342</v>
      </c>
      <c r="G167" s="32" t="s">
        <v>8343</v>
      </c>
      <c r="H167" s="32" t="s">
        <v>8344</v>
      </c>
      <c r="I167" s="32" t="s">
        <v>8345</v>
      </c>
      <c r="J167" s="32" t="s">
        <v>4697</v>
      </c>
      <c r="K167" s="32" t="s">
        <v>8346</v>
      </c>
      <c r="L167" s="32" t="s">
        <v>8347</v>
      </c>
      <c r="M167" s="32" t="s">
        <v>8348</v>
      </c>
      <c r="N167" s="32" t="s">
        <v>8349</v>
      </c>
      <c r="O167" s="32" t="s">
        <v>8350</v>
      </c>
    </row>
    <row x14ac:dyDescent="0.25" r="168" customHeight="1" ht="15.75">
      <c r="A168" s="8">
        <v>26031</v>
      </c>
      <c r="B168" s="13" t="s">
        <v>184</v>
      </c>
      <c r="C168" s="13" t="s">
        <v>4699</v>
      </c>
      <c r="D168" s="32" t="s">
        <v>4700</v>
      </c>
      <c r="E168" s="32" t="s">
        <v>8351</v>
      </c>
      <c r="F168" s="32" t="s">
        <v>8352</v>
      </c>
      <c r="G168" s="32" t="s">
        <v>8353</v>
      </c>
      <c r="H168" s="32" t="s">
        <v>8354</v>
      </c>
      <c r="I168" s="32" t="s">
        <v>8355</v>
      </c>
      <c r="J168" s="32" t="s">
        <v>4701</v>
      </c>
      <c r="K168" s="32" t="s">
        <v>8356</v>
      </c>
      <c r="L168" s="32" t="s">
        <v>8357</v>
      </c>
      <c r="M168" s="32" t="s">
        <v>8358</v>
      </c>
      <c r="N168" s="32" t="s">
        <v>8359</v>
      </c>
      <c r="O168" s="32" t="s">
        <v>8360</v>
      </c>
    </row>
    <row x14ac:dyDescent="0.25" r="169" customHeight="1" ht="15.75">
      <c r="A169" s="8">
        <v>26032</v>
      </c>
      <c r="B169" s="13" t="s">
        <v>184</v>
      </c>
      <c r="C169" s="13" t="s">
        <v>4702</v>
      </c>
      <c r="D169" s="32" t="s">
        <v>350</v>
      </c>
      <c r="E169" s="32" t="s">
        <v>8361</v>
      </c>
      <c r="F169" s="32" t="s">
        <v>8155</v>
      </c>
      <c r="G169" s="32" t="s">
        <v>8362</v>
      </c>
      <c r="H169" s="32" t="s">
        <v>8309</v>
      </c>
      <c r="I169" s="32" t="s">
        <v>8363</v>
      </c>
      <c r="J169" s="32" t="s">
        <v>4703</v>
      </c>
      <c r="K169" s="32" t="s">
        <v>8364</v>
      </c>
      <c r="L169" s="32" t="s">
        <v>810</v>
      </c>
      <c r="M169" s="32" t="s">
        <v>8365</v>
      </c>
      <c r="N169" s="32" t="s">
        <v>4678</v>
      </c>
      <c r="O169" s="32" t="s">
        <v>8366</v>
      </c>
    </row>
    <row x14ac:dyDescent="0.25" r="170" customHeight="1" ht="15.75">
      <c r="A170" s="8">
        <v>26033</v>
      </c>
      <c r="B170" s="13" t="s">
        <v>184</v>
      </c>
      <c r="C170" s="13" t="s">
        <v>4704</v>
      </c>
      <c r="D170" s="32" t="s">
        <v>1562</v>
      </c>
      <c r="E170" s="32" t="s">
        <v>7126</v>
      </c>
      <c r="F170" s="32" t="s">
        <v>2668</v>
      </c>
      <c r="G170" s="32" t="s">
        <v>8117</v>
      </c>
      <c r="H170" s="32" t="s">
        <v>4706</v>
      </c>
      <c r="I170" s="32" t="s">
        <v>8367</v>
      </c>
      <c r="J170" s="32" t="s">
        <v>4706</v>
      </c>
      <c r="K170" s="32" t="s">
        <v>8368</v>
      </c>
      <c r="L170" s="32" t="s">
        <v>8369</v>
      </c>
      <c r="M170" s="32" t="s">
        <v>8370</v>
      </c>
      <c r="N170" s="32" t="s">
        <v>4086</v>
      </c>
      <c r="O170" s="32" t="s">
        <v>7202</v>
      </c>
    </row>
    <row x14ac:dyDescent="0.25" r="171" customHeight="1" ht="15.75">
      <c r="A171" s="8">
        <v>26034</v>
      </c>
      <c r="B171" s="13" t="s">
        <v>184</v>
      </c>
      <c r="C171" s="13" t="s">
        <v>4707</v>
      </c>
      <c r="D171" s="32" t="s">
        <v>4708</v>
      </c>
      <c r="E171" s="32" t="s">
        <v>8371</v>
      </c>
      <c r="F171" s="32" t="s">
        <v>8088</v>
      </c>
      <c r="G171" s="32" t="s">
        <v>8372</v>
      </c>
      <c r="H171" s="32" t="s">
        <v>7102</v>
      </c>
      <c r="I171" s="32" t="s">
        <v>8373</v>
      </c>
      <c r="J171" s="32" t="s">
        <v>4710</v>
      </c>
      <c r="K171" s="32" t="s">
        <v>8374</v>
      </c>
      <c r="L171" s="32" t="s">
        <v>8375</v>
      </c>
      <c r="M171" s="32" t="s">
        <v>8376</v>
      </c>
      <c r="N171" s="32" t="s">
        <v>7102</v>
      </c>
      <c r="O171" s="32" t="s">
        <v>7436</v>
      </c>
    </row>
    <row x14ac:dyDescent="0.25" r="172" customHeight="1" ht="15.75">
      <c r="A172" s="8">
        <v>26035</v>
      </c>
      <c r="B172" s="13" t="s">
        <v>184</v>
      </c>
      <c r="C172" s="13" t="s">
        <v>4711</v>
      </c>
      <c r="D172" s="32" t="s">
        <v>4712</v>
      </c>
      <c r="E172" s="32" t="s">
        <v>8377</v>
      </c>
      <c r="F172" s="32" t="s">
        <v>8378</v>
      </c>
      <c r="G172" s="32" t="s">
        <v>8379</v>
      </c>
      <c r="H172" s="32" t="s">
        <v>8380</v>
      </c>
      <c r="I172" s="32" t="s">
        <v>8381</v>
      </c>
      <c r="J172" s="32" t="s">
        <v>4713</v>
      </c>
      <c r="K172" s="32" t="s">
        <v>8382</v>
      </c>
      <c r="L172" s="32" t="s">
        <v>8383</v>
      </c>
      <c r="M172" s="32" t="s">
        <v>8384</v>
      </c>
      <c r="N172" s="32" t="s">
        <v>8385</v>
      </c>
      <c r="O172" s="32" t="s">
        <v>8386</v>
      </c>
    </row>
    <row x14ac:dyDescent="0.25" r="173" customHeight="1" ht="15.75">
      <c r="A173" s="8">
        <v>26036</v>
      </c>
      <c r="B173" s="13" t="s">
        <v>184</v>
      </c>
      <c r="C173" s="13" t="s">
        <v>4714</v>
      </c>
      <c r="D173" s="32" t="s">
        <v>4125</v>
      </c>
      <c r="E173" s="32" t="s">
        <v>8387</v>
      </c>
      <c r="F173" s="32" t="s">
        <v>8388</v>
      </c>
      <c r="G173" s="32" t="s">
        <v>8389</v>
      </c>
      <c r="H173" s="32" t="s">
        <v>4442</v>
      </c>
      <c r="I173" s="32" t="s">
        <v>8390</v>
      </c>
      <c r="J173" s="32" t="s">
        <v>4716</v>
      </c>
      <c r="K173" s="32" t="s">
        <v>8391</v>
      </c>
      <c r="L173" s="32" t="s">
        <v>8392</v>
      </c>
      <c r="M173" s="32" t="s">
        <v>8393</v>
      </c>
      <c r="N173" s="32" t="s">
        <v>2730</v>
      </c>
      <c r="O173" s="32" t="s">
        <v>8394</v>
      </c>
    </row>
    <row x14ac:dyDescent="0.25" r="174" customHeight="1" ht="15.75">
      <c r="A174" s="8">
        <v>26089</v>
      </c>
      <c r="B174" s="13" t="s">
        <v>184</v>
      </c>
      <c r="C174" s="13" t="s">
        <v>4718</v>
      </c>
      <c r="D174" s="32" t="s">
        <v>4719</v>
      </c>
      <c r="E174" s="32" t="s">
        <v>8395</v>
      </c>
      <c r="F174" s="32" t="s">
        <v>8396</v>
      </c>
      <c r="G174" s="32" t="s">
        <v>8397</v>
      </c>
      <c r="H174" s="32" t="s">
        <v>2492</v>
      </c>
      <c r="I174" s="32" t="s">
        <v>8398</v>
      </c>
      <c r="J174" s="32" t="s">
        <v>4721</v>
      </c>
      <c r="K174" s="32" t="s">
        <v>8399</v>
      </c>
      <c r="L174" s="32" t="s">
        <v>1601</v>
      </c>
      <c r="M174" s="32" t="s">
        <v>8400</v>
      </c>
      <c r="N174" s="32" t="s">
        <v>8401</v>
      </c>
      <c r="O174" s="32" t="s">
        <v>8402</v>
      </c>
    </row>
    <row x14ac:dyDescent="0.25" r="175" customHeight="1" ht="15.75">
      <c r="A175" s="8">
        <v>26037</v>
      </c>
      <c r="B175" s="13" t="s">
        <v>184</v>
      </c>
      <c r="C175" s="13" t="s">
        <v>4722</v>
      </c>
      <c r="D175" s="32" t="s">
        <v>4723</v>
      </c>
      <c r="E175" s="32" t="s">
        <v>8403</v>
      </c>
      <c r="F175" s="32" t="s">
        <v>88</v>
      </c>
      <c r="G175" s="32" t="s">
        <v>8404</v>
      </c>
      <c r="H175" s="32" t="s">
        <v>8405</v>
      </c>
      <c r="I175" s="32" t="s">
        <v>8406</v>
      </c>
      <c r="J175" s="32" t="s">
        <v>4725</v>
      </c>
      <c r="K175" s="32" t="s">
        <v>8407</v>
      </c>
      <c r="L175" s="32" t="s">
        <v>5215</v>
      </c>
      <c r="M175" s="32" t="s">
        <v>8408</v>
      </c>
      <c r="N175" s="32" t="s">
        <v>5409</v>
      </c>
      <c r="O175" s="32" t="s">
        <v>8409</v>
      </c>
    </row>
    <row x14ac:dyDescent="0.25" r="176" customHeight="1" ht="15.75">
      <c r="A176" s="8">
        <v>26038</v>
      </c>
      <c r="B176" s="13" t="s">
        <v>184</v>
      </c>
      <c r="C176" s="13" t="s">
        <v>4727</v>
      </c>
      <c r="D176" s="32" t="s">
        <v>4728</v>
      </c>
      <c r="E176" s="32" t="s">
        <v>8410</v>
      </c>
      <c r="F176" s="32" t="s">
        <v>8411</v>
      </c>
      <c r="G176" s="32" t="s">
        <v>8412</v>
      </c>
      <c r="H176" s="32" t="s">
        <v>2276</v>
      </c>
      <c r="I176" s="32" t="s">
        <v>8413</v>
      </c>
      <c r="J176" s="32" t="s">
        <v>758</v>
      </c>
      <c r="K176" s="32" t="s">
        <v>8414</v>
      </c>
      <c r="L176" s="32" t="s">
        <v>6284</v>
      </c>
      <c r="M176" s="32" t="s">
        <v>8415</v>
      </c>
      <c r="N176" s="32" t="s">
        <v>8416</v>
      </c>
      <c r="O176" s="32" t="s">
        <v>8417</v>
      </c>
    </row>
    <row x14ac:dyDescent="0.25" r="177" customHeight="1" ht="15.75">
      <c r="A177" s="8">
        <v>26090</v>
      </c>
      <c r="B177" s="13" t="s">
        <v>184</v>
      </c>
      <c r="C177" s="13" t="s">
        <v>4731</v>
      </c>
      <c r="D177" s="32" t="s">
        <v>4119</v>
      </c>
      <c r="E177" s="32" t="s">
        <v>8418</v>
      </c>
      <c r="F177" s="32" t="s">
        <v>8419</v>
      </c>
      <c r="G177" s="32" t="s">
        <v>8420</v>
      </c>
      <c r="H177" s="32" t="s">
        <v>6637</v>
      </c>
      <c r="I177" s="32" t="s">
        <v>8421</v>
      </c>
      <c r="J177" s="32" t="s">
        <v>4733</v>
      </c>
      <c r="K177" s="32" t="s">
        <v>8422</v>
      </c>
      <c r="L177" s="32" t="s">
        <v>8423</v>
      </c>
      <c r="M177" s="32" t="s">
        <v>8424</v>
      </c>
      <c r="N177" s="32" t="s">
        <v>8378</v>
      </c>
      <c r="O177" s="32" t="s">
        <v>8425</v>
      </c>
    </row>
    <row x14ac:dyDescent="0.25" r="178" customHeight="1" ht="15.75">
      <c r="A178" s="8">
        <v>26039</v>
      </c>
      <c r="B178" s="13" t="s">
        <v>184</v>
      </c>
      <c r="C178" s="13" t="s">
        <v>4735</v>
      </c>
      <c r="D178" s="32" t="s">
        <v>4736</v>
      </c>
      <c r="E178" s="32" t="s">
        <v>8426</v>
      </c>
      <c r="F178" s="32" t="s">
        <v>2223</v>
      </c>
      <c r="G178" s="32" t="s">
        <v>8427</v>
      </c>
      <c r="H178" s="32" t="s">
        <v>8428</v>
      </c>
      <c r="I178" s="32" t="s">
        <v>8429</v>
      </c>
      <c r="J178" s="32" t="s">
        <v>88</v>
      </c>
      <c r="K178" s="32" t="s">
        <v>8430</v>
      </c>
      <c r="L178" s="32" t="s">
        <v>8431</v>
      </c>
      <c r="M178" s="32" t="s">
        <v>8432</v>
      </c>
      <c r="N178" s="32" t="s">
        <v>2791</v>
      </c>
      <c r="O178" s="32" t="s">
        <v>8433</v>
      </c>
    </row>
    <row x14ac:dyDescent="0.25" r="179" customHeight="1" ht="15.75">
      <c r="A179" s="8">
        <v>26091</v>
      </c>
      <c r="B179" s="13" t="s">
        <v>184</v>
      </c>
      <c r="C179" s="13" t="s">
        <v>4737</v>
      </c>
      <c r="D179" s="32" t="s">
        <v>4738</v>
      </c>
      <c r="E179" s="32" t="s">
        <v>8434</v>
      </c>
      <c r="F179" s="32" t="s">
        <v>8435</v>
      </c>
      <c r="G179" s="32" t="s">
        <v>8436</v>
      </c>
      <c r="H179" s="32" t="s">
        <v>8437</v>
      </c>
      <c r="I179" s="32" t="s">
        <v>8438</v>
      </c>
      <c r="J179" s="32" t="s">
        <v>4739</v>
      </c>
      <c r="K179" s="32" t="s">
        <v>8439</v>
      </c>
      <c r="L179" s="32" t="s">
        <v>2592</v>
      </c>
      <c r="M179" s="32" t="s">
        <v>8440</v>
      </c>
      <c r="N179" s="32" t="s">
        <v>8441</v>
      </c>
      <c r="O179" s="32" t="s">
        <v>8442</v>
      </c>
    </row>
    <row x14ac:dyDescent="0.25" r="180" customHeight="1" ht="15.75">
      <c r="A180" s="8">
        <v>26040</v>
      </c>
      <c r="B180" s="13" t="s">
        <v>184</v>
      </c>
      <c r="C180" s="13" t="s">
        <v>4740</v>
      </c>
      <c r="D180" s="32" t="s">
        <v>4741</v>
      </c>
      <c r="E180" s="32" t="s">
        <v>8443</v>
      </c>
      <c r="F180" s="32" t="s">
        <v>8444</v>
      </c>
      <c r="G180" s="32" t="s">
        <v>8445</v>
      </c>
      <c r="H180" s="32" t="s">
        <v>8446</v>
      </c>
      <c r="I180" s="32" t="s">
        <v>8447</v>
      </c>
      <c r="J180" s="32" t="s">
        <v>4742</v>
      </c>
      <c r="K180" s="32" t="s">
        <v>8448</v>
      </c>
      <c r="L180" s="32" t="s">
        <v>8449</v>
      </c>
      <c r="M180" s="32" t="s">
        <v>8450</v>
      </c>
      <c r="N180" s="32" t="s">
        <v>8451</v>
      </c>
      <c r="O180" s="32" t="s">
        <v>8452</v>
      </c>
    </row>
    <row x14ac:dyDescent="0.25" r="181" customHeight="1" ht="15.75">
      <c r="A181" s="8">
        <v>26041</v>
      </c>
      <c r="B181" s="13" t="s">
        <v>184</v>
      </c>
      <c r="C181" s="13" t="s">
        <v>4743</v>
      </c>
      <c r="D181" s="32" t="s">
        <v>1419</v>
      </c>
      <c r="E181" s="32" t="s">
        <v>8453</v>
      </c>
      <c r="F181" s="32" t="s">
        <v>2564</v>
      </c>
      <c r="G181" s="32" t="s">
        <v>8454</v>
      </c>
      <c r="H181" s="32" t="s">
        <v>8455</v>
      </c>
      <c r="I181" s="32" t="s">
        <v>7682</v>
      </c>
      <c r="J181" s="32" t="s">
        <v>4744</v>
      </c>
      <c r="K181" s="32" t="s">
        <v>8456</v>
      </c>
      <c r="L181" s="32" t="s">
        <v>8457</v>
      </c>
      <c r="M181" s="32" t="s">
        <v>8458</v>
      </c>
      <c r="N181" s="32" t="s">
        <v>6970</v>
      </c>
      <c r="O181" s="32" t="s">
        <v>8459</v>
      </c>
    </row>
    <row x14ac:dyDescent="0.25" r="182" customHeight="1" ht="15.75">
      <c r="A182" s="8">
        <v>26042</v>
      </c>
      <c r="B182" s="13" t="s">
        <v>184</v>
      </c>
      <c r="C182" s="13" t="s">
        <v>4745</v>
      </c>
      <c r="D182" s="32" t="s">
        <v>4746</v>
      </c>
      <c r="E182" s="32" t="s">
        <v>8460</v>
      </c>
      <c r="F182" s="32" t="s">
        <v>4658</v>
      </c>
      <c r="G182" s="32" t="s">
        <v>8461</v>
      </c>
      <c r="H182" s="32" t="s">
        <v>5209</v>
      </c>
      <c r="I182" s="32" t="s">
        <v>8462</v>
      </c>
      <c r="J182" s="32" t="s">
        <v>4747</v>
      </c>
      <c r="K182" s="32" t="s">
        <v>8463</v>
      </c>
      <c r="L182" s="32" t="s">
        <v>2560</v>
      </c>
      <c r="M182" s="32" t="s">
        <v>8464</v>
      </c>
      <c r="N182" s="32" t="s">
        <v>8465</v>
      </c>
      <c r="O182" s="32" t="s">
        <v>8466</v>
      </c>
    </row>
    <row x14ac:dyDescent="0.25" r="183" customHeight="1" ht="15.75">
      <c r="A183" s="8">
        <v>26043</v>
      </c>
      <c r="B183" s="13" t="s">
        <v>184</v>
      </c>
      <c r="C183" s="13" t="s">
        <v>4749</v>
      </c>
      <c r="D183" s="32" t="s">
        <v>4169</v>
      </c>
      <c r="E183" s="32" t="s">
        <v>8467</v>
      </c>
      <c r="F183" s="32" t="s">
        <v>7917</v>
      </c>
      <c r="G183" s="32" t="s">
        <v>8468</v>
      </c>
      <c r="H183" s="32" t="s">
        <v>2460</v>
      </c>
      <c r="I183" s="32" t="s">
        <v>8469</v>
      </c>
      <c r="J183" s="32" t="s">
        <v>4751</v>
      </c>
      <c r="K183" s="32" t="s">
        <v>8470</v>
      </c>
      <c r="L183" s="32" t="s">
        <v>8378</v>
      </c>
      <c r="M183" s="32" t="s">
        <v>8471</v>
      </c>
      <c r="N183" s="32" t="s">
        <v>2460</v>
      </c>
      <c r="O183" s="32" t="s">
        <v>7506</v>
      </c>
    </row>
    <row x14ac:dyDescent="0.25" r="184" customHeight="1" ht="15.75">
      <c r="A184" s="8">
        <v>26044</v>
      </c>
      <c r="B184" s="13" t="s">
        <v>184</v>
      </c>
      <c r="C184" s="13" t="s">
        <v>4753</v>
      </c>
      <c r="D184" s="32" t="s">
        <v>4754</v>
      </c>
      <c r="E184" s="32" t="s">
        <v>8472</v>
      </c>
      <c r="F184" s="32" t="s">
        <v>8473</v>
      </c>
      <c r="G184" s="32" t="s">
        <v>8474</v>
      </c>
      <c r="H184" s="32" t="s">
        <v>8475</v>
      </c>
      <c r="I184" s="32" t="s">
        <v>8476</v>
      </c>
      <c r="J184" s="32" t="s">
        <v>4756</v>
      </c>
      <c r="K184" s="32" t="s">
        <v>8477</v>
      </c>
      <c r="L184" s="32" t="s">
        <v>7023</v>
      </c>
      <c r="M184" s="32" t="s">
        <v>8478</v>
      </c>
      <c r="N184" s="32" t="s">
        <v>8479</v>
      </c>
      <c r="O184" s="32" t="s">
        <v>8480</v>
      </c>
    </row>
    <row x14ac:dyDescent="0.25" r="185" customHeight="1" ht="15.75">
      <c r="A185" s="8">
        <v>26045</v>
      </c>
      <c r="B185" s="13" t="s">
        <v>184</v>
      </c>
      <c r="C185" s="13" t="s">
        <v>4757</v>
      </c>
      <c r="D185" s="32" t="s">
        <v>4758</v>
      </c>
      <c r="E185" s="32" t="s">
        <v>8481</v>
      </c>
      <c r="F185" s="32" t="s">
        <v>2747</v>
      </c>
      <c r="G185" s="32" t="s">
        <v>8482</v>
      </c>
      <c r="H185" s="32" t="s">
        <v>8483</v>
      </c>
      <c r="I185" s="32" t="s">
        <v>8484</v>
      </c>
      <c r="J185" s="32" t="s">
        <v>4760</v>
      </c>
      <c r="K185" s="32" t="s">
        <v>8485</v>
      </c>
      <c r="L185" s="32" t="s">
        <v>8486</v>
      </c>
      <c r="M185" s="32" t="s">
        <v>8487</v>
      </c>
      <c r="N185" s="32" t="s">
        <v>8488</v>
      </c>
      <c r="O185" s="32" t="s">
        <v>8489</v>
      </c>
    </row>
    <row x14ac:dyDescent="0.25" r="186" customHeight="1" ht="15.75">
      <c r="A186" s="8">
        <v>26046</v>
      </c>
      <c r="B186" s="13" t="s">
        <v>184</v>
      </c>
      <c r="C186" s="13" t="s">
        <v>4762</v>
      </c>
      <c r="D186" s="32" t="s">
        <v>4763</v>
      </c>
      <c r="E186" s="32" t="s">
        <v>8490</v>
      </c>
      <c r="F186" s="32" t="s">
        <v>6483</v>
      </c>
      <c r="G186" s="32" t="s">
        <v>8491</v>
      </c>
      <c r="H186" s="32" t="s">
        <v>8492</v>
      </c>
      <c r="I186" s="32" t="s">
        <v>8493</v>
      </c>
      <c r="J186" s="32" t="s">
        <v>4765</v>
      </c>
      <c r="K186" s="32" t="s">
        <v>8494</v>
      </c>
      <c r="L186" s="32" t="s">
        <v>8495</v>
      </c>
      <c r="M186" s="32" t="s">
        <v>8496</v>
      </c>
      <c r="N186" s="32" t="s">
        <v>8497</v>
      </c>
      <c r="O186" s="32" t="s">
        <v>8498</v>
      </c>
    </row>
    <row x14ac:dyDescent="0.25" r="187" customHeight="1" ht="15.75">
      <c r="A187" s="8">
        <v>26047</v>
      </c>
      <c r="B187" s="13" t="s">
        <v>184</v>
      </c>
      <c r="C187" s="13" t="s">
        <v>4767</v>
      </c>
      <c r="D187" s="32" t="s">
        <v>2188</v>
      </c>
      <c r="E187" s="32" t="s">
        <v>7192</v>
      </c>
      <c r="F187" s="32" t="s">
        <v>554</v>
      </c>
      <c r="G187" s="32" t="s">
        <v>8499</v>
      </c>
      <c r="H187" s="32" t="s">
        <v>578</v>
      </c>
      <c r="I187" s="32" t="s">
        <v>8500</v>
      </c>
      <c r="J187" s="32" t="s">
        <v>2462</v>
      </c>
      <c r="K187" s="32" t="s">
        <v>8501</v>
      </c>
      <c r="L187" s="32" t="s">
        <v>2608</v>
      </c>
      <c r="M187" s="32" t="s">
        <v>8502</v>
      </c>
      <c r="N187" s="32" t="s">
        <v>2112</v>
      </c>
      <c r="O187" s="32" t="s">
        <v>8503</v>
      </c>
    </row>
    <row x14ac:dyDescent="0.25" r="188" customHeight="1" ht="15.75">
      <c r="A188" s="8">
        <v>26048</v>
      </c>
      <c r="B188" s="13" t="s">
        <v>184</v>
      </c>
      <c r="C188" s="13" t="s">
        <v>4769</v>
      </c>
      <c r="D188" s="32" t="s">
        <v>4770</v>
      </c>
      <c r="E188" s="32" t="s">
        <v>8504</v>
      </c>
      <c r="F188" s="32" t="s">
        <v>6701</v>
      </c>
      <c r="G188" s="32" t="s">
        <v>8505</v>
      </c>
      <c r="H188" s="32" t="s">
        <v>74</v>
      </c>
      <c r="I188" s="32" t="s">
        <v>8506</v>
      </c>
      <c r="J188" s="32" t="s">
        <v>4771</v>
      </c>
      <c r="K188" s="32" t="s">
        <v>8507</v>
      </c>
      <c r="L188" s="32" t="s">
        <v>74</v>
      </c>
      <c r="M188" s="32" t="s">
        <v>8508</v>
      </c>
      <c r="N188" s="32" t="s">
        <v>74</v>
      </c>
      <c r="O188" s="32" t="s">
        <v>8509</v>
      </c>
    </row>
    <row x14ac:dyDescent="0.25" r="189" customHeight="1" ht="15.75">
      <c r="A189" s="8">
        <v>26049</v>
      </c>
      <c r="B189" s="13" t="s">
        <v>184</v>
      </c>
      <c r="C189" s="13" t="s">
        <v>4773</v>
      </c>
      <c r="D189" s="32" t="s">
        <v>4090</v>
      </c>
      <c r="E189" s="32" t="s">
        <v>8510</v>
      </c>
      <c r="F189" s="32" t="s">
        <v>8511</v>
      </c>
      <c r="G189" s="32" t="s">
        <v>8512</v>
      </c>
      <c r="H189" s="32" t="s">
        <v>8513</v>
      </c>
      <c r="I189" s="32" t="s">
        <v>8514</v>
      </c>
      <c r="J189" s="32" t="s">
        <v>4775</v>
      </c>
      <c r="K189" s="32" t="s">
        <v>7127</v>
      </c>
      <c r="L189" s="32" t="s">
        <v>8515</v>
      </c>
      <c r="M189" s="32" t="s">
        <v>7127</v>
      </c>
      <c r="N189" s="32" t="s">
        <v>8516</v>
      </c>
      <c r="O189" s="32" t="s">
        <v>8517</v>
      </c>
    </row>
    <row x14ac:dyDescent="0.25" r="190" customHeight="1" ht="15.75">
      <c r="A190" s="8">
        <v>26050</v>
      </c>
      <c r="B190" s="13" t="s">
        <v>184</v>
      </c>
      <c r="C190" s="13" t="s">
        <v>4777</v>
      </c>
      <c r="D190" s="32" t="s">
        <v>4778</v>
      </c>
      <c r="E190" s="32" t="s">
        <v>8518</v>
      </c>
      <c r="F190" s="32" t="s">
        <v>8519</v>
      </c>
      <c r="G190" s="32" t="s">
        <v>8520</v>
      </c>
      <c r="H190" s="32" t="s">
        <v>6432</v>
      </c>
      <c r="I190" s="32" t="s">
        <v>8521</v>
      </c>
      <c r="J190" s="32" t="s">
        <v>4386</v>
      </c>
      <c r="K190" s="32" t="s">
        <v>8522</v>
      </c>
      <c r="L190" s="32" t="s">
        <v>7957</v>
      </c>
      <c r="M190" s="32" t="s">
        <v>8523</v>
      </c>
      <c r="N190" s="32" t="s">
        <v>4386</v>
      </c>
      <c r="O190" s="32" t="s">
        <v>8524</v>
      </c>
    </row>
    <row x14ac:dyDescent="0.25" r="191" customHeight="1" ht="15.75">
      <c r="A191" s="8">
        <v>26051</v>
      </c>
      <c r="B191" s="13" t="s">
        <v>184</v>
      </c>
      <c r="C191" s="13" t="s">
        <v>4780</v>
      </c>
      <c r="D191" s="32" t="s">
        <v>4781</v>
      </c>
      <c r="E191" s="32" t="s">
        <v>8525</v>
      </c>
      <c r="F191" s="32" t="s">
        <v>8526</v>
      </c>
      <c r="G191" s="32" t="s">
        <v>8527</v>
      </c>
      <c r="H191" s="32" t="s">
        <v>8528</v>
      </c>
      <c r="I191" s="32" t="s">
        <v>8529</v>
      </c>
      <c r="J191" s="32" t="s">
        <v>4783</v>
      </c>
      <c r="K191" s="32" t="s">
        <v>8530</v>
      </c>
      <c r="L191" s="32" t="s">
        <v>5600</v>
      </c>
      <c r="M191" s="32" t="s">
        <v>8531</v>
      </c>
      <c r="N191" s="32" t="s">
        <v>8532</v>
      </c>
      <c r="O191" s="32" t="s">
        <v>8533</v>
      </c>
    </row>
    <row x14ac:dyDescent="0.25" r="192" customHeight="1" ht="15.75">
      <c r="A192" s="8">
        <v>26052</v>
      </c>
      <c r="B192" s="13" t="s">
        <v>184</v>
      </c>
      <c r="C192" s="13" t="s">
        <v>4785</v>
      </c>
      <c r="D192" s="32" t="s">
        <v>4786</v>
      </c>
      <c r="E192" s="32" t="s">
        <v>7127</v>
      </c>
      <c r="F192" s="32" t="s">
        <v>8534</v>
      </c>
      <c r="G192" s="32" t="s">
        <v>8535</v>
      </c>
      <c r="H192" s="32" t="s">
        <v>8536</v>
      </c>
      <c r="I192" s="32" t="s">
        <v>8537</v>
      </c>
      <c r="J192" s="32" t="s">
        <v>4787</v>
      </c>
      <c r="K192" s="32" t="s">
        <v>7158</v>
      </c>
      <c r="L192" s="32" t="s">
        <v>8538</v>
      </c>
      <c r="M192" s="32" t="s">
        <v>8539</v>
      </c>
      <c r="N192" s="32" t="s">
        <v>6919</v>
      </c>
      <c r="O192" s="32" t="s">
        <v>8540</v>
      </c>
    </row>
    <row x14ac:dyDescent="0.25" r="193" customHeight="1" ht="15.75">
      <c r="A193" s="8">
        <v>26053</v>
      </c>
      <c r="B193" s="13" t="s">
        <v>184</v>
      </c>
      <c r="C193" s="13" t="s">
        <v>4789</v>
      </c>
      <c r="D193" s="32" t="s">
        <v>4790</v>
      </c>
      <c r="E193" s="32" t="s">
        <v>8541</v>
      </c>
      <c r="F193" s="32" t="s">
        <v>4594</v>
      </c>
      <c r="G193" s="32" t="s">
        <v>8542</v>
      </c>
      <c r="H193" s="32" t="s">
        <v>8543</v>
      </c>
      <c r="I193" s="32" t="s">
        <v>7127</v>
      </c>
      <c r="J193" s="32" t="s">
        <v>4791</v>
      </c>
      <c r="K193" s="32" t="s">
        <v>8544</v>
      </c>
      <c r="L193" s="32" t="s">
        <v>8545</v>
      </c>
      <c r="M193" s="32" t="s">
        <v>8546</v>
      </c>
      <c r="N193" s="32" t="s">
        <v>8547</v>
      </c>
      <c r="O193" s="32" t="s">
        <v>8548</v>
      </c>
    </row>
    <row x14ac:dyDescent="0.25" r="194" customHeight="1" ht="15.75">
      <c r="A194" s="8">
        <v>26054</v>
      </c>
      <c r="B194" s="13" t="s">
        <v>184</v>
      </c>
      <c r="C194" s="13" t="s">
        <v>4793</v>
      </c>
      <c r="D194" s="32" t="s">
        <v>4794</v>
      </c>
      <c r="E194" s="32" t="s">
        <v>8549</v>
      </c>
      <c r="F194" s="32" t="s">
        <v>2369</v>
      </c>
      <c r="G194" s="32" t="s">
        <v>8550</v>
      </c>
      <c r="H194" s="32" t="s">
        <v>8551</v>
      </c>
      <c r="I194" s="32" t="s">
        <v>8552</v>
      </c>
      <c r="J194" s="32" t="s">
        <v>4795</v>
      </c>
      <c r="K194" s="32" t="s">
        <v>8553</v>
      </c>
      <c r="L194" s="32" t="s">
        <v>8554</v>
      </c>
      <c r="M194" s="32" t="s">
        <v>8555</v>
      </c>
      <c r="N194" s="32" t="s">
        <v>8556</v>
      </c>
      <c r="O194" s="32" t="s">
        <v>8557</v>
      </c>
    </row>
    <row x14ac:dyDescent="0.25" r="195" customHeight="1" ht="15.75">
      <c r="A195" s="8">
        <v>26055</v>
      </c>
      <c r="B195" s="13" t="s">
        <v>184</v>
      </c>
      <c r="C195" s="13" t="s">
        <v>4796</v>
      </c>
      <c r="D195" s="32" t="s">
        <v>4797</v>
      </c>
      <c r="E195" s="32" t="s">
        <v>8558</v>
      </c>
      <c r="F195" s="32" t="s">
        <v>8559</v>
      </c>
      <c r="G195" s="32" t="s">
        <v>8560</v>
      </c>
      <c r="H195" s="32" t="s">
        <v>8561</v>
      </c>
      <c r="I195" s="32" t="s">
        <v>8562</v>
      </c>
      <c r="J195" s="32" t="s">
        <v>4799</v>
      </c>
      <c r="K195" s="32" t="s">
        <v>7127</v>
      </c>
      <c r="L195" s="32" t="s">
        <v>8563</v>
      </c>
      <c r="M195" s="32" t="s">
        <v>8478</v>
      </c>
      <c r="N195" s="32" t="s">
        <v>8564</v>
      </c>
      <c r="O195" s="32" t="s">
        <v>8565</v>
      </c>
    </row>
    <row x14ac:dyDescent="0.25" r="196" customHeight="1" ht="15.75">
      <c r="A196" s="8">
        <v>26056</v>
      </c>
      <c r="B196" s="13" t="s">
        <v>184</v>
      </c>
      <c r="C196" s="13" t="s">
        <v>4801</v>
      </c>
      <c r="D196" s="32" t="s">
        <v>2747</v>
      </c>
      <c r="E196" s="32" t="s">
        <v>8566</v>
      </c>
      <c r="F196" s="32" t="s">
        <v>8567</v>
      </c>
      <c r="G196" s="32" t="s">
        <v>8568</v>
      </c>
      <c r="H196" s="32" t="s">
        <v>8569</v>
      </c>
      <c r="I196" s="32" t="s">
        <v>8570</v>
      </c>
      <c r="J196" s="32" t="s">
        <v>4803</v>
      </c>
      <c r="K196" s="32" t="s">
        <v>8571</v>
      </c>
      <c r="L196" s="32" t="s">
        <v>5465</v>
      </c>
      <c r="M196" s="32" t="s">
        <v>8572</v>
      </c>
      <c r="N196" s="32" t="s">
        <v>8573</v>
      </c>
      <c r="O196" s="32" t="s">
        <v>8574</v>
      </c>
    </row>
    <row x14ac:dyDescent="0.25" r="197" customHeight="1" ht="15.75">
      <c r="A197" s="8">
        <v>26057</v>
      </c>
      <c r="B197" s="13" t="s">
        <v>184</v>
      </c>
      <c r="C197" s="13" t="s">
        <v>4804</v>
      </c>
      <c r="D197" s="32" t="s">
        <v>4805</v>
      </c>
      <c r="E197" s="32" t="s">
        <v>8575</v>
      </c>
      <c r="F197" s="32" t="s">
        <v>8576</v>
      </c>
      <c r="G197" s="32" t="s">
        <v>8577</v>
      </c>
      <c r="H197" s="32" t="s">
        <v>8578</v>
      </c>
      <c r="I197" s="32" t="s">
        <v>8579</v>
      </c>
      <c r="J197" s="32" t="s">
        <v>4807</v>
      </c>
      <c r="K197" s="32" t="s">
        <v>8580</v>
      </c>
      <c r="L197" s="32" t="s">
        <v>5462</v>
      </c>
      <c r="M197" s="32" t="s">
        <v>8581</v>
      </c>
      <c r="N197" s="32" t="s">
        <v>4969</v>
      </c>
      <c r="O197" s="32" t="s">
        <v>8582</v>
      </c>
    </row>
    <row x14ac:dyDescent="0.25" r="198" customHeight="1" ht="15.75">
      <c r="A198" s="8">
        <v>26058</v>
      </c>
      <c r="B198" s="13" t="s">
        <v>184</v>
      </c>
      <c r="C198" s="13" t="s">
        <v>4809</v>
      </c>
      <c r="D198" s="32" t="s">
        <v>1419</v>
      </c>
      <c r="E198" s="32" t="s">
        <v>8583</v>
      </c>
      <c r="F198" s="32" t="s">
        <v>6334</v>
      </c>
      <c r="G198" s="32" t="s">
        <v>8584</v>
      </c>
      <c r="H198" s="32" t="s">
        <v>4199</v>
      </c>
      <c r="I198" s="32" t="s">
        <v>8585</v>
      </c>
      <c r="J198" s="32" t="s">
        <v>4810</v>
      </c>
      <c r="K198" s="32" t="s">
        <v>8586</v>
      </c>
      <c r="L198" s="32" t="s">
        <v>4199</v>
      </c>
      <c r="M198" s="32" t="s">
        <v>8587</v>
      </c>
      <c r="N198" s="32" t="s">
        <v>4199</v>
      </c>
      <c r="O198" s="32" t="s">
        <v>8588</v>
      </c>
    </row>
    <row x14ac:dyDescent="0.25" r="199" customHeight="1" ht="15.75">
      <c r="A199" s="8">
        <v>26059</v>
      </c>
      <c r="B199" s="13" t="s">
        <v>184</v>
      </c>
      <c r="C199" s="13" t="s">
        <v>4811</v>
      </c>
      <c r="D199" s="32" t="s">
        <v>4812</v>
      </c>
      <c r="E199" s="32" t="s">
        <v>8589</v>
      </c>
      <c r="F199" s="32" t="s">
        <v>6225</v>
      </c>
      <c r="G199" s="32" t="s">
        <v>8590</v>
      </c>
      <c r="H199" s="32" t="s">
        <v>7446</v>
      </c>
      <c r="I199" s="32" t="s">
        <v>8591</v>
      </c>
      <c r="J199" s="32" t="s">
        <v>4813</v>
      </c>
      <c r="K199" s="32" t="s">
        <v>8592</v>
      </c>
      <c r="L199" s="32" t="s">
        <v>5007</v>
      </c>
      <c r="M199" s="32" t="s">
        <v>7595</v>
      </c>
      <c r="N199" s="32" t="s">
        <v>34</v>
      </c>
      <c r="O199" s="32" t="s">
        <v>8593</v>
      </c>
    </row>
    <row x14ac:dyDescent="0.25" r="200" customHeight="1" ht="15.75">
      <c r="A200" s="8">
        <v>26060</v>
      </c>
      <c r="B200" s="13" t="s">
        <v>184</v>
      </c>
      <c r="C200" s="13" t="s">
        <v>4814</v>
      </c>
      <c r="D200" s="32" t="s">
        <v>4815</v>
      </c>
      <c r="E200" s="32" t="s">
        <v>8594</v>
      </c>
      <c r="F200" s="32" t="s">
        <v>8595</v>
      </c>
      <c r="G200" s="32" t="s">
        <v>8596</v>
      </c>
      <c r="H200" s="32" t="s">
        <v>8597</v>
      </c>
      <c r="I200" s="32" t="s">
        <v>8598</v>
      </c>
      <c r="J200" s="32" t="s">
        <v>4817</v>
      </c>
      <c r="K200" s="32" t="s">
        <v>8599</v>
      </c>
      <c r="L200" s="32" t="s">
        <v>5013</v>
      </c>
      <c r="M200" s="32" t="s">
        <v>8600</v>
      </c>
      <c r="N200" s="32" t="s">
        <v>8601</v>
      </c>
      <c r="O200" s="32" t="s">
        <v>8602</v>
      </c>
    </row>
    <row x14ac:dyDescent="0.25" r="201" customHeight="1" ht="15.75">
      <c r="A201" s="8">
        <v>26002</v>
      </c>
      <c r="B201" s="13" t="s">
        <v>184</v>
      </c>
      <c r="C201" s="13" t="s">
        <v>4819</v>
      </c>
      <c r="D201" s="32" t="s">
        <v>2554</v>
      </c>
      <c r="E201" s="32" t="s">
        <v>8603</v>
      </c>
      <c r="F201" s="32" t="s">
        <v>8604</v>
      </c>
      <c r="G201" s="32" t="s">
        <v>8605</v>
      </c>
      <c r="H201" s="32" t="s">
        <v>37</v>
      </c>
      <c r="I201" s="32" t="s">
        <v>8606</v>
      </c>
      <c r="J201" s="32" t="s">
        <v>4820</v>
      </c>
      <c r="K201" s="32" t="s">
        <v>8607</v>
      </c>
      <c r="L201" s="32" t="s">
        <v>1806</v>
      </c>
      <c r="M201" s="32" t="s">
        <v>8608</v>
      </c>
      <c r="N201" s="32" t="s">
        <v>1951</v>
      </c>
      <c r="O201" s="32" t="s">
        <v>8609</v>
      </c>
    </row>
    <row x14ac:dyDescent="0.25" r="202" customHeight="1" ht="15.75">
      <c r="A202" s="8">
        <v>26003</v>
      </c>
      <c r="B202" s="13" t="s">
        <v>184</v>
      </c>
      <c r="C202" s="13" t="s">
        <v>4822</v>
      </c>
      <c r="D202" s="32" t="s">
        <v>4823</v>
      </c>
      <c r="E202" s="32" t="s">
        <v>8610</v>
      </c>
      <c r="F202" s="32" t="s">
        <v>8611</v>
      </c>
      <c r="G202" s="32" t="s">
        <v>8612</v>
      </c>
      <c r="H202" s="32" t="s">
        <v>4758</v>
      </c>
      <c r="I202" s="32" t="s">
        <v>8613</v>
      </c>
      <c r="J202" s="32" t="s">
        <v>4825</v>
      </c>
      <c r="K202" s="32" t="s">
        <v>8614</v>
      </c>
      <c r="L202" s="32" t="s">
        <v>8615</v>
      </c>
      <c r="M202" s="32" t="s">
        <v>8616</v>
      </c>
      <c r="N202" s="32" t="s">
        <v>8617</v>
      </c>
      <c r="O202" s="32" t="s">
        <v>8618</v>
      </c>
    </row>
    <row x14ac:dyDescent="0.25" r="203" customHeight="1" ht="15.75">
      <c r="A203" s="8">
        <v>26061</v>
      </c>
      <c r="B203" s="13" t="s">
        <v>184</v>
      </c>
      <c r="C203" s="13" t="s">
        <v>4827</v>
      </c>
      <c r="D203" s="32" t="s">
        <v>4828</v>
      </c>
      <c r="E203" s="32" t="s">
        <v>8619</v>
      </c>
      <c r="F203" s="32" t="s">
        <v>8620</v>
      </c>
      <c r="G203" s="32" t="s">
        <v>8621</v>
      </c>
      <c r="H203" s="32" t="s">
        <v>8622</v>
      </c>
      <c r="I203" s="32" t="s">
        <v>8623</v>
      </c>
      <c r="J203" s="32" t="s">
        <v>704</v>
      </c>
      <c r="K203" s="32" t="s">
        <v>7127</v>
      </c>
      <c r="L203" s="32" t="s">
        <v>8624</v>
      </c>
      <c r="M203" s="32" t="s">
        <v>8625</v>
      </c>
      <c r="N203" s="32" t="s">
        <v>8622</v>
      </c>
      <c r="O203" s="32" t="s">
        <v>8626</v>
      </c>
    </row>
    <row x14ac:dyDescent="0.25" r="204" customHeight="1" ht="15.75">
      <c r="A204" s="8">
        <v>26062</v>
      </c>
      <c r="B204" s="13" t="s">
        <v>184</v>
      </c>
      <c r="C204" s="13" t="s">
        <v>4829</v>
      </c>
      <c r="D204" s="32" t="s">
        <v>4830</v>
      </c>
      <c r="E204" s="32" t="s">
        <v>8627</v>
      </c>
      <c r="F204" s="32" t="s">
        <v>8628</v>
      </c>
      <c r="G204" s="32" t="s">
        <v>8629</v>
      </c>
      <c r="H204" s="32" t="s">
        <v>8630</v>
      </c>
      <c r="I204" s="32" t="s">
        <v>8631</v>
      </c>
      <c r="J204" s="32" t="s">
        <v>4831</v>
      </c>
      <c r="K204" s="32" t="s">
        <v>8632</v>
      </c>
      <c r="L204" s="32" t="s">
        <v>5700</v>
      </c>
      <c r="M204" s="32" t="s">
        <v>8633</v>
      </c>
      <c r="N204" s="32" t="s">
        <v>8634</v>
      </c>
      <c r="O204" s="32" t="s">
        <v>8397</v>
      </c>
    </row>
    <row x14ac:dyDescent="0.25" r="205" customHeight="1" ht="15.75">
      <c r="A205" s="8">
        <v>26063</v>
      </c>
      <c r="B205" s="13" t="s">
        <v>184</v>
      </c>
      <c r="C205" s="13" t="s">
        <v>4832</v>
      </c>
      <c r="D205" s="32" t="s">
        <v>4833</v>
      </c>
      <c r="E205" s="32" t="s">
        <v>8635</v>
      </c>
      <c r="F205" s="32" t="s">
        <v>5503</v>
      </c>
      <c r="G205" s="32" t="s">
        <v>8636</v>
      </c>
      <c r="H205" s="32" t="s">
        <v>8637</v>
      </c>
      <c r="I205" s="32" t="s">
        <v>8638</v>
      </c>
      <c r="J205" s="32" t="s">
        <v>74</v>
      </c>
      <c r="K205" s="32" t="s">
        <v>8639</v>
      </c>
      <c r="L205" s="32" t="s">
        <v>8640</v>
      </c>
      <c r="M205" s="32" t="s">
        <v>8641</v>
      </c>
      <c r="N205" s="32" t="s">
        <v>6586</v>
      </c>
      <c r="O205" s="32" t="s">
        <v>8642</v>
      </c>
    </row>
    <row x14ac:dyDescent="0.25" r="206" customHeight="1" ht="15.75">
      <c r="A206" s="8">
        <v>26064</v>
      </c>
      <c r="B206" s="13" t="s">
        <v>184</v>
      </c>
      <c r="C206" s="13" t="s">
        <v>4835</v>
      </c>
      <c r="D206" s="32" t="s">
        <v>4836</v>
      </c>
      <c r="E206" s="32" t="s">
        <v>8643</v>
      </c>
      <c r="F206" s="32" t="s">
        <v>8644</v>
      </c>
      <c r="G206" s="32" t="s">
        <v>8645</v>
      </c>
      <c r="H206" s="32" t="s">
        <v>8646</v>
      </c>
      <c r="I206" s="32" t="s">
        <v>8647</v>
      </c>
      <c r="J206" s="32" t="s">
        <v>4838</v>
      </c>
      <c r="K206" s="32" t="s">
        <v>8648</v>
      </c>
      <c r="L206" s="32" t="s">
        <v>8649</v>
      </c>
      <c r="M206" s="32" t="s">
        <v>8650</v>
      </c>
      <c r="N206" s="32" t="s">
        <v>8651</v>
      </c>
      <c r="O206" s="32" t="s">
        <v>8652</v>
      </c>
    </row>
    <row x14ac:dyDescent="0.25" r="207" customHeight="1" ht="15.75">
      <c r="A207" s="8">
        <v>26065</v>
      </c>
      <c r="B207" s="13" t="s">
        <v>184</v>
      </c>
      <c r="C207" s="13" t="s">
        <v>4839</v>
      </c>
      <c r="D207" s="32" t="s">
        <v>1562</v>
      </c>
      <c r="E207" s="32" t="s">
        <v>8653</v>
      </c>
      <c r="F207" s="32" t="s">
        <v>6828</v>
      </c>
      <c r="G207" s="32" t="s">
        <v>8654</v>
      </c>
      <c r="H207" s="32" t="s">
        <v>4919</v>
      </c>
      <c r="I207" s="32" t="s">
        <v>8655</v>
      </c>
      <c r="J207" s="32" t="s">
        <v>81</v>
      </c>
      <c r="K207" s="32" t="s">
        <v>8656</v>
      </c>
      <c r="L207" s="32" t="s">
        <v>1562</v>
      </c>
      <c r="M207" s="32" t="s">
        <v>8657</v>
      </c>
      <c r="N207" s="32" t="s">
        <v>6828</v>
      </c>
      <c r="O207" s="32" t="s">
        <v>8658</v>
      </c>
    </row>
    <row x14ac:dyDescent="0.25" r="208" customHeight="1" ht="15.75">
      <c r="A208" s="8">
        <v>26092</v>
      </c>
      <c r="B208" s="13" t="s">
        <v>184</v>
      </c>
      <c r="C208" s="13" t="s">
        <v>4841</v>
      </c>
      <c r="D208" s="32" t="s">
        <v>74</v>
      </c>
      <c r="E208" s="32" t="s">
        <v>8659</v>
      </c>
      <c r="F208" s="32" t="s">
        <v>74</v>
      </c>
      <c r="G208" s="32" t="s">
        <v>8660</v>
      </c>
      <c r="H208" s="32" t="s">
        <v>8661</v>
      </c>
      <c r="I208" s="32" t="s">
        <v>8662</v>
      </c>
      <c r="J208" s="32" t="s">
        <v>4842</v>
      </c>
      <c r="K208" s="32" t="s">
        <v>8663</v>
      </c>
      <c r="L208" s="32" t="s">
        <v>4710</v>
      </c>
      <c r="M208" s="32" t="s">
        <v>8664</v>
      </c>
      <c r="N208" s="32" t="s">
        <v>8665</v>
      </c>
      <c r="O208" s="32" t="s">
        <v>8666</v>
      </c>
    </row>
    <row x14ac:dyDescent="0.25" r="209" customHeight="1" ht="15.75">
      <c r="A209" s="8">
        <v>26093</v>
      </c>
      <c r="B209" s="13" t="s">
        <v>184</v>
      </c>
      <c r="C209" s="13" t="s">
        <v>4843</v>
      </c>
      <c r="D209" s="32" t="s">
        <v>4844</v>
      </c>
      <c r="E209" s="32" t="s">
        <v>8667</v>
      </c>
      <c r="F209" s="32" t="s">
        <v>8668</v>
      </c>
      <c r="G209" s="32" t="s">
        <v>8669</v>
      </c>
      <c r="H209" s="32" t="s">
        <v>8670</v>
      </c>
      <c r="I209" s="32" t="s">
        <v>8671</v>
      </c>
      <c r="J209" s="32" t="s">
        <v>4846</v>
      </c>
      <c r="K209" s="32" t="s">
        <v>8672</v>
      </c>
      <c r="L209" s="32" t="s">
        <v>8497</v>
      </c>
      <c r="M209" s="32" t="s">
        <v>8673</v>
      </c>
      <c r="N209" s="32" t="s">
        <v>4828</v>
      </c>
      <c r="O209" s="32" t="s">
        <v>8674</v>
      </c>
    </row>
    <row x14ac:dyDescent="0.25" r="210" customHeight="1" ht="15.75">
      <c r="A210" s="8">
        <v>26094</v>
      </c>
      <c r="B210" s="13" t="s">
        <v>184</v>
      </c>
      <c r="C210" s="13" t="s">
        <v>4847</v>
      </c>
      <c r="D210" s="32" t="s">
        <v>4848</v>
      </c>
      <c r="E210" s="32" t="s">
        <v>8675</v>
      </c>
      <c r="F210" s="32" t="s">
        <v>4799</v>
      </c>
      <c r="G210" s="32" t="s">
        <v>8676</v>
      </c>
      <c r="H210" s="32" t="s">
        <v>4142</v>
      </c>
      <c r="I210" s="32" t="s">
        <v>8677</v>
      </c>
      <c r="J210" s="32" t="s">
        <v>4849</v>
      </c>
      <c r="K210" s="32" t="s">
        <v>8678</v>
      </c>
      <c r="L210" s="32" t="s">
        <v>5863</v>
      </c>
      <c r="M210" s="32" t="s">
        <v>8679</v>
      </c>
      <c r="N210" s="32" t="s">
        <v>34</v>
      </c>
      <c r="O210" s="32" t="s">
        <v>8680</v>
      </c>
    </row>
    <row x14ac:dyDescent="0.25" r="211" customHeight="1" ht="15.75">
      <c r="A211" s="8">
        <v>26066</v>
      </c>
      <c r="B211" s="13" t="s">
        <v>184</v>
      </c>
      <c r="C211" s="13" t="s">
        <v>4851</v>
      </c>
      <c r="D211" s="32" t="s">
        <v>74</v>
      </c>
      <c r="E211" s="32" t="s">
        <v>8681</v>
      </c>
      <c r="F211" s="32" t="s">
        <v>74</v>
      </c>
      <c r="G211" s="32" t="s">
        <v>7603</v>
      </c>
      <c r="H211" s="32" t="s">
        <v>74</v>
      </c>
      <c r="I211" s="32" t="s">
        <v>8682</v>
      </c>
      <c r="J211" s="32" t="s">
        <v>74</v>
      </c>
      <c r="K211" s="32" t="s">
        <v>7966</v>
      </c>
      <c r="L211" s="32" t="s">
        <v>74</v>
      </c>
      <c r="M211" s="32" t="s">
        <v>8683</v>
      </c>
      <c r="N211" s="32" t="s">
        <v>74</v>
      </c>
      <c r="O211" s="32" t="s">
        <v>7297</v>
      </c>
    </row>
    <row x14ac:dyDescent="0.25" r="212" customHeight="1" ht="15.75">
      <c r="A212" s="8">
        <v>26095</v>
      </c>
      <c r="B212" s="13" t="s">
        <v>184</v>
      </c>
      <c r="C212" s="13" t="s">
        <v>4853</v>
      </c>
      <c r="D212" s="32" t="s">
        <v>2607</v>
      </c>
      <c r="E212" s="32" t="s">
        <v>8684</v>
      </c>
      <c r="F212" s="32" t="s">
        <v>34</v>
      </c>
      <c r="G212" s="32" t="s">
        <v>8685</v>
      </c>
      <c r="H212" s="32" t="s">
        <v>8686</v>
      </c>
      <c r="I212" s="32" t="s">
        <v>8687</v>
      </c>
      <c r="J212" s="32" t="s">
        <v>4855</v>
      </c>
      <c r="K212" s="32" t="s">
        <v>8688</v>
      </c>
      <c r="L212" s="32" t="s">
        <v>5748</v>
      </c>
      <c r="M212" s="32" t="s">
        <v>8689</v>
      </c>
      <c r="N212" s="32" t="s">
        <v>4792</v>
      </c>
      <c r="O212" s="32" t="s">
        <v>8690</v>
      </c>
    </row>
    <row x14ac:dyDescent="0.25" r="213" customHeight="1" ht="15.75">
      <c r="A213" s="8">
        <v>26067</v>
      </c>
      <c r="B213" s="13" t="s">
        <v>184</v>
      </c>
      <c r="C213" s="13" t="s">
        <v>4857</v>
      </c>
      <c r="D213" s="32" t="s">
        <v>34</v>
      </c>
      <c r="E213" s="32" t="s">
        <v>8691</v>
      </c>
      <c r="F213" s="32" t="s">
        <v>8692</v>
      </c>
      <c r="G213" s="32" t="s">
        <v>8693</v>
      </c>
      <c r="H213" s="32" t="s">
        <v>7061</v>
      </c>
      <c r="I213" s="32" t="s">
        <v>7605</v>
      </c>
      <c r="J213" s="32" t="s">
        <v>4859</v>
      </c>
      <c r="K213" s="32" t="s">
        <v>8694</v>
      </c>
      <c r="L213" s="32" t="s">
        <v>1507</v>
      </c>
      <c r="M213" s="32" t="s">
        <v>8695</v>
      </c>
      <c r="N213" s="32" t="s">
        <v>8696</v>
      </c>
      <c r="O213" s="32" t="s">
        <v>8697</v>
      </c>
    </row>
    <row x14ac:dyDescent="0.25" r="214" customHeight="1" ht="15.75">
      <c r="A214" s="8">
        <v>26068</v>
      </c>
      <c r="B214" s="13" t="s">
        <v>184</v>
      </c>
      <c r="C214" s="13" t="s">
        <v>4860</v>
      </c>
      <c r="D214" s="32" t="s">
        <v>4861</v>
      </c>
      <c r="E214" s="32" t="s">
        <v>8698</v>
      </c>
      <c r="F214" s="32" t="s">
        <v>8699</v>
      </c>
      <c r="G214" s="32" t="s">
        <v>8700</v>
      </c>
      <c r="H214" s="32" t="s">
        <v>8701</v>
      </c>
      <c r="I214" s="32" t="s">
        <v>8702</v>
      </c>
      <c r="J214" s="32" t="s">
        <v>4863</v>
      </c>
      <c r="K214" s="32" t="s">
        <v>8485</v>
      </c>
      <c r="L214" s="32" t="s">
        <v>8129</v>
      </c>
      <c r="M214" s="32" t="s">
        <v>8703</v>
      </c>
      <c r="N214" s="32" t="s">
        <v>8704</v>
      </c>
      <c r="O214" s="32" t="s">
        <v>8705</v>
      </c>
    </row>
    <row x14ac:dyDescent="0.25" r="215" customHeight="1" ht="15.75">
      <c r="A215" s="8">
        <v>26069</v>
      </c>
      <c r="B215" s="13" t="s">
        <v>184</v>
      </c>
      <c r="C215" s="13" t="s">
        <v>4864</v>
      </c>
      <c r="D215" s="32" t="s">
        <v>2592</v>
      </c>
      <c r="E215" s="32" t="s">
        <v>8706</v>
      </c>
      <c r="F215" s="32" t="s">
        <v>5929</v>
      </c>
      <c r="G215" s="32" t="s">
        <v>8707</v>
      </c>
      <c r="H215" s="32" t="s">
        <v>2504</v>
      </c>
      <c r="I215" s="32" t="s">
        <v>8708</v>
      </c>
      <c r="J215" s="32" t="s">
        <v>4865</v>
      </c>
      <c r="K215" s="32" t="s">
        <v>8709</v>
      </c>
      <c r="L215" s="32" t="s">
        <v>2455</v>
      </c>
      <c r="M215" s="32" t="s">
        <v>8710</v>
      </c>
      <c r="N215" s="32" t="s">
        <v>8711</v>
      </c>
      <c r="O215" s="32" t="s">
        <v>8712</v>
      </c>
    </row>
    <row x14ac:dyDescent="0.25" r="216" customHeight="1" ht="15.75">
      <c r="A216" s="8">
        <v>26096</v>
      </c>
      <c r="B216" s="13" t="s">
        <v>184</v>
      </c>
      <c r="C216" s="13" t="s">
        <v>4867</v>
      </c>
      <c r="D216" s="32" t="s">
        <v>4868</v>
      </c>
      <c r="E216" s="32" t="s">
        <v>8713</v>
      </c>
      <c r="F216" s="32" t="s">
        <v>8714</v>
      </c>
      <c r="G216" s="32" t="s">
        <v>8715</v>
      </c>
      <c r="H216" s="32" t="s">
        <v>8716</v>
      </c>
      <c r="I216" s="32" t="s">
        <v>8717</v>
      </c>
      <c r="J216" s="32" t="s">
        <v>4870</v>
      </c>
      <c r="K216" s="32" t="s">
        <v>8718</v>
      </c>
      <c r="L216" s="32" t="s">
        <v>8719</v>
      </c>
      <c r="M216" s="32" t="s">
        <v>8720</v>
      </c>
      <c r="N216" s="32" t="s">
        <v>8721</v>
      </c>
      <c r="O216" s="32" t="s">
        <v>8722</v>
      </c>
    </row>
    <row x14ac:dyDescent="0.25" r="217" customHeight="1" ht="15.75">
      <c r="A217" s="8">
        <v>26070</v>
      </c>
      <c r="B217" s="13" t="s">
        <v>184</v>
      </c>
      <c r="C217" s="13" t="s">
        <v>4871</v>
      </c>
      <c r="D217" s="32" t="s">
        <v>4872</v>
      </c>
      <c r="E217" s="32" t="s">
        <v>8723</v>
      </c>
      <c r="F217" s="32" t="s">
        <v>8724</v>
      </c>
      <c r="G217" s="32" t="s">
        <v>7139</v>
      </c>
      <c r="H217" s="32" t="s">
        <v>8725</v>
      </c>
      <c r="I217" s="32" t="s">
        <v>7695</v>
      </c>
      <c r="J217" s="32" t="s">
        <v>4874</v>
      </c>
      <c r="K217" s="32" t="s">
        <v>8726</v>
      </c>
      <c r="L217" s="32" t="s">
        <v>2369</v>
      </c>
      <c r="M217" s="32" t="s">
        <v>8727</v>
      </c>
      <c r="N217" s="32" t="s">
        <v>8728</v>
      </c>
      <c r="O217" s="32" t="s">
        <v>8729</v>
      </c>
    </row>
    <row x14ac:dyDescent="0.25" r="218" customHeight="1" ht="15.75">
      <c r="A218" s="8">
        <v>26071</v>
      </c>
      <c r="B218" s="13" t="s">
        <v>184</v>
      </c>
      <c r="C218" s="13" t="s">
        <v>4875</v>
      </c>
      <c r="D218" s="32" t="s">
        <v>4876</v>
      </c>
      <c r="E218" s="32" t="s">
        <v>8730</v>
      </c>
      <c r="F218" s="32" t="s">
        <v>8731</v>
      </c>
      <c r="G218" s="32" t="s">
        <v>8732</v>
      </c>
      <c r="H218" s="32" t="s">
        <v>8733</v>
      </c>
      <c r="I218" s="32" t="s">
        <v>8734</v>
      </c>
      <c r="J218" s="32" t="s">
        <v>4878</v>
      </c>
      <c r="K218" s="32" t="s">
        <v>8735</v>
      </c>
      <c r="L218" s="32" t="s">
        <v>8736</v>
      </c>
      <c r="M218" s="32" t="s">
        <v>8737</v>
      </c>
      <c r="N218" s="32" t="s">
        <v>5865</v>
      </c>
      <c r="O218" s="32" t="s">
        <v>8738</v>
      </c>
    </row>
    <row x14ac:dyDescent="0.25" r="219" customHeight="1" ht="15.75">
      <c r="A219" s="8">
        <v>26072</v>
      </c>
      <c r="B219" s="13" t="s">
        <v>184</v>
      </c>
      <c r="C219" s="13" t="s">
        <v>4879</v>
      </c>
      <c r="D219" s="32" t="s">
        <v>4880</v>
      </c>
      <c r="E219" s="32" t="s">
        <v>8739</v>
      </c>
      <c r="F219" s="32" t="s">
        <v>8740</v>
      </c>
      <c r="G219" s="32" t="s">
        <v>8741</v>
      </c>
      <c r="H219" s="32" t="s">
        <v>7108</v>
      </c>
      <c r="I219" s="32" t="s">
        <v>8742</v>
      </c>
      <c r="J219" s="32" t="s">
        <v>4882</v>
      </c>
      <c r="K219" s="32" t="s">
        <v>8743</v>
      </c>
      <c r="L219" s="32" t="s">
        <v>8744</v>
      </c>
      <c r="M219" s="32" t="s">
        <v>8282</v>
      </c>
      <c r="N219" s="32" t="s">
        <v>4356</v>
      </c>
      <c r="O219" s="32" t="s">
        <v>8745</v>
      </c>
    </row>
    <row x14ac:dyDescent="0.25" r="220" customHeight="1" ht="15.75">
      <c r="A220" s="8">
        <v>26073</v>
      </c>
      <c r="B220" s="13" t="s">
        <v>184</v>
      </c>
      <c r="C220" s="13" t="s">
        <v>4883</v>
      </c>
      <c r="D220" s="32" t="s">
        <v>4884</v>
      </c>
      <c r="E220" s="32" t="s">
        <v>8746</v>
      </c>
      <c r="F220" s="32" t="s">
        <v>4180</v>
      </c>
      <c r="G220" s="32" t="s">
        <v>8747</v>
      </c>
      <c r="H220" s="32" t="s">
        <v>2504</v>
      </c>
      <c r="I220" s="32" t="s">
        <v>8748</v>
      </c>
      <c r="J220" s="32" t="s">
        <v>4884</v>
      </c>
      <c r="K220" s="32" t="s">
        <v>8749</v>
      </c>
      <c r="L220" s="32" t="s">
        <v>2462</v>
      </c>
      <c r="M220" s="32" t="s">
        <v>8750</v>
      </c>
      <c r="N220" s="32" t="s">
        <v>2462</v>
      </c>
      <c r="O220" s="32" t="s">
        <v>8751</v>
      </c>
    </row>
    <row x14ac:dyDescent="0.25" r="221" customHeight="1" ht="15.75">
      <c r="A221" s="8">
        <v>26074</v>
      </c>
      <c r="B221" s="13" t="s">
        <v>184</v>
      </c>
      <c r="C221" s="13" t="s">
        <v>4886</v>
      </c>
      <c r="D221" s="32" t="s">
        <v>4887</v>
      </c>
      <c r="E221" s="32" t="s">
        <v>8752</v>
      </c>
      <c r="F221" s="32" t="s">
        <v>34</v>
      </c>
      <c r="G221" s="32" t="s">
        <v>8753</v>
      </c>
      <c r="H221" s="32" t="s">
        <v>8754</v>
      </c>
      <c r="I221" s="32" t="s">
        <v>8755</v>
      </c>
      <c r="J221" s="32" t="s">
        <v>923</v>
      </c>
      <c r="K221" s="32" t="s">
        <v>7127</v>
      </c>
      <c r="L221" s="32" t="s">
        <v>8756</v>
      </c>
      <c r="M221" s="32" t="s">
        <v>7127</v>
      </c>
      <c r="N221" s="32" t="s">
        <v>8757</v>
      </c>
      <c r="O221" s="32" t="s">
        <v>8758</v>
      </c>
    </row>
    <row x14ac:dyDescent="0.25" r="222" customHeight="1" ht="15.75">
      <c r="A222" s="8">
        <v>26075</v>
      </c>
      <c r="B222" s="13" t="s">
        <v>184</v>
      </c>
      <c r="C222" s="13" t="s">
        <v>4888</v>
      </c>
      <c r="D222" s="32" t="s">
        <v>4889</v>
      </c>
      <c r="E222" s="32" t="s">
        <v>7127</v>
      </c>
      <c r="F222" s="32" t="s">
        <v>6987</v>
      </c>
      <c r="G222" s="32" t="s">
        <v>8759</v>
      </c>
      <c r="H222" s="32" t="s">
        <v>57</v>
      </c>
      <c r="I222" s="32" t="s">
        <v>8760</v>
      </c>
      <c r="J222" s="32" t="s">
        <v>4891</v>
      </c>
      <c r="K222" s="32" t="s">
        <v>8761</v>
      </c>
      <c r="L222" s="32" t="s">
        <v>7994</v>
      </c>
      <c r="M222" s="32" t="s">
        <v>7127</v>
      </c>
      <c r="N222" s="32" t="s">
        <v>34</v>
      </c>
      <c r="O222" s="32" t="s">
        <v>8762</v>
      </c>
    </row>
    <row x14ac:dyDescent="0.25" r="223" customHeight="1" ht="15.75">
      <c r="A223" s="8">
        <v>26076</v>
      </c>
      <c r="B223" s="13" t="s">
        <v>184</v>
      </c>
      <c r="C223" s="13" t="s">
        <v>4893</v>
      </c>
      <c r="D223" s="32" t="s">
        <v>4894</v>
      </c>
      <c r="E223" s="32" t="s">
        <v>8763</v>
      </c>
      <c r="F223" s="32" t="s">
        <v>8764</v>
      </c>
      <c r="G223" s="32" t="s">
        <v>8765</v>
      </c>
      <c r="H223" s="32" t="s">
        <v>8766</v>
      </c>
      <c r="I223" s="32" t="s">
        <v>8767</v>
      </c>
      <c r="J223" s="32" t="s">
        <v>4895</v>
      </c>
      <c r="K223" s="32" t="s">
        <v>8768</v>
      </c>
      <c r="L223" s="32" t="s">
        <v>8769</v>
      </c>
      <c r="M223" s="32" t="s">
        <v>8770</v>
      </c>
      <c r="N223" s="32" t="s">
        <v>8769</v>
      </c>
      <c r="O223" s="32" t="s">
        <v>8771</v>
      </c>
    </row>
    <row x14ac:dyDescent="0.25" r="224" customHeight="1" ht="15.75">
      <c r="A224" s="8">
        <v>26077</v>
      </c>
      <c r="B224" s="13" t="s">
        <v>184</v>
      </c>
      <c r="C224" s="13" t="s">
        <v>4897</v>
      </c>
      <c r="D224" s="32" t="s">
        <v>4898</v>
      </c>
      <c r="E224" s="32" t="s">
        <v>8772</v>
      </c>
      <c r="F224" s="32" t="s">
        <v>8773</v>
      </c>
      <c r="G224" s="32" t="s">
        <v>8774</v>
      </c>
      <c r="H224" s="32" t="s">
        <v>5653</v>
      </c>
      <c r="I224" s="32" t="s">
        <v>8775</v>
      </c>
      <c r="J224" s="32" t="s">
        <v>4900</v>
      </c>
      <c r="K224" s="32" t="s">
        <v>8776</v>
      </c>
      <c r="L224" s="32" t="s">
        <v>2076</v>
      </c>
      <c r="M224" s="32" t="s">
        <v>8777</v>
      </c>
      <c r="N224" s="32" t="s">
        <v>7213</v>
      </c>
      <c r="O224" s="32" t="s">
        <v>8778</v>
      </c>
    </row>
    <row x14ac:dyDescent="0.25" r="225" customHeight="1" ht="15.75">
      <c r="A225" s="8">
        <v>26078</v>
      </c>
      <c r="B225" s="13" t="s">
        <v>184</v>
      </c>
      <c r="C225" s="13" t="s">
        <v>4902</v>
      </c>
      <c r="D225" s="32" t="s">
        <v>74</v>
      </c>
      <c r="E225" s="32" t="s">
        <v>8779</v>
      </c>
      <c r="F225" s="32" t="s">
        <v>7154</v>
      </c>
      <c r="G225" s="32" t="s">
        <v>8780</v>
      </c>
      <c r="H225" s="32" t="s">
        <v>8018</v>
      </c>
      <c r="I225" s="32" t="s">
        <v>7296</v>
      </c>
      <c r="J225" s="32" t="s">
        <v>4903</v>
      </c>
      <c r="K225" s="32" t="s">
        <v>8781</v>
      </c>
      <c r="L225" s="32" t="s">
        <v>8018</v>
      </c>
      <c r="M225" s="32" t="s">
        <v>8782</v>
      </c>
      <c r="N225" s="32" t="s">
        <v>1463</v>
      </c>
      <c r="O225" s="32" t="s">
        <v>8783</v>
      </c>
    </row>
    <row x14ac:dyDescent="0.25" r="226" customHeight="1" ht="15.75">
      <c r="A226" s="8">
        <v>26097</v>
      </c>
      <c r="B226" s="13" t="s">
        <v>184</v>
      </c>
      <c r="C226" s="13" t="s">
        <v>4905</v>
      </c>
      <c r="D226" s="32" t="s">
        <v>4906</v>
      </c>
      <c r="E226" s="32" t="s">
        <v>8784</v>
      </c>
      <c r="F226" s="32" t="s">
        <v>8785</v>
      </c>
      <c r="G226" s="32" t="s">
        <v>8786</v>
      </c>
      <c r="H226" s="32" t="s">
        <v>8787</v>
      </c>
      <c r="I226" s="32" t="s">
        <v>8788</v>
      </c>
      <c r="J226" s="32" t="s">
        <v>4907</v>
      </c>
      <c r="K226" s="32" t="s">
        <v>8789</v>
      </c>
      <c r="L226" s="32" t="s">
        <v>5135</v>
      </c>
      <c r="M226" s="32" t="s">
        <v>8790</v>
      </c>
      <c r="N226" s="32" t="s">
        <v>8791</v>
      </c>
      <c r="O226" s="32" t="s">
        <v>8792</v>
      </c>
    </row>
    <row x14ac:dyDescent="0.25" r="227" customHeight="1" ht="15.75">
      <c r="A227" s="8">
        <v>26004</v>
      </c>
      <c r="B227" s="13" t="s">
        <v>184</v>
      </c>
      <c r="C227" s="13" t="s">
        <v>4909</v>
      </c>
      <c r="D227" s="32" t="s">
        <v>4088</v>
      </c>
      <c r="E227" s="32" t="s">
        <v>8793</v>
      </c>
      <c r="F227" s="32" t="s">
        <v>8794</v>
      </c>
      <c r="G227" s="32" t="s">
        <v>8795</v>
      </c>
      <c r="H227" s="32" t="s">
        <v>8796</v>
      </c>
      <c r="I227" s="32" t="s">
        <v>8797</v>
      </c>
      <c r="J227" s="32" t="s">
        <v>4910</v>
      </c>
      <c r="K227" s="32" t="s">
        <v>7127</v>
      </c>
      <c r="L227" s="32" t="s">
        <v>8798</v>
      </c>
      <c r="M227" s="32" t="s">
        <v>8799</v>
      </c>
      <c r="N227" s="32" t="s">
        <v>2728</v>
      </c>
      <c r="O227" s="32" t="s">
        <v>8800</v>
      </c>
    </row>
    <row x14ac:dyDescent="0.25" r="228" customHeight="1" ht="15.75">
      <c r="A228" s="8">
        <v>26085</v>
      </c>
      <c r="B228" s="13" t="s">
        <v>184</v>
      </c>
      <c r="C228" s="13" t="s">
        <v>4911</v>
      </c>
      <c r="D228" s="32" t="s">
        <v>4912</v>
      </c>
      <c r="E228" s="32" t="s">
        <v>8801</v>
      </c>
      <c r="F228" s="32" t="s">
        <v>158</v>
      </c>
      <c r="G228" s="32" t="s">
        <v>7127</v>
      </c>
      <c r="H228" s="32" t="s">
        <v>7836</v>
      </c>
      <c r="I228" s="32" t="s">
        <v>8802</v>
      </c>
      <c r="J228" s="32" t="s">
        <v>4914</v>
      </c>
      <c r="K228" s="32" t="s">
        <v>7127</v>
      </c>
      <c r="L228" s="32" t="s">
        <v>5288</v>
      </c>
      <c r="M228" s="32" t="s">
        <v>8803</v>
      </c>
      <c r="N228" s="32" t="s">
        <v>8804</v>
      </c>
      <c r="O228" s="32" t="s">
        <v>8805</v>
      </c>
    </row>
    <row x14ac:dyDescent="0.25" r="229" customHeight="1" ht="15.75">
      <c r="A229" s="8">
        <v>25667</v>
      </c>
      <c r="B229" s="13" t="s">
        <v>66</v>
      </c>
      <c r="C229" s="13" t="s">
        <v>8806</v>
      </c>
      <c r="D229" s="32" t="s">
        <v>8807</v>
      </c>
      <c r="E229" s="32" t="s">
        <v>8808</v>
      </c>
      <c r="F229" s="32" t="s">
        <v>8809</v>
      </c>
      <c r="G229" s="32" t="s">
        <v>8810</v>
      </c>
      <c r="H229" s="32" t="s">
        <v>8809</v>
      </c>
      <c r="I229" s="32" t="s">
        <v>8811</v>
      </c>
      <c r="J229" s="32" t="s">
        <v>6278</v>
      </c>
      <c r="K229" s="32" t="s">
        <v>8812</v>
      </c>
      <c r="L229" s="32" t="s">
        <v>8813</v>
      </c>
      <c r="M229" s="32" t="s">
        <v>8814</v>
      </c>
      <c r="N229" s="32" t="s">
        <v>8815</v>
      </c>
      <c r="O229" s="32" t="s">
        <v>8816</v>
      </c>
    </row>
    <row x14ac:dyDescent="0.25" r="230" customHeight="1" ht="15.75">
      <c r="A230" s="8">
        <v>25668</v>
      </c>
      <c r="B230" s="13" t="s">
        <v>66</v>
      </c>
      <c r="C230" s="13" t="s">
        <v>8817</v>
      </c>
      <c r="D230" s="32" t="s">
        <v>8818</v>
      </c>
      <c r="E230" s="32" t="s">
        <v>8819</v>
      </c>
      <c r="F230" s="32" t="s">
        <v>8820</v>
      </c>
      <c r="G230" s="32" t="s">
        <v>8821</v>
      </c>
      <c r="H230" s="32" t="s">
        <v>8822</v>
      </c>
      <c r="I230" s="32" t="s">
        <v>7626</v>
      </c>
      <c r="J230" s="32" t="s">
        <v>4912</v>
      </c>
      <c r="K230" s="32" t="s">
        <v>8823</v>
      </c>
      <c r="L230" s="32" t="s">
        <v>8824</v>
      </c>
      <c r="M230" s="32" t="s">
        <v>8825</v>
      </c>
      <c r="N230" s="32" t="s">
        <v>7947</v>
      </c>
      <c r="O230" s="32" t="s">
        <v>8351</v>
      </c>
    </row>
    <row x14ac:dyDescent="0.25" r="231" customHeight="1" ht="15.75">
      <c r="A231" s="8">
        <v>25743</v>
      </c>
      <c r="B231" s="13" t="s">
        <v>66</v>
      </c>
      <c r="C231" s="13" t="s">
        <v>8826</v>
      </c>
      <c r="D231" s="32" t="s">
        <v>4695</v>
      </c>
      <c r="E231" s="32" t="s">
        <v>8827</v>
      </c>
      <c r="F231" s="32" t="s">
        <v>8828</v>
      </c>
      <c r="G231" s="32" t="s">
        <v>7127</v>
      </c>
      <c r="H231" s="32" t="s">
        <v>8829</v>
      </c>
      <c r="I231" s="32" t="s">
        <v>8830</v>
      </c>
      <c r="J231" s="32" t="s">
        <v>8831</v>
      </c>
      <c r="K231" s="32" t="s">
        <v>8832</v>
      </c>
      <c r="L231" s="32" t="s">
        <v>8833</v>
      </c>
      <c r="M231" s="32" t="s">
        <v>8834</v>
      </c>
      <c r="N231" s="32" t="s">
        <v>8835</v>
      </c>
      <c r="O231" s="32" t="s">
        <v>7127</v>
      </c>
    </row>
    <row x14ac:dyDescent="0.25" r="232" customHeight="1" ht="15.75">
      <c r="A232" s="8">
        <v>25669</v>
      </c>
      <c r="B232" s="13" t="s">
        <v>66</v>
      </c>
      <c r="C232" s="13" t="s">
        <v>8836</v>
      </c>
      <c r="D232" s="32" t="s">
        <v>8837</v>
      </c>
      <c r="E232" s="32" t="s">
        <v>8838</v>
      </c>
      <c r="F232" s="32" t="s">
        <v>8839</v>
      </c>
      <c r="G232" s="32" t="s">
        <v>8840</v>
      </c>
      <c r="H232" s="32" t="s">
        <v>2818</v>
      </c>
      <c r="I232" s="32" t="s">
        <v>8841</v>
      </c>
      <c r="J232" s="32" t="s">
        <v>857</v>
      </c>
      <c r="K232" s="32" t="s">
        <v>8842</v>
      </c>
      <c r="L232" s="32" t="s">
        <v>8843</v>
      </c>
      <c r="M232" s="32" t="s">
        <v>8502</v>
      </c>
      <c r="N232" s="32" t="s">
        <v>1345</v>
      </c>
      <c r="O232" s="32" t="s">
        <v>8844</v>
      </c>
    </row>
    <row x14ac:dyDescent="0.25" r="233" customHeight="1" ht="15.75">
      <c r="A233" s="8">
        <v>25670</v>
      </c>
      <c r="B233" s="13" t="s">
        <v>66</v>
      </c>
      <c r="C233" s="13" t="s">
        <v>8845</v>
      </c>
      <c r="D233" s="32" t="s">
        <v>5658</v>
      </c>
      <c r="E233" s="32" t="s">
        <v>8846</v>
      </c>
      <c r="F233" s="32" t="s">
        <v>8847</v>
      </c>
      <c r="G233" s="32" t="s">
        <v>8848</v>
      </c>
      <c r="H233" s="32" t="s">
        <v>6412</v>
      </c>
      <c r="I233" s="32" t="s">
        <v>8849</v>
      </c>
      <c r="J233" s="32" t="s">
        <v>8850</v>
      </c>
      <c r="K233" s="32" t="s">
        <v>8851</v>
      </c>
      <c r="L233" s="32" t="s">
        <v>8852</v>
      </c>
      <c r="M233" s="32" t="s">
        <v>8853</v>
      </c>
      <c r="N233" s="32" t="s">
        <v>8854</v>
      </c>
      <c r="O233" s="32" t="s">
        <v>8855</v>
      </c>
    </row>
    <row x14ac:dyDescent="0.25" r="234" customHeight="1" ht="15.75">
      <c r="A234" s="8">
        <v>25671</v>
      </c>
      <c r="B234" s="13" t="s">
        <v>66</v>
      </c>
      <c r="C234" s="13" t="s">
        <v>8856</v>
      </c>
      <c r="D234" s="32" t="s">
        <v>8857</v>
      </c>
      <c r="E234" s="32" t="s">
        <v>8858</v>
      </c>
      <c r="F234" s="32" t="s">
        <v>8859</v>
      </c>
      <c r="G234" s="32" t="s">
        <v>8860</v>
      </c>
      <c r="H234" s="32" t="s">
        <v>8861</v>
      </c>
      <c r="I234" s="32" t="s">
        <v>8862</v>
      </c>
      <c r="J234" s="32" t="s">
        <v>81</v>
      </c>
      <c r="K234" s="32" t="s">
        <v>8863</v>
      </c>
      <c r="L234" s="32" t="s">
        <v>8864</v>
      </c>
      <c r="M234" s="32" t="s">
        <v>8865</v>
      </c>
      <c r="N234" s="32" t="s">
        <v>4954</v>
      </c>
      <c r="O234" s="32" t="s">
        <v>8866</v>
      </c>
    </row>
    <row x14ac:dyDescent="0.25" r="235" customHeight="1" ht="15.75">
      <c r="A235" s="8">
        <v>25672</v>
      </c>
      <c r="B235" s="13" t="s">
        <v>66</v>
      </c>
      <c r="C235" s="13" t="s">
        <v>8867</v>
      </c>
      <c r="D235" s="32" t="s">
        <v>2705</v>
      </c>
      <c r="E235" s="32" t="s">
        <v>8868</v>
      </c>
      <c r="F235" s="32" t="s">
        <v>6384</v>
      </c>
      <c r="G235" s="32" t="s">
        <v>8869</v>
      </c>
      <c r="H235" s="32" t="s">
        <v>8870</v>
      </c>
      <c r="I235" s="32" t="s">
        <v>8871</v>
      </c>
      <c r="J235" s="32" t="s">
        <v>6384</v>
      </c>
      <c r="K235" s="32" t="s">
        <v>8872</v>
      </c>
      <c r="L235" s="32" t="s">
        <v>8837</v>
      </c>
      <c r="M235" s="32" t="s">
        <v>8871</v>
      </c>
      <c r="N235" s="32" t="s">
        <v>8873</v>
      </c>
      <c r="O235" s="32" t="s">
        <v>8874</v>
      </c>
    </row>
    <row x14ac:dyDescent="0.25" r="236" customHeight="1" ht="15.75">
      <c r="A236" s="8">
        <v>25673</v>
      </c>
      <c r="B236" s="13" t="s">
        <v>66</v>
      </c>
      <c r="C236" s="13" t="s">
        <v>8875</v>
      </c>
      <c r="D236" s="32" t="s">
        <v>8876</v>
      </c>
      <c r="E236" s="32" t="s">
        <v>8877</v>
      </c>
      <c r="F236" s="32" t="s">
        <v>8878</v>
      </c>
      <c r="G236" s="32" t="s">
        <v>8879</v>
      </c>
      <c r="H236" s="32" t="s">
        <v>8880</v>
      </c>
      <c r="I236" s="32" t="s">
        <v>8881</v>
      </c>
      <c r="J236" s="32" t="s">
        <v>2460</v>
      </c>
      <c r="K236" s="32" t="s">
        <v>8882</v>
      </c>
      <c r="L236" s="32" t="s">
        <v>4491</v>
      </c>
      <c r="M236" s="32" t="s">
        <v>8883</v>
      </c>
      <c r="N236" s="32" t="s">
        <v>8884</v>
      </c>
      <c r="O236" s="32" t="s">
        <v>8885</v>
      </c>
    </row>
    <row x14ac:dyDescent="0.25" r="237" customHeight="1" ht="15.75">
      <c r="A237" s="8">
        <v>25674</v>
      </c>
      <c r="B237" s="13" t="s">
        <v>66</v>
      </c>
      <c r="C237" s="13" t="s">
        <v>8886</v>
      </c>
      <c r="D237" s="32" t="s">
        <v>8887</v>
      </c>
      <c r="E237" s="32" t="s">
        <v>8706</v>
      </c>
      <c r="F237" s="32" t="s">
        <v>8231</v>
      </c>
      <c r="G237" s="32" t="s">
        <v>8888</v>
      </c>
      <c r="H237" s="32" t="s">
        <v>8889</v>
      </c>
      <c r="I237" s="32" t="s">
        <v>8890</v>
      </c>
      <c r="J237" s="32" t="s">
        <v>7281</v>
      </c>
      <c r="K237" s="32" t="s">
        <v>8891</v>
      </c>
      <c r="L237" s="32" t="s">
        <v>8892</v>
      </c>
      <c r="M237" s="32" t="s">
        <v>8893</v>
      </c>
      <c r="N237" s="32" t="s">
        <v>8894</v>
      </c>
      <c r="O237" s="32" t="s">
        <v>8841</v>
      </c>
    </row>
    <row x14ac:dyDescent="0.25" r="238" customHeight="1" ht="15.75">
      <c r="A238" s="8">
        <v>25675</v>
      </c>
      <c r="B238" s="13" t="s">
        <v>66</v>
      </c>
      <c r="C238" s="13" t="s">
        <v>8895</v>
      </c>
      <c r="D238" s="32" t="s">
        <v>4964</v>
      </c>
      <c r="E238" s="32" t="s">
        <v>8896</v>
      </c>
      <c r="F238" s="32" t="s">
        <v>8897</v>
      </c>
      <c r="G238" s="32" t="s">
        <v>8898</v>
      </c>
      <c r="H238" s="32" t="s">
        <v>8899</v>
      </c>
      <c r="I238" s="32" t="s">
        <v>8900</v>
      </c>
      <c r="J238" s="32" t="s">
        <v>8901</v>
      </c>
      <c r="K238" s="32" t="s">
        <v>8902</v>
      </c>
      <c r="L238" s="32" t="s">
        <v>8903</v>
      </c>
      <c r="M238" s="32" t="s">
        <v>8904</v>
      </c>
      <c r="N238" s="32" t="s">
        <v>8901</v>
      </c>
      <c r="O238" s="32" t="s">
        <v>8905</v>
      </c>
    </row>
    <row x14ac:dyDescent="0.25" r="239" customHeight="1" ht="15.75">
      <c r="A239" s="8">
        <v>25676</v>
      </c>
      <c r="B239" s="13" t="s">
        <v>66</v>
      </c>
      <c r="C239" s="13" t="s">
        <v>8906</v>
      </c>
      <c r="D239" s="32" t="s">
        <v>1672</v>
      </c>
      <c r="E239" s="32" t="s">
        <v>8907</v>
      </c>
      <c r="F239" s="32" t="s">
        <v>2448</v>
      </c>
      <c r="G239" s="32" t="s">
        <v>8908</v>
      </c>
      <c r="H239" s="32" t="s">
        <v>8909</v>
      </c>
      <c r="I239" s="32" t="s">
        <v>8910</v>
      </c>
      <c r="J239" s="32" t="s">
        <v>8911</v>
      </c>
      <c r="K239" s="32" t="s">
        <v>8912</v>
      </c>
      <c r="L239" s="32" t="s">
        <v>8913</v>
      </c>
      <c r="M239" s="32" t="s">
        <v>8914</v>
      </c>
      <c r="N239" s="32" t="s">
        <v>8915</v>
      </c>
      <c r="O239" s="32" t="s">
        <v>8916</v>
      </c>
    </row>
    <row x14ac:dyDescent="0.25" r="240" customHeight="1" ht="15.75">
      <c r="A240" s="8">
        <v>25677</v>
      </c>
      <c r="B240" s="13" t="s">
        <v>66</v>
      </c>
      <c r="C240" s="13" t="s">
        <v>8917</v>
      </c>
      <c r="D240" s="32" t="s">
        <v>88</v>
      </c>
      <c r="E240" s="32" t="s">
        <v>8918</v>
      </c>
      <c r="F240" s="32" t="s">
        <v>350</v>
      </c>
      <c r="G240" s="32" t="s">
        <v>8919</v>
      </c>
      <c r="H240" s="32" t="s">
        <v>8920</v>
      </c>
      <c r="I240" s="32" t="s">
        <v>8921</v>
      </c>
      <c r="J240" s="32" t="s">
        <v>2652</v>
      </c>
      <c r="K240" s="32" t="s">
        <v>7973</v>
      </c>
      <c r="L240" s="32" t="s">
        <v>8922</v>
      </c>
      <c r="M240" s="32" t="s">
        <v>8923</v>
      </c>
      <c r="N240" s="32" t="s">
        <v>2000</v>
      </c>
      <c r="O240" s="32" t="s">
        <v>8924</v>
      </c>
    </row>
    <row x14ac:dyDescent="0.25" r="241" customHeight="1" ht="15.75">
      <c r="A241" s="8">
        <v>25678</v>
      </c>
      <c r="B241" s="13" t="s">
        <v>66</v>
      </c>
      <c r="C241" s="13" t="s">
        <v>8925</v>
      </c>
      <c r="D241" s="32" t="s">
        <v>8926</v>
      </c>
      <c r="E241" s="32" t="s">
        <v>8927</v>
      </c>
      <c r="F241" s="32" t="s">
        <v>29</v>
      </c>
      <c r="G241" s="32" t="s">
        <v>7127</v>
      </c>
      <c r="H241" s="32" t="s">
        <v>4533</v>
      </c>
      <c r="I241" s="32" t="s">
        <v>8928</v>
      </c>
      <c r="J241" s="32" t="s">
        <v>4533</v>
      </c>
      <c r="K241" s="32" t="s">
        <v>8929</v>
      </c>
      <c r="L241" s="32" t="s">
        <v>4449</v>
      </c>
      <c r="M241" s="32" t="s">
        <v>8930</v>
      </c>
      <c r="N241" s="32" t="s">
        <v>5222</v>
      </c>
      <c r="O241" s="32" t="s">
        <v>8931</v>
      </c>
    </row>
    <row x14ac:dyDescent="0.25" r="242" customHeight="1" ht="15.75">
      <c r="A242" s="8">
        <v>25679</v>
      </c>
      <c r="B242" s="13" t="s">
        <v>66</v>
      </c>
      <c r="C242" s="13" t="s">
        <v>8932</v>
      </c>
      <c r="D242" s="32" t="s">
        <v>8933</v>
      </c>
      <c r="E242" s="32" t="s">
        <v>8934</v>
      </c>
      <c r="F242" s="32" t="s">
        <v>4267</v>
      </c>
      <c r="G242" s="32" t="s">
        <v>8935</v>
      </c>
      <c r="H242" s="32" t="s">
        <v>4180</v>
      </c>
      <c r="I242" s="32" t="s">
        <v>8936</v>
      </c>
      <c r="J242" s="32" t="s">
        <v>5256</v>
      </c>
      <c r="K242" s="32" t="s">
        <v>7127</v>
      </c>
      <c r="L242" s="32" t="s">
        <v>4180</v>
      </c>
      <c r="M242" s="32" t="s">
        <v>8937</v>
      </c>
      <c r="N242" s="32" t="s">
        <v>8938</v>
      </c>
      <c r="O242" s="32" t="s">
        <v>8939</v>
      </c>
    </row>
    <row x14ac:dyDescent="0.25" r="243" customHeight="1" ht="15.75">
      <c r="A243" s="8">
        <v>25680</v>
      </c>
      <c r="B243" s="13" t="s">
        <v>66</v>
      </c>
      <c r="C243" s="13" t="s">
        <v>8940</v>
      </c>
      <c r="D243" s="32" t="s">
        <v>8941</v>
      </c>
      <c r="E243" s="32" t="s">
        <v>7127</v>
      </c>
      <c r="F243" s="32" t="s">
        <v>5326</v>
      </c>
      <c r="G243" s="32" t="s">
        <v>8942</v>
      </c>
      <c r="H243" s="32" t="s">
        <v>8620</v>
      </c>
      <c r="I243" s="32" t="s">
        <v>8943</v>
      </c>
      <c r="J243" s="32" t="s">
        <v>4195</v>
      </c>
      <c r="K243" s="32" t="s">
        <v>8944</v>
      </c>
      <c r="L243" s="32" t="s">
        <v>8945</v>
      </c>
      <c r="M243" s="32" t="s">
        <v>8946</v>
      </c>
      <c r="N243" s="32" t="s">
        <v>8947</v>
      </c>
      <c r="O243" s="32" t="s">
        <v>8948</v>
      </c>
    </row>
    <row x14ac:dyDescent="0.25" r="244" customHeight="1" ht="15.75">
      <c r="A244" s="8">
        <v>25681</v>
      </c>
      <c r="B244" s="13" t="s">
        <v>66</v>
      </c>
      <c r="C244" s="13" t="s">
        <v>8949</v>
      </c>
      <c r="D244" s="32" t="s">
        <v>6906</v>
      </c>
      <c r="E244" s="32" t="s">
        <v>8950</v>
      </c>
      <c r="F244" s="32" t="s">
        <v>7974</v>
      </c>
      <c r="G244" s="32" t="s">
        <v>8951</v>
      </c>
      <c r="H244" s="32" t="s">
        <v>8952</v>
      </c>
      <c r="I244" s="32" t="s">
        <v>8953</v>
      </c>
      <c r="J244" s="32" t="s">
        <v>6906</v>
      </c>
      <c r="K244" s="32" t="s">
        <v>8954</v>
      </c>
      <c r="L244" s="32" t="s">
        <v>5295</v>
      </c>
      <c r="M244" s="32" t="s">
        <v>8955</v>
      </c>
      <c r="N244" s="32" t="s">
        <v>2705</v>
      </c>
      <c r="O244" s="32" t="s">
        <v>8956</v>
      </c>
    </row>
    <row x14ac:dyDescent="0.25" r="245" customHeight="1" ht="15.75">
      <c r="A245" s="8">
        <v>25682</v>
      </c>
      <c r="B245" s="13" t="s">
        <v>66</v>
      </c>
      <c r="C245" s="13" t="s">
        <v>8957</v>
      </c>
      <c r="D245" s="32" t="s">
        <v>2414</v>
      </c>
      <c r="E245" s="32" t="s">
        <v>8958</v>
      </c>
      <c r="F245" s="32" t="s">
        <v>8959</v>
      </c>
      <c r="G245" s="32" t="s">
        <v>8590</v>
      </c>
      <c r="H245" s="32" t="s">
        <v>1157</v>
      </c>
      <c r="I245" s="32" t="s">
        <v>8960</v>
      </c>
      <c r="J245" s="32" t="s">
        <v>8959</v>
      </c>
      <c r="K245" s="32" t="s">
        <v>8961</v>
      </c>
      <c r="L245" s="32" t="s">
        <v>5378</v>
      </c>
      <c r="M245" s="32" t="s">
        <v>7764</v>
      </c>
      <c r="N245" s="32" t="s">
        <v>1157</v>
      </c>
      <c r="O245" s="32" t="s">
        <v>8962</v>
      </c>
    </row>
    <row x14ac:dyDescent="0.25" r="246" customHeight="1" ht="15.75">
      <c r="A246" s="8">
        <v>25651</v>
      </c>
      <c r="B246" s="13" t="s">
        <v>66</v>
      </c>
      <c r="C246" s="13" t="s">
        <v>8963</v>
      </c>
      <c r="D246" s="32" t="s">
        <v>8964</v>
      </c>
      <c r="E246" s="32" t="s">
        <v>8965</v>
      </c>
      <c r="F246" s="32" t="s">
        <v>8966</v>
      </c>
      <c r="G246" s="32" t="s">
        <v>8967</v>
      </c>
      <c r="H246" s="32" t="s">
        <v>4601</v>
      </c>
      <c r="I246" s="32" t="s">
        <v>8968</v>
      </c>
      <c r="J246" s="32" t="s">
        <v>8969</v>
      </c>
      <c r="K246" s="32" t="s">
        <v>7163</v>
      </c>
      <c r="L246" s="32" t="s">
        <v>8970</v>
      </c>
      <c r="M246" s="32" t="s">
        <v>8971</v>
      </c>
      <c r="N246" s="32" t="s">
        <v>8972</v>
      </c>
      <c r="O246" s="32" t="s">
        <v>8973</v>
      </c>
    </row>
    <row x14ac:dyDescent="0.25" r="247" customHeight="1" ht="15.75">
      <c r="A247" s="8">
        <v>25683</v>
      </c>
      <c r="B247" s="13" t="s">
        <v>66</v>
      </c>
      <c r="C247" s="13" t="s">
        <v>8974</v>
      </c>
      <c r="D247" s="32" t="s">
        <v>8975</v>
      </c>
      <c r="E247" s="32" t="s">
        <v>8976</v>
      </c>
      <c r="F247" s="32" t="s">
        <v>5523</v>
      </c>
      <c r="G247" s="32" t="s">
        <v>8977</v>
      </c>
      <c r="H247" s="32" t="s">
        <v>8978</v>
      </c>
      <c r="I247" s="32" t="s">
        <v>8979</v>
      </c>
      <c r="J247" s="32" t="s">
        <v>8837</v>
      </c>
      <c r="K247" s="32" t="s">
        <v>7158</v>
      </c>
      <c r="L247" s="32" t="s">
        <v>8980</v>
      </c>
      <c r="M247" s="32" t="s">
        <v>8981</v>
      </c>
      <c r="N247" s="32" t="s">
        <v>8980</v>
      </c>
      <c r="O247" s="32" t="s">
        <v>8982</v>
      </c>
    </row>
    <row x14ac:dyDescent="0.25" r="248" customHeight="1" ht="15.75">
      <c r="A248" s="8">
        <v>25684</v>
      </c>
      <c r="B248" s="13" t="s">
        <v>66</v>
      </c>
      <c r="C248" s="13" t="s">
        <v>8983</v>
      </c>
      <c r="D248" s="32" t="s">
        <v>8984</v>
      </c>
      <c r="E248" s="32" t="s">
        <v>8985</v>
      </c>
      <c r="F248" s="32" t="s">
        <v>6063</v>
      </c>
      <c r="G248" s="32" t="s">
        <v>8986</v>
      </c>
      <c r="H248" s="32" t="s">
        <v>8987</v>
      </c>
      <c r="I248" s="32" t="s">
        <v>8988</v>
      </c>
      <c r="J248" s="32" t="s">
        <v>8989</v>
      </c>
      <c r="K248" s="32" t="s">
        <v>8990</v>
      </c>
      <c r="L248" s="32" t="s">
        <v>8991</v>
      </c>
      <c r="M248" s="32" t="s">
        <v>8992</v>
      </c>
      <c r="N248" s="32" t="s">
        <v>8993</v>
      </c>
      <c r="O248" s="32" t="s">
        <v>8994</v>
      </c>
    </row>
    <row x14ac:dyDescent="0.25" r="249" customHeight="1" ht="15.75">
      <c r="A249" s="8">
        <v>25652</v>
      </c>
      <c r="B249" s="13" t="s">
        <v>66</v>
      </c>
      <c r="C249" s="13" t="s">
        <v>8995</v>
      </c>
      <c r="D249" s="32" t="s">
        <v>485</v>
      </c>
      <c r="E249" s="32" t="s">
        <v>8996</v>
      </c>
      <c r="F249" s="32" t="s">
        <v>2580</v>
      </c>
      <c r="G249" s="32" t="s">
        <v>8997</v>
      </c>
      <c r="H249" s="32" t="s">
        <v>2321</v>
      </c>
      <c r="I249" s="32" t="s">
        <v>7367</v>
      </c>
      <c r="J249" s="32" t="s">
        <v>8998</v>
      </c>
      <c r="K249" s="32" t="s">
        <v>8999</v>
      </c>
      <c r="L249" s="32" t="s">
        <v>6623</v>
      </c>
      <c r="M249" s="32" t="s">
        <v>9000</v>
      </c>
      <c r="N249" s="32" t="s">
        <v>5121</v>
      </c>
      <c r="O249" s="32" t="s">
        <v>9001</v>
      </c>
    </row>
    <row x14ac:dyDescent="0.25" r="250" customHeight="1" ht="15.75">
      <c r="A250" s="8">
        <v>25685</v>
      </c>
      <c r="B250" s="13" t="s">
        <v>66</v>
      </c>
      <c r="C250" s="13" t="s">
        <v>9002</v>
      </c>
      <c r="D250" s="32" t="s">
        <v>5737</v>
      </c>
      <c r="E250" s="32" t="s">
        <v>9003</v>
      </c>
      <c r="F250" s="32" t="s">
        <v>6962</v>
      </c>
      <c r="G250" s="32" t="s">
        <v>9004</v>
      </c>
      <c r="H250" s="32" t="s">
        <v>9005</v>
      </c>
      <c r="I250" s="32" t="s">
        <v>9006</v>
      </c>
      <c r="J250" s="32" t="s">
        <v>9007</v>
      </c>
      <c r="K250" s="32" t="s">
        <v>9008</v>
      </c>
      <c r="L250" s="32" t="s">
        <v>9009</v>
      </c>
      <c r="M250" s="32" t="s">
        <v>9010</v>
      </c>
      <c r="N250" s="32" t="s">
        <v>5474</v>
      </c>
      <c r="O250" s="32" t="s">
        <v>9011</v>
      </c>
    </row>
    <row x14ac:dyDescent="0.25" r="251" customHeight="1" ht="15.75">
      <c r="A251" s="8">
        <v>25686</v>
      </c>
      <c r="B251" s="13" t="s">
        <v>66</v>
      </c>
      <c r="C251" s="13" t="s">
        <v>9012</v>
      </c>
      <c r="D251" s="32" t="s">
        <v>8155</v>
      </c>
      <c r="E251" s="32" t="s">
        <v>9013</v>
      </c>
      <c r="F251" s="32" t="s">
        <v>8309</v>
      </c>
      <c r="G251" s="32" t="s">
        <v>9014</v>
      </c>
      <c r="H251" s="32" t="s">
        <v>9015</v>
      </c>
      <c r="I251" s="32" t="s">
        <v>9016</v>
      </c>
      <c r="J251" s="32" t="s">
        <v>9017</v>
      </c>
      <c r="K251" s="32" t="s">
        <v>9018</v>
      </c>
      <c r="L251" s="32" t="s">
        <v>9015</v>
      </c>
      <c r="M251" s="32" t="s">
        <v>9019</v>
      </c>
      <c r="N251" s="32" t="s">
        <v>9020</v>
      </c>
      <c r="O251" s="32" t="s">
        <v>9021</v>
      </c>
    </row>
    <row x14ac:dyDescent="0.25" r="252" customHeight="1" ht="15.75">
      <c r="A252" s="8">
        <v>25653</v>
      </c>
      <c r="B252" s="13" t="s">
        <v>66</v>
      </c>
      <c r="C252" s="13" t="s">
        <v>9022</v>
      </c>
      <c r="D252" s="32" t="s">
        <v>74</v>
      </c>
      <c r="E252" s="32" t="s">
        <v>9023</v>
      </c>
      <c r="F252" s="32" t="s">
        <v>2483</v>
      </c>
      <c r="G252" s="32" t="s">
        <v>9024</v>
      </c>
      <c r="H252" s="32" t="s">
        <v>5801</v>
      </c>
      <c r="I252" s="32" t="s">
        <v>7557</v>
      </c>
      <c r="J252" s="32" t="s">
        <v>5801</v>
      </c>
      <c r="K252" s="32" t="s">
        <v>9025</v>
      </c>
      <c r="L252" s="32" t="s">
        <v>9026</v>
      </c>
      <c r="M252" s="32" t="s">
        <v>9027</v>
      </c>
      <c r="N252" s="32" t="s">
        <v>6265</v>
      </c>
      <c r="O252" s="32" t="s">
        <v>9028</v>
      </c>
    </row>
    <row x14ac:dyDescent="0.25" r="253" customHeight="1" ht="15.75">
      <c r="A253" s="8">
        <v>25687</v>
      </c>
      <c r="B253" s="13" t="s">
        <v>66</v>
      </c>
      <c r="C253" s="13" t="s">
        <v>9029</v>
      </c>
      <c r="D253" s="32" t="s">
        <v>9030</v>
      </c>
      <c r="E253" s="32" t="s">
        <v>9031</v>
      </c>
      <c r="F253" s="32" t="s">
        <v>8854</v>
      </c>
      <c r="G253" s="32" t="s">
        <v>9032</v>
      </c>
      <c r="H253" s="32" t="s">
        <v>9033</v>
      </c>
      <c r="I253" s="32" t="s">
        <v>9034</v>
      </c>
      <c r="J253" s="32" t="s">
        <v>9035</v>
      </c>
      <c r="K253" s="32" t="s">
        <v>9036</v>
      </c>
      <c r="L253" s="32" t="s">
        <v>9037</v>
      </c>
      <c r="M253" s="32" t="s">
        <v>9038</v>
      </c>
      <c r="N253" s="32" t="s">
        <v>9039</v>
      </c>
      <c r="O253" s="32" t="s">
        <v>9040</v>
      </c>
    </row>
    <row x14ac:dyDescent="0.25" r="254" customHeight="1" ht="15.75">
      <c r="A254" s="8">
        <v>25688</v>
      </c>
      <c r="B254" s="13" t="s">
        <v>66</v>
      </c>
      <c r="C254" s="13" t="s">
        <v>9041</v>
      </c>
      <c r="D254" s="32" t="s">
        <v>4975</v>
      </c>
      <c r="E254" s="32" t="s">
        <v>7127</v>
      </c>
      <c r="F254" s="32" t="s">
        <v>9042</v>
      </c>
      <c r="G254" s="32" t="s">
        <v>9043</v>
      </c>
      <c r="H254" s="32" t="s">
        <v>9044</v>
      </c>
      <c r="I254" s="32" t="s">
        <v>8669</v>
      </c>
      <c r="J254" s="32" t="s">
        <v>5229</v>
      </c>
      <c r="K254" s="32" t="s">
        <v>9045</v>
      </c>
      <c r="L254" s="32" t="s">
        <v>2519</v>
      </c>
      <c r="M254" s="32" t="s">
        <v>9046</v>
      </c>
      <c r="N254" s="32" t="s">
        <v>37</v>
      </c>
      <c r="O254" s="32" t="s">
        <v>9047</v>
      </c>
    </row>
    <row x14ac:dyDescent="0.25" r="255" customHeight="1" ht="15.75">
      <c r="A255" s="8">
        <v>25689</v>
      </c>
      <c r="B255" s="13" t="s">
        <v>66</v>
      </c>
      <c r="C255" s="13" t="s">
        <v>6641</v>
      </c>
      <c r="D255" s="32" t="s">
        <v>6588</v>
      </c>
      <c r="E255" s="32" t="s">
        <v>9048</v>
      </c>
      <c r="F255" s="32" t="s">
        <v>5411</v>
      </c>
      <c r="G255" s="32" t="s">
        <v>9049</v>
      </c>
      <c r="H255" s="32" t="s">
        <v>9050</v>
      </c>
      <c r="I255" s="32" t="s">
        <v>9051</v>
      </c>
      <c r="J255" s="32" t="s">
        <v>4373</v>
      </c>
      <c r="K255" s="32" t="s">
        <v>9052</v>
      </c>
      <c r="L255" s="32" t="s">
        <v>4912</v>
      </c>
      <c r="M255" s="32" t="s">
        <v>9053</v>
      </c>
      <c r="N255" s="32" t="s">
        <v>9054</v>
      </c>
      <c r="O255" s="32" t="s">
        <v>9055</v>
      </c>
    </row>
    <row x14ac:dyDescent="0.25" r="256" customHeight="1" ht="15.75">
      <c r="A256" s="8">
        <v>25690</v>
      </c>
      <c r="B256" s="13" t="s">
        <v>66</v>
      </c>
      <c r="C256" s="13" t="s">
        <v>9056</v>
      </c>
      <c r="D256" s="32" t="s">
        <v>8272</v>
      </c>
      <c r="E256" s="32" t="s">
        <v>9057</v>
      </c>
      <c r="F256" s="32" t="s">
        <v>8173</v>
      </c>
      <c r="G256" s="32" t="s">
        <v>9058</v>
      </c>
      <c r="H256" s="32" t="s">
        <v>9059</v>
      </c>
      <c r="I256" s="32" t="s">
        <v>9060</v>
      </c>
      <c r="J256" s="32" t="s">
        <v>9061</v>
      </c>
      <c r="K256" s="32" t="s">
        <v>9062</v>
      </c>
      <c r="L256" s="32" t="s">
        <v>115</v>
      </c>
      <c r="M256" s="32" t="s">
        <v>7127</v>
      </c>
      <c r="N256" s="32" t="s">
        <v>1983</v>
      </c>
      <c r="O256" s="32" t="s">
        <v>9063</v>
      </c>
    </row>
    <row x14ac:dyDescent="0.25" r="257" customHeight="1" ht="15.75">
      <c r="A257" s="8">
        <v>25691</v>
      </c>
      <c r="B257" s="13" t="s">
        <v>66</v>
      </c>
      <c r="C257" s="13" t="s">
        <v>9064</v>
      </c>
      <c r="D257" s="32" t="s">
        <v>9065</v>
      </c>
      <c r="E257" s="32" t="s">
        <v>9066</v>
      </c>
      <c r="F257" s="32" t="s">
        <v>9067</v>
      </c>
      <c r="G257" s="32" t="s">
        <v>9068</v>
      </c>
      <c r="H257" s="32" t="s">
        <v>5875</v>
      </c>
      <c r="I257" s="32" t="s">
        <v>9069</v>
      </c>
      <c r="J257" s="32" t="s">
        <v>9070</v>
      </c>
      <c r="K257" s="32" t="s">
        <v>9071</v>
      </c>
      <c r="L257" s="32" t="s">
        <v>9072</v>
      </c>
      <c r="M257" s="32" t="s">
        <v>7127</v>
      </c>
      <c r="N257" s="32" t="s">
        <v>1905</v>
      </c>
      <c r="O257" s="32" t="s">
        <v>7127</v>
      </c>
    </row>
    <row x14ac:dyDescent="0.25" r="258" customHeight="1" ht="15.75">
      <c r="A258" s="8">
        <v>25692</v>
      </c>
      <c r="B258" s="13" t="s">
        <v>66</v>
      </c>
      <c r="C258" s="13" t="s">
        <v>9073</v>
      </c>
      <c r="D258" s="32" t="s">
        <v>4884</v>
      </c>
      <c r="E258" s="32" t="s">
        <v>9074</v>
      </c>
      <c r="F258" s="32" t="s">
        <v>5763</v>
      </c>
      <c r="G258" s="32" t="s">
        <v>7127</v>
      </c>
      <c r="H258" s="32" t="s">
        <v>9075</v>
      </c>
      <c r="I258" s="32" t="s">
        <v>9076</v>
      </c>
      <c r="J258" s="32" t="s">
        <v>9077</v>
      </c>
      <c r="K258" s="32" t="s">
        <v>9078</v>
      </c>
      <c r="L258" s="32" t="s">
        <v>9079</v>
      </c>
      <c r="M258" s="32" t="s">
        <v>9080</v>
      </c>
      <c r="N258" s="32" t="s">
        <v>9081</v>
      </c>
      <c r="O258" s="32" t="s">
        <v>8372</v>
      </c>
    </row>
    <row x14ac:dyDescent="0.25" r="259" customHeight="1" ht="15.75">
      <c r="A259" s="8">
        <v>25693</v>
      </c>
      <c r="B259" s="13" t="s">
        <v>66</v>
      </c>
      <c r="C259" s="13" t="s">
        <v>9082</v>
      </c>
      <c r="D259" s="32" t="s">
        <v>9083</v>
      </c>
      <c r="E259" s="32" t="s">
        <v>9084</v>
      </c>
      <c r="F259" s="32" t="s">
        <v>4137</v>
      </c>
      <c r="G259" s="32" t="s">
        <v>8751</v>
      </c>
      <c r="H259" s="32" t="s">
        <v>9085</v>
      </c>
      <c r="I259" s="32" t="s">
        <v>9086</v>
      </c>
      <c r="J259" s="32" t="s">
        <v>9087</v>
      </c>
      <c r="K259" s="32" t="s">
        <v>9088</v>
      </c>
      <c r="L259" s="32" t="s">
        <v>8721</v>
      </c>
      <c r="M259" s="32" t="s">
        <v>9089</v>
      </c>
      <c r="N259" s="32" t="s">
        <v>9090</v>
      </c>
      <c r="O259" s="32" t="s">
        <v>9091</v>
      </c>
    </row>
    <row x14ac:dyDescent="0.25" r="260" customHeight="1" ht="15.75">
      <c r="A260" s="8">
        <v>25694</v>
      </c>
      <c r="B260" s="13" t="s">
        <v>66</v>
      </c>
      <c r="C260" s="13" t="s">
        <v>9092</v>
      </c>
      <c r="D260" s="32" t="s">
        <v>9093</v>
      </c>
      <c r="E260" s="32" t="s">
        <v>9094</v>
      </c>
      <c r="F260" s="32" t="s">
        <v>8155</v>
      </c>
      <c r="G260" s="32" t="s">
        <v>9095</v>
      </c>
      <c r="H260" s="32" t="s">
        <v>81</v>
      </c>
      <c r="I260" s="32" t="s">
        <v>9096</v>
      </c>
      <c r="J260" s="32" t="s">
        <v>9097</v>
      </c>
      <c r="K260" s="32" t="s">
        <v>9098</v>
      </c>
      <c r="L260" s="32" t="s">
        <v>9099</v>
      </c>
      <c r="M260" s="32" t="s">
        <v>9100</v>
      </c>
      <c r="N260" s="32" t="s">
        <v>9101</v>
      </c>
      <c r="O260" s="32" t="s">
        <v>9102</v>
      </c>
    </row>
    <row x14ac:dyDescent="0.25" r="261" customHeight="1" ht="15.75">
      <c r="A261" s="8">
        <v>25695</v>
      </c>
      <c r="B261" s="13" t="s">
        <v>66</v>
      </c>
      <c r="C261" s="13" t="s">
        <v>9103</v>
      </c>
      <c r="D261" s="32" t="s">
        <v>6358</v>
      </c>
      <c r="E261" s="32" t="s">
        <v>9104</v>
      </c>
      <c r="F261" s="32" t="s">
        <v>2227</v>
      </c>
      <c r="G261" s="32" t="s">
        <v>9105</v>
      </c>
      <c r="H261" s="32" t="s">
        <v>9106</v>
      </c>
      <c r="I261" s="32" t="s">
        <v>7127</v>
      </c>
      <c r="J261" s="32" t="s">
        <v>9107</v>
      </c>
      <c r="K261" s="32" t="s">
        <v>9108</v>
      </c>
      <c r="L261" s="32" t="s">
        <v>9109</v>
      </c>
      <c r="M261" s="32" t="s">
        <v>9110</v>
      </c>
      <c r="N261" s="32" t="s">
        <v>4391</v>
      </c>
      <c r="O261" s="32" t="s">
        <v>8275</v>
      </c>
    </row>
    <row x14ac:dyDescent="0.25" r="262" customHeight="1" ht="15.75">
      <c r="A262" s="8">
        <v>25696</v>
      </c>
      <c r="B262" s="13" t="s">
        <v>66</v>
      </c>
      <c r="C262" s="13" t="s">
        <v>9111</v>
      </c>
      <c r="D262" s="32" t="s">
        <v>5007</v>
      </c>
      <c r="E262" s="32" t="s">
        <v>9112</v>
      </c>
      <c r="F262" s="32" t="s">
        <v>9113</v>
      </c>
      <c r="G262" s="32" t="s">
        <v>9114</v>
      </c>
      <c r="H262" s="32" t="s">
        <v>9115</v>
      </c>
      <c r="I262" s="32" t="s">
        <v>9116</v>
      </c>
      <c r="J262" s="32" t="s">
        <v>9115</v>
      </c>
      <c r="K262" s="32" t="s">
        <v>9117</v>
      </c>
      <c r="L262" s="32" t="s">
        <v>2504</v>
      </c>
      <c r="M262" s="32" t="s">
        <v>9118</v>
      </c>
      <c r="N262" s="32" t="s">
        <v>9119</v>
      </c>
      <c r="O262" s="32" t="s">
        <v>9120</v>
      </c>
    </row>
    <row x14ac:dyDescent="0.25" r="263" customHeight="1" ht="15.75">
      <c r="A263" s="8">
        <v>25697</v>
      </c>
      <c r="B263" s="13" t="s">
        <v>66</v>
      </c>
      <c r="C263" s="13" t="s">
        <v>9121</v>
      </c>
      <c r="D263" s="32" t="s">
        <v>5275</v>
      </c>
      <c r="E263" s="32" t="s">
        <v>9122</v>
      </c>
      <c r="F263" s="32" t="s">
        <v>2663</v>
      </c>
      <c r="G263" s="32" t="s">
        <v>9123</v>
      </c>
      <c r="H263" s="32" t="s">
        <v>29</v>
      </c>
      <c r="I263" s="32" t="s">
        <v>7127</v>
      </c>
      <c r="J263" s="32" t="s">
        <v>9124</v>
      </c>
      <c r="K263" s="32" t="s">
        <v>7158</v>
      </c>
      <c r="L263" s="32" t="s">
        <v>2663</v>
      </c>
      <c r="M263" s="32" t="s">
        <v>9125</v>
      </c>
      <c r="N263" s="32" t="s">
        <v>5148</v>
      </c>
      <c r="O263" s="32" t="s">
        <v>9126</v>
      </c>
    </row>
    <row x14ac:dyDescent="0.25" r="264" customHeight="1" ht="15.75">
      <c r="A264" s="8">
        <v>25698</v>
      </c>
      <c r="B264" s="13" t="s">
        <v>66</v>
      </c>
      <c r="C264" s="13" t="s">
        <v>4916</v>
      </c>
      <c r="D264" s="32" t="s">
        <v>88</v>
      </c>
      <c r="E264" s="32" t="s">
        <v>9127</v>
      </c>
      <c r="F264" s="32" t="s">
        <v>81</v>
      </c>
      <c r="G264" s="32" t="s">
        <v>7309</v>
      </c>
      <c r="H264" s="32" t="s">
        <v>1603</v>
      </c>
      <c r="I264" s="32" t="s">
        <v>7255</v>
      </c>
      <c r="J264" s="32" t="s">
        <v>350</v>
      </c>
      <c r="K264" s="32" t="s">
        <v>9128</v>
      </c>
      <c r="L264" s="32" t="s">
        <v>2458</v>
      </c>
      <c r="M264" s="32" t="s">
        <v>9129</v>
      </c>
      <c r="N264" s="32" t="s">
        <v>1099</v>
      </c>
      <c r="O264" s="32" t="s">
        <v>9130</v>
      </c>
    </row>
    <row x14ac:dyDescent="0.25" r="265" customHeight="1" ht="15.75">
      <c r="A265" s="8">
        <v>25699</v>
      </c>
      <c r="B265" s="13" t="s">
        <v>66</v>
      </c>
      <c r="C265" s="13" t="s">
        <v>9131</v>
      </c>
      <c r="D265" s="32" t="s">
        <v>8009</v>
      </c>
      <c r="E265" s="32" t="s">
        <v>9132</v>
      </c>
      <c r="F265" s="32" t="s">
        <v>9133</v>
      </c>
      <c r="G265" s="32" t="s">
        <v>9134</v>
      </c>
      <c r="H265" s="32" t="s">
        <v>9135</v>
      </c>
      <c r="I265" s="32" t="s">
        <v>9136</v>
      </c>
      <c r="J265" s="32" t="s">
        <v>2455</v>
      </c>
      <c r="K265" s="32" t="s">
        <v>7127</v>
      </c>
      <c r="L265" s="32" t="s">
        <v>9137</v>
      </c>
      <c r="M265" s="32" t="s">
        <v>9138</v>
      </c>
      <c r="N265" s="32" t="s">
        <v>7266</v>
      </c>
      <c r="O265" s="32" t="s">
        <v>8283</v>
      </c>
    </row>
    <row x14ac:dyDescent="0.25" r="266" customHeight="1" ht="15.75">
      <c r="A266" s="8">
        <v>25700</v>
      </c>
      <c r="B266" s="13" t="s">
        <v>66</v>
      </c>
      <c r="C266" s="13" t="s">
        <v>9139</v>
      </c>
      <c r="D266" s="32" t="s">
        <v>7012</v>
      </c>
      <c r="E266" s="32" t="s">
        <v>9140</v>
      </c>
      <c r="F266" s="32" t="s">
        <v>8911</v>
      </c>
      <c r="G266" s="32" t="s">
        <v>9141</v>
      </c>
      <c r="H266" s="32" t="s">
        <v>5233</v>
      </c>
      <c r="I266" s="32" t="s">
        <v>9142</v>
      </c>
      <c r="J266" s="32" t="s">
        <v>9143</v>
      </c>
      <c r="K266" s="32" t="s">
        <v>9144</v>
      </c>
      <c r="L266" s="32" t="s">
        <v>9145</v>
      </c>
      <c r="M266" s="32" t="s">
        <v>7127</v>
      </c>
      <c r="N266" s="32" t="s">
        <v>29</v>
      </c>
      <c r="O266" s="32" t="s">
        <v>7127</v>
      </c>
    </row>
    <row x14ac:dyDescent="0.25" r="267" customHeight="1" ht="15.75">
      <c r="A267" s="8">
        <v>25701</v>
      </c>
      <c r="B267" s="13" t="s">
        <v>66</v>
      </c>
      <c r="C267" s="13" t="s">
        <v>9146</v>
      </c>
      <c r="D267" s="32" t="s">
        <v>9147</v>
      </c>
      <c r="E267" s="32" t="s">
        <v>9148</v>
      </c>
      <c r="F267" s="32" t="s">
        <v>6538</v>
      </c>
      <c r="G267" s="32" t="s">
        <v>9149</v>
      </c>
      <c r="H267" s="32" t="s">
        <v>9150</v>
      </c>
      <c r="I267" s="32" t="s">
        <v>9151</v>
      </c>
      <c r="J267" s="32" t="s">
        <v>4710</v>
      </c>
      <c r="K267" s="32" t="s">
        <v>9152</v>
      </c>
      <c r="L267" s="32" t="s">
        <v>8661</v>
      </c>
      <c r="M267" s="32" t="s">
        <v>9153</v>
      </c>
      <c r="N267" s="32" t="s">
        <v>8665</v>
      </c>
      <c r="O267" s="32" t="s">
        <v>7985</v>
      </c>
    </row>
    <row x14ac:dyDescent="0.25" r="268" customHeight="1" ht="15.75">
      <c r="A268" s="8">
        <v>25654</v>
      </c>
      <c r="B268" s="13" t="s">
        <v>66</v>
      </c>
      <c r="C268" s="13" t="s">
        <v>9154</v>
      </c>
      <c r="D268" s="32" t="s">
        <v>4190</v>
      </c>
      <c r="E268" s="32" t="s">
        <v>9155</v>
      </c>
      <c r="F268" s="32" t="s">
        <v>6288</v>
      </c>
      <c r="G268" s="32" t="s">
        <v>9156</v>
      </c>
      <c r="H268" s="32" t="s">
        <v>6728</v>
      </c>
      <c r="I268" s="32" t="s">
        <v>9157</v>
      </c>
      <c r="J268" s="32" t="s">
        <v>2731</v>
      </c>
      <c r="K268" s="32" t="s">
        <v>9158</v>
      </c>
      <c r="L268" s="32" t="s">
        <v>6852</v>
      </c>
      <c r="M268" s="32" t="s">
        <v>9159</v>
      </c>
      <c r="N268" s="32" t="s">
        <v>9160</v>
      </c>
      <c r="O268" s="32" t="s">
        <v>7375</v>
      </c>
    </row>
    <row x14ac:dyDescent="0.25" r="269" customHeight="1" ht="15.75">
      <c r="A269" s="8">
        <v>25702</v>
      </c>
      <c r="B269" s="13" t="s">
        <v>66</v>
      </c>
      <c r="C269" s="13" t="s">
        <v>4917</v>
      </c>
      <c r="D269" s="32" t="s">
        <v>2364</v>
      </c>
      <c r="E269" s="32" t="s">
        <v>9161</v>
      </c>
      <c r="F269" s="32" t="s">
        <v>2414</v>
      </c>
      <c r="G269" s="32" t="s">
        <v>9162</v>
      </c>
      <c r="H269" s="32" t="s">
        <v>90</v>
      </c>
      <c r="I269" s="32" t="s">
        <v>9163</v>
      </c>
      <c r="J269" s="32" t="s">
        <v>4919</v>
      </c>
      <c r="K269" s="32" t="s">
        <v>9164</v>
      </c>
      <c r="L269" s="32" t="s">
        <v>1898</v>
      </c>
      <c r="M269" s="32" t="s">
        <v>8073</v>
      </c>
      <c r="N269" s="32" t="s">
        <v>9165</v>
      </c>
      <c r="O269" s="32" t="s">
        <v>7973</v>
      </c>
    </row>
    <row x14ac:dyDescent="0.25" r="270" customHeight="1" ht="15.75">
      <c r="A270" s="8">
        <v>25655</v>
      </c>
      <c r="B270" s="13" t="s">
        <v>66</v>
      </c>
      <c r="C270" s="13" t="s">
        <v>9166</v>
      </c>
      <c r="D270" s="32" t="s">
        <v>951</v>
      </c>
      <c r="E270" s="32" t="s">
        <v>9167</v>
      </c>
      <c r="F270" s="32" t="s">
        <v>9168</v>
      </c>
      <c r="G270" s="32" t="s">
        <v>9169</v>
      </c>
      <c r="H270" s="32" t="s">
        <v>951</v>
      </c>
      <c r="I270" s="32" t="s">
        <v>9170</v>
      </c>
      <c r="J270" s="32" t="s">
        <v>9171</v>
      </c>
      <c r="K270" s="32" t="s">
        <v>9172</v>
      </c>
      <c r="L270" s="32" t="s">
        <v>9173</v>
      </c>
      <c r="M270" s="32" t="s">
        <v>9174</v>
      </c>
      <c r="N270" s="32" t="s">
        <v>2397</v>
      </c>
      <c r="O270" s="32" t="s">
        <v>9175</v>
      </c>
    </row>
    <row x14ac:dyDescent="0.25" r="271" customHeight="1" ht="15.75">
      <c r="A271" s="8">
        <v>25703</v>
      </c>
      <c r="B271" s="13" t="s">
        <v>66</v>
      </c>
      <c r="C271" s="13" t="s">
        <v>9176</v>
      </c>
      <c r="D271" s="32" t="s">
        <v>2599</v>
      </c>
      <c r="E271" s="32" t="s">
        <v>9177</v>
      </c>
      <c r="F271" s="32" t="s">
        <v>6460</v>
      </c>
      <c r="G271" s="32" t="s">
        <v>9178</v>
      </c>
      <c r="H271" s="32" t="s">
        <v>9179</v>
      </c>
      <c r="I271" s="32" t="s">
        <v>9180</v>
      </c>
      <c r="J271" s="32" t="s">
        <v>9181</v>
      </c>
      <c r="K271" s="32" t="s">
        <v>9182</v>
      </c>
      <c r="L271" s="32" t="s">
        <v>2679</v>
      </c>
      <c r="M271" s="32" t="s">
        <v>9183</v>
      </c>
      <c r="N271" s="32" t="s">
        <v>8843</v>
      </c>
      <c r="O271" s="32" t="s">
        <v>9184</v>
      </c>
    </row>
    <row x14ac:dyDescent="0.25" r="272" customHeight="1" ht="15.75">
      <c r="A272" s="8">
        <v>25656</v>
      </c>
      <c r="B272" s="13" t="s">
        <v>66</v>
      </c>
      <c r="C272" s="13" t="s">
        <v>9185</v>
      </c>
      <c r="D272" s="32" t="s">
        <v>4895</v>
      </c>
      <c r="E272" s="32" t="s">
        <v>9186</v>
      </c>
      <c r="F272" s="32" t="s">
        <v>6386</v>
      </c>
      <c r="G272" s="32" t="s">
        <v>9187</v>
      </c>
      <c r="H272" s="32" t="s">
        <v>9188</v>
      </c>
      <c r="I272" s="32" t="s">
        <v>9189</v>
      </c>
      <c r="J272" s="32" t="s">
        <v>5225</v>
      </c>
      <c r="K272" s="32" t="s">
        <v>9190</v>
      </c>
      <c r="L272" s="32" t="s">
        <v>2573</v>
      </c>
      <c r="M272" s="32" t="s">
        <v>9191</v>
      </c>
      <c r="N272" s="32" t="s">
        <v>4359</v>
      </c>
      <c r="O272" s="32" t="s">
        <v>9192</v>
      </c>
    </row>
    <row x14ac:dyDescent="0.25" r="273" customHeight="1" ht="15.75">
      <c r="A273" s="8">
        <v>25704</v>
      </c>
      <c r="B273" s="13" t="s">
        <v>66</v>
      </c>
      <c r="C273" s="13" t="s">
        <v>9193</v>
      </c>
      <c r="D273" s="32" t="s">
        <v>9194</v>
      </c>
      <c r="E273" s="32" t="s">
        <v>9195</v>
      </c>
      <c r="F273" s="32" t="s">
        <v>9196</v>
      </c>
      <c r="G273" s="32" t="s">
        <v>9197</v>
      </c>
      <c r="H273" s="32" t="s">
        <v>9198</v>
      </c>
      <c r="I273" s="32" t="s">
        <v>9199</v>
      </c>
      <c r="J273" s="32" t="s">
        <v>5660</v>
      </c>
      <c r="K273" s="32" t="s">
        <v>9200</v>
      </c>
      <c r="L273" s="32" t="s">
        <v>5737</v>
      </c>
      <c r="M273" s="32" t="s">
        <v>9201</v>
      </c>
      <c r="N273" s="32" t="s">
        <v>9202</v>
      </c>
      <c r="O273" s="32" t="s">
        <v>9203</v>
      </c>
    </row>
    <row x14ac:dyDescent="0.25" r="274" customHeight="1" ht="15.75">
      <c r="A274" s="8">
        <v>25705</v>
      </c>
      <c r="B274" s="13" t="s">
        <v>66</v>
      </c>
      <c r="C274" s="13" t="s">
        <v>9204</v>
      </c>
      <c r="D274" s="32" t="s">
        <v>6273</v>
      </c>
      <c r="E274" s="32" t="s">
        <v>9205</v>
      </c>
      <c r="F274" s="32" t="s">
        <v>6274</v>
      </c>
      <c r="G274" s="32" t="s">
        <v>9206</v>
      </c>
      <c r="H274" s="32" t="s">
        <v>4341</v>
      </c>
      <c r="I274" s="32" t="s">
        <v>9207</v>
      </c>
      <c r="J274" s="32" t="s">
        <v>9208</v>
      </c>
      <c r="K274" s="32" t="s">
        <v>9209</v>
      </c>
      <c r="L274" s="32" t="s">
        <v>9208</v>
      </c>
      <c r="M274" s="32" t="s">
        <v>9210</v>
      </c>
      <c r="N274" s="32" t="s">
        <v>9208</v>
      </c>
      <c r="O274" s="32" t="s">
        <v>9211</v>
      </c>
    </row>
    <row x14ac:dyDescent="0.25" r="275" customHeight="1" ht="15.75">
      <c r="A275" s="8">
        <v>25706</v>
      </c>
      <c r="B275" s="13" t="s">
        <v>66</v>
      </c>
      <c r="C275" s="13" t="s">
        <v>9212</v>
      </c>
      <c r="D275" s="32" t="s">
        <v>9213</v>
      </c>
      <c r="E275" s="32" t="s">
        <v>9214</v>
      </c>
      <c r="F275" s="32" t="s">
        <v>9215</v>
      </c>
      <c r="G275" s="32" t="s">
        <v>9216</v>
      </c>
      <c r="H275" s="32" t="s">
        <v>9217</v>
      </c>
      <c r="I275" s="32" t="s">
        <v>9218</v>
      </c>
      <c r="J275" s="32" t="s">
        <v>9219</v>
      </c>
      <c r="K275" s="32" t="s">
        <v>9220</v>
      </c>
      <c r="L275" s="32" t="s">
        <v>9221</v>
      </c>
      <c r="M275" s="32" t="s">
        <v>9222</v>
      </c>
      <c r="N275" s="32" t="s">
        <v>9223</v>
      </c>
      <c r="O275" s="32" t="s">
        <v>9224</v>
      </c>
    </row>
    <row x14ac:dyDescent="0.25" r="276" customHeight="1" ht="15.75">
      <c r="A276" s="8">
        <v>25707</v>
      </c>
      <c r="B276" s="13" t="s">
        <v>66</v>
      </c>
      <c r="C276" s="13" t="s">
        <v>9225</v>
      </c>
      <c r="D276" s="32" t="s">
        <v>8578</v>
      </c>
      <c r="E276" s="32" t="s">
        <v>9226</v>
      </c>
      <c r="F276" s="32" t="s">
        <v>8578</v>
      </c>
      <c r="G276" s="32" t="s">
        <v>7166</v>
      </c>
      <c r="H276" s="32" t="s">
        <v>81</v>
      </c>
      <c r="I276" s="32" t="s">
        <v>9227</v>
      </c>
      <c r="J276" s="32" t="s">
        <v>4319</v>
      </c>
      <c r="K276" s="32" t="s">
        <v>9228</v>
      </c>
      <c r="L276" s="32" t="s">
        <v>1143</v>
      </c>
      <c r="M276" s="32" t="s">
        <v>9229</v>
      </c>
      <c r="N276" s="32" t="s">
        <v>8578</v>
      </c>
      <c r="O276" s="32" t="s">
        <v>9230</v>
      </c>
    </row>
    <row x14ac:dyDescent="0.25" r="277" customHeight="1" ht="15.75">
      <c r="A277" s="8">
        <v>25657</v>
      </c>
      <c r="B277" s="13" t="s">
        <v>66</v>
      </c>
      <c r="C277" s="13" t="s">
        <v>9231</v>
      </c>
      <c r="D277" s="32" t="s">
        <v>9232</v>
      </c>
      <c r="E277" s="32" t="s">
        <v>9233</v>
      </c>
      <c r="F277" s="32" t="s">
        <v>9234</v>
      </c>
      <c r="G277" s="32" t="s">
        <v>9235</v>
      </c>
      <c r="H277" s="32" t="s">
        <v>9087</v>
      </c>
      <c r="I277" s="32" t="s">
        <v>9236</v>
      </c>
      <c r="J277" s="32" t="s">
        <v>6007</v>
      </c>
      <c r="K277" s="32" t="s">
        <v>9237</v>
      </c>
      <c r="L277" s="32" t="s">
        <v>5048</v>
      </c>
      <c r="M277" s="32" t="s">
        <v>9238</v>
      </c>
      <c r="N277" s="32" t="s">
        <v>9239</v>
      </c>
      <c r="O277" s="32" t="s">
        <v>9240</v>
      </c>
    </row>
    <row x14ac:dyDescent="0.25" r="278" customHeight="1" ht="15.75">
      <c r="A278" s="8">
        <v>25708</v>
      </c>
      <c r="B278" s="13" t="s">
        <v>66</v>
      </c>
      <c r="C278" s="13" t="s">
        <v>9241</v>
      </c>
      <c r="D278" s="32" t="s">
        <v>74</v>
      </c>
      <c r="E278" s="32" t="s">
        <v>9242</v>
      </c>
      <c r="F278" s="32" t="s">
        <v>8419</v>
      </c>
      <c r="G278" s="32" t="s">
        <v>9243</v>
      </c>
      <c r="H278" s="32" t="s">
        <v>9244</v>
      </c>
      <c r="I278" s="32" t="s">
        <v>9245</v>
      </c>
      <c r="J278" s="32" t="s">
        <v>2546</v>
      </c>
      <c r="K278" s="32" t="s">
        <v>9246</v>
      </c>
      <c r="L278" s="32" t="s">
        <v>8002</v>
      </c>
      <c r="M278" s="32" t="s">
        <v>9247</v>
      </c>
      <c r="N278" s="32" t="s">
        <v>6716</v>
      </c>
      <c r="O278" s="32" t="s">
        <v>9248</v>
      </c>
    </row>
    <row x14ac:dyDescent="0.25" r="279" customHeight="1" ht="15.75">
      <c r="A279" s="8">
        <v>25709</v>
      </c>
      <c r="B279" s="13" t="s">
        <v>66</v>
      </c>
      <c r="C279" s="13" t="s">
        <v>9249</v>
      </c>
      <c r="D279" s="32" t="s">
        <v>447</v>
      </c>
      <c r="E279" s="32" t="s">
        <v>9250</v>
      </c>
      <c r="F279" s="32" t="s">
        <v>9251</v>
      </c>
      <c r="G279" s="32" t="s">
        <v>9252</v>
      </c>
      <c r="H279" s="32" t="s">
        <v>7248</v>
      </c>
      <c r="I279" s="32" t="s">
        <v>9253</v>
      </c>
      <c r="J279" s="32" t="s">
        <v>2272</v>
      </c>
      <c r="K279" s="32" t="s">
        <v>9254</v>
      </c>
      <c r="L279" s="32" t="s">
        <v>9255</v>
      </c>
      <c r="M279" s="32" t="s">
        <v>9256</v>
      </c>
      <c r="N279" s="32" t="s">
        <v>4703</v>
      </c>
      <c r="O279" s="32" t="s">
        <v>9257</v>
      </c>
    </row>
    <row x14ac:dyDescent="0.25" r="280" customHeight="1" ht="15.75">
      <c r="A280" s="8">
        <v>25712</v>
      </c>
      <c r="B280" s="13" t="s">
        <v>66</v>
      </c>
      <c r="C280" s="13" t="s">
        <v>9258</v>
      </c>
      <c r="D280" s="32" t="s">
        <v>5182</v>
      </c>
      <c r="E280" s="32" t="s">
        <v>9259</v>
      </c>
      <c r="F280" s="32" t="s">
        <v>2636</v>
      </c>
      <c r="G280" s="32" t="s">
        <v>8507</v>
      </c>
      <c r="H280" s="32" t="s">
        <v>8197</v>
      </c>
      <c r="I280" s="32" t="s">
        <v>9260</v>
      </c>
      <c r="J280" s="32" t="s">
        <v>1672</v>
      </c>
      <c r="K280" s="32" t="s">
        <v>8934</v>
      </c>
      <c r="L280" s="32" t="s">
        <v>1873</v>
      </c>
      <c r="M280" s="32" t="s">
        <v>9261</v>
      </c>
      <c r="N280" s="32" t="s">
        <v>1601</v>
      </c>
      <c r="O280" s="32" t="s">
        <v>9262</v>
      </c>
    </row>
    <row x14ac:dyDescent="0.25" r="281" customHeight="1" ht="15.75">
      <c r="A281" s="8">
        <v>25713</v>
      </c>
      <c r="B281" s="13" t="s">
        <v>66</v>
      </c>
      <c r="C281" s="13" t="s">
        <v>9263</v>
      </c>
      <c r="D281" s="32" t="s">
        <v>9264</v>
      </c>
      <c r="E281" s="32" t="s">
        <v>9265</v>
      </c>
      <c r="F281" s="32" t="s">
        <v>2611</v>
      </c>
      <c r="G281" s="32" t="s">
        <v>9266</v>
      </c>
      <c r="H281" s="32" t="s">
        <v>57</v>
      </c>
      <c r="I281" s="32" t="s">
        <v>7645</v>
      </c>
      <c r="J281" s="32" t="s">
        <v>369</v>
      </c>
      <c r="K281" s="32" t="s">
        <v>9267</v>
      </c>
      <c r="L281" s="32" t="s">
        <v>57</v>
      </c>
      <c r="M281" s="32" t="s">
        <v>7127</v>
      </c>
      <c r="N281" s="32" t="s">
        <v>29</v>
      </c>
      <c r="O281" s="32" t="s">
        <v>7127</v>
      </c>
    </row>
    <row x14ac:dyDescent="0.25" r="282" customHeight="1" ht="15.75">
      <c r="A282" s="8">
        <v>25714</v>
      </c>
      <c r="B282" s="13" t="s">
        <v>66</v>
      </c>
      <c r="C282" s="13" t="s">
        <v>9268</v>
      </c>
      <c r="D282" s="32" t="s">
        <v>9269</v>
      </c>
      <c r="E282" s="32" t="s">
        <v>9270</v>
      </c>
      <c r="F282" s="32" t="s">
        <v>9271</v>
      </c>
      <c r="G282" s="32" t="s">
        <v>9272</v>
      </c>
      <c r="H282" s="32" t="s">
        <v>9273</v>
      </c>
      <c r="I282" s="32" t="s">
        <v>9274</v>
      </c>
      <c r="J282" s="32" t="s">
        <v>8820</v>
      </c>
      <c r="K282" s="32" t="s">
        <v>9275</v>
      </c>
      <c r="L282" s="32" t="s">
        <v>2490</v>
      </c>
      <c r="M282" s="32" t="s">
        <v>9276</v>
      </c>
      <c r="N282" s="32" t="s">
        <v>9077</v>
      </c>
      <c r="O282" s="32" t="s">
        <v>9277</v>
      </c>
    </row>
    <row x14ac:dyDescent="0.25" r="283" customHeight="1" ht="15.75">
      <c r="A283" s="8">
        <v>25715</v>
      </c>
      <c r="B283" s="13" t="s">
        <v>66</v>
      </c>
      <c r="C283" s="13" t="s">
        <v>9278</v>
      </c>
      <c r="D283" s="32" t="s">
        <v>6460</v>
      </c>
      <c r="E283" s="32" t="s">
        <v>9279</v>
      </c>
      <c r="F283" s="32" t="s">
        <v>9280</v>
      </c>
      <c r="G283" s="32" t="s">
        <v>9281</v>
      </c>
      <c r="H283" s="32" t="s">
        <v>2246</v>
      </c>
      <c r="I283" s="32" t="s">
        <v>8816</v>
      </c>
      <c r="J283" s="32" t="s">
        <v>9282</v>
      </c>
      <c r="K283" s="32" t="s">
        <v>7127</v>
      </c>
      <c r="L283" s="32" t="s">
        <v>57</v>
      </c>
      <c r="M283" s="32" t="s">
        <v>9283</v>
      </c>
      <c r="N283" s="32" t="s">
        <v>1494</v>
      </c>
      <c r="O283" s="32" t="s">
        <v>9284</v>
      </c>
    </row>
    <row x14ac:dyDescent="0.25" r="284" customHeight="1" ht="15.75">
      <c r="A284" s="8">
        <v>25716</v>
      </c>
      <c r="B284" s="13" t="s">
        <v>66</v>
      </c>
      <c r="C284" s="13" t="s">
        <v>9285</v>
      </c>
      <c r="D284" s="32" t="s">
        <v>34</v>
      </c>
      <c r="E284" s="32" t="s">
        <v>9286</v>
      </c>
      <c r="F284" s="32" t="s">
        <v>1613</v>
      </c>
      <c r="G284" s="32" t="s">
        <v>9287</v>
      </c>
      <c r="H284" s="32" t="s">
        <v>9288</v>
      </c>
      <c r="I284" s="32" t="s">
        <v>9289</v>
      </c>
      <c r="J284" s="32" t="s">
        <v>9079</v>
      </c>
      <c r="K284" s="32" t="s">
        <v>9290</v>
      </c>
      <c r="L284" s="32" t="s">
        <v>4203</v>
      </c>
      <c r="M284" s="32" t="s">
        <v>7127</v>
      </c>
      <c r="N284" s="32" t="s">
        <v>4203</v>
      </c>
      <c r="O284" s="32" t="s">
        <v>7127</v>
      </c>
    </row>
    <row x14ac:dyDescent="0.25" r="285" customHeight="1" ht="15.75">
      <c r="A285" s="8">
        <v>25659</v>
      </c>
      <c r="B285" s="13" t="s">
        <v>66</v>
      </c>
      <c r="C285" s="13" t="s">
        <v>9291</v>
      </c>
      <c r="D285" s="32" t="s">
        <v>9292</v>
      </c>
      <c r="E285" s="32" t="s">
        <v>9293</v>
      </c>
      <c r="F285" s="32" t="s">
        <v>6775</v>
      </c>
      <c r="G285" s="32" t="s">
        <v>9294</v>
      </c>
      <c r="H285" s="32" t="s">
        <v>9295</v>
      </c>
      <c r="I285" s="32" t="s">
        <v>9296</v>
      </c>
      <c r="J285" s="32" t="s">
        <v>9297</v>
      </c>
      <c r="K285" s="32" t="s">
        <v>9298</v>
      </c>
      <c r="L285" s="32" t="s">
        <v>9299</v>
      </c>
      <c r="M285" s="32" t="s">
        <v>9248</v>
      </c>
      <c r="N285" s="32" t="s">
        <v>7969</v>
      </c>
      <c r="O285" s="32" t="s">
        <v>9300</v>
      </c>
    </row>
    <row x14ac:dyDescent="0.25" r="286" customHeight="1" ht="15.75">
      <c r="A286" s="8">
        <v>25660</v>
      </c>
      <c r="B286" s="13" t="s">
        <v>66</v>
      </c>
      <c r="C286" s="13" t="s">
        <v>9301</v>
      </c>
      <c r="D286" s="32" t="s">
        <v>9302</v>
      </c>
      <c r="E286" s="32" t="s">
        <v>9303</v>
      </c>
      <c r="F286" s="32" t="s">
        <v>9304</v>
      </c>
      <c r="G286" s="32" t="s">
        <v>9305</v>
      </c>
      <c r="H286" s="32" t="s">
        <v>5642</v>
      </c>
      <c r="I286" s="32" t="s">
        <v>7682</v>
      </c>
      <c r="J286" s="32" t="s">
        <v>9306</v>
      </c>
      <c r="K286" s="32" t="s">
        <v>9307</v>
      </c>
      <c r="L286" s="32" t="s">
        <v>4229</v>
      </c>
      <c r="M286" s="32" t="s">
        <v>9308</v>
      </c>
      <c r="N286" s="32" t="s">
        <v>9309</v>
      </c>
      <c r="O286" s="32" t="s">
        <v>9310</v>
      </c>
    </row>
    <row x14ac:dyDescent="0.25" r="287" customHeight="1" ht="15.75">
      <c r="A287" s="8">
        <v>25717</v>
      </c>
      <c r="B287" s="13" t="s">
        <v>66</v>
      </c>
      <c r="C287" s="13" t="s">
        <v>9311</v>
      </c>
      <c r="D287" s="32" t="s">
        <v>9312</v>
      </c>
      <c r="E287" s="32" t="s">
        <v>9313</v>
      </c>
      <c r="F287" s="32" t="s">
        <v>7901</v>
      </c>
      <c r="G287" s="32" t="s">
        <v>9138</v>
      </c>
      <c r="H287" s="32" t="s">
        <v>9314</v>
      </c>
      <c r="I287" s="32" t="s">
        <v>9315</v>
      </c>
      <c r="J287" s="32" t="s">
        <v>9316</v>
      </c>
      <c r="K287" s="32" t="s">
        <v>9317</v>
      </c>
      <c r="L287" s="32" t="s">
        <v>5074</v>
      </c>
      <c r="M287" s="32" t="s">
        <v>9318</v>
      </c>
      <c r="N287" s="32" t="s">
        <v>9319</v>
      </c>
      <c r="O287" s="32" t="s">
        <v>9100</v>
      </c>
    </row>
    <row x14ac:dyDescent="0.25" r="288" customHeight="1" ht="15.75">
      <c r="A288" s="8">
        <v>25718</v>
      </c>
      <c r="B288" s="13" t="s">
        <v>66</v>
      </c>
      <c r="C288" s="13" t="s">
        <v>9320</v>
      </c>
      <c r="D288" s="32" t="s">
        <v>7594</v>
      </c>
      <c r="E288" s="32" t="s">
        <v>9321</v>
      </c>
      <c r="F288" s="32" t="s">
        <v>9322</v>
      </c>
      <c r="G288" s="32" t="s">
        <v>9323</v>
      </c>
      <c r="H288" s="32" t="s">
        <v>8451</v>
      </c>
      <c r="I288" s="32" t="s">
        <v>9324</v>
      </c>
      <c r="J288" s="32" t="s">
        <v>9325</v>
      </c>
      <c r="K288" s="32" t="s">
        <v>9326</v>
      </c>
      <c r="L288" s="32" t="s">
        <v>9327</v>
      </c>
      <c r="M288" s="32" t="s">
        <v>9328</v>
      </c>
      <c r="N288" s="32" t="s">
        <v>8451</v>
      </c>
      <c r="O288" s="32" t="s">
        <v>9329</v>
      </c>
    </row>
    <row x14ac:dyDescent="0.25" r="289" customHeight="1" ht="15.75">
      <c r="A289" s="8">
        <v>25719</v>
      </c>
      <c r="B289" s="13" t="s">
        <v>66</v>
      </c>
      <c r="C289" s="13" t="s">
        <v>9330</v>
      </c>
      <c r="D289" s="32" t="s">
        <v>6554</v>
      </c>
      <c r="E289" s="32" t="s">
        <v>9331</v>
      </c>
      <c r="F289" s="32" t="s">
        <v>4583</v>
      </c>
      <c r="G289" s="32" t="s">
        <v>9332</v>
      </c>
      <c r="H289" s="32" t="s">
        <v>6914</v>
      </c>
      <c r="I289" s="32" t="s">
        <v>9333</v>
      </c>
      <c r="J289" s="32" t="s">
        <v>5947</v>
      </c>
      <c r="K289" s="32" t="s">
        <v>9334</v>
      </c>
      <c r="L289" s="32" t="s">
        <v>122</v>
      </c>
      <c r="M289" s="32" t="s">
        <v>9335</v>
      </c>
      <c r="N289" s="32" t="s">
        <v>4721</v>
      </c>
      <c r="O289" s="32" t="s">
        <v>8751</v>
      </c>
    </row>
    <row x14ac:dyDescent="0.25" r="290" customHeight="1" ht="15.75">
      <c r="A290" s="8">
        <v>25720</v>
      </c>
      <c r="B290" s="13" t="s">
        <v>66</v>
      </c>
      <c r="C290" s="13" t="s">
        <v>9336</v>
      </c>
      <c r="D290" s="32" t="s">
        <v>5282</v>
      </c>
      <c r="E290" s="32" t="s">
        <v>9337</v>
      </c>
      <c r="F290" s="32" t="s">
        <v>5048</v>
      </c>
      <c r="G290" s="32" t="s">
        <v>9338</v>
      </c>
      <c r="H290" s="32" t="s">
        <v>2319</v>
      </c>
      <c r="I290" s="32" t="s">
        <v>9339</v>
      </c>
      <c r="J290" s="32" t="s">
        <v>9251</v>
      </c>
      <c r="K290" s="32" t="s">
        <v>9340</v>
      </c>
      <c r="L290" s="32" t="s">
        <v>6255</v>
      </c>
      <c r="M290" s="32" t="s">
        <v>8908</v>
      </c>
      <c r="N290" s="32" t="s">
        <v>9341</v>
      </c>
      <c r="O290" s="32" t="s">
        <v>9342</v>
      </c>
    </row>
    <row x14ac:dyDescent="0.25" r="291" customHeight="1" ht="15.75">
      <c r="A291" s="8">
        <v>25721</v>
      </c>
      <c r="B291" s="13" t="s">
        <v>66</v>
      </c>
      <c r="C291" s="13" t="s">
        <v>9343</v>
      </c>
      <c r="D291" s="32" t="s">
        <v>74</v>
      </c>
      <c r="E291" s="32" t="s">
        <v>7426</v>
      </c>
      <c r="F291" s="32" t="s">
        <v>9344</v>
      </c>
      <c r="G291" s="32" t="s">
        <v>9345</v>
      </c>
      <c r="H291" s="32" t="s">
        <v>9346</v>
      </c>
      <c r="I291" s="32" t="s">
        <v>7584</v>
      </c>
      <c r="J291" s="32" t="s">
        <v>4998</v>
      </c>
      <c r="K291" s="32" t="s">
        <v>9347</v>
      </c>
      <c r="L291" s="32" t="s">
        <v>5103</v>
      </c>
      <c r="M291" s="32" t="s">
        <v>9348</v>
      </c>
      <c r="N291" s="32" t="s">
        <v>9349</v>
      </c>
      <c r="O291" s="32" t="s">
        <v>9350</v>
      </c>
    </row>
    <row x14ac:dyDescent="0.25" r="292" customHeight="1" ht="15.75">
      <c r="A292" s="8">
        <v>25722</v>
      </c>
      <c r="B292" s="13" t="s">
        <v>66</v>
      </c>
      <c r="C292" s="13" t="s">
        <v>9351</v>
      </c>
      <c r="D292" s="32" t="s">
        <v>9352</v>
      </c>
      <c r="E292" s="32" t="s">
        <v>9353</v>
      </c>
      <c r="F292" s="32" t="s">
        <v>8344</v>
      </c>
      <c r="G292" s="32" t="s">
        <v>7127</v>
      </c>
      <c r="H292" s="32" t="s">
        <v>9354</v>
      </c>
      <c r="I292" s="32" t="s">
        <v>9355</v>
      </c>
      <c r="J292" s="32" t="s">
        <v>9356</v>
      </c>
      <c r="K292" s="32" t="s">
        <v>9357</v>
      </c>
      <c r="L292" s="32" t="s">
        <v>2603</v>
      </c>
      <c r="M292" s="32" t="s">
        <v>9358</v>
      </c>
      <c r="N292" s="32" t="s">
        <v>9359</v>
      </c>
      <c r="O292" s="32" t="s">
        <v>9360</v>
      </c>
    </row>
    <row x14ac:dyDescent="0.25" r="293" customHeight="1" ht="15.75">
      <c r="A293" s="8">
        <v>25744</v>
      </c>
      <c r="B293" s="13" t="s">
        <v>66</v>
      </c>
      <c r="C293" s="13" t="s">
        <v>9361</v>
      </c>
      <c r="D293" s="32" t="s">
        <v>2409</v>
      </c>
      <c r="E293" s="32" t="s">
        <v>9362</v>
      </c>
      <c r="F293" s="32" t="s">
        <v>4073</v>
      </c>
      <c r="G293" s="32" t="s">
        <v>9363</v>
      </c>
      <c r="H293" s="32" t="s">
        <v>9364</v>
      </c>
      <c r="I293" s="32" t="s">
        <v>9365</v>
      </c>
      <c r="J293" s="32" t="s">
        <v>9366</v>
      </c>
      <c r="K293" s="32" t="s">
        <v>9367</v>
      </c>
      <c r="L293" s="32" t="s">
        <v>9368</v>
      </c>
      <c r="M293" s="32" t="s">
        <v>9369</v>
      </c>
      <c r="N293" s="32" t="s">
        <v>9370</v>
      </c>
      <c r="O293" s="32" t="s">
        <v>9371</v>
      </c>
    </row>
    <row x14ac:dyDescent="0.25" r="294" customHeight="1" ht="15.75">
      <c r="A294" s="8">
        <v>25723</v>
      </c>
      <c r="B294" s="13" t="s">
        <v>66</v>
      </c>
      <c r="C294" s="13" t="s">
        <v>9372</v>
      </c>
      <c r="D294" s="32" t="s">
        <v>2622</v>
      </c>
      <c r="E294" s="32" t="s">
        <v>9373</v>
      </c>
      <c r="F294" s="32" t="s">
        <v>2622</v>
      </c>
      <c r="G294" s="32" t="s">
        <v>9374</v>
      </c>
      <c r="H294" s="32" t="s">
        <v>9375</v>
      </c>
      <c r="I294" s="32" t="s">
        <v>9376</v>
      </c>
      <c r="J294" s="32" t="s">
        <v>8861</v>
      </c>
      <c r="K294" s="32" t="s">
        <v>7370</v>
      </c>
      <c r="L294" s="32" t="s">
        <v>2363</v>
      </c>
      <c r="M294" s="32" t="s">
        <v>9377</v>
      </c>
      <c r="N294" s="32" t="s">
        <v>9375</v>
      </c>
      <c r="O294" s="32" t="s">
        <v>9378</v>
      </c>
    </row>
    <row x14ac:dyDescent="0.25" r="295" customHeight="1" ht="15.75">
      <c r="A295" s="8">
        <v>25661</v>
      </c>
      <c r="B295" s="13" t="s">
        <v>66</v>
      </c>
      <c r="C295" s="13" t="s">
        <v>9379</v>
      </c>
      <c r="D295" s="32" t="s">
        <v>2660</v>
      </c>
      <c r="E295" s="32" t="s">
        <v>9380</v>
      </c>
      <c r="F295" s="32" t="s">
        <v>5543</v>
      </c>
      <c r="G295" s="32" t="s">
        <v>9381</v>
      </c>
      <c r="H295" s="32" t="s">
        <v>7213</v>
      </c>
      <c r="I295" s="32" t="s">
        <v>9382</v>
      </c>
      <c r="J295" s="32" t="s">
        <v>9383</v>
      </c>
      <c r="K295" s="32" t="s">
        <v>9384</v>
      </c>
      <c r="L295" s="32" t="s">
        <v>9385</v>
      </c>
      <c r="M295" s="32" t="s">
        <v>9386</v>
      </c>
      <c r="N295" s="32" t="s">
        <v>9387</v>
      </c>
      <c r="O295" s="32" t="s">
        <v>9388</v>
      </c>
    </row>
    <row x14ac:dyDescent="0.25" r="296" customHeight="1" ht="15.75">
      <c r="A296" s="8">
        <v>25724</v>
      </c>
      <c r="B296" s="13" t="s">
        <v>66</v>
      </c>
      <c r="C296" s="13" t="s">
        <v>9389</v>
      </c>
      <c r="D296" s="32" t="s">
        <v>4550</v>
      </c>
      <c r="E296" s="32" t="s">
        <v>9390</v>
      </c>
      <c r="F296" s="32" t="s">
        <v>34</v>
      </c>
      <c r="G296" s="32" t="s">
        <v>9391</v>
      </c>
      <c r="H296" s="32" t="s">
        <v>9392</v>
      </c>
      <c r="I296" s="32" t="s">
        <v>9393</v>
      </c>
      <c r="J296" s="32" t="s">
        <v>2521</v>
      </c>
      <c r="K296" s="32" t="s">
        <v>9394</v>
      </c>
      <c r="L296" s="32" t="s">
        <v>7204</v>
      </c>
      <c r="M296" s="32" t="s">
        <v>9395</v>
      </c>
      <c r="N296" s="32" t="s">
        <v>7204</v>
      </c>
      <c r="O296" s="32" t="s">
        <v>9396</v>
      </c>
    </row>
    <row x14ac:dyDescent="0.25" r="297" customHeight="1" ht="15.75">
      <c r="A297" s="8">
        <v>25725</v>
      </c>
      <c r="B297" s="13" t="s">
        <v>66</v>
      </c>
      <c r="C297" s="13" t="s">
        <v>9397</v>
      </c>
      <c r="D297" s="32" t="s">
        <v>2738</v>
      </c>
      <c r="E297" s="32" t="s">
        <v>9398</v>
      </c>
      <c r="F297" s="32" t="s">
        <v>2460</v>
      </c>
      <c r="G297" s="32" t="s">
        <v>9399</v>
      </c>
      <c r="H297" s="32" t="s">
        <v>2655</v>
      </c>
      <c r="I297" s="32" t="s">
        <v>9400</v>
      </c>
      <c r="J297" s="32" t="s">
        <v>2140</v>
      </c>
      <c r="K297" s="32" t="s">
        <v>9401</v>
      </c>
      <c r="L297" s="32" t="s">
        <v>2460</v>
      </c>
      <c r="M297" s="32" t="s">
        <v>9402</v>
      </c>
      <c r="N297" s="32" t="s">
        <v>5048</v>
      </c>
      <c r="O297" s="32" t="s">
        <v>9403</v>
      </c>
    </row>
    <row x14ac:dyDescent="0.25" r="298" customHeight="1" ht="15.75">
      <c r="A298" s="8">
        <v>25726</v>
      </c>
      <c r="B298" s="13" t="s">
        <v>66</v>
      </c>
      <c r="C298" s="13" t="s">
        <v>9404</v>
      </c>
      <c r="D298" s="32" t="s">
        <v>9405</v>
      </c>
      <c r="E298" s="32" t="s">
        <v>9406</v>
      </c>
      <c r="F298" s="32" t="s">
        <v>4956</v>
      </c>
      <c r="G298" s="32" t="s">
        <v>9407</v>
      </c>
      <c r="H298" s="32" t="s">
        <v>9408</v>
      </c>
      <c r="I298" s="32" t="s">
        <v>9409</v>
      </c>
      <c r="J298" s="32" t="s">
        <v>2269</v>
      </c>
      <c r="K298" s="32" t="s">
        <v>7472</v>
      </c>
      <c r="L298" s="32" t="s">
        <v>7109</v>
      </c>
      <c r="M298" s="32" t="s">
        <v>9410</v>
      </c>
      <c r="N298" s="32" t="s">
        <v>8312</v>
      </c>
      <c r="O298" s="32" t="s">
        <v>9411</v>
      </c>
    </row>
    <row x14ac:dyDescent="0.25" r="299" customHeight="1" ht="15.75">
      <c r="A299" s="8">
        <v>25727</v>
      </c>
      <c r="B299" s="13" t="s">
        <v>66</v>
      </c>
      <c r="C299" s="13" t="s">
        <v>9412</v>
      </c>
      <c r="D299" s="32" t="s">
        <v>9413</v>
      </c>
      <c r="E299" s="32" t="s">
        <v>9414</v>
      </c>
      <c r="F299" s="32" t="s">
        <v>74</v>
      </c>
      <c r="G299" s="32" t="s">
        <v>9415</v>
      </c>
      <c r="H299" s="32" t="s">
        <v>74</v>
      </c>
      <c r="I299" s="32" t="s">
        <v>9416</v>
      </c>
      <c r="J299" s="32" t="s">
        <v>74</v>
      </c>
      <c r="K299" s="32" t="s">
        <v>9417</v>
      </c>
      <c r="L299" s="32" t="s">
        <v>9418</v>
      </c>
      <c r="M299" s="32" t="s">
        <v>9419</v>
      </c>
      <c r="N299" s="32" t="s">
        <v>9420</v>
      </c>
      <c r="O299" s="32" t="s">
        <v>9421</v>
      </c>
    </row>
    <row x14ac:dyDescent="0.25" r="300" customHeight="1" ht="15.75">
      <c r="A300" s="8">
        <v>25728</v>
      </c>
      <c r="B300" s="13" t="s">
        <v>66</v>
      </c>
      <c r="C300" s="13" t="s">
        <v>9422</v>
      </c>
      <c r="D300" s="32" t="s">
        <v>4677</v>
      </c>
      <c r="E300" s="32" t="s">
        <v>9423</v>
      </c>
      <c r="F300" s="32" t="s">
        <v>4666</v>
      </c>
      <c r="G300" s="32" t="s">
        <v>9424</v>
      </c>
      <c r="H300" s="32" t="s">
        <v>122</v>
      </c>
      <c r="I300" s="32" t="s">
        <v>9229</v>
      </c>
      <c r="J300" s="32" t="s">
        <v>4677</v>
      </c>
      <c r="K300" s="32" t="s">
        <v>9425</v>
      </c>
      <c r="L300" s="32" t="s">
        <v>122</v>
      </c>
      <c r="M300" s="32" t="s">
        <v>7973</v>
      </c>
      <c r="N300" s="32" t="s">
        <v>2636</v>
      </c>
      <c r="O300" s="32" t="s">
        <v>9426</v>
      </c>
    </row>
    <row x14ac:dyDescent="0.25" r="301" customHeight="1" ht="15.75">
      <c r="A301" s="8">
        <v>25729</v>
      </c>
      <c r="B301" s="13" t="s">
        <v>66</v>
      </c>
      <c r="C301" s="13" t="s">
        <v>9427</v>
      </c>
      <c r="D301" s="32" t="s">
        <v>9428</v>
      </c>
      <c r="E301" s="32" t="s">
        <v>7127</v>
      </c>
      <c r="F301" s="32" t="s">
        <v>74</v>
      </c>
      <c r="G301" s="32" t="s">
        <v>9429</v>
      </c>
      <c r="H301" s="32" t="s">
        <v>9430</v>
      </c>
      <c r="I301" s="32" t="s">
        <v>9431</v>
      </c>
      <c r="J301" s="32" t="s">
        <v>9432</v>
      </c>
      <c r="K301" s="32" t="s">
        <v>9433</v>
      </c>
      <c r="L301" s="32" t="s">
        <v>9434</v>
      </c>
      <c r="M301" s="32" t="s">
        <v>7127</v>
      </c>
      <c r="N301" s="32" t="s">
        <v>9435</v>
      </c>
      <c r="O301" s="32" t="s">
        <v>7127</v>
      </c>
    </row>
    <row x14ac:dyDescent="0.25" r="302" customHeight="1" ht="15.75">
      <c r="A302" s="8">
        <v>25662</v>
      </c>
      <c r="B302" s="13" t="s">
        <v>66</v>
      </c>
      <c r="C302" s="13" t="s">
        <v>9436</v>
      </c>
      <c r="D302" s="32" t="s">
        <v>7525</v>
      </c>
      <c r="E302" s="32" t="s">
        <v>9437</v>
      </c>
      <c r="F302" s="32" t="s">
        <v>2447</v>
      </c>
      <c r="G302" s="32" t="s">
        <v>9438</v>
      </c>
      <c r="H302" s="32" t="s">
        <v>9439</v>
      </c>
      <c r="I302" s="32" t="s">
        <v>9440</v>
      </c>
      <c r="J302" s="32" t="s">
        <v>9441</v>
      </c>
      <c r="K302" s="32" t="s">
        <v>9442</v>
      </c>
      <c r="L302" s="32" t="s">
        <v>9443</v>
      </c>
      <c r="M302" s="32" t="s">
        <v>7127</v>
      </c>
      <c r="N302" s="32" t="s">
        <v>9444</v>
      </c>
      <c r="O302" s="32" t="s">
        <v>7127</v>
      </c>
    </row>
    <row x14ac:dyDescent="0.25" r="303" customHeight="1" ht="15.75">
      <c r="A303" s="8">
        <v>25730</v>
      </c>
      <c r="B303" s="13" t="s">
        <v>66</v>
      </c>
      <c r="C303" s="13" t="s">
        <v>9445</v>
      </c>
      <c r="D303" s="32" t="s">
        <v>6358</v>
      </c>
      <c r="E303" s="32" t="s">
        <v>9446</v>
      </c>
      <c r="F303" s="32" t="s">
        <v>9447</v>
      </c>
      <c r="G303" s="32" t="s">
        <v>9448</v>
      </c>
      <c r="H303" s="32" t="s">
        <v>5822</v>
      </c>
      <c r="I303" s="32" t="s">
        <v>9410</v>
      </c>
      <c r="J303" s="32" t="s">
        <v>9447</v>
      </c>
      <c r="K303" s="32" t="s">
        <v>7309</v>
      </c>
      <c r="L303" s="32" t="s">
        <v>2264</v>
      </c>
      <c r="M303" s="32" t="s">
        <v>9449</v>
      </c>
      <c r="N303" s="32" t="s">
        <v>2660</v>
      </c>
      <c r="O303" s="32" t="s">
        <v>9450</v>
      </c>
    </row>
    <row x14ac:dyDescent="0.25" r="304" customHeight="1" ht="15.75">
      <c r="A304" s="8">
        <v>25731</v>
      </c>
      <c r="B304" s="13" t="s">
        <v>66</v>
      </c>
      <c r="C304" s="13" t="s">
        <v>9451</v>
      </c>
      <c r="D304" s="32" t="s">
        <v>6362</v>
      </c>
      <c r="E304" s="32" t="s">
        <v>9350</v>
      </c>
      <c r="F304" s="32" t="s">
        <v>6362</v>
      </c>
      <c r="G304" s="32" t="s">
        <v>9452</v>
      </c>
      <c r="H304" s="32" t="s">
        <v>9453</v>
      </c>
      <c r="I304" s="32" t="s">
        <v>9454</v>
      </c>
      <c r="J304" s="32" t="s">
        <v>5785</v>
      </c>
      <c r="K304" s="32" t="s">
        <v>9455</v>
      </c>
      <c r="L304" s="32" t="s">
        <v>1507</v>
      </c>
      <c r="M304" s="32" t="s">
        <v>9456</v>
      </c>
      <c r="N304" s="32" t="s">
        <v>1507</v>
      </c>
      <c r="O304" s="32" t="s">
        <v>9457</v>
      </c>
    </row>
    <row x14ac:dyDescent="0.25" r="305" customHeight="1" ht="15.75">
      <c r="A305" s="8">
        <v>25732</v>
      </c>
      <c r="B305" s="13" t="s">
        <v>66</v>
      </c>
      <c r="C305" s="13" t="s">
        <v>9458</v>
      </c>
      <c r="D305" s="32" t="s">
        <v>9459</v>
      </c>
      <c r="E305" s="32" t="s">
        <v>9460</v>
      </c>
      <c r="F305" s="32" t="s">
        <v>5615</v>
      </c>
      <c r="G305" s="32" t="s">
        <v>9461</v>
      </c>
      <c r="H305" s="32" t="s">
        <v>9462</v>
      </c>
      <c r="I305" s="32" t="s">
        <v>9463</v>
      </c>
      <c r="J305" s="32" t="s">
        <v>2705</v>
      </c>
      <c r="K305" s="32" t="s">
        <v>9464</v>
      </c>
      <c r="L305" s="32" t="s">
        <v>6346</v>
      </c>
      <c r="M305" s="32" t="s">
        <v>9465</v>
      </c>
      <c r="N305" s="32" t="s">
        <v>4371</v>
      </c>
      <c r="O305" s="32" t="s">
        <v>8851</v>
      </c>
    </row>
    <row x14ac:dyDescent="0.25" r="306" customHeight="1" ht="15.75">
      <c r="A306" s="8">
        <v>25663</v>
      </c>
      <c r="B306" s="13" t="s">
        <v>66</v>
      </c>
      <c r="C306" s="13" t="s">
        <v>9466</v>
      </c>
      <c r="D306" s="32" t="s">
        <v>4593</v>
      </c>
      <c r="E306" s="32" t="s">
        <v>9467</v>
      </c>
      <c r="F306" s="32" t="s">
        <v>5877</v>
      </c>
      <c r="G306" s="32" t="s">
        <v>9468</v>
      </c>
      <c r="H306" s="32" t="s">
        <v>9375</v>
      </c>
      <c r="I306" s="32" t="s">
        <v>8738</v>
      </c>
      <c r="J306" s="32" t="s">
        <v>4961</v>
      </c>
      <c r="K306" s="32" t="s">
        <v>7201</v>
      </c>
      <c r="L306" s="32" t="s">
        <v>9469</v>
      </c>
      <c r="M306" s="32" t="s">
        <v>9470</v>
      </c>
      <c r="N306" s="32" t="s">
        <v>2363</v>
      </c>
      <c r="O306" s="32" t="s">
        <v>9471</v>
      </c>
    </row>
    <row x14ac:dyDescent="0.25" r="307" customHeight="1" ht="15.75">
      <c r="A307" s="8">
        <v>25664</v>
      </c>
      <c r="B307" s="13" t="s">
        <v>66</v>
      </c>
      <c r="C307" s="13" t="s">
        <v>9472</v>
      </c>
      <c r="D307" s="32" t="s">
        <v>74</v>
      </c>
      <c r="E307" s="32" t="s">
        <v>9473</v>
      </c>
      <c r="F307" s="32" t="s">
        <v>9474</v>
      </c>
      <c r="G307" s="32" t="s">
        <v>9475</v>
      </c>
      <c r="H307" s="32" t="s">
        <v>9474</v>
      </c>
      <c r="I307" s="32" t="s">
        <v>9476</v>
      </c>
      <c r="J307" s="32" t="s">
        <v>447</v>
      </c>
      <c r="K307" s="32" t="s">
        <v>8681</v>
      </c>
      <c r="L307" s="32" t="s">
        <v>9477</v>
      </c>
      <c r="M307" s="32" t="s">
        <v>9478</v>
      </c>
      <c r="N307" s="32" t="s">
        <v>1735</v>
      </c>
      <c r="O307" s="32" t="s">
        <v>9377</v>
      </c>
    </row>
    <row x14ac:dyDescent="0.25" r="308" customHeight="1" ht="15.75">
      <c r="A308" s="8">
        <v>25733</v>
      </c>
      <c r="B308" s="13" t="s">
        <v>66</v>
      </c>
      <c r="C308" s="13" t="s">
        <v>9479</v>
      </c>
      <c r="D308" s="32" t="s">
        <v>9480</v>
      </c>
      <c r="E308" s="32" t="s">
        <v>9481</v>
      </c>
      <c r="F308" s="32" t="s">
        <v>87</v>
      </c>
      <c r="G308" s="32" t="s">
        <v>7973</v>
      </c>
      <c r="H308" s="32" t="s">
        <v>2462</v>
      </c>
      <c r="I308" s="32" t="s">
        <v>9482</v>
      </c>
      <c r="J308" s="32" t="s">
        <v>5047</v>
      </c>
      <c r="K308" s="32" t="s">
        <v>9483</v>
      </c>
      <c r="L308" s="32" t="s">
        <v>5984</v>
      </c>
      <c r="M308" s="32" t="s">
        <v>9484</v>
      </c>
      <c r="N308" s="32" t="s">
        <v>4884</v>
      </c>
      <c r="O308" s="32" t="s">
        <v>9485</v>
      </c>
    </row>
    <row x14ac:dyDescent="0.25" r="309" customHeight="1" ht="15.75">
      <c r="A309" s="8">
        <v>25734</v>
      </c>
      <c r="B309" s="13" t="s">
        <v>66</v>
      </c>
      <c r="C309" s="13" t="s">
        <v>9486</v>
      </c>
      <c r="D309" s="32" t="s">
        <v>6425</v>
      </c>
      <c r="E309" s="32" t="s">
        <v>9487</v>
      </c>
      <c r="F309" s="32" t="s">
        <v>9488</v>
      </c>
      <c r="G309" s="32" t="s">
        <v>9489</v>
      </c>
      <c r="H309" s="32" t="s">
        <v>6742</v>
      </c>
      <c r="I309" s="32" t="s">
        <v>9490</v>
      </c>
      <c r="J309" s="32" t="s">
        <v>4536</v>
      </c>
      <c r="K309" s="32" t="s">
        <v>9491</v>
      </c>
      <c r="L309" s="32" t="s">
        <v>1348</v>
      </c>
      <c r="M309" s="32" t="s">
        <v>9492</v>
      </c>
      <c r="N309" s="32" t="s">
        <v>9493</v>
      </c>
      <c r="O309" s="32" t="s">
        <v>9494</v>
      </c>
    </row>
    <row x14ac:dyDescent="0.25" r="310" customHeight="1" ht="15.75">
      <c r="A310" s="8">
        <v>25735</v>
      </c>
      <c r="B310" s="13" t="s">
        <v>66</v>
      </c>
      <c r="C310" s="13" t="s">
        <v>9495</v>
      </c>
      <c r="D310" s="32" t="s">
        <v>2650</v>
      </c>
      <c r="E310" s="32" t="s">
        <v>9496</v>
      </c>
      <c r="F310" s="32" t="s">
        <v>57</v>
      </c>
      <c r="G310" s="32" t="s">
        <v>9497</v>
      </c>
      <c r="H310" s="32" t="s">
        <v>2088</v>
      </c>
      <c r="I310" s="32" t="s">
        <v>9498</v>
      </c>
      <c r="J310" s="32" t="s">
        <v>88</v>
      </c>
      <c r="K310" s="32" t="s">
        <v>9499</v>
      </c>
      <c r="L310" s="32" t="s">
        <v>2088</v>
      </c>
      <c r="M310" s="32" t="s">
        <v>9500</v>
      </c>
      <c r="N310" s="32" t="s">
        <v>57</v>
      </c>
      <c r="O310" s="32" t="s">
        <v>9501</v>
      </c>
    </row>
    <row x14ac:dyDescent="0.25" r="311" customHeight="1" ht="15.75">
      <c r="A311" s="8">
        <v>25665</v>
      </c>
      <c r="B311" s="13" t="s">
        <v>66</v>
      </c>
      <c r="C311" s="13" t="s">
        <v>9502</v>
      </c>
      <c r="D311" s="32" t="s">
        <v>9503</v>
      </c>
      <c r="E311" s="32" t="s">
        <v>9504</v>
      </c>
      <c r="F311" s="32" t="s">
        <v>6418</v>
      </c>
      <c r="G311" s="32" t="s">
        <v>9505</v>
      </c>
      <c r="H311" s="32" t="s">
        <v>1799</v>
      </c>
      <c r="I311" s="32" t="s">
        <v>9506</v>
      </c>
      <c r="J311" s="32" t="s">
        <v>2037</v>
      </c>
      <c r="K311" s="32" t="s">
        <v>9507</v>
      </c>
      <c r="L311" s="32" t="s">
        <v>194</v>
      </c>
      <c r="M311" s="32" t="s">
        <v>8429</v>
      </c>
      <c r="N311" s="32" t="s">
        <v>1647</v>
      </c>
      <c r="O311" s="32" t="s">
        <v>9508</v>
      </c>
    </row>
    <row x14ac:dyDescent="0.25" r="312" customHeight="1" ht="15.75">
      <c r="A312" s="8">
        <v>25666</v>
      </c>
      <c r="B312" s="13" t="s">
        <v>66</v>
      </c>
      <c r="C312" s="13" t="s">
        <v>9509</v>
      </c>
      <c r="D312" s="32" t="s">
        <v>4101</v>
      </c>
      <c r="E312" s="32" t="s">
        <v>9510</v>
      </c>
      <c r="F312" s="32" t="s">
        <v>6103</v>
      </c>
      <c r="G312" s="32" t="s">
        <v>9511</v>
      </c>
      <c r="H312" s="32" t="s">
        <v>5531</v>
      </c>
      <c r="I312" s="32" t="s">
        <v>9512</v>
      </c>
      <c r="J312" s="32" t="s">
        <v>2140</v>
      </c>
      <c r="K312" s="32" t="s">
        <v>9513</v>
      </c>
      <c r="L312" s="32" t="s">
        <v>7470</v>
      </c>
      <c r="M312" s="32" t="s">
        <v>9514</v>
      </c>
      <c r="N312" s="32" t="s">
        <v>9515</v>
      </c>
      <c r="O312" s="32" t="s">
        <v>9516</v>
      </c>
    </row>
    <row x14ac:dyDescent="0.25" r="313" customHeight="1" ht="15.75">
      <c r="A313" s="8">
        <v>25736</v>
      </c>
      <c r="B313" s="13" t="s">
        <v>66</v>
      </c>
      <c r="C313" s="13" t="s">
        <v>9517</v>
      </c>
      <c r="D313" s="32" t="s">
        <v>5497</v>
      </c>
      <c r="E313" s="32" t="s">
        <v>9518</v>
      </c>
      <c r="F313" s="32" t="s">
        <v>2539</v>
      </c>
      <c r="G313" s="32" t="s">
        <v>9519</v>
      </c>
      <c r="H313" s="32" t="s">
        <v>9520</v>
      </c>
      <c r="I313" s="32" t="s">
        <v>9521</v>
      </c>
      <c r="J313" s="32" t="s">
        <v>7947</v>
      </c>
      <c r="K313" s="32" t="s">
        <v>9522</v>
      </c>
      <c r="L313" s="32" t="s">
        <v>9523</v>
      </c>
      <c r="M313" s="32" t="s">
        <v>9524</v>
      </c>
      <c r="N313" s="32" t="s">
        <v>29</v>
      </c>
      <c r="O313" s="32" t="s">
        <v>7127</v>
      </c>
    </row>
    <row x14ac:dyDescent="0.25" r="314" customHeight="1" ht="15.75">
      <c r="A314" s="8">
        <v>25742</v>
      </c>
      <c r="B314" s="13" t="s">
        <v>66</v>
      </c>
      <c r="C314" s="13" t="s">
        <v>9525</v>
      </c>
      <c r="D314" s="32" t="s">
        <v>9526</v>
      </c>
      <c r="E314" s="32" t="s">
        <v>9527</v>
      </c>
      <c r="F314" s="32" t="s">
        <v>9528</v>
      </c>
      <c r="G314" s="32" t="s">
        <v>9529</v>
      </c>
      <c r="H314" s="32" t="s">
        <v>9530</v>
      </c>
      <c r="I314" s="32" t="s">
        <v>9531</v>
      </c>
      <c r="J314" s="32" t="s">
        <v>5453</v>
      </c>
      <c r="K314" s="32" t="s">
        <v>9532</v>
      </c>
      <c r="L314" s="32" t="s">
        <v>9533</v>
      </c>
      <c r="M314" s="32" t="s">
        <v>9534</v>
      </c>
      <c r="N314" s="32" t="s">
        <v>128</v>
      </c>
      <c r="O314" s="32" t="s">
        <v>8073</v>
      </c>
    </row>
    <row x14ac:dyDescent="0.25" r="315" customHeight="1" ht="15.75">
      <c r="A315" s="8">
        <v>25437</v>
      </c>
      <c r="B315" s="13" t="s">
        <v>69</v>
      </c>
      <c r="C315" s="13" t="s">
        <v>4921</v>
      </c>
      <c r="D315" s="32" t="s">
        <v>4922</v>
      </c>
      <c r="E315" s="32" t="s">
        <v>9535</v>
      </c>
      <c r="F315" s="32" t="s">
        <v>5272</v>
      </c>
      <c r="G315" s="32" t="s">
        <v>9536</v>
      </c>
      <c r="H315" s="32" t="s">
        <v>8892</v>
      </c>
      <c r="I315" s="32" t="s">
        <v>7127</v>
      </c>
      <c r="J315" s="32" t="s">
        <v>4924</v>
      </c>
      <c r="K315" s="32" t="s">
        <v>9537</v>
      </c>
      <c r="L315" s="32" t="s">
        <v>9538</v>
      </c>
      <c r="M315" s="32" t="s">
        <v>9539</v>
      </c>
      <c r="N315" s="32" t="s">
        <v>8892</v>
      </c>
      <c r="O315" s="32" t="s">
        <v>9540</v>
      </c>
    </row>
    <row x14ac:dyDescent="0.25" r="316" customHeight="1" ht="15.75">
      <c r="A316" s="8">
        <v>25438</v>
      </c>
      <c r="B316" s="13" t="s">
        <v>69</v>
      </c>
      <c r="C316" s="13" t="s">
        <v>4926</v>
      </c>
      <c r="D316" s="32" t="s">
        <v>4884</v>
      </c>
      <c r="E316" s="32" t="s">
        <v>9128</v>
      </c>
      <c r="F316" s="32" t="s">
        <v>5984</v>
      </c>
      <c r="G316" s="32" t="s">
        <v>9541</v>
      </c>
      <c r="H316" s="32" t="s">
        <v>34</v>
      </c>
      <c r="I316" s="32" t="s">
        <v>9542</v>
      </c>
      <c r="J316" s="32" t="s">
        <v>4180</v>
      </c>
      <c r="K316" s="32" t="s">
        <v>9543</v>
      </c>
      <c r="L316" s="32" t="s">
        <v>6230</v>
      </c>
      <c r="M316" s="32" t="s">
        <v>9544</v>
      </c>
      <c r="N316" s="32" t="s">
        <v>9545</v>
      </c>
      <c r="O316" s="32" t="s">
        <v>9546</v>
      </c>
    </row>
    <row x14ac:dyDescent="0.25" r="317" customHeight="1" ht="15.75">
      <c r="A317" s="8">
        <v>25439</v>
      </c>
      <c r="B317" s="13" t="s">
        <v>69</v>
      </c>
      <c r="C317" s="13" t="s">
        <v>4927</v>
      </c>
      <c r="D317" s="32" t="s">
        <v>2462</v>
      </c>
      <c r="E317" s="32" t="s">
        <v>7846</v>
      </c>
      <c r="F317" s="32" t="s">
        <v>9545</v>
      </c>
      <c r="G317" s="32" t="s">
        <v>9547</v>
      </c>
      <c r="H317" s="32" t="s">
        <v>1345</v>
      </c>
      <c r="I317" s="32" t="s">
        <v>9548</v>
      </c>
      <c r="J317" s="32" t="s">
        <v>2504</v>
      </c>
      <c r="K317" s="32" t="s">
        <v>9549</v>
      </c>
      <c r="L317" s="32" t="s">
        <v>1345</v>
      </c>
      <c r="M317" s="32" t="s">
        <v>9550</v>
      </c>
      <c r="N317" s="32" t="s">
        <v>132</v>
      </c>
      <c r="O317" s="32" t="s">
        <v>9551</v>
      </c>
    </row>
    <row x14ac:dyDescent="0.25" r="318" customHeight="1" ht="15.75">
      <c r="A318" s="8">
        <v>25440</v>
      </c>
      <c r="B318" s="13" t="s">
        <v>69</v>
      </c>
      <c r="C318" s="13" t="s">
        <v>4928</v>
      </c>
      <c r="D318" s="32" t="s">
        <v>4929</v>
      </c>
      <c r="E318" s="32" t="s">
        <v>9552</v>
      </c>
      <c r="F318" s="32" t="s">
        <v>9553</v>
      </c>
      <c r="G318" s="32" t="s">
        <v>9554</v>
      </c>
      <c r="H318" s="32" t="s">
        <v>5441</v>
      </c>
      <c r="I318" s="32" t="s">
        <v>9555</v>
      </c>
      <c r="J318" s="32" t="s">
        <v>4930</v>
      </c>
      <c r="K318" s="32" t="s">
        <v>9556</v>
      </c>
      <c r="L318" s="32" t="s">
        <v>9553</v>
      </c>
      <c r="M318" s="32" t="s">
        <v>7355</v>
      </c>
      <c r="N318" s="32" t="s">
        <v>9557</v>
      </c>
      <c r="O318" s="32" t="s">
        <v>9558</v>
      </c>
    </row>
    <row x14ac:dyDescent="0.25" r="319" customHeight="1" ht="15.75">
      <c r="A319" s="8">
        <v>25441</v>
      </c>
      <c r="B319" s="13" t="s">
        <v>69</v>
      </c>
      <c r="C319" s="13" t="s">
        <v>4932</v>
      </c>
      <c r="D319" s="32" t="s">
        <v>4933</v>
      </c>
      <c r="E319" s="32" t="s">
        <v>9559</v>
      </c>
      <c r="F319" s="32" t="s">
        <v>5485</v>
      </c>
      <c r="G319" s="32" t="s">
        <v>9560</v>
      </c>
      <c r="H319" s="32" t="s">
        <v>9561</v>
      </c>
      <c r="I319" s="32" t="s">
        <v>9562</v>
      </c>
      <c r="J319" s="32" t="s">
        <v>2655</v>
      </c>
      <c r="K319" s="32" t="s">
        <v>9563</v>
      </c>
      <c r="L319" s="32" t="s">
        <v>9564</v>
      </c>
      <c r="M319" s="32" t="s">
        <v>9565</v>
      </c>
      <c r="N319" s="32" t="s">
        <v>2581</v>
      </c>
      <c r="O319" s="32" t="s">
        <v>9566</v>
      </c>
    </row>
    <row x14ac:dyDescent="0.25" r="320" customHeight="1" ht="15.75">
      <c r="A320" s="8">
        <v>25442</v>
      </c>
      <c r="B320" s="13" t="s">
        <v>69</v>
      </c>
      <c r="C320" s="13" t="s">
        <v>4934</v>
      </c>
      <c r="D320" s="32" t="s">
        <v>4935</v>
      </c>
      <c r="E320" s="32" t="s">
        <v>9567</v>
      </c>
      <c r="F320" s="32" t="s">
        <v>4874</v>
      </c>
      <c r="G320" s="32" t="s">
        <v>9568</v>
      </c>
      <c r="H320" s="32" t="s">
        <v>9569</v>
      </c>
      <c r="I320" s="32" t="s">
        <v>9570</v>
      </c>
      <c r="J320" s="32" t="s">
        <v>4937</v>
      </c>
      <c r="K320" s="32" t="s">
        <v>9571</v>
      </c>
      <c r="L320" s="32" t="s">
        <v>2252</v>
      </c>
      <c r="M320" s="32" t="s">
        <v>9572</v>
      </c>
      <c r="N320" s="32" t="s">
        <v>34</v>
      </c>
      <c r="O320" s="32" t="s">
        <v>9573</v>
      </c>
    </row>
    <row x14ac:dyDescent="0.25" r="321" customHeight="1" ht="15.75">
      <c r="A321" s="8">
        <v>25443</v>
      </c>
      <c r="B321" s="13" t="s">
        <v>69</v>
      </c>
      <c r="C321" s="13" t="s">
        <v>4938</v>
      </c>
      <c r="D321" s="32" t="s">
        <v>4939</v>
      </c>
      <c r="E321" s="32" t="s">
        <v>7127</v>
      </c>
      <c r="F321" s="32" t="s">
        <v>9574</v>
      </c>
      <c r="G321" s="32" t="s">
        <v>9575</v>
      </c>
      <c r="H321" s="32" t="s">
        <v>9576</v>
      </c>
      <c r="I321" s="32" t="s">
        <v>9577</v>
      </c>
      <c r="J321" s="32" t="s">
        <v>4941</v>
      </c>
      <c r="K321" s="32" t="s">
        <v>9578</v>
      </c>
      <c r="L321" s="32" t="s">
        <v>8479</v>
      </c>
      <c r="M321" s="32" t="s">
        <v>9579</v>
      </c>
      <c r="N321" s="32" t="s">
        <v>7160</v>
      </c>
      <c r="O321" s="32" t="s">
        <v>9580</v>
      </c>
    </row>
    <row x14ac:dyDescent="0.25" r="322" customHeight="1" ht="15.75">
      <c r="A322" s="8">
        <v>25444</v>
      </c>
      <c r="B322" s="13" t="s">
        <v>69</v>
      </c>
      <c r="C322" s="13" t="s">
        <v>4942</v>
      </c>
      <c r="D322" s="32" t="s">
        <v>4943</v>
      </c>
      <c r="E322" s="32" t="s">
        <v>9581</v>
      </c>
      <c r="F322" s="32" t="s">
        <v>9582</v>
      </c>
      <c r="G322" s="32" t="s">
        <v>9583</v>
      </c>
      <c r="H322" s="32" t="s">
        <v>9584</v>
      </c>
      <c r="I322" s="32" t="s">
        <v>9585</v>
      </c>
      <c r="J322" s="32" t="s">
        <v>4945</v>
      </c>
      <c r="K322" s="32" t="s">
        <v>9586</v>
      </c>
      <c r="L322" s="32" t="s">
        <v>9109</v>
      </c>
      <c r="M322" s="32" t="s">
        <v>9587</v>
      </c>
      <c r="N322" s="32" t="s">
        <v>953</v>
      </c>
      <c r="O322" s="32" t="s">
        <v>9588</v>
      </c>
    </row>
    <row x14ac:dyDescent="0.25" r="323" customHeight="1" ht="15.75">
      <c r="A323" s="8">
        <v>25445</v>
      </c>
      <c r="B323" s="13" t="s">
        <v>69</v>
      </c>
      <c r="C323" s="13" t="s">
        <v>4947</v>
      </c>
      <c r="D323" s="32" t="s">
        <v>4948</v>
      </c>
      <c r="E323" s="32" t="s">
        <v>9589</v>
      </c>
      <c r="F323" s="32" t="s">
        <v>9590</v>
      </c>
      <c r="G323" s="32" t="s">
        <v>9591</v>
      </c>
      <c r="H323" s="32" t="s">
        <v>1980</v>
      </c>
      <c r="I323" s="32" t="s">
        <v>9592</v>
      </c>
      <c r="J323" s="32" t="s">
        <v>4949</v>
      </c>
      <c r="K323" s="32" t="s">
        <v>9593</v>
      </c>
      <c r="L323" s="32" t="s">
        <v>1999</v>
      </c>
      <c r="M323" s="32" t="s">
        <v>9594</v>
      </c>
      <c r="N323" s="32" t="s">
        <v>1735</v>
      </c>
      <c r="O323" s="32" t="s">
        <v>9595</v>
      </c>
    </row>
    <row x14ac:dyDescent="0.25" r="324" customHeight="1" ht="15.75">
      <c r="A324" s="8">
        <v>25446</v>
      </c>
      <c r="B324" s="13" t="s">
        <v>69</v>
      </c>
      <c r="C324" s="13" t="s">
        <v>4951</v>
      </c>
      <c r="D324" s="32" t="s">
        <v>4952</v>
      </c>
      <c r="E324" s="32" t="s">
        <v>9596</v>
      </c>
      <c r="F324" s="32" t="s">
        <v>9597</v>
      </c>
      <c r="G324" s="32" t="s">
        <v>9598</v>
      </c>
      <c r="H324" s="32" t="s">
        <v>9599</v>
      </c>
      <c r="I324" s="32" t="s">
        <v>9600</v>
      </c>
      <c r="J324" s="32" t="s">
        <v>4954</v>
      </c>
      <c r="K324" s="32" t="s">
        <v>9601</v>
      </c>
      <c r="L324" s="32" t="s">
        <v>7448</v>
      </c>
      <c r="M324" s="32" t="s">
        <v>9602</v>
      </c>
      <c r="N324" s="32" t="s">
        <v>9603</v>
      </c>
      <c r="O324" s="32" t="s">
        <v>9604</v>
      </c>
    </row>
    <row x14ac:dyDescent="0.25" r="325" customHeight="1" ht="15.75">
      <c r="A325" s="8">
        <v>25447</v>
      </c>
      <c r="B325" s="13" t="s">
        <v>69</v>
      </c>
      <c r="C325" s="13" t="s">
        <v>4955</v>
      </c>
      <c r="D325" s="32" t="s">
        <v>4956</v>
      </c>
      <c r="E325" s="32" t="s">
        <v>9605</v>
      </c>
      <c r="F325" s="32" t="s">
        <v>6515</v>
      </c>
      <c r="G325" s="32" t="s">
        <v>9606</v>
      </c>
      <c r="H325" s="32" t="s">
        <v>6616</v>
      </c>
      <c r="I325" s="32" t="s">
        <v>9607</v>
      </c>
      <c r="J325" s="32" t="s">
        <v>4958</v>
      </c>
      <c r="K325" s="32" t="s">
        <v>9608</v>
      </c>
      <c r="L325" s="32" t="s">
        <v>6466</v>
      </c>
      <c r="M325" s="32" t="s">
        <v>9609</v>
      </c>
      <c r="N325" s="32" t="s">
        <v>9610</v>
      </c>
      <c r="O325" s="32" t="s">
        <v>9611</v>
      </c>
    </row>
    <row x14ac:dyDescent="0.25" r="326" customHeight="1" ht="15.75">
      <c r="A326" s="8">
        <v>25448</v>
      </c>
      <c r="B326" s="13" t="s">
        <v>69</v>
      </c>
      <c r="C326" s="13" t="s">
        <v>4959</v>
      </c>
      <c r="D326" s="32" t="s">
        <v>4960</v>
      </c>
      <c r="E326" s="32" t="s">
        <v>9612</v>
      </c>
      <c r="F326" s="32" t="s">
        <v>1895</v>
      </c>
      <c r="G326" s="32" t="s">
        <v>9613</v>
      </c>
      <c r="H326" s="32" t="s">
        <v>4960</v>
      </c>
      <c r="I326" s="32" t="s">
        <v>9614</v>
      </c>
      <c r="J326" s="32" t="s">
        <v>4961</v>
      </c>
      <c r="K326" s="32" t="s">
        <v>9615</v>
      </c>
      <c r="L326" s="32" t="s">
        <v>81</v>
      </c>
      <c r="M326" s="32" t="s">
        <v>9616</v>
      </c>
      <c r="N326" s="32" t="s">
        <v>696</v>
      </c>
      <c r="O326" s="32" t="s">
        <v>8507</v>
      </c>
    </row>
    <row x14ac:dyDescent="0.25" r="327" customHeight="1" ht="15.75">
      <c r="A327" s="8">
        <v>25449</v>
      </c>
      <c r="B327" s="13" t="s">
        <v>69</v>
      </c>
      <c r="C327" s="13" t="s">
        <v>4963</v>
      </c>
      <c r="D327" s="32" t="s">
        <v>4964</v>
      </c>
      <c r="E327" s="32" t="s">
        <v>9617</v>
      </c>
      <c r="F327" s="32" t="s">
        <v>9618</v>
      </c>
      <c r="G327" s="32" t="s">
        <v>9619</v>
      </c>
      <c r="H327" s="32" t="s">
        <v>2556</v>
      </c>
      <c r="I327" s="32" t="s">
        <v>9620</v>
      </c>
      <c r="J327" s="32" t="s">
        <v>4966</v>
      </c>
      <c r="K327" s="32" t="s">
        <v>9621</v>
      </c>
      <c r="L327" s="32" t="s">
        <v>9622</v>
      </c>
      <c r="M327" s="32" t="s">
        <v>9623</v>
      </c>
      <c r="N327" s="32" t="s">
        <v>8170</v>
      </c>
      <c r="O327" s="32" t="s">
        <v>9624</v>
      </c>
    </row>
    <row x14ac:dyDescent="0.25" r="328" customHeight="1" ht="15.75">
      <c r="A328" s="8">
        <v>25450</v>
      </c>
      <c r="B328" s="13" t="s">
        <v>69</v>
      </c>
      <c r="C328" s="13" t="s">
        <v>4968</v>
      </c>
      <c r="D328" s="32" t="s">
        <v>2000</v>
      </c>
      <c r="E328" s="32" t="s">
        <v>9625</v>
      </c>
      <c r="F328" s="32" t="s">
        <v>5851</v>
      </c>
      <c r="G328" s="32" t="s">
        <v>9626</v>
      </c>
      <c r="H328" s="32" t="s">
        <v>7076</v>
      </c>
      <c r="I328" s="32" t="s">
        <v>9627</v>
      </c>
      <c r="J328" s="32" t="s">
        <v>4969</v>
      </c>
      <c r="K328" s="32" t="s">
        <v>9628</v>
      </c>
      <c r="L328" s="32" t="s">
        <v>5321</v>
      </c>
      <c r="M328" s="32" t="s">
        <v>9629</v>
      </c>
      <c r="N328" s="32" t="s">
        <v>9630</v>
      </c>
      <c r="O328" s="32" t="s">
        <v>9631</v>
      </c>
    </row>
    <row x14ac:dyDescent="0.25" r="329" customHeight="1" ht="15.75">
      <c r="A329" s="8">
        <v>25451</v>
      </c>
      <c r="B329" s="13" t="s">
        <v>69</v>
      </c>
      <c r="C329" s="13" t="s">
        <v>4971</v>
      </c>
      <c r="D329" s="32" t="s">
        <v>4972</v>
      </c>
      <c r="E329" s="32" t="s">
        <v>9632</v>
      </c>
      <c r="F329" s="32" t="s">
        <v>9633</v>
      </c>
      <c r="G329" s="32" t="s">
        <v>9634</v>
      </c>
      <c r="H329" s="32" t="s">
        <v>9635</v>
      </c>
      <c r="I329" s="32" t="s">
        <v>9636</v>
      </c>
      <c r="J329" s="32" t="s">
        <v>4973</v>
      </c>
      <c r="K329" s="32" t="s">
        <v>9637</v>
      </c>
      <c r="L329" s="32" t="s">
        <v>9638</v>
      </c>
      <c r="M329" s="32" t="s">
        <v>9639</v>
      </c>
      <c r="N329" s="32" t="s">
        <v>9640</v>
      </c>
      <c r="O329" s="32" t="s">
        <v>9641</v>
      </c>
    </row>
    <row x14ac:dyDescent="0.25" r="330" customHeight="1" ht="15.75">
      <c r="A330" s="8">
        <v>25452</v>
      </c>
      <c r="B330" s="13" t="s">
        <v>69</v>
      </c>
      <c r="C330" s="13" t="s">
        <v>4974</v>
      </c>
      <c r="D330" s="32" t="s">
        <v>1561</v>
      </c>
      <c r="E330" s="32" t="s">
        <v>9642</v>
      </c>
      <c r="F330" s="32" t="s">
        <v>1561</v>
      </c>
      <c r="G330" s="32" t="s">
        <v>9643</v>
      </c>
      <c r="H330" s="32" t="s">
        <v>498</v>
      </c>
      <c r="I330" s="32" t="s">
        <v>9644</v>
      </c>
      <c r="J330" s="32" t="s">
        <v>4975</v>
      </c>
      <c r="K330" s="32" t="s">
        <v>7426</v>
      </c>
      <c r="L330" s="32" t="s">
        <v>43</v>
      </c>
      <c r="M330" s="32" t="s">
        <v>9645</v>
      </c>
      <c r="N330" s="32" t="s">
        <v>1151</v>
      </c>
      <c r="O330" s="32" t="s">
        <v>9646</v>
      </c>
    </row>
    <row x14ac:dyDescent="0.25" r="331" customHeight="1" ht="15.75">
      <c r="A331" s="8">
        <v>25453</v>
      </c>
      <c r="B331" s="13" t="s">
        <v>69</v>
      </c>
      <c r="C331" s="13" t="s">
        <v>4976</v>
      </c>
      <c r="D331" s="32" t="s">
        <v>4977</v>
      </c>
      <c r="E331" s="32" t="s">
        <v>9647</v>
      </c>
      <c r="F331" s="32" t="s">
        <v>9648</v>
      </c>
      <c r="G331" s="32" t="s">
        <v>9649</v>
      </c>
      <c r="H331" s="32" t="s">
        <v>8222</v>
      </c>
      <c r="I331" s="32" t="s">
        <v>9650</v>
      </c>
      <c r="J331" s="32" t="s">
        <v>4978</v>
      </c>
      <c r="K331" s="32" t="s">
        <v>9651</v>
      </c>
      <c r="L331" s="32" t="s">
        <v>9652</v>
      </c>
      <c r="M331" s="32" t="s">
        <v>9653</v>
      </c>
      <c r="N331" s="32" t="s">
        <v>9654</v>
      </c>
      <c r="O331" s="32" t="s">
        <v>9655</v>
      </c>
    </row>
    <row x14ac:dyDescent="0.25" r="332" customHeight="1" ht="15.75">
      <c r="A332" s="8">
        <v>25454</v>
      </c>
      <c r="B332" s="13" t="s">
        <v>69</v>
      </c>
      <c r="C332" s="13" t="s">
        <v>4979</v>
      </c>
      <c r="D332" s="32" t="s">
        <v>4980</v>
      </c>
      <c r="E332" s="32" t="s">
        <v>9656</v>
      </c>
      <c r="F332" s="32" t="s">
        <v>9282</v>
      </c>
      <c r="G332" s="32" t="s">
        <v>9657</v>
      </c>
      <c r="H332" s="32" t="s">
        <v>9658</v>
      </c>
      <c r="I332" s="32" t="s">
        <v>9659</v>
      </c>
      <c r="J332" s="32" t="s">
        <v>2611</v>
      </c>
      <c r="K332" s="32" t="s">
        <v>9660</v>
      </c>
      <c r="L332" s="32" t="s">
        <v>4656</v>
      </c>
      <c r="M332" s="32" t="s">
        <v>7127</v>
      </c>
      <c r="N332" s="32" t="s">
        <v>9661</v>
      </c>
      <c r="O332" s="32" t="s">
        <v>9662</v>
      </c>
    </row>
    <row x14ac:dyDescent="0.25" r="333" customHeight="1" ht="15.75">
      <c r="A333" s="8">
        <v>25455</v>
      </c>
      <c r="B333" s="13" t="s">
        <v>69</v>
      </c>
      <c r="C333" s="13" t="s">
        <v>4983</v>
      </c>
      <c r="D333" s="32" t="s">
        <v>4984</v>
      </c>
      <c r="E333" s="32" t="s">
        <v>9663</v>
      </c>
      <c r="F333" s="32" t="s">
        <v>9664</v>
      </c>
      <c r="G333" s="32" t="s">
        <v>9665</v>
      </c>
      <c r="H333" s="32" t="s">
        <v>9666</v>
      </c>
      <c r="I333" s="32" t="s">
        <v>9667</v>
      </c>
      <c r="J333" s="32" t="s">
        <v>4986</v>
      </c>
      <c r="K333" s="32" t="s">
        <v>9668</v>
      </c>
      <c r="L333" s="32" t="s">
        <v>74</v>
      </c>
      <c r="M333" s="32" t="s">
        <v>9669</v>
      </c>
      <c r="N333" s="32" t="s">
        <v>4986</v>
      </c>
      <c r="O333" s="32" t="s">
        <v>9670</v>
      </c>
    </row>
    <row x14ac:dyDescent="0.25" r="334" customHeight="1" ht="15.75">
      <c r="A334" s="8">
        <v>25456</v>
      </c>
      <c r="B334" s="13" t="s">
        <v>69</v>
      </c>
      <c r="C334" s="13" t="s">
        <v>4988</v>
      </c>
      <c r="D334" s="32" t="s">
        <v>2664</v>
      </c>
      <c r="E334" s="32" t="s">
        <v>9671</v>
      </c>
      <c r="F334" s="32" t="s">
        <v>6255</v>
      </c>
      <c r="G334" s="32" t="s">
        <v>9672</v>
      </c>
      <c r="H334" s="32" t="s">
        <v>2252</v>
      </c>
      <c r="I334" s="32" t="s">
        <v>9673</v>
      </c>
      <c r="J334" s="32" t="s">
        <v>4989</v>
      </c>
      <c r="K334" s="32" t="s">
        <v>9674</v>
      </c>
      <c r="L334" s="32" t="s">
        <v>4142</v>
      </c>
      <c r="M334" s="32" t="s">
        <v>9675</v>
      </c>
      <c r="N334" s="32" t="s">
        <v>2319</v>
      </c>
      <c r="O334" s="32" t="s">
        <v>9676</v>
      </c>
    </row>
    <row x14ac:dyDescent="0.25" r="335" customHeight="1" ht="15.75">
      <c r="A335" s="8">
        <v>25457</v>
      </c>
      <c r="B335" s="13" t="s">
        <v>69</v>
      </c>
      <c r="C335" s="13" t="s">
        <v>4990</v>
      </c>
      <c r="D335" s="32" t="s">
        <v>1143</v>
      </c>
      <c r="E335" s="32" t="s">
        <v>9677</v>
      </c>
      <c r="F335" s="32" t="s">
        <v>2407</v>
      </c>
      <c r="G335" s="32" t="s">
        <v>9678</v>
      </c>
      <c r="H335" s="32" t="s">
        <v>699</v>
      </c>
      <c r="I335" s="32" t="s">
        <v>9679</v>
      </c>
      <c r="J335" s="32" t="s">
        <v>4991</v>
      </c>
      <c r="K335" s="32" t="s">
        <v>9680</v>
      </c>
      <c r="L335" s="32" t="s">
        <v>115</v>
      </c>
      <c r="M335" s="32" t="s">
        <v>9681</v>
      </c>
      <c r="N335" s="32" t="s">
        <v>9682</v>
      </c>
      <c r="O335" s="32" t="s">
        <v>8063</v>
      </c>
    </row>
    <row x14ac:dyDescent="0.25" r="336" customHeight="1" ht="15.75">
      <c r="A336" s="8">
        <v>25458</v>
      </c>
      <c r="B336" s="13" t="s">
        <v>69</v>
      </c>
      <c r="C336" s="13" t="s">
        <v>4993</v>
      </c>
      <c r="D336" s="32" t="s">
        <v>4994</v>
      </c>
      <c r="E336" s="32" t="s">
        <v>9683</v>
      </c>
      <c r="F336" s="32" t="s">
        <v>2319</v>
      </c>
      <c r="G336" s="32" t="s">
        <v>7973</v>
      </c>
      <c r="H336" s="32" t="s">
        <v>9684</v>
      </c>
      <c r="I336" s="32" t="s">
        <v>7255</v>
      </c>
      <c r="J336" s="32" t="s">
        <v>4995</v>
      </c>
      <c r="K336" s="32" t="s">
        <v>9685</v>
      </c>
      <c r="L336" s="32" t="s">
        <v>9686</v>
      </c>
      <c r="M336" s="32" t="s">
        <v>9687</v>
      </c>
      <c r="N336" s="32" t="s">
        <v>7288</v>
      </c>
      <c r="O336" s="32" t="s">
        <v>9688</v>
      </c>
    </row>
    <row x14ac:dyDescent="0.25" r="337" customHeight="1" ht="15.75">
      <c r="A337" s="8">
        <v>25459</v>
      </c>
      <c r="B337" s="13" t="s">
        <v>69</v>
      </c>
      <c r="C337" s="13" t="s">
        <v>4997</v>
      </c>
      <c r="D337" s="32" t="s">
        <v>4998</v>
      </c>
      <c r="E337" s="32" t="s">
        <v>9689</v>
      </c>
      <c r="F337" s="32" t="s">
        <v>5000</v>
      </c>
      <c r="G337" s="32" t="s">
        <v>9690</v>
      </c>
      <c r="H337" s="32" t="s">
        <v>9346</v>
      </c>
      <c r="I337" s="32" t="s">
        <v>9691</v>
      </c>
      <c r="J337" s="32" t="s">
        <v>5000</v>
      </c>
      <c r="K337" s="32" t="s">
        <v>9692</v>
      </c>
      <c r="L337" s="32" t="s">
        <v>6143</v>
      </c>
      <c r="M337" s="32" t="s">
        <v>9693</v>
      </c>
      <c r="N337" s="32" t="s">
        <v>4954</v>
      </c>
      <c r="O337" s="32" t="s">
        <v>9694</v>
      </c>
    </row>
    <row x14ac:dyDescent="0.25" r="338" customHeight="1" ht="15.75">
      <c r="A338" s="8">
        <v>25460</v>
      </c>
      <c r="B338" s="13" t="s">
        <v>69</v>
      </c>
      <c r="C338" s="13" t="s">
        <v>5002</v>
      </c>
      <c r="D338" s="32" t="s">
        <v>2544</v>
      </c>
      <c r="E338" s="32" t="s">
        <v>9695</v>
      </c>
      <c r="F338" s="32" t="s">
        <v>9696</v>
      </c>
      <c r="G338" s="32" t="s">
        <v>7584</v>
      </c>
      <c r="H338" s="32" t="s">
        <v>9697</v>
      </c>
      <c r="I338" s="32" t="s">
        <v>9698</v>
      </c>
      <c r="J338" s="32" t="s">
        <v>4771</v>
      </c>
      <c r="K338" s="32" t="s">
        <v>9699</v>
      </c>
      <c r="L338" s="32" t="s">
        <v>9697</v>
      </c>
      <c r="M338" s="32" t="s">
        <v>9130</v>
      </c>
      <c r="N338" s="32" t="s">
        <v>1371</v>
      </c>
      <c r="O338" s="32" t="s">
        <v>9700</v>
      </c>
    </row>
    <row x14ac:dyDescent="0.25" r="339" customHeight="1" ht="15.75">
      <c r="A339" s="8">
        <v>25461</v>
      </c>
      <c r="B339" s="13" t="s">
        <v>69</v>
      </c>
      <c r="C339" s="13" t="s">
        <v>5004</v>
      </c>
      <c r="D339" s="32" t="s">
        <v>5005</v>
      </c>
      <c r="E339" s="32" t="s">
        <v>9701</v>
      </c>
      <c r="F339" s="32" t="s">
        <v>9702</v>
      </c>
      <c r="G339" s="32" t="s">
        <v>9703</v>
      </c>
      <c r="H339" s="32" t="s">
        <v>4629</v>
      </c>
      <c r="I339" s="32" t="s">
        <v>9704</v>
      </c>
      <c r="J339" s="32" t="s">
        <v>5007</v>
      </c>
      <c r="K339" s="32" t="s">
        <v>9705</v>
      </c>
      <c r="L339" s="32" t="s">
        <v>9706</v>
      </c>
      <c r="M339" s="32" t="s">
        <v>9707</v>
      </c>
      <c r="N339" s="32" t="s">
        <v>9708</v>
      </c>
      <c r="O339" s="32" t="s">
        <v>9709</v>
      </c>
    </row>
    <row x14ac:dyDescent="0.25" r="340" customHeight="1" ht="15.75">
      <c r="A340" s="8">
        <v>25462</v>
      </c>
      <c r="B340" s="13" t="s">
        <v>69</v>
      </c>
      <c r="C340" s="13" t="s">
        <v>5009</v>
      </c>
      <c r="D340" s="32" t="s">
        <v>2455</v>
      </c>
      <c r="E340" s="32" t="s">
        <v>9710</v>
      </c>
      <c r="F340" s="32" t="s">
        <v>7345</v>
      </c>
      <c r="G340" s="32" t="s">
        <v>9711</v>
      </c>
      <c r="H340" s="32" t="s">
        <v>7395</v>
      </c>
      <c r="I340" s="32" t="s">
        <v>9712</v>
      </c>
      <c r="J340" s="32" t="s">
        <v>5010</v>
      </c>
      <c r="K340" s="32" t="s">
        <v>9713</v>
      </c>
      <c r="L340" s="32" t="s">
        <v>5093</v>
      </c>
      <c r="M340" s="32" t="s">
        <v>9714</v>
      </c>
      <c r="N340" s="32" t="s">
        <v>9715</v>
      </c>
      <c r="O340" s="32" t="s">
        <v>9716</v>
      </c>
    </row>
    <row x14ac:dyDescent="0.25" r="341" customHeight="1" ht="15.75">
      <c r="A341" s="8">
        <v>25463</v>
      </c>
      <c r="B341" s="13" t="s">
        <v>69</v>
      </c>
      <c r="C341" s="13" t="s">
        <v>5011</v>
      </c>
      <c r="D341" s="32" t="s">
        <v>4609</v>
      </c>
      <c r="E341" s="32" t="s">
        <v>9717</v>
      </c>
      <c r="F341" s="32" t="s">
        <v>5032</v>
      </c>
      <c r="G341" s="32" t="s">
        <v>9718</v>
      </c>
      <c r="H341" s="32" t="s">
        <v>4960</v>
      </c>
      <c r="I341" s="32" t="s">
        <v>9719</v>
      </c>
      <c r="J341" s="32" t="s">
        <v>5013</v>
      </c>
      <c r="K341" s="32" t="s">
        <v>9720</v>
      </c>
      <c r="L341" s="32" t="s">
        <v>696</v>
      </c>
      <c r="M341" s="32" t="s">
        <v>9721</v>
      </c>
      <c r="N341" s="32" t="s">
        <v>4229</v>
      </c>
      <c r="O341" s="32" t="s">
        <v>9722</v>
      </c>
    </row>
    <row x14ac:dyDescent="0.25" r="342" customHeight="1" ht="15.75">
      <c r="A342" s="8">
        <v>25464</v>
      </c>
      <c r="B342" s="13" t="s">
        <v>69</v>
      </c>
      <c r="C342" s="13" t="s">
        <v>5015</v>
      </c>
      <c r="D342" s="32" t="s">
        <v>810</v>
      </c>
      <c r="E342" s="32" t="s">
        <v>9723</v>
      </c>
      <c r="F342" s="32" t="s">
        <v>2143</v>
      </c>
      <c r="G342" s="32" t="s">
        <v>9724</v>
      </c>
      <c r="H342" s="32" t="s">
        <v>9725</v>
      </c>
      <c r="I342" s="32" t="s">
        <v>7987</v>
      </c>
      <c r="J342" s="32" t="s">
        <v>5016</v>
      </c>
      <c r="K342" s="32" t="s">
        <v>9726</v>
      </c>
      <c r="L342" s="32" t="s">
        <v>9725</v>
      </c>
      <c r="M342" s="32" t="s">
        <v>9727</v>
      </c>
      <c r="N342" s="32" t="s">
        <v>9725</v>
      </c>
      <c r="O342" s="32" t="s">
        <v>9728</v>
      </c>
    </row>
    <row x14ac:dyDescent="0.25" r="343" customHeight="1" ht="15.75">
      <c r="A343" s="8">
        <v>25465</v>
      </c>
      <c r="B343" s="13" t="s">
        <v>69</v>
      </c>
      <c r="C343" s="13" t="s">
        <v>5017</v>
      </c>
      <c r="D343" s="32" t="s">
        <v>5018</v>
      </c>
      <c r="E343" s="32" t="s">
        <v>9729</v>
      </c>
      <c r="F343" s="32" t="s">
        <v>34</v>
      </c>
      <c r="G343" s="32" t="s">
        <v>9730</v>
      </c>
      <c r="H343" s="32" t="s">
        <v>510</v>
      </c>
      <c r="I343" s="32" t="s">
        <v>9731</v>
      </c>
      <c r="J343" s="32" t="s">
        <v>5019</v>
      </c>
      <c r="K343" s="32" t="s">
        <v>9732</v>
      </c>
      <c r="L343" s="32" t="s">
        <v>9733</v>
      </c>
      <c r="M343" s="32" t="s">
        <v>9734</v>
      </c>
      <c r="N343" s="32" t="s">
        <v>2170</v>
      </c>
      <c r="O343" s="32" t="s">
        <v>9735</v>
      </c>
    </row>
    <row x14ac:dyDescent="0.25" r="344" customHeight="1" ht="15.75">
      <c r="A344" s="8">
        <v>25466</v>
      </c>
      <c r="B344" s="13" t="s">
        <v>69</v>
      </c>
      <c r="C344" s="13" t="s">
        <v>5020</v>
      </c>
      <c r="D344" s="32" t="s">
        <v>4307</v>
      </c>
      <c r="E344" s="32" t="s">
        <v>9736</v>
      </c>
      <c r="F344" s="32" t="s">
        <v>4356</v>
      </c>
      <c r="G344" s="32" t="s">
        <v>9737</v>
      </c>
      <c r="H344" s="32" t="s">
        <v>8634</v>
      </c>
      <c r="I344" s="32" t="s">
        <v>7158</v>
      </c>
      <c r="J344" s="32" t="s">
        <v>5021</v>
      </c>
      <c r="K344" s="32" t="s">
        <v>9738</v>
      </c>
      <c r="L344" s="32" t="s">
        <v>9739</v>
      </c>
      <c r="M344" s="32" t="s">
        <v>9740</v>
      </c>
      <c r="N344" s="32" t="s">
        <v>9528</v>
      </c>
      <c r="O344" s="32" t="s">
        <v>9741</v>
      </c>
    </row>
    <row x14ac:dyDescent="0.25" r="345" customHeight="1" ht="15.75">
      <c r="A345" s="8">
        <v>25467</v>
      </c>
      <c r="B345" s="13" t="s">
        <v>69</v>
      </c>
      <c r="C345" s="13" t="s">
        <v>5022</v>
      </c>
      <c r="D345" s="32" t="s">
        <v>34</v>
      </c>
      <c r="E345" s="32" t="s">
        <v>9742</v>
      </c>
      <c r="F345" s="32" t="s">
        <v>9743</v>
      </c>
      <c r="G345" s="32" t="s">
        <v>9744</v>
      </c>
      <c r="H345" s="32" t="s">
        <v>950</v>
      </c>
      <c r="I345" s="32" t="s">
        <v>9745</v>
      </c>
      <c r="J345" s="32" t="s">
        <v>34</v>
      </c>
      <c r="K345" s="32" t="s">
        <v>9746</v>
      </c>
      <c r="L345" s="32" t="s">
        <v>9747</v>
      </c>
      <c r="M345" s="32" t="s">
        <v>9748</v>
      </c>
      <c r="N345" s="32" t="s">
        <v>4346</v>
      </c>
      <c r="O345" s="32" t="s">
        <v>8399</v>
      </c>
    </row>
    <row x14ac:dyDescent="0.25" r="346" customHeight="1" ht="15.75">
      <c r="A346" s="8">
        <v>25468</v>
      </c>
      <c r="B346" s="13" t="s">
        <v>69</v>
      </c>
      <c r="C346" s="13" t="s">
        <v>5025</v>
      </c>
      <c r="D346" s="32" t="s">
        <v>5026</v>
      </c>
      <c r="E346" s="32" t="s">
        <v>9749</v>
      </c>
      <c r="F346" s="32" t="s">
        <v>5666</v>
      </c>
      <c r="G346" s="32" t="s">
        <v>9750</v>
      </c>
      <c r="H346" s="32" t="s">
        <v>8624</v>
      </c>
      <c r="I346" s="32" t="s">
        <v>9751</v>
      </c>
      <c r="J346" s="32" t="s">
        <v>5027</v>
      </c>
      <c r="K346" s="32" t="s">
        <v>9752</v>
      </c>
      <c r="L346" s="32" t="s">
        <v>7224</v>
      </c>
      <c r="M346" s="32" t="s">
        <v>9753</v>
      </c>
      <c r="N346" s="32" t="s">
        <v>9754</v>
      </c>
      <c r="O346" s="32" t="s">
        <v>9755</v>
      </c>
    </row>
    <row x14ac:dyDescent="0.25" r="347" customHeight="1" ht="15.75">
      <c r="A347" s="8">
        <v>25469</v>
      </c>
      <c r="B347" s="13" t="s">
        <v>69</v>
      </c>
      <c r="C347" s="13" t="s">
        <v>5028</v>
      </c>
      <c r="D347" s="32" t="s">
        <v>5029</v>
      </c>
      <c r="E347" s="32" t="s">
        <v>9756</v>
      </c>
      <c r="F347" s="32" t="s">
        <v>1442</v>
      </c>
      <c r="G347" s="32" t="s">
        <v>9757</v>
      </c>
      <c r="H347" s="32" t="s">
        <v>1623</v>
      </c>
      <c r="I347" s="32" t="s">
        <v>9758</v>
      </c>
      <c r="J347" s="32" t="s">
        <v>4338</v>
      </c>
      <c r="K347" s="32" t="s">
        <v>9759</v>
      </c>
      <c r="L347" s="32" t="s">
        <v>6033</v>
      </c>
      <c r="M347" s="32" t="s">
        <v>9162</v>
      </c>
      <c r="N347" s="32" t="s">
        <v>9760</v>
      </c>
      <c r="O347" s="32" t="s">
        <v>9761</v>
      </c>
    </row>
    <row x14ac:dyDescent="0.25" r="348" customHeight="1" ht="15.75">
      <c r="A348" s="8">
        <v>25470</v>
      </c>
      <c r="B348" s="13" t="s">
        <v>69</v>
      </c>
      <c r="C348" s="13" t="s">
        <v>5031</v>
      </c>
      <c r="D348" s="32" t="s">
        <v>5032</v>
      </c>
      <c r="E348" s="32" t="s">
        <v>9762</v>
      </c>
      <c r="F348" s="32" t="s">
        <v>6472</v>
      </c>
      <c r="G348" s="32" t="s">
        <v>9763</v>
      </c>
      <c r="H348" s="32" t="s">
        <v>1980</v>
      </c>
      <c r="I348" s="32" t="s">
        <v>9764</v>
      </c>
      <c r="J348" s="32" t="s">
        <v>5033</v>
      </c>
      <c r="K348" s="32" t="s">
        <v>9765</v>
      </c>
      <c r="L348" s="32" t="s">
        <v>9766</v>
      </c>
      <c r="M348" s="32" t="s">
        <v>9377</v>
      </c>
      <c r="N348" s="32" t="s">
        <v>9767</v>
      </c>
      <c r="O348" s="32" t="s">
        <v>9768</v>
      </c>
    </row>
    <row x14ac:dyDescent="0.25" r="349" customHeight="1" ht="15.75">
      <c r="A349" s="8">
        <v>25471</v>
      </c>
      <c r="B349" s="13" t="s">
        <v>69</v>
      </c>
      <c r="C349" s="13" t="s">
        <v>5035</v>
      </c>
      <c r="D349" s="32" t="s">
        <v>5036</v>
      </c>
      <c r="E349" s="32" t="s">
        <v>9769</v>
      </c>
      <c r="F349" s="32" t="s">
        <v>9770</v>
      </c>
      <c r="G349" s="32" t="s">
        <v>9771</v>
      </c>
      <c r="H349" s="32" t="s">
        <v>9772</v>
      </c>
      <c r="I349" s="32" t="s">
        <v>9773</v>
      </c>
      <c r="J349" s="32" t="s">
        <v>5038</v>
      </c>
      <c r="K349" s="32" t="s">
        <v>9774</v>
      </c>
      <c r="L349" s="32" t="s">
        <v>9775</v>
      </c>
      <c r="M349" s="32" t="s">
        <v>9776</v>
      </c>
      <c r="N349" s="32" t="s">
        <v>9777</v>
      </c>
      <c r="O349" s="32" t="s">
        <v>9778</v>
      </c>
    </row>
    <row x14ac:dyDescent="0.25" r="350" customHeight="1" ht="15.75">
      <c r="A350" s="8">
        <v>25472</v>
      </c>
      <c r="B350" s="13" t="s">
        <v>69</v>
      </c>
      <c r="C350" s="13" t="s">
        <v>5039</v>
      </c>
      <c r="D350" s="32" t="s">
        <v>5040</v>
      </c>
      <c r="E350" s="32" t="s">
        <v>9779</v>
      </c>
      <c r="F350" s="32" t="s">
        <v>1348</v>
      </c>
      <c r="G350" s="32" t="s">
        <v>9780</v>
      </c>
      <c r="H350" s="32" t="s">
        <v>9781</v>
      </c>
      <c r="I350" s="32" t="s">
        <v>9782</v>
      </c>
      <c r="J350" s="32" t="s">
        <v>5042</v>
      </c>
      <c r="K350" s="32" t="s">
        <v>9783</v>
      </c>
      <c r="L350" s="32" t="s">
        <v>6051</v>
      </c>
      <c r="M350" s="32" t="s">
        <v>9784</v>
      </c>
      <c r="N350" s="32" t="s">
        <v>9785</v>
      </c>
      <c r="O350" s="32" t="s">
        <v>9786</v>
      </c>
    </row>
    <row x14ac:dyDescent="0.25" r="351" customHeight="1" ht="15.75">
      <c r="A351" s="8">
        <v>25473</v>
      </c>
      <c r="B351" s="13" t="s">
        <v>69</v>
      </c>
      <c r="C351" s="13" t="s">
        <v>5044</v>
      </c>
      <c r="D351" s="32" t="s">
        <v>5045</v>
      </c>
      <c r="E351" s="32" t="s">
        <v>9787</v>
      </c>
      <c r="F351" s="32" t="s">
        <v>5046</v>
      </c>
      <c r="G351" s="32" t="s">
        <v>9788</v>
      </c>
      <c r="H351" s="32" t="s">
        <v>9789</v>
      </c>
      <c r="I351" s="32" t="s">
        <v>9790</v>
      </c>
      <c r="J351" s="32" t="s">
        <v>5046</v>
      </c>
      <c r="K351" s="32" t="s">
        <v>9791</v>
      </c>
      <c r="L351" s="32" t="s">
        <v>8620</v>
      </c>
      <c r="M351" s="32" t="s">
        <v>9792</v>
      </c>
      <c r="N351" s="32" t="s">
        <v>8620</v>
      </c>
      <c r="O351" s="32" t="s">
        <v>9793</v>
      </c>
    </row>
    <row x14ac:dyDescent="0.25" r="352" customHeight="1" ht="15.75">
      <c r="A352" s="8">
        <v>25474</v>
      </c>
      <c r="B352" s="13" t="s">
        <v>69</v>
      </c>
      <c r="C352" s="13" t="s">
        <v>4462</v>
      </c>
      <c r="D352" s="32" t="s">
        <v>5047</v>
      </c>
      <c r="E352" s="32" t="s">
        <v>9794</v>
      </c>
      <c r="F352" s="32" t="s">
        <v>34</v>
      </c>
      <c r="G352" s="32" t="s">
        <v>9795</v>
      </c>
      <c r="H352" s="32" t="s">
        <v>2227</v>
      </c>
      <c r="I352" s="32" t="s">
        <v>9796</v>
      </c>
      <c r="J352" s="32" t="s">
        <v>5048</v>
      </c>
      <c r="K352" s="32" t="s">
        <v>9797</v>
      </c>
      <c r="L352" s="32" t="s">
        <v>2017</v>
      </c>
      <c r="M352" s="32" t="s">
        <v>9798</v>
      </c>
      <c r="N352" s="32" t="s">
        <v>5360</v>
      </c>
      <c r="O352" s="32" t="s">
        <v>9799</v>
      </c>
    </row>
    <row x14ac:dyDescent="0.25" r="353" customHeight="1" ht="15.75">
      <c r="A353" s="8">
        <v>25475</v>
      </c>
      <c r="B353" s="13" t="s">
        <v>69</v>
      </c>
      <c r="C353" s="13" t="s">
        <v>5049</v>
      </c>
      <c r="D353" s="32" t="s">
        <v>2574</v>
      </c>
      <c r="E353" s="32" t="s">
        <v>9800</v>
      </c>
      <c r="F353" s="32" t="s">
        <v>443</v>
      </c>
      <c r="G353" s="32" t="s">
        <v>9801</v>
      </c>
      <c r="H353" s="32" t="s">
        <v>1151</v>
      </c>
      <c r="I353" s="32" t="s">
        <v>9802</v>
      </c>
      <c r="J353" s="32" t="s">
        <v>5050</v>
      </c>
      <c r="K353" s="32" t="s">
        <v>9803</v>
      </c>
      <c r="L353" s="32" t="s">
        <v>498</v>
      </c>
      <c r="M353" s="32" t="s">
        <v>9804</v>
      </c>
      <c r="N353" s="32" t="s">
        <v>57</v>
      </c>
      <c r="O353" s="32" t="s">
        <v>8950</v>
      </c>
    </row>
    <row x14ac:dyDescent="0.25" r="354" customHeight="1" ht="15.75">
      <c r="A354" s="8">
        <v>25476</v>
      </c>
      <c r="B354" s="13" t="s">
        <v>69</v>
      </c>
      <c r="C354" s="13" t="s">
        <v>5051</v>
      </c>
      <c r="D354" s="32" t="s">
        <v>5052</v>
      </c>
      <c r="E354" s="32" t="s">
        <v>9805</v>
      </c>
      <c r="F354" s="32" t="s">
        <v>1970</v>
      </c>
      <c r="G354" s="32" t="s">
        <v>9806</v>
      </c>
      <c r="H354" s="32" t="s">
        <v>9807</v>
      </c>
      <c r="I354" s="32" t="s">
        <v>9808</v>
      </c>
      <c r="J354" s="32" t="s">
        <v>5053</v>
      </c>
      <c r="K354" s="32" t="s">
        <v>9809</v>
      </c>
      <c r="L354" s="32" t="s">
        <v>9810</v>
      </c>
      <c r="M354" s="32" t="s">
        <v>9811</v>
      </c>
      <c r="N354" s="32" t="s">
        <v>9812</v>
      </c>
      <c r="O354" s="32" t="s">
        <v>8681</v>
      </c>
    </row>
    <row x14ac:dyDescent="0.25" r="355" customHeight="1" ht="15.75">
      <c r="A355" s="8">
        <v>25477</v>
      </c>
      <c r="B355" s="13" t="s">
        <v>69</v>
      </c>
      <c r="C355" s="13" t="s">
        <v>5054</v>
      </c>
      <c r="D355" s="32" t="s">
        <v>5055</v>
      </c>
      <c r="E355" s="32" t="s">
        <v>9813</v>
      </c>
      <c r="F355" s="32" t="s">
        <v>9814</v>
      </c>
      <c r="G355" s="32" t="s">
        <v>9815</v>
      </c>
      <c r="H355" s="32" t="s">
        <v>9816</v>
      </c>
      <c r="I355" s="32" t="s">
        <v>9817</v>
      </c>
      <c r="J355" s="32" t="s">
        <v>1873</v>
      </c>
      <c r="K355" s="32" t="s">
        <v>9818</v>
      </c>
      <c r="L355" s="32" t="s">
        <v>7706</v>
      </c>
      <c r="M355" s="32" t="s">
        <v>9819</v>
      </c>
      <c r="N355" s="32" t="s">
        <v>8892</v>
      </c>
      <c r="O355" s="32" t="s">
        <v>9820</v>
      </c>
    </row>
    <row x14ac:dyDescent="0.25" r="356" customHeight="1" ht="15.75">
      <c r="A356" s="8">
        <v>25478</v>
      </c>
      <c r="B356" s="13" t="s">
        <v>69</v>
      </c>
      <c r="C356" s="13" t="s">
        <v>5057</v>
      </c>
      <c r="D356" s="32" t="s">
        <v>5058</v>
      </c>
      <c r="E356" s="32" t="s">
        <v>9821</v>
      </c>
      <c r="F356" s="32" t="s">
        <v>1674</v>
      </c>
      <c r="G356" s="32" t="s">
        <v>9822</v>
      </c>
      <c r="H356" s="32" t="s">
        <v>9823</v>
      </c>
      <c r="I356" s="32" t="s">
        <v>9649</v>
      </c>
      <c r="J356" s="32" t="s">
        <v>5060</v>
      </c>
      <c r="K356" s="32" t="s">
        <v>9824</v>
      </c>
      <c r="L356" s="32" t="s">
        <v>9825</v>
      </c>
      <c r="M356" s="32" t="s">
        <v>9826</v>
      </c>
      <c r="N356" s="32" t="s">
        <v>9827</v>
      </c>
      <c r="O356" s="32" t="s">
        <v>9828</v>
      </c>
    </row>
    <row x14ac:dyDescent="0.25" r="357" customHeight="1" ht="15.75">
      <c r="A357" s="8">
        <v>25479</v>
      </c>
      <c r="B357" s="13" t="s">
        <v>69</v>
      </c>
      <c r="C357" s="13" t="s">
        <v>5061</v>
      </c>
      <c r="D357" s="32" t="s">
        <v>2361</v>
      </c>
      <c r="E357" s="32" t="s">
        <v>9829</v>
      </c>
      <c r="F357" s="32" t="s">
        <v>8969</v>
      </c>
      <c r="G357" s="32" t="s">
        <v>9830</v>
      </c>
      <c r="H357" s="32" t="s">
        <v>1831</v>
      </c>
      <c r="I357" s="32" t="s">
        <v>9831</v>
      </c>
      <c r="J357" s="32" t="s">
        <v>2284</v>
      </c>
      <c r="K357" s="32" t="s">
        <v>9832</v>
      </c>
      <c r="L357" s="32" t="s">
        <v>37</v>
      </c>
      <c r="M357" s="32" t="s">
        <v>9833</v>
      </c>
      <c r="N357" s="32" t="s">
        <v>9834</v>
      </c>
      <c r="O357" s="32" t="s">
        <v>9835</v>
      </c>
    </row>
    <row x14ac:dyDescent="0.25" r="358" customHeight="1" ht="15.75">
      <c r="A358" s="8">
        <v>25480</v>
      </c>
      <c r="B358" s="13" t="s">
        <v>69</v>
      </c>
      <c r="C358" s="13" t="s">
        <v>5063</v>
      </c>
      <c r="D358" s="32" t="s">
        <v>5064</v>
      </c>
      <c r="E358" s="32" t="s">
        <v>9836</v>
      </c>
      <c r="F358" s="32" t="s">
        <v>9837</v>
      </c>
      <c r="G358" s="32" t="s">
        <v>9838</v>
      </c>
      <c r="H358" s="32" t="s">
        <v>9839</v>
      </c>
      <c r="I358" s="32" t="s">
        <v>9840</v>
      </c>
      <c r="J358" s="32" t="s">
        <v>5065</v>
      </c>
      <c r="K358" s="32" t="s">
        <v>9841</v>
      </c>
      <c r="L358" s="32" t="s">
        <v>2259</v>
      </c>
      <c r="M358" s="32" t="s">
        <v>9842</v>
      </c>
      <c r="N358" s="32" t="s">
        <v>308</v>
      </c>
      <c r="O358" s="32" t="s">
        <v>9843</v>
      </c>
    </row>
    <row x14ac:dyDescent="0.25" r="359" customHeight="1" ht="15.75">
      <c r="A359" s="8">
        <v>25481</v>
      </c>
      <c r="B359" s="13" t="s">
        <v>69</v>
      </c>
      <c r="C359" s="13" t="s">
        <v>5066</v>
      </c>
      <c r="D359" s="32" t="s">
        <v>5067</v>
      </c>
      <c r="E359" s="32" t="s">
        <v>9844</v>
      </c>
      <c r="F359" s="32" t="s">
        <v>2663</v>
      </c>
      <c r="G359" s="32" t="s">
        <v>9845</v>
      </c>
      <c r="H359" s="32" t="s">
        <v>9109</v>
      </c>
      <c r="I359" s="32" t="s">
        <v>9846</v>
      </c>
      <c r="J359" s="32" t="s">
        <v>2638</v>
      </c>
      <c r="K359" s="32" t="s">
        <v>9847</v>
      </c>
      <c r="L359" s="32" t="s">
        <v>9848</v>
      </c>
      <c r="M359" s="32" t="s">
        <v>9849</v>
      </c>
      <c r="N359" s="32" t="s">
        <v>4084</v>
      </c>
      <c r="O359" s="32" t="s">
        <v>9850</v>
      </c>
    </row>
    <row x14ac:dyDescent="0.25" r="360" customHeight="1" ht="15.75">
      <c r="A360" s="8">
        <v>25482</v>
      </c>
      <c r="B360" s="13" t="s">
        <v>69</v>
      </c>
      <c r="C360" s="13" t="s">
        <v>5069</v>
      </c>
      <c r="D360" s="32" t="s">
        <v>5070</v>
      </c>
      <c r="E360" s="32" t="s">
        <v>9851</v>
      </c>
      <c r="F360" s="32" t="s">
        <v>303</v>
      </c>
      <c r="G360" s="32" t="s">
        <v>9852</v>
      </c>
      <c r="H360" s="32" t="s">
        <v>5577</v>
      </c>
      <c r="I360" s="32" t="s">
        <v>9853</v>
      </c>
      <c r="J360" s="32" t="s">
        <v>4174</v>
      </c>
      <c r="K360" s="32" t="s">
        <v>7127</v>
      </c>
      <c r="L360" s="32" t="s">
        <v>1720</v>
      </c>
      <c r="M360" s="32" t="s">
        <v>9854</v>
      </c>
      <c r="N360" s="32" t="s">
        <v>5373</v>
      </c>
      <c r="O360" s="32" t="s">
        <v>9855</v>
      </c>
    </row>
    <row x14ac:dyDescent="0.25" r="361" customHeight="1" ht="15.75">
      <c r="A361" s="8">
        <v>25483</v>
      </c>
      <c r="B361" s="13" t="s">
        <v>69</v>
      </c>
      <c r="C361" s="13" t="s">
        <v>5071</v>
      </c>
      <c r="D361" s="32" t="s">
        <v>5072</v>
      </c>
      <c r="E361" s="32" t="s">
        <v>9856</v>
      </c>
      <c r="F361" s="32" t="s">
        <v>8998</v>
      </c>
      <c r="G361" s="32" t="s">
        <v>9857</v>
      </c>
      <c r="H361" s="32" t="s">
        <v>8026</v>
      </c>
      <c r="I361" s="32" t="s">
        <v>7255</v>
      </c>
      <c r="J361" s="32" t="s">
        <v>5074</v>
      </c>
      <c r="K361" s="32" t="s">
        <v>9858</v>
      </c>
      <c r="L361" s="32" t="s">
        <v>9859</v>
      </c>
      <c r="M361" s="32" t="s">
        <v>9860</v>
      </c>
      <c r="N361" s="32" t="s">
        <v>9861</v>
      </c>
      <c r="O361" s="32" t="s">
        <v>9862</v>
      </c>
    </row>
    <row x14ac:dyDescent="0.25" r="362" customHeight="1" ht="15.75">
      <c r="A362" s="8">
        <v>25484</v>
      </c>
      <c r="B362" s="13" t="s">
        <v>69</v>
      </c>
      <c r="C362" s="13" t="s">
        <v>5076</v>
      </c>
      <c r="D362" s="32" t="s">
        <v>5077</v>
      </c>
      <c r="E362" s="32" t="s">
        <v>9863</v>
      </c>
      <c r="F362" s="32" t="s">
        <v>9864</v>
      </c>
      <c r="G362" s="32" t="s">
        <v>8502</v>
      </c>
      <c r="H362" s="32" t="s">
        <v>6202</v>
      </c>
      <c r="I362" s="32" t="s">
        <v>9865</v>
      </c>
      <c r="J362" s="32" t="s">
        <v>5078</v>
      </c>
      <c r="K362" s="32" t="s">
        <v>7255</v>
      </c>
      <c r="L362" s="32" t="s">
        <v>9866</v>
      </c>
      <c r="M362" s="32" t="s">
        <v>9867</v>
      </c>
      <c r="N362" s="32" t="s">
        <v>1561</v>
      </c>
      <c r="O362" s="32" t="s">
        <v>9868</v>
      </c>
    </row>
    <row x14ac:dyDescent="0.25" r="363" customHeight="1" ht="15.75">
      <c r="A363" s="8">
        <v>25485</v>
      </c>
      <c r="B363" s="13" t="s">
        <v>69</v>
      </c>
      <c r="C363" s="13" t="s">
        <v>5079</v>
      </c>
      <c r="D363" s="32" t="s">
        <v>170</v>
      </c>
      <c r="E363" s="32" t="s">
        <v>9163</v>
      </c>
      <c r="F363" s="32" t="s">
        <v>9869</v>
      </c>
      <c r="G363" s="32" t="s">
        <v>9870</v>
      </c>
      <c r="H363" s="32" t="s">
        <v>9871</v>
      </c>
      <c r="I363" s="32" t="s">
        <v>9872</v>
      </c>
      <c r="J363" s="32" t="s">
        <v>5081</v>
      </c>
      <c r="K363" s="32" t="s">
        <v>9873</v>
      </c>
      <c r="L363" s="32" t="s">
        <v>9874</v>
      </c>
      <c r="M363" s="32" t="s">
        <v>9875</v>
      </c>
      <c r="N363" s="32" t="s">
        <v>2385</v>
      </c>
      <c r="O363" s="32" t="s">
        <v>9876</v>
      </c>
    </row>
    <row x14ac:dyDescent="0.25" r="364" customHeight="1" ht="15.75">
      <c r="A364" s="8">
        <v>25486</v>
      </c>
      <c r="B364" s="13" t="s">
        <v>69</v>
      </c>
      <c r="C364" s="13" t="s">
        <v>5082</v>
      </c>
      <c r="D364" s="32" t="s">
        <v>5083</v>
      </c>
      <c r="E364" s="32" t="s">
        <v>9877</v>
      </c>
      <c r="F364" s="32" t="s">
        <v>485</v>
      </c>
      <c r="G364" s="32" t="s">
        <v>8676</v>
      </c>
      <c r="H364" s="32" t="s">
        <v>9878</v>
      </c>
      <c r="I364" s="32" t="s">
        <v>9879</v>
      </c>
      <c r="J364" s="32" t="s">
        <v>5084</v>
      </c>
      <c r="K364" s="32" t="s">
        <v>9880</v>
      </c>
      <c r="L364" s="32" t="s">
        <v>5418</v>
      </c>
      <c r="M364" s="32" t="s">
        <v>9881</v>
      </c>
      <c r="N364" s="32" t="s">
        <v>9408</v>
      </c>
      <c r="O364" s="32" t="s">
        <v>9882</v>
      </c>
    </row>
    <row x14ac:dyDescent="0.25" r="365" customHeight="1" ht="15.75">
      <c r="A365" s="8">
        <v>25487</v>
      </c>
      <c r="B365" s="13" t="s">
        <v>69</v>
      </c>
      <c r="C365" s="13" t="s">
        <v>5086</v>
      </c>
      <c r="D365" s="32" t="s">
        <v>5087</v>
      </c>
      <c r="E365" s="32" t="s">
        <v>9883</v>
      </c>
      <c r="F365" s="32" t="s">
        <v>9366</v>
      </c>
      <c r="G365" s="32" t="s">
        <v>9884</v>
      </c>
      <c r="H365" s="32" t="s">
        <v>9885</v>
      </c>
      <c r="I365" s="32" t="s">
        <v>9886</v>
      </c>
      <c r="J365" s="32" t="s">
        <v>1507</v>
      </c>
      <c r="K365" s="32" t="s">
        <v>9887</v>
      </c>
      <c r="L365" s="32" t="s">
        <v>9888</v>
      </c>
      <c r="M365" s="32" t="s">
        <v>9889</v>
      </c>
      <c r="N365" s="32" t="s">
        <v>8473</v>
      </c>
      <c r="O365" s="32" t="s">
        <v>9890</v>
      </c>
    </row>
    <row x14ac:dyDescent="0.25" r="366" customHeight="1" ht="15.75">
      <c r="A366" s="8">
        <v>25488</v>
      </c>
      <c r="B366" s="13" t="s">
        <v>69</v>
      </c>
      <c r="C366" s="13" t="s">
        <v>5089</v>
      </c>
      <c r="D366" s="32" t="s">
        <v>5090</v>
      </c>
      <c r="E366" s="32" t="s">
        <v>9891</v>
      </c>
      <c r="F366" s="32" t="s">
        <v>5112</v>
      </c>
      <c r="G366" s="32" t="s">
        <v>9892</v>
      </c>
      <c r="H366" s="32" t="s">
        <v>9893</v>
      </c>
      <c r="I366" s="32" t="s">
        <v>9894</v>
      </c>
      <c r="J366" s="32" t="s">
        <v>1153</v>
      </c>
      <c r="K366" s="32" t="s">
        <v>7158</v>
      </c>
      <c r="L366" s="32" t="s">
        <v>685</v>
      </c>
      <c r="M366" s="32" t="s">
        <v>9895</v>
      </c>
      <c r="N366" s="32" t="s">
        <v>9896</v>
      </c>
      <c r="O366" s="32" t="s">
        <v>9897</v>
      </c>
    </row>
    <row x14ac:dyDescent="0.25" r="367" customHeight="1" ht="15.75">
      <c r="A367" s="8">
        <v>25489</v>
      </c>
      <c r="B367" s="13" t="s">
        <v>69</v>
      </c>
      <c r="C367" s="13" t="s">
        <v>5091</v>
      </c>
      <c r="D367" s="32" t="s">
        <v>668</v>
      </c>
      <c r="E367" s="32" t="s">
        <v>9898</v>
      </c>
      <c r="F367" s="32" t="s">
        <v>9816</v>
      </c>
      <c r="G367" s="32" t="s">
        <v>7602</v>
      </c>
      <c r="H367" s="32" t="s">
        <v>2519</v>
      </c>
      <c r="I367" s="32" t="s">
        <v>9899</v>
      </c>
      <c r="J367" s="32" t="s">
        <v>5093</v>
      </c>
      <c r="K367" s="32" t="s">
        <v>9900</v>
      </c>
      <c r="L367" s="32" t="s">
        <v>9816</v>
      </c>
      <c r="M367" s="32" t="s">
        <v>9674</v>
      </c>
      <c r="N367" s="32" t="s">
        <v>1345</v>
      </c>
      <c r="O367" s="32" t="s">
        <v>7158</v>
      </c>
    </row>
    <row x14ac:dyDescent="0.25" r="368" customHeight="1" ht="15.75">
      <c r="A368" s="8">
        <v>25490</v>
      </c>
      <c r="B368" s="13" t="s">
        <v>69</v>
      </c>
      <c r="C368" s="13" t="s">
        <v>5095</v>
      </c>
      <c r="D368" s="32" t="s">
        <v>2607</v>
      </c>
      <c r="E368" s="32" t="s">
        <v>9901</v>
      </c>
      <c r="F368" s="32" t="s">
        <v>2466</v>
      </c>
      <c r="G368" s="32" t="s">
        <v>9902</v>
      </c>
      <c r="H368" s="32" t="s">
        <v>1983</v>
      </c>
      <c r="I368" s="32" t="s">
        <v>7477</v>
      </c>
      <c r="J368" s="32" t="s">
        <v>2334</v>
      </c>
      <c r="K368" s="32" t="s">
        <v>9903</v>
      </c>
      <c r="L368" s="32" t="s">
        <v>1983</v>
      </c>
      <c r="M368" s="32" t="s">
        <v>9904</v>
      </c>
      <c r="N368" s="32" t="s">
        <v>88</v>
      </c>
      <c r="O368" s="32" t="s">
        <v>9905</v>
      </c>
    </row>
    <row x14ac:dyDescent="0.25" r="369" customHeight="1" ht="15.75">
      <c r="A369" s="8">
        <v>25491</v>
      </c>
      <c r="B369" s="13" t="s">
        <v>69</v>
      </c>
      <c r="C369" s="13" t="s">
        <v>5097</v>
      </c>
      <c r="D369" s="32" t="s">
        <v>4153</v>
      </c>
      <c r="E369" s="32" t="s">
        <v>9906</v>
      </c>
      <c r="F369" s="32" t="s">
        <v>5669</v>
      </c>
      <c r="G369" s="32" t="s">
        <v>8022</v>
      </c>
      <c r="H369" s="32" t="s">
        <v>9528</v>
      </c>
      <c r="I369" s="32" t="s">
        <v>9907</v>
      </c>
      <c r="J369" s="32" t="s">
        <v>5098</v>
      </c>
      <c r="K369" s="32" t="s">
        <v>9908</v>
      </c>
      <c r="L369" s="32" t="s">
        <v>5889</v>
      </c>
      <c r="M369" s="32" t="s">
        <v>9909</v>
      </c>
      <c r="N369" s="32" t="s">
        <v>9910</v>
      </c>
      <c r="O369" s="32" t="s">
        <v>9911</v>
      </c>
    </row>
    <row x14ac:dyDescent="0.25" r="370" customHeight="1" ht="15.75">
      <c r="A370" s="8">
        <v>25492</v>
      </c>
      <c r="B370" s="13" t="s">
        <v>69</v>
      </c>
      <c r="C370" s="13" t="s">
        <v>5099</v>
      </c>
      <c r="D370" s="32" t="s">
        <v>5100</v>
      </c>
      <c r="E370" s="32" t="s">
        <v>9912</v>
      </c>
      <c r="F370" s="32" t="s">
        <v>696</v>
      </c>
      <c r="G370" s="32" t="s">
        <v>9913</v>
      </c>
      <c r="H370" s="32" t="s">
        <v>9914</v>
      </c>
      <c r="I370" s="32" t="s">
        <v>9915</v>
      </c>
      <c r="J370" s="32" t="s">
        <v>2143</v>
      </c>
      <c r="K370" s="32" t="s">
        <v>9916</v>
      </c>
      <c r="L370" s="32" t="s">
        <v>9917</v>
      </c>
      <c r="M370" s="32" t="s">
        <v>7127</v>
      </c>
      <c r="N370" s="32" t="s">
        <v>5064</v>
      </c>
      <c r="O370" s="32" t="s">
        <v>9918</v>
      </c>
    </row>
    <row x14ac:dyDescent="0.25" r="371" customHeight="1" ht="15.75">
      <c r="A371" s="8">
        <v>25493</v>
      </c>
      <c r="B371" s="13" t="s">
        <v>69</v>
      </c>
      <c r="C371" s="13" t="s">
        <v>5102</v>
      </c>
      <c r="D371" s="32" t="s">
        <v>5103</v>
      </c>
      <c r="E371" s="32" t="s">
        <v>9919</v>
      </c>
      <c r="F371" s="32" t="s">
        <v>9920</v>
      </c>
      <c r="G371" s="32" t="s">
        <v>9921</v>
      </c>
      <c r="H371" s="32" t="s">
        <v>9922</v>
      </c>
      <c r="I371" s="32" t="s">
        <v>9923</v>
      </c>
      <c r="J371" s="32" t="s">
        <v>5104</v>
      </c>
      <c r="K371" s="32" t="s">
        <v>9924</v>
      </c>
      <c r="L371" s="32" t="s">
        <v>4180</v>
      </c>
      <c r="M371" s="32" t="s">
        <v>9925</v>
      </c>
      <c r="N371" s="32" t="s">
        <v>9926</v>
      </c>
      <c r="O371" s="32" t="s">
        <v>8487</v>
      </c>
    </row>
    <row x14ac:dyDescent="0.25" r="372" customHeight="1" ht="15.75">
      <c r="A372" s="8">
        <v>25494</v>
      </c>
      <c r="B372" s="13" t="s">
        <v>69</v>
      </c>
      <c r="C372" s="13" t="s">
        <v>5106</v>
      </c>
      <c r="D372" s="32" t="s">
        <v>5107</v>
      </c>
      <c r="E372" s="32" t="s">
        <v>9927</v>
      </c>
      <c r="F372" s="32" t="s">
        <v>9039</v>
      </c>
      <c r="G372" s="32" t="s">
        <v>9928</v>
      </c>
      <c r="H372" s="32" t="s">
        <v>9929</v>
      </c>
      <c r="I372" s="32" t="s">
        <v>9930</v>
      </c>
      <c r="J372" s="32" t="s">
        <v>5109</v>
      </c>
      <c r="K372" s="32" t="s">
        <v>9931</v>
      </c>
      <c r="L372" s="32" t="s">
        <v>5902</v>
      </c>
      <c r="M372" s="32" t="s">
        <v>9932</v>
      </c>
      <c r="N372" s="32" t="s">
        <v>9933</v>
      </c>
      <c r="O372" s="32" t="s">
        <v>9934</v>
      </c>
    </row>
    <row x14ac:dyDescent="0.25" r="373" customHeight="1" ht="15.75">
      <c r="A373" s="8">
        <v>25495</v>
      </c>
      <c r="B373" s="13" t="s">
        <v>69</v>
      </c>
      <c r="C373" s="13" t="s">
        <v>5110</v>
      </c>
      <c r="D373" s="32" t="s">
        <v>5111</v>
      </c>
      <c r="E373" s="32" t="s">
        <v>9935</v>
      </c>
      <c r="F373" s="32" t="s">
        <v>6191</v>
      </c>
      <c r="G373" s="32" t="s">
        <v>9936</v>
      </c>
      <c r="H373" s="32" t="s">
        <v>9198</v>
      </c>
      <c r="I373" s="32" t="s">
        <v>9937</v>
      </c>
      <c r="J373" s="32" t="s">
        <v>5113</v>
      </c>
      <c r="K373" s="32" t="s">
        <v>9938</v>
      </c>
      <c r="L373" s="32" t="s">
        <v>4545</v>
      </c>
      <c r="M373" s="32" t="s">
        <v>9939</v>
      </c>
      <c r="N373" s="32" t="s">
        <v>1706</v>
      </c>
      <c r="O373" s="32" t="s">
        <v>9940</v>
      </c>
    </row>
    <row x14ac:dyDescent="0.25" r="374" customHeight="1" ht="15.75">
      <c r="A374" s="8">
        <v>25496</v>
      </c>
      <c r="B374" s="13" t="s">
        <v>69</v>
      </c>
      <c r="C374" s="13" t="s">
        <v>5114</v>
      </c>
      <c r="D374" s="32" t="s">
        <v>5115</v>
      </c>
      <c r="E374" s="32" t="s">
        <v>9941</v>
      </c>
      <c r="F374" s="32" t="s">
        <v>5583</v>
      </c>
      <c r="G374" s="32" t="s">
        <v>7127</v>
      </c>
      <c r="H374" s="32" t="s">
        <v>9942</v>
      </c>
      <c r="I374" s="32" t="s">
        <v>7127</v>
      </c>
      <c r="J374" s="32" t="s">
        <v>5116</v>
      </c>
      <c r="K374" s="32" t="s">
        <v>7127</v>
      </c>
      <c r="L374" s="32" t="s">
        <v>9943</v>
      </c>
      <c r="M374" s="32" t="s">
        <v>9944</v>
      </c>
      <c r="N374" s="32" t="s">
        <v>7781</v>
      </c>
      <c r="O374" s="32" t="s">
        <v>9945</v>
      </c>
    </row>
    <row x14ac:dyDescent="0.25" r="375" customHeight="1" ht="15.75">
      <c r="A375" s="8">
        <v>25497</v>
      </c>
      <c r="B375" s="13" t="s">
        <v>69</v>
      </c>
      <c r="C375" s="13" t="s">
        <v>5118</v>
      </c>
      <c r="D375" s="32" t="s">
        <v>5119</v>
      </c>
      <c r="E375" s="32" t="s">
        <v>9946</v>
      </c>
      <c r="F375" s="32" t="s">
        <v>5119</v>
      </c>
      <c r="G375" s="32" t="s">
        <v>9947</v>
      </c>
      <c r="H375" s="32" t="s">
        <v>7505</v>
      </c>
      <c r="I375" s="32" t="s">
        <v>9948</v>
      </c>
      <c r="J375" s="32" t="s">
        <v>5121</v>
      </c>
      <c r="K375" s="32" t="s">
        <v>9949</v>
      </c>
      <c r="L375" s="32" t="s">
        <v>1838</v>
      </c>
      <c r="M375" s="32" t="s">
        <v>9950</v>
      </c>
      <c r="N375" s="32" t="s">
        <v>9951</v>
      </c>
      <c r="O375" s="32" t="s">
        <v>9952</v>
      </c>
    </row>
    <row x14ac:dyDescent="0.25" r="376" customHeight="1" ht="15.75">
      <c r="A376" s="8">
        <v>25498</v>
      </c>
      <c r="B376" s="13" t="s">
        <v>69</v>
      </c>
      <c r="C376" s="13" t="s">
        <v>5122</v>
      </c>
      <c r="D376" s="32" t="s">
        <v>5123</v>
      </c>
      <c r="E376" s="32" t="s">
        <v>9953</v>
      </c>
      <c r="F376" s="32" t="s">
        <v>4618</v>
      </c>
      <c r="G376" s="32" t="s">
        <v>9954</v>
      </c>
      <c r="H376" s="32" t="s">
        <v>5124</v>
      </c>
      <c r="I376" s="32" t="s">
        <v>9937</v>
      </c>
      <c r="J376" s="32" t="s">
        <v>5124</v>
      </c>
      <c r="K376" s="32" t="s">
        <v>9955</v>
      </c>
      <c r="L376" s="32" t="s">
        <v>5124</v>
      </c>
      <c r="M376" s="32" t="s">
        <v>7817</v>
      </c>
      <c r="N376" s="32" t="s">
        <v>5785</v>
      </c>
      <c r="O376" s="32" t="s">
        <v>9956</v>
      </c>
    </row>
    <row x14ac:dyDescent="0.25" r="377" customHeight="1" ht="15.75">
      <c r="A377" s="8">
        <v>25499</v>
      </c>
      <c r="B377" s="13" t="s">
        <v>69</v>
      </c>
      <c r="C377" s="13" t="s">
        <v>5125</v>
      </c>
      <c r="D377" s="32" t="s">
        <v>1672</v>
      </c>
      <c r="E377" s="32" t="s">
        <v>8442</v>
      </c>
      <c r="F377" s="32" t="s">
        <v>1672</v>
      </c>
      <c r="G377" s="32" t="s">
        <v>8122</v>
      </c>
      <c r="H377" s="32" t="s">
        <v>1718</v>
      </c>
      <c r="I377" s="32" t="s">
        <v>9957</v>
      </c>
      <c r="J377" s="32" t="s">
        <v>5127</v>
      </c>
      <c r="K377" s="32" t="s">
        <v>9958</v>
      </c>
      <c r="L377" s="32" t="s">
        <v>9959</v>
      </c>
      <c r="M377" s="32" t="s">
        <v>9960</v>
      </c>
      <c r="N377" s="32" t="s">
        <v>2120</v>
      </c>
      <c r="O377" s="32" t="s">
        <v>9961</v>
      </c>
    </row>
    <row x14ac:dyDescent="0.25" r="378" customHeight="1" ht="15.75">
      <c r="A378" s="8">
        <v>25500</v>
      </c>
      <c r="B378" s="13" t="s">
        <v>69</v>
      </c>
      <c r="C378" s="13" t="s">
        <v>5128</v>
      </c>
      <c r="D378" s="32" t="s">
        <v>5129</v>
      </c>
      <c r="E378" s="32" t="s">
        <v>9962</v>
      </c>
      <c r="F378" s="32" t="s">
        <v>5129</v>
      </c>
      <c r="G378" s="32" t="s">
        <v>7899</v>
      </c>
      <c r="H378" s="32" t="s">
        <v>2625</v>
      </c>
      <c r="I378" s="32" t="s">
        <v>9963</v>
      </c>
      <c r="J378" s="32" t="s">
        <v>5131</v>
      </c>
      <c r="K378" s="32" t="s">
        <v>9964</v>
      </c>
      <c r="L378" s="32" t="s">
        <v>6083</v>
      </c>
      <c r="M378" s="32" t="s">
        <v>9965</v>
      </c>
      <c r="N378" s="32" t="s">
        <v>9966</v>
      </c>
      <c r="O378" s="32" t="s">
        <v>9967</v>
      </c>
    </row>
    <row x14ac:dyDescent="0.25" r="379" customHeight="1" ht="15.75">
      <c r="A379" s="8">
        <v>25501</v>
      </c>
      <c r="B379" s="13" t="s">
        <v>69</v>
      </c>
      <c r="C379" s="13" t="s">
        <v>5132</v>
      </c>
      <c r="D379" s="32" t="s">
        <v>5133</v>
      </c>
      <c r="E379" s="32" t="s">
        <v>9968</v>
      </c>
      <c r="F379" s="32" t="s">
        <v>9969</v>
      </c>
      <c r="G379" s="32" t="s">
        <v>9970</v>
      </c>
      <c r="H379" s="32" t="s">
        <v>9971</v>
      </c>
      <c r="I379" s="32" t="s">
        <v>9972</v>
      </c>
      <c r="J379" s="32" t="s">
        <v>5135</v>
      </c>
      <c r="K379" s="32" t="s">
        <v>9973</v>
      </c>
      <c r="L379" s="32" t="s">
        <v>9974</v>
      </c>
      <c r="M379" s="32" t="s">
        <v>7127</v>
      </c>
      <c r="N379" s="32" t="s">
        <v>9975</v>
      </c>
      <c r="O379" s="32" t="s">
        <v>9329</v>
      </c>
    </row>
    <row x14ac:dyDescent="0.25" r="380" customHeight="1" ht="15.75">
      <c r="A380" s="8">
        <v>25502</v>
      </c>
      <c r="B380" s="13" t="s">
        <v>69</v>
      </c>
      <c r="C380" s="13" t="s">
        <v>5136</v>
      </c>
      <c r="D380" s="32" t="s">
        <v>5137</v>
      </c>
      <c r="E380" s="32" t="s">
        <v>9976</v>
      </c>
      <c r="F380" s="32" t="s">
        <v>4543</v>
      </c>
      <c r="G380" s="32" t="s">
        <v>9977</v>
      </c>
      <c r="H380" s="32" t="s">
        <v>9978</v>
      </c>
      <c r="I380" s="32" t="s">
        <v>9979</v>
      </c>
      <c r="J380" s="32" t="s">
        <v>5139</v>
      </c>
      <c r="K380" s="32" t="s">
        <v>9980</v>
      </c>
      <c r="L380" s="32" t="s">
        <v>5396</v>
      </c>
      <c r="M380" s="32" t="s">
        <v>9981</v>
      </c>
      <c r="N380" s="32" t="s">
        <v>9982</v>
      </c>
      <c r="O380" s="32" t="s">
        <v>9983</v>
      </c>
    </row>
    <row x14ac:dyDescent="0.25" r="381" customHeight="1" ht="15.75">
      <c r="A381" s="8">
        <v>25503</v>
      </c>
      <c r="B381" s="13" t="s">
        <v>69</v>
      </c>
      <c r="C381" s="13" t="s">
        <v>5141</v>
      </c>
      <c r="D381" s="32" t="s">
        <v>5142</v>
      </c>
      <c r="E381" s="32" t="s">
        <v>8643</v>
      </c>
      <c r="F381" s="32" t="s">
        <v>57</v>
      </c>
      <c r="G381" s="32" t="s">
        <v>9984</v>
      </c>
      <c r="H381" s="32" t="s">
        <v>9985</v>
      </c>
      <c r="I381" s="32" t="s">
        <v>9986</v>
      </c>
      <c r="J381" s="32" t="s">
        <v>5143</v>
      </c>
      <c r="K381" s="32" t="s">
        <v>9987</v>
      </c>
      <c r="L381" s="32" t="s">
        <v>5143</v>
      </c>
      <c r="M381" s="32" t="s">
        <v>9988</v>
      </c>
      <c r="N381" s="32" t="s">
        <v>57</v>
      </c>
      <c r="O381" s="32" t="s">
        <v>9989</v>
      </c>
    </row>
    <row x14ac:dyDescent="0.25" r="382" customHeight="1" ht="15.75">
      <c r="A382" s="8">
        <v>25504</v>
      </c>
      <c r="B382" s="13" t="s">
        <v>69</v>
      </c>
      <c r="C382" s="13" t="s">
        <v>5144</v>
      </c>
      <c r="D382" s="32" t="s">
        <v>4150</v>
      </c>
      <c r="E382" s="32" t="s">
        <v>9990</v>
      </c>
      <c r="F382" s="32" t="s">
        <v>9991</v>
      </c>
      <c r="G382" s="32" t="s">
        <v>9992</v>
      </c>
      <c r="H382" s="32" t="s">
        <v>2190</v>
      </c>
      <c r="I382" s="32" t="s">
        <v>9993</v>
      </c>
      <c r="J382" s="32" t="s">
        <v>5145</v>
      </c>
      <c r="K382" s="32" t="s">
        <v>7127</v>
      </c>
      <c r="L382" s="32" t="s">
        <v>9994</v>
      </c>
      <c r="M382" s="32" t="s">
        <v>9995</v>
      </c>
      <c r="N382" s="32" t="s">
        <v>9996</v>
      </c>
      <c r="O382" s="32" t="s">
        <v>9997</v>
      </c>
    </row>
    <row x14ac:dyDescent="0.25" r="383" customHeight="1" ht="15.75">
      <c r="A383" s="8">
        <v>25505</v>
      </c>
      <c r="B383" s="13" t="s">
        <v>69</v>
      </c>
      <c r="C383" s="13" t="s">
        <v>5147</v>
      </c>
      <c r="D383" s="32" t="s">
        <v>5148</v>
      </c>
      <c r="E383" s="32" t="s">
        <v>9998</v>
      </c>
      <c r="F383" s="32" t="s">
        <v>1826</v>
      </c>
      <c r="G383" s="32" t="s">
        <v>9999</v>
      </c>
      <c r="H383" s="32" t="s">
        <v>10000</v>
      </c>
      <c r="I383" s="32" t="s">
        <v>10001</v>
      </c>
      <c r="J383" s="32" t="s">
        <v>5150</v>
      </c>
      <c r="K383" s="32" t="s">
        <v>10002</v>
      </c>
      <c r="L383" s="32" t="s">
        <v>5464</v>
      </c>
      <c r="M383" s="32" t="s">
        <v>10003</v>
      </c>
      <c r="N383" s="32" t="s">
        <v>4512</v>
      </c>
      <c r="O383" s="32" t="s">
        <v>10004</v>
      </c>
    </row>
    <row x14ac:dyDescent="0.25" r="384" customHeight="1" ht="15.75">
      <c r="A384" s="8">
        <v>25506</v>
      </c>
      <c r="B384" s="13" t="s">
        <v>69</v>
      </c>
      <c r="C384" s="13" t="s">
        <v>5151</v>
      </c>
      <c r="D384" s="32" t="s">
        <v>5152</v>
      </c>
      <c r="E384" s="32" t="s">
        <v>10005</v>
      </c>
      <c r="F384" s="32" t="s">
        <v>2420</v>
      </c>
      <c r="G384" s="32" t="s">
        <v>7255</v>
      </c>
      <c r="H384" s="32" t="s">
        <v>10006</v>
      </c>
      <c r="I384" s="32" t="s">
        <v>10007</v>
      </c>
      <c r="J384" s="32" t="s">
        <v>1674</v>
      </c>
      <c r="K384" s="32" t="s">
        <v>10008</v>
      </c>
      <c r="L384" s="32" t="s">
        <v>2224</v>
      </c>
      <c r="M384" s="32" t="s">
        <v>9163</v>
      </c>
      <c r="N384" s="32" t="s">
        <v>10009</v>
      </c>
      <c r="O384" s="32" t="s">
        <v>9163</v>
      </c>
    </row>
    <row x14ac:dyDescent="0.25" r="385" customHeight="1" ht="15.75">
      <c r="A385" s="8">
        <v>25507</v>
      </c>
      <c r="B385" s="13" t="s">
        <v>69</v>
      </c>
      <c r="C385" s="13" t="s">
        <v>5155</v>
      </c>
      <c r="D385" s="32" t="s">
        <v>5156</v>
      </c>
      <c r="E385" s="32" t="s">
        <v>10010</v>
      </c>
      <c r="F385" s="32" t="s">
        <v>10011</v>
      </c>
      <c r="G385" s="32" t="s">
        <v>10012</v>
      </c>
      <c r="H385" s="32" t="s">
        <v>1047</v>
      </c>
      <c r="I385" s="32" t="s">
        <v>10013</v>
      </c>
      <c r="J385" s="32" t="s">
        <v>5158</v>
      </c>
      <c r="K385" s="32" t="s">
        <v>10014</v>
      </c>
      <c r="L385" s="32" t="s">
        <v>10015</v>
      </c>
      <c r="M385" s="32" t="s">
        <v>10016</v>
      </c>
      <c r="N385" s="32" t="s">
        <v>2387</v>
      </c>
      <c r="O385" s="32" t="s">
        <v>10017</v>
      </c>
    </row>
    <row x14ac:dyDescent="0.25" r="386" customHeight="1" ht="15.75">
      <c r="A386" s="8">
        <v>25508</v>
      </c>
      <c r="B386" s="13" t="s">
        <v>69</v>
      </c>
      <c r="C386" s="13" t="s">
        <v>5159</v>
      </c>
      <c r="D386" s="32" t="s">
        <v>5160</v>
      </c>
      <c r="E386" s="32" t="s">
        <v>10018</v>
      </c>
      <c r="F386" s="32" t="s">
        <v>5160</v>
      </c>
      <c r="G386" s="32" t="s">
        <v>10019</v>
      </c>
      <c r="H386" s="32" t="s">
        <v>1562</v>
      </c>
      <c r="I386" s="32" t="s">
        <v>10020</v>
      </c>
      <c r="J386" s="32" t="s">
        <v>4252</v>
      </c>
      <c r="K386" s="32" t="s">
        <v>10021</v>
      </c>
      <c r="L386" s="32" t="s">
        <v>10022</v>
      </c>
      <c r="M386" s="32" t="s">
        <v>10023</v>
      </c>
      <c r="N386" s="32" t="s">
        <v>7324</v>
      </c>
      <c r="O386" s="32" t="s">
        <v>10024</v>
      </c>
    </row>
    <row x14ac:dyDescent="0.25" r="387" customHeight="1" ht="15.75">
      <c r="A387" s="8">
        <v>25509</v>
      </c>
      <c r="B387" s="13" t="s">
        <v>69</v>
      </c>
      <c r="C387" s="13" t="s">
        <v>5163</v>
      </c>
      <c r="D387" s="32" t="s">
        <v>5164</v>
      </c>
      <c r="E387" s="32" t="s">
        <v>10025</v>
      </c>
      <c r="F387" s="32" t="s">
        <v>2501</v>
      </c>
      <c r="G387" s="32" t="s">
        <v>10026</v>
      </c>
      <c r="H387" s="32" t="s">
        <v>4795</v>
      </c>
      <c r="I387" s="32" t="s">
        <v>10027</v>
      </c>
      <c r="J387" s="32" t="s">
        <v>5166</v>
      </c>
      <c r="K387" s="32" t="s">
        <v>10028</v>
      </c>
      <c r="L387" s="32" t="s">
        <v>10029</v>
      </c>
      <c r="M387" s="32" t="s">
        <v>7760</v>
      </c>
      <c r="N387" s="32" t="s">
        <v>10030</v>
      </c>
      <c r="O387" s="32" t="s">
        <v>10031</v>
      </c>
    </row>
    <row x14ac:dyDescent="0.25" r="388" customHeight="1" ht="15.75">
      <c r="A388" s="8">
        <v>25510</v>
      </c>
      <c r="B388" s="13" t="s">
        <v>69</v>
      </c>
      <c r="C388" s="13" t="s">
        <v>5167</v>
      </c>
      <c r="D388" s="32" t="s">
        <v>5168</v>
      </c>
      <c r="E388" s="32" t="s">
        <v>10032</v>
      </c>
      <c r="F388" s="32" t="s">
        <v>5019</v>
      </c>
      <c r="G388" s="32" t="s">
        <v>10033</v>
      </c>
      <c r="H388" s="32" t="s">
        <v>6741</v>
      </c>
      <c r="I388" s="32" t="s">
        <v>10034</v>
      </c>
      <c r="J388" s="32" t="s">
        <v>5170</v>
      </c>
      <c r="K388" s="32" t="s">
        <v>10035</v>
      </c>
      <c r="L388" s="32" t="s">
        <v>210</v>
      </c>
      <c r="M388" s="32" t="s">
        <v>10036</v>
      </c>
      <c r="N388" s="32" t="s">
        <v>1569</v>
      </c>
      <c r="O388" s="32" t="s">
        <v>7602</v>
      </c>
    </row>
    <row x14ac:dyDescent="0.25" r="389" customHeight="1" ht="15.75">
      <c r="A389" s="8">
        <v>25511</v>
      </c>
      <c r="B389" s="13" t="s">
        <v>69</v>
      </c>
      <c r="C389" s="13" t="s">
        <v>5172</v>
      </c>
      <c r="D389" s="32" t="s">
        <v>696</v>
      </c>
      <c r="E389" s="32" t="s">
        <v>10037</v>
      </c>
      <c r="F389" s="32" t="s">
        <v>10038</v>
      </c>
      <c r="G389" s="32" t="s">
        <v>10039</v>
      </c>
      <c r="H389" s="32" t="s">
        <v>8551</v>
      </c>
      <c r="I389" s="32" t="s">
        <v>10040</v>
      </c>
      <c r="J389" s="32" t="s">
        <v>2395</v>
      </c>
      <c r="K389" s="32" t="s">
        <v>10041</v>
      </c>
      <c r="L389" s="32" t="s">
        <v>10042</v>
      </c>
      <c r="M389" s="32" t="s">
        <v>8032</v>
      </c>
      <c r="N389" s="32" t="s">
        <v>5237</v>
      </c>
      <c r="O389" s="32" t="s">
        <v>10043</v>
      </c>
    </row>
    <row x14ac:dyDescent="0.25" r="390" customHeight="1" ht="15.75">
      <c r="A390" s="8">
        <v>25512</v>
      </c>
      <c r="B390" s="13" t="s">
        <v>69</v>
      </c>
      <c r="C390" s="13" t="s">
        <v>5175</v>
      </c>
      <c r="D390" s="32" t="s">
        <v>5176</v>
      </c>
      <c r="E390" s="32" t="s">
        <v>10044</v>
      </c>
      <c r="F390" s="32" t="s">
        <v>7520</v>
      </c>
      <c r="G390" s="32" t="s">
        <v>10045</v>
      </c>
      <c r="H390" s="32" t="s">
        <v>7349</v>
      </c>
      <c r="I390" s="32" t="s">
        <v>10046</v>
      </c>
      <c r="J390" s="32" t="s">
        <v>5177</v>
      </c>
      <c r="K390" s="32" t="s">
        <v>7418</v>
      </c>
      <c r="L390" s="32" t="s">
        <v>10047</v>
      </c>
      <c r="M390" s="32" t="s">
        <v>10048</v>
      </c>
      <c r="N390" s="32" t="s">
        <v>1843</v>
      </c>
      <c r="O390" s="32" t="s">
        <v>10049</v>
      </c>
    </row>
    <row x14ac:dyDescent="0.25" r="391" customHeight="1" ht="15.75">
      <c r="A391" s="8">
        <v>25513</v>
      </c>
      <c r="B391" s="13" t="s">
        <v>69</v>
      </c>
      <c r="C391" s="13" t="s">
        <v>5179</v>
      </c>
      <c r="D391" s="32" t="s">
        <v>4198</v>
      </c>
      <c r="E391" s="32" t="s">
        <v>10050</v>
      </c>
      <c r="F391" s="32" t="s">
        <v>1419</v>
      </c>
      <c r="G391" s="32" t="s">
        <v>10051</v>
      </c>
      <c r="H391" s="32" t="s">
        <v>1348</v>
      </c>
      <c r="I391" s="32" t="s">
        <v>10052</v>
      </c>
      <c r="J391" s="32" t="s">
        <v>5180</v>
      </c>
      <c r="K391" s="32" t="s">
        <v>10053</v>
      </c>
      <c r="L391" s="32" t="s">
        <v>5684</v>
      </c>
      <c r="M391" s="32" t="s">
        <v>10054</v>
      </c>
      <c r="N391" s="32" t="s">
        <v>5310</v>
      </c>
      <c r="O391" s="32" t="s">
        <v>10055</v>
      </c>
    </row>
    <row x14ac:dyDescent="0.25" r="392" customHeight="1" ht="15.75">
      <c r="A392" s="8">
        <v>25514</v>
      </c>
      <c r="B392" s="13" t="s">
        <v>69</v>
      </c>
      <c r="C392" s="13" t="s">
        <v>5181</v>
      </c>
      <c r="D392" s="32" t="s">
        <v>5182</v>
      </c>
      <c r="E392" s="32" t="s">
        <v>10056</v>
      </c>
      <c r="F392" s="32" t="s">
        <v>6466</v>
      </c>
      <c r="G392" s="32" t="s">
        <v>10057</v>
      </c>
      <c r="H392" s="32" t="s">
        <v>10058</v>
      </c>
      <c r="I392" s="32" t="s">
        <v>10059</v>
      </c>
      <c r="J392" s="32" t="s">
        <v>4710</v>
      </c>
      <c r="K392" s="32" t="s">
        <v>10060</v>
      </c>
      <c r="L392" s="32" t="s">
        <v>10061</v>
      </c>
      <c r="M392" s="32" t="s">
        <v>10062</v>
      </c>
      <c r="N392" s="32" t="s">
        <v>4995</v>
      </c>
      <c r="O392" s="32" t="s">
        <v>10063</v>
      </c>
    </row>
    <row x14ac:dyDescent="0.25" r="393" customHeight="1" ht="15.75">
      <c r="A393" s="8">
        <v>25515</v>
      </c>
      <c r="B393" s="13" t="s">
        <v>69</v>
      </c>
      <c r="C393" s="13" t="s">
        <v>5185</v>
      </c>
      <c r="D393" s="32" t="s">
        <v>5186</v>
      </c>
      <c r="E393" s="32" t="s">
        <v>10064</v>
      </c>
      <c r="F393" s="32" t="s">
        <v>8511</v>
      </c>
      <c r="G393" s="32" t="s">
        <v>10065</v>
      </c>
      <c r="H393" s="32" t="s">
        <v>10066</v>
      </c>
      <c r="I393" s="32" t="s">
        <v>10067</v>
      </c>
      <c r="J393" s="32" t="s">
        <v>5188</v>
      </c>
      <c r="K393" s="32" t="s">
        <v>10068</v>
      </c>
      <c r="L393" s="32" t="s">
        <v>10066</v>
      </c>
      <c r="M393" s="32" t="s">
        <v>10069</v>
      </c>
      <c r="N393" s="32" t="s">
        <v>10070</v>
      </c>
      <c r="O393" s="32" t="s">
        <v>10071</v>
      </c>
    </row>
    <row x14ac:dyDescent="0.25" r="394" customHeight="1" ht="15.75">
      <c r="A394" s="8">
        <v>25516</v>
      </c>
      <c r="B394" s="13" t="s">
        <v>69</v>
      </c>
      <c r="C394" s="13" t="s">
        <v>5189</v>
      </c>
      <c r="D394" s="32" t="s">
        <v>5190</v>
      </c>
      <c r="E394" s="32" t="s">
        <v>10072</v>
      </c>
      <c r="F394" s="32" t="s">
        <v>8644</v>
      </c>
      <c r="G394" s="32" t="s">
        <v>10073</v>
      </c>
      <c r="H394" s="32" t="s">
        <v>8451</v>
      </c>
      <c r="I394" s="32" t="s">
        <v>10074</v>
      </c>
      <c r="J394" s="32" t="s">
        <v>5191</v>
      </c>
      <c r="K394" s="32" t="s">
        <v>7623</v>
      </c>
      <c r="L394" s="32" t="s">
        <v>1047</v>
      </c>
      <c r="M394" s="32" t="s">
        <v>10075</v>
      </c>
      <c r="N394" s="32" t="s">
        <v>4132</v>
      </c>
      <c r="O394" s="32" t="s">
        <v>10076</v>
      </c>
    </row>
    <row x14ac:dyDescent="0.25" r="395" customHeight="1" ht="15.75">
      <c r="A395" s="8">
        <v>25517</v>
      </c>
      <c r="B395" s="13" t="s">
        <v>69</v>
      </c>
      <c r="C395" s="13" t="s">
        <v>5192</v>
      </c>
      <c r="D395" s="32" t="s">
        <v>5193</v>
      </c>
      <c r="E395" s="32" t="s">
        <v>10077</v>
      </c>
      <c r="F395" s="32" t="s">
        <v>6072</v>
      </c>
      <c r="G395" s="32" t="s">
        <v>10078</v>
      </c>
      <c r="H395" s="32" t="s">
        <v>2507</v>
      </c>
      <c r="I395" s="32" t="s">
        <v>10079</v>
      </c>
      <c r="J395" s="32" t="s">
        <v>2546</v>
      </c>
      <c r="K395" s="32" t="s">
        <v>10080</v>
      </c>
      <c r="L395" s="32" t="s">
        <v>5731</v>
      </c>
      <c r="M395" s="32" t="s">
        <v>10081</v>
      </c>
      <c r="N395" s="32" t="s">
        <v>10082</v>
      </c>
      <c r="O395" s="32" t="s">
        <v>10083</v>
      </c>
    </row>
    <row x14ac:dyDescent="0.25" r="396" customHeight="1" ht="15.75">
      <c r="A396" s="8">
        <v>25518</v>
      </c>
      <c r="B396" s="13" t="s">
        <v>69</v>
      </c>
      <c r="C396" s="13" t="s">
        <v>5195</v>
      </c>
      <c r="D396" s="32" t="s">
        <v>5196</v>
      </c>
      <c r="E396" s="32" t="s">
        <v>10084</v>
      </c>
      <c r="F396" s="32" t="s">
        <v>5425</v>
      </c>
      <c r="G396" s="32" t="s">
        <v>10085</v>
      </c>
      <c r="H396" s="32" t="s">
        <v>1907</v>
      </c>
      <c r="I396" s="32" t="s">
        <v>10086</v>
      </c>
      <c r="J396" s="32" t="s">
        <v>5016</v>
      </c>
      <c r="K396" s="32" t="s">
        <v>10087</v>
      </c>
      <c r="L396" s="32" t="s">
        <v>10088</v>
      </c>
      <c r="M396" s="32" t="s">
        <v>10089</v>
      </c>
      <c r="N396" s="32" t="s">
        <v>10090</v>
      </c>
      <c r="O396" s="32" t="s">
        <v>10091</v>
      </c>
    </row>
    <row x14ac:dyDescent="0.25" r="397" customHeight="1" ht="15.75">
      <c r="A397" s="8">
        <v>25519</v>
      </c>
      <c r="B397" s="13" t="s">
        <v>69</v>
      </c>
      <c r="C397" s="13" t="s">
        <v>5198</v>
      </c>
      <c r="D397" s="32" t="s">
        <v>5199</v>
      </c>
      <c r="E397" s="32" t="s">
        <v>10092</v>
      </c>
      <c r="F397" s="32" t="s">
        <v>4744</v>
      </c>
      <c r="G397" s="32" t="s">
        <v>10093</v>
      </c>
      <c r="H397" s="32" t="s">
        <v>10094</v>
      </c>
      <c r="I397" s="32" t="s">
        <v>10095</v>
      </c>
      <c r="J397" s="32" t="s">
        <v>4820</v>
      </c>
      <c r="K397" s="32" t="s">
        <v>10096</v>
      </c>
      <c r="L397" s="32" t="s">
        <v>10097</v>
      </c>
      <c r="M397" s="32" t="s">
        <v>10098</v>
      </c>
      <c r="N397" s="32" t="s">
        <v>178</v>
      </c>
      <c r="O397" s="32" t="s">
        <v>7127</v>
      </c>
    </row>
    <row x14ac:dyDescent="0.25" r="398" customHeight="1" ht="15.75">
      <c r="A398" s="8">
        <v>25520</v>
      </c>
      <c r="B398" s="13" t="s">
        <v>69</v>
      </c>
      <c r="C398" s="13" t="s">
        <v>5201</v>
      </c>
      <c r="D398" s="32" t="s">
        <v>1895</v>
      </c>
      <c r="E398" s="32" t="s">
        <v>10099</v>
      </c>
      <c r="F398" s="32" t="s">
        <v>2093</v>
      </c>
      <c r="G398" s="32" t="s">
        <v>8502</v>
      </c>
      <c r="H398" s="32" t="s">
        <v>409</v>
      </c>
      <c r="I398" s="32" t="s">
        <v>10100</v>
      </c>
      <c r="J398" s="32" t="s">
        <v>5203</v>
      </c>
      <c r="K398" s="32" t="s">
        <v>10101</v>
      </c>
      <c r="L398" s="32" t="s">
        <v>950</v>
      </c>
      <c r="M398" s="32" t="s">
        <v>10102</v>
      </c>
      <c r="N398" s="32" t="s">
        <v>454</v>
      </c>
      <c r="O398" s="32" t="s">
        <v>10103</v>
      </c>
    </row>
    <row x14ac:dyDescent="0.25" r="399" customHeight="1" ht="15.75">
      <c r="A399" s="8">
        <v>25521</v>
      </c>
      <c r="B399" s="13" t="s">
        <v>69</v>
      </c>
      <c r="C399" s="13" t="s">
        <v>5205</v>
      </c>
      <c r="D399" s="32" t="s">
        <v>2332</v>
      </c>
      <c r="E399" s="32" t="s">
        <v>8838</v>
      </c>
      <c r="F399" s="32" t="s">
        <v>10104</v>
      </c>
      <c r="G399" s="32" t="s">
        <v>10105</v>
      </c>
      <c r="H399" s="32" t="s">
        <v>4435</v>
      </c>
      <c r="I399" s="32" t="s">
        <v>10106</v>
      </c>
      <c r="J399" s="32" t="s">
        <v>5207</v>
      </c>
      <c r="K399" s="32" t="s">
        <v>10107</v>
      </c>
      <c r="L399" s="32" t="s">
        <v>2369</v>
      </c>
      <c r="M399" s="32" t="s">
        <v>10108</v>
      </c>
      <c r="N399" s="32" t="s">
        <v>10109</v>
      </c>
      <c r="O399" s="32" t="s">
        <v>10110</v>
      </c>
    </row>
    <row x14ac:dyDescent="0.25" r="400" customHeight="1" ht="15.75">
      <c r="A400" s="8">
        <v>25522</v>
      </c>
      <c r="B400" s="13" t="s">
        <v>69</v>
      </c>
      <c r="C400" s="13" t="s">
        <v>5208</v>
      </c>
      <c r="D400" s="32" t="s">
        <v>5209</v>
      </c>
      <c r="E400" s="32" t="s">
        <v>9337</v>
      </c>
      <c r="F400" s="32" t="s">
        <v>10111</v>
      </c>
      <c r="G400" s="32" t="s">
        <v>10112</v>
      </c>
      <c r="H400" s="32" t="s">
        <v>4262</v>
      </c>
      <c r="I400" s="32" t="s">
        <v>10113</v>
      </c>
      <c r="J400" s="32" t="s">
        <v>1822</v>
      </c>
      <c r="K400" s="32" t="s">
        <v>10114</v>
      </c>
      <c r="L400" s="32" t="s">
        <v>1857</v>
      </c>
      <c r="M400" s="32" t="s">
        <v>10115</v>
      </c>
      <c r="N400" s="32" t="s">
        <v>4262</v>
      </c>
      <c r="O400" s="32" t="s">
        <v>10116</v>
      </c>
    </row>
    <row x14ac:dyDescent="0.25" r="401" customHeight="1" ht="15.75">
      <c r="A401" s="8">
        <v>25523</v>
      </c>
      <c r="B401" s="13" t="s">
        <v>69</v>
      </c>
      <c r="C401" s="13" t="s">
        <v>6328</v>
      </c>
      <c r="D401" s="32" t="s">
        <v>2175</v>
      </c>
      <c r="E401" s="32" t="s">
        <v>10117</v>
      </c>
      <c r="F401" s="32" t="s">
        <v>1230</v>
      </c>
      <c r="G401" s="32" t="s">
        <v>10118</v>
      </c>
      <c r="H401" s="32" t="s">
        <v>87</v>
      </c>
      <c r="I401" s="32" t="s">
        <v>7309</v>
      </c>
      <c r="J401" s="32" t="s">
        <v>29</v>
      </c>
      <c r="K401" s="32" t="s">
        <v>7127</v>
      </c>
      <c r="L401" s="32" t="s">
        <v>10119</v>
      </c>
      <c r="M401" s="32" t="s">
        <v>10120</v>
      </c>
      <c r="N401" s="32" t="s">
        <v>5142</v>
      </c>
      <c r="O401" s="32" t="s">
        <v>10121</v>
      </c>
    </row>
    <row x14ac:dyDescent="0.25" r="402" customHeight="1" ht="15.75">
      <c r="A402" s="8">
        <v>25524</v>
      </c>
      <c r="B402" s="13" t="s">
        <v>69</v>
      </c>
      <c r="C402" s="13" t="s">
        <v>5210</v>
      </c>
      <c r="D402" s="32" t="s">
        <v>4123</v>
      </c>
      <c r="E402" s="32" t="s">
        <v>10122</v>
      </c>
      <c r="F402" s="32" t="s">
        <v>6334</v>
      </c>
      <c r="G402" s="32" t="s">
        <v>10123</v>
      </c>
      <c r="H402" s="32" t="s">
        <v>9725</v>
      </c>
      <c r="I402" s="32" t="s">
        <v>10124</v>
      </c>
      <c r="J402" s="32" t="s">
        <v>5211</v>
      </c>
      <c r="K402" s="32" t="s">
        <v>10125</v>
      </c>
      <c r="L402" s="32" t="s">
        <v>836</v>
      </c>
      <c r="M402" s="32" t="s">
        <v>7127</v>
      </c>
      <c r="N402" s="32" t="s">
        <v>10126</v>
      </c>
      <c r="O402" s="32" t="s">
        <v>10127</v>
      </c>
    </row>
    <row x14ac:dyDescent="0.25" r="403" customHeight="1" ht="15.75">
      <c r="A403" s="8">
        <v>25525</v>
      </c>
      <c r="B403" s="13" t="s">
        <v>69</v>
      </c>
      <c r="C403" s="13" t="s">
        <v>5212</v>
      </c>
      <c r="D403" s="32" t="s">
        <v>5213</v>
      </c>
      <c r="E403" s="32" t="s">
        <v>10128</v>
      </c>
      <c r="F403" s="32" t="s">
        <v>5219</v>
      </c>
      <c r="G403" s="32" t="s">
        <v>10129</v>
      </c>
      <c r="H403" s="32" t="s">
        <v>10130</v>
      </c>
      <c r="I403" s="32" t="s">
        <v>8073</v>
      </c>
      <c r="J403" s="32" t="s">
        <v>5215</v>
      </c>
      <c r="K403" s="32" t="s">
        <v>7939</v>
      </c>
      <c r="L403" s="32" t="s">
        <v>10131</v>
      </c>
      <c r="M403" s="32" t="s">
        <v>10132</v>
      </c>
      <c r="N403" s="32" t="s">
        <v>5395</v>
      </c>
      <c r="O403" s="32" t="s">
        <v>10133</v>
      </c>
    </row>
    <row x14ac:dyDescent="0.25" r="404" customHeight="1" ht="15.75">
      <c r="A404" s="8">
        <v>25526</v>
      </c>
      <c r="B404" s="13" t="s">
        <v>69</v>
      </c>
      <c r="C404" s="13" t="s">
        <v>5216</v>
      </c>
      <c r="D404" s="32" t="s">
        <v>924</v>
      </c>
      <c r="E404" s="32" t="s">
        <v>7127</v>
      </c>
      <c r="F404" s="32" t="s">
        <v>615</v>
      </c>
      <c r="G404" s="32" t="s">
        <v>8442</v>
      </c>
      <c r="H404" s="32" t="s">
        <v>50</v>
      </c>
      <c r="I404" s="32" t="s">
        <v>10134</v>
      </c>
      <c r="J404" s="32" t="s">
        <v>81</v>
      </c>
      <c r="K404" s="32" t="s">
        <v>9822</v>
      </c>
      <c r="L404" s="32" t="s">
        <v>5611</v>
      </c>
      <c r="M404" s="32" t="s">
        <v>9402</v>
      </c>
      <c r="N404" s="32" t="s">
        <v>1342</v>
      </c>
      <c r="O404" s="32" t="s">
        <v>10135</v>
      </c>
    </row>
    <row x14ac:dyDescent="0.25" r="405" customHeight="1" ht="15.75">
      <c r="A405" s="8">
        <v>25527</v>
      </c>
      <c r="B405" s="13" t="s">
        <v>69</v>
      </c>
      <c r="C405" s="13" t="s">
        <v>5217</v>
      </c>
      <c r="D405" s="32" t="s">
        <v>234</v>
      </c>
      <c r="E405" s="32" t="s">
        <v>7255</v>
      </c>
      <c r="F405" s="32" t="s">
        <v>29</v>
      </c>
      <c r="G405" s="32" t="s">
        <v>7127</v>
      </c>
      <c r="H405" s="32" t="s">
        <v>33</v>
      </c>
      <c r="I405" s="32" t="s">
        <v>10136</v>
      </c>
      <c r="J405" s="32" t="s">
        <v>43</v>
      </c>
      <c r="K405" s="32" t="s">
        <v>7973</v>
      </c>
      <c r="L405" s="32" t="s">
        <v>42</v>
      </c>
      <c r="M405" s="32" t="s">
        <v>9229</v>
      </c>
      <c r="N405" s="32" t="s">
        <v>1151</v>
      </c>
      <c r="O405" s="32" t="s">
        <v>10137</v>
      </c>
    </row>
    <row x14ac:dyDescent="0.25" r="406" customHeight="1" ht="15.75">
      <c r="A406" s="8">
        <v>25528</v>
      </c>
      <c r="B406" s="13" t="s">
        <v>69</v>
      </c>
      <c r="C406" s="13" t="s">
        <v>5218</v>
      </c>
      <c r="D406" s="32" t="s">
        <v>2745</v>
      </c>
      <c r="E406" s="32" t="s">
        <v>10138</v>
      </c>
      <c r="F406" s="32" t="s">
        <v>10139</v>
      </c>
      <c r="G406" s="32" t="s">
        <v>10140</v>
      </c>
      <c r="H406" s="32" t="s">
        <v>6088</v>
      </c>
      <c r="I406" s="32" t="s">
        <v>10141</v>
      </c>
      <c r="J406" s="32" t="s">
        <v>5219</v>
      </c>
      <c r="K406" s="32" t="s">
        <v>10142</v>
      </c>
      <c r="L406" s="32" t="s">
        <v>10143</v>
      </c>
      <c r="M406" s="32" t="s">
        <v>10144</v>
      </c>
      <c r="N406" s="32" t="s">
        <v>2549</v>
      </c>
      <c r="O406" s="32" t="s">
        <v>8598</v>
      </c>
    </row>
    <row x14ac:dyDescent="0.25" r="407" customHeight="1" ht="15.75">
      <c r="A407" s="8">
        <v>25529</v>
      </c>
      <c r="B407" s="13" t="s">
        <v>69</v>
      </c>
      <c r="C407" s="13" t="s">
        <v>5221</v>
      </c>
      <c r="D407" s="32" t="s">
        <v>2264</v>
      </c>
      <c r="E407" s="32" t="s">
        <v>10145</v>
      </c>
      <c r="F407" s="32" t="s">
        <v>2264</v>
      </c>
      <c r="G407" s="32" t="s">
        <v>10146</v>
      </c>
      <c r="H407" s="32" t="s">
        <v>8630</v>
      </c>
      <c r="I407" s="32" t="s">
        <v>10147</v>
      </c>
      <c r="J407" s="32" t="s">
        <v>5222</v>
      </c>
      <c r="K407" s="32" t="s">
        <v>10148</v>
      </c>
      <c r="L407" s="32" t="s">
        <v>2337</v>
      </c>
      <c r="M407" s="32" t="s">
        <v>10149</v>
      </c>
      <c r="N407" s="32" t="s">
        <v>6764</v>
      </c>
      <c r="O407" s="32" t="s">
        <v>10150</v>
      </c>
    </row>
    <row x14ac:dyDescent="0.25" r="408" customHeight="1" ht="15.75">
      <c r="A408" s="8">
        <v>25530</v>
      </c>
      <c r="B408" s="13" t="s">
        <v>69</v>
      </c>
      <c r="C408" s="13" t="s">
        <v>5223</v>
      </c>
      <c r="D408" s="32" t="s">
        <v>5224</v>
      </c>
      <c r="E408" s="32" t="s">
        <v>10151</v>
      </c>
      <c r="F408" s="32" t="s">
        <v>10152</v>
      </c>
      <c r="G408" s="32" t="s">
        <v>10153</v>
      </c>
      <c r="H408" s="32" t="s">
        <v>6383</v>
      </c>
      <c r="I408" s="32" t="s">
        <v>10154</v>
      </c>
      <c r="J408" s="32" t="s">
        <v>5225</v>
      </c>
      <c r="K408" s="32" t="s">
        <v>10155</v>
      </c>
      <c r="L408" s="32" t="s">
        <v>10156</v>
      </c>
      <c r="M408" s="32" t="s">
        <v>10157</v>
      </c>
      <c r="N408" s="32" t="s">
        <v>10158</v>
      </c>
      <c r="O408" s="32" t="s">
        <v>10159</v>
      </c>
    </row>
    <row x14ac:dyDescent="0.25" r="409" customHeight="1" ht="15.75">
      <c r="A409" s="8">
        <v>25531</v>
      </c>
      <c r="B409" s="13" t="s">
        <v>69</v>
      </c>
      <c r="C409" s="13" t="s">
        <v>5226</v>
      </c>
      <c r="D409" s="32" t="s">
        <v>5227</v>
      </c>
      <c r="E409" s="32" t="s">
        <v>10160</v>
      </c>
      <c r="F409" s="32" t="s">
        <v>88</v>
      </c>
      <c r="G409" s="32" t="s">
        <v>10161</v>
      </c>
      <c r="H409" s="32" t="s">
        <v>5286</v>
      </c>
      <c r="I409" s="32" t="s">
        <v>8599</v>
      </c>
      <c r="J409" s="32" t="s">
        <v>5229</v>
      </c>
      <c r="K409" s="32" t="s">
        <v>10162</v>
      </c>
      <c r="L409" s="32" t="s">
        <v>10163</v>
      </c>
      <c r="M409" s="32" t="s">
        <v>10164</v>
      </c>
      <c r="N409" s="32" t="s">
        <v>2076</v>
      </c>
      <c r="O409" s="32" t="s">
        <v>10165</v>
      </c>
    </row>
    <row x14ac:dyDescent="0.25" r="410" customHeight="1" ht="15.75">
      <c r="A410" s="8">
        <v>25532</v>
      </c>
      <c r="B410" s="13" t="s">
        <v>69</v>
      </c>
      <c r="C410" s="13" t="s">
        <v>5230</v>
      </c>
      <c r="D410" s="32" t="s">
        <v>1588</v>
      </c>
      <c r="E410" s="32" t="s">
        <v>10166</v>
      </c>
      <c r="F410" s="32" t="s">
        <v>5875</v>
      </c>
      <c r="G410" s="32" t="s">
        <v>10167</v>
      </c>
      <c r="H410" s="32" t="s">
        <v>10168</v>
      </c>
      <c r="I410" s="32" t="s">
        <v>10169</v>
      </c>
      <c r="J410" s="32" t="s">
        <v>5231</v>
      </c>
      <c r="K410" s="32" t="s">
        <v>10170</v>
      </c>
      <c r="L410" s="32" t="s">
        <v>1588</v>
      </c>
      <c r="M410" s="32" t="s">
        <v>9463</v>
      </c>
      <c r="N410" s="32" t="s">
        <v>10171</v>
      </c>
      <c r="O410" s="32" t="s">
        <v>10172</v>
      </c>
    </row>
    <row x14ac:dyDescent="0.25" r="411" customHeight="1" ht="15.75">
      <c r="A411" s="8">
        <v>25536</v>
      </c>
      <c r="B411" s="13" t="s">
        <v>69</v>
      </c>
      <c r="C411" s="13" t="s">
        <v>5232</v>
      </c>
      <c r="D411" s="32" t="s">
        <v>5233</v>
      </c>
      <c r="E411" s="32" t="s">
        <v>10173</v>
      </c>
      <c r="F411" s="32" t="s">
        <v>10174</v>
      </c>
      <c r="G411" s="32" t="s">
        <v>7127</v>
      </c>
      <c r="H411" s="32" t="s">
        <v>1345</v>
      </c>
      <c r="I411" s="32" t="s">
        <v>10175</v>
      </c>
      <c r="J411" s="32" t="s">
        <v>4678</v>
      </c>
      <c r="K411" s="32" t="s">
        <v>10176</v>
      </c>
      <c r="L411" s="32" t="s">
        <v>10177</v>
      </c>
      <c r="M411" s="32" t="s">
        <v>7127</v>
      </c>
      <c r="N411" s="32" t="s">
        <v>10178</v>
      </c>
      <c r="O411" s="32" t="s">
        <v>7127</v>
      </c>
    </row>
    <row x14ac:dyDescent="0.25" r="412" customHeight="1" ht="15.75">
      <c r="A412" s="8">
        <v>25537</v>
      </c>
      <c r="B412" s="13" t="s">
        <v>69</v>
      </c>
      <c r="C412" s="13" t="s">
        <v>5235</v>
      </c>
      <c r="D412" s="32" t="s">
        <v>2317</v>
      </c>
      <c r="E412" s="32" t="s">
        <v>10179</v>
      </c>
      <c r="F412" s="32" t="s">
        <v>5321</v>
      </c>
      <c r="G412" s="32" t="s">
        <v>10180</v>
      </c>
      <c r="H412" s="32" t="s">
        <v>1342</v>
      </c>
      <c r="I412" s="32" t="s">
        <v>10181</v>
      </c>
      <c r="J412" s="32" t="s">
        <v>5237</v>
      </c>
      <c r="K412" s="32" t="s">
        <v>10182</v>
      </c>
      <c r="L412" s="32" t="s">
        <v>10183</v>
      </c>
      <c r="M412" s="32" t="s">
        <v>7340</v>
      </c>
      <c r="N412" s="32" t="s">
        <v>2109</v>
      </c>
      <c r="O412" s="32" t="s">
        <v>10184</v>
      </c>
    </row>
    <row x14ac:dyDescent="0.25" r="413" customHeight="1" ht="15.75">
      <c r="A413" s="8">
        <v>25538</v>
      </c>
      <c r="B413" s="13" t="s">
        <v>69</v>
      </c>
      <c r="C413" s="13" t="s">
        <v>5239</v>
      </c>
      <c r="D413" s="32" t="s">
        <v>5240</v>
      </c>
      <c r="E413" s="32" t="s">
        <v>10185</v>
      </c>
      <c r="F413" s="32" t="s">
        <v>350</v>
      </c>
      <c r="G413" s="32" t="s">
        <v>10186</v>
      </c>
      <c r="H413" s="32" t="s">
        <v>10187</v>
      </c>
      <c r="I413" s="32" t="s">
        <v>10166</v>
      </c>
      <c r="J413" s="32" t="s">
        <v>5241</v>
      </c>
      <c r="K413" s="32" t="s">
        <v>10188</v>
      </c>
      <c r="L413" s="32" t="s">
        <v>10066</v>
      </c>
      <c r="M413" s="32" t="s">
        <v>10189</v>
      </c>
      <c r="N413" s="32" t="s">
        <v>4424</v>
      </c>
      <c r="O413" s="32" t="s">
        <v>10190</v>
      </c>
    </row>
    <row x14ac:dyDescent="0.25" r="414" customHeight="1" ht="15.75">
      <c r="A414" s="8">
        <v>25539</v>
      </c>
      <c r="B414" s="13" t="s">
        <v>69</v>
      </c>
      <c r="C414" s="13" t="s">
        <v>5242</v>
      </c>
      <c r="D414" s="32" t="s">
        <v>5243</v>
      </c>
      <c r="E414" s="32" t="s">
        <v>10191</v>
      </c>
      <c r="F414" s="32" t="s">
        <v>10192</v>
      </c>
      <c r="G414" s="32" t="s">
        <v>10193</v>
      </c>
      <c r="H414" s="32" t="s">
        <v>10194</v>
      </c>
      <c r="I414" s="32" t="s">
        <v>9169</v>
      </c>
      <c r="J414" s="32" t="s">
        <v>5244</v>
      </c>
      <c r="K414" s="32" t="s">
        <v>10195</v>
      </c>
      <c r="L414" s="32" t="s">
        <v>8978</v>
      </c>
      <c r="M414" s="32" t="s">
        <v>10196</v>
      </c>
      <c r="N414" s="32" t="s">
        <v>10197</v>
      </c>
      <c r="O414" s="32" t="s">
        <v>10198</v>
      </c>
    </row>
    <row x14ac:dyDescent="0.25" r="415" customHeight="1" ht="15.75">
      <c r="A415" s="8">
        <v>25540</v>
      </c>
      <c r="B415" s="13" t="s">
        <v>69</v>
      </c>
      <c r="C415" s="13" t="s">
        <v>5245</v>
      </c>
      <c r="D415" s="32" t="s">
        <v>5246</v>
      </c>
      <c r="E415" s="32" t="s">
        <v>10199</v>
      </c>
      <c r="F415" s="32" t="s">
        <v>5467</v>
      </c>
      <c r="G415" s="32" t="s">
        <v>10200</v>
      </c>
      <c r="H415" s="32" t="s">
        <v>10201</v>
      </c>
      <c r="I415" s="32" t="s">
        <v>9941</v>
      </c>
      <c r="J415" s="32" t="s">
        <v>5247</v>
      </c>
      <c r="K415" s="32" t="s">
        <v>10202</v>
      </c>
      <c r="L415" s="32" t="s">
        <v>10203</v>
      </c>
      <c r="M415" s="32" t="s">
        <v>10204</v>
      </c>
      <c r="N415" s="32" t="s">
        <v>6908</v>
      </c>
      <c r="O415" s="32" t="s">
        <v>10205</v>
      </c>
    </row>
    <row x14ac:dyDescent="0.25" r="416" customHeight="1" ht="15.75">
      <c r="A416" s="8">
        <v>25541</v>
      </c>
      <c r="B416" s="13" t="s">
        <v>69</v>
      </c>
      <c r="C416" s="13" t="s">
        <v>5249</v>
      </c>
      <c r="D416" s="32" t="s">
        <v>4233</v>
      </c>
      <c r="E416" s="32" t="s">
        <v>10206</v>
      </c>
      <c r="F416" s="32" t="s">
        <v>10207</v>
      </c>
      <c r="G416" s="32" t="s">
        <v>10208</v>
      </c>
      <c r="H416" s="32" t="s">
        <v>4359</v>
      </c>
      <c r="I416" s="32" t="s">
        <v>10209</v>
      </c>
      <c r="J416" s="32" t="s">
        <v>5250</v>
      </c>
      <c r="K416" s="32" t="s">
        <v>10210</v>
      </c>
      <c r="L416" s="32" t="s">
        <v>10211</v>
      </c>
      <c r="M416" s="32" t="s">
        <v>10212</v>
      </c>
      <c r="N416" s="32" t="s">
        <v>10213</v>
      </c>
      <c r="O416" s="32" t="s">
        <v>10214</v>
      </c>
    </row>
    <row x14ac:dyDescent="0.25" r="417" customHeight="1" ht="15.75">
      <c r="A417" s="8">
        <v>25542</v>
      </c>
      <c r="B417" s="13" t="s">
        <v>69</v>
      </c>
      <c r="C417" s="13" t="s">
        <v>5251</v>
      </c>
      <c r="D417" s="32" t="s">
        <v>5252</v>
      </c>
      <c r="E417" s="32" t="s">
        <v>10215</v>
      </c>
      <c r="F417" s="32" t="s">
        <v>10216</v>
      </c>
      <c r="G417" s="32" t="s">
        <v>10217</v>
      </c>
      <c r="H417" s="32" t="s">
        <v>2172</v>
      </c>
      <c r="I417" s="32" t="s">
        <v>7127</v>
      </c>
      <c r="J417" s="32" t="s">
        <v>5253</v>
      </c>
      <c r="K417" s="32" t="s">
        <v>7418</v>
      </c>
      <c r="L417" s="32" t="s">
        <v>10218</v>
      </c>
      <c r="M417" s="32" t="s">
        <v>7310</v>
      </c>
      <c r="N417" s="32" t="s">
        <v>10219</v>
      </c>
      <c r="O417" s="32" t="s">
        <v>7127</v>
      </c>
    </row>
    <row x14ac:dyDescent="0.25" r="418" customHeight="1" ht="15.75">
      <c r="A418" s="8">
        <v>25543</v>
      </c>
      <c r="B418" s="13" t="s">
        <v>69</v>
      </c>
      <c r="C418" s="13" t="s">
        <v>5255</v>
      </c>
      <c r="D418" s="32" t="s">
        <v>5256</v>
      </c>
      <c r="E418" s="32" t="s">
        <v>10220</v>
      </c>
      <c r="F418" s="32" t="s">
        <v>10221</v>
      </c>
      <c r="G418" s="32" t="s">
        <v>10222</v>
      </c>
      <c r="H418" s="32" t="s">
        <v>10223</v>
      </c>
      <c r="I418" s="32" t="s">
        <v>10224</v>
      </c>
      <c r="J418" s="32" t="s">
        <v>5258</v>
      </c>
      <c r="K418" s="32" t="s">
        <v>10225</v>
      </c>
      <c r="L418" s="32" t="s">
        <v>10226</v>
      </c>
      <c r="M418" s="32" t="s">
        <v>10227</v>
      </c>
      <c r="N418" s="32" t="s">
        <v>10228</v>
      </c>
      <c r="O418" s="32" t="s">
        <v>10229</v>
      </c>
    </row>
    <row x14ac:dyDescent="0.25" r="419" customHeight="1" ht="15.75">
      <c r="A419" s="8">
        <v>25555</v>
      </c>
      <c r="B419" s="13" t="s">
        <v>91</v>
      </c>
      <c r="C419" s="13" t="s">
        <v>5259</v>
      </c>
      <c r="D419" s="32" t="s">
        <v>5260</v>
      </c>
      <c r="E419" s="32" t="s">
        <v>10230</v>
      </c>
      <c r="F419" s="32" t="s">
        <v>2514</v>
      </c>
      <c r="G419" s="32" t="s">
        <v>9822</v>
      </c>
      <c r="H419" s="32" t="s">
        <v>8234</v>
      </c>
      <c r="I419" s="32" t="s">
        <v>10231</v>
      </c>
      <c r="J419" s="32" t="s">
        <v>1634</v>
      </c>
      <c r="K419" s="32" t="s">
        <v>7418</v>
      </c>
      <c r="L419" s="32" t="s">
        <v>10232</v>
      </c>
      <c r="M419" s="32" t="s">
        <v>10233</v>
      </c>
      <c r="N419" s="32" t="s">
        <v>29</v>
      </c>
      <c r="O419" s="32" t="s">
        <v>7127</v>
      </c>
    </row>
    <row x14ac:dyDescent="0.25" r="420" customHeight="1" ht="15.75">
      <c r="A420" s="8">
        <v>25556</v>
      </c>
      <c r="B420" s="13" t="s">
        <v>91</v>
      </c>
      <c r="C420" s="13" t="s">
        <v>5262</v>
      </c>
      <c r="D420" s="32" t="s">
        <v>5263</v>
      </c>
      <c r="E420" s="32" t="s">
        <v>10234</v>
      </c>
      <c r="F420" s="32" t="s">
        <v>10235</v>
      </c>
      <c r="G420" s="32" t="s">
        <v>10236</v>
      </c>
      <c r="H420" s="32" t="s">
        <v>10237</v>
      </c>
      <c r="I420" s="32" t="s">
        <v>10238</v>
      </c>
      <c r="J420" s="32" t="s">
        <v>1143</v>
      </c>
      <c r="K420" s="32" t="s">
        <v>10239</v>
      </c>
      <c r="L420" s="32" t="s">
        <v>10240</v>
      </c>
      <c r="M420" s="32" t="s">
        <v>10241</v>
      </c>
      <c r="N420" s="32" t="s">
        <v>4414</v>
      </c>
      <c r="O420" s="32" t="s">
        <v>10242</v>
      </c>
    </row>
    <row x14ac:dyDescent="0.25" r="421" customHeight="1" ht="15.75">
      <c r="A421" s="8">
        <v>25557</v>
      </c>
      <c r="B421" s="13" t="s">
        <v>91</v>
      </c>
      <c r="C421" s="13" t="s">
        <v>5265</v>
      </c>
      <c r="D421" s="32" t="s">
        <v>5266</v>
      </c>
      <c r="E421" s="32" t="s">
        <v>10243</v>
      </c>
      <c r="F421" s="32" t="s">
        <v>6146</v>
      </c>
      <c r="G421" s="32" t="s">
        <v>10244</v>
      </c>
      <c r="H421" s="32" t="s">
        <v>10245</v>
      </c>
      <c r="I421" s="32" t="s">
        <v>7127</v>
      </c>
      <c r="J421" s="32" t="s">
        <v>4233</v>
      </c>
      <c r="K421" s="32" t="s">
        <v>10246</v>
      </c>
      <c r="L421" s="32" t="s">
        <v>10247</v>
      </c>
      <c r="M421" s="32" t="s">
        <v>10248</v>
      </c>
      <c r="N421" s="32" t="s">
        <v>7021</v>
      </c>
      <c r="O421" s="32" t="s">
        <v>7127</v>
      </c>
    </row>
    <row x14ac:dyDescent="0.25" r="422" customHeight="1" ht="15.75">
      <c r="A422" s="8">
        <v>25641</v>
      </c>
      <c r="B422" s="13" t="s">
        <v>91</v>
      </c>
      <c r="C422" s="13" t="s">
        <v>5268</v>
      </c>
      <c r="D422" s="32" t="s">
        <v>4706</v>
      </c>
      <c r="E422" s="32" t="s">
        <v>10249</v>
      </c>
      <c r="F422" s="32" t="s">
        <v>10250</v>
      </c>
      <c r="G422" s="32" t="s">
        <v>10251</v>
      </c>
      <c r="H422" s="32" t="s">
        <v>7802</v>
      </c>
      <c r="I422" s="32" t="s">
        <v>10252</v>
      </c>
      <c r="J422" s="32" t="s">
        <v>485</v>
      </c>
      <c r="K422" s="32" t="s">
        <v>10253</v>
      </c>
      <c r="L422" s="32" t="s">
        <v>10254</v>
      </c>
      <c r="M422" s="32" t="s">
        <v>10255</v>
      </c>
      <c r="N422" s="32" t="s">
        <v>10254</v>
      </c>
      <c r="O422" s="32" t="s">
        <v>10256</v>
      </c>
    </row>
    <row x14ac:dyDescent="0.25" r="423" customHeight="1" ht="15.75">
      <c r="A423" s="8">
        <v>25558</v>
      </c>
      <c r="B423" s="13" t="s">
        <v>91</v>
      </c>
      <c r="C423" s="13" t="s">
        <v>5270</v>
      </c>
      <c r="D423" s="32" t="s">
        <v>2557</v>
      </c>
      <c r="E423" s="32" t="s">
        <v>10257</v>
      </c>
      <c r="F423" s="32" t="s">
        <v>10258</v>
      </c>
      <c r="G423" s="32" t="s">
        <v>9673</v>
      </c>
      <c r="H423" s="32" t="s">
        <v>4085</v>
      </c>
      <c r="I423" s="32" t="s">
        <v>10259</v>
      </c>
      <c r="J423" s="32" t="s">
        <v>5272</v>
      </c>
      <c r="K423" s="32" t="s">
        <v>10260</v>
      </c>
      <c r="L423" s="32" t="s">
        <v>4281</v>
      </c>
      <c r="M423" s="32" t="s">
        <v>10261</v>
      </c>
      <c r="N423" s="32" t="s">
        <v>6293</v>
      </c>
      <c r="O423" s="32" t="s">
        <v>10262</v>
      </c>
    </row>
    <row x14ac:dyDescent="0.25" r="424" customHeight="1" ht="15.75">
      <c r="A424" s="8">
        <v>25642</v>
      </c>
      <c r="B424" s="13" t="s">
        <v>91</v>
      </c>
      <c r="C424" s="13" t="s">
        <v>5273</v>
      </c>
      <c r="D424" s="32" t="s">
        <v>5274</v>
      </c>
      <c r="E424" s="32" t="s">
        <v>10263</v>
      </c>
      <c r="F424" s="32" t="s">
        <v>10264</v>
      </c>
      <c r="G424" s="32" t="s">
        <v>10265</v>
      </c>
      <c r="H424" s="32" t="s">
        <v>34</v>
      </c>
      <c r="I424" s="32" t="s">
        <v>10266</v>
      </c>
      <c r="J424" s="32" t="s">
        <v>5275</v>
      </c>
      <c r="K424" s="32" t="s">
        <v>9745</v>
      </c>
      <c r="L424" s="32" t="s">
        <v>7241</v>
      </c>
      <c r="M424" s="32" t="s">
        <v>7127</v>
      </c>
      <c r="N424" s="32" t="s">
        <v>9564</v>
      </c>
      <c r="O424" s="32" t="s">
        <v>7127</v>
      </c>
    </row>
    <row x14ac:dyDescent="0.25" r="425" customHeight="1" ht="15.75">
      <c r="A425" s="8">
        <v>25559</v>
      </c>
      <c r="B425" s="13" t="s">
        <v>91</v>
      </c>
      <c r="C425" s="13" t="s">
        <v>5277</v>
      </c>
      <c r="D425" s="32" t="s">
        <v>5278</v>
      </c>
      <c r="E425" s="32" t="s">
        <v>10267</v>
      </c>
      <c r="F425" s="32" t="s">
        <v>10268</v>
      </c>
      <c r="G425" s="32" t="s">
        <v>10269</v>
      </c>
      <c r="H425" s="32" t="s">
        <v>10270</v>
      </c>
      <c r="I425" s="32" t="s">
        <v>10271</v>
      </c>
      <c r="J425" s="32" t="s">
        <v>5279</v>
      </c>
      <c r="K425" s="32" t="s">
        <v>10272</v>
      </c>
      <c r="L425" s="32" t="s">
        <v>10273</v>
      </c>
      <c r="M425" s="32" t="s">
        <v>10274</v>
      </c>
      <c r="N425" s="32" t="s">
        <v>6006</v>
      </c>
      <c r="O425" s="32" t="s">
        <v>10275</v>
      </c>
    </row>
    <row x14ac:dyDescent="0.25" r="426" customHeight="1" ht="15.75">
      <c r="A426" s="8">
        <v>25643</v>
      </c>
      <c r="B426" s="13" t="s">
        <v>91</v>
      </c>
      <c r="C426" s="13" t="s">
        <v>5281</v>
      </c>
      <c r="D426" s="32" t="s">
        <v>5282</v>
      </c>
      <c r="E426" s="32" t="s">
        <v>10276</v>
      </c>
      <c r="F426" s="32" t="s">
        <v>10277</v>
      </c>
      <c r="G426" s="32" t="s">
        <v>8502</v>
      </c>
      <c r="H426" s="32" t="s">
        <v>447</v>
      </c>
      <c r="I426" s="32" t="s">
        <v>10278</v>
      </c>
      <c r="J426" s="32" t="s">
        <v>1227</v>
      </c>
      <c r="K426" s="32" t="s">
        <v>10279</v>
      </c>
      <c r="L426" s="32" t="s">
        <v>9477</v>
      </c>
      <c r="M426" s="32" t="s">
        <v>10280</v>
      </c>
      <c r="N426" s="32" t="s">
        <v>29</v>
      </c>
      <c r="O426" s="32" t="s">
        <v>7127</v>
      </c>
    </row>
    <row x14ac:dyDescent="0.25" r="427" customHeight="1" ht="15.75">
      <c r="A427" s="8">
        <v>25560</v>
      </c>
      <c r="B427" s="13" t="s">
        <v>91</v>
      </c>
      <c r="C427" s="13" t="s">
        <v>5284</v>
      </c>
      <c r="D427" s="32" t="s">
        <v>5285</v>
      </c>
      <c r="E427" s="32" t="s">
        <v>10281</v>
      </c>
      <c r="F427" s="32" t="s">
        <v>9837</v>
      </c>
      <c r="G427" s="32" t="s">
        <v>10282</v>
      </c>
      <c r="H427" s="32" t="s">
        <v>10283</v>
      </c>
      <c r="I427" s="32" t="s">
        <v>10284</v>
      </c>
      <c r="J427" s="32" t="s">
        <v>5286</v>
      </c>
      <c r="K427" s="32" t="s">
        <v>10285</v>
      </c>
      <c r="L427" s="32" t="s">
        <v>10286</v>
      </c>
      <c r="M427" s="32" t="s">
        <v>10287</v>
      </c>
      <c r="N427" s="32" t="s">
        <v>2234</v>
      </c>
      <c r="O427" s="32" t="s">
        <v>10288</v>
      </c>
    </row>
    <row x14ac:dyDescent="0.25" r="428" customHeight="1" ht="15.75">
      <c r="A428" s="8">
        <v>25561</v>
      </c>
      <c r="B428" s="13" t="s">
        <v>91</v>
      </c>
      <c r="C428" s="13" t="s">
        <v>5287</v>
      </c>
      <c r="D428" s="32" t="s">
        <v>5288</v>
      </c>
      <c r="E428" s="32" t="s">
        <v>10289</v>
      </c>
      <c r="F428" s="32" t="s">
        <v>10290</v>
      </c>
      <c r="G428" s="32" t="s">
        <v>10291</v>
      </c>
      <c r="H428" s="32" t="s">
        <v>10292</v>
      </c>
      <c r="I428" s="32" t="s">
        <v>8502</v>
      </c>
      <c r="J428" s="32" t="s">
        <v>485</v>
      </c>
      <c r="K428" s="32" t="s">
        <v>10293</v>
      </c>
      <c r="L428" s="32" t="s">
        <v>29</v>
      </c>
      <c r="M428" s="32" t="s">
        <v>7127</v>
      </c>
      <c r="N428" s="32" t="s">
        <v>10294</v>
      </c>
      <c r="O428" s="32" t="s">
        <v>10295</v>
      </c>
    </row>
    <row x14ac:dyDescent="0.25" r="429" customHeight="1" ht="15.75">
      <c r="A429" s="8">
        <v>25562</v>
      </c>
      <c r="B429" s="13" t="s">
        <v>91</v>
      </c>
      <c r="C429" s="13" t="s">
        <v>5289</v>
      </c>
      <c r="D429" s="32" t="s">
        <v>57</v>
      </c>
      <c r="E429" s="32" t="s">
        <v>10296</v>
      </c>
      <c r="F429" s="32" t="s">
        <v>1775</v>
      </c>
      <c r="G429" s="32" t="s">
        <v>8914</v>
      </c>
      <c r="H429" s="32" t="s">
        <v>52</v>
      </c>
      <c r="I429" s="32" t="s">
        <v>10297</v>
      </c>
      <c r="J429" s="32" t="s">
        <v>4225</v>
      </c>
      <c r="K429" s="32" t="s">
        <v>10298</v>
      </c>
      <c r="L429" s="32" t="s">
        <v>4445</v>
      </c>
      <c r="M429" s="32" t="s">
        <v>10280</v>
      </c>
      <c r="N429" s="32" t="s">
        <v>1857</v>
      </c>
      <c r="O429" s="32" t="s">
        <v>10299</v>
      </c>
    </row>
    <row x14ac:dyDescent="0.25" r="430" customHeight="1" ht="15.75">
      <c r="A430" s="8">
        <v>25644</v>
      </c>
      <c r="B430" s="13" t="s">
        <v>91</v>
      </c>
      <c r="C430" s="13" t="s">
        <v>5291</v>
      </c>
      <c r="D430" s="32" t="s">
        <v>5292</v>
      </c>
      <c r="E430" s="32" t="s">
        <v>10300</v>
      </c>
      <c r="F430" s="32" t="s">
        <v>5627</v>
      </c>
      <c r="G430" s="32" t="s">
        <v>10301</v>
      </c>
      <c r="H430" s="32" t="s">
        <v>7728</v>
      </c>
      <c r="I430" s="32" t="s">
        <v>10302</v>
      </c>
      <c r="J430" s="32" t="s">
        <v>5294</v>
      </c>
      <c r="K430" s="32" t="s">
        <v>10303</v>
      </c>
      <c r="L430" s="32" t="s">
        <v>2418</v>
      </c>
      <c r="M430" s="32" t="s">
        <v>10304</v>
      </c>
      <c r="N430" s="32" t="s">
        <v>2367</v>
      </c>
      <c r="O430" s="32" t="s">
        <v>10305</v>
      </c>
    </row>
    <row x14ac:dyDescent="0.25" r="431" customHeight="1" ht="15.75">
      <c r="A431" s="8">
        <v>25563</v>
      </c>
      <c r="B431" s="13" t="s">
        <v>91</v>
      </c>
      <c r="C431" s="13" t="s">
        <v>4078</v>
      </c>
      <c r="D431" s="32" t="s">
        <v>5295</v>
      </c>
      <c r="E431" s="32" t="s">
        <v>10306</v>
      </c>
      <c r="F431" s="32" t="s">
        <v>10307</v>
      </c>
      <c r="G431" s="32" t="s">
        <v>10308</v>
      </c>
      <c r="H431" s="32" t="s">
        <v>10309</v>
      </c>
      <c r="I431" s="32" t="s">
        <v>10310</v>
      </c>
      <c r="J431" s="32" t="s">
        <v>5296</v>
      </c>
      <c r="K431" s="32" t="s">
        <v>10311</v>
      </c>
      <c r="L431" s="32" t="s">
        <v>10312</v>
      </c>
      <c r="M431" s="32" t="s">
        <v>10313</v>
      </c>
      <c r="N431" s="32" t="s">
        <v>4111</v>
      </c>
      <c r="O431" s="32" t="s">
        <v>10314</v>
      </c>
    </row>
    <row x14ac:dyDescent="0.25" r="432" customHeight="1" ht="15.75">
      <c r="A432" s="8">
        <v>25564</v>
      </c>
      <c r="B432" s="13" t="s">
        <v>91</v>
      </c>
      <c r="C432" s="13" t="s">
        <v>5297</v>
      </c>
      <c r="D432" s="32" t="s">
        <v>4593</v>
      </c>
      <c r="E432" s="32" t="s">
        <v>10315</v>
      </c>
      <c r="F432" s="32" t="s">
        <v>29</v>
      </c>
      <c r="G432" s="32" t="s">
        <v>7127</v>
      </c>
      <c r="H432" s="32" t="s">
        <v>7451</v>
      </c>
      <c r="I432" s="32" t="s">
        <v>10316</v>
      </c>
      <c r="J432" s="32" t="s">
        <v>5299</v>
      </c>
      <c r="K432" s="32" t="s">
        <v>10317</v>
      </c>
      <c r="L432" s="32" t="s">
        <v>10318</v>
      </c>
      <c r="M432" s="32" t="s">
        <v>10319</v>
      </c>
      <c r="N432" s="32" t="s">
        <v>10318</v>
      </c>
      <c r="O432" s="32" t="s">
        <v>10320</v>
      </c>
    </row>
    <row x14ac:dyDescent="0.25" r="433" customHeight="1" ht="15.75">
      <c r="A433" s="8">
        <v>25565</v>
      </c>
      <c r="B433" s="13" t="s">
        <v>91</v>
      </c>
      <c r="C433" s="13" t="s">
        <v>5300</v>
      </c>
      <c r="D433" s="32" t="s">
        <v>5301</v>
      </c>
      <c r="E433" s="32" t="s">
        <v>10321</v>
      </c>
      <c r="F433" s="32" t="s">
        <v>10322</v>
      </c>
      <c r="G433" s="32" t="s">
        <v>10323</v>
      </c>
      <c r="H433" s="32" t="s">
        <v>10324</v>
      </c>
      <c r="I433" s="32" t="s">
        <v>10325</v>
      </c>
      <c r="J433" s="32" t="s">
        <v>5303</v>
      </c>
      <c r="K433" s="32" t="s">
        <v>10326</v>
      </c>
      <c r="L433" s="32" t="s">
        <v>10327</v>
      </c>
      <c r="M433" s="32" t="s">
        <v>10328</v>
      </c>
      <c r="N433" s="32" t="s">
        <v>2293</v>
      </c>
      <c r="O433" s="32" t="s">
        <v>10329</v>
      </c>
    </row>
    <row x14ac:dyDescent="0.25" r="434" customHeight="1" ht="15.75">
      <c r="A434" s="8">
        <v>25566</v>
      </c>
      <c r="B434" s="13" t="s">
        <v>91</v>
      </c>
      <c r="C434" s="13" t="s">
        <v>5305</v>
      </c>
      <c r="D434" s="32" t="s">
        <v>5306</v>
      </c>
      <c r="E434" s="32" t="s">
        <v>10330</v>
      </c>
      <c r="F434" s="32" t="s">
        <v>10331</v>
      </c>
      <c r="G434" s="32" t="s">
        <v>10332</v>
      </c>
      <c r="H434" s="32" t="s">
        <v>6074</v>
      </c>
      <c r="I434" s="32" t="s">
        <v>10333</v>
      </c>
      <c r="J434" s="32" t="s">
        <v>5308</v>
      </c>
      <c r="K434" s="32" t="s">
        <v>10334</v>
      </c>
      <c r="L434" s="32" t="s">
        <v>10335</v>
      </c>
      <c r="M434" s="32" t="s">
        <v>10336</v>
      </c>
      <c r="N434" s="32" t="s">
        <v>10337</v>
      </c>
      <c r="O434" s="32" t="s">
        <v>10338</v>
      </c>
    </row>
    <row x14ac:dyDescent="0.25" r="435" customHeight="1" ht="15.75">
      <c r="A435" s="8">
        <v>25567</v>
      </c>
      <c r="B435" s="13" t="s">
        <v>91</v>
      </c>
      <c r="C435" s="13" t="s">
        <v>5309</v>
      </c>
      <c r="D435" s="32" t="s">
        <v>4564</v>
      </c>
      <c r="E435" s="32" t="s">
        <v>10339</v>
      </c>
      <c r="F435" s="32" t="s">
        <v>10340</v>
      </c>
      <c r="G435" s="32" t="s">
        <v>7427</v>
      </c>
      <c r="H435" s="32" t="s">
        <v>77</v>
      </c>
      <c r="I435" s="32" t="s">
        <v>8118</v>
      </c>
      <c r="J435" s="32" t="s">
        <v>5310</v>
      </c>
      <c r="K435" s="32" t="s">
        <v>10341</v>
      </c>
      <c r="L435" s="32" t="s">
        <v>6888</v>
      </c>
      <c r="M435" s="32" t="s">
        <v>10342</v>
      </c>
      <c r="N435" s="32" t="s">
        <v>6888</v>
      </c>
      <c r="O435" s="32" t="s">
        <v>10343</v>
      </c>
    </row>
    <row x14ac:dyDescent="0.25" r="436" customHeight="1" ht="15.75">
      <c r="A436" s="8">
        <v>25544</v>
      </c>
      <c r="B436" s="13" t="s">
        <v>91</v>
      </c>
      <c r="C436" s="13" t="s">
        <v>5311</v>
      </c>
      <c r="D436" s="32" t="s">
        <v>5312</v>
      </c>
      <c r="E436" s="32" t="s">
        <v>10344</v>
      </c>
      <c r="F436" s="32" t="s">
        <v>10345</v>
      </c>
      <c r="G436" s="32" t="s">
        <v>10346</v>
      </c>
      <c r="H436" s="32" t="s">
        <v>10347</v>
      </c>
      <c r="I436" s="32" t="s">
        <v>10348</v>
      </c>
      <c r="J436" s="32" t="s">
        <v>5135</v>
      </c>
      <c r="K436" s="32" t="s">
        <v>10349</v>
      </c>
      <c r="L436" s="32" t="s">
        <v>10350</v>
      </c>
      <c r="M436" s="32" t="s">
        <v>8520</v>
      </c>
      <c r="N436" s="32" t="s">
        <v>2584</v>
      </c>
      <c r="O436" s="32" t="s">
        <v>10351</v>
      </c>
    </row>
    <row x14ac:dyDescent="0.25" r="437" customHeight="1" ht="15.75">
      <c r="A437" s="8">
        <v>25568</v>
      </c>
      <c r="B437" s="13" t="s">
        <v>91</v>
      </c>
      <c r="C437" s="13" t="s">
        <v>5314</v>
      </c>
      <c r="D437" s="32" t="s">
        <v>122</v>
      </c>
      <c r="E437" s="32" t="s">
        <v>10352</v>
      </c>
      <c r="F437" s="32" t="s">
        <v>6046</v>
      </c>
      <c r="G437" s="32" t="s">
        <v>10353</v>
      </c>
      <c r="H437" s="32" t="s">
        <v>10354</v>
      </c>
      <c r="I437" s="32" t="s">
        <v>10355</v>
      </c>
      <c r="J437" s="32" t="s">
        <v>5315</v>
      </c>
      <c r="K437" s="32" t="s">
        <v>10356</v>
      </c>
      <c r="L437" s="32" t="s">
        <v>5018</v>
      </c>
      <c r="M437" s="32" t="s">
        <v>8012</v>
      </c>
      <c r="N437" s="32" t="s">
        <v>2142</v>
      </c>
      <c r="O437" s="32" t="s">
        <v>10357</v>
      </c>
    </row>
    <row x14ac:dyDescent="0.25" r="438" customHeight="1" ht="15.75">
      <c r="A438" s="8">
        <v>25569</v>
      </c>
      <c r="B438" s="13" t="s">
        <v>91</v>
      </c>
      <c r="C438" s="13" t="s">
        <v>5317</v>
      </c>
      <c r="D438" s="32" t="s">
        <v>5318</v>
      </c>
      <c r="E438" s="32" t="s">
        <v>10358</v>
      </c>
      <c r="F438" s="32" t="s">
        <v>10359</v>
      </c>
      <c r="G438" s="32" t="s">
        <v>10360</v>
      </c>
      <c r="H438" s="32" t="s">
        <v>8894</v>
      </c>
      <c r="I438" s="32" t="s">
        <v>10361</v>
      </c>
      <c r="J438" s="32" t="s">
        <v>5319</v>
      </c>
      <c r="K438" s="32" t="s">
        <v>10362</v>
      </c>
      <c r="L438" s="32" t="s">
        <v>10363</v>
      </c>
      <c r="M438" s="32" t="s">
        <v>10364</v>
      </c>
      <c r="N438" s="32" t="s">
        <v>141</v>
      </c>
      <c r="O438" s="32" t="s">
        <v>8007</v>
      </c>
    </row>
    <row x14ac:dyDescent="0.25" r="439" customHeight="1" ht="15.75">
      <c r="A439" s="8">
        <v>25570</v>
      </c>
      <c r="B439" s="13" t="s">
        <v>91</v>
      </c>
      <c r="C439" s="13" t="s">
        <v>5320</v>
      </c>
      <c r="D439" s="32" t="s">
        <v>5321</v>
      </c>
      <c r="E439" s="32" t="s">
        <v>10365</v>
      </c>
      <c r="F439" s="32" t="s">
        <v>7300</v>
      </c>
      <c r="G439" s="32" t="s">
        <v>10366</v>
      </c>
      <c r="H439" s="32" t="s">
        <v>57</v>
      </c>
      <c r="I439" s="32" t="s">
        <v>10367</v>
      </c>
      <c r="J439" s="32" t="s">
        <v>5322</v>
      </c>
      <c r="K439" s="32" t="s">
        <v>10368</v>
      </c>
      <c r="L439" s="32" t="s">
        <v>6175</v>
      </c>
      <c r="M439" s="32" t="s">
        <v>10369</v>
      </c>
      <c r="N439" s="32" t="s">
        <v>2157</v>
      </c>
      <c r="O439" s="32" t="s">
        <v>10370</v>
      </c>
    </row>
    <row x14ac:dyDescent="0.25" r="440" customHeight="1" ht="15.75">
      <c r="A440" s="8">
        <v>25571</v>
      </c>
      <c r="B440" s="13" t="s">
        <v>91</v>
      </c>
      <c r="C440" s="13" t="s">
        <v>5324</v>
      </c>
      <c r="D440" s="32" t="s">
        <v>699</v>
      </c>
      <c r="E440" s="32" t="s">
        <v>10371</v>
      </c>
      <c r="F440" s="32" t="s">
        <v>1399</v>
      </c>
      <c r="G440" s="32" t="s">
        <v>7427</v>
      </c>
      <c r="H440" s="32" t="s">
        <v>7668</v>
      </c>
      <c r="I440" s="32" t="s">
        <v>7418</v>
      </c>
      <c r="J440" s="32" t="s">
        <v>37</v>
      </c>
      <c r="K440" s="32" t="s">
        <v>10372</v>
      </c>
      <c r="L440" s="32" t="s">
        <v>685</v>
      </c>
      <c r="M440" s="32" t="s">
        <v>10373</v>
      </c>
      <c r="N440" s="32" t="s">
        <v>685</v>
      </c>
      <c r="O440" s="32" t="s">
        <v>8499</v>
      </c>
    </row>
    <row x14ac:dyDescent="0.25" r="441" customHeight="1" ht="15.75">
      <c r="A441" s="8">
        <v>25572</v>
      </c>
      <c r="B441" s="13" t="s">
        <v>91</v>
      </c>
      <c r="C441" s="13" t="s">
        <v>5325</v>
      </c>
      <c r="D441" s="32" t="s">
        <v>5326</v>
      </c>
      <c r="E441" s="32" t="s">
        <v>10374</v>
      </c>
      <c r="F441" s="32" t="s">
        <v>5074</v>
      </c>
      <c r="G441" s="32" t="s">
        <v>10375</v>
      </c>
      <c r="H441" s="32" t="s">
        <v>10376</v>
      </c>
      <c r="I441" s="32" t="s">
        <v>10377</v>
      </c>
      <c r="J441" s="32" t="s">
        <v>5019</v>
      </c>
      <c r="K441" s="32" t="s">
        <v>10378</v>
      </c>
      <c r="L441" s="32" t="s">
        <v>10379</v>
      </c>
      <c r="M441" s="32" t="s">
        <v>10380</v>
      </c>
      <c r="N441" s="32" t="s">
        <v>2519</v>
      </c>
      <c r="O441" s="32" t="s">
        <v>10381</v>
      </c>
    </row>
    <row x14ac:dyDescent="0.25" r="442" customHeight="1" ht="15.75">
      <c r="A442" s="8">
        <v>25573</v>
      </c>
      <c r="B442" s="13" t="s">
        <v>91</v>
      </c>
      <c r="C442" s="13" t="s">
        <v>5328</v>
      </c>
      <c r="D442" s="32" t="s">
        <v>5329</v>
      </c>
      <c r="E442" s="32" t="s">
        <v>10106</v>
      </c>
      <c r="F442" s="32" t="s">
        <v>2166</v>
      </c>
      <c r="G442" s="32" t="s">
        <v>10382</v>
      </c>
      <c r="H442" s="32" t="s">
        <v>2523</v>
      </c>
      <c r="I442" s="32" t="s">
        <v>10383</v>
      </c>
      <c r="J442" s="32" t="s">
        <v>5330</v>
      </c>
      <c r="K442" s="32" t="s">
        <v>10384</v>
      </c>
      <c r="L442" s="32" t="s">
        <v>4952</v>
      </c>
      <c r="M442" s="32" t="s">
        <v>10385</v>
      </c>
      <c r="N442" s="32" t="s">
        <v>6474</v>
      </c>
      <c r="O442" s="32" t="s">
        <v>10386</v>
      </c>
    </row>
    <row x14ac:dyDescent="0.25" r="443" customHeight="1" ht="15.75">
      <c r="A443" s="8">
        <v>25574</v>
      </c>
      <c r="B443" s="13" t="s">
        <v>91</v>
      </c>
      <c r="C443" s="13" t="s">
        <v>5332</v>
      </c>
      <c r="D443" s="32" t="s">
        <v>5333</v>
      </c>
      <c r="E443" s="32" t="s">
        <v>10387</v>
      </c>
      <c r="F443" s="32" t="s">
        <v>10388</v>
      </c>
      <c r="G443" s="32" t="s">
        <v>10389</v>
      </c>
      <c r="H443" s="32" t="s">
        <v>10390</v>
      </c>
      <c r="I443" s="32" t="s">
        <v>10391</v>
      </c>
      <c r="J443" s="32" t="s">
        <v>5334</v>
      </c>
      <c r="K443" s="32" t="s">
        <v>10392</v>
      </c>
      <c r="L443" s="32" t="s">
        <v>10393</v>
      </c>
      <c r="M443" s="32" t="s">
        <v>10394</v>
      </c>
      <c r="N443" s="32" t="s">
        <v>1672</v>
      </c>
      <c r="O443" s="32" t="s">
        <v>10395</v>
      </c>
    </row>
    <row x14ac:dyDescent="0.25" r="444" customHeight="1" ht="15.75">
      <c r="A444" s="8">
        <v>25575</v>
      </c>
      <c r="B444" s="13" t="s">
        <v>91</v>
      </c>
      <c r="C444" s="13" t="s">
        <v>5335</v>
      </c>
      <c r="D444" s="32" t="s">
        <v>4647</v>
      </c>
      <c r="E444" s="32" t="s">
        <v>10396</v>
      </c>
      <c r="F444" s="32" t="s">
        <v>6205</v>
      </c>
      <c r="G444" s="32" t="s">
        <v>10397</v>
      </c>
      <c r="H444" s="32" t="s">
        <v>5378</v>
      </c>
      <c r="I444" s="32" t="s">
        <v>10398</v>
      </c>
      <c r="J444" s="32" t="s">
        <v>5336</v>
      </c>
      <c r="K444" s="32" t="s">
        <v>10399</v>
      </c>
      <c r="L444" s="32" t="s">
        <v>2186</v>
      </c>
      <c r="M444" s="32" t="s">
        <v>10400</v>
      </c>
      <c r="N444" s="32" t="s">
        <v>34</v>
      </c>
      <c r="O444" s="32" t="s">
        <v>8593</v>
      </c>
    </row>
    <row x14ac:dyDescent="0.25" r="445" customHeight="1" ht="15.75">
      <c r="A445" s="8">
        <v>25576</v>
      </c>
      <c r="B445" s="13" t="s">
        <v>91</v>
      </c>
      <c r="C445" s="13" t="s">
        <v>5337</v>
      </c>
      <c r="D445" s="32" t="s">
        <v>1665</v>
      </c>
      <c r="E445" s="32" t="s">
        <v>10401</v>
      </c>
      <c r="F445" s="32" t="s">
        <v>5695</v>
      </c>
      <c r="G445" s="32" t="s">
        <v>10402</v>
      </c>
      <c r="H445" s="32" t="s">
        <v>6505</v>
      </c>
      <c r="I445" s="32" t="s">
        <v>10403</v>
      </c>
      <c r="J445" s="32" t="s">
        <v>5339</v>
      </c>
      <c r="K445" s="32" t="s">
        <v>10404</v>
      </c>
      <c r="L445" s="32" t="s">
        <v>7467</v>
      </c>
      <c r="M445" s="32" t="s">
        <v>10405</v>
      </c>
      <c r="N445" s="32" t="s">
        <v>10406</v>
      </c>
      <c r="O445" s="32" t="s">
        <v>10407</v>
      </c>
    </row>
    <row x14ac:dyDescent="0.25" r="446" customHeight="1" ht="15.75">
      <c r="A446" s="8">
        <v>25577</v>
      </c>
      <c r="B446" s="13" t="s">
        <v>91</v>
      </c>
      <c r="C446" s="13" t="s">
        <v>10408</v>
      </c>
      <c r="D446" s="32" t="s">
        <v>1822</v>
      </c>
      <c r="E446" s="32" t="s">
        <v>9398</v>
      </c>
      <c r="F446" s="32" t="s">
        <v>33</v>
      </c>
      <c r="G446" s="32" t="s">
        <v>8118</v>
      </c>
      <c r="H446" s="32" t="s">
        <v>1802</v>
      </c>
      <c r="I446" s="32" t="s">
        <v>9657</v>
      </c>
      <c r="J446" s="32" t="s">
        <v>7127</v>
      </c>
      <c r="K446" s="32" t="s">
        <v>7127</v>
      </c>
      <c r="L446" s="32" t="s">
        <v>10409</v>
      </c>
      <c r="M446" s="32" t="s">
        <v>10410</v>
      </c>
      <c r="N446" s="32" t="s">
        <v>5130</v>
      </c>
      <c r="O446" s="32" t="s">
        <v>10411</v>
      </c>
    </row>
    <row x14ac:dyDescent="0.25" r="447" customHeight="1" ht="15.75">
      <c r="A447" s="8">
        <v>25578</v>
      </c>
      <c r="B447" s="13" t="s">
        <v>91</v>
      </c>
      <c r="C447" s="13" t="s">
        <v>5340</v>
      </c>
      <c r="D447" s="32" t="s">
        <v>5341</v>
      </c>
      <c r="E447" s="32" t="s">
        <v>10412</v>
      </c>
      <c r="F447" s="32" t="s">
        <v>10413</v>
      </c>
      <c r="G447" s="32" t="s">
        <v>10414</v>
      </c>
      <c r="H447" s="32" t="s">
        <v>10415</v>
      </c>
      <c r="I447" s="32" t="s">
        <v>10416</v>
      </c>
      <c r="J447" s="32" t="s">
        <v>5227</v>
      </c>
      <c r="K447" s="32" t="s">
        <v>10417</v>
      </c>
      <c r="L447" s="32" t="s">
        <v>10418</v>
      </c>
      <c r="M447" s="32" t="s">
        <v>10419</v>
      </c>
      <c r="N447" s="32" t="s">
        <v>9145</v>
      </c>
      <c r="O447" s="32" t="s">
        <v>8602</v>
      </c>
    </row>
    <row x14ac:dyDescent="0.25" r="448" customHeight="1" ht="15.75">
      <c r="A448" s="8">
        <v>25579</v>
      </c>
      <c r="B448" s="13" t="s">
        <v>91</v>
      </c>
      <c r="C448" s="13" t="s">
        <v>5343</v>
      </c>
      <c r="D448" s="32" t="s">
        <v>34</v>
      </c>
      <c r="E448" s="32" t="s">
        <v>10420</v>
      </c>
      <c r="F448" s="32" t="s">
        <v>2437</v>
      </c>
      <c r="G448" s="32" t="s">
        <v>10421</v>
      </c>
      <c r="H448" s="32" t="s">
        <v>571</v>
      </c>
      <c r="I448" s="32" t="s">
        <v>10422</v>
      </c>
      <c r="J448" s="32" t="s">
        <v>5344</v>
      </c>
      <c r="K448" s="32" t="s">
        <v>10423</v>
      </c>
      <c r="L448" s="32" t="s">
        <v>10424</v>
      </c>
      <c r="M448" s="32" t="s">
        <v>10425</v>
      </c>
      <c r="N448" s="32" t="s">
        <v>10426</v>
      </c>
      <c r="O448" s="32" t="s">
        <v>10427</v>
      </c>
    </row>
    <row x14ac:dyDescent="0.25" r="449" customHeight="1" ht="15.75">
      <c r="A449" s="8">
        <v>25580</v>
      </c>
      <c r="B449" s="13" t="s">
        <v>91</v>
      </c>
      <c r="C449" s="13" t="s">
        <v>5345</v>
      </c>
      <c r="D449" s="32" t="s">
        <v>5346</v>
      </c>
      <c r="E449" s="32" t="s">
        <v>10428</v>
      </c>
      <c r="F449" s="32" t="s">
        <v>1735</v>
      </c>
      <c r="G449" s="32" t="s">
        <v>10429</v>
      </c>
      <c r="H449" s="32" t="s">
        <v>10430</v>
      </c>
      <c r="I449" s="32" t="s">
        <v>10431</v>
      </c>
      <c r="J449" s="32" t="s">
        <v>5348</v>
      </c>
      <c r="K449" s="32" t="s">
        <v>10432</v>
      </c>
      <c r="L449" s="32" t="s">
        <v>10433</v>
      </c>
      <c r="M449" s="32" t="s">
        <v>10434</v>
      </c>
      <c r="N449" s="32" t="s">
        <v>10435</v>
      </c>
      <c r="O449" s="32" t="s">
        <v>10436</v>
      </c>
    </row>
    <row x14ac:dyDescent="0.25" r="450" customHeight="1" ht="15.75">
      <c r="A450" s="8">
        <v>25581</v>
      </c>
      <c r="B450" s="13" t="s">
        <v>91</v>
      </c>
      <c r="C450" s="13" t="s">
        <v>5350</v>
      </c>
      <c r="D450" s="32" t="s">
        <v>5351</v>
      </c>
      <c r="E450" s="32" t="s">
        <v>10437</v>
      </c>
      <c r="F450" s="32" t="s">
        <v>2447</v>
      </c>
      <c r="G450" s="32" t="s">
        <v>7973</v>
      </c>
      <c r="H450" s="32" t="s">
        <v>10438</v>
      </c>
      <c r="I450" s="32" t="s">
        <v>10439</v>
      </c>
      <c r="J450" s="32" t="s">
        <v>5352</v>
      </c>
      <c r="K450" s="32" t="s">
        <v>10440</v>
      </c>
      <c r="L450" s="32" t="s">
        <v>5258</v>
      </c>
      <c r="M450" s="32" t="s">
        <v>7973</v>
      </c>
      <c r="N450" s="32" t="s">
        <v>10441</v>
      </c>
      <c r="O450" s="32" t="s">
        <v>10442</v>
      </c>
    </row>
    <row x14ac:dyDescent="0.25" r="451" customHeight="1" ht="15.75">
      <c r="A451" s="8">
        <v>25582</v>
      </c>
      <c r="B451" s="13" t="s">
        <v>91</v>
      </c>
      <c r="C451" s="13" t="s">
        <v>5353</v>
      </c>
      <c r="D451" s="32" t="s">
        <v>5354</v>
      </c>
      <c r="E451" s="32" t="s">
        <v>10443</v>
      </c>
      <c r="F451" s="32" t="s">
        <v>7000</v>
      </c>
      <c r="G451" s="32" t="s">
        <v>10444</v>
      </c>
      <c r="H451" s="32" t="s">
        <v>6625</v>
      </c>
      <c r="I451" s="32" t="s">
        <v>10445</v>
      </c>
      <c r="J451" s="32" t="s">
        <v>5355</v>
      </c>
      <c r="K451" s="32" t="s">
        <v>7158</v>
      </c>
      <c r="L451" s="32" t="s">
        <v>5355</v>
      </c>
      <c r="M451" s="32" t="s">
        <v>10446</v>
      </c>
      <c r="N451" s="32" t="s">
        <v>4583</v>
      </c>
      <c r="O451" s="32" t="s">
        <v>10447</v>
      </c>
    </row>
    <row x14ac:dyDescent="0.25" r="452" customHeight="1" ht="15.75">
      <c r="A452" s="8">
        <v>25583</v>
      </c>
      <c r="B452" s="13" t="s">
        <v>91</v>
      </c>
      <c r="C452" s="13" t="s">
        <v>5357</v>
      </c>
      <c r="D452" s="32" t="s">
        <v>5358</v>
      </c>
      <c r="E452" s="32" t="s">
        <v>10448</v>
      </c>
      <c r="F452" s="32" t="s">
        <v>5785</v>
      </c>
      <c r="G452" s="32" t="s">
        <v>10449</v>
      </c>
      <c r="H452" s="32" t="s">
        <v>10450</v>
      </c>
      <c r="I452" s="32" t="s">
        <v>10451</v>
      </c>
      <c r="J452" s="32" t="s">
        <v>5359</v>
      </c>
      <c r="K452" s="32" t="s">
        <v>10452</v>
      </c>
      <c r="L452" s="32" t="s">
        <v>6528</v>
      </c>
      <c r="M452" s="32" t="s">
        <v>10453</v>
      </c>
      <c r="N452" s="32" t="s">
        <v>2462</v>
      </c>
      <c r="O452" s="32" t="s">
        <v>10454</v>
      </c>
    </row>
    <row x14ac:dyDescent="0.25" r="453" customHeight="1" ht="15.75">
      <c r="A453" s="8">
        <v>25584</v>
      </c>
      <c r="B453" s="13" t="s">
        <v>91</v>
      </c>
      <c r="C453" s="13" t="s">
        <v>5361</v>
      </c>
      <c r="D453" s="32" t="s">
        <v>5362</v>
      </c>
      <c r="E453" s="32" t="s">
        <v>10455</v>
      </c>
      <c r="F453" s="32" t="s">
        <v>10456</v>
      </c>
      <c r="G453" s="32" t="s">
        <v>10457</v>
      </c>
      <c r="H453" s="32" t="s">
        <v>10458</v>
      </c>
      <c r="I453" s="32" t="s">
        <v>10459</v>
      </c>
      <c r="J453" s="32" t="s">
        <v>5363</v>
      </c>
      <c r="K453" s="32" t="s">
        <v>7203</v>
      </c>
      <c r="L453" s="32" t="s">
        <v>10460</v>
      </c>
      <c r="M453" s="32" t="s">
        <v>9350</v>
      </c>
      <c r="N453" s="32" t="s">
        <v>10461</v>
      </c>
      <c r="O453" s="32" t="s">
        <v>10462</v>
      </c>
    </row>
    <row x14ac:dyDescent="0.25" r="454" customHeight="1" ht="15.75">
      <c r="A454" s="8">
        <v>25585</v>
      </c>
      <c r="B454" s="13" t="s">
        <v>91</v>
      </c>
      <c r="C454" s="13" t="s">
        <v>5364</v>
      </c>
      <c r="D454" s="32" t="s">
        <v>5365</v>
      </c>
      <c r="E454" s="32" t="s">
        <v>10463</v>
      </c>
      <c r="F454" s="32" t="s">
        <v>10464</v>
      </c>
      <c r="G454" s="32" t="s">
        <v>10465</v>
      </c>
      <c r="H454" s="32" t="s">
        <v>10466</v>
      </c>
      <c r="I454" s="32" t="s">
        <v>10467</v>
      </c>
      <c r="J454" s="32" t="s">
        <v>5367</v>
      </c>
      <c r="K454" s="32" t="s">
        <v>10468</v>
      </c>
      <c r="L454" s="32" t="s">
        <v>8268</v>
      </c>
      <c r="M454" s="32" t="s">
        <v>10469</v>
      </c>
      <c r="N454" s="32" t="s">
        <v>4907</v>
      </c>
      <c r="O454" s="32" t="s">
        <v>10470</v>
      </c>
    </row>
    <row x14ac:dyDescent="0.25" r="455" customHeight="1" ht="15.75">
      <c r="A455" s="8">
        <v>25586</v>
      </c>
      <c r="B455" s="13" t="s">
        <v>91</v>
      </c>
      <c r="C455" s="13" t="s">
        <v>5368</v>
      </c>
      <c r="D455" s="32" t="s">
        <v>5369</v>
      </c>
      <c r="E455" s="32" t="s">
        <v>9829</v>
      </c>
      <c r="F455" s="32" t="s">
        <v>10471</v>
      </c>
      <c r="G455" s="32" t="s">
        <v>10472</v>
      </c>
      <c r="H455" s="32" t="s">
        <v>2501</v>
      </c>
      <c r="I455" s="32" t="s">
        <v>10473</v>
      </c>
      <c r="J455" s="32" t="s">
        <v>5370</v>
      </c>
      <c r="K455" s="32" t="s">
        <v>10474</v>
      </c>
      <c r="L455" s="32" t="s">
        <v>9273</v>
      </c>
      <c r="M455" s="32" t="s">
        <v>10475</v>
      </c>
      <c r="N455" s="32" t="s">
        <v>10476</v>
      </c>
      <c r="O455" s="32" t="s">
        <v>7127</v>
      </c>
    </row>
    <row x14ac:dyDescent="0.25" r="456" customHeight="1" ht="15.75">
      <c r="A456" s="8">
        <v>25587</v>
      </c>
      <c r="B456" s="13" t="s">
        <v>91</v>
      </c>
      <c r="C456" s="13" t="s">
        <v>5371</v>
      </c>
      <c r="D456" s="32" t="s">
        <v>5372</v>
      </c>
      <c r="E456" s="32" t="s">
        <v>10477</v>
      </c>
      <c r="F456" s="32" t="s">
        <v>8661</v>
      </c>
      <c r="G456" s="32" t="s">
        <v>10478</v>
      </c>
      <c r="H456" s="32" t="s">
        <v>10479</v>
      </c>
      <c r="I456" s="32" t="s">
        <v>10480</v>
      </c>
      <c r="J456" s="32" t="s">
        <v>5374</v>
      </c>
      <c r="K456" s="32" t="s">
        <v>10481</v>
      </c>
      <c r="L456" s="32" t="s">
        <v>10482</v>
      </c>
      <c r="M456" s="32" t="s">
        <v>10483</v>
      </c>
      <c r="N456" s="32" t="s">
        <v>8134</v>
      </c>
      <c r="O456" s="32" t="s">
        <v>10484</v>
      </c>
    </row>
    <row x14ac:dyDescent="0.25" r="457" customHeight="1" ht="15.75">
      <c r="A457" s="8">
        <v>25545</v>
      </c>
      <c r="B457" s="13" t="s">
        <v>91</v>
      </c>
      <c r="C457" s="13" t="s">
        <v>5375</v>
      </c>
      <c r="D457" s="32" t="s">
        <v>4884</v>
      </c>
      <c r="E457" s="32" t="s">
        <v>10485</v>
      </c>
      <c r="F457" s="32" t="s">
        <v>4274</v>
      </c>
      <c r="G457" s="32" t="s">
        <v>10486</v>
      </c>
      <c r="H457" s="32" t="s">
        <v>2678</v>
      </c>
      <c r="I457" s="32" t="s">
        <v>10487</v>
      </c>
      <c r="J457" s="32" t="s">
        <v>2679</v>
      </c>
      <c r="K457" s="32" t="s">
        <v>10488</v>
      </c>
      <c r="L457" s="32" t="s">
        <v>10489</v>
      </c>
      <c r="M457" s="32" t="s">
        <v>7414</v>
      </c>
      <c r="N457" s="32" t="s">
        <v>10490</v>
      </c>
      <c r="O457" s="32" t="s">
        <v>10491</v>
      </c>
    </row>
    <row x14ac:dyDescent="0.25" r="458" customHeight="1" ht="15.75">
      <c r="A458" s="8">
        <v>25588</v>
      </c>
      <c r="B458" s="13" t="s">
        <v>91</v>
      </c>
      <c r="C458" s="13" t="s">
        <v>5377</v>
      </c>
      <c r="D458" s="32" t="s">
        <v>5378</v>
      </c>
      <c r="E458" s="32" t="s">
        <v>10492</v>
      </c>
      <c r="F458" s="32" t="s">
        <v>10493</v>
      </c>
      <c r="G458" s="32" t="s">
        <v>10494</v>
      </c>
      <c r="H458" s="32" t="s">
        <v>10495</v>
      </c>
      <c r="I458" s="32" t="s">
        <v>7127</v>
      </c>
      <c r="J458" s="32" t="s">
        <v>5380</v>
      </c>
      <c r="K458" s="32" t="s">
        <v>10496</v>
      </c>
      <c r="L458" s="32" t="s">
        <v>2219</v>
      </c>
      <c r="M458" s="32" t="s">
        <v>7127</v>
      </c>
      <c r="N458" s="32" t="s">
        <v>29</v>
      </c>
      <c r="O458" s="32" t="s">
        <v>7127</v>
      </c>
    </row>
    <row x14ac:dyDescent="0.25" r="459" customHeight="1" ht="15.75">
      <c r="A459" s="8">
        <v>25589</v>
      </c>
      <c r="B459" s="13" t="s">
        <v>91</v>
      </c>
      <c r="C459" s="13" t="s">
        <v>5382</v>
      </c>
      <c r="D459" s="32" t="s">
        <v>5383</v>
      </c>
      <c r="E459" s="32" t="s">
        <v>10497</v>
      </c>
      <c r="F459" s="32" t="s">
        <v>10498</v>
      </c>
      <c r="G459" s="32" t="s">
        <v>10499</v>
      </c>
      <c r="H459" s="32" t="s">
        <v>10500</v>
      </c>
      <c r="I459" s="32" t="s">
        <v>10501</v>
      </c>
      <c r="J459" s="32" t="s">
        <v>5385</v>
      </c>
      <c r="K459" s="32" t="s">
        <v>10502</v>
      </c>
      <c r="L459" s="32" t="s">
        <v>10503</v>
      </c>
      <c r="M459" s="32" t="s">
        <v>10504</v>
      </c>
      <c r="N459" s="32" t="s">
        <v>6743</v>
      </c>
      <c r="O459" s="32" t="s">
        <v>10505</v>
      </c>
    </row>
    <row x14ac:dyDescent="0.25" r="460" customHeight="1" ht="15.75">
      <c r="A460" s="8">
        <v>25590</v>
      </c>
      <c r="B460" s="13" t="s">
        <v>91</v>
      </c>
      <c r="C460" s="13" t="s">
        <v>5387</v>
      </c>
      <c r="D460" s="32" t="s">
        <v>5388</v>
      </c>
      <c r="E460" s="32" t="s">
        <v>10506</v>
      </c>
      <c r="F460" s="32" t="s">
        <v>7673</v>
      </c>
      <c r="G460" s="32" t="s">
        <v>10507</v>
      </c>
      <c r="H460" s="32" t="s">
        <v>2215</v>
      </c>
      <c r="I460" s="32" t="s">
        <v>10508</v>
      </c>
      <c r="J460" s="32" t="s">
        <v>5389</v>
      </c>
      <c r="K460" s="32" t="s">
        <v>10509</v>
      </c>
      <c r="L460" s="32" t="s">
        <v>10510</v>
      </c>
      <c r="M460" s="32" t="s">
        <v>10511</v>
      </c>
      <c r="N460" s="32" t="s">
        <v>5012</v>
      </c>
      <c r="O460" s="32" t="s">
        <v>9345</v>
      </c>
    </row>
    <row x14ac:dyDescent="0.25" r="461" customHeight="1" ht="15.75">
      <c r="A461" s="8">
        <v>25591</v>
      </c>
      <c r="B461" s="13" t="s">
        <v>91</v>
      </c>
      <c r="C461" s="13" t="s">
        <v>5390</v>
      </c>
      <c r="D461" s="32" t="s">
        <v>5391</v>
      </c>
      <c r="E461" s="32" t="s">
        <v>10512</v>
      </c>
      <c r="F461" s="32" t="s">
        <v>10513</v>
      </c>
      <c r="G461" s="32" t="s">
        <v>10514</v>
      </c>
      <c r="H461" s="32" t="s">
        <v>6662</v>
      </c>
      <c r="I461" s="32" t="s">
        <v>10515</v>
      </c>
      <c r="J461" s="32" t="s">
        <v>5393</v>
      </c>
      <c r="K461" s="32" t="s">
        <v>10516</v>
      </c>
      <c r="L461" s="32" t="s">
        <v>10517</v>
      </c>
      <c r="M461" s="32" t="s">
        <v>10518</v>
      </c>
      <c r="N461" s="32" t="s">
        <v>10519</v>
      </c>
      <c r="O461" s="32" t="s">
        <v>10520</v>
      </c>
    </row>
    <row x14ac:dyDescent="0.25" r="462" customHeight="1" ht="15.75">
      <c r="A462" s="8">
        <v>25592</v>
      </c>
      <c r="B462" s="13" t="s">
        <v>91</v>
      </c>
      <c r="C462" s="13" t="s">
        <v>5394</v>
      </c>
      <c r="D462" s="32" t="s">
        <v>5395</v>
      </c>
      <c r="E462" s="32" t="s">
        <v>10521</v>
      </c>
      <c r="F462" s="32" t="s">
        <v>5064</v>
      </c>
      <c r="G462" s="32" t="s">
        <v>10522</v>
      </c>
      <c r="H462" s="32" t="s">
        <v>443</v>
      </c>
      <c r="I462" s="32" t="s">
        <v>10523</v>
      </c>
      <c r="J462" s="32" t="s">
        <v>5396</v>
      </c>
      <c r="K462" s="32" t="s">
        <v>7127</v>
      </c>
      <c r="L462" s="32" t="s">
        <v>1548</v>
      </c>
      <c r="M462" s="32" t="s">
        <v>10524</v>
      </c>
      <c r="N462" s="32" t="s">
        <v>29</v>
      </c>
      <c r="O462" s="32" t="s">
        <v>7127</v>
      </c>
    </row>
    <row x14ac:dyDescent="0.25" r="463" customHeight="1" ht="15.75">
      <c r="A463" s="8">
        <v>25593</v>
      </c>
      <c r="B463" s="13" t="s">
        <v>91</v>
      </c>
      <c r="C463" s="13" t="s">
        <v>5397</v>
      </c>
      <c r="D463" s="32" t="s">
        <v>2610</v>
      </c>
      <c r="E463" s="32" t="s">
        <v>10525</v>
      </c>
      <c r="F463" s="32" t="s">
        <v>10526</v>
      </c>
      <c r="G463" s="32" t="s">
        <v>10527</v>
      </c>
      <c r="H463" s="32" t="s">
        <v>10528</v>
      </c>
      <c r="I463" s="32" t="s">
        <v>10529</v>
      </c>
      <c r="J463" s="32" t="s">
        <v>4728</v>
      </c>
      <c r="K463" s="32" t="s">
        <v>10530</v>
      </c>
      <c r="L463" s="32" t="s">
        <v>10531</v>
      </c>
      <c r="M463" s="32" t="s">
        <v>10532</v>
      </c>
      <c r="N463" s="32" t="s">
        <v>2762</v>
      </c>
      <c r="O463" s="32" t="s">
        <v>7158</v>
      </c>
    </row>
    <row x14ac:dyDescent="0.25" r="464" customHeight="1" ht="15.75">
      <c r="A464" s="8">
        <v>25594</v>
      </c>
      <c r="B464" s="13" t="s">
        <v>91</v>
      </c>
      <c r="C464" s="13" t="s">
        <v>4686</v>
      </c>
      <c r="D464" s="32" t="s">
        <v>5398</v>
      </c>
      <c r="E464" s="32" t="s">
        <v>10533</v>
      </c>
      <c r="F464" s="32" t="s">
        <v>2093</v>
      </c>
      <c r="G464" s="32" t="s">
        <v>10534</v>
      </c>
      <c r="H464" s="32" t="s">
        <v>10535</v>
      </c>
      <c r="I464" s="32" t="s">
        <v>10536</v>
      </c>
      <c r="J464" s="32" t="s">
        <v>1914</v>
      </c>
      <c r="K464" s="32" t="s">
        <v>10537</v>
      </c>
      <c r="L464" s="32" t="s">
        <v>10538</v>
      </c>
      <c r="M464" s="32" t="s">
        <v>7898</v>
      </c>
      <c r="N464" s="32" t="s">
        <v>10539</v>
      </c>
      <c r="O464" s="32" t="s">
        <v>10540</v>
      </c>
    </row>
    <row x14ac:dyDescent="0.25" r="465" customHeight="1" ht="15.75">
      <c r="A465" s="8">
        <v>25595</v>
      </c>
      <c r="B465" s="13" t="s">
        <v>91</v>
      </c>
      <c r="C465" s="13" t="s">
        <v>5399</v>
      </c>
      <c r="D465" s="32" t="s">
        <v>5400</v>
      </c>
      <c r="E465" s="32" t="s">
        <v>10541</v>
      </c>
      <c r="F465" s="32" t="s">
        <v>10542</v>
      </c>
      <c r="G465" s="32" t="s">
        <v>10543</v>
      </c>
      <c r="H465" s="32" t="s">
        <v>10544</v>
      </c>
      <c r="I465" s="32" t="s">
        <v>8934</v>
      </c>
      <c r="J465" s="32" t="s">
        <v>5401</v>
      </c>
      <c r="K465" s="32" t="s">
        <v>10545</v>
      </c>
      <c r="L465" s="32" t="s">
        <v>1898</v>
      </c>
      <c r="M465" s="32" t="s">
        <v>10546</v>
      </c>
      <c r="N465" s="32" t="s">
        <v>10547</v>
      </c>
      <c r="O465" s="32" t="s">
        <v>10548</v>
      </c>
    </row>
    <row x14ac:dyDescent="0.25" r="466" customHeight="1" ht="15.75">
      <c r="A466" s="8">
        <v>25596</v>
      </c>
      <c r="B466" s="13" t="s">
        <v>91</v>
      </c>
      <c r="C466" s="13" t="s">
        <v>5402</v>
      </c>
      <c r="D466" s="32" t="s">
        <v>4701</v>
      </c>
      <c r="E466" s="32" t="s">
        <v>10549</v>
      </c>
      <c r="F466" s="32" t="s">
        <v>10550</v>
      </c>
      <c r="G466" s="32" t="s">
        <v>10551</v>
      </c>
      <c r="H466" s="32" t="s">
        <v>10552</v>
      </c>
      <c r="I466" s="32" t="s">
        <v>10553</v>
      </c>
      <c r="J466" s="32" t="s">
        <v>5403</v>
      </c>
      <c r="K466" s="32" t="s">
        <v>10554</v>
      </c>
      <c r="L466" s="32" t="s">
        <v>4130</v>
      </c>
      <c r="M466" s="32" t="s">
        <v>10555</v>
      </c>
      <c r="N466" s="32" t="s">
        <v>10556</v>
      </c>
      <c r="O466" s="32" t="s">
        <v>7127</v>
      </c>
    </row>
    <row x14ac:dyDescent="0.25" r="467" customHeight="1" ht="15.75">
      <c r="A467" s="8">
        <v>25597</v>
      </c>
      <c r="B467" s="13" t="s">
        <v>91</v>
      </c>
      <c r="C467" s="13" t="s">
        <v>5405</v>
      </c>
      <c r="D467" s="32" t="s">
        <v>5406</v>
      </c>
      <c r="E467" s="32" t="s">
        <v>7418</v>
      </c>
      <c r="F467" s="32" t="s">
        <v>1438</v>
      </c>
      <c r="G467" s="32" t="s">
        <v>7255</v>
      </c>
      <c r="H467" s="32" t="s">
        <v>1347</v>
      </c>
      <c r="I467" s="32" t="s">
        <v>10557</v>
      </c>
      <c r="J467" s="32" t="s">
        <v>5407</v>
      </c>
      <c r="K467" s="32" t="s">
        <v>10558</v>
      </c>
      <c r="L467" s="32" t="s">
        <v>4339</v>
      </c>
      <c r="M467" s="32" t="s">
        <v>10559</v>
      </c>
      <c r="N467" s="32" t="s">
        <v>1289</v>
      </c>
      <c r="O467" s="32" t="s">
        <v>10560</v>
      </c>
    </row>
    <row x14ac:dyDescent="0.25" r="468" customHeight="1" ht="15.75">
      <c r="A468" s="8">
        <v>25598</v>
      </c>
      <c r="B468" s="13" t="s">
        <v>91</v>
      </c>
      <c r="C468" s="13" t="s">
        <v>5408</v>
      </c>
      <c r="D468" s="32" t="s">
        <v>5409</v>
      </c>
      <c r="E468" s="32" t="s">
        <v>10561</v>
      </c>
      <c r="F468" s="32" t="s">
        <v>5409</v>
      </c>
      <c r="G468" s="32" t="s">
        <v>10562</v>
      </c>
      <c r="H468" s="32" t="s">
        <v>6049</v>
      </c>
      <c r="I468" s="32" t="s">
        <v>10563</v>
      </c>
      <c r="J468" s="32" t="s">
        <v>5411</v>
      </c>
      <c r="K468" s="32" t="s">
        <v>10564</v>
      </c>
      <c r="L468" s="32" t="s">
        <v>9070</v>
      </c>
      <c r="M468" s="32" t="s">
        <v>10565</v>
      </c>
      <c r="N468" s="32" t="s">
        <v>10566</v>
      </c>
      <c r="O468" s="32" t="s">
        <v>10567</v>
      </c>
    </row>
    <row x14ac:dyDescent="0.25" r="469" customHeight="1" ht="15.75">
      <c r="A469" s="8">
        <v>25599</v>
      </c>
      <c r="B469" s="13" t="s">
        <v>91</v>
      </c>
      <c r="C469" s="13" t="s">
        <v>5412</v>
      </c>
      <c r="D469" s="32" t="s">
        <v>4525</v>
      </c>
      <c r="E469" s="32" t="s">
        <v>9163</v>
      </c>
      <c r="F469" s="32" t="s">
        <v>1705</v>
      </c>
      <c r="G469" s="32" t="s">
        <v>7309</v>
      </c>
      <c r="H469" s="32" t="s">
        <v>1262</v>
      </c>
      <c r="I469" s="32" t="s">
        <v>10568</v>
      </c>
      <c r="J469" s="32" t="s">
        <v>2527</v>
      </c>
      <c r="K469" s="32" t="s">
        <v>10569</v>
      </c>
      <c r="L469" s="32" t="s">
        <v>4191</v>
      </c>
      <c r="M469" s="32" t="s">
        <v>10570</v>
      </c>
      <c r="N469" s="32" t="s">
        <v>1555</v>
      </c>
      <c r="O469" s="32" t="s">
        <v>10571</v>
      </c>
    </row>
    <row x14ac:dyDescent="0.25" r="470" customHeight="1" ht="15.75">
      <c r="A470" s="8">
        <v>25600</v>
      </c>
      <c r="B470" s="13" t="s">
        <v>91</v>
      </c>
      <c r="C470" s="13" t="s">
        <v>5414</v>
      </c>
      <c r="D470" s="32" t="s">
        <v>5415</v>
      </c>
      <c r="E470" s="32" t="s">
        <v>10572</v>
      </c>
      <c r="F470" s="32" t="s">
        <v>10573</v>
      </c>
      <c r="G470" s="32" t="s">
        <v>10574</v>
      </c>
      <c r="H470" s="32" t="s">
        <v>5416</v>
      </c>
      <c r="I470" s="32" t="s">
        <v>10575</v>
      </c>
      <c r="J470" s="32" t="s">
        <v>5416</v>
      </c>
      <c r="K470" s="32" t="s">
        <v>10576</v>
      </c>
      <c r="L470" s="32" t="s">
        <v>10577</v>
      </c>
      <c r="M470" s="32" t="s">
        <v>10578</v>
      </c>
      <c r="N470" s="32" t="s">
        <v>10577</v>
      </c>
      <c r="O470" s="32" t="s">
        <v>10579</v>
      </c>
    </row>
    <row x14ac:dyDescent="0.25" r="471" customHeight="1" ht="15.75">
      <c r="A471" s="8">
        <v>25601</v>
      </c>
      <c r="B471" s="13" t="s">
        <v>91</v>
      </c>
      <c r="C471" s="13" t="s">
        <v>5417</v>
      </c>
      <c r="D471" s="32" t="s">
        <v>5418</v>
      </c>
      <c r="E471" s="32" t="s">
        <v>10580</v>
      </c>
      <c r="F471" s="32" t="s">
        <v>9553</v>
      </c>
      <c r="G471" s="32" t="s">
        <v>7713</v>
      </c>
      <c r="H471" s="32" t="s">
        <v>10581</v>
      </c>
      <c r="I471" s="32" t="s">
        <v>7946</v>
      </c>
      <c r="J471" s="32" t="s">
        <v>5419</v>
      </c>
      <c r="K471" s="32" t="s">
        <v>10582</v>
      </c>
      <c r="L471" s="32" t="s">
        <v>4308</v>
      </c>
      <c r="M471" s="32" t="s">
        <v>10583</v>
      </c>
      <c r="N471" s="32" t="s">
        <v>1760</v>
      </c>
      <c r="O471" s="32" t="s">
        <v>7618</v>
      </c>
    </row>
    <row x14ac:dyDescent="0.25" r="472" customHeight="1" ht="15.75">
      <c r="A472" s="8">
        <v>25645</v>
      </c>
      <c r="B472" s="13" t="s">
        <v>91</v>
      </c>
      <c r="C472" s="13" t="s">
        <v>5421</v>
      </c>
      <c r="D472" s="32" t="s">
        <v>5422</v>
      </c>
      <c r="E472" s="32" t="s">
        <v>10584</v>
      </c>
      <c r="F472" s="32" t="s">
        <v>510</v>
      </c>
      <c r="G472" s="32" t="s">
        <v>7127</v>
      </c>
      <c r="H472" s="32" t="s">
        <v>4099</v>
      </c>
      <c r="I472" s="32" t="s">
        <v>10585</v>
      </c>
      <c r="J472" s="32" t="s">
        <v>5423</v>
      </c>
      <c r="K472" s="32" t="s">
        <v>10586</v>
      </c>
      <c r="L472" s="32" t="s">
        <v>9314</v>
      </c>
      <c r="M472" s="32" t="s">
        <v>10587</v>
      </c>
      <c r="N472" s="32" t="s">
        <v>4099</v>
      </c>
      <c r="O472" s="32" t="s">
        <v>7127</v>
      </c>
    </row>
    <row x14ac:dyDescent="0.25" r="473" customHeight="1" ht="15.75">
      <c r="A473" s="8">
        <v>25602</v>
      </c>
      <c r="B473" s="13" t="s">
        <v>91</v>
      </c>
      <c r="C473" s="13" t="s">
        <v>5424</v>
      </c>
      <c r="D473" s="32" t="s">
        <v>2477</v>
      </c>
      <c r="E473" s="32" t="s">
        <v>10588</v>
      </c>
      <c r="F473" s="32" t="s">
        <v>6883</v>
      </c>
      <c r="G473" s="32" t="s">
        <v>10589</v>
      </c>
      <c r="H473" s="32" t="s">
        <v>10590</v>
      </c>
      <c r="I473" s="32" t="s">
        <v>10591</v>
      </c>
      <c r="J473" s="32" t="s">
        <v>5425</v>
      </c>
      <c r="K473" s="32" t="s">
        <v>10592</v>
      </c>
      <c r="L473" s="32" t="s">
        <v>10593</v>
      </c>
      <c r="M473" s="32" t="s">
        <v>9954</v>
      </c>
      <c r="N473" s="32" t="s">
        <v>2367</v>
      </c>
      <c r="O473" s="32" t="s">
        <v>10594</v>
      </c>
    </row>
    <row x14ac:dyDescent="0.25" r="474" customHeight="1" ht="15.75">
      <c r="A474" s="8">
        <v>25646</v>
      </c>
      <c r="B474" s="13" t="s">
        <v>91</v>
      </c>
      <c r="C474" s="13" t="s">
        <v>5426</v>
      </c>
      <c r="D474" s="32" t="s">
        <v>4110</v>
      </c>
      <c r="E474" s="32" t="s">
        <v>10595</v>
      </c>
      <c r="F474" s="32" t="s">
        <v>4719</v>
      </c>
      <c r="G474" s="32" t="s">
        <v>10596</v>
      </c>
      <c r="H474" s="32" t="s">
        <v>10597</v>
      </c>
      <c r="I474" s="32" t="s">
        <v>10598</v>
      </c>
      <c r="J474" s="32" t="s">
        <v>5428</v>
      </c>
      <c r="K474" s="32" t="s">
        <v>7158</v>
      </c>
      <c r="L474" s="32" t="s">
        <v>10599</v>
      </c>
      <c r="M474" s="32" t="s">
        <v>8355</v>
      </c>
      <c r="N474" s="32" t="s">
        <v>6123</v>
      </c>
      <c r="O474" s="32" t="s">
        <v>10600</v>
      </c>
    </row>
    <row x14ac:dyDescent="0.25" r="475" customHeight="1" ht="15.75">
      <c r="A475" s="8">
        <v>25603</v>
      </c>
      <c r="B475" s="13" t="s">
        <v>91</v>
      </c>
      <c r="C475" s="13" t="s">
        <v>5429</v>
      </c>
      <c r="D475" s="32" t="s">
        <v>4301</v>
      </c>
      <c r="E475" s="32" t="s">
        <v>10601</v>
      </c>
      <c r="F475" s="32" t="s">
        <v>141</v>
      </c>
      <c r="G475" s="32" t="s">
        <v>7255</v>
      </c>
      <c r="H475" s="32" t="s">
        <v>10602</v>
      </c>
      <c r="I475" s="32" t="s">
        <v>10603</v>
      </c>
      <c r="J475" s="32" t="s">
        <v>5430</v>
      </c>
      <c r="K475" s="32" t="s">
        <v>10604</v>
      </c>
      <c r="L475" s="32" t="s">
        <v>10605</v>
      </c>
      <c r="M475" s="32" t="s">
        <v>10606</v>
      </c>
      <c r="N475" s="32" t="s">
        <v>10607</v>
      </c>
      <c r="O475" s="32" t="s">
        <v>10608</v>
      </c>
    </row>
    <row x14ac:dyDescent="0.25" r="476" customHeight="1" ht="15.75">
      <c r="A476" s="8">
        <v>25604</v>
      </c>
      <c r="B476" s="13" t="s">
        <v>91</v>
      </c>
      <c r="C476" s="13" t="s">
        <v>5431</v>
      </c>
      <c r="D476" s="32" t="s">
        <v>4399</v>
      </c>
      <c r="E476" s="32" t="s">
        <v>10609</v>
      </c>
      <c r="F476" s="32" t="s">
        <v>6139</v>
      </c>
      <c r="G476" s="32" t="s">
        <v>7127</v>
      </c>
      <c r="H476" s="32" t="s">
        <v>8847</v>
      </c>
      <c r="I476" s="32" t="s">
        <v>10610</v>
      </c>
      <c r="J476" s="32" t="s">
        <v>5433</v>
      </c>
      <c r="K476" s="32" t="s">
        <v>10611</v>
      </c>
      <c r="L476" s="32" t="s">
        <v>7578</v>
      </c>
      <c r="M476" s="32" t="s">
        <v>10612</v>
      </c>
      <c r="N476" s="32" t="s">
        <v>2457</v>
      </c>
      <c r="O476" s="32" t="s">
        <v>7127</v>
      </c>
    </row>
    <row x14ac:dyDescent="0.25" r="477" customHeight="1" ht="15.75">
      <c r="A477" s="8">
        <v>25605</v>
      </c>
      <c r="B477" s="13" t="s">
        <v>91</v>
      </c>
      <c r="C477" s="13" t="s">
        <v>5434</v>
      </c>
      <c r="D477" s="32" t="s">
        <v>5435</v>
      </c>
      <c r="E477" s="32" t="s">
        <v>10613</v>
      </c>
      <c r="F477" s="32" t="s">
        <v>517</v>
      </c>
      <c r="G477" s="32" t="s">
        <v>10100</v>
      </c>
      <c r="H477" s="32" t="s">
        <v>641</v>
      </c>
      <c r="I477" s="32" t="s">
        <v>10614</v>
      </c>
      <c r="J477" s="32" t="s">
        <v>5018</v>
      </c>
      <c r="K477" s="32" t="s">
        <v>9021</v>
      </c>
      <c r="L477" s="32" t="s">
        <v>4931</v>
      </c>
      <c r="M477" s="32" t="s">
        <v>10615</v>
      </c>
      <c r="N477" s="32" t="s">
        <v>10616</v>
      </c>
      <c r="O477" s="32" t="s">
        <v>10617</v>
      </c>
    </row>
    <row x14ac:dyDescent="0.25" r="478" customHeight="1" ht="15.75">
      <c r="A478" s="8">
        <v>25546</v>
      </c>
      <c r="B478" s="13" t="s">
        <v>91</v>
      </c>
      <c r="C478" s="13" t="s">
        <v>5436</v>
      </c>
      <c r="D478" s="32" t="s">
        <v>5437</v>
      </c>
      <c r="E478" s="32" t="s">
        <v>10618</v>
      </c>
      <c r="F478" s="32" t="s">
        <v>10619</v>
      </c>
      <c r="G478" s="32" t="s">
        <v>10620</v>
      </c>
      <c r="H478" s="32" t="s">
        <v>10621</v>
      </c>
      <c r="I478" s="32" t="s">
        <v>10622</v>
      </c>
      <c r="J478" s="32" t="s">
        <v>5439</v>
      </c>
      <c r="K478" s="32" t="s">
        <v>9627</v>
      </c>
      <c r="L478" s="32" t="s">
        <v>6097</v>
      </c>
      <c r="M478" s="32" t="s">
        <v>10623</v>
      </c>
      <c r="N478" s="32" t="s">
        <v>10624</v>
      </c>
      <c r="O478" s="32" t="s">
        <v>10625</v>
      </c>
    </row>
    <row x14ac:dyDescent="0.25" r="479" customHeight="1" ht="15.75">
      <c r="A479" s="8">
        <v>25606</v>
      </c>
      <c r="B479" s="13" t="s">
        <v>91</v>
      </c>
      <c r="C479" s="13" t="s">
        <v>5440</v>
      </c>
      <c r="D479" s="32" t="s">
        <v>5441</v>
      </c>
      <c r="E479" s="32" t="s">
        <v>10626</v>
      </c>
      <c r="F479" s="32" t="s">
        <v>10627</v>
      </c>
      <c r="G479" s="32" t="s">
        <v>10628</v>
      </c>
      <c r="H479" s="32" t="s">
        <v>5027</v>
      </c>
      <c r="I479" s="32" t="s">
        <v>10629</v>
      </c>
      <c r="J479" s="32" t="s">
        <v>5442</v>
      </c>
      <c r="K479" s="32" t="s">
        <v>10630</v>
      </c>
      <c r="L479" s="32" t="s">
        <v>10631</v>
      </c>
      <c r="M479" s="32" t="s">
        <v>10632</v>
      </c>
      <c r="N479" s="32" t="s">
        <v>10633</v>
      </c>
      <c r="O479" s="32" t="s">
        <v>10634</v>
      </c>
    </row>
    <row x14ac:dyDescent="0.25" r="480" customHeight="1" ht="15.75">
      <c r="A480" s="8">
        <v>25647</v>
      </c>
      <c r="B480" s="13" t="s">
        <v>91</v>
      </c>
      <c r="C480" s="13" t="s">
        <v>5443</v>
      </c>
      <c r="D480" s="32" t="s">
        <v>4329</v>
      </c>
      <c r="E480" s="32" t="s">
        <v>10635</v>
      </c>
      <c r="F480" s="32" t="s">
        <v>5510</v>
      </c>
      <c r="G480" s="32" t="s">
        <v>10636</v>
      </c>
      <c r="H480" s="32" t="s">
        <v>5985</v>
      </c>
      <c r="I480" s="32" t="s">
        <v>10562</v>
      </c>
      <c r="J480" s="32" t="s">
        <v>4487</v>
      </c>
      <c r="K480" s="32" t="s">
        <v>10637</v>
      </c>
      <c r="L480" s="32" t="s">
        <v>9503</v>
      </c>
      <c r="M480" s="32" t="s">
        <v>10638</v>
      </c>
      <c r="N480" s="32" t="s">
        <v>696</v>
      </c>
      <c r="O480" s="32" t="s">
        <v>10639</v>
      </c>
    </row>
    <row x14ac:dyDescent="0.25" r="481" customHeight="1" ht="15.75">
      <c r="A481" s="8">
        <v>25607</v>
      </c>
      <c r="B481" s="13" t="s">
        <v>91</v>
      </c>
      <c r="C481" s="13" t="s">
        <v>5444</v>
      </c>
      <c r="D481" s="32" t="s">
        <v>2364</v>
      </c>
      <c r="E481" s="32" t="s">
        <v>10640</v>
      </c>
      <c r="F481" s="32" t="s">
        <v>6063</v>
      </c>
      <c r="G481" s="32" t="s">
        <v>10641</v>
      </c>
      <c r="H481" s="32" t="s">
        <v>1672</v>
      </c>
      <c r="I481" s="32" t="s">
        <v>7144</v>
      </c>
      <c r="J481" s="32" t="s">
        <v>5445</v>
      </c>
      <c r="K481" s="32" t="s">
        <v>10642</v>
      </c>
      <c r="L481" s="32" t="s">
        <v>5123</v>
      </c>
      <c r="M481" s="32" t="s">
        <v>10643</v>
      </c>
      <c r="N481" s="32" t="s">
        <v>6063</v>
      </c>
      <c r="O481" s="32" t="s">
        <v>10644</v>
      </c>
    </row>
    <row x14ac:dyDescent="0.25" r="482" customHeight="1" ht="15.75">
      <c r="A482" s="8">
        <v>25648</v>
      </c>
      <c r="B482" s="13" t="s">
        <v>91</v>
      </c>
      <c r="C482" s="13" t="s">
        <v>5446</v>
      </c>
      <c r="D482" s="32" t="s">
        <v>5447</v>
      </c>
      <c r="E482" s="32" t="s">
        <v>10645</v>
      </c>
      <c r="F482" s="32" t="s">
        <v>10646</v>
      </c>
      <c r="G482" s="32" t="s">
        <v>10647</v>
      </c>
      <c r="H482" s="32" t="s">
        <v>10648</v>
      </c>
      <c r="I482" s="32" t="s">
        <v>10649</v>
      </c>
      <c r="J482" s="32" t="s">
        <v>5448</v>
      </c>
      <c r="K482" s="32" t="s">
        <v>10650</v>
      </c>
      <c r="L482" s="32" t="s">
        <v>10646</v>
      </c>
      <c r="M482" s="32" t="s">
        <v>10651</v>
      </c>
      <c r="N482" s="32" t="s">
        <v>2284</v>
      </c>
      <c r="O482" s="32" t="s">
        <v>7618</v>
      </c>
    </row>
    <row x14ac:dyDescent="0.25" r="483" customHeight="1" ht="15.75">
      <c r="A483" s="8">
        <v>25608</v>
      </c>
      <c r="B483" s="13" t="s">
        <v>91</v>
      </c>
      <c r="C483" s="13" t="s">
        <v>5449</v>
      </c>
      <c r="D483" s="32" t="s">
        <v>5450</v>
      </c>
      <c r="E483" s="32" t="s">
        <v>10652</v>
      </c>
      <c r="F483" s="32" t="s">
        <v>10653</v>
      </c>
      <c r="G483" s="32" t="s">
        <v>10457</v>
      </c>
      <c r="H483" s="32" t="s">
        <v>10654</v>
      </c>
      <c r="I483" s="32" t="s">
        <v>10655</v>
      </c>
      <c r="J483" s="32" t="s">
        <v>5451</v>
      </c>
      <c r="K483" s="32" t="s">
        <v>7973</v>
      </c>
      <c r="L483" s="32" t="s">
        <v>1121</v>
      </c>
      <c r="M483" s="32" t="s">
        <v>7192</v>
      </c>
      <c r="N483" s="32" t="s">
        <v>10656</v>
      </c>
      <c r="O483" s="32" t="s">
        <v>7381</v>
      </c>
    </row>
    <row x14ac:dyDescent="0.25" r="484" customHeight="1" ht="15.75">
      <c r="A484" s="8">
        <v>25547</v>
      </c>
      <c r="B484" s="13" t="s">
        <v>91</v>
      </c>
      <c r="C484" s="13" t="s">
        <v>5452</v>
      </c>
      <c r="D484" s="32" t="s">
        <v>5453</v>
      </c>
      <c r="E484" s="32" t="s">
        <v>10657</v>
      </c>
      <c r="F484" s="32" t="s">
        <v>8959</v>
      </c>
      <c r="G484" s="32" t="s">
        <v>10658</v>
      </c>
      <c r="H484" s="32" t="s">
        <v>6076</v>
      </c>
      <c r="I484" s="32" t="s">
        <v>10659</v>
      </c>
      <c r="J484" s="32" t="s">
        <v>5454</v>
      </c>
      <c r="K484" s="32" t="s">
        <v>10660</v>
      </c>
      <c r="L484" s="32" t="s">
        <v>10661</v>
      </c>
      <c r="M484" s="32" t="s">
        <v>8919</v>
      </c>
      <c r="N484" s="32" t="s">
        <v>10662</v>
      </c>
      <c r="O484" s="32" t="s">
        <v>7127</v>
      </c>
    </row>
    <row x14ac:dyDescent="0.25" r="485" customHeight="1" ht="15.75">
      <c r="A485" s="8">
        <v>25609</v>
      </c>
      <c r="B485" s="13" t="s">
        <v>91</v>
      </c>
      <c r="C485" s="13" t="s">
        <v>5456</v>
      </c>
      <c r="D485" s="32" t="s">
        <v>5457</v>
      </c>
      <c r="E485" s="32" t="s">
        <v>10663</v>
      </c>
      <c r="F485" s="32" t="s">
        <v>10664</v>
      </c>
      <c r="G485" s="32" t="s">
        <v>7196</v>
      </c>
      <c r="H485" s="32" t="s">
        <v>9251</v>
      </c>
      <c r="I485" s="32" t="s">
        <v>7127</v>
      </c>
      <c r="J485" s="32" t="s">
        <v>5459</v>
      </c>
      <c r="K485" s="32" t="s">
        <v>10665</v>
      </c>
      <c r="L485" s="32" t="s">
        <v>10666</v>
      </c>
      <c r="M485" s="32" t="s">
        <v>10667</v>
      </c>
      <c r="N485" s="32" t="s">
        <v>10668</v>
      </c>
      <c r="O485" s="32" t="s">
        <v>8081</v>
      </c>
    </row>
    <row x14ac:dyDescent="0.25" r="486" customHeight="1" ht="15.75">
      <c r="A486" s="8">
        <v>25548</v>
      </c>
      <c r="B486" s="13" t="s">
        <v>91</v>
      </c>
      <c r="C486" s="13" t="s">
        <v>5460</v>
      </c>
      <c r="D486" s="32" t="s">
        <v>5461</v>
      </c>
      <c r="E486" s="32" t="s">
        <v>10669</v>
      </c>
      <c r="F486" s="32" t="s">
        <v>2747</v>
      </c>
      <c r="G486" s="32" t="s">
        <v>10670</v>
      </c>
      <c r="H486" s="32" t="s">
        <v>10671</v>
      </c>
      <c r="I486" s="32" t="s">
        <v>10672</v>
      </c>
      <c r="J486" s="32" t="s">
        <v>5462</v>
      </c>
      <c r="K486" s="32" t="s">
        <v>10673</v>
      </c>
      <c r="L486" s="32" t="s">
        <v>10674</v>
      </c>
      <c r="M486" s="32" t="s">
        <v>10675</v>
      </c>
      <c r="N486" s="32" t="s">
        <v>10676</v>
      </c>
      <c r="O486" s="32" t="s">
        <v>7660</v>
      </c>
    </row>
    <row x14ac:dyDescent="0.25" r="487" customHeight="1" ht="15.75">
      <c r="A487" s="8">
        <v>25610</v>
      </c>
      <c r="B487" s="13" t="s">
        <v>91</v>
      </c>
      <c r="C487" s="13" t="s">
        <v>5463</v>
      </c>
      <c r="D487" s="32" t="s">
        <v>5464</v>
      </c>
      <c r="E487" s="32" t="s">
        <v>10677</v>
      </c>
      <c r="F487" s="32" t="s">
        <v>5953</v>
      </c>
      <c r="G487" s="32" t="s">
        <v>10678</v>
      </c>
      <c r="H487" s="32" t="s">
        <v>5530</v>
      </c>
      <c r="I487" s="32" t="s">
        <v>10679</v>
      </c>
      <c r="J487" s="32" t="s">
        <v>5465</v>
      </c>
      <c r="K487" s="32" t="s">
        <v>10680</v>
      </c>
      <c r="L487" s="32" t="s">
        <v>5947</v>
      </c>
      <c r="M487" s="32" t="s">
        <v>10681</v>
      </c>
      <c r="N487" s="32" t="s">
        <v>5610</v>
      </c>
      <c r="O487" s="32" t="s">
        <v>10682</v>
      </c>
    </row>
    <row x14ac:dyDescent="0.25" r="488" customHeight="1" ht="15.75">
      <c r="A488" s="8">
        <v>25611</v>
      </c>
      <c r="B488" s="13" t="s">
        <v>91</v>
      </c>
      <c r="C488" s="13" t="s">
        <v>5466</v>
      </c>
      <c r="D488" s="32" t="s">
        <v>5467</v>
      </c>
      <c r="E488" s="32" t="s">
        <v>10683</v>
      </c>
      <c r="F488" s="32" t="s">
        <v>10684</v>
      </c>
      <c r="G488" s="32" t="s">
        <v>10685</v>
      </c>
      <c r="H488" s="32" t="s">
        <v>2590</v>
      </c>
      <c r="I488" s="32" t="s">
        <v>10686</v>
      </c>
      <c r="J488" s="32" t="s">
        <v>5468</v>
      </c>
      <c r="K488" s="32" t="s">
        <v>10687</v>
      </c>
      <c r="L488" s="32" t="s">
        <v>5081</v>
      </c>
      <c r="M488" s="32" t="s">
        <v>10688</v>
      </c>
      <c r="N488" s="32" t="s">
        <v>10689</v>
      </c>
      <c r="O488" s="32" t="s">
        <v>10690</v>
      </c>
    </row>
    <row x14ac:dyDescent="0.25" r="489" customHeight="1" ht="15.75">
      <c r="A489" s="8">
        <v>25612</v>
      </c>
      <c r="B489" s="13" t="s">
        <v>91</v>
      </c>
      <c r="C489" s="13" t="s">
        <v>5469</v>
      </c>
      <c r="D489" s="32" t="s">
        <v>5470</v>
      </c>
      <c r="E489" s="32" t="s">
        <v>10691</v>
      </c>
      <c r="F489" s="32" t="s">
        <v>8331</v>
      </c>
      <c r="G489" s="32" t="s">
        <v>10692</v>
      </c>
      <c r="H489" s="32" t="s">
        <v>10693</v>
      </c>
      <c r="I489" s="32" t="s">
        <v>10694</v>
      </c>
      <c r="J489" s="32" t="s">
        <v>5472</v>
      </c>
      <c r="K489" s="32" t="s">
        <v>9229</v>
      </c>
      <c r="L489" s="32" t="s">
        <v>5472</v>
      </c>
      <c r="M489" s="32" t="s">
        <v>10695</v>
      </c>
      <c r="N489" s="32" t="s">
        <v>10696</v>
      </c>
      <c r="O489" s="32" t="s">
        <v>10697</v>
      </c>
    </row>
    <row x14ac:dyDescent="0.25" r="490" customHeight="1" ht="15.75">
      <c r="A490" s="8">
        <v>25613</v>
      </c>
      <c r="B490" s="13" t="s">
        <v>91</v>
      </c>
      <c r="C490" s="13" t="s">
        <v>5473</v>
      </c>
      <c r="D490" s="32" t="s">
        <v>5474</v>
      </c>
      <c r="E490" s="32" t="s">
        <v>10698</v>
      </c>
      <c r="F490" s="32" t="s">
        <v>10699</v>
      </c>
      <c r="G490" s="32" t="s">
        <v>10700</v>
      </c>
      <c r="H490" s="32" t="s">
        <v>10701</v>
      </c>
      <c r="I490" s="32" t="s">
        <v>10702</v>
      </c>
      <c r="J490" s="32" t="s">
        <v>5476</v>
      </c>
      <c r="K490" s="32" t="s">
        <v>10703</v>
      </c>
      <c r="L490" s="32" t="s">
        <v>2037</v>
      </c>
      <c r="M490" s="32" t="s">
        <v>10704</v>
      </c>
      <c r="N490" s="32" t="s">
        <v>10705</v>
      </c>
      <c r="O490" s="32" t="s">
        <v>10706</v>
      </c>
    </row>
    <row x14ac:dyDescent="0.25" r="491" customHeight="1" ht="15.75">
      <c r="A491" s="8">
        <v>25614</v>
      </c>
      <c r="B491" s="13" t="s">
        <v>91</v>
      </c>
      <c r="C491" s="13" t="s">
        <v>4718</v>
      </c>
      <c r="D491" s="32" t="s">
        <v>5477</v>
      </c>
      <c r="E491" s="32" t="s">
        <v>7255</v>
      </c>
      <c r="F491" s="32" t="s">
        <v>10707</v>
      </c>
      <c r="G491" s="32" t="s">
        <v>9128</v>
      </c>
      <c r="H491" s="32" t="s">
        <v>10708</v>
      </c>
      <c r="I491" s="32" t="s">
        <v>10709</v>
      </c>
      <c r="J491" s="32" t="s">
        <v>5479</v>
      </c>
      <c r="K491" s="32" t="s">
        <v>10710</v>
      </c>
      <c r="L491" s="32" t="s">
        <v>4750</v>
      </c>
      <c r="M491" s="32" t="s">
        <v>10711</v>
      </c>
      <c r="N491" s="32" t="s">
        <v>409</v>
      </c>
      <c r="O491" s="32" t="s">
        <v>10712</v>
      </c>
    </row>
    <row x14ac:dyDescent="0.25" r="492" customHeight="1" ht="15.75">
      <c r="A492" s="8">
        <v>25615</v>
      </c>
      <c r="B492" s="13" t="s">
        <v>91</v>
      </c>
      <c r="C492" s="13" t="s">
        <v>5481</v>
      </c>
      <c r="D492" s="32" t="s">
        <v>5482</v>
      </c>
      <c r="E492" s="32" t="s">
        <v>10713</v>
      </c>
      <c r="F492" s="32" t="s">
        <v>2464</v>
      </c>
      <c r="G492" s="32" t="s">
        <v>10714</v>
      </c>
      <c r="H492" s="32" t="s">
        <v>1947</v>
      </c>
      <c r="I492" s="32" t="s">
        <v>10715</v>
      </c>
      <c r="J492" s="32" t="s">
        <v>5483</v>
      </c>
      <c r="K492" s="32" t="s">
        <v>10716</v>
      </c>
      <c r="L492" s="32" t="s">
        <v>10542</v>
      </c>
      <c r="M492" s="32" t="s">
        <v>10717</v>
      </c>
      <c r="N492" s="32" t="s">
        <v>10718</v>
      </c>
      <c r="O492" s="32" t="s">
        <v>10719</v>
      </c>
    </row>
    <row x14ac:dyDescent="0.25" r="493" customHeight="1" ht="15.75">
      <c r="A493" s="8">
        <v>25616</v>
      </c>
      <c r="B493" s="13" t="s">
        <v>91</v>
      </c>
      <c r="C493" s="13" t="s">
        <v>5484</v>
      </c>
      <c r="D493" s="32" t="s">
        <v>5485</v>
      </c>
      <c r="E493" s="32" t="s">
        <v>10720</v>
      </c>
      <c r="F493" s="32" t="s">
        <v>5425</v>
      </c>
      <c r="G493" s="32" t="s">
        <v>10721</v>
      </c>
      <c r="H493" s="32" t="s">
        <v>10590</v>
      </c>
      <c r="I493" s="32" t="s">
        <v>10722</v>
      </c>
      <c r="J493" s="32" t="s">
        <v>1914</v>
      </c>
      <c r="K493" s="32" t="s">
        <v>10723</v>
      </c>
      <c r="L493" s="32" t="s">
        <v>10724</v>
      </c>
      <c r="M493" s="32" t="s">
        <v>10725</v>
      </c>
      <c r="N493" s="32" t="s">
        <v>10726</v>
      </c>
      <c r="O493" s="32" t="s">
        <v>7973</v>
      </c>
    </row>
    <row x14ac:dyDescent="0.25" r="494" customHeight="1" ht="15.75">
      <c r="A494" s="8">
        <v>25549</v>
      </c>
      <c r="B494" s="13" t="s">
        <v>91</v>
      </c>
      <c r="C494" s="13" t="s">
        <v>5486</v>
      </c>
      <c r="D494" s="32" t="s">
        <v>5487</v>
      </c>
      <c r="E494" s="32" t="s">
        <v>10727</v>
      </c>
      <c r="F494" s="32" t="s">
        <v>5829</v>
      </c>
      <c r="G494" s="32" t="s">
        <v>10728</v>
      </c>
      <c r="H494" s="32" t="s">
        <v>10729</v>
      </c>
      <c r="I494" s="32" t="s">
        <v>10730</v>
      </c>
      <c r="J494" s="32" t="s">
        <v>5488</v>
      </c>
      <c r="K494" s="32" t="s">
        <v>10731</v>
      </c>
      <c r="L494" s="32" t="s">
        <v>10732</v>
      </c>
      <c r="M494" s="32" t="s">
        <v>10733</v>
      </c>
      <c r="N494" s="32" t="s">
        <v>10734</v>
      </c>
      <c r="O494" s="32" t="s">
        <v>10735</v>
      </c>
    </row>
    <row x14ac:dyDescent="0.25" r="495" customHeight="1" ht="15.75">
      <c r="A495" s="8">
        <v>25617</v>
      </c>
      <c r="B495" s="13" t="s">
        <v>91</v>
      </c>
      <c r="C495" s="13" t="s">
        <v>5489</v>
      </c>
      <c r="D495" s="32" t="s">
        <v>5490</v>
      </c>
      <c r="E495" s="32" t="s">
        <v>10736</v>
      </c>
      <c r="F495" s="32" t="s">
        <v>10737</v>
      </c>
      <c r="G495" s="32" t="s">
        <v>10738</v>
      </c>
      <c r="H495" s="32" t="s">
        <v>10739</v>
      </c>
      <c r="I495" s="32" t="s">
        <v>10740</v>
      </c>
      <c r="J495" s="32" t="s">
        <v>5491</v>
      </c>
      <c r="K495" s="32" t="s">
        <v>10741</v>
      </c>
      <c r="L495" s="32" t="s">
        <v>10742</v>
      </c>
      <c r="M495" s="32" t="s">
        <v>10743</v>
      </c>
      <c r="N495" s="32" t="s">
        <v>10744</v>
      </c>
      <c r="O495" s="32" t="s">
        <v>10745</v>
      </c>
    </row>
    <row x14ac:dyDescent="0.25" r="496" customHeight="1" ht="15.75">
      <c r="A496" s="8">
        <v>25618</v>
      </c>
      <c r="B496" s="13" t="s">
        <v>91</v>
      </c>
      <c r="C496" s="13" t="s">
        <v>5492</v>
      </c>
      <c r="D496" s="32" t="s">
        <v>4870</v>
      </c>
      <c r="E496" s="32" t="s">
        <v>10746</v>
      </c>
      <c r="F496" s="32" t="s">
        <v>10747</v>
      </c>
      <c r="G496" s="32" t="s">
        <v>10748</v>
      </c>
      <c r="H496" s="32" t="s">
        <v>8699</v>
      </c>
      <c r="I496" s="32" t="s">
        <v>10749</v>
      </c>
      <c r="J496" s="32" t="s">
        <v>5494</v>
      </c>
      <c r="K496" s="32" t="s">
        <v>10750</v>
      </c>
      <c r="L496" s="32" t="s">
        <v>29</v>
      </c>
      <c r="M496" s="32" t="s">
        <v>7127</v>
      </c>
      <c r="N496" s="32" t="s">
        <v>29</v>
      </c>
      <c r="O496" s="32" t="s">
        <v>7127</v>
      </c>
    </row>
    <row x14ac:dyDescent="0.25" r="497" customHeight="1" ht="15.75">
      <c r="A497" s="8">
        <v>25620</v>
      </c>
      <c r="B497" s="13" t="s">
        <v>91</v>
      </c>
      <c r="C497" s="13" t="s">
        <v>5495</v>
      </c>
      <c r="D497" s="32" t="s">
        <v>5496</v>
      </c>
      <c r="E497" s="32" t="s">
        <v>10751</v>
      </c>
      <c r="F497" s="32" t="s">
        <v>10752</v>
      </c>
      <c r="G497" s="32" t="s">
        <v>10753</v>
      </c>
      <c r="H497" s="32" t="s">
        <v>74</v>
      </c>
      <c r="I497" s="32" t="s">
        <v>10754</v>
      </c>
      <c r="J497" s="32" t="s">
        <v>5497</v>
      </c>
      <c r="K497" s="32" t="s">
        <v>7604</v>
      </c>
      <c r="L497" s="32" t="s">
        <v>74</v>
      </c>
      <c r="M497" s="32" t="s">
        <v>10755</v>
      </c>
      <c r="N497" s="32" t="s">
        <v>10756</v>
      </c>
      <c r="O497" s="32" t="s">
        <v>10757</v>
      </c>
    </row>
    <row x14ac:dyDescent="0.25" r="498" customHeight="1" ht="15.75">
      <c r="A498" s="8">
        <v>25551</v>
      </c>
      <c r="B498" s="13" t="s">
        <v>91</v>
      </c>
      <c r="C498" s="13" t="s">
        <v>5499</v>
      </c>
      <c r="D498" s="32" t="s">
        <v>5500</v>
      </c>
      <c r="E498" s="32" t="s">
        <v>10758</v>
      </c>
      <c r="F498" s="32" t="s">
        <v>10573</v>
      </c>
      <c r="G498" s="32" t="s">
        <v>10759</v>
      </c>
      <c r="H498" s="32" t="s">
        <v>10760</v>
      </c>
      <c r="I498" s="32" t="s">
        <v>10761</v>
      </c>
      <c r="J498" s="32" t="s">
        <v>1416</v>
      </c>
      <c r="K498" s="32" t="s">
        <v>9164</v>
      </c>
      <c r="L498" s="32" t="s">
        <v>10760</v>
      </c>
      <c r="M498" s="32" t="s">
        <v>10762</v>
      </c>
      <c r="N498" s="32" t="s">
        <v>10763</v>
      </c>
      <c r="O498" s="32" t="s">
        <v>10764</v>
      </c>
    </row>
    <row x14ac:dyDescent="0.25" r="499" customHeight="1" ht="15.75">
      <c r="A499" s="8">
        <v>25649</v>
      </c>
      <c r="B499" s="13" t="s">
        <v>91</v>
      </c>
      <c r="C499" s="13" t="s">
        <v>5502</v>
      </c>
      <c r="D499" s="32" t="s">
        <v>5503</v>
      </c>
      <c r="E499" s="32" t="s">
        <v>10765</v>
      </c>
      <c r="F499" s="32" t="s">
        <v>10766</v>
      </c>
      <c r="G499" s="32" t="s">
        <v>10767</v>
      </c>
      <c r="H499" s="32" t="s">
        <v>8754</v>
      </c>
      <c r="I499" s="32" t="s">
        <v>10768</v>
      </c>
      <c r="J499" s="32" t="s">
        <v>5505</v>
      </c>
      <c r="K499" s="32" t="s">
        <v>10769</v>
      </c>
      <c r="L499" s="32" t="s">
        <v>10770</v>
      </c>
      <c r="M499" s="32" t="s">
        <v>10771</v>
      </c>
      <c r="N499" s="32" t="s">
        <v>10441</v>
      </c>
      <c r="O499" s="32" t="s">
        <v>10772</v>
      </c>
    </row>
    <row x14ac:dyDescent="0.25" r="500" customHeight="1" ht="15.75">
      <c r="A500" s="8">
        <v>25650</v>
      </c>
      <c r="B500" s="13" t="s">
        <v>91</v>
      </c>
      <c r="C500" s="13" t="s">
        <v>5506</v>
      </c>
      <c r="D500" s="32" t="s">
        <v>4309</v>
      </c>
      <c r="E500" s="32" t="s">
        <v>10773</v>
      </c>
      <c r="F500" s="32" t="s">
        <v>5508</v>
      </c>
      <c r="G500" s="32" t="s">
        <v>10774</v>
      </c>
      <c r="H500" s="32" t="s">
        <v>5958</v>
      </c>
      <c r="I500" s="32" t="s">
        <v>10775</v>
      </c>
      <c r="J500" s="32" t="s">
        <v>5508</v>
      </c>
      <c r="K500" s="32" t="s">
        <v>10776</v>
      </c>
      <c r="L500" s="32" t="s">
        <v>10777</v>
      </c>
      <c r="M500" s="32" t="s">
        <v>10778</v>
      </c>
      <c r="N500" s="32" t="s">
        <v>10779</v>
      </c>
      <c r="O500" s="32" t="s">
        <v>10780</v>
      </c>
    </row>
    <row x14ac:dyDescent="0.25" r="501" customHeight="1" ht="15.75">
      <c r="A501" s="8">
        <v>25621</v>
      </c>
      <c r="B501" s="13" t="s">
        <v>91</v>
      </c>
      <c r="C501" s="13" t="s">
        <v>5509</v>
      </c>
      <c r="D501" s="32" t="s">
        <v>5510</v>
      </c>
      <c r="E501" s="32" t="s">
        <v>7127</v>
      </c>
      <c r="F501" s="32" t="s">
        <v>5016</v>
      </c>
      <c r="G501" s="32" t="s">
        <v>10781</v>
      </c>
      <c r="H501" s="32" t="s">
        <v>10782</v>
      </c>
      <c r="I501" s="32" t="s">
        <v>10783</v>
      </c>
      <c r="J501" s="32" t="s">
        <v>5511</v>
      </c>
      <c r="K501" s="32" t="s">
        <v>10784</v>
      </c>
      <c r="L501" s="32" t="s">
        <v>10785</v>
      </c>
      <c r="M501" s="32" t="s">
        <v>7127</v>
      </c>
      <c r="N501" s="32" t="s">
        <v>10786</v>
      </c>
      <c r="O501" s="32" t="s">
        <v>10787</v>
      </c>
    </row>
    <row x14ac:dyDescent="0.25" r="502" customHeight="1" ht="15.75">
      <c r="A502" s="8">
        <v>25622</v>
      </c>
      <c r="B502" s="13" t="s">
        <v>91</v>
      </c>
      <c r="C502" s="13" t="s">
        <v>5512</v>
      </c>
      <c r="D502" s="32" t="s">
        <v>5513</v>
      </c>
      <c r="E502" s="32" t="s">
        <v>10788</v>
      </c>
      <c r="F502" s="32" t="s">
        <v>10789</v>
      </c>
      <c r="G502" s="32" t="s">
        <v>10790</v>
      </c>
      <c r="H502" s="32" t="s">
        <v>5753</v>
      </c>
      <c r="I502" s="32" t="s">
        <v>10791</v>
      </c>
      <c r="J502" s="32" t="s">
        <v>5514</v>
      </c>
      <c r="K502" s="32" t="s">
        <v>10792</v>
      </c>
      <c r="L502" s="32" t="s">
        <v>5142</v>
      </c>
      <c r="M502" s="32" t="s">
        <v>10793</v>
      </c>
      <c r="N502" s="32" t="s">
        <v>10794</v>
      </c>
      <c r="O502" s="32" t="s">
        <v>10795</v>
      </c>
    </row>
    <row x14ac:dyDescent="0.25" r="503" customHeight="1" ht="15.75">
      <c r="A503" s="8">
        <v>25623</v>
      </c>
      <c r="B503" s="13" t="s">
        <v>91</v>
      </c>
      <c r="C503" s="13" t="s">
        <v>5515</v>
      </c>
      <c r="D503" s="32" t="s">
        <v>5516</v>
      </c>
      <c r="E503" s="32" t="s">
        <v>10796</v>
      </c>
      <c r="F503" s="32" t="s">
        <v>10797</v>
      </c>
      <c r="G503" s="32" t="s">
        <v>10798</v>
      </c>
      <c r="H503" s="32" t="s">
        <v>2298</v>
      </c>
      <c r="I503" s="32" t="s">
        <v>7127</v>
      </c>
      <c r="J503" s="32" t="s">
        <v>5510</v>
      </c>
      <c r="K503" s="32" t="s">
        <v>10799</v>
      </c>
      <c r="L503" s="32" t="s">
        <v>10800</v>
      </c>
      <c r="M503" s="32" t="s">
        <v>10801</v>
      </c>
      <c r="N503" s="32" t="s">
        <v>10802</v>
      </c>
      <c r="O503" s="32" t="s">
        <v>10803</v>
      </c>
    </row>
    <row x14ac:dyDescent="0.25" r="504" customHeight="1" ht="15.75">
      <c r="A504" s="8">
        <v>25624</v>
      </c>
      <c r="B504" s="13" t="s">
        <v>91</v>
      </c>
      <c r="C504" s="13" t="s">
        <v>5519</v>
      </c>
      <c r="D504" s="32" t="s">
        <v>5520</v>
      </c>
      <c r="E504" s="32" t="s">
        <v>10804</v>
      </c>
      <c r="F504" s="32" t="s">
        <v>10805</v>
      </c>
      <c r="G504" s="32" t="s">
        <v>10806</v>
      </c>
      <c r="H504" s="32" t="s">
        <v>6982</v>
      </c>
      <c r="I504" s="32" t="s">
        <v>10807</v>
      </c>
      <c r="J504" s="32" t="s">
        <v>2504</v>
      </c>
      <c r="K504" s="32" t="s">
        <v>10808</v>
      </c>
      <c r="L504" s="32" t="s">
        <v>10809</v>
      </c>
      <c r="M504" s="32" t="s">
        <v>10810</v>
      </c>
      <c r="N504" s="32" t="s">
        <v>10811</v>
      </c>
      <c r="O504" s="32" t="s">
        <v>10812</v>
      </c>
    </row>
    <row x14ac:dyDescent="0.25" r="505" customHeight="1" ht="15.75">
      <c r="A505" s="8">
        <v>25625</v>
      </c>
      <c r="B505" s="13" t="s">
        <v>91</v>
      </c>
      <c r="C505" s="13" t="s">
        <v>5521</v>
      </c>
      <c r="D505" s="32" t="s">
        <v>5522</v>
      </c>
      <c r="E505" s="32" t="s">
        <v>10813</v>
      </c>
      <c r="F505" s="32" t="s">
        <v>10814</v>
      </c>
      <c r="G505" s="32" t="s">
        <v>10815</v>
      </c>
      <c r="H505" s="32" t="s">
        <v>10816</v>
      </c>
      <c r="I505" s="32" t="s">
        <v>10817</v>
      </c>
      <c r="J505" s="32" t="s">
        <v>5523</v>
      </c>
      <c r="K505" s="32" t="s">
        <v>10818</v>
      </c>
      <c r="L505" s="32" t="s">
        <v>10171</v>
      </c>
      <c r="M505" s="32" t="s">
        <v>10819</v>
      </c>
      <c r="N505" s="32" t="s">
        <v>6202</v>
      </c>
      <c r="O505" s="32" t="s">
        <v>10820</v>
      </c>
    </row>
    <row x14ac:dyDescent="0.25" r="506" customHeight="1" ht="15.75">
      <c r="A506" s="8">
        <v>25626</v>
      </c>
      <c r="B506" s="13" t="s">
        <v>91</v>
      </c>
      <c r="C506" s="13" t="s">
        <v>5524</v>
      </c>
      <c r="D506" s="32" t="s">
        <v>5525</v>
      </c>
      <c r="E506" s="32" t="s">
        <v>10821</v>
      </c>
      <c r="F506" s="32" t="s">
        <v>10822</v>
      </c>
      <c r="G506" s="32" t="s">
        <v>10823</v>
      </c>
      <c r="H506" s="32" t="s">
        <v>10824</v>
      </c>
      <c r="I506" s="32" t="s">
        <v>10825</v>
      </c>
      <c r="J506" s="32" t="s">
        <v>5527</v>
      </c>
      <c r="K506" s="32" t="s">
        <v>10826</v>
      </c>
      <c r="L506" s="32" t="s">
        <v>2076</v>
      </c>
      <c r="M506" s="32" t="s">
        <v>7127</v>
      </c>
      <c r="N506" s="32" t="s">
        <v>10827</v>
      </c>
      <c r="O506" s="32" t="s">
        <v>7127</v>
      </c>
    </row>
    <row x14ac:dyDescent="0.25" r="507" customHeight="1" ht="15.75">
      <c r="A507" s="8">
        <v>25627</v>
      </c>
      <c r="B507" s="13" t="s">
        <v>91</v>
      </c>
      <c r="C507" s="13" t="s">
        <v>5528</v>
      </c>
      <c r="D507" s="32" t="s">
        <v>2468</v>
      </c>
      <c r="E507" s="32" t="s">
        <v>7127</v>
      </c>
      <c r="F507" s="32" t="s">
        <v>10828</v>
      </c>
      <c r="G507" s="32" t="s">
        <v>10829</v>
      </c>
      <c r="H507" s="32" t="s">
        <v>8344</v>
      </c>
      <c r="I507" s="32" t="s">
        <v>10830</v>
      </c>
      <c r="J507" s="32" t="s">
        <v>2319</v>
      </c>
      <c r="K507" s="32" t="s">
        <v>10831</v>
      </c>
      <c r="L507" s="32" t="s">
        <v>10832</v>
      </c>
      <c r="M507" s="32" t="s">
        <v>10833</v>
      </c>
      <c r="N507" s="32" t="s">
        <v>10834</v>
      </c>
      <c r="O507" s="32" t="s">
        <v>10073</v>
      </c>
    </row>
    <row x14ac:dyDescent="0.25" r="508" customHeight="1" ht="15.75">
      <c r="A508" s="8">
        <v>25628</v>
      </c>
      <c r="B508" s="13" t="s">
        <v>91</v>
      </c>
      <c r="C508" s="13" t="s">
        <v>5529</v>
      </c>
      <c r="D508" s="32" t="s">
        <v>5530</v>
      </c>
      <c r="E508" s="32" t="s">
        <v>10835</v>
      </c>
      <c r="F508" s="32" t="s">
        <v>8909</v>
      </c>
      <c r="G508" s="32" t="s">
        <v>10836</v>
      </c>
      <c r="H508" s="32" t="s">
        <v>10837</v>
      </c>
      <c r="I508" s="32" t="s">
        <v>10838</v>
      </c>
      <c r="J508" s="32" t="s">
        <v>5531</v>
      </c>
      <c r="K508" s="32" t="s">
        <v>10839</v>
      </c>
      <c r="L508" s="32" t="s">
        <v>8180</v>
      </c>
      <c r="M508" s="32" t="s">
        <v>10840</v>
      </c>
      <c r="N508" s="32" t="s">
        <v>10841</v>
      </c>
      <c r="O508" s="32" t="s">
        <v>10842</v>
      </c>
    </row>
    <row x14ac:dyDescent="0.25" r="509" customHeight="1" ht="15.75">
      <c r="A509" s="8">
        <v>25629</v>
      </c>
      <c r="B509" s="13" t="s">
        <v>91</v>
      </c>
      <c r="C509" s="13" t="s">
        <v>5532</v>
      </c>
      <c r="D509" s="32" t="s">
        <v>5533</v>
      </c>
      <c r="E509" s="32" t="s">
        <v>10843</v>
      </c>
      <c r="F509" s="32" t="s">
        <v>2255</v>
      </c>
      <c r="G509" s="32" t="s">
        <v>10844</v>
      </c>
      <c r="H509" s="32" t="s">
        <v>10845</v>
      </c>
      <c r="I509" s="32" t="s">
        <v>10846</v>
      </c>
      <c r="J509" s="32" t="s">
        <v>5511</v>
      </c>
      <c r="K509" s="32" t="s">
        <v>10289</v>
      </c>
      <c r="L509" s="32" t="s">
        <v>10847</v>
      </c>
      <c r="M509" s="32" t="s">
        <v>10848</v>
      </c>
      <c r="N509" s="32" t="s">
        <v>10849</v>
      </c>
      <c r="O509" s="32" t="s">
        <v>7127</v>
      </c>
    </row>
    <row x14ac:dyDescent="0.25" r="510" customHeight="1" ht="15.75">
      <c r="A510" s="8">
        <v>25630</v>
      </c>
      <c r="B510" s="13" t="s">
        <v>91</v>
      </c>
      <c r="C510" s="13" t="s">
        <v>5535</v>
      </c>
      <c r="D510" s="32" t="s">
        <v>5536</v>
      </c>
      <c r="E510" s="32" t="s">
        <v>10850</v>
      </c>
      <c r="F510" s="32" t="s">
        <v>5001</v>
      </c>
      <c r="G510" s="32" t="s">
        <v>10851</v>
      </c>
      <c r="H510" s="32" t="s">
        <v>10852</v>
      </c>
      <c r="I510" s="32" t="s">
        <v>10853</v>
      </c>
      <c r="J510" s="32" t="s">
        <v>5538</v>
      </c>
      <c r="K510" s="32" t="s">
        <v>7127</v>
      </c>
      <c r="L510" s="32" t="s">
        <v>1788</v>
      </c>
      <c r="M510" s="32" t="s">
        <v>10854</v>
      </c>
      <c r="N510" s="32" t="s">
        <v>29</v>
      </c>
      <c r="O510" s="32" t="s">
        <v>7127</v>
      </c>
    </row>
    <row x14ac:dyDescent="0.25" r="511" customHeight="1" ht="15.75">
      <c r="A511" s="8">
        <v>25552</v>
      </c>
      <c r="B511" s="13" t="s">
        <v>91</v>
      </c>
      <c r="C511" s="13" t="s">
        <v>5539</v>
      </c>
      <c r="D511" s="32" t="s">
        <v>5540</v>
      </c>
      <c r="E511" s="32" t="s">
        <v>8163</v>
      </c>
      <c r="F511" s="32" t="s">
        <v>4061</v>
      </c>
      <c r="G511" s="32" t="s">
        <v>9424</v>
      </c>
      <c r="H511" s="32" t="s">
        <v>10855</v>
      </c>
      <c r="I511" s="32" t="s">
        <v>10856</v>
      </c>
      <c r="J511" s="32" t="s">
        <v>5541</v>
      </c>
      <c r="K511" s="32" t="s">
        <v>10857</v>
      </c>
      <c r="L511" s="32" t="s">
        <v>10858</v>
      </c>
      <c r="M511" s="32" t="s">
        <v>10859</v>
      </c>
      <c r="N511" s="32" t="s">
        <v>10860</v>
      </c>
      <c r="O511" s="32" t="s">
        <v>10861</v>
      </c>
    </row>
    <row x14ac:dyDescent="0.25" r="512" customHeight="1" ht="15.75">
      <c r="A512" s="8">
        <v>25631</v>
      </c>
      <c r="B512" s="13" t="s">
        <v>91</v>
      </c>
      <c r="C512" s="13" t="s">
        <v>5542</v>
      </c>
      <c r="D512" s="32" t="s">
        <v>5543</v>
      </c>
      <c r="E512" s="32" t="s">
        <v>10862</v>
      </c>
      <c r="F512" s="32" t="s">
        <v>4103</v>
      </c>
      <c r="G512" s="32" t="s">
        <v>10863</v>
      </c>
      <c r="H512" s="32" t="s">
        <v>10864</v>
      </c>
      <c r="I512" s="32" t="s">
        <v>10865</v>
      </c>
      <c r="J512" s="32" t="s">
        <v>5544</v>
      </c>
      <c r="K512" s="32" t="s">
        <v>10866</v>
      </c>
      <c r="L512" s="32" t="s">
        <v>10867</v>
      </c>
      <c r="M512" s="32" t="s">
        <v>10868</v>
      </c>
      <c r="N512" s="32" t="s">
        <v>10869</v>
      </c>
      <c r="O512" s="32" t="s">
        <v>9506</v>
      </c>
    </row>
    <row x14ac:dyDescent="0.25" r="513" customHeight="1" ht="15.75">
      <c r="A513" s="8">
        <v>25632</v>
      </c>
      <c r="B513" s="13" t="s">
        <v>91</v>
      </c>
      <c r="C513" s="13" t="s">
        <v>5545</v>
      </c>
      <c r="D513" s="32" t="s">
        <v>5546</v>
      </c>
      <c r="E513" s="32" t="s">
        <v>10870</v>
      </c>
      <c r="F513" s="32" t="s">
        <v>5215</v>
      </c>
      <c r="G513" s="32" t="s">
        <v>10871</v>
      </c>
      <c r="H513" s="32" t="s">
        <v>10872</v>
      </c>
      <c r="I513" s="32" t="s">
        <v>10873</v>
      </c>
      <c r="J513" s="32" t="s">
        <v>5547</v>
      </c>
      <c r="K513" s="32" t="s">
        <v>10874</v>
      </c>
      <c r="L513" s="32" t="s">
        <v>10875</v>
      </c>
      <c r="M513" s="32" t="s">
        <v>10876</v>
      </c>
      <c r="N513" s="32" t="s">
        <v>10877</v>
      </c>
      <c r="O513" s="32" t="s">
        <v>10436</v>
      </c>
    </row>
    <row x14ac:dyDescent="0.25" r="514" customHeight="1" ht="15.75">
      <c r="A514" s="8">
        <v>25553</v>
      </c>
      <c r="B514" s="13" t="s">
        <v>91</v>
      </c>
      <c r="C514" s="13" t="s">
        <v>5548</v>
      </c>
      <c r="D514" s="32" t="s">
        <v>4429</v>
      </c>
      <c r="E514" s="32" t="s">
        <v>10878</v>
      </c>
      <c r="F514" s="32" t="s">
        <v>10879</v>
      </c>
      <c r="G514" s="32" t="s">
        <v>10880</v>
      </c>
      <c r="H514" s="32" t="s">
        <v>10881</v>
      </c>
      <c r="I514" s="32" t="s">
        <v>10882</v>
      </c>
      <c r="J514" s="32" t="s">
        <v>5549</v>
      </c>
      <c r="K514" s="32" t="s">
        <v>10883</v>
      </c>
      <c r="L514" s="32" t="s">
        <v>5865</v>
      </c>
      <c r="M514" s="32" t="s">
        <v>10884</v>
      </c>
      <c r="N514" s="32" t="s">
        <v>5016</v>
      </c>
      <c r="O514" s="32" t="s">
        <v>10885</v>
      </c>
    </row>
    <row x14ac:dyDescent="0.25" r="515" customHeight="1" ht="15.75">
      <c r="A515" s="8">
        <v>25633</v>
      </c>
      <c r="B515" s="13" t="s">
        <v>91</v>
      </c>
      <c r="C515" s="13" t="s">
        <v>5550</v>
      </c>
      <c r="D515" s="32" t="s">
        <v>5551</v>
      </c>
      <c r="E515" s="32" t="s">
        <v>10886</v>
      </c>
      <c r="F515" s="32" t="s">
        <v>5547</v>
      </c>
      <c r="G515" s="32" t="s">
        <v>7127</v>
      </c>
      <c r="H515" s="32" t="s">
        <v>10887</v>
      </c>
      <c r="I515" s="32" t="s">
        <v>10888</v>
      </c>
      <c r="J515" s="32" t="s">
        <v>5119</v>
      </c>
      <c r="K515" s="32" t="s">
        <v>10889</v>
      </c>
      <c r="L515" s="32" t="s">
        <v>10890</v>
      </c>
      <c r="M515" s="32" t="s">
        <v>7127</v>
      </c>
      <c r="N515" s="32" t="s">
        <v>10891</v>
      </c>
      <c r="O515" s="32" t="s">
        <v>7127</v>
      </c>
    </row>
    <row x14ac:dyDescent="0.25" r="516" customHeight="1" ht="15.75">
      <c r="A516" s="8">
        <v>25634</v>
      </c>
      <c r="B516" s="13" t="s">
        <v>91</v>
      </c>
      <c r="C516" s="13" t="s">
        <v>5552</v>
      </c>
      <c r="D516" s="32" t="s">
        <v>5553</v>
      </c>
      <c r="E516" s="32" t="s">
        <v>10892</v>
      </c>
      <c r="F516" s="32" t="s">
        <v>10893</v>
      </c>
      <c r="G516" s="32" t="s">
        <v>10894</v>
      </c>
      <c r="H516" s="32" t="s">
        <v>10895</v>
      </c>
      <c r="I516" s="32" t="s">
        <v>10896</v>
      </c>
      <c r="J516" s="32" t="s">
        <v>5555</v>
      </c>
      <c r="K516" s="32" t="s">
        <v>10897</v>
      </c>
      <c r="L516" s="32" t="s">
        <v>8850</v>
      </c>
      <c r="M516" s="32" t="s">
        <v>10898</v>
      </c>
      <c r="N516" s="32" t="s">
        <v>10899</v>
      </c>
      <c r="O516" s="32" t="s">
        <v>10900</v>
      </c>
    </row>
    <row x14ac:dyDescent="0.25" r="517" customHeight="1" ht="15.75">
      <c r="A517" s="8">
        <v>25635</v>
      </c>
      <c r="B517" s="13" t="s">
        <v>91</v>
      </c>
      <c r="C517" s="13" t="s">
        <v>5556</v>
      </c>
      <c r="D517" s="32" t="s">
        <v>4319</v>
      </c>
      <c r="E517" s="32" t="s">
        <v>10901</v>
      </c>
      <c r="F517" s="32" t="s">
        <v>10902</v>
      </c>
      <c r="G517" s="32" t="s">
        <v>10903</v>
      </c>
      <c r="H517" s="32" t="s">
        <v>5958</v>
      </c>
      <c r="I517" s="32" t="s">
        <v>10904</v>
      </c>
      <c r="J517" s="32" t="s">
        <v>5558</v>
      </c>
      <c r="K517" s="32" t="s">
        <v>10905</v>
      </c>
      <c r="L517" s="32" t="s">
        <v>8754</v>
      </c>
      <c r="M517" s="32" t="s">
        <v>10906</v>
      </c>
      <c r="N517" s="32" t="s">
        <v>5958</v>
      </c>
      <c r="O517" s="32" t="s">
        <v>10907</v>
      </c>
    </row>
    <row x14ac:dyDescent="0.25" r="518" customHeight="1" ht="15.75">
      <c r="A518" s="8">
        <v>25636</v>
      </c>
      <c r="B518" s="13" t="s">
        <v>91</v>
      </c>
      <c r="C518" s="13" t="s">
        <v>5559</v>
      </c>
      <c r="D518" s="32" t="s">
        <v>81</v>
      </c>
      <c r="E518" s="32" t="s">
        <v>10908</v>
      </c>
      <c r="F518" s="32" t="s">
        <v>350</v>
      </c>
      <c r="G518" s="32" t="s">
        <v>10909</v>
      </c>
      <c r="H518" s="32" t="s">
        <v>10910</v>
      </c>
      <c r="I518" s="32" t="s">
        <v>10911</v>
      </c>
      <c r="J518" s="32" t="s">
        <v>5560</v>
      </c>
      <c r="K518" s="32" t="s">
        <v>10912</v>
      </c>
      <c r="L518" s="32" t="s">
        <v>2321</v>
      </c>
      <c r="M518" s="32" t="s">
        <v>10913</v>
      </c>
      <c r="N518" s="32" t="s">
        <v>5121</v>
      </c>
      <c r="O518" s="32" t="s">
        <v>10914</v>
      </c>
    </row>
    <row x14ac:dyDescent="0.25" r="519" customHeight="1" ht="15.75">
      <c r="A519" s="8">
        <v>25637</v>
      </c>
      <c r="B519" s="13" t="s">
        <v>91</v>
      </c>
      <c r="C519" s="13" t="s">
        <v>5561</v>
      </c>
      <c r="D519" s="32" t="s">
        <v>5562</v>
      </c>
      <c r="E519" s="32" t="s">
        <v>10915</v>
      </c>
      <c r="F519" s="32" t="s">
        <v>5653</v>
      </c>
      <c r="G519" s="32" t="s">
        <v>8535</v>
      </c>
      <c r="H519" s="32" t="s">
        <v>10916</v>
      </c>
      <c r="I519" s="32" t="s">
        <v>10917</v>
      </c>
      <c r="J519" s="32" t="s">
        <v>5563</v>
      </c>
      <c r="K519" s="32" t="s">
        <v>10918</v>
      </c>
      <c r="L519" s="32" t="s">
        <v>10879</v>
      </c>
      <c r="M519" s="32" t="s">
        <v>10919</v>
      </c>
      <c r="N519" s="32" t="s">
        <v>5013</v>
      </c>
      <c r="O519" s="32" t="s">
        <v>7412</v>
      </c>
    </row>
    <row x14ac:dyDescent="0.25" r="520" customHeight="1" ht="15.75">
      <c r="A520" s="8">
        <v>25638</v>
      </c>
      <c r="B520" s="13" t="s">
        <v>91</v>
      </c>
      <c r="C520" s="13" t="s">
        <v>5564</v>
      </c>
      <c r="D520" s="32" t="s">
        <v>5010</v>
      </c>
      <c r="E520" s="32" t="s">
        <v>10920</v>
      </c>
      <c r="F520" s="32" t="s">
        <v>10921</v>
      </c>
      <c r="G520" s="32" t="s">
        <v>10922</v>
      </c>
      <c r="H520" s="32" t="s">
        <v>4659</v>
      </c>
      <c r="I520" s="32" t="s">
        <v>10923</v>
      </c>
      <c r="J520" s="32" t="s">
        <v>5565</v>
      </c>
      <c r="K520" s="32" t="s">
        <v>10924</v>
      </c>
      <c r="L520" s="32" t="s">
        <v>9715</v>
      </c>
      <c r="M520" s="32" t="s">
        <v>10925</v>
      </c>
      <c r="N520" s="32" t="s">
        <v>10926</v>
      </c>
      <c r="O520" s="32" t="s">
        <v>10927</v>
      </c>
    </row>
    <row x14ac:dyDescent="0.25" r="521" customHeight="1" ht="15.75">
      <c r="A521" s="8">
        <v>25639</v>
      </c>
      <c r="B521" s="13" t="s">
        <v>91</v>
      </c>
      <c r="C521" s="13" t="s">
        <v>5566</v>
      </c>
      <c r="D521" s="32" t="s">
        <v>5567</v>
      </c>
      <c r="E521" s="32" t="s">
        <v>10928</v>
      </c>
      <c r="F521" s="32" t="s">
        <v>8031</v>
      </c>
      <c r="G521" s="32" t="s">
        <v>10929</v>
      </c>
      <c r="H521" s="32" t="s">
        <v>8132</v>
      </c>
      <c r="I521" s="32" t="s">
        <v>10930</v>
      </c>
      <c r="J521" s="32" t="s">
        <v>5569</v>
      </c>
      <c r="K521" s="32" t="s">
        <v>10931</v>
      </c>
      <c r="L521" s="32" t="s">
        <v>10932</v>
      </c>
      <c r="M521" s="32" t="s">
        <v>10933</v>
      </c>
      <c r="N521" s="32" t="s">
        <v>6123</v>
      </c>
      <c r="O521" s="32" t="s">
        <v>9905</v>
      </c>
    </row>
    <row x14ac:dyDescent="0.25" r="522" customHeight="1" ht="15.75">
      <c r="A522" s="8">
        <v>25554</v>
      </c>
      <c r="B522" s="13" t="s">
        <v>91</v>
      </c>
      <c r="C522" s="13" t="s">
        <v>5570</v>
      </c>
      <c r="D522" s="32" t="s">
        <v>5571</v>
      </c>
      <c r="E522" s="32" t="s">
        <v>10934</v>
      </c>
      <c r="F522" s="32" t="s">
        <v>1601</v>
      </c>
      <c r="G522" s="32" t="s">
        <v>10935</v>
      </c>
      <c r="H522" s="32" t="s">
        <v>9244</v>
      </c>
      <c r="I522" s="32" t="s">
        <v>10936</v>
      </c>
      <c r="J522" s="32" t="s">
        <v>5573</v>
      </c>
      <c r="K522" s="32" t="s">
        <v>10937</v>
      </c>
      <c r="L522" s="32" t="s">
        <v>234</v>
      </c>
      <c r="M522" s="32" t="s">
        <v>10938</v>
      </c>
      <c r="N522" s="32" t="s">
        <v>2002</v>
      </c>
      <c r="O522" s="32" t="s">
        <v>10939</v>
      </c>
    </row>
    <row x14ac:dyDescent="0.25" r="523" customHeight="1" ht="15.75">
      <c r="A523" s="8">
        <v>25640</v>
      </c>
      <c r="B523" s="13" t="s">
        <v>91</v>
      </c>
      <c r="C523" s="13" t="s">
        <v>5575</v>
      </c>
      <c r="D523" s="32" t="s">
        <v>5576</v>
      </c>
      <c r="E523" s="32" t="s">
        <v>9547</v>
      </c>
      <c r="F523" s="32" t="s">
        <v>10940</v>
      </c>
      <c r="G523" s="32" t="s">
        <v>10941</v>
      </c>
      <c r="H523" s="32" t="s">
        <v>4356</v>
      </c>
      <c r="I523" s="32" t="s">
        <v>10942</v>
      </c>
      <c r="J523" s="32" t="s">
        <v>5578</v>
      </c>
      <c r="K523" s="32" t="s">
        <v>8292</v>
      </c>
      <c r="L523" s="32" t="s">
        <v>5050</v>
      </c>
      <c r="M523" s="32" t="s">
        <v>10943</v>
      </c>
      <c r="N523" s="32" t="s">
        <v>10944</v>
      </c>
      <c r="O523" s="32" t="s">
        <v>10945</v>
      </c>
    </row>
    <row x14ac:dyDescent="0.25" r="524" customHeight="1" ht="15.75">
      <c r="A524" s="8">
        <v>25809</v>
      </c>
      <c r="B524" s="13" t="s">
        <v>126</v>
      </c>
      <c r="C524" s="13" t="s">
        <v>5580</v>
      </c>
      <c r="D524" s="32" t="s">
        <v>5581</v>
      </c>
      <c r="E524" s="32" t="s">
        <v>10946</v>
      </c>
      <c r="F524" s="32" t="s">
        <v>10947</v>
      </c>
      <c r="G524" s="32" t="s">
        <v>10948</v>
      </c>
      <c r="H524" s="32" t="s">
        <v>1143</v>
      </c>
      <c r="I524" s="32" t="s">
        <v>10949</v>
      </c>
      <c r="J524" s="32" t="s">
        <v>5583</v>
      </c>
      <c r="K524" s="32" t="s">
        <v>10950</v>
      </c>
      <c r="L524" s="32" t="s">
        <v>1143</v>
      </c>
      <c r="M524" s="32" t="s">
        <v>10951</v>
      </c>
      <c r="N524" s="32" t="s">
        <v>7324</v>
      </c>
      <c r="O524" s="32" t="s">
        <v>10952</v>
      </c>
    </row>
    <row x14ac:dyDescent="0.25" r="525" customHeight="1" ht="15.75">
      <c r="A525" s="8">
        <v>25810</v>
      </c>
      <c r="B525" s="13" t="s">
        <v>126</v>
      </c>
      <c r="C525" s="13" t="s">
        <v>5584</v>
      </c>
      <c r="D525" s="32" t="s">
        <v>5585</v>
      </c>
      <c r="E525" s="32" t="s">
        <v>10953</v>
      </c>
      <c r="F525" s="32" t="s">
        <v>9099</v>
      </c>
      <c r="G525" s="32" t="s">
        <v>10954</v>
      </c>
      <c r="H525" s="32" t="s">
        <v>2657</v>
      </c>
      <c r="I525" s="32" t="s">
        <v>7604</v>
      </c>
      <c r="J525" s="32" t="s">
        <v>5587</v>
      </c>
      <c r="K525" s="32" t="s">
        <v>10955</v>
      </c>
      <c r="L525" s="32" t="s">
        <v>10956</v>
      </c>
      <c r="M525" s="32" t="s">
        <v>7676</v>
      </c>
      <c r="N525" s="32" t="s">
        <v>6049</v>
      </c>
      <c r="O525" s="32" t="s">
        <v>10957</v>
      </c>
    </row>
    <row x14ac:dyDescent="0.25" r="526" customHeight="1" ht="15.75">
      <c r="A526" s="8">
        <v>25811</v>
      </c>
      <c r="B526" s="13" t="s">
        <v>126</v>
      </c>
      <c r="C526" s="13" t="s">
        <v>5588</v>
      </c>
      <c r="D526" s="32" t="s">
        <v>5589</v>
      </c>
      <c r="E526" s="32" t="s">
        <v>10958</v>
      </c>
      <c r="F526" s="32" t="s">
        <v>6367</v>
      </c>
      <c r="G526" s="32" t="s">
        <v>10959</v>
      </c>
      <c r="H526" s="32" t="s">
        <v>10960</v>
      </c>
      <c r="I526" s="32" t="s">
        <v>10961</v>
      </c>
      <c r="J526" s="32" t="s">
        <v>5590</v>
      </c>
      <c r="K526" s="32" t="s">
        <v>10962</v>
      </c>
      <c r="L526" s="32" t="s">
        <v>10963</v>
      </c>
      <c r="M526" s="32" t="s">
        <v>7309</v>
      </c>
      <c r="N526" s="32" t="s">
        <v>10964</v>
      </c>
      <c r="O526" s="32" t="s">
        <v>8507</v>
      </c>
    </row>
    <row x14ac:dyDescent="0.25" r="527" customHeight="1" ht="15.75">
      <c r="A527" s="8">
        <v>25812</v>
      </c>
      <c r="B527" s="13" t="s">
        <v>126</v>
      </c>
      <c r="C527" s="13" t="s">
        <v>5591</v>
      </c>
      <c r="D527" s="32" t="s">
        <v>5592</v>
      </c>
      <c r="E527" s="32" t="s">
        <v>10965</v>
      </c>
      <c r="F527" s="32" t="s">
        <v>10966</v>
      </c>
      <c r="G527" s="32" t="s">
        <v>10967</v>
      </c>
      <c r="H527" s="32" t="s">
        <v>5751</v>
      </c>
      <c r="I527" s="32" t="s">
        <v>10968</v>
      </c>
      <c r="J527" s="32" t="s">
        <v>5593</v>
      </c>
      <c r="K527" s="32" t="s">
        <v>10969</v>
      </c>
      <c r="L527" s="32" t="s">
        <v>10970</v>
      </c>
      <c r="M527" s="32" t="s">
        <v>10971</v>
      </c>
      <c r="N527" s="32" t="s">
        <v>10972</v>
      </c>
      <c r="O527" s="32" t="s">
        <v>10973</v>
      </c>
    </row>
    <row x14ac:dyDescent="0.25" r="528" customHeight="1" ht="15.75">
      <c r="A528" s="8">
        <v>25813</v>
      </c>
      <c r="B528" s="13" t="s">
        <v>126</v>
      </c>
      <c r="C528" s="13" t="s">
        <v>5594</v>
      </c>
      <c r="D528" s="32" t="s">
        <v>5595</v>
      </c>
      <c r="E528" s="32" t="s">
        <v>10974</v>
      </c>
      <c r="F528" s="32" t="s">
        <v>4887</v>
      </c>
      <c r="G528" s="32" t="s">
        <v>10975</v>
      </c>
      <c r="H528" s="32" t="s">
        <v>7991</v>
      </c>
      <c r="I528" s="32" t="s">
        <v>10976</v>
      </c>
      <c r="J528" s="32" t="s">
        <v>2457</v>
      </c>
      <c r="K528" s="32" t="s">
        <v>10977</v>
      </c>
      <c r="L528" s="32" t="s">
        <v>10978</v>
      </c>
      <c r="M528" s="32" t="s">
        <v>10979</v>
      </c>
      <c r="N528" s="32" t="s">
        <v>5032</v>
      </c>
      <c r="O528" s="32" t="s">
        <v>10980</v>
      </c>
    </row>
    <row x14ac:dyDescent="0.25" r="529" customHeight="1" ht="15.75">
      <c r="A529" s="8">
        <v>25814</v>
      </c>
      <c r="B529" s="13" t="s">
        <v>126</v>
      </c>
      <c r="C529" s="13" t="s">
        <v>5596</v>
      </c>
      <c r="D529" s="32" t="s">
        <v>5597</v>
      </c>
      <c r="E529" s="32" t="s">
        <v>10981</v>
      </c>
      <c r="F529" s="32" t="s">
        <v>5411</v>
      </c>
      <c r="G529" s="32" t="s">
        <v>10982</v>
      </c>
      <c r="H529" s="32" t="s">
        <v>1562</v>
      </c>
      <c r="I529" s="32" t="s">
        <v>10695</v>
      </c>
      <c r="J529" s="32" t="s">
        <v>1227</v>
      </c>
      <c r="K529" s="32" t="s">
        <v>10983</v>
      </c>
      <c r="L529" s="32" t="s">
        <v>6283</v>
      </c>
      <c r="M529" s="32" t="s">
        <v>10984</v>
      </c>
      <c r="N529" s="32" t="s">
        <v>5411</v>
      </c>
      <c r="O529" s="32" t="s">
        <v>10985</v>
      </c>
    </row>
    <row x14ac:dyDescent="0.25" r="530" customHeight="1" ht="15.75">
      <c r="A530" s="8">
        <v>25815</v>
      </c>
      <c r="B530" s="13" t="s">
        <v>126</v>
      </c>
      <c r="C530" s="13" t="s">
        <v>5599</v>
      </c>
      <c r="D530" s="32" t="s">
        <v>5600</v>
      </c>
      <c r="E530" s="32" t="s">
        <v>10986</v>
      </c>
      <c r="F530" s="32" t="s">
        <v>8285</v>
      </c>
      <c r="G530" s="32" t="s">
        <v>10987</v>
      </c>
      <c r="H530" s="32" t="s">
        <v>34</v>
      </c>
      <c r="I530" s="32" t="s">
        <v>10988</v>
      </c>
      <c r="J530" s="32" t="s">
        <v>5601</v>
      </c>
      <c r="K530" s="32" t="s">
        <v>10989</v>
      </c>
      <c r="L530" s="32" t="s">
        <v>10797</v>
      </c>
      <c r="M530" s="32" t="s">
        <v>10990</v>
      </c>
      <c r="N530" s="32" t="s">
        <v>10991</v>
      </c>
      <c r="O530" s="32" t="s">
        <v>10992</v>
      </c>
    </row>
    <row x14ac:dyDescent="0.25" r="531" customHeight="1" ht="15.75">
      <c r="A531" s="8">
        <v>25816</v>
      </c>
      <c r="B531" s="13" t="s">
        <v>126</v>
      </c>
      <c r="C531" s="13" t="s">
        <v>5602</v>
      </c>
      <c r="D531" s="32" t="s">
        <v>5603</v>
      </c>
      <c r="E531" s="32" t="s">
        <v>10993</v>
      </c>
      <c r="F531" s="32" t="s">
        <v>4245</v>
      </c>
      <c r="G531" s="32" t="s">
        <v>10994</v>
      </c>
      <c r="H531" s="32" t="s">
        <v>10995</v>
      </c>
      <c r="I531" s="32" t="s">
        <v>10996</v>
      </c>
      <c r="J531" s="32" t="s">
        <v>5604</v>
      </c>
      <c r="K531" s="32" t="s">
        <v>10997</v>
      </c>
      <c r="L531" s="32" t="s">
        <v>1460</v>
      </c>
      <c r="M531" s="32" t="s">
        <v>10998</v>
      </c>
      <c r="N531" s="32" t="s">
        <v>10999</v>
      </c>
      <c r="O531" s="32" t="s">
        <v>11000</v>
      </c>
    </row>
    <row x14ac:dyDescent="0.25" r="532" customHeight="1" ht="15.75">
      <c r="A532" s="8">
        <v>25817</v>
      </c>
      <c r="B532" s="13" t="s">
        <v>126</v>
      </c>
      <c r="C532" s="13" t="s">
        <v>5606</v>
      </c>
      <c r="D532" s="32" t="s">
        <v>4662</v>
      </c>
      <c r="E532" s="32" t="s">
        <v>11001</v>
      </c>
      <c r="F532" s="32" t="s">
        <v>11002</v>
      </c>
      <c r="G532" s="32" t="s">
        <v>11003</v>
      </c>
      <c r="H532" s="32" t="s">
        <v>11002</v>
      </c>
      <c r="I532" s="32" t="s">
        <v>11004</v>
      </c>
      <c r="J532" s="32" t="s">
        <v>5607</v>
      </c>
      <c r="K532" s="32" t="s">
        <v>11005</v>
      </c>
      <c r="L532" s="32" t="s">
        <v>11002</v>
      </c>
      <c r="M532" s="32" t="s">
        <v>11006</v>
      </c>
      <c r="N532" s="32" t="s">
        <v>2468</v>
      </c>
      <c r="O532" s="32" t="s">
        <v>11007</v>
      </c>
    </row>
    <row x14ac:dyDescent="0.25" r="533" customHeight="1" ht="15.75">
      <c r="A533" s="8">
        <v>25818</v>
      </c>
      <c r="B533" s="13" t="s">
        <v>126</v>
      </c>
      <c r="C533" s="13" t="s">
        <v>5608</v>
      </c>
      <c r="D533" s="32" t="s">
        <v>5609</v>
      </c>
      <c r="E533" s="32" t="s">
        <v>11008</v>
      </c>
      <c r="F533" s="32" t="s">
        <v>6120</v>
      </c>
      <c r="G533" s="32" t="s">
        <v>11009</v>
      </c>
      <c r="H533" s="32" t="s">
        <v>6120</v>
      </c>
      <c r="I533" s="32" t="s">
        <v>11010</v>
      </c>
      <c r="J533" s="32" t="s">
        <v>5610</v>
      </c>
      <c r="K533" s="32" t="s">
        <v>11011</v>
      </c>
      <c r="L533" s="32" t="s">
        <v>11012</v>
      </c>
      <c r="M533" s="32" t="s">
        <v>11013</v>
      </c>
      <c r="N533" s="32" t="s">
        <v>11014</v>
      </c>
      <c r="O533" s="32" t="s">
        <v>11015</v>
      </c>
    </row>
    <row x14ac:dyDescent="0.25" r="534" customHeight="1" ht="15.75">
      <c r="A534" s="8">
        <v>25819</v>
      </c>
      <c r="B534" s="13" t="s">
        <v>126</v>
      </c>
      <c r="C534" s="13" t="s">
        <v>5612</v>
      </c>
      <c r="D534" s="32" t="s">
        <v>5613</v>
      </c>
      <c r="E534" s="32" t="s">
        <v>9898</v>
      </c>
      <c r="F534" s="32" t="s">
        <v>2705</v>
      </c>
      <c r="G534" s="32" t="s">
        <v>11016</v>
      </c>
      <c r="H534" s="32" t="s">
        <v>7010</v>
      </c>
      <c r="I534" s="32" t="s">
        <v>11017</v>
      </c>
      <c r="J534" s="32" t="s">
        <v>5615</v>
      </c>
      <c r="K534" s="32" t="s">
        <v>11018</v>
      </c>
      <c r="L534" s="32" t="s">
        <v>696</v>
      </c>
      <c r="M534" s="32" t="s">
        <v>11019</v>
      </c>
      <c r="N534" s="32" t="s">
        <v>9564</v>
      </c>
      <c r="O534" s="32" t="s">
        <v>11020</v>
      </c>
    </row>
    <row x14ac:dyDescent="0.25" r="535" customHeight="1" ht="15.75">
      <c r="A535" s="8">
        <v>25820</v>
      </c>
      <c r="B535" s="13" t="s">
        <v>126</v>
      </c>
      <c r="C535" s="13" t="s">
        <v>5617</v>
      </c>
      <c r="D535" s="32" t="s">
        <v>5618</v>
      </c>
      <c r="E535" s="32" t="s">
        <v>11021</v>
      </c>
      <c r="F535" s="32" t="s">
        <v>11022</v>
      </c>
      <c r="G535" s="32" t="s">
        <v>11023</v>
      </c>
      <c r="H535" s="32" t="s">
        <v>11024</v>
      </c>
      <c r="I535" s="32" t="s">
        <v>11025</v>
      </c>
      <c r="J535" s="32" t="s">
        <v>5619</v>
      </c>
      <c r="K535" s="32" t="s">
        <v>11026</v>
      </c>
      <c r="L535" s="32" t="s">
        <v>6021</v>
      </c>
      <c r="M535" s="32" t="s">
        <v>11027</v>
      </c>
      <c r="N535" s="32" t="s">
        <v>4473</v>
      </c>
      <c r="O535" s="32" t="s">
        <v>11028</v>
      </c>
    </row>
    <row x14ac:dyDescent="0.25" r="536" customHeight="1" ht="15.75">
      <c r="A536" s="8">
        <v>25821</v>
      </c>
      <c r="B536" s="13" t="s">
        <v>126</v>
      </c>
      <c r="C536" s="13" t="s">
        <v>4161</v>
      </c>
      <c r="D536" s="32" t="s">
        <v>5620</v>
      </c>
      <c r="E536" s="32" t="s">
        <v>11029</v>
      </c>
      <c r="F536" s="32" t="s">
        <v>9234</v>
      </c>
      <c r="G536" s="32" t="s">
        <v>11030</v>
      </c>
      <c r="H536" s="32" t="s">
        <v>6997</v>
      </c>
      <c r="I536" s="32" t="s">
        <v>11031</v>
      </c>
      <c r="J536" s="32" t="s">
        <v>5621</v>
      </c>
      <c r="K536" s="32" t="s">
        <v>7588</v>
      </c>
      <c r="L536" s="32" t="s">
        <v>9654</v>
      </c>
      <c r="M536" s="32" t="s">
        <v>11032</v>
      </c>
      <c r="N536" s="32" t="s">
        <v>8989</v>
      </c>
      <c r="O536" s="32" t="s">
        <v>7861</v>
      </c>
    </row>
    <row x14ac:dyDescent="0.25" r="537" customHeight="1" ht="15.75">
      <c r="A537" s="8">
        <v>25822</v>
      </c>
      <c r="B537" s="13" t="s">
        <v>126</v>
      </c>
      <c r="C537" s="13" t="s">
        <v>11033</v>
      </c>
      <c r="D537" s="32" t="s">
        <v>1347</v>
      </c>
      <c r="E537" s="32" t="s">
        <v>11034</v>
      </c>
      <c r="F537" s="32" t="s">
        <v>1347</v>
      </c>
      <c r="G537" s="32" t="s">
        <v>7297</v>
      </c>
      <c r="H537" s="32" t="s">
        <v>4821</v>
      </c>
      <c r="I537" s="32" t="s">
        <v>11035</v>
      </c>
      <c r="J537" s="32" t="s">
        <v>7127</v>
      </c>
      <c r="K537" s="32" t="s">
        <v>7127</v>
      </c>
      <c r="L537" s="32" t="s">
        <v>4472</v>
      </c>
      <c r="M537" s="32" t="s">
        <v>7987</v>
      </c>
      <c r="N537" s="32" t="s">
        <v>29</v>
      </c>
      <c r="O537" s="32" t="s">
        <v>7127</v>
      </c>
    </row>
    <row x14ac:dyDescent="0.25" r="538" customHeight="1" ht="15.75">
      <c r="A538" s="8">
        <v>25823</v>
      </c>
      <c r="B538" s="13" t="s">
        <v>126</v>
      </c>
      <c r="C538" s="13" t="s">
        <v>5622</v>
      </c>
      <c r="D538" s="32" t="s">
        <v>5623</v>
      </c>
      <c r="E538" s="32" t="s">
        <v>11036</v>
      </c>
      <c r="F538" s="32" t="s">
        <v>8852</v>
      </c>
      <c r="G538" s="32" t="s">
        <v>11037</v>
      </c>
      <c r="H538" s="32" t="s">
        <v>11038</v>
      </c>
      <c r="I538" s="32" t="s">
        <v>11039</v>
      </c>
      <c r="J538" s="32" t="s">
        <v>5624</v>
      </c>
      <c r="K538" s="32" t="s">
        <v>11040</v>
      </c>
      <c r="L538" s="32" t="s">
        <v>11041</v>
      </c>
      <c r="M538" s="32" t="s">
        <v>9248</v>
      </c>
      <c r="N538" s="32" t="s">
        <v>554</v>
      </c>
      <c r="O538" s="32" t="s">
        <v>11042</v>
      </c>
    </row>
    <row x14ac:dyDescent="0.25" r="539" customHeight="1" ht="15.75">
      <c r="A539" s="8">
        <v>25824</v>
      </c>
      <c r="B539" s="13" t="s">
        <v>126</v>
      </c>
      <c r="C539" s="13" t="s">
        <v>5626</v>
      </c>
      <c r="D539" s="32" t="s">
        <v>5627</v>
      </c>
      <c r="E539" s="32" t="s">
        <v>11043</v>
      </c>
      <c r="F539" s="32" t="s">
        <v>11044</v>
      </c>
      <c r="G539" s="32" t="s">
        <v>11045</v>
      </c>
      <c r="H539" s="32" t="s">
        <v>11046</v>
      </c>
      <c r="I539" s="32" t="s">
        <v>11047</v>
      </c>
      <c r="J539" s="32" t="s">
        <v>2401</v>
      </c>
      <c r="K539" s="32" t="s">
        <v>11048</v>
      </c>
      <c r="L539" s="32" t="s">
        <v>11049</v>
      </c>
      <c r="M539" s="32" t="s">
        <v>11050</v>
      </c>
      <c r="N539" s="32" t="s">
        <v>8331</v>
      </c>
      <c r="O539" s="32" t="s">
        <v>11051</v>
      </c>
    </row>
    <row x14ac:dyDescent="0.25" r="540" customHeight="1" ht="15.75">
      <c r="A540" s="8">
        <v>25825</v>
      </c>
      <c r="B540" s="13" t="s">
        <v>126</v>
      </c>
      <c r="C540" s="13" t="s">
        <v>5628</v>
      </c>
      <c r="D540" s="32" t="s">
        <v>5629</v>
      </c>
      <c r="E540" s="32" t="s">
        <v>11052</v>
      </c>
      <c r="F540" s="32" t="s">
        <v>11053</v>
      </c>
      <c r="G540" s="32" t="s">
        <v>11054</v>
      </c>
      <c r="H540" s="32" t="s">
        <v>11055</v>
      </c>
      <c r="I540" s="32" t="s">
        <v>11056</v>
      </c>
      <c r="J540" s="32" t="s">
        <v>5630</v>
      </c>
      <c r="K540" s="32" t="s">
        <v>11057</v>
      </c>
      <c r="L540" s="32" t="s">
        <v>7991</v>
      </c>
      <c r="M540" s="32" t="s">
        <v>11058</v>
      </c>
      <c r="N540" s="32" t="s">
        <v>29</v>
      </c>
      <c r="O540" s="32" t="s">
        <v>7127</v>
      </c>
    </row>
    <row x14ac:dyDescent="0.25" r="541" customHeight="1" ht="15.75">
      <c r="A541" s="8">
        <v>25826</v>
      </c>
      <c r="B541" s="13" t="s">
        <v>126</v>
      </c>
      <c r="C541" s="13" t="s">
        <v>5631</v>
      </c>
      <c r="D541" s="32" t="s">
        <v>5632</v>
      </c>
      <c r="E541" s="32" t="s">
        <v>11059</v>
      </c>
      <c r="F541" s="32" t="s">
        <v>11060</v>
      </c>
      <c r="G541" s="32" t="s">
        <v>10483</v>
      </c>
      <c r="H541" s="32" t="s">
        <v>11061</v>
      </c>
      <c r="I541" s="32" t="s">
        <v>11062</v>
      </c>
      <c r="J541" s="32" t="s">
        <v>2679</v>
      </c>
      <c r="K541" s="32" t="s">
        <v>11063</v>
      </c>
      <c r="L541" s="32" t="s">
        <v>4379</v>
      </c>
      <c r="M541" s="32" t="s">
        <v>11064</v>
      </c>
      <c r="N541" s="32" t="s">
        <v>11065</v>
      </c>
      <c r="O541" s="32" t="s">
        <v>11066</v>
      </c>
    </row>
    <row x14ac:dyDescent="0.25" r="542" customHeight="1" ht="15.75">
      <c r="A542" s="8">
        <v>25827</v>
      </c>
      <c r="B542" s="13" t="s">
        <v>126</v>
      </c>
      <c r="C542" s="13" t="s">
        <v>5634</v>
      </c>
      <c r="D542" s="32" t="s">
        <v>2705</v>
      </c>
      <c r="E542" s="32" t="s">
        <v>11067</v>
      </c>
      <c r="F542" s="32" t="s">
        <v>11068</v>
      </c>
      <c r="G542" s="32" t="s">
        <v>11069</v>
      </c>
      <c r="H542" s="32" t="s">
        <v>5219</v>
      </c>
      <c r="I542" s="32" t="s">
        <v>11070</v>
      </c>
      <c r="J542" s="32" t="s">
        <v>5636</v>
      </c>
      <c r="K542" s="32" t="s">
        <v>11071</v>
      </c>
      <c r="L542" s="32" t="s">
        <v>2598</v>
      </c>
      <c r="M542" s="32" t="s">
        <v>11072</v>
      </c>
      <c r="N542" s="32" t="s">
        <v>9039</v>
      </c>
      <c r="O542" s="32" t="s">
        <v>11073</v>
      </c>
    </row>
    <row x14ac:dyDescent="0.25" r="543" customHeight="1" ht="15.75">
      <c r="A543" s="8">
        <v>25828</v>
      </c>
      <c r="B543" s="13" t="s">
        <v>126</v>
      </c>
      <c r="C543" s="13" t="s">
        <v>5637</v>
      </c>
      <c r="D543" s="32" t="s">
        <v>830</v>
      </c>
      <c r="E543" s="32" t="s">
        <v>11074</v>
      </c>
      <c r="F543" s="32" t="s">
        <v>8622</v>
      </c>
      <c r="G543" s="32" t="s">
        <v>11075</v>
      </c>
      <c r="H543" s="32" t="s">
        <v>11076</v>
      </c>
      <c r="I543" s="32" t="s">
        <v>11077</v>
      </c>
      <c r="J543" s="32" t="s">
        <v>5639</v>
      </c>
      <c r="K543" s="32" t="s">
        <v>11078</v>
      </c>
      <c r="L543" s="32" t="s">
        <v>5574</v>
      </c>
      <c r="M543" s="32" t="s">
        <v>11079</v>
      </c>
      <c r="N543" s="32" t="s">
        <v>7017</v>
      </c>
      <c r="O543" s="32" t="s">
        <v>11080</v>
      </c>
    </row>
    <row x14ac:dyDescent="0.25" r="544" customHeight="1" ht="15.75">
      <c r="A544" s="8">
        <v>25829</v>
      </c>
      <c r="B544" s="13" t="s">
        <v>126</v>
      </c>
      <c r="C544" s="13" t="s">
        <v>5640</v>
      </c>
      <c r="D544" s="32" t="s">
        <v>5641</v>
      </c>
      <c r="E544" s="32" t="s">
        <v>11081</v>
      </c>
      <c r="F544" s="32" t="s">
        <v>5865</v>
      </c>
      <c r="G544" s="32" t="s">
        <v>8505</v>
      </c>
      <c r="H544" s="32" t="s">
        <v>2418</v>
      </c>
      <c r="I544" s="32" t="s">
        <v>11082</v>
      </c>
      <c r="J544" s="32" t="s">
        <v>5642</v>
      </c>
      <c r="K544" s="32" t="s">
        <v>11083</v>
      </c>
      <c r="L544" s="32" t="s">
        <v>11084</v>
      </c>
      <c r="M544" s="32" t="s">
        <v>9098</v>
      </c>
      <c r="N544" s="32" t="s">
        <v>11085</v>
      </c>
      <c r="O544" s="32" t="s">
        <v>11086</v>
      </c>
    </row>
    <row x14ac:dyDescent="0.25" r="545" customHeight="1" ht="15.75">
      <c r="A545" s="8">
        <v>25830</v>
      </c>
      <c r="B545" s="13" t="s">
        <v>126</v>
      </c>
      <c r="C545" s="13" t="s">
        <v>5643</v>
      </c>
      <c r="D545" s="32" t="s">
        <v>5644</v>
      </c>
      <c r="E545" s="32" t="s">
        <v>11087</v>
      </c>
      <c r="F545" s="32" t="s">
        <v>6538</v>
      </c>
      <c r="G545" s="32" t="s">
        <v>11088</v>
      </c>
      <c r="H545" s="32" t="s">
        <v>74</v>
      </c>
      <c r="I545" s="32" t="s">
        <v>11089</v>
      </c>
      <c r="J545" s="32" t="s">
        <v>74</v>
      </c>
      <c r="K545" s="32" t="s">
        <v>11090</v>
      </c>
      <c r="L545" s="32" t="s">
        <v>11091</v>
      </c>
      <c r="M545" s="32" t="s">
        <v>11092</v>
      </c>
      <c r="N545" s="32" t="s">
        <v>8074</v>
      </c>
      <c r="O545" s="32" t="s">
        <v>11093</v>
      </c>
    </row>
    <row x14ac:dyDescent="0.25" r="546" customHeight="1" ht="15.75">
      <c r="A546" s="8">
        <v>25831</v>
      </c>
      <c r="B546" s="13" t="s">
        <v>126</v>
      </c>
      <c r="C546" s="13" t="s">
        <v>5647</v>
      </c>
      <c r="D546" s="32" t="s">
        <v>5000</v>
      </c>
      <c r="E546" s="32" t="s">
        <v>11094</v>
      </c>
      <c r="F546" s="32" t="s">
        <v>8859</v>
      </c>
      <c r="G546" s="32" t="s">
        <v>11095</v>
      </c>
      <c r="H546" s="32" t="s">
        <v>34</v>
      </c>
      <c r="I546" s="32" t="s">
        <v>7810</v>
      </c>
      <c r="J546" s="32" t="s">
        <v>2599</v>
      </c>
      <c r="K546" s="32" t="s">
        <v>7127</v>
      </c>
      <c r="L546" s="32" t="s">
        <v>34</v>
      </c>
      <c r="M546" s="32" t="s">
        <v>7127</v>
      </c>
      <c r="N546" s="32" t="s">
        <v>2365</v>
      </c>
      <c r="O546" s="32" t="s">
        <v>7127</v>
      </c>
    </row>
    <row x14ac:dyDescent="0.25" r="547" customHeight="1" ht="15.75">
      <c r="A547" s="8">
        <v>25832</v>
      </c>
      <c r="B547" s="13" t="s">
        <v>126</v>
      </c>
      <c r="C547" s="13" t="s">
        <v>5649</v>
      </c>
      <c r="D547" s="32" t="s">
        <v>5650</v>
      </c>
      <c r="E547" s="32" t="s">
        <v>11096</v>
      </c>
      <c r="F547" s="32" t="s">
        <v>8787</v>
      </c>
      <c r="G547" s="32" t="s">
        <v>8237</v>
      </c>
      <c r="H547" s="32" t="s">
        <v>11097</v>
      </c>
      <c r="I547" s="32" t="s">
        <v>11098</v>
      </c>
      <c r="J547" s="32" t="s">
        <v>5651</v>
      </c>
      <c r="K547" s="32" t="s">
        <v>11099</v>
      </c>
      <c r="L547" s="32" t="s">
        <v>11100</v>
      </c>
      <c r="M547" s="32" t="s">
        <v>11101</v>
      </c>
      <c r="N547" s="32" t="s">
        <v>11100</v>
      </c>
      <c r="O547" s="32" t="s">
        <v>8104</v>
      </c>
    </row>
    <row x14ac:dyDescent="0.25" r="548" customHeight="1" ht="15.75">
      <c r="A548" s="8">
        <v>25833</v>
      </c>
      <c r="B548" s="13" t="s">
        <v>126</v>
      </c>
      <c r="C548" s="13" t="s">
        <v>5652</v>
      </c>
      <c r="D548" s="32" t="s">
        <v>5653</v>
      </c>
      <c r="E548" s="32" t="s">
        <v>7309</v>
      </c>
      <c r="F548" s="32" t="s">
        <v>1755</v>
      </c>
      <c r="G548" s="32" t="s">
        <v>11102</v>
      </c>
      <c r="H548" s="32" t="s">
        <v>1095</v>
      </c>
      <c r="I548" s="32" t="s">
        <v>11103</v>
      </c>
      <c r="J548" s="32" t="s">
        <v>4440</v>
      </c>
      <c r="K548" s="32" t="s">
        <v>7426</v>
      </c>
      <c r="L548" s="32" t="s">
        <v>4482</v>
      </c>
      <c r="M548" s="32" t="s">
        <v>10112</v>
      </c>
      <c r="N548" s="32" t="s">
        <v>11104</v>
      </c>
      <c r="O548" s="32" t="s">
        <v>11105</v>
      </c>
    </row>
    <row x14ac:dyDescent="0.25" r="549" customHeight="1" ht="15.75">
      <c r="A549" s="8">
        <v>25834</v>
      </c>
      <c r="B549" s="13" t="s">
        <v>126</v>
      </c>
      <c r="C549" s="13" t="s">
        <v>5655</v>
      </c>
      <c r="D549" s="32" t="s">
        <v>5656</v>
      </c>
      <c r="E549" s="32" t="s">
        <v>11106</v>
      </c>
      <c r="F549" s="32" t="s">
        <v>7634</v>
      </c>
      <c r="G549" s="32" t="s">
        <v>11107</v>
      </c>
      <c r="H549" s="32" t="s">
        <v>11108</v>
      </c>
      <c r="I549" s="32" t="s">
        <v>11109</v>
      </c>
      <c r="J549" s="32" t="s">
        <v>4747</v>
      </c>
      <c r="K549" s="32" t="s">
        <v>11110</v>
      </c>
      <c r="L549" s="32" t="s">
        <v>11111</v>
      </c>
      <c r="M549" s="32" t="s">
        <v>11112</v>
      </c>
      <c r="N549" s="32" t="s">
        <v>10029</v>
      </c>
      <c r="O549" s="32" t="s">
        <v>11113</v>
      </c>
    </row>
    <row x14ac:dyDescent="0.25" r="550" customHeight="1" ht="15.75">
      <c r="A550" s="8">
        <v>25835</v>
      </c>
      <c r="B550" s="13" t="s">
        <v>126</v>
      </c>
      <c r="C550" s="13" t="s">
        <v>5657</v>
      </c>
      <c r="D550" s="32" t="s">
        <v>5658</v>
      </c>
      <c r="E550" s="32" t="s">
        <v>11114</v>
      </c>
      <c r="F550" s="32" t="s">
        <v>9622</v>
      </c>
      <c r="G550" s="32" t="s">
        <v>11115</v>
      </c>
      <c r="H550" s="32" t="s">
        <v>5689</v>
      </c>
      <c r="I550" s="32" t="s">
        <v>11116</v>
      </c>
      <c r="J550" s="32" t="s">
        <v>5659</v>
      </c>
      <c r="K550" s="32" t="s">
        <v>11117</v>
      </c>
      <c r="L550" s="32" t="s">
        <v>11118</v>
      </c>
      <c r="M550" s="32" t="s">
        <v>11119</v>
      </c>
      <c r="N550" s="32" t="s">
        <v>5659</v>
      </c>
      <c r="O550" s="32" t="s">
        <v>7414</v>
      </c>
    </row>
    <row x14ac:dyDescent="0.25" r="551" customHeight="1" ht="15.75">
      <c r="A551" s="8">
        <v>25836</v>
      </c>
      <c r="B551" s="13" t="s">
        <v>126</v>
      </c>
      <c r="C551" s="13" t="s">
        <v>5394</v>
      </c>
      <c r="D551" s="32" t="s">
        <v>5660</v>
      </c>
      <c r="E551" s="32" t="s">
        <v>11120</v>
      </c>
      <c r="F551" s="32" t="s">
        <v>9319</v>
      </c>
      <c r="G551" s="32" t="s">
        <v>11121</v>
      </c>
      <c r="H551" s="32" t="s">
        <v>10662</v>
      </c>
      <c r="I551" s="32" t="s">
        <v>9038</v>
      </c>
      <c r="J551" s="32" t="s">
        <v>5662</v>
      </c>
      <c r="K551" s="32" t="s">
        <v>11122</v>
      </c>
      <c r="L551" s="32" t="s">
        <v>11123</v>
      </c>
      <c r="M551" s="32" t="s">
        <v>11124</v>
      </c>
      <c r="N551" s="32" t="s">
        <v>2332</v>
      </c>
      <c r="O551" s="32" t="s">
        <v>11125</v>
      </c>
    </row>
    <row x14ac:dyDescent="0.25" r="552" customHeight="1" ht="15.75">
      <c r="A552" s="8">
        <v>25837</v>
      </c>
      <c r="B552" s="13" t="s">
        <v>126</v>
      </c>
      <c r="C552" s="13" t="s">
        <v>4228</v>
      </c>
      <c r="D552" s="32" t="s">
        <v>5663</v>
      </c>
      <c r="E552" s="32" t="s">
        <v>11126</v>
      </c>
      <c r="F552" s="32" t="s">
        <v>2742</v>
      </c>
      <c r="G552" s="32" t="s">
        <v>10116</v>
      </c>
      <c r="H552" s="32" t="s">
        <v>6724</v>
      </c>
      <c r="I552" s="32" t="s">
        <v>11127</v>
      </c>
      <c r="J552" s="32" t="s">
        <v>74</v>
      </c>
      <c r="K552" s="32" t="s">
        <v>9903</v>
      </c>
      <c r="L552" s="32" t="s">
        <v>74</v>
      </c>
      <c r="M552" s="32" t="s">
        <v>11128</v>
      </c>
      <c r="N552" s="32" t="s">
        <v>1419</v>
      </c>
      <c r="O552" s="32" t="s">
        <v>11129</v>
      </c>
    </row>
    <row x14ac:dyDescent="0.25" r="553" customHeight="1" ht="15.75">
      <c r="A553" s="8">
        <v>25838</v>
      </c>
      <c r="B553" s="13" t="s">
        <v>126</v>
      </c>
      <c r="C553" s="13" t="s">
        <v>5665</v>
      </c>
      <c r="D553" s="32" t="s">
        <v>5666</v>
      </c>
      <c r="E553" s="32" t="s">
        <v>11130</v>
      </c>
      <c r="F553" s="32" t="s">
        <v>11131</v>
      </c>
      <c r="G553" s="32" t="s">
        <v>11132</v>
      </c>
      <c r="H553" s="32" t="s">
        <v>11133</v>
      </c>
      <c r="I553" s="32" t="s">
        <v>11134</v>
      </c>
      <c r="J553" s="32" t="s">
        <v>5667</v>
      </c>
      <c r="K553" s="32" t="s">
        <v>11135</v>
      </c>
      <c r="L553" s="32" t="s">
        <v>8887</v>
      </c>
      <c r="M553" s="32" t="s">
        <v>9911</v>
      </c>
      <c r="N553" s="32" t="s">
        <v>11136</v>
      </c>
      <c r="O553" s="32" t="s">
        <v>11137</v>
      </c>
    </row>
    <row x14ac:dyDescent="0.25" r="554" customHeight="1" ht="15.75">
      <c r="A554" s="8">
        <v>25839</v>
      </c>
      <c r="B554" s="13" t="s">
        <v>126</v>
      </c>
      <c r="C554" s="13" t="s">
        <v>5412</v>
      </c>
      <c r="D554" s="32" t="s">
        <v>5668</v>
      </c>
      <c r="E554" s="32" t="s">
        <v>11138</v>
      </c>
      <c r="F554" s="32" t="s">
        <v>8876</v>
      </c>
      <c r="G554" s="32" t="s">
        <v>11139</v>
      </c>
      <c r="H554" s="32" t="s">
        <v>74</v>
      </c>
      <c r="I554" s="32" t="s">
        <v>7584</v>
      </c>
      <c r="J554" s="32" t="s">
        <v>5669</v>
      </c>
      <c r="K554" s="32" t="s">
        <v>8119</v>
      </c>
      <c r="L554" s="32" t="s">
        <v>11140</v>
      </c>
      <c r="M554" s="32" t="s">
        <v>11141</v>
      </c>
      <c r="N554" s="32" t="s">
        <v>2610</v>
      </c>
      <c r="O554" s="32" t="s">
        <v>11142</v>
      </c>
    </row>
    <row x14ac:dyDescent="0.25" r="555" customHeight="1" ht="15.75">
      <c r="A555" s="8">
        <v>25840</v>
      </c>
      <c r="B555" s="13" t="s">
        <v>126</v>
      </c>
      <c r="C555" s="13" t="s">
        <v>5671</v>
      </c>
      <c r="D555" s="32" t="s">
        <v>5672</v>
      </c>
      <c r="E555" s="32" t="s">
        <v>11143</v>
      </c>
      <c r="F555" s="32" t="s">
        <v>6021</v>
      </c>
      <c r="G555" s="32" t="s">
        <v>11144</v>
      </c>
      <c r="H555" s="32" t="s">
        <v>11145</v>
      </c>
      <c r="I555" s="32" t="s">
        <v>11146</v>
      </c>
      <c r="J555" s="32" t="s">
        <v>5673</v>
      </c>
      <c r="K555" s="32" t="s">
        <v>11147</v>
      </c>
      <c r="L555" s="32" t="s">
        <v>5124</v>
      </c>
      <c r="M555" s="32" t="s">
        <v>11148</v>
      </c>
      <c r="N555" s="32" t="s">
        <v>11149</v>
      </c>
      <c r="O555" s="32" t="s">
        <v>11150</v>
      </c>
    </row>
    <row x14ac:dyDescent="0.25" r="556" customHeight="1" ht="15.75">
      <c r="A556" s="8">
        <v>25841</v>
      </c>
      <c r="B556" s="13" t="s">
        <v>126</v>
      </c>
      <c r="C556" s="13" t="s">
        <v>5675</v>
      </c>
      <c r="D556" s="32" t="s">
        <v>5676</v>
      </c>
      <c r="E556" s="32" t="s">
        <v>11151</v>
      </c>
      <c r="F556" s="32" t="s">
        <v>5677</v>
      </c>
      <c r="G556" s="32" t="s">
        <v>8284</v>
      </c>
      <c r="H556" s="32" t="s">
        <v>6811</v>
      </c>
      <c r="I556" s="32" t="s">
        <v>11152</v>
      </c>
      <c r="J556" s="32" t="s">
        <v>5677</v>
      </c>
      <c r="K556" s="32" t="s">
        <v>9463</v>
      </c>
      <c r="L556" s="32" t="s">
        <v>11153</v>
      </c>
      <c r="M556" s="32" t="s">
        <v>7973</v>
      </c>
      <c r="N556" s="32" t="s">
        <v>8475</v>
      </c>
      <c r="O556" s="32" t="s">
        <v>11154</v>
      </c>
    </row>
    <row x14ac:dyDescent="0.25" r="557" customHeight="1" ht="15.75">
      <c r="A557" s="8">
        <v>25842</v>
      </c>
      <c r="B557" s="13" t="s">
        <v>126</v>
      </c>
      <c r="C557" s="13" t="s">
        <v>5678</v>
      </c>
      <c r="D557" s="32" t="s">
        <v>5679</v>
      </c>
      <c r="E557" s="32" t="s">
        <v>11155</v>
      </c>
      <c r="F557" s="32" t="s">
        <v>8624</v>
      </c>
      <c r="G557" s="32" t="s">
        <v>11156</v>
      </c>
      <c r="H557" s="32" t="s">
        <v>5166</v>
      </c>
      <c r="I557" s="32" t="s">
        <v>11157</v>
      </c>
      <c r="J557" s="32" t="s">
        <v>5680</v>
      </c>
      <c r="K557" s="32" t="s">
        <v>11158</v>
      </c>
      <c r="L557" s="32" t="s">
        <v>8744</v>
      </c>
      <c r="M557" s="32" t="s">
        <v>11159</v>
      </c>
      <c r="N557" s="32" t="s">
        <v>6785</v>
      </c>
      <c r="O557" s="32" t="s">
        <v>11160</v>
      </c>
    </row>
    <row x14ac:dyDescent="0.25" r="558" customHeight="1" ht="15.75">
      <c r="A558" s="8">
        <v>25843</v>
      </c>
      <c r="B558" s="13" t="s">
        <v>126</v>
      </c>
      <c r="C558" s="13" t="s">
        <v>5681</v>
      </c>
      <c r="D558" s="32" t="s">
        <v>5682</v>
      </c>
      <c r="E558" s="32" t="s">
        <v>11161</v>
      </c>
      <c r="F558" s="32" t="s">
        <v>5013</v>
      </c>
      <c r="G558" s="32" t="s">
        <v>11162</v>
      </c>
      <c r="H558" s="32" t="s">
        <v>6757</v>
      </c>
      <c r="I558" s="32" t="s">
        <v>11163</v>
      </c>
      <c r="J558" s="32" t="s">
        <v>2599</v>
      </c>
      <c r="K558" s="32" t="s">
        <v>11164</v>
      </c>
      <c r="L558" s="32" t="s">
        <v>11165</v>
      </c>
      <c r="M558" s="32" t="s">
        <v>11166</v>
      </c>
      <c r="N558" s="32" t="s">
        <v>11167</v>
      </c>
      <c r="O558" s="32" t="s">
        <v>11168</v>
      </c>
    </row>
    <row x14ac:dyDescent="0.25" r="559" customHeight="1" ht="15.75">
      <c r="A559" s="8">
        <v>25844</v>
      </c>
      <c r="B559" s="13" t="s">
        <v>126</v>
      </c>
      <c r="C559" s="13" t="s">
        <v>5683</v>
      </c>
      <c r="D559" s="32" t="s">
        <v>5684</v>
      </c>
      <c r="E559" s="32" t="s">
        <v>11169</v>
      </c>
      <c r="F559" s="32" t="s">
        <v>1348</v>
      </c>
      <c r="G559" s="32" t="s">
        <v>11170</v>
      </c>
      <c r="H559" s="32" t="s">
        <v>11171</v>
      </c>
      <c r="I559" s="32" t="s">
        <v>8968</v>
      </c>
      <c r="J559" s="32" t="s">
        <v>5685</v>
      </c>
      <c r="K559" s="32" t="s">
        <v>11172</v>
      </c>
      <c r="L559" s="32" t="s">
        <v>2142</v>
      </c>
      <c r="M559" s="32" t="s">
        <v>11173</v>
      </c>
      <c r="N559" s="32" t="s">
        <v>1849</v>
      </c>
      <c r="O559" s="32" t="s">
        <v>11174</v>
      </c>
    </row>
    <row x14ac:dyDescent="0.25" r="560" customHeight="1" ht="15.75">
      <c r="A560" s="8">
        <v>25845</v>
      </c>
      <c r="B560" s="13" t="s">
        <v>126</v>
      </c>
      <c r="C560" s="13" t="s">
        <v>5686</v>
      </c>
      <c r="D560" s="32" t="s">
        <v>4233</v>
      </c>
      <c r="E560" s="32" t="s">
        <v>11175</v>
      </c>
      <c r="F560" s="32" t="s">
        <v>10960</v>
      </c>
      <c r="G560" s="32" t="s">
        <v>11176</v>
      </c>
      <c r="H560" s="32" t="s">
        <v>11177</v>
      </c>
      <c r="I560" s="32" t="s">
        <v>11178</v>
      </c>
      <c r="J560" s="32" t="s">
        <v>2724</v>
      </c>
      <c r="K560" s="32" t="s">
        <v>11179</v>
      </c>
      <c r="L560" s="32" t="s">
        <v>10247</v>
      </c>
      <c r="M560" s="32" t="s">
        <v>11180</v>
      </c>
      <c r="N560" s="32" t="s">
        <v>6217</v>
      </c>
      <c r="O560" s="32" t="s">
        <v>9712</v>
      </c>
    </row>
    <row x14ac:dyDescent="0.25" r="561" customHeight="1" ht="15.75">
      <c r="A561" s="8">
        <v>25846</v>
      </c>
      <c r="B561" s="13" t="s">
        <v>126</v>
      </c>
      <c r="C561" s="13" t="s">
        <v>5688</v>
      </c>
      <c r="D561" s="32" t="s">
        <v>5689</v>
      </c>
      <c r="E561" s="32" t="s">
        <v>11181</v>
      </c>
      <c r="F561" s="32" t="s">
        <v>6579</v>
      </c>
      <c r="G561" s="32" t="s">
        <v>11182</v>
      </c>
      <c r="H561" s="32" t="s">
        <v>11183</v>
      </c>
      <c r="I561" s="32" t="s">
        <v>11184</v>
      </c>
      <c r="J561" s="32" t="s">
        <v>5690</v>
      </c>
      <c r="K561" s="32" t="s">
        <v>11185</v>
      </c>
      <c r="L561" s="32" t="s">
        <v>11186</v>
      </c>
      <c r="M561" s="32" t="s">
        <v>11187</v>
      </c>
      <c r="N561" s="32" t="s">
        <v>11188</v>
      </c>
      <c r="O561" s="32" t="s">
        <v>11189</v>
      </c>
    </row>
    <row x14ac:dyDescent="0.25" r="562" customHeight="1" ht="15.75">
      <c r="A562" s="8">
        <v>25847</v>
      </c>
      <c r="B562" s="13" t="s">
        <v>126</v>
      </c>
      <c r="C562" s="13" t="s">
        <v>5691</v>
      </c>
      <c r="D562" s="32" t="s">
        <v>5692</v>
      </c>
      <c r="E562" s="32" t="s">
        <v>11190</v>
      </c>
      <c r="F562" s="32" t="s">
        <v>11191</v>
      </c>
      <c r="G562" s="32" t="s">
        <v>11192</v>
      </c>
      <c r="H562" s="32" t="s">
        <v>2418</v>
      </c>
      <c r="I562" s="32" t="s">
        <v>11193</v>
      </c>
      <c r="J562" s="32" t="s">
        <v>5693</v>
      </c>
      <c r="K562" s="32" t="s">
        <v>8296</v>
      </c>
      <c r="L562" s="32" t="s">
        <v>11194</v>
      </c>
      <c r="M562" s="32" t="s">
        <v>11195</v>
      </c>
      <c r="N562" s="32" t="s">
        <v>11196</v>
      </c>
      <c r="O562" s="32" t="s">
        <v>11197</v>
      </c>
    </row>
    <row x14ac:dyDescent="0.25" r="563" customHeight="1" ht="15.75">
      <c r="A563" s="8">
        <v>25848</v>
      </c>
      <c r="B563" s="13" t="s">
        <v>126</v>
      </c>
      <c r="C563" s="13" t="s">
        <v>5694</v>
      </c>
      <c r="D563" s="32" t="s">
        <v>5695</v>
      </c>
      <c r="E563" s="32" t="s">
        <v>11198</v>
      </c>
      <c r="F563" s="32" t="s">
        <v>2636</v>
      </c>
      <c r="G563" s="32" t="s">
        <v>11199</v>
      </c>
      <c r="H563" s="32" t="s">
        <v>11200</v>
      </c>
      <c r="I563" s="32" t="s">
        <v>11201</v>
      </c>
      <c r="J563" s="32" t="s">
        <v>2516</v>
      </c>
      <c r="K563" s="32" t="s">
        <v>11202</v>
      </c>
      <c r="L563" s="32" t="s">
        <v>5607</v>
      </c>
      <c r="M563" s="32" t="s">
        <v>11203</v>
      </c>
      <c r="N563" s="32" t="s">
        <v>9090</v>
      </c>
      <c r="O563" s="32" t="s">
        <v>11204</v>
      </c>
    </row>
    <row x14ac:dyDescent="0.25" r="564" customHeight="1" ht="15.75">
      <c r="A564" s="8">
        <v>25849</v>
      </c>
      <c r="B564" s="13" t="s">
        <v>126</v>
      </c>
      <c r="C564" s="13" t="s">
        <v>5697</v>
      </c>
      <c r="D564" s="32" t="s">
        <v>4286</v>
      </c>
      <c r="E564" s="32" t="s">
        <v>11205</v>
      </c>
      <c r="F564" s="32" t="s">
        <v>11206</v>
      </c>
      <c r="G564" s="32" t="s">
        <v>11207</v>
      </c>
      <c r="H564" s="32" t="s">
        <v>11208</v>
      </c>
      <c r="I564" s="32" t="s">
        <v>11209</v>
      </c>
      <c r="J564" s="32" t="s">
        <v>5690</v>
      </c>
      <c r="K564" s="32" t="s">
        <v>11210</v>
      </c>
      <c r="L564" s="32" t="s">
        <v>5409</v>
      </c>
      <c r="M564" s="32" t="s">
        <v>11211</v>
      </c>
      <c r="N564" s="32" t="s">
        <v>8216</v>
      </c>
      <c r="O564" s="32" t="s">
        <v>11212</v>
      </c>
    </row>
    <row x14ac:dyDescent="0.25" r="565" customHeight="1" ht="15.75">
      <c r="A565" s="8">
        <v>25850</v>
      </c>
      <c r="B565" s="13" t="s">
        <v>126</v>
      </c>
      <c r="C565" s="13" t="s">
        <v>5698</v>
      </c>
      <c r="D565" s="32" t="s">
        <v>5699</v>
      </c>
      <c r="E565" s="32" t="s">
        <v>11213</v>
      </c>
      <c r="F565" s="32" t="s">
        <v>5487</v>
      </c>
      <c r="G565" s="32" t="s">
        <v>11214</v>
      </c>
      <c r="H565" s="32" t="s">
        <v>11215</v>
      </c>
      <c r="I565" s="32" t="s">
        <v>9455</v>
      </c>
      <c r="J565" s="32" t="s">
        <v>5700</v>
      </c>
      <c r="K565" s="32" t="s">
        <v>9449</v>
      </c>
      <c r="L565" s="32" t="s">
        <v>11216</v>
      </c>
      <c r="M565" s="32" t="s">
        <v>11217</v>
      </c>
      <c r="N565" s="32" t="s">
        <v>1030</v>
      </c>
      <c r="O565" s="32" t="s">
        <v>9229</v>
      </c>
    </row>
    <row x14ac:dyDescent="0.25" r="566" customHeight="1" ht="15.75">
      <c r="A566" s="8">
        <v>25851</v>
      </c>
      <c r="B566" s="13" t="s">
        <v>126</v>
      </c>
      <c r="C566" s="13" t="s">
        <v>5701</v>
      </c>
      <c r="D566" s="32" t="s">
        <v>5702</v>
      </c>
      <c r="E566" s="32" t="s">
        <v>11218</v>
      </c>
      <c r="F566" s="32" t="s">
        <v>4360</v>
      </c>
      <c r="G566" s="32" t="s">
        <v>11219</v>
      </c>
      <c r="H566" s="32" t="s">
        <v>11220</v>
      </c>
      <c r="I566" s="32" t="s">
        <v>11221</v>
      </c>
      <c r="J566" s="32" t="s">
        <v>5703</v>
      </c>
      <c r="K566" s="32" t="s">
        <v>11222</v>
      </c>
      <c r="L566" s="32" t="s">
        <v>11223</v>
      </c>
      <c r="M566" s="32" t="s">
        <v>11224</v>
      </c>
      <c r="N566" s="32" t="s">
        <v>34</v>
      </c>
      <c r="O566" s="32" t="s">
        <v>11225</v>
      </c>
    </row>
    <row x14ac:dyDescent="0.25" r="567" customHeight="1" ht="15.75">
      <c r="A567" s="8">
        <v>25852</v>
      </c>
      <c r="B567" s="13" t="s">
        <v>126</v>
      </c>
      <c r="C567" s="13" t="s">
        <v>5704</v>
      </c>
      <c r="D567" s="32" t="s">
        <v>5705</v>
      </c>
      <c r="E567" s="32" t="s">
        <v>11226</v>
      </c>
      <c r="F567" s="32" t="s">
        <v>11227</v>
      </c>
      <c r="G567" s="32" t="s">
        <v>11228</v>
      </c>
      <c r="H567" s="32" t="s">
        <v>2576</v>
      </c>
      <c r="I567" s="32" t="s">
        <v>11229</v>
      </c>
      <c r="J567" s="32" t="s">
        <v>2557</v>
      </c>
      <c r="K567" s="32" t="s">
        <v>7618</v>
      </c>
      <c r="L567" s="32" t="s">
        <v>11230</v>
      </c>
      <c r="M567" s="32" t="s">
        <v>11231</v>
      </c>
      <c r="N567" s="32" t="s">
        <v>11230</v>
      </c>
      <c r="O567" s="32" t="s">
        <v>11232</v>
      </c>
    </row>
    <row x14ac:dyDescent="0.25" r="568" customHeight="1" ht="15.75">
      <c r="A568" s="8">
        <v>25853</v>
      </c>
      <c r="B568" s="13" t="s">
        <v>126</v>
      </c>
      <c r="C568" s="13" t="s">
        <v>5707</v>
      </c>
      <c r="D568" s="32" t="s">
        <v>4568</v>
      </c>
      <c r="E568" s="32" t="s">
        <v>11233</v>
      </c>
      <c r="F568" s="32" t="s">
        <v>9070</v>
      </c>
      <c r="G568" s="32" t="s">
        <v>11234</v>
      </c>
      <c r="H568" s="32" t="s">
        <v>6283</v>
      </c>
      <c r="I568" s="32" t="s">
        <v>11235</v>
      </c>
      <c r="J568" s="32" t="s">
        <v>5708</v>
      </c>
      <c r="K568" s="32" t="s">
        <v>11236</v>
      </c>
      <c r="L568" s="32" t="s">
        <v>11237</v>
      </c>
      <c r="M568" s="32" t="s">
        <v>11238</v>
      </c>
      <c r="N568" s="32" t="s">
        <v>4924</v>
      </c>
      <c r="O568" s="32" t="s">
        <v>11239</v>
      </c>
    </row>
    <row x14ac:dyDescent="0.25" r="569" customHeight="1" ht="15.75">
      <c r="A569" s="8">
        <v>25854</v>
      </c>
      <c r="B569" s="13" t="s">
        <v>126</v>
      </c>
      <c r="C569" s="13" t="s">
        <v>5709</v>
      </c>
      <c r="D569" s="32" t="s">
        <v>5710</v>
      </c>
      <c r="E569" s="32" t="s">
        <v>11240</v>
      </c>
      <c r="F569" s="32" t="s">
        <v>4765</v>
      </c>
      <c r="G569" s="32" t="s">
        <v>11241</v>
      </c>
      <c r="H569" s="32" t="s">
        <v>11242</v>
      </c>
      <c r="I569" s="32" t="s">
        <v>11243</v>
      </c>
      <c r="J569" s="32" t="s">
        <v>5712</v>
      </c>
      <c r="K569" s="32" t="s">
        <v>11244</v>
      </c>
      <c r="L569" s="32" t="s">
        <v>11245</v>
      </c>
      <c r="M569" s="32" t="s">
        <v>11246</v>
      </c>
      <c r="N569" s="32" t="s">
        <v>6623</v>
      </c>
      <c r="O569" s="32" t="s">
        <v>11247</v>
      </c>
    </row>
    <row x14ac:dyDescent="0.25" r="570" customHeight="1" ht="15.75">
      <c r="A570" s="8">
        <v>25855</v>
      </c>
      <c r="B570" s="13" t="s">
        <v>126</v>
      </c>
      <c r="C570" s="13" t="s">
        <v>5713</v>
      </c>
      <c r="D570" s="32" t="s">
        <v>5288</v>
      </c>
      <c r="E570" s="32" t="s">
        <v>7127</v>
      </c>
      <c r="F570" s="32" t="s">
        <v>1735</v>
      </c>
      <c r="G570" s="32" t="s">
        <v>11248</v>
      </c>
      <c r="H570" s="32" t="s">
        <v>11249</v>
      </c>
      <c r="I570" s="32" t="s">
        <v>11250</v>
      </c>
      <c r="J570" s="32" t="s">
        <v>5714</v>
      </c>
      <c r="K570" s="32" t="s">
        <v>11251</v>
      </c>
      <c r="L570" s="32" t="s">
        <v>11252</v>
      </c>
      <c r="M570" s="32" t="s">
        <v>11253</v>
      </c>
      <c r="N570" s="32" t="s">
        <v>1153</v>
      </c>
      <c r="O570" s="32" t="s">
        <v>11254</v>
      </c>
    </row>
    <row x14ac:dyDescent="0.25" r="571" customHeight="1" ht="15.75">
      <c r="A571" s="8">
        <v>25857</v>
      </c>
      <c r="B571" s="13" t="s">
        <v>126</v>
      </c>
      <c r="C571" s="13" t="s">
        <v>5715</v>
      </c>
      <c r="D571" s="32" t="s">
        <v>5716</v>
      </c>
      <c r="E571" s="32" t="s">
        <v>11255</v>
      </c>
      <c r="F571" s="32" t="s">
        <v>9658</v>
      </c>
      <c r="G571" s="32" t="s">
        <v>11256</v>
      </c>
      <c r="H571" s="32" t="s">
        <v>1962</v>
      </c>
      <c r="I571" s="32" t="s">
        <v>11257</v>
      </c>
      <c r="J571" s="32" t="s">
        <v>5717</v>
      </c>
      <c r="K571" s="32" t="s">
        <v>7127</v>
      </c>
      <c r="L571" s="32" t="s">
        <v>4432</v>
      </c>
      <c r="M571" s="32" t="s">
        <v>10112</v>
      </c>
      <c r="N571" s="32" t="s">
        <v>11258</v>
      </c>
      <c r="O571" s="32" t="s">
        <v>11259</v>
      </c>
    </row>
    <row x14ac:dyDescent="0.25" r="572" customHeight="1" ht="15.75">
      <c r="A572" s="8">
        <v>25858</v>
      </c>
      <c r="B572" s="13" t="s">
        <v>126</v>
      </c>
      <c r="C572" s="13" t="s">
        <v>5718</v>
      </c>
      <c r="D572" s="32" t="s">
        <v>2689</v>
      </c>
      <c r="E572" s="32" t="s">
        <v>11260</v>
      </c>
      <c r="F572" s="32" t="s">
        <v>10517</v>
      </c>
      <c r="G572" s="32" t="s">
        <v>11261</v>
      </c>
      <c r="H572" s="32" t="s">
        <v>5123</v>
      </c>
      <c r="I572" s="32" t="s">
        <v>11262</v>
      </c>
      <c r="J572" s="32" t="s">
        <v>5720</v>
      </c>
      <c r="K572" s="32" t="s">
        <v>11263</v>
      </c>
      <c r="L572" s="32" t="s">
        <v>7758</v>
      </c>
      <c r="M572" s="32" t="s">
        <v>11264</v>
      </c>
      <c r="N572" s="32" t="s">
        <v>11265</v>
      </c>
      <c r="O572" s="32" t="s">
        <v>11266</v>
      </c>
    </row>
    <row x14ac:dyDescent="0.25" r="573" customHeight="1" ht="15.75">
      <c r="A573" s="8">
        <v>25860</v>
      </c>
      <c r="B573" s="13" t="s">
        <v>126</v>
      </c>
      <c r="C573" s="13" t="s">
        <v>5721</v>
      </c>
      <c r="D573" s="32" t="s">
        <v>5722</v>
      </c>
      <c r="E573" s="32" t="s">
        <v>11267</v>
      </c>
      <c r="F573" s="32" t="s">
        <v>10143</v>
      </c>
      <c r="G573" s="32" t="s">
        <v>11268</v>
      </c>
      <c r="H573" s="32" t="s">
        <v>5809</v>
      </c>
      <c r="I573" s="32" t="s">
        <v>11269</v>
      </c>
      <c r="J573" s="32" t="s">
        <v>4256</v>
      </c>
      <c r="K573" s="32" t="s">
        <v>11270</v>
      </c>
      <c r="L573" s="32" t="s">
        <v>10245</v>
      </c>
      <c r="M573" s="32" t="s">
        <v>11271</v>
      </c>
      <c r="N573" s="32" t="s">
        <v>124</v>
      </c>
      <c r="O573" s="32" t="s">
        <v>7309</v>
      </c>
    </row>
    <row x14ac:dyDescent="0.25" r="574" customHeight="1" ht="15.75">
      <c r="A574" s="8">
        <v>25861</v>
      </c>
      <c r="B574" s="13" t="s">
        <v>126</v>
      </c>
      <c r="C574" s="13" t="s">
        <v>5723</v>
      </c>
      <c r="D574" s="32" t="s">
        <v>4680</v>
      </c>
      <c r="E574" s="32" t="s">
        <v>11272</v>
      </c>
      <c r="F574" s="32" t="s">
        <v>11273</v>
      </c>
      <c r="G574" s="32" t="s">
        <v>11274</v>
      </c>
      <c r="H574" s="32" t="s">
        <v>11275</v>
      </c>
      <c r="I574" s="32" t="s">
        <v>11276</v>
      </c>
      <c r="J574" s="32" t="s">
        <v>5725</v>
      </c>
      <c r="K574" s="32" t="s">
        <v>11277</v>
      </c>
      <c r="L574" s="32" t="s">
        <v>2175</v>
      </c>
      <c r="M574" s="32" t="s">
        <v>11278</v>
      </c>
      <c r="N574" s="32" t="s">
        <v>11279</v>
      </c>
      <c r="O574" s="32" t="s">
        <v>7127</v>
      </c>
    </row>
    <row x14ac:dyDescent="0.25" r="575" customHeight="1" ht="15.75">
      <c r="A575" s="8">
        <v>25862</v>
      </c>
      <c r="B575" s="13" t="s">
        <v>126</v>
      </c>
      <c r="C575" s="13" t="s">
        <v>5726</v>
      </c>
      <c r="D575" s="32" t="s">
        <v>4094</v>
      </c>
      <c r="E575" s="32" t="s">
        <v>11280</v>
      </c>
      <c r="F575" s="32" t="s">
        <v>2498</v>
      </c>
      <c r="G575" s="32" t="s">
        <v>11281</v>
      </c>
      <c r="H575" s="32" t="s">
        <v>9264</v>
      </c>
      <c r="I575" s="32" t="s">
        <v>11282</v>
      </c>
      <c r="J575" s="32" t="s">
        <v>1562</v>
      </c>
      <c r="K575" s="32" t="s">
        <v>11283</v>
      </c>
      <c r="L575" s="32" t="s">
        <v>122</v>
      </c>
      <c r="M575" s="32" t="s">
        <v>11284</v>
      </c>
      <c r="N575" s="32" t="s">
        <v>122</v>
      </c>
      <c r="O575" s="32" t="s">
        <v>11285</v>
      </c>
    </row>
    <row x14ac:dyDescent="0.25" r="576" customHeight="1" ht="15.75">
      <c r="A576" s="8">
        <v>25863</v>
      </c>
      <c r="B576" s="13" t="s">
        <v>126</v>
      </c>
      <c r="C576" s="13" t="s">
        <v>5729</v>
      </c>
      <c r="D576" s="32" t="s">
        <v>5730</v>
      </c>
      <c r="E576" s="32" t="s">
        <v>11286</v>
      </c>
      <c r="F576" s="32" t="s">
        <v>6093</v>
      </c>
      <c r="G576" s="32" t="s">
        <v>11287</v>
      </c>
      <c r="H576" s="32" t="s">
        <v>6815</v>
      </c>
      <c r="I576" s="32" t="s">
        <v>11288</v>
      </c>
      <c r="J576" s="32" t="s">
        <v>5731</v>
      </c>
      <c r="K576" s="32" t="s">
        <v>11289</v>
      </c>
      <c r="L576" s="32" t="s">
        <v>11290</v>
      </c>
      <c r="M576" s="32" t="s">
        <v>11291</v>
      </c>
      <c r="N576" s="32" t="s">
        <v>11292</v>
      </c>
      <c r="O576" s="32" t="s">
        <v>11293</v>
      </c>
    </row>
    <row x14ac:dyDescent="0.25" r="577" customHeight="1" ht="15.75">
      <c r="A577" s="8">
        <v>25864</v>
      </c>
      <c r="B577" s="13" t="s">
        <v>126</v>
      </c>
      <c r="C577" s="13" t="s">
        <v>5732</v>
      </c>
      <c r="D577" s="32" t="s">
        <v>5733</v>
      </c>
      <c r="E577" s="32" t="s">
        <v>11294</v>
      </c>
      <c r="F577" s="32" t="s">
        <v>11295</v>
      </c>
      <c r="G577" s="32" t="s">
        <v>11296</v>
      </c>
      <c r="H577" s="32" t="s">
        <v>2490</v>
      </c>
      <c r="I577" s="32" t="s">
        <v>11297</v>
      </c>
      <c r="J577" s="32" t="s">
        <v>5735</v>
      </c>
      <c r="K577" s="32" t="s">
        <v>11298</v>
      </c>
      <c r="L577" s="32" t="s">
        <v>11299</v>
      </c>
      <c r="M577" s="32" t="s">
        <v>7309</v>
      </c>
      <c r="N577" s="32" t="s">
        <v>11300</v>
      </c>
      <c r="O577" s="32" t="s">
        <v>11301</v>
      </c>
    </row>
    <row x14ac:dyDescent="0.25" r="578" customHeight="1" ht="15.75">
      <c r="A578" s="8">
        <v>25865</v>
      </c>
      <c r="B578" s="13" t="s">
        <v>126</v>
      </c>
      <c r="C578" s="13" t="s">
        <v>5736</v>
      </c>
      <c r="D578" s="32" t="s">
        <v>5737</v>
      </c>
      <c r="E578" s="32" t="s">
        <v>10099</v>
      </c>
      <c r="F578" s="32" t="s">
        <v>6764</v>
      </c>
      <c r="G578" s="32" t="s">
        <v>10121</v>
      </c>
      <c r="H578" s="32" t="s">
        <v>6764</v>
      </c>
      <c r="I578" s="32" t="s">
        <v>11302</v>
      </c>
      <c r="J578" s="32" t="s">
        <v>5738</v>
      </c>
      <c r="K578" s="32" t="s">
        <v>11303</v>
      </c>
      <c r="L578" s="32" t="s">
        <v>5400</v>
      </c>
      <c r="M578" s="32" t="s">
        <v>11304</v>
      </c>
      <c r="N578" s="32" t="s">
        <v>29</v>
      </c>
      <c r="O578" s="32" t="s">
        <v>7127</v>
      </c>
    </row>
    <row x14ac:dyDescent="0.25" r="579" customHeight="1" ht="15.75">
      <c r="A579" s="8">
        <v>25866</v>
      </c>
      <c r="B579" s="13" t="s">
        <v>126</v>
      </c>
      <c r="C579" s="13" t="s">
        <v>5739</v>
      </c>
      <c r="D579" s="32" t="s">
        <v>2599</v>
      </c>
      <c r="E579" s="32" t="s">
        <v>11305</v>
      </c>
      <c r="F579" s="32" t="s">
        <v>4520</v>
      </c>
      <c r="G579" s="32" t="s">
        <v>11306</v>
      </c>
      <c r="H579" s="32" t="s">
        <v>1505</v>
      </c>
      <c r="I579" s="32" t="s">
        <v>11307</v>
      </c>
      <c r="J579" s="32" t="s">
        <v>5741</v>
      </c>
      <c r="K579" s="32" t="s">
        <v>11308</v>
      </c>
      <c r="L579" s="32" t="s">
        <v>2599</v>
      </c>
      <c r="M579" s="32" t="s">
        <v>11309</v>
      </c>
      <c r="N579" s="32" t="s">
        <v>4520</v>
      </c>
      <c r="O579" s="32" t="s">
        <v>11310</v>
      </c>
    </row>
    <row x14ac:dyDescent="0.25" r="580" customHeight="1" ht="15.75">
      <c r="A580" s="8">
        <v>25867</v>
      </c>
      <c r="B580" s="13" t="s">
        <v>126</v>
      </c>
      <c r="C580" s="13" t="s">
        <v>5742</v>
      </c>
      <c r="D580" s="32" t="s">
        <v>5743</v>
      </c>
      <c r="E580" s="32" t="s">
        <v>11311</v>
      </c>
      <c r="F580" s="32" t="s">
        <v>11312</v>
      </c>
      <c r="G580" s="32" t="s">
        <v>11313</v>
      </c>
      <c r="H580" s="32" t="s">
        <v>7684</v>
      </c>
      <c r="I580" s="32" t="s">
        <v>11314</v>
      </c>
      <c r="J580" s="32" t="s">
        <v>5745</v>
      </c>
      <c r="K580" s="32" t="s">
        <v>7127</v>
      </c>
      <c r="L580" s="32" t="s">
        <v>5285</v>
      </c>
      <c r="M580" s="32" t="s">
        <v>11315</v>
      </c>
      <c r="N580" s="32" t="s">
        <v>158</v>
      </c>
      <c r="O580" s="32" t="s">
        <v>7127</v>
      </c>
    </row>
    <row x14ac:dyDescent="0.25" r="581" customHeight="1" ht="15.75">
      <c r="A581" s="8">
        <v>25868</v>
      </c>
      <c r="B581" s="13" t="s">
        <v>126</v>
      </c>
      <c r="C581" s="13" t="s">
        <v>5746</v>
      </c>
      <c r="D581" s="32" t="s">
        <v>5747</v>
      </c>
      <c r="E581" s="32" t="s">
        <v>11316</v>
      </c>
      <c r="F581" s="32" t="s">
        <v>11317</v>
      </c>
      <c r="G581" s="32" t="s">
        <v>10383</v>
      </c>
      <c r="H581" s="32" t="s">
        <v>111</v>
      </c>
      <c r="I581" s="32" t="s">
        <v>11318</v>
      </c>
      <c r="J581" s="32" t="s">
        <v>5749</v>
      </c>
      <c r="K581" s="32" t="s">
        <v>11319</v>
      </c>
      <c r="L581" s="32" t="s">
        <v>5716</v>
      </c>
      <c r="M581" s="32" t="s">
        <v>11320</v>
      </c>
      <c r="N581" s="32" t="s">
        <v>10119</v>
      </c>
      <c r="O581" s="32" t="s">
        <v>11321</v>
      </c>
    </row>
    <row x14ac:dyDescent="0.25" r="582" customHeight="1" ht="15.75">
      <c r="A582" s="8">
        <v>25869</v>
      </c>
      <c r="B582" s="13" t="s">
        <v>126</v>
      </c>
      <c r="C582" s="13" t="s">
        <v>5750</v>
      </c>
      <c r="D582" s="32" t="s">
        <v>5751</v>
      </c>
      <c r="E582" s="32" t="s">
        <v>7418</v>
      </c>
      <c r="F582" s="32" t="s">
        <v>11322</v>
      </c>
      <c r="G582" s="32" t="s">
        <v>11323</v>
      </c>
      <c r="H582" s="32" t="s">
        <v>11324</v>
      </c>
      <c r="I582" s="32" t="s">
        <v>11325</v>
      </c>
      <c r="J582" s="32" t="s">
        <v>5753</v>
      </c>
      <c r="K582" s="32" t="s">
        <v>11326</v>
      </c>
      <c r="L582" s="32" t="s">
        <v>627</v>
      </c>
      <c r="M582" s="32" t="s">
        <v>11327</v>
      </c>
      <c r="N582" s="32" t="s">
        <v>4806</v>
      </c>
      <c r="O582" s="32" t="s">
        <v>11328</v>
      </c>
    </row>
    <row x14ac:dyDescent="0.25" r="583" customHeight="1" ht="15.75">
      <c r="A583" s="8">
        <v>25870</v>
      </c>
      <c r="B583" s="13" t="s">
        <v>126</v>
      </c>
      <c r="C583" s="13" t="s">
        <v>5754</v>
      </c>
      <c r="D583" s="32" t="s">
        <v>5755</v>
      </c>
      <c r="E583" s="32" t="s">
        <v>11329</v>
      </c>
      <c r="F583" s="32" t="s">
        <v>2468</v>
      </c>
      <c r="G583" s="32" t="s">
        <v>11330</v>
      </c>
      <c r="H583" s="32" t="s">
        <v>11331</v>
      </c>
      <c r="I583" s="32" t="s">
        <v>11332</v>
      </c>
      <c r="J583" s="32" t="s">
        <v>5756</v>
      </c>
      <c r="K583" s="32" t="s">
        <v>11333</v>
      </c>
      <c r="L583" s="32" t="s">
        <v>9392</v>
      </c>
      <c r="M583" s="32" t="s">
        <v>11334</v>
      </c>
      <c r="N583" s="32" t="s">
        <v>11335</v>
      </c>
      <c r="O583" s="32" t="s">
        <v>8073</v>
      </c>
    </row>
    <row x14ac:dyDescent="0.25" r="584" customHeight="1" ht="15.75">
      <c r="A584" s="8">
        <v>25872</v>
      </c>
      <c r="B584" s="13" t="s">
        <v>126</v>
      </c>
      <c r="C584" s="13" t="s">
        <v>5757</v>
      </c>
      <c r="D584" s="32" t="s">
        <v>74</v>
      </c>
      <c r="E584" s="32" t="s">
        <v>11336</v>
      </c>
      <c r="F584" s="32" t="s">
        <v>11337</v>
      </c>
      <c r="G584" s="32" t="s">
        <v>11338</v>
      </c>
      <c r="H584" s="32" t="s">
        <v>6835</v>
      </c>
      <c r="I584" s="32" t="s">
        <v>11339</v>
      </c>
      <c r="J584" s="32" t="s">
        <v>5758</v>
      </c>
      <c r="K584" s="32" t="s">
        <v>11340</v>
      </c>
      <c r="L584" s="32" t="s">
        <v>9026</v>
      </c>
      <c r="M584" s="32" t="s">
        <v>11341</v>
      </c>
      <c r="N584" s="32" t="s">
        <v>6242</v>
      </c>
      <c r="O584" s="32" t="s">
        <v>11342</v>
      </c>
    </row>
    <row x14ac:dyDescent="0.25" r="585" customHeight="1" ht="15.75">
      <c r="A585" s="8">
        <v>25873</v>
      </c>
      <c r="B585" s="13" t="s">
        <v>126</v>
      </c>
      <c r="C585" s="13" t="s">
        <v>5759</v>
      </c>
      <c r="D585" s="32" t="s">
        <v>5148</v>
      </c>
      <c r="E585" s="32" t="s">
        <v>11343</v>
      </c>
      <c r="F585" s="32" t="s">
        <v>81</v>
      </c>
      <c r="G585" s="32" t="s">
        <v>11344</v>
      </c>
      <c r="H585" s="32" t="s">
        <v>81</v>
      </c>
      <c r="I585" s="32" t="s">
        <v>11345</v>
      </c>
      <c r="J585" s="32" t="s">
        <v>2635</v>
      </c>
      <c r="K585" s="32" t="s">
        <v>11346</v>
      </c>
      <c r="L585" s="32" t="s">
        <v>81</v>
      </c>
      <c r="M585" s="32" t="s">
        <v>11347</v>
      </c>
      <c r="N585" s="32" t="s">
        <v>81</v>
      </c>
      <c r="O585" s="32" t="s">
        <v>7343</v>
      </c>
    </row>
    <row x14ac:dyDescent="0.25" r="586" customHeight="1" ht="15.75">
      <c r="A586" s="8">
        <v>25874</v>
      </c>
      <c r="B586" s="13" t="s">
        <v>126</v>
      </c>
      <c r="C586" s="13" t="s">
        <v>5761</v>
      </c>
      <c r="D586" s="32" t="s">
        <v>5762</v>
      </c>
      <c r="E586" s="32" t="s">
        <v>11348</v>
      </c>
      <c r="F586" s="32" t="s">
        <v>9217</v>
      </c>
      <c r="G586" s="32" t="s">
        <v>11349</v>
      </c>
      <c r="H586" s="32" t="s">
        <v>2143</v>
      </c>
      <c r="I586" s="32" t="s">
        <v>8379</v>
      </c>
      <c r="J586" s="32" t="s">
        <v>5763</v>
      </c>
      <c r="K586" s="32" t="s">
        <v>11350</v>
      </c>
      <c r="L586" s="32" t="s">
        <v>11351</v>
      </c>
      <c r="M586" s="32" t="s">
        <v>11352</v>
      </c>
      <c r="N586" s="32" t="s">
        <v>11353</v>
      </c>
      <c r="O586" s="32" t="s">
        <v>11354</v>
      </c>
    </row>
    <row x14ac:dyDescent="0.25" r="587" customHeight="1" ht="15.75">
      <c r="A587" s="8">
        <v>25875</v>
      </c>
      <c r="B587" s="13" t="s">
        <v>126</v>
      </c>
      <c r="C587" s="13" t="s">
        <v>5764</v>
      </c>
      <c r="D587" s="32" t="s">
        <v>5733</v>
      </c>
      <c r="E587" s="32" t="s">
        <v>11355</v>
      </c>
      <c r="F587" s="32" t="s">
        <v>5820</v>
      </c>
      <c r="G587" s="32" t="s">
        <v>11356</v>
      </c>
      <c r="H587" s="32" t="s">
        <v>696</v>
      </c>
      <c r="I587" s="32" t="s">
        <v>11357</v>
      </c>
      <c r="J587" s="32" t="s">
        <v>2453</v>
      </c>
      <c r="K587" s="32" t="s">
        <v>7127</v>
      </c>
      <c r="L587" s="32" t="s">
        <v>11358</v>
      </c>
      <c r="M587" s="32" t="s">
        <v>11359</v>
      </c>
      <c r="N587" s="32" t="s">
        <v>121</v>
      </c>
      <c r="O587" s="32" t="s">
        <v>7127</v>
      </c>
    </row>
    <row x14ac:dyDescent="0.25" r="588" customHeight="1" ht="15.75">
      <c r="A588" s="8">
        <v>25876</v>
      </c>
      <c r="B588" s="13" t="s">
        <v>126</v>
      </c>
      <c r="C588" s="13" t="s">
        <v>5766</v>
      </c>
      <c r="D588" s="32" t="s">
        <v>5767</v>
      </c>
      <c r="E588" s="32" t="s">
        <v>11360</v>
      </c>
      <c r="F588" s="32" t="s">
        <v>11361</v>
      </c>
      <c r="G588" s="32" t="s">
        <v>11362</v>
      </c>
      <c r="H588" s="32" t="s">
        <v>6107</v>
      </c>
      <c r="I588" s="32" t="s">
        <v>11363</v>
      </c>
      <c r="J588" s="32" t="s">
        <v>5768</v>
      </c>
      <c r="K588" s="32" t="s">
        <v>11364</v>
      </c>
      <c r="L588" s="32" t="s">
        <v>5975</v>
      </c>
      <c r="M588" s="32" t="s">
        <v>11365</v>
      </c>
      <c r="N588" s="32" t="s">
        <v>6107</v>
      </c>
      <c r="O588" s="32" t="s">
        <v>11366</v>
      </c>
    </row>
    <row x14ac:dyDescent="0.25" r="589" customHeight="1" ht="15.75">
      <c r="A589" s="8">
        <v>25877</v>
      </c>
      <c r="B589" s="13" t="s">
        <v>126</v>
      </c>
      <c r="C589" s="13" t="s">
        <v>5769</v>
      </c>
      <c r="D589" s="32" t="s">
        <v>5770</v>
      </c>
      <c r="E589" s="32" t="s">
        <v>11367</v>
      </c>
      <c r="F589" s="32" t="s">
        <v>5530</v>
      </c>
      <c r="G589" s="32" t="s">
        <v>8596</v>
      </c>
      <c r="H589" s="32" t="s">
        <v>9405</v>
      </c>
      <c r="I589" s="32" t="s">
        <v>11368</v>
      </c>
      <c r="J589" s="32" t="s">
        <v>5772</v>
      </c>
      <c r="K589" s="32" t="s">
        <v>11369</v>
      </c>
      <c r="L589" s="32" t="s">
        <v>11370</v>
      </c>
      <c r="M589" s="32" t="s">
        <v>11371</v>
      </c>
      <c r="N589" s="32" t="s">
        <v>11372</v>
      </c>
      <c r="O589" s="32" t="s">
        <v>11373</v>
      </c>
    </row>
    <row x14ac:dyDescent="0.25" r="590" customHeight="1" ht="15.75">
      <c r="A590" s="8">
        <v>25878</v>
      </c>
      <c r="B590" s="13" t="s">
        <v>126</v>
      </c>
      <c r="C590" s="13" t="s">
        <v>5773</v>
      </c>
      <c r="D590" s="32" t="s">
        <v>5774</v>
      </c>
      <c r="E590" s="32" t="s">
        <v>11374</v>
      </c>
      <c r="F590" s="32" t="s">
        <v>11375</v>
      </c>
      <c r="G590" s="32" t="s">
        <v>11376</v>
      </c>
      <c r="H590" s="32" t="s">
        <v>5225</v>
      </c>
      <c r="I590" s="32" t="s">
        <v>11377</v>
      </c>
      <c r="J590" s="32" t="s">
        <v>5776</v>
      </c>
      <c r="K590" s="32" t="s">
        <v>8500</v>
      </c>
      <c r="L590" s="32" t="s">
        <v>5865</v>
      </c>
      <c r="M590" s="32" t="s">
        <v>11378</v>
      </c>
      <c r="N590" s="32" t="s">
        <v>1143</v>
      </c>
      <c r="O590" s="32" t="s">
        <v>11379</v>
      </c>
    </row>
    <row x14ac:dyDescent="0.25" r="591" customHeight="1" ht="15.75">
      <c r="A591" s="8">
        <v>25879</v>
      </c>
      <c r="B591" s="13" t="s">
        <v>126</v>
      </c>
      <c r="C591" s="13" t="s">
        <v>5777</v>
      </c>
      <c r="D591" s="32" t="s">
        <v>5778</v>
      </c>
      <c r="E591" s="32" t="s">
        <v>11380</v>
      </c>
      <c r="F591" s="32" t="s">
        <v>11381</v>
      </c>
      <c r="G591" s="32" t="s">
        <v>11382</v>
      </c>
      <c r="H591" s="32" t="s">
        <v>11383</v>
      </c>
      <c r="I591" s="32" t="s">
        <v>11384</v>
      </c>
      <c r="J591" s="32" t="s">
        <v>5779</v>
      </c>
      <c r="K591" s="32" t="s">
        <v>11385</v>
      </c>
      <c r="L591" s="32" t="s">
        <v>4543</v>
      </c>
      <c r="M591" s="32" t="s">
        <v>11386</v>
      </c>
      <c r="N591" s="32" t="s">
        <v>81</v>
      </c>
      <c r="O591" s="32" t="s">
        <v>11387</v>
      </c>
    </row>
    <row x14ac:dyDescent="0.25" r="592" customHeight="1" ht="15.75">
      <c r="A592" s="8">
        <v>25880</v>
      </c>
      <c r="B592" s="13" t="s">
        <v>126</v>
      </c>
      <c r="C592" s="13" t="s">
        <v>5780</v>
      </c>
      <c r="D592" s="32" t="s">
        <v>5781</v>
      </c>
      <c r="E592" s="32" t="s">
        <v>11388</v>
      </c>
      <c r="F592" s="32" t="s">
        <v>11389</v>
      </c>
      <c r="G592" s="32" t="s">
        <v>11390</v>
      </c>
      <c r="H592" s="32" t="s">
        <v>4523</v>
      </c>
      <c r="I592" s="32" t="s">
        <v>11391</v>
      </c>
      <c r="J592" s="32" t="s">
        <v>5782</v>
      </c>
      <c r="K592" s="32" t="s">
        <v>11392</v>
      </c>
      <c r="L592" s="32" t="s">
        <v>11393</v>
      </c>
      <c r="M592" s="32" t="s">
        <v>11394</v>
      </c>
      <c r="N592" s="32" t="s">
        <v>11395</v>
      </c>
      <c r="O592" s="32" t="s">
        <v>11396</v>
      </c>
    </row>
    <row x14ac:dyDescent="0.25" r="593" customHeight="1" ht="15.75">
      <c r="A593" s="8">
        <v>25881</v>
      </c>
      <c r="B593" s="13" t="s">
        <v>126</v>
      </c>
      <c r="C593" s="13" t="s">
        <v>5784</v>
      </c>
      <c r="D593" s="32" t="s">
        <v>4884</v>
      </c>
      <c r="E593" s="32" t="s">
        <v>10101</v>
      </c>
      <c r="F593" s="32" t="s">
        <v>2504</v>
      </c>
      <c r="G593" s="32" t="s">
        <v>11397</v>
      </c>
      <c r="H593" s="32" t="s">
        <v>2574</v>
      </c>
      <c r="I593" s="32" t="s">
        <v>11398</v>
      </c>
      <c r="J593" s="32" t="s">
        <v>5785</v>
      </c>
      <c r="K593" s="32" t="s">
        <v>11399</v>
      </c>
      <c r="L593" s="32" t="s">
        <v>999</v>
      </c>
      <c r="M593" s="32" t="s">
        <v>11400</v>
      </c>
      <c r="N593" s="32" t="s">
        <v>999</v>
      </c>
      <c r="O593" s="32" t="s">
        <v>7127</v>
      </c>
    </row>
    <row x14ac:dyDescent="0.25" r="594" customHeight="1" ht="15.75">
      <c r="A594" s="8">
        <v>25882</v>
      </c>
      <c r="B594" s="13" t="s">
        <v>126</v>
      </c>
      <c r="C594" s="13" t="s">
        <v>5786</v>
      </c>
      <c r="D594" s="32" t="s">
        <v>5787</v>
      </c>
      <c r="E594" s="32" t="s">
        <v>11401</v>
      </c>
      <c r="F594" s="32" t="s">
        <v>4874</v>
      </c>
      <c r="G594" s="32" t="s">
        <v>11402</v>
      </c>
      <c r="H594" s="32" t="s">
        <v>11403</v>
      </c>
      <c r="I594" s="32" t="s">
        <v>11404</v>
      </c>
      <c r="J594" s="32" t="s">
        <v>5789</v>
      </c>
      <c r="K594" s="32" t="s">
        <v>11405</v>
      </c>
      <c r="L594" s="32" t="s">
        <v>11406</v>
      </c>
      <c r="M594" s="32" t="s">
        <v>11407</v>
      </c>
      <c r="N594" s="32" t="s">
        <v>11408</v>
      </c>
      <c r="O594" s="32" t="s">
        <v>11189</v>
      </c>
    </row>
    <row x14ac:dyDescent="0.25" r="595" customHeight="1" ht="15.75">
      <c r="A595" s="8">
        <v>25883</v>
      </c>
      <c r="B595" s="13" t="s">
        <v>126</v>
      </c>
      <c r="C595" s="13" t="s">
        <v>5790</v>
      </c>
      <c r="D595" s="32" t="s">
        <v>5791</v>
      </c>
      <c r="E595" s="32" t="s">
        <v>11409</v>
      </c>
      <c r="F595" s="32" t="s">
        <v>11410</v>
      </c>
      <c r="G595" s="32" t="s">
        <v>11411</v>
      </c>
      <c r="H595" s="32" t="s">
        <v>4945</v>
      </c>
      <c r="I595" s="32" t="s">
        <v>11412</v>
      </c>
      <c r="J595" s="32" t="s">
        <v>5793</v>
      </c>
      <c r="K595" s="32" t="s">
        <v>11413</v>
      </c>
      <c r="L595" s="32" t="s">
        <v>10207</v>
      </c>
      <c r="M595" s="32" t="s">
        <v>7317</v>
      </c>
      <c r="N595" s="32" t="s">
        <v>11414</v>
      </c>
      <c r="O595" s="32" t="s">
        <v>11415</v>
      </c>
    </row>
    <row x14ac:dyDescent="0.25" r="596" customHeight="1" ht="15.75">
      <c r="A596" s="8">
        <v>25884</v>
      </c>
      <c r="B596" s="13" t="s">
        <v>126</v>
      </c>
      <c r="C596" s="13" t="s">
        <v>5794</v>
      </c>
      <c r="D596" s="32" t="s">
        <v>5795</v>
      </c>
      <c r="E596" s="32" t="s">
        <v>11416</v>
      </c>
      <c r="F596" s="32" t="s">
        <v>10216</v>
      </c>
      <c r="G596" s="32" t="s">
        <v>11417</v>
      </c>
      <c r="H596" s="32" t="s">
        <v>6007</v>
      </c>
      <c r="I596" s="32" t="s">
        <v>11418</v>
      </c>
      <c r="J596" s="32" t="s">
        <v>5796</v>
      </c>
      <c r="K596" s="32" t="s">
        <v>11419</v>
      </c>
      <c r="L596" s="32" t="s">
        <v>7162</v>
      </c>
      <c r="M596" s="32" t="s">
        <v>8298</v>
      </c>
      <c r="N596" s="32" t="s">
        <v>9439</v>
      </c>
      <c r="O596" s="32" t="s">
        <v>11420</v>
      </c>
    </row>
    <row x14ac:dyDescent="0.25" r="597" customHeight="1" ht="15.75">
      <c r="A597" s="8">
        <v>25885</v>
      </c>
      <c r="B597" s="13" t="s">
        <v>126</v>
      </c>
      <c r="C597" s="13" t="s">
        <v>5797</v>
      </c>
      <c r="D597" s="32" t="s">
        <v>74</v>
      </c>
      <c r="E597" s="32" t="s">
        <v>11421</v>
      </c>
      <c r="F597" s="32" t="s">
        <v>5799</v>
      </c>
      <c r="G597" s="32" t="s">
        <v>11422</v>
      </c>
      <c r="H597" s="32" t="s">
        <v>5799</v>
      </c>
      <c r="I597" s="32" t="s">
        <v>11423</v>
      </c>
      <c r="J597" s="32" t="s">
        <v>5799</v>
      </c>
      <c r="K597" s="32" t="s">
        <v>11424</v>
      </c>
      <c r="L597" s="32" t="s">
        <v>7025</v>
      </c>
      <c r="M597" s="32" t="s">
        <v>11425</v>
      </c>
      <c r="N597" s="32" t="s">
        <v>2738</v>
      </c>
      <c r="O597" s="32" t="s">
        <v>11426</v>
      </c>
    </row>
    <row x14ac:dyDescent="0.25" r="598" customHeight="1" ht="15.75">
      <c r="A598" s="8">
        <v>25893</v>
      </c>
      <c r="B598" s="13" t="s">
        <v>126</v>
      </c>
      <c r="C598" s="13" t="s">
        <v>5800</v>
      </c>
      <c r="D598" s="32" t="s">
        <v>5801</v>
      </c>
      <c r="E598" s="32" t="s">
        <v>8707</v>
      </c>
      <c r="F598" s="32" t="s">
        <v>8665</v>
      </c>
      <c r="G598" s="32" t="s">
        <v>11427</v>
      </c>
      <c r="H598" s="32" t="s">
        <v>2584</v>
      </c>
      <c r="I598" s="32" t="s">
        <v>11428</v>
      </c>
      <c r="J598" s="32" t="s">
        <v>5802</v>
      </c>
      <c r="K598" s="32" t="s">
        <v>11429</v>
      </c>
      <c r="L598" s="32" t="s">
        <v>2635</v>
      </c>
      <c r="M598" s="32" t="s">
        <v>11430</v>
      </c>
      <c r="N598" s="32" t="s">
        <v>11431</v>
      </c>
      <c r="O598" s="32" t="s">
        <v>11432</v>
      </c>
    </row>
    <row x14ac:dyDescent="0.25" r="599" customHeight="1" ht="15.75">
      <c r="A599" s="8">
        <v>25363</v>
      </c>
      <c r="B599" s="13" t="s">
        <v>103</v>
      </c>
      <c r="C599" s="13" t="s">
        <v>5803</v>
      </c>
      <c r="D599" s="32" t="s">
        <v>4760</v>
      </c>
      <c r="E599" s="32" t="s">
        <v>11433</v>
      </c>
      <c r="F599" s="32" t="s">
        <v>11434</v>
      </c>
      <c r="G599" s="32" t="s">
        <v>11435</v>
      </c>
      <c r="H599" s="32" t="s">
        <v>11436</v>
      </c>
      <c r="I599" s="32" t="s">
        <v>7127</v>
      </c>
      <c r="J599" s="32" t="s">
        <v>5804</v>
      </c>
      <c r="K599" s="32" t="s">
        <v>11437</v>
      </c>
      <c r="L599" s="32" t="s">
        <v>11438</v>
      </c>
      <c r="M599" s="32" t="s">
        <v>11439</v>
      </c>
      <c r="N599" s="32" t="s">
        <v>2232</v>
      </c>
      <c r="O599" s="32" t="s">
        <v>10151</v>
      </c>
    </row>
    <row x14ac:dyDescent="0.25" r="600" customHeight="1" ht="15.75">
      <c r="A600" s="8">
        <v>25364</v>
      </c>
      <c r="B600" s="13" t="s">
        <v>103</v>
      </c>
      <c r="C600" s="13" t="s">
        <v>5805</v>
      </c>
      <c r="D600" s="32" t="s">
        <v>5806</v>
      </c>
      <c r="E600" s="32" t="s">
        <v>8131</v>
      </c>
      <c r="F600" s="32" t="s">
        <v>5093</v>
      </c>
      <c r="G600" s="32" t="s">
        <v>9860</v>
      </c>
      <c r="H600" s="32" t="s">
        <v>11440</v>
      </c>
      <c r="I600" s="32" t="s">
        <v>11441</v>
      </c>
      <c r="J600" s="32" t="s">
        <v>5093</v>
      </c>
      <c r="K600" s="32" t="s">
        <v>11442</v>
      </c>
      <c r="L600" s="32" t="s">
        <v>11443</v>
      </c>
      <c r="M600" s="32" t="s">
        <v>11444</v>
      </c>
      <c r="N600" s="32" t="s">
        <v>29</v>
      </c>
      <c r="O600" s="32" t="s">
        <v>7127</v>
      </c>
    </row>
    <row x14ac:dyDescent="0.25" r="601" customHeight="1" ht="15.75">
      <c r="A601" s="8">
        <v>25365</v>
      </c>
      <c r="B601" s="13" t="s">
        <v>103</v>
      </c>
      <c r="C601" s="13" t="s">
        <v>5807</v>
      </c>
      <c r="D601" s="32" t="s">
        <v>5808</v>
      </c>
      <c r="E601" s="32" t="s">
        <v>11445</v>
      </c>
      <c r="F601" s="32" t="s">
        <v>4585</v>
      </c>
      <c r="G601" s="32" t="s">
        <v>10454</v>
      </c>
      <c r="H601" s="32" t="s">
        <v>11446</v>
      </c>
      <c r="I601" s="32" t="s">
        <v>11447</v>
      </c>
      <c r="J601" s="32" t="s">
        <v>5809</v>
      </c>
      <c r="K601" s="32" t="s">
        <v>11448</v>
      </c>
      <c r="L601" s="32" t="s">
        <v>4585</v>
      </c>
      <c r="M601" s="32" t="s">
        <v>11449</v>
      </c>
      <c r="N601" s="32" t="s">
        <v>11450</v>
      </c>
      <c r="O601" s="32" t="s">
        <v>9163</v>
      </c>
    </row>
    <row x14ac:dyDescent="0.25" r="602" customHeight="1" ht="15.75">
      <c r="A602" s="8">
        <v>25366</v>
      </c>
      <c r="B602" s="13" t="s">
        <v>103</v>
      </c>
      <c r="C602" s="13" t="s">
        <v>5810</v>
      </c>
      <c r="D602" s="32" t="s">
        <v>758</v>
      </c>
      <c r="E602" s="32" t="s">
        <v>11451</v>
      </c>
      <c r="F602" s="32" t="s">
        <v>5360</v>
      </c>
      <c r="G602" s="32" t="s">
        <v>8592</v>
      </c>
      <c r="H602" s="32" t="s">
        <v>5783</v>
      </c>
      <c r="I602" s="32" t="s">
        <v>11452</v>
      </c>
      <c r="J602" s="32" t="s">
        <v>2527</v>
      </c>
      <c r="K602" s="32" t="s">
        <v>11453</v>
      </c>
      <c r="L602" s="32" t="s">
        <v>11454</v>
      </c>
      <c r="M602" s="32" t="s">
        <v>11455</v>
      </c>
      <c r="N602" s="32" t="s">
        <v>5783</v>
      </c>
      <c r="O602" s="32" t="s">
        <v>7158</v>
      </c>
    </row>
    <row x14ac:dyDescent="0.25" r="603" customHeight="1" ht="15.75">
      <c r="A603" s="8">
        <v>25367</v>
      </c>
      <c r="B603" s="13" t="s">
        <v>103</v>
      </c>
      <c r="C603" s="13" t="s">
        <v>5811</v>
      </c>
      <c r="D603" s="32" t="s">
        <v>4473</v>
      </c>
      <c r="E603" s="32" t="s">
        <v>11456</v>
      </c>
      <c r="F603" s="32" t="s">
        <v>2278</v>
      </c>
      <c r="G603" s="32" t="s">
        <v>11457</v>
      </c>
      <c r="H603" s="32" t="s">
        <v>11458</v>
      </c>
      <c r="I603" s="32" t="s">
        <v>7584</v>
      </c>
      <c r="J603" s="32" t="s">
        <v>5813</v>
      </c>
      <c r="K603" s="32" t="s">
        <v>11459</v>
      </c>
      <c r="L603" s="32" t="s">
        <v>11460</v>
      </c>
      <c r="M603" s="32" t="s">
        <v>11461</v>
      </c>
      <c r="N603" s="32" t="s">
        <v>29</v>
      </c>
      <c r="O603" s="32" t="s">
        <v>7127</v>
      </c>
    </row>
    <row x14ac:dyDescent="0.25" r="604" customHeight="1" ht="15.75">
      <c r="A604" s="8">
        <v>25368</v>
      </c>
      <c r="B604" s="13" t="s">
        <v>103</v>
      </c>
      <c r="C604" s="13" t="s">
        <v>4579</v>
      </c>
      <c r="D604" s="32" t="s">
        <v>498</v>
      </c>
      <c r="E604" s="32" t="s">
        <v>11462</v>
      </c>
      <c r="F604" s="32" t="s">
        <v>11463</v>
      </c>
      <c r="G604" s="32" t="s">
        <v>11464</v>
      </c>
      <c r="H604" s="32" t="s">
        <v>1359</v>
      </c>
      <c r="I604" s="32" t="s">
        <v>11465</v>
      </c>
      <c r="J604" s="32" t="s">
        <v>1547</v>
      </c>
      <c r="K604" s="32" t="s">
        <v>11466</v>
      </c>
      <c r="L604" s="32" t="s">
        <v>1547</v>
      </c>
      <c r="M604" s="32" t="s">
        <v>11467</v>
      </c>
      <c r="N604" s="32" t="s">
        <v>29</v>
      </c>
      <c r="O604" s="32" t="s">
        <v>7127</v>
      </c>
    </row>
    <row x14ac:dyDescent="0.25" r="605" customHeight="1" ht="15.75">
      <c r="A605" s="8">
        <v>25369</v>
      </c>
      <c r="B605" s="13" t="s">
        <v>103</v>
      </c>
      <c r="C605" s="13" t="s">
        <v>5815</v>
      </c>
      <c r="D605" s="32" t="s">
        <v>5816</v>
      </c>
      <c r="E605" s="32" t="s">
        <v>7127</v>
      </c>
      <c r="F605" s="32" t="s">
        <v>11468</v>
      </c>
      <c r="G605" s="32" t="s">
        <v>11469</v>
      </c>
      <c r="H605" s="32" t="s">
        <v>11470</v>
      </c>
      <c r="I605" s="32" t="s">
        <v>9776</v>
      </c>
      <c r="J605" s="32" t="s">
        <v>5818</v>
      </c>
      <c r="K605" s="32" t="s">
        <v>11471</v>
      </c>
      <c r="L605" s="32" t="s">
        <v>1494</v>
      </c>
      <c r="M605" s="32" t="s">
        <v>11472</v>
      </c>
      <c r="N605" s="32" t="s">
        <v>29</v>
      </c>
      <c r="O605" s="32" t="s">
        <v>7127</v>
      </c>
    </row>
    <row x14ac:dyDescent="0.25" r="606" customHeight="1" ht="15.75">
      <c r="A606" s="8">
        <v>25370</v>
      </c>
      <c r="B606" s="13" t="s">
        <v>103</v>
      </c>
      <c r="C606" s="13" t="s">
        <v>5819</v>
      </c>
      <c r="D606" s="32" t="s">
        <v>5820</v>
      </c>
      <c r="E606" s="32" t="s">
        <v>11473</v>
      </c>
      <c r="F606" s="32" t="s">
        <v>4795</v>
      </c>
      <c r="G606" s="32" t="s">
        <v>11474</v>
      </c>
      <c r="H606" s="32" t="s">
        <v>8828</v>
      </c>
      <c r="I606" s="32" t="s">
        <v>7127</v>
      </c>
      <c r="J606" s="32" t="s">
        <v>1843</v>
      </c>
      <c r="K606" s="32" t="s">
        <v>11475</v>
      </c>
      <c r="L606" s="32" t="s">
        <v>9173</v>
      </c>
      <c r="M606" s="32" t="s">
        <v>11476</v>
      </c>
      <c r="N606" s="32" t="s">
        <v>1846</v>
      </c>
      <c r="O606" s="32" t="s">
        <v>7127</v>
      </c>
    </row>
    <row x14ac:dyDescent="0.25" r="607" customHeight="1" ht="15.75">
      <c r="A607" s="8">
        <v>25373</v>
      </c>
      <c r="B607" s="13" t="s">
        <v>103</v>
      </c>
      <c r="C607" s="13" t="s">
        <v>5824</v>
      </c>
      <c r="D607" s="32" t="s">
        <v>5825</v>
      </c>
      <c r="E607" s="32" t="s">
        <v>11477</v>
      </c>
      <c r="F607" s="32" t="s">
        <v>11478</v>
      </c>
      <c r="G607" s="32" t="s">
        <v>9298</v>
      </c>
      <c r="H607" s="32" t="s">
        <v>11479</v>
      </c>
      <c r="I607" s="32" t="s">
        <v>11480</v>
      </c>
      <c r="J607" s="32" t="s">
        <v>2359</v>
      </c>
      <c r="K607" s="32" t="s">
        <v>11481</v>
      </c>
      <c r="L607" s="32" t="s">
        <v>11482</v>
      </c>
      <c r="M607" s="32" t="s">
        <v>11483</v>
      </c>
      <c r="N607" s="32" t="s">
        <v>2642</v>
      </c>
      <c r="O607" s="32" t="s">
        <v>7127</v>
      </c>
    </row>
    <row x14ac:dyDescent="0.25" r="608" customHeight="1" ht="15.75">
      <c r="A608" s="8">
        <v>25374</v>
      </c>
      <c r="B608" s="13" t="s">
        <v>103</v>
      </c>
      <c r="C608" s="13" t="s">
        <v>5827</v>
      </c>
      <c r="D608" s="32" t="s">
        <v>5598</v>
      </c>
      <c r="E608" s="32" t="s">
        <v>11484</v>
      </c>
      <c r="F608" s="32" t="s">
        <v>29</v>
      </c>
      <c r="G608" s="32" t="s">
        <v>7127</v>
      </c>
      <c r="H608" s="32" t="s">
        <v>11485</v>
      </c>
      <c r="I608" s="32" t="s">
        <v>11486</v>
      </c>
      <c r="J608" s="32" t="s">
        <v>5829</v>
      </c>
      <c r="K608" s="32" t="s">
        <v>11487</v>
      </c>
      <c r="L608" s="32" t="s">
        <v>11488</v>
      </c>
      <c r="M608" s="32" t="s">
        <v>8602</v>
      </c>
      <c r="N608" s="32" t="s">
        <v>10590</v>
      </c>
      <c r="O608" s="32" t="s">
        <v>11489</v>
      </c>
    </row>
    <row x14ac:dyDescent="0.25" r="609" customHeight="1" ht="15.75">
      <c r="A609" s="8">
        <v>25375</v>
      </c>
      <c r="B609" s="13" t="s">
        <v>103</v>
      </c>
      <c r="C609" s="13" t="s">
        <v>5830</v>
      </c>
      <c r="D609" s="32" t="s">
        <v>2584</v>
      </c>
      <c r="E609" s="32" t="s">
        <v>11490</v>
      </c>
      <c r="F609" s="32" t="s">
        <v>11491</v>
      </c>
      <c r="G609" s="32" t="s">
        <v>11492</v>
      </c>
      <c r="H609" s="32" t="s">
        <v>11493</v>
      </c>
      <c r="I609" s="32" t="s">
        <v>9937</v>
      </c>
      <c r="J609" s="32" t="s">
        <v>4958</v>
      </c>
      <c r="K609" s="32" t="s">
        <v>11494</v>
      </c>
      <c r="L609" s="32" t="s">
        <v>11495</v>
      </c>
      <c r="M609" s="32" t="s">
        <v>8657</v>
      </c>
      <c r="N609" s="32" t="s">
        <v>29</v>
      </c>
      <c r="O609" s="32" t="s">
        <v>7127</v>
      </c>
    </row>
    <row x14ac:dyDescent="0.25" r="610" customHeight="1" ht="15.75">
      <c r="A610" s="8">
        <v>25376</v>
      </c>
      <c r="B610" s="13" t="s">
        <v>103</v>
      </c>
      <c r="C610" s="13" t="s">
        <v>5832</v>
      </c>
      <c r="D610" s="32" t="s">
        <v>4828</v>
      </c>
      <c r="E610" s="32" t="s">
        <v>11496</v>
      </c>
      <c r="F610" s="32" t="s">
        <v>11497</v>
      </c>
      <c r="G610" s="32" t="s">
        <v>11498</v>
      </c>
      <c r="H610" s="32" t="s">
        <v>11499</v>
      </c>
      <c r="I610" s="32" t="s">
        <v>11500</v>
      </c>
      <c r="J610" s="32" t="s">
        <v>1029</v>
      </c>
      <c r="K610" s="32" t="s">
        <v>7255</v>
      </c>
      <c r="L610" s="32" t="s">
        <v>1275</v>
      </c>
      <c r="M610" s="32" t="s">
        <v>10397</v>
      </c>
      <c r="N610" s="32" t="s">
        <v>29</v>
      </c>
      <c r="O610" s="32" t="s">
        <v>7127</v>
      </c>
    </row>
    <row x14ac:dyDescent="0.25" r="611" customHeight="1" ht="15.75">
      <c r="A611" s="8">
        <v>25377</v>
      </c>
      <c r="B611" s="13" t="s">
        <v>103</v>
      </c>
      <c r="C611" s="13" t="s">
        <v>5835</v>
      </c>
      <c r="D611" s="32" t="s">
        <v>4314</v>
      </c>
      <c r="E611" s="32" t="s">
        <v>11501</v>
      </c>
      <c r="F611" s="32" t="s">
        <v>11502</v>
      </c>
      <c r="G611" s="32" t="s">
        <v>11503</v>
      </c>
      <c r="H611" s="32" t="s">
        <v>4187</v>
      </c>
      <c r="I611" s="32" t="s">
        <v>11504</v>
      </c>
      <c r="J611" s="32" t="s">
        <v>5837</v>
      </c>
      <c r="K611" s="32" t="s">
        <v>11505</v>
      </c>
      <c r="L611" s="32" t="s">
        <v>11506</v>
      </c>
      <c r="M611" s="32" t="s">
        <v>11507</v>
      </c>
      <c r="N611" s="32" t="s">
        <v>11508</v>
      </c>
      <c r="O611" s="32" t="s">
        <v>10560</v>
      </c>
    </row>
    <row x14ac:dyDescent="0.25" r="612" customHeight="1" ht="15.75">
      <c r="A612" s="8">
        <v>25378</v>
      </c>
      <c r="B612" s="13" t="s">
        <v>103</v>
      </c>
      <c r="C612" s="13" t="s">
        <v>5838</v>
      </c>
      <c r="D612" s="32" t="s">
        <v>5005</v>
      </c>
      <c r="E612" s="32" t="s">
        <v>11509</v>
      </c>
      <c r="F612" s="32" t="s">
        <v>11510</v>
      </c>
      <c r="G612" s="32" t="s">
        <v>11511</v>
      </c>
      <c r="H612" s="32" t="s">
        <v>11510</v>
      </c>
      <c r="I612" s="32" t="s">
        <v>7158</v>
      </c>
      <c r="J612" s="32" t="s">
        <v>5840</v>
      </c>
      <c r="K612" s="32" t="s">
        <v>11512</v>
      </c>
      <c r="L612" s="32" t="s">
        <v>11513</v>
      </c>
      <c r="M612" s="32" t="s">
        <v>11514</v>
      </c>
      <c r="N612" s="32" t="s">
        <v>29</v>
      </c>
      <c r="O612" s="32" t="s">
        <v>7127</v>
      </c>
    </row>
    <row x14ac:dyDescent="0.25" r="613" customHeight="1" ht="15.75">
      <c r="A613" s="8">
        <v>25379</v>
      </c>
      <c r="B613" s="13" t="s">
        <v>103</v>
      </c>
      <c r="C613" s="13" t="s">
        <v>5841</v>
      </c>
      <c r="D613" s="32" t="s">
        <v>5842</v>
      </c>
      <c r="E613" s="32" t="s">
        <v>11515</v>
      </c>
      <c r="F613" s="32" t="s">
        <v>11516</v>
      </c>
      <c r="G613" s="32" t="s">
        <v>11517</v>
      </c>
      <c r="H613" s="32" t="s">
        <v>11518</v>
      </c>
      <c r="I613" s="32" t="s">
        <v>11519</v>
      </c>
      <c r="J613" s="32" t="s">
        <v>5844</v>
      </c>
      <c r="K613" s="32" t="s">
        <v>11520</v>
      </c>
      <c r="L613" s="32" t="s">
        <v>9020</v>
      </c>
      <c r="M613" s="32" t="s">
        <v>11521</v>
      </c>
      <c r="N613" s="32" t="s">
        <v>29</v>
      </c>
      <c r="O613" s="32" t="s">
        <v>7127</v>
      </c>
    </row>
    <row x14ac:dyDescent="0.25" r="614" customHeight="1" ht="15.75">
      <c r="A614" s="8">
        <v>25380</v>
      </c>
      <c r="B614" s="13" t="s">
        <v>103</v>
      </c>
      <c r="C614" s="13" t="s">
        <v>5845</v>
      </c>
      <c r="D614" s="32" t="s">
        <v>5315</v>
      </c>
      <c r="E614" s="32" t="s">
        <v>11522</v>
      </c>
      <c r="F614" s="32" t="s">
        <v>758</v>
      </c>
      <c r="G614" s="32" t="s">
        <v>7127</v>
      </c>
      <c r="H614" s="32" t="s">
        <v>11523</v>
      </c>
      <c r="I614" s="32" t="s">
        <v>11524</v>
      </c>
      <c r="J614" s="32" t="s">
        <v>5846</v>
      </c>
      <c r="K614" s="32" t="s">
        <v>11525</v>
      </c>
      <c r="L614" s="32" t="s">
        <v>11526</v>
      </c>
      <c r="M614" s="32" t="s">
        <v>11527</v>
      </c>
      <c r="N614" s="32" t="s">
        <v>29</v>
      </c>
      <c r="O614" s="32" t="s">
        <v>7127</v>
      </c>
    </row>
    <row x14ac:dyDescent="0.25" r="615" customHeight="1" ht="15.75">
      <c r="A615" s="8">
        <v>25381</v>
      </c>
      <c r="B615" s="13" t="s">
        <v>103</v>
      </c>
      <c r="C615" s="13" t="s">
        <v>5847</v>
      </c>
      <c r="D615" s="32" t="s">
        <v>5848</v>
      </c>
      <c r="E615" s="32" t="s">
        <v>11528</v>
      </c>
      <c r="F615" s="32" t="s">
        <v>11529</v>
      </c>
      <c r="G615" s="32" t="s">
        <v>11530</v>
      </c>
      <c r="H615" s="32" t="s">
        <v>9327</v>
      </c>
      <c r="I615" s="32" t="s">
        <v>11531</v>
      </c>
      <c r="J615" s="32" t="s">
        <v>5260</v>
      </c>
      <c r="K615" s="32" t="s">
        <v>11532</v>
      </c>
      <c r="L615" s="32" t="s">
        <v>5168</v>
      </c>
      <c r="M615" s="32" t="s">
        <v>10137</v>
      </c>
      <c r="N615" s="32" t="s">
        <v>1634</v>
      </c>
      <c r="O615" s="32" t="s">
        <v>7424</v>
      </c>
    </row>
    <row x14ac:dyDescent="0.25" r="616" customHeight="1" ht="15.75">
      <c r="A616" s="8">
        <v>25382</v>
      </c>
      <c r="B616" s="13" t="s">
        <v>103</v>
      </c>
      <c r="C616" s="13" t="s">
        <v>5849</v>
      </c>
      <c r="D616" s="32" t="s">
        <v>1873</v>
      </c>
      <c r="E616" s="32" t="s">
        <v>11533</v>
      </c>
      <c r="F616" s="32" t="s">
        <v>1857</v>
      </c>
      <c r="G616" s="32" t="s">
        <v>11534</v>
      </c>
      <c r="H616" s="32" t="s">
        <v>4209</v>
      </c>
      <c r="I616" s="32" t="s">
        <v>11535</v>
      </c>
      <c r="J616" s="32" t="s">
        <v>5851</v>
      </c>
      <c r="K616" s="32" t="s">
        <v>11536</v>
      </c>
      <c r="L616" s="32" t="s">
        <v>11537</v>
      </c>
      <c r="M616" s="32" t="s">
        <v>11538</v>
      </c>
      <c r="N616" s="32" t="s">
        <v>29</v>
      </c>
      <c r="O616" s="32" t="s">
        <v>7127</v>
      </c>
    </row>
    <row x14ac:dyDescent="0.25" r="617" customHeight="1" ht="15.75">
      <c r="A617" s="8">
        <v>25383</v>
      </c>
      <c r="B617" s="13" t="s">
        <v>103</v>
      </c>
      <c r="C617" s="13" t="s">
        <v>11539</v>
      </c>
      <c r="D617" s="32" t="s">
        <v>11540</v>
      </c>
      <c r="E617" s="32" t="s">
        <v>11541</v>
      </c>
      <c r="F617" s="32" t="s">
        <v>11542</v>
      </c>
      <c r="G617" s="32" t="s">
        <v>11543</v>
      </c>
      <c r="H617" s="32" t="s">
        <v>6165</v>
      </c>
      <c r="I617" s="32" t="s">
        <v>11544</v>
      </c>
      <c r="J617" s="32" t="s">
        <v>29</v>
      </c>
      <c r="K617" s="32" t="s">
        <v>7127</v>
      </c>
      <c r="L617" s="32" t="s">
        <v>2369</v>
      </c>
      <c r="M617" s="32" t="s">
        <v>11545</v>
      </c>
      <c r="N617" s="32" t="s">
        <v>29</v>
      </c>
      <c r="O617" s="32" t="s">
        <v>7127</v>
      </c>
    </row>
    <row x14ac:dyDescent="0.25" r="618" customHeight="1" ht="15.75">
      <c r="A618" s="8">
        <v>25384</v>
      </c>
      <c r="B618" s="13" t="s">
        <v>103</v>
      </c>
      <c r="C618" s="13" t="s">
        <v>5852</v>
      </c>
      <c r="D618" s="32" t="s">
        <v>5853</v>
      </c>
      <c r="E618" s="32" t="s">
        <v>11546</v>
      </c>
      <c r="F618" s="32" t="s">
        <v>11547</v>
      </c>
      <c r="G618" s="32" t="s">
        <v>11548</v>
      </c>
      <c r="H618" s="32" t="s">
        <v>11549</v>
      </c>
      <c r="I618" s="32" t="s">
        <v>11550</v>
      </c>
      <c r="J618" s="32" t="s">
        <v>2531</v>
      </c>
      <c r="K618" s="32" t="s">
        <v>11551</v>
      </c>
      <c r="L618" s="32" t="s">
        <v>11552</v>
      </c>
      <c r="M618" s="32" t="s">
        <v>11553</v>
      </c>
      <c r="N618" s="32" t="s">
        <v>29</v>
      </c>
      <c r="O618" s="32" t="s">
        <v>7127</v>
      </c>
    </row>
    <row x14ac:dyDescent="0.25" r="619" customHeight="1" ht="15.75">
      <c r="A619" s="8">
        <v>25385</v>
      </c>
      <c r="B619" s="13" t="s">
        <v>103</v>
      </c>
      <c r="C619" s="13" t="s">
        <v>5854</v>
      </c>
      <c r="D619" s="32" t="s">
        <v>5855</v>
      </c>
      <c r="E619" s="32" t="s">
        <v>11554</v>
      </c>
      <c r="F619" s="32" t="s">
        <v>57</v>
      </c>
      <c r="G619" s="32" t="s">
        <v>11555</v>
      </c>
      <c r="H619" s="32" t="s">
        <v>6888</v>
      </c>
      <c r="I619" s="32" t="s">
        <v>11556</v>
      </c>
      <c r="J619" s="32" t="s">
        <v>1572</v>
      </c>
      <c r="K619" s="32" t="s">
        <v>11557</v>
      </c>
      <c r="L619" s="32" t="s">
        <v>331</v>
      </c>
      <c r="M619" s="32" t="s">
        <v>11558</v>
      </c>
      <c r="N619" s="32" t="s">
        <v>29</v>
      </c>
      <c r="O619" s="32" t="s">
        <v>7127</v>
      </c>
    </row>
    <row x14ac:dyDescent="0.25" r="620" customHeight="1" ht="15.75">
      <c r="A620" s="8">
        <v>25386</v>
      </c>
      <c r="B620" s="13" t="s">
        <v>103</v>
      </c>
      <c r="C620" s="13" t="s">
        <v>5857</v>
      </c>
      <c r="D620" s="32" t="s">
        <v>5858</v>
      </c>
      <c r="E620" s="32" t="s">
        <v>11559</v>
      </c>
      <c r="F620" s="32" t="s">
        <v>5352</v>
      </c>
      <c r="G620" s="32" t="s">
        <v>11560</v>
      </c>
      <c r="H620" s="32" t="s">
        <v>5555</v>
      </c>
      <c r="I620" s="32" t="s">
        <v>11561</v>
      </c>
      <c r="J620" s="32" t="s">
        <v>2457</v>
      </c>
      <c r="K620" s="32" t="s">
        <v>11261</v>
      </c>
      <c r="L620" s="32" t="s">
        <v>11562</v>
      </c>
      <c r="M620" s="32" t="s">
        <v>11563</v>
      </c>
      <c r="N620" s="32" t="s">
        <v>764</v>
      </c>
      <c r="O620" s="32" t="s">
        <v>9674</v>
      </c>
    </row>
    <row x14ac:dyDescent="0.25" r="621" customHeight="1" ht="15.75">
      <c r="A621" s="8">
        <v>25387</v>
      </c>
      <c r="B621" s="13" t="s">
        <v>103</v>
      </c>
      <c r="C621" s="13" t="s">
        <v>5859</v>
      </c>
      <c r="D621" s="32" t="s">
        <v>5860</v>
      </c>
      <c r="E621" s="32" t="s">
        <v>11564</v>
      </c>
      <c r="F621" s="32" t="s">
        <v>8144</v>
      </c>
      <c r="G621" s="32" t="s">
        <v>9892</v>
      </c>
      <c r="H621" s="32" t="s">
        <v>5965</v>
      </c>
      <c r="I621" s="32" t="s">
        <v>11565</v>
      </c>
      <c r="J621" s="32" t="s">
        <v>4952</v>
      </c>
      <c r="K621" s="32" t="s">
        <v>11566</v>
      </c>
      <c r="L621" s="32" t="s">
        <v>11567</v>
      </c>
      <c r="M621" s="32" t="s">
        <v>11568</v>
      </c>
      <c r="N621" s="32" t="s">
        <v>2785</v>
      </c>
      <c r="O621" s="32" t="s">
        <v>8442</v>
      </c>
    </row>
    <row x14ac:dyDescent="0.25" r="622" customHeight="1" ht="15.75">
      <c r="A622" s="8">
        <v>25388</v>
      </c>
      <c r="B622" s="13" t="s">
        <v>103</v>
      </c>
      <c r="C622" s="13" t="s">
        <v>5862</v>
      </c>
      <c r="D622" s="32" t="s">
        <v>2308</v>
      </c>
      <c r="E622" s="32" t="s">
        <v>11569</v>
      </c>
      <c r="F622" s="32" t="s">
        <v>1153</v>
      </c>
      <c r="G622" s="32" t="s">
        <v>7604</v>
      </c>
      <c r="H622" s="32" t="s">
        <v>4612</v>
      </c>
      <c r="I622" s="32" t="s">
        <v>7722</v>
      </c>
      <c r="J622" s="32" t="s">
        <v>5863</v>
      </c>
      <c r="K622" s="32" t="s">
        <v>11570</v>
      </c>
      <c r="L622" s="32" t="s">
        <v>4612</v>
      </c>
      <c r="M622" s="32" t="s">
        <v>11571</v>
      </c>
      <c r="N622" s="32" t="s">
        <v>29</v>
      </c>
      <c r="O622" s="32" t="s">
        <v>7127</v>
      </c>
    </row>
    <row x14ac:dyDescent="0.25" r="623" customHeight="1" ht="15.75">
      <c r="A623" s="8">
        <v>25389</v>
      </c>
      <c r="B623" s="13" t="s">
        <v>103</v>
      </c>
      <c r="C623" s="13" t="s">
        <v>5864</v>
      </c>
      <c r="D623" s="32" t="s">
        <v>5865</v>
      </c>
      <c r="E623" s="32" t="s">
        <v>11572</v>
      </c>
      <c r="F623" s="32" t="s">
        <v>29</v>
      </c>
      <c r="G623" s="32" t="s">
        <v>7127</v>
      </c>
      <c r="H623" s="32" t="s">
        <v>4141</v>
      </c>
      <c r="I623" s="32" t="s">
        <v>7602</v>
      </c>
      <c r="J623" s="32" t="s">
        <v>2140</v>
      </c>
      <c r="K623" s="32" t="s">
        <v>11573</v>
      </c>
      <c r="L623" s="32" t="s">
        <v>1128</v>
      </c>
      <c r="M623" s="32" t="s">
        <v>7426</v>
      </c>
      <c r="N623" s="32" t="s">
        <v>4141</v>
      </c>
      <c r="O623" s="32" t="s">
        <v>7973</v>
      </c>
    </row>
    <row x14ac:dyDescent="0.25" r="624" customHeight="1" ht="15.75">
      <c r="A624" s="8">
        <v>25390</v>
      </c>
      <c r="B624" s="13" t="s">
        <v>103</v>
      </c>
      <c r="C624" s="13" t="s">
        <v>11574</v>
      </c>
      <c r="D624" s="32" t="s">
        <v>1562</v>
      </c>
      <c r="E624" s="32" t="s">
        <v>11575</v>
      </c>
      <c r="F624" s="32" t="s">
        <v>4568</v>
      </c>
      <c r="G624" s="32" t="s">
        <v>11576</v>
      </c>
      <c r="H624" s="32" t="s">
        <v>5823</v>
      </c>
      <c r="I624" s="32" t="s">
        <v>11577</v>
      </c>
      <c r="J624" s="32" t="s">
        <v>7127</v>
      </c>
      <c r="K624" s="32" t="s">
        <v>7127</v>
      </c>
      <c r="L624" s="32" t="s">
        <v>754</v>
      </c>
      <c r="M624" s="32" t="s">
        <v>7604</v>
      </c>
      <c r="N624" s="32" t="s">
        <v>200</v>
      </c>
      <c r="O624" s="32" t="s">
        <v>7426</v>
      </c>
    </row>
    <row x14ac:dyDescent="0.25" r="625" customHeight="1" ht="15.75">
      <c r="A625" s="8">
        <v>25391</v>
      </c>
      <c r="B625" s="13" t="s">
        <v>103</v>
      </c>
      <c r="C625" s="13" t="s">
        <v>5866</v>
      </c>
      <c r="D625" s="32" t="s">
        <v>5867</v>
      </c>
      <c r="E625" s="32" t="s">
        <v>11578</v>
      </c>
      <c r="F625" s="32" t="s">
        <v>5286</v>
      </c>
      <c r="G625" s="32" t="s">
        <v>11579</v>
      </c>
      <c r="H625" s="32" t="s">
        <v>11580</v>
      </c>
      <c r="I625" s="32" t="s">
        <v>11581</v>
      </c>
      <c r="J625" s="32" t="s">
        <v>5869</v>
      </c>
      <c r="K625" s="32" t="s">
        <v>11582</v>
      </c>
      <c r="L625" s="32" t="s">
        <v>11583</v>
      </c>
      <c r="M625" s="32" t="s">
        <v>11584</v>
      </c>
      <c r="N625" s="32" t="s">
        <v>11488</v>
      </c>
      <c r="O625" s="32" t="s">
        <v>7158</v>
      </c>
    </row>
    <row x14ac:dyDescent="0.25" r="626" customHeight="1" ht="15.75">
      <c r="A626" s="8">
        <v>25392</v>
      </c>
      <c r="B626" s="13" t="s">
        <v>103</v>
      </c>
      <c r="C626" s="13" t="s">
        <v>5871</v>
      </c>
      <c r="D626" s="32" t="s">
        <v>2719</v>
      </c>
      <c r="E626" s="32" t="s">
        <v>11585</v>
      </c>
      <c r="F626" s="32" t="s">
        <v>11014</v>
      </c>
      <c r="G626" s="32" t="s">
        <v>11586</v>
      </c>
      <c r="H626" s="32" t="s">
        <v>11587</v>
      </c>
      <c r="I626" s="32" t="s">
        <v>11588</v>
      </c>
      <c r="J626" s="32" t="s">
        <v>2120</v>
      </c>
      <c r="K626" s="32" t="s">
        <v>11589</v>
      </c>
      <c r="L626" s="32" t="s">
        <v>11590</v>
      </c>
      <c r="M626" s="32" t="s">
        <v>7309</v>
      </c>
      <c r="N626" s="32" t="s">
        <v>29</v>
      </c>
      <c r="O626" s="32" t="s">
        <v>7127</v>
      </c>
    </row>
    <row x14ac:dyDescent="0.25" r="627" customHeight="1" ht="15.75">
      <c r="A627" s="8">
        <v>25393</v>
      </c>
      <c r="B627" s="13" t="s">
        <v>103</v>
      </c>
      <c r="C627" s="13" t="s">
        <v>5874</v>
      </c>
      <c r="D627" s="32" t="s">
        <v>5875</v>
      </c>
      <c r="E627" s="32" t="s">
        <v>11591</v>
      </c>
      <c r="F627" s="32" t="s">
        <v>2411</v>
      </c>
      <c r="G627" s="32" t="s">
        <v>11592</v>
      </c>
      <c r="H627" s="32" t="s">
        <v>11593</v>
      </c>
      <c r="I627" s="32" t="s">
        <v>11594</v>
      </c>
      <c r="J627" s="32" t="s">
        <v>5877</v>
      </c>
      <c r="K627" s="32" t="s">
        <v>7413</v>
      </c>
      <c r="L627" s="32" t="s">
        <v>11595</v>
      </c>
      <c r="M627" s="32" t="s">
        <v>11596</v>
      </c>
      <c r="N627" s="32" t="s">
        <v>29</v>
      </c>
      <c r="O627" s="32" t="s">
        <v>7127</v>
      </c>
    </row>
    <row x14ac:dyDescent="0.25" r="628" customHeight="1" ht="15.75">
      <c r="A628" s="8">
        <v>25394</v>
      </c>
      <c r="B628" s="13" t="s">
        <v>103</v>
      </c>
      <c r="C628" s="13" t="s">
        <v>5879</v>
      </c>
      <c r="D628" s="32" t="s">
        <v>4459</v>
      </c>
      <c r="E628" s="32" t="s">
        <v>9919</v>
      </c>
      <c r="F628" s="32" t="s">
        <v>6675</v>
      </c>
      <c r="G628" s="32" t="s">
        <v>11597</v>
      </c>
      <c r="H628" s="32" t="s">
        <v>7181</v>
      </c>
      <c r="I628" s="32" t="s">
        <v>11598</v>
      </c>
      <c r="J628" s="32" t="s">
        <v>2726</v>
      </c>
      <c r="K628" s="32" t="s">
        <v>11599</v>
      </c>
      <c r="L628" s="32" t="s">
        <v>6791</v>
      </c>
      <c r="M628" s="32" t="s">
        <v>11600</v>
      </c>
      <c r="N628" s="32" t="s">
        <v>7617</v>
      </c>
      <c r="O628" s="32" t="s">
        <v>7127</v>
      </c>
    </row>
    <row x14ac:dyDescent="0.25" r="629" customHeight="1" ht="15.75">
      <c r="A629" s="8">
        <v>25395</v>
      </c>
      <c r="B629" s="13" t="s">
        <v>103</v>
      </c>
      <c r="C629" s="13" t="s">
        <v>5881</v>
      </c>
      <c r="D629" s="32" t="s">
        <v>5203</v>
      </c>
      <c r="E629" s="32" t="s">
        <v>11601</v>
      </c>
      <c r="F629" s="32" t="s">
        <v>115</v>
      </c>
      <c r="G629" s="32" t="s">
        <v>8502</v>
      </c>
      <c r="H629" s="32" t="s">
        <v>934</v>
      </c>
      <c r="I629" s="32" t="s">
        <v>8687</v>
      </c>
      <c r="J629" s="32" t="s">
        <v>830</v>
      </c>
      <c r="K629" s="32" t="s">
        <v>11602</v>
      </c>
      <c r="L629" s="32" t="s">
        <v>11603</v>
      </c>
      <c r="M629" s="32" t="s">
        <v>11315</v>
      </c>
      <c r="N629" s="32" t="s">
        <v>29</v>
      </c>
      <c r="O629" s="32" t="s">
        <v>7127</v>
      </c>
    </row>
    <row x14ac:dyDescent="0.25" r="630" customHeight="1" ht="15.75">
      <c r="A630" s="8">
        <v>25396</v>
      </c>
      <c r="B630" s="13" t="s">
        <v>103</v>
      </c>
      <c r="C630" s="13" t="s">
        <v>5882</v>
      </c>
      <c r="D630" s="32" t="s">
        <v>5883</v>
      </c>
      <c r="E630" s="32" t="s">
        <v>11604</v>
      </c>
      <c r="F630" s="32" t="s">
        <v>9097</v>
      </c>
      <c r="G630" s="32" t="s">
        <v>11605</v>
      </c>
      <c r="H630" s="32" t="s">
        <v>11606</v>
      </c>
      <c r="I630" s="32" t="s">
        <v>11607</v>
      </c>
      <c r="J630" s="32" t="s">
        <v>4848</v>
      </c>
      <c r="K630" s="32" t="s">
        <v>11608</v>
      </c>
      <c r="L630" s="32" t="s">
        <v>5745</v>
      </c>
      <c r="M630" s="32" t="s">
        <v>11609</v>
      </c>
      <c r="N630" s="32" t="s">
        <v>1620</v>
      </c>
      <c r="O630" s="32" t="s">
        <v>7127</v>
      </c>
    </row>
    <row x14ac:dyDescent="0.25" r="631" customHeight="1" ht="15.75">
      <c r="A631" s="8">
        <v>25397</v>
      </c>
      <c r="B631" s="13" t="s">
        <v>103</v>
      </c>
      <c r="C631" s="13" t="s">
        <v>5885</v>
      </c>
      <c r="D631" s="32" t="s">
        <v>5886</v>
      </c>
      <c r="E631" s="32" t="s">
        <v>11610</v>
      </c>
      <c r="F631" s="32" t="s">
        <v>11611</v>
      </c>
      <c r="G631" s="32" t="s">
        <v>11612</v>
      </c>
      <c r="H631" s="32" t="s">
        <v>2395</v>
      </c>
      <c r="I631" s="32" t="s">
        <v>11613</v>
      </c>
      <c r="J631" s="32" t="s">
        <v>5887</v>
      </c>
      <c r="K631" s="32" t="s">
        <v>11614</v>
      </c>
      <c r="L631" s="32" t="s">
        <v>11615</v>
      </c>
      <c r="M631" s="32" t="s">
        <v>11616</v>
      </c>
      <c r="N631" s="32" t="s">
        <v>11508</v>
      </c>
      <c r="O631" s="32" t="s">
        <v>7127</v>
      </c>
    </row>
    <row x14ac:dyDescent="0.25" r="632" customHeight="1" ht="15.75">
      <c r="A632" s="8">
        <v>25398</v>
      </c>
      <c r="B632" s="13" t="s">
        <v>103</v>
      </c>
      <c r="C632" s="13" t="s">
        <v>5888</v>
      </c>
      <c r="D632" s="32" t="s">
        <v>5889</v>
      </c>
      <c r="E632" s="32" t="s">
        <v>11617</v>
      </c>
      <c r="F632" s="32" t="s">
        <v>9985</v>
      </c>
      <c r="G632" s="32" t="s">
        <v>11618</v>
      </c>
      <c r="H632" s="32" t="s">
        <v>11619</v>
      </c>
      <c r="I632" s="32" t="s">
        <v>11620</v>
      </c>
      <c r="J632" s="32" t="s">
        <v>2762</v>
      </c>
      <c r="K632" s="32" t="s">
        <v>9499</v>
      </c>
      <c r="L632" s="32" t="s">
        <v>10258</v>
      </c>
      <c r="M632" s="32" t="s">
        <v>11621</v>
      </c>
      <c r="N632" s="32" t="s">
        <v>1320</v>
      </c>
      <c r="O632" s="32" t="s">
        <v>7127</v>
      </c>
    </row>
    <row x14ac:dyDescent="0.25" r="633" customHeight="1" ht="15.75">
      <c r="A633" s="8">
        <v>25399</v>
      </c>
      <c r="B633" s="13" t="s">
        <v>103</v>
      </c>
      <c r="C633" s="13" t="s">
        <v>5890</v>
      </c>
      <c r="D633" s="32" t="s">
        <v>5891</v>
      </c>
      <c r="E633" s="32" t="s">
        <v>11622</v>
      </c>
      <c r="F633" s="32" t="s">
        <v>11623</v>
      </c>
      <c r="G633" s="32" t="s">
        <v>9793</v>
      </c>
      <c r="H633" s="32" t="s">
        <v>11624</v>
      </c>
      <c r="I633" s="32" t="s">
        <v>7644</v>
      </c>
      <c r="J633" s="32" t="s">
        <v>4741</v>
      </c>
      <c r="K633" s="32" t="s">
        <v>11625</v>
      </c>
      <c r="L633" s="32" t="s">
        <v>4741</v>
      </c>
      <c r="M633" s="32" t="s">
        <v>11626</v>
      </c>
      <c r="N633" s="32" t="s">
        <v>29</v>
      </c>
      <c r="O633" s="32" t="s">
        <v>7127</v>
      </c>
    </row>
    <row x14ac:dyDescent="0.25" r="634" customHeight="1" ht="15.75">
      <c r="A634" s="8">
        <v>25400</v>
      </c>
      <c r="B634" s="13" t="s">
        <v>103</v>
      </c>
      <c r="C634" s="13" t="s">
        <v>5894</v>
      </c>
      <c r="D634" s="32" t="s">
        <v>74</v>
      </c>
      <c r="E634" s="32" t="s">
        <v>9377</v>
      </c>
      <c r="F634" s="32" t="s">
        <v>4064</v>
      </c>
      <c r="G634" s="32" t="s">
        <v>11627</v>
      </c>
      <c r="H634" s="32" t="s">
        <v>2740</v>
      </c>
      <c r="I634" s="32" t="s">
        <v>11628</v>
      </c>
      <c r="J634" s="32" t="s">
        <v>2735</v>
      </c>
      <c r="K634" s="32" t="s">
        <v>11629</v>
      </c>
      <c r="L634" s="32" t="s">
        <v>4094</v>
      </c>
      <c r="M634" s="32" t="s">
        <v>11630</v>
      </c>
      <c r="N634" s="32" t="s">
        <v>29</v>
      </c>
      <c r="O634" s="32" t="s">
        <v>7127</v>
      </c>
    </row>
    <row x14ac:dyDescent="0.25" r="635" customHeight="1" ht="15.75">
      <c r="A635" s="8">
        <v>25401</v>
      </c>
      <c r="B635" s="13" t="s">
        <v>103</v>
      </c>
      <c r="C635" s="13" t="s">
        <v>5895</v>
      </c>
      <c r="D635" s="32" t="s">
        <v>5896</v>
      </c>
      <c r="E635" s="32" t="s">
        <v>11631</v>
      </c>
      <c r="F635" s="32" t="s">
        <v>11632</v>
      </c>
      <c r="G635" s="32" t="s">
        <v>7127</v>
      </c>
      <c r="H635" s="32" t="s">
        <v>11633</v>
      </c>
      <c r="I635" s="32" t="s">
        <v>11634</v>
      </c>
      <c r="J635" s="32" t="s">
        <v>5898</v>
      </c>
      <c r="K635" s="32" t="s">
        <v>11635</v>
      </c>
      <c r="L635" s="32" t="s">
        <v>11636</v>
      </c>
      <c r="M635" s="32" t="s">
        <v>11637</v>
      </c>
      <c r="N635" s="32" t="s">
        <v>11638</v>
      </c>
      <c r="O635" s="32" t="s">
        <v>7127</v>
      </c>
    </row>
    <row x14ac:dyDescent="0.25" r="636" customHeight="1" ht="15.75">
      <c r="A636" s="8">
        <v>25402</v>
      </c>
      <c r="B636" s="13" t="s">
        <v>103</v>
      </c>
      <c r="C636" s="13" t="s">
        <v>5899</v>
      </c>
      <c r="D636" s="32" t="s">
        <v>5900</v>
      </c>
      <c r="E636" s="32" t="s">
        <v>11639</v>
      </c>
      <c r="F636" s="32" t="s">
        <v>11640</v>
      </c>
      <c r="G636" s="32" t="s">
        <v>11641</v>
      </c>
      <c r="H636" s="32" t="s">
        <v>11642</v>
      </c>
      <c r="I636" s="32" t="s">
        <v>11643</v>
      </c>
      <c r="J636" s="32" t="s">
        <v>2532</v>
      </c>
      <c r="K636" s="32" t="s">
        <v>11644</v>
      </c>
      <c r="L636" s="32" t="s">
        <v>2296</v>
      </c>
      <c r="M636" s="32" t="s">
        <v>7127</v>
      </c>
      <c r="N636" s="32" t="s">
        <v>29</v>
      </c>
      <c r="O636" s="32" t="s">
        <v>7127</v>
      </c>
    </row>
    <row x14ac:dyDescent="0.25" r="637" customHeight="1" ht="15.75">
      <c r="A637" s="8">
        <v>25404</v>
      </c>
      <c r="B637" s="13" t="s">
        <v>103</v>
      </c>
      <c r="C637" s="13" t="s">
        <v>5901</v>
      </c>
      <c r="D637" s="32" t="s">
        <v>5902</v>
      </c>
      <c r="E637" s="32" t="s">
        <v>8677</v>
      </c>
      <c r="F637" s="32" t="s">
        <v>10438</v>
      </c>
      <c r="G637" s="32" t="s">
        <v>11645</v>
      </c>
      <c r="H637" s="32" t="s">
        <v>8651</v>
      </c>
      <c r="I637" s="32" t="s">
        <v>7309</v>
      </c>
      <c r="J637" s="32" t="s">
        <v>5904</v>
      </c>
      <c r="K637" s="32" t="s">
        <v>11646</v>
      </c>
      <c r="L637" s="32" t="s">
        <v>11647</v>
      </c>
      <c r="M637" s="32" t="s">
        <v>11648</v>
      </c>
      <c r="N637" s="32" t="s">
        <v>29</v>
      </c>
      <c r="O637" s="32" t="s">
        <v>7127</v>
      </c>
    </row>
    <row x14ac:dyDescent="0.25" r="638" customHeight="1" ht="15.75">
      <c r="A638" s="8">
        <v>25405</v>
      </c>
      <c r="B638" s="13" t="s">
        <v>103</v>
      </c>
      <c r="C638" s="13" t="s">
        <v>5906</v>
      </c>
      <c r="D638" s="32" t="s">
        <v>4254</v>
      </c>
      <c r="E638" s="32" t="s">
        <v>11649</v>
      </c>
      <c r="F638" s="32" t="s">
        <v>1907</v>
      </c>
      <c r="G638" s="32" t="s">
        <v>11650</v>
      </c>
      <c r="H638" s="32" t="s">
        <v>2527</v>
      </c>
      <c r="I638" s="32" t="s">
        <v>11651</v>
      </c>
      <c r="J638" s="32" t="s">
        <v>2437</v>
      </c>
      <c r="K638" s="32" t="s">
        <v>11652</v>
      </c>
      <c r="L638" s="32" t="s">
        <v>6284</v>
      </c>
      <c r="M638" s="32" t="s">
        <v>11653</v>
      </c>
      <c r="N638" s="32" t="s">
        <v>29</v>
      </c>
      <c r="O638" s="32" t="s">
        <v>7127</v>
      </c>
    </row>
    <row x14ac:dyDescent="0.25" r="639" customHeight="1" ht="15.75">
      <c r="A639" s="8">
        <v>25406</v>
      </c>
      <c r="B639" s="13" t="s">
        <v>103</v>
      </c>
      <c r="C639" s="13" t="s">
        <v>5907</v>
      </c>
      <c r="D639" s="32" t="s">
        <v>5275</v>
      </c>
      <c r="E639" s="32" t="s">
        <v>11654</v>
      </c>
      <c r="F639" s="32" t="s">
        <v>5148</v>
      </c>
      <c r="G639" s="32" t="s">
        <v>11655</v>
      </c>
      <c r="H639" s="32" t="s">
        <v>303</v>
      </c>
      <c r="I639" s="32" t="s">
        <v>11656</v>
      </c>
      <c r="J639" s="32" t="s">
        <v>57</v>
      </c>
      <c r="K639" s="32" t="s">
        <v>11657</v>
      </c>
      <c r="L639" s="32" t="s">
        <v>510</v>
      </c>
      <c r="M639" s="32" t="s">
        <v>11658</v>
      </c>
      <c r="N639" s="32" t="s">
        <v>29</v>
      </c>
      <c r="O639" s="32" t="s">
        <v>7127</v>
      </c>
    </row>
    <row x14ac:dyDescent="0.25" r="640" customHeight="1" ht="15.75">
      <c r="A640" s="8">
        <v>25407</v>
      </c>
      <c r="B640" s="13" t="s">
        <v>103</v>
      </c>
      <c r="C640" s="13" t="s">
        <v>5909</v>
      </c>
      <c r="D640" s="32" t="s">
        <v>5782</v>
      </c>
      <c r="E640" s="32" t="s">
        <v>11659</v>
      </c>
      <c r="F640" s="32" t="s">
        <v>11660</v>
      </c>
      <c r="G640" s="32" t="s">
        <v>11661</v>
      </c>
      <c r="H640" s="32" t="s">
        <v>5869</v>
      </c>
      <c r="I640" s="32" t="s">
        <v>11662</v>
      </c>
      <c r="J640" s="32" t="s">
        <v>5911</v>
      </c>
      <c r="K640" s="32" t="s">
        <v>11663</v>
      </c>
      <c r="L640" s="32" t="s">
        <v>2142</v>
      </c>
      <c r="M640" s="32" t="s">
        <v>7127</v>
      </c>
      <c r="N640" s="32" t="s">
        <v>29</v>
      </c>
      <c r="O640" s="32" t="s">
        <v>7127</v>
      </c>
    </row>
    <row x14ac:dyDescent="0.25" r="641" customHeight="1" ht="15.75">
      <c r="A641" s="8">
        <v>25408</v>
      </c>
      <c r="B641" s="13" t="s">
        <v>103</v>
      </c>
      <c r="C641" s="13" t="s">
        <v>4496</v>
      </c>
      <c r="D641" s="32" t="s">
        <v>5282</v>
      </c>
      <c r="E641" s="32" t="s">
        <v>11664</v>
      </c>
      <c r="F641" s="32" t="s">
        <v>5401</v>
      </c>
      <c r="G641" s="32" t="s">
        <v>7973</v>
      </c>
      <c r="H641" s="32" t="s">
        <v>1735</v>
      </c>
      <c r="I641" s="32" t="s">
        <v>11665</v>
      </c>
      <c r="J641" s="32" t="s">
        <v>1416</v>
      </c>
      <c r="K641" s="32" t="s">
        <v>8676</v>
      </c>
      <c r="L641" s="32" t="s">
        <v>90</v>
      </c>
      <c r="M641" s="32" t="s">
        <v>7973</v>
      </c>
      <c r="N641" s="32" t="s">
        <v>29</v>
      </c>
      <c r="O641" s="32" t="s">
        <v>7127</v>
      </c>
    </row>
    <row x14ac:dyDescent="0.25" r="642" customHeight="1" ht="15.75">
      <c r="A642" s="8">
        <v>25409</v>
      </c>
      <c r="B642" s="13" t="s">
        <v>103</v>
      </c>
      <c r="C642" s="13" t="s">
        <v>5912</v>
      </c>
      <c r="D642" s="32" t="s">
        <v>4869</v>
      </c>
      <c r="E642" s="32" t="s">
        <v>11666</v>
      </c>
      <c r="F642" s="32" t="s">
        <v>2129</v>
      </c>
      <c r="G642" s="32" t="s">
        <v>11667</v>
      </c>
      <c r="H642" s="32" t="s">
        <v>11668</v>
      </c>
      <c r="I642" s="32" t="s">
        <v>11669</v>
      </c>
      <c r="J642" s="32" t="s">
        <v>5913</v>
      </c>
      <c r="K642" s="32" t="s">
        <v>9144</v>
      </c>
      <c r="L642" s="32" t="s">
        <v>11670</v>
      </c>
      <c r="M642" s="32" t="s">
        <v>11671</v>
      </c>
      <c r="N642" s="32" t="s">
        <v>29</v>
      </c>
      <c r="O642" s="32" t="s">
        <v>7127</v>
      </c>
    </row>
    <row x14ac:dyDescent="0.25" r="643" customHeight="1" ht="15.75">
      <c r="A643" s="8">
        <v>25410</v>
      </c>
      <c r="B643" s="13" t="s">
        <v>103</v>
      </c>
      <c r="C643" s="13" t="s">
        <v>5914</v>
      </c>
      <c r="D643" s="32" t="s">
        <v>1235</v>
      </c>
      <c r="E643" s="32" t="s">
        <v>11672</v>
      </c>
      <c r="F643" s="32" t="s">
        <v>2165</v>
      </c>
      <c r="G643" s="32" t="s">
        <v>11673</v>
      </c>
      <c r="H643" s="32" t="s">
        <v>11674</v>
      </c>
      <c r="I643" s="32" t="s">
        <v>11675</v>
      </c>
      <c r="J643" s="32" t="s">
        <v>5916</v>
      </c>
      <c r="K643" s="32" t="s">
        <v>11676</v>
      </c>
      <c r="L643" s="32" t="s">
        <v>783</v>
      </c>
      <c r="M643" s="32" t="s">
        <v>7127</v>
      </c>
      <c r="N643" s="32" t="s">
        <v>29</v>
      </c>
      <c r="O643" s="32" t="s">
        <v>7127</v>
      </c>
    </row>
    <row x14ac:dyDescent="0.25" r="644" customHeight="1" ht="15.75">
      <c r="A644" s="8">
        <v>25411</v>
      </c>
      <c r="B644" s="13" t="s">
        <v>103</v>
      </c>
      <c r="C644" s="13" t="s">
        <v>5918</v>
      </c>
      <c r="D644" s="32" t="s">
        <v>5919</v>
      </c>
      <c r="E644" s="32" t="s">
        <v>11677</v>
      </c>
      <c r="F644" s="32" t="s">
        <v>2549</v>
      </c>
      <c r="G644" s="32" t="s">
        <v>10405</v>
      </c>
      <c r="H644" s="32" t="s">
        <v>5370</v>
      </c>
      <c r="I644" s="32" t="s">
        <v>11678</v>
      </c>
      <c r="J644" s="32" t="s">
        <v>5921</v>
      </c>
      <c r="K644" s="32" t="s">
        <v>11679</v>
      </c>
      <c r="L644" s="32" t="s">
        <v>4182</v>
      </c>
      <c r="M644" s="32" t="s">
        <v>11248</v>
      </c>
      <c r="N644" s="32" t="s">
        <v>11680</v>
      </c>
      <c r="O644" s="32" t="s">
        <v>10289</v>
      </c>
    </row>
    <row x14ac:dyDescent="0.25" r="645" customHeight="1" ht="15.75">
      <c r="A645" s="8">
        <v>25412</v>
      </c>
      <c r="B645" s="13" t="s">
        <v>103</v>
      </c>
      <c r="C645" s="13" t="s">
        <v>5922</v>
      </c>
      <c r="D645" s="32" t="s">
        <v>5923</v>
      </c>
      <c r="E645" s="32" t="s">
        <v>11681</v>
      </c>
      <c r="F645" s="32" t="s">
        <v>5924</v>
      </c>
      <c r="G645" s="32" t="s">
        <v>11682</v>
      </c>
      <c r="H645" s="32" t="s">
        <v>7840</v>
      </c>
      <c r="I645" s="32" t="s">
        <v>9227</v>
      </c>
      <c r="J645" s="32" t="s">
        <v>5924</v>
      </c>
      <c r="K645" s="32" t="s">
        <v>11683</v>
      </c>
      <c r="L645" s="32" t="s">
        <v>6487</v>
      </c>
      <c r="M645" s="32" t="s">
        <v>11684</v>
      </c>
      <c r="N645" s="32" t="s">
        <v>29</v>
      </c>
      <c r="O645" s="32" t="s">
        <v>7127</v>
      </c>
    </row>
    <row x14ac:dyDescent="0.25" r="646" customHeight="1" ht="15.75">
      <c r="A646" s="8">
        <v>25413</v>
      </c>
      <c r="B646" s="13" t="s">
        <v>103</v>
      </c>
      <c r="C646" s="13" t="s">
        <v>5925</v>
      </c>
      <c r="D646" s="32" t="s">
        <v>5926</v>
      </c>
      <c r="E646" s="32" t="s">
        <v>7610</v>
      </c>
      <c r="F646" s="32" t="s">
        <v>11038</v>
      </c>
      <c r="G646" s="32" t="s">
        <v>11685</v>
      </c>
      <c r="H646" s="32" t="s">
        <v>2638</v>
      </c>
      <c r="I646" s="32" t="s">
        <v>11686</v>
      </c>
      <c r="J646" s="32" t="s">
        <v>5911</v>
      </c>
      <c r="K646" s="32" t="s">
        <v>11687</v>
      </c>
      <c r="L646" s="32" t="s">
        <v>6984</v>
      </c>
      <c r="M646" s="32" t="s">
        <v>11688</v>
      </c>
      <c r="N646" s="32" t="s">
        <v>1809</v>
      </c>
      <c r="O646" s="32" t="s">
        <v>7255</v>
      </c>
    </row>
    <row x14ac:dyDescent="0.25" r="647" customHeight="1" ht="15.75">
      <c r="A647" s="8">
        <v>25414</v>
      </c>
      <c r="B647" s="13" t="s">
        <v>103</v>
      </c>
      <c r="C647" s="13" t="s">
        <v>5928</v>
      </c>
      <c r="D647" s="32" t="s">
        <v>5929</v>
      </c>
      <c r="E647" s="32" t="s">
        <v>11689</v>
      </c>
      <c r="F647" s="32" t="s">
        <v>11690</v>
      </c>
      <c r="G647" s="32" t="s">
        <v>11691</v>
      </c>
      <c r="H647" s="32" t="s">
        <v>5930</v>
      </c>
      <c r="I647" s="32" t="s">
        <v>11692</v>
      </c>
      <c r="J647" s="32" t="s">
        <v>5930</v>
      </c>
      <c r="K647" s="32" t="s">
        <v>11693</v>
      </c>
      <c r="L647" s="32" t="s">
        <v>6202</v>
      </c>
      <c r="M647" s="32" t="s">
        <v>11694</v>
      </c>
      <c r="N647" s="32" t="s">
        <v>29</v>
      </c>
      <c r="O647" s="32" t="s">
        <v>7127</v>
      </c>
    </row>
    <row x14ac:dyDescent="0.25" r="648" customHeight="1" ht="15.75">
      <c r="A648" s="8">
        <v>25415</v>
      </c>
      <c r="B648" s="13" t="s">
        <v>103</v>
      </c>
      <c r="C648" s="13" t="s">
        <v>5931</v>
      </c>
      <c r="D648" s="32" t="s">
        <v>5070</v>
      </c>
      <c r="E648" s="32" t="s">
        <v>11695</v>
      </c>
      <c r="F648" s="32" t="s">
        <v>29</v>
      </c>
      <c r="G648" s="32" t="s">
        <v>7127</v>
      </c>
      <c r="H648" s="32" t="s">
        <v>11696</v>
      </c>
      <c r="I648" s="32" t="s">
        <v>11697</v>
      </c>
      <c r="J648" s="32" t="s">
        <v>5933</v>
      </c>
      <c r="K648" s="32" t="s">
        <v>11698</v>
      </c>
      <c r="L648" s="32" t="s">
        <v>11699</v>
      </c>
      <c r="M648" s="32" t="s">
        <v>11700</v>
      </c>
      <c r="N648" s="32" t="s">
        <v>11701</v>
      </c>
      <c r="O648" s="32" t="s">
        <v>7309</v>
      </c>
    </row>
    <row x14ac:dyDescent="0.25" r="649" customHeight="1" ht="15.75">
      <c r="A649" s="8">
        <v>25416</v>
      </c>
      <c r="B649" s="13" t="s">
        <v>103</v>
      </c>
      <c r="C649" s="13" t="s">
        <v>5934</v>
      </c>
      <c r="D649" s="32" t="s">
        <v>5935</v>
      </c>
      <c r="E649" s="32" t="s">
        <v>7127</v>
      </c>
      <c r="F649" s="32" t="s">
        <v>11702</v>
      </c>
      <c r="G649" s="32" t="s">
        <v>11703</v>
      </c>
      <c r="H649" s="32" t="s">
        <v>11704</v>
      </c>
      <c r="I649" s="32" t="s">
        <v>11705</v>
      </c>
      <c r="J649" s="32" t="s">
        <v>5936</v>
      </c>
      <c r="K649" s="32" t="s">
        <v>8557</v>
      </c>
      <c r="L649" s="32" t="s">
        <v>2407</v>
      </c>
      <c r="M649" s="32" t="s">
        <v>11706</v>
      </c>
      <c r="N649" s="32" t="s">
        <v>2789</v>
      </c>
      <c r="O649" s="32" t="s">
        <v>7127</v>
      </c>
    </row>
    <row x14ac:dyDescent="0.25" r="650" customHeight="1" ht="15.75">
      <c r="A650" s="8">
        <v>25417</v>
      </c>
      <c r="B650" s="13" t="s">
        <v>103</v>
      </c>
      <c r="C650" s="13" t="s">
        <v>5938</v>
      </c>
      <c r="D650" s="32" t="s">
        <v>5939</v>
      </c>
      <c r="E650" s="32" t="s">
        <v>11707</v>
      </c>
      <c r="F650" s="32" t="s">
        <v>4677</v>
      </c>
      <c r="G650" s="32" t="s">
        <v>11708</v>
      </c>
      <c r="H650" s="32" t="s">
        <v>11709</v>
      </c>
      <c r="I650" s="32" t="s">
        <v>10596</v>
      </c>
      <c r="J650" s="32" t="s">
        <v>5940</v>
      </c>
      <c r="K650" s="32" t="s">
        <v>11710</v>
      </c>
      <c r="L650" s="32" t="s">
        <v>11711</v>
      </c>
      <c r="M650" s="32" t="s">
        <v>11712</v>
      </c>
      <c r="N650" s="32" t="s">
        <v>2633</v>
      </c>
      <c r="O650" s="32" t="s">
        <v>7424</v>
      </c>
    </row>
    <row x14ac:dyDescent="0.25" r="651" customHeight="1" ht="15.75">
      <c r="A651" s="8">
        <v>25418</v>
      </c>
      <c r="B651" s="13" t="s">
        <v>103</v>
      </c>
      <c r="C651" s="13" t="s">
        <v>5941</v>
      </c>
      <c r="D651" s="32" t="s">
        <v>5942</v>
      </c>
      <c r="E651" s="32" t="s">
        <v>11713</v>
      </c>
      <c r="F651" s="32" t="s">
        <v>8168</v>
      </c>
      <c r="G651" s="32" t="s">
        <v>11714</v>
      </c>
      <c r="H651" s="32" t="s">
        <v>2316</v>
      </c>
      <c r="I651" s="32" t="s">
        <v>8967</v>
      </c>
      <c r="J651" s="32" t="s">
        <v>5943</v>
      </c>
      <c r="K651" s="32" t="s">
        <v>11715</v>
      </c>
      <c r="L651" s="32" t="s">
        <v>11716</v>
      </c>
      <c r="M651" s="32" t="s">
        <v>7127</v>
      </c>
      <c r="N651" s="32" t="s">
        <v>2789</v>
      </c>
      <c r="O651" s="32" t="s">
        <v>7127</v>
      </c>
    </row>
    <row x14ac:dyDescent="0.25" r="652" customHeight="1" ht="15.75">
      <c r="A652" s="8">
        <v>25419</v>
      </c>
      <c r="B652" s="13" t="s">
        <v>103</v>
      </c>
      <c r="C652" s="13" t="s">
        <v>5944</v>
      </c>
      <c r="D652" s="32" t="s">
        <v>5945</v>
      </c>
      <c r="E652" s="32" t="s">
        <v>11717</v>
      </c>
      <c r="F652" s="32" t="s">
        <v>11718</v>
      </c>
      <c r="G652" s="32" t="s">
        <v>11719</v>
      </c>
      <c r="H652" s="32" t="s">
        <v>4578</v>
      </c>
      <c r="I652" s="32" t="s">
        <v>11720</v>
      </c>
      <c r="J652" s="32" t="s">
        <v>2307</v>
      </c>
      <c r="K652" s="32" t="s">
        <v>11721</v>
      </c>
      <c r="L652" s="32" t="s">
        <v>93</v>
      </c>
      <c r="M652" s="32" t="s">
        <v>7127</v>
      </c>
      <c r="N652" s="32" t="s">
        <v>2753</v>
      </c>
      <c r="O652" s="32" t="s">
        <v>7127</v>
      </c>
    </row>
    <row x14ac:dyDescent="0.25" r="653" customHeight="1" ht="15.75">
      <c r="A653" s="8">
        <v>25420</v>
      </c>
      <c r="B653" s="13" t="s">
        <v>103</v>
      </c>
      <c r="C653" s="13" t="s">
        <v>5946</v>
      </c>
      <c r="D653" s="32" t="s">
        <v>5947</v>
      </c>
      <c r="E653" s="32" t="s">
        <v>11722</v>
      </c>
      <c r="F653" s="32" t="s">
        <v>11723</v>
      </c>
      <c r="G653" s="32" t="s">
        <v>7158</v>
      </c>
      <c r="H653" s="32" t="s">
        <v>6994</v>
      </c>
      <c r="I653" s="32" t="s">
        <v>11724</v>
      </c>
      <c r="J653" s="32" t="s">
        <v>5948</v>
      </c>
      <c r="K653" s="32" t="s">
        <v>11725</v>
      </c>
      <c r="L653" s="32" t="s">
        <v>8972</v>
      </c>
      <c r="M653" s="32" t="s">
        <v>11726</v>
      </c>
      <c r="N653" s="32" t="s">
        <v>29</v>
      </c>
      <c r="O653" s="32" t="s">
        <v>7127</v>
      </c>
    </row>
    <row x14ac:dyDescent="0.25" r="654" customHeight="1" ht="15.75">
      <c r="A654" s="8">
        <v>25421</v>
      </c>
      <c r="B654" s="13" t="s">
        <v>103</v>
      </c>
      <c r="C654" s="13" t="s">
        <v>5949</v>
      </c>
      <c r="D654" s="32" t="s">
        <v>5950</v>
      </c>
      <c r="E654" s="32" t="s">
        <v>7127</v>
      </c>
      <c r="F654" s="32" t="s">
        <v>11727</v>
      </c>
      <c r="G654" s="32" t="s">
        <v>11728</v>
      </c>
      <c r="H654" s="32" t="s">
        <v>132</v>
      </c>
      <c r="I654" s="32" t="s">
        <v>7127</v>
      </c>
      <c r="J654" s="32" t="s">
        <v>5951</v>
      </c>
      <c r="K654" s="32" t="s">
        <v>11729</v>
      </c>
      <c r="L654" s="32" t="s">
        <v>2112</v>
      </c>
      <c r="M654" s="32" t="s">
        <v>11730</v>
      </c>
      <c r="N654" s="32" t="s">
        <v>10476</v>
      </c>
      <c r="O654" s="32" t="s">
        <v>7127</v>
      </c>
    </row>
    <row x14ac:dyDescent="0.25" r="655" customHeight="1" ht="15.75">
      <c r="A655" s="8">
        <v>25422</v>
      </c>
      <c r="B655" s="13" t="s">
        <v>103</v>
      </c>
      <c r="C655" s="13" t="s">
        <v>5952</v>
      </c>
      <c r="D655" s="32" t="s">
        <v>5745</v>
      </c>
      <c r="E655" s="32" t="s">
        <v>11731</v>
      </c>
      <c r="F655" s="32" t="s">
        <v>696</v>
      </c>
      <c r="G655" s="32" t="s">
        <v>11315</v>
      </c>
      <c r="H655" s="32" t="s">
        <v>2565</v>
      </c>
      <c r="I655" s="32" t="s">
        <v>11732</v>
      </c>
      <c r="J655" s="32" t="s">
        <v>5953</v>
      </c>
      <c r="K655" s="32" t="s">
        <v>11733</v>
      </c>
      <c r="L655" s="32" t="s">
        <v>11734</v>
      </c>
      <c r="M655" s="32" t="s">
        <v>11735</v>
      </c>
      <c r="N655" s="32" t="s">
        <v>29</v>
      </c>
      <c r="O655" s="32" t="s">
        <v>7127</v>
      </c>
    </row>
    <row x14ac:dyDescent="0.25" r="656" customHeight="1" ht="15.75">
      <c r="A656" s="8">
        <v>25423</v>
      </c>
      <c r="B656" s="13" t="s">
        <v>103</v>
      </c>
      <c r="C656" s="13" t="s">
        <v>5954</v>
      </c>
      <c r="D656" s="32" t="s">
        <v>2539</v>
      </c>
      <c r="E656" s="32" t="s">
        <v>11736</v>
      </c>
      <c r="F656" s="32" t="s">
        <v>7224</v>
      </c>
      <c r="G656" s="32" t="s">
        <v>11737</v>
      </c>
      <c r="H656" s="32" t="s">
        <v>10573</v>
      </c>
      <c r="I656" s="32" t="s">
        <v>11738</v>
      </c>
      <c r="J656" s="32" t="s">
        <v>5955</v>
      </c>
      <c r="K656" s="32" t="s">
        <v>11739</v>
      </c>
      <c r="L656" s="32" t="s">
        <v>5244</v>
      </c>
      <c r="M656" s="32" t="s">
        <v>11740</v>
      </c>
      <c r="N656" s="32" t="s">
        <v>1809</v>
      </c>
      <c r="O656" s="32" t="s">
        <v>7918</v>
      </c>
    </row>
    <row x14ac:dyDescent="0.25" r="657" customHeight="1" ht="15.75">
      <c r="A657" s="8">
        <v>25424</v>
      </c>
      <c r="B657" s="13" t="s">
        <v>103</v>
      </c>
      <c r="C657" s="13" t="s">
        <v>5956</v>
      </c>
      <c r="D657" s="32" t="s">
        <v>5957</v>
      </c>
      <c r="E657" s="32" t="s">
        <v>11741</v>
      </c>
      <c r="F657" s="32" t="s">
        <v>11742</v>
      </c>
      <c r="G657" s="32" t="s">
        <v>11743</v>
      </c>
      <c r="H657" s="32" t="s">
        <v>11744</v>
      </c>
      <c r="I657" s="32" t="s">
        <v>11745</v>
      </c>
      <c r="J657" s="32" t="s">
        <v>5958</v>
      </c>
      <c r="K657" s="32" t="s">
        <v>11746</v>
      </c>
      <c r="L657" s="32" t="s">
        <v>11216</v>
      </c>
      <c r="M657" s="32" t="s">
        <v>7898</v>
      </c>
      <c r="N657" s="32" t="s">
        <v>10785</v>
      </c>
      <c r="O657" s="32" t="s">
        <v>7127</v>
      </c>
    </row>
    <row x14ac:dyDescent="0.25" r="658" customHeight="1" ht="15.75">
      <c r="A658" s="8">
        <v>25425</v>
      </c>
      <c r="B658" s="13" t="s">
        <v>103</v>
      </c>
      <c r="C658" s="13" t="s">
        <v>5959</v>
      </c>
      <c r="D658" s="32" t="s">
        <v>5960</v>
      </c>
      <c r="E658" s="32" t="s">
        <v>7445</v>
      </c>
      <c r="F658" s="32" t="s">
        <v>4724</v>
      </c>
      <c r="G658" s="32" t="s">
        <v>11747</v>
      </c>
      <c r="H658" s="32" t="s">
        <v>11748</v>
      </c>
      <c r="I658" s="32" t="s">
        <v>7158</v>
      </c>
      <c r="J658" s="32" t="s">
        <v>5961</v>
      </c>
      <c r="K658" s="32" t="s">
        <v>11749</v>
      </c>
      <c r="L658" s="32" t="s">
        <v>1967</v>
      </c>
      <c r="M658" s="32" t="s">
        <v>11750</v>
      </c>
      <c r="N658" s="32" t="s">
        <v>29</v>
      </c>
      <c r="O658" s="32" t="s">
        <v>7127</v>
      </c>
    </row>
    <row x14ac:dyDescent="0.25" r="659" customHeight="1" ht="15.75">
      <c r="A659" s="8">
        <v>25426</v>
      </c>
      <c r="B659" s="13" t="s">
        <v>103</v>
      </c>
      <c r="C659" s="13" t="s">
        <v>5962</v>
      </c>
      <c r="D659" s="32" t="s">
        <v>947</v>
      </c>
      <c r="E659" s="32" t="s">
        <v>11751</v>
      </c>
      <c r="F659" s="32" t="s">
        <v>11460</v>
      </c>
      <c r="G659" s="32" t="s">
        <v>11752</v>
      </c>
      <c r="H659" s="32" t="s">
        <v>37</v>
      </c>
      <c r="I659" s="32" t="s">
        <v>11315</v>
      </c>
      <c r="J659" s="32" t="s">
        <v>5963</v>
      </c>
      <c r="K659" s="32" t="s">
        <v>7127</v>
      </c>
      <c r="L659" s="32" t="s">
        <v>4620</v>
      </c>
      <c r="M659" s="32" t="s">
        <v>8196</v>
      </c>
      <c r="N659" s="32" t="s">
        <v>29</v>
      </c>
      <c r="O659" s="32" t="s">
        <v>7127</v>
      </c>
    </row>
    <row x14ac:dyDescent="0.25" r="660" customHeight="1" ht="15.75">
      <c r="A660" s="8">
        <v>25427</v>
      </c>
      <c r="B660" s="13" t="s">
        <v>103</v>
      </c>
      <c r="C660" s="13" t="s">
        <v>5964</v>
      </c>
      <c r="D660" s="32" t="s">
        <v>5755</v>
      </c>
      <c r="E660" s="32" t="s">
        <v>11753</v>
      </c>
      <c r="F660" s="32" t="s">
        <v>7912</v>
      </c>
      <c r="G660" s="32" t="s">
        <v>11754</v>
      </c>
      <c r="H660" s="32" t="s">
        <v>11755</v>
      </c>
      <c r="I660" s="32" t="s">
        <v>10398</v>
      </c>
      <c r="J660" s="32" t="s">
        <v>5965</v>
      </c>
      <c r="K660" s="32" t="s">
        <v>11756</v>
      </c>
      <c r="L660" s="32" t="s">
        <v>11757</v>
      </c>
      <c r="M660" s="32" t="s">
        <v>11758</v>
      </c>
      <c r="N660" s="32" t="s">
        <v>11759</v>
      </c>
      <c r="O660" s="32" t="s">
        <v>7127</v>
      </c>
    </row>
    <row x14ac:dyDescent="0.25" r="661" customHeight="1" ht="15.75">
      <c r="A661" s="8">
        <v>25428</v>
      </c>
      <c r="B661" s="13" t="s">
        <v>103</v>
      </c>
      <c r="C661" s="13" t="s">
        <v>5966</v>
      </c>
      <c r="D661" s="32" t="s">
        <v>2531</v>
      </c>
      <c r="E661" s="32" t="s">
        <v>11760</v>
      </c>
      <c r="F661" s="32" t="s">
        <v>29</v>
      </c>
      <c r="G661" s="32" t="s">
        <v>7127</v>
      </c>
      <c r="H661" s="32" t="s">
        <v>11761</v>
      </c>
      <c r="I661" s="32" t="s">
        <v>7158</v>
      </c>
      <c r="J661" s="32" t="s">
        <v>1347</v>
      </c>
      <c r="K661" s="32" t="s">
        <v>11762</v>
      </c>
      <c r="L661" s="32" t="s">
        <v>188</v>
      </c>
      <c r="M661" s="32" t="s">
        <v>7127</v>
      </c>
      <c r="N661" s="32" t="s">
        <v>124</v>
      </c>
      <c r="O661" s="32" t="s">
        <v>7127</v>
      </c>
    </row>
    <row x14ac:dyDescent="0.25" r="662" customHeight="1" ht="15.75">
      <c r="A662" s="8">
        <v>25433</v>
      </c>
      <c r="B662" s="13" t="s">
        <v>103</v>
      </c>
      <c r="C662" s="13" t="s">
        <v>5967</v>
      </c>
      <c r="D662" s="32" t="s">
        <v>5968</v>
      </c>
      <c r="E662" s="32" t="s">
        <v>7127</v>
      </c>
      <c r="F662" s="32" t="s">
        <v>5902</v>
      </c>
      <c r="G662" s="32" t="s">
        <v>11763</v>
      </c>
      <c r="H662" s="32" t="s">
        <v>5510</v>
      </c>
      <c r="I662" s="32" t="s">
        <v>10310</v>
      </c>
      <c r="J662" s="32" t="s">
        <v>5969</v>
      </c>
      <c r="K662" s="32" t="s">
        <v>11764</v>
      </c>
      <c r="L662" s="32" t="s">
        <v>7356</v>
      </c>
      <c r="M662" s="32" t="s">
        <v>7127</v>
      </c>
      <c r="N662" s="32" t="s">
        <v>29</v>
      </c>
      <c r="O662" s="32" t="s">
        <v>7127</v>
      </c>
    </row>
    <row x14ac:dyDescent="0.25" r="663" customHeight="1" ht="15.75">
      <c r="A663" s="8">
        <v>25434</v>
      </c>
      <c r="B663" s="13" t="s">
        <v>103</v>
      </c>
      <c r="C663" s="13" t="s">
        <v>5970</v>
      </c>
      <c r="D663" s="32" t="s">
        <v>5921</v>
      </c>
      <c r="E663" s="32" t="s">
        <v>11765</v>
      </c>
      <c r="F663" s="32" t="s">
        <v>29</v>
      </c>
      <c r="G663" s="32" t="s">
        <v>7127</v>
      </c>
      <c r="H663" s="32" t="s">
        <v>11766</v>
      </c>
      <c r="I663" s="32" t="s">
        <v>11767</v>
      </c>
      <c r="J663" s="32" t="s">
        <v>5972</v>
      </c>
      <c r="K663" s="32" t="s">
        <v>11768</v>
      </c>
      <c r="L663" s="32" t="s">
        <v>93</v>
      </c>
      <c r="M663" s="32" t="s">
        <v>7322</v>
      </c>
      <c r="N663" s="32" t="s">
        <v>29</v>
      </c>
      <c r="O663" s="32" t="s">
        <v>7127</v>
      </c>
    </row>
    <row x14ac:dyDescent="0.25" r="664" customHeight="1" ht="15.75">
      <c r="A664" s="8">
        <v>25435</v>
      </c>
      <c r="B664" s="13" t="s">
        <v>103</v>
      </c>
      <c r="C664" s="13" t="s">
        <v>5973</v>
      </c>
      <c r="D664" s="32" t="s">
        <v>5974</v>
      </c>
      <c r="E664" s="32" t="s">
        <v>11769</v>
      </c>
      <c r="F664" s="32" t="s">
        <v>8428</v>
      </c>
      <c r="G664" s="32" t="s">
        <v>11770</v>
      </c>
      <c r="H664" s="32" t="s">
        <v>7842</v>
      </c>
      <c r="I664" s="32" t="s">
        <v>11771</v>
      </c>
      <c r="J664" s="32" t="s">
        <v>5975</v>
      </c>
      <c r="K664" s="32" t="s">
        <v>11772</v>
      </c>
      <c r="L664" s="32" t="s">
        <v>11773</v>
      </c>
      <c r="M664" s="32" t="s">
        <v>11774</v>
      </c>
      <c r="N664" s="32" t="s">
        <v>2035</v>
      </c>
      <c r="O664" s="32" t="s">
        <v>7127</v>
      </c>
    </row>
    <row x14ac:dyDescent="0.25" r="665" customHeight="1" ht="15.75">
      <c r="A665" s="8">
        <v>25436</v>
      </c>
      <c r="B665" s="13" t="s">
        <v>103</v>
      </c>
      <c r="C665" s="13" t="s">
        <v>5976</v>
      </c>
      <c r="D665" s="32" t="s">
        <v>5977</v>
      </c>
      <c r="E665" s="32" t="s">
        <v>11775</v>
      </c>
      <c r="F665" s="32" t="s">
        <v>1902</v>
      </c>
      <c r="G665" s="32" t="s">
        <v>11776</v>
      </c>
      <c r="H665" s="32" t="s">
        <v>9119</v>
      </c>
      <c r="I665" s="32" t="s">
        <v>11777</v>
      </c>
      <c r="J665" s="32" t="s">
        <v>5979</v>
      </c>
      <c r="K665" s="32" t="s">
        <v>11778</v>
      </c>
      <c r="L665" s="32" t="s">
        <v>11779</v>
      </c>
      <c r="M665" s="32" t="s">
        <v>11780</v>
      </c>
      <c r="N665" s="32" t="s">
        <v>29</v>
      </c>
      <c r="O665" s="32" t="s">
        <v>7127</v>
      </c>
    </row>
    <row x14ac:dyDescent="0.25" r="666" customHeight="1" ht="15.75">
      <c r="A666" s="8">
        <v>25894</v>
      </c>
      <c r="B666" s="13" t="s">
        <v>129</v>
      </c>
      <c r="C666" s="13" t="s">
        <v>5980</v>
      </c>
      <c r="D666" s="32" t="s">
        <v>5981</v>
      </c>
      <c r="E666" s="32" t="s">
        <v>11781</v>
      </c>
      <c r="F666" s="32" t="s">
        <v>11782</v>
      </c>
      <c r="G666" s="32" t="s">
        <v>11783</v>
      </c>
      <c r="H666" s="32" t="s">
        <v>4848</v>
      </c>
      <c r="I666" s="32" t="s">
        <v>11784</v>
      </c>
      <c r="J666" s="32" t="s">
        <v>4775</v>
      </c>
      <c r="K666" s="32" t="s">
        <v>8258</v>
      </c>
      <c r="L666" s="32" t="s">
        <v>11785</v>
      </c>
      <c r="M666" s="32" t="s">
        <v>9377</v>
      </c>
      <c r="N666" s="32" t="s">
        <v>4142</v>
      </c>
      <c r="O666" s="32" t="s">
        <v>11786</v>
      </c>
    </row>
    <row x14ac:dyDescent="0.25" r="667" customHeight="1" ht="15.75">
      <c r="A667" s="8">
        <v>25956</v>
      </c>
      <c r="B667" s="13" t="s">
        <v>129</v>
      </c>
      <c r="C667" s="13" t="s">
        <v>5983</v>
      </c>
      <c r="D667" s="32" t="s">
        <v>5984</v>
      </c>
      <c r="E667" s="32" t="s">
        <v>11787</v>
      </c>
      <c r="F667" s="32" t="s">
        <v>9933</v>
      </c>
      <c r="G667" s="32" t="s">
        <v>11788</v>
      </c>
      <c r="H667" s="32" t="s">
        <v>57</v>
      </c>
      <c r="I667" s="32" t="s">
        <v>11789</v>
      </c>
      <c r="J667" s="32" t="s">
        <v>5985</v>
      </c>
      <c r="K667" s="32" t="s">
        <v>11790</v>
      </c>
      <c r="L667" s="32" t="s">
        <v>5378</v>
      </c>
      <c r="M667" s="32" t="s">
        <v>11791</v>
      </c>
      <c r="N667" s="32" t="s">
        <v>11792</v>
      </c>
      <c r="O667" s="32" t="s">
        <v>11793</v>
      </c>
    </row>
    <row x14ac:dyDescent="0.25" r="668" customHeight="1" ht="15.75">
      <c r="A668" s="8">
        <v>25895</v>
      </c>
      <c r="B668" s="13" t="s">
        <v>129</v>
      </c>
      <c r="C668" s="13" t="s">
        <v>5986</v>
      </c>
      <c r="D668" s="32" t="s">
        <v>5987</v>
      </c>
      <c r="E668" s="32" t="s">
        <v>11794</v>
      </c>
      <c r="F668" s="32" t="s">
        <v>11795</v>
      </c>
      <c r="G668" s="32" t="s">
        <v>11796</v>
      </c>
      <c r="H668" s="32" t="s">
        <v>11797</v>
      </c>
      <c r="I668" s="32" t="s">
        <v>11798</v>
      </c>
      <c r="J668" s="32" t="s">
        <v>5989</v>
      </c>
      <c r="K668" s="32" t="s">
        <v>11799</v>
      </c>
      <c r="L668" s="32" t="s">
        <v>2675</v>
      </c>
      <c r="M668" s="32" t="s">
        <v>11336</v>
      </c>
      <c r="N668" s="32" t="s">
        <v>2717</v>
      </c>
      <c r="O668" s="32" t="s">
        <v>11800</v>
      </c>
    </row>
    <row x14ac:dyDescent="0.25" r="669" customHeight="1" ht="15.75">
      <c r="A669" s="8">
        <v>25933</v>
      </c>
      <c r="B669" s="13" t="s">
        <v>129</v>
      </c>
      <c r="C669" s="13" t="s">
        <v>5990</v>
      </c>
      <c r="D669" s="32" t="s">
        <v>5991</v>
      </c>
      <c r="E669" s="32" t="s">
        <v>7127</v>
      </c>
      <c r="F669" s="32" t="s">
        <v>2532</v>
      </c>
      <c r="G669" s="32" t="s">
        <v>7127</v>
      </c>
      <c r="H669" s="32" t="s">
        <v>11801</v>
      </c>
      <c r="I669" s="32" t="s">
        <v>11802</v>
      </c>
      <c r="J669" s="32" t="s">
        <v>5993</v>
      </c>
      <c r="K669" s="32" t="s">
        <v>11803</v>
      </c>
      <c r="L669" s="32" t="s">
        <v>11804</v>
      </c>
      <c r="M669" s="32" t="s">
        <v>11805</v>
      </c>
      <c r="N669" s="32" t="s">
        <v>11806</v>
      </c>
      <c r="O669" s="32" t="s">
        <v>11807</v>
      </c>
    </row>
    <row x14ac:dyDescent="0.25" r="670" customHeight="1" ht="15.75">
      <c r="A670" s="8">
        <v>25944</v>
      </c>
      <c r="B670" s="13" t="s">
        <v>129</v>
      </c>
      <c r="C670" s="13" t="s">
        <v>5994</v>
      </c>
      <c r="D670" s="32" t="s">
        <v>5995</v>
      </c>
      <c r="E670" s="32" t="s">
        <v>11808</v>
      </c>
      <c r="F670" s="32" t="s">
        <v>7688</v>
      </c>
      <c r="G670" s="32" t="s">
        <v>8415</v>
      </c>
      <c r="H670" s="32" t="s">
        <v>11809</v>
      </c>
      <c r="I670" s="32" t="s">
        <v>11810</v>
      </c>
      <c r="J670" s="32" t="s">
        <v>5996</v>
      </c>
      <c r="K670" s="32" t="s">
        <v>11811</v>
      </c>
      <c r="L670" s="32" t="s">
        <v>11812</v>
      </c>
      <c r="M670" s="32" t="s">
        <v>11813</v>
      </c>
      <c r="N670" s="32" t="s">
        <v>9033</v>
      </c>
      <c r="O670" s="32" t="s">
        <v>11814</v>
      </c>
    </row>
    <row x14ac:dyDescent="0.25" r="671" customHeight="1" ht="15.75">
      <c r="A671" s="8">
        <v>25957</v>
      </c>
      <c r="B671" s="13" t="s">
        <v>129</v>
      </c>
      <c r="C671" s="13" t="s">
        <v>5997</v>
      </c>
      <c r="D671" s="32" t="s">
        <v>4677</v>
      </c>
      <c r="E671" s="32" t="s">
        <v>11815</v>
      </c>
      <c r="F671" s="32" t="s">
        <v>11816</v>
      </c>
      <c r="G671" s="32" t="s">
        <v>9524</v>
      </c>
      <c r="H671" s="32" t="s">
        <v>11817</v>
      </c>
      <c r="I671" s="32" t="s">
        <v>11818</v>
      </c>
      <c r="J671" s="32" t="s">
        <v>4424</v>
      </c>
      <c r="K671" s="32" t="s">
        <v>11517</v>
      </c>
      <c r="L671" s="32" t="s">
        <v>11819</v>
      </c>
      <c r="M671" s="32" t="s">
        <v>11820</v>
      </c>
      <c r="N671" s="32" t="s">
        <v>11821</v>
      </c>
      <c r="O671" s="32" t="s">
        <v>11822</v>
      </c>
    </row>
    <row x14ac:dyDescent="0.25" r="672" customHeight="1" ht="15.75">
      <c r="A672" s="8">
        <v>25945</v>
      </c>
      <c r="B672" s="13" t="s">
        <v>129</v>
      </c>
      <c r="C672" s="13" t="s">
        <v>5998</v>
      </c>
      <c r="D672" s="32" t="s">
        <v>5999</v>
      </c>
      <c r="E672" s="32" t="s">
        <v>11823</v>
      </c>
      <c r="F672" s="32" t="s">
        <v>7248</v>
      </c>
      <c r="G672" s="32" t="s">
        <v>11824</v>
      </c>
      <c r="H672" s="32" t="s">
        <v>8473</v>
      </c>
      <c r="I672" s="32" t="s">
        <v>11825</v>
      </c>
      <c r="J672" s="32" t="s">
        <v>6000</v>
      </c>
      <c r="K672" s="32" t="s">
        <v>11826</v>
      </c>
      <c r="L672" s="32" t="s">
        <v>5370</v>
      </c>
      <c r="M672" s="32" t="s">
        <v>11827</v>
      </c>
      <c r="N672" s="32" t="s">
        <v>10264</v>
      </c>
      <c r="O672" s="32" t="s">
        <v>11828</v>
      </c>
    </row>
    <row x14ac:dyDescent="0.25" r="673" customHeight="1" ht="15.75">
      <c r="A673" s="8">
        <v>25896</v>
      </c>
      <c r="B673" s="13" t="s">
        <v>129</v>
      </c>
      <c r="C673" s="13" t="s">
        <v>6001</v>
      </c>
      <c r="D673" s="32" t="s">
        <v>5026</v>
      </c>
      <c r="E673" s="32" t="s">
        <v>11829</v>
      </c>
      <c r="F673" s="32" t="s">
        <v>8038</v>
      </c>
      <c r="G673" s="32" t="s">
        <v>11830</v>
      </c>
      <c r="H673" s="32" t="s">
        <v>8168</v>
      </c>
      <c r="I673" s="32" t="s">
        <v>11831</v>
      </c>
      <c r="J673" s="32" t="s">
        <v>6002</v>
      </c>
      <c r="K673" s="32" t="s">
        <v>11832</v>
      </c>
      <c r="L673" s="32" t="s">
        <v>11833</v>
      </c>
      <c r="M673" s="32" t="s">
        <v>11239</v>
      </c>
      <c r="N673" s="32" t="s">
        <v>1561</v>
      </c>
      <c r="O673" s="32" t="s">
        <v>8621</v>
      </c>
    </row>
    <row x14ac:dyDescent="0.25" r="674" customHeight="1" ht="15.75">
      <c r="A674" s="8">
        <v>25897</v>
      </c>
      <c r="B674" s="13" t="s">
        <v>129</v>
      </c>
      <c r="C674" s="13" t="s">
        <v>6003</v>
      </c>
      <c r="D674" s="32" t="s">
        <v>6004</v>
      </c>
      <c r="E674" s="32" t="s">
        <v>11834</v>
      </c>
      <c r="F674" s="32" t="s">
        <v>11038</v>
      </c>
      <c r="G674" s="32" t="s">
        <v>11835</v>
      </c>
      <c r="H674" s="32" t="s">
        <v>6004</v>
      </c>
      <c r="I674" s="32" t="s">
        <v>11836</v>
      </c>
      <c r="J674" s="32" t="s">
        <v>5911</v>
      </c>
      <c r="K674" s="32" t="s">
        <v>11837</v>
      </c>
      <c r="L674" s="32" t="s">
        <v>4473</v>
      </c>
      <c r="M674" s="32" t="s">
        <v>11838</v>
      </c>
      <c r="N674" s="32" t="s">
        <v>11839</v>
      </c>
      <c r="O674" s="32" t="s">
        <v>11840</v>
      </c>
    </row>
    <row x14ac:dyDescent="0.25" r="675" customHeight="1" ht="15.75">
      <c r="A675" s="8">
        <v>25946</v>
      </c>
      <c r="B675" s="13" t="s">
        <v>129</v>
      </c>
      <c r="C675" s="13" t="s">
        <v>6005</v>
      </c>
      <c r="D675" s="32" t="s">
        <v>6006</v>
      </c>
      <c r="E675" s="32" t="s">
        <v>11841</v>
      </c>
      <c r="F675" s="32" t="s">
        <v>11842</v>
      </c>
      <c r="G675" s="32" t="s">
        <v>11843</v>
      </c>
      <c r="H675" s="32" t="s">
        <v>11844</v>
      </c>
      <c r="I675" s="32" t="s">
        <v>11845</v>
      </c>
      <c r="J675" s="32" t="s">
        <v>6007</v>
      </c>
      <c r="K675" s="32" t="s">
        <v>11846</v>
      </c>
      <c r="L675" s="32" t="s">
        <v>10607</v>
      </c>
      <c r="M675" s="32" t="s">
        <v>11847</v>
      </c>
      <c r="N675" s="32" t="s">
        <v>11848</v>
      </c>
      <c r="O675" s="32" t="s">
        <v>11849</v>
      </c>
    </row>
    <row x14ac:dyDescent="0.25" r="676" customHeight="1" ht="15.75">
      <c r="A676" s="8">
        <v>25898</v>
      </c>
      <c r="B676" s="13" t="s">
        <v>129</v>
      </c>
      <c r="C676" s="13" t="s">
        <v>6008</v>
      </c>
      <c r="D676" s="32" t="s">
        <v>4282</v>
      </c>
      <c r="E676" s="32" t="s">
        <v>11850</v>
      </c>
      <c r="F676" s="32" t="s">
        <v>11851</v>
      </c>
      <c r="G676" s="32" t="s">
        <v>11852</v>
      </c>
      <c r="H676" s="32" t="s">
        <v>2387</v>
      </c>
      <c r="I676" s="32" t="s">
        <v>11853</v>
      </c>
      <c r="J676" s="32" t="s">
        <v>6009</v>
      </c>
      <c r="K676" s="32" t="s">
        <v>11854</v>
      </c>
      <c r="L676" s="32" t="s">
        <v>6009</v>
      </c>
      <c r="M676" s="32" t="s">
        <v>11855</v>
      </c>
      <c r="N676" s="32" t="s">
        <v>8773</v>
      </c>
      <c r="O676" s="32" t="s">
        <v>11856</v>
      </c>
    </row>
    <row x14ac:dyDescent="0.25" r="677" customHeight="1" ht="15.75">
      <c r="A677" s="8">
        <v>25899</v>
      </c>
      <c r="B677" s="13" t="s">
        <v>129</v>
      </c>
      <c r="C677" s="13" t="s">
        <v>6010</v>
      </c>
      <c r="D677" s="32" t="s">
        <v>6011</v>
      </c>
      <c r="E677" s="32" t="s">
        <v>11857</v>
      </c>
      <c r="F677" s="32" t="s">
        <v>11858</v>
      </c>
      <c r="G677" s="32" t="s">
        <v>11859</v>
      </c>
      <c r="H677" s="32" t="s">
        <v>11860</v>
      </c>
      <c r="I677" s="32" t="s">
        <v>11861</v>
      </c>
      <c r="J677" s="32" t="s">
        <v>6012</v>
      </c>
      <c r="K677" s="32" t="s">
        <v>11862</v>
      </c>
      <c r="L677" s="32" t="s">
        <v>5945</v>
      </c>
      <c r="M677" s="32" t="s">
        <v>11863</v>
      </c>
      <c r="N677" s="32" t="s">
        <v>11860</v>
      </c>
      <c r="O677" s="32" t="s">
        <v>11864</v>
      </c>
    </row>
    <row x14ac:dyDescent="0.25" r="678" customHeight="1" ht="15.75">
      <c r="A678" s="8">
        <v>25934</v>
      </c>
      <c r="B678" s="13" t="s">
        <v>129</v>
      </c>
      <c r="C678" s="13" t="s">
        <v>6014</v>
      </c>
      <c r="D678" s="32" t="s">
        <v>6015</v>
      </c>
      <c r="E678" s="32" t="s">
        <v>9407</v>
      </c>
      <c r="F678" s="32" t="s">
        <v>4419</v>
      </c>
      <c r="G678" s="32" t="s">
        <v>11865</v>
      </c>
      <c r="H678" s="32" t="s">
        <v>5310</v>
      </c>
      <c r="I678" s="32" t="s">
        <v>11866</v>
      </c>
      <c r="J678" s="32" t="s">
        <v>2599</v>
      </c>
      <c r="K678" s="32" t="s">
        <v>11867</v>
      </c>
      <c r="L678" s="32" t="s">
        <v>5087</v>
      </c>
      <c r="M678" s="32" t="s">
        <v>11868</v>
      </c>
      <c r="N678" s="32" t="s">
        <v>4820</v>
      </c>
      <c r="O678" s="32" t="s">
        <v>11869</v>
      </c>
    </row>
    <row x14ac:dyDescent="0.25" r="679" customHeight="1" ht="15.75">
      <c r="A679" s="8">
        <v>25958</v>
      </c>
      <c r="B679" s="13" t="s">
        <v>129</v>
      </c>
      <c r="C679" s="13" t="s">
        <v>6017</v>
      </c>
      <c r="D679" s="32" t="s">
        <v>4590</v>
      </c>
      <c r="E679" s="32" t="s">
        <v>11870</v>
      </c>
      <c r="F679" s="32" t="s">
        <v>1556</v>
      </c>
      <c r="G679" s="32" t="s">
        <v>11871</v>
      </c>
      <c r="H679" s="32" t="s">
        <v>11872</v>
      </c>
      <c r="I679" s="32" t="s">
        <v>11873</v>
      </c>
      <c r="J679" s="32" t="s">
        <v>6018</v>
      </c>
      <c r="K679" s="32" t="s">
        <v>11874</v>
      </c>
      <c r="L679" s="32" t="s">
        <v>5527</v>
      </c>
      <c r="M679" s="32" t="s">
        <v>11875</v>
      </c>
      <c r="N679" s="32" t="s">
        <v>11876</v>
      </c>
      <c r="O679" s="32" t="s">
        <v>7845</v>
      </c>
    </row>
    <row x14ac:dyDescent="0.25" r="680" customHeight="1" ht="15.75">
      <c r="A680" s="8">
        <v>25959</v>
      </c>
      <c r="B680" s="13" t="s">
        <v>129</v>
      </c>
      <c r="C680" s="13" t="s">
        <v>6019</v>
      </c>
      <c r="D680" s="32" t="s">
        <v>6020</v>
      </c>
      <c r="E680" s="32" t="s">
        <v>11877</v>
      </c>
      <c r="F680" s="32" t="s">
        <v>4440</v>
      </c>
      <c r="G680" s="32" t="s">
        <v>11878</v>
      </c>
      <c r="H680" s="32" t="s">
        <v>4598</v>
      </c>
      <c r="I680" s="32" t="s">
        <v>11879</v>
      </c>
      <c r="J680" s="32" t="s">
        <v>6021</v>
      </c>
      <c r="K680" s="32" t="s">
        <v>10112</v>
      </c>
      <c r="L680" s="32" t="s">
        <v>11880</v>
      </c>
      <c r="M680" s="32" t="s">
        <v>11881</v>
      </c>
      <c r="N680" s="32" t="s">
        <v>10345</v>
      </c>
      <c r="O680" s="32" t="s">
        <v>11185</v>
      </c>
    </row>
    <row x14ac:dyDescent="0.25" r="681" customHeight="1" ht="15.75">
      <c r="A681" s="8">
        <v>25935</v>
      </c>
      <c r="B681" s="13" t="s">
        <v>129</v>
      </c>
      <c r="C681" s="13" t="s">
        <v>6022</v>
      </c>
      <c r="D681" s="32" t="s">
        <v>6023</v>
      </c>
      <c r="E681" s="32" t="s">
        <v>11882</v>
      </c>
      <c r="F681" s="32" t="s">
        <v>6901</v>
      </c>
      <c r="G681" s="32" t="s">
        <v>11883</v>
      </c>
      <c r="H681" s="32" t="s">
        <v>7470</v>
      </c>
      <c r="I681" s="32" t="s">
        <v>11884</v>
      </c>
      <c r="J681" s="32" t="s">
        <v>6025</v>
      </c>
      <c r="K681" s="32" t="s">
        <v>11885</v>
      </c>
      <c r="L681" s="32" t="s">
        <v>11886</v>
      </c>
      <c r="M681" s="32" t="s">
        <v>11887</v>
      </c>
      <c r="N681" s="32" t="s">
        <v>11888</v>
      </c>
      <c r="O681" s="32" t="s">
        <v>11889</v>
      </c>
    </row>
    <row x14ac:dyDescent="0.25" r="682" customHeight="1" ht="15.75">
      <c r="A682" s="8">
        <v>25960</v>
      </c>
      <c r="B682" s="13" t="s">
        <v>129</v>
      </c>
      <c r="C682" s="13" t="s">
        <v>6026</v>
      </c>
      <c r="D682" s="32" t="s">
        <v>6027</v>
      </c>
      <c r="E682" s="32" t="s">
        <v>11890</v>
      </c>
      <c r="F682" s="32" t="s">
        <v>122</v>
      </c>
      <c r="G682" s="32" t="s">
        <v>11891</v>
      </c>
      <c r="H682" s="32" t="s">
        <v>4677</v>
      </c>
      <c r="I682" s="32" t="s">
        <v>11892</v>
      </c>
      <c r="J682" s="32" t="s">
        <v>2717</v>
      </c>
      <c r="K682" s="32" t="s">
        <v>11893</v>
      </c>
      <c r="L682" s="32" t="s">
        <v>2636</v>
      </c>
      <c r="M682" s="32" t="s">
        <v>11894</v>
      </c>
      <c r="N682" s="32" t="s">
        <v>4666</v>
      </c>
      <c r="O682" s="32" t="s">
        <v>11895</v>
      </c>
    </row>
    <row x14ac:dyDescent="0.25" r="683" customHeight="1" ht="15.75">
      <c r="A683" s="8">
        <v>25961</v>
      </c>
      <c r="B683" s="13" t="s">
        <v>129</v>
      </c>
      <c r="C683" s="13" t="s">
        <v>6028</v>
      </c>
      <c r="D683" s="32" t="s">
        <v>6029</v>
      </c>
      <c r="E683" s="32" t="s">
        <v>11896</v>
      </c>
      <c r="F683" s="32" t="s">
        <v>11897</v>
      </c>
      <c r="G683" s="32" t="s">
        <v>9899</v>
      </c>
      <c r="H683" s="32" t="s">
        <v>11898</v>
      </c>
      <c r="I683" s="32" t="s">
        <v>11899</v>
      </c>
      <c r="J683" s="32" t="s">
        <v>6030</v>
      </c>
      <c r="K683" s="32" t="s">
        <v>11900</v>
      </c>
      <c r="L683" s="32" t="s">
        <v>4626</v>
      </c>
      <c r="M683" s="32" t="s">
        <v>7973</v>
      </c>
      <c r="N683" s="32" t="s">
        <v>11901</v>
      </c>
      <c r="O683" s="32" t="s">
        <v>11902</v>
      </c>
    </row>
    <row x14ac:dyDescent="0.25" r="684" customHeight="1" ht="15.75">
      <c r="A684" s="8">
        <v>25962</v>
      </c>
      <c r="B684" s="13" t="s">
        <v>129</v>
      </c>
      <c r="C684" s="13" t="s">
        <v>6031</v>
      </c>
      <c r="D684" s="32" t="s">
        <v>6032</v>
      </c>
      <c r="E684" s="32" t="s">
        <v>11903</v>
      </c>
      <c r="F684" s="32" t="s">
        <v>9874</v>
      </c>
      <c r="G684" s="32" t="s">
        <v>11904</v>
      </c>
      <c r="H684" s="32" t="s">
        <v>9215</v>
      </c>
      <c r="I684" s="32" t="s">
        <v>11905</v>
      </c>
      <c r="J684" s="32" t="s">
        <v>6034</v>
      </c>
      <c r="K684" s="32" t="s">
        <v>9088</v>
      </c>
      <c r="L684" s="32" t="s">
        <v>11906</v>
      </c>
      <c r="M684" s="32" t="s">
        <v>9840</v>
      </c>
      <c r="N684" s="32" t="s">
        <v>4338</v>
      </c>
      <c r="O684" s="32" t="s">
        <v>11907</v>
      </c>
    </row>
    <row x14ac:dyDescent="0.25" r="685" customHeight="1" ht="15.75">
      <c r="A685" s="8">
        <v>25963</v>
      </c>
      <c r="B685" s="13" t="s">
        <v>129</v>
      </c>
      <c r="C685" s="13" t="s">
        <v>6035</v>
      </c>
      <c r="D685" s="32" t="s">
        <v>6036</v>
      </c>
      <c r="E685" s="32" t="s">
        <v>11908</v>
      </c>
      <c r="F685" s="32" t="s">
        <v>4848</v>
      </c>
      <c r="G685" s="32" t="s">
        <v>11909</v>
      </c>
      <c r="H685" s="32" t="s">
        <v>4989</v>
      </c>
      <c r="I685" s="32" t="s">
        <v>11910</v>
      </c>
      <c r="J685" s="32" t="s">
        <v>6037</v>
      </c>
      <c r="K685" s="32" t="s">
        <v>11911</v>
      </c>
      <c r="L685" s="32" t="s">
        <v>1463</v>
      </c>
      <c r="M685" s="32" t="s">
        <v>11912</v>
      </c>
      <c r="N685" s="32" t="s">
        <v>2616</v>
      </c>
      <c r="O685" s="32" t="s">
        <v>11913</v>
      </c>
    </row>
    <row x14ac:dyDescent="0.25" r="686" customHeight="1" ht="15.75">
      <c r="A686" s="8">
        <v>25900</v>
      </c>
      <c r="B686" s="13" t="s">
        <v>129</v>
      </c>
      <c r="C686" s="13" t="s">
        <v>6038</v>
      </c>
      <c r="D686" s="32" t="s">
        <v>6039</v>
      </c>
      <c r="E686" s="32" t="s">
        <v>10508</v>
      </c>
      <c r="F686" s="32" t="s">
        <v>11914</v>
      </c>
      <c r="G686" s="32" t="s">
        <v>11915</v>
      </c>
      <c r="H686" s="32" t="s">
        <v>11916</v>
      </c>
      <c r="I686" s="32" t="s">
        <v>11917</v>
      </c>
      <c r="J686" s="32" t="s">
        <v>6040</v>
      </c>
      <c r="K686" s="32" t="s">
        <v>11918</v>
      </c>
      <c r="L686" s="32" t="s">
        <v>6040</v>
      </c>
      <c r="M686" s="32" t="s">
        <v>11919</v>
      </c>
      <c r="N686" s="32" t="s">
        <v>11920</v>
      </c>
      <c r="O686" s="32" t="s">
        <v>11921</v>
      </c>
    </row>
    <row x14ac:dyDescent="0.25" r="687" customHeight="1" ht="15.75">
      <c r="A687" s="8">
        <v>25964</v>
      </c>
      <c r="B687" s="13" t="s">
        <v>129</v>
      </c>
      <c r="C687" s="13" t="s">
        <v>6041</v>
      </c>
      <c r="D687" s="32" t="s">
        <v>6042</v>
      </c>
      <c r="E687" s="32" t="s">
        <v>9585</v>
      </c>
      <c r="F687" s="32" t="s">
        <v>11922</v>
      </c>
      <c r="G687" s="32" t="s">
        <v>7309</v>
      </c>
      <c r="H687" s="32" t="s">
        <v>11923</v>
      </c>
      <c r="I687" s="32" t="s">
        <v>11924</v>
      </c>
      <c r="J687" s="32" t="s">
        <v>6043</v>
      </c>
      <c r="K687" s="32" t="s">
        <v>11925</v>
      </c>
      <c r="L687" s="32" t="s">
        <v>6962</v>
      </c>
      <c r="M687" s="32" t="s">
        <v>11926</v>
      </c>
      <c r="N687" s="32" t="s">
        <v>10438</v>
      </c>
      <c r="O687" s="32" t="s">
        <v>11927</v>
      </c>
    </row>
    <row x14ac:dyDescent="0.25" r="688" customHeight="1" ht="15.75">
      <c r="A688" s="8">
        <v>25901</v>
      </c>
      <c r="B688" s="13" t="s">
        <v>129</v>
      </c>
      <c r="C688" s="13" t="s">
        <v>6044</v>
      </c>
      <c r="D688" s="32" t="s">
        <v>6045</v>
      </c>
      <c r="E688" s="32" t="s">
        <v>11928</v>
      </c>
      <c r="F688" s="32" t="s">
        <v>810</v>
      </c>
      <c r="G688" s="32" t="s">
        <v>11929</v>
      </c>
      <c r="H688" s="32" t="s">
        <v>4543</v>
      </c>
      <c r="I688" s="32" t="s">
        <v>11930</v>
      </c>
      <c r="J688" s="32" t="s">
        <v>6046</v>
      </c>
      <c r="K688" s="32" t="s">
        <v>11931</v>
      </c>
      <c r="L688" s="32" t="s">
        <v>8197</v>
      </c>
      <c r="M688" s="32" t="s">
        <v>7849</v>
      </c>
      <c r="N688" s="32" t="s">
        <v>951</v>
      </c>
      <c r="O688" s="32" t="s">
        <v>11932</v>
      </c>
    </row>
    <row x14ac:dyDescent="0.25" r="689" customHeight="1" ht="15.75">
      <c r="A689" s="8">
        <v>25902</v>
      </c>
      <c r="B689" s="13" t="s">
        <v>129</v>
      </c>
      <c r="C689" s="13" t="s">
        <v>6047</v>
      </c>
      <c r="D689" s="32" t="s">
        <v>6048</v>
      </c>
      <c r="E689" s="32" t="s">
        <v>11933</v>
      </c>
      <c r="F689" s="32" t="s">
        <v>11934</v>
      </c>
      <c r="G689" s="32" t="s">
        <v>11935</v>
      </c>
      <c r="H689" s="32" t="s">
        <v>8984</v>
      </c>
      <c r="I689" s="32" t="s">
        <v>11936</v>
      </c>
      <c r="J689" s="32" t="s">
        <v>6049</v>
      </c>
      <c r="K689" s="32" t="s">
        <v>11937</v>
      </c>
      <c r="L689" s="32" t="s">
        <v>11938</v>
      </c>
      <c r="M689" s="32" t="s">
        <v>11939</v>
      </c>
      <c r="N689" s="32" t="s">
        <v>11940</v>
      </c>
      <c r="O689" s="32" t="s">
        <v>11941</v>
      </c>
    </row>
    <row x14ac:dyDescent="0.25" r="690" customHeight="1" ht="15.75">
      <c r="A690" s="8">
        <v>25965</v>
      </c>
      <c r="B690" s="13" t="s">
        <v>129</v>
      </c>
      <c r="C690" s="13" t="s">
        <v>6050</v>
      </c>
      <c r="D690" s="32" t="s">
        <v>6051</v>
      </c>
      <c r="E690" s="32" t="s">
        <v>11942</v>
      </c>
      <c r="F690" s="32" t="s">
        <v>11943</v>
      </c>
      <c r="G690" s="32" t="s">
        <v>11944</v>
      </c>
      <c r="H690" s="32" t="s">
        <v>11945</v>
      </c>
      <c r="I690" s="32" t="s">
        <v>8243</v>
      </c>
      <c r="J690" s="32" t="s">
        <v>6052</v>
      </c>
      <c r="K690" s="32" t="s">
        <v>9482</v>
      </c>
      <c r="L690" s="32" t="s">
        <v>5288</v>
      </c>
      <c r="M690" s="32" t="s">
        <v>11946</v>
      </c>
      <c r="N690" s="32" t="s">
        <v>7248</v>
      </c>
      <c r="O690" s="32" t="s">
        <v>11947</v>
      </c>
    </row>
    <row x14ac:dyDescent="0.25" r="691" customHeight="1" ht="15.75">
      <c r="A691" s="8">
        <v>25947</v>
      </c>
      <c r="B691" s="13" t="s">
        <v>129</v>
      </c>
      <c r="C691" s="13" t="s">
        <v>6053</v>
      </c>
      <c r="D691" s="32" t="s">
        <v>6054</v>
      </c>
      <c r="E691" s="32" t="s">
        <v>11948</v>
      </c>
      <c r="F691" s="32" t="s">
        <v>11949</v>
      </c>
      <c r="G691" s="32" t="s">
        <v>11950</v>
      </c>
      <c r="H691" s="32" t="s">
        <v>11951</v>
      </c>
      <c r="I691" s="32" t="s">
        <v>11952</v>
      </c>
      <c r="J691" s="32" t="s">
        <v>6056</v>
      </c>
      <c r="K691" s="32" t="s">
        <v>7215</v>
      </c>
      <c r="L691" s="32" t="s">
        <v>8909</v>
      </c>
      <c r="M691" s="32" t="s">
        <v>11953</v>
      </c>
      <c r="N691" s="32" t="s">
        <v>11954</v>
      </c>
      <c r="O691" s="32" t="s">
        <v>11955</v>
      </c>
    </row>
    <row x14ac:dyDescent="0.25" r="692" customHeight="1" ht="15.75">
      <c r="A692" s="8">
        <v>25948</v>
      </c>
      <c r="B692" s="13" t="s">
        <v>129</v>
      </c>
      <c r="C692" s="13" t="s">
        <v>6057</v>
      </c>
      <c r="D692" s="32" t="s">
        <v>4335</v>
      </c>
      <c r="E692" s="32" t="s">
        <v>11956</v>
      </c>
      <c r="F692" s="32" t="s">
        <v>11957</v>
      </c>
      <c r="G692" s="32" t="s">
        <v>11958</v>
      </c>
      <c r="H692" s="32" t="s">
        <v>5531</v>
      </c>
      <c r="I692" s="32" t="s">
        <v>11959</v>
      </c>
      <c r="J692" s="32" t="s">
        <v>6058</v>
      </c>
      <c r="K692" s="32" t="s">
        <v>10591</v>
      </c>
      <c r="L692" s="32" t="s">
        <v>7170</v>
      </c>
      <c r="M692" s="32" t="s">
        <v>11960</v>
      </c>
      <c r="N692" s="32" t="s">
        <v>11961</v>
      </c>
      <c r="O692" s="32" t="s">
        <v>11962</v>
      </c>
    </row>
    <row x14ac:dyDescent="0.25" r="693" customHeight="1" ht="15.75">
      <c r="A693" s="8">
        <v>25966</v>
      </c>
      <c r="B693" s="13" t="s">
        <v>129</v>
      </c>
      <c r="C693" s="13" t="s">
        <v>6059</v>
      </c>
      <c r="D693" s="32" t="s">
        <v>6060</v>
      </c>
      <c r="E693" s="32" t="s">
        <v>11963</v>
      </c>
      <c r="F693" s="32" t="s">
        <v>6391</v>
      </c>
      <c r="G693" s="32" t="s">
        <v>11964</v>
      </c>
      <c r="H693" s="32" t="s">
        <v>11816</v>
      </c>
      <c r="I693" s="32" t="s">
        <v>11965</v>
      </c>
      <c r="J693" s="32" t="s">
        <v>4329</v>
      </c>
      <c r="K693" s="32" t="s">
        <v>11966</v>
      </c>
      <c r="L693" s="32" t="s">
        <v>11967</v>
      </c>
      <c r="M693" s="32" t="s">
        <v>11968</v>
      </c>
      <c r="N693" s="32" t="s">
        <v>5953</v>
      </c>
      <c r="O693" s="32" t="s">
        <v>11969</v>
      </c>
    </row>
    <row x14ac:dyDescent="0.25" r="694" customHeight="1" ht="15.75">
      <c r="A694" s="8">
        <v>25903</v>
      </c>
      <c r="B694" s="13" t="s">
        <v>129</v>
      </c>
      <c r="C694" s="13" t="s">
        <v>6062</v>
      </c>
      <c r="D694" s="32" t="s">
        <v>122</v>
      </c>
      <c r="E694" s="32" t="s">
        <v>11970</v>
      </c>
      <c r="F694" s="32" t="s">
        <v>1151</v>
      </c>
      <c r="G694" s="32" t="s">
        <v>11971</v>
      </c>
      <c r="H694" s="32" t="s">
        <v>11972</v>
      </c>
      <c r="I694" s="32" t="s">
        <v>11973</v>
      </c>
      <c r="J694" s="32" t="s">
        <v>6063</v>
      </c>
      <c r="K694" s="32" t="s">
        <v>11974</v>
      </c>
      <c r="L694" s="32" t="s">
        <v>6063</v>
      </c>
      <c r="M694" s="32" t="s">
        <v>11975</v>
      </c>
      <c r="N694" s="32" t="s">
        <v>1800</v>
      </c>
      <c r="O694" s="32" t="s">
        <v>11976</v>
      </c>
    </row>
    <row x14ac:dyDescent="0.25" r="695" customHeight="1" ht="15.75">
      <c r="A695" s="8">
        <v>25949</v>
      </c>
      <c r="B695" s="13" t="s">
        <v>129</v>
      </c>
      <c r="C695" s="13" t="s">
        <v>6064</v>
      </c>
      <c r="D695" s="32" t="s">
        <v>6065</v>
      </c>
      <c r="E695" s="32" t="s">
        <v>11977</v>
      </c>
      <c r="F695" s="32" t="s">
        <v>11978</v>
      </c>
      <c r="G695" s="32" t="s">
        <v>11979</v>
      </c>
      <c r="H695" s="32" t="s">
        <v>8396</v>
      </c>
      <c r="I695" s="32" t="s">
        <v>11980</v>
      </c>
      <c r="J695" s="32" t="s">
        <v>5027</v>
      </c>
      <c r="K695" s="32" t="s">
        <v>11981</v>
      </c>
      <c r="L695" s="32" t="s">
        <v>10674</v>
      </c>
      <c r="M695" s="32" t="s">
        <v>11982</v>
      </c>
      <c r="N695" s="32" t="s">
        <v>10458</v>
      </c>
      <c r="O695" s="32" t="s">
        <v>11983</v>
      </c>
    </row>
    <row x14ac:dyDescent="0.25" r="696" customHeight="1" ht="15.75">
      <c r="A696" s="8">
        <v>25904</v>
      </c>
      <c r="B696" s="13" t="s">
        <v>129</v>
      </c>
      <c r="C696" s="13" t="s">
        <v>6067</v>
      </c>
      <c r="D696" s="32" t="s">
        <v>2655</v>
      </c>
      <c r="E696" s="32" t="s">
        <v>11984</v>
      </c>
      <c r="F696" s="32" t="s">
        <v>11985</v>
      </c>
      <c r="G696" s="32" t="s">
        <v>11986</v>
      </c>
      <c r="H696" s="32" t="s">
        <v>11987</v>
      </c>
      <c r="I696" s="32" t="s">
        <v>11988</v>
      </c>
      <c r="J696" s="32" t="s">
        <v>5409</v>
      </c>
      <c r="K696" s="32" t="s">
        <v>11989</v>
      </c>
      <c r="L696" s="32" t="s">
        <v>11990</v>
      </c>
      <c r="M696" s="32" t="s">
        <v>11991</v>
      </c>
      <c r="N696" s="32" t="s">
        <v>1227</v>
      </c>
      <c r="O696" s="32" t="s">
        <v>11992</v>
      </c>
    </row>
    <row x14ac:dyDescent="0.25" r="697" customHeight="1" ht="15.75">
      <c r="A697" s="8">
        <v>25950</v>
      </c>
      <c r="B697" s="13" t="s">
        <v>129</v>
      </c>
      <c r="C697" s="13" t="s">
        <v>6068</v>
      </c>
      <c r="D697" s="32" t="s">
        <v>6069</v>
      </c>
      <c r="E697" s="32" t="s">
        <v>11993</v>
      </c>
      <c r="F697" s="32" t="s">
        <v>8178</v>
      </c>
      <c r="G697" s="32" t="s">
        <v>11994</v>
      </c>
      <c r="H697" s="32" t="s">
        <v>2076</v>
      </c>
      <c r="I697" s="32" t="s">
        <v>11995</v>
      </c>
      <c r="J697" s="32" t="s">
        <v>6070</v>
      </c>
      <c r="K697" s="32" t="s">
        <v>11996</v>
      </c>
      <c r="L697" s="32" t="s">
        <v>11997</v>
      </c>
      <c r="M697" s="32" t="s">
        <v>11998</v>
      </c>
      <c r="N697" s="32" t="s">
        <v>2131</v>
      </c>
      <c r="O697" s="32" t="s">
        <v>11999</v>
      </c>
    </row>
    <row x14ac:dyDescent="0.25" r="698" customHeight="1" ht="15.75">
      <c r="A698" s="8">
        <v>25905</v>
      </c>
      <c r="B698" s="13" t="s">
        <v>129</v>
      </c>
      <c r="C698" s="13" t="s">
        <v>6071</v>
      </c>
      <c r="D698" s="32" t="s">
        <v>4533</v>
      </c>
      <c r="E698" s="32" t="s">
        <v>12000</v>
      </c>
      <c r="F698" s="32" t="s">
        <v>6137</v>
      </c>
      <c r="G698" s="32" t="s">
        <v>12001</v>
      </c>
      <c r="H698" s="32" t="s">
        <v>6652</v>
      </c>
      <c r="I698" s="32" t="s">
        <v>12002</v>
      </c>
      <c r="J698" s="32" t="s">
        <v>6072</v>
      </c>
      <c r="K698" s="32" t="s">
        <v>9388</v>
      </c>
      <c r="L698" s="32" t="s">
        <v>6072</v>
      </c>
      <c r="M698" s="32" t="s">
        <v>12003</v>
      </c>
      <c r="N698" s="32" t="s">
        <v>2166</v>
      </c>
      <c r="O698" s="32" t="s">
        <v>12004</v>
      </c>
    </row>
    <row x14ac:dyDescent="0.25" r="699" customHeight="1" ht="15.75">
      <c r="A699" s="8">
        <v>25906</v>
      </c>
      <c r="B699" s="13" t="s">
        <v>129</v>
      </c>
      <c r="C699" s="13" t="s">
        <v>6073</v>
      </c>
      <c r="D699" s="32" t="s">
        <v>2649</v>
      </c>
      <c r="E699" s="32" t="s">
        <v>12005</v>
      </c>
      <c r="F699" s="32" t="s">
        <v>7088</v>
      </c>
      <c r="G699" s="32" t="s">
        <v>12006</v>
      </c>
      <c r="H699" s="32" t="s">
        <v>11711</v>
      </c>
      <c r="I699" s="32" t="s">
        <v>12007</v>
      </c>
      <c r="J699" s="32" t="s">
        <v>5207</v>
      </c>
      <c r="K699" s="32" t="s">
        <v>12008</v>
      </c>
      <c r="L699" s="32" t="s">
        <v>12009</v>
      </c>
      <c r="M699" s="32" t="s">
        <v>7437</v>
      </c>
      <c r="N699" s="32" t="s">
        <v>12010</v>
      </c>
      <c r="O699" s="32" t="s">
        <v>12011</v>
      </c>
    </row>
    <row x14ac:dyDescent="0.25" r="700" customHeight="1" ht="15.75">
      <c r="A700" s="8">
        <v>25967</v>
      </c>
      <c r="B700" s="13" t="s">
        <v>129</v>
      </c>
      <c r="C700" s="13" t="s">
        <v>5918</v>
      </c>
      <c r="D700" s="32" t="s">
        <v>1463</v>
      </c>
      <c r="E700" s="32" t="s">
        <v>12012</v>
      </c>
      <c r="F700" s="32" t="s">
        <v>5448</v>
      </c>
      <c r="G700" s="32" t="s">
        <v>12013</v>
      </c>
      <c r="H700" s="32" t="s">
        <v>4234</v>
      </c>
      <c r="I700" s="32" t="s">
        <v>12014</v>
      </c>
      <c r="J700" s="32" t="s">
        <v>6074</v>
      </c>
      <c r="K700" s="32" t="s">
        <v>12015</v>
      </c>
      <c r="L700" s="32" t="s">
        <v>7651</v>
      </c>
      <c r="M700" s="32" t="s">
        <v>12016</v>
      </c>
      <c r="N700" s="32" t="s">
        <v>12017</v>
      </c>
      <c r="O700" s="32" t="s">
        <v>12018</v>
      </c>
    </row>
    <row x14ac:dyDescent="0.25" r="701" customHeight="1" ht="15.75">
      <c r="A701" s="8">
        <v>25936</v>
      </c>
      <c r="B701" s="13" t="s">
        <v>129</v>
      </c>
      <c r="C701" s="13" t="s">
        <v>6075</v>
      </c>
      <c r="D701" s="32" t="s">
        <v>6076</v>
      </c>
      <c r="E701" s="32" t="s">
        <v>12019</v>
      </c>
      <c r="F701" s="32" t="s">
        <v>12020</v>
      </c>
      <c r="G701" s="32" t="s">
        <v>12021</v>
      </c>
      <c r="H701" s="32" t="s">
        <v>12022</v>
      </c>
      <c r="I701" s="32" t="s">
        <v>12023</v>
      </c>
      <c r="J701" s="32" t="s">
        <v>6077</v>
      </c>
      <c r="K701" s="32" t="s">
        <v>12024</v>
      </c>
      <c r="L701" s="32" t="s">
        <v>12025</v>
      </c>
      <c r="M701" s="32" t="s">
        <v>8962</v>
      </c>
      <c r="N701" s="32" t="s">
        <v>12026</v>
      </c>
      <c r="O701" s="32" t="s">
        <v>12027</v>
      </c>
    </row>
    <row x14ac:dyDescent="0.25" r="702" customHeight="1" ht="15.75">
      <c r="A702" s="8">
        <v>25937</v>
      </c>
      <c r="B702" s="13" t="s">
        <v>129</v>
      </c>
      <c r="C702" s="13" t="s">
        <v>6078</v>
      </c>
      <c r="D702" s="32" t="s">
        <v>4086</v>
      </c>
      <c r="E702" s="32" t="s">
        <v>12028</v>
      </c>
      <c r="F702" s="32" t="s">
        <v>1143</v>
      </c>
      <c r="G702" s="32" t="s">
        <v>10252</v>
      </c>
      <c r="H702" s="32" t="s">
        <v>81</v>
      </c>
      <c r="I702" s="32" t="s">
        <v>12029</v>
      </c>
      <c r="J702" s="32" t="s">
        <v>1143</v>
      </c>
      <c r="K702" s="32" t="s">
        <v>12030</v>
      </c>
      <c r="L702" s="32" t="s">
        <v>4919</v>
      </c>
      <c r="M702" s="32" t="s">
        <v>12031</v>
      </c>
      <c r="N702" s="32" t="s">
        <v>1143</v>
      </c>
      <c r="O702" s="32" t="s">
        <v>7918</v>
      </c>
    </row>
    <row x14ac:dyDescent="0.25" r="703" customHeight="1" ht="15.75">
      <c r="A703" s="8">
        <v>25938</v>
      </c>
      <c r="B703" s="13" t="s">
        <v>129</v>
      </c>
      <c r="C703" s="13" t="s">
        <v>6079</v>
      </c>
      <c r="D703" s="32" t="s">
        <v>6080</v>
      </c>
      <c r="E703" s="32" t="s">
        <v>12032</v>
      </c>
      <c r="F703" s="32" t="s">
        <v>12033</v>
      </c>
      <c r="G703" s="32" t="s">
        <v>11314</v>
      </c>
      <c r="H703" s="32" t="s">
        <v>12034</v>
      </c>
      <c r="I703" s="32" t="s">
        <v>9529</v>
      </c>
      <c r="J703" s="32" t="s">
        <v>6082</v>
      </c>
      <c r="K703" s="32" t="s">
        <v>12035</v>
      </c>
      <c r="L703" s="32" t="s">
        <v>12036</v>
      </c>
      <c r="M703" s="32" t="s">
        <v>12037</v>
      </c>
      <c r="N703" s="32" t="s">
        <v>1572</v>
      </c>
      <c r="O703" s="32" t="s">
        <v>12038</v>
      </c>
    </row>
    <row x14ac:dyDescent="0.25" r="704" customHeight="1" ht="15.75">
      <c r="A704" s="8">
        <v>25907</v>
      </c>
      <c r="B704" s="13" t="s">
        <v>129</v>
      </c>
      <c r="C704" s="13" t="s">
        <v>5922</v>
      </c>
      <c r="D704" s="32" t="s">
        <v>6083</v>
      </c>
      <c r="E704" s="32" t="s">
        <v>12039</v>
      </c>
      <c r="F704" s="32" t="s">
        <v>9599</v>
      </c>
      <c r="G704" s="32" t="s">
        <v>12040</v>
      </c>
      <c r="H704" s="32" t="s">
        <v>11100</v>
      </c>
      <c r="I704" s="32" t="s">
        <v>12041</v>
      </c>
      <c r="J704" s="32" t="s">
        <v>4478</v>
      </c>
      <c r="K704" s="32" t="s">
        <v>12042</v>
      </c>
      <c r="L704" s="32" t="s">
        <v>12043</v>
      </c>
      <c r="M704" s="32" t="s">
        <v>12044</v>
      </c>
      <c r="N704" s="32" t="s">
        <v>5590</v>
      </c>
      <c r="O704" s="32" t="s">
        <v>12045</v>
      </c>
    </row>
    <row x14ac:dyDescent="0.25" r="705" customHeight="1" ht="15.75">
      <c r="A705" s="8">
        <v>25908</v>
      </c>
      <c r="B705" s="13" t="s">
        <v>129</v>
      </c>
      <c r="C705" s="13" t="s">
        <v>6084</v>
      </c>
      <c r="D705" s="32" t="s">
        <v>6085</v>
      </c>
      <c r="E705" s="32" t="s">
        <v>12046</v>
      </c>
      <c r="F705" s="32" t="s">
        <v>12047</v>
      </c>
      <c r="G705" s="32" t="s">
        <v>12048</v>
      </c>
      <c r="H705" s="32" t="s">
        <v>12049</v>
      </c>
      <c r="I705" s="32" t="s">
        <v>12050</v>
      </c>
      <c r="J705" s="32" t="s">
        <v>5936</v>
      </c>
      <c r="K705" s="32" t="s">
        <v>12051</v>
      </c>
      <c r="L705" s="32" t="s">
        <v>9314</v>
      </c>
      <c r="M705" s="32" t="s">
        <v>12052</v>
      </c>
      <c r="N705" s="32" t="s">
        <v>12047</v>
      </c>
      <c r="O705" s="32" t="s">
        <v>12053</v>
      </c>
    </row>
    <row x14ac:dyDescent="0.25" r="706" customHeight="1" ht="15.75">
      <c r="A706" s="8">
        <v>25909</v>
      </c>
      <c r="B706" s="13" t="s">
        <v>129</v>
      </c>
      <c r="C706" s="13" t="s">
        <v>6086</v>
      </c>
      <c r="D706" s="32" t="s">
        <v>6087</v>
      </c>
      <c r="E706" s="32" t="s">
        <v>12054</v>
      </c>
      <c r="F706" s="32" t="s">
        <v>6984</v>
      </c>
      <c r="G706" s="32" t="s">
        <v>12055</v>
      </c>
      <c r="H706" s="32" t="s">
        <v>5589</v>
      </c>
      <c r="I706" s="32" t="s">
        <v>12056</v>
      </c>
      <c r="J706" s="32" t="s">
        <v>6088</v>
      </c>
      <c r="K706" s="32" t="s">
        <v>7123</v>
      </c>
      <c r="L706" s="32" t="s">
        <v>6367</v>
      </c>
      <c r="M706" s="32" t="s">
        <v>12057</v>
      </c>
      <c r="N706" s="32" t="s">
        <v>12058</v>
      </c>
      <c r="O706" s="32" t="s">
        <v>12059</v>
      </c>
    </row>
    <row x14ac:dyDescent="0.25" r="707" customHeight="1" ht="15.75">
      <c r="A707" s="8">
        <v>25951</v>
      </c>
      <c r="B707" s="13" t="s">
        <v>129</v>
      </c>
      <c r="C707" s="13" t="s">
        <v>6089</v>
      </c>
      <c r="D707" s="32" t="s">
        <v>1562</v>
      </c>
      <c r="E707" s="32" t="s">
        <v>12060</v>
      </c>
      <c r="F707" s="32" t="s">
        <v>12061</v>
      </c>
      <c r="G707" s="32" t="s">
        <v>7127</v>
      </c>
      <c r="H707" s="32" t="s">
        <v>2699</v>
      </c>
      <c r="I707" s="32" t="s">
        <v>12062</v>
      </c>
      <c r="J707" s="32" t="s">
        <v>6090</v>
      </c>
      <c r="K707" s="32" t="s">
        <v>7127</v>
      </c>
      <c r="L707" s="32" t="s">
        <v>12063</v>
      </c>
      <c r="M707" s="32" t="s">
        <v>12064</v>
      </c>
      <c r="N707" s="32" t="s">
        <v>12065</v>
      </c>
      <c r="O707" s="32" t="s">
        <v>7127</v>
      </c>
    </row>
    <row x14ac:dyDescent="0.25" r="708" customHeight="1" ht="15.75">
      <c r="A708" s="8">
        <v>25968</v>
      </c>
      <c r="B708" s="13" t="s">
        <v>129</v>
      </c>
      <c r="C708" s="13" t="s">
        <v>6092</v>
      </c>
      <c r="D708" s="32" t="s">
        <v>2573</v>
      </c>
      <c r="E708" s="32" t="s">
        <v>12066</v>
      </c>
      <c r="F708" s="32" t="s">
        <v>7915</v>
      </c>
      <c r="G708" s="32" t="s">
        <v>12067</v>
      </c>
      <c r="H708" s="32" t="s">
        <v>7227</v>
      </c>
      <c r="I708" s="32" t="s">
        <v>12068</v>
      </c>
      <c r="J708" s="32" t="s">
        <v>6093</v>
      </c>
      <c r="K708" s="32" t="s">
        <v>12069</v>
      </c>
      <c r="L708" s="32" t="s">
        <v>2766</v>
      </c>
      <c r="M708" s="32" t="s">
        <v>12070</v>
      </c>
      <c r="N708" s="32" t="s">
        <v>5380</v>
      </c>
      <c r="O708" s="32" t="s">
        <v>10249</v>
      </c>
    </row>
    <row x14ac:dyDescent="0.25" r="709" customHeight="1" ht="15.75">
      <c r="A709" s="8">
        <v>25952</v>
      </c>
      <c r="B709" s="13" t="s">
        <v>129</v>
      </c>
      <c r="C709" s="13" t="s">
        <v>6094</v>
      </c>
      <c r="D709" s="32" t="s">
        <v>6095</v>
      </c>
      <c r="E709" s="32" t="s">
        <v>12071</v>
      </c>
      <c r="F709" s="32" t="s">
        <v>10264</v>
      </c>
      <c r="G709" s="32" t="s">
        <v>12072</v>
      </c>
      <c r="H709" s="32" t="s">
        <v>996</v>
      </c>
      <c r="I709" s="32" t="s">
        <v>8121</v>
      </c>
      <c r="J709" s="32" t="s">
        <v>2394</v>
      </c>
      <c r="K709" s="32" t="s">
        <v>12073</v>
      </c>
      <c r="L709" s="32" t="s">
        <v>7145</v>
      </c>
      <c r="M709" s="32" t="s">
        <v>12074</v>
      </c>
      <c r="N709" s="32" t="s">
        <v>7520</v>
      </c>
      <c r="O709" s="32" t="s">
        <v>12075</v>
      </c>
    </row>
    <row x14ac:dyDescent="0.25" r="710" customHeight="1" ht="15.75">
      <c r="A710" s="8">
        <v>25969</v>
      </c>
      <c r="B710" s="13" t="s">
        <v>129</v>
      </c>
      <c r="C710" s="13" t="s">
        <v>6096</v>
      </c>
      <c r="D710" s="32" t="s">
        <v>6097</v>
      </c>
      <c r="E710" s="32" t="s">
        <v>10339</v>
      </c>
      <c r="F710" s="32" t="s">
        <v>9327</v>
      </c>
      <c r="G710" s="32" t="s">
        <v>12076</v>
      </c>
      <c r="H710" s="32" t="s">
        <v>5984</v>
      </c>
      <c r="I710" s="32" t="s">
        <v>10351</v>
      </c>
      <c r="J710" s="32" t="s">
        <v>5299</v>
      </c>
      <c r="K710" s="32" t="s">
        <v>12077</v>
      </c>
      <c r="L710" s="32" t="s">
        <v>34</v>
      </c>
      <c r="M710" s="32" t="s">
        <v>8602</v>
      </c>
      <c r="N710" s="32" t="s">
        <v>9715</v>
      </c>
      <c r="O710" s="32" t="s">
        <v>12078</v>
      </c>
    </row>
    <row x14ac:dyDescent="0.25" r="711" customHeight="1" ht="15.75">
      <c r="A711" s="8">
        <v>25970</v>
      </c>
      <c r="B711" s="13" t="s">
        <v>129</v>
      </c>
      <c r="C711" s="13" t="s">
        <v>6098</v>
      </c>
      <c r="D711" s="32" t="s">
        <v>6099</v>
      </c>
      <c r="E711" s="32" t="s">
        <v>12079</v>
      </c>
      <c r="F711" s="32" t="s">
        <v>12080</v>
      </c>
      <c r="G711" s="32" t="s">
        <v>10153</v>
      </c>
      <c r="H711" s="32" t="s">
        <v>2644</v>
      </c>
      <c r="I711" s="32" t="s">
        <v>12081</v>
      </c>
      <c r="J711" s="32" t="s">
        <v>6100</v>
      </c>
      <c r="K711" s="32" t="s">
        <v>12082</v>
      </c>
      <c r="L711" s="32" t="s">
        <v>9770</v>
      </c>
      <c r="M711" s="32" t="s">
        <v>12083</v>
      </c>
      <c r="N711" s="32" t="s">
        <v>5720</v>
      </c>
      <c r="O711" s="32" t="s">
        <v>12084</v>
      </c>
    </row>
    <row x14ac:dyDescent="0.25" r="712" customHeight="1" ht="15.75">
      <c r="A712" s="8">
        <v>25971</v>
      </c>
      <c r="B712" s="13" t="s">
        <v>129</v>
      </c>
      <c r="C712" s="13" t="s">
        <v>6101</v>
      </c>
      <c r="D712" s="32" t="s">
        <v>6102</v>
      </c>
      <c r="E712" s="32" t="s">
        <v>12085</v>
      </c>
      <c r="F712" s="32" t="s">
        <v>2616</v>
      </c>
      <c r="G712" s="32" t="s">
        <v>12086</v>
      </c>
      <c r="H712" s="32" t="s">
        <v>7154</v>
      </c>
      <c r="I712" s="32" t="s">
        <v>12087</v>
      </c>
      <c r="J712" s="32" t="s">
        <v>6103</v>
      </c>
      <c r="K712" s="32" t="s">
        <v>12088</v>
      </c>
      <c r="L712" s="32" t="s">
        <v>81</v>
      </c>
      <c r="M712" s="32" t="s">
        <v>12089</v>
      </c>
      <c r="N712" s="32" t="s">
        <v>6753</v>
      </c>
      <c r="O712" s="32" t="s">
        <v>12090</v>
      </c>
    </row>
    <row x14ac:dyDescent="0.25" r="713" customHeight="1" ht="15.75">
      <c r="A713" s="8">
        <v>25972</v>
      </c>
      <c r="B713" s="13" t="s">
        <v>129</v>
      </c>
      <c r="C713" s="13" t="s">
        <v>6105</v>
      </c>
      <c r="D713" s="32" t="s">
        <v>1562</v>
      </c>
      <c r="E713" s="32" t="s">
        <v>12091</v>
      </c>
      <c r="F713" s="32" t="s">
        <v>5423</v>
      </c>
      <c r="G713" s="32" t="s">
        <v>12092</v>
      </c>
      <c r="H713" s="32" t="s">
        <v>1826</v>
      </c>
      <c r="I713" s="32" t="s">
        <v>12093</v>
      </c>
      <c r="J713" s="32" t="s">
        <v>2666</v>
      </c>
      <c r="K713" s="32" t="s">
        <v>12094</v>
      </c>
      <c r="L713" s="32" t="s">
        <v>485</v>
      </c>
      <c r="M713" s="32" t="s">
        <v>12095</v>
      </c>
      <c r="N713" s="32" t="s">
        <v>5423</v>
      </c>
      <c r="O713" s="32" t="s">
        <v>10565</v>
      </c>
    </row>
    <row x14ac:dyDescent="0.25" r="714" customHeight="1" ht="15.75">
      <c r="A714" s="8">
        <v>25910</v>
      </c>
      <c r="B714" s="13" t="s">
        <v>129</v>
      </c>
      <c r="C714" s="13" t="s">
        <v>6106</v>
      </c>
      <c r="D714" s="32" t="s">
        <v>2000</v>
      </c>
      <c r="E714" s="32" t="s">
        <v>12096</v>
      </c>
      <c r="F714" s="32" t="s">
        <v>4703</v>
      </c>
      <c r="G714" s="32" t="s">
        <v>12097</v>
      </c>
      <c r="H714" s="32" t="s">
        <v>12098</v>
      </c>
      <c r="I714" s="32" t="s">
        <v>12099</v>
      </c>
      <c r="J714" s="32" t="s">
        <v>6107</v>
      </c>
      <c r="K714" s="32" t="s">
        <v>11102</v>
      </c>
      <c r="L714" s="32" t="s">
        <v>5119</v>
      </c>
      <c r="M714" s="32" t="s">
        <v>12100</v>
      </c>
      <c r="N714" s="32" t="s">
        <v>12101</v>
      </c>
      <c r="O714" s="32" t="s">
        <v>12102</v>
      </c>
    </row>
    <row x14ac:dyDescent="0.25" r="715" customHeight="1" ht="15.75">
      <c r="A715" s="8">
        <v>25973</v>
      </c>
      <c r="B715" s="13" t="s">
        <v>129</v>
      </c>
      <c r="C715" s="13" t="s">
        <v>6108</v>
      </c>
      <c r="D715" s="32" t="s">
        <v>6109</v>
      </c>
      <c r="E715" s="32" t="s">
        <v>12103</v>
      </c>
      <c r="F715" s="32" t="s">
        <v>12104</v>
      </c>
      <c r="G715" s="32" t="s">
        <v>8019</v>
      </c>
      <c r="H715" s="32" t="s">
        <v>12105</v>
      </c>
      <c r="I715" s="32" t="s">
        <v>12106</v>
      </c>
      <c r="J715" s="32" t="s">
        <v>6110</v>
      </c>
      <c r="K715" s="32" t="s">
        <v>12107</v>
      </c>
      <c r="L715" s="32" t="s">
        <v>9441</v>
      </c>
      <c r="M715" s="32" t="s">
        <v>12108</v>
      </c>
      <c r="N715" s="32" t="s">
        <v>9706</v>
      </c>
      <c r="O715" s="32" t="s">
        <v>12109</v>
      </c>
    </row>
    <row x14ac:dyDescent="0.25" r="716" customHeight="1" ht="15.75">
      <c r="A716" s="8">
        <v>25911</v>
      </c>
      <c r="B716" s="13" t="s">
        <v>129</v>
      </c>
      <c r="C716" s="13" t="s">
        <v>6111</v>
      </c>
      <c r="D716" s="32" t="s">
        <v>2721</v>
      </c>
      <c r="E716" s="32" t="s">
        <v>9127</v>
      </c>
      <c r="F716" s="32" t="s">
        <v>12110</v>
      </c>
      <c r="G716" s="32" t="s">
        <v>12111</v>
      </c>
      <c r="H716" s="32" t="s">
        <v>11167</v>
      </c>
      <c r="I716" s="32" t="s">
        <v>12112</v>
      </c>
      <c r="J716" s="32" t="s">
        <v>830</v>
      </c>
      <c r="K716" s="32" t="s">
        <v>12113</v>
      </c>
      <c r="L716" s="32" t="s">
        <v>1521</v>
      </c>
      <c r="M716" s="32" t="s">
        <v>12114</v>
      </c>
      <c r="N716" s="32" t="s">
        <v>4304</v>
      </c>
      <c r="O716" s="32" t="s">
        <v>12115</v>
      </c>
    </row>
    <row x14ac:dyDescent="0.25" r="717" customHeight="1" ht="15.75">
      <c r="A717" s="8">
        <v>25912</v>
      </c>
      <c r="B717" s="13" t="s">
        <v>129</v>
      </c>
      <c r="C717" s="13" t="s">
        <v>6113</v>
      </c>
      <c r="D717" s="32" t="s">
        <v>6114</v>
      </c>
      <c r="E717" s="32" t="s">
        <v>12116</v>
      </c>
      <c r="F717" s="32" t="s">
        <v>5047</v>
      </c>
      <c r="G717" s="32" t="s">
        <v>12117</v>
      </c>
      <c r="H717" s="32" t="s">
        <v>11761</v>
      </c>
      <c r="I717" s="32" t="s">
        <v>12118</v>
      </c>
      <c r="J717" s="32" t="s">
        <v>6116</v>
      </c>
      <c r="K717" s="32" t="s">
        <v>12119</v>
      </c>
      <c r="L717" s="32" t="s">
        <v>8457</v>
      </c>
      <c r="M717" s="32" t="s">
        <v>12120</v>
      </c>
      <c r="N717" s="32" t="s">
        <v>12121</v>
      </c>
      <c r="O717" s="32" t="s">
        <v>11243</v>
      </c>
    </row>
    <row x14ac:dyDescent="0.25" r="718" customHeight="1" ht="15.75">
      <c r="A718" s="8">
        <v>25913</v>
      </c>
      <c r="B718" s="13" t="s">
        <v>129</v>
      </c>
      <c r="C718" s="13" t="s">
        <v>6117</v>
      </c>
      <c r="D718" s="32" t="s">
        <v>6118</v>
      </c>
      <c r="E718" s="32" t="s">
        <v>12122</v>
      </c>
      <c r="F718" s="32" t="s">
        <v>5244</v>
      </c>
      <c r="G718" s="32" t="s">
        <v>12123</v>
      </c>
      <c r="H718" s="32" t="s">
        <v>5955</v>
      </c>
      <c r="I718" s="32" t="s">
        <v>12124</v>
      </c>
      <c r="J718" s="32" t="s">
        <v>6120</v>
      </c>
      <c r="K718" s="32" t="s">
        <v>12125</v>
      </c>
      <c r="L718" s="32" t="s">
        <v>6012</v>
      </c>
      <c r="M718" s="32" t="s">
        <v>12126</v>
      </c>
      <c r="N718" s="32" t="s">
        <v>12127</v>
      </c>
      <c r="O718" s="32" t="s">
        <v>12128</v>
      </c>
    </row>
    <row x14ac:dyDescent="0.25" r="719" customHeight="1" ht="15.75">
      <c r="A719" s="8">
        <v>25914</v>
      </c>
      <c r="B719" s="13" t="s">
        <v>129</v>
      </c>
      <c r="C719" s="13" t="s">
        <v>6122</v>
      </c>
      <c r="D719" s="32" t="s">
        <v>6123</v>
      </c>
      <c r="E719" s="32" t="s">
        <v>12129</v>
      </c>
      <c r="F719" s="32" t="s">
        <v>12130</v>
      </c>
      <c r="G719" s="32" t="s">
        <v>12131</v>
      </c>
      <c r="H719" s="32" t="s">
        <v>12132</v>
      </c>
      <c r="I719" s="32" t="s">
        <v>12133</v>
      </c>
      <c r="J719" s="32" t="s">
        <v>5530</v>
      </c>
      <c r="K719" s="32" t="s">
        <v>12134</v>
      </c>
      <c r="L719" s="32" t="s">
        <v>12135</v>
      </c>
      <c r="M719" s="32" t="s">
        <v>12136</v>
      </c>
      <c r="N719" s="32" t="s">
        <v>12137</v>
      </c>
      <c r="O719" s="32" t="s">
        <v>12138</v>
      </c>
    </row>
    <row x14ac:dyDescent="0.25" r="720" customHeight="1" ht="15.75">
      <c r="A720" s="8">
        <v>25915</v>
      </c>
      <c r="B720" s="13" t="s">
        <v>129</v>
      </c>
      <c r="C720" s="13" t="s">
        <v>6124</v>
      </c>
      <c r="D720" s="32" t="s">
        <v>6125</v>
      </c>
      <c r="E720" s="32" t="s">
        <v>12139</v>
      </c>
      <c r="F720" s="32" t="s">
        <v>6125</v>
      </c>
      <c r="G720" s="32" t="s">
        <v>12140</v>
      </c>
      <c r="H720" s="32" t="s">
        <v>6125</v>
      </c>
      <c r="I720" s="32" t="s">
        <v>12141</v>
      </c>
      <c r="J720" s="32" t="s">
        <v>6127</v>
      </c>
      <c r="K720" s="32" t="s">
        <v>12142</v>
      </c>
      <c r="L720" s="32" t="s">
        <v>5860</v>
      </c>
      <c r="M720" s="32" t="s">
        <v>12143</v>
      </c>
      <c r="N720" s="32" t="s">
        <v>12144</v>
      </c>
      <c r="O720" s="32" t="s">
        <v>12145</v>
      </c>
    </row>
    <row x14ac:dyDescent="0.25" r="721" customHeight="1" ht="15.75">
      <c r="A721" s="8">
        <v>25974</v>
      </c>
      <c r="B721" s="13" t="s">
        <v>129</v>
      </c>
      <c r="C721" s="13" t="s">
        <v>4531</v>
      </c>
      <c r="D721" s="32" t="s">
        <v>6128</v>
      </c>
      <c r="E721" s="32" t="s">
        <v>12146</v>
      </c>
      <c r="F721" s="32" t="s">
        <v>8405</v>
      </c>
      <c r="G721" s="32" t="s">
        <v>12147</v>
      </c>
      <c r="H721" s="32" t="s">
        <v>12148</v>
      </c>
      <c r="I721" s="32" t="s">
        <v>12149</v>
      </c>
      <c r="J721" s="32" t="s">
        <v>6129</v>
      </c>
      <c r="K721" s="32" t="s">
        <v>12150</v>
      </c>
      <c r="L721" s="32" t="s">
        <v>8455</v>
      </c>
      <c r="M721" s="32" t="s">
        <v>12151</v>
      </c>
      <c r="N721" s="32" t="s">
        <v>12152</v>
      </c>
      <c r="O721" s="32" t="s">
        <v>12153</v>
      </c>
    </row>
    <row x14ac:dyDescent="0.25" r="722" customHeight="1" ht="15.75">
      <c r="A722" s="8">
        <v>25939</v>
      </c>
      <c r="B722" s="13" t="s">
        <v>129</v>
      </c>
      <c r="C722" s="13" t="s">
        <v>6130</v>
      </c>
      <c r="D722" s="32" t="s">
        <v>6131</v>
      </c>
      <c r="E722" s="32" t="s">
        <v>12154</v>
      </c>
      <c r="F722" s="32" t="s">
        <v>4978</v>
      </c>
      <c r="G722" s="32" t="s">
        <v>12155</v>
      </c>
      <c r="H722" s="32" t="s">
        <v>8134</v>
      </c>
      <c r="I722" s="32" t="s">
        <v>12156</v>
      </c>
      <c r="J722" s="32" t="s">
        <v>6133</v>
      </c>
      <c r="K722" s="32" t="s">
        <v>7127</v>
      </c>
      <c r="L722" s="32" t="s">
        <v>11061</v>
      </c>
      <c r="M722" s="32" t="s">
        <v>9318</v>
      </c>
      <c r="N722" s="32" t="s">
        <v>12157</v>
      </c>
      <c r="O722" s="32" t="s">
        <v>12158</v>
      </c>
    </row>
    <row x14ac:dyDescent="0.25" r="723" customHeight="1" ht="15.75">
      <c r="A723" s="8">
        <v>25975</v>
      </c>
      <c r="B723" s="13" t="s">
        <v>129</v>
      </c>
      <c r="C723" s="13" t="s">
        <v>5226</v>
      </c>
      <c r="D723" s="32" t="s">
        <v>6135</v>
      </c>
      <c r="E723" s="32" t="s">
        <v>12159</v>
      </c>
      <c r="F723" s="32" t="s">
        <v>12160</v>
      </c>
      <c r="G723" s="32" t="s">
        <v>12161</v>
      </c>
      <c r="H723" s="32" t="s">
        <v>5229</v>
      </c>
      <c r="I723" s="32" t="s">
        <v>12162</v>
      </c>
      <c r="J723" s="32" t="s">
        <v>6137</v>
      </c>
      <c r="K723" s="32" t="s">
        <v>12163</v>
      </c>
      <c r="L723" s="32" t="s">
        <v>5461</v>
      </c>
      <c r="M723" s="32" t="s">
        <v>9961</v>
      </c>
      <c r="N723" s="32" t="s">
        <v>12164</v>
      </c>
      <c r="O723" s="32" t="s">
        <v>12165</v>
      </c>
    </row>
    <row x14ac:dyDescent="0.25" r="724" customHeight="1" ht="15.75">
      <c r="A724" s="8">
        <v>25976</v>
      </c>
      <c r="B724" s="13" t="s">
        <v>129</v>
      </c>
      <c r="C724" s="13" t="s">
        <v>6138</v>
      </c>
      <c r="D724" s="32" t="s">
        <v>6139</v>
      </c>
      <c r="E724" s="32" t="s">
        <v>12166</v>
      </c>
      <c r="F724" s="32" t="s">
        <v>5615</v>
      </c>
      <c r="G724" s="32" t="s">
        <v>12167</v>
      </c>
      <c r="H724" s="32" t="s">
        <v>7957</v>
      </c>
      <c r="I724" s="32" t="s">
        <v>12168</v>
      </c>
      <c r="J724" s="32" t="s">
        <v>4371</v>
      </c>
      <c r="K724" s="32" t="s">
        <v>12169</v>
      </c>
      <c r="L724" s="32" t="s">
        <v>6432</v>
      </c>
      <c r="M724" s="32" t="s">
        <v>12170</v>
      </c>
      <c r="N724" s="32" t="s">
        <v>7010</v>
      </c>
      <c r="O724" s="32" t="s">
        <v>12171</v>
      </c>
    </row>
    <row x14ac:dyDescent="0.25" r="725" customHeight="1" ht="15.75">
      <c r="A725" s="8">
        <v>25978</v>
      </c>
      <c r="B725" s="13" t="s">
        <v>129</v>
      </c>
      <c r="C725" s="13" t="s">
        <v>6141</v>
      </c>
      <c r="D725" s="32" t="s">
        <v>6142</v>
      </c>
      <c r="E725" s="32" t="s">
        <v>12172</v>
      </c>
      <c r="F725" s="32" t="s">
        <v>12173</v>
      </c>
      <c r="G725" s="32" t="s">
        <v>11336</v>
      </c>
      <c r="H725" s="32" t="s">
        <v>74</v>
      </c>
      <c r="I725" s="32" t="s">
        <v>9614</v>
      </c>
      <c r="J725" s="32" t="s">
        <v>6143</v>
      </c>
      <c r="K725" s="32" t="s">
        <v>11959</v>
      </c>
      <c r="L725" s="32" t="s">
        <v>8719</v>
      </c>
      <c r="M725" s="32" t="s">
        <v>12035</v>
      </c>
      <c r="N725" s="32" t="s">
        <v>8651</v>
      </c>
      <c r="O725" s="32" t="s">
        <v>12174</v>
      </c>
    </row>
    <row x14ac:dyDescent="0.25" r="726" customHeight="1" ht="15.75">
      <c r="A726" s="8">
        <v>25916</v>
      </c>
      <c r="B726" s="13" t="s">
        <v>129</v>
      </c>
      <c r="C726" s="13" t="s">
        <v>6144</v>
      </c>
      <c r="D726" s="32" t="s">
        <v>6145</v>
      </c>
      <c r="E726" s="32" t="s">
        <v>12175</v>
      </c>
      <c r="F726" s="32" t="s">
        <v>12176</v>
      </c>
      <c r="G726" s="32" t="s">
        <v>7584</v>
      </c>
      <c r="H726" s="32" t="s">
        <v>12177</v>
      </c>
      <c r="I726" s="32" t="s">
        <v>12178</v>
      </c>
      <c r="J726" s="32" t="s">
        <v>6146</v>
      </c>
      <c r="K726" s="32" t="s">
        <v>12179</v>
      </c>
      <c r="L726" s="32" t="s">
        <v>2423</v>
      </c>
      <c r="M726" s="32" t="s">
        <v>12180</v>
      </c>
      <c r="N726" s="32" t="s">
        <v>5520</v>
      </c>
      <c r="O726" s="32" t="s">
        <v>12181</v>
      </c>
    </row>
    <row x14ac:dyDescent="0.25" r="727" customHeight="1" ht="15.75">
      <c r="A727" s="8">
        <v>25941</v>
      </c>
      <c r="B727" s="13" t="s">
        <v>129</v>
      </c>
      <c r="C727" s="13" t="s">
        <v>6147</v>
      </c>
      <c r="D727" s="32" t="s">
        <v>350</v>
      </c>
      <c r="E727" s="32" t="s">
        <v>10186</v>
      </c>
      <c r="F727" s="32" t="s">
        <v>4319</v>
      </c>
      <c r="G727" s="32" t="s">
        <v>8016</v>
      </c>
      <c r="H727" s="32" t="s">
        <v>74</v>
      </c>
      <c r="I727" s="32" t="s">
        <v>9350</v>
      </c>
      <c r="J727" s="32" t="s">
        <v>88</v>
      </c>
      <c r="K727" s="32" t="s">
        <v>12182</v>
      </c>
      <c r="L727" s="32" t="s">
        <v>81</v>
      </c>
      <c r="M727" s="32" t="s">
        <v>12183</v>
      </c>
      <c r="N727" s="32" t="s">
        <v>5321</v>
      </c>
      <c r="O727" s="32" t="s">
        <v>12184</v>
      </c>
    </row>
    <row x14ac:dyDescent="0.25" r="728" customHeight="1" ht="15.75">
      <c r="A728" s="8">
        <v>25942</v>
      </c>
      <c r="B728" s="13" t="s">
        <v>129</v>
      </c>
      <c r="C728" s="13" t="s">
        <v>6149</v>
      </c>
      <c r="D728" s="32" t="s">
        <v>6150</v>
      </c>
      <c r="E728" s="32" t="s">
        <v>12185</v>
      </c>
      <c r="F728" s="32" t="s">
        <v>11954</v>
      </c>
      <c r="G728" s="32" t="s">
        <v>12186</v>
      </c>
      <c r="H728" s="32" t="s">
        <v>12187</v>
      </c>
      <c r="I728" s="32" t="s">
        <v>12188</v>
      </c>
      <c r="J728" s="32" t="s">
        <v>6151</v>
      </c>
      <c r="K728" s="32" t="s">
        <v>12189</v>
      </c>
      <c r="L728" s="32" t="s">
        <v>12190</v>
      </c>
      <c r="M728" s="32" t="s">
        <v>12191</v>
      </c>
      <c r="N728" s="32" t="s">
        <v>10991</v>
      </c>
      <c r="O728" s="32" t="s">
        <v>12192</v>
      </c>
    </row>
    <row x14ac:dyDescent="0.25" r="729" customHeight="1" ht="15.75">
      <c r="A729" s="8">
        <v>25917</v>
      </c>
      <c r="B729" s="13" t="s">
        <v>129</v>
      </c>
      <c r="C729" s="13" t="s">
        <v>6152</v>
      </c>
      <c r="D729" s="32" t="s">
        <v>6153</v>
      </c>
      <c r="E729" s="32" t="s">
        <v>8502</v>
      </c>
      <c r="F729" s="32" t="s">
        <v>5330</v>
      </c>
      <c r="G729" s="32" t="s">
        <v>12193</v>
      </c>
      <c r="H729" s="32" t="s">
        <v>12194</v>
      </c>
      <c r="I729" s="32" t="s">
        <v>12195</v>
      </c>
      <c r="J729" s="32" t="s">
        <v>6154</v>
      </c>
      <c r="K729" s="32" t="s">
        <v>12196</v>
      </c>
      <c r="L729" s="32" t="s">
        <v>2554</v>
      </c>
      <c r="M729" s="32" t="s">
        <v>12197</v>
      </c>
      <c r="N729" s="32" t="s">
        <v>7049</v>
      </c>
      <c r="O729" s="32" t="s">
        <v>12198</v>
      </c>
    </row>
    <row x14ac:dyDescent="0.25" r="730" customHeight="1" ht="15.75">
      <c r="A730" s="8">
        <v>25979</v>
      </c>
      <c r="B730" s="13" t="s">
        <v>129</v>
      </c>
      <c r="C730" s="13" t="s">
        <v>6155</v>
      </c>
      <c r="D730" s="32" t="s">
        <v>6156</v>
      </c>
      <c r="E730" s="32" t="s">
        <v>7129</v>
      </c>
      <c r="F730" s="32" t="s">
        <v>12199</v>
      </c>
      <c r="G730" s="32" t="s">
        <v>12200</v>
      </c>
      <c r="H730" s="32" t="s">
        <v>5013</v>
      </c>
      <c r="I730" s="32" t="s">
        <v>10594</v>
      </c>
      <c r="J730" s="32" t="s">
        <v>2486</v>
      </c>
      <c r="K730" s="32" t="s">
        <v>12201</v>
      </c>
      <c r="L730" s="32" t="s">
        <v>12202</v>
      </c>
      <c r="M730" s="32" t="s">
        <v>12203</v>
      </c>
      <c r="N730" s="32" t="s">
        <v>12204</v>
      </c>
      <c r="O730" s="32" t="s">
        <v>11894</v>
      </c>
    </row>
    <row x14ac:dyDescent="0.25" r="731" customHeight="1" ht="15.75">
      <c r="A731" s="8">
        <v>25980</v>
      </c>
      <c r="B731" s="13" t="s">
        <v>129</v>
      </c>
      <c r="C731" s="13" t="s">
        <v>6158</v>
      </c>
      <c r="D731" s="32" t="s">
        <v>6159</v>
      </c>
      <c r="E731" s="32" t="s">
        <v>12205</v>
      </c>
      <c r="F731" s="32" t="s">
        <v>12206</v>
      </c>
      <c r="G731" s="32" t="s">
        <v>12207</v>
      </c>
      <c r="H731" s="32" t="s">
        <v>12208</v>
      </c>
      <c r="I731" s="32" t="s">
        <v>9870</v>
      </c>
      <c r="J731" s="32" t="s">
        <v>6160</v>
      </c>
      <c r="K731" s="32" t="s">
        <v>12209</v>
      </c>
      <c r="L731" s="32" t="s">
        <v>4106</v>
      </c>
      <c r="M731" s="32" t="s">
        <v>12210</v>
      </c>
      <c r="N731" s="32" t="s">
        <v>12211</v>
      </c>
      <c r="O731" s="32" t="s">
        <v>12212</v>
      </c>
    </row>
    <row x14ac:dyDescent="0.25" r="732" customHeight="1" ht="15.75">
      <c r="A732" s="8">
        <v>25918</v>
      </c>
      <c r="B732" s="13" t="s">
        <v>129</v>
      </c>
      <c r="C732" s="13" t="s">
        <v>6161</v>
      </c>
      <c r="D732" s="32" t="s">
        <v>6162</v>
      </c>
      <c r="E732" s="32" t="s">
        <v>12213</v>
      </c>
      <c r="F732" s="32" t="s">
        <v>5067</v>
      </c>
      <c r="G732" s="32" t="s">
        <v>12214</v>
      </c>
      <c r="H732" s="32" t="s">
        <v>12215</v>
      </c>
      <c r="I732" s="32" t="s">
        <v>12216</v>
      </c>
      <c r="J732" s="32" t="s">
        <v>2264</v>
      </c>
      <c r="K732" s="32" t="s">
        <v>12217</v>
      </c>
      <c r="L732" s="32" t="s">
        <v>2663</v>
      </c>
      <c r="M732" s="32" t="s">
        <v>12218</v>
      </c>
      <c r="N732" s="32" t="s">
        <v>2663</v>
      </c>
      <c r="O732" s="32" t="s">
        <v>9402</v>
      </c>
    </row>
    <row x14ac:dyDescent="0.25" r="733" customHeight="1" ht="15.75">
      <c r="A733" s="8">
        <v>25981</v>
      </c>
      <c r="B733" s="13" t="s">
        <v>129</v>
      </c>
      <c r="C733" s="13" t="s">
        <v>6163</v>
      </c>
      <c r="D733" s="32" t="s">
        <v>1826</v>
      </c>
      <c r="E733" s="32" t="s">
        <v>12219</v>
      </c>
      <c r="F733" s="32" t="s">
        <v>1826</v>
      </c>
      <c r="G733" s="32" t="s">
        <v>8602</v>
      </c>
      <c r="H733" s="32" t="s">
        <v>4282</v>
      </c>
      <c r="I733" s="32" t="s">
        <v>7762</v>
      </c>
      <c r="J733" s="32" t="s">
        <v>2636</v>
      </c>
      <c r="K733" s="32" t="s">
        <v>7161</v>
      </c>
      <c r="L733" s="32" t="s">
        <v>122</v>
      </c>
      <c r="M733" s="32" t="s">
        <v>7477</v>
      </c>
      <c r="N733" s="32" t="s">
        <v>4282</v>
      </c>
      <c r="O733" s="32" t="s">
        <v>9184</v>
      </c>
    </row>
    <row x14ac:dyDescent="0.25" r="734" customHeight="1" ht="15.75">
      <c r="A734" s="8">
        <v>25982</v>
      </c>
      <c r="B734" s="13" t="s">
        <v>129</v>
      </c>
      <c r="C734" s="13" t="s">
        <v>6164</v>
      </c>
      <c r="D734" s="32" t="s">
        <v>6165</v>
      </c>
      <c r="E734" s="32" t="s">
        <v>12220</v>
      </c>
      <c r="F734" s="32" t="s">
        <v>8160</v>
      </c>
      <c r="G734" s="32" t="s">
        <v>12221</v>
      </c>
      <c r="H734" s="32" t="s">
        <v>11580</v>
      </c>
      <c r="I734" s="32" t="s">
        <v>12222</v>
      </c>
      <c r="J734" s="32" t="s">
        <v>2142</v>
      </c>
      <c r="K734" s="32" t="s">
        <v>12223</v>
      </c>
      <c r="L734" s="32" t="s">
        <v>4506</v>
      </c>
      <c r="M734" s="32" t="s">
        <v>12224</v>
      </c>
      <c r="N734" s="32" t="s">
        <v>2142</v>
      </c>
      <c r="O734" s="32" t="s">
        <v>11246</v>
      </c>
    </row>
    <row x14ac:dyDescent="0.25" r="735" customHeight="1" ht="15.75">
      <c r="A735" s="8">
        <v>25983</v>
      </c>
      <c r="B735" s="13" t="s">
        <v>129</v>
      </c>
      <c r="C735" s="13" t="s">
        <v>6166</v>
      </c>
      <c r="D735" s="32" t="s">
        <v>6167</v>
      </c>
      <c r="E735" s="32" t="s">
        <v>12225</v>
      </c>
      <c r="F735" s="32" t="s">
        <v>12226</v>
      </c>
      <c r="G735" s="32" t="s">
        <v>12227</v>
      </c>
      <c r="H735" s="32" t="s">
        <v>951</v>
      </c>
      <c r="I735" s="32" t="s">
        <v>12228</v>
      </c>
      <c r="J735" s="32" t="s">
        <v>951</v>
      </c>
      <c r="K735" s="32" t="s">
        <v>12229</v>
      </c>
      <c r="L735" s="32" t="s">
        <v>12226</v>
      </c>
      <c r="M735" s="32" t="s">
        <v>12230</v>
      </c>
      <c r="N735" s="32" t="s">
        <v>951</v>
      </c>
      <c r="O735" s="32" t="s">
        <v>12231</v>
      </c>
    </row>
    <row x14ac:dyDescent="0.25" r="736" customHeight="1" ht="15.75">
      <c r="A736" s="8">
        <v>25984</v>
      </c>
      <c r="B736" s="13" t="s">
        <v>129</v>
      </c>
      <c r="C736" s="13" t="s">
        <v>6169</v>
      </c>
      <c r="D736" s="32" t="s">
        <v>6170</v>
      </c>
      <c r="E736" s="32" t="s">
        <v>12232</v>
      </c>
      <c r="F736" s="32" t="s">
        <v>10668</v>
      </c>
      <c r="G736" s="32" t="s">
        <v>12233</v>
      </c>
      <c r="H736" s="32" t="s">
        <v>5860</v>
      </c>
      <c r="I736" s="32" t="s">
        <v>12234</v>
      </c>
      <c r="J736" s="32" t="s">
        <v>6172</v>
      </c>
      <c r="K736" s="32" t="s">
        <v>12235</v>
      </c>
      <c r="L736" s="32" t="s">
        <v>12236</v>
      </c>
      <c r="M736" s="32" t="s">
        <v>12237</v>
      </c>
      <c r="N736" s="32" t="s">
        <v>12238</v>
      </c>
      <c r="O736" s="32" t="s">
        <v>12239</v>
      </c>
    </row>
    <row x14ac:dyDescent="0.25" r="737" customHeight="1" ht="15.75">
      <c r="A737" s="8">
        <v>25985</v>
      </c>
      <c r="B737" s="13" t="s">
        <v>129</v>
      </c>
      <c r="C737" s="13" t="s">
        <v>6173</v>
      </c>
      <c r="D737" s="32" t="s">
        <v>6174</v>
      </c>
      <c r="E737" s="32" t="s">
        <v>12240</v>
      </c>
      <c r="F737" s="32" t="s">
        <v>12241</v>
      </c>
      <c r="G737" s="32" t="s">
        <v>12242</v>
      </c>
      <c r="H737" s="32" t="s">
        <v>9922</v>
      </c>
      <c r="I737" s="32" t="s">
        <v>12243</v>
      </c>
      <c r="J737" s="32" t="s">
        <v>4598</v>
      </c>
      <c r="K737" s="32" t="s">
        <v>12244</v>
      </c>
      <c r="L737" s="32" t="s">
        <v>12245</v>
      </c>
      <c r="M737" s="32" t="s">
        <v>12246</v>
      </c>
      <c r="N737" s="32" t="s">
        <v>6072</v>
      </c>
      <c r="O737" s="32" t="s">
        <v>12247</v>
      </c>
    </row>
    <row x14ac:dyDescent="0.25" r="738" customHeight="1" ht="15.75">
      <c r="A738" s="8">
        <v>25986</v>
      </c>
      <c r="B738" s="13" t="s">
        <v>129</v>
      </c>
      <c r="C738" s="13" t="s">
        <v>6176</v>
      </c>
      <c r="D738" s="32" t="s">
        <v>6177</v>
      </c>
      <c r="E738" s="32" t="s">
        <v>12248</v>
      </c>
      <c r="F738" s="32" t="s">
        <v>12249</v>
      </c>
      <c r="G738" s="32" t="s">
        <v>12250</v>
      </c>
      <c r="H738" s="32" t="s">
        <v>5158</v>
      </c>
      <c r="I738" s="32" t="s">
        <v>12251</v>
      </c>
      <c r="J738" s="32" t="s">
        <v>6179</v>
      </c>
      <c r="K738" s="32" t="s">
        <v>12252</v>
      </c>
      <c r="L738" s="32" t="s">
        <v>12253</v>
      </c>
      <c r="M738" s="32" t="s">
        <v>12254</v>
      </c>
      <c r="N738" s="32" t="s">
        <v>4142</v>
      </c>
      <c r="O738" s="32" t="s">
        <v>8366</v>
      </c>
    </row>
    <row x14ac:dyDescent="0.25" r="739" customHeight="1" ht="15.75">
      <c r="A739" s="8">
        <v>25919</v>
      </c>
      <c r="B739" s="13" t="s">
        <v>129</v>
      </c>
      <c r="C739" s="13" t="s">
        <v>6180</v>
      </c>
      <c r="D739" s="32" t="s">
        <v>4121</v>
      </c>
      <c r="E739" s="32" t="s">
        <v>8691</v>
      </c>
      <c r="F739" s="32" t="s">
        <v>4180</v>
      </c>
      <c r="G739" s="32" t="s">
        <v>12255</v>
      </c>
      <c r="H739" s="32" t="s">
        <v>2679</v>
      </c>
      <c r="I739" s="32" t="s">
        <v>12256</v>
      </c>
      <c r="J739" s="32" t="s">
        <v>34</v>
      </c>
      <c r="K739" s="32" t="s">
        <v>12257</v>
      </c>
      <c r="L739" s="32" t="s">
        <v>6446</v>
      </c>
      <c r="M739" s="32" t="s">
        <v>12258</v>
      </c>
      <c r="N739" s="32" t="s">
        <v>6230</v>
      </c>
      <c r="O739" s="32" t="s">
        <v>12259</v>
      </c>
    </row>
    <row x14ac:dyDescent="0.25" r="740" customHeight="1" ht="15.75">
      <c r="A740" s="8">
        <v>25987</v>
      </c>
      <c r="B740" s="13" t="s">
        <v>129</v>
      </c>
      <c r="C740" s="13" t="s">
        <v>6182</v>
      </c>
      <c r="D740" s="32" t="s">
        <v>6183</v>
      </c>
      <c r="E740" s="32" t="s">
        <v>7851</v>
      </c>
      <c r="F740" s="32" t="s">
        <v>1562</v>
      </c>
      <c r="G740" s="32" t="s">
        <v>12260</v>
      </c>
      <c r="H740" s="32" t="s">
        <v>2672</v>
      </c>
      <c r="I740" s="32" t="s">
        <v>12261</v>
      </c>
      <c r="J740" s="32" t="s">
        <v>6185</v>
      </c>
      <c r="K740" s="32" t="s">
        <v>12262</v>
      </c>
      <c r="L740" s="32" t="s">
        <v>4502</v>
      </c>
      <c r="M740" s="32" t="s">
        <v>12263</v>
      </c>
      <c r="N740" s="32" t="s">
        <v>12264</v>
      </c>
      <c r="O740" s="32" t="s">
        <v>12265</v>
      </c>
    </row>
    <row x14ac:dyDescent="0.25" r="741" customHeight="1" ht="15.75">
      <c r="A741" s="8">
        <v>25920</v>
      </c>
      <c r="B741" s="13" t="s">
        <v>129</v>
      </c>
      <c r="C741" s="13" t="s">
        <v>6186</v>
      </c>
      <c r="D741" s="32" t="s">
        <v>6187</v>
      </c>
      <c r="E741" s="32" t="s">
        <v>7712</v>
      </c>
      <c r="F741" s="32" t="s">
        <v>4065</v>
      </c>
      <c r="G741" s="32" t="s">
        <v>12266</v>
      </c>
      <c r="H741" s="32" t="s">
        <v>12267</v>
      </c>
      <c r="I741" s="32" t="s">
        <v>12268</v>
      </c>
      <c r="J741" s="32" t="s">
        <v>6188</v>
      </c>
      <c r="K741" s="32" t="s">
        <v>12269</v>
      </c>
      <c r="L741" s="32" t="s">
        <v>6020</v>
      </c>
      <c r="M741" s="32" t="s">
        <v>12270</v>
      </c>
      <c r="N741" s="32" t="s">
        <v>12271</v>
      </c>
      <c r="O741" s="32" t="s">
        <v>12272</v>
      </c>
    </row>
    <row x14ac:dyDescent="0.25" r="742" customHeight="1" ht="15.75">
      <c r="A742" s="8">
        <v>25921</v>
      </c>
      <c r="B742" s="13" t="s">
        <v>129</v>
      </c>
      <c r="C742" s="13" t="s">
        <v>6189</v>
      </c>
      <c r="D742" s="32" t="s">
        <v>6190</v>
      </c>
      <c r="E742" s="32" t="s">
        <v>12273</v>
      </c>
      <c r="F742" s="32" t="s">
        <v>12274</v>
      </c>
      <c r="G742" s="32" t="s">
        <v>8407</v>
      </c>
      <c r="H742" s="32" t="s">
        <v>4230</v>
      </c>
      <c r="I742" s="32" t="s">
        <v>12275</v>
      </c>
      <c r="J742" s="32" t="s">
        <v>6191</v>
      </c>
      <c r="K742" s="32" t="s">
        <v>12276</v>
      </c>
      <c r="L742" s="32" t="s">
        <v>12277</v>
      </c>
      <c r="M742" s="32" t="s">
        <v>12278</v>
      </c>
      <c r="N742" s="32" t="s">
        <v>12277</v>
      </c>
      <c r="O742" s="32" t="s">
        <v>12279</v>
      </c>
    </row>
    <row x14ac:dyDescent="0.25" r="743" customHeight="1" ht="15.75">
      <c r="A743" s="8">
        <v>25953</v>
      </c>
      <c r="B743" s="13" t="s">
        <v>129</v>
      </c>
      <c r="C743" s="13" t="s">
        <v>6192</v>
      </c>
      <c r="D743" s="32" t="s">
        <v>6193</v>
      </c>
      <c r="E743" s="32" t="s">
        <v>11536</v>
      </c>
      <c r="F743" s="32" t="s">
        <v>5737</v>
      </c>
      <c r="G743" s="32" t="s">
        <v>8816</v>
      </c>
      <c r="H743" s="32" t="s">
        <v>4658</v>
      </c>
      <c r="I743" s="32" t="s">
        <v>12280</v>
      </c>
      <c r="J743" s="32" t="s">
        <v>5731</v>
      </c>
      <c r="K743" s="32" t="s">
        <v>12281</v>
      </c>
      <c r="L743" s="32" t="s">
        <v>12282</v>
      </c>
      <c r="M743" s="32" t="s">
        <v>8722</v>
      </c>
      <c r="N743" s="32" t="s">
        <v>11816</v>
      </c>
      <c r="O743" s="32" t="s">
        <v>12283</v>
      </c>
    </row>
    <row x14ac:dyDescent="0.25" r="744" customHeight="1" ht="15.75">
      <c r="A744" s="8">
        <v>25922</v>
      </c>
      <c r="B744" s="13" t="s">
        <v>129</v>
      </c>
      <c r="C744" s="13" t="s">
        <v>6195</v>
      </c>
      <c r="D744" s="32" t="s">
        <v>5865</v>
      </c>
      <c r="E744" s="32" t="s">
        <v>12284</v>
      </c>
      <c r="F744" s="32" t="s">
        <v>12285</v>
      </c>
      <c r="G744" s="32" t="s">
        <v>12286</v>
      </c>
      <c r="H744" s="32" t="s">
        <v>5865</v>
      </c>
      <c r="I744" s="32" t="s">
        <v>7807</v>
      </c>
      <c r="J744" s="32" t="s">
        <v>5785</v>
      </c>
      <c r="K744" s="32" t="s">
        <v>12287</v>
      </c>
      <c r="L744" s="32" t="s">
        <v>6935</v>
      </c>
      <c r="M744" s="32" t="s">
        <v>7473</v>
      </c>
      <c r="N744" s="32" t="s">
        <v>810</v>
      </c>
      <c r="O744" s="32" t="s">
        <v>12288</v>
      </c>
    </row>
    <row x14ac:dyDescent="0.25" r="745" customHeight="1" ht="15.75">
      <c r="A745" s="8">
        <v>25923</v>
      </c>
      <c r="B745" s="13" t="s">
        <v>129</v>
      </c>
      <c r="C745" s="13" t="s">
        <v>6196</v>
      </c>
      <c r="D745" s="32" t="s">
        <v>5207</v>
      </c>
      <c r="E745" s="32" t="s">
        <v>12289</v>
      </c>
      <c r="F745" s="32" t="s">
        <v>2416</v>
      </c>
      <c r="G745" s="32" t="s">
        <v>12290</v>
      </c>
      <c r="H745" s="32" t="s">
        <v>12291</v>
      </c>
      <c r="I745" s="32" t="s">
        <v>12292</v>
      </c>
      <c r="J745" s="32" t="s">
        <v>6123</v>
      </c>
      <c r="K745" s="32" t="s">
        <v>12293</v>
      </c>
      <c r="L745" s="32" t="s">
        <v>12294</v>
      </c>
      <c r="M745" s="32" t="s">
        <v>12295</v>
      </c>
      <c r="N745" s="32" t="s">
        <v>810</v>
      </c>
      <c r="O745" s="32" t="s">
        <v>12296</v>
      </c>
    </row>
    <row x14ac:dyDescent="0.25" r="746" customHeight="1" ht="15.75">
      <c r="A746" s="8">
        <v>25924</v>
      </c>
      <c r="B746" s="13" t="s">
        <v>129</v>
      </c>
      <c r="C746" s="13" t="s">
        <v>6197</v>
      </c>
      <c r="D746" s="32" t="s">
        <v>951</v>
      </c>
      <c r="E746" s="32" t="s">
        <v>12297</v>
      </c>
      <c r="F746" s="32" t="s">
        <v>5943</v>
      </c>
      <c r="G746" s="32" t="s">
        <v>7973</v>
      </c>
      <c r="H746" s="32" t="s">
        <v>1507</v>
      </c>
      <c r="I746" s="32" t="s">
        <v>12298</v>
      </c>
      <c r="J746" s="32" t="s">
        <v>6198</v>
      </c>
      <c r="K746" s="32" t="s">
        <v>9130</v>
      </c>
      <c r="L746" s="32" t="s">
        <v>12299</v>
      </c>
      <c r="M746" s="32" t="s">
        <v>12300</v>
      </c>
      <c r="N746" s="32" t="s">
        <v>1507</v>
      </c>
      <c r="O746" s="32" t="s">
        <v>12301</v>
      </c>
    </row>
    <row x14ac:dyDescent="0.25" r="747" customHeight="1" ht="15.75">
      <c r="A747" s="8">
        <v>25943</v>
      </c>
      <c r="B747" s="13" t="s">
        <v>129</v>
      </c>
      <c r="C747" s="13" t="s">
        <v>6199</v>
      </c>
      <c r="D747" s="32" t="s">
        <v>4234</v>
      </c>
      <c r="E747" s="32" t="s">
        <v>12302</v>
      </c>
      <c r="F747" s="32" t="s">
        <v>12303</v>
      </c>
      <c r="G747" s="32" t="s">
        <v>11465</v>
      </c>
      <c r="H747" s="32" t="s">
        <v>12294</v>
      </c>
      <c r="I747" s="32" t="s">
        <v>12304</v>
      </c>
      <c r="J747" s="32" t="s">
        <v>6200</v>
      </c>
      <c r="K747" s="32" t="s">
        <v>10558</v>
      </c>
      <c r="L747" s="32" t="s">
        <v>12305</v>
      </c>
      <c r="M747" s="32" t="s">
        <v>9768</v>
      </c>
      <c r="N747" s="32" t="s">
        <v>12306</v>
      </c>
      <c r="O747" s="32" t="s">
        <v>12307</v>
      </c>
    </row>
    <row x14ac:dyDescent="0.25" r="748" customHeight="1" ht="15.75">
      <c r="A748" s="8">
        <v>25925</v>
      </c>
      <c r="B748" s="13" t="s">
        <v>129</v>
      </c>
      <c r="C748" s="13" t="s">
        <v>6201</v>
      </c>
      <c r="D748" s="32" t="s">
        <v>6202</v>
      </c>
      <c r="E748" s="32" t="s">
        <v>12308</v>
      </c>
      <c r="F748" s="32" t="s">
        <v>12309</v>
      </c>
      <c r="G748" s="32" t="s">
        <v>12310</v>
      </c>
      <c r="H748" s="32" t="s">
        <v>12311</v>
      </c>
      <c r="I748" s="32" t="s">
        <v>12312</v>
      </c>
      <c r="J748" s="32" t="s">
        <v>6203</v>
      </c>
      <c r="K748" s="32" t="s">
        <v>12313</v>
      </c>
      <c r="L748" s="32" t="s">
        <v>12314</v>
      </c>
      <c r="M748" s="32" t="s">
        <v>12315</v>
      </c>
      <c r="N748" s="32" t="s">
        <v>7550</v>
      </c>
      <c r="O748" s="32" t="s">
        <v>12316</v>
      </c>
    </row>
    <row x14ac:dyDescent="0.25" r="749" customHeight="1" ht="15.75">
      <c r="A749" s="8">
        <v>25926</v>
      </c>
      <c r="B749" s="13" t="s">
        <v>129</v>
      </c>
      <c r="C749" s="13" t="s">
        <v>6204</v>
      </c>
      <c r="D749" s="32" t="s">
        <v>6205</v>
      </c>
      <c r="E749" s="32" t="s">
        <v>12317</v>
      </c>
      <c r="F749" s="32" t="s">
        <v>12318</v>
      </c>
      <c r="G749" s="32" t="s">
        <v>12319</v>
      </c>
      <c r="H749" s="32" t="s">
        <v>12320</v>
      </c>
      <c r="I749" s="32" t="s">
        <v>12321</v>
      </c>
      <c r="J749" s="32" t="s">
        <v>2387</v>
      </c>
      <c r="K749" s="32" t="s">
        <v>12322</v>
      </c>
      <c r="L749" s="32" t="s">
        <v>12176</v>
      </c>
      <c r="M749" s="32" t="s">
        <v>12323</v>
      </c>
      <c r="N749" s="32" t="s">
        <v>1780</v>
      </c>
      <c r="O749" s="32" t="s">
        <v>12324</v>
      </c>
    </row>
    <row x14ac:dyDescent="0.25" r="750" customHeight="1" ht="15.75">
      <c r="A750" s="8">
        <v>25927</v>
      </c>
      <c r="B750" s="13" t="s">
        <v>129</v>
      </c>
      <c r="C750" s="13" t="s">
        <v>6206</v>
      </c>
      <c r="D750" s="32" t="s">
        <v>6207</v>
      </c>
      <c r="E750" s="32" t="s">
        <v>12325</v>
      </c>
      <c r="F750" s="32" t="s">
        <v>12326</v>
      </c>
      <c r="G750" s="32" t="s">
        <v>12327</v>
      </c>
      <c r="H750" s="32" t="s">
        <v>5581</v>
      </c>
      <c r="I750" s="32" t="s">
        <v>12328</v>
      </c>
      <c r="J750" s="32" t="s">
        <v>6208</v>
      </c>
      <c r="K750" s="32" t="s">
        <v>12329</v>
      </c>
      <c r="L750" s="32" t="s">
        <v>11133</v>
      </c>
      <c r="M750" s="32" t="s">
        <v>12330</v>
      </c>
      <c r="N750" s="32" t="s">
        <v>11595</v>
      </c>
      <c r="O750" s="32" t="s">
        <v>12331</v>
      </c>
    </row>
    <row x14ac:dyDescent="0.25" r="751" customHeight="1" ht="15.75">
      <c r="A751" s="8">
        <v>25928</v>
      </c>
      <c r="B751" s="13" t="s">
        <v>129</v>
      </c>
      <c r="C751" s="13" t="s">
        <v>6209</v>
      </c>
      <c r="D751" s="32" t="s">
        <v>6210</v>
      </c>
      <c r="E751" s="32" t="s">
        <v>7418</v>
      </c>
      <c r="F751" s="32" t="s">
        <v>1686</v>
      </c>
      <c r="G751" s="32" t="s">
        <v>12332</v>
      </c>
      <c r="H751" s="32" t="s">
        <v>37</v>
      </c>
      <c r="I751" s="32" t="s">
        <v>9602</v>
      </c>
      <c r="J751" s="32" t="s">
        <v>4304</v>
      </c>
      <c r="K751" s="32" t="s">
        <v>12333</v>
      </c>
      <c r="L751" s="32" t="s">
        <v>12334</v>
      </c>
      <c r="M751" s="32" t="s">
        <v>12335</v>
      </c>
      <c r="N751" s="32" t="s">
        <v>5758</v>
      </c>
      <c r="O751" s="32" t="s">
        <v>12336</v>
      </c>
    </row>
    <row x14ac:dyDescent="0.25" r="752" customHeight="1" ht="15.75">
      <c r="A752" s="8">
        <v>25929</v>
      </c>
      <c r="B752" s="13" t="s">
        <v>129</v>
      </c>
      <c r="C752" s="13" t="s">
        <v>6212</v>
      </c>
      <c r="D752" s="32" t="s">
        <v>2687</v>
      </c>
      <c r="E752" s="32" t="s">
        <v>12337</v>
      </c>
      <c r="F752" s="32" t="s">
        <v>12338</v>
      </c>
      <c r="G752" s="32" t="s">
        <v>12339</v>
      </c>
      <c r="H752" s="32" t="s">
        <v>2687</v>
      </c>
      <c r="I752" s="32" t="s">
        <v>12340</v>
      </c>
      <c r="J752" s="32" t="s">
        <v>6214</v>
      </c>
      <c r="K752" s="32" t="s">
        <v>12341</v>
      </c>
      <c r="L752" s="32" t="s">
        <v>12342</v>
      </c>
      <c r="M752" s="32" t="s">
        <v>12343</v>
      </c>
      <c r="N752" s="32" t="s">
        <v>12344</v>
      </c>
      <c r="O752" s="32" t="s">
        <v>9429</v>
      </c>
    </row>
    <row x14ac:dyDescent="0.25" r="753" customHeight="1" ht="15.75">
      <c r="A753" s="8">
        <v>25930</v>
      </c>
      <c r="B753" s="13" t="s">
        <v>129</v>
      </c>
      <c r="C753" s="13" t="s">
        <v>6215</v>
      </c>
      <c r="D753" s="32" t="s">
        <v>6216</v>
      </c>
      <c r="E753" s="32" t="s">
        <v>12345</v>
      </c>
      <c r="F753" s="32" t="s">
        <v>2800</v>
      </c>
      <c r="G753" s="32" t="s">
        <v>12346</v>
      </c>
      <c r="H753" s="32" t="s">
        <v>12347</v>
      </c>
      <c r="I753" s="32" t="s">
        <v>12348</v>
      </c>
      <c r="J753" s="32" t="s">
        <v>6217</v>
      </c>
      <c r="K753" s="32" t="s">
        <v>10953</v>
      </c>
      <c r="L753" s="32" t="s">
        <v>2455</v>
      </c>
      <c r="M753" s="32" t="s">
        <v>12349</v>
      </c>
      <c r="N753" s="32" t="s">
        <v>2330</v>
      </c>
      <c r="O753" s="32" t="s">
        <v>8738</v>
      </c>
    </row>
    <row x14ac:dyDescent="0.25" r="754" customHeight="1" ht="15.75">
      <c r="A754" s="8">
        <v>25954</v>
      </c>
      <c r="B754" s="13" t="s">
        <v>129</v>
      </c>
      <c r="C754" s="13" t="s">
        <v>6218</v>
      </c>
      <c r="D754" s="32" t="s">
        <v>6219</v>
      </c>
      <c r="E754" s="32" t="s">
        <v>12350</v>
      </c>
      <c r="F754" s="32" t="s">
        <v>6219</v>
      </c>
      <c r="G754" s="32" t="s">
        <v>12351</v>
      </c>
      <c r="H754" s="32" t="s">
        <v>8388</v>
      </c>
      <c r="I754" s="32" t="s">
        <v>11128</v>
      </c>
      <c r="J754" s="32" t="s">
        <v>4384</v>
      </c>
      <c r="K754" s="32" t="s">
        <v>12352</v>
      </c>
      <c r="L754" s="32" t="s">
        <v>12353</v>
      </c>
      <c r="M754" s="32" t="s">
        <v>12354</v>
      </c>
      <c r="N754" s="32" t="s">
        <v>12353</v>
      </c>
      <c r="O754" s="32" t="s">
        <v>7235</v>
      </c>
    </row>
    <row x14ac:dyDescent="0.25" r="755" customHeight="1" ht="15.75">
      <c r="A755" s="8">
        <v>25988</v>
      </c>
      <c r="B755" s="13" t="s">
        <v>129</v>
      </c>
      <c r="C755" s="13" t="s">
        <v>6220</v>
      </c>
      <c r="D755" s="32" t="s">
        <v>5658</v>
      </c>
      <c r="E755" s="32" t="s">
        <v>12355</v>
      </c>
      <c r="F755" s="32" t="s">
        <v>12356</v>
      </c>
      <c r="G755" s="32" t="s">
        <v>12357</v>
      </c>
      <c r="H755" s="32" t="s">
        <v>12358</v>
      </c>
      <c r="I755" s="32" t="s">
        <v>12359</v>
      </c>
      <c r="J755" s="32" t="s">
        <v>4394</v>
      </c>
      <c r="K755" s="32" t="s">
        <v>12360</v>
      </c>
      <c r="L755" s="32" t="s">
        <v>12361</v>
      </c>
      <c r="M755" s="32" t="s">
        <v>12362</v>
      </c>
      <c r="N755" s="32" t="s">
        <v>5522</v>
      </c>
      <c r="O755" s="32" t="s">
        <v>12363</v>
      </c>
    </row>
    <row x14ac:dyDescent="0.25" r="756" customHeight="1" ht="15.75">
      <c r="A756" s="8">
        <v>25989</v>
      </c>
      <c r="B756" s="13" t="s">
        <v>129</v>
      </c>
      <c r="C756" s="13" t="s">
        <v>6221</v>
      </c>
      <c r="D756" s="32" t="s">
        <v>6222</v>
      </c>
      <c r="E756" s="32" t="s">
        <v>12364</v>
      </c>
      <c r="F756" s="32" t="s">
        <v>12365</v>
      </c>
      <c r="G756" s="32" t="s">
        <v>12366</v>
      </c>
      <c r="H756" s="32" t="s">
        <v>12367</v>
      </c>
      <c r="I756" s="32" t="s">
        <v>12368</v>
      </c>
      <c r="J756" s="32" t="s">
        <v>6223</v>
      </c>
      <c r="K756" s="32" t="s">
        <v>12369</v>
      </c>
      <c r="L756" s="32" t="s">
        <v>10519</v>
      </c>
      <c r="M756" s="32" t="s">
        <v>12370</v>
      </c>
      <c r="N756" s="32" t="s">
        <v>12371</v>
      </c>
      <c r="O756" s="32" t="s">
        <v>12372</v>
      </c>
    </row>
    <row x14ac:dyDescent="0.25" r="757" customHeight="1" ht="15.75">
      <c r="A757" s="8">
        <v>25990</v>
      </c>
      <c r="B757" s="13" t="s">
        <v>129</v>
      </c>
      <c r="C757" s="13" t="s">
        <v>6224</v>
      </c>
      <c r="D757" s="32" t="s">
        <v>6225</v>
      </c>
      <c r="E757" s="32" t="s">
        <v>12373</v>
      </c>
      <c r="F757" s="32" t="s">
        <v>7094</v>
      </c>
      <c r="G757" s="32" t="s">
        <v>12374</v>
      </c>
      <c r="H757" s="32" t="s">
        <v>6127</v>
      </c>
      <c r="I757" s="32" t="s">
        <v>12375</v>
      </c>
      <c r="J757" s="32" t="s">
        <v>696</v>
      </c>
      <c r="K757" s="32" t="s">
        <v>11514</v>
      </c>
      <c r="L757" s="32" t="s">
        <v>7241</v>
      </c>
      <c r="M757" s="32" t="s">
        <v>12376</v>
      </c>
      <c r="N757" s="32" t="s">
        <v>454</v>
      </c>
      <c r="O757" s="32" t="s">
        <v>11398</v>
      </c>
    </row>
    <row x14ac:dyDescent="0.25" r="758" customHeight="1" ht="15.75">
      <c r="A758" s="8">
        <v>25991</v>
      </c>
      <c r="B758" s="13" t="s">
        <v>129</v>
      </c>
      <c r="C758" s="13" t="s">
        <v>6226</v>
      </c>
      <c r="D758" s="32" t="s">
        <v>6227</v>
      </c>
      <c r="E758" s="32" t="s">
        <v>12377</v>
      </c>
      <c r="F758" s="32" t="s">
        <v>5642</v>
      </c>
      <c r="G758" s="32" t="s">
        <v>12378</v>
      </c>
      <c r="H758" s="32" t="s">
        <v>8736</v>
      </c>
      <c r="I758" s="32" t="s">
        <v>12379</v>
      </c>
      <c r="J758" s="32" t="s">
        <v>6228</v>
      </c>
      <c r="K758" s="32" t="s">
        <v>12380</v>
      </c>
      <c r="L758" s="32" t="s">
        <v>12381</v>
      </c>
      <c r="M758" s="32" t="s">
        <v>12382</v>
      </c>
      <c r="N758" s="32" t="s">
        <v>12383</v>
      </c>
      <c r="O758" s="32" t="s">
        <v>12384</v>
      </c>
    </row>
    <row x14ac:dyDescent="0.25" r="759" customHeight="1" ht="15.75">
      <c r="A759" s="8">
        <v>25955</v>
      </c>
      <c r="B759" s="13" t="s">
        <v>129</v>
      </c>
      <c r="C759" s="13" t="s">
        <v>6229</v>
      </c>
      <c r="D759" s="32" t="s">
        <v>6230</v>
      </c>
      <c r="E759" s="32" t="s">
        <v>12385</v>
      </c>
      <c r="F759" s="32" t="s">
        <v>6993</v>
      </c>
      <c r="G759" s="32" t="s">
        <v>12386</v>
      </c>
      <c r="H759" s="32" t="s">
        <v>12387</v>
      </c>
      <c r="I759" s="32" t="s">
        <v>12388</v>
      </c>
      <c r="J759" s="32" t="s">
        <v>6232</v>
      </c>
      <c r="K759" s="32" t="s">
        <v>10301</v>
      </c>
      <c r="L759" s="32" t="s">
        <v>12389</v>
      </c>
      <c r="M759" s="32" t="s">
        <v>12390</v>
      </c>
      <c r="N759" s="32" t="s">
        <v>12391</v>
      </c>
      <c r="O759" s="32" t="s">
        <v>12392</v>
      </c>
    </row>
    <row x14ac:dyDescent="0.25" r="760" customHeight="1" ht="15.75">
      <c r="A760" s="8">
        <v>25021</v>
      </c>
      <c r="B760" s="13" t="s">
        <v>109</v>
      </c>
      <c r="C760" s="13" t="s">
        <v>6233</v>
      </c>
      <c r="D760" s="32" t="s">
        <v>74</v>
      </c>
      <c r="E760" s="32" t="s">
        <v>11937</v>
      </c>
      <c r="F760" s="32" t="s">
        <v>2705</v>
      </c>
      <c r="G760" s="32" t="s">
        <v>12393</v>
      </c>
      <c r="H760" s="32" t="s">
        <v>2705</v>
      </c>
      <c r="I760" s="32" t="s">
        <v>12394</v>
      </c>
      <c r="J760" s="32" t="s">
        <v>6235</v>
      </c>
      <c r="K760" s="32" t="s">
        <v>12395</v>
      </c>
      <c r="L760" s="32" t="s">
        <v>4371</v>
      </c>
      <c r="M760" s="32" t="s">
        <v>11719</v>
      </c>
      <c r="N760" s="32" t="s">
        <v>7010</v>
      </c>
      <c r="O760" s="32" t="s">
        <v>12396</v>
      </c>
    </row>
    <row x14ac:dyDescent="0.25" r="761" customHeight="1" ht="15.75">
      <c r="A761" s="8">
        <v>25003</v>
      </c>
      <c r="B761" s="13" t="s">
        <v>109</v>
      </c>
      <c r="C761" s="13" t="s">
        <v>6236</v>
      </c>
      <c r="D761" s="32" t="s">
        <v>6237</v>
      </c>
      <c r="E761" s="32" t="s">
        <v>12397</v>
      </c>
      <c r="F761" s="32" t="s">
        <v>2276</v>
      </c>
      <c r="G761" s="32" t="s">
        <v>8602</v>
      </c>
      <c r="H761" s="32" t="s">
        <v>350</v>
      </c>
      <c r="I761" s="32" t="s">
        <v>9045</v>
      </c>
      <c r="J761" s="32" t="s">
        <v>4319</v>
      </c>
      <c r="K761" s="32" t="s">
        <v>12398</v>
      </c>
      <c r="L761" s="32" t="s">
        <v>4319</v>
      </c>
      <c r="M761" s="32" t="s">
        <v>12399</v>
      </c>
      <c r="N761" s="32" t="s">
        <v>350</v>
      </c>
      <c r="O761" s="32" t="s">
        <v>10252</v>
      </c>
    </row>
    <row x14ac:dyDescent="0.25" r="762" customHeight="1" ht="15.75">
      <c r="A762" s="8">
        <v>25050</v>
      </c>
      <c r="B762" s="13" t="s">
        <v>109</v>
      </c>
      <c r="C762" s="13" t="s">
        <v>6238</v>
      </c>
      <c r="D762" s="32" t="s">
        <v>6239</v>
      </c>
      <c r="E762" s="32" t="s">
        <v>12400</v>
      </c>
      <c r="F762" s="32" t="s">
        <v>6746</v>
      </c>
      <c r="G762" s="32" t="s">
        <v>12401</v>
      </c>
      <c r="H762" s="32" t="s">
        <v>12402</v>
      </c>
      <c r="I762" s="32" t="s">
        <v>12403</v>
      </c>
      <c r="J762" s="32" t="s">
        <v>1521</v>
      </c>
      <c r="K762" s="32" t="s">
        <v>11767</v>
      </c>
      <c r="L762" s="32" t="s">
        <v>12404</v>
      </c>
      <c r="M762" s="32" t="s">
        <v>12405</v>
      </c>
      <c r="N762" s="32" t="s">
        <v>6386</v>
      </c>
      <c r="O762" s="32" t="s">
        <v>12406</v>
      </c>
    </row>
    <row x14ac:dyDescent="0.25" r="763" customHeight="1" ht="15.75">
      <c r="A763" s="8">
        <v>25022</v>
      </c>
      <c r="B763" s="13" t="s">
        <v>109</v>
      </c>
      <c r="C763" s="13" t="s">
        <v>6241</v>
      </c>
      <c r="D763" s="32" t="s">
        <v>6242</v>
      </c>
      <c r="E763" s="32" t="s">
        <v>12407</v>
      </c>
      <c r="F763" s="32" t="s">
        <v>4906</v>
      </c>
      <c r="G763" s="32" t="s">
        <v>12408</v>
      </c>
      <c r="H763" s="32" t="s">
        <v>4282</v>
      </c>
      <c r="I763" s="32" t="s">
        <v>12409</v>
      </c>
      <c r="J763" s="32" t="s">
        <v>4900</v>
      </c>
      <c r="K763" s="32" t="s">
        <v>7127</v>
      </c>
      <c r="L763" s="32" t="s">
        <v>11046</v>
      </c>
      <c r="M763" s="32" t="s">
        <v>12410</v>
      </c>
      <c r="N763" s="32" t="s">
        <v>6460</v>
      </c>
      <c r="O763" s="32" t="s">
        <v>12411</v>
      </c>
    </row>
    <row x14ac:dyDescent="0.25" r="764" customHeight="1" ht="15.75">
      <c r="A764" s="8">
        <v>25023</v>
      </c>
      <c r="B764" s="13" t="s">
        <v>109</v>
      </c>
      <c r="C764" s="13" t="s">
        <v>6243</v>
      </c>
      <c r="D764" s="32" t="s">
        <v>6244</v>
      </c>
      <c r="E764" s="32" t="s">
        <v>12412</v>
      </c>
      <c r="F764" s="32" t="s">
        <v>12413</v>
      </c>
      <c r="G764" s="32" t="s">
        <v>7127</v>
      </c>
      <c r="H764" s="32" t="s">
        <v>12414</v>
      </c>
      <c r="I764" s="32" t="s">
        <v>12415</v>
      </c>
      <c r="J764" s="32" t="s">
        <v>6245</v>
      </c>
      <c r="K764" s="32" t="s">
        <v>12416</v>
      </c>
      <c r="L764" s="32" t="s">
        <v>12417</v>
      </c>
      <c r="M764" s="32" t="s">
        <v>12418</v>
      </c>
      <c r="N764" s="32" t="s">
        <v>12419</v>
      </c>
      <c r="O764" s="32" t="s">
        <v>12420</v>
      </c>
    </row>
    <row x14ac:dyDescent="0.25" r="765" customHeight="1" ht="15.75">
      <c r="A765" s="8">
        <v>25042</v>
      </c>
      <c r="B765" s="13" t="s">
        <v>109</v>
      </c>
      <c r="C765" s="13" t="s">
        <v>6246</v>
      </c>
      <c r="D765" s="32" t="s">
        <v>6247</v>
      </c>
      <c r="E765" s="32" t="s">
        <v>12421</v>
      </c>
      <c r="F765" s="32" t="s">
        <v>81</v>
      </c>
      <c r="G765" s="32" t="s">
        <v>8507</v>
      </c>
      <c r="H765" s="32" t="s">
        <v>2364</v>
      </c>
      <c r="I765" s="32" t="s">
        <v>12422</v>
      </c>
      <c r="J765" s="32" t="s">
        <v>6248</v>
      </c>
      <c r="K765" s="32" t="s">
        <v>7973</v>
      </c>
      <c r="L765" s="32" t="s">
        <v>6362</v>
      </c>
      <c r="M765" s="32" t="s">
        <v>12423</v>
      </c>
      <c r="N765" s="32" t="s">
        <v>6362</v>
      </c>
      <c r="O765" s="32" t="s">
        <v>12424</v>
      </c>
    </row>
    <row x14ac:dyDescent="0.25" r="766" customHeight="1" ht="15.75">
      <c r="A766" s="8">
        <v>25037</v>
      </c>
      <c r="B766" s="13" t="s">
        <v>109</v>
      </c>
      <c r="C766" s="13" t="s">
        <v>6250</v>
      </c>
      <c r="D766" s="32" t="s">
        <v>6251</v>
      </c>
      <c r="E766" s="32" t="s">
        <v>12425</v>
      </c>
      <c r="F766" s="32" t="s">
        <v>8369</v>
      </c>
      <c r="G766" s="32" t="s">
        <v>7127</v>
      </c>
      <c r="H766" s="32" t="s">
        <v>12426</v>
      </c>
      <c r="I766" s="32" t="s">
        <v>12427</v>
      </c>
      <c r="J766" s="32" t="s">
        <v>2481</v>
      </c>
      <c r="K766" s="32" t="s">
        <v>7127</v>
      </c>
      <c r="L766" s="32" t="s">
        <v>12428</v>
      </c>
      <c r="M766" s="32" t="s">
        <v>12429</v>
      </c>
      <c r="N766" s="32" t="s">
        <v>4132</v>
      </c>
      <c r="O766" s="32" t="s">
        <v>12430</v>
      </c>
    </row>
    <row x14ac:dyDescent="0.25" r="767" customHeight="1" ht="15.75">
      <c r="A767" s="8">
        <v>25046</v>
      </c>
      <c r="B767" s="13" t="s">
        <v>109</v>
      </c>
      <c r="C767" s="13" t="s">
        <v>6253</v>
      </c>
      <c r="D767" s="32" t="s">
        <v>6254</v>
      </c>
      <c r="E767" s="32" t="s">
        <v>12431</v>
      </c>
      <c r="F767" s="32" t="s">
        <v>7094</v>
      </c>
      <c r="G767" s="32" t="s">
        <v>12432</v>
      </c>
      <c r="H767" s="32" t="s">
        <v>12433</v>
      </c>
      <c r="I767" s="32" t="s">
        <v>12434</v>
      </c>
      <c r="J767" s="32" t="s">
        <v>6255</v>
      </c>
      <c r="K767" s="32" t="s">
        <v>12435</v>
      </c>
      <c r="L767" s="32" t="s">
        <v>12391</v>
      </c>
      <c r="M767" s="32" t="s">
        <v>12436</v>
      </c>
      <c r="N767" s="32" t="s">
        <v>6255</v>
      </c>
      <c r="O767" s="32" t="s">
        <v>12437</v>
      </c>
    </row>
    <row x14ac:dyDescent="0.25" r="768" customHeight="1" ht="15.75">
      <c r="A768" s="8">
        <v>25024</v>
      </c>
      <c r="B768" s="13" t="s">
        <v>109</v>
      </c>
      <c r="C768" s="13" t="s">
        <v>6256</v>
      </c>
      <c r="D768" s="32" t="s">
        <v>4708</v>
      </c>
      <c r="E768" s="32" t="s">
        <v>12438</v>
      </c>
      <c r="F768" s="32" t="s">
        <v>12439</v>
      </c>
      <c r="G768" s="32" t="s">
        <v>7123</v>
      </c>
      <c r="H768" s="32" t="s">
        <v>12440</v>
      </c>
      <c r="I768" s="32" t="s">
        <v>12441</v>
      </c>
      <c r="J768" s="32" t="s">
        <v>6258</v>
      </c>
      <c r="K768" s="32" t="s">
        <v>12442</v>
      </c>
      <c r="L768" s="32" t="s">
        <v>12443</v>
      </c>
      <c r="M768" s="32" t="s">
        <v>12444</v>
      </c>
      <c r="N768" s="32" t="s">
        <v>12445</v>
      </c>
      <c r="O768" s="32" t="s">
        <v>12446</v>
      </c>
    </row>
    <row x14ac:dyDescent="0.25" r="769" customHeight="1" ht="15.75">
      <c r="A769" s="8">
        <v>25025</v>
      </c>
      <c r="B769" s="13" t="s">
        <v>109</v>
      </c>
      <c r="C769" s="13" t="s">
        <v>6259</v>
      </c>
      <c r="D769" s="32" t="s">
        <v>6260</v>
      </c>
      <c r="E769" s="32" t="s">
        <v>12447</v>
      </c>
      <c r="F769" s="32" t="s">
        <v>2747</v>
      </c>
      <c r="G769" s="32" t="s">
        <v>12448</v>
      </c>
      <c r="H769" s="32" t="s">
        <v>4471</v>
      </c>
      <c r="I769" s="32" t="s">
        <v>12449</v>
      </c>
      <c r="J769" s="32" t="s">
        <v>6261</v>
      </c>
      <c r="K769" s="32" t="s">
        <v>12450</v>
      </c>
      <c r="L769" s="32" t="s">
        <v>6261</v>
      </c>
      <c r="M769" s="32" t="s">
        <v>12451</v>
      </c>
      <c r="N769" s="32" t="s">
        <v>12452</v>
      </c>
      <c r="O769" s="32" t="s">
        <v>12453</v>
      </c>
    </row>
    <row x14ac:dyDescent="0.25" r="770" customHeight="1" ht="15.75">
      <c r="A770" s="8">
        <v>25051</v>
      </c>
      <c r="B770" s="13" t="s">
        <v>109</v>
      </c>
      <c r="C770" s="13" t="s">
        <v>6262</v>
      </c>
      <c r="D770" s="32" t="s">
        <v>4687</v>
      </c>
      <c r="E770" s="32" t="s">
        <v>12454</v>
      </c>
      <c r="F770" s="32" t="s">
        <v>12455</v>
      </c>
      <c r="G770" s="32" t="s">
        <v>7127</v>
      </c>
      <c r="H770" s="32" t="s">
        <v>12456</v>
      </c>
      <c r="I770" s="32" t="s">
        <v>12457</v>
      </c>
      <c r="J770" s="32" t="s">
        <v>5660</v>
      </c>
      <c r="K770" s="32" t="s">
        <v>12458</v>
      </c>
      <c r="L770" s="32" t="s">
        <v>12459</v>
      </c>
      <c r="M770" s="32" t="s">
        <v>12460</v>
      </c>
      <c r="N770" s="32" t="s">
        <v>12461</v>
      </c>
      <c r="O770" s="32" t="s">
        <v>12462</v>
      </c>
    </row>
    <row x14ac:dyDescent="0.25" r="771" customHeight="1" ht="15.75">
      <c r="A771" s="8">
        <v>25026</v>
      </c>
      <c r="B771" s="13" t="s">
        <v>109</v>
      </c>
      <c r="C771" s="13" t="s">
        <v>6264</v>
      </c>
      <c r="D771" s="32" t="s">
        <v>6265</v>
      </c>
      <c r="E771" s="32" t="s">
        <v>12463</v>
      </c>
      <c r="F771" s="32" t="s">
        <v>122</v>
      </c>
      <c r="G771" s="32" t="s">
        <v>9961</v>
      </c>
      <c r="H771" s="32" t="s">
        <v>6446</v>
      </c>
      <c r="I771" s="32" t="s">
        <v>11281</v>
      </c>
      <c r="J771" s="32" t="s">
        <v>6265</v>
      </c>
      <c r="K771" s="32" t="s">
        <v>12464</v>
      </c>
      <c r="L771" s="32" t="s">
        <v>2599</v>
      </c>
      <c r="M771" s="32" t="s">
        <v>12465</v>
      </c>
      <c r="N771" s="32" t="s">
        <v>9942</v>
      </c>
      <c r="O771" s="32" t="s">
        <v>12466</v>
      </c>
    </row>
    <row x14ac:dyDescent="0.25" r="772" customHeight="1" ht="15.75">
      <c r="A772" s="8">
        <v>25004</v>
      </c>
      <c r="B772" s="13" t="s">
        <v>109</v>
      </c>
      <c r="C772" s="13" t="s">
        <v>6266</v>
      </c>
      <c r="D772" s="32" t="s">
        <v>6267</v>
      </c>
      <c r="E772" s="32" t="s">
        <v>7202</v>
      </c>
      <c r="F772" s="32" t="s">
        <v>6767</v>
      </c>
      <c r="G772" s="32" t="s">
        <v>12467</v>
      </c>
      <c r="H772" s="32" t="s">
        <v>5543</v>
      </c>
      <c r="I772" s="32" t="s">
        <v>12468</v>
      </c>
      <c r="J772" s="32" t="s">
        <v>6268</v>
      </c>
      <c r="K772" s="32" t="s">
        <v>12469</v>
      </c>
      <c r="L772" s="32" t="s">
        <v>4245</v>
      </c>
      <c r="M772" s="32" t="s">
        <v>12470</v>
      </c>
      <c r="N772" s="32" t="s">
        <v>12471</v>
      </c>
      <c r="O772" s="32" t="s">
        <v>12472</v>
      </c>
    </row>
    <row x14ac:dyDescent="0.25" r="773" customHeight="1" ht="15.75">
      <c r="A773" s="8">
        <v>25043</v>
      </c>
      <c r="B773" s="13" t="s">
        <v>109</v>
      </c>
      <c r="C773" s="13" t="s">
        <v>6269</v>
      </c>
      <c r="D773" s="32" t="s">
        <v>6270</v>
      </c>
      <c r="E773" s="32" t="s">
        <v>12473</v>
      </c>
      <c r="F773" s="32" t="s">
        <v>4093</v>
      </c>
      <c r="G773" s="32" t="s">
        <v>12474</v>
      </c>
      <c r="H773" s="32" t="s">
        <v>1826</v>
      </c>
      <c r="I773" s="32" t="s">
        <v>12475</v>
      </c>
      <c r="J773" s="32" t="s">
        <v>6270</v>
      </c>
      <c r="K773" s="32" t="s">
        <v>12476</v>
      </c>
      <c r="L773" s="32" t="s">
        <v>122</v>
      </c>
      <c r="M773" s="32" t="s">
        <v>12477</v>
      </c>
      <c r="N773" s="32" t="s">
        <v>5423</v>
      </c>
      <c r="O773" s="32" t="s">
        <v>12478</v>
      </c>
    </row>
    <row x14ac:dyDescent="0.25" r="774" customHeight="1" ht="15.75">
      <c r="A774" s="8">
        <v>25044</v>
      </c>
      <c r="B774" s="13" t="s">
        <v>109</v>
      </c>
      <c r="C774" s="13" t="s">
        <v>6272</v>
      </c>
      <c r="D774" s="32" t="s">
        <v>6273</v>
      </c>
      <c r="E774" s="32" t="s">
        <v>12479</v>
      </c>
      <c r="F774" s="32" t="s">
        <v>6274</v>
      </c>
      <c r="G774" s="32" t="s">
        <v>12480</v>
      </c>
      <c r="H774" s="32" t="s">
        <v>6274</v>
      </c>
      <c r="I774" s="32" t="s">
        <v>12481</v>
      </c>
      <c r="J774" s="32" t="s">
        <v>6274</v>
      </c>
      <c r="K774" s="32" t="s">
        <v>12482</v>
      </c>
      <c r="L774" s="32" t="s">
        <v>12483</v>
      </c>
      <c r="M774" s="32" t="s">
        <v>12140</v>
      </c>
      <c r="N774" s="32" t="s">
        <v>9208</v>
      </c>
      <c r="O774" s="32" t="s">
        <v>12484</v>
      </c>
    </row>
    <row x14ac:dyDescent="0.25" r="775" customHeight="1" ht="15.75">
      <c r="A775" s="8">
        <v>25016</v>
      </c>
      <c r="B775" s="13" t="s">
        <v>109</v>
      </c>
      <c r="C775" s="13" t="s">
        <v>6275</v>
      </c>
      <c r="D775" s="32" t="s">
        <v>6276</v>
      </c>
      <c r="E775" s="32" t="s">
        <v>11511</v>
      </c>
      <c r="F775" s="32" t="s">
        <v>1672</v>
      </c>
      <c r="G775" s="32" t="s">
        <v>7127</v>
      </c>
      <c r="H775" s="32" t="s">
        <v>9368</v>
      </c>
      <c r="I775" s="32" t="s">
        <v>12485</v>
      </c>
      <c r="J775" s="32" t="s">
        <v>6278</v>
      </c>
      <c r="K775" s="32" t="s">
        <v>12486</v>
      </c>
      <c r="L775" s="32" t="s">
        <v>9319</v>
      </c>
      <c r="M775" s="32" t="s">
        <v>12487</v>
      </c>
      <c r="N775" s="32" t="s">
        <v>2539</v>
      </c>
      <c r="O775" s="32" t="s">
        <v>12488</v>
      </c>
    </row>
    <row x14ac:dyDescent="0.25" r="776" customHeight="1" ht="15.75">
      <c r="A776" s="8">
        <v>25047</v>
      </c>
      <c r="B776" s="13" t="s">
        <v>109</v>
      </c>
      <c r="C776" s="13" t="s">
        <v>6280</v>
      </c>
      <c r="D776" s="32" t="s">
        <v>74</v>
      </c>
      <c r="E776" s="32" t="s">
        <v>11195</v>
      </c>
      <c r="F776" s="32" t="s">
        <v>5282</v>
      </c>
      <c r="G776" s="32" t="s">
        <v>12489</v>
      </c>
      <c r="H776" s="32" t="s">
        <v>74</v>
      </c>
      <c r="I776" s="32" t="s">
        <v>12490</v>
      </c>
      <c r="J776" s="32" t="s">
        <v>74</v>
      </c>
      <c r="K776" s="32" t="s">
        <v>12491</v>
      </c>
      <c r="L776" s="32" t="s">
        <v>5282</v>
      </c>
      <c r="M776" s="32" t="s">
        <v>12492</v>
      </c>
      <c r="N776" s="32" t="s">
        <v>2738</v>
      </c>
      <c r="O776" s="32" t="s">
        <v>12493</v>
      </c>
    </row>
    <row x14ac:dyDescent="0.25" r="777" customHeight="1" ht="15.75">
      <c r="A777" s="8">
        <v>25005</v>
      </c>
      <c r="B777" s="13" t="s">
        <v>109</v>
      </c>
      <c r="C777" s="13" t="s">
        <v>6035</v>
      </c>
      <c r="D777" s="32" t="s">
        <v>6283</v>
      </c>
      <c r="E777" s="32" t="s">
        <v>12494</v>
      </c>
      <c r="F777" s="32" t="s">
        <v>6093</v>
      </c>
      <c r="G777" s="32" t="s">
        <v>12495</v>
      </c>
      <c r="H777" s="32" t="s">
        <v>12496</v>
      </c>
      <c r="I777" s="32" t="s">
        <v>7603</v>
      </c>
      <c r="J777" s="32" t="s">
        <v>6284</v>
      </c>
      <c r="K777" s="32" t="s">
        <v>12497</v>
      </c>
      <c r="L777" s="32" t="s">
        <v>2519</v>
      </c>
      <c r="M777" s="32" t="s">
        <v>7127</v>
      </c>
      <c r="N777" s="32" t="s">
        <v>12498</v>
      </c>
      <c r="O777" s="32" t="s">
        <v>7127</v>
      </c>
    </row>
    <row x14ac:dyDescent="0.25" r="778" customHeight="1" ht="15.75">
      <c r="A778" s="8">
        <v>25017</v>
      </c>
      <c r="B778" s="13" t="s">
        <v>109</v>
      </c>
      <c r="C778" s="13" t="s">
        <v>6286</v>
      </c>
      <c r="D778" s="32" t="s">
        <v>6287</v>
      </c>
      <c r="E778" s="32" t="s">
        <v>12499</v>
      </c>
      <c r="F778" s="32" t="s">
        <v>12500</v>
      </c>
      <c r="G778" s="32" t="s">
        <v>12501</v>
      </c>
      <c r="H778" s="32" t="s">
        <v>4312</v>
      </c>
      <c r="I778" s="32" t="s">
        <v>12502</v>
      </c>
      <c r="J778" s="32" t="s">
        <v>6288</v>
      </c>
      <c r="K778" s="32" t="s">
        <v>10134</v>
      </c>
      <c r="L778" s="32" t="s">
        <v>12503</v>
      </c>
      <c r="M778" s="32" t="s">
        <v>12504</v>
      </c>
      <c r="N778" s="32" t="s">
        <v>12503</v>
      </c>
      <c r="O778" s="32" t="s">
        <v>12505</v>
      </c>
    </row>
    <row x14ac:dyDescent="0.25" r="779" customHeight="1" ht="15.75">
      <c r="A779" s="8">
        <v>25014</v>
      </c>
      <c r="B779" s="13" t="s">
        <v>109</v>
      </c>
      <c r="C779" s="13" t="s">
        <v>6289</v>
      </c>
      <c r="D779" s="32" t="s">
        <v>6290</v>
      </c>
      <c r="E779" s="32" t="s">
        <v>12506</v>
      </c>
      <c r="F779" s="32" t="s">
        <v>12507</v>
      </c>
      <c r="G779" s="32" t="s">
        <v>12508</v>
      </c>
      <c r="H779" s="32" t="s">
        <v>6054</v>
      </c>
      <c r="I779" s="32" t="s">
        <v>12509</v>
      </c>
      <c r="J779" s="32" t="s">
        <v>4543</v>
      </c>
      <c r="K779" s="32" t="s">
        <v>12510</v>
      </c>
      <c r="L779" s="32" t="s">
        <v>12511</v>
      </c>
      <c r="M779" s="32" t="s">
        <v>7127</v>
      </c>
      <c r="N779" s="32" t="s">
        <v>12512</v>
      </c>
      <c r="O779" s="32" t="s">
        <v>11719</v>
      </c>
    </row>
    <row x14ac:dyDescent="0.25" r="780" customHeight="1" ht="15.75">
      <c r="A780" s="8">
        <v>25052</v>
      </c>
      <c r="B780" s="13" t="s">
        <v>109</v>
      </c>
      <c r="C780" s="13" t="s">
        <v>6291</v>
      </c>
      <c r="D780" s="32" t="s">
        <v>6292</v>
      </c>
      <c r="E780" s="32" t="s">
        <v>12513</v>
      </c>
      <c r="F780" s="32" t="s">
        <v>2714</v>
      </c>
      <c r="G780" s="32" t="s">
        <v>12514</v>
      </c>
      <c r="H780" s="32" t="s">
        <v>7832</v>
      </c>
      <c r="I780" s="32" t="s">
        <v>7810</v>
      </c>
      <c r="J780" s="32" t="s">
        <v>4063</v>
      </c>
      <c r="K780" s="32" t="s">
        <v>12515</v>
      </c>
      <c r="L780" s="32" t="s">
        <v>9781</v>
      </c>
      <c r="M780" s="32" t="s">
        <v>12516</v>
      </c>
      <c r="N780" s="32" t="s">
        <v>6187</v>
      </c>
      <c r="O780" s="32" t="s">
        <v>12517</v>
      </c>
    </row>
    <row x14ac:dyDescent="0.25" r="781" customHeight="1" ht="15.75">
      <c r="A781" s="8">
        <v>25018</v>
      </c>
      <c r="B781" s="13" t="s">
        <v>109</v>
      </c>
      <c r="C781" s="13" t="s">
        <v>6295</v>
      </c>
      <c r="D781" s="32" t="s">
        <v>74</v>
      </c>
      <c r="E781" s="32" t="s">
        <v>7722</v>
      </c>
      <c r="F781" s="32" t="s">
        <v>74</v>
      </c>
      <c r="G781" s="32" t="s">
        <v>12518</v>
      </c>
      <c r="H781" s="32" t="s">
        <v>4548</v>
      </c>
      <c r="I781" s="32" t="s">
        <v>12519</v>
      </c>
      <c r="J781" s="32" t="s">
        <v>4590</v>
      </c>
      <c r="K781" s="32" t="s">
        <v>12520</v>
      </c>
      <c r="L781" s="32" t="s">
        <v>4069</v>
      </c>
      <c r="M781" s="32" t="s">
        <v>12521</v>
      </c>
      <c r="N781" s="32" t="s">
        <v>4588</v>
      </c>
      <c r="O781" s="32" t="s">
        <v>12522</v>
      </c>
    </row>
    <row x14ac:dyDescent="0.25" r="782" customHeight="1" ht="15.75">
      <c r="A782" s="8">
        <v>25048</v>
      </c>
      <c r="B782" s="13" t="s">
        <v>109</v>
      </c>
      <c r="C782" s="13" t="s">
        <v>6296</v>
      </c>
      <c r="D782" s="32" t="s">
        <v>2364</v>
      </c>
      <c r="E782" s="32" t="s">
        <v>12523</v>
      </c>
      <c r="F782" s="32" t="s">
        <v>122</v>
      </c>
      <c r="G782" s="32" t="s">
        <v>12524</v>
      </c>
      <c r="H782" s="32" t="s">
        <v>705</v>
      </c>
      <c r="I782" s="32" t="s">
        <v>7127</v>
      </c>
      <c r="J782" s="32" t="s">
        <v>4961</v>
      </c>
      <c r="K782" s="32" t="s">
        <v>12525</v>
      </c>
      <c r="L782" s="32" t="s">
        <v>12526</v>
      </c>
      <c r="M782" s="32" t="s">
        <v>12527</v>
      </c>
      <c r="N782" s="32" t="s">
        <v>10066</v>
      </c>
      <c r="O782" s="32" t="s">
        <v>11282</v>
      </c>
    </row>
    <row x14ac:dyDescent="0.25" r="783" customHeight="1" ht="15.75">
      <c r="A783" s="8">
        <v>25027</v>
      </c>
      <c r="B783" s="13" t="s">
        <v>109</v>
      </c>
      <c r="C783" s="13" t="s">
        <v>6297</v>
      </c>
      <c r="D783" s="32" t="s">
        <v>2264</v>
      </c>
      <c r="E783" s="32" t="s">
        <v>12528</v>
      </c>
      <c r="F783" s="32" t="s">
        <v>2264</v>
      </c>
      <c r="G783" s="32" t="s">
        <v>9984</v>
      </c>
      <c r="H783" s="32" t="s">
        <v>4949</v>
      </c>
      <c r="I783" s="32" t="s">
        <v>12529</v>
      </c>
      <c r="J783" s="32" t="s">
        <v>2264</v>
      </c>
      <c r="K783" s="32" t="s">
        <v>12530</v>
      </c>
      <c r="L783" s="32" t="s">
        <v>2264</v>
      </c>
      <c r="M783" s="32" t="s">
        <v>12531</v>
      </c>
      <c r="N783" s="32" t="s">
        <v>2264</v>
      </c>
      <c r="O783" s="32" t="s">
        <v>12532</v>
      </c>
    </row>
    <row x14ac:dyDescent="0.25" r="784" customHeight="1" ht="15.75">
      <c r="A784" s="8">
        <v>25019</v>
      </c>
      <c r="B784" s="13" t="s">
        <v>109</v>
      </c>
      <c r="C784" s="13" t="s">
        <v>6299</v>
      </c>
      <c r="D784" s="32" t="s">
        <v>74</v>
      </c>
      <c r="E784" s="32" t="s">
        <v>12533</v>
      </c>
      <c r="F784" s="32" t="s">
        <v>74</v>
      </c>
      <c r="G784" s="32" t="s">
        <v>8300</v>
      </c>
      <c r="H784" s="32" t="s">
        <v>4063</v>
      </c>
      <c r="I784" s="32" t="s">
        <v>7743</v>
      </c>
      <c r="J784" s="32" t="s">
        <v>6301</v>
      </c>
      <c r="K784" s="32" t="s">
        <v>12534</v>
      </c>
      <c r="L784" s="32" t="s">
        <v>6292</v>
      </c>
      <c r="M784" s="32" t="s">
        <v>12535</v>
      </c>
      <c r="N784" s="32" t="s">
        <v>6292</v>
      </c>
      <c r="O784" s="32" t="s">
        <v>12536</v>
      </c>
    </row>
    <row x14ac:dyDescent="0.25" r="785" customHeight="1" ht="15.75">
      <c r="A785" s="8">
        <v>25028</v>
      </c>
      <c r="B785" s="13" t="s">
        <v>109</v>
      </c>
      <c r="C785" s="13" t="s">
        <v>6302</v>
      </c>
      <c r="D785" s="32" t="s">
        <v>6303</v>
      </c>
      <c r="E785" s="32" t="s">
        <v>9228</v>
      </c>
      <c r="F785" s="32" t="s">
        <v>12537</v>
      </c>
      <c r="G785" s="32" t="s">
        <v>12538</v>
      </c>
      <c r="H785" s="32" t="s">
        <v>4481</v>
      </c>
      <c r="I785" s="32" t="s">
        <v>12539</v>
      </c>
      <c r="J785" s="32" t="s">
        <v>6304</v>
      </c>
      <c r="K785" s="32" t="s">
        <v>12540</v>
      </c>
      <c r="L785" s="32" t="s">
        <v>4900</v>
      </c>
      <c r="M785" s="32" t="s">
        <v>7127</v>
      </c>
      <c r="N785" s="32" t="s">
        <v>11872</v>
      </c>
      <c r="O785" s="32" t="s">
        <v>12541</v>
      </c>
    </row>
    <row x14ac:dyDescent="0.25" r="786" customHeight="1" ht="15.75">
      <c r="A786" s="8">
        <v>25001</v>
      </c>
      <c r="B786" s="13" t="s">
        <v>109</v>
      </c>
      <c r="C786" s="13" t="s">
        <v>6305</v>
      </c>
      <c r="D786" s="32" t="s">
        <v>5433</v>
      </c>
      <c r="E786" s="32" t="s">
        <v>12542</v>
      </c>
      <c r="F786" s="32" t="s">
        <v>7700</v>
      </c>
      <c r="G786" s="32" t="s">
        <v>12543</v>
      </c>
      <c r="H786" s="32" t="s">
        <v>9306</v>
      </c>
      <c r="I786" s="32" t="s">
        <v>12544</v>
      </c>
      <c r="J786" s="32" t="s">
        <v>5288</v>
      </c>
      <c r="K786" s="32" t="s">
        <v>8753</v>
      </c>
      <c r="L786" s="32" t="s">
        <v>6623</v>
      </c>
      <c r="M786" s="32" t="s">
        <v>12545</v>
      </c>
      <c r="N786" s="32" t="s">
        <v>11245</v>
      </c>
      <c r="O786" s="32" t="s">
        <v>12546</v>
      </c>
    </row>
    <row x14ac:dyDescent="0.25" r="787" customHeight="1" ht="15.75">
      <c r="A787" s="8">
        <v>25029</v>
      </c>
      <c r="B787" s="13" t="s">
        <v>109</v>
      </c>
      <c r="C787" s="13" t="s">
        <v>6306</v>
      </c>
      <c r="D787" s="32" t="s">
        <v>6307</v>
      </c>
      <c r="E787" s="32" t="s">
        <v>12547</v>
      </c>
      <c r="F787" s="32" t="s">
        <v>12548</v>
      </c>
      <c r="G787" s="32" t="s">
        <v>12549</v>
      </c>
      <c r="H787" s="32" t="s">
        <v>74</v>
      </c>
      <c r="I787" s="32" t="s">
        <v>12550</v>
      </c>
      <c r="J787" s="32" t="s">
        <v>6308</v>
      </c>
      <c r="K787" s="32" t="s">
        <v>12551</v>
      </c>
      <c r="L787" s="32" t="s">
        <v>12548</v>
      </c>
      <c r="M787" s="32" t="s">
        <v>12552</v>
      </c>
      <c r="N787" s="32" t="s">
        <v>12553</v>
      </c>
      <c r="O787" s="32" t="s">
        <v>12554</v>
      </c>
    </row>
    <row x14ac:dyDescent="0.25" r="788" customHeight="1" ht="15.75">
      <c r="A788" s="8">
        <v>25006</v>
      </c>
      <c r="B788" s="13" t="s">
        <v>109</v>
      </c>
      <c r="C788" s="13" t="s">
        <v>6309</v>
      </c>
      <c r="D788" s="32" t="s">
        <v>2689</v>
      </c>
      <c r="E788" s="32" t="s">
        <v>12555</v>
      </c>
      <c r="F788" s="32" t="s">
        <v>6310</v>
      </c>
      <c r="G788" s="32" t="s">
        <v>12556</v>
      </c>
      <c r="H788" s="32" t="s">
        <v>6310</v>
      </c>
      <c r="I788" s="32" t="s">
        <v>12557</v>
      </c>
      <c r="J788" s="32" t="s">
        <v>6310</v>
      </c>
      <c r="K788" s="32" t="s">
        <v>9899</v>
      </c>
      <c r="L788" s="32" t="s">
        <v>2719</v>
      </c>
      <c r="M788" s="32" t="s">
        <v>12558</v>
      </c>
      <c r="N788" s="32" t="s">
        <v>1227</v>
      </c>
      <c r="O788" s="32" t="s">
        <v>12559</v>
      </c>
    </row>
    <row x14ac:dyDescent="0.25" r="789" customHeight="1" ht="15.75">
      <c r="A789" s="8">
        <v>25038</v>
      </c>
      <c r="B789" s="13" t="s">
        <v>109</v>
      </c>
      <c r="C789" s="13" t="s">
        <v>6311</v>
      </c>
      <c r="D789" s="32" t="s">
        <v>6042</v>
      </c>
      <c r="E789" s="32" t="s">
        <v>12560</v>
      </c>
      <c r="F789" s="32" t="s">
        <v>2447</v>
      </c>
      <c r="G789" s="32" t="s">
        <v>12529</v>
      </c>
      <c r="H789" s="32" t="s">
        <v>12561</v>
      </c>
      <c r="I789" s="32" t="s">
        <v>12562</v>
      </c>
      <c r="J789" s="32" t="s">
        <v>6313</v>
      </c>
      <c r="K789" s="32" t="s">
        <v>12563</v>
      </c>
      <c r="L789" s="32" t="s">
        <v>12561</v>
      </c>
      <c r="M789" s="32" t="s">
        <v>12564</v>
      </c>
      <c r="N789" s="32" t="s">
        <v>12561</v>
      </c>
      <c r="O789" s="32" t="s">
        <v>12565</v>
      </c>
    </row>
    <row x14ac:dyDescent="0.25" r="790" customHeight="1" ht="15.75">
      <c r="A790" s="8">
        <v>25007</v>
      </c>
      <c r="B790" s="13" t="s">
        <v>109</v>
      </c>
      <c r="C790" s="13" t="s">
        <v>6062</v>
      </c>
      <c r="D790" s="32" t="s">
        <v>6245</v>
      </c>
      <c r="E790" s="32" t="s">
        <v>12530</v>
      </c>
      <c r="F790" s="32" t="s">
        <v>2705</v>
      </c>
      <c r="G790" s="32" t="s">
        <v>10948</v>
      </c>
      <c r="H790" s="32" t="s">
        <v>2705</v>
      </c>
      <c r="I790" s="32" t="s">
        <v>12566</v>
      </c>
      <c r="J790" s="32" t="s">
        <v>6245</v>
      </c>
      <c r="K790" s="32" t="s">
        <v>8007</v>
      </c>
      <c r="L790" s="32" t="s">
        <v>74</v>
      </c>
      <c r="M790" s="32" t="s">
        <v>12567</v>
      </c>
      <c r="N790" s="32" t="s">
        <v>2705</v>
      </c>
      <c r="O790" s="32" t="s">
        <v>7424</v>
      </c>
    </row>
    <row x14ac:dyDescent="0.25" r="791" customHeight="1" ht="15.75">
      <c r="A791" s="8">
        <v>25008</v>
      </c>
      <c r="B791" s="13" t="s">
        <v>109</v>
      </c>
      <c r="C791" s="13" t="s">
        <v>6315</v>
      </c>
      <c r="D791" s="32" t="s">
        <v>4536</v>
      </c>
      <c r="E791" s="32" t="s">
        <v>12568</v>
      </c>
      <c r="F791" s="32" t="s">
        <v>74</v>
      </c>
      <c r="G791" s="32" t="s">
        <v>12569</v>
      </c>
      <c r="H791" s="32" t="s">
        <v>74</v>
      </c>
      <c r="I791" s="32" t="s">
        <v>7743</v>
      </c>
      <c r="J791" s="32" t="s">
        <v>74</v>
      </c>
      <c r="K791" s="32" t="s">
        <v>12570</v>
      </c>
      <c r="L791" s="32" t="s">
        <v>4536</v>
      </c>
      <c r="M791" s="32" t="s">
        <v>12571</v>
      </c>
      <c r="N791" s="32" t="s">
        <v>4536</v>
      </c>
      <c r="O791" s="32" t="s">
        <v>12572</v>
      </c>
    </row>
    <row x14ac:dyDescent="0.25" r="792" customHeight="1" ht="15.75">
      <c r="A792" s="8">
        <v>25058</v>
      </c>
      <c r="B792" s="13" t="s">
        <v>109</v>
      </c>
      <c r="C792" s="13" t="s">
        <v>6316</v>
      </c>
      <c r="D792" s="32" t="s">
        <v>2714</v>
      </c>
      <c r="E792" s="32" t="s">
        <v>12573</v>
      </c>
      <c r="F792" s="32" t="s">
        <v>6636</v>
      </c>
      <c r="G792" s="32" t="s">
        <v>7158</v>
      </c>
      <c r="H792" s="32" t="s">
        <v>6188</v>
      </c>
      <c r="I792" s="32" t="s">
        <v>12574</v>
      </c>
      <c r="J792" s="32" t="s">
        <v>4065</v>
      </c>
      <c r="K792" s="32" t="s">
        <v>12575</v>
      </c>
      <c r="L792" s="32" t="s">
        <v>5470</v>
      </c>
      <c r="M792" s="32" t="s">
        <v>12576</v>
      </c>
      <c r="N792" s="32" t="s">
        <v>7141</v>
      </c>
      <c r="O792" s="32" t="s">
        <v>12577</v>
      </c>
    </row>
    <row x14ac:dyDescent="0.25" r="793" customHeight="1" ht="15.75">
      <c r="A793" s="8">
        <v>25030</v>
      </c>
      <c r="B793" s="13" t="s">
        <v>109</v>
      </c>
      <c r="C793" s="13" t="s">
        <v>6317</v>
      </c>
      <c r="D793" s="32" t="s">
        <v>2679</v>
      </c>
      <c r="E793" s="32" t="s">
        <v>12578</v>
      </c>
      <c r="F793" s="32" t="s">
        <v>4884</v>
      </c>
      <c r="G793" s="32" t="s">
        <v>12579</v>
      </c>
      <c r="H793" s="32" t="s">
        <v>12580</v>
      </c>
      <c r="I793" s="32" t="s">
        <v>12581</v>
      </c>
      <c r="J793" s="32" t="s">
        <v>6284</v>
      </c>
      <c r="K793" s="32" t="s">
        <v>10522</v>
      </c>
      <c r="L793" s="32" t="s">
        <v>12582</v>
      </c>
      <c r="M793" s="32" t="s">
        <v>12583</v>
      </c>
      <c r="N793" s="32" t="s">
        <v>1285</v>
      </c>
      <c r="O793" s="32" t="s">
        <v>9229</v>
      </c>
    </row>
    <row x14ac:dyDescent="0.25" r="794" customHeight="1" ht="15.75">
      <c r="A794" s="8">
        <v>25011</v>
      </c>
      <c r="B794" s="13" t="s">
        <v>109</v>
      </c>
      <c r="C794" s="13" t="s">
        <v>6318</v>
      </c>
      <c r="D794" s="32" t="s">
        <v>6319</v>
      </c>
      <c r="E794" s="32" t="s">
        <v>12584</v>
      </c>
      <c r="F794" s="32" t="s">
        <v>6284</v>
      </c>
      <c r="G794" s="32" t="s">
        <v>12585</v>
      </c>
      <c r="H794" s="32" t="s">
        <v>4368</v>
      </c>
      <c r="I794" s="32" t="s">
        <v>12586</v>
      </c>
      <c r="J794" s="32" t="s">
        <v>6320</v>
      </c>
      <c r="K794" s="32" t="s">
        <v>12587</v>
      </c>
      <c r="L794" s="32" t="s">
        <v>2527</v>
      </c>
      <c r="M794" s="32" t="s">
        <v>12588</v>
      </c>
      <c r="N794" s="32" t="s">
        <v>2017</v>
      </c>
      <c r="O794" s="32" t="s">
        <v>12589</v>
      </c>
    </row>
    <row x14ac:dyDescent="0.25" r="795" customHeight="1" ht="15.75">
      <c r="A795" s="8">
        <v>25009</v>
      </c>
      <c r="B795" s="13" t="s">
        <v>109</v>
      </c>
      <c r="C795" s="13" t="s">
        <v>6321</v>
      </c>
      <c r="D795" s="32" t="s">
        <v>4073</v>
      </c>
      <c r="E795" s="32" t="s">
        <v>12590</v>
      </c>
      <c r="F795" s="32" t="s">
        <v>29</v>
      </c>
      <c r="G795" s="32" t="s">
        <v>7127</v>
      </c>
      <c r="H795" s="32" t="s">
        <v>10879</v>
      </c>
      <c r="I795" s="32" t="s">
        <v>12591</v>
      </c>
      <c r="J795" s="32" t="s">
        <v>6165</v>
      </c>
      <c r="K795" s="32" t="s">
        <v>12592</v>
      </c>
      <c r="L795" s="32" t="s">
        <v>6165</v>
      </c>
      <c r="M795" s="32" t="s">
        <v>12228</v>
      </c>
      <c r="N795" s="32" t="s">
        <v>5018</v>
      </c>
      <c r="O795" s="32" t="s">
        <v>12593</v>
      </c>
    </row>
    <row x14ac:dyDescent="0.25" r="796" customHeight="1" ht="15.75">
      <c r="A796" s="8">
        <v>25053</v>
      </c>
      <c r="B796" s="13" t="s">
        <v>109</v>
      </c>
      <c r="C796" s="13" t="s">
        <v>6322</v>
      </c>
      <c r="D796" s="32" t="s">
        <v>6323</v>
      </c>
      <c r="E796" s="32" t="s">
        <v>12594</v>
      </c>
      <c r="F796" s="32" t="s">
        <v>6323</v>
      </c>
      <c r="G796" s="32" t="s">
        <v>12595</v>
      </c>
      <c r="H796" s="32" t="s">
        <v>12596</v>
      </c>
      <c r="I796" s="32" t="s">
        <v>12597</v>
      </c>
      <c r="J796" s="32" t="s">
        <v>6102</v>
      </c>
      <c r="K796" s="32" t="s">
        <v>12598</v>
      </c>
      <c r="L796" s="32" t="s">
        <v>12599</v>
      </c>
      <c r="M796" s="32" t="s">
        <v>12600</v>
      </c>
      <c r="N796" s="32" t="s">
        <v>2705</v>
      </c>
      <c r="O796" s="32" t="s">
        <v>12601</v>
      </c>
    </row>
    <row x14ac:dyDescent="0.25" r="797" customHeight="1" ht="15.75">
      <c r="A797" s="8">
        <v>25039</v>
      </c>
      <c r="B797" s="13" t="s">
        <v>109</v>
      </c>
      <c r="C797" s="13" t="s">
        <v>6325</v>
      </c>
      <c r="D797" s="32" t="s">
        <v>74</v>
      </c>
      <c r="E797" s="32" t="s">
        <v>7427</v>
      </c>
      <c r="F797" s="32" t="s">
        <v>74</v>
      </c>
      <c r="G797" s="32" t="s">
        <v>9550</v>
      </c>
      <c r="H797" s="32" t="s">
        <v>74</v>
      </c>
      <c r="I797" s="32" t="s">
        <v>12598</v>
      </c>
      <c r="J797" s="32" t="s">
        <v>74</v>
      </c>
      <c r="K797" s="32" t="s">
        <v>7275</v>
      </c>
      <c r="L797" s="32" t="s">
        <v>6425</v>
      </c>
      <c r="M797" s="32" t="s">
        <v>12602</v>
      </c>
      <c r="N797" s="32" t="s">
        <v>74</v>
      </c>
      <c r="O797" s="32" t="s">
        <v>12603</v>
      </c>
    </row>
    <row x14ac:dyDescent="0.25" r="798" customHeight="1" ht="15.75">
      <c r="A798" s="8">
        <v>25031</v>
      </c>
      <c r="B798" s="13" t="s">
        <v>109</v>
      </c>
      <c r="C798" s="13" t="s">
        <v>6326</v>
      </c>
      <c r="D798" s="32" t="s">
        <v>74</v>
      </c>
      <c r="E798" s="32" t="s">
        <v>12604</v>
      </c>
      <c r="F798" s="32" t="s">
        <v>74</v>
      </c>
      <c r="G798" s="32" t="s">
        <v>12605</v>
      </c>
      <c r="H798" s="32" t="s">
        <v>6327</v>
      </c>
      <c r="I798" s="32" t="s">
        <v>12606</v>
      </c>
      <c r="J798" s="32" t="s">
        <v>6327</v>
      </c>
      <c r="K798" s="32" t="s">
        <v>8602</v>
      </c>
      <c r="L798" s="32" t="s">
        <v>6327</v>
      </c>
      <c r="M798" s="32" t="s">
        <v>7645</v>
      </c>
      <c r="N798" s="32" t="s">
        <v>6386</v>
      </c>
      <c r="O798" s="32" t="s">
        <v>12607</v>
      </c>
    </row>
    <row x14ac:dyDescent="0.25" r="799" customHeight="1" ht="15.75">
      <c r="A799" s="8">
        <v>25032</v>
      </c>
      <c r="B799" s="13" t="s">
        <v>109</v>
      </c>
      <c r="C799" s="13" t="s">
        <v>6328</v>
      </c>
      <c r="D799" s="32" t="s">
        <v>6329</v>
      </c>
      <c r="E799" s="32" t="s">
        <v>12608</v>
      </c>
      <c r="F799" s="32" t="s">
        <v>9477</v>
      </c>
      <c r="G799" s="32" t="s">
        <v>12609</v>
      </c>
      <c r="H799" s="32" t="s">
        <v>12610</v>
      </c>
      <c r="I799" s="32" t="s">
        <v>12611</v>
      </c>
      <c r="J799" s="32" t="s">
        <v>447</v>
      </c>
      <c r="K799" s="32" t="s">
        <v>11070</v>
      </c>
      <c r="L799" s="32" t="s">
        <v>12610</v>
      </c>
      <c r="M799" s="32" t="s">
        <v>12612</v>
      </c>
      <c r="N799" s="32" t="s">
        <v>12610</v>
      </c>
      <c r="O799" s="32" t="s">
        <v>7424</v>
      </c>
    </row>
    <row x14ac:dyDescent="0.25" r="800" customHeight="1" ht="15.75">
      <c r="A800" s="8">
        <v>25054</v>
      </c>
      <c r="B800" s="13" t="s">
        <v>109</v>
      </c>
      <c r="C800" s="13" t="s">
        <v>6330</v>
      </c>
      <c r="D800" s="32" t="s">
        <v>6331</v>
      </c>
      <c r="E800" s="32" t="s">
        <v>12613</v>
      </c>
      <c r="F800" s="32" t="s">
        <v>12614</v>
      </c>
      <c r="G800" s="32" t="s">
        <v>12615</v>
      </c>
      <c r="H800" s="32" t="s">
        <v>12616</v>
      </c>
      <c r="I800" s="32" t="s">
        <v>12617</v>
      </c>
      <c r="J800" s="32" t="s">
        <v>485</v>
      </c>
      <c r="K800" s="32" t="s">
        <v>12618</v>
      </c>
      <c r="L800" s="32" t="s">
        <v>12616</v>
      </c>
      <c r="M800" s="32" t="s">
        <v>12619</v>
      </c>
      <c r="N800" s="32" t="s">
        <v>2668</v>
      </c>
      <c r="O800" s="32" t="s">
        <v>12620</v>
      </c>
    </row>
    <row x14ac:dyDescent="0.25" r="801" customHeight="1" ht="15.75">
      <c r="A801" s="8">
        <v>25033</v>
      </c>
      <c r="B801" s="13" t="s">
        <v>109</v>
      </c>
      <c r="C801" s="13" t="s">
        <v>6332</v>
      </c>
      <c r="D801" s="32" t="s">
        <v>74</v>
      </c>
      <c r="E801" s="32" t="s">
        <v>12621</v>
      </c>
      <c r="F801" s="32" t="s">
        <v>4417</v>
      </c>
      <c r="G801" s="32" t="s">
        <v>12622</v>
      </c>
      <c r="H801" s="32" t="s">
        <v>5851</v>
      </c>
      <c r="I801" s="32" t="s">
        <v>12623</v>
      </c>
      <c r="J801" s="32" t="s">
        <v>4319</v>
      </c>
      <c r="K801" s="32" t="s">
        <v>12624</v>
      </c>
      <c r="L801" s="32" t="s">
        <v>7076</v>
      </c>
      <c r="M801" s="32" t="s">
        <v>7192</v>
      </c>
      <c r="N801" s="32" t="s">
        <v>81</v>
      </c>
      <c r="O801" s="32" t="s">
        <v>12625</v>
      </c>
    </row>
    <row x14ac:dyDescent="0.25" r="802" customHeight="1" ht="15.75">
      <c r="A802" s="8">
        <v>25055</v>
      </c>
      <c r="B802" s="13" t="s">
        <v>109</v>
      </c>
      <c r="C802" s="13" t="s">
        <v>6333</v>
      </c>
      <c r="D802" s="32" t="s">
        <v>6334</v>
      </c>
      <c r="E802" s="32" t="s">
        <v>12626</v>
      </c>
      <c r="F802" s="32" t="s">
        <v>6334</v>
      </c>
      <c r="G802" s="32" t="s">
        <v>12627</v>
      </c>
      <c r="H802" s="32" t="s">
        <v>5240</v>
      </c>
      <c r="I802" s="32" t="s">
        <v>12628</v>
      </c>
      <c r="J802" s="32" t="s">
        <v>5663</v>
      </c>
      <c r="K802" s="32" t="s">
        <v>12629</v>
      </c>
      <c r="L802" s="32" t="s">
        <v>4198</v>
      </c>
      <c r="M802" s="32" t="s">
        <v>12630</v>
      </c>
      <c r="N802" s="32" t="s">
        <v>4199</v>
      </c>
      <c r="O802" s="32" t="s">
        <v>12631</v>
      </c>
    </row>
    <row x14ac:dyDescent="0.25" r="803" customHeight="1" ht="15.75">
      <c r="A803" s="8">
        <v>25056</v>
      </c>
      <c r="B803" s="13" t="s">
        <v>109</v>
      </c>
      <c r="C803" s="13" t="s">
        <v>6335</v>
      </c>
      <c r="D803" s="32" t="s">
        <v>4536</v>
      </c>
      <c r="E803" s="32" t="s">
        <v>12632</v>
      </c>
      <c r="F803" s="32" t="s">
        <v>2611</v>
      </c>
      <c r="G803" s="32" t="s">
        <v>7644</v>
      </c>
      <c r="H803" s="32" t="s">
        <v>2611</v>
      </c>
      <c r="I803" s="32" t="s">
        <v>9550</v>
      </c>
      <c r="J803" s="32" t="s">
        <v>5423</v>
      </c>
      <c r="K803" s="32" t="s">
        <v>12633</v>
      </c>
      <c r="L803" s="32" t="s">
        <v>485</v>
      </c>
      <c r="M803" s="32" t="s">
        <v>11064</v>
      </c>
      <c r="N803" s="32" t="s">
        <v>485</v>
      </c>
      <c r="O803" s="32" t="s">
        <v>12634</v>
      </c>
    </row>
    <row x14ac:dyDescent="0.25" r="804" customHeight="1" ht="15.75">
      <c r="A804" s="8">
        <v>25012</v>
      </c>
      <c r="B804" s="13" t="s">
        <v>109</v>
      </c>
      <c r="C804" s="13" t="s">
        <v>6336</v>
      </c>
      <c r="D804" s="32" t="s">
        <v>74</v>
      </c>
      <c r="E804" s="32" t="s">
        <v>12635</v>
      </c>
      <c r="F804" s="32" t="s">
        <v>6742</v>
      </c>
      <c r="G804" s="32" t="s">
        <v>8355</v>
      </c>
      <c r="H804" s="32" t="s">
        <v>74</v>
      </c>
      <c r="I804" s="32" t="s">
        <v>12636</v>
      </c>
      <c r="J804" s="32" t="s">
        <v>951</v>
      </c>
      <c r="K804" s="32" t="s">
        <v>12637</v>
      </c>
      <c r="L804" s="32" t="s">
        <v>6742</v>
      </c>
      <c r="M804" s="32" t="s">
        <v>12638</v>
      </c>
      <c r="N804" s="32" t="s">
        <v>4961</v>
      </c>
      <c r="O804" s="32" t="s">
        <v>12639</v>
      </c>
    </row>
    <row x14ac:dyDescent="0.25" r="805" customHeight="1" ht="15.75">
      <c r="A805" s="8">
        <v>25015</v>
      </c>
      <c r="B805" s="13" t="s">
        <v>109</v>
      </c>
      <c r="C805" s="13" t="s">
        <v>6337</v>
      </c>
      <c r="D805" s="32" t="s">
        <v>6338</v>
      </c>
      <c r="E805" s="32" t="s">
        <v>7424</v>
      </c>
      <c r="F805" s="32" t="s">
        <v>12640</v>
      </c>
      <c r="G805" s="32" t="s">
        <v>12641</v>
      </c>
      <c r="H805" s="32" t="s">
        <v>7081</v>
      </c>
      <c r="I805" s="32" t="s">
        <v>12642</v>
      </c>
      <c r="J805" s="32" t="s">
        <v>6329</v>
      </c>
      <c r="K805" s="32" t="s">
        <v>12643</v>
      </c>
      <c r="L805" s="32" t="s">
        <v>5282</v>
      </c>
      <c r="M805" s="32" t="s">
        <v>12644</v>
      </c>
      <c r="N805" s="32" t="s">
        <v>12645</v>
      </c>
      <c r="O805" s="32" t="s">
        <v>12646</v>
      </c>
    </row>
    <row x14ac:dyDescent="0.25" r="806" customHeight="1" ht="15.75">
      <c r="A806" s="8">
        <v>25035</v>
      </c>
      <c r="B806" s="13" t="s">
        <v>109</v>
      </c>
      <c r="C806" s="13" t="s">
        <v>6341</v>
      </c>
      <c r="D806" s="32" t="s">
        <v>6342</v>
      </c>
      <c r="E806" s="32" t="s">
        <v>7348</v>
      </c>
      <c r="F806" s="32" t="s">
        <v>9346</v>
      </c>
      <c r="G806" s="32" t="s">
        <v>12647</v>
      </c>
      <c r="H806" s="32" t="s">
        <v>12648</v>
      </c>
      <c r="I806" s="32" t="s">
        <v>12649</v>
      </c>
      <c r="J806" s="32" t="s">
        <v>6344</v>
      </c>
      <c r="K806" s="32" t="s">
        <v>12650</v>
      </c>
      <c r="L806" s="32" t="s">
        <v>8050</v>
      </c>
      <c r="M806" s="32" t="s">
        <v>12651</v>
      </c>
      <c r="N806" s="32" t="s">
        <v>12652</v>
      </c>
      <c r="O806" s="32" t="s">
        <v>12653</v>
      </c>
    </row>
    <row x14ac:dyDescent="0.25" r="807" customHeight="1" ht="15.75">
      <c r="A807" s="8">
        <v>25040</v>
      </c>
      <c r="B807" s="13" t="s">
        <v>109</v>
      </c>
      <c r="C807" s="13" t="s">
        <v>6345</v>
      </c>
      <c r="D807" s="32" t="s">
        <v>6346</v>
      </c>
      <c r="E807" s="32" t="s">
        <v>12654</v>
      </c>
      <c r="F807" s="32" t="s">
        <v>12655</v>
      </c>
      <c r="G807" s="32" t="s">
        <v>12656</v>
      </c>
      <c r="H807" s="32" t="s">
        <v>9462</v>
      </c>
      <c r="I807" s="32" t="s">
        <v>12657</v>
      </c>
      <c r="J807" s="32" t="s">
        <v>5615</v>
      </c>
      <c r="K807" s="32" t="s">
        <v>12658</v>
      </c>
      <c r="L807" s="32" t="s">
        <v>696</v>
      </c>
      <c r="M807" s="32" t="s">
        <v>12567</v>
      </c>
      <c r="N807" s="32" t="s">
        <v>696</v>
      </c>
      <c r="O807" s="32" t="s">
        <v>12659</v>
      </c>
    </row>
    <row x14ac:dyDescent="0.25" r="808" customHeight="1" ht="15.75">
      <c r="A808" s="8">
        <v>25020</v>
      </c>
      <c r="B808" s="13" t="s">
        <v>109</v>
      </c>
      <c r="C808" s="13" t="s">
        <v>6349</v>
      </c>
      <c r="D808" s="32" t="s">
        <v>5241</v>
      </c>
      <c r="E808" s="32" t="s">
        <v>12660</v>
      </c>
      <c r="F808" s="32" t="s">
        <v>4820</v>
      </c>
      <c r="G808" s="32" t="s">
        <v>12661</v>
      </c>
      <c r="H808" s="32" t="s">
        <v>12459</v>
      </c>
      <c r="I808" s="32" t="s">
        <v>12662</v>
      </c>
      <c r="J808" s="32" t="s">
        <v>6351</v>
      </c>
      <c r="K808" s="32" t="s">
        <v>12663</v>
      </c>
      <c r="L808" s="32" t="s">
        <v>2000</v>
      </c>
      <c r="M808" s="32" t="s">
        <v>12664</v>
      </c>
      <c r="N808" s="32" t="s">
        <v>12665</v>
      </c>
      <c r="O808" s="32" t="s">
        <v>12666</v>
      </c>
    </row>
    <row x14ac:dyDescent="0.25" r="809" customHeight="1" ht="15.75">
      <c r="A809" s="8">
        <v>25013</v>
      </c>
      <c r="B809" s="13" t="s">
        <v>109</v>
      </c>
      <c r="C809" s="13" t="s">
        <v>6352</v>
      </c>
      <c r="D809" s="32" t="s">
        <v>6248</v>
      </c>
      <c r="E809" s="32" t="s">
        <v>12667</v>
      </c>
      <c r="F809" s="32" t="s">
        <v>12668</v>
      </c>
      <c r="G809" s="32" t="s">
        <v>12669</v>
      </c>
      <c r="H809" s="32" t="s">
        <v>1348</v>
      </c>
      <c r="I809" s="32" t="s">
        <v>12670</v>
      </c>
      <c r="J809" s="32" t="s">
        <v>6248</v>
      </c>
      <c r="K809" s="32" t="s">
        <v>12671</v>
      </c>
      <c r="L809" s="32" t="s">
        <v>5774</v>
      </c>
      <c r="M809" s="32" t="s">
        <v>8602</v>
      </c>
      <c r="N809" s="32" t="s">
        <v>1348</v>
      </c>
      <c r="O809" s="32" t="s">
        <v>8598</v>
      </c>
    </row>
    <row x14ac:dyDescent="0.25" r="810" customHeight="1" ht="15.75">
      <c r="A810" s="8">
        <v>25036</v>
      </c>
      <c r="B810" s="13" t="s">
        <v>109</v>
      </c>
      <c r="C810" s="13" t="s">
        <v>6354</v>
      </c>
      <c r="D810" s="32" t="s">
        <v>6355</v>
      </c>
      <c r="E810" s="32" t="s">
        <v>11190</v>
      </c>
      <c r="F810" s="32" t="s">
        <v>6009</v>
      </c>
      <c r="G810" s="32" t="s">
        <v>12672</v>
      </c>
      <c r="H810" s="32" t="s">
        <v>6495</v>
      </c>
      <c r="I810" s="32" t="s">
        <v>12673</v>
      </c>
      <c r="J810" s="32" t="s">
        <v>6356</v>
      </c>
      <c r="K810" s="32" t="s">
        <v>12674</v>
      </c>
      <c r="L810" s="32" t="s">
        <v>12675</v>
      </c>
      <c r="M810" s="32" t="s">
        <v>12676</v>
      </c>
      <c r="N810" s="32" t="s">
        <v>6021</v>
      </c>
      <c r="O810" s="32" t="s">
        <v>7290</v>
      </c>
    </row>
    <row x14ac:dyDescent="0.25" r="811" customHeight="1" ht="15.75">
      <c r="A811" s="8">
        <v>25002</v>
      </c>
      <c r="B811" s="13" t="s">
        <v>109</v>
      </c>
      <c r="C811" s="13" t="s">
        <v>6357</v>
      </c>
      <c r="D811" s="32" t="s">
        <v>6358</v>
      </c>
      <c r="E811" s="32" t="s">
        <v>12677</v>
      </c>
      <c r="F811" s="32" t="s">
        <v>7026</v>
      </c>
      <c r="G811" s="32" t="s">
        <v>12678</v>
      </c>
      <c r="H811" s="32" t="s">
        <v>7026</v>
      </c>
      <c r="I811" s="32" t="s">
        <v>12679</v>
      </c>
      <c r="J811" s="32" t="s">
        <v>6358</v>
      </c>
      <c r="K811" s="32" t="s">
        <v>12680</v>
      </c>
      <c r="L811" s="32" t="s">
        <v>12681</v>
      </c>
      <c r="M811" s="32" t="s">
        <v>12682</v>
      </c>
      <c r="N811" s="32" t="s">
        <v>12683</v>
      </c>
      <c r="O811" s="32" t="s">
        <v>12684</v>
      </c>
    </row>
    <row x14ac:dyDescent="0.25" r="812" customHeight="1" ht="15.75">
      <c r="A812" s="8">
        <v>25045</v>
      </c>
      <c r="B812" s="13" t="s">
        <v>109</v>
      </c>
      <c r="C812" s="13" t="s">
        <v>6359</v>
      </c>
      <c r="D812" s="32" t="s">
        <v>6360</v>
      </c>
      <c r="E812" s="32" t="s">
        <v>12685</v>
      </c>
      <c r="F812" s="32" t="s">
        <v>6360</v>
      </c>
      <c r="G812" s="32" t="s">
        <v>12686</v>
      </c>
      <c r="H812" s="32" t="s">
        <v>12687</v>
      </c>
      <c r="I812" s="32" t="s">
        <v>12688</v>
      </c>
      <c r="J812" s="32" t="s">
        <v>6360</v>
      </c>
      <c r="K812" s="32" t="s">
        <v>12689</v>
      </c>
      <c r="L812" s="32" t="s">
        <v>12687</v>
      </c>
      <c r="M812" s="32" t="s">
        <v>12690</v>
      </c>
      <c r="N812" s="32" t="s">
        <v>830</v>
      </c>
      <c r="O812" s="32" t="s">
        <v>12691</v>
      </c>
    </row>
    <row x14ac:dyDescent="0.25" r="813" customHeight="1" ht="15.75">
      <c r="A813" s="8">
        <v>25059</v>
      </c>
      <c r="B813" s="13" t="s">
        <v>109</v>
      </c>
      <c r="C813" s="13" t="s">
        <v>6361</v>
      </c>
      <c r="D813" s="32" t="s">
        <v>6362</v>
      </c>
      <c r="E813" s="32" t="s">
        <v>12692</v>
      </c>
      <c r="F813" s="32" t="s">
        <v>11785</v>
      </c>
      <c r="G813" s="32" t="s">
        <v>7127</v>
      </c>
      <c r="H813" s="32" t="s">
        <v>6087</v>
      </c>
      <c r="I813" s="32" t="s">
        <v>12693</v>
      </c>
      <c r="J813" s="32" t="s">
        <v>4282</v>
      </c>
      <c r="K813" s="32" t="s">
        <v>12694</v>
      </c>
      <c r="L813" s="32" t="s">
        <v>7371</v>
      </c>
      <c r="M813" s="32" t="s">
        <v>12695</v>
      </c>
      <c r="N813" s="32" t="s">
        <v>7785</v>
      </c>
      <c r="O813" s="32" t="s">
        <v>12696</v>
      </c>
    </row>
    <row x14ac:dyDescent="0.25" r="814" customHeight="1" ht="15.75">
      <c r="A814" s="8">
        <v>25041</v>
      </c>
      <c r="B814" s="13" t="s">
        <v>109</v>
      </c>
      <c r="C814" s="13" t="s">
        <v>6363</v>
      </c>
      <c r="D814" s="32" t="s">
        <v>6364</v>
      </c>
      <c r="E814" s="32" t="s">
        <v>12697</v>
      </c>
      <c r="F814" s="32" t="s">
        <v>12698</v>
      </c>
      <c r="G814" s="32" t="s">
        <v>11368</v>
      </c>
      <c r="H814" s="32" t="s">
        <v>12699</v>
      </c>
      <c r="I814" s="32" t="s">
        <v>12700</v>
      </c>
      <c r="J814" s="32" t="s">
        <v>6365</v>
      </c>
      <c r="K814" s="32" t="s">
        <v>12701</v>
      </c>
      <c r="L814" s="32" t="s">
        <v>12413</v>
      </c>
      <c r="M814" s="32" t="s">
        <v>12702</v>
      </c>
      <c r="N814" s="32" t="s">
        <v>350</v>
      </c>
      <c r="O814" s="32" t="s">
        <v>12703</v>
      </c>
    </row>
    <row x14ac:dyDescent="0.25" r="815" customHeight="1" ht="15.75">
      <c r="A815" s="8">
        <v>25010</v>
      </c>
      <c r="B815" s="13" t="s">
        <v>109</v>
      </c>
      <c r="C815" s="13" t="s">
        <v>6366</v>
      </c>
      <c r="D815" s="32" t="s">
        <v>6367</v>
      </c>
      <c r="E815" s="32" t="s">
        <v>12704</v>
      </c>
      <c r="F815" s="32" t="s">
        <v>12705</v>
      </c>
      <c r="G815" s="32" t="s">
        <v>12706</v>
      </c>
      <c r="H815" s="32" t="s">
        <v>12707</v>
      </c>
      <c r="I815" s="32" t="s">
        <v>12708</v>
      </c>
      <c r="J815" s="32" t="s">
        <v>4198</v>
      </c>
      <c r="K815" s="32" t="s">
        <v>12709</v>
      </c>
      <c r="L815" s="32" t="s">
        <v>7371</v>
      </c>
      <c r="M815" s="32" t="s">
        <v>12710</v>
      </c>
      <c r="N815" s="32" t="s">
        <v>7371</v>
      </c>
      <c r="O815" s="32" t="s">
        <v>12711</v>
      </c>
    </row>
    <row x14ac:dyDescent="0.25" r="816" customHeight="1" ht="15.75">
      <c r="A816" s="8">
        <v>25049</v>
      </c>
      <c r="B816" s="13" t="s">
        <v>109</v>
      </c>
      <c r="C816" s="13" t="s">
        <v>6368</v>
      </c>
      <c r="D816" s="32" t="s">
        <v>6245</v>
      </c>
      <c r="E816" s="32" t="s">
        <v>12293</v>
      </c>
      <c r="F816" s="32" t="s">
        <v>12712</v>
      </c>
      <c r="G816" s="32" t="s">
        <v>12713</v>
      </c>
      <c r="H816" s="32" t="s">
        <v>5292</v>
      </c>
      <c r="I816" s="32" t="s">
        <v>12272</v>
      </c>
      <c r="J816" s="32" t="s">
        <v>6370</v>
      </c>
      <c r="K816" s="32" t="s">
        <v>12714</v>
      </c>
      <c r="L816" s="32" t="s">
        <v>2705</v>
      </c>
      <c r="M816" s="32" t="s">
        <v>12715</v>
      </c>
      <c r="N816" s="32" t="s">
        <v>2675</v>
      </c>
      <c r="O816" s="32" t="s">
        <v>12716</v>
      </c>
    </row>
    <row x14ac:dyDescent="0.25" r="817" customHeight="1" ht="15.75">
      <c r="A817" s="8">
        <v>25149</v>
      </c>
      <c r="B817" s="13" t="s">
        <v>227</v>
      </c>
      <c r="C817" s="13" t="s">
        <v>6371</v>
      </c>
      <c r="D817" s="32" t="s">
        <v>6372</v>
      </c>
      <c r="E817" s="32" t="s">
        <v>12717</v>
      </c>
      <c r="F817" s="32" t="s">
        <v>8157</v>
      </c>
      <c r="G817" s="32" t="s">
        <v>12718</v>
      </c>
      <c r="H817" s="32" t="s">
        <v>5246</v>
      </c>
      <c r="I817" s="32" t="s">
        <v>12719</v>
      </c>
      <c r="J817" s="32" t="s">
        <v>2616</v>
      </c>
      <c r="K817" s="32" t="s">
        <v>12720</v>
      </c>
      <c r="L817" s="32" t="s">
        <v>8369</v>
      </c>
      <c r="M817" s="32" t="s">
        <v>12721</v>
      </c>
      <c r="N817" s="32" t="s">
        <v>12722</v>
      </c>
      <c r="O817" s="32" t="s">
        <v>12723</v>
      </c>
    </row>
    <row x14ac:dyDescent="0.25" r="818" customHeight="1" ht="15.75">
      <c r="A818" s="8">
        <v>25141</v>
      </c>
      <c r="B818" s="13" t="s">
        <v>227</v>
      </c>
      <c r="C818" s="13" t="s">
        <v>6373</v>
      </c>
      <c r="D818" s="32" t="s">
        <v>6374</v>
      </c>
      <c r="E818" s="32" t="s">
        <v>12359</v>
      </c>
      <c r="F818" s="32" t="s">
        <v>74</v>
      </c>
      <c r="G818" s="32" t="s">
        <v>12724</v>
      </c>
      <c r="H818" s="32" t="s">
        <v>74</v>
      </c>
      <c r="I818" s="32" t="s">
        <v>12725</v>
      </c>
      <c r="J818" s="32" t="s">
        <v>6375</v>
      </c>
      <c r="K818" s="32" t="s">
        <v>12726</v>
      </c>
      <c r="L818" s="32" t="s">
        <v>5663</v>
      </c>
      <c r="M818" s="32" t="s">
        <v>12727</v>
      </c>
      <c r="N818" s="32" t="s">
        <v>12728</v>
      </c>
      <c r="O818" s="32" t="s">
        <v>12729</v>
      </c>
    </row>
    <row x14ac:dyDescent="0.25" r="819" customHeight="1" ht="15.75">
      <c r="A819" s="8">
        <v>25150</v>
      </c>
      <c r="B819" s="13" t="s">
        <v>227</v>
      </c>
      <c r="C819" s="13" t="s">
        <v>6377</v>
      </c>
      <c r="D819" s="32" t="s">
        <v>6378</v>
      </c>
      <c r="E819" s="32" t="s">
        <v>12730</v>
      </c>
      <c r="F819" s="32" t="s">
        <v>9929</v>
      </c>
      <c r="G819" s="32" t="s">
        <v>12731</v>
      </c>
      <c r="H819" s="32" t="s">
        <v>11295</v>
      </c>
      <c r="I819" s="32" t="s">
        <v>7142</v>
      </c>
      <c r="J819" s="32" t="s">
        <v>4282</v>
      </c>
      <c r="K819" s="32" t="s">
        <v>12732</v>
      </c>
      <c r="L819" s="32" t="s">
        <v>11552</v>
      </c>
      <c r="M819" s="32" t="s">
        <v>12733</v>
      </c>
      <c r="N819" s="32" t="s">
        <v>12734</v>
      </c>
      <c r="O819" s="32" t="s">
        <v>12735</v>
      </c>
    </row>
    <row x14ac:dyDescent="0.25" r="820" customHeight="1" ht="15.75">
      <c r="A820" s="8">
        <v>25060</v>
      </c>
      <c r="B820" s="13" t="s">
        <v>227</v>
      </c>
      <c r="C820" s="13" t="s">
        <v>6380</v>
      </c>
      <c r="D820" s="32" t="s">
        <v>5294</v>
      </c>
      <c r="E820" s="32" t="s">
        <v>12736</v>
      </c>
      <c r="F820" s="32" t="s">
        <v>5294</v>
      </c>
      <c r="G820" s="32" t="s">
        <v>12737</v>
      </c>
      <c r="H820" s="32" t="s">
        <v>2557</v>
      </c>
      <c r="I820" s="32" t="s">
        <v>9498</v>
      </c>
      <c r="J820" s="32" t="s">
        <v>6381</v>
      </c>
      <c r="K820" s="32" t="s">
        <v>7236</v>
      </c>
      <c r="L820" s="32" t="s">
        <v>2782</v>
      </c>
      <c r="M820" s="32" t="s">
        <v>7127</v>
      </c>
      <c r="N820" s="32" t="s">
        <v>29</v>
      </c>
      <c r="O820" s="32" t="s">
        <v>7127</v>
      </c>
    </row>
    <row x14ac:dyDescent="0.25" r="821" customHeight="1" ht="15.75">
      <c r="A821" s="8">
        <v>25061</v>
      </c>
      <c r="B821" s="13" t="s">
        <v>227</v>
      </c>
      <c r="C821" s="13" t="s">
        <v>6382</v>
      </c>
      <c r="D821" s="32" t="s">
        <v>6383</v>
      </c>
      <c r="E821" s="32" t="s">
        <v>12738</v>
      </c>
      <c r="F821" s="32" t="s">
        <v>8630</v>
      </c>
      <c r="G821" s="32" t="s">
        <v>12739</v>
      </c>
      <c r="H821" s="32" t="s">
        <v>6753</v>
      </c>
      <c r="I821" s="32" t="s">
        <v>12740</v>
      </c>
      <c r="J821" s="32" t="s">
        <v>6384</v>
      </c>
      <c r="K821" s="32" t="s">
        <v>12741</v>
      </c>
      <c r="L821" s="32" t="s">
        <v>12742</v>
      </c>
      <c r="M821" s="32" t="s">
        <v>7127</v>
      </c>
      <c r="N821" s="32" t="s">
        <v>29</v>
      </c>
      <c r="O821" s="32" t="s">
        <v>7127</v>
      </c>
    </row>
    <row x14ac:dyDescent="0.25" r="822" customHeight="1" ht="15.75">
      <c r="A822" s="8">
        <v>25142</v>
      </c>
      <c r="B822" s="13" t="s">
        <v>227</v>
      </c>
      <c r="C822" s="13" t="s">
        <v>6385</v>
      </c>
      <c r="D822" s="32" t="s">
        <v>5705</v>
      </c>
      <c r="E822" s="32" t="s">
        <v>12743</v>
      </c>
      <c r="F822" s="32" t="s">
        <v>12744</v>
      </c>
      <c r="G822" s="32" t="s">
        <v>7127</v>
      </c>
      <c r="H822" s="32" t="s">
        <v>9576</v>
      </c>
      <c r="I822" s="32" t="s">
        <v>12745</v>
      </c>
      <c r="J822" s="32" t="s">
        <v>6386</v>
      </c>
      <c r="K822" s="32" t="s">
        <v>12746</v>
      </c>
      <c r="L822" s="32" t="s">
        <v>11972</v>
      </c>
      <c r="M822" s="32" t="s">
        <v>7127</v>
      </c>
      <c r="N822" s="32" t="s">
        <v>6976</v>
      </c>
      <c r="O822" s="32" t="s">
        <v>7127</v>
      </c>
    </row>
    <row x14ac:dyDescent="0.25" r="823" customHeight="1" ht="15.75">
      <c r="A823" s="8">
        <v>25062</v>
      </c>
      <c r="B823" s="13" t="s">
        <v>227</v>
      </c>
      <c r="C823" s="13" t="s">
        <v>6387</v>
      </c>
      <c r="D823" s="32" t="s">
        <v>74</v>
      </c>
      <c r="E823" s="32" t="s">
        <v>12747</v>
      </c>
      <c r="F823" s="32" t="s">
        <v>12748</v>
      </c>
      <c r="G823" s="32" t="s">
        <v>12749</v>
      </c>
      <c r="H823" s="32" t="s">
        <v>74</v>
      </c>
      <c r="I823" s="32" t="s">
        <v>12750</v>
      </c>
      <c r="J823" s="32" t="s">
        <v>74</v>
      </c>
      <c r="K823" s="32" t="s">
        <v>12751</v>
      </c>
      <c r="L823" s="32" t="s">
        <v>74</v>
      </c>
      <c r="M823" s="32" t="s">
        <v>12752</v>
      </c>
      <c r="N823" s="32" t="s">
        <v>74</v>
      </c>
      <c r="O823" s="32" t="s">
        <v>9513</v>
      </c>
    </row>
    <row x14ac:dyDescent="0.25" r="824" customHeight="1" ht="15.75">
      <c r="A824" s="8">
        <v>25110</v>
      </c>
      <c r="B824" s="13" t="s">
        <v>227</v>
      </c>
      <c r="C824" s="13" t="s">
        <v>6389</v>
      </c>
      <c r="D824" s="32" t="s">
        <v>6390</v>
      </c>
      <c r="E824" s="32" t="s">
        <v>12753</v>
      </c>
      <c r="F824" s="32" t="s">
        <v>12754</v>
      </c>
      <c r="G824" s="32" t="s">
        <v>12755</v>
      </c>
      <c r="H824" s="32" t="s">
        <v>6693</v>
      </c>
      <c r="I824" s="32" t="s">
        <v>12756</v>
      </c>
      <c r="J824" s="32" t="s">
        <v>6391</v>
      </c>
      <c r="K824" s="32" t="s">
        <v>12757</v>
      </c>
      <c r="L824" s="32" t="s">
        <v>12758</v>
      </c>
      <c r="M824" s="32" t="s">
        <v>12759</v>
      </c>
      <c r="N824" s="32" t="s">
        <v>12760</v>
      </c>
      <c r="O824" s="32" t="s">
        <v>12761</v>
      </c>
    </row>
    <row x14ac:dyDescent="0.25" r="825" customHeight="1" ht="15.75">
      <c r="A825" s="8">
        <v>25135</v>
      </c>
      <c r="B825" s="13" t="s">
        <v>227</v>
      </c>
      <c r="C825" s="13" t="s">
        <v>4947</v>
      </c>
      <c r="D825" s="32" t="s">
        <v>6290</v>
      </c>
      <c r="E825" s="32" t="s">
        <v>11270</v>
      </c>
      <c r="F825" s="32" t="s">
        <v>4384</v>
      </c>
      <c r="G825" s="32" t="s">
        <v>7161</v>
      </c>
      <c r="H825" s="32" t="s">
        <v>12503</v>
      </c>
      <c r="I825" s="32" t="s">
        <v>12762</v>
      </c>
      <c r="J825" s="32" t="s">
        <v>6290</v>
      </c>
      <c r="K825" s="32" t="s">
        <v>12763</v>
      </c>
      <c r="L825" s="32" t="s">
        <v>6290</v>
      </c>
      <c r="M825" s="32" t="s">
        <v>12764</v>
      </c>
      <c r="N825" s="32" t="s">
        <v>6290</v>
      </c>
      <c r="O825" s="32" t="s">
        <v>12765</v>
      </c>
    </row>
    <row x14ac:dyDescent="0.25" r="826" customHeight="1" ht="15.75">
      <c r="A826" s="8">
        <v>25063</v>
      </c>
      <c r="B826" s="13" t="s">
        <v>227</v>
      </c>
      <c r="C826" s="13" t="s">
        <v>6392</v>
      </c>
      <c r="D826" s="32" t="s">
        <v>4282</v>
      </c>
      <c r="E826" s="32" t="s">
        <v>12766</v>
      </c>
      <c r="F826" s="32" t="s">
        <v>12767</v>
      </c>
      <c r="G826" s="32" t="s">
        <v>12768</v>
      </c>
      <c r="H826" s="32" t="s">
        <v>6901</v>
      </c>
      <c r="I826" s="32" t="s">
        <v>12769</v>
      </c>
      <c r="J826" s="32" t="s">
        <v>6393</v>
      </c>
      <c r="K826" s="32" t="s">
        <v>12770</v>
      </c>
      <c r="L826" s="32" t="s">
        <v>12771</v>
      </c>
      <c r="M826" s="32" t="s">
        <v>12772</v>
      </c>
      <c r="N826" s="32" t="s">
        <v>12773</v>
      </c>
      <c r="O826" s="32" t="s">
        <v>12774</v>
      </c>
    </row>
    <row x14ac:dyDescent="0.25" r="827" customHeight="1" ht="15.75">
      <c r="A827" s="8">
        <v>25112</v>
      </c>
      <c r="B827" s="13" t="s">
        <v>227</v>
      </c>
      <c r="C827" s="13" t="s">
        <v>6394</v>
      </c>
      <c r="D827" s="32" t="s">
        <v>4282</v>
      </c>
      <c r="E827" s="32" t="s">
        <v>12775</v>
      </c>
      <c r="F827" s="32" t="s">
        <v>29</v>
      </c>
      <c r="G827" s="32" t="s">
        <v>7127</v>
      </c>
      <c r="H827" s="32" t="s">
        <v>810</v>
      </c>
      <c r="I827" s="32" t="s">
        <v>12776</v>
      </c>
      <c r="J827" s="32" t="s">
        <v>2401</v>
      </c>
      <c r="K827" s="32" t="s">
        <v>12777</v>
      </c>
      <c r="L827" s="32" t="s">
        <v>810</v>
      </c>
      <c r="M827" s="32" t="s">
        <v>12778</v>
      </c>
      <c r="N827" s="32" t="s">
        <v>29</v>
      </c>
      <c r="O827" s="32" t="s">
        <v>7127</v>
      </c>
    </row>
    <row x14ac:dyDescent="0.25" r="828" customHeight="1" ht="15.75">
      <c r="A828" s="8">
        <v>25151</v>
      </c>
      <c r="B828" s="13" t="s">
        <v>227</v>
      </c>
      <c r="C828" s="13" t="s">
        <v>6395</v>
      </c>
      <c r="D828" s="32" t="s">
        <v>6396</v>
      </c>
      <c r="E828" s="32" t="s">
        <v>7127</v>
      </c>
      <c r="F828" s="32" t="s">
        <v>1561</v>
      </c>
      <c r="G828" s="32" t="s">
        <v>8500</v>
      </c>
      <c r="H828" s="32" t="s">
        <v>2054</v>
      </c>
      <c r="I828" s="32" t="s">
        <v>8499</v>
      </c>
      <c r="J828" s="32" t="s">
        <v>6165</v>
      </c>
      <c r="K828" s="32" t="s">
        <v>12779</v>
      </c>
      <c r="L828" s="32" t="s">
        <v>451</v>
      </c>
      <c r="M828" s="32" t="s">
        <v>7127</v>
      </c>
      <c r="N828" s="32" t="s">
        <v>2002</v>
      </c>
      <c r="O828" s="32" t="s">
        <v>7127</v>
      </c>
    </row>
    <row x14ac:dyDescent="0.25" r="829" customHeight="1" ht="15.75">
      <c r="A829" s="8">
        <v>25130</v>
      </c>
      <c r="B829" s="13" t="s">
        <v>227</v>
      </c>
      <c r="C829" s="13" t="s">
        <v>6397</v>
      </c>
      <c r="D829" s="32" t="s">
        <v>6398</v>
      </c>
      <c r="E829" s="32" t="s">
        <v>12780</v>
      </c>
      <c r="F829" s="32" t="s">
        <v>8299</v>
      </c>
      <c r="G829" s="32" t="s">
        <v>7127</v>
      </c>
      <c r="H829" s="32" t="s">
        <v>12781</v>
      </c>
      <c r="I829" s="32" t="s">
        <v>12782</v>
      </c>
      <c r="J829" s="32" t="s">
        <v>2000</v>
      </c>
      <c r="K829" s="32" t="s">
        <v>12783</v>
      </c>
      <c r="L829" s="32" t="s">
        <v>2334</v>
      </c>
      <c r="M829" s="32" t="s">
        <v>7127</v>
      </c>
      <c r="N829" s="32" t="s">
        <v>11638</v>
      </c>
      <c r="O829" s="32" t="s">
        <v>7127</v>
      </c>
    </row>
    <row x14ac:dyDescent="0.25" r="830" customHeight="1" ht="15.75">
      <c r="A830" s="8">
        <v>25064</v>
      </c>
      <c r="B830" s="13" t="s">
        <v>227</v>
      </c>
      <c r="C830" s="13" t="s">
        <v>6400</v>
      </c>
      <c r="D830" s="32" t="s">
        <v>4548</v>
      </c>
      <c r="E830" s="32" t="s">
        <v>12784</v>
      </c>
      <c r="F830" s="32" t="s">
        <v>11372</v>
      </c>
      <c r="G830" s="32" t="s">
        <v>12785</v>
      </c>
      <c r="H830" s="32" t="s">
        <v>9202</v>
      </c>
      <c r="I830" s="32" t="s">
        <v>12786</v>
      </c>
      <c r="J830" s="32" t="s">
        <v>1849</v>
      </c>
      <c r="K830" s="32" t="s">
        <v>12787</v>
      </c>
      <c r="L830" s="32" t="s">
        <v>8724</v>
      </c>
      <c r="M830" s="32" t="s">
        <v>12788</v>
      </c>
      <c r="N830" s="32" t="s">
        <v>12789</v>
      </c>
      <c r="O830" s="32" t="s">
        <v>7127</v>
      </c>
    </row>
    <row x14ac:dyDescent="0.25" r="831" customHeight="1" ht="15.75">
      <c r="A831" s="8">
        <v>25065</v>
      </c>
      <c r="B831" s="13" t="s">
        <v>227</v>
      </c>
      <c r="C831" s="13" t="s">
        <v>6401</v>
      </c>
      <c r="D831" s="32" t="s">
        <v>6402</v>
      </c>
      <c r="E831" s="32" t="s">
        <v>12790</v>
      </c>
      <c r="F831" s="32" t="s">
        <v>810</v>
      </c>
      <c r="G831" s="32" t="s">
        <v>12791</v>
      </c>
      <c r="H831" s="32" t="s">
        <v>2186</v>
      </c>
      <c r="I831" s="32" t="s">
        <v>12638</v>
      </c>
      <c r="J831" s="32" t="s">
        <v>6052</v>
      </c>
      <c r="K831" s="32" t="s">
        <v>12792</v>
      </c>
      <c r="L831" s="32" t="s">
        <v>4703</v>
      </c>
      <c r="M831" s="32" t="s">
        <v>12793</v>
      </c>
      <c r="N831" s="32" t="s">
        <v>88</v>
      </c>
      <c r="O831" s="32" t="s">
        <v>12794</v>
      </c>
    </row>
    <row x14ac:dyDescent="0.25" r="832" customHeight="1" ht="15.75">
      <c r="A832" s="8">
        <v>25066</v>
      </c>
      <c r="B832" s="13" t="s">
        <v>227</v>
      </c>
      <c r="C832" s="13" t="s">
        <v>6404</v>
      </c>
      <c r="D832" s="32" t="s">
        <v>4241</v>
      </c>
      <c r="E832" s="32" t="s">
        <v>12795</v>
      </c>
      <c r="F832" s="32" t="s">
        <v>12796</v>
      </c>
      <c r="G832" s="32" t="s">
        <v>12797</v>
      </c>
      <c r="H832" s="32" t="s">
        <v>12798</v>
      </c>
      <c r="I832" s="32" t="s">
        <v>12799</v>
      </c>
      <c r="J832" s="32" t="s">
        <v>6405</v>
      </c>
      <c r="K832" s="32" t="s">
        <v>12800</v>
      </c>
      <c r="L832" s="32" t="s">
        <v>9686</v>
      </c>
      <c r="M832" s="32" t="s">
        <v>12801</v>
      </c>
      <c r="N832" s="32" t="s">
        <v>34</v>
      </c>
      <c r="O832" s="32" t="s">
        <v>12802</v>
      </c>
    </row>
    <row x14ac:dyDescent="0.25" r="833" customHeight="1" ht="15.75">
      <c r="A833" s="8">
        <v>25136</v>
      </c>
      <c r="B833" s="13" t="s">
        <v>227</v>
      </c>
      <c r="C833" s="13" t="s">
        <v>6406</v>
      </c>
      <c r="D833" s="32" t="s">
        <v>6407</v>
      </c>
      <c r="E833" s="32" t="s">
        <v>12803</v>
      </c>
      <c r="F833" s="32" t="s">
        <v>6407</v>
      </c>
      <c r="G833" s="32" t="s">
        <v>12804</v>
      </c>
      <c r="H833" s="32" t="s">
        <v>12805</v>
      </c>
      <c r="I833" s="32" t="s">
        <v>12806</v>
      </c>
      <c r="J833" s="32" t="s">
        <v>6408</v>
      </c>
      <c r="K833" s="32" t="s">
        <v>12807</v>
      </c>
      <c r="L833" s="32" t="s">
        <v>12808</v>
      </c>
      <c r="M833" s="32" t="s">
        <v>12809</v>
      </c>
      <c r="N833" s="32" t="s">
        <v>10597</v>
      </c>
      <c r="O833" s="32" t="s">
        <v>12810</v>
      </c>
    </row>
    <row x14ac:dyDescent="0.25" r="834" customHeight="1" ht="15.75">
      <c r="A834" s="8">
        <v>25067</v>
      </c>
      <c r="B834" s="13" t="s">
        <v>227</v>
      </c>
      <c r="C834" s="13" t="s">
        <v>6409</v>
      </c>
      <c r="D834" s="32" t="s">
        <v>6410</v>
      </c>
      <c r="E834" s="32" t="s">
        <v>11644</v>
      </c>
      <c r="F834" s="32" t="s">
        <v>9030</v>
      </c>
      <c r="G834" s="32" t="s">
        <v>12811</v>
      </c>
      <c r="H834" s="32" t="s">
        <v>5809</v>
      </c>
      <c r="I834" s="32" t="s">
        <v>12812</v>
      </c>
      <c r="J834" s="32" t="s">
        <v>88</v>
      </c>
      <c r="K834" s="32" t="s">
        <v>12813</v>
      </c>
      <c r="L834" s="32" t="s">
        <v>5951</v>
      </c>
      <c r="M834" s="32" t="s">
        <v>9745</v>
      </c>
      <c r="N834" s="32" t="s">
        <v>5809</v>
      </c>
      <c r="O834" s="32" t="s">
        <v>12814</v>
      </c>
    </row>
    <row x14ac:dyDescent="0.25" r="835" customHeight="1" ht="15.75">
      <c r="A835" s="8">
        <v>25068</v>
      </c>
      <c r="B835" s="13" t="s">
        <v>227</v>
      </c>
      <c r="C835" s="13" t="s">
        <v>6411</v>
      </c>
      <c r="D835" s="32" t="s">
        <v>6412</v>
      </c>
      <c r="E835" s="32" t="s">
        <v>12815</v>
      </c>
      <c r="F835" s="32" t="s">
        <v>7440</v>
      </c>
      <c r="G835" s="32" t="s">
        <v>9237</v>
      </c>
      <c r="H835" s="32" t="s">
        <v>909</v>
      </c>
      <c r="I835" s="32" t="s">
        <v>12816</v>
      </c>
      <c r="J835" s="32" t="s">
        <v>81</v>
      </c>
      <c r="K835" s="32" t="s">
        <v>12817</v>
      </c>
      <c r="L835" s="32" t="s">
        <v>12818</v>
      </c>
      <c r="M835" s="32" t="s">
        <v>12819</v>
      </c>
      <c r="N835" s="32" t="s">
        <v>12820</v>
      </c>
      <c r="O835" s="32" t="s">
        <v>12821</v>
      </c>
    </row>
    <row x14ac:dyDescent="0.25" r="836" customHeight="1" ht="15.75">
      <c r="A836" s="8">
        <v>25143</v>
      </c>
      <c r="B836" s="13" t="s">
        <v>227</v>
      </c>
      <c r="C836" s="13" t="s">
        <v>6413</v>
      </c>
      <c r="D836" s="32" t="s">
        <v>6414</v>
      </c>
      <c r="E836" s="32" t="s">
        <v>12822</v>
      </c>
      <c r="F836" s="32" t="s">
        <v>6419</v>
      </c>
      <c r="G836" s="32" t="s">
        <v>12823</v>
      </c>
      <c r="H836" s="32" t="s">
        <v>12824</v>
      </c>
      <c r="I836" s="32" t="s">
        <v>12825</v>
      </c>
      <c r="J836" s="32" t="s">
        <v>6415</v>
      </c>
      <c r="K836" s="32" t="s">
        <v>12826</v>
      </c>
      <c r="L836" s="32" t="s">
        <v>12827</v>
      </c>
      <c r="M836" s="32" t="s">
        <v>12828</v>
      </c>
      <c r="N836" s="32" t="s">
        <v>12829</v>
      </c>
      <c r="O836" s="32" t="s">
        <v>12534</v>
      </c>
    </row>
    <row x14ac:dyDescent="0.25" r="837" customHeight="1" ht="15.75">
      <c r="A837" s="8">
        <v>25069</v>
      </c>
      <c r="B837" s="13" t="s">
        <v>227</v>
      </c>
      <c r="C837" s="13" t="s">
        <v>6416</v>
      </c>
      <c r="D837" s="32" t="s">
        <v>6417</v>
      </c>
      <c r="E837" s="32" t="s">
        <v>7280</v>
      </c>
      <c r="F837" s="32" t="s">
        <v>2705</v>
      </c>
      <c r="G837" s="32" t="s">
        <v>12830</v>
      </c>
      <c r="H837" s="32" t="s">
        <v>5479</v>
      </c>
      <c r="I837" s="32" t="s">
        <v>12831</v>
      </c>
      <c r="J837" s="32" t="s">
        <v>6419</v>
      </c>
      <c r="K837" s="32" t="s">
        <v>12832</v>
      </c>
      <c r="L837" s="32" t="s">
        <v>5479</v>
      </c>
      <c r="M837" s="32" t="s">
        <v>12833</v>
      </c>
      <c r="N837" s="32" t="s">
        <v>5215</v>
      </c>
      <c r="O837" s="32" t="s">
        <v>12834</v>
      </c>
    </row>
    <row x14ac:dyDescent="0.25" r="838" customHeight="1" ht="15.75">
      <c r="A838" s="8">
        <v>25070</v>
      </c>
      <c r="B838" s="13" t="s">
        <v>227</v>
      </c>
      <c r="C838" s="13" t="s">
        <v>6420</v>
      </c>
      <c r="D838" s="32" t="s">
        <v>4842</v>
      </c>
      <c r="E838" s="32" t="s">
        <v>12835</v>
      </c>
      <c r="F838" s="32" t="s">
        <v>12836</v>
      </c>
      <c r="G838" s="32" t="s">
        <v>12837</v>
      </c>
      <c r="H838" s="32" t="s">
        <v>12838</v>
      </c>
      <c r="I838" s="32" t="s">
        <v>12839</v>
      </c>
      <c r="J838" s="32" t="s">
        <v>6421</v>
      </c>
      <c r="K838" s="32" t="s">
        <v>12840</v>
      </c>
      <c r="L838" s="32" t="s">
        <v>7056</v>
      </c>
      <c r="M838" s="32" t="s">
        <v>12841</v>
      </c>
      <c r="N838" s="32" t="s">
        <v>5113</v>
      </c>
      <c r="O838" s="32" t="s">
        <v>7544</v>
      </c>
    </row>
    <row x14ac:dyDescent="0.25" r="839" customHeight="1" ht="15.75">
      <c r="A839" s="8">
        <v>25071</v>
      </c>
      <c r="B839" s="13" t="s">
        <v>227</v>
      </c>
      <c r="C839" s="13" t="s">
        <v>6423</v>
      </c>
      <c r="D839" s="32" t="s">
        <v>2496</v>
      </c>
      <c r="E839" s="32" t="s">
        <v>7127</v>
      </c>
      <c r="F839" s="32" t="s">
        <v>6888</v>
      </c>
      <c r="G839" s="32" t="s">
        <v>12842</v>
      </c>
      <c r="H839" s="32" t="s">
        <v>12843</v>
      </c>
      <c r="I839" s="32" t="s">
        <v>12844</v>
      </c>
      <c r="J839" s="32" t="s">
        <v>1891</v>
      </c>
      <c r="K839" s="32" t="s">
        <v>12845</v>
      </c>
      <c r="L839" s="32" t="s">
        <v>1091</v>
      </c>
      <c r="M839" s="32" t="s">
        <v>8499</v>
      </c>
      <c r="N839" s="32" t="s">
        <v>4503</v>
      </c>
      <c r="O839" s="32" t="s">
        <v>12846</v>
      </c>
    </row>
    <row x14ac:dyDescent="0.25" r="840" customHeight="1" ht="15.75">
      <c r="A840" s="8">
        <v>25072</v>
      </c>
      <c r="B840" s="13" t="s">
        <v>227</v>
      </c>
      <c r="C840" s="13" t="s">
        <v>6424</v>
      </c>
      <c r="D840" s="32" t="s">
        <v>6425</v>
      </c>
      <c r="E840" s="32" t="s">
        <v>12847</v>
      </c>
      <c r="F840" s="32" t="s">
        <v>6425</v>
      </c>
      <c r="G840" s="32" t="s">
        <v>12848</v>
      </c>
      <c r="H840" s="32" t="s">
        <v>8038</v>
      </c>
      <c r="I840" s="32" t="s">
        <v>8073</v>
      </c>
      <c r="J840" s="32" t="s">
        <v>2486</v>
      </c>
      <c r="K840" s="32" t="s">
        <v>12849</v>
      </c>
      <c r="L840" s="32" t="s">
        <v>696</v>
      </c>
      <c r="M840" s="32" t="s">
        <v>12850</v>
      </c>
      <c r="N840" s="32" t="s">
        <v>2142</v>
      </c>
      <c r="O840" s="32" t="s">
        <v>8014</v>
      </c>
    </row>
    <row x14ac:dyDescent="0.25" r="841" customHeight="1" ht="15.75">
      <c r="A841" s="8">
        <v>25073</v>
      </c>
      <c r="B841" s="13" t="s">
        <v>227</v>
      </c>
      <c r="C841" s="13" t="s">
        <v>6428</v>
      </c>
      <c r="D841" s="32" t="s">
        <v>6313</v>
      </c>
      <c r="E841" s="32" t="s">
        <v>12851</v>
      </c>
      <c r="F841" s="32" t="s">
        <v>12852</v>
      </c>
      <c r="G841" s="32" t="s">
        <v>12853</v>
      </c>
      <c r="H841" s="32" t="s">
        <v>6273</v>
      </c>
      <c r="I841" s="32" t="s">
        <v>12854</v>
      </c>
      <c r="J841" s="32" t="s">
        <v>4341</v>
      </c>
      <c r="K841" s="32" t="s">
        <v>12855</v>
      </c>
      <c r="L841" s="32" t="s">
        <v>12856</v>
      </c>
      <c r="M841" s="32" t="s">
        <v>7819</v>
      </c>
      <c r="N841" s="32" t="s">
        <v>12852</v>
      </c>
      <c r="O841" s="32" t="s">
        <v>12427</v>
      </c>
    </row>
    <row x14ac:dyDescent="0.25" r="842" customHeight="1" ht="15.75">
      <c r="A842" s="8">
        <v>25074</v>
      </c>
      <c r="B842" s="13" t="s">
        <v>227</v>
      </c>
      <c r="C842" s="13" t="s">
        <v>6430</v>
      </c>
      <c r="D842" s="32" t="s">
        <v>6431</v>
      </c>
      <c r="E842" s="32" t="s">
        <v>12857</v>
      </c>
      <c r="F842" s="32" t="s">
        <v>12858</v>
      </c>
      <c r="G842" s="32" t="s">
        <v>12859</v>
      </c>
      <c r="H842" s="32" t="s">
        <v>8519</v>
      </c>
      <c r="I842" s="32" t="s">
        <v>12860</v>
      </c>
      <c r="J842" s="32" t="s">
        <v>6432</v>
      </c>
      <c r="K842" s="32" t="s">
        <v>12861</v>
      </c>
      <c r="L842" s="32" t="s">
        <v>7102</v>
      </c>
      <c r="M842" s="32" t="s">
        <v>12862</v>
      </c>
      <c r="N842" s="32" t="s">
        <v>5615</v>
      </c>
      <c r="O842" s="32" t="s">
        <v>12863</v>
      </c>
    </row>
    <row x14ac:dyDescent="0.25" r="843" customHeight="1" ht="15.75">
      <c r="A843" s="8">
        <v>25152</v>
      </c>
      <c r="B843" s="13" t="s">
        <v>227</v>
      </c>
      <c r="C843" s="13" t="s">
        <v>6433</v>
      </c>
      <c r="D843" s="32" t="s">
        <v>2599</v>
      </c>
      <c r="E843" s="32" t="s">
        <v>12864</v>
      </c>
      <c r="F843" s="32" t="s">
        <v>6690</v>
      </c>
      <c r="G843" s="32" t="s">
        <v>12865</v>
      </c>
      <c r="H843" s="32" t="s">
        <v>5865</v>
      </c>
      <c r="I843" s="32" t="s">
        <v>12866</v>
      </c>
      <c r="J843" s="32" t="s">
        <v>2460</v>
      </c>
      <c r="K843" s="32" t="s">
        <v>12867</v>
      </c>
      <c r="L843" s="32" t="s">
        <v>4872</v>
      </c>
      <c r="M843" s="32" t="s">
        <v>12868</v>
      </c>
      <c r="N843" s="32" t="s">
        <v>12869</v>
      </c>
      <c r="O843" s="32" t="s">
        <v>12870</v>
      </c>
    </row>
    <row x14ac:dyDescent="0.25" r="844" customHeight="1" ht="15.75">
      <c r="A844" s="8">
        <v>25153</v>
      </c>
      <c r="B844" s="13" t="s">
        <v>227</v>
      </c>
      <c r="C844" s="13" t="s">
        <v>6434</v>
      </c>
      <c r="D844" s="32" t="s">
        <v>6435</v>
      </c>
      <c r="E844" s="32" t="s">
        <v>12871</v>
      </c>
      <c r="F844" s="32" t="s">
        <v>9255</v>
      </c>
      <c r="G844" s="32" t="s">
        <v>10367</v>
      </c>
      <c r="H844" s="32" t="s">
        <v>4991</v>
      </c>
      <c r="I844" s="32" t="s">
        <v>11831</v>
      </c>
      <c r="J844" s="32" t="s">
        <v>6436</v>
      </c>
      <c r="K844" s="32" t="s">
        <v>7309</v>
      </c>
      <c r="L844" s="32" t="s">
        <v>8334</v>
      </c>
      <c r="M844" s="32" t="s">
        <v>12872</v>
      </c>
      <c r="N844" s="32" t="s">
        <v>8334</v>
      </c>
      <c r="O844" s="32" t="s">
        <v>7618</v>
      </c>
    </row>
    <row x14ac:dyDescent="0.25" r="845" customHeight="1" ht="15.75">
      <c r="A845" s="8">
        <v>25075</v>
      </c>
      <c r="B845" s="13" t="s">
        <v>227</v>
      </c>
      <c r="C845" s="13" t="s">
        <v>6437</v>
      </c>
      <c r="D845" s="32" t="s">
        <v>6438</v>
      </c>
      <c r="E845" s="32" t="s">
        <v>12873</v>
      </c>
      <c r="F845" s="32" t="s">
        <v>12874</v>
      </c>
      <c r="G845" s="32" t="s">
        <v>8790</v>
      </c>
      <c r="H845" s="32" t="s">
        <v>4805</v>
      </c>
      <c r="I845" s="32" t="s">
        <v>12875</v>
      </c>
      <c r="J845" s="32" t="s">
        <v>4736</v>
      </c>
      <c r="K845" s="32" t="s">
        <v>12876</v>
      </c>
      <c r="L845" s="32" t="s">
        <v>12877</v>
      </c>
      <c r="M845" s="32" t="s">
        <v>12878</v>
      </c>
      <c r="N845" s="32" t="s">
        <v>8281</v>
      </c>
      <c r="O845" s="32" t="s">
        <v>9714</v>
      </c>
    </row>
    <row x14ac:dyDescent="0.25" r="846" customHeight="1" ht="15.75">
      <c r="A846" s="8">
        <v>25076</v>
      </c>
      <c r="B846" s="13" t="s">
        <v>227</v>
      </c>
      <c r="C846" s="13" t="s">
        <v>6439</v>
      </c>
      <c r="D846" s="32" t="s">
        <v>6440</v>
      </c>
      <c r="E846" s="32" t="s">
        <v>12879</v>
      </c>
      <c r="F846" s="32" t="s">
        <v>5712</v>
      </c>
      <c r="G846" s="32" t="s">
        <v>12591</v>
      </c>
      <c r="H846" s="32" t="s">
        <v>12880</v>
      </c>
      <c r="I846" s="32" t="s">
        <v>12881</v>
      </c>
      <c r="J846" s="32" t="s">
        <v>6432</v>
      </c>
      <c r="K846" s="32" t="s">
        <v>9643</v>
      </c>
      <c r="L846" s="32" t="s">
        <v>951</v>
      </c>
      <c r="M846" s="32" t="s">
        <v>12882</v>
      </c>
      <c r="N846" s="32" t="s">
        <v>4382</v>
      </c>
      <c r="O846" s="32" t="s">
        <v>12883</v>
      </c>
    </row>
    <row x14ac:dyDescent="0.25" r="847" customHeight="1" ht="15.75">
      <c r="A847" s="8">
        <v>25077</v>
      </c>
      <c r="B847" s="13" t="s">
        <v>227</v>
      </c>
      <c r="C847" s="13" t="s">
        <v>6442</v>
      </c>
      <c r="D847" s="32" t="s">
        <v>6443</v>
      </c>
      <c r="E847" s="32" t="s">
        <v>12884</v>
      </c>
      <c r="F847" s="32" t="s">
        <v>5116</v>
      </c>
      <c r="G847" s="32" t="s">
        <v>12885</v>
      </c>
      <c r="H847" s="32" t="s">
        <v>6150</v>
      </c>
      <c r="I847" s="32" t="s">
        <v>12886</v>
      </c>
      <c r="J847" s="32" t="s">
        <v>4111</v>
      </c>
      <c r="K847" s="32" t="s">
        <v>12887</v>
      </c>
      <c r="L847" s="32" t="s">
        <v>4836</v>
      </c>
      <c r="M847" s="32" t="s">
        <v>7127</v>
      </c>
      <c r="N847" s="32" t="s">
        <v>4229</v>
      </c>
      <c r="O847" s="32" t="s">
        <v>12888</v>
      </c>
    </row>
    <row x14ac:dyDescent="0.25" r="848" customHeight="1" ht="15.75">
      <c r="A848" s="8">
        <v>25113</v>
      </c>
      <c r="B848" s="13" t="s">
        <v>227</v>
      </c>
      <c r="C848" s="13" t="s">
        <v>6445</v>
      </c>
      <c r="D848" s="32" t="s">
        <v>6446</v>
      </c>
      <c r="E848" s="32" t="s">
        <v>12889</v>
      </c>
      <c r="F848" s="32" t="s">
        <v>9545</v>
      </c>
      <c r="G848" s="32" t="s">
        <v>12890</v>
      </c>
      <c r="H848" s="32" t="s">
        <v>9480</v>
      </c>
      <c r="I848" s="32" t="s">
        <v>12891</v>
      </c>
      <c r="J848" s="32" t="s">
        <v>6447</v>
      </c>
      <c r="K848" s="32" t="s">
        <v>7683</v>
      </c>
      <c r="L848" s="32" t="s">
        <v>2504</v>
      </c>
      <c r="M848" s="32" t="s">
        <v>12892</v>
      </c>
      <c r="N848" s="32" t="s">
        <v>5984</v>
      </c>
      <c r="O848" s="32" t="s">
        <v>12893</v>
      </c>
    </row>
    <row x14ac:dyDescent="0.25" r="849" customHeight="1" ht="15.75">
      <c r="A849" s="8">
        <v>25137</v>
      </c>
      <c r="B849" s="13" t="s">
        <v>227</v>
      </c>
      <c r="C849" s="13" t="s">
        <v>6448</v>
      </c>
      <c r="D849" s="32" t="s">
        <v>6351</v>
      </c>
      <c r="E849" s="32" t="s">
        <v>12894</v>
      </c>
      <c r="F849" s="32" t="s">
        <v>5070</v>
      </c>
      <c r="G849" s="32" t="s">
        <v>12895</v>
      </c>
      <c r="H849" s="32" t="s">
        <v>9113</v>
      </c>
      <c r="I849" s="32" t="s">
        <v>12896</v>
      </c>
      <c r="J849" s="32" t="s">
        <v>4872</v>
      </c>
      <c r="K849" s="32" t="s">
        <v>12897</v>
      </c>
      <c r="L849" s="32" t="s">
        <v>12898</v>
      </c>
      <c r="M849" s="32" t="s">
        <v>12899</v>
      </c>
      <c r="N849" s="32" t="s">
        <v>12900</v>
      </c>
      <c r="O849" s="32" t="s">
        <v>12901</v>
      </c>
    </row>
    <row x14ac:dyDescent="0.25" r="850" customHeight="1" ht="15.75">
      <c r="A850" s="8">
        <v>25144</v>
      </c>
      <c r="B850" s="13" t="s">
        <v>227</v>
      </c>
      <c r="C850" s="13" t="s">
        <v>6449</v>
      </c>
      <c r="D850" s="32" t="s">
        <v>74</v>
      </c>
      <c r="E850" s="32" t="s">
        <v>12902</v>
      </c>
      <c r="F850" s="32" t="s">
        <v>8009</v>
      </c>
      <c r="G850" s="32" t="s">
        <v>12359</v>
      </c>
      <c r="H850" s="32" t="s">
        <v>6451</v>
      </c>
      <c r="I850" s="32" t="s">
        <v>12903</v>
      </c>
      <c r="J850" s="32" t="s">
        <v>6451</v>
      </c>
      <c r="K850" s="32" t="s">
        <v>12904</v>
      </c>
      <c r="L850" s="32" t="s">
        <v>9133</v>
      </c>
      <c r="M850" s="32" t="s">
        <v>12905</v>
      </c>
      <c r="N850" s="32" t="s">
        <v>2166</v>
      </c>
      <c r="O850" s="32" t="s">
        <v>12906</v>
      </c>
    </row>
    <row x14ac:dyDescent="0.25" r="851" customHeight="1" ht="15.75">
      <c r="A851" s="8">
        <v>25078</v>
      </c>
      <c r="B851" s="13" t="s">
        <v>227</v>
      </c>
      <c r="C851" s="13" t="s">
        <v>6452</v>
      </c>
      <c r="D851" s="32" t="s">
        <v>5710</v>
      </c>
      <c r="E851" s="32" t="s">
        <v>12907</v>
      </c>
      <c r="F851" s="32" t="s">
        <v>12098</v>
      </c>
      <c r="G851" s="32" t="s">
        <v>12533</v>
      </c>
      <c r="H851" s="32" t="s">
        <v>6453</v>
      </c>
      <c r="I851" s="32" t="s">
        <v>12908</v>
      </c>
      <c r="J851" s="32" t="s">
        <v>6453</v>
      </c>
      <c r="K851" s="32" t="s">
        <v>7158</v>
      </c>
      <c r="L851" s="32" t="s">
        <v>7505</v>
      </c>
      <c r="M851" s="32" t="s">
        <v>12909</v>
      </c>
      <c r="N851" s="32" t="s">
        <v>6623</v>
      </c>
      <c r="O851" s="32" t="s">
        <v>12910</v>
      </c>
    </row>
    <row x14ac:dyDescent="0.25" r="852" customHeight="1" ht="15.75">
      <c r="A852" s="8">
        <v>25079</v>
      </c>
      <c r="B852" s="13" t="s">
        <v>227</v>
      </c>
      <c r="C852" s="13" t="s">
        <v>6454</v>
      </c>
      <c r="D852" s="32" t="s">
        <v>6455</v>
      </c>
      <c r="E852" s="32" t="s">
        <v>12911</v>
      </c>
      <c r="F852" s="32" t="s">
        <v>12912</v>
      </c>
      <c r="G852" s="32" t="s">
        <v>12913</v>
      </c>
      <c r="H852" s="32" t="s">
        <v>12914</v>
      </c>
      <c r="I852" s="32" t="s">
        <v>11894</v>
      </c>
      <c r="J852" s="32" t="s">
        <v>6457</v>
      </c>
      <c r="K852" s="32" t="s">
        <v>12915</v>
      </c>
      <c r="L852" s="32" t="s">
        <v>12916</v>
      </c>
      <c r="M852" s="32" t="s">
        <v>12917</v>
      </c>
      <c r="N852" s="32" t="s">
        <v>2759</v>
      </c>
      <c r="O852" s="32" t="s">
        <v>12918</v>
      </c>
    </row>
    <row x14ac:dyDescent="0.25" r="853" customHeight="1" ht="15.75">
      <c r="A853" s="8">
        <v>25138</v>
      </c>
      <c r="B853" s="13" t="s">
        <v>227</v>
      </c>
      <c r="C853" s="13" t="s">
        <v>6458</v>
      </c>
      <c r="D853" s="32" t="s">
        <v>74</v>
      </c>
      <c r="E853" s="32" t="s">
        <v>12919</v>
      </c>
      <c r="F853" s="32" t="s">
        <v>7785</v>
      </c>
      <c r="G853" s="32" t="s">
        <v>12920</v>
      </c>
      <c r="H853" s="32" t="s">
        <v>9070</v>
      </c>
      <c r="I853" s="32" t="s">
        <v>12921</v>
      </c>
      <c r="J853" s="32" t="s">
        <v>5047</v>
      </c>
      <c r="K853" s="32" t="s">
        <v>12922</v>
      </c>
      <c r="L853" s="32" t="s">
        <v>9070</v>
      </c>
      <c r="M853" s="32" t="s">
        <v>7918</v>
      </c>
      <c r="N853" s="32" t="s">
        <v>81</v>
      </c>
      <c r="O853" s="32" t="s">
        <v>12923</v>
      </c>
    </row>
    <row x14ac:dyDescent="0.25" r="854" customHeight="1" ht="15.75">
      <c r="A854" s="8">
        <v>25118</v>
      </c>
      <c r="B854" s="13" t="s">
        <v>227</v>
      </c>
      <c r="C854" s="13" t="s">
        <v>6459</v>
      </c>
      <c r="D854" s="32" t="s">
        <v>6460</v>
      </c>
      <c r="E854" s="32" t="s">
        <v>12924</v>
      </c>
      <c r="F854" s="32" t="s">
        <v>6528</v>
      </c>
      <c r="G854" s="32" t="s">
        <v>7821</v>
      </c>
      <c r="H854" s="32" t="s">
        <v>7113</v>
      </c>
      <c r="I854" s="32" t="s">
        <v>12925</v>
      </c>
      <c r="J854" s="32" t="s">
        <v>5045</v>
      </c>
      <c r="K854" s="32" t="s">
        <v>8642</v>
      </c>
      <c r="L854" s="32" t="s">
        <v>12926</v>
      </c>
      <c r="M854" s="32" t="s">
        <v>7127</v>
      </c>
      <c r="N854" s="32" t="s">
        <v>11223</v>
      </c>
      <c r="O854" s="32" t="s">
        <v>8432</v>
      </c>
    </row>
    <row x14ac:dyDescent="0.25" r="855" customHeight="1" ht="15.75">
      <c r="A855" s="8">
        <v>25131</v>
      </c>
      <c r="B855" s="13" t="s">
        <v>227</v>
      </c>
      <c r="C855" s="13" t="s">
        <v>6461</v>
      </c>
      <c r="D855" s="32" t="s">
        <v>252</v>
      </c>
      <c r="E855" s="32" t="s">
        <v>12927</v>
      </c>
      <c r="F855" s="32" t="s">
        <v>1618</v>
      </c>
      <c r="G855" s="32" t="s">
        <v>7618</v>
      </c>
      <c r="H855" s="32" t="s">
        <v>2762</v>
      </c>
      <c r="I855" s="32" t="s">
        <v>12928</v>
      </c>
      <c r="J855" s="32" t="s">
        <v>4973</v>
      </c>
      <c r="K855" s="32" t="s">
        <v>8507</v>
      </c>
      <c r="L855" s="32" t="s">
        <v>1694</v>
      </c>
      <c r="M855" s="32" t="s">
        <v>7606</v>
      </c>
      <c r="N855" s="32" t="s">
        <v>2684</v>
      </c>
      <c r="O855" s="32" t="s">
        <v>9786</v>
      </c>
    </row>
    <row x14ac:dyDescent="0.25" r="856" customHeight="1" ht="15.75">
      <c r="A856" s="8">
        <v>25154</v>
      </c>
      <c r="B856" s="13" t="s">
        <v>227</v>
      </c>
      <c r="C856" s="13" t="s">
        <v>6462</v>
      </c>
      <c r="D856" s="32" t="s">
        <v>74</v>
      </c>
      <c r="E856" s="32" t="s">
        <v>12929</v>
      </c>
      <c r="F856" s="32" t="s">
        <v>74</v>
      </c>
      <c r="G856" s="32" t="s">
        <v>12930</v>
      </c>
      <c r="H856" s="32" t="s">
        <v>74</v>
      </c>
      <c r="I856" s="32" t="s">
        <v>12931</v>
      </c>
      <c r="J856" s="32" t="s">
        <v>74</v>
      </c>
      <c r="K856" s="32" t="s">
        <v>10584</v>
      </c>
      <c r="L856" s="32" t="s">
        <v>74</v>
      </c>
      <c r="M856" s="32" t="s">
        <v>12932</v>
      </c>
      <c r="N856" s="32" t="s">
        <v>74</v>
      </c>
      <c r="O856" s="32" t="s">
        <v>12933</v>
      </c>
    </row>
    <row x14ac:dyDescent="0.25" r="857" customHeight="1" ht="15.75">
      <c r="A857" s="8">
        <v>25080</v>
      </c>
      <c r="B857" s="13" t="s">
        <v>227</v>
      </c>
      <c r="C857" s="13" t="s">
        <v>6464</v>
      </c>
      <c r="D857" s="32" t="s">
        <v>6465</v>
      </c>
      <c r="E857" s="32" t="s">
        <v>12934</v>
      </c>
      <c r="F857" s="32" t="s">
        <v>6935</v>
      </c>
      <c r="G857" s="32" t="s">
        <v>12935</v>
      </c>
      <c r="H857" s="32" t="s">
        <v>12936</v>
      </c>
      <c r="I857" s="32" t="s">
        <v>12937</v>
      </c>
      <c r="J857" s="32" t="s">
        <v>6466</v>
      </c>
      <c r="K857" s="32" t="s">
        <v>12938</v>
      </c>
      <c r="L857" s="32" t="s">
        <v>9528</v>
      </c>
      <c r="M857" s="32" t="s">
        <v>7127</v>
      </c>
      <c r="N857" s="32" t="s">
        <v>12939</v>
      </c>
      <c r="O857" s="32" t="s">
        <v>7127</v>
      </c>
    </row>
    <row x14ac:dyDescent="0.25" r="858" customHeight="1" ht="15.75">
      <c r="A858" s="8">
        <v>25145</v>
      </c>
      <c r="B858" s="13" t="s">
        <v>227</v>
      </c>
      <c r="C858" s="13" t="s">
        <v>6467</v>
      </c>
      <c r="D858" s="32" t="s">
        <v>74</v>
      </c>
      <c r="E858" s="32" t="s">
        <v>12940</v>
      </c>
      <c r="F858" s="32" t="s">
        <v>74</v>
      </c>
      <c r="G858" s="32" t="s">
        <v>12941</v>
      </c>
      <c r="H858" s="32" t="s">
        <v>74</v>
      </c>
      <c r="I858" s="32" t="s">
        <v>12942</v>
      </c>
      <c r="J858" s="32" t="s">
        <v>485</v>
      </c>
      <c r="K858" s="32" t="s">
        <v>12943</v>
      </c>
      <c r="L858" s="32" t="s">
        <v>74</v>
      </c>
      <c r="M858" s="32" t="s">
        <v>12944</v>
      </c>
      <c r="N858" s="32" t="s">
        <v>12945</v>
      </c>
      <c r="O858" s="32" t="s">
        <v>12946</v>
      </c>
    </row>
    <row x14ac:dyDescent="0.25" r="859" customHeight="1" ht="15.75">
      <c r="A859" s="8">
        <v>25119</v>
      </c>
      <c r="B859" s="13" t="s">
        <v>227</v>
      </c>
      <c r="C859" s="13" t="s">
        <v>6468</v>
      </c>
      <c r="D859" s="32" t="s">
        <v>6469</v>
      </c>
      <c r="E859" s="32" t="s">
        <v>12947</v>
      </c>
      <c r="F859" s="32" t="s">
        <v>6962</v>
      </c>
      <c r="G859" s="32" t="s">
        <v>7127</v>
      </c>
      <c r="H859" s="32" t="s">
        <v>4330</v>
      </c>
      <c r="I859" s="32" t="s">
        <v>12948</v>
      </c>
      <c r="J859" s="32" t="s">
        <v>6470</v>
      </c>
      <c r="K859" s="32" t="s">
        <v>12949</v>
      </c>
      <c r="L859" s="32" t="s">
        <v>12950</v>
      </c>
      <c r="M859" s="32" t="s">
        <v>7127</v>
      </c>
      <c r="N859" s="32" t="s">
        <v>7685</v>
      </c>
      <c r="O859" s="32" t="s">
        <v>7127</v>
      </c>
    </row>
    <row x14ac:dyDescent="0.25" r="860" customHeight="1" ht="15.75">
      <c r="A860" s="8">
        <v>25081</v>
      </c>
      <c r="B860" s="13" t="s">
        <v>227</v>
      </c>
      <c r="C860" s="13" t="s">
        <v>6471</v>
      </c>
      <c r="D860" s="32" t="s">
        <v>5211</v>
      </c>
      <c r="E860" s="32" t="s">
        <v>12951</v>
      </c>
      <c r="F860" s="32" t="s">
        <v>10143</v>
      </c>
      <c r="G860" s="32" t="s">
        <v>11146</v>
      </c>
      <c r="H860" s="32" t="s">
        <v>12952</v>
      </c>
      <c r="I860" s="32" t="s">
        <v>12953</v>
      </c>
      <c r="J860" s="32" t="s">
        <v>6472</v>
      </c>
      <c r="K860" s="32" t="s">
        <v>7972</v>
      </c>
      <c r="L860" s="32" t="s">
        <v>4613</v>
      </c>
      <c r="M860" s="32" t="s">
        <v>7127</v>
      </c>
      <c r="N860" s="32" t="s">
        <v>5531</v>
      </c>
      <c r="O860" s="32" t="s">
        <v>12954</v>
      </c>
    </row>
    <row x14ac:dyDescent="0.25" r="861" customHeight="1" ht="15.75">
      <c r="A861" s="8">
        <v>25082</v>
      </c>
      <c r="B861" s="13" t="s">
        <v>227</v>
      </c>
      <c r="C861" s="13" t="s">
        <v>6473</v>
      </c>
      <c r="D861" s="32" t="s">
        <v>6358</v>
      </c>
      <c r="E861" s="32" t="s">
        <v>12955</v>
      </c>
      <c r="F861" s="32" t="s">
        <v>8818</v>
      </c>
      <c r="G861" s="32" t="s">
        <v>12956</v>
      </c>
      <c r="H861" s="32" t="s">
        <v>7405</v>
      </c>
      <c r="I861" s="32" t="s">
        <v>12957</v>
      </c>
      <c r="J861" s="32" t="s">
        <v>6474</v>
      </c>
      <c r="K861" s="32" t="s">
        <v>12958</v>
      </c>
      <c r="L861" s="32" t="s">
        <v>4545</v>
      </c>
      <c r="M861" s="32" t="s">
        <v>7914</v>
      </c>
      <c r="N861" s="32" t="s">
        <v>2785</v>
      </c>
      <c r="O861" s="32" t="s">
        <v>7127</v>
      </c>
    </row>
    <row x14ac:dyDescent="0.25" r="862" customHeight="1" ht="15.75">
      <c r="A862" s="8">
        <v>25083</v>
      </c>
      <c r="B862" s="13" t="s">
        <v>227</v>
      </c>
      <c r="C862" s="13" t="s">
        <v>6475</v>
      </c>
      <c r="D862" s="32" t="s">
        <v>6476</v>
      </c>
      <c r="E862" s="32" t="s">
        <v>12959</v>
      </c>
      <c r="F862" s="32" t="s">
        <v>12960</v>
      </c>
      <c r="G862" s="32" t="s">
        <v>12961</v>
      </c>
      <c r="H862" s="32" t="s">
        <v>5911</v>
      </c>
      <c r="I862" s="32" t="s">
        <v>12962</v>
      </c>
      <c r="J862" s="32" t="s">
        <v>6165</v>
      </c>
      <c r="K862" s="32" t="s">
        <v>7143</v>
      </c>
      <c r="L862" s="32" t="s">
        <v>696</v>
      </c>
      <c r="M862" s="32" t="s">
        <v>12963</v>
      </c>
      <c r="N862" s="32" t="s">
        <v>4960</v>
      </c>
      <c r="O862" s="32" t="s">
        <v>12964</v>
      </c>
    </row>
    <row x14ac:dyDescent="0.25" r="863" customHeight="1" ht="15.75">
      <c r="A863" s="8">
        <v>25084</v>
      </c>
      <c r="B863" s="13" t="s">
        <v>227</v>
      </c>
      <c r="C863" s="13" t="s">
        <v>6477</v>
      </c>
      <c r="D863" s="32" t="s">
        <v>6478</v>
      </c>
      <c r="E863" s="32" t="s">
        <v>8472</v>
      </c>
      <c r="F863" s="32" t="s">
        <v>6478</v>
      </c>
      <c r="G863" s="32" t="s">
        <v>12965</v>
      </c>
      <c r="H863" s="32" t="s">
        <v>5224</v>
      </c>
      <c r="I863" s="32" t="s">
        <v>12966</v>
      </c>
      <c r="J863" s="32" t="s">
        <v>74</v>
      </c>
      <c r="K863" s="32" t="s">
        <v>12967</v>
      </c>
      <c r="L863" s="32" t="s">
        <v>12968</v>
      </c>
      <c r="M863" s="32" t="s">
        <v>12969</v>
      </c>
      <c r="N863" s="32" t="s">
        <v>12970</v>
      </c>
      <c r="O863" s="32" t="s">
        <v>12971</v>
      </c>
    </row>
    <row x14ac:dyDescent="0.25" r="864" customHeight="1" ht="15.75">
      <c r="A864" s="8">
        <v>25120</v>
      </c>
      <c r="B864" s="13" t="s">
        <v>227</v>
      </c>
      <c r="C864" s="13" t="s">
        <v>6480</v>
      </c>
      <c r="D864" s="32" t="s">
        <v>6481</v>
      </c>
      <c r="E864" s="32" t="s">
        <v>12972</v>
      </c>
      <c r="F864" s="32" t="s">
        <v>2554</v>
      </c>
      <c r="G864" s="32" t="s">
        <v>12973</v>
      </c>
      <c r="H864" s="32" t="s">
        <v>2498</v>
      </c>
      <c r="I864" s="32" t="s">
        <v>12974</v>
      </c>
      <c r="J864" s="32" t="s">
        <v>37</v>
      </c>
      <c r="K864" s="32" t="s">
        <v>7652</v>
      </c>
      <c r="L864" s="32" t="s">
        <v>5974</v>
      </c>
      <c r="M864" s="32" t="s">
        <v>12975</v>
      </c>
      <c r="N864" s="32" t="s">
        <v>7550</v>
      </c>
      <c r="O864" s="32" t="s">
        <v>12976</v>
      </c>
    </row>
    <row x14ac:dyDescent="0.25" r="865" customHeight="1" ht="15.75">
      <c r="A865" s="8">
        <v>25085</v>
      </c>
      <c r="B865" s="13" t="s">
        <v>227</v>
      </c>
      <c r="C865" s="13" t="s">
        <v>6482</v>
      </c>
      <c r="D865" s="32" t="s">
        <v>6483</v>
      </c>
      <c r="E865" s="32" t="s">
        <v>10897</v>
      </c>
      <c r="F865" s="32" t="s">
        <v>9610</v>
      </c>
      <c r="G865" s="32" t="s">
        <v>12977</v>
      </c>
      <c r="H865" s="32" t="s">
        <v>4282</v>
      </c>
      <c r="I865" s="32" t="s">
        <v>10112</v>
      </c>
      <c r="J865" s="32" t="s">
        <v>2655</v>
      </c>
      <c r="K865" s="32" t="s">
        <v>12978</v>
      </c>
      <c r="L865" s="32" t="s">
        <v>12979</v>
      </c>
      <c r="M865" s="32" t="s">
        <v>12980</v>
      </c>
      <c r="N865" s="32" t="s">
        <v>4677</v>
      </c>
      <c r="O865" s="32" t="s">
        <v>11244</v>
      </c>
    </row>
    <row x14ac:dyDescent="0.25" r="866" customHeight="1" ht="15.75">
      <c r="A866" s="8">
        <v>25086</v>
      </c>
      <c r="B866" s="13" t="s">
        <v>227</v>
      </c>
      <c r="C866" s="13" t="s">
        <v>6484</v>
      </c>
      <c r="D866" s="32" t="s">
        <v>4763</v>
      </c>
      <c r="E866" s="32" t="s">
        <v>12981</v>
      </c>
      <c r="F866" s="32" t="s">
        <v>4765</v>
      </c>
      <c r="G866" s="32" t="s">
        <v>12982</v>
      </c>
      <c r="H866" s="32" t="s">
        <v>2321</v>
      </c>
      <c r="I866" s="32" t="s">
        <v>12983</v>
      </c>
      <c r="J866" s="32" t="s">
        <v>2321</v>
      </c>
      <c r="K866" s="32" t="s">
        <v>12984</v>
      </c>
      <c r="L866" s="32" t="s">
        <v>7505</v>
      </c>
      <c r="M866" s="32" t="s">
        <v>8277</v>
      </c>
      <c r="N866" s="32" t="s">
        <v>11245</v>
      </c>
      <c r="O866" s="32" t="s">
        <v>12620</v>
      </c>
    </row>
    <row x14ac:dyDescent="0.25" r="867" customHeight="1" ht="15.75">
      <c r="A867" s="8">
        <v>25121</v>
      </c>
      <c r="B867" s="13" t="s">
        <v>227</v>
      </c>
      <c r="C867" s="13" t="s">
        <v>6485</v>
      </c>
      <c r="D867" s="32" t="s">
        <v>6486</v>
      </c>
      <c r="E867" s="32" t="s">
        <v>11143</v>
      </c>
      <c r="F867" s="32" t="s">
        <v>5021</v>
      </c>
      <c r="G867" s="32" t="s">
        <v>7127</v>
      </c>
      <c r="H867" s="32" t="s">
        <v>8451</v>
      </c>
      <c r="I867" s="32" t="s">
        <v>12985</v>
      </c>
      <c r="J867" s="32" t="s">
        <v>6487</v>
      </c>
      <c r="K867" s="32" t="s">
        <v>12986</v>
      </c>
      <c r="L867" s="32" t="s">
        <v>11809</v>
      </c>
      <c r="M867" s="32" t="s">
        <v>12987</v>
      </c>
      <c r="N867" s="32" t="s">
        <v>5033</v>
      </c>
      <c r="O867" s="32" t="s">
        <v>12988</v>
      </c>
    </row>
    <row x14ac:dyDescent="0.25" r="868" customHeight="1" ht="15.75">
      <c r="A868" s="8">
        <v>25139</v>
      </c>
      <c r="B868" s="13" t="s">
        <v>227</v>
      </c>
      <c r="C868" s="13" t="s">
        <v>6488</v>
      </c>
      <c r="D868" s="32" t="s">
        <v>6489</v>
      </c>
      <c r="E868" s="32" t="s">
        <v>12989</v>
      </c>
      <c r="F868" s="32" t="s">
        <v>9545</v>
      </c>
      <c r="G868" s="32" t="s">
        <v>12990</v>
      </c>
      <c r="H868" s="32" t="s">
        <v>12991</v>
      </c>
      <c r="I868" s="32" t="s">
        <v>12992</v>
      </c>
      <c r="J868" s="32" t="s">
        <v>1017</v>
      </c>
      <c r="K868" s="32" t="s">
        <v>12993</v>
      </c>
      <c r="L868" s="32" t="s">
        <v>5261</v>
      </c>
      <c r="M868" s="32" t="s">
        <v>8759</v>
      </c>
      <c r="N868" s="32" t="s">
        <v>5171</v>
      </c>
      <c r="O868" s="32" t="s">
        <v>12994</v>
      </c>
    </row>
    <row x14ac:dyDescent="0.25" r="869" customHeight="1" ht="15.75">
      <c r="A869" s="8">
        <v>25087</v>
      </c>
      <c r="B869" s="13" t="s">
        <v>227</v>
      </c>
      <c r="C869" s="13" t="s">
        <v>6490</v>
      </c>
      <c r="D869" s="32" t="s">
        <v>6491</v>
      </c>
      <c r="E869" s="32" t="s">
        <v>12995</v>
      </c>
      <c r="F869" s="32" t="s">
        <v>7165</v>
      </c>
      <c r="G869" s="32" t="s">
        <v>12996</v>
      </c>
      <c r="H869" s="32" t="s">
        <v>12997</v>
      </c>
      <c r="I869" s="32" t="s">
        <v>12998</v>
      </c>
      <c r="J869" s="32" t="s">
        <v>6492</v>
      </c>
      <c r="K869" s="32" t="s">
        <v>12999</v>
      </c>
      <c r="L869" s="32" t="s">
        <v>29</v>
      </c>
      <c r="M869" s="32" t="s">
        <v>7127</v>
      </c>
      <c r="N869" s="32" t="s">
        <v>2025</v>
      </c>
      <c r="O869" s="32" t="s">
        <v>7127</v>
      </c>
    </row>
    <row x14ac:dyDescent="0.25" r="870" customHeight="1" ht="15.75">
      <c r="A870" s="8">
        <v>25088</v>
      </c>
      <c r="B870" s="13" t="s">
        <v>227</v>
      </c>
      <c r="C870" s="13" t="s">
        <v>6493</v>
      </c>
      <c r="D870" s="32" t="s">
        <v>6494</v>
      </c>
      <c r="E870" s="32" t="s">
        <v>13000</v>
      </c>
      <c r="F870" s="32" t="s">
        <v>13001</v>
      </c>
      <c r="G870" s="32" t="s">
        <v>13002</v>
      </c>
      <c r="H870" s="32" t="s">
        <v>4292</v>
      </c>
      <c r="I870" s="32" t="s">
        <v>13003</v>
      </c>
      <c r="J870" s="32" t="s">
        <v>6495</v>
      </c>
      <c r="K870" s="32" t="s">
        <v>13004</v>
      </c>
      <c r="L870" s="32" t="s">
        <v>13005</v>
      </c>
      <c r="M870" s="32" t="s">
        <v>13006</v>
      </c>
      <c r="N870" s="32" t="s">
        <v>13007</v>
      </c>
      <c r="O870" s="32" t="s">
        <v>12011</v>
      </c>
    </row>
    <row x14ac:dyDescent="0.25" r="871" customHeight="1" ht="15.75">
      <c r="A871" s="8">
        <v>25089</v>
      </c>
      <c r="B871" s="13" t="s">
        <v>227</v>
      </c>
      <c r="C871" s="13" t="s">
        <v>4496</v>
      </c>
      <c r="D871" s="32" t="s">
        <v>6496</v>
      </c>
      <c r="E871" s="32" t="s">
        <v>13008</v>
      </c>
      <c r="F871" s="32" t="s">
        <v>6916</v>
      </c>
      <c r="G871" s="32" t="s">
        <v>13009</v>
      </c>
      <c r="H871" s="32" t="s">
        <v>4212</v>
      </c>
      <c r="I871" s="32" t="s">
        <v>13010</v>
      </c>
      <c r="J871" s="32" t="s">
        <v>6497</v>
      </c>
      <c r="K871" s="32" t="s">
        <v>13011</v>
      </c>
      <c r="L871" s="32" t="s">
        <v>4487</v>
      </c>
      <c r="M871" s="32" t="s">
        <v>13012</v>
      </c>
      <c r="N871" s="32" t="s">
        <v>13013</v>
      </c>
      <c r="O871" s="32" t="s">
        <v>8633</v>
      </c>
    </row>
    <row x14ac:dyDescent="0.25" r="872" customHeight="1" ht="15.75">
      <c r="A872" s="8">
        <v>25090</v>
      </c>
      <c r="B872" s="13" t="s">
        <v>227</v>
      </c>
      <c r="C872" s="13" t="s">
        <v>6498</v>
      </c>
      <c r="D872" s="32" t="s">
        <v>4523</v>
      </c>
      <c r="E872" s="32" t="s">
        <v>13014</v>
      </c>
      <c r="F872" s="32" t="s">
        <v>6386</v>
      </c>
      <c r="G872" s="32" t="s">
        <v>7144</v>
      </c>
      <c r="H872" s="32" t="s">
        <v>13015</v>
      </c>
      <c r="I872" s="32" t="s">
        <v>10453</v>
      </c>
      <c r="J872" s="32" t="s">
        <v>6499</v>
      </c>
      <c r="K872" s="32" t="s">
        <v>13016</v>
      </c>
      <c r="L872" s="32" t="s">
        <v>4473</v>
      </c>
      <c r="M872" s="32" t="s">
        <v>13017</v>
      </c>
      <c r="N872" s="32" t="s">
        <v>1859</v>
      </c>
      <c r="O872" s="32" t="s">
        <v>11959</v>
      </c>
    </row>
    <row x14ac:dyDescent="0.25" r="873" customHeight="1" ht="15.75">
      <c r="A873" s="8">
        <v>25091</v>
      </c>
      <c r="B873" s="13" t="s">
        <v>227</v>
      </c>
      <c r="C873" s="13" t="s">
        <v>6500</v>
      </c>
      <c r="D873" s="32" t="s">
        <v>5597</v>
      </c>
      <c r="E873" s="32" t="s">
        <v>10371</v>
      </c>
      <c r="F873" s="32" t="s">
        <v>9474</v>
      </c>
      <c r="G873" s="32" t="s">
        <v>13018</v>
      </c>
      <c r="H873" s="32" t="s">
        <v>13019</v>
      </c>
      <c r="I873" s="32" t="s">
        <v>13020</v>
      </c>
      <c r="J873" s="32" t="s">
        <v>1672</v>
      </c>
      <c r="K873" s="32" t="s">
        <v>13021</v>
      </c>
      <c r="L873" s="32" t="s">
        <v>4849</v>
      </c>
      <c r="M873" s="32" t="s">
        <v>13022</v>
      </c>
      <c r="N873" s="32" t="s">
        <v>4849</v>
      </c>
      <c r="O873" s="32" t="s">
        <v>13023</v>
      </c>
    </row>
    <row x14ac:dyDescent="0.25" r="874" customHeight="1" ht="15.75">
      <c r="A874" s="8">
        <v>25146</v>
      </c>
      <c r="B874" s="13" t="s">
        <v>227</v>
      </c>
      <c r="C874" s="13" t="s">
        <v>6501</v>
      </c>
      <c r="D874" s="32" t="s">
        <v>74</v>
      </c>
      <c r="E874" s="32" t="s">
        <v>13024</v>
      </c>
      <c r="F874" s="32" t="s">
        <v>74</v>
      </c>
      <c r="G874" s="32" t="s">
        <v>13025</v>
      </c>
      <c r="H874" s="32" t="s">
        <v>2747</v>
      </c>
      <c r="I874" s="32" t="s">
        <v>13026</v>
      </c>
      <c r="J874" s="32" t="s">
        <v>5461</v>
      </c>
      <c r="K874" s="32" t="s">
        <v>13027</v>
      </c>
      <c r="L874" s="32" t="s">
        <v>12452</v>
      </c>
      <c r="M874" s="32" t="s">
        <v>13028</v>
      </c>
      <c r="N874" s="32" t="s">
        <v>10171</v>
      </c>
      <c r="O874" s="32" t="s">
        <v>13029</v>
      </c>
    </row>
    <row x14ac:dyDescent="0.25" r="875" customHeight="1" ht="15.75">
      <c r="A875" s="8">
        <v>25122</v>
      </c>
      <c r="B875" s="13" t="s">
        <v>227</v>
      </c>
      <c r="C875" s="13" t="s">
        <v>6502</v>
      </c>
      <c r="D875" s="32" t="s">
        <v>6503</v>
      </c>
      <c r="E875" s="32" t="s">
        <v>13030</v>
      </c>
      <c r="F875" s="32" t="s">
        <v>2539</v>
      </c>
      <c r="G875" s="32" t="s">
        <v>13031</v>
      </c>
      <c r="H875" s="32" t="s">
        <v>4958</v>
      </c>
      <c r="I875" s="32" t="s">
        <v>13032</v>
      </c>
      <c r="J875" s="32" t="s">
        <v>4489</v>
      </c>
      <c r="K875" s="32" t="s">
        <v>13033</v>
      </c>
      <c r="L875" s="32" t="s">
        <v>13034</v>
      </c>
      <c r="M875" s="32" t="s">
        <v>13035</v>
      </c>
      <c r="N875" s="32" t="s">
        <v>9408</v>
      </c>
      <c r="O875" s="32" t="s">
        <v>7127</v>
      </c>
    </row>
    <row x14ac:dyDescent="0.25" r="876" customHeight="1" ht="15.75">
      <c r="A876" s="8">
        <v>25092</v>
      </c>
      <c r="B876" s="13" t="s">
        <v>227</v>
      </c>
      <c r="C876" s="13" t="s">
        <v>6504</v>
      </c>
      <c r="D876" s="32" t="s">
        <v>74</v>
      </c>
      <c r="E876" s="32" t="s">
        <v>13036</v>
      </c>
      <c r="F876" s="32" t="s">
        <v>12226</v>
      </c>
      <c r="G876" s="32" t="s">
        <v>13037</v>
      </c>
      <c r="H876" s="32" t="s">
        <v>7012</v>
      </c>
      <c r="I876" s="32" t="s">
        <v>7872</v>
      </c>
      <c r="J876" s="32" t="s">
        <v>6505</v>
      </c>
      <c r="K876" s="32" t="s">
        <v>13038</v>
      </c>
      <c r="L876" s="32" t="s">
        <v>7012</v>
      </c>
      <c r="M876" s="32" t="s">
        <v>13039</v>
      </c>
      <c r="N876" s="32" t="s">
        <v>6254</v>
      </c>
      <c r="O876" s="32" t="s">
        <v>7297</v>
      </c>
    </row>
    <row x14ac:dyDescent="0.25" r="877" customHeight="1" ht="15.75">
      <c r="A877" s="8">
        <v>25123</v>
      </c>
      <c r="B877" s="13" t="s">
        <v>227</v>
      </c>
      <c r="C877" s="13" t="s">
        <v>6507</v>
      </c>
      <c r="D877" s="32" t="s">
        <v>6508</v>
      </c>
      <c r="E877" s="32" t="s">
        <v>13040</v>
      </c>
      <c r="F877" s="32" t="s">
        <v>8441</v>
      </c>
      <c r="G877" s="32" t="s">
        <v>8502</v>
      </c>
      <c r="H877" s="32" t="s">
        <v>8791</v>
      </c>
      <c r="I877" s="32" t="s">
        <v>13041</v>
      </c>
      <c r="J877" s="32" t="s">
        <v>34</v>
      </c>
      <c r="K877" s="32" t="s">
        <v>13042</v>
      </c>
      <c r="L877" s="32" t="s">
        <v>1734</v>
      </c>
      <c r="M877" s="32" t="s">
        <v>13043</v>
      </c>
      <c r="N877" s="32" t="s">
        <v>9219</v>
      </c>
      <c r="O877" s="32" t="s">
        <v>13044</v>
      </c>
    </row>
    <row x14ac:dyDescent="0.25" r="878" customHeight="1" ht="15.75">
      <c r="A878" s="8">
        <v>25093</v>
      </c>
      <c r="B878" s="13" t="s">
        <v>227</v>
      </c>
      <c r="C878" s="13" t="s">
        <v>6510</v>
      </c>
      <c r="D878" s="32" t="s">
        <v>6087</v>
      </c>
      <c r="E878" s="32" t="s">
        <v>13045</v>
      </c>
      <c r="F878" s="32" t="s">
        <v>4797</v>
      </c>
      <c r="G878" s="32" t="s">
        <v>13046</v>
      </c>
      <c r="H878" s="32" t="s">
        <v>13047</v>
      </c>
      <c r="I878" s="32" t="s">
        <v>13048</v>
      </c>
      <c r="J878" s="32" t="s">
        <v>2521</v>
      </c>
      <c r="K878" s="32" t="s">
        <v>13049</v>
      </c>
      <c r="L878" s="32" t="s">
        <v>4797</v>
      </c>
      <c r="M878" s="32" t="s">
        <v>13050</v>
      </c>
      <c r="N878" s="32" t="s">
        <v>2466</v>
      </c>
      <c r="O878" s="32" t="s">
        <v>8399</v>
      </c>
    </row>
    <row x14ac:dyDescent="0.25" r="879" customHeight="1" ht="15.75">
      <c r="A879" s="8">
        <v>25124</v>
      </c>
      <c r="B879" s="13" t="s">
        <v>227</v>
      </c>
      <c r="C879" s="13" t="s">
        <v>6512</v>
      </c>
      <c r="D879" s="32" t="s">
        <v>6513</v>
      </c>
      <c r="E879" s="32" t="s">
        <v>13051</v>
      </c>
      <c r="F879" s="32" t="s">
        <v>13052</v>
      </c>
      <c r="G879" s="32" t="s">
        <v>13053</v>
      </c>
      <c r="H879" s="32" t="s">
        <v>4408</v>
      </c>
      <c r="I879" s="32" t="s">
        <v>13054</v>
      </c>
      <c r="J879" s="32" t="s">
        <v>6515</v>
      </c>
      <c r="K879" s="32" t="s">
        <v>13055</v>
      </c>
      <c r="L879" s="32" t="s">
        <v>4094</v>
      </c>
      <c r="M879" s="32" t="s">
        <v>13056</v>
      </c>
      <c r="N879" s="32" t="s">
        <v>13057</v>
      </c>
      <c r="O879" s="32" t="s">
        <v>13058</v>
      </c>
    </row>
    <row x14ac:dyDescent="0.25" r="880" customHeight="1" ht="15.75">
      <c r="A880" s="8">
        <v>25155</v>
      </c>
      <c r="B880" s="13" t="s">
        <v>227</v>
      </c>
      <c r="C880" s="13" t="s">
        <v>6517</v>
      </c>
      <c r="D880" s="32" t="s">
        <v>6244</v>
      </c>
      <c r="E880" s="32" t="s">
        <v>13059</v>
      </c>
      <c r="F880" s="32" t="s">
        <v>4398</v>
      </c>
      <c r="G880" s="32" t="s">
        <v>13060</v>
      </c>
      <c r="H880" s="32" t="s">
        <v>9658</v>
      </c>
      <c r="I880" s="32" t="s">
        <v>13061</v>
      </c>
      <c r="J880" s="32" t="s">
        <v>6518</v>
      </c>
      <c r="K880" s="32" t="s">
        <v>13062</v>
      </c>
      <c r="L880" s="32" t="s">
        <v>13063</v>
      </c>
      <c r="M880" s="32" t="s">
        <v>13064</v>
      </c>
      <c r="N880" s="32" t="s">
        <v>13065</v>
      </c>
      <c r="O880" s="32" t="s">
        <v>13066</v>
      </c>
    </row>
    <row x14ac:dyDescent="0.25" r="881" customHeight="1" ht="15.75">
      <c r="A881" s="8">
        <v>25132</v>
      </c>
      <c r="B881" s="13" t="s">
        <v>227</v>
      </c>
      <c r="C881" s="13" t="s">
        <v>6519</v>
      </c>
      <c r="D881" s="32" t="s">
        <v>6520</v>
      </c>
      <c r="E881" s="32" t="s">
        <v>13067</v>
      </c>
      <c r="F881" s="32" t="s">
        <v>74</v>
      </c>
      <c r="G881" s="32" t="s">
        <v>12064</v>
      </c>
      <c r="H881" s="32" t="s">
        <v>2599</v>
      </c>
      <c r="I881" s="32" t="s">
        <v>13068</v>
      </c>
      <c r="J881" s="32" t="s">
        <v>6521</v>
      </c>
      <c r="K881" s="32" t="s">
        <v>13069</v>
      </c>
      <c r="L881" s="32" t="s">
        <v>13070</v>
      </c>
      <c r="M881" s="32" t="s">
        <v>13071</v>
      </c>
      <c r="N881" s="32" t="s">
        <v>13072</v>
      </c>
      <c r="O881" s="32" t="s">
        <v>13073</v>
      </c>
    </row>
    <row x14ac:dyDescent="0.25" r="882" customHeight="1" ht="15.75">
      <c r="A882" s="8">
        <v>25094</v>
      </c>
      <c r="B882" s="13" t="s">
        <v>227</v>
      </c>
      <c r="C882" s="13" t="s">
        <v>6522</v>
      </c>
      <c r="D882" s="32" t="s">
        <v>6523</v>
      </c>
      <c r="E882" s="32" t="s">
        <v>13074</v>
      </c>
      <c r="F882" s="32" t="s">
        <v>13075</v>
      </c>
      <c r="G882" s="32" t="s">
        <v>13076</v>
      </c>
      <c r="H882" s="32" t="s">
        <v>13077</v>
      </c>
      <c r="I882" s="32" t="s">
        <v>13078</v>
      </c>
      <c r="J882" s="32" t="s">
        <v>74</v>
      </c>
      <c r="K882" s="32" t="s">
        <v>13079</v>
      </c>
      <c r="L882" s="32" t="s">
        <v>13080</v>
      </c>
      <c r="M882" s="32" t="s">
        <v>13081</v>
      </c>
      <c r="N882" s="32" t="s">
        <v>13080</v>
      </c>
      <c r="O882" s="32" t="s">
        <v>13082</v>
      </c>
    </row>
    <row x14ac:dyDescent="0.25" r="883" customHeight="1" ht="15.75">
      <c r="A883" s="8">
        <v>25147</v>
      </c>
      <c r="B883" s="13" t="s">
        <v>227</v>
      </c>
      <c r="C883" s="13" t="s">
        <v>6524</v>
      </c>
      <c r="D883" s="32" t="s">
        <v>6525</v>
      </c>
      <c r="E883" s="32" t="s">
        <v>13083</v>
      </c>
      <c r="F883" s="32" t="s">
        <v>13084</v>
      </c>
      <c r="G883" s="32" t="s">
        <v>13085</v>
      </c>
      <c r="H883" s="32" t="s">
        <v>13086</v>
      </c>
      <c r="I883" s="32" t="s">
        <v>13087</v>
      </c>
      <c r="J883" s="32" t="s">
        <v>4282</v>
      </c>
      <c r="K883" s="32" t="s">
        <v>7127</v>
      </c>
      <c r="L883" s="32" t="s">
        <v>13088</v>
      </c>
      <c r="M883" s="32" t="s">
        <v>7934</v>
      </c>
      <c r="N883" s="32" t="s">
        <v>13089</v>
      </c>
      <c r="O883" s="32" t="s">
        <v>13090</v>
      </c>
    </row>
    <row x14ac:dyDescent="0.25" r="884" customHeight="1" ht="15.75">
      <c r="A884" s="8">
        <v>25125</v>
      </c>
      <c r="B884" s="13" t="s">
        <v>227</v>
      </c>
      <c r="C884" s="13" t="s">
        <v>6527</v>
      </c>
      <c r="D884" s="32" t="s">
        <v>6528</v>
      </c>
      <c r="E884" s="32" t="s">
        <v>13091</v>
      </c>
      <c r="F884" s="32" t="s">
        <v>11495</v>
      </c>
      <c r="G884" s="32" t="s">
        <v>13092</v>
      </c>
      <c r="H884" s="32" t="s">
        <v>13093</v>
      </c>
      <c r="I884" s="32" t="s">
        <v>13094</v>
      </c>
      <c r="J884" s="32" t="s">
        <v>6529</v>
      </c>
      <c r="K884" s="32" t="s">
        <v>13095</v>
      </c>
      <c r="L884" s="32" t="s">
        <v>13096</v>
      </c>
      <c r="M884" s="32" t="s">
        <v>13097</v>
      </c>
      <c r="N884" s="32" t="s">
        <v>13098</v>
      </c>
      <c r="O884" s="32" t="s">
        <v>13099</v>
      </c>
    </row>
    <row x14ac:dyDescent="0.25" r="885" customHeight="1" ht="15.75">
      <c r="A885" s="8">
        <v>25095</v>
      </c>
      <c r="B885" s="13" t="s">
        <v>227</v>
      </c>
      <c r="C885" s="13" t="s">
        <v>6530</v>
      </c>
      <c r="D885" s="32" t="s">
        <v>2747</v>
      </c>
      <c r="E885" s="32" t="s">
        <v>13100</v>
      </c>
      <c r="F885" s="32" t="s">
        <v>6135</v>
      </c>
      <c r="G885" s="32" t="s">
        <v>13101</v>
      </c>
      <c r="H885" s="32" t="s">
        <v>13102</v>
      </c>
      <c r="I885" s="32" t="s">
        <v>13103</v>
      </c>
      <c r="J885" s="32" t="s">
        <v>74</v>
      </c>
      <c r="K885" s="32" t="s">
        <v>13104</v>
      </c>
      <c r="L885" s="32" t="s">
        <v>13105</v>
      </c>
      <c r="M885" s="32" t="s">
        <v>13106</v>
      </c>
      <c r="N885" s="32" t="s">
        <v>9814</v>
      </c>
      <c r="O885" s="32" t="s">
        <v>13107</v>
      </c>
    </row>
    <row x14ac:dyDescent="0.25" r="886" customHeight="1" ht="15.75">
      <c r="A886" s="8">
        <v>25109</v>
      </c>
      <c r="B886" s="13" t="s">
        <v>227</v>
      </c>
      <c r="C886" s="13" t="s">
        <v>6531</v>
      </c>
      <c r="D886" s="32" t="s">
        <v>6351</v>
      </c>
      <c r="E886" s="32" t="s">
        <v>13108</v>
      </c>
      <c r="F886" s="32" t="s">
        <v>13109</v>
      </c>
      <c r="G886" s="32" t="s">
        <v>13110</v>
      </c>
      <c r="H886" s="32" t="s">
        <v>1623</v>
      </c>
      <c r="I886" s="32" t="s">
        <v>13111</v>
      </c>
      <c r="J886" s="32" t="s">
        <v>6532</v>
      </c>
      <c r="K886" s="32" t="s">
        <v>7127</v>
      </c>
      <c r="L886" s="32" t="s">
        <v>5804</v>
      </c>
      <c r="M886" s="32" t="s">
        <v>7127</v>
      </c>
      <c r="N886" s="32" t="s">
        <v>399</v>
      </c>
      <c r="O886" s="32" t="s">
        <v>13112</v>
      </c>
    </row>
    <row x14ac:dyDescent="0.25" r="887" customHeight="1" ht="15.75">
      <c r="A887" s="8">
        <v>25115</v>
      </c>
      <c r="B887" s="13" t="s">
        <v>227</v>
      </c>
      <c r="C887" s="13" t="s">
        <v>6533</v>
      </c>
      <c r="D887" s="32" t="s">
        <v>6534</v>
      </c>
      <c r="E887" s="32" t="s">
        <v>13113</v>
      </c>
      <c r="F887" s="32" t="s">
        <v>13114</v>
      </c>
      <c r="G887" s="32" t="s">
        <v>13115</v>
      </c>
      <c r="H887" s="32" t="s">
        <v>13116</v>
      </c>
      <c r="I887" s="32" t="s">
        <v>13110</v>
      </c>
      <c r="J887" s="32" t="s">
        <v>6535</v>
      </c>
      <c r="K887" s="32" t="s">
        <v>13117</v>
      </c>
      <c r="L887" s="32" t="s">
        <v>13118</v>
      </c>
      <c r="M887" s="32" t="s">
        <v>8599</v>
      </c>
      <c r="N887" s="32" t="s">
        <v>13119</v>
      </c>
      <c r="O887" s="32" t="s">
        <v>13120</v>
      </c>
    </row>
    <row x14ac:dyDescent="0.25" r="888" customHeight="1" ht="15.75">
      <c r="A888" s="8">
        <v>25126</v>
      </c>
      <c r="B888" s="13" t="s">
        <v>227</v>
      </c>
      <c r="C888" s="13" t="s">
        <v>6537</v>
      </c>
      <c r="D888" s="32" t="s">
        <v>6538</v>
      </c>
      <c r="E888" s="32" t="s">
        <v>13121</v>
      </c>
      <c r="F888" s="32" t="s">
        <v>13122</v>
      </c>
      <c r="G888" s="32" t="s">
        <v>12370</v>
      </c>
      <c r="H888" s="32" t="s">
        <v>5246</v>
      </c>
      <c r="I888" s="32" t="s">
        <v>13123</v>
      </c>
      <c r="J888" s="32" t="s">
        <v>6539</v>
      </c>
      <c r="K888" s="32" t="s">
        <v>13124</v>
      </c>
      <c r="L888" s="32" t="s">
        <v>13125</v>
      </c>
      <c r="M888" s="32" t="s">
        <v>13126</v>
      </c>
      <c r="N888" s="32" t="s">
        <v>2300</v>
      </c>
      <c r="O888" s="32" t="s">
        <v>13127</v>
      </c>
    </row>
    <row x14ac:dyDescent="0.25" r="889" customHeight="1" ht="15.75">
      <c r="A889" s="8">
        <v>25129</v>
      </c>
      <c r="B889" s="13" t="s">
        <v>227</v>
      </c>
      <c r="C889" s="13" t="s">
        <v>6540</v>
      </c>
      <c r="D889" s="32" t="s">
        <v>6541</v>
      </c>
      <c r="E889" s="32" t="s">
        <v>13128</v>
      </c>
      <c r="F889" s="32" t="s">
        <v>13129</v>
      </c>
      <c r="G889" s="32" t="s">
        <v>13130</v>
      </c>
      <c r="H889" s="32" t="s">
        <v>13131</v>
      </c>
      <c r="I889" s="32" t="s">
        <v>13132</v>
      </c>
      <c r="J889" s="32" t="s">
        <v>6542</v>
      </c>
      <c r="K889" s="32" t="s">
        <v>13133</v>
      </c>
      <c r="L889" s="32" t="s">
        <v>13134</v>
      </c>
      <c r="M889" s="32" t="s">
        <v>12520</v>
      </c>
      <c r="N889" s="32" t="s">
        <v>13135</v>
      </c>
      <c r="O889" s="32" t="s">
        <v>13136</v>
      </c>
    </row>
    <row x14ac:dyDescent="0.25" r="890" customHeight="1" ht="15.75">
      <c r="A890" s="8">
        <v>25096</v>
      </c>
      <c r="B890" s="13" t="s">
        <v>227</v>
      </c>
      <c r="C890" s="13" t="s">
        <v>6543</v>
      </c>
      <c r="D890" s="32" t="s">
        <v>6544</v>
      </c>
      <c r="E890" s="32" t="s">
        <v>13137</v>
      </c>
      <c r="F890" s="32" t="s">
        <v>13138</v>
      </c>
      <c r="G890" s="32" t="s">
        <v>13139</v>
      </c>
      <c r="H890" s="32" t="s">
        <v>13140</v>
      </c>
      <c r="I890" s="32" t="s">
        <v>13141</v>
      </c>
      <c r="J890" s="32" t="s">
        <v>2504</v>
      </c>
      <c r="K890" s="32" t="s">
        <v>10372</v>
      </c>
      <c r="L890" s="32" t="s">
        <v>696</v>
      </c>
      <c r="M890" s="32" t="s">
        <v>13142</v>
      </c>
      <c r="N890" s="32" t="s">
        <v>696</v>
      </c>
      <c r="O890" s="32" t="s">
        <v>13143</v>
      </c>
    </row>
    <row x14ac:dyDescent="0.25" r="891" customHeight="1" ht="15.75">
      <c r="A891" s="8">
        <v>25098</v>
      </c>
      <c r="B891" s="13" t="s">
        <v>227</v>
      </c>
      <c r="C891" s="13" t="s">
        <v>6546</v>
      </c>
      <c r="D891" s="32" t="s">
        <v>5522</v>
      </c>
      <c r="E891" s="32" t="s">
        <v>13144</v>
      </c>
      <c r="F891" s="32" t="s">
        <v>9037</v>
      </c>
      <c r="G891" s="32" t="s">
        <v>13145</v>
      </c>
      <c r="H891" s="32" t="s">
        <v>13146</v>
      </c>
      <c r="I891" s="32" t="s">
        <v>13147</v>
      </c>
      <c r="J891" s="32" t="s">
        <v>6547</v>
      </c>
      <c r="K891" s="32" t="s">
        <v>13148</v>
      </c>
      <c r="L891" s="32" t="s">
        <v>13149</v>
      </c>
      <c r="M891" s="32" t="s">
        <v>13150</v>
      </c>
      <c r="N891" s="32" t="s">
        <v>5427</v>
      </c>
      <c r="O891" s="32" t="s">
        <v>7127</v>
      </c>
    </row>
    <row x14ac:dyDescent="0.25" r="892" customHeight="1" ht="15.75">
      <c r="A892" s="8">
        <v>25099</v>
      </c>
      <c r="B892" s="13" t="s">
        <v>227</v>
      </c>
      <c r="C892" s="13" t="s">
        <v>6548</v>
      </c>
      <c r="D892" s="32" t="s">
        <v>6549</v>
      </c>
      <c r="E892" s="32" t="s">
        <v>13151</v>
      </c>
      <c r="F892" s="32" t="s">
        <v>4111</v>
      </c>
      <c r="G892" s="32" t="s">
        <v>13152</v>
      </c>
      <c r="H892" s="32" t="s">
        <v>9839</v>
      </c>
      <c r="I892" s="32" t="s">
        <v>13153</v>
      </c>
      <c r="J892" s="32" t="s">
        <v>6284</v>
      </c>
      <c r="K892" s="32" t="s">
        <v>13154</v>
      </c>
      <c r="L892" s="32" t="s">
        <v>13155</v>
      </c>
      <c r="M892" s="32" t="s">
        <v>11464</v>
      </c>
      <c r="N892" s="32" t="s">
        <v>34</v>
      </c>
      <c r="O892" s="32" t="s">
        <v>13156</v>
      </c>
    </row>
    <row x14ac:dyDescent="0.25" r="893" customHeight="1" ht="15.75">
      <c r="A893" s="8">
        <v>25134</v>
      </c>
      <c r="B893" s="13" t="s">
        <v>227</v>
      </c>
      <c r="C893" s="13" t="s">
        <v>6550</v>
      </c>
      <c r="D893" s="32" t="s">
        <v>6551</v>
      </c>
      <c r="E893" s="32" t="s">
        <v>13157</v>
      </c>
      <c r="F893" s="32" t="s">
        <v>13158</v>
      </c>
      <c r="G893" s="32" t="s">
        <v>7582</v>
      </c>
      <c r="H893" s="32" t="s">
        <v>11245</v>
      </c>
      <c r="I893" s="32" t="s">
        <v>13159</v>
      </c>
      <c r="J893" s="32" t="s">
        <v>6552</v>
      </c>
      <c r="K893" s="32" t="s">
        <v>13160</v>
      </c>
      <c r="L893" s="32" t="s">
        <v>7135</v>
      </c>
      <c r="M893" s="32" t="s">
        <v>13161</v>
      </c>
      <c r="N893" s="32" t="s">
        <v>11443</v>
      </c>
      <c r="O893" s="32" t="s">
        <v>13162</v>
      </c>
    </row>
    <row x14ac:dyDescent="0.25" r="894" customHeight="1" ht="15.75">
      <c r="A894" s="8">
        <v>25100</v>
      </c>
      <c r="B894" s="13" t="s">
        <v>227</v>
      </c>
      <c r="C894" s="13" t="s">
        <v>6553</v>
      </c>
      <c r="D894" s="32" t="s">
        <v>5774</v>
      </c>
      <c r="E894" s="32" t="s">
        <v>13163</v>
      </c>
      <c r="F894" s="32" t="s">
        <v>13164</v>
      </c>
      <c r="G894" s="32" t="s">
        <v>13165</v>
      </c>
      <c r="H894" s="32" t="s">
        <v>13166</v>
      </c>
      <c r="I894" s="32" t="s">
        <v>13167</v>
      </c>
      <c r="J894" s="32" t="s">
        <v>6554</v>
      </c>
      <c r="K894" s="32" t="s">
        <v>13168</v>
      </c>
      <c r="L894" s="32" t="s">
        <v>1507</v>
      </c>
      <c r="M894" s="32" t="s">
        <v>8908</v>
      </c>
      <c r="N894" s="32" t="s">
        <v>1507</v>
      </c>
      <c r="O894" s="32" t="s">
        <v>13169</v>
      </c>
    </row>
    <row x14ac:dyDescent="0.25" r="895" customHeight="1" ht="15.75">
      <c r="A895" s="8">
        <v>25101</v>
      </c>
      <c r="B895" s="13" t="s">
        <v>227</v>
      </c>
      <c r="C895" s="13" t="s">
        <v>6555</v>
      </c>
      <c r="D895" s="32" t="s">
        <v>4548</v>
      </c>
      <c r="E895" s="32" t="s">
        <v>13170</v>
      </c>
      <c r="F895" s="32" t="s">
        <v>2539</v>
      </c>
      <c r="G895" s="32" t="s">
        <v>11399</v>
      </c>
      <c r="H895" s="32" t="s">
        <v>13171</v>
      </c>
      <c r="I895" s="32" t="s">
        <v>10442</v>
      </c>
      <c r="J895" s="32" t="s">
        <v>2166</v>
      </c>
      <c r="K895" s="32" t="s">
        <v>13172</v>
      </c>
      <c r="L895" s="32" t="s">
        <v>34</v>
      </c>
      <c r="M895" s="32" t="s">
        <v>9382</v>
      </c>
      <c r="N895" s="32" t="s">
        <v>13171</v>
      </c>
      <c r="O895" s="32" t="s">
        <v>13173</v>
      </c>
    </row>
    <row x14ac:dyDescent="0.25" r="896" customHeight="1" ht="15.75">
      <c r="A896" s="8">
        <v>25116</v>
      </c>
      <c r="B896" s="13" t="s">
        <v>227</v>
      </c>
      <c r="C896" s="13" t="s">
        <v>6556</v>
      </c>
      <c r="D896" s="32" t="s">
        <v>6557</v>
      </c>
      <c r="E896" s="32" t="s">
        <v>13174</v>
      </c>
      <c r="F896" s="32" t="s">
        <v>5785</v>
      </c>
      <c r="G896" s="32" t="s">
        <v>11894</v>
      </c>
      <c r="H896" s="32" t="s">
        <v>2364</v>
      </c>
      <c r="I896" s="32" t="s">
        <v>7864</v>
      </c>
      <c r="J896" s="32" t="s">
        <v>1507</v>
      </c>
      <c r="K896" s="32" t="s">
        <v>13175</v>
      </c>
      <c r="L896" s="32" t="s">
        <v>5774</v>
      </c>
      <c r="M896" s="32" t="s">
        <v>12372</v>
      </c>
      <c r="N896" s="32" t="s">
        <v>1507</v>
      </c>
      <c r="O896" s="32" t="s">
        <v>13176</v>
      </c>
    </row>
    <row x14ac:dyDescent="0.25" r="897" customHeight="1" ht="15.75">
      <c r="A897" s="8">
        <v>25128</v>
      </c>
      <c r="B897" s="13" t="s">
        <v>227</v>
      </c>
      <c r="C897" s="13" t="s">
        <v>6558</v>
      </c>
      <c r="D897" s="32" t="s">
        <v>6559</v>
      </c>
      <c r="E897" s="32" t="s">
        <v>13177</v>
      </c>
      <c r="F897" s="32" t="s">
        <v>13178</v>
      </c>
      <c r="G897" s="32" t="s">
        <v>13179</v>
      </c>
      <c r="H897" s="32" t="s">
        <v>13180</v>
      </c>
      <c r="I897" s="32" t="s">
        <v>13181</v>
      </c>
      <c r="J897" s="32" t="s">
        <v>81</v>
      </c>
      <c r="K897" s="32" t="s">
        <v>13182</v>
      </c>
      <c r="L897" s="32" t="s">
        <v>13183</v>
      </c>
      <c r="M897" s="32" t="s">
        <v>13184</v>
      </c>
      <c r="N897" s="32" t="s">
        <v>13185</v>
      </c>
      <c r="O897" s="32" t="s">
        <v>13186</v>
      </c>
    </row>
    <row x14ac:dyDescent="0.25" r="898" customHeight="1" ht="15.75">
      <c r="A898" s="8">
        <v>25102</v>
      </c>
      <c r="B898" s="13" t="s">
        <v>227</v>
      </c>
      <c r="C898" s="13" t="s">
        <v>6560</v>
      </c>
      <c r="D898" s="32" t="s">
        <v>5241</v>
      </c>
      <c r="E898" s="32" t="s">
        <v>13187</v>
      </c>
      <c r="F898" s="32" t="s">
        <v>810</v>
      </c>
      <c r="G898" s="32" t="s">
        <v>8350</v>
      </c>
      <c r="H898" s="32" t="s">
        <v>6205</v>
      </c>
      <c r="I898" s="32" t="s">
        <v>13188</v>
      </c>
      <c r="J898" s="32" t="s">
        <v>6561</v>
      </c>
      <c r="K898" s="32" t="s">
        <v>11398</v>
      </c>
      <c r="L898" s="32" t="s">
        <v>13189</v>
      </c>
      <c r="M898" s="32" t="s">
        <v>7127</v>
      </c>
      <c r="N898" s="32" t="s">
        <v>13190</v>
      </c>
      <c r="O898" s="32" t="s">
        <v>9947</v>
      </c>
    </row>
    <row x14ac:dyDescent="0.25" r="899" customHeight="1" ht="15.75">
      <c r="A899" s="8">
        <v>25103</v>
      </c>
      <c r="B899" s="13" t="s">
        <v>227</v>
      </c>
      <c r="C899" s="13" t="s">
        <v>6562</v>
      </c>
      <c r="D899" s="32" t="s">
        <v>6563</v>
      </c>
      <c r="E899" s="32" t="s">
        <v>13191</v>
      </c>
      <c r="F899" s="32" t="s">
        <v>6565</v>
      </c>
      <c r="G899" s="32" t="s">
        <v>13192</v>
      </c>
      <c r="H899" s="32" t="s">
        <v>74</v>
      </c>
      <c r="I899" s="32" t="s">
        <v>13193</v>
      </c>
      <c r="J899" s="32" t="s">
        <v>6565</v>
      </c>
      <c r="K899" s="32" t="s">
        <v>13194</v>
      </c>
      <c r="L899" s="32" t="s">
        <v>74</v>
      </c>
      <c r="M899" s="32" t="s">
        <v>13195</v>
      </c>
      <c r="N899" s="32" t="s">
        <v>74</v>
      </c>
      <c r="O899" s="32" t="s">
        <v>13196</v>
      </c>
    </row>
    <row x14ac:dyDescent="0.25" r="900" customHeight="1" ht="15.75">
      <c r="A900" s="8">
        <v>25104</v>
      </c>
      <c r="B900" s="13" t="s">
        <v>227</v>
      </c>
      <c r="C900" s="13" t="s">
        <v>6566</v>
      </c>
      <c r="D900" s="32" t="s">
        <v>74</v>
      </c>
      <c r="E900" s="32" t="s">
        <v>13197</v>
      </c>
      <c r="F900" s="32" t="s">
        <v>122</v>
      </c>
      <c r="G900" s="32" t="s">
        <v>13198</v>
      </c>
      <c r="H900" s="32" t="s">
        <v>2000</v>
      </c>
      <c r="I900" s="32" t="s">
        <v>13199</v>
      </c>
      <c r="J900" s="32" t="s">
        <v>4221</v>
      </c>
      <c r="K900" s="32" t="s">
        <v>8579</v>
      </c>
      <c r="L900" s="32" t="s">
        <v>88</v>
      </c>
      <c r="M900" s="32" t="s">
        <v>13200</v>
      </c>
      <c r="N900" s="32" t="s">
        <v>13201</v>
      </c>
      <c r="O900" s="32" t="s">
        <v>13202</v>
      </c>
    </row>
    <row x14ac:dyDescent="0.25" r="901" customHeight="1" ht="15.75">
      <c r="A901" s="8">
        <v>25105</v>
      </c>
      <c r="B901" s="13" t="s">
        <v>227</v>
      </c>
      <c r="C901" s="13" t="s">
        <v>6568</v>
      </c>
      <c r="D901" s="32" t="s">
        <v>6569</v>
      </c>
      <c r="E901" s="32" t="s">
        <v>13203</v>
      </c>
      <c r="F901" s="32" t="s">
        <v>13204</v>
      </c>
      <c r="G901" s="32" t="s">
        <v>13205</v>
      </c>
      <c r="H901" s="32" t="s">
        <v>4473</v>
      </c>
      <c r="I901" s="32" t="s">
        <v>13206</v>
      </c>
      <c r="J901" s="32" t="s">
        <v>5776</v>
      </c>
      <c r="K901" s="32" t="s">
        <v>13207</v>
      </c>
      <c r="L901" s="32" t="s">
        <v>34</v>
      </c>
      <c r="M901" s="32" t="s">
        <v>7127</v>
      </c>
      <c r="N901" s="32" t="s">
        <v>2278</v>
      </c>
      <c r="O901" s="32" t="s">
        <v>13208</v>
      </c>
    </row>
    <row x14ac:dyDescent="0.25" r="902" customHeight="1" ht="15.75">
      <c r="A902" s="8">
        <v>25111</v>
      </c>
      <c r="B902" s="13" t="s">
        <v>227</v>
      </c>
      <c r="C902" s="13" t="s">
        <v>6570</v>
      </c>
      <c r="D902" s="32" t="s">
        <v>74</v>
      </c>
      <c r="E902" s="32" t="s">
        <v>13209</v>
      </c>
      <c r="F902" s="32" t="s">
        <v>6453</v>
      </c>
      <c r="G902" s="32" t="s">
        <v>13210</v>
      </c>
      <c r="H902" s="32" t="s">
        <v>13211</v>
      </c>
      <c r="I902" s="32" t="s">
        <v>13212</v>
      </c>
      <c r="J902" s="32" t="s">
        <v>5275</v>
      </c>
      <c r="K902" s="32" t="s">
        <v>13213</v>
      </c>
      <c r="L902" s="32" t="s">
        <v>2140</v>
      </c>
      <c r="M902" s="32" t="s">
        <v>13214</v>
      </c>
      <c r="N902" s="32" t="s">
        <v>11537</v>
      </c>
      <c r="O902" s="32" t="s">
        <v>13215</v>
      </c>
    </row>
    <row x14ac:dyDescent="0.25" r="903" customHeight="1" ht="15.75">
      <c r="A903" s="8">
        <v>25106</v>
      </c>
      <c r="B903" s="13" t="s">
        <v>227</v>
      </c>
      <c r="C903" s="13" t="s">
        <v>6571</v>
      </c>
      <c r="D903" s="32" t="s">
        <v>2599</v>
      </c>
      <c r="E903" s="32" t="s">
        <v>13216</v>
      </c>
      <c r="F903" s="32" t="s">
        <v>2599</v>
      </c>
      <c r="G903" s="32" t="s">
        <v>9229</v>
      </c>
      <c r="H903" s="32" t="s">
        <v>2175</v>
      </c>
      <c r="I903" s="32" t="s">
        <v>13217</v>
      </c>
      <c r="J903" s="32" t="s">
        <v>2264</v>
      </c>
      <c r="K903" s="32" t="s">
        <v>13218</v>
      </c>
      <c r="L903" s="32" t="s">
        <v>6849</v>
      </c>
      <c r="M903" s="32" t="s">
        <v>13219</v>
      </c>
      <c r="N903" s="32" t="s">
        <v>1153</v>
      </c>
      <c r="O903" s="32" t="s">
        <v>13220</v>
      </c>
    </row>
    <row x14ac:dyDescent="0.25" r="904" customHeight="1" ht="15.75">
      <c r="A904" s="8">
        <v>25148</v>
      </c>
      <c r="B904" s="13" t="s">
        <v>227</v>
      </c>
      <c r="C904" s="13" t="s">
        <v>6572</v>
      </c>
      <c r="D904" s="32" t="s">
        <v>6244</v>
      </c>
      <c r="E904" s="32" t="s">
        <v>13221</v>
      </c>
      <c r="F904" s="32" t="s">
        <v>2564</v>
      </c>
      <c r="G904" s="32" t="s">
        <v>13222</v>
      </c>
      <c r="H904" s="32" t="s">
        <v>13223</v>
      </c>
      <c r="I904" s="32" t="s">
        <v>13224</v>
      </c>
      <c r="J904" s="32" t="s">
        <v>6573</v>
      </c>
      <c r="K904" s="32" t="s">
        <v>12328</v>
      </c>
      <c r="L904" s="32" t="s">
        <v>11552</v>
      </c>
      <c r="M904" s="32" t="s">
        <v>13225</v>
      </c>
      <c r="N904" s="32" t="s">
        <v>88</v>
      </c>
      <c r="O904" s="32" t="s">
        <v>13226</v>
      </c>
    </row>
    <row x14ac:dyDescent="0.25" r="905" customHeight="1" ht="15.75">
      <c r="A905" s="8">
        <v>25108</v>
      </c>
      <c r="B905" s="13" t="s">
        <v>227</v>
      </c>
      <c r="C905" s="13" t="s">
        <v>6575</v>
      </c>
      <c r="D905" s="32" t="s">
        <v>6417</v>
      </c>
      <c r="E905" s="32" t="s">
        <v>13227</v>
      </c>
      <c r="F905" s="32" t="s">
        <v>5813</v>
      </c>
      <c r="G905" s="32" t="s">
        <v>13228</v>
      </c>
      <c r="H905" s="32" t="s">
        <v>13229</v>
      </c>
      <c r="I905" s="32" t="s">
        <v>13230</v>
      </c>
      <c r="J905" s="32" t="s">
        <v>6576</v>
      </c>
      <c r="K905" s="32" t="s">
        <v>13231</v>
      </c>
      <c r="L905" s="32" t="s">
        <v>13232</v>
      </c>
      <c r="M905" s="32" t="s">
        <v>13233</v>
      </c>
      <c r="N905" s="32" t="s">
        <v>7673</v>
      </c>
      <c r="O905" s="32" t="s">
        <v>13234</v>
      </c>
    </row>
    <row x14ac:dyDescent="0.25" r="906" customHeight="1" ht="15.75">
      <c r="A906" s="8">
        <v>25748</v>
      </c>
      <c r="B906" s="13" t="s">
        <v>198</v>
      </c>
      <c r="C906" s="13" t="s">
        <v>6577</v>
      </c>
      <c r="D906" s="32" t="s">
        <v>6578</v>
      </c>
      <c r="E906" s="32" t="s">
        <v>13235</v>
      </c>
      <c r="F906" s="32" t="s">
        <v>6486</v>
      </c>
      <c r="G906" s="32" t="s">
        <v>11197</v>
      </c>
      <c r="H906" s="32" t="s">
        <v>2525</v>
      </c>
      <c r="I906" s="32" t="s">
        <v>13236</v>
      </c>
      <c r="J906" s="32" t="s">
        <v>6579</v>
      </c>
      <c r="K906" s="32" t="s">
        <v>13237</v>
      </c>
      <c r="L906" s="32" t="s">
        <v>13238</v>
      </c>
      <c r="M906" s="32" t="s">
        <v>13239</v>
      </c>
      <c r="N906" s="32" t="s">
        <v>13240</v>
      </c>
      <c r="O906" s="32" t="s">
        <v>13241</v>
      </c>
    </row>
    <row x14ac:dyDescent="0.25" r="907" customHeight="1" ht="15.75">
      <c r="A907" s="8">
        <v>25798</v>
      </c>
      <c r="B907" s="13" t="s">
        <v>198</v>
      </c>
      <c r="C907" s="13" t="s">
        <v>6581</v>
      </c>
      <c r="D907" s="32" t="s">
        <v>6582</v>
      </c>
      <c r="E907" s="32" t="s">
        <v>13242</v>
      </c>
      <c r="F907" s="32" t="s">
        <v>6582</v>
      </c>
      <c r="G907" s="32" t="s">
        <v>12666</v>
      </c>
      <c r="H907" s="32" t="s">
        <v>6307</v>
      </c>
      <c r="I907" s="32" t="s">
        <v>13243</v>
      </c>
      <c r="J907" s="32" t="s">
        <v>6307</v>
      </c>
      <c r="K907" s="32" t="s">
        <v>13244</v>
      </c>
      <c r="L907" s="32" t="s">
        <v>13245</v>
      </c>
      <c r="M907" s="32" t="s">
        <v>13246</v>
      </c>
      <c r="N907" s="32" t="s">
        <v>6308</v>
      </c>
      <c r="O907" s="32" t="s">
        <v>13247</v>
      </c>
    </row>
    <row x14ac:dyDescent="0.25" r="908" customHeight="1" ht="15.75">
      <c r="A908" s="8">
        <v>25745</v>
      </c>
      <c r="B908" s="13" t="s">
        <v>198</v>
      </c>
      <c r="C908" s="13" t="s">
        <v>6584</v>
      </c>
      <c r="D908" s="32" t="s">
        <v>74</v>
      </c>
      <c r="E908" s="32" t="s">
        <v>10195</v>
      </c>
      <c r="F908" s="32" t="s">
        <v>4891</v>
      </c>
      <c r="G908" s="32" t="s">
        <v>9200</v>
      </c>
      <c r="H908" s="32" t="s">
        <v>5710</v>
      </c>
      <c r="I908" s="32" t="s">
        <v>13248</v>
      </c>
      <c r="J908" s="32" t="s">
        <v>6586</v>
      </c>
      <c r="K908" s="32" t="s">
        <v>7618</v>
      </c>
      <c r="L908" s="32" t="s">
        <v>74</v>
      </c>
      <c r="M908" s="32" t="s">
        <v>13249</v>
      </c>
      <c r="N908" s="32" t="s">
        <v>74</v>
      </c>
      <c r="O908" s="32" t="s">
        <v>7158</v>
      </c>
    </row>
    <row x14ac:dyDescent="0.25" r="909" customHeight="1" ht="15.75">
      <c r="A909" s="8">
        <v>25789</v>
      </c>
      <c r="B909" s="13" t="s">
        <v>198</v>
      </c>
      <c r="C909" s="13" t="s">
        <v>6587</v>
      </c>
      <c r="D909" s="32" t="s">
        <v>6588</v>
      </c>
      <c r="E909" s="32" t="s">
        <v>13250</v>
      </c>
      <c r="F909" s="32" t="s">
        <v>4604</v>
      </c>
      <c r="G909" s="32" t="s">
        <v>12143</v>
      </c>
      <c r="H909" s="32" t="s">
        <v>12110</v>
      </c>
      <c r="I909" s="32" t="s">
        <v>13251</v>
      </c>
      <c r="J909" s="32" t="s">
        <v>6589</v>
      </c>
      <c r="K909" s="32" t="s">
        <v>12727</v>
      </c>
      <c r="L909" s="32" t="s">
        <v>13252</v>
      </c>
      <c r="M909" s="32" t="s">
        <v>13253</v>
      </c>
      <c r="N909" s="32" t="s">
        <v>13254</v>
      </c>
      <c r="O909" s="32" t="s">
        <v>13255</v>
      </c>
    </row>
    <row x14ac:dyDescent="0.25" r="910" customHeight="1" ht="15.75">
      <c r="A910" s="8">
        <v>25770</v>
      </c>
      <c r="B910" s="13" t="s">
        <v>198</v>
      </c>
      <c r="C910" s="13" t="s">
        <v>6590</v>
      </c>
      <c r="D910" s="32" t="s">
        <v>6591</v>
      </c>
      <c r="E910" s="32" t="s">
        <v>13256</v>
      </c>
      <c r="F910" s="32" t="s">
        <v>6198</v>
      </c>
      <c r="G910" s="32" t="s">
        <v>11027</v>
      </c>
      <c r="H910" s="32" t="s">
        <v>2592</v>
      </c>
      <c r="I910" s="32" t="s">
        <v>13257</v>
      </c>
      <c r="J910" s="32" t="s">
        <v>6593</v>
      </c>
      <c r="K910" s="32" t="s">
        <v>13258</v>
      </c>
      <c r="L910" s="32" t="s">
        <v>4277</v>
      </c>
      <c r="M910" s="32" t="s">
        <v>8598</v>
      </c>
      <c r="N910" s="32" t="s">
        <v>6052</v>
      </c>
      <c r="O910" s="32" t="s">
        <v>13259</v>
      </c>
    </row>
    <row x14ac:dyDescent="0.25" r="911" customHeight="1" ht="15.75">
      <c r="A911" s="8">
        <v>25799</v>
      </c>
      <c r="B911" s="13" t="s">
        <v>198</v>
      </c>
      <c r="C911" s="13" t="s">
        <v>6594</v>
      </c>
      <c r="D911" s="32" t="s">
        <v>6595</v>
      </c>
      <c r="E911" s="32" t="s">
        <v>13260</v>
      </c>
      <c r="F911" s="32" t="s">
        <v>13261</v>
      </c>
      <c r="G911" s="32" t="s">
        <v>13262</v>
      </c>
      <c r="H911" s="32" t="s">
        <v>12843</v>
      </c>
      <c r="I911" s="32" t="s">
        <v>12923</v>
      </c>
      <c r="J911" s="32" t="s">
        <v>6596</v>
      </c>
      <c r="K911" s="32" t="s">
        <v>11390</v>
      </c>
      <c r="L911" s="32" t="s">
        <v>12843</v>
      </c>
      <c r="M911" s="32" t="s">
        <v>7127</v>
      </c>
      <c r="N911" s="32" t="s">
        <v>1526</v>
      </c>
      <c r="O911" s="32" t="s">
        <v>7127</v>
      </c>
    </row>
    <row x14ac:dyDescent="0.25" r="912" customHeight="1" ht="15.75">
      <c r="A912" s="8">
        <v>25747</v>
      </c>
      <c r="B912" s="13" t="s">
        <v>198</v>
      </c>
      <c r="C912" s="13" t="s">
        <v>6598</v>
      </c>
      <c r="D912" s="32" t="s">
        <v>6374</v>
      </c>
      <c r="E912" s="32" t="s">
        <v>13263</v>
      </c>
      <c r="F912" s="32" t="s">
        <v>13264</v>
      </c>
      <c r="G912" s="32" t="s">
        <v>7127</v>
      </c>
      <c r="H912" s="32" t="s">
        <v>13265</v>
      </c>
      <c r="I912" s="32" t="s">
        <v>7127</v>
      </c>
      <c r="J912" s="32" t="s">
        <v>6599</v>
      </c>
      <c r="K912" s="32" t="s">
        <v>7127</v>
      </c>
      <c r="L912" s="32" t="s">
        <v>13266</v>
      </c>
      <c r="M912" s="32" t="s">
        <v>13267</v>
      </c>
      <c r="N912" s="32" t="s">
        <v>4645</v>
      </c>
      <c r="O912" s="32" t="s">
        <v>13268</v>
      </c>
    </row>
    <row x14ac:dyDescent="0.25" r="913" customHeight="1" ht="15.75">
      <c r="A913" s="8">
        <v>25782</v>
      </c>
      <c r="B913" s="13" t="s">
        <v>198</v>
      </c>
      <c r="C913" s="13" t="s">
        <v>6600</v>
      </c>
      <c r="D913" s="32" t="s">
        <v>2740</v>
      </c>
      <c r="E913" s="32" t="s">
        <v>13269</v>
      </c>
      <c r="F913" s="32" t="s">
        <v>7688</v>
      </c>
      <c r="G913" s="32" t="s">
        <v>13270</v>
      </c>
      <c r="H913" s="32" t="s">
        <v>5865</v>
      </c>
      <c r="I913" s="32" t="s">
        <v>13271</v>
      </c>
      <c r="J913" s="32" t="s">
        <v>5865</v>
      </c>
      <c r="K913" s="32" t="s">
        <v>13272</v>
      </c>
      <c r="L913" s="32" t="s">
        <v>2625</v>
      </c>
      <c r="M913" s="32" t="s">
        <v>13273</v>
      </c>
      <c r="N913" s="32" t="s">
        <v>2553</v>
      </c>
      <c r="O913" s="32" t="s">
        <v>13274</v>
      </c>
    </row>
    <row x14ac:dyDescent="0.25" r="914" customHeight="1" ht="15.75">
      <c r="A914" s="8">
        <v>25751</v>
      </c>
      <c r="B914" s="13" t="s">
        <v>198</v>
      </c>
      <c r="C914" s="13" t="s">
        <v>6602</v>
      </c>
      <c r="D914" s="32" t="s">
        <v>74</v>
      </c>
      <c r="E914" s="32" t="s">
        <v>13275</v>
      </c>
      <c r="F914" s="32" t="s">
        <v>13276</v>
      </c>
      <c r="G914" s="32" t="s">
        <v>13277</v>
      </c>
      <c r="H914" s="32" t="s">
        <v>5619</v>
      </c>
      <c r="I914" s="32" t="s">
        <v>13278</v>
      </c>
      <c r="J914" s="32" t="s">
        <v>4217</v>
      </c>
      <c r="K914" s="32" t="s">
        <v>10112</v>
      </c>
      <c r="L914" s="32" t="s">
        <v>13279</v>
      </c>
      <c r="M914" s="32" t="s">
        <v>13280</v>
      </c>
      <c r="N914" s="32" t="s">
        <v>13281</v>
      </c>
      <c r="O914" s="32" t="s">
        <v>13282</v>
      </c>
    </row>
    <row x14ac:dyDescent="0.25" r="915" customHeight="1" ht="15.75">
      <c r="A915" s="8">
        <v>25749</v>
      </c>
      <c r="B915" s="13" t="s">
        <v>198</v>
      </c>
      <c r="C915" s="13" t="s">
        <v>6603</v>
      </c>
      <c r="D915" s="32" t="s">
        <v>6604</v>
      </c>
      <c r="E915" s="32" t="s">
        <v>13283</v>
      </c>
      <c r="F915" s="32" t="s">
        <v>13284</v>
      </c>
      <c r="G915" s="32" t="s">
        <v>10447</v>
      </c>
      <c r="H915" s="32" t="s">
        <v>13285</v>
      </c>
      <c r="I915" s="32" t="s">
        <v>13286</v>
      </c>
      <c r="J915" s="32" t="s">
        <v>6605</v>
      </c>
      <c r="K915" s="32" t="s">
        <v>9892</v>
      </c>
      <c r="L915" s="32" t="s">
        <v>4135</v>
      </c>
      <c r="M915" s="32" t="s">
        <v>13287</v>
      </c>
      <c r="N915" s="32" t="s">
        <v>5010</v>
      </c>
      <c r="O915" s="32" t="s">
        <v>13288</v>
      </c>
    </row>
    <row x14ac:dyDescent="0.25" r="916" customHeight="1" ht="15.75">
      <c r="A916" s="8">
        <v>25771</v>
      </c>
      <c r="B916" s="13" t="s">
        <v>198</v>
      </c>
      <c r="C916" s="13" t="s">
        <v>6606</v>
      </c>
      <c r="D916" s="32" t="s">
        <v>6607</v>
      </c>
      <c r="E916" s="32" t="s">
        <v>13289</v>
      </c>
      <c r="F916" s="32" t="s">
        <v>7090</v>
      </c>
      <c r="G916" s="32" t="s">
        <v>8602</v>
      </c>
      <c r="H916" s="32" t="s">
        <v>13290</v>
      </c>
      <c r="I916" s="32" t="s">
        <v>13291</v>
      </c>
      <c r="J916" s="32" t="s">
        <v>6608</v>
      </c>
      <c r="K916" s="32" t="s">
        <v>13292</v>
      </c>
      <c r="L916" s="32" t="s">
        <v>7090</v>
      </c>
      <c r="M916" s="32" t="s">
        <v>13293</v>
      </c>
      <c r="N916" s="32" t="s">
        <v>6608</v>
      </c>
      <c r="O916" s="32" t="s">
        <v>13294</v>
      </c>
    </row>
    <row x14ac:dyDescent="0.25" r="917" customHeight="1" ht="15.75">
      <c r="A917" s="8">
        <v>25752</v>
      </c>
      <c r="B917" s="13" t="s">
        <v>198</v>
      </c>
      <c r="C917" s="13" t="s">
        <v>6609</v>
      </c>
      <c r="D917" s="32" t="s">
        <v>2723</v>
      </c>
      <c r="E917" s="32" t="s">
        <v>13295</v>
      </c>
      <c r="F917" s="32" t="s">
        <v>5525</v>
      </c>
      <c r="G917" s="32" t="s">
        <v>13296</v>
      </c>
      <c r="H917" s="32" t="s">
        <v>12610</v>
      </c>
      <c r="I917" s="32" t="s">
        <v>13297</v>
      </c>
      <c r="J917" s="32" t="s">
        <v>6610</v>
      </c>
      <c r="K917" s="32" t="s">
        <v>8482</v>
      </c>
      <c r="L917" s="32" t="s">
        <v>13232</v>
      </c>
      <c r="M917" s="32" t="s">
        <v>9565</v>
      </c>
      <c r="N917" s="32" t="s">
        <v>13298</v>
      </c>
      <c r="O917" s="32" t="s">
        <v>13299</v>
      </c>
    </row>
    <row x14ac:dyDescent="0.25" r="918" customHeight="1" ht="15.75">
      <c r="A918" s="8">
        <v>25772</v>
      </c>
      <c r="B918" s="13" t="s">
        <v>198</v>
      </c>
      <c r="C918" s="13" t="s">
        <v>6612</v>
      </c>
      <c r="D918" s="32" t="s">
        <v>6613</v>
      </c>
      <c r="E918" s="32" t="s">
        <v>8158</v>
      </c>
      <c r="F918" s="32" t="s">
        <v>13300</v>
      </c>
      <c r="G918" s="32" t="s">
        <v>13301</v>
      </c>
      <c r="H918" s="32" t="s">
        <v>6542</v>
      </c>
      <c r="I918" s="32" t="s">
        <v>13302</v>
      </c>
      <c r="J918" s="32" t="s">
        <v>6614</v>
      </c>
      <c r="K918" s="32" t="s">
        <v>13303</v>
      </c>
      <c r="L918" s="32" t="s">
        <v>13304</v>
      </c>
      <c r="M918" s="32" t="s">
        <v>13305</v>
      </c>
      <c r="N918" s="32" t="s">
        <v>12253</v>
      </c>
      <c r="O918" s="32" t="s">
        <v>13306</v>
      </c>
    </row>
    <row x14ac:dyDescent="0.25" r="919" customHeight="1" ht="15.75">
      <c r="A919" s="8">
        <v>25800</v>
      </c>
      <c r="B919" s="13" t="s">
        <v>198</v>
      </c>
      <c r="C919" s="13" t="s">
        <v>6615</v>
      </c>
      <c r="D919" s="32" t="s">
        <v>6616</v>
      </c>
      <c r="E919" s="32" t="s">
        <v>10184</v>
      </c>
      <c r="F919" s="32" t="s">
        <v>5785</v>
      </c>
      <c r="G919" s="32" t="s">
        <v>9629</v>
      </c>
      <c r="H919" s="32" t="s">
        <v>6396</v>
      </c>
      <c r="I919" s="32" t="s">
        <v>13307</v>
      </c>
      <c r="J919" s="32" t="s">
        <v>2000</v>
      </c>
      <c r="K919" s="32" t="s">
        <v>13308</v>
      </c>
      <c r="L919" s="32" t="s">
        <v>6006</v>
      </c>
      <c r="M919" s="32" t="s">
        <v>13309</v>
      </c>
      <c r="N919" s="32" t="s">
        <v>13310</v>
      </c>
      <c r="O919" s="32" t="s">
        <v>13311</v>
      </c>
    </row>
    <row x14ac:dyDescent="0.25" r="920" customHeight="1" ht="15.75">
      <c r="A920" s="8">
        <v>25790</v>
      </c>
      <c r="B920" s="13" t="s">
        <v>198</v>
      </c>
      <c r="C920" s="13" t="s">
        <v>6617</v>
      </c>
      <c r="D920" s="32" t="s">
        <v>2429</v>
      </c>
      <c r="E920" s="32" t="s">
        <v>7127</v>
      </c>
      <c r="F920" s="32" t="s">
        <v>4775</v>
      </c>
      <c r="G920" s="32" t="s">
        <v>13312</v>
      </c>
      <c r="H920" s="32" t="s">
        <v>4984</v>
      </c>
      <c r="I920" s="32" t="s">
        <v>7793</v>
      </c>
      <c r="J920" s="32" t="s">
        <v>6618</v>
      </c>
      <c r="K920" s="32" t="s">
        <v>13313</v>
      </c>
      <c r="L920" s="32" t="s">
        <v>6551</v>
      </c>
      <c r="M920" s="32" t="s">
        <v>7127</v>
      </c>
      <c r="N920" s="32" t="s">
        <v>34</v>
      </c>
      <c r="O920" s="32" t="s">
        <v>13314</v>
      </c>
    </row>
    <row x14ac:dyDescent="0.25" r="921" customHeight="1" ht="15.75">
      <c r="A921" s="8">
        <v>25773</v>
      </c>
      <c r="B921" s="13" t="s">
        <v>198</v>
      </c>
      <c r="C921" s="13" t="s">
        <v>6619</v>
      </c>
      <c r="D921" s="32" t="s">
        <v>6620</v>
      </c>
      <c r="E921" s="32" t="s">
        <v>13315</v>
      </c>
      <c r="F921" s="32" t="s">
        <v>13316</v>
      </c>
      <c r="G921" s="32" t="s">
        <v>13317</v>
      </c>
      <c r="H921" s="32" t="s">
        <v>6621</v>
      </c>
      <c r="I921" s="32" t="s">
        <v>13318</v>
      </c>
      <c r="J921" s="32" t="s">
        <v>6621</v>
      </c>
      <c r="K921" s="32" t="s">
        <v>13319</v>
      </c>
      <c r="L921" s="32" t="s">
        <v>74</v>
      </c>
      <c r="M921" s="32" t="s">
        <v>13320</v>
      </c>
      <c r="N921" s="32" t="s">
        <v>74</v>
      </c>
      <c r="O921" s="32" t="s">
        <v>13321</v>
      </c>
    </row>
    <row x14ac:dyDescent="0.25" r="922" customHeight="1" ht="15.75">
      <c r="A922" s="8">
        <v>25791</v>
      </c>
      <c r="B922" s="13" t="s">
        <v>198</v>
      </c>
      <c r="C922" s="13" t="s">
        <v>6622</v>
      </c>
      <c r="D922" s="32" t="s">
        <v>6438</v>
      </c>
      <c r="E922" s="32" t="s">
        <v>13322</v>
      </c>
      <c r="F922" s="32" t="s">
        <v>13323</v>
      </c>
      <c r="G922" s="32" t="s">
        <v>7127</v>
      </c>
      <c r="H922" s="32" t="s">
        <v>13324</v>
      </c>
      <c r="I922" s="32" t="s">
        <v>13325</v>
      </c>
      <c r="J922" s="32" t="s">
        <v>6623</v>
      </c>
      <c r="K922" s="32" t="s">
        <v>13326</v>
      </c>
      <c r="L922" s="32" t="s">
        <v>13327</v>
      </c>
      <c r="M922" s="32" t="s">
        <v>13328</v>
      </c>
      <c r="N922" s="32" t="s">
        <v>4625</v>
      </c>
      <c r="O922" s="32" t="s">
        <v>13329</v>
      </c>
    </row>
    <row x14ac:dyDescent="0.25" r="923" customHeight="1" ht="15.75">
      <c r="A923" s="8">
        <v>25792</v>
      </c>
      <c r="B923" s="13" t="s">
        <v>198</v>
      </c>
      <c r="C923" s="13" t="s">
        <v>6624</v>
      </c>
      <c r="D923" s="32" t="s">
        <v>4894</v>
      </c>
      <c r="E923" s="32" t="s">
        <v>13330</v>
      </c>
      <c r="F923" s="32" t="s">
        <v>122</v>
      </c>
      <c r="G923" s="32" t="s">
        <v>13331</v>
      </c>
      <c r="H923" s="32" t="s">
        <v>5774</v>
      </c>
      <c r="I923" s="32" t="s">
        <v>13332</v>
      </c>
      <c r="J923" s="32" t="s">
        <v>6625</v>
      </c>
      <c r="K923" s="32" t="s">
        <v>13333</v>
      </c>
      <c r="L923" s="32" t="s">
        <v>5785</v>
      </c>
      <c r="M923" s="32" t="s">
        <v>7745</v>
      </c>
      <c r="N923" s="32" t="s">
        <v>13164</v>
      </c>
      <c r="O923" s="32" t="s">
        <v>13334</v>
      </c>
    </row>
    <row x14ac:dyDescent="0.25" r="924" customHeight="1" ht="15.75">
      <c r="A924" s="8">
        <v>25801</v>
      </c>
      <c r="B924" s="13" t="s">
        <v>198</v>
      </c>
      <c r="C924" s="13" t="s">
        <v>6626</v>
      </c>
      <c r="D924" s="32" t="s">
        <v>74</v>
      </c>
      <c r="E924" s="32" t="s">
        <v>13335</v>
      </c>
      <c r="F924" s="32" t="s">
        <v>7217</v>
      </c>
      <c r="G924" s="32" t="s">
        <v>7209</v>
      </c>
      <c r="H924" s="32" t="s">
        <v>1521</v>
      </c>
      <c r="I924" s="32" t="s">
        <v>13336</v>
      </c>
      <c r="J924" s="32" t="s">
        <v>6378</v>
      </c>
      <c r="K924" s="32" t="s">
        <v>13337</v>
      </c>
      <c r="L924" s="32" t="s">
        <v>4523</v>
      </c>
      <c r="M924" s="32" t="s">
        <v>13338</v>
      </c>
      <c r="N924" s="32" t="s">
        <v>4523</v>
      </c>
      <c r="O924" s="32" t="s">
        <v>13339</v>
      </c>
    </row>
    <row x14ac:dyDescent="0.25" r="925" customHeight="1" ht="15.75">
      <c r="A925" s="8">
        <v>25793</v>
      </c>
      <c r="B925" s="13" t="s">
        <v>198</v>
      </c>
      <c r="C925" s="13" t="s">
        <v>6627</v>
      </c>
      <c r="D925" s="32" t="s">
        <v>6628</v>
      </c>
      <c r="E925" s="32" t="s">
        <v>13340</v>
      </c>
      <c r="F925" s="32" t="s">
        <v>13341</v>
      </c>
      <c r="G925" s="32" t="s">
        <v>13342</v>
      </c>
      <c r="H925" s="32" t="s">
        <v>12869</v>
      </c>
      <c r="I925" s="32" t="s">
        <v>13343</v>
      </c>
      <c r="J925" s="32" t="s">
        <v>6630</v>
      </c>
      <c r="K925" s="32" t="s">
        <v>8118</v>
      </c>
      <c r="L925" s="32" t="s">
        <v>4419</v>
      </c>
      <c r="M925" s="32" t="s">
        <v>9784</v>
      </c>
      <c r="N925" s="32" t="s">
        <v>13344</v>
      </c>
      <c r="O925" s="32" t="s">
        <v>13345</v>
      </c>
    </row>
    <row x14ac:dyDescent="0.25" r="926" customHeight="1" ht="15.75">
      <c r="A926" s="8">
        <v>25774</v>
      </c>
      <c r="B926" s="13" t="s">
        <v>198</v>
      </c>
      <c r="C926" s="13" t="s">
        <v>6631</v>
      </c>
      <c r="D926" s="32" t="s">
        <v>6565</v>
      </c>
      <c r="E926" s="32" t="s">
        <v>13346</v>
      </c>
      <c r="F926" s="32" t="s">
        <v>12245</v>
      </c>
      <c r="G926" s="32" t="s">
        <v>13347</v>
      </c>
      <c r="H926" s="32" t="s">
        <v>13348</v>
      </c>
      <c r="I926" s="32" t="s">
        <v>13349</v>
      </c>
      <c r="J926" s="32" t="s">
        <v>6632</v>
      </c>
      <c r="K926" s="32" t="s">
        <v>13350</v>
      </c>
      <c r="L926" s="32" t="s">
        <v>13351</v>
      </c>
      <c r="M926" s="32" t="s">
        <v>13352</v>
      </c>
      <c r="N926" s="32" t="s">
        <v>12818</v>
      </c>
      <c r="O926" s="32" t="s">
        <v>13353</v>
      </c>
    </row>
    <row x14ac:dyDescent="0.25" r="927" customHeight="1" ht="15.75">
      <c r="A927" s="8">
        <v>25753</v>
      </c>
      <c r="B927" s="13" t="s">
        <v>198</v>
      </c>
      <c r="C927" s="13" t="s">
        <v>6633</v>
      </c>
      <c r="D927" s="32" t="s">
        <v>6634</v>
      </c>
      <c r="E927" s="32" t="s">
        <v>13354</v>
      </c>
      <c r="F927" s="32" t="s">
        <v>13355</v>
      </c>
      <c r="G927" s="32" t="s">
        <v>13356</v>
      </c>
      <c r="H927" s="32" t="s">
        <v>9061</v>
      </c>
      <c r="I927" s="32" t="s">
        <v>13357</v>
      </c>
      <c r="J927" s="32" t="s">
        <v>6290</v>
      </c>
      <c r="K927" s="32" t="s">
        <v>13358</v>
      </c>
      <c r="L927" s="32" t="s">
        <v>9061</v>
      </c>
      <c r="M927" s="32" t="s">
        <v>13359</v>
      </c>
      <c r="N927" s="32" t="s">
        <v>13019</v>
      </c>
      <c r="O927" s="32" t="s">
        <v>13360</v>
      </c>
    </row>
    <row x14ac:dyDescent="0.25" r="928" customHeight="1" ht="15.75">
      <c r="A928" s="8">
        <v>25754</v>
      </c>
      <c r="B928" s="13" t="s">
        <v>198</v>
      </c>
      <c r="C928" s="13" t="s">
        <v>6635</v>
      </c>
      <c r="D928" s="32" t="s">
        <v>4435</v>
      </c>
      <c r="E928" s="32" t="s">
        <v>7127</v>
      </c>
      <c r="F928" s="32" t="s">
        <v>5551</v>
      </c>
      <c r="G928" s="32" t="s">
        <v>7127</v>
      </c>
      <c r="H928" s="32" t="s">
        <v>13361</v>
      </c>
      <c r="I928" s="32" t="s">
        <v>13362</v>
      </c>
      <c r="J928" s="32" t="s">
        <v>6636</v>
      </c>
      <c r="K928" s="32" t="s">
        <v>13363</v>
      </c>
      <c r="L928" s="32" t="s">
        <v>13364</v>
      </c>
      <c r="M928" s="32" t="s">
        <v>13365</v>
      </c>
      <c r="N928" s="32" t="s">
        <v>13366</v>
      </c>
      <c r="O928" s="32" t="s">
        <v>13367</v>
      </c>
    </row>
    <row x14ac:dyDescent="0.25" r="929" customHeight="1" ht="15.75">
      <c r="A929" s="8">
        <v>25794</v>
      </c>
      <c r="B929" s="13" t="s">
        <v>198</v>
      </c>
      <c r="C929" s="13" t="s">
        <v>6302</v>
      </c>
      <c r="D929" s="32" t="s">
        <v>6637</v>
      </c>
      <c r="E929" s="32" t="s">
        <v>13368</v>
      </c>
      <c r="F929" s="32" t="s">
        <v>4887</v>
      </c>
      <c r="G929" s="32" t="s">
        <v>13369</v>
      </c>
      <c r="H929" s="32" t="s">
        <v>4426</v>
      </c>
      <c r="I929" s="32" t="s">
        <v>13370</v>
      </c>
      <c r="J929" s="32" t="s">
        <v>6638</v>
      </c>
      <c r="K929" s="32" t="s">
        <v>8367</v>
      </c>
      <c r="L929" s="32" t="s">
        <v>350</v>
      </c>
      <c r="M929" s="32" t="s">
        <v>7988</v>
      </c>
      <c r="N929" s="32" t="s">
        <v>13371</v>
      </c>
      <c r="O929" s="32" t="s">
        <v>13372</v>
      </c>
    </row>
    <row x14ac:dyDescent="0.25" r="930" customHeight="1" ht="15.75">
      <c r="A930" s="8">
        <v>25746</v>
      </c>
      <c r="B930" s="13" t="s">
        <v>198</v>
      </c>
      <c r="C930" s="13" t="s">
        <v>6639</v>
      </c>
      <c r="D930" s="32" t="s">
        <v>6640</v>
      </c>
      <c r="E930" s="32" t="s">
        <v>13373</v>
      </c>
      <c r="F930" s="32" t="s">
        <v>9528</v>
      </c>
      <c r="G930" s="32" t="s">
        <v>13374</v>
      </c>
      <c r="H930" s="32" t="s">
        <v>4329</v>
      </c>
      <c r="I930" s="32" t="s">
        <v>13375</v>
      </c>
      <c r="J930" s="32" t="s">
        <v>5650</v>
      </c>
      <c r="K930" s="32" t="s">
        <v>13376</v>
      </c>
      <c r="L930" s="32" t="s">
        <v>13377</v>
      </c>
      <c r="M930" s="32" t="s">
        <v>13378</v>
      </c>
      <c r="N930" s="32" t="s">
        <v>13379</v>
      </c>
      <c r="O930" s="32" t="s">
        <v>7127</v>
      </c>
    </row>
    <row x14ac:dyDescent="0.25" r="931" customHeight="1" ht="15.75">
      <c r="A931" s="8">
        <v>25755</v>
      </c>
      <c r="B931" s="13" t="s">
        <v>198</v>
      </c>
      <c r="C931" s="13" t="s">
        <v>6641</v>
      </c>
      <c r="D931" s="32" t="s">
        <v>6642</v>
      </c>
      <c r="E931" s="32" t="s">
        <v>13380</v>
      </c>
      <c r="F931" s="32" t="s">
        <v>10413</v>
      </c>
      <c r="G931" s="32" t="s">
        <v>13381</v>
      </c>
      <c r="H931" s="32" t="s">
        <v>13382</v>
      </c>
      <c r="I931" s="32" t="s">
        <v>13383</v>
      </c>
      <c r="J931" s="32" t="s">
        <v>2560</v>
      </c>
      <c r="K931" s="32" t="s">
        <v>13384</v>
      </c>
      <c r="L931" s="32" t="s">
        <v>5121</v>
      </c>
      <c r="M931" s="32" t="s">
        <v>13385</v>
      </c>
      <c r="N931" s="32" t="s">
        <v>13386</v>
      </c>
      <c r="O931" s="32" t="s">
        <v>13387</v>
      </c>
    </row>
    <row x14ac:dyDescent="0.25" r="932" customHeight="1" ht="15.75">
      <c r="A932" s="8">
        <v>25783</v>
      </c>
      <c r="B932" s="13" t="s">
        <v>198</v>
      </c>
      <c r="C932" s="13" t="s">
        <v>6643</v>
      </c>
      <c r="D932" s="32" t="s">
        <v>6644</v>
      </c>
      <c r="E932" s="32" t="s">
        <v>13388</v>
      </c>
      <c r="F932" s="32" t="s">
        <v>4998</v>
      </c>
      <c r="G932" s="32" t="s">
        <v>13389</v>
      </c>
      <c r="H932" s="32" t="s">
        <v>13390</v>
      </c>
      <c r="I932" s="32" t="s">
        <v>13391</v>
      </c>
      <c r="J932" s="32" t="s">
        <v>6646</v>
      </c>
      <c r="K932" s="32" t="s">
        <v>13392</v>
      </c>
      <c r="L932" s="32" t="s">
        <v>8719</v>
      </c>
      <c r="M932" s="32" t="s">
        <v>13393</v>
      </c>
      <c r="N932" s="32" t="s">
        <v>9408</v>
      </c>
      <c r="O932" s="32" t="s">
        <v>13394</v>
      </c>
    </row>
    <row x14ac:dyDescent="0.25" r="933" customHeight="1" ht="15.75">
      <c r="A933" s="8">
        <v>25802</v>
      </c>
      <c r="B933" s="13" t="s">
        <v>198</v>
      </c>
      <c r="C933" s="13" t="s">
        <v>5405</v>
      </c>
      <c r="D933" s="32" t="s">
        <v>6647</v>
      </c>
      <c r="E933" s="32" t="s">
        <v>10136</v>
      </c>
      <c r="F933" s="32" t="s">
        <v>1958</v>
      </c>
      <c r="G933" s="32" t="s">
        <v>7127</v>
      </c>
      <c r="H933" s="32" t="s">
        <v>2131</v>
      </c>
      <c r="I933" s="32" t="s">
        <v>13395</v>
      </c>
      <c r="J933" s="32" t="s">
        <v>6649</v>
      </c>
      <c r="K933" s="32" t="s">
        <v>13396</v>
      </c>
      <c r="L933" s="32" t="s">
        <v>1822</v>
      </c>
      <c r="M933" s="32" t="s">
        <v>13397</v>
      </c>
      <c r="N933" s="32" t="s">
        <v>13398</v>
      </c>
      <c r="O933" s="32" t="s">
        <v>13399</v>
      </c>
    </row>
    <row x14ac:dyDescent="0.25" r="934" customHeight="1" ht="15.75">
      <c r="A934" s="8">
        <v>25756</v>
      </c>
      <c r="B934" s="13" t="s">
        <v>198</v>
      </c>
      <c r="C934" s="13" t="s">
        <v>6650</v>
      </c>
      <c r="D934" s="32" t="s">
        <v>6651</v>
      </c>
      <c r="E934" s="32" t="s">
        <v>13400</v>
      </c>
      <c r="F934" s="32" t="s">
        <v>9430</v>
      </c>
      <c r="G934" s="32" t="s">
        <v>13401</v>
      </c>
      <c r="H934" s="32" t="s">
        <v>6451</v>
      </c>
      <c r="I934" s="32" t="s">
        <v>13402</v>
      </c>
      <c r="J934" s="32" t="s">
        <v>6652</v>
      </c>
      <c r="K934" s="32" t="s">
        <v>13403</v>
      </c>
      <c r="L934" s="32" t="s">
        <v>7691</v>
      </c>
      <c r="M934" s="32" t="s">
        <v>13404</v>
      </c>
      <c r="N934" s="32" t="s">
        <v>10489</v>
      </c>
      <c r="O934" s="32" t="s">
        <v>13405</v>
      </c>
    </row>
    <row x14ac:dyDescent="0.25" r="935" customHeight="1" ht="15.75">
      <c r="A935" s="8">
        <v>25784</v>
      </c>
      <c r="B935" s="13" t="s">
        <v>198</v>
      </c>
      <c r="C935" s="13" t="s">
        <v>6653</v>
      </c>
      <c r="D935" s="32" t="s">
        <v>74</v>
      </c>
      <c r="E935" s="32" t="s">
        <v>9892</v>
      </c>
      <c r="F935" s="32" t="s">
        <v>74</v>
      </c>
      <c r="G935" s="32" t="s">
        <v>13406</v>
      </c>
      <c r="H935" s="32" t="s">
        <v>5148</v>
      </c>
      <c r="I935" s="32" t="s">
        <v>7966</v>
      </c>
      <c r="J935" s="32" t="s">
        <v>4254</v>
      </c>
      <c r="K935" s="32" t="s">
        <v>13407</v>
      </c>
      <c r="L935" s="32" t="s">
        <v>9447</v>
      </c>
      <c r="M935" s="32" t="s">
        <v>13408</v>
      </c>
      <c r="N935" s="32" t="s">
        <v>9447</v>
      </c>
      <c r="O935" s="32" t="s">
        <v>13409</v>
      </c>
    </row>
    <row x14ac:dyDescent="0.25" r="936" customHeight="1" ht="15.75">
      <c r="A936" s="8">
        <v>25795</v>
      </c>
      <c r="B936" s="13" t="s">
        <v>198</v>
      </c>
      <c r="C936" s="13" t="s">
        <v>6654</v>
      </c>
      <c r="D936" s="32" t="s">
        <v>6655</v>
      </c>
      <c r="E936" s="32" t="s">
        <v>13410</v>
      </c>
      <c r="F936" s="32" t="s">
        <v>13411</v>
      </c>
      <c r="G936" s="32" t="s">
        <v>13412</v>
      </c>
      <c r="H936" s="32" t="s">
        <v>13413</v>
      </c>
      <c r="I936" s="32" t="s">
        <v>10214</v>
      </c>
      <c r="J936" s="32" t="s">
        <v>6656</v>
      </c>
      <c r="K936" s="32" t="s">
        <v>7381</v>
      </c>
      <c r="L936" s="32" t="s">
        <v>8457</v>
      </c>
      <c r="M936" s="32" t="s">
        <v>13414</v>
      </c>
      <c r="N936" s="32" t="s">
        <v>10887</v>
      </c>
      <c r="O936" s="32" t="s">
        <v>13415</v>
      </c>
    </row>
    <row x14ac:dyDescent="0.25" r="937" customHeight="1" ht="15.75">
      <c r="A937" s="8">
        <v>25775</v>
      </c>
      <c r="B937" s="13" t="s">
        <v>198</v>
      </c>
      <c r="C937" s="13" t="s">
        <v>6657</v>
      </c>
      <c r="D937" s="32" t="s">
        <v>6658</v>
      </c>
      <c r="E937" s="32" t="s">
        <v>13416</v>
      </c>
      <c r="F937" s="32" t="s">
        <v>7010</v>
      </c>
      <c r="G937" s="32" t="s">
        <v>13417</v>
      </c>
      <c r="H937" s="32" t="s">
        <v>5453</v>
      </c>
      <c r="I937" s="32" t="s">
        <v>13418</v>
      </c>
      <c r="J937" s="32" t="s">
        <v>2492</v>
      </c>
      <c r="K937" s="32" t="s">
        <v>13419</v>
      </c>
      <c r="L937" s="32" t="s">
        <v>5087</v>
      </c>
      <c r="M937" s="32" t="s">
        <v>13420</v>
      </c>
      <c r="N937" s="32" t="s">
        <v>10192</v>
      </c>
      <c r="O937" s="32" t="s">
        <v>7127</v>
      </c>
    </row>
    <row x14ac:dyDescent="0.25" r="938" customHeight="1" ht="15.75">
      <c r="A938" s="8">
        <v>25757</v>
      </c>
      <c r="B938" s="13" t="s">
        <v>198</v>
      </c>
      <c r="C938" s="13" t="s">
        <v>6659</v>
      </c>
      <c r="D938" s="32" t="s">
        <v>6660</v>
      </c>
      <c r="E938" s="32" t="s">
        <v>13421</v>
      </c>
      <c r="F938" s="32" t="s">
        <v>9304</v>
      </c>
      <c r="G938" s="32" t="s">
        <v>13422</v>
      </c>
      <c r="H938" s="32" t="s">
        <v>6228</v>
      </c>
      <c r="I938" s="32" t="s">
        <v>13423</v>
      </c>
      <c r="J938" s="32" t="s">
        <v>6662</v>
      </c>
      <c r="K938" s="32" t="s">
        <v>13424</v>
      </c>
      <c r="L938" s="32" t="s">
        <v>11136</v>
      </c>
      <c r="M938" s="32" t="s">
        <v>13425</v>
      </c>
      <c r="N938" s="32" t="s">
        <v>13426</v>
      </c>
      <c r="O938" s="32" t="s">
        <v>13427</v>
      </c>
    </row>
    <row x14ac:dyDescent="0.25" r="939" customHeight="1" ht="15.75">
      <c r="A939" s="8">
        <v>25803</v>
      </c>
      <c r="B939" s="13" t="s">
        <v>198</v>
      </c>
      <c r="C939" s="13" t="s">
        <v>6663</v>
      </c>
      <c r="D939" s="32" t="s">
        <v>6664</v>
      </c>
      <c r="E939" s="32" t="s">
        <v>13428</v>
      </c>
      <c r="F939" s="32" t="s">
        <v>10662</v>
      </c>
      <c r="G939" s="32" t="s">
        <v>13429</v>
      </c>
      <c r="H939" s="32" t="s">
        <v>11002</v>
      </c>
      <c r="I939" s="32" t="s">
        <v>13430</v>
      </c>
      <c r="J939" s="32" t="s">
        <v>2532</v>
      </c>
      <c r="K939" s="32" t="s">
        <v>13431</v>
      </c>
      <c r="L939" s="32" t="s">
        <v>11552</v>
      </c>
      <c r="M939" s="32" t="s">
        <v>13432</v>
      </c>
      <c r="N939" s="32" t="s">
        <v>13433</v>
      </c>
      <c r="O939" s="32" t="s">
        <v>13434</v>
      </c>
    </row>
    <row x14ac:dyDescent="0.25" r="940" customHeight="1" ht="15.75">
      <c r="A940" s="8">
        <v>25758</v>
      </c>
      <c r="B940" s="13" t="s">
        <v>198</v>
      </c>
      <c r="C940" s="13" t="s">
        <v>6665</v>
      </c>
      <c r="D940" s="32" t="s">
        <v>6666</v>
      </c>
      <c r="E940" s="32" t="s">
        <v>13435</v>
      </c>
      <c r="F940" s="32" t="s">
        <v>6819</v>
      </c>
      <c r="G940" s="32" t="s">
        <v>10983</v>
      </c>
      <c r="H940" s="32" t="s">
        <v>6278</v>
      </c>
      <c r="I940" s="32" t="s">
        <v>13436</v>
      </c>
      <c r="J940" s="32" t="s">
        <v>6667</v>
      </c>
      <c r="K940" s="32" t="s">
        <v>8011</v>
      </c>
      <c r="L940" s="32" t="s">
        <v>5244</v>
      </c>
      <c r="M940" s="32" t="s">
        <v>13437</v>
      </c>
      <c r="N940" s="32" t="s">
        <v>2780</v>
      </c>
      <c r="O940" s="32" t="s">
        <v>7309</v>
      </c>
    </row>
    <row x14ac:dyDescent="0.25" r="941" customHeight="1" ht="15.75">
      <c r="A941" s="8">
        <v>25750</v>
      </c>
      <c r="B941" s="13" t="s">
        <v>198</v>
      </c>
      <c r="C941" s="13" t="s">
        <v>6668</v>
      </c>
      <c r="D941" s="32" t="s">
        <v>4416</v>
      </c>
      <c r="E941" s="32" t="s">
        <v>13438</v>
      </c>
      <c r="F941" s="32" t="s">
        <v>6708</v>
      </c>
      <c r="G941" s="32" t="s">
        <v>13439</v>
      </c>
      <c r="H941" s="32" t="s">
        <v>5923</v>
      </c>
      <c r="I941" s="32" t="s">
        <v>13440</v>
      </c>
      <c r="J941" s="32" t="s">
        <v>6669</v>
      </c>
      <c r="K941" s="32" t="s">
        <v>13441</v>
      </c>
      <c r="L941" s="32" t="s">
        <v>13442</v>
      </c>
      <c r="M941" s="32" t="s">
        <v>13443</v>
      </c>
      <c r="N941" s="32" t="s">
        <v>6962</v>
      </c>
      <c r="O941" s="32" t="s">
        <v>7127</v>
      </c>
    </row>
    <row x14ac:dyDescent="0.25" r="942" customHeight="1" ht="15.75">
      <c r="A942" s="8">
        <v>25785</v>
      </c>
      <c r="B942" s="13" t="s">
        <v>198</v>
      </c>
      <c r="C942" s="13" t="s">
        <v>6670</v>
      </c>
      <c r="D942" s="32" t="s">
        <v>6671</v>
      </c>
      <c r="E942" s="32" t="s">
        <v>13444</v>
      </c>
      <c r="F942" s="32" t="s">
        <v>13445</v>
      </c>
      <c r="G942" s="32" t="s">
        <v>13446</v>
      </c>
      <c r="H942" s="32" t="s">
        <v>13447</v>
      </c>
      <c r="I942" s="32" t="s">
        <v>10992</v>
      </c>
      <c r="J942" s="32" t="s">
        <v>6673</v>
      </c>
      <c r="K942" s="32" t="s">
        <v>9936</v>
      </c>
      <c r="L942" s="32" t="s">
        <v>13448</v>
      </c>
      <c r="M942" s="32" t="s">
        <v>13449</v>
      </c>
      <c r="N942" s="32" t="s">
        <v>8731</v>
      </c>
      <c r="O942" s="32" t="s">
        <v>13450</v>
      </c>
    </row>
    <row x14ac:dyDescent="0.25" r="943" customHeight="1" ht="15.75">
      <c r="A943" s="8">
        <v>25759</v>
      </c>
      <c r="B943" s="13" t="s">
        <v>198</v>
      </c>
      <c r="C943" s="13" t="s">
        <v>6674</v>
      </c>
      <c r="D943" s="32" t="s">
        <v>6675</v>
      </c>
      <c r="E943" s="32" t="s">
        <v>13451</v>
      </c>
      <c r="F943" s="32" t="s">
        <v>10240</v>
      </c>
      <c r="G943" s="32" t="s">
        <v>13452</v>
      </c>
      <c r="H943" s="32" t="s">
        <v>7646</v>
      </c>
      <c r="I943" s="32" t="s">
        <v>13453</v>
      </c>
      <c r="J943" s="32" t="s">
        <v>2539</v>
      </c>
      <c r="K943" s="32" t="s">
        <v>13454</v>
      </c>
      <c r="L943" s="32" t="s">
        <v>13455</v>
      </c>
      <c r="M943" s="32" t="s">
        <v>13456</v>
      </c>
      <c r="N943" s="32" t="s">
        <v>13457</v>
      </c>
      <c r="O943" s="32" t="s">
        <v>13458</v>
      </c>
    </row>
    <row x14ac:dyDescent="0.25" r="944" customHeight="1" ht="15.75">
      <c r="A944" s="8">
        <v>25760</v>
      </c>
      <c r="B944" s="13" t="s">
        <v>198</v>
      </c>
      <c r="C944" s="13" t="s">
        <v>6676</v>
      </c>
      <c r="D944" s="32" t="s">
        <v>74</v>
      </c>
      <c r="E944" s="32" t="s">
        <v>13459</v>
      </c>
      <c r="F944" s="32" t="s">
        <v>13460</v>
      </c>
      <c r="G944" s="32" t="s">
        <v>13461</v>
      </c>
      <c r="H944" s="32" t="s">
        <v>13462</v>
      </c>
      <c r="I944" s="32" t="s">
        <v>13463</v>
      </c>
      <c r="J944" s="32" t="s">
        <v>6677</v>
      </c>
      <c r="K944" s="32" t="s">
        <v>13464</v>
      </c>
      <c r="L944" s="32" t="s">
        <v>13465</v>
      </c>
      <c r="M944" s="32" t="s">
        <v>13466</v>
      </c>
      <c r="N944" s="32" t="s">
        <v>13007</v>
      </c>
      <c r="O944" s="32" t="s">
        <v>13006</v>
      </c>
    </row>
    <row x14ac:dyDescent="0.25" r="945" customHeight="1" ht="15.75">
      <c r="A945" s="8">
        <v>25786</v>
      </c>
      <c r="B945" s="13" t="s">
        <v>198</v>
      </c>
      <c r="C945" s="13" t="s">
        <v>6678</v>
      </c>
      <c r="D945" s="32" t="s">
        <v>74</v>
      </c>
      <c r="E945" s="32" t="s">
        <v>13467</v>
      </c>
      <c r="F945" s="32" t="s">
        <v>74</v>
      </c>
      <c r="G945" s="32" t="s">
        <v>8602</v>
      </c>
      <c r="H945" s="32" t="s">
        <v>6362</v>
      </c>
      <c r="I945" s="32" t="s">
        <v>13468</v>
      </c>
      <c r="J945" s="32" t="s">
        <v>2335</v>
      </c>
      <c r="K945" s="32" t="s">
        <v>13469</v>
      </c>
      <c r="L945" s="32" t="s">
        <v>2364</v>
      </c>
      <c r="M945" s="32" t="s">
        <v>13470</v>
      </c>
      <c r="N945" s="32" t="s">
        <v>13471</v>
      </c>
      <c r="O945" s="32" t="s">
        <v>7743</v>
      </c>
    </row>
    <row x14ac:dyDescent="0.25" r="946" customHeight="1" ht="15.75">
      <c r="A946" s="8">
        <v>25804</v>
      </c>
      <c r="B946" s="13" t="s">
        <v>198</v>
      </c>
      <c r="C946" s="13" t="s">
        <v>6679</v>
      </c>
      <c r="D946" s="32" t="s">
        <v>6680</v>
      </c>
      <c r="E946" s="32" t="s">
        <v>13472</v>
      </c>
      <c r="F946" s="32" t="s">
        <v>74</v>
      </c>
      <c r="G946" s="32" t="s">
        <v>13473</v>
      </c>
      <c r="H946" s="32" t="s">
        <v>74</v>
      </c>
      <c r="I946" s="32" t="s">
        <v>13474</v>
      </c>
      <c r="J946" s="32" t="s">
        <v>74</v>
      </c>
      <c r="K946" s="32" t="s">
        <v>13475</v>
      </c>
      <c r="L946" s="32" t="s">
        <v>74</v>
      </c>
      <c r="M946" s="32" t="s">
        <v>13476</v>
      </c>
      <c r="N946" s="32" t="s">
        <v>74</v>
      </c>
      <c r="O946" s="32" t="s">
        <v>13477</v>
      </c>
    </row>
    <row x14ac:dyDescent="0.25" r="947" customHeight="1" ht="15.75">
      <c r="A947" s="8">
        <v>25776</v>
      </c>
      <c r="B947" s="13" t="s">
        <v>198</v>
      </c>
      <c r="C947" s="13" t="s">
        <v>5698</v>
      </c>
      <c r="D947" s="32" t="s">
        <v>6682</v>
      </c>
      <c r="E947" s="32" t="s">
        <v>8112</v>
      </c>
      <c r="F947" s="32" t="s">
        <v>13478</v>
      </c>
      <c r="G947" s="32" t="s">
        <v>12262</v>
      </c>
      <c r="H947" s="32" t="s">
        <v>13479</v>
      </c>
      <c r="I947" s="32" t="s">
        <v>13480</v>
      </c>
      <c r="J947" s="32" t="s">
        <v>6684</v>
      </c>
      <c r="K947" s="32" t="s">
        <v>12576</v>
      </c>
      <c r="L947" s="32" t="s">
        <v>13481</v>
      </c>
      <c r="M947" s="32" t="s">
        <v>13482</v>
      </c>
      <c r="N947" s="32" t="s">
        <v>6623</v>
      </c>
      <c r="O947" s="32" t="s">
        <v>13483</v>
      </c>
    </row>
    <row x14ac:dyDescent="0.25" r="948" customHeight="1" ht="15.75">
      <c r="A948" s="8">
        <v>25761</v>
      </c>
      <c r="B948" s="13" t="s">
        <v>198</v>
      </c>
      <c r="C948" s="13" t="s">
        <v>6685</v>
      </c>
      <c r="D948" s="32" t="s">
        <v>5294</v>
      </c>
      <c r="E948" s="32" t="s">
        <v>13484</v>
      </c>
      <c r="F948" s="32" t="s">
        <v>5745</v>
      </c>
      <c r="G948" s="32" t="s">
        <v>13485</v>
      </c>
      <c r="H948" s="32" t="s">
        <v>13486</v>
      </c>
      <c r="I948" s="32" t="s">
        <v>13487</v>
      </c>
      <c r="J948" s="32" t="s">
        <v>81</v>
      </c>
      <c r="K948" s="32" t="s">
        <v>13488</v>
      </c>
      <c r="L948" s="32" t="s">
        <v>6815</v>
      </c>
      <c r="M948" s="32" t="s">
        <v>13489</v>
      </c>
      <c r="N948" s="32" t="s">
        <v>13490</v>
      </c>
      <c r="O948" s="32" t="s">
        <v>13491</v>
      </c>
    </row>
    <row x14ac:dyDescent="0.25" r="949" customHeight="1" ht="15.75">
      <c r="A949" s="8">
        <v>25805</v>
      </c>
      <c r="B949" s="13" t="s">
        <v>198</v>
      </c>
      <c r="C949" s="13" t="s">
        <v>6686</v>
      </c>
      <c r="D949" s="32" t="s">
        <v>74</v>
      </c>
      <c r="E949" s="32" t="s">
        <v>13492</v>
      </c>
      <c r="F949" s="32" t="s">
        <v>6020</v>
      </c>
      <c r="G949" s="32" t="s">
        <v>11246</v>
      </c>
      <c r="H949" s="32" t="s">
        <v>2437</v>
      </c>
      <c r="I949" s="32" t="s">
        <v>7127</v>
      </c>
      <c r="J949" s="32" t="s">
        <v>1348</v>
      </c>
      <c r="K949" s="32" t="s">
        <v>13493</v>
      </c>
      <c r="L949" s="32" t="s">
        <v>5822</v>
      </c>
      <c r="M949" s="32" t="s">
        <v>7319</v>
      </c>
      <c r="N949" s="32" t="s">
        <v>6210</v>
      </c>
      <c r="O949" s="32" t="s">
        <v>7519</v>
      </c>
    </row>
    <row x14ac:dyDescent="0.25" r="950" customHeight="1" ht="15.75">
      <c r="A950" s="8">
        <v>25762</v>
      </c>
      <c r="B950" s="13" t="s">
        <v>198</v>
      </c>
      <c r="C950" s="13" t="s">
        <v>6687</v>
      </c>
      <c r="D950" s="32" t="s">
        <v>6374</v>
      </c>
      <c r="E950" s="32" t="s">
        <v>13494</v>
      </c>
      <c r="F950" s="32" t="s">
        <v>6374</v>
      </c>
      <c r="G950" s="32" t="s">
        <v>13495</v>
      </c>
      <c r="H950" s="32" t="s">
        <v>12291</v>
      </c>
      <c r="I950" s="32" t="s">
        <v>13496</v>
      </c>
      <c r="J950" s="32" t="s">
        <v>6688</v>
      </c>
      <c r="K950" s="32" t="s">
        <v>13497</v>
      </c>
      <c r="L950" s="32" t="s">
        <v>5950</v>
      </c>
      <c r="M950" s="32" t="s">
        <v>13498</v>
      </c>
      <c r="N950" s="32" t="s">
        <v>13499</v>
      </c>
      <c r="O950" s="32" t="s">
        <v>11738</v>
      </c>
    </row>
    <row x14ac:dyDescent="0.25" r="951" customHeight="1" ht="15.75">
      <c r="A951" s="8">
        <v>25763</v>
      </c>
      <c r="B951" s="13" t="s">
        <v>198</v>
      </c>
      <c r="C951" s="13" t="s">
        <v>6689</v>
      </c>
      <c r="D951" s="32" t="s">
        <v>6690</v>
      </c>
      <c r="E951" s="32" t="s">
        <v>13500</v>
      </c>
      <c r="F951" s="32" t="s">
        <v>6908</v>
      </c>
      <c r="G951" s="32" t="s">
        <v>13501</v>
      </c>
      <c r="H951" s="32" t="s">
        <v>74</v>
      </c>
      <c r="I951" s="32" t="s">
        <v>13502</v>
      </c>
      <c r="J951" s="32" t="s">
        <v>74</v>
      </c>
      <c r="K951" s="32" t="s">
        <v>13503</v>
      </c>
      <c r="L951" s="32" t="s">
        <v>74</v>
      </c>
      <c r="M951" s="32" t="s">
        <v>13504</v>
      </c>
      <c r="N951" s="32" t="s">
        <v>74</v>
      </c>
      <c r="O951" s="32" t="s">
        <v>7477</v>
      </c>
    </row>
    <row x14ac:dyDescent="0.25" r="952" customHeight="1" ht="15.75">
      <c r="A952" s="8">
        <v>25797</v>
      </c>
      <c r="B952" s="13" t="s">
        <v>198</v>
      </c>
      <c r="C952" s="13" t="s">
        <v>6692</v>
      </c>
      <c r="D952" s="32" t="s">
        <v>6693</v>
      </c>
      <c r="E952" s="32" t="s">
        <v>13029</v>
      </c>
      <c r="F952" s="32" t="s">
        <v>13505</v>
      </c>
      <c r="G952" s="32" t="s">
        <v>13506</v>
      </c>
      <c r="H952" s="32" t="s">
        <v>4405</v>
      </c>
      <c r="I952" s="32" t="s">
        <v>13507</v>
      </c>
      <c r="J952" s="32" t="s">
        <v>6694</v>
      </c>
      <c r="K952" s="32" t="s">
        <v>13508</v>
      </c>
      <c r="L952" s="32" t="s">
        <v>6918</v>
      </c>
      <c r="M952" s="32" t="s">
        <v>13509</v>
      </c>
      <c r="N952" s="32" t="s">
        <v>13510</v>
      </c>
      <c r="O952" s="32" t="s">
        <v>13511</v>
      </c>
    </row>
    <row x14ac:dyDescent="0.25" r="953" customHeight="1" ht="15.75">
      <c r="A953" s="8">
        <v>25778</v>
      </c>
      <c r="B953" s="13" t="s">
        <v>198</v>
      </c>
      <c r="C953" s="13" t="s">
        <v>6695</v>
      </c>
      <c r="D953" s="32" t="s">
        <v>74</v>
      </c>
      <c r="E953" s="32" t="s">
        <v>8602</v>
      </c>
      <c r="F953" s="32" t="s">
        <v>74</v>
      </c>
      <c r="G953" s="32" t="s">
        <v>7414</v>
      </c>
      <c r="H953" s="32" t="s">
        <v>74</v>
      </c>
      <c r="I953" s="32" t="s">
        <v>10560</v>
      </c>
      <c r="J953" s="32" t="s">
        <v>74</v>
      </c>
      <c r="K953" s="32" t="s">
        <v>8738</v>
      </c>
      <c r="L953" s="32" t="s">
        <v>74</v>
      </c>
      <c r="M953" s="32" t="s">
        <v>9377</v>
      </c>
      <c r="N953" s="32" t="s">
        <v>122</v>
      </c>
      <c r="O953" s="32" t="s">
        <v>7562</v>
      </c>
    </row>
    <row x14ac:dyDescent="0.25" r="954" customHeight="1" ht="15.75">
      <c r="A954" s="8">
        <v>25764</v>
      </c>
      <c r="B954" s="13" t="s">
        <v>198</v>
      </c>
      <c r="C954" s="13" t="s">
        <v>6697</v>
      </c>
      <c r="D954" s="32" t="s">
        <v>6698</v>
      </c>
      <c r="E954" s="32" t="s">
        <v>13512</v>
      </c>
      <c r="F954" s="32" t="s">
        <v>13513</v>
      </c>
      <c r="G954" s="32" t="s">
        <v>13514</v>
      </c>
      <c r="H954" s="32" t="s">
        <v>13515</v>
      </c>
      <c r="I954" s="32" t="s">
        <v>13516</v>
      </c>
      <c r="J954" s="32" t="s">
        <v>2695</v>
      </c>
      <c r="K954" s="32" t="s">
        <v>13517</v>
      </c>
      <c r="L954" s="32" t="s">
        <v>13518</v>
      </c>
      <c r="M954" s="32" t="s">
        <v>13519</v>
      </c>
      <c r="N954" s="32" t="s">
        <v>5081</v>
      </c>
      <c r="O954" s="32" t="s">
        <v>13520</v>
      </c>
    </row>
    <row x14ac:dyDescent="0.25" r="955" customHeight="1" ht="15.75">
      <c r="A955" s="8">
        <v>25765</v>
      </c>
      <c r="B955" s="13" t="s">
        <v>198</v>
      </c>
      <c r="C955" s="13" t="s">
        <v>6700</v>
      </c>
      <c r="D955" s="32" t="s">
        <v>6701</v>
      </c>
      <c r="E955" s="32" t="s">
        <v>13521</v>
      </c>
      <c r="F955" s="32" t="s">
        <v>13522</v>
      </c>
      <c r="G955" s="32" t="s">
        <v>13523</v>
      </c>
      <c r="H955" s="32" t="s">
        <v>74</v>
      </c>
      <c r="I955" s="32" t="s">
        <v>13524</v>
      </c>
      <c r="J955" s="32" t="s">
        <v>74</v>
      </c>
      <c r="K955" s="32" t="s">
        <v>13525</v>
      </c>
      <c r="L955" s="32" t="s">
        <v>74</v>
      </c>
      <c r="M955" s="32" t="s">
        <v>9464</v>
      </c>
      <c r="N955" s="32" t="s">
        <v>74</v>
      </c>
      <c r="O955" s="32" t="s">
        <v>13526</v>
      </c>
    </row>
    <row x14ac:dyDescent="0.25" r="956" customHeight="1" ht="15.75">
      <c r="A956" s="8">
        <v>25779</v>
      </c>
      <c r="B956" s="13" t="s">
        <v>198</v>
      </c>
      <c r="C956" s="13" t="s">
        <v>6702</v>
      </c>
      <c r="D956" s="32" t="s">
        <v>6478</v>
      </c>
      <c r="E956" s="32" t="s">
        <v>13527</v>
      </c>
      <c r="F956" s="32" t="s">
        <v>8601</v>
      </c>
      <c r="G956" s="32" t="s">
        <v>13528</v>
      </c>
      <c r="H956" s="32" t="s">
        <v>7108</v>
      </c>
      <c r="I956" s="32" t="s">
        <v>13529</v>
      </c>
      <c r="J956" s="32" t="s">
        <v>6703</v>
      </c>
      <c r="K956" s="32" t="s">
        <v>13530</v>
      </c>
      <c r="L956" s="32" t="s">
        <v>13531</v>
      </c>
      <c r="M956" s="32" t="s">
        <v>13532</v>
      </c>
      <c r="N956" s="32" t="s">
        <v>7684</v>
      </c>
      <c r="O956" s="32" t="s">
        <v>7127</v>
      </c>
    </row>
    <row x14ac:dyDescent="0.25" r="957" customHeight="1" ht="15.75">
      <c r="A957" s="8">
        <v>25766</v>
      </c>
      <c r="B957" s="13" t="s">
        <v>198</v>
      </c>
      <c r="C957" s="13" t="s">
        <v>6704</v>
      </c>
      <c r="D957" s="32" t="s">
        <v>6557</v>
      </c>
      <c r="E957" s="32" t="s">
        <v>13533</v>
      </c>
      <c r="F957" s="32" t="s">
        <v>5124</v>
      </c>
      <c r="G957" s="32" t="s">
        <v>13534</v>
      </c>
      <c r="H957" s="32" t="s">
        <v>1822</v>
      </c>
      <c r="I957" s="32" t="s">
        <v>7618</v>
      </c>
      <c r="J957" s="32" t="s">
        <v>951</v>
      </c>
      <c r="K957" s="32" t="s">
        <v>13535</v>
      </c>
      <c r="L957" s="32" t="s">
        <v>2812</v>
      </c>
      <c r="M957" s="32" t="s">
        <v>13536</v>
      </c>
      <c r="N957" s="32" t="s">
        <v>5285</v>
      </c>
      <c r="O957" s="32" t="s">
        <v>10259</v>
      </c>
    </row>
    <row x14ac:dyDescent="0.25" r="958" customHeight="1" ht="15.75">
      <c r="A958" s="8">
        <v>25780</v>
      </c>
      <c r="B958" s="13" t="s">
        <v>198</v>
      </c>
      <c r="C958" s="13" t="s">
        <v>6706</v>
      </c>
      <c r="D958" s="32" t="s">
        <v>6707</v>
      </c>
      <c r="E958" s="32" t="s">
        <v>13537</v>
      </c>
      <c r="F958" s="32" t="s">
        <v>13538</v>
      </c>
      <c r="G958" s="32" t="s">
        <v>13539</v>
      </c>
      <c r="H958" s="32" t="s">
        <v>7086</v>
      </c>
      <c r="I958" s="32" t="s">
        <v>13540</v>
      </c>
      <c r="J958" s="32" t="s">
        <v>6708</v>
      </c>
      <c r="K958" s="32" t="s">
        <v>13541</v>
      </c>
      <c r="L958" s="32" t="s">
        <v>13542</v>
      </c>
      <c r="M958" s="32" t="s">
        <v>13543</v>
      </c>
      <c r="N958" s="32" t="s">
        <v>4594</v>
      </c>
      <c r="O958" s="32" t="s">
        <v>13544</v>
      </c>
    </row>
    <row x14ac:dyDescent="0.25" r="959" customHeight="1" ht="15.75">
      <c r="A959" s="8">
        <v>25788</v>
      </c>
      <c r="B959" s="13" t="s">
        <v>198</v>
      </c>
      <c r="C959" s="13" t="s">
        <v>6710</v>
      </c>
      <c r="D959" s="32" t="s">
        <v>6711</v>
      </c>
      <c r="E959" s="32" t="s">
        <v>13545</v>
      </c>
      <c r="F959" s="32" t="s">
        <v>13546</v>
      </c>
      <c r="G959" s="32" t="s">
        <v>13547</v>
      </c>
      <c r="H959" s="32" t="s">
        <v>6353</v>
      </c>
      <c r="I959" s="32" t="s">
        <v>13548</v>
      </c>
      <c r="J959" s="32" t="s">
        <v>5103</v>
      </c>
      <c r="K959" s="32" t="s">
        <v>13549</v>
      </c>
      <c r="L959" s="32" t="s">
        <v>13550</v>
      </c>
      <c r="M959" s="32" t="s">
        <v>13551</v>
      </c>
      <c r="N959" s="32" t="s">
        <v>8719</v>
      </c>
      <c r="O959" s="32" t="s">
        <v>7158</v>
      </c>
    </row>
    <row x14ac:dyDescent="0.25" r="960" customHeight="1" ht="15.75">
      <c r="A960" s="8">
        <v>25767</v>
      </c>
      <c r="B960" s="13" t="s">
        <v>198</v>
      </c>
      <c r="C960" s="13" t="s">
        <v>6712</v>
      </c>
      <c r="D960" s="32" t="s">
        <v>350</v>
      </c>
      <c r="E960" s="32" t="s">
        <v>13552</v>
      </c>
      <c r="F960" s="32" t="s">
        <v>4703</v>
      </c>
      <c r="G960" s="32" t="s">
        <v>11297</v>
      </c>
      <c r="H960" s="32" t="s">
        <v>13553</v>
      </c>
      <c r="I960" s="32" t="s">
        <v>13554</v>
      </c>
      <c r="J960" s="32" t="s">
        <v>6714</v>
      </c>
      <c r="K960" s="32" t="s">
        <v>13555</v>
      </c>
      <c r="L960" s="32" t="s">
        <v>13556</v>
      </c>
      <c r="M960" s="32" t="s">
        <v>13557</v>
      </c>
      <c r="N960" s="32" t="s">
        <v>13558</v>
      </c>
      <c r="O960" s="32" t="s">
        <v>13559</v>
      </c>
    </row>
    <row x14ac:dyDescent="0.25" r="961" customHeight="1" ht="15.75">
      <c r="A961" s="8">
        <v>25768</v>
      </c>
      <c r="B961" s="13" t="s">
        <v>198</v>
      </c>
      <c r="C961" s="13" t="s">
        <v>6715</v>
      </c>
      <c r="D961" s="32" t="s">
        <v>6716</v>
      </c>
      <c r="E961" s="32" t="s">
        <v>13560</v>
      </c>
      <c r="F961" s="32" t="s">
        <v>6764</v>
      </c>
      <c r="G961" s="32" t="s">
        <v>13561</v>
      </c>
      <c r="H961" s="32" t="s">
        <v>11237</v>
      </c>
      <c r="I961" s="32" t="s">
        <v>13562</v>
      </c>
      <c r="J961" s="32" t="s">
        <v>5109</v>
      </c>
      <c r="K961" s="32" t="s">
        <v>13563</v>
      </c>
      <c r="L961" s="32" t="s">
        <v>13564</v>
      </c>
      <c r="M961" s="32" t="s">
        <v>9184</v>
      </c>
      <c r="N961" s="32" t="s">
        <v>5776</v>
      </c>
      <c r="O961" s="32" t="s">
        <v>12011</v>
      </c>
    </row>
    <row x14ac:dyDescent="0.25" r="962" customHeight="1" ht="15.75">
      <c r="A962" s="8">
        <v>25769</v>
      </c>
      <c r="B962" s="13" t="s">
        <v>198</v>
      </c>
      <c r="C962" s="13" t="s">
        <v>6717</v>
      </c>
      <c r="D962" s="32" t="s">
        <v>6718</v>
      </c>
      <c r="E962" s="32" t="s">
        <v>13565</v>
      </c>
      <c r="F962" s="32" t="s">
        <v>10245</v>
      </c>
      <c r="G962" s="32" t="s">
        <v>13566</v>
      </c>
      <c r="H962" s="32" t="s">
        <v>1686</v>
      </c>
      <c r="I962" s="32" t="s">
        <v>13567</v>
      </c>
      <c r="J962" s="32" t="s">
        <v>4666</v>
      </c>
      <c r="K962" s="32" t="s">
        <v>13568</v>
      </c>
      <c r="L962" s="32" t="s">
        <v>2052</v>
      </c>
      <c r="M962" s="32" t="s">
        <v>7127</v>
      </c>
      <c r="N962" s="32" t="s">
        <v>1572</v>
      </c>
      <c r="O962" s="32" t="s">
        <v>9471</v>
      </c>
    </row>
    <row x14ac:dyDescent="0.25" r="963" customHeight="1" ht="15.75">
      <c r="A963" s="8">
        <v>25807</v>
      </c>
      <c r="B963" s="13" t="s">
        <v>198</v>
      </c>
      <c r="C963" s="13" t="s">
        <v>6720</v>
      </c>
      <c r="D963" s="32" t="s">
        <v>6721</v>
      </c>
      <c r="E963" s="32" t="s">
        <v>13569</v>
      </c>
      <c r="F963" s="32" t="s">
        <v>5048</v>
      </c>
      <c r="G963" s="32" t="s">
        <v>13570</v>
      </c>
      <c r="H963" s="32" t="s">
        <v>2460</v>
      </c>
      <c r="I963" s="32" t="s">
        <v>7580</v>
      </c>
      <c r="J963" s="32" t="s">
        <v>6722</v>
      </c>
      <c r="K963" s="32" t="s">
        <v>7618</v>
      </c>
      <c r="L963" s="32" t="s">
        <v>6970</v>
      </c>
      <c r="M963" s="32" t="s">
        <v>13571</v>
      </c>
      <c r="N963" s="32" t="s">
        <v>88</v>
      </c>
      <c r="O963" s="32" t="s">
        <v>13572</v>
      </c>
    </row>
    <row x14ac:dyDescent="0.25" r="964" customHeight="1" ht="15.75">
      <c r="A964" s="8">
        <v>25781</v>
      </c>
      <c r="B964" s="13" t="s">
        <v>198</v>
      </c>
      <c r="C964" s="13" t="s">
        <v>6723</v>
      </c>
      <c r="D964" s="32" t="s">
        <v>6724</v>
      </c>
      <c r="E964" s="32" t="s">
        <v>13573</v>
      </c>
      <c r="F964" s="32" t="s">
        <v>13574</v>
      </c>
      <c r="G964" s="32" t="s">
        <v>13575</v>
      </c>
      <c r="H964" s="32" t="s">
        <v>4645</v>
      </c>
      <c r="I964" s="32" t="s">
        <v>13576</v>
      </c>
      <c r="J964" s="32" t="s">
        <v>6725</v>
      </c>
      <c r="K964" s="32" t="s">
        <v>13577</v>
      </c>
      <c r="L964" s="32" t="s">
        <v>13578</v>
      </c>
      <c r="M964" s="32" t="s">
        <v>8370</v>
      </c>
      <c r="N964" s="32" t="s">
        <v>2596</v>
      </c>
      <c r="O964" s="32" t="s">
        <v>13579</v>
      </c>
    </row>
    <row x14ac:dyDescent="0.25" r="965" customHeight="1" ht="15.75">
      <c r="A965" s="8">
        <v>25808</v>
      </c>
      <c r="B965" s="13" t="s">
        <v>198</v>
      </c>
      <c r="C965" s="13" t="s">
        <v>6726</v>
      </c>
      <c r="D965" s="32" t="s">
        <v>6513</v>
      </c>
      <c r="E965" s="32" t="s">
        <v>13580</v>
      </c>
      <c r="F965" s="32" t="s">
        <v>6513</v>
      </c>
      <c r="G965" s="32" t="s">
        <v>13581</v>
      </c>
      <c r="H965" s="32" t="s">
        <v>5926</v>
      </c>
      <c r="I965" s="32" t="s">
        <v>13582</v>
      </c>
      <c r="J965" s="32" t="s">
        <v>6728</v>
      </c>
      <c r="K965" s="32" t="s">
        <v>13583</v>
      </c>
      <c r="L965" s="32" t="s">
        <v>6728</v>
      </c>
      <c r="M965" s="32" t="s">
        <v>13584</v>
      </c>
      <c r="N965" s="32" t="s">
        <v>6728</v>
      </c>
      <c r="O965" s="32" t="s">
        <v>13585</v>
      </c>
    </row>
    <row x14ac:dyDescent="0.25" r="966" customHeight="1" ht="15.75">
      <c r="A966" s="8">
        <v>25175</v>
      </c>
      <c r="B966" s="13" t="s">
        <v>391</v>
      </c>
      <c r="C966" s="13" t="s">
        <v>6729</v>
      </c>
      <c r="D966" s="32" t="s">
        <v>2733</v>
      </c>
      <c r="E966" s="32" t="s">
        <v>13586</v>
      </c>
      <c r="F966" s="32" t="s">
        <v>6731</v>
      </c>
      <c r="G966" s="32" t="s">
        <v>13587</v>
      </c>
      <c r="H966" s="32" t="s">
        <v>6731</v>
      </c>
      <c r="I966" s="32" t="s">
        <v>13588</v>
      </c>
      <c r="J966" s="32" t="s">
        <v>6731</v>
      </c>
      <c r="K966" s="32" t="s">
        <v>7918</v>
      </c>
      <c r="L966" s="32" t="s">
        <v>13589</v>
      </c>
      <c r="M966" s="32" t="s">
        <v>13590</v>
      </c>
      <c r="N966" s="32" t="s">
        <v>6731</v>
      </c>
      <c r="O966" s="32" t="s">
        <v>13591</v>
      </c>
    </row>
    <row x14ac:dyDescent="0.25" r="967" customHeight="1" ht="15.75">
      <c r="A967" s="8">
        <v>25188</v>
      </c>
      <c r="B967" s="13" t="s">
        <v>391</v>
      </c>
      <c r="C967" s="13" t="s">
        <v>6732</v>
      </c>
      <c r="D967" s="32" t="s">
        <v>6731</v>
      </c>
      <c r="E967" s="32" t="s">
        <v>13592</v>
      </c>
      <c r="F967" s="32" t="s">
        <v>2733</v>
      </c>
      <c r="G967" s="32" t="s">
        <v>13593</v>
      </c>
      <c r="H967" s="32" t="s">
        <v>74</v>
      </c>
      <c r="I967" s="32" t="s">
        <v>13594</v>
      </c>
      <c r="J967" s="32" t="s">
        <v>6607</v>
      </c>
      <c r="K967" s="32" t="s">
        <v>13595</v>
      </c>
      <c r="L967" s="32" t="s">
        <v>74</v>
      </c>
      <c r="M967" s="32" t="s">
        <v>13596</v>
      </c>
      <c r="N967" s="32" t="s">
        <v>74</v>
      </c>
      <c r="O967" s="32" t="s">
        <v>13597</v>
      </c>
    </row>
    <row x14ac:dyDescent="0.25" r="968" customHeight="1" ht="15.75">
      <c r="A968" s="8">
        <v>25194</v>
      </c>
      <c r="B968" s="13" t="s">
        <v>391</v>
      </c>
      <c r="C968" s="13" t="s">
        <v>6734</v>
      </c>
      <c r="D968" s="32" t="s">
        <v>6735</v>
      </c>
      <c r="E968" s="32" t="s">
        <v>10617</v>
      </c>
      <c r="F968" s="32" t="s">
        <v>4557</v>
      </c>
      <c r="G968" s="32" t="s">
        <v>7427</v>
      </c>
      <c r="H968" s="32" t="s">
        <v>13598</v>
      </c>
      <c r="I968" s="32" t="s">
        <v>11064</v>
      </c>
      <c r="J968" s="32" t="s">
        <v>6736</v>
      </c>
      <c r="K968" s="32" t="s">
        <v>7309</v>
      </c>
      <c r="L968" s="32" t="s">
        <v>13599</v>
      </c>
      <c r="M968" s="32" t="s">
        <v>13600</v>
      </c>
      <c r="N968" s="32" t="s">
        <v>12236</v>
      </c>
      <c r="O968" s="32" t="s">
        <v>12570</v>
      </c>
    </row>
    <row x14ac:dyDescent="0.25" r="969" customHeight="1" ht="15.75">
      <c r="A969" s="8">
        <v>25189</v>
      </c>
      <c r="B969" s="13" t="s">
        <v>391</v>
      </c>
      <c r="C969" s="13" t="s">
        <v>6737</v>
      </c>
      <c r="D969" s="32" t="s">
        <v>6738</v>
      </c>
      <c r="E969" s="32" t="s">
        <v>12667</v>
      </c>
      <c r="F969" s="32" t="s">
        <v>13390</v>
      </c>
      <c r="G969" s="32" t="s">
        <v>13601</v>
      </c>
      <c r="H969" s="32" t="s">
        <v>13602</v>
      </c>
      <c r="I969" s="32" t="s">
        <v>13603</v>
      </c>
      <c r="J969" s="32" t="s">
        <v>5482</v>
      </c>
      <c r="K969" s="32" t="s">
        <v>7426</v>
      </c>
      <c r="L969" s="32" t="s">
        <v>5482</v>
      </c>
      <c r="M969" s="32" t="s">
        <v>13604</v>
      </c>
      <c r="N969" s="32" t="s">
        <v>5000</v>
      </c>
      <c r="O969" s="32" t="s">
        <v>12006</v>
      </c>
    </row>
    <row x14ac:dyDescent="0.25" r="970" customHeight="1" ht="15.75">
      <c r="A970" s="8">
        <v>25200</v>
      </c>
      <c r="B970" s="13" t="s">
        <v>391</v>
      </c>
      <c r="C970" s="13" t="s">
        <v>6739</v>
      </c>
      <c r="D970" s="32" t="s">
        <v>6740</v>
      </c>
      <c r="E970" s="32" t="s">
        <v>13605</v>
      </c>
      <c r="F970" s="32" t="s">
        <v>13445</v>
      </c>
      <c r="G970" s="32" t="s">
        <v>10410</v>
      </c>
      <c r="H970" s="32" t="s">
        <v>1348</v>
      </c>
      <c r="I970" s="32" t="s">
        <v>13606</v>
      </c>
      <c r="J970" s="32" t="s">
        <v>6742</v>
      </c>
      <c r="K970" s="32" t="s">
        <v>13607</v>
      </c>
      <c r="L970" s="32" t="s">
        <v>13608</v>
      </c>
      <c r="M970" s="32" t="s">
        <v>13609</v>
      </c>
      <c r="N970" s="32" t="s">
        <v>951</v>
      </c>
      <c r="O970" s="32" t="s">
        <v>13610</v>
      </c>
    </row>
    <row x14ac:dyDescent="0.25" r="971" customHeight="1" ht="15.75">
      <c r="A971" s="8">
        <v>25161</v>
      </c>
      <c r="B971" s="13" t="s">
        <v>391</v>
      </c>
      <c r="C971" s="13" t="s">
        <v>6744</v>
      </c>
      <c r="D971" s="32" t="s">
        <v>4371</v>
      </c>
      <c r="E971" s="32" t="s">
        <v>13611</v>
      </c>
      <c r="F971" s="32" t="s">
        <v>2409</v>
      </c>
      <c r="G971" s="32" t="s">
        <v>13612</v>
      </c>
      <c r="H971" s="32" t="s">
        <v>8538</v>
      </c>
      <c r="I971" s="32" t="s">
        <v>7127</v>
      </c>
      <c r="J971" s="32" t="s">
        <v>4548</v>
      </c>
      <c r="K971" s="32" t="s">
        <v>13613</v>
      </c>
      <c r="L971" s="32" t="s">
        <v>11816</v>
      </c>
      <c r="M971" s="32" t="s">
        <v>13614</v>
      </c>
      <c r="N971" s="32" t="s">
        <v>4797</v>
      </c>
      <c r="O971" s="32" t="s">
        <v>11271</v>
      </c>
    </row>
    <row x14ac:dyDescent="0.25" r="972" customHeight="1" ht="15.75">
      <c r="A972" s="8">
        <v>25225</v>
      </c>
      <c r="B972" s="13" t="s">
        <v>391</v>
      </c>
      <c r="C972" s="13" t="s">
        <v>6745</v>
      </c>
      <c r="D972" s="32" t="s">
        <v>74</v>
      </c>
      <c r="E972" s="32" t="s">
        <v>9578</v>
      </c>
      <c r="F972" s="32" t="s">
        <v>6914</v>
      </c>
      <c r="G972" s="32" t="s">
        <v>13615</v>
      </c>
      <c r="H972" s="32" t="s">
        <v>13616</v>
      </c>
      <c r="I972" s="32" t="s">
        <v>7127</v>
      </c>
      <c r="J972" s="32" t="s">
        <v>6746</v>
      </c>
      <c r="K972" s="32" t="s">
        <v>13617</v>
      </c>
      <c r="L972" s="32" t="s">
        <v>4961</v>
      </c>
      <c r="M972" s="32" t="s">
        <v>13618</v>
      </c>
      <c r="N972" s="32" t="s">
        <v>4610</v>
      </c>
      <c r="O972" s="32" t="s">
        <v>13619</v>
      </c>
    </row>
    <row x14ac:dyDescent="0.25" r="973" customHeight="1" ht="15.75">
      <c r="A973" s="8">
        <v>25181</v>
      </c>
      <c r="B973" s="13" t="s">
        <v>391</v>
      </c>
      <c r="C973" s="13" t="s">
        <v>6747</v>
      </c>
      <c r="D973" s="32" t="s">
        <v>5806</v>
      </c>
      <c r="E973" s="32" t="s">
        <v>13620</v>
      </c>
      <c r="F973" s="32" t="s">
        <v>13621</v>
      </c>
      <c r="G973" s="32" t="s">
        <v>13622</v>
      </c>
      <c r="H973" s="32" t="s">
        <v>4880</v>
      </c>
      <c r="I973" s="32" t="s">
        <v>13623</v>
      </c>
      <c r="J973" s="32" t="s">
        <v>6748</v>
      </c>
      <c r="K973" s="32" t="s">
        <v>13624</v>
      </c>
      <c r="L973" s="32" t="s">
        <v>12101</v>
      </c>
      <c r="M973" s="32" t="s">
        <v>9391</v>
      </c>
      <c r="N973" s="32" t="s">
        <v>13180</v>
      </c>
      <c r="O973" s="32" t="s">
        <v>13625</v>
      </c>
    </row>
    <row x14ac:dyDescent="0.25" r="974" customHeight="1" ht="15.75">
      <c r="A974" s="8">
        <v>25231</v>
      </c>
      <c r="B974" s="13" t="s">
        <v>391</v>
      </c>
      <c r="C974" s="13" t="s">
        <v>6749</v>
      </c>
      <c r="D974" s="32" t="s">
        <v>6750</v>
      </c>
      <c r="E974" s="32" t="s">
        <v>13626</v>
      </c>
      <c r="F974" s="32" t="s">
        <v>6750</v>
      </c>
      <c r="G974" s="32" t="s">
        <v>13627</v>
      </c>
      <c r="H974" s="32" t="s">
        <v>13628</v>
      </c>
      <c r="I974" s="32" t="s">
        <v>13629</v>
      </c>
      <c r="J974" s="32" t="s">
        <v>6751</v>
      </c>
      <c r="K974" s="32" t="s">
        <v>9588</v>
      </c>
      <c r="L974" s="32" t="s">
        <v>13630</v>
      </c>
      <c r="M974" s="32" t="s">
        <v>13631</v>
      </c>
      <c r="N974" s="32" t="s">
        <v>13628</v>
      </c>
      <c r="O974" s="32" t="s">
        <v>13632</v>
      </c>
    </row>
    <row x14ac:dyDescent="0.25" r="975" customHeight="1" ht="15.75">
      <c r="A975" s="8">
        <v>25201</v>
      </c>
      <c r="B975" s="13" t="s">
        <v>391</v>
      </c>
      <c r="C975" s="13" t="s">
        <v>6752</v>
      </c>
      <c r="D975" s="32" t="s">
        <v>6753</v>
      </c>
      <c r="E975" s="32" t="s">
        <v>13633</v>
      </c>
      <c r="F975" s="32" t="s">
        <v>13634</v>
      </c>
      <c r="G975" s="32" t="s">
        <v>13635</v>
      </c>
      <c r="H975" s="32" t="s">
        <v>11647</v>
      </c>
      <c r="I975" s="32" t="s">
        <v>13636</v>
      </c>
      <c r="J975" s="32" t="s">
        <v>5768</v>
      </c>
      <c r="K975" s="32" t="s">
        <v>13637</v>
      </c>
      <c r="L975" s="32" t="s">
        <v>11647</v>
      </c>
      <c r="M975" s="32" t="s">
        <v>13638</v>
      </c>
      <c r="N975" s="32" t="s">
        <v>10737</v>
      </c>
      <c r="O975" s="32" t="s">
        <v>13639</v>
      </c>
    </row>
    <row x14ac:dyDescent="0.25" r="976" customHeight="1" ht="15.75">
      <c r="A976" s="8">
        <v>25202</v>
      </c>
      <c r="B976" s="13" t="s">
        <v>391</v>
      </c>
      <c r="C976" s="13" t="s">
        <v>13640</v>
      </c>
      <c r="D976" s="32" t="s">
        <v>249</v>
      </c>
      <c r="E976" s="32" t="s">
        <v>7309</v>
      </c>
      <c r="F976" s="32" t="s">
        <v>6237</v>
      </c>
      <c r="G976" s="32" t="s">
        <v>13641</v>
      </c>
      <c r="H976" s="32" t="s">
        <v>485</v>
      </c>
      <c r="I976" s="32" t="s">
        <v>13642</v>
      </c>
      <c r="J976" s="32" t="s">
        <v>2650</v>
      </c>
      <c r="K976" s="32" t="s">
        <v>13643</v>
      </c>
      <c r="L976" s="32" t="s">
        <v>5860</v>
      </c>
      <c r="M976" s="32" t="s">
        <v>13644</v>
      </c>
      <c r="N976" s="32" t="s">
        <v>13645</v>
      </c>
      <c r="O976" s="32" t="s">
        <v>13646</v>
      </c>
    </row>
    <row x14ac:dyDescent="0.25" r="977" customHeight="1" ht="15.75">
      <c r="A977" s="8">
        <v>25182</v>
      </c>
      <c r="B977" s="13" t="s">
        <v>391</v>
      </c>
      <c r="C977" s="13" t="s">
        <v>6755</v>
      </c>
      <c r="D977" s="32" t="s">
        <v>6756</v>
      </c>
      <c r="E977" s="32" t="s">
        <v>13647</v>
      </c>
      <c r="F977" s="32" t="s">
        <v>13648</v>
      </c>
      <c r="G977" s="32" t="s">
        <v>13649</v>
      </c>
      <c r="H977" s="32" t="s">
        <v>13650</v>
      </c>
      <c r="I977" s="32" t="s">
        <v>13651</v>
      </c>
      <c r="J977" s="32" t="s">
        <v>6757</v>
      </c>
      <c r="K977" s="32" t="s">
        <v>13652</v>
      </c>
      <c r="L977" s="32" t="s">
        <v>10418</v>
      </c>
      <c r="M977" s="32" t="s">
        <v>13653</v>
      </c>
      <c r="N977" s="32" t="s">
        <v>13654</v>
      </c>
      <c r="O977" s="32" t="s">
        <v>13655</v>
      </c>
    </row>
    <row x14ac:dyDescent="0.25" r="978" customHeight="1" ht="15.75">
      <c r="A978" s="8">
        <v>25170</v>
      </c>
      <c r="B978" s="13" t="s">
        <v>391</v>
      </c>
      <c r="C978" s="13" t="s">
        <v>6758</v>
      </c>
      <c r="D978" s="32" t="s">
        <v>74</v>
      </c>
      <c r="E978" s="32" t="s">
        <v>8121</v>
      </c>
      <c r="F978" s="32" t="s">
        <v>6505</v>
      </c>
      <c r="G978" s="32" t="s">
        <v>13656</v>
      </c>
      <c r="H978" s="32" t="s">
        <v>12728</v>
      </c>
      <c r="I978" s="32" t="s">
        <v>13657</v>
      </c>
      <c r="J978" s="32" t="s">
        <v>1419</v>
      </c>
      <c r="K978" s="32" t="s">
        <v>13658</v>
      </c>
      <c r="L978" s="32" t="s">
        <v>1419</v>
      </c>
      <c r="M978" s="32" t="s">
        <v>13659</v>
      </c>
      <c r="N978" s="32" t="s">
        <v>6505</v>
      </c>
      <c r="O978" s="32" t="s">
        <v>13660</v>
      </c>
    </row>
    <row x14ac:dyDescent="0.25" r="979" customHeight="1" ht="15.75">
      <c r="A979" s="8">
        <v>25190</v>
      </c>
      <c r="B979" s="13" t="s">
        <v>391</v>
      </c>
      <c r="C979" s="13" t="s">
        <v>6760</v>
      </c>
      <c r="D979" s="32" t="s">
        <v>5799</v>
      </c>
      <c r="E979" s="32" t="s">
        <v>8602</v>
      </c>
      <c r="F979" s="32" t="s">
        <v>5799</v>
      </c>
      <c r="G979" s="32" t="s">
        <v>13661</v>
      </c>
      <c r="H979" s="32" t="s">
        <v>74</v>
      </c>
      <c r="I979" s="32" t="s">
        <v>13662</v>
      </c>
      <c r="J979" s="32" t="s">
        <v>74</v>
      </c>
      <c r="K979" s="32" t="s">
        <v>13663</v>
      </c>
      <c r="L979" s="32" t="s">
        <v>74</v>
      </c>
      <c r="M979" s="32" t="s">
        <v>13487</v>
      </c>
      <c r="N979" s="32" t="s">
        <v>74</v>
      </c>
      <c r="O979" s="32" t="s">
        <v>13664</v>
      </c>
    </row>
    <row x14ac:dyDescent="0.25" r="980" customHeight="1" ht="15.75">
      <c r="A980" s="8">
        <v>25203</v>
      </c>
      <c r="B980" s="13" t="s">
        <v>391</v>
      </c>
      <c r="C980" s="13" t="s">
        <v>6762</v>
      </c>
      <c r="D980" s="32" t="s">
        <v>5695</v>
      </c>
      <c r="E980" s="32" t="s">
        <v>13665</v>
      </c>
      <c r="F980" s="32" t="s">
        <v>13666</v>
      </c>
      <c r="G980" s="32" t="s">
        <v>8243</v>
      </c>
      <c r="H980" s="32" t="s">
        <v>34</v>
      </c>
      <c r="I980" s="32" t="s">
        <v>11363</v>
      </c>
      <c r="J980" s="32" t="s">
        <v>6764</v>
      </c>
      <c r="K980" s="32" t="s">
        <v>13667</v>
      </c>
      <c r="L980" s="32" t="s">
        <v>13668</v>
      </c>
      <c r="M980" s="32" t="s">
        <v>13669</v>
      </c>
      <c r="N980" s="32" t="s">
        <v>9115</v>
      </c>
      <c r="O980" s="32" t="s">
        <v>13670</v>
      </c>
    </row>
    <row x14ac:dyDescent="0.25" r="981" customHeight="1" ht="15.75">
      <c r="A981" s="8">
        <v>25171</v>
      </c>
      <c r="B981" s="13" t="s">
        <v>391</v>
      </c>
      <c r="C981" s="13" t="s">
        <v>6765</v>
      </c>
      <c r="D981" s="32" t="s">
        <v>5148</v>
      </c>
      <c r="E981" s="32" t="s">
        <v>13671</v>
      </c>
      <c r="F981" s="32" t="s">
        <v>29</v>
      </c>
      <c r="G981" s="32" t="s">
        <v>7127</v>
      </c>
      <c r="H981" s="32" t="s">
        <v>2660</v>
      </c>
      <c r="I981" s="32" t="s">
        <v>13672</v>
      </c>
      <c r="J981" s="32" t="s">
        <v>5822</v>
      </c>
      <c r="K981" s="32" t="s">
        <v>13476</v>
      </c>
      <c r="L981" s="32" t="s">
        <v>4512</v>
      </c>
      <c r="M981" s="32" t="s">
        <v>9730</v>
      </c>
      <c r="N981" s="32" t="s">
        <v>4368</v>
      </c>
      <c r="O981" s="32" t="s">
        <v>7414</v>
      </c>
    </row>
    <row x14ac:dyDescent="0.25" r="982" customHeight="1" ht="15.75">
      <c r="A982" s="8">
        <v>25204</v>
      </c>
      <c r="B982" s="13" t="s">
        <v>391</v>
      </c>
      <c r="C982" s="13" t="s">
        <v>6766</v>
      </c>
      <c r="D982" s="32" t="s">
        <v>6767</v>
      </c>
      <c r="E982" s="32" t="s">
        <v>8602</v>
      </c>
      <c r="F982" s="32" t="s">
        <v>9599</v>
      </c>
      <c r="G982" s="32" t="s">
        <v>13673</v>
      </c>
      <c r="H982" s="32" t="s">
        <v>4751</v>
      </c>
      <c r="I982" s="32" t="s">
        <v>13206</v>
      </c>
      <c r="J982" s="32" t="s">
        <v>6769</v>
      </c>
      <c r="K982" s="32" t="s">
        <v>13674</v>
      </c>
      <c r="L982" s="32" t="s">
        <v>6769</v>
      </c>
      <c r="M982" s="32" t="s">
        <v>13675</v>
      </c>
      <c r="N982" s="32" t="s">
        <v>9814</v>
      </c>
      <c r="O982" s="32" t="s">
        <v>13676</v>
      </c>
    </row>
    <row x14ac:dyDescent="0.25" r="983" customHeight="1" ht="15.75">
      <c r="A983" s="8">
        <v>25205</v>
      </c>
      <c r="B983" s="13" t="s">
        <v>391</v>
      </c>
      <c r="C983" s="13" t="s">
        <v>6771</v>
      </c>
      <c r="D983" s="32" t="s">
        <v>6772</v>
      </c>
      <c r="E983" s="32" t="s">
        <v>13677</v>
      </c>
      <c r="F983" s="32" t="s">
        <v>13678</v>
      </c>
      <c r="G983" s="32" t="s">
        <v>13679</v>
      </c>
      <c r="H983" s="32" t="s">
        <v>13680</v>
      </c>
      <c r="I983" s="32" t="s">
        <v>13681</v>
      </c>
      <c r="J983" s="32" t="s">
        <v>5968</v>
      </c>
      <c r="K983" s="32" t="s">
        <v>13682</v>
      </c>
      <c r="L983" s="32" t="s">
        <v>5100</v>
      </c>
      <c r="M983" s="32" t="s">
        <v>13683</v>
      </c>
      <c r="N983" s="32" t="s">
        <v>7991</v>
      </c>
      <c r="O983" s="32" t="s">
        <v>13684</v>
      </c>
    </row>
    <row x14ac:dyDescent="0.25" r="984" customHeight="1" ht="15.75">
      <c r="A984" s="8">
        <v>25156</v>
      </c>
      <c r="B984" s="13" t="s">
        <v>391</v>
      </c>
      <c r="C984" s="13" t="s">
        <v>6774</v>
      </c>
      <c r="D984" s="32" t="s">
        <v>6775</v>
      </c>
      <c r="E984" s="32" t="s">
        <v>13685</v>
      </c>
      <c r="F984" s="32" t="s">
        <v>5275</v>
      </c>
      <c r="G984" s="32" t="s">
        <v>13686</v>
      </c>
      <c r="H984" s="32" t="s">
        <v>2264</v>
      </c>
      <c r="I984" s="32" t="s">
        <v>13687</v>
      </c>
      <c r="J984" s="32" t="s">
        <v>4949</v>
      </c>
      <c r="K984" s="32" t="s">
        <v>13688</v>
      </c>
      <c r="L984" s="32" t="s">
        <v>4949</v>
      </c>
      <c r="M984" s="32" t="s">
        <v>13689</v>
      </c>
      <c r="N984" s="32" t="s">
        <v>9124</v>
      </c>
      <c r="O984" s="32" t="s">
        <v>9038</v>
      </c>
    </row>
    <row x14ac:dyDescent="0.25" r="985" customHeight="1" ht="15.75">
      <c r="A985" s="8">
        <v>25206</v>
      </c>
      <c r="B985" s="13" t="s">
        <v>391</v>
      </c>
      <c r="C985" s="13" t="s">
        <v>6777</v>
      </c>
      <c r="D985" s="32" t="s">
        <v>6778</v>
      </c>
      <c r="E985" s="32" t="s">
        <v>13690</v>
      </c>
      <c r="F985" s="32" t="s">
        <v>10489</v>
      </c>
      <c r="G985" s="32" t="s">
        <v>13691</v>
      </c>
      <c r="H985" s="32" t="s">
        <v>13238</v>
      </c>
      <c r="I985" s="32" t="s">
        <v>13692</v>
      </c>
      <c r="J985" s="32" t="s">
        <v>4277</v>
      </c>
      <c r="K985" s="32" t="s">
        <v>13693</v>
      </c>
      <c r="L985" s="32" t="s">
        <v>6128</v>
      </c>
      <c r="M985" s="32" t="s">
        <v>13694</v>
      </c>
      <c r="N985" s="32" t="s">
        <v>7099</v>
      </c>
      <c r="O985" s="32" t="s">
        <v>13695</v>
      </c>
    </row>
    <row x14ac:dyDescent="0.25" r="986" customHeight="1" ht="15.75">
      <c r="A986" s="8">
        <v>25207</v>
      </c>
      <c r="B986" s="13" t="s">
        <v>391</v>
      </c>
      <c r="C986" s="13" t="s">
        <v>6780</v>
      </c>
      <c r="D986" s="32" t="s">
        <v>6781</v>
      </c>
      <c r="E986" s="32" t="s">
        <v>13696</v>
      </c>
      <c r="F986" s="32" t="s">
        <v>6386</v>
      </c>
      <c r="G986" s="32" t="s">
        <v>13697</v>
      </c>
      <c r="H986" s="32" t="s">
        <v>8624</v>
      </c>
      <c r="I986" s="32" t="s">
        <v>12341</v>
      </c>
      <c r="J986" s="32" t="s">
        <v>5891</v>
      </c>
      <c r="K986" s="32" t="s">
        <v>13698</v>
      </c>
      <c r="L986" s="32" t="s">
        <v>13699</v>
      </c>
      <c r="M986" s="32" t="s">
        <v>7262</v>
      </c>
      <c r="N986" s="32" t="s">
        <v>830</v>
      </c>
      <c r="O986" s="32" t="s">
        <v>13700</v>
      </c>
    </row>
    <row x14ac:dyDescent="0.25" r="987" customHeight="1" ht="15.75">
      <c r="A987" s="8">
        <v>25208</v>
      </c>
      <c r="B987" s="13" t="s">
        <v>391</v>
      </c>
      <c r="C987" s="13" t="s">
        <v>6782</v>
      </c>
      <c r="D987" s="32" t="s">
        <v>6783</v>
      </c>
      <c r="E987" s="32" t="s">
        <v>13701</v>
      </c>
      <c r="F987" s="32" t="s">
        <v>13702</v>
      </c>
      <c r="G987" s="32" t="s">
        <v>13703</v>
      </c>
      <c r="H987" s="32" t="s">
        <v>4169</v>
      </c>
      <c r="I987" s="32" t="s">
        <v>9096</v>
      </c>
      <c r="J987" s="32" t="s">
        <v>6785</v>
      </c>
      <c r="K987" s="32" t="s">
        <v>13704</v>
      </c>
      <c r="L987" s="32" t="s">
        <v>13705</v>
      </c>
      <c r="M987" s="32" t="s">
        <v>13706</v>
      </c>
      <c r="N987" s="32" t="s">
        <v>13707</v>
      </c>
      <c r="O987" s="32" t="s">
        <v>13708</v>
      </c>
    </row>
    <row x14ac:dyDescent="0.25" r="988" customHeight="1" ht="15.75">
      <c r="A988" s="8">
        <v>25209</v>
      </c>
      <c r="B988" s="13" t="s">
        <v>391</v>
      </c>
      <c r="C988" s="13" t="s">
        <v>6786</v>
      </c>
      <c r="D988" s="32" t="s">
        <v>5341</v>
      </c>
      <c r="E988" s="32" t="s">
        <v>11328</v>
      </c>
      <c r="F988" s="32" t="s">
        <v>7896</v>
      </c>
      <c r="G988" s="32" t="s">
        <v>8602</v>
      </c>
      <c r="H988" s="32" t="s">
        <v>13709</v>
      </c>
      <c r="I988" s="32" t="s">
        <v>10491</v>
      </c>
      <c r="J988" s="32" t="s">
        <v>6787</v>
      </c>
      <c r="K988" s="32" t="s">
        <v>13710</v>
      </c>
      <c r="L988" s="32" t="s">
        <v>13711</v>
      </c>
      <c r="M988" s="32" t="s">
        <v>13712</v>
      </c>
      <c r="N988" s="32" t="s">
        <v>13713</v>
      </c>
      <c r="O988" s="32" t="s">
        <v>13468</v>
      </c>
    </row>
    <row x14ac:dyDescent="0.25" r="989" customHeight="1" ht="15.75">
      <c r="A989" s="8">
        <v>25210</v>
      </c>
      <c r="B989" s="13" t="s">
        <v>391</v>
      </c>
      <c r="C989" s="13" t="s">
        <v>6789</v>
      </c>
      <c r="D989" s="32" t="s">
        <v>4919</v>
      </c>
      <c r="E989" s="32" t="s">
        <v>11959</v>
      </c>
      <c r="F989" s="32" t="s">
        <v>8071</v>
      </c>
      <c r="G989" s="32" t="s">
        <v>13714</v>
      </c>
      <c r="H989" s="32" t="s">
        <v>4094</v>
      </c>
      <c r="I989" s="32" t="s">
        <v>13715</v>
      </c>
      <c r="J989" s="32" t="s">
        <v>1562</v>
      </c>
      <c r="K989" s="32" t="s">
        <v>10298</v>
      </c>
      <c r="L989" s="32" t="s">
        <v>1348</v>
      </c>
      <c r="M989" s="32" t="s">
        <v>13716</v>
      </c>
      <c r="N989" s="32" t="s">
        <v>4568</v>
      </c>
      <c r="O989" s="32" t="s">
        <v>13717</v>
      </c>
    </row>
    <row x14ac:dyDescent="0.25" r="990" customHeight="1" ht="15.75">
      <c r="A990" s="8">
        <v>25198</v>
      </c>
      <c r="B990" s="13" t="s">
        <v>391</v>
      </c>
      <c r="C990" s="13" t="s">
        <v>6790</v>
      </c>
      <c r="D990" s="32" t="s">
        <v>6791</v>
      </c>
      <c r="E990" s="32" t="s">
        <v>13718</v>
      </c>
      <c r="F990" s="32" t="s">
        <v>29</v>
      </c>
      <c r="G990" s="32" t="s">
        <v>7127</v>
      </c>
      <c r="H990" s="32" t="s">
        <v>9304</v>
      </c>
      <c r="I990" s="32" t="s">
        <v>7975</v>
      </c>
      <c r="J990" s="32" t="s">
        <v>6237</v>
      </c>
      <c r="K990" s="32" t="s">
        <v>12965</v>
      </c>
      <c r="L990" s="32" t="s">
        <v>350</v>
      </c>
      <c r="M990" s="32" t="s">
        <v>13719</v>
      </c>
      <c r="N990" s="32" t="s">
        <v>13720</v>
      </c>
      <c r="O990" s="32" t="s">
        <v>13721</v>
      </c>
    </row>
    <row x14ac:dyDescent="0.25" r="991" customHeight="1" ht="15.75">
      <c r="A991" s="8">
        <v>25176</v>
      </c>
      <c r="B991" s="13" t="s">
        <v>391</v>
      </c>
      <c r="C991" s="13" t="s">
        <v>6793</v>
      </c>
      <c r="D991" s="32" t="s">
        <v>4069</v>
      </c>
      <c r="E991" s="32" t="s">
        <v>13722</v>
      </c>
      <c r="F991" s="32" t="s">
        <v>11372</v>
      </c>
      <c r="G991" s="32" t="s">
        <v>7127</v>
      </c>
      <c r="H991" s="32" t="s">
        <v>12176</v>
      </c>
      <c r="I991" s="32" t="s">
        <v>7918</v>
      </c>
      <c r="J991" s="32" t="s">
        <v>122</v>
      </c>
      <c r="K991" s="32" t="s">
        <v>11064</v>
      </c>
      <c r="L991" s="32" t="s">
        <v>9823</v>
      </c>
      <c r="M991" s="32" t="s">
        <v>13723</v>
      </c>
      <c r="N991" s="32" t="s">
        <v>6962</v>
      </c>
      <c r="O991" s="32" t="s">
        <v>13724</v>
      </c>
    </row>
    <row x14ac:dyDescent="0.25" r="992" customHeight="1" ht="15.75">
      <c r="A992" s="8">
        <v>25183</v>
      </c>
      <c r="B992" s="13" t="s">
        <v>391</v>
      </c>
      <c r="C992" s="13" t="s">
        <v>6795</v>
      </c>
      <c r="D992" s="32" t="s">
        <v>6796</v>
      </c>
      <c r="E992" s="32" t="s">
        <v>13725</v>
      </c>
      <c r="F992" s="32" t="s">
        <v>2668</v>
      </c>
      <c r="G992" s="32" t="s">
        <v>12664</v>
      </c>
      <c r="H992" s="32" t="s">
        <v>4919</v>
      </c>
      <c r="I992" s="32" t="s">
        <v>13339</v>
      </c>
      <c r="J992" s="32" t="s">
        <v>4086</v>
      </c>
      <c r="K992" s="32" t="s">
        <v>7618</v>
      </c>
      <c r="L992" s="32" t="s">
        <v>8369</v>
      </c>
      <c r="M992" s="32" t="s">
        <v>13726</v>
      </c>
      <c r="N992" s="32" t="s">
        <v>2448</v>
      </c>
      <c r="O992" s="32" t="s">
        <v>9498</v>
      </c>
    </row>
    <row x14ac:dyDescent="0.25" r="993" customHeight="1" ht="15.75">
      <c r="A993" s="8">
        <v>25177</v>
      </c>
      <c r="B993" s="13" t="s">
        <v>391</v>
      </c>
      <c r="C993" s="13" t="s">
        <v>13727</v>
      </c>
      <c r="D993" s="32" t="s">
        <v>29</v>
      </c>
      <c r="E993" s="32" t="s">
        <v>7127</v>
      </c>
      <c r="F993" s="32" t="s">
        <v>350</v>
      </c>
      <c r="G993" s="32" t="s">
        <v>7605</v>
      </c>
      <c r="H993" s="32" t="s">
        <v>1419</v>
      </c>
      <c r="I993" s="32" t="s">
        <v>9497</v>
      </c>
      <c r="J993" s="32" t="s">
        <v>1419</v>
      </c>
      <c r="K993" s="32" t="s">
        <v>7381</v>
      </c>
      <c r="L993" s="32" t="s">
        <v>1419</v>
      </c>
      <c r="M993" s="32" t="s">
        <v>13728</v>
      </c>
      <c r="N993" s="32" t="s">
        <v>1419</v>
      </c>
      <c r="O993" s="32" t="s">
        <v>13658</v>
      </c>
    </row>
    <row x14ac:dyDescent="0.25" r="994" customHeight="1" ht="15.75">
      <c r="A994" s="8">
        <v>25226</v>
      </c>
      <c r="B994" s="13" t="s">
        <v>391</v>
      </c>
      <c r="C994" s="13" t="s">
        <v>6797</v>
      </c>
      <c r="D994" s="32" t="s">
        <v>74</v>
      </c>
      <c r="E994" s="32" t="s">
        <v>13729</v>
      </c>
      <c r="F994" s="32" t="s">
        <v>5282</v>
      </c>
      <c r="G994" s="32" t="s">
        <v>13730</v>
      </c>
      <c r="H994" s="32" t="s">
        <v>6310</v>
      </c>
      <c r="I994" s="32" t="s">
        <v>13716</v>
      </c>
      <c r="J994" s="32" t="s">
        <v>6798</v>
      </c>
      <c r="K994" s="32" t="s">
        <v>13731</v>
      </c>
      <c r="L994" s="32" t="s">
        <v>2689</v>
      </c>
      <c r="M994" s="32" t="s">
        <v>7477</v>
      </c>
      <c r="N994" s="32" t="s">
        <v>6310</v>
      </c>
      <c r="O994" s="32" t="s">
        <v>13732</v>
      </c>
    </row>
    <row x14ac:dyDescent="0.25" r="995" customHeight="1" ht="15.75">
      <c r="A995" s="8">
        <v>25172</v>
      </c>
      <c r="B995" s="13" t="s">
        <v>391</v>
      </c>
      <c r="C995" s="13" t="s">
        <v>6800</v>
      </c>
      <c r="D995" s="32" t="s">
        <v>4536</v>
      </c>
      <c r="E995" s="32" t="s">
        <v>13733</v>
      </c>
      <c r="F995" s="32" t="s">
        <v>4094</v>
      </c>
      <c r="G995" s="32" t="s">
        <v>11070</v>
      </c>
      <c r="H995" s="32" t="s">
        <v>5423</v>
      </c>
      <c r="I995" s="32" t="s">
        <v>13734</v>
      </c>
      <c r="J995" s="32" t="s">
        <v>1348</v>
      </c>
      <c r="K995" s="32" t="s">
        <v>13735</v>
      </c>
      <c r="L995" s="32" t="s">
        <v>1562</v>
      </c>
      <c r="M995" s="32" t="s">
        <v>13736</v>
      </c>
      <c r="N995" s="32" t="s">
        <v>1562</v>
      </c>
      <c r="O995" s="32" t="s">
        <v>13737</v>
      </c>
    </row>
    <row x14ac:dyDescent="0.25" r="996" customHeight="1" ht="15.75">
      <c r="A996" s="8">
        <v>25233</v>
      </c>
      <c r="B996" s="13" t="s">
        <v>391</v>
      </c>
      <c r="C996" s="13" t="s">
        <v>6801</v>
      </c>
      <c r="D996" s="32" t="s">
        <v>74</v>
      </c>
      <c r="E996" s="32" t="s">
        <v>8502</v>
      </c>
      <c r="F996" s="32" t="s">
        <v>1952</v>
      </c>
      <c r="G996" s="32" t="s">
        <v>8602</v>
      </c>
      <c r="H996" s="32" t="s">
        <v>4282</v>
      </c>
      <c r="I996" s="32" t="s">
        <v>13738</v>
      </c>
      <c r="J996" s="32" t="s">
        <v>122</v>
      </c>
      <c r="K996" s="32" t="s">
        <v>11656</v>
      </c>
      <c r="L996" s="32" t="s">
        <v>4282</v>
      </c>
      <c r="M996" s="32" t="s">
        <v>13739</v>
      </c>
      <c r="N996" s="32" t="s">
        <v>4282</v>
      </c>
      <c r="O996" s="32" t="s">
        <v>7762</v>
      </c>
    </row>
    <row x14ac:dyDescent="0.25" r="997" customHeight="1" ht="15.75">
      <c r="A997" s="8">
        <v>25227</v>
      </c>
      <c r="B997" s="13" t="s">
        <v>391</v>
      </c>
      <c r="C997" s="13" t="s">
        <v>6804</v>
      </c>
      <c r="D997" s="32" t="s">
        <v>4588</v>
      </c>
      <c r="E997" s="32" t="s">
        <v>7477</v>
      </c>
      <c r="F997" s="32" t="s">
        <v>4502</v>
      </c>
      <c r="G997" s="32" t="s">
        <v>7864</v>
      </c>
      <c r="H997" s="32" t="s">
        <v>5497</v>
      </c>
      <c r="I997" s="32" t="s">
        <v>13740</v>
      </c>
      <c r="J997" s="32" t="s">
        <v>74</v>
      </c>
      <c r="K997" s="32" t="s">
        <v>9252</v>
      </c>
      <c r="L997" s="32" t="s">
        <v>4588</v>
      </c>
      <c r="M997" s="32" t="s">
        <v>13741</v>
      </c>
      <c r="N997" s="32" t="s">
        <v>4588</v>
      </c>
      <c r="O997" s="32" t="s">
        <v>12664</v>
      </c>
    </row>
    <row x14ac:dyDescent="0.25" r="998" customHeight="1" ht="15.75">
      <c r="A998" s="8">
        <v>25199</v>
      </c>
      <c r="B998" s="13" t="s">
        <v>391</v>
      </c>
      <c r="C998" s="13" t="s">
        <v>6805</v>
      </c>
      <c r="D998" s="32" t="s">
        <v>6806</v>
      </c>
      <c r="E998" s="32" t="s">
        <v>13742</v>
      </c>
      <c r="F998" s="32" t="s">
        <v>13743</v>
      </c>
      <c r="G998" s="32" t="s">
        <v>13744</v>
      </c>
      <c r="H998" s="32" t="s">
        <v>5339</v>
      </c>
      <c r="I998" s="32" t="s">
        <v>7918</v>
      </c>
      <c r="J998" s="32" t="s">
        <v>6806</v>
      </c>
      <c r="K998" s="32" t="s">
        <v>13745</v>
      </c>
      <c r="L998" s="32" t="s">
        <v>13013</v>
      </c>
      <c r="M998" s="32" t="s">
        <v>13746</v>
      </c>
      <c r="N998" s="32" t="s">
        <v>13747</v>
      </c>
      <c r="O998" s="32" t="s">
        <v>13748</v>
      </c>
    </row>
    <row x14ac:dyDescent="0.25" r="999" customHeight="1" ht="15.75">
      <c r="A999" s="8">
        <v>25211</v>
      </c>
      <c r="B999" s="13" t="s">
        <v>391</v>
      </c>
      <c r="C999" s="13" t="s">
        <v>6808</v>
      </c>
      <c r="D999" s="32" t="s">
        <v>4590</v>
      </c>
      <c r="E999" s="32" t="s">
        <v>13749</v>
      </c>
      <c r="F999" s="32" t="s">
        <v>29</v>
      </c>
      <c r="G999" s="32" t="s">
        <v>7127</v>
      </c>
      <c r="H999" s="32" t="s">
        <v>7947</v>
      </c>
      <c r="I999" s="32" t="s">
        <v>8682</v>
      </c>
      <c r="J999" s="32" t="s">
        <v>2496</v>
      </c>
      <c r="K999" s="32" t="s">
        <v>13750</v>
      </c>
      <c r="L999" s="32" t="s">
        <v>2308</v>
      </c>
      <c r="M999" s="32" t="s">
        <v>13737</v>
      </c>
      <c r="N999" s="32" t="s">
        <v>9520</v>
      </c>
      <c r="O999" s="32" t="s">
        <v>13751</v>
      </c>
    </row>
    <row x14ac:dyDescent="0.25" r="1000" customHeight="1" ht="15.75">
      <c r="A1000" s="8">
        <v>25212</v>
      </c>
      <c r="B1000" s="13" t="s">
        <v>391</v>
      </c>
      <c r="C1000" s="13" t="s">
        <v>6810</v>
      </c>
      <c r="D1000" s="32" t="s">
        <v>6811</v>
      </c>
      <c r="E1000" s="32" t="s">
        <v>13752</v>
      </c>
      <c r="F1000" s="32" t="s">
        <v>4416</v>
      </c>
      <c r="G1000" s="32" t="s">
        <v>13753</v>
      </c>
      <c r="H1000" s="32" t="s">
        <v>13754</v>
      </c>
      <c r="I1000" s="32" t="s">
        <v>13755</v>
      </c>
      <c r="J1000" s="32" t="s">
        <v>6812</v>
      </c>
      <c r="K1000" s="32" t="s">
        <v>13756</v>
      </c>
      <c r="L1000" s="32" t="s">
        <v>13757</v>
      </c>
      <c r="M1000" s="32" t="s">
        <v>13758</v>
      </c>
      <c r="N1000" s="32" t="s">
        <v>953</v>
      </c>
      <c r="O1000" s="32" t="s">
        <v>7424</v>
      </c>
    </row>
    <row x14ac:dyDescent="0.25" r="1001" customHeight="1" ht="15.75">
      <c r="A1001" s="8">
        <v>25157</v>
      </c>
      <c r="B1001" s="13" t="s">
        <v>391</v>
      </c>
      <c r="C1001" s="13" t="s">
        <v>6813</v>
      </c>
      <c r="D1001" s="32" t="s">
        <v>74</v>
      </c>
      <c r="E1001" s="32" t="s">
        <v>13759</v>
      </c>
      <c r="F1001" s="32" t="s">
        <v>29</v>
      </c>
      <c r="G1001" s="32" t="s">
        <v>7127</v>
      </c>
      <c r="H1001" s="32" t="s">
        <v>74</v>
      </c>
      <c r="I1001" s="32" t="s">
        <v>11991</v>
      </c>
      <c r="J1001" s="32" t="s">
        <v>6815</v>
      </c>
      <c r="K1001" s="32" t="s">
        <v>7158</v>
      </c>
      <c r="L1001" s="32" t="s">
        <v>13760</v>
      </c>
      <c r="M1001" s="32" t="s">
        <v>7122</v>
      </c>
      <c r="N1001" s="32" t="s">
        <v>74</v>
      </c>
      <c r="O1001" s="32" t="s">
        <v>11197</v>
      </c>
    </row>
    <row x14ac:dyDescent="0.25" r="1002" customHeight="1" ht="15.75">
      <c r="A1002" s="8">
        <v>25235</v>
      </c>
      <c r="B1002" s="13" t="s">
        <v>391</v>
      </c>
      <c r="C1002" s="13" t="s">
        <v>6816</v>
      </c>
      <c r="D1002" s="32" t="s">
        <v>6817</v>
      </c>
      <c r="E1002" s="32" t="s">
        <v>13761</v>
      </c>
      <c r="F1002" s="32" t="s">
        <v>6261</v>
      </c>
      <c r="G1002" s="32" t="s">
        <v>13762</v>
      </c>
      <c r="H1002" s="32" t="s">
        <v>5461</v>
      </c>
      <c r="I1002" s="32" t="s">
        <v>9080</v>
      </c>
      <c r="J1002" s="32" t="s">
        <v>6819</v>
      </c>
      <c r="K1002" s="32" t="s">
        <v>13763</v>
      </c>
      <c r="L1002" s="32" t="s">
        <v>6261</v>
      </c>
      <c r="M1002" s="32" t="s">
        <v>13764</v>
      </c>
      <c r="N1002" s="32" t="s">
        <v>6819</v>
      </c>
      <c r="O1002" s="32" t="s">
        <v>12394</v>
      </c>
    </row>
    <row x14ac:dyDescent="0.25" r="1003" customHeight="1" ht="15.75">
      <c r="A1003" s="8">
        <v>25195</v>
      </c>
      <c r="B1003" s="13" t="s">
        <v>391</v>
      </c>
      <c r="C1003" s="13" t="s">
        <v>6821</v>
      </c>
      <c r="D1003" s="32" t="s">
        <v>6822</v>
      </c>
      <c r="E1003" s="32" t="s">
        <v>11315</v>
      </c>
      <c r="F1003" s="32" t="s">
        <v>2663</v>
      </c>
      <c r="G1003" s="32" t="s">
        <v>13765</v>
      </c>
      <c r="H1003" s="32" t="s">
        <v>5067</v>
      </c>
      <c r="I1003" s="32" t="s">
        <v>7866</v>
      </c>
      <c r="J1003" s="32" t="s">
        <v>5275</v>
      </c>
      <c r="K1003" s="32" t="s">
        <v>7375</v>
      </c>
      <c r="L1003" s="32" t="s">
        <v>6284</v>
      </c>
      <c r="M1003" s="32" t="s">
        <v>13766</v>
      </c>
      <c r="N1003" s="32" t="s">
        <v>10932</v>
      </c>
      <c r="O1003" s="32" t="s">
        <v>13767</v>
      </c>
    </row>
    <row x14ac:dyDescent="0.25" r="1004" customHeight="1" ht="15.75">
      <c r="A1004" s="8">
        <v>25162</v>
      </c>
      <c r="B1004" s="13" t="s">
        <v>391</v>
      </c>
      <c r="C1004" s="13" t="s">
        <v>6823</v>
      </c>
      <c r="D1004" s="32" t="s">
        <v>6824</v>
      </c>
      <c r="E1004" s="32" t="s">
        <v>11877</v>
      </c>
      <c r="F1004" s="32" t="s">
        <v>13768</v>
      </c>
      <c r="G1004" s="32" t="s">
        <v>11088</v>
      </c>
      <c r="H1004" s="32" t="s">
        <v>13769</v>
      </c>
      <c r="I1004" s="32" t="s">
        <v>13770</v>
      </c>
      <c r="J1004" s="32" t="s">
        <v>6825</v>
      </c>
      <c r="K1004" s="32" t="s">
        <v>13771</v>
      </c>
      <c r="L1004" s="32" t="s">
        <v>13772</v>
      </c>
      <c r="M1004" s="32" t="s">
        <v>13773</v>
      </c>
      <c r="N1004" s="32" t="s">
        <v>13774</v>
      </c>
      <c r="O1004" s="32" t="s">
        <v>13775</v>
      </c>
    </row>
    <row x14ac:dyDescent="0.25" r="1005" customHeight="1" ht="15.75">
      <c r="A1005" s="8">
        <v>25163</v>
      </c>
      <c r="B1005" s="13" t="s">
        <v>391</v>
      </c>
      <c r="C1005" s="13" t="s">
        <v>4480</v>
      </c>
      <c r="D1005" s="32" t="s">
        <v>13776</v>
      </c>
      <c r="E1005" s="32" t="s">
        <v>13777</v>
      </c>
      <c r="F1005" s="32" t="s">
        <v>7106</v>
      </c>
      <c r="G1005" s="32" t="s">
        <v>13778</v>
      </c>
      <c r="H1005" s="32" t="s">
        <v>12648</v>
      </c>
      <c r="I1005" s="32" t="s">
        <v>13779</v>
      </c>
      <c r="J1005" s="32" t="s">
        <v>13013</v>
      </c>
      <c r="K1005" s="32" t="s">
        <v>13780</v>
      </c>
      <c r="L1005" s="32" t="s">
        <v>5103</v>
      </c>
      <c r="M1005" s="32" t="s">
        <v>13781</v>
      </c>
      <c r="N1005" s="32" t="s">
        <v>13782</v>
      </c>
      <c r="O1005" s="32" t="s">
        <v>13783</v>
      </c>
    </row>
    <row x14ac:dyDescent="0.25" r="1006" customHeight="1" ht="15.75">
      <c r="A1006" s="8">
        <v>25173</v>
      </c>
      <c r="B1006" s="13" t="s">
        <v>391</v>
      </c>
      <c r="C1006" s="13" t="s">
        <v>4480</v>
      </c>
      <c r="D1006" s="32" t="s">
        <v>13784</v>
      </c>
      <c r="E1006" s="32" t="s">
        <v>13785</v>
      </c>
      <c r="F1006" s="32" t="s">
        <v>4396</v>
      </c>
      <c r="G1006" s="32" t="s">
        <v>9731</v>
      </c>
      <c r="H1006" s="32" t="s">
        <v>7742</v>
      </c>
      <c r="I1006" s="32" t="s">
        <v>9421</v>
      </c>
      <c r="J1006" s="32" t="s">
        <v>11118</v>
      </c>
      <c r="K1006" s="32" t="s">
        <v>13786</v>
      </c>
      <c r="L1006" s="32" t="s">
        <v>13538</v>
      </c>
      <c r="M1006" s="32" t="s">
        <v>13787</v>
      </c>
      <c r="N1006" s="32" t="s">
        <v>13788</v>
      </c>
      <c r="O1006" s="32" t="s">
        <v>13789</v>
      </c>
    </row>
    <row x14ac:dyDescent="0.25" r="1007" customHeight="1" ht="15.75">
      <c r="A1007" s="8">
        <v>25213</v>
      </c>
      <c r="B1007" s="13" t="s">
        <v>391</v>
      </c>
      <c r="C1007" s="13" t="s">
        <v>6826</v>
      </c>
      <c r="D1007" s="32" t="s">
        <v>4825</v>
      </c>
      <c r="E1007" s="32" t="s">
        <v>12140</v>
      </c>
      <c r="F1007" s="32" t="s">
        <v>2611</v>
      </c>
      <c r="G1007" s="32" t="s">
        <v>13740</v>
      </c>
      <c r="H1007" s="32" t="s">
        <v>4489</v>
      </c>
      <c r="I1007" s="32" t="s">
        <v>13790</v>
      </c>
      <c r="J1007" s="32" t="s">
        <v>6828</v>
      </c>
      <c r="K1007" s="32" t="s">
        <v>12695</v>
      </c>
      <c r="L1007" s="32" t="s">
        <v>2498</v>
      </c>
      <c r="M1007" s="32" t="s">
        <v>13791</v>
      </c>
      <c r="N1007" s="32" t="s">
        <v>8757</v>
      </c>
      <c r="O1007" s="32" t="s">
        <v>13792</v>
      </c>
    </row>
    <row x14ac:dyDescent="0.25" r="1008" customHeight="1" ht="15.75">
      <c r="A1008" s="8">
        <v>25214</v>
      </c>
      <c r="B1008" s="13" t="s">
        <v>391</v>
      </c>
      <c r="C1008" s="13" t="s">
        <v>6829</v>
      </c>
      <c r="D1008" s="32" t="s">
        <v>485</v>
      </c>
      <c r="E1008" s="32" t="s">
        <v>8571</v>
      </c>
      <c r="F1008" s="32" t="s">
        <v>4919</v>
      </c>
      <c r="G1008" s="32" t="s">
        <v>13793</v>
      </c>
      <c r="H1008" s="32" t="s">
        <v>4086</v>
      </c>
      <c r="I1008" s="32" t="s">
        <v>13794</v>
      </c>
      <c r="J1008" s="32" t="s">
        <v>6796</v>
      </c>
      <c r="K1008" s="32" t="s">
        <v>13795</v>
      </c>
      <c r="L1008" s="32" t="s">
        <v>2668</v>
      </c>
      <c r="M1008" s="32" t="s">
        <v>10410</v>
      </c>
      <c r="N1008" s="32" t="s">
        <v>1562</v>
      </c>
      <c r="O1008" s="32" t="s">
        <v>13796</v>
      </c>
    </row>
    <row x14ac:dyDescent="0.25" r="1009" customHeight="1" ht="15.75">
      <c r="A1009" s="8">
        <v>25178</v>
      </c>
      <c r="B1009" s="13" t="s">
        <v>391</v>
      </c>
      <c r="C1009" s="13" t="s">
        <v>6831</v>
      </c>
      <c r="D1009" s="32" t="s">
        <v>1601</v>
      </c>
      <c r="E1009" s="32" t="s">
        <v>13797</v>
      </c>
      <c r="F1009" s="32" t="s">
        <v>6832</v>
      </c>
      <c r="G1009" s="32" t="s">
        <v>13798</v>
      </c>
      <c r="H1009" s="32" t="s">
        <v>13799</v>
      </c>
      <c r="I1009" s="32" t="s">
        <v>13800</v>
      </c>
      <c r="J1009" s="32" t="s">
        <v>6832</v>
      </c>
      <c r="K1009" s="32" t="s">
        <v>12670</v>
      </c>
      <c r="L1009" s="32" t="s">
        <v>4282</v>
      </c>
      <c r="M1009" s="32" t="s">
        <v>13801</v>
      </c>
      <c r="N1009" s="32" t="s">
        <v>4637</v>
      </c>
      <c r="O1009" s="32" t="s">
        <v>13802</v>
      </c>
    </row>
    <row x14ac:dyDescent="0.25" r="1010" customHeight="1" ht="15.75">
      <c r="A1010" s="8">
        <v>25215</v>
      </c>
      <c r="B1010" s="13" t="s">
        <v>391</v>
      </c>
      <c r="C1010" s="13" t="s">
        <v>6833</v>
      </c>
      <c r="D1010" s="32" t="s">
        <v>74</v>
      </c>
      <c r="E1010" s="32" t="s">
        <v>13803</v>
      </c>
      <c r="F1010" s="32" t="s">
        <v>6873</v>
      </c>
      <c r="G1010" s="32" t="s">
        <v>13804</v>
      </c>
      <c r="H1010" s="32" t="s">
        <v>5148</v>
      </c>
      <c r="I1010" s="32" t="s">
        <v>13805</v>
      </c>
      <c r="J1010" s="32" t="s">
        <v>6358</v>
      </c>
      <c r="K1010" s="32" t="s">
        <v>13806</v>
      </c>
      <c r="L1010" s="32" t="s">
        <v>5148</v>
      </c>
      <c r="M1010" s="32" t="s">
        <v>9455</v>
      </c>
      <c r="N1010" s="32" t="s">
        <v>6358</v>
      </c>
      <c r="O1010" s="32" t="s">
        <v>13807</v>
      </c>
    </row>
    <row x14ac:dyDescent="0.25" r="1011" customHeight="1" ht="15.75">
      <c r="A1011" s="8">
        <v>25216</v>
      </c>
      <c r="B1011" s="13" t="s">
        <v>391</v>
      </c>
      <c r="C1011" s="13" t="s">
        <v>6834</v>
      </c>
      <c r="D1011" s="32" t="s">
        <v>6835</v>
      </c>
      <c r="E1011" s="32" t="s">
        <v>13808</v>
      </c>
      <c r="F1011" s="32" t="s">
        <v>13809</v>
      </c>
      <c r="G1011" s="32" t="s">
        <v>13810</v>
      </c>
      <c r="H1011" s="32" t="s">
        <v>7654</v>
      </c>
      <c r="I1011" s="32" t="s">
        <v>13811</v>
      </c>
      <c r="J1011" s="32" t="s">
        <v>2603</v>
      </c>
      <c r="K1011" s="32" t="s">
        <v>11653</v>
      </c>
      <c r="L1011" s="32" t="s">
        <v>13812</v>
      </c>
      <c r="M1011" s="32" t="s">
        <v>13302</v>
      </c>
      <c r="N1011" s="32" t="s">
        <v>857</v>
      </c>
      <c r="O1011" s="32" t="s">
        <v>13813</v>
      </c>
    </row>
    <row x14ac:dyDescent="0.25" r="1012" customHeight="1" ht="15.75">
      <c r="A1012" s="8">
        <v>25158</v>
      </c>
      <c r="B1012" s="13" t="s">
        <v>391</v>
      </c>
      <c r="C1012" s="13" t="s">
        <v>6836</v>
      </c>
      <c r="D1012" s="32" t="s">
        <v>6378</v>
      </c>
      <c r="E1012" s="32" t="s">
        <v>13814</v>
      </c>
      <c r="F1012" s="32" t="s">
        <v>6327</v>
      </c>
      <c r="G1012" s="32" t="s">
        <v>7745</v>
      </c>
      <c r="H1012" s="32" t="s">
        <v>6837</v>
      </c>
      <c r="I1012" s="32" t="s">
        <v>13815</v>
      </c>
      <c r="J1012" s="32" t="s">
        <v>6837</v>
      </c>
      <c r="K1012" s="32" t="s">
        <v>10210</v>
      </c>
      <c r="L1012" s="32" t="s">
        <v>13015</v>
      </c>
      <c r="M1012" s="32" t="s">
        <v>13816</v>
      </c>
      <c r="N1012" s="32" t="s">
        <v>13015</v>
      </c>
      <c r="O1012" s="32" t="s">
        <v>13817</v>
      </c>
    </row>
    <row x14ac:dyDescent="0.25" r="1013" customHeight="1" ht="15.75">
      <c r="A1013" s="8">
        <v>25184</v>
      </c>
      <c r="B1013" s="13" t="s">
        <v>391</v>
      </c>
      <c r="C1013" s="13" t="s">
        <v>6838</v>
      </c>
      <c r="D1013" s="32" t="s">
        <v>6791</v>
      </c>
      <c r="E1013" s="32" t="s">
        <v>13818</v>
      </c>
      <c r="F1013" s="32" t="s">
        <v>9090</v>
      </c>
      <c r="G1013" s="32" t="s">
        <v>13819</v>
      </c>
      <c r="H1013" s="32" t="s">
        <v>5695</v>
      </c>
      <c r="I1013" s="32" t="s">
        <v>8760</v>
      </c>
      <c r="J1013" s="32" t="s">
        <v>6839</v>
      </c>
      <c r="K1013" s="32" t="s">
        <v>10220</v>
      </c>
      <c r="L1013" s="32" t="s">
        <v>1562</v>
      </c>
      <c r="M1013" s="32" t="s">
        <v>13820</v>
      </c>
      <c r="N1013" s="32" t="s">
        <v>2498</v>
      </c>
      <c r="O1013" s="32" t="s">
        <v>13821</v>
      </c>
    </row>
    <row x14ac:dyDescent="0.25" r="1014" customHeight="1" ht="15.75">
      <c r="A1014" s="8">
        <v>25217</v>
      </c>
      <c r="B1014" s="13" t="s">
        <v>391</v>
      </c>
      <c r="C1014" s="13" t="s">
        <v>6840</v>
      </c>
      <c r="D1014" s="32" t="s">
        <v>6432</v>
      </c>
      <c r="E1014" s="32" t="s">
        <v>13822</v>
      </c>
      <c r="F1014" s="32" t="s">
        <v>696</v>
      </c>
      <c r="G1014" s="32" t="s">
        <v>13823</v>
      </c>
      <c r="H1014" s="32" t="s">
        <v>6139</v>
      </c>
      <c r="I1014" s="32" t="s">
        <v>7418</v>
      </c>
      <c r="J1014" s="32" t="s">
        <v>2418</v>
      </c>
      <c r="K1014" s="32" t="s">
        <v>9950</v>
      </c>
      <c r="L1014" s="32" t="s">
        <v>5615</v>
      </c>
      <c r="M1014" s="32" t="s">
        <v>8883</v>
      </c>
      <c r="N1014" s="32" t="s">
        <v>6139</v>
      </c>
      <c r="O1014" s="32" t="s">
        <v>13824</v>
      </c>
    </row>
    <row x14ac:dyDescent="0.25" r="1015" customHeight="1" ht="15.75">
      <c r="A1015" s="8">
        <v>25164</v>
      </c>
      <c r="B1015" s="13" t="s">
        <v>391</v>
      </c>
      <c r="C1015" s="13" t="s">
        <v>6842</v>
      </c>
      <c r="D1015" s="32" t="s">
        <v>4958</v>
      </c>
      <c r="E1015" s="32" t="s">
        <v>13825</v>
      </c>
      <c r="F1015" s="32" t="s">
        <v>12305</v>
      </c>
      <c r="G1015" s="32" t="s">
        <v>13826</v>
      </c>
      <c r="H1015" s="32" t="s">
        <v>5547</v>
      </c>
      <c r="I1015" s="32" t="s">
        <v>13827</v>
      </c>
      <c r="J1015" s="32" t="s">
        <v>6844</v>
      </c>
      <c r="K1015" s="32" t="s">
        <v>13022</v>
      </c>
      <c r="L1015" s="32" t="s">
        <v>12869</v>
      </c>
      <c r="M1015" s="32" t="s">
        <v>13828</v>
      </c>
      <c r="N1015" s="32" t="s">
        <v>2772</v>
      </c>
      <c r="O1015" s="32" t="s">
        <v>7127</v>
      </c>
    </row>
    <row x14ac:dyDescent="0.25" r="1016" customHeight="1" ht="15.75">
      <c r="A1016" s="8">
        <v>25159</v>
      </c>
      <c r="B1016" s="13" t="s">
        <v>391</v>
      </c>
      <c r="C1016" s="13" t="s">
        <v>6845</v>
      </c>
      <c r="D1016" s="32" t="s">
        <v>6846</v>
      </c>
      <c r="E1016" s="32" t="s">
        <v>7309</v>
      </c>
      <c r="F1016" s="32" t="s">
        <v>13829</v>
      </c>
      <c r="G1016" s="32" t="s">
        <v>13830</v>
      </c>
      <c r="H1016" s="32" t="s">
        <v>12361</v>
      </c>
      <c r="I1016" s="32" t="s">
        <v>13831</v>
      </c>
      <c r="J1016" s="32" t="s">
        <v>5346</v>
      </c>
      <c r="K1016" s="32" t="s">
        <v>13832</v>
      </c>
      <c r="L1016" s="32" t="s">
        <v>6469</v>
      </c>
      <c r="M1016" s="32" t="s">
        <v>13833</v>
      </c>
      <c r="N1016" s="32" t="s">
        <v>9978</v>
      </c>
      <c r="O1016" s="32" t="s">
        <v>7730</v>
      </c>
    </row>
    <row x14ac:dyDescent="0.25" r="1017" customHeight="1" ht="15.75">
      <c r="A1017" s="8">
        <v>25218</v>
      </c>
      <c r="B1017" s="13" t="s">
        <v>391</v>
      </c>
      <c r="C1017" s="13" t="s">
        <v>6848</v>
      </c>
      <c r="D1017" s="32" t="s">
        <v>5801</v>
      </c>
      <c r="E1017" s="32" t="s">
        <v>12592</v>
      </c>
      <c r="F1017" s="32" t="s">
        <v>34</v>
      </c>
      <c r="G1017" s="32" t="s">
        <v>13834</v>
      </c>
      <c r="H1017" s="32" t="s">
        <v>1505</v>
      </c>
      <c r="I1017" s="32" t="s">
        <v>13835</v>
      </c>
      <c r="J1017" s="32" t="s">
        <v>1505</v>
      </c>
      <c r="K1017" s="32" t="s">
        <v>13836</v>
      </c>
      <c r="L1017" s="32" t="s">
        <v>6265</v>
      </c>
      <c r="M1017" s="32" t="s">
        <v>13837</v>
      </c>
      <c r="N1017" s="32" t="s">
        <v>6265</v>
      </c>
      <c r="O1017" s="32" t="s">
        <v>13838</v>
      </c>
    </row>
    <row x14ac:dyDescent="0.25" r="1018" customHeight="1" ht="15.75">
      <c r="A1018" s="8">
        <v>25185</v>
      </c>
      <c r="B1018" s="13" t="s">
        <v>391</v>
      </c>
      <c r="C1018" s="13" t="s">
        <v>6850</v>
      </c>
      <c r="D1018" s="32" t="s">
        <v>6851</v>
      </c>
      <c r="E1018" s="32" t="s">
        <v>13839</v>
      </c>
      <c r="F1018" s="32" t="s">
        <v>13840</v>
      </c>
      <c r="G1018" s="32" t="s">
        <v>13841</v>
      </c>
      <c r="H1018" s="32" t="s">
        <v>6852</v>
      </c>
      <c r="I1018" s="32" t="s">
        <v>13842</v>
      </c>
      <c r="J1018" s="32" t="s">
        <v>6852</v>
      </c>
      <c r="K1018" s="32" t="s">
        <v>13843</v>
      </c>
      <c r="L1018" s="32" t="s">
        <v>8813</v>
      </c>
      <c r="M1018" s="32" t="s">
        <v>13844</v>
      </c>
      <c r="N1018" s="32" t="s">
        <v>13840</v>
      </c>
      <c r="O1018" s="32" t="s">
        <v>13845</v>
      </c>
    </row>
    <row x14ac:dyDescent="0.25" r="1019" customHeight="1" ht="15.75">
      <c r="A1019" s="8">
        <v>25219</v>
      </c>
      <c r="B1019" s="13" t="s">
        <v>391</v>
      </c>
      <c r="C1019" s="13" t="s">
        <v>6853</v>
      </c>
      <c r="D1019" s="32" t="s">
        <v>4662</v>
      </c>
      <c r="E1019" s="32" t="s">
        <v>11658</v>
      </c>
      <c r="F1019" s="32" t="s">
        <v>6216</v>
      </c>
      <c r="G1019" s="32" t="s">
        <v>13846</v>
      </c>
      <c r="H1019" s="32" t="s">
        <v>13847</v>
      </c>
      <c r="I1019" s="32" t="s">
        <v>13848</v>
      </c>
      <c r="J1019" s="32" t="s">
        <v>6855</v>
      </c>
      <c r="K1019" s="32" t="s">
        <v>13234</v>
      </c>
      <c r="L1019" s="32" t="s">
        <v>11493</v>
      </c>
      <c r="M1019" s="32" t="s">
        <v>13849</v>
      </c>
      <c r="N1019" s="32" t="s">
        <v>8278</v>
      </c>
      <c r="O1019" s="32" t="s">
        <v>13850</v>
      </c>
    </row>
    <row x14ac:dyDescent="0.25" r="1020" customHeight="1" ht="15.75">
      <c r="A1020" s="8">
        <v>25186</v>
      </c>
      <c r="B1020" s="13" t="s">
        <v>391</v>
      </c>
      <c r="C1020" s="13" t="s">
        <v>6857</v>
      </c>
      <c r="D1020" s="32" t="s">
        <v>6292</v>
      </c>
      <c r="E1020" s="32" t="s">
        <v>13851</v>
      </c>
      <c r="F1020" s="32" t="s">
        <v>13852</v>
      </c>
      <c r="G1020" s="32" t="s">
        <v>12031</v>
      </c>
      <c r="H1020" s="32" t="s">
        <v>5137</v>
      </c>
      <c r="I1020" s="32" t="s">
        <v>13853</v>
      </c>
      <c r="J1020" s="32" t="s">
        <v>6858</v>
      </c>
      <c r="K1020" s="32" t="s">
        <v>13854</v>
      </c>
      <c r="L1020" s="32" t="s">
        <v>8449</v>
      </c>
      <c r="M1020" s="32" t="s">
        <v>13855</v>
      </c>
      <c r="N1020" s="32" t="s">
        <v>4506</v>
      </c>
      <c r="O1020" s="32" t="s">
        <v>13856</v>
      </c>
    </row>
    <row x14ac:dyDescent="0.25" r="1021" customHeight="1" ht="15.75">
      <c r="A1021" s="8">
        <v>25165</v>
      </c>
      <c r="B1021" s="13" t="s">
        <v>391</v>
      </c>
      <c r="C1021" s="13" t="s">
        <v>6859</v>
      </c>
      <c r="D1021" s="32" t="s">
        <v>4593</v>
      </c>
      <c r="E1021" s="32" t="s">
        <v>13857</v>
      </c>
      <c r="F1021" s="32" t="s">
        <v>6137</v>
      </c>
      <c r="G1021" s="32" t="s">
        <v>13858</v>
      </c>
      <c r="H1021" s="32" t="s">
        <v>10171</v>
      </c>
      <c r="I1021" s="32" t="s">
        <v>13859</v>
      </c>
      <c r="J1021" s="32" t="s">
        <v>4247</v>
      </c>
      <c r="K1021" s="32" t="s">
        <v>13860</v>
      </c>
      <c r="L1021" s="32" t="s">
        <v>6819</v>
      </c>
      <c r="M1021" s="32" t="s">
        <v>13861</v>
      </c>
      <c r="N1021" s="32" t="s">
        <v>6261</v>
      </c>
      <c r="O1021" s="32" t="s">
        <v>8377</v>
      </c>
    </row>
    <row x14ac:dyDescent="0.25" r="1022" customHeight="1" ht="15.75">
      <c r="A1022" s="8">
        <v>25229</v>
      </c>
      <c r="B1022" s="13" t="s">
        <v>391</v>
      </c>
      <c r="C1022" s="13" t="s">
        <v>6860</v>
      </c>
      <c r="D1022" s="32" t="s">
        <v>5774</v>
      </c>
      <c r="E1022" s="32" t="s">
        <v>13862</v>
      </c>
      <c r="F1022" s="32" t="s">
        <v>1800</v>
      </c>
      <c r="G1022" s="32" t="s">
        <v>13863</v>
      </c>
      <c r="H1022" s="32" t="s">
        <v>810</v>
      </c>
      <c r="I1022" s="32" t="s">
        <v>9937</v>
      </c>
      <c r="J1022" s="32" t="s">
        <v>6861</v>
      </c>
      <c r="K1022" s="32" t="s">
        <v>13864</v>
      </c>
      <c r="L1022" s="32" t="s">
        <v>6015</v>
      </c>
      <c r="M1022" s="32" t="s">
        <v>13865</v>
      </c>
      <c r="N1022" s="32" t="s">
        <v>13866</v>
      </c>
      <c r="O1022" s="32" t="s">
        <v>13867</v>
      </c>
    </row>
    <row x14ac:dyDescent="0.25" r="1023" customHeight="1" ht="15.75">
      <c r="A1023" s="8">
        <v>25230</v>
      </c>
      <c r="B1023" s="13" t="s">
        <v>391</v>
      </c>
      <c r="C1023" s="13" t="s">
        <v>6862</v>
      </c>
      <c r="D1023" s="32" t="s">
        <v>6863</v>
      </c>
      <c r="E1023" s="32" t="s">
        <v>13868</v>
      </c>
      <c r="F1023" s="32" t="s">
        <v>2000</v>
      </c>
      <c r="G1023" s="32" t="s">
        <v>13869</v>
      </c>
      <c r="H1023" s="32" t="s">
        <v>7651</v>
      </c>
      <c r="I1023" s="32" t="s">
        <v>13870</v>
      </c>
      <c r="J1023" s="32" t="s">
        <v>5708</v>
      </c>
      <c r="K1023" s="32" t="s">
        <v>13195</v>
      </c>
      <c r="L1023" s="32" t="s">
        <v>13486</v>
      </c>
      <c r="M1023" s="32" t="s">
        <v>13871</v>
      </c>
      <c r="N1023" s="32" t="s">
        <v>13872</v>
      </c>
      <c r="O1023" s="32" t="s">
        <v>13873</v>
      </c>
    </row>
    <row x14ac:dyDescent="0.25" r="1024" customHeight="1" ht="15.75">
      <c r="A1024" s="8">
        <v>25166</v>
      </c>
      <c r="B1024" s="13" t="s">
        <v>391</v>
      </c>
      <c r="C1024" s="13" t="s">
        <v>6864</v>
      </c>
      <c r="D1024" s="32" t="s">
        <v>6496</v>
      </c>
      <c r="E1024" s="32" t="s">
        <v>13874</v>
      </c>
      <c r="F1024" s="32" t="s">
        <v>10318</v>
      </c>
      <c r="G1024" s="32" t="s">
        <v>13875</v>
      </c>
      <c r="H1024" s="32" t="s">
        <v>88</v>
      </c>
      <c r="I1024" s="32" t="s">
        <v>13876</v>
      </c>
      <c r="J1024" s="32" t="s">
        <v>4307</v>
      </c>
      <c r="K1024" s="32" t="s">
        <v>13877</v>
      </c>
      <c r="L1024" s="32" t="s">
        <v>6818</v>
      </c>
      <c r="M1024" s="32" t="s">
        <v>13878</v>
      </c>
      <c r="N1024" s="32" t="s">
        <v>965</v>
      </c>
      <c r="O1024" s="32" t="s">
        <v>13879</v>
      </c>
    </row>
    <row x14ac:dyDescent="0.25" r="1025" customHeight="1" ht="15.75">
      <c r="A1025" s="8">
        <v>25221</v>
      </c>
      <c r="B1025" s="13" t="s">
        <v>391</v>
      </c>
      <c r="C1025" s="13" t="s">
        <v>6865</v>
      </c>
      <c r="D1025" s="32" t="s">
        <v>6866</v>
      </c>
      <c r="E1025" s="32" t="s">
        <v>7914</v>
      </c>
      <c r="F1025" s="32" t="s">
        <v>13880</v>
      </c>
      <c r="G1025" s="32" t="s">
        <v>13881</v>
      </c>
      <c r="H1025" s="32" t="s">
        <v>13882</v>
      </c>
      <c r="I1025" s="32" t="s">
        <v>13883</v>
      </c>
      <c r="J1025" s="32" t="s">
        <v>2716</v>
      </c>
      <c r="K1025" s="32" t="s">
        <v>13884</v>
      </c>
      <c r="L1025" s="32" t="s">
        <v>9418</v>
      </c>
      <c r="M1025" s="32" t="s">
        <v>13885</v>
      </c>
      <c r="N1025" s="32" t="s">
        <v>8009</v>
      </c>
      <c r="O1025" s="32" t="s">
        <v>13886</v>
      </c>
    </row>
    <row x14ac:dyDescent="0.25" r="1026" customHeight="1" ht="15.75">
      <c r="A1026" s="8">
        <v>25167</v>
      </c>
      <c r="B1026" s="13" t="s">
        <v>391</v>
      </c>
      <c r="C1026" s="13" t="s">
        <v>6867</v>
      </c>
      <c r="D1026" s="32" t="s">
        <v>6362</v>
      </c>
      <c r="E1026" s="32" t="s">
        <v>10112</v>
      </c>
      <c r="F1026" s="32" t="s">
        <v>9453</v>
      </c>
      <c r="G1026" s="32" t="s">
        <v>7847</v>
      </c>
      <c r="H1026" s="32" t="s">
        <v>1507</v>
      </c>
      <c r="I1026" s="32" t="s">
        <v>13807</v>
      </c>
      <c r="J1026" s="32" t="s">
        <v>5785</v>
      </c>
      <c r="K1026" s="32" t="s">
        <v>8598</v>
      </c>
      <c r="L1026" s="32" t="s">
        <v>34</v>
      </c>
      <c r="M1026" s="32" t="s">
        <v>13887</v>
      </c>
      <c r="N1026" s="32" t="s">
        <v>34</v>
      </c>
      <c r="O1026" s="32" t="s">
        <v>12399</v>
      </c>
    </row>
    <row x14ac:dyDescent="0.25" r="1027" customHeight="1" ht="15.75">
      <c r="A1027" s="8">
        <v>25192</v>
      </c>
      <c r="B1027" s="13" t="s">
        <v>391</v>
      </c>
      <c r="C1027" s="13" t="s">
        <v>6870</v>
      </c>
      <c r="D1027" s="32" t="s">
        <v>4094</v>
      </c>
      <c r="E1027" s="32" t="s">
        <v>13888</v>
      </c>
      <c r="F1027" s="32" t="s">
        <v>13889</v>
      </c>
      <c r="G1027" s="32" t="s">
        <v>13890</v>
      </c>
      <c r="H1027" s="32" t="s">
        <v>4093</v>
      </c>
      <c r="I1027" s="32" t="s">
        <v>13891</v>
      </c>
      <c r="J1027" s="32" t="s">
        <v>6871</v>
      </c>
      <c r="K1027" s="32" t="s">
        <v>13892</v>
      </c>
      <c r="L1027" s="32" t="s">
        <v>4093</v>
      </c>
      <c r="M1027" s="32" t="s">
        <v>13893</v>
      </c>
      <c r="N1027" s="32" t="s">
        <v>4093</v>
      </c>
      <c r="O1027" s="32" t="s">
        <v>13894</v>
      </c>
    </row>
    <row x14ac:dyDescent="0.25" r="1028" customHeight="1" ht="15.75">
      <c r="A1028" s="8">
        <v>25228</v>
      </c>
      <c r="B1028" s="13" t="s">
        <v>391</v>
      </c>
      <c r="C1028" s="13" t="s">
        <v>6872</v>
      </c>
      <c r="D1028" s="32" t="s">
        <v>6873</v>
      </c>
      <c r="E1028" s="32" t="s">
        <v>11268</v>
      </c>
      <c r="F1028" s="32" t="s">
        <v>74</v>
      </c>
      <c r="G1028" s="32" t="s">
        <v>13895</v>
      </c>
      <c r="H1028" s="32" t="s">
        <v>74</v>
      </c>
      <c r="I1028" s="32" t="s">
        <v>7255</v>
      </c>
      <c r="J1028" s="32" t="s">
        <v>5148</v>
      </c>
      <c r="K1028" s="32" t="s">
        <v>13896</v>
      </c>
      <c r="L1028" s="32" t="s">
        <v>5148</v>
      </c>
      <c r="M1028" s="32" t="s">
        <v>13897</v>
      </c>
      <c r="N1028" s="32" t="s">
        <v>5275</v>
      </c>
      <c r="O1028" s="32" t="s">
        <v>13898</v>
      </c>
    </row>
    <row x14ac:dyDescent="0.25" r="1029" customHeight="1" ht="15.75">
      <c r="A1029" s="8">
        <v>25174</v>
      </c>
      <c r="B1029" s="13" t="s">
        <v>391</v>
      </c>
      <c r="C1029" s="13" t="s">
        <v>6874</v>
      </c>
      <c r="D1029" s="32" t="s">
        <v>2460</v>
      </c>
      <c r="E1029" s="32" t="s">
        <v>9401</v>
      </c>
      <c r="F1029" s="32" t="s">
        <v>81</v>
      </c>
      <c r="G1029" s="32" t="s">
        <v>11214</v>
      </c>
      <c r="H1029" s="32" t="s">
        <v>88</v>
      </c>
      <c r="I1029" s="32" t="s">
        <v>13899</v>
      </c>
      <c r="J1029" s="32" t="s">
        <v>1419</v>
      </c>
      <c r="K1029" s="32" t="s">
        <v>9868</v>
      </c>
      <c r="L1029" s="32" t="s">
        <v>5310</v>
      </c>
      <c r="M1029" s="32" t="s">
        <v>12691</v>
      </c>
      <c r="N1029" s="32" t="s">
        <v>2088</v>
      </c>
      <c r="O1029" s="32" t="s">
        <v>13900</v>
      </c>
    </row>
    <row x14ac:dyDescent="0.25" r="1030" customHeight="1" ht="15.75">
      <c r="A1030" s="8">
        <v>25236</v>
      </c>
      <c r="B1030" s="13" t="s">
        <v>391</v>
      </c>
      <c r="C1030" s="13" t="s">
        <v>6876</v>
      </c>
      <c r="D1030" s="32" t="s">
        <v>74</v>
      </c>
      <c r="E1030" s="32" t="s">
        <v>13901</v>
      </c>
      <c r="F1030" s="32" t="s">
        <v>13902</v>
      </c>
      <c r="G1030" s="32" t="s">
        <v>12765</v>
      </c>
      <c r="H1030" s="32" t="s">
        <v>13903</v>
      </c>
      <c r="I1030" s="32" t="s">
        <v>13904</v>
      </c>
      <c r="J1030" s="32" t="s">
        <v>4929</v>
      </c>
      <c r="K1030" s="32" t="s">
        <v>13905</v>
      </c>
      <c r="L1030" s="32" t="s">
        <v>13906</v>
      </c>
      <c r="M1030" s="32" t="s">
        <v>13907</v>
      </c>
      <c r="N1030" s="32" t="s">
        <v>2717</v>
      </c>
      <c r="O1030" s="32" t="s">
        <v>13908</v>
      </c>
    </row>
    <row x14ac:dyDescent="0.25" r="1031" customHeight="1" ht="15.75">
      <c r="A1031" s="8">
        <v>25180</v>
      </c>
      <c r="B1031" s="13" t="s">
        <v>391</v>
      </c>
      <c r="C1031" s="13" t="s">
        <v>6877</v>
      </c>
      <c r="D1031" s="32" t="s">
        <v>5801</v>
      </c>
      <c r="E1031" s="32" t="s">
        <v>13909</v>
      </c>
      <c r="F1031" s="32" t="s">
        <v>4390</v>
      </c>
      <c r="G1031" s="32" t="s">
        <v>11505</v>
      </c>
      <c r="H1031" s="32" t="s">
        <v>13768</v>
      </c>
      <c r="I1031" s="32" t="s">
        <v>13910</v>
      </c>
      <c r="J1031" s="32" t="s">
        <v>6879</v>
      </c>
      <c r="K1031" s="32" t="s">
        <v>13911</v>
      </c>
      <c r="L1031" s="32" t="s">
        <v>6879</v>
      </c>
      <c r="M1031" s="32" t="s">
        <v>13912</v>
      </c>
      <c r="N1031" s="32" t="s">
        <v>13913</v>
      </c>
      <c r="O1031" s="32" t="s">
        <v>13914</v>
      </c>
    </row>
    <row x14ac:dyDescent="0.25" r="1032" customHeight="1" ht="15.75">
      <c r="A1032" s="8">
        <v>25232</v>
      </c>
      <c r="B1032" s="13" t="s">
        <v>391</v>
      </c>
      <c r="C1032" s="13" t="s">
        <v>6880</v>
      </c>
      <c r="D1032" s="32" t="s">
        <v>4403</v>
      </c>
      <c r="E1032" s="32" t="s">
        <v>13915</v>
      </c>
      <c r="F1032" s="32" t="s">
        <v>13916</v>
      </c>
      <c r="G1032" s="32" t="s">
        <v>13917</v>
      </c>
      <c r="H1032" s="32" t="s">
        <v>13918</v>
      </c>
      <c r="I1032" s="32" t="s">
        <v>13919</v>
      </c>
      <c r="J1032" s="32" t="s">
        <v>6503</v>
      </c>
      <c r="K1032" s="32" t="s">
        <v>13920</v>
      </c>
      <c r="L1032" s="32" t="s">
        <v>7765</v>
      </c>
      <c r="M1032" s="32" t="s">
        <v>13921</v>
      </c>
      <c r="N1032" s="32" t="s">
        <v>13916</v>
      </c>
      <c r="O1032" s="32" t="s">
        <v>13922</v>
      </c>
    </row>
    <row x14ac:dyDescent="0.25" r="1033" customHeight="1" ht="15.75">
      <c r="A1033" s="8">
        <v>25160</v>
      </c>
      <c r="B1033" s="13" t="s">
        <v>391</v>
      </c>
      <c r="C1033" s="13" t="s">
        <v>6882</v>
      </c>
      <c r="D1033" s="32" t="s">
        <v>6883</v>
      </c>
      <c r="E1033" s="32" t="s">
        <v>13923</v>
      </c>
      <c r="F1033" s="32" t="s">
        <v>2687</v>
      </c>
      <c r="G1033" s="32" t="s">
        <v>13106</v>
      </c>
      <c r="H1033" s="32" t="s">
        <v>5222</v>
      </c>
      <c r="I1033" s="32" t="s">
        <v>13924</v>
      </c>
      <c r="J1033" s="32" t="s">
        <v>5346</v>
      </c>
      <c r="K1033" s="32" t="s">
        <v>12030</v>
      </c>
      <c r="L1033" s="32" t="s">
        <v>9133</v>
      </c>
      <c r="M1033" s="32" t="s">
        <v>13925</v>
      </c>
      <c r="N1033" s="32" t="s">
        <v>5222</v>
      </c>
      <c r="O1033" s="32" t="s">
        <v>13926</v>
      </c>
    </row>
    <row x14ac:dyDescent="0.25" r="1034" customHeight="1" ht="15.75">
      <c r="A1034" s="8">
        <v>25168</v>
      </c>
      <c r="B1034" s="13" t="s">
        <v>391</v>
      </c>
      <c r="C1034" s="13" t="s">
        <v>6885</v>
      </c>
      <c r="D1034" s="32" t="s">
        <v>6886</v>
      </c>
      <c r="E1034" s="32" t="s">
        <v>9905</v>
      </c>
      <c r="F1034" s="32" t="s">
        <v>11880</v>
      </c>
      <c r="G1034" s="32" t="s">
        <v>13927</v>
      </c>
      <c r="H1034" s="32" t="s">
        <v>4533</v>
      </c>
      <c r="I1034" s="32" t="s">
        <v>13928</v>
      </c>
      <c r="J1034" s="32" t="s">
        <v>4329</v>
      </c>
      <c r="K1034" s="32" t="s">
        <v>13929</v>
      </c>
      <c r="L1034" s="32" t="s">
        <v>4564</v>
      </c>
      <c r="M1034" s="32" t="s">
        <v>7655</v>
      </c>
      <c r="N1034" s="32" t="s">
        <v>13930</v>
      </c>
      <c r="O1034" s="32" t="s">
        <v>8362</v>
      </c>
    </row>
    <row x14ac:dyDescent="0.25" r="1035" customHeight="1" ht="15.75">
      <c r="A1035" s="8">
        <v>25169</v>
      </c>
      <c r="B1035" s="13" t="s">
        <v>391</v>
      </c>
      <c r="C1035" s="13" t="s">
        <v>6887</v>
      </c>
      <c r="D1035" s="32" t="s">
        <v>74</v>
      </c>
      <c r="E1035" s="32" t="s">
        <v>13931</v>
      </c>
      <c r="F1035" s="32" t="s">
        <v>74</v>
      </c>
      <c r="G1035" s="32" t="s">
        <v>13932</v>
      </c>
      <c r="H1035" s="32" t="s">
        <v>74</v>
      </c>
      <c r="I1035" s="32" t="s">
        <v>13933</v>
      </c>
      <c r="J1035" s="32" t="s">
        <v>74</v>
      </c>
      <c r="K1035" s="32" t="s">
        <v>12427</v>
      </c>
      <c r="L1035" s="32" t="s">
        <v>74</v>
      </c>
      <c r="M1035" s="32" t="s">
        <v>13934</v>
      </c>
      <c r="N1035" s="32" t="s">
        <v>6362</v>
      </c>
      <c r="O1035" s="32" t="s">
        <v>13935</v>
      </c>
    </row>
    <row x14ac:dyDescent="0.25" r="1036" customHeight="1" ht="15.75">
      <c r="A1036" s="8">
        <v>25222</v>
      </c>
      <c r="B1036" s="13" t="s">
        <v>391</v>
      </c>
      <c r="C1036" s="13" t="s">
        <v>6889</v>
      </c>
      <c r="D1036" s="32" t="s">
        <v>485</v>
      </c>
      <c r="E1036" s="32" t="s">
        <v>13936</v>
      </c>
      <c r="F1036" s="32" t="s">
        <v>485</v>
      </c>
      <c r="G1036" s="32" t="s">
        <v>8579</v>
      </c>
      <c r="H1036" s="32" t="s">
        <v>4919</v>
      </c>
      <c r="I1036" s="32" t="s">
        <v>10353</v>
      </c>
      <c r="J1036" s="32" t="s">
        <v>2668</v>
      </c>
      <c r="K1036" s="32" t="s">
        <v>13937</v>
      </c>
      <c r="L1036" s="32" t="s">
        <v>4086</v>
      </c>
      <c r="M1036" s="32" t="s">
        <v>7655</v>
      </c>
      <c r="N1036" s="32" t="s">
        <v>4919</v>
      </c>
      <c r="O1036" s="32" t="s">
        <v>10169</v>
      </c>
    </row>
    <row x14ac:dyDescent="0.25" r="1037" customHeight="1" ht="15.75">
      <c r="A1037" s="8">
        <v>25197</v>
      </c>
      <c r="B1037" s="13" t="s">
        <v>391</v>
      </c>
      <c r="C1037" s="13" t="s">
        <v>6891</v>
      </c>
      <c r="D1037" s="32" t="s">
        <v>4254</v>
      </c>
      <c r="E1037" s="32" t="s">
        <v>13938</v>
      </c>
      <c r="F1037" s="32" t="s">
        <v>6358</v>
      </c>
      <c r="G1037" s="32" t="s">
        <v>8923</v>
      </c>
      <c r="H1037" s="32" t="s">
        <v>4512</v>
      </c>
      <c r="I1037" s="32" t="s">
        <v>9961</v>
      </c>
      <c r="J1037" s="32" t="s">
        <v>5822</v>
      </c>
      <c r="K1037" s="32" t="s">
        <v>7209</v>
      </c>
      <c r="L1037" s="32" t="s">
        <v>2660</v>
      </c>
      <c r="M1037" s="32" t="s">
        <v>13939</v>
      </c>
      <c r="N1037" s="32" t="s">
        <v>5822</v>
      </c>
      <c r="O1037" s="32" t="s">
        <v>7297</v>
      </c>
    </row>
    <row x14ac:dyDescent="0.25" r="1038" customHeight="1" ht="15.75">
      <c r="A1038" s="8">
        <v>25224</v>
      </c>
      <c r="B1038" s="13" t="s">
        <v>391</v>
      </c>
      <c r="C1038" s="13" t="s">
        <v>6893</v>
      </c>
      <c r="D1038" s="32" t="s">
        <v>5658</v>
      </c>
      <c r="E1038" s="32" t="s">
        <v>13940</v>
      </c>
      <c r="F1038" s="32" t="s">
        <v>8248</v>
      </c>
      <c r="G1038" s="32" t="s">
        <v>13941</v>
      </c>
      <c r="H1038" s="32" t="s">
        <v>13942</v>
      </c>
      <c r="I1038" s="32" t="s">
        <v>13943</v>
      </c>
      <c r="J1038" s="32" t="s">
        <v>4394</v>
      </c>
      <c r="K1038" s="32" t="s">
        <v>13944</v>
      </c>
      <c r="L1038" s="32" t="s">
        <v>13945</v>
      </c>
      <c r="M1038" s="32" t="s">
        <v>13946</v>
      </c>
      <c r="N1038" s="32" t="s">
        <v>2610</v>
      </c>
      <c r="O1038" s="32" t="s">
        <v>13947</v>
      </c>
    </row>
    <row x14ac:dyDescent="0.25" r="1039" customHeight="1" ht="15.75">
      <c r="A1039" s="8">
        <v>25193</v>
      </c>
      <c r="B1039" s="13" t="s">
        <v>391</v>
      </c>
      <c r="C1039" s="13" t="s">
        <v>6894</v>
      </c>
      <c r="D1039" s="32" t="s">
        <v>6895</v>
      </c>
      <c r="E1039" s="32" t="s">
        <v>11202</v>
      </c>
      <c r="F1039" s="32" t="s">
        <v>74</v>
      </c>
      <c r="G1039" s="32" t="s">
        <v>13948</v>
      </c>
      <c r="H1039" s="32" t="s">
        <v>74</v>
      </c>
      <c r="I1039" s="32" t="s">
        <v>11789</v>
      </c>
      <c r="J1039" s="32" t="s">
        <v>6846</v>
      </c>
      <c r="K1039" s="32" t="s">
        <v>11336</v>
      </c>
      <c r="L1039" s="32" t="s">
        <v>6515</v>
      </c>
      <c r="M1039" s="32" t="s">
        <v>13949</v>
      </c>
      <c r="N1039" s="32" t="s">
        <v>6515</v>
      </c>
      <c r="O1039" s="32" t="s">
        <v>7855</v>
      </c>
    </row>
    <row x14ac:dyDescent="0.25" r="1040" customHeight="1" ht="15.75">
      <c r="A1040" s="8">
        <v>26210</v>
      </c>
      <c r="B1040" s="13" t="s">
        <v>116</v>
      </c>
      <c r="C1040" s="13" t="s">
        <v>6896</v>
      </c>
      <c r="D1040" s="32" t="s">
        <v>6265</v>
      </c>
      <c r="E1040" s="32" t="s">
        <v>13950</v>
      </c>
      <c r="F1040" s="32" t="s">
        <v>5801</v>
      </c>
      <c r="G1040" s="32" t="s">
        <v>8738</v>
      </c>
      <c r="H1040" s="32" t="s">
        <v>9026</v>
      </c>
      <c r="I1040" s="32" t="s">
        <v>13951</v>
      </c>
      <c r="J1040" s="32" t="s">
        <v>74</v>
      </c>
      <c r="K1040" s="32" t="s">
        <v>13952</v>
      </c>
      <c r="L1040" s="32" t="s">
        <v>9026</v>
      </c>
      <c r="M1040" s="32" t="s">
        <v>13953</v>
      </c>
      <c r="N1040" s="32" t="s">
        <v>5801</v>
      </c>
      <c r="O1040" s="32" t="s">
        <v>13954</v>
      </c>
    </row>
    <row x14ac:dyDescent="0.25" r="1041" customHeight="1" ht="15.75">
      <c r="A1041" s="8">
        <v>26190</v>
      </c>
      <c r="B1041" s="13" t="s">
        <v>116</v>
      </c>
      <c r="C1041" s="13" t="s">
        <v>6897</v>
      </c>
      <c r="D1041" s="32" t="s">
        <v>6898</v>
      </c>
      <c r="E1041" s="32" t="s">
        <v>13955</v>
      </c>
      <c r="F1041" s="32" t="s">
        <v>4795</v>
      </c>
      <c r="G1041" s="32" t="s">
        <v>13956</v>
      </c>
      <c r="H1041" s="32" t="s">
        <v>10350</v>
      </c>
      <c r="I1041" s="32" t="s">
        <v>13957</v>
      </c>
      <c r="J1041" s="32" t="s">
        <v>2610</v>
      </c>
      <c r="K1041" s="32" t="s">
        <v>13958</v>
      </c>
      <c r="L1041" s="32" t="s">
        <v>8847</v>
      </c>
      <c r="M1041" s="32" t="s">
        <v>13959</v>
      </c>
      <c r="N1041" s="32" t="s">
        <v>4545</v>
      </c>
      <c r="O1041" s="32" t="s">
        <v>13960</v>
      </c>
    </row>
    <row x14ac:dyDescent="0.25" r="1042" customHeight="1" ht="15.75">
      <c r="A1042" s="8">
        <v>26207</v>
      </c>
      <c r="B1042" s="13" t="s">
        <v>116</v>
      </c>
      <c r="C1042" s="13" t="s">
        <v>6900</v>
      </c>
      <c r="D1042" s="32" t="s">
        <v>4523</v>
      </c>
      <c r="E1042" s="32" t="s">
        <v>13961</v>
      </c>
      <c r="F1042" s="32" t="s">
        <v>13254</v>
      </c>
      <c r="G1042" s="32" t="s">
        <v>8950</v>
      </c>
      <c r="H1042" s="32" t="s">
        <v>9959</v>
      </c>
      <c r="I1042" s="32" t="s">
        <v>9731</v>
      </c>
      <c r="J1042" s="32" t="s">
        <v>6901</v>
      </c>
      <c r="K1042" s="32" t="s">
        <v>13110</v>
      </c>
      <c r="L1042" s="32" t="s">
        <v>13962</v>
      </c>
      <c r="M1042" s="32" t="s">
        <v>13963</v>
      </c>
      <c r="N1042" s="32" t="s">
        <v>4304</v>
      </c>
      <c r="O1042" s="32" t="s">
        <v>12921</v>
      </c>
    </row>
    <row x14ac:dyDescent="0.25" r="1043" customHeight="1" ht="15.75">
      <c r="A1043" s="8">
        <v>26184</v>
      </c>
      <c r="B1043" s="13" t="s">
        <v>116</v>
      </c>
      <c r="C1043" s="13" t="s">
        <v>6902</v>
      </c>
      <c r="D1043" s="32" t="s">
        <v>6520</v>
      </c>
      <c r="E1043" s="32" t="s">
        <v>10702</v>
      </c>
      <c r="F1043" s="32" t="s">
        <v>13964</v>
      </c>
      <c r="G1043" s="32" t="s">
        <v>10745</v>
      </c>
      <c r="H1043" s="32" t="s">
        <v>6903</v>
      </c>
      <c r="I1043" s="32" t="s">
        <v>13965</v>
      </c>
      <c r="J1043" s="32" t="s">
        <v>6903</v>
      </c>
      <c r="K1043" s="32" t="s">
        <v>13966</v>
      </c>
      <c r="L1043" s="32" t="s">
        <v>13967</v>
      </c>
      <c r="M1043" s="32" t="s">
        <v>13968</v>
      </c>
      <c r="N1043" s="32" t="s">
        <v>13969</v>
      </c>
      <c r="O1043" s="32" t="s">
        <v>13970</v>
      </c>
    </row>
    <row x14ac:dyDescent="0.25" r="1044" customHeight="1" ht="15.75">
      <c r="A1044" s="8">
        <v>26194</v>
      </c>
      <c r="B1044" s="13" t="s">
        <v>116</v>
      </c>
      <c r="C1044" s="13" t="s">
        <v>6904</v>
      </c>
      <c r="D1044" s="32" t="s">
        <v>6905</v>
      </c>
      <c r="E1044" s="32" t="s">
        <v>7127</v>
      </c>
      <c r="F1044" s="32" t="s">
        <v>6431</v>
      </c>
      <c r="G1044" s="32" t="s">
        <v>13971</v>
      </c>
      <c r="H1044" s="32" t="s">
        <v>8357</v>
      </c>
      <c r="I1044" s="32" t="s">
        <v>13972</v>
      </c>
      <c r="J1044" s="32" t="s">
        <v>6906</v>
      </c>
      <c r="K1044" s="32" t="s">
        <v>13973</v>
      </c>
      <c r="L1044" s="32" t="s">
        <v>5077</v>
      </c>
      <c r="M1044" s="32" t="s">
        <v>13974</v>
      </c>
      <c r="N1044" s="32" t="s">
        <v>2492</v>
      </c>
      <c r="O1044" s="32" t="s">
        <v>13975</v>
      </c>
    </row>
    <row x14ac:dyDescent="0.25" r="1045" customHeight="1" ht="15.75">
      <c r="A1045" s="8">
        <v>26195</v>
      </c>
      <c r="B1045" s="13" t="s">
        <v>116</v>
      </c>
      <c r="C1045" s="13" t="s">
        <v>6907</v>
      </c>
      <c r="D1045" s="32" t="s">
        <v>6908</v>
      </c>
      <c r="E1045" s="32" t="s">
        <v>13976</v>
      </c>
      <c r="F1045" s="32" t="s">
        <v>4520</v>
      </c>
      <c r="G1045" s="32" t="s">
        <v>13977</v>
      </c>
      <c r="H1045" s="32" t="s">
        <v>1505</v>
      </c>
      <c r="I1045" s="32" t="s">
        <v>11310</v>
      </c>
      <c r="J1045" s="32" t="s">
        <v>5801</v>
      </c>
      <c r="K1045" s="32" t="s">
        <v>13978</v>
      </c>
      <c r="L1045" s="32" t="s">
        <v>13678</v>
      </c>
      <c r="M1045" s="32" t="s">
        <v>13979</v>
      </c>
      <c r="N1045" s="32" t="s">
        <v>1505</v>
      </c>
      <c r="O1045" s="32" t="s">
        <v>13980</v>
      </c>
    </row>
    <row x14ac:dyDescent="0.25" r="1046" customHeight="1" ht="15.75">
      <c r="A1046" s="8">
        <v>26196</v>
      </c>
      <c r="B1046" s="13" t="s">
        <v>116</v>
      </c>
      <c r="C1046" s="13" t="s">
        <v>6911</v>
      </c>
      <c r="D1046" s="32" t="s">
        <v>6912</v>
      </c>
      <c r="E1046" s="32" t="s">
        <v>13981</v>
      </c>
      <c r="F1046" s="32" t="s">
        <v>4137</v>
      </c>
      <c r="G1046" s="32" t="s">
        <v>13982</v>
      </c>
      <c r="H1046" s="32" t="s">
        <v>8941</v>
      </c>
      <c r="I1046" s="32" t="s">
        <v>13983</v>
      </c>
      <c r="J1046" s="32" t="s">
        <v>6914</v>
      </c>
      <c r="K1046" s="32" t="s">
        <v>13984</v>
      </c>
      <c r="L1046" s="32" t="s">
        <v>13985</v>
      </c>
      <c r="M1046" s="32" t="s">
        <v>13986</v>
      </c>
      <c r="N1046" s="32" t="s">
        <v>13987</v>
      </c>
      <c r="O1046" s="32" t="s">
        <v>13988</v>
      </c>
    </row>
    <row x14ac:dyDescent="0.25" r="1047" customHeight="1" ht="15.75">
      <c r="A1047" s="8">
        <v>26148</v>
      </c>
      <c r="B1047" s="13" t="s">
        <v>116</v>
      </c>
      <c r="C1047" s="13" t="s">
        <v>6915</v>
      </c>
      <c r="D1047" s="32" t="s">
        <v>6916</v>
      </c>
      <c r="E1047" s="32" t="s">
        <v>13989</v>
      </c>
      <c r="F1047" s="32" t="s">
        <v>13990</v>
      </c>
      <c r="G1047" s="32" t="s">
        <v>13991</v>
      </c>
      <c r="H1047" s="32" t="s">
        <v>10406</v>
      </c>
      <c r="I1047" s="32" t="s">
        <v>13992</v>
      </c>
      <c r="J1047" s="32" t="s">
        <v>2724</v>
      </c>
      <c r="K1047" s="32" t="s">
        <v>13993</v>
      </c>
      <c r="L1047" s="32" t="s">
        <v>4703</v>
      </c>
      <c r="M1047" s="32" t="s">
        <v>13234</v>
      </c>
      <c r="N1047" s="32" t="s">
        <v>5321</v>
      </c>
      <c r="O1047" s="32" t="s">
        <v>13994</v>
      </c>
    </row>
    <row x14ac:dyDescent="0.25" r="1048" customHeight="1" ht="15.75">
      <c r="A1048" s="8">
        <v>26197</v>
      </c>
      <c r="B1048" s="13" t="s">
        <v>116</v>
      </c>
      <c r="C1048" s="13" t="s">
        <v>6917</v>
      </c>
      <c r="D1048" s="32" t="s">
        <v>6918</v>
      </c>
      <c r="E1048" s="32" t="s">
        <v>13995</v>
      </c>
      <c r="F1048" s="32" t="s">
        <v>4386</v>
      </c>
      <c r="G1048" s="32" t="s">
        <v>13996</v>
      </c>
      <c r="H1048" s="32" t="s">
        <v>7010</v>
      </c>
      <c r="I1048" s="32" t="s">
        <v>13997</v>
      </c>
      <c r="J1048" s="32" t="s">
        <v>5615</v>
      </c>
      <c r="K1048" s="32" t="s">
        <v>13998</v>
      </c>
      <c r="L1048" s="32" t="s">
        <v>13999</v>
      </c>
      <c r="M1048" s="32" t="s">
        <v>14000</v>
      </c>
      <c r="N1048" s="32" t="s">
        <v>6139</v>
      </c>
      <c r="O1048" s="32" t="s">
        <v>14001</v>
      </c>
    </row>
    <row x14ac:dyDescent="0.25" r="1049" customHeight="1" ht="15.75">
      <c r="A1049" s="8">
        <v>26162</v>
      </c>
      <c r="B1049" s="13" t="s">
        <v>116</v>
      </c>
      <c r="C1049" s="13" t="s">
        <v>6920</v>
      </c>
      <c r="D1049" s="32" t="s">
        <v>6921</v>
      </c>
      <c r="E1049" s="32" t="s">
        <v>11975</v>
      </c>
      <c r="F1049" s="32" t="s">
        <v>5735</v>
      </c>
      <c r="G1049" s="32" t="s">
        <v>14002</v>
      </c>
      <c r="H1049" s="32" t="s">
        <v>5207</v>
      </c>
      <c r="I1049" s="32" t="s">
        <v>8151</v>
      </c>
      <c r="J1049" s="32" t="s">
        <v>34</v>
      </c>
      <c r="K1049" s="32" t="s">
        <v>14003</v>
      </c>
      <c r="L1049" s="32" t="s">
        <v>10347</v>
      </c>
      <c r="M1049" s="32" t="s">
        <v>14004</v>
      </c>
      <c r="N1049" s="32" t="s">
        <v>14005</v>
      </c>
      <c r="O1049" s="32" t="s">
        <v>14006</v>
      </c>
    </row>
    <row x14ac:dyDescent="0.25" r="1050" customHeight="1" ht="15.75">
      <c r="A1050" s="8">
        <v>26163</v>
      </c>
      <c r="B1050" s="13" t="s">
        <v>116</v>
      </c>
      <c r="C1050" s="13" t="s">
        <v>6923</v>
      </c>
      <c r="D1050" s="32" t="s">
        <v>6924</v>
      </c>
      <c r="E1050" s="32" t="s">
        <v>14007</v>
      </c>
      <c r="F1050" s="32" t="s">
        <v>8578</v>
      </c>
      <c r="G1050" s="32" t="s">
        <v>14008</v>
      </c>
      <c r="H1050" s="32" t="s">
        <v>14009</v>
      </c>
      <c r="I1050" s="32" t="s">
        <v>14010</v>
      </c>
      <c r="J1050" s="32" t="s">
        <v>6925</v>
      </c>
      <c r="K1050" s="32" t="s">
        <v>14011</v>
      </c>
      <c r="L1050" s="32" t="s">
        <v>14012</v>
      </c>
      <c r="M1050" s="32" t="s">
        <v>14013</v>
      </c>
      <c r="N1050" s="32" t="s">
        <v>4487</v>
      </c>
      <c r="O1050" s="32" t="s">
        <v>14014</v>
      </c>
    </row>
    <row x14ac:dyDescent="0.25" r="1051" customHeight="1" ht="15.75">
      <c r="A1051" s="8">
        <v>26211</v>
      </c>
      <c r="B1051" s="13" t="s">
        <v>116</v>
      </c>
      <c r="C1051" s="13" t="s">
        <v>6926</v>
      </c>
      <c r="D1051" s="32" t="s">
        <v>4417</v>
      </c>
      <c r="E1051" s="32" t="s">
        <v>14015</v>
      </c>
      <c r="F1051" s="32" t="s">
        <v>5793</v>
      </c>
      <c r="G1051" s="32" t="s">
        <v>14016</v>
      </c>
      <c r="H1051" s="32" t="s">
        <v>14017</v>
      </c>
      <c r="I1051" s="32" t="s">
        <v>14018</v>
      </c>
      <c r="J1051" s="32" t="s">
        <v>1983</v>
      </c>
      <c r="K1051" s="32" t="s">
        <v>14019</v>
      </c>
      <c r="L1051" s="32" t="s">
        <v>5310</v>
      </c>
      <c r="M1051" s="32" t="s">
        <v>14020</v>
      </c>
      <c r="N1051" s="32" t="s">
        <v>5793</v>
      </c>
      <c r="O1051" s="32" t="s">
        <v>14021</v>
      </c>
    </row>
    <row x14ac:dyDescent="0.25" r="1052" customHeight="1" ht="15.75">
      <c r="A1052" s="8">
        <v>26164</v>
      </c>
      <c r="B1052" s="13" t="s">
        <v>116</v>
      </c>
      <c r="C1052" s="13" t="s">
        <v>6927</v>
      </c>
      <c r="D1052" s="32" t="s">
        <v>1348</v>
      </c>
      <c r="E1052" s="32" t="s">
        <v>14022</v>
      </c>
      <c r="F1052" s="32" t="s">
        <v>6276</v>
      </c>
      <c r="G1052" s="32" t="s">
        <v>14023</v>
      </c>
      <c r="H1052" s="32" t="s">
        <v>8289</v>
      </c>
      <c r="I1052" s="32" t="s">
        <v>7127</v>
      </c>
      <c r="J1052" s="32" t="s">
        <v>6928</v>
      </c>
      <c r="K1052" s="32" t="s">
        <v>14024</v>
      </c>
      <c r="L1052" s="32" t="s">
        <v>4914</v>
      </c>
      <c r="M1052" s="32" t="s">
        <v>7127</v>
      </c>
      <c r="N1052" s="32" t="s">
        <v>6097</v>
      </c>
      <c r="O1052" s="32" t="s">
        <v>14025</v>
      </c>
    </row>
    <row x14ac:dyDescent="0.25" r="1053" customHeight="1" ht="15.75">
      <c r="A1053" s="8">
        <v>26212</v>
      </c>
      <c r="B1053" s="13" t="s">
        <v>116</v>
      </c>
      <c r="C1053" s="13" t="s">
        <v>6930</v>
      </c>
      <c r="D1053" s="32" t="s">
        <v>6931</v>
      </c>
      <c r="E1053" s="32" t="s">
        <v>14026</v>
      </c>
      <c r="F1053" s="32" t="s">
        <v>5488</v>
      </c>
      <c r="G1053" s="32" t="s">
        <v>7273</v>
      </c>
      <c r="H1053" s="32" t="s">
        <v>2573</v>
      </c>
      <c r="I1053" s="32" t="s">
        <v>7158</v>
      </c>
      <c r="J1053" s="32" t="s">
        <v>6932</v>
      </c>
      <c r="K1053" s="32" t="s">
        <v>7618</v>
      </c>
      <c r="L1053" s="32" t="s">
        <v>2573</v>
      </c>
      <c r="M1053" s="32" t="s">
        <v>14027</v>
      </c>
      <c r="N1053" s="32" t="s">
        <v>14028</v>
      </c>
      <c r="O1053" s="32" t="s">
        <v>8006</v>
      </c>
    </row>
    <row x14ac:dyDescent="0.25" r="1054" customHeight="1" ht="15.75">
      <c r="A1054" s="8">
        <v>26149</v>
      </c>
      <c r="B1054" s="13" t="s">
        <v>116</v>
      </c>
      <c r="C1054" s="13" t="s">
        <v>6933</v>
      </c>
      <c r="D1054" s="32" t="s">
        <v>2518</v>
      </c>
      <c r="E1054" s="32" t="s">
        <v>7418</v>
      </c>
      <c r="F1054" s="32" t="s">
        <v>5702</v>
      </c>
      <c r="G1054" s="32" t="s">
        <v>10175</v>
      </c>
      <c r="H1054" s="32" t="s">
        <v>12500</v>
      </c>
      <c r="I1054" s="32" t="s">
        <v>14029</v>
      </c>
      <c r="J1054" s="32" t="s">
        <v>5806</v>
      </c>
      <c r="K1054" s="32" t="s">
        <v>7629</v>
      </c>
      <c r="L1054" s="32" t="s">
        <v>6219</v>
      </c>
      <c r="M1054" s="32" t="s">
        <v>8587</v>
      </c>
      <c r="N1054" s="32" t="s">
        <v>11978</v>
      </c>
      <c r="O1054" s="32" t="s">
        <v>8657</v>
      </c>
    </row>
    <row x14ac:dyDescent="0.25" r="1055" customHeight="1" ht="15.75">
      <c r="A1055" s="8">
        <v>26180</v>
      </c>
      <c r="B1055" s="13" t="s">
        <v>116</v>
      </c>
      <c r="C1055" s="13" t="s">
        <v>6934</v>
      </c>
      <c r="D1055" s="32" t="s">
        <v>6935</v>
      </c>
      <c r="E1055" s="32" t="s">
        <v>14030</v>
      </c>
      <c r="F1055" s="32" t="s">
        <v>8959</v>
      </c>
      <c r="G1055" s="32" t="s">
        <v>14031</v>
      </c>
      <c r="H1055" s="32" t="s">
        <v>1561</v>
      </c>
      <c r="I1055" s="32" t="s">
        <v>14032</v>
      </c>
      <c r="J1055" s="32" t="s">
        <v>6937</v>
      </c>
      <c r="K1055" s="32" t="s">
        <v>14033</v>
      </c>
      <c r="L1055" s="32" t="s">
        <v>9576</v>
      </c>
      <c r="M1055" s="32" t="s">
        <v>14034</v>
      </c>
      <c r="N1055" s="32" t="s">
        <v>8634</v>
      </c>
      <c r="O1055" s="32" t="s">
        <v>14035</v>
      </c>
    </row>
    <row x14ac:dyDescent="0.25" r="1056" customHeight="1" ht="15.75">
      <c r="A1056" s="8">
        <v>26188</v>
      </c>
      <c r="B1056" s="13" t="s">
        <v>116</v>
      </c>
      <c r="C1056" s="13" t="s">
        <v>6938</v>
      </c>
      <c r="D1056" s="32" t="s">
        <v>6939</v>
      </c>
      <c r="E1056" s="32" t="s">
        <v>14036</v>
      </c>
      <c r="F1056" s="32" t="s">
        <v>5266</v>
      </c>
      <c r="G1056" s="32" t="s">
        <v>8602</v>
      </c>
      <c r="H1056" s="32" t="s">
        <v>122</v>
      </c>
      <c r="I1056" s="32" t="s">
        <v>7918</v>
      </c>
      <c r="J1056" s="32" t="s">
        <v>6941</v>
      </c>
      <c r="K1056" s="32" t="s">
        <v>7477</v>
      </c>
      <c r="L1056" s="32" t="s">
        <v>4440</v>
      </c>
      <c r="M1056" s="32" t="s">
        <v>14037</v>
      </c>
      <c r="N1056" s="32" t="s">
        <v>5135</v>
      </c>
      <c r="O1056" s="32" t="s">
        <v>14038</v>
      </c>
    </row>
    <row x14ac:dyDescent="0.25" r="1057" customHeight="1" ht="15.75">
      <c r="A1057" s="8">
        <v>26165</v>
      </c>
      <c r="B1057" s="13" t="s">
        <v>116</v>
      </c>
      <c r="C1057" s="13" t="s">
        <v>6942</v>
      </c>
      <c r="D1057" s="32" t="s">
        <v>2666</v>
      </c>
      <c r="E1057" s="32" t="s">
        <v>14039</v>
      </c>
      <c r="F1057" s="32" t="s">
        <v>8578</v>
      </c>
      <c r="G1057" s="32" t="s">
        <v>14040</v>
      </c>
      <c r="H1057" s="32" t="s">
        <v>13264</v>
      </c>
      <c r="I1057" s="32" t="s">
        <v>14041</v>
      </c>
      <c r="J1057" s="32" t="s">
        <v>4446</v>
      </c>
      <c r="K1057" s="32" t="s">
        <v>14042</v>
      </c>
      <c r="L1057" s="32" t="s">
        <v>8449</v>
      </c>
      <c r="M1057" s="32" t="s">
        <v>14043</v>
      </c>
      <c r="N1057" s="32" t="s">
        <v>4807</v>
      </c>
      <c r="O1057" s="32" t="s">
        <v>14044</v>
      </c>
    </row>
    <row x14ac:dyDescent="0.25" r="1058" customHeight="1" ht="15.75">
      <c r="A1058" s="8">
        <v>26150</v>
      </c>
      <c r="B1058" s="13" t="s">
        <v>116</v>
      </c>
      <c r="C1058" s="13" t="s">
        <v>4993</v>
      </c>
      <c r="D1058" s="32" t="s">
        <v>6944</v>
      </c>
      <c r="E1058" s="32" t="s">
        <v>14045</v>
      </c>
      <c r="F1058" s="32" t="s">
        <v>5555</v>
      </c>
      <c r="G1058" s="32" t="s">
        <v>14046</v>
      </c>
      <c r="H1058" s="32" t="s">
        <v>5047</v>
      </c>
      <c r="I1058" s="32" t="s">
        <v>14047</v>
      </c>
      <c r="J1058" s="32" t="s">
        <v>6946</v>
      </c>
      <c r="K1058" s="32" t="s">
        <v>10279</v>
      </c>
      <c r="L1058" s="32" t="s">
        <v>5047</v>
      </c>
      <c r="M1058" s="32" t="s">
        <v>14048</v>
      </c>
      <c r="N1058" s="32" t="s">
        <v>7313</v>
      </c>
      <c r="O1058" s="32" t="s">
        <v>8792</v>
      </c>
    </row>
    <row x14ac:dyDescent="0.25" r="1059" customHeight="1" ht="15.75">
      <c r="A1059" s="8">
        <v>26191</v>
      </c>
      <c r="B1059" s="13" t="s">
        <v>116</v>
      </c>
      <c r="C1059" s="13" t="s">
        <v>6947</v>
      </c>
      <c r="D1059" s="32" t="s">
        <v>6948</v>
      </c>
      <c r="E1059" s="32" t="s">
        <v>14049</v>
      </c>
      <c r="F1059" s="32" t="s">
        <v>12238</v>
      </c>
      <c r="G1059" s="32" t="s">
        <v>10019</v>
      </c>
      <c r="H1059" s="32" t="s">
        <v>7128</v>
      </c>
      <c r="I1059" s="32" t="s">
        <v>7762</v>
      </c>
      <c r="J1059" s="32" t="s">
        <v>6076</v>
      </c>
      <c r="K1059" s="32" t="s">
        <v>14050</v>
      </c>
      <c r="L1059" s="32" t="s">
        <v>4471</v>
      </c>
      <c r="M1059" s="32" t="s">
        <v>14051</v>
      </c>
      <c r="N1059" s="32" t="s">
        <v>5795</v>
      </c>
      <c r="O1059" s="32" t="s">
        <v>14052</v>
      </c>
    </row>
    <row x14ac:dyDescent="0.25" r="1060" customHeight="1" ht="15.75">
      <c r="A1060" s="8">
        <v>26151</v>
      </c>
      <c r="B1060" s="13" t="s">
        <v>116</v>
      </c>
      <c r="C1060" s="13" t="s">
        <v>6949</v>
      </c>
      <c r="D1060" s="32" t="s">
        <v>6463</v>
      </c>
      <c r="E1060" s="32" t="s">
        <v>14053</v>
      </c>
      <c r="F1060" s="32" t="s">
        <v>14054</v>
      </c>
      <c r="G1060" s="32" t="s">
        <v>14055</v>
      </c>
      <c r="H1060" s="32" t="s">
        <v>1572</v>
      </c>
      <c r="I1060" s="32" t="s">
        <v>14056</v>
      </c>
      <c r="J1060" s="32" t="s">
        <v>6950</v>
      </c>
      <c r="K1060" s="32" t="s">
        <v>14057</v>
      </c>
      <c r="L1060" s="32" t="s">
        <v>704</v>
      </c>
      <c r="M1060" s="32" t="s">
        <v>9678</v>
      </c>
      <c r="N1060" s="32" t="s">
        <v>1970</v>
      </c>
      <c r="O1060" s="32" t="s">
        <v>14058</v>
      </c>
    </row>
    <row x14ac:dyDescent="0.25" r="1061" customHeight="1" ht="15.75">
      <c r="A1061" s="8">
        <v>26198</v>
      </c>
      <c r="B1061" s="13" t="s">
        <v>116</v>
      </c>
      <c r="C1061" s="13" t="s">
        <v>6951</v>
      </c>
      <c r="D1061" s="32" t="s">
        <v>6952</v>
      </c>
      <c r="E1061" s="32" t="s">
        <v>14059</v>
      </c>
      <c r="F1061" s="32" t="s">
        <v>5820</v>
      </c>
      <c r="G1061" s="32" t="s">
        <v>14060</v>
      </c>
      <c r="H1061" s="32" t="s">
        <v>5244</v>
      </c>
      <c r="I1061" s="32" t="s">
        <v>14061</v>
      </c>
      <c r="J1061" s="32" t="s">
        <v>5560</v>
      </c>
      <c r="K1061" s="32" t="s">
        <v>14062</v>
      </c>
      <c r="L1061" s="32" t="s">
        <v>14063</v>
      </c>
      <c r="M1061" s="32" t="s">
        <v>7127</v>
      </c>
      <c r="N1061" s="32" t="s">
        <v>6474</v>
      </c>
      <c r="O1061" s="32" t="s">
        <v>13895</v>
      </c>
    </row>
    <row x14ac:dyDescent="0.25" r="1062" customHeight="1" ht="15.75">
      <c r="A1062" s="8">
        <v>26185</v>
      </c>
      <c r="B1062" s="13" t="s">
        <v>116</v>
      </c>
      <c r="C1062" s="13" t="s">
        <v>6953</v>
      </c>
      <c r="D1062" s="32" t="s">
        <v>6954</v>
      </c>
      <c r="E1062" s="32" t="s">
        <v>14064</v>
      </c>
      <c r="F1062" s="32" t="s">
        <v>10654</v>
      </c>
      <c r="G1062" s="32" t="s">
        <v>9636</v>
      </c>
      <c r="H1062" s="32" t="s">
        <v>14065</v>
      </c>
      <c r="I1062" s="32" t="s">
        <v>7127</v>
      </c>
      <c r="J1062" s="32" t="s">
        <v>6956</v>
      </c>
      <c r="K1062" s="32" t="s">
        <v>14066</v>
      </c>
      <c r="L1062" s="32" t="s">
        <v>7359</v>
      </c>
      <c r="M1062" s="32" t="s">
        <v>13993</v>
      </c>
      <c r="N1062" s="32" t="s">
        <v>1333</v>
      </c>
      <c r="O1062" s="32" t="s">
        <v>7127</v>
      </c>
    </row>
    <row x14ac:dyDescent="0.25" r="1063" customHeight="1" ht="15.75">
      <c r="A1063" s="8">
        <v>26199</v>
      </c>
      <c r="B1063" s="13" t="s">
        <v>116</v>
      </c>
      <c r="C1063" s="13" t="s">
        <v>6957</v>
      </c>
      <c r="D1063" s="32" t="s">
        <v>4533</v>
      </c>
      <c r="E1063" s="32" t="s">
        <v>14067</v>
      </c>
      <c r="F1063" s="32" t="s">
        <v>14068</v>
      </c>
      <c r="G1063" s="32" t="s">
        <v>13689</v>
      </c>
      <c r="H1063" s="32" t="s">
        <v>2716</v>
      </c>
      <c r="I1063" s="32" t="s">
        <v>14069</v>
      </c>
      <c r="J1063" s="32" t="s">
        <v>4449</v>
      </c>
      <c r="K1063" s="32" t="s">
        <v>14070</v>
      </c>
      <c r="L1063" s="32" t="s">
        <v>2687</v>
      </c>
      <c r="M1063" s="32" t="s">
        <v>14071</v>
      </c>
      <c r="N1063" s="32" t="s">
        <v>9133</v>
      </c>
      <c r="O1063" s="32" t="s">
        <v>9550</v>
      </c>
    </row>
    <row x14ac:dyDescent="0.25" r="1064" customHeight="1" ht="15.75">
      <c r="A1064" s="8">
        <v>26208</v>
      </c>
      <c r="B1064" s="13" t="s">
        <v>116</v>
      </c>
      <c r="C1064" s="13" t="s">
        <v>6958</v>
      </c>
      <c r="D1064" s="32" t="s">
        <v>6959</v>
      </c>
      <c r="E1064" s="32" t="s">
        <v>14072</v>
      </c>
      <c r="F1064" s="32" t="s">
        <v>4429</v>
      </c>
      <c r="G1064" s="32" t="s">
        <v>9475</v>
      </c>
      <c r="H1064" s="32" t="s">
        <v>14073</v>
      </c>
      <c r="I1064" s="32" t="s">
        <v>14074</v>
      </c>
      <c r="J1064" s="32" t="s">
        <v>6960</v>
      </c>
      <c r="K1064" s="32" t="s">
        <v>14075</v>
      </c>
      <c r="L1064" s="32" t="s">
        <v>6960</v>
      </c>
      <c r="M1064" s="32" t="s">
        <v>14076</v>
      </c>
      <c r="N1064" s="32" t="s">
        <v>7832</v>
      </c>
      <c r="O1064" s="32" t="s">
        <v>14077</v>
      </c>
    </row>
    <row x14ac:dyDescent="0.25" r="1065" customHeight="1" ht="15.75">
      <c r="A1065" s="8">
        <v>26213</v>
      </c>
      <c r="B1065" s="13" t="s">
        <v>116</v>
      </c>
      <c r="C1065" s="13" t="s">
        <v>6961</v>
      </c>
      <c r="D1065" s="32" t="s">
        <v>234</v>
      </c>
      <c r="E1065" s="32" t="s">
        <v>7639</v>
      </c>
      <c r="F1065" s="32" t="s">
        <v>2448</v>
      </c>
      <c r="G1065" s="32" t="s">
        <v>7839</v>
      </c>
      <c r="H1065" s="32" t="s">
        <v>14078</v>
      </c>
      <c r="I1065" s="32" t="s">
        <v>14079</v>
      </c>
      <c r="J1065" s="32" t="s">
        <v>6962</v>
      </c>
      <c r="K1065" s="32" t="s">
        <v>14080</v>
      </c>
      <c r="L1065" s="32" t="s">
        <v>2278</v>
      </c>
      <c r="M1065" s="32" t="s">
        <v>14081</v>
      </c>
      <c r="N1065" s="32" t="s">
        <v>5823</v>
      </c>
      <c r="O1065" s="32" t="s">
        <v>14082</v>
      </c>
    </row>
    <row x14ac:dyDescent="0.25" r="1066" customHeight="1" ht="15.75">
      <c r="A1066" s="8">
        <v>26214</v>
      </c>
      <c r="B1066" s="13" t="s">
        <v>116</v>
      </c>
      <c r="C1066" s="13" t="s">
        <v>6963</v>
      </c>
      <c r="D1066" s="32" t="s">
        <v>6964</v>
      </c>
      <c r="E1066" s="32" t="s">
        <v>14083</v>
      </c>
      <c r="F1066" s="32" t="s">
        <v>2460</v>
      </c>
      <c r="G1066" s="32" t="s">
        <v>14084</v>
      </c>
      <c r="H1066" s="32" t="s">
        <v>14085</v>
      </c>
      <c r="I1066" s="32" t="s">
        <v>14086</v>
      </c>
      <c r="J1066" s="32" t="s">
        <v>6965</v>
      </c>
      <c r="K1066" s="32" t="s">
        <v>7644</v>
      </c>
      <c r="L1066" s="32" t="s">
        <v>4943</v>
      </c>
      <c r="M1066" s="32" t="s">
        <v>14087</v>
      </c>
      <c r="N1066" s="32" t="s">
        <v>14088</v>
      </c>
      <c r="O1066" s="32" t="s">
        <v>14089</v>
      </c>
    </row>
    <row x14ac:dyDescent="0.25" r="1067" customHeight="1" ht="15.75">
      <c r="A1067" s="8">
        <v>26181</v>
      </c>
      <c r="B1067" s="13" t="s">
        <v>116</v>
      </c>
      <c r="C1067" s="13" t="s">
        <v>6967</v>
      </c>
      <c r="D1067" s="32" t="s">
        <v>6968</v>
      </c>
      <c r="E1067" s="32" t="s">
        <v>14090</v>
      </c>
      <c r="F1067" s="32" t="s">
        <v>6301</v>
      </c>
      <c r="G1067" s="32" t="s">
        <v>14091</v>
      </c>
      <c r="H1067" s="32" t="s">
        <v>14092</v>
      </c>
      <c r="I1067" s="32" t="s">
        <v>14093</v>
      </c>
      <c r="J1067" s="32" t="s">
        <v>6970</v>
      </c>
      <c r="K1067" s="32" t="s">
        <v>14094</v>
      </c>
      <c r="L1067" s="32" t="s">
        <v>9933</v>
      </c>
      <c r="M1067" s="32" t="s">
        <v>14095</v>
      </c>
      <c r="N1067" s="32" t="s">
        <v>9106</v>
      </c>
      <c r="O1067" s="32" t="s">
        <v>14096</v>
      </c>
    </row>
    <row x14ac:dyDescent="0.25" r="1068" customHeight="1" ht="15.75">
      <c r="A1068" s="8">
        <v>26152</v>
      </c>
      <c r="B1068" s="13" t="s">
        <v>116</v>
      </c>
      <c r="C1068" s="13" t="s">
        <v>6971</v>
      </c>
      <c r="D1068" s="32" t="s">
        <v>6972</v>
      </c>
      <c r="E1068" s="32" t="s">
        <v>14097</v>
      </c>
      <c r="F1068" s="32" t="s">
        <v>14098</v>
      </c>
      <c r="G1068" s="32" t="s">
        <v>14099</v>
      </c>
      <c r="H1068" s="32" t="s">
        <v>4585</v>
      </c>
      <c r="I1068" s="32" t="s">
        <v>14100</v>
      </c>
      <c r="J1068" s="32" t="s">
        <v>6974</v>
      </c>
      <c r="K1068" s="32" t="s">
        <v>14101</v>
      </c>
      <c r="L1068" s="32" t="s">
        <v>4368</v>
      </c>
      <c r="M1068" s="32" t="s">
        <v>14102</v>
      </c>
      <c r="N1068" s="32" t="s">
        <v>14103</v>
      </c>
      <c r="O1068" s="32" t="s">
        <v>14104</v>
      </c>
    </row>
    <row x14ac:dyDescent="0.25" r="1069" customHeight="1" ht="15.75">
      <c r="A1069" s="8">
        <v>26166</v>
      </c>
      <c r="B1069" s="13" t="s">
        <v>116</v>
      </c>
      <c r="C1069" s="13" t="s">
        <v>6975</v>
      </c>
      <c r="D1069" s="32" t="s">
        <v>6976</v>
      </c>
      <c r="E1069" s="32" t="s">
        <v>7309</v>
      </c>
      <c r="F1069" s="32" t="s">
        <v>5055</v>
      </c>
      <c r="G1069" s="32" t="s">
        <v>14105</v>
      </c>
      <c r="H1069" s="32" t="s">
        <v>2460</v>
      </c>
      <c r="I1069" s="32" t="s">
        <v>14106</v>
      </c>
      <c r="J1069" s="32" t="s">
        <v>6977</v>
      </c>
      <c r="K1069" s="32" t="s">
        <v>7343</v>
      </c>
      <c r="L1069" s="32" t="s">
        <v>11922</v>
      </c>
      <c r="M1069" s="32" t="s">
        <v>10023</v>
      </c>
      <c r="N1069" s="32" t="s">
        <v>14107</v>
      </c>
      <c r="O1069" s="32" t="s">
        <v>14108</v>
      </c>
    </row>
    <row x14ac:dyDescent="0.25" r="1070" customHeight="1" ht="15.75">
      <c r="A1070" s="8">
        <v>26167</v>
      </c>
      <c r="B1070" s="13" t="s">
        <v>116</v>
      </c>
      <c r="C1070" s="13" t="s">
        <v>6978</v>
      </c>
      <c r="D1070" s="32" t="s">
        <v>6979</v>
      </c>
      <c r="E1070" s="32" t="s">
        <v>14109</v>
      </c>
      <c r="F1070" s="32" t="s">
        <v>11200</v>
      </c>
      <c r="G1070" s="32" t="s">
        <v>14110</v>
      </c>
      <c r="H1070" s="32" t="s">
        <v>14111</v>
      </c>
      <c r="I1070" s="32" t="s">
        <v>12554</v>
      </c>
      <c r="J1070" s="32" t="s">
        <v>2143</v>
      </c>
      <c r="K1070" s="32" t="s">
        <v>8782</v>
      </c>
      <c r="L1070" s="32" t="s">
        <v>4106</v>
      </c>
      <c r="M1070" s="32" t="s">
        <v>7918</v>
      </c>
      <c r="N1070" s="32" t="s">
        <v>5653</v>
      </c>
      <c r="O1070" s="32" t="s">
        <v>14112</v>
      </c>
    </row>
    <row x14ac:dyDescent="0.25" r="1071" customHeight="1" ht="15.75">
      <c r="A1071" s="8">
        <v>26182</v>
      </c>
      <c r="B1071" s="13" t="s">
        <v>116</v>
      </c>
      <c r="C1071" s="13" t="s">
        <v>6980</v>
      </c>
      <c r="D1071" s="32" t="s">
        <v>6981</v>
      </c>
      <c r="E1071" s="32" t="s">
        <v>14113</v>
      </c>
      <c r="F1071" s="32" t="s">
        <v>14114</v>
      </c>
      <c r="G1071" s="32" t="s">
        <v>14115</v>
      </c>
      <c r="H1071" s="32" t="s">
        <v>14116</v>
      </c>
      <c r="I1071" s="32" t="s">
        <v>14117</v>
      </c>
      <c r="J1071" s="32" t="s">
        <v>6982</v>
      </c>
      <c r="K1071" s="32" t="s">
        <v>14118</v>
      </c>
      <c r="L1071" s="32" t="s">
        <v>8165</v>
      </c>
      <c r="M1071" s="32" t="s">
        <v>14119</v>
      </c>
      <c r="N1071" s="32" t="s">
        <v>6080</v>
      </c>
      <c r="O1071" s="32" t="s">
        <v>14120</v>
      </c>
    </row>
    <row x14ac:dyDescent="0.25" r="1072" customHeight="1" ht="15.75">
      <c r="A1072" s="8">
        <v>26153</v>
      </c>
      <c r="B1072" s="13" t="s">
        <v>116</v>
      </c>
      <c r="C1072" s="13" t="s">
        <v>6983</v>
      </c>
      <c r="D1072" s="32" t="s">
        <v>6984</v>
      </c>
      <c r="E1072" s="32" t="s">
        <v>14121</v>
      </c>
      <c r="F1072" s="32" t="s">
        <v>5329</v>
      </c>
      <c r="G1072" s="32" t="s">
        <v>14122</v>
      </c>
      <c r="H1072" s="32" t="s">
        <v>14123</v>
      </c>
      <c r="I1072" s="32" t="s">
        <v>9471</v>
      </c>
      <c r="J1072" s="32" t="s">
        <v>6985</v>
      </c>
      <c r="K1072" s="32" t="s">
        <v>14124</v>
      </c>
      <c r="L1072" s="32" t="s">
        <v>5609</v>
      </c>
      <c r="M1072" s="32" t="s">
        <v>14125</v>
      </c>
      <c r="N1072" s="32" t="s">
        <v>14126</v>
      </c>
      <c r="O1072" s="32" t="s">
        <v>14127</v>
      </c>
    </row>
    <row x14ac:dyDescent="0.25" r="1073" customHeight="1" ht="15.75">
      <c r="A1073" s="8">
        <v>26168</v>
      </c>
      <c r="B1073" s="13" t="s">
        <v>116</v>
      </c>
      <c r="C1073" s="13" t="s">
        <v>6986</v>
      </c>
      <c r="D1073" s="32" t="s">
        <v>6987</v>
      </c>
      <c r="E1073" s="32" t="s">
        <v>14128</v>
      </c>
      <c r="F1073" s="32" t="s">
        <v>13310</v>
      </c>
      <c r="G1073" s="32" t="s">
        <v>14129</v>
      </c>
      <c r="H1073" s="32" t="s">
        <v>4317</v>
      </c>
      <c r="I1073" s="32" t="s">
        <v>14130</v>
      </c>
      <c r="J1073" s="32" t="s">
        <v>6988</v>
      </c>
      <c r="K1073" s="32" t="s">
        <v>14131</v>
      </c>
      <c r="L1073" s="32" t="s">
        <v>14132</v>
      </c>
      <c r="M1073" s="32" t="s">
        <v>14133</v>
      </c>
      <c r="N1073" s="32" t="s">
        <v>6987</v>
      </c>
      <c r="O1073" s="32" t="s">
        <v>14134</v>
      </c>
    </row>
    <row x14ac:dyDescent="0.25" r="1074" customHeight="1" ht="15.75">
      <c r="A1074" s="8">
        <v>26200</v>
      </c>
      <c r="B1074" s="13" t="s">
        <v>116</v>
      </c>
      <c r="C1074" s="13" t="s">
        <v>6989</v>
      </c>
      <c r="D1074" s="32" t="s">
        <v>4678</v>
      </c>
      <c r="E1074" s="32" t="s">
        <v>14135</v>
      </c>
      <c r="F1074" s="32" t="s">
        <v>9408</v>
      </c>
      <c r="G1074" s="32" t="s">
        <v>14136</v>
      </c>
      <c r="H1074" s="32" t="s">
        <v>14137</v>
      </c>
      <c r="I1074" s="32" t="s">
        <v>14138</v>
      </c>
      <c r="J1074" s="32" t="s">
        <v>6991</v>
      </c>
      <c r="K1074" s="32" t="s">
        <v>14139</v>
      </c>
      <c r="L1074" s="32" t="s">
        <v>13135</v>
      </c>
      <c r="M1074" s="32" t="s">
        <v>14140</v>
      </c>
      <c r="N1074" s="32" t="s">
        <v>14141</v>
      </c>
      <c r="O1074" s="32" t="s">
        <v>14142</v>
      </c>
    </row>
    <row x14ac:dyDescent="0.25" r="1075" customHeight="1" ht="15.75">
      <c r="A1075" s="8">
        <v>26183</v>
      </c>
      <c r="B1075" s="13" t="s">
        <v>116</v>
      </c>
      <c r="C1075" s="13" t="s">
        <v>6992</v>
      </c>
      <c r="D1075" s="32" t="s">
        <v>6993</v>
      </c>
      <c r="E1075" s="32" t="s">
        <v>14143</v>
      </c>
      <c r="F1075" s="32" t="s">
        <v>14144</v>
      </c>
      <c r="G1075" s="32" t="s">
        <v>14145</v>
      </c>
      <c r="H1075" s="32" t="s">
        <v>14146</v>
      </c>
      <c r="I1075" s="32" t="s">
        <v>14147</v>
      </c>
      <c r="J1075" s="32" t="s">
        <v>6994</v>
      </c>
      <c r="K1075" s="32" t="s">
        <v>14148</v>
      </c>
      <c r="L1075" s="32" t="s">
        <v>14149</v>
      </c>
      <c r="M1075" s="32" t="s">
        <v>8872</v>
      </c>
      <c r="N1075" s="32" t="s">
        <v>4761</v>
      </c>
      <c r="O1075" s="32" t="s">
        <v>7127</v>
      </c>
    </row>
    <row x14ac:dyDescent="0.25" r="1076" customHeight="1" ht="15.75">
      <c r="A1076" s="8">
        <v>26154</v>
      </c>
      <c r="B1076" s="13" t="s">
        <v>116</v>
      </c>
      <c r="C1076" s="13" t="s">
        <v>6995</v>
      </c>
      <c r="D1076" s="32" t="s">
        <v>6996</v>
      </c>
      <c r="E1076" s="32" t="s">
        <v>14150</v>
      </c>
      <c r="F1076" s="32" t="s">
        <v>11506</v>
      </c>
      <c r="G1076" s="32" t="s">
        <v>14151</v>
      </c>
      <c r="H1076" s="32" t="s">
        <v>5573</v>
      </c>
      <c r="I1076" s="32" t="s">
        <v>14152</v>
      </c>
      <c r="J1076" s="32" t="s">
        <v>6997</v>
      </c>
      <c r="K1076" s="32" t="s">
        <v>14153</v>
      </c>
      <c r="L1076" s="32" t="s">
        <v>4229</v>
      </c>
      <c r="M1076" s="32" t="s">
        <v>14154</v>
      </c>
      <c r="N1076" s="32" t="s">
        <v>14155</v>
      </c>
      <c r="O1076" s="32" t="s">
        <v>14156</v>
      </c>
    </row>
    <row x14ac:dyDescent="0.25" r="1077" customHeight="1" ht="15.75">
      <c r="A1077" s="8">
        <v>26215</v>
      </c>
      <c r="B1077" s="13" t="s">
        <v>116</v>
      </c>
      <c r="C1077" s="13" t="s">
        <v>6998</v>
      </c>
      <c r="D1077" s="32" t="s">
        <v>6495</v>
      </c>
      <c r="E1077" s="32" t="s">
        <v>9673</v>
      </c>
      <c r="F1077" s="32" t="s">
        <v>6518</v>
      </c>
      <c r="G1077" s="32" t="s">
        <v>14157</v>
      </c>
      <c r="H1077" s="32" t="s">
        <v>12314</v>
      </c>
      <c r="I1077" s="32" t="s">
        <v>14158</v>
      </c>
      <c r="J1077" s="32" t="s">
        <v>4426</v>
      </c>
      <c r="K1077" s="32" t="s">
        <v>14159</v>
      </c>
      <c r="L1077" s="32" t="s">
        <v>14160</v>
      </c>
      <c r="M1077" s="32" t="s">
        <v>14161</v>
      </c>
      <c r="N1077" s="32" t="s">
        <v>14162</v>
      </c>
      <c r="O1077" s="32" t="s">
        <v>14163</v>
      </c>
    </row>
    <row x14ac:dyDescent="0.25" r="1078" customHeight="1" ht="15.75">
      <c r="A1078" s="8">
        <v>26169</v>
      </c>
      <c r="B1078" s="13" t="s">
        <v>116</v>
      </c>
      <c r="C1078" s="13" t="s">
        <v>6999</v>
      </c>
      <c r="D1078" s="32" t="s">
        <v>7000</v>
      </c>
      <c r="E1078" s="32" t="s">
        <v>14164</v>
      </c>
      <c r="F1078" s="32" t="s">
        <v>2364</v>
      </c>
      <c r="G1078" s="32" t="s">
        <v>12513</v>
      </c>
      <c r="H1078" s="32" t="s">
        <v>6248</v>
      </c>
      <c r="I1078" s="32" t="s">
        <v>14165</v>
      </c>
      <c r="J1078" s="32" t="s">
        <v>1507</v>
      </c>
      <c r="K1078" s="32" t="s">
        <v>14166</v>
      </c>
      <c r="L1078" s="32" t="s">
        <v>2364</v>
      </c>
      <c r="M1078" s="32" t="s">
        <v>14167</v>
      </c>
      <c r="N1078" s="32" t="s">
        <v>1507</v>
      </c>
      <c r="O1078" s="32" t="s">
        <v>8738</v>
      </c>
    </row>
    <row x14ac:dyDescent="0.25" r="1079" customHeight="1" ht="15.75">
      <c r="A1079" s="8">
        <v>26192</v>
      </c>
      <c r="B1079" s="13" t="s">
        <v>116</v>
      </c>
      <c r="C1079" s="13" t="s">
        <v>7001</v>
      </c>
      <c r="D1079" s="32" t="s">
        <v>7002</v>
      </c>
      <c r="E1079" s="32" t="s">
        <v>14168</v>
      </c>
      <c r="F1079" s="32" t="s">
        <v>7912</v>
      </c>
      <c r="G1079" s="32" t="s">
        <v>14169</v>
      </c>
      <c r="H1079" s="32" t="s">
        <v>5947</v>
      </c>
      <c r="I1079" s="32" t="s">
        <v>14170</v>
      </c>
      <c r="J1079" s="32" t="s">
        <v>2448</v>
      </c>
      <c r="K1079" s="32" t="s">
        <v>8073</v>
      </c>
      <c r="L1079" s="32" t="s">
        <v>5948</v>
      </c>
      <c r="M1079" s="32" t="s">
        <v>14171</v>
      </c>
      <c r="N1079" s="32" t="s">
        <v>14172</v>
      </c>
      <c r="O1079" s="32" t="s">
        <v>7918</v>
      </c>
    </row>
    <row x14ac:dyDescent="0.25" r="1080" customHeight="1" ht="15.75">
      <c r="A1080" s="8">
        <v>26201</v>
      </c>
      <c r="B1080" s="13" t="s">
        <v>116</v>
      </c>
      <c r="C1080" s="13" t="s">
        <v>5912</v>
      </c>
      <c r="D1080" s="32" t="s">
        <v>7003</v>
      </c>
      <c r="E1080" s="32" t="s">
        <v>14173</v>
      </c>
      <c r="F1080" s="32" t="s">
        <v>9085</v>
      </c>
      <c r="G1080" s="32" t="s">
        <v>14174</v>
      </c>
      <c r="H1080" s="32" t="s">
        <v>7162</v>
      </c>
      <c r="I1080" s="32" t="s">
        <v>14175</v>
      </c>
      <c r="J1080" s="32" t="s">
        <v>7004</v>
      </c>
      <c r="K1080" s="32" t="s">
        <v>14176</v>
      </c>
      <c r="L1080" s="32" t="s">
        <v>14177</v>
      </c>
      <c r="M1080" s="32" t="s">
        <v>14178</v>
      </c>
      <c r="N1080" s="32" t="s">
        <v>14179</v>
      </c>
      <c r="O1080" s="32" t="s">
        <v>9025</v>
      </c>
    </row>
    <row x14ac:dyDescent="0.25" r="1081" customHeight="1" ht="15.75">
      <c r="A1081" s="8">
        <v>26202</v>
      </c>
      <c r="B1081" s="13" t="s">
        <v>116</v>
      </c>
      <c r="C1081" s="13" t="s">
        <v>7005</v>
      </c>
      <c r="D1081" s="32" t="s">
        <v>4319</v>
      </c>
      <c r="E1081" s="32" t="s">
        <v>14180</v>
      </c>
      <c r="F1081" s="32" t="s">
        <v>4939</v>
      </c>
      <c r="G1081" s="32" t="s">
        <v>14181</v>
      </c>
      <c r="H1081" s="32" t="s">
        <v>6746</v>
      </c>
      <c r="I1081" s="32" t="s">
        <v>7127</v>
      </c>
      <c r="J1081" s="32" t="s">
        <v>7006</v>
      </c>
      <c r="K1081" s="32" t="s">
        <v>14182</v>
      </c>
      <c r="L1081" s="32" t="s">
        <v>4090</v>
      </c>
      <c r="M1081" s="32" t="s">
        <v>14183</v>
      </c>
      <c r="N1081" s="32" t="s">
        <v>14184</v>
      </c>
      <c r="O1081" s="32" t="s">
        <v>14185</v>
      </c>
    </row>
    <row x14ac:dyDescent="0.25" r="1082" customHeight="1" ht="15.75">
      <c r="A1082" s="8">
        <v>26203</v>
      </c>
      <c r="B1082" s="13" t="s">
        <v>116</v>
      </c>
      <c r="C1082" s="13" t="s">
        <v>7007</v>
      </c>
      <c r="D1082" s="32" t="s">
        <v>7008</v>
      </c>
      <c r="E1082" s="32" t="s">
        <v>14186</v>
      </c>
      <c r="F1082" s="32" t="s">
        <v>8278</v>
      </c>
      <c r="G1082" s="32" t="s">
        <v>14187</v>
      </c>
      <c r="H1082" s="32" t="s">
        <v>14188</v>
      </c>
      <c r="I1082" s="32" t="s">
        <v>14189</v>
      </c>
      <c r="J1082" s="32" t="s">
        <v>4267</v>
      </c>
      <c r="K1082" s="32" t="s">
        <v>14190</v>
      </c>
      <c r="L1082" s="32" t="s">
        <v>7578</v>
      </c>
      <c r="M1082" s="32" t="s">
        <v>14191</v>
      </c>
      <c r="N1082" s="32" t="s">
        <v>14192</v>
      </c>
      <c r="O1082" s="32" t="s">
        <v>14193</v>
      </c>
    </row>
    <row x14ac:dyDescent="0.25" r="1083" customHeight="1" ht="15.75">
      <c r="A1083" s="8">
        <v>26216</v>
      </c>
      <c r="B1083" s="13" t="s">
        <v>116</v>
      </c>
      <c r="C1083" s="13" t="s">
        <v>7009</v>
      </c>
      <c r="D1083" s="32" t="s">
        <v>7010</v>
      </c>
      <c r="E1083" s="32" t="s">
        <v>14194</v>
      </c>
      <c r="F1083" s="32" t="s">
        <v>2418</v>
      </c>
      <c r="G1083" s="32" t="s">
        <v>14195</v>
      </c>
      <c r="H1083" s="32" t="s">
        <v>1143</v>
      </c>
      <c r="I1083" s="32" t="s">
        <v>7597</v>
      </c>
      <c r="J1083" s="32" t="s">
        <v>2308</v>
      </c>
      <c r="K1083" s="32" t="s">
        <v>12374</v>
      </c>
      <c r="L1083" s="32" t="s">
        <v>4086</v>
      </c>
      <c r="M1083" s="32" t="s">
        <v>14112</v>
      </c>
      <c r="N1083" s="32" t="s">
        <v>6828</v>
      </c>
      <c r="O1083" s="32" t="s">
        <v>14196</v>
      </c>
    </row>
    <row x14ac:dyDescent="0.25" r="1084" customHeight="1" ht="15.75">
      <c r="A1084" s="8">
        <v>26155</v>
      </c>
      <c r="B1084" s="13" t="s">
        <v>116</v>
      </c>
      <c r="C1084" s="13" t="s">
        <v>7011</v>
      </c>
      <c r="D1084" s="32" t="s">
        <v>7012</v>
      </c>
      <c r="E1084" s="32" t="s">
        <v>14197</v>
      </c>
      <c r="F1084" s="32" t="s">
        <v>4848</v>
      </c>
      <c r="G1084" s="32" t="s">
        <v>14198</v>
      </c>
      <c r="H1084" s="32" t="s">
        <v>2544</v>
      </c>
      <c r="I1084" s="32" t="s">
        <v>14199</v>
      </c>
      <c r="J1084" s="32" t="s">
        <v>1463</v>
      </c>
      <c r="K1084" s="32" t="s">
        <v>14200</v>
      </c>
      <c r="L1084" s="32" t="s">
        <v>14201</v>
      </c>
      <c r="M1084" s="32" t="s">
        <v>13936</v>
      </c>
      <c r="N1084" s="32" t="s">
        <v>2664</v>
      </c>
      <c r="O1084" s="32" t="s">
        <v>14202</v>
      </c>
    </row>
    <row x14ac:dyDescent="0.25" r="1085" customHeight="1" ht="15.75">
      <c r="A1085" s="8">
        <v>26217</v>
      </c>
      <c r="B1085" s="13" t="s">
        <v>116</v>
      </c>
      <c r="C1085" s="13" t="s">
        <v>7013</v>
      </c>
      <c r="D1085" s="32" t="s">
        <v>6260</v>
      </c>
      <c r="E1085" s="32" t="s">
        <v>14203</v>
      </c>
      <c r="F1085" s="32" t="s">
        <v>7014</v>
      </c>
      <c r="G1085" s="32" t="s">
        <v>14204</v>
      </c>
      <c r="H1085" s="32" t="s">
        <v>6260</v>
      </c>
      <c r="I1085" s="32" t="s">
        <v>14205</v>
      </c>
      <c r="J1085" s="32" t="s">
        <v>7014</v>
      </c>
      <c r="K1085" s="32" t="s">
        <v>14206</v>
      </c>
      <c r="L1085" s="32" t="s">
        <v>74</v>
      </c>
      <c r="M1085" s="32" t="s">
        <v>14207</v>
      </c>
      <c r="N1085" s="32" t="s">
        <v>74</v>
      </c>
      <c r="O1085" s="32" t="s">
        <v>14208</v>
      </c>
    </row>
    <row x14ac:dyDescent="0.25" r="1086" customHeight="1" ht="15.75">
      <c r="A1086" s="8">
        <v>26218</v>
      </c>
      <c r="B1086" s="13" t="s">
        <v>116</v>
      </c>
      <c r="C1086" s="13" t="s">
        <v>7015</v>
      </c>
      <c r="D1086" s="32" t="s">
        <v>2518</v>
      </c>
      <c r="E1086" s="32" t="s">
        <v>14209</v>
      </c>
      <c r="F1086" s="32" t="s">
        <v>11223</v>
      </c>
      <c r="G1086" s="32" t="s">
        <v>14210</v>
      </c>
      <c r="H1086" s="32" t="s">
        <v>11493</v>
      </c>
      <c r="I1086" s="32" t="s">
        <v>14211</v>
      </c>
      <c r="J1086" s="32" t="s">
        <v>5207</v>
      </c>
      <c r="K1086" s="32" t="s">
        <v>13824</v>
      </c>
      <c r="L1086" s="32" t="s">
        <v>2468</v>
      </c>
      <c r="M1086" s="32" t="s">
        <v>14212</v>
      </c>
      <c r="N1086" s="32" t="s">
        <v>2468</v>
      </c>
      <c r="O1086" s="32" t="s">
        <v>7375</v>
      </c>
    </row>
    <row x14ac:dyDescent="0.25" r="1087" customHeight="1" ht="15.75">
      <c r="A1087" s="8">
        <v>26219</v>
      </c>
      <c r="B1087" s="13" t="s">
        <v>116</v>
      </c>
      <c r="C1087" s="13" t="s">
        <v>7016</v>
      </c>
      <c r="D1087" s="32" t="s">
        <v>2409</v>
      </c>
      <c r="E1087" s="32" t="s">
        <v>14213</v>
      </c>
      <c r="F1087" s="32" t="s">
        <v>14214</v>
      </c>
      <c r="G1087" s="32" t="s">
        <v>14215</v>
      </c>
      <c r="H1087" s="32" t="s">
        <v>9708</v>
      </c>
      <c r="I1087" s="32" t="s">
        <v>13682</v>
      </c>
      <c r="J1087" s="32" t="s">
        <v>2474</v>
      </c>
      <c r="K1087" s="32" t="s">
        <v>14216</v>
      </c>
      <c r="L1087" s="32" t="s">
        <v>2450</v>
      </c>
      <c r="M1087" s="32" t="s">
        <v>14217</v>
      </c>
      <c r="N1087" s="32" t="s">
        <v>14218</v>
      </c>
      <c r="O1087" s="32" t="s">
        <v>13420</v>
      </c>
    </row>
    <row x14ac:dyDescent="0.25" r="1088" customHeight="1" ht="15.75">
      <c r="A1088" s="8">
        <v>26204</v>
      </c>
      <c r="B1088" s="13" t="s">
        <v>116</v>
      </c>
      <c r="C1088" s="13" t="s">
        <v>7018</v>
      </c>
      <c r="D1088" s="32" t="s">
        <v>4765</v>
      </c>
      <c r="E1088" s="32" t="s">
        <v>10660</v>
      </c>
      <c r="F1088" s="32" t="s">
        <v>5712</v>
      </c>
      <c r="G1088" s="32" t="s">
        <v>14219</v>
      </c>
      <c r="H1088" s="32" t="s">
        <v>10130</v>
      </c>
      <c r="I1088" s="32" t="s">
        <v>12745</v>
      </c>
      <c r="J1088" s="32" t="s">
        <v>4849</v>
      </c>
      <c r="K1088" s="32" t="s">
        <v>14220</v>
      </c>
      <c r="L1088" s="32" t="s">
        <v>13967</v>
      </c>
      <c r="M1088" s="32" t="s">
        <v>14221</v>
      </c>
      <c r="N1088" s="32" t="s">
        <v>12152</v>
      </c>
      <c r="O1088" s="32" t="s">
        <v>14222</v>
      </c>
    </row>
    <row x14ac:dyDescent="0.25" r="1089" customHeight="1" ht="15.75">
      <c r="A1089" s="8">
        <v>26170</v>
      </c>
      <c r="B1089" s="13" t="s">
        <v>116</v>
      </c>
      <c r="C1089" s="13" t="s">
        <v>7019</v>
      </c>
      <c r="D1089" s="32" t="s">
        <v>7020</v>
      </c>
      <c r="E1089" s="32" t="s">
        <v>9818</v>
      </c>
      <c r="F1089" s="32" t="s">
        <v>6785</v>
      </c>
      <c r="G1089" s="32" t="s">
        <v>7604</v>
      </c>
      <c r="H1089" s="32" t="s">
        <v>14223</v>
      </c>
      <c r="I1089" s="32" t="s">
        <v>14224</v>
      </c>
      <c r="J1089" s="32" t="s">
        <v>7021</v>
      </c>
      <c r="K1089" s="32" t="s">
        <v>9902</v>
      </c>
      <c r="L1089" s="32" t="s">
        <v>7020</v>
      </c>
      <c r="M1089" s="32" t="s">
        <v>14225</v>
      </c>
      <c r="N1089" s="32" t="s">
        <v>14226</v>
      </c>
      <c r="O1089" s="32" t="s">
        <v>13887</v>
      </c>
    </row>
    <row x14ac:dyDescent="0.25" r="1090" customHeight="1" ht="15.75">
      <c r="A1090" s="8">
        <v>26193</v>
      </c>
      <c r="B1090" s="13" t="s">
        <v>116</v>
      </c>
      <c r="C1090" s="13" t="s">
        <v>7022</v>
      </c>
      <c r="D1090" s="32" t="s">
        <v>7023</v>
      </c>
      <c r="E1090" s="32" t="s">
        <v>14227</v>
      </c>
      <c r="F1090" s="32" t="s">
        <v>14228</v>
      </c>
      <c r="G1090" s="32" t="s">
        <v>14229</v>
      </c>
      <c r="H1090" s="32" t="s">
        <v>4836</v>
      </c>
      <c r="I1090" s="32" t="s">
        <v>14230</v>
      </c>
      <c r="J1090" s="32" t="s">
        <v>4111</v>
      </c>
      <c r="K1090" s="32" t="s">
        <v>14231</v>
      </c>
      <c r="L1090" s="32" t="s">
        <v>8564</v>
      </c>
      <c r="M1090" s="32" t="s">
        <v>14232</v>
      </c>
      <c r="N1090" s="32" t="s">
        <v>8564</v>
      </c>
      <c r="O1090" s="32" t="s">
        <v>7127</v>
      </c>
    </row>
    <row x14ac:dyDescent="0.25" r="1091" customHeight="1" ht="15.75">
      <c r="A1091" s="8">
        <v>26220</v>
      </c>
      <c r="B1091" s="13" t="s">
        <v>116</v>
      </c>
      <c r="C1091" s="13" t="s">
        <v>7024</v>
      </c>
      <c r="D1091" s="32" t="s">
        <v>7025</v>
      </c>
      <c r="E1091" s="32" t="s">
        <v>14233</v>
      </c>
      <c r="F1091" s="32" t="s">
        <v>1826</v>
      </c>
      <c r="G1091" s="32" t="s">
        <v>8602</v>
      </c>
      <c r="H1091" s="32" t="s">
        <v>7172</v>
      </c>
      <c r="I1091" s="32" t="s">
        <v>14234</v>
      </c>
      <c r="J1091" s="32" t="s">
        <v>7026</v>
      </c>
      <c r="K1091" s="32" t="s">
        <v>14235</v>
      </c>
      <c r="L1091" s="32" t="s">
        <v>14236</v>
      </c>
      <c r="M1091" s="32" t="s">
        <v>7414</v>
      </c>
      <c r="N1091" s="32" t="s">
        <v>14237</v>
      </c>
      <c r="O1091" s="32" t="s">
        <v>7687</v>
      </c>
    </row>
    <row x14ac:dyDescent="0.25" r="1092" customHeight="1" ht="15.75">
      <c r="A1092" s="8">
        <v>26221</v>
      </c>
      <c r="B1092" s="13" t="s">
        <v>116</v>
      </c>
      <c r="C1092" s="13" t="s">
        <v>7027</v>
      </c>
      <c r="D1092" s="32" t="s">
        <v>7028</v>
      </c>
      <c r="E1092" s="32" t="s">
        <v>14238</v>
      </c>
      <c r="F1092" s="32" t="s">
        <v>14239</v>
      </c>
      <c r="G1092" s="32" t="s">
        <v>14240</v>
      </c>
      <c r="H1092" s="32" t="s">
        <v>14241</v>
      </c>
      <c r="I1092" s="32" t="s">
        <v>7530</v>
      </c>
      <c r="J1092" s="32" t="s">
        <v>7029</v>
      </c>
      <c r="K1092" s="32" t="s">
        <v>12251</v>
      </c>
      <c r="L1092" s="32" t="s">
        <v>2549</v>
      </c>
      <c r="M1092" s="32" t="s">
        <v>14242</v>
      </c>
      <c r="N1092" s="32" t="s">
        <v>8475</v>
      </c>
      <c r="O1092" s="32" t="s">
        <v>14243</v>
      </c>
    </row>
    <row x14ac:dyDescent="0.25" r="1093" customHeight="1" ht="15.75">
      <c r="A1093" s="8">
        <v>26222</v>
      </c>
      <c r="B1093" s="13" t="s">
        <v>116</v>
      </c>
      <c r="C1093" s="13" t="s">
        <v>7030</v>
      </c>
      <c r="D1093" s="32" t="s">
        <v>7031</v>
      </c>
      <c r="E1093" s="32" t="s">
        <v>14244</v>
      </c>
      <c r="F1093" s="32" t="s">
        <v>8559</v>
      </c>
      <c r="G1093" s="32" t="s">
        <v>14245</v>
      </c>
      <c r="H1093" s="32" t="s">
        <v>8998</v>
      </c>
      <c r="I1093" s="32" t="s">
        <v>13449</v>
      </c>
      <c r="J1093" s="32" t="s">
        <v>7032</v>
      </c>
      <c r="K1093" s="32" t="s">
        <v>14246</v>
      </c>
      <c r="L1093" s="32" t="s">
        <v>5955</v>
      </c>
      <c r="M1093" s="32" t="s">
        <v>14247</v>
      </c>
      <c r="N1093" s="32" t="s">
        <v>14248</v>
      </c>
      <c r="O1093" s="32" t="s">
        <v>14249</v>
      </c>
    </row>
    <row x14ac:dyDescent="0.25" r="1094" customHeight="1" ht="15.75">
      <c r="A1094" s="8">
        <v>26156</v>
      </c>
      <c r="B1094" s="13" t="s">
        <v>116</v>
      </c>
      <c r="C1094" s="13" t="s">
        <v>7033</v>
      </c>
      <c r="D1094" s="32" t="s">
        <v>2670</v>
      </c>
      <c r="E1094" s="32" t="s">
        <v>14250</v>
      </c>
      <c r="F1094" s="32" t="s">
        <v>14251</v>
      </c>
      <c r="G1094" s="32" t="s">
        <v>14252</v>
      </c>
      <c r="H1094" s="32" t="s">
        <v>4382</v>
      </c>
      <c r="I1094" s="32" t="s">
        <v>14018</v>
      </c>
      <c r="J1094" s="32" t="s">
        <v>7035</v>
      </c>
      <c r="K1094" s="32" t="s">
        <v>14253</v>
      </c>
      <c r="L1094" s="32" t="s">
        <v>14254</v>
      </c>
      <c r="M1094" s="32" t="s">
        <v>14255</v>
      </c>
      <c r="N1094" s="32" t="s">
        <v>14256</v>
      </c>
      <c r="O1094" s="32" t="s">
        <v>8738</v>
      </c>
    </row>
    <row x14ac:dyDescent="0.25" r="1095" customHeight="1" ht="15.75">
      <c r="A1095" s="8">
        <v>26223</v>
      </c>
      <c r="B1095" s="13" t="s">
        <v>116</v>
      </c>
      <c r="C1095" s="13" t="s">
        <v>7036</v>
      </c>
      <c r="D1095" s="32" t="s">
        <v>2453</v>
      </c>
      <c r="E1095" s="32" t="s">
        <v>14257</v>
      </c>
      <c r="F1095" s="32" t="s">
        <v>8757</v>
      </c>
      <c r="G1095" s="32" t="s">
        <v>14258</v>
      </c>
      <c r="H1095" s="32" t="s">
        <v>234</v>
      </c>
      <c r="I1095" s="32" t="s">
        <v>14259</v>
      </c>
      <c r="J1095" s="32" t="s">
        <v>2172</v>
      </c>
      <c r="K1095" s="32" t="s">
        <v>11483</v>
      </c>
      <c r="L1095" s="32" t="s">
        <v>1460</v>
      </c>
      <c r="M1095" s="32" t="s">
        <v>9629</v>
      </c>
      <c r="N1095" s="32" t="s">
        <v>11290</v>
      </c>
      <c r="O1095" s="32" t="s">
        <v>7831</v>
      </c>
    </row>
    <row x14ac:dyDescent="0.25" r="1096" customHeight="1" ht="15.75">
      <c r="A1096" s="8">
        <v>26171</v>
      </c>
      <c r="B1096" s="13" t="s">
        <v>116</v>
      </c>
      <c r="C1096" s="13" t="s">
        <v>7037</v>
      </c>
      <c r="D1096" s="32" t="s">
        <v>7038</v>
      </c>
      <c r="E1096" s="32" t="s">
        <v>14260</v>
      </c>
      <c r="F1096" s="32" t="s">
        <v>9115</v>
      </c>
      <c r="G1096" s="32" t="s">
        <v>7127</v>
      </c>
      <c r="H1096" s="32" t="s">
        <v>10438</v>
      </c>
      <c r="I1096" s="32" t="s">
        <v>14261</v>
      </c>
      <c r="J1096" s="32" t="s">
        <v>7040</v>
      </c>
      <c r="K1096" s="32" t="s">
        <v>14262</v>
      </c>
      <c r="L1096" s="32" t="s">
        <v>5953</v>
      </c>
      <c r="M1096" s="32" t="s">
        <v>14263</v>
      </c>
      <c r="N1096" s="32" t="s">
        <v>11668</v>
      </c>
      <c r="O1096" s="32" t="s">
        <v>14264</v>
      </c>
    </row>
    <row x14ac:dyDescent="0.25" r="1097" customHeight="1" ht="15.75">
      <c r="A1097" s="8">
        <v>26224</v>
      </c>
      <c r="B1097" s="13" t="s">
        <v>116</v>
      </c>
      <c r="C1097" s="13" t="s">
        <v>6328</v>
      </c>
      <c r="D1097" s="32" t="s">
        <v>6742</v>
      </c>
      <c r="E1097" s="32" t="s">
        <v>14265</v>
      </c>
      <c r="F1097" s="32" t="s">
        <v>5745</v>
      </c>
      <c r="G1097" s="32" t="s">
        <v>14266</v>
      </c>
      <c r="H1097" s="32" t="s">
        <v>2638</v>
      </c>
      <c r="I1097" s="32" t="s">
        <v>14267</v>
      </c>
      <c r="J1097" s="32" t="s">
        <v>5745</v>
      </c>
      <c r="K1097" s="32" t="s">
        <v>14268</v>
      </c>
      <c r="L1097" s="32" t="s">
        <v>1562</v>
      </c>
      <c r="M1097" s="32" t="s">
        <v>14269</v>
      </c>
      <c r="N1097" s="32" t="s">
        <v>8595</v>
      </c>
      <c r="O1097" s="32" t="s">
        <v>12228</v>
      </c>
    </row>
    <row x14ac:dyDescent="0.25" r="1098" customHeight="1" ht="15.75">
      <c r="A1098" s="8">
        <v>26225</v>
      </c>
      <c r="B1098" s="13" t="s">
        <v>116</v>
      </c>
      <c r="C1098" s="13" t="s">
        <v>5212</v>
      </c>
      <c r="D1098" s="32" t="s">
        <v>7041</v>
      </c>
      <c r="E1098" s="32" t="s">
        <v>14270</v>
      </c>
      <c r="F1098" s="32" t="s">
        <v>8578</v>
      </c>
      <c r="G1098" s="32" t="s">
        <v>14271</v>
      </c>
      <c r="H1098" s="32" t="s">
        <v>9090</v>
      </c>
      <c r="I1098" s="32" t="s">
        <v>14272</v>
      </c>
      <c r="J1098" s="32" t="s">
        <v>7042</v>
      </c>
      <c r="K1098" s="32" t="s">
        <v>14273</v>
      </c>
      <c r="L1098" s="32" t="s">
        <v>9101</v>
      </c>
      <c r="M1098" s="32" t="s">
        <v>14274</v>
      </c>
      <c r="N1098" s="32" t="s">
        <v>2337</v>
      </c>
      <c r="O1098" s="32" t="s">
        <v>14275</v>
      </c>
    </row>
    <row x14ac:dyDescent="0.25" r="1099" customHeight="1" ht="15.75">
      <c r="A1099" s="8">
        <v>26226</v>
      </c>
      <c r="B1099" s="13" t="s">
        <v>116</v>
      </c>
      <c r="C1099" s="13" t="s">
        <v>7043</v>
      </c>
      <c r="D1099" s="32" t="s">
        <v>4329</v>
      </c>
      <c r="E1099" s="32" t="s">
        <v>10784</v>
      </c>
      <c r="F1099" s="32" t="s">
        <v>8009</v>
      </c>
      <c r="G1099" s="32" t="s">
        <v>8063</v>
      </c>
      <c r="H1099" s="32" t="s">
        <v>2166</v>
      </c>
      <c r="I1099" s="32" t="s">
        <v>11895</v>
      </c>
      <c r="J1099" s="32" t="s">
        <v>2477</v>
      </c>
      <c r="K1099" s="32" t="s">
        <v>14276</v>
      </c>
      <c r="L1099" s="32" t="s">
        <v>2166</v>
      </c>
      <c r="M1099" s="32" t="s">
        <v>14277</v>
      </c>
      <c r="N1099" s="32" t="s">
        <v>8009</v>
      </c>
      <c r="O1099" s="32" t="s">
        <v>14278</v>
      </c>
    </row>
    <row x14ac:dyDescent="0.25" r="1100" customHeight="1" ht="15.75">
      <c r="A1100" s="8">
        <v>26172</v>
      </c>
      <c r="B1100" s="13" t="s">
        <v>116</v>
      </c>
      <c r="C1100" s="13" t="s">
        <v>7044</v>
      </c>
      <c r="D1100" s="32" t="s">
        <v>5083</v>
      </c>
      <c r="E1100" s="32" t="s">
        <v>14279</v>
      </c>
      <c r="F1100" s="32" t="s">
        <v>8312</v>
      </c>
      <c r="G1100" s="32" t="s">
        <v>14280</v>
      </c>
      <c r="H1100" s="32" t="s">
        <v>6029</v>
      </c>
      <c r="I1100" s="32" t="s">
        <v>14281</v>
      </c>
      <c r="J1100" s="32" t="s">
        <v>7045</v>
      </c>
      <c r="K1100" s="32" t="s">
        <v>14282</v>
      </c>
      <c r="L1100" s="32" t="s">
        <v>7800</v>
      </c>
      <c r="M1100" s="32" t="s">
        <v>7519</v>
      </c>
      <c r="N1100" s="32" t="s">
        <v>7800</v>
      </c>
      <c r="O1100" s="32" t="s">
        <v>13804</v>
      </c>
    </row>
    <row x14ac:dyDescent="0.25" r="1101" customHeight="1" ht="15.75">
      <c r="A1101" s="8">
        <v>26173</v>
      </c>
      <c r="B1101" s="13" t="s">
        <v>116</v>
      </c>
      <c r="C1101" s="13" t="s">
        <v>7046</v>
      </c>
      <c r="D1101" s="32" t="s">
        <v>6159</v>
      </c>
      <c r="E1101" s="32" t="s">
        <v>7127</v>
      </c>
      <c r="F1101" s="32" t="s">
        <v>14283</v>
      </c>
      <c r="G1101" s="32" t="s">
        <v>14191</v>
      </c>
      <c r="H1101" s="32" t="s">
        <v>4768</v>
      </c>
      <c r="I1101" s="32" t="s">
        <v>12569</v>
      </c>
      <c r="J1101" s="32" t="s">
        <v>1555</v>
      </c>
      <c r="K1101" s="32" t="s">
        <v>14284</v>
      </c>
      <c r="L1101" s="32" t="s">
        <v>6249</v>
      </c>
      <c r="M1101" s="32" t="s">
        <v>14285</v>
      </c>
      <c r="N1101" s="32" t="s">
        <v>194</v>
      </c>
      <c r="O1101" s="32" t="s">
        <v>7127</v>
      </c>
    </row>
    <row x14ac:dyDescent="0.25" r="1102" customHeight="1" ht="3.75">
      <c r="A1102" s="8">
        <v>26228</v>
      </c>
      <c r="B1102" s="13" t="s">
        <v>116</v>
      </c>
      <c r="C1102" s="13" t="s">
        <v>7048</v>
      </c>
      <c r="D1102" s="32" t="s">
        <v>1227</v>
      </c>
      <c r="E1102" s="32" t="s">
        <v>14286</v>
      </c>
      <c r="F1102" s="32" t="s">
        <v>10277</v>
      </c>
      <c r="G1102" s="32" t="s">
        <v>14287</v>
      </c>
      <c r="H1102" s="32" t="s">
        <v>2543</v>
      </c>
      <c r="I1102" s="32" t="s">
        <v>12030</v>
      </c>
      <c r="J1102" s="32" t="s">
        <v>7049</v>
      </c>
      <c r="K1102" s="32" t="s">
        <v>14288</v>
      </c>
      <c r="L1102" s="32" t="s">
        <v>447</v>
      </c>
      <c r="M1102" s="32" t="s">
        <v>14289</v>
      </c>
      <c r="N1102" s="32" t="s">
        <v>81</v>
      </c>
      <c r="O1102" s="32" t="s">
        <v>14290</v>
      </c>
    </row>
    <row x14ac:dyDescent="0.25" r="1103" customHeight="1" ht="15.75">
      <c r="A1103" s="8">
        <v>26159</v>
      </c>
      <c r="B1103" s="13" t="s">
        <v>116</v>
      </c>
      <c r="C1103" s="13" t="s">
        <v>7050</v>
      </c>
      <c r="D1103" s="32" t="s">
        <v>2511</v>
      </c>
      <c r="E1103" s="32" t="s">
        <v>14291</v>
      </c>
      <c r="F1103" s="32" t="s">
        <v>14292</v>
      </c>
      <c r="G1103" s="32" t="s">
        <v>7127</v>
      </c>
      <c r="H1103" s="32" t="s">
        <v>14293</v>
      </c>
      <c r="I1103" s="32" t="s">
        <v>14294</v>
      </c>
      <c r="J1103" s="32" t="s">
        <v>5246</v>
      </c>
      <c r="K1103" s="32" t="s">
        <v>14295</v>
      </c>
      <c r="L1103" s="32" t="s">
        <v>14296</v>
      </c>
      <c r="M1103" s="32" t="s">
        <v>14297</v>
      </c>
      <c r="N1103" s="32" t="s">
        <v>13344</v>
      </c>
      <c r="O1103" s="32" t="s">
        <v>9961</v>
      </c>
    </row>
    <row x14ac:dyDescent="0.25" r="1104" customHeight="1" ht="15.75">
      <c r="A1104" s="8">
        <v>26189</v>
      </c>
      <c r="B1104" s="13" t="s">
        <v>116</v>
      </c>
      <c r="C1104" s="13" t="s">
        <v>7051</v>
      </c>
      <c r="D1104" s="32" t="s">
        <v>7052</v>
      </c>
      <c r="E1104" s="32" t="s">
        <v>14298</v>
      </c>
      <c r="F1104" s="32" t="s">
        <v>14299</v>
      </c>
      <c r="G1104" s="32" t="s">
        <v>14300</v>
      </c>
      <c r="H1104" s="32" t="s">
        <v>12459</v>
      </c>
      <c r="I1104" s="32" t="s">
        <v>14301</v>
      </c>
      <c r="J1104" s="32" t="s">
        <v>7054</v>
      </c>
      <c r="K1104" s="32" t="s">
        <v>14302</v>
      </c>
      <c r="L1104" s="32" t="s">
        <v>5867</v>
      </c>
      <c r="M1104" s="32" t="s">
        <v>14303</v>
      </c>
      <c r="N1104" s="32" t="s">
        <v>5601</v>
      </c>
      <c r="O1104" s="32" t="s">
        <v>14304</v>
      </c>
    </row>
    <row x14ac:dyDescent="0.25" r="1105" customHeight="1" ht="15.75">
      <c r="A1105" s="8">
        <v>26175</v>
      </c>
      <c r="B1105" s="13" t="s">
        <v>116</v>
      </c>
      <c r="C1105" s="13" t="s">
        <v>7055</v>
      </c>
      <c r="D1105" s="32" t="s">
        <v>7056</v>
      </c>
      <c r="E1105" s="32" t="s">
        <v>14305</v>
      </c>
      <c r="F1105" s="32" t="s">
        <v>7102</v>
      </c>
      <c r="G1105" s="32" t="s">
        <v>14306</v>
      </c>
      <c r="H1105" s="32" t="s">
        <v>11945</v>
      </c>
      <c r="I1105" s="32" t="s">
        <v>14307</v>
      </c>
      <c r="J1105" s="32" t="s">
        <v>5433</v>
      </c>
      <c r="K1105" s="32" t="s">
        <v>14308</v>
      </c>
      <c r="L1105" s="32" t="s">
        <v>4710</v>
      </c>
      <c r="M1105" s="32" t="s">
        <v>12489</v>
      </c>
      <c r="N1105" s="32" t="s">
        <v>5433</v>
      </c>
      <c r="O1105" s="32" t="s">
        <v>13456</v>
      </c>
    </row>
    <row x14ac:dyDescent="0.25" r="1106" customHeight="1" ht="15.75">
      <c r="A1106" s="8">
        <v>26229</v>
      </c>
      <c r="B1106" s="13" t="s">
        <v>116</v>
      </c>
      <c r="C1106" s="13" t="s">
        <v>7058</v>
      </c>
      <c r="D1106" s="32" t="s">
        <v>6844</v>
      </c>
      <c r="E1106" s="32" t="s">
        <v>14309</v>
      </c>
      <c r="F1106" s="32" t="s">
        <v>2143</v>
      </c>
      <c r="G1106" s="32" t="s">
        <v>9424</v>
      </c>
      <c r="H1106" s="32" t="s">
        <v>14310</v>
      </c>
      <c r="I1106" s="32" t="s">
        <v>14311</v>
      </c>
      <c r="J1106" s="32" t="s">
        <v>1601</v>
      </c>
      <c r="K1106" s="32" t="s">
        <v>14312</v>
      </c>
      <c r="L1106" s="32" t="s">
        <v>810</v>
      </c>
      <c r="M1106" s="32" t="s">
        <v>14313</v>
      </c>
      <c r="N1106" s="32" t="s">
        <v>2401</v>
      </c>
      <c r="O1106" s="32" t="s">
        <v>12054</v>
      </c>
    </row>
    <row x14ac:dyDescent="0.25" r="1107" customHeight="1" ht="15.75">
      <c r="A1107" s="8">
        <v>26230</v>
      </c>
      <c r="B1107" s="13" t="s">
        <v>116</v>
      </c>
      <c r="C1107" s="13" t="s">
        <v>7060</v>
      </c>
      <c r="D1107" s="32" t="s">
        <v>7061</v>
      </c>
      <c r="E1107" s="32" t="s">
        <v>14314</v>
      </c>
      <c r="F1107" s="32" t="s">
        <v>5802</v>
      </c>
      <c r="G1107" s="32" t="s">
        <v>14315</v>
      </c>
      <c r="H1107" s="32" t="s">
        <v>7246</v>
      </c>
      <c r="I1107" s="32" t="s">
        <v>14316</v>
      </c>
      <c r="J1107" s="32" t="s">
        <v>5702</v>
      </c>
      <c r="K1107" s="32" t="s">
        <v>14317</v>
      </c>
      <c r="L1107" s="32" t="s">
        <v>14318</v>
      </c>
      <c r="M1107" s="32" t="s">
        <v>14319</v>
      </c>
      <c r="N1107" s="32" t="s">
        <v>14320</v>
      </c>
      <c r="O1107" s="32" t="s">
        <v>14321</v>
      </c>
    </row>
    <row x14ac:dyDescent="0.25" r="1108" customHeight="1" ht="15.75">
      <c r="A1108" s="8">
        <v>26209</v>
      </c>
      <c r="B1108" s="13" t="s">
        <v>116</v>
      </c>
      <c r="C1108" s="13" t="s">
        <v>7063</v>
      </c>
      <c r="D1108" s="32" t="s">
        <v>7064</v>
      </c>
      <c r="E1108" s="32" t="s">
        <v>14322</v>
      </c>
      <c r="F1108" s="32" t="s">
        <v>14323</v>
      </c>
      <c r="G1108" s="32" t="s">
        <v>14324</v>
      </c>
      <c r="H1108" s="32" t="s">
        <v>11312</v>
      </c>
      <c r="I1108" s="32" t="s">
        <v>14325</v>
      </c>
      <c r="J1108" s="32" t="s">
        <v>2679</v>
      </c>
      <c r="K1108" s="32" t="s">
        <v>7479</v>
      </c>
      <c r="L1108" s="32" t="s">
        <v>14326</v>
      </c>
      <c r="M1108" s="32" t="s">
        <v>14327</v>
      </c>
      <c r="N1108" s="32" t="s">
        <v>2679</v>
      </c>
      <c r="O1108" s="32" t="s">
        <v>8738</v>
      </c>
    </row>
    <row x14ac:dyDescent="0.25" r="1109" customHeight="1" ht="15.75">
      <c r="A1109" s="8">
        <v>26231</v>
      </c>
      <c r="B1109" s="13" t="s">
        <v>116</v>
      </c>
      <c r="C1109" s="13" t="s">
        <v>7065</v>
      </c>
      <c r="D1109" s="32" t="s">
        <v>2364</v>
      </c>
      <c r="E1109" s="32" t="s">
        <v>14328</v>
      </c>
      <c r="F1109" s="32" t="s">
        <v>1507</v>
      </c>
      <c r="G1109" s="32" t="s">
        <v>14329</v>
      </c>
      <c r="H1109" s="32" t="s">
        <v>2411</v>
      </c>
      <c r="I1109" s="32" t="s">
        <v>8883</v>
      </c>
      <c r="J1109" s="32" t="s">
        <v>4961</v>
      </c>
      <c r="K1109" s="32" t="s">
        <v>11492</v>
      </c>
      <c r="L1109" s="32" t="s">
        <v>2411</v>
      </c>
      <c r="M1109" s="32" t="s">
        <v>14330</v>
      </c>
      <c r="N1109" s="32" t="s">
        <v>11595</v>
      </c>
      <c r="O1109" s="32" t="s">
        <v>14331</v>
      </c>
    </row>
    <row x14ac:dyDescent="0.25" r="1110" customHeight="1" ht="15.75">
      <c r="A1110" s="8">
        <v>26160</v>
      </c>
      <c r="B1110" s="13" t="s">
        <v>116</v>
      </c>
      <c r="C1110" s="13" t="s">
        <v>7067</v>
      </c>
      <c r="D1110" s="32" t="s">
        <v>1505</v>
      </c>
      <c r="E1110" s="32" t="s">
        <v>14332</v>
      </c>
      <c r="F1110" s="32" t="s">
        <v>6988</v>
      </c>
      <c r="G1110" s="32" t="s">
        <v>14333</v>
      </c>
      <c r="H1110" s="32" t="s">
        <v>1572</v>
      </c>
      <c r="I1110" s="32" t="s">
        <v>7127</v>
      </c>
      <c r="J1110" s="32" t="s">
        <v>5598</v>
      </c>
      <c r="K1110" s="32" t="s">
        <v>14334</v>
      </c>
      <c r="L1110" s="32" t="s">
        <v>5948</v>
      </c>
      <c r="M1110" s="32" t="s">
        <v>12897</v>
      </c>
      <c r="N1110" s="32" t="s">
        <v>5940</v>
      </c>
      <c r="O1110" s="32" t="s">
        <v>14335</v>
      </c>
    </row>
    <row x14ac:dyDescent="0.25" r="1111" customHeight="1" ht="15.75">
      <c r="A1111" s="8">
        <v>26206</v>
      </c>
      <c r="B1111" s="13" t="s">
        <v>116</v>
      </c>
      <c r="C1111" s="13" t="s">
        <v>7069</v>
      </c>
      <c r="D1111" s="32" t="s">
        <v>2543</v>
      </c>
      <c r="E1111" s="32" t="s">
        <v>14336</v>
      </c>
      <c r="F1111" s="32" t="s">
        <v>5048</v>
      </c>
      <c r="G1111" s="32" t="s">
        <v>14337</v>
      </c>
      <c r="H1111" s="32" t="s">
        <v>5714</v>
      </c>
      <c r="I1111" s="32" t="s">
        <v>14338</v>
      </c>
      <c r="J1111" s="32" t="s">
        <v>7071</v>
      </c>
      <c r="K1111" s="32" t="s">
        <v>14339</v>
      </c>
      <c r="L1111" s="32" t="s">
        <v>14340</v>
      </c>
      <c r="M1111" s="32" t="s">
        <v>7127</v>
      </c>
      <c r="N1111" s="32" t="s">
        <v>14201</v>
      </c>
      <c r="O1111" s="32" t="s">
        <v>14341</v>
      </c>
    </row>
    <row x14ac:dyDescent="0.25" r="1112" customHeight="1" ht="15.75">
      <c r="A1112" s="8">
        <v>26232</v>
      </c>
      <c r="B1112" s="13" t="s">
        <v>116</v>
      </c>
      <c r="C1112" s="13" t="s">
        <v>7072</v>
      </c>
      <c r="D1112" s="32" t="s">
        <v>4079</v>
      </c>
      <c r="E1112" s="32" t="s">
        <v>14342</v>
      </c>
      <c r="F1112" s="32" t="s">
        <v>13880</v>
      </c>
      <c r="G1112" s="32" t="s">
        <v>14343</v>
      </c>
      <c r="H1112" s="32" t="s">
        <v>12824</v>
      </c>
      <c r="I1112" s="32" t="s">
        <v>14344</v>
      </c>
      <c r="J1112" s="32" t="s">
        <v>4079</v>
      </c>
      <c r="K1112" s="32" t="s">
        <v>14345</v>
      </c>
      <c r="L1112" s="32" t="s">
        <v>4079</v>
      </c>
      <c r="M1112" s="32" t="s">
        <v>14346</v>
      </c>
      <c r="N1112" s="32" t="s">
        <v>14347</v>
      </c>
      <c r="O1112" s="32" t="s">
        <v>14348</v>
      </c>
    </row>
    <row x14ac:dyDescent="0.25" r="1113" customHeight="1" ht="15.75">
      <c r="A1113" s="8">
        <v>26233</v>
      </c>
      <c r="B1113" s="13" t="s">
        <v>116</v>
      </c>
      <c r="C1113" s="13" t="s">
        <v>7075</v>
      </c>
      <c r="D1113" s="32" t="s">
        <v>6374</v>
      </c>
      <c r="E1113" s="32" t="s">
        <v>14349</v>
      </c>
      <c r="F1113" s="32" t="s">
        <v>5851</v>
      </c>
      <c r="G1113" s="32" t="s">
        <v>14350</v>
      </c>
      <c r="H1113" s="32" t="s">
        <v>7785</v>
      </c>
      <c r="I1113" s="32" t="s">
        <v>14351</v>
      </c>
      <c r="J1113" s="32" t="s">
        <v>7076</v>
      </c>
      <c r="K1113" s="32" t="s">
        <v>14352</v>
      </c>
      <c r="L1113" s="32" t="s">
        <v>4417</v>
      </c>
      <c r="M1113" s="32" t="s">
        <v>8226</v>
      </c>
      <c r="N1113" s="32" t="s">
        <v>1562</v>
      </c>
      <c r="O1113" s="32" t="s">
        <v>7918</v>
      </c>
    </row>
    <row x14ac:dyDescent="0.25" r="1114" customHeight="1" ht="15.75">
      <c r="A1114" s="8">
        <v>26176</v>
      </c>
      <c r="B1114" s="13" t="s">
        <v>116</v>
      </c>
      <c r="C1114" s="13" t="s">
        <v>7077</v>
      </c>
      <c r="D1114" s="32" t="s">
        <v>6237</v>
      </c>
      <c r="E1114" s="32" t="s">
        <v>9649</v>
      </c>
      <c r="F1114" s="32" t="s">
        <v>7785</v>
      </c>
      <c r="G1114" s="32" t="s">
        <v>14353</v>
      </c>
      <c r="H1114" s="32" t="s">
        <v>369</v>
      </c>
      <c r="I1114" s="32" t="s">
        <v>14354</v>
      </c>
      <c r="J1114" s="32" t="s">
        <v>4319</v>
      </c>
      <c r="K1114" s="32" t="s">
        <v>14355</v>
      </c>
      <c r="L1114" s="32" t="s">
        <v>34</v>
      </c>
      <c r="M1114" s="32" t="s">
        <v>14356</v>
      </c>
      <c r="N1114" s="32" t="s">
        <v>88</v>
      </c>
      <c r="O1114" s="32" t="s">
        <v>14351</v>
      </c>
    </row>
    <row x14ac:dyDescent="0.25" r="1115" customHeight="1" ht="15.75">
      <c r="A1115" s="8">
        <v>26177</v>
      </c>
      <c r="B1115" s="13" t="s">
        <v>116</v>
      </c>
      <c r="C1115" s="13" t="s">
        <v>7079</v>
      </c>
      <c r="D1115" s="32" t="s">
        <v>7080</v>
      </c>
      <c r="E1115" s="32" t="s">
        <v>14357</v>
      </c>
      <c r="F1115" s="32" t="s">
        <v>6137</v>
      </c>
      <c r="G1115" s="32" t="s">
        <v>14358</v>
      </c>
      <c r="H1115" s="32" t="s">
        <v>5653</v>
      </c>
      <c r="I1115" s="32" t="s">
        <v>14359</v>
      </c>
      <c r="J1115" s="32" t="s">
        <v>7081</v>
      </c>
      <c r="K1115" s="32" t="s">
        <v>14360</v>
      </c>
      <c r="L1115" s="32" t="s">
        <v>1672</v>
      </c>
      <c r="M1115" s="32" t="s">
        <v>14361</v>
      </c>
      <c r="N1115" s="32" t="s">
        <v>9090</v>
      </c>
      <c r="O1115" s="32" t="s">
        <v>14362</v>
      </c>
    </row>
    <row x14ac:dyDescent="0.25" r="1116" customHeight="1" ht="15.75">
      <c r="A1116" s="8">
        <v>26179</v>
      </c>
      <c r="B1116" s="13" t="s">
        <v>116</v>
      </c>
      <c r="C1116" s="13" t="s">
        <v>7082</v>
      </c>
      <c r="D1116" s="32" t="s">
        <v>4319</v>
      </c>
      <c r="E1116" s="32" t="s">
        <v>14363</v>
      </c>
      <c r="F1116" s="32" t="s">
        <v>9264</v>
      </c>
      <c r="G1116" s="32" t="s">
        <v>9755</v>
      </c>
      <c r="H1116" s="32" t="s">
        <v>13490</v>
      </c>
      <c r="I1116" s="32" t="s">
        <v>14364</v>
      </c>
      <c r="J1116" s="32" t="s">
        <v>7083</v>
      </c>
      <c r="K1116" s="32" t="s">
        <v>10190</v>
      </c>
      <c r="L1116" s="32" t="s">
        <v>6214</v>
      </c>
      <c r="M1116" s="32" t="s">
        <v>14365</v>
      </c>
      <c r="N1116" s="32" t="s">
        <v>14366</v>
      </c>
      <c r="O1116" s="32" t="s">
        <v>14367</v>
      </c>
    </row>
    <row x14ac:dyDescent="0.25" r="1117" customHeight="1" ht="15.75">
      <c r="A1117" s="8">
        <v>26178</v>
      </c>
      <c r="B1117" s="13" t="s">
        <v>116</v>
      </c>
      <c r="C1117" s="13" t="s">
        <v>7084</v>
      </c>
      <c r="D1117" s="32" t="s">
        <v>7085</v>
      </c>
      <c r="E1117" s="32" t="s">
        <v>14368</v>
      </c>
      <c r="F1117" s="32" t="s">
        <v>11636</v>
      </c>
      <c r="G1117" s="32" t="s">
        <v>14369</v>
      </c>
      <c r="H1117" s="32" t="s">
        <v>6021</v>
      </c>
      <c r="I1117" s="32" t="s">
        <v>14370</v>
      </c>
      <c r="J1117" s="32" t="s">
        <v>7086</v>
      </c>
      <c r="K1117" s="32" t="s">
        <v>14371</v>
      </c>
      <c r="L1117" s="32" t="s">
        <v>13916</v>
      </c>
      <c r="M1117" s="32" t="s">
        <v>7902</v>
      </c>
      <c r="N1117" s="32" t="s">
        <v>13916</v>
      </c>
      <c r="O1117" s="32" t="s">
        <v>14372</v>
      </c>
    </row>
    <row x14ac:dyDescent="0.25" r="1118" customHeight="1" ht="15.75">
      <c r="A1118" s="8">
        <v>26161</v>
      </c>
      <c r="B1118" s="13" t="s">
        <v>116</v>
      </c>
      <c r="C1118" s="13" t="s">
        <v>7087</v>
      </c>
      <c r="D1118" s="32" t="s">
        <v>7088</v>
      </c>
      <c r="E1118" s="32" t="s">
        <v>11911</v>
      </c>
      <c r="F1118" s="32" t="s">
        <v>14373</v>
      </c>
      <c r="G1118" s="32" t="s">
        <v>12592</v>
      </c>
      <c r="H1118" s="32" t="s">
        <v>11331</v>
      </c>
      <c r="I1118" s="32" t="s">
        <v>13765</v>
      </c>
      <c r="J1118" s="32" t="s">
        <v>5395</v>
      </c>
      <c r="K1118" s="32" t="s">
        <v>14374</v>
      </c>
      <c r="L1118" s="32" t="s">
        <v>8850</v>
      </c>
      <c r="M1118" s="32" t="s">
        <v>14375</v>
      </c>
      <c r="N1118" s="32" t="s">
        <v>9878</v>
      </c>
      <c r="O1118" s="32" t="s">
        <v>14376</v>
      </c>
    </row>
    <row x14ac:dyDescent="0.25" r="1119" customHeight="1" ht="15.75">
      <c r="A1119" s="8">
        <v>26187</v>
      </c>
      <c r="B1119" s="13" t="s">
        <v>116</v>
      </c>
      <c r="C1119" s="13" t="s">
        <v>7089</v>
      </c>
      <c r="D1119" s="32" t="s">
        <v>7090</v>
      </c>
      <c r="E1119" s="32" t="s">
        <v>14377</v>
      </c>
      <c r="F1119" s="32" t="s">
        <v>13598</v>
      </c>
      <c r="G1119" s="32" t="s">
        <v>14378</v>
      </c>
      <c r="H1119" s="32" t="s">
        <v>4632</v>
      </c>
      <c r="I1119" s="32" t="s">
        <v>14379</v>
      </c>
      <c r="J1119" s="32" t="s">
        <v>7091</v>
      </c>
      <c r="K1119" s="32" t="s">
        <v>14380</v>
      </c>
      <c r="L1119" s="32" t="s">
        <v>6087</v>
      </c>
      <c r="M1119" s="32" t="s">
        <v>14381</v>
      </c>
      <c r="N1119" s="32" t="s">
        <v>14382</v>
      </c>
      <c r="O1119" s="32" t="s">
        <v>14383</v>
      </c>
    </row>
    <row x14ac:dyDescent="0.25" r="1120" customHeight="1" ht="15.75">
      <c r="A1120" s="8">
        <v>26235</v>
      </c>
      <c r="B1120" s="13" t="s">
        <v>116</v>
      </c>
      <c r="C1120" s="13" t="s">
        <v>7092</v>
      </c>
      <c r="D1120" s="32" t="s">
        <v>4528</v>
      </c>
      <c r="E1120" s="32" t="s">
        <v>14384</v>
      </c>
      <c r="F1120" s="32" t="s">
        <v>5496</v>
      </c>
      <c r="G1120" s="32" t="s">
        <v>14385</v>
      </c>
      <c r="H1120" s="32" t="s">
        <v>5500</v>
      </c>
      <c r="I1120" s="32" t="s">
        <v>10622</v>
      </c>
      <c r="J1120" s="32" t="s">
        <v>6334</v>
      </c>
      <c r="K1120" s="32" t="s">
        <v>14386</v>
      </c>
      <c r="L1120" s="32" t="s">
        <v>5365</v>
      </c>
      <c r="M1120" s="32" t="s">
        <v>14387</v>
      </c>
      <c r="N1120" s="32" t="s">
        <v>11611</v>
      </c>
      <c r="O1120" s="32" t="s">
        <v>14388</v>
      </c>
    </row>
    <row x14ac:dyDescent="0.25" r="1121" customHeight="1" ht="15.75">
      <c r="A1121" s="36" t="s">
        <v>7093</v>
      </c>
      <c r="B1121" s="27" t="s">
        <v>27</v>
      </c>
      <c r="C1121" s="27" t="s">
        <v>27</v>
      </c>
      <c r="D1121" s="28" t="s">
        <v>6935</v>
      </c>
      <c r="E1121" s="28" t="s">
        <v>14389</v>
      </c>
      <c r="F1121" s="28" t="s">
        <v>14390</v>
      </c>
      <c r="G1121" s="28" t="s">
        <v>14391</v>
      </c>
      <c r="H1121" s="28" t="s">
        <v>2439</v>
      </c>
      <c r="I1121" s="28" t="s">
        <v>14392</v>
      </c>
      <c r="J1121" s="28" t="s">
        <v>11812</v>
      </c>
      <c r="K1121" s="28" t="s">
        <v>14393</v>
      </c>
      <c r="L1121" s="28" t="s">
        <v>14394</v>
      </c>
      <c r="M1121" s="28" t="s">
        <v>14395</v>
      </c>
      <c r="N1121" s="28" t="s">
        <v>37</v>
      </c>
      <c r="O1121" s="28" t="s">
        <v>14396</v>
      </c>
    </row>
    <row x14ac:dyDescent="0.25" r="1122" customHeight="1" ht="15.75">
      <c r="A1122" s="36" t="s">
        <v>7093</v>
      </c>
      <c r="B1122" s="27" t="s">
        <v>512</v>
      </c>
      <c r="C1122" s="27" t="s">
        <v>512</v>
      </c>
      <c r="D1122" s="28" t="s">
        <v>14397</v>
      </c>
      <c r="E1122" s="28" t="s">
        <v>14398</v>
      </c>
      <c r="F1122" s="28" t="s">
        <v>14399</v>
      </c>
      <c r="G1122" s="28" t="s">
        <v>10753</v>
      </c>
      <c r="H1122" s="28" t="s">
        <v>6669</v>
      </c>
      <c r="I1122" s="28" t="s">
        <v>14400</v>
      </c>
      <c r="J1122" s="28" t="s">
        <v>14401</v>
      </c>
      <c r="K1122" s="28" t="s">
        <v>14402</v>
      </c>
      <c r="L1122" s="28" t="s">
        <v>14403</v>
      </c>
      <c r="M1122" s="28" t="s">
        <v>14404</v>
      </c>
      <c r="N1122" s="28" t="s">
        <v>8831</v>
      </c>
      <c r="O1122" s="28" t="s">
        <v>14405</v>
      </c>
    </row>
    <row x14ac:dyDescent="0.25" r="1123" customHeight="1" ht="15.75">
      <c r="A1123" s="36" t="s">
        <v>7093</v>
      </c>
      <c r="B1123" s="27" t="s">
        <v>184</v>
      </c>
      <c r="C1123" s="27" t="s">
        <v>184</v>
      </c>
      <c r="D1123" s="28" t="s">
        <v>14406</v>
      </c>
      <c r="E1123" s="28" t="s">
        <v>14407</v>
      </c>
      <c r="F1123" s="28" t="s">
        <v>6383</v>
      </c>
      <c r="G1123" s="28" t="s">
        <v>14408</v>
      </c>
      <c r="H1123" s="28" t="s">
        <v>8787</v>
      </c>
      <c r="I1123" s="28" t="s">
        <v>14409</v>
      </c>
      <c r="J1123" s="28" t="s">
        <v>7261</v>
      </c>
      <c r="K1123" s="28" t="s">
        <v>14410</v>
      </c>
      <c r="L1123" s="28" t="s">
        <v>8519</v>
      </c>
      <c r="M1123" s="28" t="s">
        <v>14411</v>
      </c>
      <c r="N1123" s="28" t="s">
        <v>14412</v>
      </c>
      <c r="O1123" s="28" t="s">
        <v>10198</v>
      </c>
    </row>
    <row x14ac:dyDescent="0.25" r="1124" customHeight="1" ht="15.75">
      <c r="A1124" s="36" t="s">
        <v>7093</v>
      </c>
      <c r="B1124" s="27" t="s">
        <v>66</v>
      </c>
      <c r="C1124" s="27" t="s">
        <v>66</v>
      </c>
      <c r="D1124" s="28" t="s">
        <v>14413</v>
      </c>
      <c r="E1124" s="28" t="s">
        <v>14414</v>
      </c>
      <c r="F1124" s="28" t="s">
        <v>8473</v>
      </c>
      <c r="G1124" s="28" t="s">
        <v>10419</v>
      </c>
      <c r="H1124" s="28" t="s">
        <v>14415</v>
      </c>
      <c r="I1124" s="28" t="s">
        <v>14416</v>
      </c>
      <c r="J1124" s="28" t="s">
        <v>6154</v>
      </c>
      <c r="K1124" s="28" t="s">
        <v>14417</v>
      </c>
      <c r="L1124" s="28" t="s">
        <v>13442</v>
      </c>
      <c r="M1124" s="28" t="s">
        <v>14418</v>
      </c>
      <c r="N1124" s="28" t="s">
        <v>11136</v>
      </c>
      <c r="O1124" s="28" t="s">
        <v>11847</v>
      </c>
    </row>
    <row x14ac:dyDescent="0.25" r="1125" customHeight="1" ht="15.75">
      <c r="A1125" s="36" t="s">
        <v>7093</v>
      </c>
      <c r="B1125" s="27" t="s">
        <v>69</v>
      </c>
      <c r="C1125" s="27" t="s">
        <v>69</v>
      </c>
      <c r="D1125" s="28" t="s">
        <v>14419</v>
      </c>
      <c r="E1125" s="28" t="s">
        <v>14420</v>
      </c>
      <c r="F1125" s="28" t="s">
        <v>7534</v>
      </c>
      <c r="G1125" s="28" t="s">
        <v>14421</v>
      </c>
      <c r="H1125" s="28" t="s">
        <v>14422</v>
      </c>
      <c r="I1125" s="28" t="s">
        <v>14423</v>
      </c>
      <c r="J1125" s="28" t="s">
        <v>14424</v>
      </c>
      <c r="K1125" s="28" t="s">
        <v>14425</v>
      </c>
      <c r="L1125" s="28" t="s">
        <v>14426</v>
      </c>
      <c r="M1125" s="28" t="s">
        <v>14427</v>
      </c>
      <c r="N1125" s="28" t="s">
        <v>5573</v>
      </c>
      <c r="O1125" s="28" t="s">
        <v>9719</v>
      </c>
    </row>
    <row x14ac:dyDescent="0.25" r="1126" customHeight="1" ht="15.75">
      <c r="A1126" s="36" t="s">
        <v>7093</v>
      </c>
      <c r="B1126" s="27" t="s">
        <v>91</v>
      </c>
      <c r="C1126" s="27" t="s">
        <v>91</v>
      </c>
      <c r="D1126" s="28" t="s">
        <v>4634</v>
      </c>
      <c r="E1126" s="28" t="s">
        <v>14428</v>
      </c>
      <c r="F1126" s="28" t="s">
        <v>5865</v>
      </c>
      <c r="G1126" s="28" t="s">
        <v>14262</v>
      </c>
      <c r="H1126" s="28" t="s">
        <v>6492</v>
      </c>
      <c r="I1126" s="28" t="s">
        <v>14429</v>
      </c>
      <c r="J1126" s="28" t="s">
        <v>14430</v>
      </c>
      <c r="K1126" s="28" t="s">
        <v>14431</v>
      </c>
      <c r="L1126" s="28" t="s">
        <v>14432</v>
      </c>
      <c r="M1126" s="28" t="s">
        <v>14433</v>
      </c>
      <c r="N1126" s="28" t="s">
        <v>7543</v>
      </c>
      <c r="O1126" s="28" t="s">
        <v>8287</v>
      </c>
    </row>
    <row x14ac:dyDescent="0.25" r="1127" customHeight="1" ht="15.75">
      <c r="A1127" s="36" t="s">
        <v>7093</v>
      </c>
      <c r="B1127" s="27" t="s">
        <v>126</v>
      </c>
      <c r="C1127" s="27" t="s">
        <v>126</v>
      </c>
      <c r="D1127" s="28" t="s">
        <v>14382</v>
      </c>
      <c r="E1127" s="28" t="s">
        <v>14434</v>
      </c>
      <c r="F1127" s="28" t="s">
        <v>14435</v>
      </c>
      <c r="G1127" s="28" t="s">
        <v>14436</v>
      </c>
      <c r="H1127" s="28" t="s">
        <v>2496</v>
      </c>
      <c r="I1127" s="28" t="s">
        <v>14437</v>
      </c>
      <c r="J1127" s="28" t="s">
        <v>4794</v>
      </c>
      <c r="K1127" s="28" t="s">
        <v>14438</v>
      </c>
      <c r="L1127" s="28" t="s">
        <v>6203</v>
      </c>
      <c r="M1127" s="28" t="s">
        <v>14439</v>
      </c>
      <c r="N1127" s="28" t="s">
        <v>12991</v>
      </c>
      <c r="O1127" s="28" t="s">
        <v>13923</v>
      </c>
    </row>
    <row x14ac:dyDescent="0.25" r="1128" customHeight="1" ht="15.75">
      <c r="A1128" s="36" t="s">
        <v>7093</v>
      </c>
      <c r="B1128" s="27" t="s">
        <v>103</v>
      </c>
      <c r="C1128" s="27" t="s">
        <v>103</v>
      </c>
      <c r="D1128" s="28" t="s">
        <v>2556</v>
      </c>
      <c r="E1128" s="28" t="s">
        <v>13194</v>
      </c>
      <c r="F1128" s="28" t="s">
        <v>11317</v>
      </c>
      <c r="G1128" s="28" t="s">
        <v>14440</v>
      </c>
      <c r="H1128" s="28" t="s">
        <v>11133</v>
      </c>
      <c r="I1128" s="28" t="s">
        <v>14441</v>
      </c>
      <c r="J1128" s="28" t="s">
        <v>14442</v>
      </c>
      <c r="K1128" s="28" t="s">
        <v>14443</v>
      </c>
      <c r="L1128" s="28" t="s">
        <v>5472</v>
      </c>
      <c r="M1128" s="28" t="s">
        <v>14444</v>
      </c>
      <c r="N1128" s="28" t="s">
        <v>2493</v>
      </c>
      <c r="O1128" s="28" t="s">
        <v>14445</v>
      </c>
    </row>
    <row x14ac:dyDescent="0.25" r="1129" customHeight="1" ht="15.75">
      <c r="A1129" s="36" t="s">
        <v>7093</v>
      </c>
      <c r="B1129" s="27" t="s">
        <v>129</v>
      </c>
      <c r="C1129" s="27" t="s">
        <v>129</v>
      </c>
      <c r="D1129" s="28" t="s">
        <v>14446</v>
      </c>
      <c r="E1129" s="28" t="s">
        <v>14447</v>
      </c>
      <c r="F1129" s="28" t="s">
        <v>14448</v>
      </c>
      <c r="G1129" s="28" t="s">
        <v>14449</v>
      </c>
      <c r="H1129" s="28" t="s">
        <v>12820</v>
      </c>
      <c r="I1129" s="28" t="s">
        <v>7946</v>
      </c>
      <c r="J1129" s="28" t="s">
        <v>10388</v>
      </c>
      <c r="K1129" s="28" t="s">
        <v>14450</v>
      </c>
      <c r="L1129" s="28" t="s">
        <v>1706</v>
      </c>
      <c r="M1129" s="28" t="s">
        <v>14451</v>
      </c>
      <c r="N1129" s="28" t="s">
        <v>11699</v>
      </c>
      <c r="O1129" s="28" t="s">
        <v>14452</v>
      </c>
    </row>
    <row x14ac:dyDescent="0.25" r="1130" customHeight="1" ht="15.75">
      <c r="A1130" s="36" t="s">
        <v>7093</v>
      </c>
      <c r="B1130" s="27" t="s">
        <v>109</v>
      </c>
      <c r="C1130" s="27" t="s">
        <v>109</v>
      </c>
      <c r="D1130" s="28" t="s">
        <v>14453</v>
      </c>
      <c r="E1130" s="28" t="s">
        <v>14454</v>
      </c>
      <c r="F1130" s="28" t="s">
        <v>5346</v>
      </c>
      <c r="G1130" s="28" t="s">
        <v>14455</v>
      </c>
      <c r="H1130" s="28" t="s">
        <v>13460</v>
      </c>
      <c r="I1130" s="28" t="s">
        <v>14456</v>
      </c>
      <c r="J1130" s="28" t="s">
        <v>14457</v>
      </c>
      <c r="K1130" s="28" t="s">
        <v>14458</v>
      </c>
      <c r="L1130" s="28" t="s">
        <v>5374</v>
      </c>
      <c r="M1130" s="28" t="s">
        <v>7686</v>
      </c>
      <c r="N1130" s="28" t="s">
        <v>7098</v>
      </c>
      <c r="O1130" s="28" t="s">
        <v>7738</v>
      </c>
    </row>
    <row x14ac:dyDescent="0.25" r="1131" customHeight="1" ht="15.75">
      <c r="A1131" s="36" t="s">
        <v>7093</v>
      </c>
      <c r="B1131" s="27" t="s">
        <v>227</v>
      </c>
      <c r="C1131" s="27" t="s">
        <v>227</v>
      </c>
      <c r="D1131" s="28" t="s">
        <v>14459</v>
      </c>
      <c r="E1131" s="28" t="s">
        <v>14460</v>
      </c>
      <c r="F1131" s="28" t="s">
        <v>4794</v>
      </c>
      <c r="G1131" s="28" t="s">
        <v>14461</v>
      </c>
      <c r="H1131" s="28" t="s">
        <v>5090</v>
      </c>
      <c r="I1131" s="28" t="s">
        <v>11793</v>
      </c>
      <c r="J1131" s="28" t="s">
        <v>2457</v>
      </c>
      <c r="K1131" s="28" t="s">
        <v>14462</v>
      </c>
      <c r="L1131" s="28" t="s">
        <v>8291</v>
      </c>
      <c r="M1131" s="28" t="s">
        <v>12831</v>
      </c>
      <c r="N1131" s="28" t="s">
        <v>2332</v>
      </c>
      <c r="O1131" s="28" t="s">
        <v>14463</v>
      </c>
    </row>
    <row x14ac:dyDescent="0.25" r="1132" customHeight="1" ht="15.75">
      <c r="A1132" s="36" t="s">
        <v>7093</v>
      </c>
      <c r="B1132" s="27" t="s">
        <v>198</v>
      </c>
      <c r="C1132" s="27" t="s">
        <v>198</v>
      </c>
      <c r="D1132" s="28" t="s">
        <v>14464</v>
      </c>
      <c r="E1132" s="28" t="s">
        <v>14465</v>
      </c>
      <c r="F1132" s="28" t="s">
        <v>4747</v>
      </c>
      <c r="G1132" s="28" t="s">
        <v>14466</v>
      </c>
      <c r="H1132" s="28" t="s">
        <v>14467</v>
      </c>
      <c r="I1132" s="28" t="s">
        <v>14468</v>
      </c>
      <c r="J1132" s="28" t="s">
        <v>8736</v>
      </c>
      <c r="K1132" s="28" t="s">
        <v>11246</v>
      </c>
      <c r="L1132" s="28" t="s">
        <v>7259</v>
      </c>
      <c r="M1132" s="28" t="s">
        <v>14469</v>
      </c>
      <c r="N1132" s="28" t="s">
        <v>14470</v>
      </c>
      <c r="O1132" s="28" t="s">
        <v>14471</v>
      </c>
    </row>
    <row x14ac:dyDescent="0.25" r="1133" customHeight="1" ht="15.75">
      <c r="A1133" s="36" t="s">
        <v>7093</v>
      </c>
      <c r="B1133" s="27" t="s">
        <v>391</v>
      </c>
      <c r="C1133" s="27" t="s">
        <v>391</v>
      </c>
      <c r="D1133" s="28" t="s">
        <v>7095</v>
      </c>
      <c r="E1133" s="28" t="s">
        <v>14472</v>
      </c>
      <c r="F1133" s="28" t="s">
        <v>14473</v>
      </c>
      <c r="G1133" s="28" t="s">
        <v>14474</v>
      </c>
      <c r="H1133" s="28" t="s">
        <v>2611</v>
      </c>
      <c r="I1133" s="28" t="s">
        <v>13483</v>
      </c>
      <c r="J1133" s="28" t="s">
        <v>5619</v>
      </c>
      <c r="K1133" s="28" t="s">
        <v>14475</v>
      </c>
      <c r="L1133" s="28" t="s">
        <v>14476</v>
      </c>
      <c r="M1133" s="28" t="s">
        <v>14477</v>
      </c>
      <c r="N1133" s="28" t="s">
        <v>14478</v>
      </c>
      <c r="O1133" s="28" t="s">
        <v>14479</v>
      </c>
    </row>
    <row x14ac:dyDescent="0.25" r="1134" customHeight="1" ht="15.75">
      <c r="A1134" s="36" t="s">
        <v>7093</v>
      </c>
      <c r="B1134" s="27" t="s">
        <v>116</v>
      </c>
      <c r="C1134" s="27" t="s">
        <v>116</v>
      </c>
      <c r="D1134" s="28" t="s">
        <v>14480</v>
      </c>
      <c r="E1134" s="28" t="s">
        <v>14481</v>
      </c>
      <c r="F1134" s="28" t="s">
        <v>5116</v>
      </c>
      <c r="G1134" s="28" t="s">
        <v>13111</v>
      </c>
      <c r="H1134" s="28" t="s">
        <v>6916</v>
      </c>
      <c r="I1134" s="28" t="s">
        <v>14482</v>
      </c>
      <c r="J1134" s="28" t="s">
        <v>10264</v>
      </c>
      <c r="K1134" s="28" t="s">
        <v>14483</v>
      </c>
      <c r="L1134" s="28" t="s">
        <v>7237</v>
      </c>
      <c r="M1134" s="28" t="s">
        <v>14484</v>
      </c>
      <c r="N1134" s="28" t="s">
        <v>14485</v>
      </c>
      <c r="O1134" s="28" t="s">
        <v>14486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41"/>
  <sheetViews>
    <sheetView workbookViewId="0"/>
  </sheetViews>
  <sheetFormatPr defaultRowHeight="15" x14ac:dyDescent="0.25"/>
  <cols>
    <col min="1" max="1" style="20" width="12.576428571428572" customWidth="1" bestFit="1"/>
    <col min="2" max="2" style="29" width="24.576428571428572" customWidth="1" bestFit="1"/>
    <col min="3" max="3" style="29" width="62.14785714285715" customWidth="1" bestFit="1"/>
    <col min="4" max="4" style="30" width="20.719285714285714" customWidth="1" bestFit="1"/>
    <col min="5" max="5" style="30" width="20.719285714285714" customWidth="1" bestFit="1"/>
    <col min="6" max="6" style="30" width="20.719285714285714" customWidth="1" bestFit="1"/>
    <col min="7" max="7" style="30" width="20.719285714285714" customWidth="1" bestFit="1"/>
  </cols>
  <sheetData>
    <row x14ac:dyDescent="0.25" r="1" customHeight="1" ht="52.5" customFormat="1" s="1">
      <c r="A1" s="2" t="s">
        <v>0</v>
      </c>
      <c r="B1" s="3" t="s">
        <v>1</v>
      </c>
      <c r="C1" s="3" t="s">
        <v>2</v>
      </c>
      <c r="D1" s="3" t="s">
        <v>15</v>
      </c>
      <c r="E1" s="3" t="s">
        <v>16</v>
      </c>
      <c r="F1" s="3" t="s">
        <v>17</v>
      </c>
      <c r="G1" s="3" t="s">
        <v>18</v>
      </c>
    </row>
    <row x14ac:dyDescent="0.25" r="2" customHeight="1" ht="15.75">
      <c r="A2" s="8">
        <v>25248</v>
      </c>
      <c r="B2" s="13" t="s">
        <v>27</v>
      </c>
      <c r="C2" s="13" t="s">
        <v>4059</v>
      </c>
      <c r="D2" s="32" t="s">
        <v>4060</v>
      </c>
      <c r="E2" s="32" t="s">
        <v>1193</v>
      </c>
      <c r="F2" s="32" t="s">
        <v>4061</v>
      </c>
      <c r="G2" s="32" t="s">
        <v>1407</v>
      </c>
    </row>
    <row x14ac:dyDescent="0.25" r="3" customHeight="1" ht="15.75">
      <c r="A3" s="8">
        <v>25314</v>
      </c>
      <c r="B3" s="13" t="s">
        <v>27</v>
      </c>
      <c r="C3" s="13" t="s">
        <v>4062</v>
      </c>
      <c r="D3" s="32" t="s">
        <v>4063</v>
      </c>
      <c r="E3" s="32" t="s">
        <v>4064</v>
      </c>
      <c r="F3" s="32" t="s">
        <v>4065</v>
      </c>
      <c r="G3" s="32" t="s">
        <v>1462</v>
      </c>
    </row>
    <row x14ac:dyDescent="0.25" r="4" customHeight="1" ht="15.75">
      <c r="A4" s="8">
        <v>25238</v>
      </c>
      <c r="B4" s="13" t="s">
        <v>27</v>
      </c>
      <c r="C4" s="13" t="s">
        <v>4066</v>
      </c>
      <c r="D4" s="32" t="s">
        <v>4067</v>
      </c>
      <c r="E4" s="32" t="s">
        <v>4068</v>
      </c>
      <c r="F4" s="32" t="s">
        <v>4069</v>
      </c>
      <c r="G4" s="32" t="s">
        <v>1373</v>
      </c>
    </row>
    <row x14ac:dyDescent="0.25" r="5" customHeight="1" ht="15.75">
      <c r="A5" s="8">
        <v>25274</v>
      </c>
      <c r="B5" s="13" t="s">
        <v>27</v>
      </c>
      <c r="C5" s="13" t="s">
        <v>4070</v>
      </c>
      <c r="D5" s="32" t="s">
        <v>4071</v>
      </c>
      <c r="E5" s="32" t="s">
        <v>4072</v>
      </c>
      <c r="F5" s="32" t="s">
        <v>4073</v>
      </c>
      <c r="G5" s="32" t="s">
        <v>4074</v>
      </c>
    </row>
    <row x14ac:dyDescent="0.25" r="6" customHeight="1" ht="15.75">
      <c r="A6" s="8">
        <v>25275</v>
      </c>
      <c r="B6" s="13" t="s">
        <v>27</v>
      </c>
      <c r="C6" s="13" t="s">
        <v>4075</v>
      </c>
      <c r="D6" s="32" t="s">
        <v>4076</v>
      </c>
      <c r="E6" s="32" t="s">
        <v>4077</v>
      </c>
      <c r="F6" s="32" t="s">
        <v>134</v>
      </c>
      <c r="G6" s="32" t="s">
        <v>1495</v>
      </c>
    </row>
    <row x14ac:dyDescent="0.25" r="7" customHeight="1" ht="15.75">
      <c r="A7" s="8">
        <v>25315</v>
      </c>
      <c r="B7" s="13" t="s">
        <v>27</v>
      </c>
      <c r="C7" s="13" t="s">
        <v>4078</v>
      </c>
      <c r="D7" s="32" t="s">
        <v>4079</v>
      </c>
      <c r="E7" s="32" t="s">
        <v>4080</v>
      </c>
      <c r="F7" s="32" t="s">
        <v>4081</v>
      </c>
      <c r="G7" s="32" t="s">
        <v>4082</v>
      </c>
    </row>
    <row x14ac:dyDescent="0.25" r="8" customHeight="1" ht="15.75">
      <c r="A8" s="8">
        <v>25316</v>
      </c>
      <c r="B8" s="13" t="s">
        <v>27</v>
      </c>
      <c r="C8" s="13" t="s">
        <v>4083</v>
      </c>
      <c r="D8" s="32" t="s">
        <v>4084</v>
      </c>
      <c r="E8" s="32" t="s">
        <v>4085</v>
      </c>
      <c r="F8" s="32" t="s">
        <v>4086</v>
      </c>
      <c r="G8" s="32" t="s">
        <v>1265</v>
      </c>
    </row>
    <row x14ac:dyDescent="0.25" r="9" customHeight="1" ht="15.75">
      <c r="A9" s="8">
        <v>25276</v>
      </c>
      <c r="B9" s="13" t="s">
        <v>27</v>
      </c>
      <c r="C9" s="13" t="s">
        <v>4087</v>
      </c>
      <c r="D9" s="32" t="s">
        <v>4088</v>
      </c>
      <c r="E9" s="32" t="s">
        <v>4089</v>
      </c>
      <c r="F9" s="32" t="s">
        <v>4090</v>
      </c>
      <c r="G9" s="32" t="s">
        <v>4091</v>
      </c>
    </row>
    <row x14ac:dyDescent="0.25" r="10" customHeight="1" ht="15.75">
      <c r="A10" s="8">
        <v>25317</v>
      </c>
      <c r="B10" s="13" t="s">
        <v>27</v>
      </c>
      <c r="C10" s="13" t="s">
        <v>4092</v>
      </c>
      <c r="D10" s="32" t="s">
        <v>4093</v>
      </c>
      <c r="E10" s="32" t="s">
        <v>1914</v>
      </c>
      <c r="F10" s="32" t="s">
        <v>4094</v>
      </c>
      <c r="G10" s="32" t="s">
        <v>4095</v>
      </c>
    </row>
    <row x14ac:dyDescent="0.25" r="11" customHeight="1" ht="15.75">
      <c r="A11" s="8">
        <v>25263</v>
      </c>
      <c r="B11" s="13" t="s">
        <v>27</v>
      </c>
      <c r="C11" s="13" t="s">
        <v>4096</v>
      </c>
      <c r="D11" s="32" t="s">
        <v>4097</v>
      </c>
      <c r="E11" s="32" t="s">
        <v>4098</v>
      </c>
      <c r="F11" s="32" t="s">
        <v>4099</v>
      </c>
      <c r="G11" s="32" t="s">
        <v>464</v>
      </c>
    </row>
    <row x14ac:dyDescent="0.25" r="12" customHeight="1" ht="15.75">
      <c r="A12" s="8">
        <v>25277</v>
      </c>
      <c r="B12" s="13" t="s">
        <v>27</v>
      </c>
      <c r="C12" s="13" t="s">
        <v>4100</v>
      </c>
      <c r="D12" s="32" t="s">
        <v>4101</v>
      </c>
      <c r="E12" s="32" t="s">
        <v>4102</v>
      </c>
      <c r="F12" s="32" t="s">
        <v>4103</v>
      </c>
      <c r="G12" s="32" t="s">
        <v>4104</v>
      </c>
    </row>
    <row x14ac:dyDescent="0.25" r="13" customHeight="1" ht="15.75">
      <c r="A13" s="8">
        <v>25278</v>
      </c>
      <c r="B13" s="13" t="s">
        <v>27</v>
      </c>
      <c r="C13" s="13" t="s">
        <v>4105</v>
      </c>
      <c r="D13" s="32" t="s">
        <v>4106</v>
      </c>
      <c r="E13" s="32" t="s">
        <v>4107</v>
      </c>
      <c r="F13" s="32" t="s">
        <v>2411</v>
      </c>
      <c r="G13" s="32" t="s">
        <v>4108</v>
      </c>
    </row>
    <row x14ac:dyDescent="0.25" r="14" customHeight="1" ht="15.75">
      <c r="A14" s="8">
        <v>25279</v>
      </c>
      <c r="B14" s="13" t="s">
        <v>27</v>
      </c>
      <c r="C14" s="13" t="s">
        <v>4109</v>
      </c>
      <c r="D14" s="32" t="s">
        <v>4110</v>
      </c>
      <c r="E14" s="32" t="s">
        <v>87</v>
      </c>
      <c r="F14" s="32" t="s">
        <v>4111</v>
      </c>
      <c r="G14" s="32" t="s">
        <v>4112</v>
      </c>
    </row>
    <row x14ac:dyDescent="0.25" r="15" customHeight="1" ht="15.75">
      <c r="A15" s="8">
        <v>25280</v>
      </c>
      <c r="B15" s="13" t="s">
        <v>27</v>
      </c>
      <c r="C15" s="13" t="s">
        <v>4113</v>
      </c>
      <c r="D15" s="32" t="s">
        <v>4114</v>
      </c>
      <c r="E15" s="32" t="s">
        <v>4115</v>
      </c>
      <c r="F15" s="32" t="s">
        <v>4116</v>
      </c>
      <c r="G15" s="32" t="s">
        <v>4117</v>
      </c>
    </row>
    <row x14ac:dyDescent="0.25" r="16" customHeight="1" ht="15.75">
      <c r="A16" s="8">
        <v>25318</v>
      </c>
      <c r="B16" s="13" t="s">
        <v>27</v>
      </c>
      <c r="C16" s="13" t="s">
        <v>4118</v>
      </c>
      <c r="D16" s="32" t="s">
        <v>4119</v>
      </c>
      <c r="E16" s="32" t="s">
        <v>4120</v>
      </c>
      <c r="F16" s="32" t="s">
        <v>4121</v>
      </c>
      <c r="G16" s="32" t="s">
        <v>892</v>
      </c>
    </row>
    <row x14ac:dyDescent="0.25" r="17" customHeight="1" ht="15.75">
      <c r="A17" s="8">
        <v>25264</v>
      </c>
      <c r="B17" s="13" t="s">
        <v>27</v>
      </c>
      <c r="C17" s="13" t="s">
        <v>4122</v>
      </c>
      <c r="D17" s="32" t="s">
        <v>4123</v>
      </c>
      <c r="E17" s="32" t="s">
        <v>4124</v>
      </c>
      <c r="F17" s="32" t="s">
        <v>4125</v>
      </c>
      <c r="G17" s="32" t="s">
        <v>4126</v>
      </c>
    </row>
    <row x14ac:dyDescent="0.25" r="18" customHeight="1" ht="15.75">
      <c r="A18" s="8">
        <v>25322</v>
      </c>
      <c r="B18" s="13" t="s">
        <v>27</v>
      </c>
      <c r="C18" s="13" t="s">
        <v>4127</v>
      </c>
      <c r="D18" s="32" t="s">
        <v>4128</v>
      </c>
      <c r="E18" s="32" t="s">
        <v>4129</v>
      </c>
      <c r="F18" s="32" t="s">
        <v>4130</v>
      </c>
      <c r="G18" s="32" t="s">
        <v>573</v>
      </c>
    </row>
    <row x14ac:dyDescent="0.25" r="19" customHeight="1" ht="15.75">
      <c r="A19" s="8">
        <v>25261</v>
      </c>
      <c r="B19" s="13" t="s">
        <v>27</v>
      </c>
      <c r="C19" s="13" t="s">
        <v>4131</v>
      </c>
      <c r="D19" s="32" t="s">
        <v>4132</v>
      </c>
      <c r="E19" s="32" t="s">
        <v>1487</v>
      </c>
      <c r="F19" s="32" t="s">
        <v>4133</v>
      </c>
      <c r="G19" s="32" t="s">
        <v>1389</v>
      </c>
    </row>
    <row x14ac:dyDescent="0.25" r="20" customHeight="1" ht="15.75">
      <c r="A20" s="8">
        <v>25265</v>
      </c>
      <c r="B20" s="13" t="s">
        <v>27</v>
      </c>
      <c r="C20" s="13" t="s">
        <v>4134</v>
      </c>
      <c r="D20" s="32" t="s">
        <v>4135</v>
      </c>
      <c r="E20" s="32" t="s">
        <v>4136</v>
      </c>
      <c r="F20" s="32" t="s">
        <v>4137</v>
      </c>
      <c r="G20" s="32" t="s">
        <v>4138</v>
      </c>
    </row>
    <row x14ac:dyDescent="0.25" r="21" customHeight="1" ht="15.75">
      <c r="A21" s="8">
        <v>25281</v>
      </c>
      <c r="B21" s="13" t="s">
        <v>27</v>
      </c>
      <c r="C21" s="13" t="s">
        <v>4139</v>
      </c>
      <c r="D21" s="32" t="s">
        <v>4140</v>
      </c>
      <c r="E21" s="32" t="s">
        <v>4141</v>
      </c>
      <c r="F21" s="32" t="s">
        <v>4142</v>
      </c>
      <c r="G21" s="32" t="s">
        <v>4143</v>
      </c>
    </row>
    <row x14ac:dyDescent="0.25" r="22" customHeight="1" ht="15.75">
      <c r="A22" s="8">
        <v>25282</v>
      </c>
      <c r="B22" s="13" t="s">
        <v>27</v>
      </c>
      <c r="C22" s="13" t="s">
        <v>4144</v>
      </c>
      <c r="D22" s="32" t="s">
        <v>74</v>
      </c>
      <c r="E22" s="32" t="s">
        <v>4145</v>
      </c>
      <c r="F22" s="32" t="s">
        <v>74</v>
      </c>
      <c r="G22" s="32" t="s">
        <v>4146</v>
      </c>
    </row>
    <row x14ac:dyDescent="0.25" r="23" customHeight="1" ht="15.75">
      <c r="A23" s="8">
        <v>25329</v>
      </c>
      <c r="B23" s="13" t="s">
        <v>27</v>
      </c>
      <c r="C23" s="13" t="s">
        <v>4147</v>
      </c>
      <c r="D23" s="32" t="s">
        <v>4148</v>
      </c>
      <c r="E23" s="32" t="s">
        <v>4149</v>
      </c>
      <c r="F23" s="32" t="s">
        <v>4150</v>
      </c>
      <c r="G23" s="32" t="s">
        <v>4151</v>
      </c>
    </row>
    <row x14ac:dyDescent="0.25" r="24" customHeight="1" ht="15.75">
      <c r="A24" s="8">
        <v>25239</v>
      </c>
      <c r="B24" s="13" t="s">
        <v>27</v>
      </c>
      <c r="C24" s="13" t="s">
        <v>4152</v>
      </c>
      <c r="D24" s="32" t="s">
        <v>4153</v>
      </c>
      <c r="E24" s="32" t="s">
        <v>4154</v>
      </c>
      <c r="F24" s="32" t="s">
        <v>4155</v>
      </c>
      <c r="G24" s="32" t="s">
        <v>4156</v>
      </c>
    </row>
    <row x14ac:dyDescent="0.25" r="25" customHeight="1" ht="15.75">
      <c r="A25" s="8">
        <v>25266</v>
      </c>
      <c r="B25" s="13" t="s">
        <v>27</v>
      </c>
      <c r="C25" s="13" t="s">
        <v>4157</v>
      </c>
      <c r="D25" s="32" t="s">
        <v>4158</v>
      </c>
      <c r="E25" s="32" t="s">
        <v>4159</v>
      </c>
      <c r="F25" s="32" t="s">
        <v>4160</v>
      </c>
      <c r="G25" s="32" t="s">
        <v>2544</v>
      </c>
    </row>
    <row x14ac:dyDescent="0.25" r="26" customHeight="1" ht="15.75">
      <c r="A26" s="8">
        <v>25284</v>
      </c>
      <c r="B26" s="13" t="s">
        <v>27</v>
      </c>
      <c r="C26" s="13" t="s">
        <v>4161</v>
      </c>
      <c r="D26" s="32" t="s">
        <v>1348</v>
      </c>
      <c r="E26" s="32" t="s">
        <v>4162</v>
      </c>
      <c r="F26" s="32" t="s">
        <v>2000</v>
      </c>
      <c r="G26" s="32" t="s">
        <v>4163</v>
      </c>
    </row>
    <row x14ac:dyDescent="0.25" r="27" customHeight="1" ht="15.75">
      <c r="A27" s="8">
        <v>25267</v>
      </c>
      <c r="B27" s="13" t="s">
        <v>27</v>
      </c>
      <c r="C27" s="13" t="s">
        <v>4164</v>
      </c>
      <c r="D27" s="32" t="s">
        <v>4165</v>
      </c>
      <c r="E27" s="32" t="s">
        <v>1201</v>
      </c>
      <c r="F27" s="32" t="s">
        <v>74</v>
      </c>
      <c r="G27" s="32" t="s">
        <v>4166</v>
      </c>
    </row>
    <row x14ac:dyDescent="0.25" r="28" customHeight="1" ht="15.75">
      <c r="A28" s="8">
        <v>25285</v>
      </c>
      <c r="B28" s="13" t="s">
        <v>27</v>
      </c>
      <c r="C28" s="13" t="s">
        <v>4167</v>
      </c>
      <c r="D28" s="32" t="s">
        <v>4168</v>
      </c>
      <c r="E28" s="32" t="s">
        <v>1148</v>
      </c>
      <c r="F28" s="32" t="s">
        <v>4169</v>
      </c>
      <c r="G28" s="32" t="s">
        <v>4170</v>
      </c>
    </row>
    <row x14ac:dyDescent="0.25" r="29" customHeight="1" ht="15.75">
      <c r="A29" s="8">
        <v>25268</v>
      </c>
      <c r="B29" s="13" t="s">
        <v>27</v>
      </c>
      <c r="C29" s="13" t="s">
        <v>4171</v>
      </c>
      <c r="D29" s="32" t="s">
        <v>4172</v>
      </c>
      <c r="E29" s="32" t="s">
        <v>4173</v>
      </c>
      <c r="F29" s="32" t="s">
        <v>4086</v>
      </c>
      <c r="G29" s="32" t="s">
        <v>4174</v>
      </c>
    </row>
    <row x14ac:dyDescent="0.25" r="30" customHeight="1" ht="15.75">
      <c r="A30" s="8">
        <v>25286</v>
      </c>
      <c r="B30" s="13" t="s">
        <v>27</v>
      </c>
      <c r="C30" s="13" t="s">
        <v>4175</v>
      </c>
      <c r="D30" s="32" t="s">
        <v>4176</v>
      </c>
      <c r="E30" s="32" t="s">
        <v>4177</v>
      </c>
      <c r="F30" s="32" t="s">
        <v>4178</v>
      </c>
      <c r="G30" s="32" t="s">
        <v>2178</v>
      </c>
    </row>
    <row x14ac:dyDescent="0.25" r="31" customHeight="1" ht="15.75">
      <c r="A31" s="8">
        <v>25287</v>
      </c>
      <c r="B31" s="13" t="s">
        <v>27</v>
      </c>
      <c r="C31" s="13" t="s">
        <v>4179</v>
      </c>
      <c r="D31" s="32" t="s">
        <v>4180</v>
      </c>
      <c r="E31" s="32" t="s">
        <v>4181</v>
      </c>
      <c r="F31" s="32" t="s">
        <v>4182</v>
      </c>
      <c r="G31" s="32" t="s">
        <v>4183</v>
      </c>
    </row>
    <row x14ac:dyDescent="0.25" r="32" customHeight="1" ht="15.75">
      <c r="A32" s="8">
        <v>25330</v>
      </c>
      <c r="B32" s="13" t="s">
        <v>27</v>
      </c>
      <c r="C32" s="13" t="s">
        <v>4184</v>
      </c>
      <c r="D32" s="32" t="s">
        <v>4185</v>
      </c>
      <c r="E32" s="32" t="s">
        <v>4186</v>
      </c>
      <c r="F32" s="32" t="s">
        <v>4187</v>
      </c>
      <c r="G32" s="32" t="s">
        <v>4188</v>
      </c>
    </row>
    <row x14ac:dyDescent="0.25" r="33" customHeight="1" ht="15.75">
      <c r="A33" s="8">
        <v>25247</v>
      </c>
      <c r="B33" s="13" t="s">
        <v>27</v>
      </c>
      <c r="C33" s="13" t="s">
        <v>4189</v>
      </c>
      <c r="D33" s="32" t="s">
        <v>4190</v>
      </c>
      <c r="E33" s="32" t="s">
        <v>829</v>
      </c>
      <c r="F33" s="32" t="s">
        <v>4142</v>
      </c>
      <c r="G33" s="32" t="s">
        <v>4191</v>
      </c>
    </row>
    <row x14ac:dyDescent="0.25" r="34" customHeight="1" ht="15.75">
      <c r="A34" s="8">
        <v>25288</v>
      </c>
      <c r="B34" s="13" t="s">
        <v>27</v>
      </c>
      <c r="C34" s="13" t="s">
        <v>4192</v>
      </c>
      <c r="D34" s="32" t="s">
        <v>4193</v>
      </c>
      <c r="E34" s="32" t="s">
        <v>4194</v>
      </c>
      <c r="F34" s="32" t="s">
        <v>4195</v>
      </c>
      <c r="G34" s="32" t="s">
        <v>4196</v>
      </c>
    </row>
    <row x14ac:dyDescent="0.25" r="35" customHeight="1" ht="15.75">
      <c r="A35" s="8">
        <v>25289</v>
      </c>
      <c r="B35" s="13" t="s">
        <v>27</v>
      </c>
      <c r="C35" s="13" t="s">
        <v>4197</v>
      </c>
      <c r="D35" s="32" t="s">
        <v>4198</v>
      </c>
      <c r="E35" s="32" t="s">
        <v>2798</v>
      </c>
      <c r="F35" s="32" t="s">
        <v>4199</v>
      </c>
      <c r="G35" s="32" t="s">
        <v>4200</v>
      </c>
    </row>
    <row x14ac:dyDescent="0.25" r="36" customHeight="1" ht="15.75">
      <c r="A36" s="8">
        <v>25319</v>
      </c>
      <c r="B36" s="13" t="s">
        <v>27</v>
      </c>
      <c r="C36" s="13" t="s">
        <v>4201</v>
      </c>
      <c r="D36" s="32" t="s">
        <v>4202</v>
      </c>
      <c r="E36" s="32" t="s">
        <v>4203</v>
      </c>
      <c r="F36" s="32" t="s">
        <v>74</v>
      </c>
      <c r="G36" s="32" t="s">
        <v>78</v>
      </c>
    </row>
    <row x14ac:dyDescent="0.25" r="37" customHeight="1" ht="15.75">
      <c r="A37" s="8">
        <v>25323</v>
      </c>
      <c r="B37" s="13" t="s">
        <v>27</v>
      </c>
      <c r="C37" s="13" t="s">
        <v>4204</v>
      </c>
      <c r="D37" s="32" t="s">
        <v>4205</v>
      </c>
      <c r="E37" s="32" t="s">
        <v>1454</v>
      </c>
      <c r="F37" s="32" t="s">
        <v>4206</v>
      </c>
      <c r="G37" s="32" t="s">
        <v>832</v>
      </c>
    </row>
    <row x14ac:dyDescent="0.25" r="38" customHeight="1" ht="15.75">
      <c r="A38" s="8">
        <v>25290</v>
      </c>
      <c r="B38" s="13" t="s">
        <v>27</v>
      </c>
      <c r="C38" s="13" t="s">
        <v>4207</v>
      </c>
      <c r="D38" s="32" t="s">
        <v>4208</v>
      </c>
      <c r="E38" s="32" t="s">
        <v>4209</v>
      </c>
      <c r="F38" s="32" t="s">
        <v>696</v>
      </c>
      <c r="G38" s="32" t="s">
        <v>4210</v>
      </c>
    </row>
    <row x14ac:dyDescent="0.25" r="39" customHeight="1" ht="15.75">
      <c r="A39" s="8">
        <v>25291</v>
      </c>
      <c r="B39" s="13" t="s">
        <v>27</v>
      </c>
      <c r="C39" s="13" t="s">
        <v>4211</v>
      </c>
      <c r="D39" s="32" t="s">
        <v>4212</v>
      </c>
      <c r="E39" s="32" t="s">
        <v>4213</v>
      </c>
      <c r="F39" s="32" t="s">
        <v>4214</v>
      </c>
      <c r="G39" s="32" t="s">
        <v>4215</v>
      </c>
    </row>
    <row x14ac:dyDescent="0.25" r="40" customHeight="1" ht="15.75">
      <c r="A40" s="8">
        <v>25292</v>
      </c>
      <c r="B40" s="13" t="s">
        <v>27</v>
      </c>
      <c r="C40" s="13" t="s">
        <v>4216</v>
      </c>
      <c r="D40" s="32" t="s">
        <v>4217</v>
      </c>
      <c r="E40" s="32" t="s">
        <v>4218</v>
      </c>
      <c r="F40" s="32" t="s">
        <v>4178</v>
      </c>
      <c r="G40" s="32" t="s">
        <v>4219</v>
      </c>
    </row>
    <row x14ac:dyDescent="0.25" r="41" customHeight="1" ht="15.75">
      <c r="A41" s="8">
        <v>25293</v>
      </c>
      <c r="B41" s="13" t="s">
        <v>27</v>
      </c>
      <c r="C41" s="13" t="s">
        <v>4220</v>
      </c>
      <c r="D41" s="32" t="s">
        <v>4221</v>
      </c>
      <c r="E41" s="32" t="s">
        <v>892</v>
      </c>
      <c r="F41" s="32" t="s">
        <v>4222</v>
      </c>
      <c r="G41" s="32" t="s">
        <v>4223</v>
      </c>
    </row>
    <row x14ac:dyDescent="0.25" r="42" customHeight="1" ht="15.75">
      <c r="A42" s="8">
        <v>25294</v>
      </c>
      <c r="B42" s="13" t="s">
        <v>27</v>
      </c>
      <c r="C42" s="13" t="s">
        <v>4224</v>
      </c>
      <c r="D42" s="32" t="s">
        <v>74</v>
      </c>
      <c r="E42" s="32" t="s">
        <v>4225</v>
      </c>
      <c r="F42" s="32" t="s">
        <v>4226</v>
      </c>
      <c r="G42" s="32" t="s">
        <v>4227</v>
      </c>
    </row>
    <row x14ac:dyDescent="0.25" r="43" customHeight="1" ht="15.75">
      <c r="A43" s="8">
        <v>25251</v>
      </c>
      <c r="B43" s="13" t="s">
        <v>27</v>
      </c>
      <c r="C43" s="13" t="s">
        <v>4228</v>
      </c>
      <c r="D43" s="32" t="s">
        <v>4229</v>
      </c>
      <c r="E43" s="32" t="s">
        <v>1559</v>
      </c>
      <c r="F43" s="32" t="s">
        <v>4230</v>
      </c>
      <c r="G43" s="32" t="s">
        <v>4231</v>
      </c>
    </row>
    <row x14ac:dyDescent="0.25" r="44" customHeight="1" ht="15.75">
      <c r="A44" s="8">
        <v>25296</v>
      </c>
      <c r="B44" s="13" t="s">
        <v>27</v>
      </c>
      <c r="C44" s="13" t="s">
        <v>4232</v>
      </c>
      <c r="D44" s="32" t="s">
        <v>4233</v>
      </c>
      <c r="E44" s="32" t="s">
        <v>4223</v>
      </c>
      <c r="F44" s="32" t="s">
        <v>4234</v>
      </c>
      <c r="G44" s="32" t="s">
        <v>4235</v>
      </c>
    </row>
    <row x14ac:dyDescent="0.25" r="45" customHeight="1" ht="15.75">
      <c r="A45" s="8">
        <v>25324</v>
      </c>
      <c r="B45" s="13" t="s">
        <v>27</v>
      </c>
      <c r="C45" s="13" t="s">
        <v>4236</v>
      </c>
      <c r="D45" s="32" t="s">
        <v>2705</v>
      </c>
      <c r="E45" s="32" t="s">
        <v>1401</v>
      </c>
      <c r="F45" s="32" t="s">
        <v>2539</v>
      </c>
      <c r="G45" s="32" t="s">
        <v>4237</v>
      </c>
    </row>
    <row x14ac:dyDescent="0.25" r="46" customHeight="1" ht="15.75">
      <c r="A46" s="8">
        <v>25331</v>
      </c>
      <c r="B46" s="13" t="s">
        <v>27</v>
      </c>
      <c r="C46" s="13" t="s">
        <v>4238</v>
      </c>
      <c r="D46" s="32" t="s">
        <v>4239</v>
      </c>
      <c r="E46" s="32" t="s">
        <v>4240</v>
      </c>
      <c r="F46" s="32" t="s">
        <v>4241</v>
      </c>
      <c r="G46" s="32" t="s">
        <v>1415</v>
      </c>
    </row>
    <row x14ac:dyDescent="0.25" r="47" customHeight="1" ht="15.75">
      <c r="A47" s="8">
        <v>25332</v>
      </c>
      <c r="B47" s="13" t="s">
        <v>27</v>
      </c>
      <c r="C47" s="13" t="s">
        <v>4242</v>
      </c>
      <c r="D47" s="32" t="s">
        <v>4243</v>
      </c>
      <c r="E47" s="32" t="s">
        <v>4244</v>
      </c>
      <c r="F47" s="32" t="s">
        <v>4245</v>
      </c>
      <c r="G47" s="32" t="s">
        <v>1393</v>
      </c>
    </row>
    <row x14ac:dyDescent="0.25" r="48" customHeight="1" ht="15.75">
      <c r="A48" s="8">
        <v>25297</v>
      </c>
      <c r="B48" s="13" t="s">
        <v>27</v>
      </c>
      <c r="C48" s="13" t="s">
        <v>4246</v>
      </c>
      <c r="D48" s="32" t="s">
        <v>4247</v>
      </c>
      <c r="E48" s="32" t="s">
        <v>4248</v>
      </c>
      <c r="F48" s="32" t="s">
        <v>34</v>
      </c>
      <c r="G48" s="32" t="s">
        <v>4249</v>
      </c>
    </row>
    <row x14ac:dyDescent="0.25" r="49" customHeight="1" ht="15.75">
      <c r="A49" s="8">
        <v>25298</v>
      </c>
      <c r="B49" s="13" t="s">
        <v>27</v>
      </c>
      <c r="C49" s="13" t="s">
        <v>4250</v>
      </c>
      <c r="D49" s="32" t="s">
        <v>1419</v>
      </c>
      <c r="E49" s="32" t="s">
        <v>4251</v>
      </c>
      <c r="F49" s="32" t="s">
        <v>4252</v>
      </c>
      <c r="G49" s="32" t="s">
        <v>571</v>
      </c>
    </row>
    <row x14ac:dyDescent="0.25" r="50" customHeight="1" ht="15.75">
      <c r="A50" s="8">
        <v>25252</v>
      </c>
      <c r="B50" s="13" t="s">
        <v>27</v>
      </c>
      <c r="C50" s="13" t="s">
        <v>4253</v>
      </c>
      <c r="D50" s="32" t="s">
        <v>4254</v>
      </c>
      <c r="E50" s="32" t="s">
        <v>4255</v>
      </c>
      <c r="F50" s="32" t="s">
        <v>4256</v>
      </c>
      <c r="G50" s="32" t="s">
        <v>4257</v>
      </c>
    </row>
    <row x14ac:dyDescent="0.25" r="51" customHeight="1" ht="15.75">
      <c r="A51" s="8">
        <v>25253</v>
      </c>
      <c r="B51" s="13" t="s">
        <v>27</v>
      </c>
      <c r="C51" s="13" t="s">
        <v>4258</v>
      </c>
      <c r="D51" s="32" t="s">
        <v>1505</v>
      </c>
      <c r="E51" s="32" t="s">
        <v>4102</v>
      </c>
      <c r="F51" s="32" t="s">
        <v>4259</v>
      </c>
      <c r="G51" s="32" t="s">
        <v>4260</v>
      </c>
    </row>
    <row x14ac:dyDescent="0.25" r="52" customHeight="1" ht="15.75">
      <c r="A52" s="8">
        <v>25269</v>
      </c>
      <c r="B52" s="13" t="s">
        <v>27</v>
      </c>
      <c r="C52" s="13" t="s">
        <v>4261</v>
      </c>
      <c r="D52" s="32" t="s">
        <v>2030</v>
      </c>
      <c r="E52" s="32" t="s">
        <v>4262</v>
      </c>
      <c r="F52" s="32" t="s">
        <v>2192</v>
      </c>
      <c r="G52" s="32" t="s">
        <v>4263</v>
      </c>
    </row>
    <row x14ac:dyDescent="0.25" r="53" customHeight="1" ht="15.75">
      <c r="A53" s="8">
        <v>25320</v>
      </c>
      <c r="B53" s="13" t="s">
        <v>27</v>
      </c>
      <c r="C53" s="13" t="s">
        <v>4264</v>
      </c>
      <c r="D53" s="32" t="s">
        <v>4265</v>
      </c>
      <c r="E53" s="32" t="s">
        <v>4266</v>
      </c>
      <c r="F53" s="32" t="s">
        <v>4267</v>
      </c>
      <c r="G53" s="32" t="s">
        <v>4268</v>
      </c>
    </row>
    <row x14ac:dyDescent="0.25" r="54" customHeight="1" ht="15.75">
      <c r="A54" s="8">
        <v>25240</v>
      </c>
      <c r="B54" s="13" t="s">
        <v>27</v>
      </c>
      <c r="C54" s="13" t="s">
        <v>4269</v>
      </c>
      <c r="D54" s="32" t="s">
        <v>4270</v>
      </c>
      <c r="E54" s="32" t="s">
        <v>4271</v>
      </c>
      <c r="F54" s="32" t="s">
        <v>4272</v>
      </c>
      <c r="G54" s="32" t="s">
        <v>4237</v>
      </c>
    </row>
    <row x14ac:dyDescent="0.25" r="55" customHeight="1" ht="15.75">
      <c r="A55" s="8">
        <v>25254</v>
      </c>
      <c r="B55" s="13" t="s">
        <v>27</v>
      </c>
      <c r="C55" s="13" t="s">
        <v>4273</v>
      </c>
      <c r="D55" s="32" t="s">
        <v>4274</v>
      </c>
      <c r="E55" s="32" t="s">
        <v>308</v>
      </c>
      <c r="F55" s="32" t="s">
        <v>4275</v>
      </c>
      <c r="G55" s="32" t="s">
        <v>1490</v>
      </c>
    </row>
    <row x14ac:dyDescent="0.25" r="56" customHeight="1" ht="15.75">
      <c r="A56" s="8">
        <v>25299</v>
      </c>
      <c r="B56" s="13" t="s">
        <v>27</v>
      </c>
      <c r="C56" s="13" t="s">
        <v>4276</v>
      </c>
      <c r="D56" s="32" t="s">
        <v>4277</v>
      </c>
      <c r="E56" s="32" t="s">
        <v>1703</v>
      </c>
      <c r="F56" s="32" t="s">
        <v>4278</v>
      </c>
      <c r="G56" s="32" t="s">
        <v>1520</v>
      </c>
    </row>
    <row x14ac:dyDescent="0.25" r="57" customHeight="1" ht="15.75">
      <c r="A57" s="8">
        <v>25270</v>
      </c>
      <c r="B57" s="13" t="s">
        <v>27</v>
      </c>
      <c r="C57" s="13" t="s">
        <v>4279</v>
      </c>
      <c r="D57" s="32" t="s">
        <v>4280</v>
      </c>
      <c r="E57" s="32" t="s">
        <v>4281</v>
      </c>
      <c r="F57" s="32" t="s">
        <v>4282</v>
      </c>
      <c r="G57" s="32" t="s">
        <v>4283</v>
      </c>
    </row>
    <row x14ac:dyDescent="0.25" r="58" customHeight="1" ht="15.75">
      <c r="A58" s="8">
        <v>25241</v>
      </c>
      <c r="B58" s="13" t="s">
        <v>27</v>
      </c>
      <c r="C58" s="13" t="s">
        <v>4284</v>
      </c>
      <c r="D58" s="32" t="s">
        <v>4285</v>
      </c>
      <c r="E58" s="32" t="s">
        <v>1337</v>
      </c>
      <c r="F58" s="32" t="s">
        <v>4286</v>
      </c>
      <c r="G58" s="32" t="s">
        <v>4287</v>
      </c>
    </row>
    <row x14ac:dyDescent="0.25" r="59" customHeight="1" ht="15.75">
      <c r="A59" s="8">
        <v>25300</v>
      </c>
      <c r="B59" s="13" t="s">
        <v>27</v>
      </c>
      <c r="C59" s="13" t="s">
        <v>4288</v>
      </c>
      <c r="D59" s="32" t="s">
        <v>4289</v>
      </c>
      <c r="E59" s="32" t="s">
        <v>4290</v>
      </c>
      <c r="F59" s="32" t="s">
        <v>2802</v>
      </c>
      <c r="G59" s="32" t="s">
        <v>1418</v>
      </c>
    </row>
    <row x14ac:dyDescent="0.25" r="60" customHeight="1" ht="15.75">
      <c r="A60" s="8">
        <v>25333</v>
      </c>
      <c r="B60" s="13" t="s">
        <v>27</v>
      </c>
      <c r="C60" s="13" t="s">
        <v>4291</v>
      </c>
      <c r="D60" s="32" t="s">
        <v>4292</v>
      </c>
      <c r="E60" s="32" t="s">
        <v>4293</v>
      </c>
      <c r="F60" s="32" t="s">
        <v>4294</v>
      </c>
      <c r="G60" s="32" t="s">
        <v>4295</v>
      </c>
    </row>
    <row x14ac:dyDescent="0.25" r="61" customHeight="1" ht="15.75">
      <c r="A61" s="8">
        <v>25242</v>
      </c>
      <c r="B61" s="13" t="s">
        <v>27</v>
      </c>
      <c r="C61" s="13" t="s">
        <v>4296</v>
      </c>
      <c r="D61" s="32" t="s">
        <v>4297</v>
      </c>
      <c r="E61" s="32" t="s">
        <v>4298</v>
      </c>
      <c r="F61" s="32" t="s">
        <v>2679</v>
      </c>
      <c r="G61" s="32" t="s">
        <v>1555</v>
      </c>
    </row>
    <row x14ac:dyDescent="0.25" r="62" customHeight="1" ht="15.75">
      <c r="A62" s="8">
        <v>25249</v>
      </c>
      <c r="B62" s="13" t="s">
        <v>27</v>
      </c>
      <c r="C62" s="13" t="s">
        <v>4299</v>
      </c>
      <c r="D62" s="32" t="s">
        <v>4300</v>
      </c>
      <c r="E62" s="32" t="s">
        <v>1457</v>
      </c>
      <c r="F62" s="32" t="s">
        <v>4301</v>
      </c>
      <c r="G62" s="32" t="s">
        <v>4302</v>
      </c>
    </row>
    <row x14ac:dyDescent="0.25" r="63" customHeight="1" ht="15.75">
      <c r="A63" s="8">
        <v>25301</v>
      </c>
      <c r="B63" s="13" t="s">
        <v>27</v>
      </c>
      <c r="C63" s="13" t="s">
        <v>4303</v>
      </c>
      <c r="D63" s="32" t="s">
        <v>2721</v>
      </c>
      <c r="E63" s="32" t="s">
        <v>1596</v>
      </c>
      <c r="F63" s="32" t="s">
        <v>4304</v>
      </c>
      <c r="G63" s="32" t="s">
        <v>4305</v>
      </c>
    </row>
    <row x14ac:dyDescent="0.25" r="64" customHeight="1" ht="15.75">
      <c r="A64" s="8">
        <v>25326</v>
      </c>
      <c r="B64" s="13" t="s">
        <v>27</v>
      </c>
      <c r="C64" s="13" t="s">
        <v>4306</v>
      </c>
      <c r="D64" s="32" t="s">
        <v>4307</v>
      </c>
      <c r="E64" s="32" t="s">
        <v>4308</v>
      </c>
      <c r="F64" s="32" t="s">
        <v>4309</v>
      </c>
      <c r="G64" s="32" t="s">
        <v>4310</v>
      </c>
    </row>
    <row x14ac:dyDescent="0.25" r="65" customHeight="1" ht="15.75">
      <c r="A65" s="8">
        <v>25243</v>
      </c>
      <c r="B65" s="13" t="s">
        <v>27</v>
      </c>
      <c r="C65" s="13" t="s">
        <v>4311</v>
      </c>
      <c r="D65" s="32" t="s">
        <v>4312</v>
      </c>
      <c r="E65" s="32" t="s">
        <v>4313</v>
      </c>
      <c r="F65" s="32" t="s">
        <v>4314</v>
      </c>
      <c r="G65" s="32" t="s">
        <v>4315</v>
      </c>
    </row>
    <row x14ac:dyDescent="0.25" r="66" customHeight="1" ht="15.75">
      <c r="A66" s="8">
        <v>25255</v>
      </c>
      <c r="B66" s="13" t="s">
        <v>27</v>
      </c>
      <c r="C66" s="13" t="s">
        <v>4316</v>
      </c>
      <c r="D66" s="32" t="s">
        <v>4317</v>
      </c>
      <c r="E66" s="32" t="s">
        <v>4318</v>
      </c>
      <c r="F66" s="32" t="s">
        <v>4319</v>
      </c>
      <c r="G66" s="32" t="s">
        <v>4320</v>
      </c>
    </row>
    <row x14ac:dyDescent="0.25" r="67" customHeight="1" ht="15.75">
      <c r="A67" s="8">
        <v>25303</v>
      </c>
      <c r="B67" s="13" t="s">
        <v>27</v>
      </c>
      <c r="C67" s="13" t="s">
        <v>4321</v>
      </c>
      <c r="D67" s="32" t="s">
        <v>2650</v>
      </c>
      <c r="E67" s="32" t="s">
        <v>4322</v>
      </c>
      <c r="F67" s="32" t="s">
        <v>2088</v>
      </c>
      <c r="G67" s="32" t="s">
        <v>4323</v>
      </c>
    </row>
    <row x14ac:dyDescent="0.25" r="68" customHeight="1" ht="15.75">
      <c r="A68" s="8">
        <v>25244</v>
      </c>
      <c r="B68" s="13" t="s">
        <v>27</v>
      </c>
      <c r="C68" s="13" t="s">
        <v>4324</v>
      </c>
      <c r="D68" s="32" t="s">
        <v>4325</v>
      </c>
      <c r="E68" s="32" t="s">
        <v>557</v>
      </c>
      <c r="F68" s="32" t="s">
        <v>4326</v>
      </c>
      <c r="G68" s="32" t="s">
        <v>4327</v>
      </c>
    </row>
    <row x14ac:dyDescent="0.25" r="69" customHeight="1" ht="15.75">
      <c r="A69" s="8">
        <v>25334</v>
      </c>
      <c r="B69" s="13" t="s">
        <v>27</v>
      </c>
      <c r="C69" s="13" t="s">
        <v>4328</v>
      </c>
      <c r="D69" s="32" t="s">
        <v>4329</v>
      </c>
      <c r="E69" s="32" t="s">
        <v>1339</v>
      </c>
      <c r="F69" s="32" t="s">
        <v>4330</v>
      </c>
      <c r="G69" s="32" t="s">
        <v>4331</v>
      </c>
    </row>
    <row x14ac:dyDescent="0.25" r="70" customHeight="1" ht="15.75">
      <c r="A70" s="8">
        <v>25271</v>
      </c>
      <c r="B70" s="13" t="s">
        <v>27</v>
      </c>
      <c r="C70" s="13" t="s">
        <v>4332</v>
      </c>
      <c r="D70" s="32" t="s">
        <v>4333</v>
      </c>
      <c r="E70" s="32" t="s">
        <v>4334</v>
      </c>
      <c r="F70" s="32" t="s">
        <v>4335</v>
      </c>
      <c r="G70" s="32" t="s">
        <v>4188</v>
      </c>
    </row>
    <row x14ac:dyDescent="0.25" r="71" customHeight="1" ht="15.75">
      <c r="A71" s="8">
        <v>25327</v>
      </c>
      <c r="B71" s="13" t="s">
        <v>27</v>
      </c>
      <c r="C71" s="13" t="s">
        <v>4336</v>
      </c>
      <c r="D71" s="32" t="s">
        <v>2618</v>
      </c>
      <c r="E71" s="32" t="s">
        <v>4337</v>
      </c>
      <c r="F71" s="32" t="s">
        <v>4338</v>
      </c>
      <c r="G71" s="32" t="s">
        <v>4339</v>
      </c>
    </row>
    <row x14ac:dyDescent="0.25" r="72" customHeight="1" ht="15.75">
      <c r="A72" s="8">
        <v>25328</v>
      </c>
      <c r="B72" s="13" t="s">
        <v>27</v>
      </c>
      <c r="C72" s="13" t="s">
        <v>4340</v>
      </c>
      <c r="D72" s="32" t="s">
        <v>4341</v>
      </c>
      <c r="E72" s="32" t="s">
        <v>4342</v>
      </c>
      <c r="F72" s="32" t="s">
        <v>2496</v>
      </c>
      <c r="G72" s="32" t="s">
        <v>4343</v>
      </c>
    </row>
    <row x14ac:dyDescent="0.25" r="73" customHeight="1" ht="15.75">
      <c r="A73" s="8">
        <v>25304</v>
      </c>
      <c r="B73" s="13" t="s">
        <v>27</v>
      </c>
      <c r="C73" s="13" t="s">
        <v>4344</v>
      </c>
      <c r="D73" s="32" t="s">
        <v>4345</v>
      </c>
      <c r="E73" s="32" t="s">
        <v>4346</v>
      </c>
      <c r="F73" s="32" t="s">
        <v>4347</v>
      </c>
      <c r="G73" s="32" t="s">
        <v>4348</v>
      </c>
    </row>
    <row x14ac:dyDescent="0.25" r="74" customHeight="1" ht="15.75">
      <c r="A74" s="8">
        <v>25256</v>
      </c>
      <c r="B74" s="13" t="s">
        <v>27</v>
      </c>
      <c r="C74" s="13" t="s">
        <v>4349</v>
      </c>
      <c r="D74" s="32" t="s">
        <v>4350</v>
      </c>
      <c r="E74" s="32" t="s">
        <v>1069</v>
      </c>
      <c r="F74" s="32" t="s">
        <v>4351</v>
      </c>
      <c r="G74" s="32" t="s">
        <v>1341</v>
      </c>
    </row>
    <row x14ac:dyDescent="0.25" r="75" customHeight="1" ht="15.75">
      <c r="A75" s="8">
        <v>25257</v>
      </c>
      <c r="B75" s="13" t="s">
        <v>27</v>
      </c>
      <c r="C75" s="13" t="s">
        <v>4352</v>
      </c>
      <c r="D75" s="32" t="s">
        <v>1460</v>
      </c>
      <c r="E75" s="32" t="s">
        <v>4353</v>
      </c>
      <c r="F75" s="32" t="s">
        <v>2276</v>
      </c>
      <c r="G75" s="32" t="s">
        <v>4354</v>
      </c>
    </row>
    <row x14ac:dyDescent="0.25" r="76" customHeight="1" ht="15.75">
      <c r="A76" s="8">
        <v>25245</v>
      </c>
      <c r="B76" s="13" t="s">
        <v>27</v>
      </c>
      <c r="C76" s="13" t="s">
        <v>4355</v>
      </c>
      <c r="D76" s="32" t="s">
        <v>4356</v>
      </c>
      <c r="E76" s="32" t="s">
        <v>4357</v>
      </c>
      <c r="F76" s="32" t="s">
        <v>4140</v>
      </c>
      <c r="G76" s="32" t="s">
        <v>1401</v>
      </c>
    </row>
    <row x14ac:dyDescent="0.25" r="77" customHeight="1" ht="15.75">
      <c r="A77" s="8">
        <v>25272</v>
      </c>
      <c r="B77" s="13" t="s">
        <v>27</v>
      </c>
      <c r="C77" s="13" t="s">
        <v>4358</v>
      </c>
      <c r="D77" s="32" t="s">
        <v>4359</v>
      </c>
      <c r="E77" s="32" t="s">
        <v>2804</v>
      </c>
      <c r="F77" s="32" t="s">
        <v>4360</v>
      </c>
      <c r="G77" s="32" t="s">
        <v>4149</v>
      </c>
    </row>
    <row x14ac:dyDescent="0.25" r="78" customHeight="1" ht="15.75">
      <c r="A78" s="8">
        <v>25305</v>
      </c>
      <c r="B78" s="13" t="s">
        <v>27</v>
      </c>
      <c r="C78" s="13" t="s">
        <v>4361</v>
      </c>
      <c r="D78" s="32" t="s">
        <v>4362</v>
      </c>
      <c r="E78" s="32" t="s">
        <v>4363</v>
      </c>
      <c r="F78" s="32" t="s">
        <v>4364</v>
      </c>
      <c r="G78" s="32" t="s">
        <v>4365</v>
      </c>
    </row>
    <row x14ac:dyDescent="0.25" r="79" customHeight="1" ht="15.75">
      <c r="A79" s="8">
        <v>25306</v>
      </c>
      <c r="B79" s="13" t="s">
        <v>27</v>
      </c>
      <c r="C79" s="13" t="s">
        <v>4366</v>
      </c>
      <c r="D79" s="32" t="s">
        <v>74</v>
      </c>
      <c r="E79" s="32" t="s">
        <v>4367</v>
      </c>
      <c r="F79" s="32" t="s">
        <v>4368</v>
      </c>
      <c r="G79" s="32" t="s">
        <v>4369</v>
      </c>
    </row>
    <row x14ac:dyDescent="0.25" r="80" customHeight="1" ht="15.75">
      <c r="A80" s="8">
        <v>25262</v>
      </c>
      <c r="B80" s="13" t="s">
        <v>27</v>
      </c>
      <c r="C80" s="13" t="s">
        <v>4370</v>
      </c>
      <c r="D80" s="32" t="s">
        <v>4371</v>
      </c>
      <c r="E80" s="32" t="s">
        <v>4372</v>
      </c>
      <c r="F80" s="32" t="s">
        <v>4373</v>
      </c>
      <c r="G80" s="32" t="s">
        <v>1705</v>
      </c>
    </row>
    <row x14ac:dyDescent="0.25" r="81" customHeight="1" ht="15.75">
      <c r="A81" s="8">
        <v>25258</v>
      </c>
      <c r="B81" s="13" t="s">
        <v>27</v>
      </c>
      <c r="C81" s="13" t="s">
        <v>4374</v>
      </c>
      <c r="D81" s="32" t="s">
        <v>4375</v>
      </c>
      <c r="E81" s="32" t="s">
        <v>4376</v>
      </c>
      <c r="F81" s="32" t="s">
        <v>4377</v>
      </c>
      <c r="G81" s="32" t="s">
        <v>2544</v>
      </c>
    </row>
    <row x14ac:dyDescent="0.25" r="82" customHeight="1" ht="15.75">
      <c r="A82" s="8">
        <v>25246</v>
      </c>
      <c r="B82" s="13" t="s">
        <v>27</v>
      </c>
      <c r="C82" s="13" t="s">
        <v>4378</v>
      </c>
      <c r="D82" s="32" t="s">
        <v>4379</v>
      </c>
      <c r="E82" s="32" t="s">
        <v>1511</v>
      </c>
      <c r="F82" s="32" t="s">
        <v>857</v>
      </c>
      <c r="G82" s="32" t="s">
        <v>4380</v>
      </c>
    </row>
    <row x14ac:dyDescent="0.25" r="83" customHeight="1" ht="15.75">
      <c r="A83" s="8">
        <v>25312</v>
      </c>
      <c r="B83" s="13" t="s">
        <v>27</v>
      </c>
      <c r="C83" s="13" t="s">
        <v>4381</v>
      </c>
      <c r="D83" s="32" t="s">
        <v>4382</v>
      </c>
      <c r="E83" s="32" t="s">
        <v>4383</v>
      </c>
      <c r="F83" s="32" t="s">
        <v>4384</v>
      </c>
      <c r="G83" s="32" t="s">
        <v>409</v>
      </c>
    </row>
    <row x14ac:dyDescent="0.25" r="84" customHeight="1" ht="15.75">
      <c r="A84" s="8">
        <v>25260</v>
      </c>
      <c r="B84" s="13" t="s">
        <v>27</v>
      </c>
      <c r="C84" s="13" t="s">
        <v>4385</v>
      </c>
      <c r="D84" s="32" t="s">
        <v>4386</v>
      </c>
      <c r="E84" s="32" t="s">
        <v>1626</v>
      </c>
      <c r="F84" s="32" t="s">
        <v>4387</v>
      </c>
      <c r="G84" s="32" t="s">
        <v>4388</v>
      </c>
    </row>
    <row x14ac:dyDescent="0.25" r="85" customHeight="1" ht="15.75">
      <c r="A85" s="8">
        <v>25313</v>
      </c>
      <c r="B85" s="13" t="s">
        <v>27</v>
      </c>
      <c r="C85" s="13" t="s">
        <v>4389</v>
      </c>
      <c r="D85" s="32" t="s">
        <v>4390</v>
      </c>
      <c r="E85" s="32" t="s">
        <v>1344</v>
      </c>
      <c r="F85" s="32" t="s">
        <v>4391</v>
      </c>
      <c r="G85" s="32" t="s">
        <v>4392</v>
      </c>
    </row>
    <row x14ac:dyDescent="0.25" r="86" customHeight="1" ht="15.75">
      <c r="A86" s="8">
        <v>26131</v>
      </c>
      <c r="B86" s="13" t="s">
        <v>512</v>
      </c>
      <c r="C86" s="13" t="s">
        <v>4393</v>
      </c>
      <c r="D86" s="32" t="s">
        <v>4394</v>
      </c>
      <c r="E86" s="32" t="s">
        <v>4395</v>
      </c>
      <c r="F86" s="32" t="s">
        <v>4396</v>
      </c>
      <c r="G86" s="32" t="s">
        <v>4248</v>
      </c>
    </row>
    <row x14ac:dyDescent="0.25" r="87" customHeight="1" ht="15.75">
      <c r="A87" s="8">
        <v>26132</v>
      </c>
      <c r="B87" s="13" t="s">
        <v>512</v>
      </c>
      <c r="C87" s="13" t="s">
        <v>4397</v>
      </c>
      <c r="D87" s="32" t="s">
        <v>4398</v>
      </c>
      <c r="E87" s="32" t="s">
        <v>1838</v>
      </c>
      <c r="F87" s="32" t="s">
        <v>4399</v>
      </c>
      <c r="G87" s="32" t="s">
        <v>1641</v>
      </c>
    </row>
    <row x14ac:dyDescent="0.25" r="88" customHeight="1" ht="15.75">
      <c r="A88" s="8">
        <v>26113</v>
      </c>
      <c r="B88" s="13" t="s">
        <v>512</v>
      </c>
      <c r="C88" s="13" t="s">
        <v>4400</v>
      </c>
      <c r="D88" s="32" t="s">
        <v>74</v>
      </c>
      <c r="E88" s="32" t="s">
        <v>4177</v>
      </c>
      <c r="F88" s="32" t="s">
        <v>4401</v>
      </c>
      <c r="G88" s="32" t="s">
        <v>1524</v>
      </c>
    </row>
    <row x14ac:dyDescent="0.25" r="89" customHeight="1" ht="15.75">
      <c r="A89" s="8">
        <v>26143</v>
      </c>
      <c r="B89" s="13" t="s">
        <v>512</v>
      </c>
      <c r="C89" s="13" t="s">
        <v>4402</v>
      </c>
      <c r="D89" s="32" t="s">
        <v>4403</v>
      </c>
      <c r="E89" s="32" t="s">
        <v>4404</v>
      </c>
      <c r="F89" s="32" t="s">
        <v>4405</v>
      </c>
      <c r="G89" s="32" t="s">
        <v>4406</v>
      </c>
    </row>
    <row x14ac:dyDescent="0.25" r="90" customHeight="1" ht="15.75">
      <c r="A90" s="8">
        <v>26133</v>
      </c>
      <c r="B90" s="13" t="s">
        <v>512</v>
      </c>
      <c r="C90" s="13" t="s">
        <v>4407</v>
      </c>
      <c r="D90" s="32" t="s">
        <v>4408</v>
      </c>
      <c r="E90" s="32" t="s">
        <v>4409</v>
      </c>
      <c r="F90" s="32" t="s">
        <v>4410</v>
      </c>
      <c r="G90" s="32" t="s">
        <v>4411</v>
      </c>
    </row>
    <row x14ac:dyDescent="0.25" r="91" customHeight="1" ht="15.75">
      <c r="A91" s="8">
        <v>26134</v>
      </c>
      <c r="B91" s="13" t="s">
        <v>512</v>
      </c>
      <c r="C91" s="13" t="s">
        <v>4412</v>
      </c>
      <c r="D91" s="32" t="s">
        <v>1505</v>
      </c>
      <c r="E91" s="32" t="s">
        <v>4413</v>
      </c>
      <c r="F91" s="32" t="s">
        <v>2679</v>
      </c>
      <c r="G91" s="32" t="s">
        <v>4414</v>
      </c>
    </row>
    <row x14ac:dyDescent="0.25" r="92" customHeight="1" ht="15.75">
      <c r="A92" s="8">
        <v>26121</v>
      </c>
      <c r="B92" s="13" t="s">
        <v>512</v>
      </c>
      <c r="C92" s="13" t="s">
        <v>4415</v>
      </c>
      <c r="D92" s="32" t="s">
        <v>4416</v>
      </c>
      <c r="E92" s="32" t="s">
        <v>783</v>
      </c>
      <c r="F92" s="32" t="s">
        <v>4417</v>
      </c>
      <c r="G92" s="32" t="s">
        <v>1553</v>
      </c>
    </row>
    <row x14ac:dyDescent="0.25" r="93" customHeight="1" ht="15.75">
      <c r="A93" s="8">
        <v>26098</v>
      </c>
      <c r="B93" s="13" t="s">
        <v>512</v>
      </c>
      <c r="C93" s="13" t="s">
        <v>4418</v>
      </c>
      <c r="D93" s="32" t="s">
        <v>4419</v>
      </c>
      <c r="E93" s="32" t="s">
        <v>4420</v>
      </c>
      <c r="F93" s="32" t="s">
        <v>4421</v>
      </c>
      <c r="G93" s="32" t="s">
        <v>4422</v>
      </c>
    </row>
    <row x14ac:dyDescent="0.25" r="94" customHeight="1" ht="15.75">
      <c r="A94" s="8">
        <v>26122</v>
      </c>
      <c r="B94" s="13" t="s">
        <v>512</v>
      </c>
      <c r="C94" s="13" t="s">
        <v>4423</v>
      </c>
      <c r="D94" s="32" t="s">
        <v>4424</v>
      </c>
      <c r="E94" s="32" t="s">
        <v>4425</v>
      </c>
      <c r="F94" s="32" t="s">
        <v>4426</v>
      </c>
      <c r="G94" s="32" t="s">
        <v>4427</v>
      </c>
    </row>
    <row x14ac:dyDescent="0.25" r="95" customHeight="1" ht="15.75">
      <c r="A95" s="8">
        <v>26114</v>
      </c>
      <c r="B95" s="13" t="s">
        <v>512</v>
      </c>
      <c r="C95" s="13" t="s">
        <v>4428</v>
      </c>
      <c r="D95" s="32" t="s">
        <v>4429</v>
      </c>
      <c r="E95" s="32" t="s">
        <v>4427</v>
      </c>
      <c r="F95" s="32" t="s">
        <v>4429</v>
      </c>
      <c r="G95" s="32" t="s">
        <v>4430</v>
      </c>
    </row>
    <row x14ac:dyDescent="0.25" r="96" customHeight="1" ht="15.75">
      <c r="A96" s="8">
        <v>26144</v>
      </c>
      <c r="B96" s="13" t="s">
        <v>512</v>
      </c>
      <c r="C96" s="13" t="s">
        <v>4431</v>
      </c>
      <c r="D96" s="32" t="s">
        <v>4067</v>
      </c>
      <c r="E96" s="32" t="s">
        <v>4432</v>
      </c>
      <c r="F96" s="32" t="s">
        <v>4433</v>
      </c>
      <c r="G96" s="32" t="s">
        <v>517</v>
      </c>
    </row>
    <row x14ac:dyDescent="0.25" r="97" customHeight="1" ht="15.75">
      <c r="A97" s="8">
        <v>26135</v>
      </c>
      <c r="B97" s="13" t="s">
        <v>512</v>
      </c>
      <c r="C97" s="13" t="s">
        <v>4434</v>
      </c>
      <c r="D97" s="32" t="s">
        <v>4435</v>
      </c>
      <c r="E97" s="32" t="s">
        <v>4436</v>
      </c>
      <c r="F97" s="32" t="s">
        <v>74</v>
      </c>
      <c r="G97" s="32" t="s">
        <v>4437</v>
      </c>
    </row>
    <row x14ac:dyDescent="0.25" r="98" customHeight="1" ht="15.75">
      <c r="A98" s="8">
        <v>26099</v>
      </c>
      <c r="B98" s="13" t="s">
        <v>512</v>
      </c>
      <c r="C98" s="13" t="s">
        <v>4438</v>
      </c>
      <c r="D98" s="32" t="s">
        <v>2714</v>
      </c>
      <c r="E98" s="32" t="s">
        <v>4439</v>
      </c>
      <c r="F98" s="32" t="s">
        <v>4440</v>
      </c>
      <c r="G98" s="32" t="s">
        <v>1723</v>
      </c>
    </row>
    <row x14ac:dyDescent="0.25" r="99" customHeight="1" ht="15.75">
      <c r="A99" s="8">
        <v>26115</v>
      </c>
      <c r="B99" s="13" t="s">
        <v>512</v>
      </c>
      <c r="C99" s="13" t="s">
        <v>4441</v>
      </c>
      <c r="D99" s="32" t="s">
        <v>4442</v>
      </c>
      <c r="E99" s="32" t="s">
        <v>1876</v>
      </c>
      <c r="F99" s="32" t="s">
        <v>2276</v>
      </c>
      <c r="G99" s="32" t="s">
        <v>4443</v>
      </c>
    </row>
    <row x14ac:dyDescent="0.25" r="100" customHeight="1" ht="15.75">
      <c r="A100" s="8">
        <v>26136</v>
      </c>
      <c r="B100" s="13" t="s">
        <v>512</v>
      </c>
      <c r="C100" s="13" t="s">
        <v>4444</v>
      </c>
      <c r="D100" s="32" t="s">
        <v>4408</v>
      </c>
      <c r="E100" s="32" t="s">
        <v>4445</v>
      </c>
      <c r="F100" s="32" t="s">
        <v>4446</v>
      </c>
      <c r="G100" s="32" t="s">
        <v>4447</v>
      </c>
    </row>
    <row x14ac:dyDescent="0.25" r="101" customHeight="1" ht="15.75">
      <c r="A101" s="8">
        <v>26111</v>
      </c>
      <c r="B101" s="13" t="s">
        <v>512</v>
      </c>
      <c r="C101" s="13" t="s">
        <v>4448</v>
      </c>
      <c r="D101" s="32" t="s">
        <v>4449</v>
      </c>
      <c r="E101" s="32" t="s">
        <v>4450</v>
      </c>
      <c r="F101" s="32" t="s">
        <v>4451</v>
      </c>
      <c r="G101" s="32" t="s">
        <v>4452</v>
      </c>
    </row>
    <row x14ac:dyDescent="0.25" r="102" customHeight="1" ht="15.75">
      <c r="A102" s="8">
        <v>26137</v>
      </c>
      <c r="B102" s="13" t="s">
        <v>512</v>
      </c>
      <c r="C102" s="13" t="s">
        <v>4453</v>
      </c>
      <c r="D102" s="32" t="s">
        <v>4454</v>
      </c>
      <c r="E102" s="32" t="s">
        <v>4455</v>
      </c>
      <c r="F102" s="32" t="s">
        <v>4456</v>
      </c>
      <c r="G102" s="32" t="s">
        <v>4457</v>
      </c>
    </row>
    <row x14ac:dyDescent="0.25" r="103" customHeight="1" ht="15.75">
      <c r="A103" s="8">
        <v>26126</v>
      </c>
      <c r="B103" s="13" t="s">
        <v>512</v>
      </c>
      <c r="C103" s="13" t="s">
        <v>4458</v>
      </c>
      <c r="D103" s="32" t="s">
        <v>4459</v>
      </c>
      <c r="E103" s="32" t="s">
        <v>4460</v>
      </c>
      <c r="F103" s="32" t="s">
        <v>4461</v>
      </c>
      <c r="G103" s="32" t="s">
        <v>4154</v>
      </c>
    </row>
    <row x14ac:dyDescent="0.25" r="104" customHeight="1" ht="15.75">
      <c r="A104" s="8">
        <v>26109</v>
      </c>
      <c r="B104" s="13" t="s">
        <v>512</v>
      </c>
      <c r="C104" s="13" t="s">
        <v>4462</v>
      </c>
      <c r="D104" s="32" t="s">
        <v>4463</v>
      </c>
      <c r="E104" s="32" t="s">
        <v>1856</v>
      </c>
      <c r="F104" s="32" t="s">
        <v>4464</v>
      </c>
      <c r="G104" s="32" t="s">
        <v>4465</v>
      </c>
    </row>
    <row x14ac:dyDescent="0.25" r="105" customHeight="1" ht="15.75">
      <c r="A105" s="8">
        <v>26100</v>
      </c>
      <c r="B105" s="13" t="s">
        <v>512</v>
      </c>
      <c r="C105" s="13" t="s">
        <v>4466</v>
      </c>
      <c r="D105" s="32" t="s">
        <v>4247</v>
      </c>
      <c r="E105" s="32" t="s">
        <v>4467</v>
      </c>
      <c r="F105" s="32" t="s">
        <v>4468</v>
      </c>
      <c r="G105" s="32" t="s">
        <v>4469</v>
      </c>
    </row>
    <row x14ac:dyDescent="0.25" r="106" customHeight="1" ht="15.75">
      <c r="A106" s="8">
        <v>26138</v>
      </c>
      <c r="B106" s="13" t="s">
        <v>512</v>
      </c>
      <c r="C106" s="13" t="s">
        <v>4470</v>
      </c>
      <c r="D106" s="32" t="s">
        <v>4471</v>
      </c>
      <c r="E106" s="32" t="s">
        <v>4472</v>
      </c>
      <c r="F106" s="32" t="s">
        <v>4473</v>
      </c>
      <c r="G106" s="32" t="s">
        <v>4474</v>
      </c>
    </row>
    <row x14ac:dyDescent="0.25" r="107" customHeight="1" ht="15.75">
      <c r="A107" s="8">
        <v>26123</v>
      </c>
      <c r="B107" s="13" t="s">
        <v>512</v>
      </c>
      <c r="C107" s="13" t="s">
        <v>4475</v>
      </c>
      <c r="D107" s="32" t="s">
        <v>4476</v>
      </c>
      <c r="E107" s="32" t="s">
        <v>4477</v>
      </c>
      <c r="F107" s="32" t="s">
        <v>4478</v>
      </c>
      <c r="G107" s="32" t="s">
        <v>4479</v>
      </c>
    </row>
    <row x14ac:dyDescent="0.25" r="108" customHeight="1" ht="15.75">
      <c r="A108" s="8">
        <v>26124</v>
      </c>
      <c r="B108" s="13" t="s">
        <v>512</v>
      </c>
      <c r="C108" s="13" t="s">
        <v>4480</v>
      </c>
      <c r="D108" s="32" t="s">
        <v>4481</v>
      </c>
      <c r="E108" s="32" t="s">
        <v>4482</v>
      </c>
      <c r="F108" s="32" t="s">
        <v>4483</v>
      </c>
      <c r="G108" s="32" t="s">
        <v>1509</v>
      </c>
    </row>
    <row x14ac:dyDescent="0.25" r="109" customHeight="1" ht="15.75">
      <c r="A109" s="8">
        <v>26145</v>
      </c>
      <c r="B109" s="13" t="s">
        <v>512</v>
      </c>
      <c r="C109" s="13" t="s">
        <v>4484</v>
      </c>
      <c r="D109" s="32" t="s">
        <v>4485</v>
      </c>
      <c r="E109" s="32" t="s">
        <v>4486</v>
      </c>
      <c r="F109" s="32" t="s">
        <v>4487</v>
      </c>
      <c r="G109" s="32" t="s">
        <v>4427</v>
      </c>
    </row>
    <row x14ac:dyDescent="0.25" r="110" customHeight="1" ht="15.75">
      <c r="A110" s="8">
        <v>26125</v>
      </c>
      <c r="B110" s="13" t="s">
        <v>512</v>
      </c>
      <c r="C110" s="13" t="s">
        <v>4488</v>
      </c>
      <c r="D110" s="32" t="s">
        <v>4489</v>
      </c>
      <c r="E110" s="32" t="s">
        <v>4490</v>
      </c>
      <c r="F110" s="32" t="s">
        <v>4491</v>
      </c>
      <c r="G110" s="32" t="s">
        <v>4102</v>
      </c>
    </row>
    <row x14ac:dyDescent="0.25" r="111" customHeight="1" ht="15.75">
      <c r="A111" s="8">
        <v>26129</v>
      </c>
      <c r="B111" s="13" t="s">
        <v>512</v>
      </c>
      <c r="C111" s="13" t="s">
        <v>4492</v>
      </c>
      <c r="D111" s="32" t="s">
        <v>74</v>
      </c>
      <c r="E111" s="32" t="s">
        <v>4493</v>
      </c>
      <c r="F111" s="32" t="s">
        <v>4494</v>
      </c>
      <c r="G111" s="32" t="s">
        <v>4495</v>
      </c>
    </row>
    <row x14ac:dyDescent="0.25" r="112" customHeight="1" ht="15.75">
      <c r="A112" s="8">
        <v>26101</v>
      </c>
      <c r="B112" s="13" t="s">
        <v>512</v>
      </c>
      <c r="C112" s="13" t="s">
        <v>4496</v>
      </c>
      <c r="D112" s="32" t="s">
        <v>4217</v>
      </c>
      <c r="E112" s="32" t="s">
        <v>4497</v>
      </c>
      <c r="F112" s="32" t="s">
        <v>4498</v>
      </c>
      <c r="G112" s="32" t="s">
        <v>1418</v>
      </c>
    </row>
    <row x14ac:dyDescent="0.25" r="113" customHeight="1" ht="15.75">
      <c r="A113" s="8">
        <v>26139</v>
      </c>
      <c r="B113" s="13" t="s">
        <v>512</v>
      </c>
      <c r="C113" s="13" t="s">
        <v>4499</v>
      </c>
      <c r="D113" s="32" t="s">
        <v>4500</v>
      </c>
      <c r="E113" s="32" t="s">
        <v>4501</v>
      </c>
      <c r="F113" s="32" t="s">
        <v>4502</v>
      </c>
      <c r="G113" s="32" t="s">
        <v>4503</v>
      </c>
    </row>
    <row x14ac:dyDescent="0.25" r="114" customHeight="1" ht="15.75">
      <c r="A114" s="8">
        <v>26118</v>
      </c>
      <c r="B114" s="13" t="s">
        <v>512</v>
      </c>
      <c r="C114" s="13" t="s">
        <v>4504</v>
      </c>
      <c r="D114" s="32" t="s">
        <v>4505</v>
      </c>
      <c r="E114" s="32" t="s">
        <v>2703</v>
      </c>
      <c r="F114" s="32" t="s">
        <v>4506</v>
      </c>
      <c r="G114" s="32" t="s">
        <v>4507</v>
      </c>
    </row>
    <row x14ac:dyDescent="0.25" r="115" customHeight="1" ht="15.75">
      <c r="A115" s="8">
        <v>26102</v>
      </c>
      <c r="B115" s="13" t="s">
        <v>512</v>
      </c>
      <c r="C115" s="13" t="s">
        <v>4508</v>
      </c>
      <c r="D115" s="32" t="s">
        <v>350</v>
      </c>
      <c r="E115" s="32" t="s">
        <v>4509</v>
      </c>
      <c r="F115" s="32" t="s">
        <v>81</v>
      </c>
      <c r="G115" s="32" t="s">
        <v>1431</v>
      </c>
    </row>
    <row x14ac:dyDescent="0.25" r="116" customHeight="1" ht="15.75">
      <c r="A116" s="8">
        <v>26112</v>
      </c>
      <c r="B116" s="13" t="s">
        <v>512</v>
      </c>
      <c r="C116" s="13" t="s">
        <v>4510</v>
      </c>
      <c r="D116" s="32" t="s">
        <v>4511</v>
      </c>
      <c r="E116" s="32" t="s">
        <v>4406</v>
      </c>
      <c r="F116" s="32" t="s">
        <v>4512</v>
      </c>
      <c r="G116" s="32" t="s">
        <v>4414</v>
      </c>
    </row>
    <row x14ac:dyDescent="0.25" r="117" customHeight="1" ht="15.75">
      <c r="A117" s="8">
        <v>26103</v>
      </c>
      <c r="B117" s="13" t="s">
        <v>512</v>
      </c>
      <c r="C117" s="13" t="s">
        <v>4513</v>
      </c>
      <c r="D117" s="32" t="s">
        <v>74</v>
      </c>
      <c r="E117" s="32" t="s">
        <v>4151</v>
      </c>
      <c r="F117" s="32" t="s">
        <v>951</v>
      </c>
      <c r="G117" s="32" t="s">
        <v>4514</v>
      </c>
    </row>
    <row x14ac:dyDescent="0.25" r="118" customHeight="1" ht="15.75">
      <c r="A118" s="8">
        <v>26127</v>
      </c>
      <c r="B118" s="13" t="s">
        <v>512</v>
      </c>
      <c r="C118" s="13" t="s">
        <v>4515</v>
      </c>
      <c r="D118" s="32" t="s">
        <v>4516</v>
      </c>
      <c r="E118" s="32" t="s">
        <v>4517</v>
      </c>
      <c r="F118" s="32" t="s">
        <v>1562</v>
      </c>
      <c r="G118" s="32" t="s">
        <v>4098</v>
      </c>
    </row>
    <row x14ac:dyDescent="0.25" r="119" customHeight="1" ht="15.75">
      <c r="A119" s="8">
        <v>26110</v>
      </c>
      <c r="B119" s="13" t="s">
        <v>512</v>
      </c>
      <c r="C119" s="13" t="s">
        <v>4518</v>
      </c>
      <c r="D119" s="32" t="s">
        <v>4180</v>
      </c>
      <c r="E119" s="32" t="s">
        <v>4519</v>
      </c>
      <c r="F119" s="32" t="s">
        <v>4520</v>
      </c>
      <c r="G119" s="32" t="s">
        <v>4521</v>
      </c>
    </row>
    <row x14ac:dyDescent="0.25" r="120" customHeight="1" ht="15.75">
      <c r="A120" s="8">
        <v>26104</v>
      </c>
      <c r="B120" s="13" t="s">
        <v>512</v>
      </c>
      <c r="C120" s="13" t="s">
        <v>4522</v>
      </c>
      <c r="D120" s="32" t="s">
        <v>4523</v>
      </c>
      <c r="E120" s="32" t="s">
        <v>4524</v>
      </c>
      <c r="F120" s="32" t="s">
        <v>4525</v>
      </c>
      <c r="G120" s="32" t="s">
        <v>4526</v>
      </c>
    </row>
    <row x14ac:dyDescent="0.25" r="121" customHeight="1" ht="15.75">
      <c r="A121" s="8">
        <v>26140</v>
      </c>
      <c r="B121" s="13" t="s">
        <v>512</v>
      </c>
      <c r="C121" s="13" t="s">
        <v>4527</v>
      </c>
      <c r="D121" s="32" t="s">
        <v>4528</v>
      </c>
      <c r="E121" s="32" t="s">
        <v>4529</v>
      </c>
      <c r="F121" s="32" t="s">
        <v>4530</v>
      </c>
      <c r="G121" s="32" t="s">
        <v>4209</v>
      </c>
    </row>
    <row x14ac:dyDescent="0.25" r="122" customHeight="1" ht="15.75">
      <c r="A122" s="8">
        <v>26116</v>
      </c>
      <c r="B122" s="13" t="s">
        <v>512</v>
      </c>
      <c r="C122" s="13" t="s">
        <v>4531</v>
      </c>
      <c r="D122" s="32" t="s">
        <v>4205</v>
      </c>
      <c r="E122" s="32" t="s">
        <v>4532</v>
      </c>
      <c r="F122" s="32" t="s">
        <v>4533</v>
      </c>
      <c r="G122" s="32" t="s">
        <v>4213</v>
      </c>
    </row>
    <row x14ac:dyDescent="0.25" r="123" customHeight="1" ht="15.75">
      <c r="A123" s="8">
        <v>26142</v>
      </c>
      <c r="B123" s="13" t="s">
        <v>512</v>
      </c>
      <c r="C123" s="13" t="s">
        <v>4534</v>
      </c>
      <c r="D123" s="32" t="s">
        <v>2743</v>
      </c>
      <c r="E123" s="32" t="s">
        <v>4535</v>
      </c>
      <c r="F123" s="32" t="s">
        <v>4536</v>
      </c>
      <c r="G123" s="32" t="s">
        <v>4532</v>
      </c>
    </row>
    <row x14ac:dyDescent="0.25" r="124" customHeight="1" ht="15.75">
      <c r="A124" s="8">
        <v>26119</v>
      </c>
      <c r="B124" s="13" t="s">
        <v>512</v>
      </c>
      <c r="C124" s="13" t="s">
        <v>4537</v>
      </c>
      <c r="D124" s="32" t="s">
        <v>4538</v>
      </c>
      <c r="E124" s="32" t="s">
        <v>4539</v>
      </c>
      <c r="F124" s="32" t="s">
        <v>4540</v>
      </c>
      <c r="G124" s="32" t="s">
        <v>4541</v>
      </c>
    </row>
    <row x14ac:dyDescent="0.25" r="125" customHeight="1" ht="15.75">
      <c r="A125" s="8">
        <v>26128</v>
      </c>
      <c r="B125" s="13" t="s">
        <v>512</v>
      </c>
      <c r="C125" s="13" t="s">
        <v>4542</v>
      </c>
      <c r="D125" s="32" t="s">
        <v>4543</v>
      </c>
      <c r="E125" s="32" t="s">
        <v>4544</v>
      </c>
      <c r="F125" s="32" t="s">
        <v>4545</v>
      </c>
      <c r="G125" s="32" t="s">
        <v>4546</v>
      </c>
    </row>
    <row x14ac:dyDescent="0.25" r="126" customHeight="1" ht="15.75">
      <c r="A126" s="8">
        <v>26105</v>
      </c>
      <c r="B126" s="13" t="s">
        <v>512</v>
      </c>
      <c r="C126" s="13" t="s">
        <v>4547</v>
      </c>
      <c r="D126" s="32" t="s">
        <v>4548</v>
      </c>
      <c r="E126" s="32" t="s">
        <v>4549</v>
      </c>
      <c r="F126" s="32" t="s">
        <v>4550</v>
      </c>
      <c r="G126" s="32" t="s">
        <v>4551</v>
      </c>
    </row>
    <row x14ac:dyDescent="0.25" r="127" customHeight="1" ht="15.75">
      <c r="A127" s="8">
        <v>26106</v>
      </c>
      <c r="B127" s="13" t="s">
        <v>512</v>
      </c>
      <c r="C127" s="13" t="s">
        <v>4552</v>
      </c>
      <c r="D127" s="32" t="s">
        <v>2740</v>
      </c>
      <c r="E127" s="32" t="s">
        <v>4553</v>
      </c>
      <c r="F127" s="32" t="s">
        <v>122</v>
      </c>
      <c r="G127" s="32" t="s">
        <v>2710</v>
      </c>
    </row>
    <row x14ac:dyDescent="0.25" r="128" customHeight="1" ht="15.75">
      <c r="A128" s="8">
        <v>26146</v>
      </c>
      <c r="B128" s="13" t="s">
        <v>512</v>
      </c>
      <c r="C128" s="13" t="s">
        <v>4554</v>
      </c>
      <c r="D128" s="32" t="s">
        <v>4555</v>
      </c>
      <c r="E128" s="32" t="s">
        <v>4556</v>
      </c>
      <c r="F128" s="32" t="s">
        <v>4557</v>
      </c>
      <c r="G128" s="32" t="s">
        <v>4558</v>
      </c>
    </row>
    <row x14ac:dyDescent="0.25" r="129" customHeight="1" ht="15.75">
      <c r="A129" s="8">
        <v>26130</v>
      </c>
      <c r="B129" s="13" t="s">
        <v>512</v>
      </c>
      <c r="C129" s="13" t="s">
        <v>4559</v>
      </c>
      <c r="D129" s="32" t="s">
        <v>2655</v>
      </c>
      <c r="E129" s="32" t="s">
        <v>4560</v>
      </c>
      <c r="F129" s="32" t="s">
        <v>4561</v>
      </c>
      <c r="G129" s="32" t="s">
        <v>4562</v>
      </c>
    </row>
    <row x14ac:dyDescent="0.25" r="130" customHeight="1" ht="15.75">
      <c r="A130" s="8">
        <v>26107</v>
      </c>
      <c r="B130" s="13" t="s">
        <v>512</v>
      </c>
      <c r="C130" s="13" t="s">
        <v>4563</v>
      </c>
      <c r="D130" s="32" t="s">
        <v>4564</v>
      </c>
      <c r="E130" s="32" t="s">
        <v>1514</v>
      </c>
      <c r="F130" s="32" t="s">
        <v>2716</v>
      </c>
      <c r="G130" s="32" t="s">
        <v>4565</v>
      </c>
    </row>
    <row x14ac:dyDescent="0.25" r="131" customHeight="1" ht="15.75">
      <c r="A131" s="8">
        <v>26117</v>
      </c>
      <c r="B131" s="13" t="s">
        <v>512</v>
      </c>
      <c r="C131" s="13" t="s">
        <v>4566</v>
      </c>
      <c r="D131" s="32" t="s">
        <v>74</v>
      </c>
      <c r="E131" s="32" t="s">
        <v>4567</v>
      </c>
      <c r="F131" s="32" t="s">
        <v>4568</v>
      </c>
      <c r="G131" s="32" t="s">
        <v>4472</v>
      </c>
    </row>
    <row x14ac:dyDescent="0.25" r="132" customHeight="1" ht="15.75">
      <c r="A132" s="8">
        <v>26120</v>
      </c>
      <c r="B132" s="13" t="s">
        <v>512</v>
      </c>
      <c r="C132" s="13" t="s">
        <v>4569</v>
      </c>
      <c r="D132" s="32" t="s">
        <v>4570</v>
      </c>
      <c r="E132" s="32" t="s">
        <v>4571</v>
      </c>
      <c r="F132" s="32" t="s">
        <v>4572</v>
      </c>
      <c r="G132" s="32" t="s">
        <v>4573</v>
      </c>
    </row>
    <row x14ac:dyDescent="0.25" r="133" customHeight="1" ht="15.75">
      <c r="A133" s="8">
        <v>26005</v>
      </c>
      <c r="B133" s="13" t="s">
        <v>184</v>
      </c>
      <c r="C133" s="13" t="s">
        <v>4574</v>
      </c>
      <c r="D133" s="32" t="s">
        <v>1952</v>
      </c>
      <c r="E133" s="32" t="s">
        <v>1196</v>
      </c>
      <c r="F133" s="32" t="s">
        <v>2498</v>
      </c>
      <c r="G133" s="32" t="s">
        <v>4305</v>
      </c>
    </row>
    <row x14ac:dyDescent="0.25" r="134" customHeight="1" ht="15.75">
      <c r="A134" s="8">
        <v>26006</v>
      </c>
      <c r="B134" s="13" t="s">
        <v>184</v>
      </c>
      <c r="C134" s="13" t="s">
        <v>4575</v>
      </c>
      <c r="D134" s="32" t="s">
        <v>74</v>
      </c>
      <c r="E134" s="32" t="s">
        <v>4576</v>
      </c>
      <c r="F134" s="32" t="s">
        <v>4577</v>
      </c>
      <c r="G134" s="32" t="s">
        <v>4578</v>
      </c>
    </row>
    <row x14ac:dyDescent="0.25" r="135" customHeight="1" ht="15.75">
      <c r="A135" s="8">
        <v>25997</v>
      </c>
      <c r="B135" s="13" t="s">
        <v>184</v>
      </c>
      <c r="C135" s="13" t="s">
        <v>4579</v>
      </c>
      <c r="D135" s="32" t="s">
        <v>4580</v>
      </c>
      <c r="E135" s="32" t="s">
        <v>4581</v>
      </c>
      <c r="F135" s="32" t="s">
        <v>74</v>
      </c>
      <c r="G135" s="32" t="s">
        <v>4337</v>
      </c>
    </row>
    <row x14ac:dyDescent="0.25" r="136" customHeight="1" ht="15.75">
      <c r="A136" s="8">
        <v>26007</v>
      </c>
      <c r="B136" s="13" t="s">
        <v>184</v>
      </c>
      <c r="C136" s="13" t="s">
        <v>4582</v>
      </c>
      <c r="D136" s="32" t="s">
        <v>2364</v>
      </c>
      <c r="E136" s="32" t="s">
        <v>1501</v>
      </c>
      <c r="F136" s="32" t="s">
        <v>4583</v>
      </c>
      <c r="G136" s="32" t="s">
        <v>1371</v>
      </c>
    </row>
    <row x14ac:dyDescent="0.25" r="137" customHeight="1" ht="15.75">
      <c r="A137" s="8">
        <v>26008</v>
      </c>
      <c r="B137" s="13" t="s">
        <v>184</v>
      </c>
      <c r="C137" s="13" t="s">
        <v>4584</v>
      </c>
      <c r="D137" s="32" t="s">
        <v>4585</v>
      </c>
      <c r="E137" s="32" t="s">
        <v>1567</v>
      </c>
      <c r="F137" s="32" t="s">
        <v>4586</v>
      </c>
      <c r="G137" s="32" t="s">
        <v>1385</v>
      </c>
    </row>
    <row x14ac:dyDescent="0.25" r="138" customHeight="1" ht="15.75">
      <c r="A138" s="8">
        <v>25998</v>
      </c>
      <c r="B138" s="13" t="s">
        <v>184</v>
      </c>
      <c r="C138" s="13" t="s">
        <v>4587</v>
      </c>
      <c r="D138" s="32" t="s">
        <v>4588</v>
      </c>
      <c r="E138" s="32" t="s">
        <v>4589</v>
      </c>
      <c r="F138" s="32" t="s">
        <v>4590</v>
      </c>
      <c r="G138" s="32" t="s">
        <v>4591</v>
      </c>
    </row>
    <row x14ac:dyDescent="0.25" r="139" customHeight="1" ht="15.75">
      <c r="A139" s="8">
        <v>26009</v>
      </c>
      <c r="B139" s="13" t="s">
        <v>184</v>
      </c>
      <c r="C139" s="13" t="s">
        <v>4592</v>
      </c>
      <c r="D139" s="32" t="s">
        <v>4593</v>
      </c>
      <c r="E139" s="32" t="s">
        <v>4472</v>
      </c>
      <c r="F139" s="32" t="s">
        <v>4594</v>
      </c>
      <c r="G139" s="32" t="s">
        <v>1415</v>
      </c>
    </row>
    <row x14ac:dyDescent="0.25" r="140" customHeight="1" ht="15.75">
      <c r="A140" s="8">
        <v>26010</v>
      </c>
      <c r="B140" s="13" t="s">
        <v>184</v>
      </c>
      <c r="C140" s="13" t="s">
        <v>4595</v>
      </c>
      <c r="D140" s="32" t="s">
        <v>4596</v>
      </c>
      <c r="E140" s="32" t="s">
        <v>4597</v>
      </c>
      <c r="F140" s="32" t="s">
        <v>4598</v>
      </c>
      <c r="G140" s="32" t="s">
        <v>1403</v>
      </c>
    </row>
    <row x14ac:dyDescent="0.25" r="141" customHeight="1" ht="15.75">
      <c r="A141" s="8">
        <v>25999</v>
      </c>
      <c r="B141" s="13" t="s">
        <v>184</v>
      </c>
      <c r="C141" s="13" t="s">
        <v>4599</v>
      </c>
      <c r="D141" s="32" t="s">
        <v>4600</v>
      </c>
      <c r="E141" s="32" t="s">
        <v>4411</v>
      </c>
      <c r="F141" s="32" t="s">
        <v>4601</v>
      </c>
      <c r="G141" s="32" t="s">
        <v>4602</v>
      </c>
    </row>
    <row x14ac:dyDescent="0.25" r="142" customHeight="1" ht="15.75">
      <c r="A142" s="8">
        <v>26011</v>
      </c>
      <c r="B142" s="13" t="s">
        <v>184</v>
      </c>
      <c r="C142" s="13" t="s">
        <v>4603</v>
      </c>
      <c r="D142" s="32" t="s">
        <v>4604</v>
      </c>
      <c r="E142" s="32" t="s">
        <v>4605</v>
      </c>
      <c r="F142" s="32" t="s">
        <v>4606</v>
      </c>
      <c r="G142" s="32" t="s">
        <v>4607</v>
      </c>
    </row>
    <row x14ac:dyDescent="0.25" r="143" customHeight="1" ht="15.75">
      <c r="A143" s="8">
        <v>26012</v>
      </c>
      <c r="B143" s="13" t="s">
        <v>184</v>
      </c>
      <c r="C143" s="13" t="s">
        <v>4608</v>
      </c>
      <c r="D143" s="32" t="s">
        <v>4609</v>
      </c>
      <c r="E143" s="32" t="s">
        <v>1626</v>
      </c>
      <c r="F143" s="32" t="s">
        <v>4610</v>
      </c>
      <c r="G143" s="32" t="s">
        <v>740</v>
      </c>
    </row>
    <row x14ac:dyDescent="0.25" r="144" customHeight="1" ht="15.75">
      <c r="A144" s="8">
        <v>26013</v>
      </c>
      <c r="B144" s="13" t="s">
        <v>184</v>
      </c>
      <c r="C144" s="13" t="s">
        <v>4611</v>
      </c>
      <c r="D144" s="32" t="s">
        <v>122</v>
      </c>
      <c r="E144" s="32" t="s">
        <v>4612</v>
      </c>
      <c r="F144" s="32" t="s">
        <v>4613</v>
      </c>
      <c r="G144" s="32" t="s">
        <v>4614</v>
      </c>
    </row>
    <row x14ac:dyDescent="0.25" r="145" customHeight="1" ht="15.75">
      <c r="A145" s="8">
        <v>26014</v>
      </c>
      <c r="B145" s="13" t="s">
        <v>184</v>
      </c>
      <c r="C145" s="13" t="s">
        <v>4615</v>
      </c>
      <c r="D145" s="32" t="s">
        <v>4616</v>
      </c>
      <c r="E145" s="32" t="s">
        <v>4617</v>
      </c>
      <c r="F145" s="32" t="s">
        <v>4618</v>
      </c>
      <c r="G145" s="32" t="s">
        <v>4188</v>
      </c>
    </row>
    <row x14ac:dyDescent="0.25" r="146" customHeight="1" ht="15.75">
      <c r="A146" s="8">
        <v>26015</v>
      </c>
      <c r="B146" s="13" t="s">
        <v>184</v>
      </c>
      <c r="C146" s="13" t="s">
        <v>4619</v>
      </c>
      <c r="D146" s="32" t="s">
        <v>4132</v>
      </c>
      <c r="E146" s="32" t="s">
        <v>4620</v>
      </c>
      <c r="F146" s="32" t="s">
        <v>4621</v>
      </c>
      <c r="G146" s="32" t="s">
        <v>1387</v>
      </c>
    </row>
    <row x14ac:dyDescent="0.25" r="147" customHeight="1" ht="15.75">
      <c r="A147" s="8">
        <v>26086</v>
      </c>
      <c r="B147" s="13" t="s">
        <v>184</v>
      </c>
      <c r="C147" s="13" t="s">
        <v>4622</v>
      </c>
      <c r="D147" s="32" t="s">
        <v>4623</v>
      </c>
      <c r="E147" s="32" t="s">
        <v>4098</v>
      </c>
      <c r="F147" s="32" t="s">
        <v>4536</v>
      </c>
      <c r="G147" s="32" t="s">
        <v>4295</v>
      </c>
    </row>
    <row x14ac:dyDescent="0.25" r="148" customHeight="1" ht="15.75">
      <c r="A148" s="8">
        <v>26087</v>
      </c>
      <c r="B148" s="13" t="s">
        <v>184</v>
      </c>
      <c r="C148" s="13" t="s">
        <v>4624</v>
      </c>
      <c r="D148" s="32" t="s">
        <v>4625</v>
      </c>
      <c r="E148" s="32" t="s">
        <v>1622</v>
      </c>
      <c r="F148" s="32" t="s">
        <v>4626</v>
      </c>
      <c r="G148" s="32" t="s">
        <v>1395</v>
      </c>
    </row>
    <row x14ac:dyDescent="0.25" r="149" customHeight="1" ht="15.75">
      <c r="A149" s="8">
        <v>26016</v>
      </c>
      <c r="B149" s="13" t="s">
        <v>184</v>
      </c>
      <c r="C149" s="13" t="s">
        <v>4627</v>
      </c>
      <c r="D149" s="32" t="s">
        <v>4628</v>
      </c>
      <c r="E149" s="32" t="s">
        <v>1610</v>
      </c>
      <c r="F149" s="32" t="s">
        <v>4629</v>
      </c>
      <c r="G149" s="32" t="s">
        <v>4630</v>
      </c>
    </row>
    <row x14ac:dyDescent="0.25" r="150" customHeight="1" ht="15.75">
      <c r="A150" s="8">
        <v>26017</v>
      </c>
      <c r="B150" s="13" t="s">
        <v>184</v>
      </c>
      <c r="C150" s="13" t="s">
        <v>4631</v>
      </c>
      <c r="D150" s="32" t="s">
        <v>4632</v>
      </c>
      <c r="E150" s="32" t="s">
        <v>4633</v>
      </c>
      <c r="F150" s="32" t="s">
        <v>4634</v>
      </c>
      <c r="G150" s="32" t="s">
        <v>4635</v>
      </c>
    </row>
    <row x14ac:dyDescent="0.25" r="151" customHeight="1" ht="15.75">
      <c r="A151" s="8">
        <v>26018</v>
      </c>
      <c r="B151" s="13" t="s">
        <v>184</v>
      </c>
      <c r="C151" s="13" t="s">
        <v>4636</v>
      </c>
      <c r="D151" s="32" t="s">
        <v>4637</v>
      </c>
      <c r="E151" s="32" t="s">
        <v>4262</v>
      </c>
      <c r="F151" s="32" t="s">
        <v>4638</v>
      </c>
      <c r="G151" s="32" t="s">
        <v>4639</v>
      </c>
    </row>
    <row x14ac:dyDescent="0.25" r="152" customHeight="1" ht="15.75">
      <c r="A152" s="8">
        <v>26019</v>
      </c>
      <c r="B152" s="13" t="s">
        <v>184</v>
      </c>
      <c r="C152" s="13" t="s">
        <v>4640</v>
      </c>
      <c r="D152" s="32" t="s">
        <v>4641</v>
      </c>
      <c r="E152" s="32" t="s">
        <v>4642</v>
      </c>
      <c r="F152" s="32" t="s">
        <v>4247</v>
      </c>
      <c r="G152" s="32" t="s">
        <v>4643</v>
      </c>
    </row>
    <row x14ac:dyDescent="0.25" r="153" customHeight="1" ht="15.75">
      <c r="A153" s="8">
        <v>26000</v>
      </c>
      <c r="B153" s="13" t="s">
        <v>184</v>
      </c>
      <c r="C153" s="13" t="s">
        <v>4644</v>
      </c>
      <c r="D153" s="32" t="s">
        <v>4645</v>
      </c>
      <c r="E153" s="32" t="s">
        <v>4646</v>
      </c>
      <c r="F153" s="32" t="s">
        <v>4647</v>
      </c>
      <c r="G153" s="32" t="s">
        <v>4188</v>
      </c>
    </row>
    <row x14ac:dyDescent="0.25" r="154" customHeight="1" ht="15.75">
      <c r="A154" s="8">
        <v>26020</v>
      </c>
      <c r="B154" s="13" t="s">
        <v>184</v>
      </c>
      <c r="C154" s="13" t="s">
        <v>4648</v>
      </c>
      <c r="D154" s="32" t="s">
        <v>4649</v>
      </c>
      <c r="E154" s="32" t="s">
        <v>4650</v>
      </c>
      <c r="F154" s="32" t="s">
        <v>4651</v>
      </c>
      <c r="G154" s="32" t="s">
        <v>1418</v>
      </c>
    </row>
    <row x14ac:dyDescent="0.25" r="155" customHeight="1" ht="15.75">
      <c r="A155" s="8">
        <v>26021</v>
      </c>
      <c r="B155" s="13" t="s">
        <v>184</v>
      </c>
      <c r="C155" s="13" t="s">
        <v>4652</v>
      </c>
      <c r="D155" s="32" t="s">
        <v>4653</v>
      </c>
      <c r="E155" s="32" t="s">
        <v>4654</v>
      </c>
      <c r="F155" s="32" t="s">
        <v>4655</v>
      </c>
      <c r="G155" s="32" t="s">
        <v>4656</v>
      </c>
    </row>
    <row x14ac:dyDescent="0.25" r="156" customHeight="1" ht="15.75">
      <c r="A156" s="8">
        <v>26022</v>
      </c>
      <c r="B156" s="13" t="s">
        <v>184</v>
      </c>
      <c r="C156" s="13" t="s">
        <v>4657</v>
      </c>
      <c r="D156" s="32" t="s">
        <v>4658</v>
      </c>
      <c r="E156" s="32" t="s">
        <v>1924</v>
      </c>
      <c r="F156" s="32" t="s">
        <v>4659</v>
      </c>
      <c r="G156" s="32" t="s">
        <v>1410</v>
      </c>
    </row>
    <row x14ac:dyDescent="0.25" r="157" customHeight="1" ht="15.75">
      <c r="A157" s="8">
        <v>26023</v>
      </c>
      <c r="B157" s="13" t="s">
        <v>184</v>
      </c>
      <c r="C157" s="13" t="s">
        <v>4660</v>
      </c>
      <c r="D157" s="32" t="s">
        <v>74</v>
      </c>
      <c r="E157" s="32" t="s">
        <v>4661</v>
      </c>
      <c r="F157" s="32" t="s">
        <v>4662</v>
      </c>
      <c r="G157" s="32" t="s">
        <v>4663</v>
      </c>
    </row>
    <row x14ac:dyDescent="0.25" r="158" customHeight="1" ht="15.75">
      <c r="A158" s="8">
        <v>26001</v>
      </c>
      <c r="B158" s="13" t="s">
        <v>184</v>
      </c>
      <c r="C158" s="13" t="s">
        <v>4664</v>
      </c>
      <c r="D158" s="32" t="s">
        <v>2649</v>
      </c>
      <c r="E158" s="32" t="s">
        <v>4665</v>
      </c>
      <c r="F158" s="32" t="s">
        <v>4666</v>
      </c>
      <c r="G158" s="32" t="s">
        <v>4667</v>
      </c>
    </row>
    <row x14ac:dyDescent="0.25" r="159" customHeight="1" ht="15.75">
      <c r="A159" s="8">
        <v>26024</v>
      </c>
      <c r="B159" s="13" t="s">
        <v>184</v>
      </c>
      <c r="C159" s="13" t="s">
        <v>4668</v>
      </c>
      <c r="D159" s="32" t="s">
        <v>4669</v>
      </c>
      <c r="E159" s="32" t="s">
        <v>1723</v>
      </c>
      <c r="F159" s="32" t="s">
        <v>4670</v>
      </c>
      <c r="G159" s="32" t="s">
        <v>4671</v>
      </c>
    </row>
    <row x14ac:dyDescent="0.25" r="160" customHeight="1" ht="15.75">
      <c r="A160" s="8">
        <v>26025</v>
      </c>
      <c r="B160" s="13" t="s">
        <v>184</v>
      </c>
      <c r="C160" s="13" t="s">
        <v>4672</v>
      </c>
      <c r="D160" s="32" t="s">
        <v>4673</v>
      </c>
      <c r="E160" s="32" t="s">
        <v>4674</v>
      </c>
      <c r="F160" s="32" t="s">
        <v>4675</v>
      </c>
      <c r="G160" s="32" t="s">
        <v>4310</v>
      </c>
    </row>
    <row x14ac:dyDescent="0.25" r="161" customHeight="1" ht="15.75">
      <c r="A161" s="8">
        <v>26026</v>
      </c>
      <c r="B161" s="13" t="s">
        <v>184</v>
      </c>
      <c r="C161" s="13" t="s">
        <v>4676</v>
      </c>
      <c r="D161" s="32" t="s">
        <v>4677</v>
      </c>
      <c r="E161" s="32" t="s">
        <v>331</v>
      </c>
      <c r="F161" s="32" t="s">
        <v>4678</v>
      </c>
      <c r="G161" s="32" t="s">
        <v>4617</v>
      </c>
    </row>
    <row x14ac:dyDescent="0.25" r="162" customHeight="1" ht="15.75">
      <c r="A162" s="8">
        <v>26027</v>
      </c>
      <c r="B162" s="13" t="s">
        <v>184</v>
      </c>
      <c r="C162" s="13" t="s">
        <v>4679</v>
      </c>
      <c r="D162" s="32" t="s">
        <v>4680</v>
      </c>
      <c r="E162" s="32" t="s">
        <v>4159</v>
      </c>
      <c r="F162" s="32" t="s">
        <v>4681</v>
      </c>
      <c r="G162" s="32" t="s">
        <v>4682</v>
      </c>
    </row>
    <row x14ac:dyDescent="0.25" r="163" customHeight="1" ht="15.75">
      <c r="A163" s="8">
        <v>26028</v>
      </c>
      <c r="B163" s="13" t="s">
        <v>184</v>
      </c>
      <c r="C163" s="13" t="s">
        <v>4683</v>
      </c>
      <c r="D163" s="32" t="s">
        <v>4684</v>
      </c>
      <c r="E163" s="32" t="s">
        <v>4209</v>
      </c>
      <c r="F163" s="32" t="s">
        <v>74</v>
      </c>
      <c r="G163" s="32" t="s">
        <v>4685</v>
      </c>
    </row>
    <row x14ac:dyDescent="0.25" r="164" customHeight="1" ht="15.75">
      <c r="A164" s="8">
        <v>26029</v>
      </c>
      <c r="B164" s="13" t="s">
        <v>184</v>
      </c>
      <c r="C164" s="13" t="s">
        <v>4686</v>
      </c>
      <c r="D164" s="32" t="s">
        <v>4687</v>
      </c>
      <c r="E164" s="32" t="s">
        <v>4571</v>
      </c>
      <c r="F164" s="32" t="s">
        <v>4688</v>
      </c>
      <c r="G164" s="32" t="s">
        <v>4689</v>
      </c>
    </row>
    <row x14ac:dyDescent="0.25" r="165" customHeight="1" ht="15.75">
      <c r="A165" s="8">
        <v>26030</v>
      </c>
      <c r="B165" s="13" t="s">
        <v>184</v>
      </c>
      <c r="C165" s="13" t="s">
        <v>4690</v>
      </c>
      <c r="D165" s="32" t="s">
        <v>4691</v>
      </c>
      <c r="E165" s="32" t="s">
        <v>4215</v>
      </c>
      <c r="F165" s="32" t="s">
        <v>4692</v>
      </c>
      <c r="G165" s="32" t="s">
        <v>4693</v>
      </c>
    </row>
    <row x14ac:dyDescent="0.25" r="166" customHeight="1" ht="15.75">
      <c r="A166" s="8">
        <v>26088</v>
      </c>
      <c r="B166" s="13" t="s">
        <v>184</v>
      </c>
      <c r="C166" s="13" t="s">
        <v>4694</v>
      </c>
      <c r="D166" s="32" t="s">
        <v>4695</v>
      </c>
      <c r="E166" s="32" t="s">
        <v>4696</v>
      </c>
      <c r="F166" s="32" t="s">
        <v>4697</v>
      </c>
      <c r="G166" s="32" t="s">
        <v>4698</v>
      </c>
    </row>
    <row x14ac:dyDescent="0.25" r="167" customHeight="1" ht="15.75">
      <c r="A167" s="8">
        <v>26031</v>
      </c>
      <c r="B167" s="13" t="s">
        <v>184</v>
      </c>
      <c r="C167" s="13" t="s">
        <v>4699</v>
      </c>
      <c r="D167" s="32" t="s">
        <v>4700</v>
      </c>
      <c r="E167" s="32" t="s">
        <v>1474</v>
      </c>
      <c r="F167" s="32" t="s">
        <v>4701</v>
      </c>
      <c r="G167" s="32" t="s">
        <v>4519</v>
      </c>
    </row>
    <row x14ac:dyDescent="0.25" r="168" customHeight="1" ht="15.75">
      <c r="A168" s="8">
        <v>26032</v>
      </c>
      <c r="B168" s="13" t="s">
        <v>184</v>
      </c>
      <c r="C168" s="13" t="s">
        <v>4702</v>
      </c>
      <c r="D168" s="32" t="s">
        <v>350</v>
      </c>
      <c r="E168" s="32" t="s">
        <v>4509</v>
      </c>
      <c r="F168" s="32" t="s">
        <v>4703</v>
      </c>
      <c r="G168" s="32" t="s">
        <v>1415</v>
      </c>
    </row>
    <row x14ac:dyDescent="0.25" r="169" customHeight="1" ht="15.75">
      <c r="A169" s="8">
        <v>26033</v>
      </c>
      <c r="B169" s="13" t="s">
        <v>184</v>
      </c>
      <c r="C169" s="13" t="s">
        <v>4704</v>
      </c>
      <c r="D169" s="32" t="s">
        <v>1562</v>
      </c>
      <c r="E169" s="32" t="s">
        <v>4705</v>
      </c>
      <c r="F169" s="32" t="s">
        <v>4706</v>
      </c>
      <c r="G169" s="32" t="s">
        <v>4479</v>
      </c>
    </row>
    <row x14ac:dyDescent="0.25" r="170" customHeight="1" ht="15.75">
      <c r="A170" s="8">
        <v>26034</v>
      </c>
      <c r="B170" s="13" t="s">
        <v>184</v>
      </c>
      <c r="C170" s="13" t="s">
        <v>4707</v>
      </c>
      <c r="D170" s="32" t="s">
        <v>4708</v>
      </c>
      <c r="E170" s="32" t="s">
        <v>4709</v>
      </c>
      <c r="F170" s="32" t="s">
        <v>4710</v>
      </c>
      <c r="G170" s="32" t="s">
        <v>4602</v>
      </c>
    </row>
    <row x14ac:dyDescent="0.25" r="171" customHeight="1" ht="15.75">
      <c r="A171" s="8">
        <v>26035</v>
      </c>
      <c r="B171" s="13" t="s">
        <v>184</v>
      </c>
      <c r="C171" s="13" t="s">
        <v>4711</v>
      </c>
      <c r="D171" s="32" t="s">
        <v>4712</v>
      </c>
      <c r="E171" s="32" t="s">
        <v>4098</v>
      </c>
      <c r="F171" s="32" t="s">
        <v>4713</v>
      </c>
      <c r="G171" s="32" t="s">
        <v>4320</v>
      </c>
    </row>
    <row x14ac:dyDescent="0.25" r="172" customHeight="1" ht="15.75">
      <c r="A172" s="8">
        <v>26036</v>
      </c>
      <c r="B172" s="13" t="s">
        <v>184</v>
      </c>
      <c r="C172" s="13" t="s">
        <v>4714</v>
      </c>
      <c r="D172" s="32" t="s">
        <v>4125</v>
      </c>
      <c r="E172" s="32" t="s">
        <v>4715</v>
      </c>
      <c r="F172" s="32" t="s">
        <v>4716</v>
      </c>
      <c r="G172" s="32" t="s">
        <v>4717</v>
      </c>
    </row>
    <row x14ac:dyDescent="0.25" r="173" customHeight="1" ht="15.75">
      <c r="A173" s="8">
        <v>26089</v>
      </c>
      <c r="B173" s="13" t="s">
        <v>184</v>
      </c>
      <c r="C173" s="13" t="s">
        <v>4718</v>
      </c>
      <c r="D173" s="32" t="s">
        <v>4719</v>
      </c>
      <c r="E173" s="32" t="s">
        <v>4720</v>
      </c>
      <c r="F173" s="32" t="s">
        <v>4721</v>
      </c>
      <c r="G173" s="32" t="s">
        <v>4129</v>
      </c>
    </row>
    <row x14ac:dyDescent="0.25" r="174" customHeight="1" ht="15.75">
      <c r="A174" s="8">
        <v>26037</v>
      </c>
      <c r="B174" s="13" t="s">
        <v>184</v>
      </c>
      <c r="C174" s="13" t="s">
        <v>4722</v>
      </c>
      <c r="D174" s="32" t="s">
        <v>4723</v>
      </c>
      <c r="E174" s="32" t="s">
        <v>4724</v>
      </c>
      <c r="F174" s="32" t="s">
        <v>4725</v>
      </c>
      <c r="G174" s="32" t="s">
        <v>4726</v>
      </c>
    </row>
    <row x14ac:dyDescent="0.25" r="175" customHeight="1" ht="15.75">
      <c r="A175" s="8">
        <v>26038</v>
      </c>
      <c r="B175" s="13" t="s">
        <v>184</v>
      </c>
      <c r="C175" s="13" t="s">
        <v>4727</v>
      </c>
      <c r="D175" s="32" t="s">
        <v>4728</v>
      </c>
      <c r="E175" s="32" t="s">
        <v>4729</v>
      </c>
      <c r="F175" s="32" t="s">
        <v>758</v>
      </c>
      <c r="G175" s="32" t="s">
        <v>4730</v>
      </c>
    </row>
    <row x14ac:dyDescent="0.25" r="176" customHeight="1" ht="15.75">
      <c r="A176" s="8">
        <v>26090</v>
      </c>
      <c r="B176" s="13" t="s">
        <v>184</v>
      </c>
      <c r="C176" s="13" t="s">
        <v>4731</v>
      </c>
      <c r="D176" s="32" t="s">
        <v>4119</v>
      </c>
      <c r="E176" s="32" t="s">
        <v>4732</v>
      </c>
      <c r="F176" s="32" t="s">
        <v>4733</v>
      </c>
      <c r="G176" s="32" t="s">
        <v>4734</v>
      </c>
    </row>
    <row x14ac:dyDescent="0.25" r="177" customHeight="1" ht="15.75">
      <c r="A177" s="8">
        <v>26039</v>
      </c>
      <c r="B177" s="13" t="s">
        <v>184</v>
      </c>
      <c r="C177" s="13" t="s">
        <v>4735</v>
      </c>
      <c r="D177" s="32" t="s">
        <v>4736</v>
      </c>
      <c r="E177" s="32" t="s">
        <v>4308</v>
      </c>
      <c r="F177" s="32" t="s">
        <v>88</v>
      </c>
      <c r="G177" s="32" t="s">
        <v>1333</v>
      </c>
    </row>
    <row x14ac:dyDescent="0.25" r="178" customHeight="1" ht="15.75">
      <c r="A178" s="8">
        <v>26091</v>
      </c>
      <c r="B178" s="13" t="s">
        <v>184</v>
      </c>
      <c r="C178" s="13" t="s">
        <v>4737</v>
      </c>
      <c r="D178" s="32" t="s">
        <v>4738</v>
      </c>
      <c r="E178" s="32" t="s">
        <v>1596</v>
      </c>
      <c r="F178" s="32" t="s">
        <v>4739</v>
      </c>
      <c r="G178" s="32" t="s">
        <v>4614</v>
      </c>
    </row>
    <row x14ac:dyDescent="0.25" r="179" customHeight="1" ht="15.75">
      <c r="A179" s="8">
        <v>26040</v>
      </c>
      <c r="B179" s="13" t="s">
        <v>184</v>
      </c>
      <c r="C179" s="13" t="s">
        <v>4740</v>
      </c>
      <c r="D179" s="32" t="s">
        <v>4741</v>
      </c>
      <c r="E179" s="32" t="s">
        <v>1454</v>
      </c>
      <c r="F179" s="32" t="s">
        <v>4742</v>
      </c>
      <c r="G179" s="32" t="s">
        <v>892</v>
      </c>
    </row>
    <row x14ac:dyDescent="0.25" r="180" customHeight="1" ht="15.75">
      <c r="A180" s="8">
        <v>26041</v>
      </c>
      <c r="B180" s="13" t="s">
        <v>184</v>
      </c>
      <c r="C180" s="13" t="s">
        <v>4743</v>
      </c>
      <c r="D180" s="32" t="s">
        <v>1419</v>
      </c>
      <c r="E180" s="32" t="s">
        <v>4646</v>
      </c>
      <c r="F180" s="32" t="s">
        <v>4744</v>
      </c>
      <c r="G180" s="32" t="s">
        <v>1387</v>
      </c>
    </row>
    <row x14ac:dyDescent="0.25" r="181" customHeight="1" ht="15.75">
      <c r="A181" s="8">
        <v>26042</v>
      </c>
      <c r="B181" s="13" t="s">
        <v>184</v>
      </c>
      <c r="C181" s="13" t="s">
        <v>4745</v>
      </c>
      <c r="D181" s="32" t="s">
        <v>4746</v>
      </c>
      <c r="E181" s="32" t="s">
        <v>1593</v>
      </c>
      <c r="F181" s="32" t="s">
        <v>4747</v>
      </c>
      <c r="G181" s="32" t="s">
        <v>4748</v>
      </c>
    </row>
    <row x14ac:dyDescent="0.25" r="182" customHeight="1" ht="15.75">
      <c r="A182" s="8">
        <v>26043</v>
      </c>
      <c r="B182" s="13" t="s">
        <v>184</v>
      </c>
      <c r="C182" s="13" t="s">
        <v>4749</v>
      </c>
      <c r="D182" s="32" t="s">
        <v>4169</v>
      </c>
      <c r="E182" s="32" t="s">
        <v>4750</v>
      </c>
      <c r="F182" s="32" t="s">
        <v>4751</v>
      </c>
      <c r="G182" s="32" t="s">
        <v>4752</v>
      </c>
    </row>
    <row x14ac:dyDescent="0.25" r="183" customHeight="1" ht="15.75">
      <c r="A183" s="8">
        <v>26044</v>
      </c>
      <c r="B183" s="13" t="s">
        <v>184</v>
      </c>
      <c r="C183" s="13" t="s">
        <v>4753</v>
      </c>
      <c r="D183" s="32" t="s">
        <v>4754</v>
      </c>
      <c r="E183" s="32" t="s">
        <v>4755</v>
      </c>
      <c r="F183" s="32" t="s">
        <v>4756</v>
      </c>
      <c r="G183" s="32" t="s">
        <v>4698</v>
      </c>
    </row>
    <row x14ac:dyDescent="0.25" r="184" customHeight="1" ht="15.75">
      <c r="A184" s="8">
        <v>26045</v>
      </c>
      <c r="B184" s="13" t="s">
        <v>184</v>
      </c>
      <c r="C184" s="13" t="s">
        <v>4757</v>
      </c>
      <c r="D184" s="32" t="s">
        <v>4758</v>
      </c>
      <c r="E184" s="32" t="s">
        <v>4759</v>
      </c>
      <c r="F184" s="32" t="s">
        <v>4760</v>
      </c>
      <c r="G184" s="32" t="s">
        <v>4761</v>
      </c>
    </row>
    <row x14ac:dyDescent="0.25" r="185" customHeight="1" ht="15.75">
      <c r="A185" s="8">
        <v>26046</v>
      </c>
      <c r="B185" s="13" t="s">
        <v>184</v>
      </c>
      <c r="C185" s="13" t="s">
        <v>4762</v>
      </c>
      <c r="D185" s="32" t="s">
        <v>4763</v>
      </c>
      <c r="E185" s="32" t="s">
        <v>4764</v>
      </c>
      <c r="F185" s="32" t="s">
        <v>4765</v>
      </c>
      <c r="G185" s="32" t="s">
        <v>4766</v>
      </c>
    </row>
    <row x14ac:dyDescent="0.25" r="186" customHeight="1" ht="15.75">
      <c r="A186" s="8">
        <v>26047</v>
      </c>
      <c r="B186" s="13" t="s">
        <v>184</v>
      </c>
      <c r="C186" s="13" t="s">
        <v>4767</v>
      </c>
      <c r="D186" s="32" t="s">
        <v>2188</v>
      </c>
      <c r="E186" s="32" t="s">
        <v>4768</v>
      </c>
      <c r="F186" s="32" t="s">
        <v>2462</v>
      </c>
      <c r="G186" s="32" t="s">
        <v>573</v>
      </c>
    </row>
    <row x14ac:dyDescent="0.25" r="187" customHeight="1" ht="15.75">
      <c r="A187" s="8">
        <v>26048</v>
      </c>
      <c r="B187" s="13" t="s">
        <v>184</v>
      </c>
      <c r="C187" s="13" t="s">
        <v>4769</v>
      </c>
      <c r="D187" s="32" t="s">
        <v>4770</v>
      </c>
      <c r="E187" s="32" t="s">
        <v>4717</v>
      </c>
      <c r="F187" s="32" t="s">
        <v>4771</v>
      </c>
      <c r="G187" s="32" t="s">
        <v>4772</v>
      </c>
    </row>
    <row x14ac:dyDescent="0.25" r="188" customHeight="1" ht="15.75">
      <c r="A188" s="8">
        <v>26049</v>
      </c>
      <c r="B188" s="13" t="s">
        <v>184</v>
      </c>
      <c r="C188" s="13" t="s">
        <v>4773</v>
      </c>
      <c r="D188" s="32" t="s">
        <v>4090</v>
      </c>
      <c r="E188" s="32" t="s">
        <v>4774</v>
      </c>
      <c r="F188" s="32" t="s">
        <v>4775</v>
      </c>
      <c r="G188" s="32" t="s">
        <v>4776</v>
      </c>
    </row>
    <row x14ac:dyDescent="0.25" r="189" customHeight="1" ht="15.75">
      <c r="A189" s="8">
        <v>26050</v>
      </c>
      <c r="B189" s="13" t="s">
        <v>184</v>
      </c>
      <c r="C189" s="13" t="s">
        <v>4777</v>
      </c>
      <c r="D189" s="32" t="s">
        <v>4778</v>
      </c>
      <c r="E189" s="32" t="s">
        <v>4779</v>
      </c>
      <c r="F189" s="32" t="s">
        <v>4386</v>
      </c>
      <c r="G189" s="32" t="s">
        <v>4388</v>
      </c>
    </row>
    <row x14ac:dyDescent="0.25" r="190" customHeight="1" ht="15.75">
      <c r="A190" s="8">
        <v>26051</v>
      </c>
      <c r="B190" s="13" t="s">
        <v>184</v>
      </c>
      <c r="C190" s="13" t="s">
        <v>4780</v>
      </c>
      <c r="D190" s="32" t="s">
        <v>4781</v>
      </c>
      <c r="E190" s="32" t="s">
        <v>4782</v>
      </c>
      <c r="F190" s="32" t="s">
        <v>4783</v>
      </c>
      <c r="G190" s="32" t="s">
        <v>4784</v>
      </c>
    </row>
    <row x14ac:dyDescent="0.25" r="191" customHeight="1" ht="15.75">
      <c r="A191" s="8">
        <v>26052</v>
      </c>
      <c r="B191" s="13" t="s">
        <v>184</v>
      </c>
      <c r="C191" s="13" t="s">
        <v>4785</v>
      </c>
      <c r="D191" s="32" t="s">
        <v>4786</v>
      </c>
      <c r="E191" s="32" t="s">
        <v>1509</v>
      </c>
      <c r="F191" s="32" t="s">
        <v>4787</v>
      </c>
      <c r="G191" s="32" t="s">
        <v>4788</v>
      </c>
    </row>
    <row x14ac:dyDescent="0.25" r="192" customHeight="1" ht="15.75">
      <c r="A192" s="8">
        <v>26053</v>
      </c>
      <c r="B192" s="13" t="s">
        <v>184</v>
      </c>
      <c r="C192" s="13" t="s">
        <v>4789</v>
      </c>
      <c r="D192" s="32" t="s">
        <v>4790</v>
      </c>
      <c r="E192" s="32" t="s">
        <v>1034</v>
      </c>
      <c r="F192" s="32" t="s">
        <v>4791</v>
      </c>
      <c r="G192" s="32" t="s">
        <v>4792</v>
      </c>
    </row>
    <row x14ac:dyDescent="0.25" r="193" customHeight="1" ht="15.75">
      <c r="A193" s="8">
        <v>26054</v>
      </c>
      <c r="B193" s="13" t="s">
        <v>184</v>
      </c>
      <c r="C193" s="13" t="s">
        <v>4793</v>
      </c>
      <c r="D193" s="32" t="s">
        <v>4794</v>
      </c>
      <c r="E193" s="32" t="s">
        <v>1533</v>
      </c>
      <c r="F193" s="32" t="s">
        <v>4795</v>
      </c>
      <c r="G193" s="32" t="s">
        <v>1395</v>
      </c>
    </row>
    <row x14ac:dyDescent="0.25" r="194" customHeight="1" ht="15.75">
      <c r="A194" s="8">
        <v>26055</v>
      </c>
      <c r="B194" s="13" t="s">
        <v>184</v>
      </c>
      <c r="C194" s="13" t="s">
        <v>4796</v>
      </c>
      <c r="D194" s="32" t="s">
        <v>4797</v>
      </c>
      <c r="E194" s="32" t="s">
        <v>4798</v>
      </c>
      <c r="F194" s="32" t="s">
        <v>4799</v>
      </c>
      <c r="G194" s="32" t="s">
        <v>4800</v>
      </c>
    </row>
    <row x14ac:dyDescent="0.25" r="195" customHeight="1" ht="15.75">
      <c r="A195" s="8">
        <v>26056</v>
      </c>
      <c r="B195" s="13" t="s">
        <v>184</v>
      </c>
      <c r="C195" s="13" t="s">
        <v>4801</v>
      </c>
      <c r="D195" s="32" t="s">
        <v>2747</v>
      </c>
      <c r="E195" s="32" t="s">
        <v>4802</v>
      </c>
      <c r="F195" s="32" t="s">
        <v>4803</v>
      </c>
      <c r="G195" s="32" t="s">
        <v>1876</v>
      </c>
    </row>
    <row x14ac:dyDescent="0.25" r="196" customHeight="1" ht="15.75">
      <c r="A196" s="8">
        <v>26057</v>
      </c>
      <c r="B196" s="13" t="s">
        <v>184</v>
      </c>
      <c r="C196" s="13" t="s">
        <v>4804</v>
      </c>
      <c r="D196" s="32" t="s">
        <v>4805</v>
      </c>
      <c r="E196" s="32" t="s">
        <v>4806</v>
      </c>
      <c r="F196" s="32" t="s">
        <v>4807</v>
      </c>
      <c r="G196" s="32" t="s">
        <v>4808</v>
      </c>
    </row>
    <row x14ac:dyDescent="0.25" r="197" customHeight="1" ht="15.75">
      <c r="A197" s="8">
        <v>26058</v>
      </c>
      <c r="B197" s="13" t="s">
        <v>184</v>
      </c>
      <c r="C197" s="13" t="s">
        <v>4809</v>
      </c>
      <c r="D197" s="32" t="s">
        <v>1419</v>
      </c>
      <c r="E197" s="32" t="s">
        <v>4571</v>
      </c>
      <c r="F197" s="32" t="s">
        <v>4810</v>
      </c>
      <c r="G197" s="32" t="s">
        <v>4693</v>
      </c>
    </row>
    <row x14ac:dyDescent="0.25" r="198" customHeight="1" ht="15.75">
      <c r="A198" s="8">
        <v>26059</v>
      </c>
      <c r="B198" s="13" t="s">
        <v>184</v>
      </c>
      <c r="C198" s="13" t="s">
        <v>4811</v>
      </c>
      <c r="D198" s="32" t="s">
        <v>4812</v>
      </c>
      <c r="E198" s="32" t="s">
        <v>4729</v>
      </c>
      <c r="F198" s="32" t="s">
        <v>4813</v>
      </c>
      <c r="G198" s="32" t="s">
        <v>4617</v>
      </c>
    </row>
    <row x14ac:dyDescent="0.25" r="199" customHeight="1" ht="15.75">
      <c r="A199" s="8">
        <v>26060</v>
      </c>
      <c r="B199" s="13" t="s">
        <v>184</v>
      </c>
      <c r="C199" s="13" t="s">
        <v>4814</v>
      </c>
      <c r="D199" s="32" t="s">
        <v>4815</v>
      </c>
      <c r="E199" s="32" t="s">
        <v>4816</v>
      </c>
      <c r="F199" s="32" t="s">
        <v>4817</v>
      </c>
      <c r="G199" s="32" t="s">
        <v>4818</v>
      </c>
    </row>
    <row x14ac:dyDescent="0.25" r="200" customHeight="1" ht="15.75">
      <c r="A200" s="8">
        <v>26002</v>
      </c>
      <c r="B200" s="13" t="s">
        <v>184</v>
      </c>
      <c r="C200" s="13" t="s">
        <v>4819</v>
      </c>
      <c r="D200" s="32" t="s">
        <v>2554</v>
      </c>
      <c r="E200" s="32" t="s">
        <v>4414</v>
      </c>
      <c r="F200" s="32" t="s">
        <v>4820</v>
      </c>
      <c r="G200" s="32" t="s">
        <v>4821</v>
      </c>
    </row>
    <row x14ac:dyDescent="0.25" r="201" customHeight="1" ht="15.75">
      <c r="A201" s="8">
        <v>26003</v>
      </c>
      <c r="B201" s="13" t="s">
        <v>184</v>
      </c>
      <c r="C201" s="13" t="s">
        <v>4822</v>
      </c>
      <c r="D201" s="32" t="s">
        <v>4823</v>
      </c>
      <c r="E201" s="32" t="s">
        <v>4824</v>
      </c>
      <c r="F201" s="32" t="s">
        <v>4825</v>
      </c>
      <c r="G201" s="32" t="s">
        <v>4826</v>
      </c>
    </row>
    <row x14ac:dyDescent="0.25" r="202" customHeight="1" ht="15.75">
      <c r="A202" s="8">
        <v>26061</v>
      </c>
      <c r="B202" s="13" t="s">
        <v>184</v>
      </c>
      <c r="C202" s="13" t="s">
        <v>4827</v>
      </c>
      <c r="D202" s="32" t="s">
        <v>4828</v>
      </c>
      <c r="E202" s="32" t="s">
        <v>1393</v>
      </c>
      <c r="F202" s="32" t="s">
        <v>704</v>
      </c>
      <c r="G202" s="32" t="s">
        <v>1020</v>
      </c>
    </row>
    <row x14ac:dyDescent="0.25" r="203" customHeight="1" ht="15.75">
      <c r="A203" s="8">
        <v>26062</v>
      </c>
      <c r="B203" s="13" t="s">
        <v>184</v>
      </c>
      <c r="C203" s="13" t="s">
        <v>4829</v>
      </c>
      <c r="D203" s="32" t="s">
        <v>4830</v>
      </c>
      <c r="E203" s="32" t="s">
        <v>4098</v>
      </c>
      <c r="F203" s="32" t="s">
        <v>4831</v>
      </c>
      <c r="G203" s="32" t="s">
        <v>4766</v>
      </c>
    </row>
    <row x14ac:dyDescent="0.25" r="204" customHeight="1" ht="15.75">
      <c r="A204" s="8">
        <v>26063</v>
      </c>
      <c r="B204" s="13" t="s">
        <v>184</v>
      </c>
      <c r="C204" s="13" t="s">
        <v>4832</v>
      </c>
      <c r="D204" s="32" t="s">
        <v>4833</v>
      </c>
      <c r="E204" s="32" t="s">
        <v>1109</v>
      </c>
      <c r="F204" s="32" t="s">
        <v>74</v>
      </c>
      <c r="G204" s="32" t="s">
        <v>4834</v>
      </c>
    </row>
    <row x14ac:dyDescent="0.25" r="205" customHeight="1" ht="15.75">
      <c r="A205" s="8">
        <v>26064</v>
      </c>
      <c r="B205" s="13" t="s">
        <v>184</v>
      </c>
      <c r="C205" s="13" t="s">
        <v>4835</v>
      </c>
      <c r="D205" s="32" t="s">
        <v>4836</v>
      </c>
      <c r="E205" s="32" t="s">
        <v>4837</v>
      </c>
      <c r="F205" s="32" t="s">
        <v>4838</v>
      </c>
      <c r="G205" s="32" t="s">
        <v>31</v>
      </c>
    </row>
    <row x14ac:dyDescent="0.25" r="206" customHeight="1" ht="15.75">
      <c r="A206" s="8">
        <v>26065</v>
      </c>
      <c r="B206" s="13" t="s">
        <v>184</v>
      </c>
      <c r="C206" s="13" t="s">
        <v>4839</v>
      </c>
      <c r="D206" s="32" t="s">
        <v>1562</v>
      </c>
      <c r="E206" s="32" t="s">
        <v>4840</v>
      </c>
      <c r="F206" s="32" t="s">
        <v>81</v>
      </c>
      <c r="G206" s="32" t="s">
        <v>4443</v>
      </c>
    </row>
    <row x14ac:dyDescent="0.25" r="207" customHeight="1" ht="15.75">
      <c r="A207" s="8">
        <v>26092</v>
      </c>
      <c r="B207" s="13" t="s">
        <v>184</v>
      </c>
      <c r="C207" s="13" t="s">
        <v>4841</v>
      </c>
      <c r="D207" s="32" t="s">
        <v>74</v>
      </c>
      <c r="E207" s="32" t="s">
        <v>1431</v>
      </c>
      <c r="F207" s="32" t="s">
        <v>4842</v>
      </c>
      <c r="G207" s="32" t="s">
        <v>4388</v>
      </c>
    </row>
    <row x14ac:dyDescent="0.25" r="208" customHeight="1" ht="15.75">
      <c r="A208" s="8">
        <v>26093</v>
      </c>
      <c r="B208" s="13" t="s">
        <v>184</v>
      </c>
      <c r="C208" s="13" t="s">
        <v>4843</v>
      </c>
      <c r="D208" s="32" t="s">
        <v>4844</v>
      </c>
      <c r="E208" s="32" t="s">
        <v>4845</v>
      </c>
      <c r="F208" s="32" t="s">
        <v>4846</v>
      </c>
      <c r="G208" s="32" t="s">
        <v>4181</v>
      </c>
    </row>
    <row x14ac:dyDescent="0.25" r="209" customHeight="1" ht="15.75">
      <c r="A209" s="8">
        <v>26094</v>
      </c>
      <c r="B209" s="13" t="s">
        <v>184</v>
      </c>
      <c r="C209" s="13" t="s">
        <v>4847</v>
      </c>
      <c r="D209" s="32" t="s">
        <v>4848</v>
      </c>
      <c r="E209" s="32" t="s">
        <v>892</v>
      </c>
      <c r="F209" s="32" t="s">
        <v>4849</v>
      </c>
      <c r="G209" s="32" t="s">
        <v>4850</v>
      </c>
    </row>
    <row x14ac:dyDescent="0.25" r="210" customHeight="1" ht="15.75">
      <c r="A210" s="8">
        <v>26066</v>
      </c>
      <c r="B210" s="13" t="s">
        <v>184</v>
      </c>
      <c r="C210" s="13" t="s">
        <v>4851</v>
      </c>
      <c r="D210" s="32" t="s">
        <v>74</v>
      </c>
      <c r="E210" s="32" t="s">
        <v>4852</v>
      </c>
      <c r="F210" s="32" t="s">
        <v>74</v>
      </c>
      <c r="G210" s="32" t="s">
        <v>4539</v>
      </c>
    </row>
    <row x14ac:dyDescent="0.25" r="211" customHeight="1" ht="15.75">
      <c r="A211" s="8">
        <v>26095</v>
      </c>
      <c r="B211" s="13" t="s">
        <v>184</v>
      </c>
      <c r="C211" s="13" t="s">
        <v>4853</v>
      </c>
      <c r="D211" s="32" t="s">
        <v>2607</v>
      </c>
      <c r="E211" s="32" t="s">
        <v>4854</v>
      </c>
      <c r="F211" s="32" t="s">
        <v>4855</v>
      </c>
      <c r="G211" s="32" t="s">
        <v>4856</v>
      </c>
    </row>
    <row x14ac:dyDescent="0.25" r="212" customHeight="1" ht="15.75">
      <c r="A212" s="8">
        <v>26067</v>
      </c>
      <c r="B212" s="13" t="s">
        <v>184</v>
      </c>
      <c r="C212" s="13" t="s">
        <v>4857</v>
      </c>
      <c r="D212" s="32" t="s">
        <v>34</v>
      </c>
      <c r="E212" s="32" t="s">
        <v>4858</v>
      </c>
      <c r="F212" s="32" t="s">
        <v>4859</v>
      </c>
      <c r="G212" s="32" t="s">
        <v>1389</v>
      </c>
    </row>
    <row x14ac:dyDescent="0.25" r="213" customHeight="1" ht="15.75">
      <c r="A213" s="8">
        <v>26068</v>
      </c>
      <c r="B213" s="13" t="s">
        <v>184</v>
      </c>
      <c r="C213" s="13" t="s">
        <v>4860</v>
      </c>
      <c r="D213" s="32" t="s">
        <v>4861</v>
      </c>
      <c r="E213" s="32" t="s">
        <v>4862</v>
      </c>
      <c r="F213" s="32" t="s">
        <v>4863</v>
      </c>
      <c r="G213" s="32" t="s">
        <v>4295</v>
      </c>
    </row>
    <row x14ac:dyDescent="0.25" r="214" customHeight="1" ht="15.75">
      <c r="A214" s="8">
        <v>26069</v>
      </c>
      <c r="B214" s="13" t="s">
        <v>184</v>
      </c>
      <c r="C214" s="13" t="s">
        <v>4864</v>
      </c>
      <c r="D214" s="32" t="s">
        <v>2592</v>
      </c>
      <c r="E214" s="32" t="s">
        <v>1520</v>
      </c>
      <c r="F214" s="32" t="s">
        <v>4865</v>
      </c>
      <c r="G214" s="32" t="s">
        <v>4866</v>
      </c>
    </row>
    <row x14ac:dyDescent="0.25" r="215" customHeight="1" ht="15.75">
      <c r="A215" s="8">
        <v>26096</v>
      </c>
      <c r="B215" s="13" t="s">
        <v>184</v>
      </c>
      <c r="C215" s="13" t="s">
        <v>4867</v>
      </c>
      <c r="D215" s="32" t="s">
        <v>4868</v>
      </c>
      <c r="E215" s="32" t="s">
        <v>4869</v>
      </c>
      <c r="F215" s="32" t="s">
        <v>4870</v>
      </c>
      <c r="G215" s="32" t="s">
        <v>4365</v>
      </c>
    </row>
    <row x14ac:dyDescent="0.25" r="216" customHeight="1" ht="15.75">
      <c r="A216" s="8">
        <v>26070</v>
      </c>
      <c r="B216" s="13" t="s">
        <v>184</v>
      </c>
      <c r="C216" s="13" t="s">
        <v>4871</v>
      </c>
      <c r="D216" s="32" t="s">
        <v>4872</v>
      </c>
      <c r="E216" s="32" t="s">
        <v>4873</v>
      </c>
      <c r="F216" s="32" t="s">
        <v>4874</v>
      </c>
      <c r="G216" s="32" t="s">
        <v>1369</v>
      </c>
    </row>
    <row x14ac:dyDescent="0.25" r="217" customHeight="1" ht="15.75">
      <c r="A217" s="8">
        <v>26071</v>
      </c>
      <c r="B217" s="13" t="s">
        <v>184</v>
      </c>
      <c r="C217" s="13" t="s">
        <v>4875</v>
      </c>
      <c r="D217" s="32" t="s">
        <v>4876</v>
      </c>
      <c r="E217" s="32" t="s">
        <v>4877</v>
      </c>
      <c r="F217" s="32" t="s">
        <v>4878</v>
      </c>
      <c r="G217" s="32" t="s">
        <v>1431</v>
      </c>
    </row>
    <row x14ac:dyDescent="0.25" r="218" customHeight="1" ht="15.75">
      <c r="A218" s="8">
        <v>26072</v>
      </c>
      <c r="B218" s="13" t="s">
        <v>184</v>
      </c>
      <c r="C218" s="13" t="s">
        <v>4879</v>
      </c>
      <c r="D218" s="32" t="s">
        <v>4880</v>
      </c>
      <c r="E218" s="32" t="s">
        <v>4881</v>
      </c>
      <c r="F218" s="32" t="s">
        <v>4882</v>
      </c>
      <c r="G218" s="32" t="s">
        <v>4748</v>
      </c>
    </row>
    <row x14ac:dyDescent="0.25" r="219" customHeight="1" ht="15.75">
      <c r="A219" s="8">
        <v>26073</v>
      </c>
      <c r="B219" s="13" t="s">
        <v>184</v>
      </c>
      <c r="C219" s="13" t="s">
        <v>4883</v>
      </c>
      <c r="D219" s="32" t="s">
        <v>4884</v>
      </c>
      <c r="E219" s="32" t="s">
        <v>4885</v>
      </c>
      <c r="F219" s="32" t="s">
        <v>4884</v>
      </c>
      <c r="G219" s="32" t="s">
        <v>4260</v>
      </c>
    </row>
    <row x14ac:dyDescent="0.25" r="220" customHeight="1" ht="15.75">
      <c r="A220" s="8">
        <v>26074</v>
      </c>
      <c r="B220" s="13" t="s">
        <v>184</v>
      </c>
      <c r="C220" s="13" t="s">
        <v>4886</v>
      </c>
      <c r="D220" s="32" t="s">
        <v>4887</v>
      </c>
      <c r="E220" s="32" t="s">
        <v>1876</v>
      </c>
      <c r="F220" s="32" t="s">
        <v>923</v>
      </c>
      <c r="G220" s="32" t="s">
        <v>1378</v>
      </c>
    </row>
    <row x14ac:dyDescent="0.25" r="221" customHeight="1" ht="15.75">
      <c r="A221" s="8">
        <v>26075</v>
      </c>
      <c r="B221" s="13" t="s">
        <v>184</v>
      </c>
      <c r="C221" s="13" t="s">
        <v>4888</v>
      </c>
      <c r="D221" s="32" t="s">
        <v>4889</v>
      </c>
      <c r="E221" s="32" t="s">
        <v>4890</v>
      </c>
      <c r="F221" s="32" t="s">
        <v>4891</v>
      </c>
      <c r="G221" s="32" t="s">
        <v>4892</v>
      </c>
    </row>
    <row x14ac:dyDescent="0.25" r="222" customHeight="1" ht="15.75">
      <c r="A222" s="8">
        <v>26076</v>
      </c>
      <c r="B222" s="13" t="s">
        <v>184</v>
      </c>
      <c r="C222" s="13" t="s">
        <v>4893</v>
      </c>
      <c r="D222" s="32" t="s">
        <v>4894</v>
      </c>
      <c r="E222" s="32" t="s">
        <v>1275</v>
      </c>
      <c r="F222" s="32" t="s">
        <v>4895</v>
      </c>
      <c r="G222" s="32" t="s">
        <v>4896</v>
      </c>
    </row>
    <row x14ac:dyDescent="0.25" r="223" customHeight="1" ht="15.75">
      <c r="A223" s="8">
        <v>26077</v>
      </c>
      <c r="B223" s="13" t="s">
        <v>184</v>
      </c>
      <c r="C223" s="13" t="s">
        <v>4897</v>
      </c>
      <c r="D223" s="32" t="s">
        <v>4898</v>
      </c>
      <c r="E223" s="32" t="s">
        <v>4899</v>
      </c>
      <c r="F223" s="32" t="s">
        <v>4900</v>
      </c>
      <c r="G223" s="32" t="s">
        <v>4901</v>
      </c>
    </row>
    <row x14ac:dyDescent="0.25" r="224" customHeight="1" ht="15.75">
      <c r="A224" s="8">
        <v>26078</v>
      </c>
      <c r="B224" s="13" t="s">
        <v>184</v>
      </c>
      <c r="C224" s="13" t="s">
        <v>4902</v>
      </c>
      <c r="D224" s="32" t="s">
        <v>74</v>
      </c>
      <c r="E224" s="32" t="s">
        <v>1074</v>
      </c>
      <c r="F224" s="32" t="s">
        <v>4903</v>
      </c>
      <c r="G224" s="32" t="s">
        <v>4904</v>
      </c>
    </row>
    <row x14ac:dyDescent="0.25" r="225" customHeight="1" ht="15.75">
      <c r="A225" s="8">
        <v>26097</v>
      </c>
      <c r="B225" s="13" t="s">
        <v>184</v>
      </c>
      <c r="C225" s="13" t="s">
        <v>4905</v>
      </c>
      <c r="D225" s="32" t="s">
        <v>4906</v>
      </c>
      <c r="E225" s="32" t="s">
        <v>1171</v>
      </c>
      <c r="F225" s="32" t="s">
        <v>4907</v>
      </c>
      <c r="G225" s="32" t="s">
        <v>4908</v>
      </c>
    </row>
    <row x14ac:dyDescent="0.25" r="226" customHeight="1" ht="15.75">
      <c r="A226" s="8">
        <v>26004</v>
      </c>
      <c r="B226" s="13" t="s">
        <v>184</v>
      </c>
      <c r="C226" s="13" t="s">
        <v>4909</v>
      </c>
      <c r="D226" s="32" t="s">
        <v>4088</v>
      </c>
      <c r="E226" s="32" t="s">
        <v>679</v>
      </c>
      <c r="F226" s="32" t="s">
        <v>4910</v>
      </c>
      <c r="G226" s="32" t="s">
        <v>936</v>
      </c>
    </row>
    <row x14ac:dyDescent="0.25" r="227" customHeight="1" ht="15.75">
      <c r="A227" s="8">
        <v>26085</v>
      </c>
      <c r="B227" s="13" t="s">
        <v>184</v>
      </c>
      <c r="C227" s="13" t="s">
        <v>4911</v>
      </c>
      <c r="D227" s="32" t="s">
        <v>4912</v>
      </c>
      <c r="E227" s="32" t="s">
        <v>4913</v>
      </c>
      <c r="F227" s="32" t="s">
        <v>4914</v>
      </c>
      <c r="G227" s="32" t="s">
        <v>4915</v>
      </c>
    </row>
    <row x14ac:dyDescent="0.25" r="228" customHeight="1" ht="15.75">
      <c r="A228" s="8">
        <v>25698</v>
      </c>
      <c r="B228" s="13" t="s">
        <v>66</v>
      </c>
      <c r="C228" s="13" t="s">
        <v>4916</v>
      </c>
      <c r="D228" s="32" t="s">
        <v>88</v>
      </c>
      <c r="E228" s="32" t="s">
        <v>4581</v>
      </c>
      <c r="F228" s="32" t="s">
        <v>350</v>
      </c>
      <c r="G228" s="32" t="s">
        <v>1495</v>
      </c>
    </row>
    <row x14ac:dyDescent="0.25" r="229" customHeight="1" ht="15.75">
      <c r="A229" s="8">
        <v>25702</v>
      </c>
      <c r="B229" s="13" t="s">
        <v>66</v>
      </c>
      <c r="C229" s="13" t="s">
        <v>4917</v>
      </c>
      <c r="D229" s="32" t="s">
        <v>2364</v>
      </c>
      <c r="E229" s="32" t="s">
        <v>4918</v>
      </c>
      <c r="F229" s="32" t="s">
        <v>4919</v>
      </c>
      <c r="G229" s="32" t="s">
        <v>4920</v>
      </c>
    </row>
    <row x14ac:dyDescent="0.25" r="230" customHeight="1" ht="15.75">
      <c r="A230" s="8">
        <v>25437</v>
      </c>
      <c r="B230" s="13" t="s">
        <v>69</v>
      </c>
      <c r="C230" s="13" t="s">
        <v>4921</v>
      </c>
      <c r="D230" s="32" t="s">
        <v>4922</v>
      </c>
      <c r="E230" s="32" t="s">
        <v>4923</v>
      </c>
      <c r="F230" s="32" t="s">
        <v>4924</v>
      </c>
      <c r="G230" s="32" t="s">
        <v>4925</v>
      </c>
    </row>
    <row x14ac:dyDescent="0.25" r="231" customHeight="1" ht="15.75">
      <c r="A231" s="8">
        <v>25438</v>
      </c>
      <c r="B231" s="13" t="s">
        <v>69</v>
      </c>
      <c r="C231" s="13" t="s">
        <v>4926</v>
      </c>
      <c r="D231" s="32" t="s">
        <v>4884</v>
      </c>
      <c r="E231" s="32" t="s">
        <v>4392</v>
      </c>
      <c r="F231" s="32" t="s">
        <v>4180</v>
      </c>
      <c r="G231" s="32" t="s">
        <v>4726</v>
      </c>
    </row>
    <row x14ac:dyDescent="0.25" r="232" customHeight="1" ht="15.75">
      <c r="A232" s="8">
        <v>25439</v>
      </c>
      <c r="B232" s="13" t="s">
        <v>69</v>
      </c>
      <c r="C232" s="13" t="s">
        <v>4927</v>
      </c>
      <c r="D232" s="32" t="s">
        <v>2462</v>
      </c>
      <c r="E232" s="32" t="s">
        <v>1178</v>
      </c>
      <c r="F232" s="32" t="s">
        <v>2504</v>
      </c>
      <c r="G232" s="32" t="s">
        <v>4249</v>
      </c>
    </row>
    <row x14ac:dyDescent="0.25" r="233" customHeight="1" ht="15.75">
      <c r="A233" s="8">
        <v>25440</v>
      </c>
      <c r="B233" s="13" t="s">
        <v>69</v>
      </c>
      <c r="C233" s="13" t="s">
        <v>4928</v>
      </c>
      <c r="D233" s="32" t="s">
        <v>4929</v>
      </c>
      <c r="E233" s="32" t="s">
        <v>2199</v>
      </c>
      <c r="F233" s="32" t="s">
        <v>4930</v>
      </c>
      <c r="G233" s="32" t="s">
        <v>4931</v>
      </c>
    </row>
    <row x14ac:dyDescent="0.25" r="234" customHeight="1" ht="15.75">
      <c r="A234" s="8">
        <v>25441</v>
      </c>
      <c r="B234" s="13" t="s">
        <v>69</v>
      </c>
      <c r="C234" s="13" t="s">
        <v>4932</v>
      </c>
      <c r="D234" s="32" t="s">
        <v>4933</v>
      </c>
      <c r="E234" s="32" t="s">
        <v>4709</v>
      </c>
      <c r="F234" s="32" t="s">
        <v>2655</v>
      </c>
      <c r="G234" s="32" t="s">
        <v>4108</v>
      </c>
    </row>
    <row x14ac:dyDescent="0.25" r="235" customHeight="1" ht="15.75">
      <c r="A235" s="8">
        <v>25442</v>
      </c>
      <c r="B235" s="13" t="s">
        <v>69</v>
      </c>
      <c r="C235" s="13" t="s">
        <v>4934</v>
      </c>
      <c r="D235" s="32" t="s">
        <v>4935</v>
      </c>
      <c r="E235" s="32" t="s">
        <v>4936</v>
      </c>
      <c r="F235" s="32" t="s">
        <v>4937</v>
      </c>
      <c r="G235" s="32" t="s">
        <v>1367</v>
      </c>
    </row>
    <row x14ac:dyDescent="0.25" r="236" customHeight="1" ht="15.75">
      <c r="A236" s="8">
        <v>25443</v>
      </c>
      <c r="B236" s="13" t="s">
        <v>69</v>
      </c>
      <c r="C236" s="13" t="s">
        <v>4938</v>
      </c>
      <c r="D236" s="32" t="s">
        <v>4939</v>
      </c>
      <c r="E236" s="32" t="s">
        <v>4940</v>
      </c>
      <c r="F236" s="32" t="s">
        <v>4941</v>
      </c>
      <c r="G236" s="32" t="s">
        <v>1369</v>
      </c>
    </row>
    <row x14ac:dyDescent="0.25" r="237" customHeight="1" ht="15.75">
      <c r="A237" s="8">
        <v>25444</v>
      </c>
      <c r="B237" s="13" t="s">
        <v>69</v>
      </c>
      <c r="C237" s="13" t="s">
        <v>4942</v>
      </c>
      <c r="D237" s="32" t="s">
        <v>4943</v>
      </c>
      <c r="E237" s="32" t="s">
        <v>4944</v>
      </c>
      <c r="F237" s="32" t="s">
        <v>4945</v>
      </c>
      <c r="G237" s="32" t="s">
        <v>4946</v>
      </c>
    </row>
    <row x14ac:dyDescent="0.25" r="238" customHeight="1" ht="15.75">
      <c r="A238" s="8">
        <v>25445</v>
      </c>
      <c r="B238" s="13" t="s">
        <v>69</v>
      </c>
      <c r="C238" s="13" t="s">
        <v>4947</v>
      </c>
      <c r="D238" s="32" t="s">
        <v>4948</v>
      </c>
      <c r="E238" s="32" t="s">
        <v>4249</v>
      </c>
      <c r="F238" s="32" t="s">
        <v>4949</v>
      </c>
      <c r="G238" s="32" t="s">
        <v>4950</v>
      </c>
    </row>
    <row x14ac:dyDescent="0.25" r="239" customHeight="1" ht="15.75">
      <c r="A239" s="8">
        <v>25446</v>
      </c>
      <c r="B239" s="13" t="s">
        <v>69</v>
      </c>
      <c r="C239" s="13" t="s">
        <v>4951</v>
      </c>
      <c r="D239" s="32" t="s">
        <v>4952</v>
      </c>
      <c r="E239" s="32" t="s">
        <v>4953</v>
      </c>
      <c r="F239" s="32" t="s">
        <v>4954</v>
      </c>
      <c r="G239" s="32" t="s">
        <v>4257</v>
      </c>
    </row>
    <row x14ac:dyDescent="0.25" r="240" customHeight="1" ht="15.75">
      <c r="A240" s="8">
        <v>25447</v>
      </c>
      <c r="B240" s="13" t="s">
        <v>69</v>
      </c>
      <c r="C240" s="13" t="s">
        <v>4955</v>
      </c>
      <c r="D240" s="32" t="s">
        <v>4956</v>
      </c>
      <c r="E240" s="32" t="s">
        <v>4957</v>
      </c>
      <c r="F240" s="32" t="s">
        <v>4958</v>
      </c>
      <c r="G240" s="32" t="s">
        <v>464</v>
      </c>
    </row>
    <row x14ac:dyDescent="0.25" r="241" customHeight="1" ht="15.75">
      <c r="A241" s="8">
        <v>25448</v>
      </c>
      <c r="B241" s="13" t="s">
        <v>69</v>
      </c>
      <c r="C241" s="13" t="s">
        <v>4959</v>
      </c>
      <c r="D241" s="32" t="s">
        <v>4960</v>
      </c>
      <c r="E241" s="32" t="s">
        <v>4526</v>
      </c>
      <c r="F241" s="32" t="s">
        <v>4961</v>
      </c>
      <c r="G241" s="32" t="s">
        <v>4962</v>
      </c>
    </row>
    <row x14ac:dyDescent="0.25" r="242" customHeight="1" ht="15.75">
      <c r="A242" s="8">
        <v>25449</v>
      </c>
      <c r="B242" s="13" t="s">
        <v>69</v>
      </c>
      <c r="C242" s="13" t="s">
        <v>4963</v>
      </c>
      <c r="D242" s="32" t="s">
        <v>4964</v>
      </c>
      <c r="E242" s="32" t="s">
        <v>4965</v>
      </c>
      <c r="F242" s="32" t="s">
        <v>4966</v>
      </c>
      <c r="G242" s="32" t="s">
        <v>4967</v>
      </c>
    </row>
    <row x14ac:dyDescent="0.25" r="243" customHeight="1" ht="15.75">
      <c r="A243" s="8">
        <v>25450</v>
      </c>
      <c r="B243" s="13" t="s">
        <v>69</v>
      </c>
      <c r="C243" s="13" t="s">
        <v>4968</v>
      </c>
      <c r="D243" s="32" t="s">
        <v>2000</v>
      </c>
      <c r="E243" s="32" t="s">
        <v>4479</v>
      </c>
      <c r="F243" s="32" t="s">
        <v>4969</v>
      </c>
      <c r="G243" s="32" t="s">
        <v>4970</v>
      </c>
    </row>
    <row x14ac:dyDescent="0.25" r="244" customHeight="1" ht="15.75">
      <c r="A244" s="8">
        <v>25451</v>
      </c>
      <c r="B244" s="13" t="s">
        <v>69</v>
      </c>
      <c r="C244" s="13" t="s">
        <v>4971</v>
      </c>
      <c r="D244" s="32" t="s">
        <v>4972</v>
      </c>
      <c r="E244" s="32" t="s">
        <v>1178</v>
      </c>
      <c r="F244" s="32" t="s">
        <v>4973</v>
      </c>
      <c r="G244" s="32" t="s">
        <v>1524</v>
      </c>
    </row>
    <row x14ac:dyDescent="0.25" r="245" customHeight="1" ht="15.75">
      <c r="A245" s="8">
        <v>25452</v>
      </c>
      <c r="B245" s="13" t="s">
        <v>69</v>
      </c>
      <c r="C245" s="13" t="s">
        <v>4974</v>
      </c>
      <c r="D245" s="32" t="s">
        <v>1561</v>
      </c>
      <c r="E245" s="32" t="s">
        <v>4117</v>
      </c>
      <c r="F245" s="32" t="s">
        <v>4975</v>
      </c>
      <c r="G245" s="32" t="s">
        <v>4108</v>
      </c>
    </row>
    <row x14ac:dyDescent="0.25" r="246" customHeight="1" ht="15.75">
      <c r="A246" s="8">
        <v>25453</v>
      </c>
      <c r="B246" s="13" t="s">
        <v>69</v>
      </c>
      <c r="C246" s="13" t="s">
        <v>4976</v>
      </c>
      <c r="D246" s="32" t="s">
        <v>4977</v>
      </c>
      <c r="E246" s="32" t="s">
        <v>4353</v>
      </c>
      <c r="F246" s="32" t="s">
        <v>4978</v>
      </c>
      <c r="G246" s="32" t="s">
        <v>2544</v>
      </c>
    </row>
    <row x14ac:dyDescent="0.25" r="247" customHeight="1" ht="15.75">
      <c r="A247" s="8">
        <v>25454</v>
      </c>
      <c r="B247" s="13" t="s">
        <v>69</v>
      </c>
      <c r="C247" s="13" t="s">
        <v>4979</v>
      </c>
      <c r="D247" s="32" t="s">
        <v>4980</v>
      </c>
      <c r="E247" s="32" t="s">
        <v>4981</v>
      </c>
      <c r="F247" s="32" t="s">
        <v>2611</v>
      </c>
      <c r="G247" s="32" t="s">
        <v>4982</v>
      </c>
    </row>
    <row x14ac:dyDescent="0.25" r="248" customHeight="1" ht="15.75">
      <c r="A248" s="8">
        <v>25455</v>
      </c>
      <c r="B248" s="13" t="s">
        <v>69</v>
      </c>
      <c r="C248" s="13" t="s">
        <v>4983</v>
      </c>
      <c r="D248" s="32" t="s">
        <v>4984</v>
      </c>
      <c r="E248" s="32" t="s">
        <v>4985</v>
      </c>
      <c r="F248" s="32" t="s">
        <v>4986</v>
      </c>
      <c r="G248" s="32" t="s">
        <v>4987</v>
      </c>
    </row>
    <row x14ac:dyDescent="0.25" r="249" customHeight="1" ht="15.75">
      <c r="A249" s="8">
        <v>25456</v>
      </c>
      <c r="B249" s="13" t="s">
        <v>69</v>
      </c>
      <c r="C249" s="13" t="s">
        <v>4988</v>
      </c>
      <c r="D249" s="32" t="s">
        <v>2664</v>
      </c>
      <c r="E249" s="32" t="s">
        <v>4215</v>
      </c>
      <c r="F249" s="32" t="s">
        <v>4989</v>
      </c>
      <c r="G249" s="32" t="s">
        <v>4946</v>
      </c>
    </row>
    <row x14ac:dyDescent="0.25" r="250" customHeight="1" ht="15.75">
      <c r="A250" s="8">
        <v>25457</v>
      </c>
      <c r="B250" s="13" t="s">
        <v>69</v>
      </c>
      <c r="C250" s="13" t="s">
        <v>4990</v>
      </c>
      <c r="D250" s="32" t="s">
        <v>1143</v>
      </c>
      <c r="E250" s="32" t="s">
        <v>4940</v>
      </c>
      <c r="F250" s="32" t="s">
        <v>4991</v>
      </c>
      <c r="G250" s="32" t="s">
        <v>4992</v>
      </c>
    </row>
    <row x14ac:dyDescent="0.25" r="251" customHeight="1" ht="15.75">
      <c r="A251" s="8">
        <v>25458</v>
      </c>
      <c r="B251" s="13" t="s">
        <v>69</v>
      </c>
      <c r="C251" s="13" t="s">
        <v>4993</v>
      </c>
      <c r="D251" s="32" t="s">
        <v>4994</v>
      </c>
      <c r="E251" s="32" t="s">
        <v>4918</v>
      </c>
      <c r="F251" s="32" t="s">
        <v>4995</v>
      </c>
      <c r="G251" s="32" t="s">
        <v>4996</v>
      </c>
    </row>
    <row x14ac:dyDescent="0.25" r="252" customHeight="1" ht="15.75">
      <c r="A252" s="8">
        <v>25459</v>
      </c>
      <c r="B252" s="13" t="s">
        <v>69</v>
      </c>
      <c r="C252" s="13" t="s">
        <v>4997</v>
      </c>
      <c r="D252" s="32" t="s">
        <v>4998</v>
      </c>
      <c r="E252" s="32" t="s">
        <v>4999</v>
      </c>
      <c r="F252" s="32" t="s">
        <v>5000</v>
      </c>
      <c r="G252" s="32" t="s">
        <v>5001</v>
      </c>
    </row>
    <row x14ac:dyDescent="0.25" r="253" customHeight="1" ht="15.75">
      <c r="A253" s="8">
        <v>25460</v>
      </c>
      <c r="B253" s="13" t="s">
        <v>69</v>
      </c>
      <c r="C253" s="13" t="s">
        <v>5002</v>
      </c>
      <c r="D253" s="32" t="s">
        <v>2544</v>
      </c>
      <c r="E253" s="32" t="s">
        <v>5003</v>
      </c>
      <c r="F253" s="32" t="s">
        <v>4771</v>
      </c>
      <c r="G253" s="32" t="s">
        <v>1393</v>
      </c>
    </row>
    <row x14ac:dyDescent="0.25" r="254" customHeight="1" ht="15.75">
      <c r="A254" s="8">
        <v>25461</v>
      </c>
      <c r="B254" s="13" t="s">
        <v>69</v>
      </c>
      <c r="C254" s="13" t="s">
        <v>5004</v>
      </c>
      <c r="D254" s="32" t="s">
        <v>5005</v>
      </c>
      <c r="E254" s="32" t="s">
        <v>5006</v>
      </c>
      <c r="F254" s="32" t="s">
        <v>5007</v>
      </c>
      <c r="G254" s="32" t="s">
        <v>5008</v>
      </c>
    </row>
    <row x14ac:dyDescent="0.25" r="255" customHeight="1" ht="15.75">
      <c r="A255" s="8">
        <v>25462</v>
      </c>
      <c r="B255" s="13" t="s">
        <v>69</v>
      </c>
      <c r="C255" s="13" t="s">
        <v>5009</v>
      </c>
      <c r="D255" s="32" t="s">
        <v>2455</v>
      </c>
      <c r="E255" s="32" t="s">
        <v>4999</v>
      </c>
      <c r="F255" s="32" t="s">
        <v>5010</v>
      </c>
      <c r="G255" s="32" t="s">
        <v>4899</v>
      </c>
    </row>
    <row x14ac:dyDescent="0.25" r="256" customHeight="1" ht="15.75">
      <c r="A256" s="8">
        <v>25463</v>
      </c>
      <c r="B256" s="13" t="s">
        <v>69</v>
      </c>
      <c r="C256" s="13" t="s">
        <v>5011</v>
      </c>
      <c r="D256" s="32" t="s">
        <v>4609</v>
      </c>
      <c r="E256" s="32" t="s">
        <v>5012</v>
      </c>
      <c r="F256" s="32" t="s">
        <v>5013</v>
      </c>
      <c r="G256" s="32" t="s">
        <v>5014</v>
      </c>
    </row>
    <row x14ac:dyDescent="0.25" r="257" customHeight="1" ht="15.75">
      <c r="A257" s="8">
        <v>25464</v>
      </c>
      <c r="B257" s="13" t="s">
        <v>69</v>
      </c>
      <c r="C257" s="13" t="s">
        <v>5015</v>
      </c>
      <c r="D257" s="32" t="s">
        <v>810</v>
      </c>
      <c r="E257" s="32" t="s">
        <v>1542</v>
      </c>
      <c r="F257" s="32" t="s">
        <v>5016</v>
      </c>
      <c r="G257" s="32" t="s">
        <v>4507</v>
      </c>
    </row>
    <row x14ac:dyDescent="0.25" r="258" customHeight="1" ht="15.75">
      <c r="A258" s="8">
        <v>25465</v>
      </c>
      <c r="B258" s="13" t="s">
        <v>69</v>
      </c>
      <c r="C258" s="13" t="s">
        <v>5017</v>
      </c>
      <c r="D258" s="32" t="s">
        <v>5018</v>
      </c>
      <c r="E258" s="32" t="s">
        <v>1559</v>
      </c>
      <c r="F258" s="32" t="s">
        <v>5019</v>
      </c>
      <c r="G258" s="32" t="s">
        <v>4602</v>
      </c>
    </row>
    <row x14ac:dyDescent="0.25" r="259" customHeight="1" ht="15.75">
      <c r="A259" s="8">
        <v>25466</v>
      </c>
      <c r="B259" s="13" t="s">
        <v>69</v>
      </c>
      <c r="C259" s="13" t="s">
        <v>5020</v>
      </c>
      <c r="D259" s="32" t="s">
        <v>4307</v>
      </c>
      <c r="E259" s="32" t="s">
        <v>4266</v>
      </c>
      <c r="F259" s="32" t="s">
        <v>5021</v>
      </c>
      <c r="G259" s="32" t="s">
        <v>4138</v>
      </c>
    </row>
    <row x14ac:dyDescent="0.25" r="260" customHeight="1" ht="15.75">
      <c r="A260" s="8">
        <v>25467</v>
      </c>
      <c r="B260" s="13" t="s">
        <v>69</v>
      </c>
      <c r="C260" s="13" t="s">
        <v>5022</v>
      </c>
      <c r="D260" s="32" t="s">
        <v>34</v>
      </c>
      <c r="E260" s="32" t="s">
        <v>5023</v>
      </c>
      <c r="F260" s="32" t="s">
        <v>34</v>
      </c>
      <c r="G260" s="32" t="s">
        <v>5024</v>
      </c>
    </row>
    <row x14ac:dyDescent="0.25" r="261" customHeight="1" ht="15.75">
      <c r="A261" s="8">
        <v>25468</v>
      </c>
      <c r="B261" s="13" t="s">
        <v>69</v>
      </c>
      <c r="C261" s="13" t="s">
        <v>5025</v>
      </c>
      <c r="D261" s="32" t="s">
        <v>5026</v>
      </c>
      <c r="E261" s="32" t="s">
        <v>4646</v>
      </c>
      <c r="F261" s="32" t="s">
        <v>5027</v>
      </c>
      <c r="G261" s="32" t="s">
        <v>4380</v>
      </c>
    </row>
    <row x14ac:dyDescent="0.25" r="262" customHeight="1" ht="15.75">
      <c r="A262" s="8">
        <v>25469</v>
      </c>
      <c r="B262" s="13" t="s">
        <v>69</v>
      </c>
      <c r="C262" s="13" t="s">
        <v>5028</v>
      </c>
      <c r="D262" s="32" t="s">
        <v>5029</v>
      </c>
      <c r="E262" s="32" t="s">
        <v>4541</v>
      </c>
      <c r="F262" s="32" t="s">
        <v>4338</v>
      </c>
      <c r="G262" s="32" t="s">
        <v>5030</v>
      </c>
    </row>
    <row x14ac:dyDescent="0.25" r="263" customHeight="1" ht="15.75">
      <c r="A263" s="8">
        <v>25470</v>
      </c>
      <c r="B263" s="13" t="s">
        <v>69</v>
      </c>
      <c r="C263" s="13" t="s">
        <v>5031</v>
      </c>
      <c r="D263" s="32" t="s">
        <v>5032</v>
      </c>
      <c r="E263" s="32" t="s">
        <v>4617</v>
      </c>
      <c r="F263" s="32" t="s">
        <v>5033</v>
      </c>
      <c r="G263" s="32" t="s">
        <v>5034</v>
      </c>
    </row>
    <row x14ac:dyDescent="0.25" r="264" customHeight="1" ht="15.75">
      <c r="A264" s="8">
        <v>25471</v>
      </c>
      <c r="B264" s="13" t="s">
        <v>69</v>
      </c>
      <c r="C264" s="13" t="s">
        <v>5035</v>
      </c>
      <c r="D264" s="32" t="s">
        <v>5036</v>
      </c>
      <c r="E264" s="32" t="s">
        <v>5037</v>
      </c>
      <c r="F264" s="32" t="s">
        <v>5038</v>
      </c>
      <c r="G264" s="32" t="s">
        <v>4380</v>
      </c>
    </row>
    <row x14ac:dyDescent="0.25" r="265" customHeight="1" ht="15.75">
      <c r="A265" s="8">
        <v>25472</v>
      </c>
      <c r="B265" s="13" t="s">
        <v>69</v>
      </c>
      <c r="C265" s="13" t="s">
        <v>5039</v>
      </c>
      <c r="D265" s="32" t="s">
        <v>5040</v>
      </c>
      <c r="E265" s="32" t="s">
        <v>5041</v>
      </c>
      <c r="F265" s="32" t="s">
        <v>5042</v>
      </c>
      <c r="G265" s="32" t="s">
        <v>5043</v>
      </c>
    </row>
    <row x14ac:dyDescent="0.25" r="266" customHeight="1" ht="15.75">
      <c r="A266" s="8">
        <v>25473</v>
      </c>
      <c r="B266" s="13" t="s">
        <v>69</v>
      </c>
      <c r="C266" s="13" t="s">
        <v>5044</v>
      </c>
      <c r="D266" s="32" t="s">
        <v>5045</v>
      </c>
      <c r="E266" s="32" t="s">
        <v>1344</v>
      </c>
      <c r="F266" s="32" t="s">
        <v>5046</v>
      </c>
      <c r="G266" s="32" t="s">
        <v>2797</v>
      </c>
    </row>
    <row x14ac:dyDescent="0.25" r="267" customHeight="1" ht="15.75">
      <c r="A267" s="8">
        <v>25474</v>
      </c>
      <c r="B267" s="13" t="s">
        <v>69</v>
      </c>
      <c r="C267" s="13" t="s">
        <v>4462</v>
      </c>
      <c r="D267" s="32" t="s">
        <v>5047</v>
      </c>
      <c r="E267" s="32" t="s">
        <v>1376</v>
      </c>
      <c r="F267" s="32" t="s">
        <v>5048</v>
      </c>
      <c r="G267" s="32" t="s">
        <v>1275</v>
      </c>
    </row>
    <row x14ac:dyDescent="0.25" r="268" customHeight="1" ht="15.75">
      <c r="A268" s="8">
        <v>25475</v>
      </c>
      <c r="B268" s="13" t="s">
        <v>69</v>
      </c>
      <c r="C268" s="13" t="s">
        <v>5049</v>
      </c>
      <c r="D268" s="32" t="s">
        <v>2574</v>
      </c>
      <c r="E268" s="32" t="s">
        <v>4639</v>
      </c>
      <c r="F268" s="32" t="s">
        <v>5050</v>
      </c>
      <c r="G268" s="32" t="s">
        <v>1413</v>
      </c>
    </row>
    <row x14ac:dyDescent="0.25" r="269" customHeight="1" ht="15.75">
      <c r="A269" s="8">
        <v>25476</v>
      </c>
      <c r="B269" s="13" t="s">
        <v>69</v>
      </c>
      <c r="C269" s="13" t="s">
        <v>5051</v>
      </c>
      <c r="D269" s="32" t="s">
        <v>5052</v>
      </c>
      <c r="E269" s="32" t="s">
        <v>963</v>
      </c>
      <c r="F269" s="32" t="s">
        <v>5053</v>
      </c>
      <c r="G269" s="32" t="s">
        <v>1431</v>
      </c>
    </row>
    <row x14ac:dyDescent="0.25" r="270" customHeight="1" ht="15.75">
      <c r="A270" s="8">
        <v>25477</v>
      </c>
      <c r="B270" s="13" t="s">
        <v>69</v>
      </c>
      <c r="C270" s="13" t="s">
        <v>5054</v>
      </c>
      <c r="D270" s="32" t="s">
        <v>5055</v>
      </c>
      <c r="E270" s="32" t="s">
        <v>1194</v>
      </c>
      <c r="F270" s="32" t="s">
        <v>1873</v>
      </c>
      <c r="G270" s="32" t="s">
        <v>5056</v>
      </c>
    </row>
    <row x14ac:dyDescent="0.25" r="271" customHeight="1" ht="15.75">
      <c r="A271" s="8">
        <v>25478</v>
      </c>
      <c r="B271" s="13" t="s">
        <v>69</v>
      </c>
      <c r="C271" s="13" t="s">
        <v>5057</v>
      </c>
      <c r="D271" s="32" t="s">
        <v>5058</v>
      </c>
      <c r="E271" s="32" t="s">
        <v>5059</v>
      </c>
      <c r="F271" s="32" t="s">
        <v>5060</v>
      </c>
      <c r="G271" s="32" t="s">
        <v>1373</v>
      </c>
    </row>
    <row x14ac:dyDescent="0.25" r="272" customHeight="1" ht="15.75">
      <c r="A272" s="8">
        <v>25479</v>
      </c>
      <c r="B272" s="13" t="s">
        <v>69</v>
      </c>
      <c r="C272" s="13" t="s">
        <v>5061</v>
      </c>
      <c r="D272" s="32" t="s">
        <v>2361</v>
      </c>
      <c r="E272" s="32" t="s">
        <v>2798</v>
      </c>
      <c r="F272" s="32" t="s">
        <v>2284</v>
      </c>
      <c r="G272" s="32" t="s">
        <v>5062</v>
      </c>
    </row>
    <row x14ac:dyDescent="0.25" r="273" customHeight="1" ht="15.75">
      <c r="A273" s="8">
        <v>25480</v>
      </c>
      <c r="B273" s="13" t="s">
        <v>69</v>
      </c>
      <c r="C273" s="13" t="s">
        <v>5063</v>
      </c>
      <c r="D273" s="32" t="s">
        <v>5064</v>
      </c>
      <c r="E273" s="32" t="s">
        <v>4469</v>
      </c>
      <c r="F273" s="32" t="s">
        <v>5065</v>
      </c>
      <c r="G273" s="32" t="s">
        <v>4788</v>
      </c>
    </row>
    <row x14ac:dyDescent="0.25" r="274" customHeight="1" ht="15.75">
      <c r="A274" s="8">
        <v>25481</v>
      </c>
      <c r="B274" s="13" t="s">
        <v>69</v>
      </c>
      <c r="C274" s="13" t="s">
        <v>5066</v>
      </c>
      <c r="D274" s="32" t="s">
        <v>5067</v>
      </c>
      <c r="E274" s="32" t="s">
        <v>4525</v>
      </c>
      <c r="F274" s="32" t="s">
        <v>2638</v>
      </c>
      <c r="G274" s="32" t="s">
        <v>5068</v>
      </c>
    </row>
    <row x14ac:dyDescent="0.25" r="275" customHeight="1" ht="15.75">
      <c r="A275" s="8">
        <v>25482</v>
      </c>
      <c r="B275" s="13" t="s">
        <v>69</v>
      </c>
      <c r="C275" s="13" t="s">
        <v>5069</v>
      </c>
      <c r="D275" s="32" t="s">
        <v>5070</v>
      </c>
      <c r="E275" s="32" t="s">
        <v>737</v>
      </c>
      <c r="F275" s="32" t="s">
        <v>4174</v>
      </c>
      <c r="G275" s="32" t="s">
        <v>4156</v>
      </c>
    </row>
    <row x14ac:dyDescent="0.25" r="276" customHeight="1" ht="15.75">
      <c r="A276" s="8">
        <v>25483</v>
      </c>
      <c r="B276" s="13" t="s">
        <v>69</v>
      </c>
      <c r="C276" s="13" t="s">
        <v>5071</v>
      </c>
      <c r="D276" s="32" t="s">
        <v>5072</v>
      </c>
      <c r="E276" s="32" t="s">
        <v>5073</v>
      </c>
      <c r="F276" s="32" t="s">
        <v>5074</v>
      </c>
      <c r="G276" s="32" t="s">
        <v>5075</v>
      </c>
    </row>
    <row x14ac:dyDescent="0.25" r="277" customHeight="1" ht="15.75">
      <c r="A277" s="8">
        <v>25484</v>
      </c>
      <c r="B277" s="13" t="s">
        <v>69</v>
      </c>
      <c r="C277" s="13" t="s">
        <v>5076</v>
      </c>
      <c r="D277" s="32" t="s">
        <v>5077</v>
      </c>
      <c r="E277" s="32" t="s">
        <v>4149</v>
      </c>
      <c r="F277" s="32" t="s">
        <v>5078</v>
      </c>
      <c r="G277" s="32" t="s">
        <v>4671</v>
      </c>
    </row>
    <row x14ac:dyDescent="0.25" r="278" customHeight="1" ht="15.75">
      <c r="A278" s="8">
        <v>25485</v>
      </c>
      <c r="B278" s="13" t="s">
        <v>69</v>
      </c>
      <c r="C278" s="13" t="s">
        <v>5079</v>
      </c>
      <c r="D278" s="32" t="s">
        <v>170</v>
      </c>
      <c r="E278" s="32" t="s">
        <v>5080</v>
      </c>
      <c r="F278" s="32" t="s">
        <v>5081</v>
      </c>
      <c r="G278" s="32" t="s">
        <v>288</v>
      </c>
    </row>
    <row x14ac:dyDescent="0.25" r="279" customHeight="1" ht="15.75">
      <c r="A279" s="8">
        <v>25486</v>
      </c>
      <c r="B279" s="13" t="s">
        <v>69</v>
      </c>
      <c r="C279" s="13" t="s">
        <v>5082</v>
      </c>
      <c r="D279" s="32" t="s">
        <v>5083</v>
      </c>
      <c r="E279" s="32" t="s">
        <v>29</v>
      </c>
      <c r="F279" s="32" t="s">
        <v>5084</v>
      </c>
      <c r="G279" s="32" t="s">
        <v>5085</v>
      </c>
    </row>
    <row x14ac:dyDescent="0.25" r="280" customHeight="1" ht="15.75">
      <c r="A280" s="8">
        <v>25487</v>
      </c>
      <c r="B280" s="13" t="s">
        <v>69</v>
      </c>
      <c r="C280" s="13" t="s">
        <v>5086</v>
      </c>
      <c r="D280" s="32" t="s">
        <v>5087</v>
      </c>
      <c r="E280" s="32" t="s">
        <v>5088</v>
      </c>
      <c r="F280" s="32" t="s">
        <v>1507</v>
      </c>
      <c r="G280" s="32" t="s">
        <v>5008</v>
      </c>
    </row>
    <row x14ac:dyDescent="0.25" r="281" customHeight="1" ht="15.75">
      <c r="A281" s="8">
        <v>25488</v>
      </c>
      <c r="B281" s="13" t="s">
        <v>69</v>
      </c>
      <c r="C281" s="13" t="s">
        <v>5089</v>
      </c>
      <c r="D281" s="32" t="s">
        <v>5090</v>
      </c>
      <c r="E281" s="32" t="s">
        <v>4287</v>
      </c>
      <c r="F281" s="32" t="s">
        <v>1153</v>
      </c>
      <c r="G281" s="32" t="s">
        <v>4388</v>
      </c>
    </row>
    <row x14ac:dyDescent="0.25" r="282" customHeight="1" ht="15.75">
      <c r="A282" s="8">
        <v>25489</v>
      </c>
      <c r="B282" s="13" t="s">
        <v>69</v>
      </c>
      <c r="C282" s="13" t="s">
        <v>5091</v>
      </c>
      <c r="D282" s="32" t="s">
        <v>668</v>
      </c>
      <c r="E282" s="32" t="s">
        <v>5092</v>
      </c>
      <c r="F282" s="32" t="s">
        <v>5093</v>
      </c>
      <c r="G282" s="32" t="s">
        <v>5094</v>
      </c>
    </row>
    <row x14ac:dyDescent="0.25" r="283" customHeight="1" ht="15.75">
      <c r="A283" s="8">
        <v>25490</v>
      </c>
      <c r="B283" s="13" t="s">
        <v>69</v>
      </c>
      <c r="C283" s="13" t="s">
        <v>5095</v>
      </c>
      <c r="D283" s="32" t="s">
        <v>2607</v>
      </c>
      <c r="E283" s="32" t="s">
        <v>5096</v>
      </c>
      <c r="F283" s="32" t="s">
        <v>2334</v>
      </c>
      <c r="G283" s="32" t="s">
        <v>5075</v>
      </c>
    </row>
    <row x14ac:dyDescent="0.25" r="284" customHeight="1" ht="15.75">
      <c r="A284" s="8">
        <v>25491</v>
      </c>
      <c r="B284" s="13" t="s">
        <v>69</v>
      </c>
      <c r="C284" s="13" t="s">
        <v>5097</v>
      </c>
      <c r="D284" s="32" t="s">
        <v>4153</v>
      </c>
      <c r="E284" s="32" t="s">
        <v>1462</v>
      </c>
      <c r="F284" s="32" t="s">
        <v>5098</v>
      </c>
      <c r="G284" s="32" t="s">
        <v>4981</v>
      </c>
    </row>
    <row x14ac:dyDescent="0.25" r="285" customHeight="1" ht="15.75">
      <c r="A285" s="8">
        <v>25492</v>
      </c>
      <c r="B285" s="13" t="s">
        <v>69</v>
      </c>
      <c r="C285" s="13" t="s">
        <v>5099</v>
      </c>
      <c r="D285" s="32" t="s">
        <v>5100</v>
      </c>
      <c r="E285" s="32" t="s">
        <v>4271</v>
      </c>
      <c r="F285" s="32" t="s">
        <v>2143</v>
      </c>
      <c r="G285" s="32" t="s">
        <v>5101</v>
      </c>
    </row>
    <row x14ac:dyDescent="0.25" r="286" customHeight="1" ht="15.75">
      <c r="A286" s="8">
        <v>25493</v>
      </c>
      <c r="B286" s="13" t="s">
        <v>69</v>
      </c>
      <c r="C286" s="13" t="s">
        <v>5102</v>
      </c>
      <c r="D286" s="32" t="s">
        <v>5103</v>
      </c>
      <c r="E286" s="32" t="s">
        <v>4873</v>
      </c>
      <c r="F286" s="32" t="s">
        <v>5104</v>
      </c>
      <c r="G286" s="32" t="s">
        <v>5105</v>
      </c>
    </row>
    <row x14ac:dyDescent="0.25" r="287" customHeight="1" ht="15.75">
      <c r="A287" s="8">
        <v>25494</v>
      </c>
      <c r="B287" s="13" t="s">
        <v>69</v>
      </c>
      <c r="C287" s="13" t="s">
        <v>5106</v>
      </c>
      <c r="D287" s="32" t="s">
        <v>5107</v>
      </c>
      <c r="E287" s="32" t="s">
        <v>5108</v>
      </c>
      <c r="F287" s="32" t="s">
        <v>5109</v>
      </c>
      <c r="G287" s="32" t="s">
        <v>1351</v>
      </c>
    </row>
    <row x14ac:dyDescent="0.25" r="288" customHeight="1" ht="15.75">
      <c r="A288" s="8">
        <v>25495</v>
      </c>
      <c r="B288" s="13" t="s">
        <v>69</v>
      </c>
      <c r="C288" s="13" t="s">
        <v>5110</v>
      </c>
      <c r="D288" s="32" t="s">
        <v>5111</v>
      </c>
      <c r="E288" s="32" t="s">
        <v>5112</v>
      </c>
      <c r="F288" s="32" t="s">
        <v>5113</v>
      </c>
      <c r="G288" s="32" t="s">
        <v>4693</v>
      </c>
    </row>
    <row x14ac:dyDescent="0.25" r="289" customHeight="1" ht="15.75">
      <c r="A289" s="8">
        <v>25496</v>
      </c>
      <c r="B289" s="13" t="s">
        <v>69</v>
      </c>
      <c r="C289" s="13" t="s">
        <v>5114</v>
      </c>
      <c r="D289" s="32" t="s">
        <v>5115</v>
      </c>
      <c r="E289" s="32" t="s">
        <v>4524</v>
      </c>
      <c r="F289" s="32" t="s">
        <v>5116</v>
      </c>
      <c r="G289" s="32" t="s">
        <v>5117</v>
      </c>
    </row>
    <row x14ac:dyDescent="0.25" r="290" customHeight="1" ht="15.75">
      <c r="A290" s="8">
        <v>25497</v>
      </c>
      <c r="B290" s="13" t="s">
        <v>69</v>
      </c>
      <c r="C290" s="13" t="s">
        <v>5118</v>
      </c>
      <c r="D290" s="32" t="s">
        <v>5119</v>
      </c>
      <c r="E290" s="32" t="s">
        <v>5120</v>
      </c>
      <c r="F290" s="32" t="s">
        <v>5121</v>
      </c>
      <c r="G290" s="32" t="s">
        <v>4271</v>
      </c>
    </row>
    <row x14ac:dyDescent="0.25" r="291" customHeight="1" ht="15.75">
      <c r="A291" s="8">
        <v>25498</v>
      </c>
      <c r="B291" s="13" t="s">
        <v>69</v>
      </c>
      <c r="C291" s="13" t="s">
        <v>5122</v>
      </c>
      <c r="D291" s="32" t="s">
        <v>5123</v>
      </c>
      <c r="E291" s="32" t="s">
        <v>914</v>
      </c>
      <c r="F291" s="32" t="s">
        <v>5124</v>
      </c>
      <c r="G291" s="32" t="s">
        <v>1229</v>
      </c>
    </row>
    <row x14ac:dyDescent="0.25" r="292" customHeight="1" ht="15.75">
      <c r="A292" s="8">
        <v>25499</v>
      </c>
      <c r="B292" s="13" t="s">
        <v>69</v>
      </c>
      <c r="C292" s="13" t="s">
        <v>5125</v>
      </c>
      <c r="D292" s="32" t="s">
        <v>1672</v>
      </c>
      <c r="E292" s="32" t="s">
        <v>5126</v>
      </c>
      <c r="F292" s="32" t="s">
        <v>5127</v>
      </c>
      <c r="G292" s="32" t="s">
        <v>4107</v>
      </c>
    </row>
    <row x14ac:dyDescent="0.25" r="293" customHeight="1" ht="15.75">
      <c r="A293" s="8">
        <v>25500</v>
      </c>
      <c r="B293" s="13" t="s">
        <v>69</v>
      </c>
      <c r="C293" s="13" t="s">
        <v>5128</v>
      </c>
      <c r="D293" s="32" t="s">
        <v>5129</v>
      </c>
      <c r="E293" s="32" t="s">
        <v>5130</v>
      </c>
      <c r="F293" s="32" t="s">
        <v>5131</v>
      </c>
      <c r="G293" s="32" t="s">
        <v>1305</v>
      </c>
    </row>
    <row x14ac:dyDescent="0.25" r="294" customHeight="1" ht="15.75">
      <c r="A294" s="8">
        <v>25501</v>
      </c>
      <c r="B294" s="13" t="s">
        <v>69</v>
      </c>
      <c r="C294" s="13" t="s">
        <v>5132</v>
      </c>
      <c r="D294" s="32" t="s">
        <v>5133</v>
      </c>
      <c r="E294" s="32" t="s">
        <v>5134</v>
      </c>
      <c r="F294" s="32" t="s">
        <v>5135</v>
      </c>
      <c r="G294" s="32" t="s">
        <v>1341</v>
      </c>
    </row>
    <row x14ac:dyDescent="0.25" r="295" customHeight="1" ht="15.75">
      <c r="A295" s="8">
        <v>25502</v>
      </c>
      <c r="B295" s="13" t="s">
        <v>69</v>
      </c>
      <c r="C295" s="13" t="s">
        <v>5136</v>
      </c>
      <c r="D295" s="32" t="s">
        <v>5137</v>
      </c>
      <c r="E295" s="32" t="s">
        <v>5138</v>
      </c>
      <c r="F295" s="32" t="s">
        <v>5139</v>
      </c>
      <c r="G295" s="32" t="s">
        <v>5140</v>
      </c>
    </row>
    <row x14ac:dyDescent="0.25" r="296" customHeight="1" ht="15.75">
      <c r="A296" s="8">
        <v>25503</v>
      </c>
      <c r="B296" s="13" t="s">
        <v>69</v>
      </c>
      <c r="C296" s="13" t="s">
        <v>5141</v>
      </c>
      <c r="D296" s="32" t="s">
        <v>5142</v>
      </c>
      <c r="E296" s="32" t="s">
        <v>1465</v>
      </c>
      <c r="F296" s="32" t="s">
        <v>5143</v>
      </c>
      <c r="G296" s="32" t="s">
        <v>1316</v>
      </c>
    </row>
    <row x14ac:dyDescent="0.25" r="297" customHeight="1" ht="15.75">
      <c r="A297" s="8">
        <v>25504</v>
      </c>
      <c r="B297" s="13" t="s">
        <v>69</v>
      </c>
      <c r="C297" s="13" t="s">
        <v>5144</v>
      </c>
      <c r="D297" s="32" t="s">
        <v>4150</v>
      </c>
      <c r="E297" s="32" t="s">
        <v>2771</v>
      </c>
      <c r="F297" s="32" t="s">
        <v>5145</v>
      </c>
      <c r="G297" s="32" t="s">
        <v>5146</v>
      </c>
    </row>
    <row x14ac:dyDescent="0.25" r="298" customHeight="1" ht="15.75">
      <c r="A298" s="8">
        <v>25505</v>
      </c>
      <c r="B298" s="13" t="s">
        <v>69</v>
      </c>
      <c r="C298" s="13" t="s">
        <v>5147</v>
      </c>
      <c r="D298" s="32" t="s">
        <v>5148</v>
      </c>
      <c r="E298" s="32" t="s">
        <v>5149</v>
      </c>
      <c r="F298" s="32" t="s">
        <v>5150</v>
      </c>
      <c r="G298" s="32" t="s">
        <v>4112</v>
      </c>
    </row>
    <row x14ac:dyDescent="0.25" r="299" customHeight="1" ht="15.75">
      <c r="A299" s="8">
        <v>25506</v>
      </c>
      <c r="B299" s="13" t="s">
        <v>69</v>
      </c>
      <c r="C299" s="13" t="s">
        <v>5151</v>
      </c>
      <c r="D299" s="32" t="s">
        <v>5152</v>
      </c>
      <c r="E299" s="32" t="s">
        <v>5153</v>
      </c>
      <c r="F299" s="32" t="s">
        <v>1674</v>
      </c>
      <c r="G299" s="32" t="s">
        <v>5154</v>
      </c>
    </row>
    <row x14ac:dyDescent="0.25" r="300" customHeight="1" ht="15.75">
      <c r="A300" s="8">
        <v>25507</v>
      </c>
      <c r="B300" s="13" t="s">
        <v>69</v>
      </c>
      <c r="C300" s="13" t="s">
        <v>5155</v>
      </c>
      <c r="D300" s="32" t="s">
        <v>5156</v>
      </c>
      <c r="E300" s="32" t="s">
        <v>5157</v>
      </c>
      <c r="F300" s="32" t="s">
        <v>5158</v>
      </c>
      <c r="G300" s="32" t="s">
        <v>1410</v>
      </c>
    </row>
    <row x14ac:dyDescent="0.25" r="301" customHeight="1" ht="15.75">
      <c r="A301" s="8">
        <v>25508</v>
      </c>
      <c r="B301" s="13" t="s">
        <v>69</v>
      </c>
      <c r="C301" s="13" t="s">
        <v>5159</v>
      </c>
      <c r="D301" s="32" t="s">
        <v>5160</v>
      </c>
      <c r="E301" s="32" t="s">
        <v>5161</v>
      </c>
      <c r="F301" s="32" t="s">
        <v>4252</v>
      </c>
      <c r="G301" s="32" t="s">
        <v>5162</v>
      </c>
    </row>
    <row x14ac:dyDescent="0.25" r="302" customHeight="1" ht="15.75">
      <c r="A302" s="8">
        <v>25509</v>
      </c>
      <c r="B302" s="13" t="s">
        <v>69</v>
      </c>
      <c r="C302" s="13" t="s">
        <v>5163</v>
      </c>
      <c r="D302" s="32" t="s">
        <v>5164</v>
      </c>
      <c r="E302" s="32" t="s">
        <v>5165</v>
      </c>
      <c r="F302" s="32" t="s">
        <v>5166</v>
      </c>
      <c r="G302" s="32" t="s">
        <v>740</v>
      </c>
    </row>
    <row x14ac:dyDescent="0.25" r="303" customHeight="1" ht="15.75">
      <c r="A303" s="8">
        <v>25510</v>
      </c>
      <c r="B303" s="13" t="s">
        <v>69</v>
      </c>
      <c r="C303" s="13" t="s">
        <v>5167</v>
      </c>
      <c r="D303" s="32" t="s">
        <v>5168</v>
      </c>
      <c r="E303" s="32" t="s">
        <v>5169</v>
      </c>
      <c r="F303" s="32" t="s">
        <v>5170</v>
      </c>
      <c r="G303" s="32" t="s">
        <v>5171</v>
      </c>
    </row>
    <row x14ac:dyDescent="0.25" r="304" customHeight="1" ht="15.75">
      <c r="A304" s="8">
        <v>25511</v>
      </c>
      <c r="B304" s="13" t="s">
        <v>69</v>
      </c>
      <c r="C304" s="13" t="s">
        <v>5172</v>
      </c>
      <c r="D304" s="32" t="s">
        <v>696</v>
      </c>
      <c r="E304" s="32" t="s">
        <v>5173</v>
      </c>
      <c r="F304" s="32" t="s">
        <v>2395</v>
      </c>
      <c r="G304" s="32" t="s">
        <v>5174</v>
      </c>
    </row>
    <row x14ac:dyDescent="0.25" r="305" customHeight="1" ht="15.75">
      <c r="A305" s="8">
        <v>25512</v>
      </c>
      <c r="B305" s="13" t="s">
        <v>69</v>
      </c>
      <c r="C305" s="13" t="s">
        <v>5175</v>
      </c>
      <c r="D305" s="32" t="s">
        <v>5176</v>
      </c>
      <c r="E305" s="32" t="s">
        <v>1448</v>
      </c>
      <c r="F305" s="32" t="s">
        <v>5177</v>
      </c>
      <c r="G305" s="32" t="s">
        <v>5178</v>
      </c>
    </row>
    <row x14ac:dyDescent="0.25" r="306" customHeight="1" ht="15.75">
      <c r="A306" s="8">
        <v>25513</v>
      </c>
      <c r="B306" s="13" t="s">
        <v>69</v>
      </c>
      <c r="C306" s="13" t="s">
        <v>5179</v>
      </c>
      <c r="D306" s="32" t="s">
        <v>4198</v>
      </c>
      <c r="E306" s="32" t="s">
        <v>1722</v>
      </c>
      <c r="F306" s="32" t="s">
        <v>5180</v>
      </c>
      <c r="G306" s="32" t="s">
        <v>1511</v>
      </c>
    </row>
    <row x14ac:dyDescent="0.25" r="307" customHeight="1" ht="15.75">
      <c r="A307" s="8">
        <v>25514</v>
      </c>
      <c r="B307" s="13" t="s">
        <v>69</v>
      </c>
      <c r="C307" s="13" t="s">
        <v>5181</v>
      </c>
      <c r="D307" s="32" t="s">
        <v>5182</v>
      </c>
      <c r="E307" s="32" t="s">
        <v>5183</v>
      </c>
      <c r="F307" s="32" t="s">
        <v>4710</v>
      </c>
      <c r="G307" s="32" t="s">
        <v>5184</v>
      </c>
    </row>
    <row x14ac:dyDescent="0.25" r="308" customHeight="1" ht="15.75">
      <c r="A308" s="8">
        <v>25515</v>
      </c>
      <c r="B308" s="13" t="s">
        <v>69</v>
      </c>
      <c r="C308" s="13" t="s">
        <v>5185</v>
      </c>
      <c r="D308" s="32" t="s">
        <v>5186</v>
      </c>
      <c r="E308" s="32" t="s">
        <v>5187</v>
      </c>
      <c r="F308" s="32" t="s">
        <v>5188</v>
      </c>
      <c r="G308" s="32" t="s">
        <v>4892</v>
      </c>
    </row>
    <row x14ac:dyDescent="0.25" r="309" customHeight="1" ht="15.75">
      <c r="A309" s="8">
        <v>25516</v>
      </c>
      <c r="B309" s="13" t="s">
        <v>69</v>
      </c>
      <c r="C309" s="13" t="s">
        <v>5189</v>
      </c>
      <c r="D309" s="32" t="s">
        <v>5190</v>
      </c>
      <c r="E309" s="32" t="s">
        <v>283</v>
      </c>
      <c r="F309" s="32" t="s">
        <v>5191</v>
      </c>
      <c r="G309" s="32" t="s">
        <v>4899</v>
      </c>
    </row>
    <row x14ac:dyDescent="0.25" r="310" customHeight="1" ht="15.75">
      <c r="A310" s="8">
        <v>25517</v>
      </c>
      <c r="B310" s="13" t="s">
        <v>69</v>
      </c>
      <c r="C310" s="13" t="s">
        <v>5192</v>
      </c>
      <c r="D310" s="32" t="s">
        <v>5193</v>
      </c>
      <c r="E310" s="32" t="s">
        <v>4873</v>
      </c>
      <c r="F310" s="32" t="s">
        <v>2546</v>
      </c>
      <c r="G310" s="32" t="s">
        <v>5194</v>
      </c>
    </row>
    <row x14ac:dyDescent="0.25" r="311" customHeight="1" ht="15.75">
      <c r="A311" s="8">
        <v>25518</v>
      </c>
      <c r="B311" s="13" t="s">
        <v>69</v>
      </c>
      <c r="C311" s="13" t="s">
        <v>5195</v>
      </c>
      <c r="D311" s="32" t="s">
        <v>5196</v>
      </c>
      <c r="E311" s="32" t="s">
        <v>4163</v>
      </c>
      <c r="F311" s="32" t="s">
        <v>5016</v>
      </c>
      <c r="G311" s="32" t="s">
        <v>5197</v>
      </c>
    </row>
    <row x14ac:dyDescent="0.25" r="312" customHeight="1" ht="15.75">
      <c r="A312" s="8">
        <v>25519</v>
      </c>
      <c r="B312" s="13" t="s">
        <v>69</v>
      </c>
      <c r="C312" s="13" t="s">
        <v>5198</v>
      </c>
      <c r="D312" s="32" t="s">
        <v>5199</v>
      </c>
      <c r="E312" s="32" t="s">
        <v>608</v>
      </c>
      <c r="F312" s="32" t="s">
        <v>4820</v>
      </c>
      <c r="G312" s="32" t="s">
        <v>5200</v>
      </c>
    </row>
    <row x14ac:dyDescent="0.25" r="313" customHeight="1" ht="15.75">
      <c r="A313" s="8">
        <v>25520</v>
      </c>
      <c r="B313" s="13" t="s">
        <v>69</v>
      </c>
      <c r="C313" s="13" t="s">
        <v>5201</v>
      </c>
      <c r="D313" s="32" t="s">
        <v>1895</v>
      </c>
      <c r="E313" s="32" t="s">
        <v>5202</v>
      </c>
      <c r="F313" s="32" t="s">
        <v>5203</v>
      </c>
      <c r="G313" s="32" t="s">
        <v>5204</v>
      </c>
    </row>
    <row x14ac:dyDescent="0.25" r="314" customHeight="1" ht="15.75">
      <c r="A314" s="8">
        <v>25521</v>
      </c>
      <c r="B314" s="13" t="s">
        <v>69</v>
      </c>
      <c r="C314" s="13" t="s">
        <v>5205</v>
      </c>
      <c r="D314" s="32" t="s">
        <v>2332</v>
      </c>
      <c r="E314" s="32" t="s">
        <v>5206</v>
      </c>
      <c r="F314" s="32" t="s">
        <v>5207</v>
      </c>
      <c r="G314" s="32" t="s">
        <v>4748</v>
      </c>
    </row>
    <row x14ac:dyDescent="0.25" r="315" customHeight="1" ht="15.75">
      <c r="A315" s="8">
        <v>25522</v>
      </c>
      <c r="B315" s="13" t="s">
        <v>69</v>
      </c>
      <c r="C315" s="13" t="s">
        <v>5208</v>
      </c>
      <c r="D315" s="32" t="s">
        <v>5209</v>
      </c>
      <c r="E315" s="32" t="s">
        <v>1497</v>
      </c>
      <c r="F315" s="32" t="s">
        <v>1822</v>
      </c>
      <c r="G315" s="32" t="s">
        <v>361</v>
      </c>
    </row>
    <row x14ac:dyDescent="0.25" r="316" customHeight="1" ht="15.75">
      <c r="A316" s="8">
        <v>25524</v>
      </c>
      <c r="B316" s="13" t="s">
        <v>69</v>
      </c>
      <c r="C316" s="13" t="s">
        <v>5210</v>
      </c>
      <c r="D316" s="32" t="s">
        <v>4123</v>
      </c>
      <c r="E316" s="32" t="s">
        <v>1171</v>
      </c>
      <c r="F316" s="32" t="s">
        <v>5211</v>
      </c>
      <c r="G316" s="32" t="s">
        <v>4764</v>
      </c>
    </row>
    <row x14ac:dyDescent="0.25" r="317" customHeight="1" ht="15.75">
      <c r="A317" s="8">
        <v>25525</v>
      </c>
      <c r="B317" s="13" t="s">
        <v>69</v>
      </c>
      <c r="C317" s="13" t="s">
        <v>5212</v>
      </c>
      <c r="D317" s="32" t="s">
        <v>5213</v>
      </c>
      <c r="E317" s="32" t="s">
        <v>5214</v>
      </c>
      <c r="F317" s="32" t="s">
        <v>5215</v>
      </c>
      <c r="G317" s="32" t="s">
        <v>5202</v>
      </c>
    </row>
    <row x14ac:dyDescent="0.25" r="318" customHeight="1" ht="15.75">
      <c r="A318" s="8">
        <v>25526</v>
      </c>
      <c r="B318" s="13" t="s">
        <v>69</v>
      </c>
      <c r="C318" s="13" t="s">
        <v>5216</v>
      </c>
      <c r="D318" s="32" t="s">
        <v>924</v>
      </c>
      <c r="E318" s="32" t="s">
        <v>4970</v>
      </c>
      <c r="F318" s="32" t="s">
        <v>81</v>
      </c>
      <c r="G318" s="32" t="s">
        <v>4231</v>
      </c>
    </row>
    <row x14ac:dyDescent="0.25" r="319" customHeight="1" ht="15.75">
      <c r="A319" s="8">
        <v>25527</v>
      </c>
      <c r="B319" s="13" t="s">
        <v>69</v>
      </c>
      <c r="C319" s="13" t="s">
        <v>5217</v>
      </c>
      <c r="D319" s="32" t="s">
        <v>234</v>
      </c>
      <c r="E319" s="32" t="s">
        <v>1603</v>
      </c>
      <c r="F319" s="32" t="s">
        <v>43</v>
      </c>
      <c r="G319" s="32" t="s">
        <v>1502</v>
      </c>
    </row>
    <row x14ac:dyDescent="0.25" r="320" customHeight="1" ht="15.75">
      <c r="A320" s="8">
        <v>25528</v>
      </c>
      <c r="B320" s="13" t="s">
        <v>69</v>
      </c>
      <c r="C320" s="13" t="s">
        <v>5218</v>
      </c>
      <c r="D320" s="32" t="s">
        <v>2745</v>
      </c>
      <c r="E320" s="32" t="s">
        <v>2424</v>
      </c>
      <c r="F320" s="32" t="s">
        <v>5219</v>
      </c>
      <c r="G320" s="32" t="s">
        <v>5220</v>
      </c>
    </row>
    <row x14ac:dyDescent="0.25" r="321" customHeight="1" ht="15.75">
      <c r="A321" s="8">
        <v>25529</v>
      </c>
      <c r="B321" s="13" t="s">
        <v>69</v>
      </c>
      <c r="C321" s="13" t="s">
        <v>5221</v>
      </c>
      <c r="D321" s="32" t="s">
        <v>2264</v>
      </c>
      <c r="E321" s="32" t="s">
        <v>1485</v>
      </c>
      <c r="F321" s="32" t="s">
        <v>5222</v>
      </c>
      <c r="G321" s="32" t="s">
        <v>4327</v>
      </c>
    </row>
    <row x14ac:dyDescent="0.25" r="322" customHeight="1" ht="15.75">
      <c r="A322" s="8">
        <v>25530</v>
      </c>
      <c r="B322" s="13" t="s">
        <v>69</v>
      </c>
      <c r="C322" s="13" t="s">
        <v>5223</v>
      </c>
      <c r="D322" s="32" t="s">
        <v>5224</v>
      </c>
      <c r="E322" s="32" t="s">
        <v>4646</v>
      </c>
      <c r="F322" s="32" t="s">
        <v>5225</v>
      </c>
      <c r="G322" s="32" t="s">
        <v>5194</v>
      </c>
    </row>
    <row x14ac:dyDescent="0.25" r="323" customHeight="1" ht="15.75">
      <c r="A323" s="8">
        <v>25531</v>
      </c>
      <c r="B323" s="13" t="s">
        <v>69</v>
      </c>
      <c r="C323" s="13" t="s">
        <v>5226</v>
      </c>
      <c r="D323" s="32" t="s">
        <v>5227</v>
      </c>
      <c r="E323" s="32" t="s">
        <v>5228</v>
      </c>
      <c r="F323" s="32" t="s">
        <v>5229</v>
      </c>
      <c r="G323" s="32" t="s">
        <v>2608</v>
      </c>
    </row>
    <row x14ac:dyDescent="0.25" r="324" customHeight="1" ht="15.75">
      <c r="A324" s="8">
        <v>25532</v>
      </c>
      <c r="B324" s="13" t="s">
        <v>69</v>
      </c>
      <c r="C324" s="13" t="s">
        <v>5230</v>
      </c>
      <c r="D324" s="32" t="s">
        <v>1588</v>
      </c>
      <c r="E324" s="32" t="s">
        <v>1387</v>
      </c>
      <c r="F324" s="32" t="s">
        <v>5231</v>
      </c>
      <c r="G324" s="32" t="s">
        <v>4639</v>
      </c>
    </row>
    <row x14ac:dyDescent="0.25" r="325" customHeight="1" ht="15.75">
      <c r="A325" s="8">
        <v>25536</v>
      </c>
      <c r="B325" s="13" t="s">
        <v>69</v>
      </c>
      <c r="C325" s="13" t="s">
        <v>5232</v>
      </c>
      <c r="D325" s="32" t="s">
        <v>5233</v>
      </c>
      <c r="E325" s="32" t="s">
        <v>5234</v>
      </c>
      <c r="F325" s="32" t="s">
        <v>4678</v>
      </c>
      <c r="G325" s="32" t="s">
        <v>4380</v>
      </c>
    </row>
    <row x14ac:dyDescent="0.25" r="326" customHeight="1" ht="15.75">
      <c r="A326" s="8">
        <v>25537</v>
      </c>
      <c r="B326" s="13" t="s">
        <v>69</v>
      </c>
      <c r="C326" s="13" t="s">
        <v>5235</v>
      </c>
      <c r="D326" s="32" t="s">
        <v>2317</v>
      </c>
      <c r="E326" s="32" t="s">
        <v>5236</v>
      </c>
      <c r="F326" s="32" t="s">
        <v>5237</v>
      </c>
      <c r="G326" s="32" t="s">
        <v>5238</v>
      </c>
    </row>
    <row x14ac:dyDescent="0.25" r="327" customHeight="1" ht="15.75">
      <c r="A327" s="8">
        <v>25538</v>
      </c>
      <c r="B327" s="13" t="s">
        <v>69</v>
      </c>
      <c r="C327" s="13" t="s">
        <v>5239</v>
      </c>
      <c r="D327" s="32" t="s">
        <v>5240</v>
      </c>
      <c r="E327" s="32" t="s">
        <v>5161</v>
      </c>
      <c r="F327" s="32" t="s">
        <v>5241</v>
      </c>
      <c r="G327" s="32" t="s">
        <v>4800</v>
      </c>
    </row>
    <row x14ac:dyDescent="0.25" r="328" customHeight="1" ht="15.75">
      <c r="A328" s="8">
        <v>25539</v>
      </c>
      <c r="B328" s="13" t="s">
        <v>69</v>
      </c>
      <c r="C328" s="13" t="s">
        <v>5242</v>
      </c>
      <c r="D328" s="32" t="s">
        <v>5243</v>
      </c>
      <c r="E328" s="32" t="s">
        <v>4674</v>
      </c>
      <c r="F328" s="32" t="s">
        <v>5244</v>
      </c>
      <c r="G328" s="32" t="s">
        <v>5134</v>
      </c>
    </row>
    <row x14ac:dyDescent="0.25" r="329" customHeight="1" ht="15.75">
      <c r="A329" s="8">
        <v>25540</v>
      </c>
      <c r="B329" s="13" t="s">
        <v>69</v>
      </c>
      <c r="C329" s="13" t="s">
        <v>5245</v>
      </c>
      <c r="D329" s="32" t="s">
        <v>5246</v>
      </c>
      <c r="E329" s="32" t="s">
        <v>1401</v>
      </c>
      <c r="F329" s="32" t="s">
        <v>5247</v>
      </c>
      <c r="G329" s="32" t="s">
        <v>5248</v>
      </c>
    </row>
    <row x14ac:dyDescent="0.25" r="330" customHeight="1" ht="15.75">
      <c r="A330" s="8">
        <v>25541</v>
      </c>
      <c r="B330" s="13" t="s">
        <v>69</v>
      </c>
      <c r="C330" s="13" t="s">
        <v>5249</v>
      </c>
      <c r="D330" s="32" t="s">
        <v>4233</v>
      </c>
      <c r="E330" s="32" t="s">
        <v>4532</v>
      </c>
      <c r="F330" s="32" t="s">
        <v>5250</v>
      </c>
      <c r="G330" s="32" t="s">
        <v>4469</v>
      </c>
    </row>
    <row x14ac:dyDescent="0.25" r="331" customHeight="1" ht="15.75">
      <c r="A331" s="8">
        <v>25542</v>
      </c>
      <c r="B331" s="13" t="s">
        <v>69</v>
      </c>
      <c r="C331" s="13" t="s">
        <v>5251</v>
      </c>
      <c r="D331" s="32" t="s">
        <v>5252</v>
      </c>
      <c r="E331" s="32" t="s">
        <v>5236</v>
      </c>
      <c r="F331" s="32" t="s">
        <v>5253</v>
      </c>
      <c r="G331" s="32" t="s">
        <v>5254</v>
      </c>
    </row>
    <row x14ac:dyDescent="0.25" r="332" customHeight="1" ht="15.75">
      <c r="A332" s="8">
        <v>25543</v>
      </c>
      <c r="B332" s="13" t="s">
        <v>69</v>
      </c>
      <c r="C332" s="13" t="s">
        <v>5255</v>
      </c>
      <c r="D332" s="32" t="s">
        <v>5256</v>
      </c>
      <c r="E332" s="32" t="s">
        <v>5257</v>
      </c>
      <c r="F332" s="32" t="s">
        <v>5258</v>
      </c>
      <c r="G332" s="32" t="s">
        <v>1389</v>
      </c>
    </row>
    <row x14ac:dyDescent="0.25" r="333" customHeight="1" ht="15.75">
      <c r="A333" s="8">
        <v>25555</v>
      </c>
      <c r="B333" s="13" t="s">
        <v>91</v>
      </c>
      <c r="C333" s="13" t="s">
        <v>5259</v>
      </c>
      <c r="D333" s="32" t="s">
        <v>5260</v>
      </c>
      <c r="E333" s="32" t="s">
        <v>4203</v>
      </c>
      <c r="F333" s="32" t="s">
        <v>1634</v>
      </c>
      <c r="G333" s="32" t="s">
        <v>5261</v>
      </c>
    </row>
    <row x14ac:dyDescent="0.25" r="334" customHeight="1" ht="15.75">
      <c r="A334" s="8">
        <v>25556</v>
      </c>
      <c r="B334" s="13" t="s">
        <v>91</v>
      </c>
      <c r="C334" s="13" t="s">
        <v>5262</v>
      </c>
      <c r="D334" s="32" t="s">
        <v>5263</v>
      </c>
      <c r="E334" s="32" t="s">
        <v>4761</v>
      </c>
      <c r="F334" s="32" t="s">
        <v>1143</v>
      </c>
      <c r="G334" s="32" t="s">
        <v>5264</v>
      </c>
    </row>
    <row x14ac:dyDescent="0.25" r="335" customHeight="1" ht="15.75">
      <c r="A335" s="8">
        <v>25557</v>
      </c>
      <c r="B335" s="13" t="s">
        <v>91</v>
      </c>
      <c r="C335" s="13" t="s">
        <v>5265</v>
      </c>
      <c r="D335" s="32" t="s">
        <v>5266</v>
      </c>
      <c r="E335" s="32" t="s">
        <v>5267</v>
      </c>
      <c r="F335" s="32" t="s">
        <v>4233</v>
      </c>
      <c r="G335" s="32" t="s">
        <v>4981</v>
      </c>
    </row>
    <row x14ac:dyDescent="0.25" r="336" customHeight="1" ht="15.75">
      <c r="A336" s="8">
        <v>25641</v>
      </c>
      <c r="B336" s="13" t="s">
        <v>91</v>
      </c>
      <c r="C336" s="13" t="s">
        <v>5268</v>
      </c>
      <c r="D336" s="32" t="s">
        <v>4706</v>
      </c>
      <c r="E336" s="32" t="s">
        <v>5269</v>
      </c>
      <c r="F336" s="32" t="s">
        <v>485</v>
      </c>
      <c r="G336" s="32" t="s">
        <v>4136</v>
      </c>
    </row>
    <row x14ac:dyDescent="0.25" r="337" customHeight="1" ht="15.75">
      <c r="A337" s="8">
        <v>25558</v>
      </c>
      <c r="B337" s="13" t="s">
        <v>91</v>
      </c>
      <c r="C337" s="13" t="s">
        <v>5270</v>
      </c>
      <c r="D337" s="32" t="s">
        <v>2557</v>
      </c>
      <c r="E337" s="32" t="s">
        <v>5271</v>
      </c>
      <c r="F337" s="32" t="s">
        <v>5272</v>
      </c>
      <c r="G337" s="32" t="s">
        <v>4064</v>
      </c>
    </row>
    <row x14ac:dyDescent="0.25" r="338" customHeight="1" ht="15.75">
      <c r="A338" s="8">
        <v>25642</v>
      </c>
      <c r="B338" s="13" t="s">
        <v>91</v>
      </c>
      <c r="C338" s="13" t="s">
        <v>5273</v>
      </c>
      <c r="D338" s="32" t="s">
        <v>5274</v>
      </c>
      <c r="E338" s="32" t="s">
        <v>4196</v>
      </c>
      <c r="F338" s="32" t="s">
        <v>5275</v>
      </c>
      <c r="G338" s="32" t="s">
        <v>5276</v>
      </c>
    </row>
    <row x14ac:dyDescent="0.25" r="339" customHeight="1" ht="15.75">
      <c r="A339" s="8">
        <v>25559</v>
      </c>
      <c r="B339" s="13" t="s">
        <v>91</v>
      </c>
      <c r="C339" s="13" t="s">
        <v>5277</v>
      </c>
      <c r="D339" s="32" t="s">
        <v>5278</v>
      </c>
      <c r="E339" s="32" t="s">
        <v>1229</v>
      </c>
      <c r="F339" s="32" t="s">
        <v>5279</v>
      </c>
      <c r="G339" s="32" t="s">
        <v>5280</v>
      </c>
    </row>
    <row x14ac:dyDescent="0.25" r="340" customHeight="1" ht="15.75">
      <c r="A340" s="8">
        <v>25643</v>
      </c>
      <c r="B340" s="13" t="s">
        <v>91</v>
      </c>
      <c r="C340" s="13" t="s">
        <v>5281</v>
      </c>
      <c r="D340" s="32" t="s">
        <v>5282</v>
      </c>
      <c r="E340" s="32" t="s">
        <v>5283</v>
      </c>
      <c r="F340" s="32" t="s">
        <v>1227</v>
      </c>
      <c r="G340" s="32" t="s">
        <v>4551</v>
      </c>
    </row>
    <row x14ac:dyDescent="0.25" r="341" customHeight="1" ht="15.75">
      <c r="A341" s="8">
        <v>25560</v>
      </c>
      <c r="B341" s="13" t="s">
        <v>91</v>
      </c>
      <c r="C341" s="13" t="s">
        <v>5284</v>
      </c>
      <c r="D341" s="32" t="s">
        <v>5285</v>
      </c>
      <c r="E341" s="32" t="s">
        <v>1485</v>
      </c>
      <c r="F341" s="32" t="s">
        <v>5286</v>
      </c>
      <c r="G341" s="32" t="s">
        <v>4219</v>
      </c>
    </row>
    <row x14ac:dyDescent="0.25" r="342" customHeight="1" ht="15.75">
      <c r="A342" s="8">
        <v>25561</v>
      </c>
      <c r="B342" s="13" t="s">
        <v>91</v>
      </c>
      <c r="C342" s="13" t="s">
        <v>5287</v>
      </c>
      <c r="D342" s="32" t="s">
        <v>5288</v>
      </c>
      <c r="E342" s="32" t="s">
        <v>1177</v>
      </c>
      <c r="F342" s="32" t="s">
        <v>485</v>
      </c>
      <c r="G342" s="32" t="s">
        <v>4136</v>
      </c>
    </row>
    <row x14ac:dyDescent="0.25" r="343" customHeight="1" ht="15.75">
      <c r="A343" s="8">
        <v>25562</v>
      </c>
      <c r="B343" s="13" t="s">
        <v>91</v>
      </c>
      <c r="C343" s="13" t="s">
        <v>5289</v>
      </c>
      <c r="D343" s="32" t="s">
        <v>57</v>
      </c>
      <c r="E343" s="32" t="s">
        <v>4750</v>
      </c>
      <c r="F343" s="32" t="s">
        <v>4225</v>
      </c>
      <c r="G343" s="32" t="s">
        <v>5290</v>
      </c>
    </row>
    <row x14ac:dyDescent="0.25" r="344" customHeight="1" ht="15.75">
      <c r="A344" s="8">
        <v>25644</v>
      </c>
      <c r="B344" s="13" t="s">
        <v>91</v>
      </c>
      <c r="C344" s="13" t="s">
        <v>5291</v>
      </c>
      <c r="D344" s="32" t="s">
        <v>5292</v>
      </c>
      <c r="E344" s="32" t="s">
        <v>5293</v>
      </c>
      <c r="F344" s="32" t="s">
        <v>5294</v>
      </c>
      <c r="G344" s="32" t="s">
        <v>5120</v>
      </c>
    </row>
    <row x14ac:dyDescent="0.25" r="345" customHeight="1" ht="15.75">
      <c r="A345" s="8">
        <v>25563</v>
      </c>
      <c r="B345" s="13" t="s">
        <v>91</v>
      </c>
      <c r="C345" s="13" t="s">
        <v>4078</v>
      </c>
      <c r="D345" s="32" t="s">
        <v>5295</v>
      </c>
      <c r="E345" s="32" t="s">
        <v>5283</v>
      </c>
      <c r="F345" s="32" t="s">
        <v>5296</v>
      </c>
      <c r="G345" s="32" t="s">
        <v>4240</v>
      </c>
    </row>
    <row x14ac:dyDescent="0.25" r="346" customHeight="1" ht="15.75">
      <c r="A346" s="8">
        <v>25564</v>
      </c>
      <c r="B346" s="13" t="s">
        <v>91</v>
      </c>
      <c r="C346" s="13" t="s">
        <v>5297</v>
      </c>
      <c r="D346" s="32" t="s">
        <v>4593</v>
      </c>
      <c r="E346" s="32" t="s">
        <v>5298</v>
      </c>
      <c r="F346" s="32" t="s">
        <v>5299</v>
      </c>
      <c r="G346" s="32" t="s">
        <v>992</v>
      </c>
    </row>
    <row x14ac:dyDescent="0.25" r="347" customHeight="1" ht="15.75">
      <c r="A347" s="8">
        <v>25565</v>
      </c>
      <c r="B347" s="13" t="s">
        <v>91</v>
      </c>
      <c r="C347" s="13" t="s">
        <v>5300</v>
      </c>
      <c r="D347" s="32" t="s">
        <v>5301</v>
      </c>
      <c r="E347" s="32" t="s">
        <v>5302</v>
      </c>
      <c r="F347" s="32" t="s">
        <v>5303</v>
      </c>
      <c r="G347" s="32" t="s">
        <v>5304</v>
      </c>
    </row>
    <row x14ac:dyDescent="0.25" r="348" customHeight="1" ht="15.75">
      <c r="A348" s="8">
        <v>25566</v>
      </c>
      <c r="B348" s="13" t="s">
        <v>91</v>
      </c>
      <c r="C348" s="13" t="s">
        <v>5305</v>
      </c>
      <c r="D348" s="32" t="s">
        <v>5306</v>
      </c>
      <c r="E348" s="32" t="s">
        <v>5307</v>
      </c>
      <c r="F348" s="32" t="s">
        <v>5308</v>
      </c>
      <c r="G348" s="32" t="s">
        <v>4776</v>
      </c>
    </row>
    <row x14ac:dyDescent="0.25" r="349" customHeight="1" ht="15.75">
      <c r="A349" s="8">
        <v>25567</v>
      </c>
      <c r="B349" s="13" t="s">
        <v>91</v>
      </c>
      <c r="C349" s="13" t="s">
        <v>5309</v>
      </c>
      <c r="D349" s="32" t="s">
        <v>4564</v>
      </c>
      <c r="E349" s="32" t="s">
        <v>4885</v>
      </c>
      <c r="F349" s="32" t="s">
        <v>5310</v>
      </c>
      <c r="G349" s="32" t="s">
        <v>1698</v>
      </c>
    </row>
    <row x14ac:dyDescent="0.25" r="350" customHeight="1" ht="15.75">
      <c r="A350" s="8">
        <v>25544</v>
      </c>
      <c r="B350" s="13" t="s">
        <v>91</v>
      </c>
      <c r="C350" s="13" t="s">
        <v>5311</v>
      </c>
      <c r="D350" s="32" t="s">
        <v>5312</v>
      </c>
      <c r="E350" s="32" t="s">
        <v>5313</v>
      </c>
      <c r="F350" s="32" t="s">
        <v>5135</v>
      </c>
      <c r="G350" s="32" t="s">
        <v>4188</v>
      </c>
    </row>
    <row x14ac:dyDescent="0.25" r="351" customHeight="1" ht="15.75">
      <c r="A351" s="8">
        <v>25568</v>
      </c>
      <c r="B351" s="13" t="s">
        <v>91</v>
      </c>
      <c r="C351" s="13" t="s">
        <v>5314</v>
      </c>
      <c r="D351" s="32" t="s">
        <v>122</v>
      </c>
      <c r="E351" s="32" t="s">
        <v>4866</v>
      </c>
      <c r="F351" s="32" t="s">
        <v>5315</v>
      </c>
      <c r="G351" s="32" t="s">
        <v>5316</v>
      </c>
    </row>
    <row x14ac:dyDescent="0.25" r="352" customHeight="1" ht="15.75">
      <c r="A352" s="8">
        <v>25569</v>
      </c>
      <c r="B352" s="13" t="s">
        <v>91</v>
      </c>
      <c r="C352" s="13" t="s">
        <v>5317</v>
      </c>
      <c r="D352" s="32" t="s">
        <v>5318</v>
      </c>
      <c r="E352" s="32" t="s">
        <v>4310</v>
      </c>
      <c r="F352" s="32" t="s">
        <v>5319</v>
      </c>
      <c r="G352" s="32" t="s">
        <v>1413</v>
      </c>
    </row>
    <row x14ac:dyDescent="0.25" r="353" customHeight="1" ht="15.75">
      <c r="A353" s="8">
        <v>25570</v>
      </c>
      <c r="B353" s="13" t="s">
        <v>91</v>
      </c>
      <c r="C353" s="13" t="s">
        <v>5320</v>
      </c>
      <c r="D353" s="32" t="s">
        <v>5321</v>
      </c>
      <c r="E353" s="32" t="s">
        <v>4614</v>
      </c>
      <c r="F353" s="32" t="s">
        <v>5322</v>
      </c>
      <c r="G353" s="32" t="s">
        <v>5323</v>
      </c>
    </row>
    <row x14ac:dyDescent="0.25" r="354" customHeight="1" ht="15.75">
      <c r="A354" s="8">
        <v>25571</v>
      </c>
      <c r="B354" s="13" t="s">
        <v>91</v>
      </c>
      <c r="C354" s="13" t="s">
        <v>5324</v>
      </c>
      <c r="D354" s="32" t="s">
        <v>699</v>
      </c>
      <c r="E354" s="32" t="s">
        <v>4565</v>
      </c>
      <c r="F354" s="32" t="s">
        <v>37</v>
      </c>
      <c r="G354" s="32" t="s">
        <v>4925</v>
      </c>
    </row>
    <row x14ac:dyDescent="0.25" r="355" customHeight="1" ht="15.75">
      <c r="A355" s="8">
        <v>25572</v>
      </c>
      <c r="B355" s="13" t="s">
        <v>91</v>
      </c>
      <c r="C355" s="13" t="s">
        <v>5325</v>
      </c>
      <c r="D355" s="32" t="s">
        <v>5326</v>
      </c>
      <c r="E355" s="32" t="s">
        <v>4323</v>
      </c>
      <c r="F355" s="32" t="s">
        <v>5019</v>
      </c>
      <c r="G355" s="32" t="s">
        <v>5327</v>
      </c>
    </row>
    <row x14ac:dyDescent="0.25" r="356" customHeight="1" ht="15.75">
      <c r="A356" s="8">
        <v>25573</v>
      </c>
      <c r="B356" s="13" t="s">
        <v>91</v>
      </c>
      <c r="C356" s="13" t="s">
        <v>5328</v>
      </c>
      <c r="D356" s="32" t="s">
        <v>5329</v>
      </c>
      <c r="E356" s="32" t="s">
        <v>1393</v>
      </c>
      <c r="F356" s="32" t="s">
        <v>5330</v>
      </c>
      <c r="G356" s="32" t="s">
        <v>5331</v>
      </c>
    </row>
    <row x14ac:dyDescent="0.25" r="357" customHeight="1" ht="15.75">
      <c r="A357" s="8">
        <v>25574</v>
      </c>
      <c r="B357" s="13" t="s">
        <v>91</v>
      </c>
      <c r="C357" s="13" t="s">
        <v>5332</v>
      </c>
      <c r="D357" s="32" t="s">
        <v>5333</v>
      </c>
      <c r="E357" s="32" t="s">
        <v>1674</v>
      </c>
      <c r="F357" s="32" t="s">
        <v>5334</v>
      </c>
      <c r="G357" s="32" t="s">
        <v>1448</v>
      </c>
    </row>
    <row x14ac:dyDescent="0.25" r="358" customHeight="1" ht="15.75">
      <c r="A358" s="8">
        <v>25575</v>
      </c>
      <c r="B358" s="13" t="s">
        <v>91</v>
      </c>
      <c r="C358" s="13" t="s">
        <v>5335</v>
      </c>
      <c r="D358" s="32" t="s">
        <v>4647</v>
      </c>
      <c r="E358" s="32" t="s">
        <v>4752</v>
      </c>
      <c r="F358" s="32" t="s">
        <v>5336</v>
      </c>
      <c r="G358" s="32" t="s">
        <v>4617</v>
      </c>
    </row>
    <row x14ac:dyDescent="0.25" r="359" customHeight="1" ht="15.75">
      <c r="A359" s="8">
        <v>25576</v>
      </c>
      <c r="B359" s="13" t="s">
        <v>91</v>
      </c>
      <c r="C359" s="13" t="s">
        <v>5337</v>
      </c>
      <c r="D359" s="32" t="s">
        <v>1665</v>
      </c>
      <c r="E359" s="32" t="s">
        <v>5338</v>
      </c>
      <c r="F359" s="32" t="s">
        <v>5339</v>
      </c>
      <c r="G359" s="32" t="s">
        <v>1474</v>
      </c>
    </row>
    <row x14ac:dyDescent="0.25" r="360" customHeight="1" ht="15.75">
      <c r="A360" s="8">
        <v>25578</v>
      </c>
      <c r="B360" s="13" t="s">
        <v>91</v>
      </c>
      <c r="C360" s="13" t="s">
        <v>5340</v>
      </c>
      <c r="D360" s="32" t="s">
        <v>5341</v>
      </c>
      <c r="E360" s="32" t="s">
        <v>5342</v>
      </c>
      <c r="F360" s="32" t="s">
        <v>5227</v>
      </c>
      <c r="G360" s="32" t="s">
        <v>4639</v>
      </c>
    </row>
    <row x14ac:dyDescent="0.25" r="361" customHeight="1" ht="15.75">
      <c r="A361" s="8">
        <v>25579</v>
      </c>
      <c r="B361" s="13" t="s">
        <v>91</v>
      </c>
      <c r="C361" s="13" t="s">
        <v>5343</v>
      </c>
      <c r="D361" s="32" t="s">
        <v>34</v>
      </c>
      <c r="E361" s="32" t="s">
        <v>1533</v>
      </c>
      <c r="F361" s="32" t="s">
        <v>5344</v>
      </c>
      <c r="G361" s="32" t="s">
        <v>2296</v>
      </c>
    </row>
    <row x14ac:dyDescent="0.25" r="362" customHeight="1" ht="15.75">
      <c r="A362" s="8">
        <v>25580</v>
      </c>
      <c r="B362" s="13" t="s">
        <v>91</v>
      </c>
      <c r="C362" s="13" t="s">
        <v>5345</v>
      </c>
      <c r="D362" s="32" t="s">
        <v>5346</v>
      </c>
      <c r="E362" s="32" t="s">
        <v>5347</v>
      </c>
      <c r="F362" s="32" t="s">
        <v>5348</v>
      </c>
      <c r="G362" s="32" t="s">
        <v>5349</v>
      </c>
    </row>
    <row x14ac:dyDescent="0.25" r="363" customHeight="1" ht="15.75">
      <c r="A363" s="8">
        <v>25581</v>
      </c>
      <c r="B363" s="13" t="s">
        <v>91</v>
      </c>
      <c r="C363" s="13" t="s">
        <v>5350</v>
      </c>
      <c r="D363" s="32" t="s">
        <v>5351</v>
      </c>
      <c r="E363" s="32" t="s">
        <v>4808</v>
      </c>
      <c r="F363" s="32" t="s">
        <v>5352</v>
      </c>
      <c r="G363" s="32" t="s">
        <v>4970</v>
      </c>
    </row>
    <row x14ac:dyDescent="0.25" r="364" customHeight="1" ht="15.75">
      <c r="A364" s="8">
        <v>25582</v>
      </c>
      <c r="B364" s="13" t="s">
        <v>91</v>
      </c>
      <c r="C364" s="13" t="s">
        <v>5353</v>
      </c>
      <c r="D364" s="32" t="s">
        <v>5354</v>
      </c>
      <c r="E364" s="32" t="s">
        <v>1581</v>
      </c>
      <c r="F364" s="32" t="s">
        <v>5355</v>
      </c>
      <c r="G364" s="32" t="s">
        <v>5356</v>
      </c>
    </row>
    <row x14ac:dyDescent="0.25" r="365" customHeight="1" ht="15.75">
      <c r="A365" s="8">
        <v>25583</v>
      </c>
      <c r="B365" s="13" t="s">
        <v>91</v>
      </c>
      <c r="C365" s="13" t="s">
        <v>5357</v>
      </c>
      <c r="D365" s="32" t="s">
        <v>5358</v>
      </c>
      <c r="E365" s="32" t="s">
        <v>1571</v>
      </c>
      <c r="F365" s="32" t="s">
        <v>5359</v>
      </c>
      <c r="G365" s="32" t="s">
        <v>5360</v>
      </c>
    </row>
    <row x14ac:dyDescent="0.25" r="366" customHeight="1" ht="15.75">
      <c r="A366" s="8">
        <v>25584</v>
      </c>
      <c r="B366" s="13" t="s">
        <v>91</v>
      </c>
      <c r="C366" s="13" t="s">
        <v>5361</v>
      </c>
      <c r="D366" s="32" t="s">
        <v>5362</v>
      </c>
      <c r="E366" s="32" t="s">
        <v>2710</v>
      </c>
      <c r="F366" s="32" t="s">
        <v>5363</v>
      </c>
      <c r="G366" s="32" t="s">
        <v>1385</v>
      </c>
    </row>
    <row x14ac:dyDescent="0.25" r="367" customHeight="1" ht="15.75">
      <c r="A367" s="8">
        <v>25585</v>
      </c>
      <c r="B367" s="13" t="s">
        <v>91</v>
      </c>
      <c r="C367" s="13" t="s">
        <v>5364</v>
      </c>
      <c r="D367" s="32" t="s">
        <v>5365</v>
      </c>
      <c r="E367" s="32" t="s">
        <v>5366</v>
      </c>
      <c r="F367" s="32" t="s">
        <v>5367</v>
      </c>
      <c r="G367" s="32" t="s">
        <v>1476</v>
      </c>
    </row>
    <row x14ac:dyDescent="0.25" r="368" customHeight="1" ht="15.75">
      <c r="A368" s="8">
        <v>25586</v>
      </c>
      <c r="B368" s="13" t="s">
        <v>91</v>
      </c>
      <c r="C368" s="13" t="s">
        <v>5368</v>
      </c>
      <c r="D368" s="32" t="s">
        <v>5369</v>
      </c>
      <c r="E368" s="32" t="s">
        <v>1258</v>
      </c>
      <c r="F368" s="32" t="s">
        <v>5370</v>
      </c>
      <c r="G368" s="32" t="s">
        <v>4639</v>
      </c>
    </row>
    <row x14ac:dyDescent="0.25" r="369" customHeight="1" ht="15.75">
      <c r="A369" s="8">
        <v>25587</v>
      </c>
      <c r="B369" s="13" t="s">
        <v>91</v>
      </c>
      <c r="C369" s="13" t="s">
        <v>5371</v>
      </c>
      <c r="D369" s="32" t="s">
        <v>5372</v>
      </c>
      <c r="E369" s="32" t="s">
        <v>5373</v>
      </c>
      <c r="F369" s="32" t="s">
        <v>5374</v>
      </c>
      <c r="G369" s="32" t="s">
        <v>1415</v>
      </c>
    </row>
    <row x14ac:dyDescent="0.25" r="370" customHeight="1" ht="15.75">
      <c r="A370" s="8">
        <v>25545</v>
      </c>
      <c r="B370" s="13" t="s">
        <v>91</v>
      </c>
      <c r="C370" s="13" t="s">
        <v>5375</v>
      </c>
      <c r="D370" s="32" t="s">
        <v>4884</v>
      </c>
      <c r="E370" s="32" t="s">
        <v>5376</v>
      </c>
      <c r="F370" s="32" t="s">
        <v>2679</v>
      </c>
      <c r="G370" s="32" t="s">
        <v>4617</v>
      </c>
    </row>
    <row x14ac:dyDescent="0.25" r="371" customHeight="1" ht="15.75">
      <c r="A371" s="8">
        <v>25588</v>
      </c>
      <c r="B371" s="13" t="s">
        <v>91</v>
      </c>
      <c r="C371" s="13" t="s">
        <v>5377</v>
      </c>
      <c r="D371" s="32" t="s">
        <v>5378</v>
      </c>
      <c r="E371" s="32" t="s">
        <v>5379</v>
      </c>
      <c r="F371" s="32" t="s">
        <v>5380</v>
      </c>
      <c r="G371" s="32" t="s">
        <v>5381</v>
      </c>
    </row>
    <row x14ac:dyDescent="0.25" r="372" customHeight="1" ht="15.75">
      <c r="A372" s="8">
        <v>25589</v>
      </c>
      <c r="B372" s="13" t="s">
        <v>91</v>
      </c>
      <c r="C372" s="13" t="s">
        <v>5382</v>
      </c>
      <c r="D372" s="32" t="s">
        <v>5383</v>
      </c>
      <c r="E372" s="32" t="s">
        <v>5384</v>
      </c>
      <c r="F372" s="32" t="s">
        <v>5385</v>
      </c>
      <c r="G372" s="32" t="s">
        <v>5386</v>
      </c>
    </row>
    <row x14ac:dyDescent="0.25" r="373" customHeight="1" ht="15.75">
      <c r="A373" s="8">
        <v>25590</v>
      </c>
      <c r="B373" s="13" t="s">
        <v>91</v>
      </c>
      <c r="C373" s="13" t="s">
        <v>5387</v>
      </c>
      <c r="D373" s="32" t="s">
        <v>5388</v>
      </c>
      <c r="E373" s="32" t="s">
        <v>5169</v>
      </c>
      <c r="F373" s="32" t="s">
        <v>5389</v>
      </c>
      <c r="G373" s="32" t="s">
        <v>1369</v>
      </c>
    </row>
    <row x14ac:dyDescent="0.25" r="374" customHeight="1" ht="15.75">
      <c r="A374" s="8">
        <v>25591</v>
      </c>
      <c r="B374" s="13" t="s">
        <v>91</v>
      </c>
      <c r="C374" s="13" t="s">
        <v>5390</v>
      </c>
      <c r="D374" s="32" t="s">
        <v>5391</v>
      </c>
      <c r="E374" s="32" t="s">
        <v>5392</v>
      </c>
      <c r="F374" s="32" t="s">
        <v>5393</v>
      </c>
      <c r="G374" s="32" t="s">
        <v>4982</v>
      </c>
    </row>
    <row x14ac:dyDescent="0.25" r="375" customHeight="1" ht="15.75">
      <c r="A375" s="8">
        <v>25592</v>
      </c>
      <c r="B375" s="13" t="s">
        <v>91</v>
      </c>
      <c r="C375" s="13" t="s">
        <v>5394</v>
      </c>
      <c r="D375" s="32" t="s">
        <v>5395</v>
      </c>
      <c r="E375" s="32" t="s">
        <v>1876</v>
      </c>
      <c r="F375" s="32" t="s">
        <v>5396</v>
      </c>
      <c r="G375" s="32" t="s">
        <v>4726</v>
      </c>
    </row>
    <row x14ac:dyDescent="0.25" r="376" customHeight="1" ht="15.75">
      <c r="A376" s="8">
        <v>25593</v>
      </c>
      <c r="B376" s="13" t="s">
        <v>91</v>
      </c>
      <c r="C376" s="13" t="s">
        <v>5397</v>
      </c>
      <c r="D376" s="32" t="s">
        <v>2610</v>
      </c>
      <c r="E376" s="32" t="s">
        <v>5101</v>
      </c>
      <c r="F376" s="32" t="s">
        <v>4728</v>
      </c>
      <c r="G376" s="32" t="s">
        <v>4354</v>
      </c>
    </row>
    <row x14ac:dyDescent="0.25" r="377" customHeight="1" ht="15.75">
      <c r="A377" s="8">
        <v>25594</v>
      </c>
      <c r="B377" s="13" t="s">
        <v>91</v>
      </c>
      <c r="C377" s="13" t="s">
        <v>4686</v>
      </c>
      <c r="D377" s="32" t="s">
        <v>5398</v>
      </c>
      <c r="E377" s="32" t="s">
        <v>4163</v>
      </c>
      <c r="F377" s="32" t="s">
        <v>1914</v>
      </c>
      <c r="G377" s="32" t="s">
        <v>1344</v>
      </c>
    </row>
    <row x14ac:dyDescent="0.25" r="378" customHeight="1" ht="15.75">
      <c r="A378" s="8">
        <v>25595</v>
      </c>
      <c r="B378" s="13" t="s">
        <v>91</v>
      </c>
      <c r="C378" s="13" t="s">
        <v>5399</v>
      </c>
      <c r="D378" s="32" t="s">
        <v>5400</v>
      </c>
      <c r="E378" s="32" t="s">
        <v>4802</v>
      </c>
      <c r="F378" s="32" t="s">
        <v>5401</v>
      </c>
      <c r="G378" s="32" t="s">
        <v>4320</v>
      </c>
    </row>
    <row x14ac:dyDescent="0.25" r="379" customHeight="1" ht="15.75">
      <c r="A379" s="8">
        <v>25596</v>
      </c>
      <c r="B379" s="13" t="s">
        <v>91</v>
      </c>
      <c r="C379" s="13" t="s">
        <v>5402</v>
      </c>
      <c r="D379" s="32" t="s">
        <v>4701</v>
      </c>
      <c r="E379" s="32" t="s">
        <v>5154</v>
      </c>
      <c r="F379" s="32" t="s">
        <v>5403</v>
      </c>
      <c r="G379" s="32" t="s">
        <v>5404</v>
      </c>
    </row>
    <row x14ac:dyDescent="0.25" r="380" customHeight="1" ht="15.75">
      <c r="A380" s="8">
        <v>25597</v>
      </c>
      <c r="B380" s="13" t="s">
        <v>91</v>
      </c>
      <c r="C380" s="13" t="s">
        <v>5405</v>
      </c>
      <c r="D380" s="32" t="s">
        <v>5406</v>
      </c>
      <c r="E380" s="32" t="s">
        <v>1559</v>
      </c>
      <c r="F380" s="32" t="s">
        <v>5407</v>
      </c>
      <c r="G380" s="32" t="s">
        <v>740</v>
      </c>
    </row>
    <row x14ac:dyDescent="0.25" r="381" customHeight="1" ht="15.75">
      <c r="A381" s="8">
        <v>25598</v>
      </c>
      <c r="B381" s="13" t="s">
        <v>91</v>
      </c>
      <c r="C381" s="13" t="s">
        <v>5408</v>
      </c>
      <c r="D381" s="32" t="s">
        <v>5409</v>
      </c>
      <c r="E381" s="32" t="s">
        <v>5410</v>
      </c>
      <c r="F381" s="32" t="s">
        <v>5411</v>
      </c>
      <c r="G381" s="32" t="s">
        <v>1525</v>
      </c>
    </row>
    <row x14ac:dyDescent="0.25" r="382" customHeight="1" ht="15.75">
      <c r="A382" s="8">
        <v>25599</v>
      </c>
      <c r="B382" s="13" t="s">
        <v>91</v>
      </c>
      <c r="C382" s="13" t="s">
        <v>5412</v>
      </c>
      <c r="D382" s="32" t="s">
        <v>4525</v>
      </c>
      <c r="E382" s="32" t="s">
        <v>5413</v>
      </c>
      <c r="F382" s="32" t="s">
        <v>2527</v>
      </c>
      <c r="G382" s="32" t="s">
        <v>4143</v>
      </c>
    </row>
    <row x14ac:dyDescent="0.25" r="383" customHeight="1" ht="15.75">
      <c r="A383" s="8">
        <v>25600</v>
      </c>
      <c r="B383" s="13" t="s">
        <v>91</v>
      </c>
      <c r="C383" s="13" t="s">
        <v>5414</v>
      </c>
      <c r="D383" s="32" t="s">
        <v>5415</v>
      </c>
      <c r="E383" s="32" t="s">
        <v>1381</v>
      </c>
      <c r="F383" s="32" t="s">
        <v>5416</v>
      </c>
      <c r="G383" s="32" t="s">
        <v>31</v>
      </c>
    </row>
    <row x14ac:dyDescent="0.25" r="384" customHeight="1" ht="15.75">
      <c r="A384" s="8">
        <v>25601</v>
      </c>
      <c r="B384" s="13" t="s">
        <v>91</v>
      </c>
      <c r="C384" s="13" t="s">
        <v>5417</v>
      </c>
      <c r="D384" s="32" t="s">
        <v>5418</v>
      </c>
      <c r="E384" s="32" t="s">
        <v>5323</v>
      </c>
      <c r="F384" s="32" t="s">
        <v>5419</v>
      </c>
      <c r="G384" s="32" t="s">
        <v>5420</v>
      </c>
    </row>
    <row x14ac:dyDescent="0.25" r="385" customHeight="1" ht="15.75">
      <c r="A385" s="8">
        <v>25645</v>
      </c>
      <c r="B385" s="13" t="s">
        <v>91</v>
      </c>
      <c r="C385" s="13" t="s">
        <v>5421</v>
      </c>
      <c r="D385" s="32" t="s">
        <v>5422</v>
      </c>
      <c r="E385" s="32" t="s">
        <v>4654</v>
      </c>
      <c r="F385" s="32" t="s">
        <v>5423</v>
      </c>
      <c r="G385" s="32" t="s">
        <v>5120</v>
      </c>
    </row>
    <row x14ac:dyDescent="0.25" r="386" customHeight="1" ht="15.75">
      <c r="A386" s="8">
        <v>25602</v>
      </c>
      <c r="B386" s="13" t="s">
        <v>91</v>
      </c>
      <c r="C386" s="13" t="s">
        <v>5424</v>
      </c>
      <c r="D386" s="32" t="s">
        <v>2477</v>
      </c>
      <c r="E386" s="32" t="s">
        <v>2317</v>
      </c>
      <c r="F386" s="32" t="s">
        <v>5425</v>
      </c>
      <c r="G386" s="32" t="s">
        <v>5169</v>
      </c>
    </row>
    <row x14ac:dyDescent="0.25" r="387" customHeight="1" ht="15.75">
      <c r="A387" s="8">
        <v>25646</v>
      </c>
      <c r="B387" s="13" t="s">
        <v>91</v>
      </c>
      <c r="C387" s="13" t="s">
        <v>5426</v>
      </c>
      <c r="D387" s="32" t="s">
        <v>4110</v>
      </c>
      <c r="E387" s="32" t="s">
        <v>5427</v>
      </c>
      <c r="F387" s="32" t="s">
        <v>5428</v>
      </c>
      <c r="G387" s="32" t="s">
        <v>4663</v>
      </c>
    </row>
    <row x14ac:dyDescent="0.25" r="388" customHeight="1" ht="15.75">
      <c r="A388" s="8">
        <v>25603</v>
      </c>
      <c r="B388" s="13" t="s">
        <v>91</v>
      </c>
      <c r="C388" s="13" t="s">
        <v>5429</v>
      </c>
      <c r="D388" s="32" t="s">
        <v>4301</v>
      </c>
      <c r="E388" s="32" t="s">
        <v>5085</v>
      </c>
      <c r="F388" s="32" t="s">
        <v>5430</v>
      </c>
      <c r="G388" s="32" t="s">
        <v>5323</v>
      </c>
    </row>
    <row x14ac:dyDescent="0.25" r="389" customHeight="1" ht="15.75">
      <c r="A389" s="8">
        <v>25604</v>
      </c>
      <c r="B389" s="13" t="s">
        <v>91</v>
      </c>
      <c r="C389" s="13" t="s">
        <v>5431</v>
      </c>
      <c r="D389" s="32" t="s">
        <v>4399</v>
      </c>
      <c r="E389" s="32" t="s">
        <v>5432</v>
      </c>
      <c r="F389" s="32" t="s">
        <v>5433</v>
      </c>
      <c r="G389" s="32" t="s">
        <v>4607</v>
      </c>
    </row>
    <row x14ac:dyDescent="0.25" r="390" customHeight="1" ht="15.75">
      <c r="A390" s="8">
        <v>25605</v>
      </c>
      <c r="B390" s="13" t="s">
        <v>91</v>
      </c>
      <c r="C390" s="13" t="s">
        <v>5434</v>
      </c>
      <c r="D390" s="32" t="s">
        <v>5435</v>
      </c>
      <c r="E390" s="32" t="s">
        <v>4642</v>
      </c>
      <c r="F390" s="32" t="s">
        <v>5018</v>
      </c>
      <c r="G390" s="32" t="s">
        <v>1201</v>
      </c>
    </row>
    <row x14ac:dyDescent="0.25" r="391" customHeight="1" ht="15.75">
      <c r="A391" s="8">
        <v>25546</v>
      </c>
      <c r="B391" s="13" t="s">
        <v>91</v>
      </c>
      <c r="C391" s="13" t="s">
        <v>5436</v>
      </c>
      <c r="D391" s="32" t="s">
        <v>5437</v>
      </c>
      <c r="E391" s="32" t="s">
        <v>5438</v>
      </c>
      <c r="F391" s="32" t="s">
        <v>5439</v>
      </c>
      <c r="G391" s="32" t="s">
        <v>1407</v>
      </c>
    </row>
    <row x14ac:dyDescent="0.25" r="392" customHeight="1" ht="15.75">
      <c r="A392" s="8">
        <v>25606</v>
      </c>
      <c r="B392" s="13" t="s">
        <v>91</v>
      </c>
      <c r="C392" s="13" t="s">
        <v>5440</v>
      </c>
      <c r="D392" s="32" t="s">
        <v>5441</v>
      </c>
      <c r="E392" s="32" t="s">
        <v>4136</v>
      </c>
      <c r="F392" s="32" t="s">
        <v>5442</v>
      </c>
      <c r="G392" s="32" t="s">
        <v>5034</v>
      </c>
    </row>
    <row x14ac:dyDescent="0.25" r="393" customHeight="1" ht="15.75">
      <c r="A393" s="8">
        <v>25647</v>
      </c>
      <c r="B393" s="13" t="s">
        <v>91</v>
      </c>
      <c r="C393" s="13" t="s">
        <v>5443</v>
      </c>
      <c r="D393" s="32" t="s">
        <v>4329</v>
      </c>
      <c r="E393" s="32" t="s">
        <v>1446</v>
      </c>
      <c r="F393" s="32" t="s">
        <v>4487</v>
      </c>
      <c r="G393" s="32" t="s">
        <v>4353</v>
      </c>
    </row>
    <row x14ac:dyDescent="0.25" r="394" customHeight="1" ht="15.75">
      <c r="A394" s="8">
        <v>25607</v>
      </c>
      <c r="B394" s="13" t="s">
        <v>91</v>
      </c>
      <c r="C394" s="13" t="s">
        <v>5444</v>
      </c>
      <c r="D394" s="32" t="s">
        <v>2364</v>
      </c>
      <c r="E394" s="32" t="s">
        <v>4667</v>
      </c>
      <c r="F394" s="32" t="s">
        <v>5445</v>
      </c>
      <c r="G394" s="32" t="s">
        <v>4380</v>
      </c>
    </row>
    <row x14ac:dyDescent="0.25" r="395" customHeight="1" ht="15.75">
      <c r="A395" s="8">
        <v>25648</v>
      </c>
      <c r="B395" s="13" t="s">
        <v>91</v>
      </c>
      <c r="C395" s="13" t="s">
        <v>5446</v>
      </c>
      <c r="D395" s="32" t="s">
        <v>5447</v>
      </c>
      <c r="E395" s="32" t="s">
        <v>4639</v>
      </c>
      <c r="F395" s="32" t="s">
        <v>5448</v>
      </c>
      <c r="G395" s="32" t="s">
        <v>4320</v>
      </c>
    </row>
    <row x14ac:dyDescent="0.25" r="396" customHeight="1" ht="15.75">
      <c r="A396" s="8">
        <v>25608</v>
      </c>
      <c r="B396" s="13" t="s">
        <v>91</v>
      </c>
      <c r="C396" s="13" t="s">
        <v>5449</v>
      </c>
      <c r="D396" s="32" t="s">
        <v>5450</v>
      </c>
      <c r="E396" s="32" t="s">
        <v>1226</v>
      </c>
      <c r="F396" s="32" t="s">
        <v>5451</v>
      </c>
      <c r="G396" s="32" t="s">
        <v>1210</v>
      </c>
    </row>
    <row x14ac:dyDescent="0.25" r="397" customHeight="1" ht="15.75">
      <c r="A397" s="8">
        <v>25547</v>
      </c>
      <c r="B397" s="13" t="s">
        <v>91</v>
      </c>
      <c r="C397" s="13" t="s">
        <v>5452</v>
      </c>
      <c r="D397" s="32" t="s">
        <v>5453</v>
      </c>
      <c r="E397" s="32" t="s">
        <v>1539</v>
      </c>
      <c r="F397" s="32" t="s">
        <v>5454</v>
      </c>
      <c r="G397" s="32" t="s">
        <v>5455</v>
      </c>
    </row>
    <row x14ac:dyDescent="0.25" r="398" customHeight="1" ht="15.75">
      <c r="A398" s="8">
        <v>25609</v>
      </c>
      <c r="B398" s="13" t="s">
        <v>91</v>
      </c>
      <c r="C398" s="13" t="s">
        <v>5456</v>
      </c>
      <c r="D398" s="32" t="s">
        <v>5457</v>
      </c>
      <c r="E398" s="32" t="s">
        <v>5458</v>
      </c>
      <c r="F398" s="32" t="s">
        <v>5459</v>
      </c>
      <c r="G398" s="32" t="s">
        <v>1387</v>
      </c>
    </row>
    <row x14ac:dyDescent="0.25" r="399" customHeight="1" ht="15.75">
      <c r="A399" s="8">
        <v>25548</v>
      </c>
      <c r="B399" s="13" t="s">
        <v>91</v>
      </c>
      <c r="C399" s="13" t="s">
        <v>5460</v>
      </c>
      <c r="D399" s="32" t="s">
        <v>5461</v>
      </c>
      <c r="E399" s="32" t="s">
        <v>4495</v>
      </c>
      <c r="F399" s="32" t="s">
        <v>5462</v>
      </c>
      <c r="G399" s="32" t="s">
        <v>5085</v>
      </c>
    </row>
    <row x14ac:dyDescent="0.25" r="400" customHeight="1" ht="15.75">
      <c r="A400" s="8">
        <v>25610</v>
      </c>
      <c r="B400" s="13" t="s">
        <v>91</v>
      </c>
      <c r="C400" s="13" t="s">
        <v>5463</v>
      </c>
      <c r="D400" s="32" t="s">
        <v>5464</v>
      </c>
      <c r="E400" s="32" t="s">
        <v>5165</v>
      </c>
      <c r="F400" s="32" t="s">
        <v>5465</v>
      </c>
      <c r="G400" s="32" t="s">
        <v>1407</v>
      </c>
    </row>
    <row x14ac:dyDescent="0.25" r="401" customHeight="1" ht="15.75">
      <c r="A401" s="8">
        <v>25611</v>
      </c>
      <c r="B401" s="13" t="s">
        <v>91</v>
      </c>
      <c r="C401" s="13" t="s">
        <v>5466</v>
      </c>
      <c r="D401" s="32" t="s">
        <v>5467</v>
      </c>
      <c r="E401" s="32" t="s">
        <v>4085</v>
      </c>
      <c r="F401" s="32" t="s">
        <v>5468</v>
      </c>
      <c r="G401" s="32" t="s">
        <v>5174</v>
      </c>
    </row>
    <row x14ac:dyDescent="0.25" r="402" customHeight="1" ht="15.75">
      <c r="A402" s="8">
        <v>25612</v>
      </c>
      <c r="B402" s="13" t="s">
        <v>91</v>
      </c>
      <c r="C402" s="13" t="s">
        <v>5469</v>
      </c>
      <c r="D402" s="32" t="s">
        <v>5470</v>
      </c>
      <c r="E402" s="32" t="s">
        <v>5471</v>
      </c>
      <c r="F402" s="32" t="s">
        <v>5472</v>
      </c>
      <c r="G402" s="32" t="s">
        <v>4380</v>
      </c>
    </row>
    <row x14ac:dyDescent="0.25" r="403" customHeight="1" ht="15.75">
      <c r="A403" s="8">
        <v>25613</v>
      </c>
      <c r="B403" s="13" t="s">
        <v>91</v>
      </c>
      <c r="C403" s="13" t="s">
        <v>5473</v>
      </c>
      <c r="D403" s="32" t="s">
        <v>5474</v>
      </c>
      <c r="E403" s="32" t="s">
        <v>5475</v>
      </c>
      <c r="F403" s="32" t="s">
        <v>5476</v>
      </c>
      <c r="G403" s="32" t="s">
        <v>4369</v>
      </c>
    </row>
    <row x14ac:dyDescent="0.25" r="404" customHeight="1" ht="15.75">
      <c r="A404" s="8">
        <v>25614</v>
      </c>
      <c r="B404" s="13" t="s">
        <v>91</v>
      </c>
      <c r="C404" s="13" t="s">
        <v>4718</v>
      </c>
      <c r="D404" s="32" t="s">
        <v>5477</v>
      </c>
      <c r="E404" s="32" t="s">
        <v>5478</v>
      </c>
      <c r="F404" s="32" t="s">
        <v>5479</v>
      </c>
      <c r="G404" s="32" t="s">
        <v>5480</v>
      </c>
    </row>
    <row x14ac:dyDescent="0.25" r="405" customHeight="1" ht="15.75">
      <c r="A405" s="8">
        <v>25615</v>
      </c>
      <c r="B405" s="13" t="s">
        <v>91</v>
      </c>
      <c r="C405" s="13" t="s">
        <v>5481</v>
      </c>
      <c r="D405" s="32" t="s">
        <v>5482</v>
      </c>
      <c r="E405" s="32" t="s">
        <v>4151</v>
      </c>
      <c r="F405" s="32" t="s">
        <v>5483</v>
      </c>
      <c r="G405" s="32" t="s">
        <v>4962</v>
      </c>
    </row>
    <row x14ac:dyDescent="0.25" r="406" customHeight="1" ht="15.75">
      <c r="A406" s="8">
        <v>25616</v>
      </c>
      <c r="B406" s="13" t="s">
        <v>91</v>
      </c>
      <c r="C406" s="13" t="s">
        <v>5484</v>
      </c>
      <c r="D406" s="32" t="s">
        <v>5485</v>
      </c>
      <c r="E406" s="32" t="s">
        <v>5280</v>
      </c>
      <c r="F406" s="32" t="s">
        <v>1914</v>
      </c>
      <c r="G406" s="32" t="s">
        <v>4908</v>
      </c>
    </row>
    <row x14ac:dyDescent="0.25" r="407" customHeight="1" ht="15.75">
      <c r="A407" s="8">
        <v>25549</v>
      </c>
      <c r="B407" s="13" t="s">
        <v>91</v>
      </c>
      <c r="C407" s="13" t="s">
        <v>5486</v>
      </c>
      <c r="D407" s="32" t="s">
        <v>5487</v>
      </c>
      <c r="E407" s="32" t="s">
        <v>5269</v>
      </c>
      <c r="F407" s="32" t="s">
        <v>5488</v>
      </c>
      <c r="G407" s="32" t="s">
        <v>4526</v>
      </c>
    </row>
    <row x14ac:dyDescent="0.25" r="408" customHeight="1" ht="15.75">
      <c r="A408" s="8">
        <v>25617</v>
      </c>
      <c r="B408" s="13" t="s">
        <v>91</v>
      </c>
      <c r="C408" s="13" t="s">
        <v>5489</v>
      </c>
      <c r="D408" s="32" t="s">
        <v>5490</v>
      </c>
      <c r="E408" s="32" t="s">
        <v>4357</v>
      </c>
      <c r="F408" s="32" t="s">
        <v>5491</v>
      </c>
      <c r="G408" s="32" t="s">
        <v>4565</v>
      </c>
    </row>
    <row x14ac:dyDescent="0.25" r="409" customHeight="1" ht="15.75">
      <c r="A409" s="8">
        <v>25618</v>
      </c>
      <c r="B409" s="13" t="s">
        <v>91</v>
      </c>
      <c r="C409" s="13" t="s">
        <v>5492</v>
      </c>
      <c r="D409" s="32" t="s">
        <v>4870</v>
      </c>
      <c r="E409" s="32" t="s">
        <v>5493</v>
      </c>
      <c r="F409" s="32" t="s">
        <v>5494</v>
      </c>
      <c r="G409" s="32" t="s">
        <v>4612</v>
      </c>
    </row>
    <row x14ac:dyDescent="0.25" r="410" customHeight="1" ht="15.75">
      <c r="A410" s="8">
        <v>25620</v>
      </c>
      <c r="B410" s="13" t="s">
        <v>91</v>
      </c>
      <c r="C410" s="13" t="s">
        <v>5495</v>
      </c>
      <c r="D410" s="32" t="s">
        <v>5496</v>
      </c>
      <c r="E410" s="32" t="s">
        <v>2458</v>
      </c>
      <c r="F410" s="32" t="s">
        <v>5497</v>
      </c>
      <c r="G410" s="32" t="s">
        <v>5498</v>
      </c>
    </row>
    <row x14ac:dyDescent="0.25" r="411" customHeight="1" ht="15.75">
      <c r="A411" s="8">
        <v>25551</v>
      </c>
      <c r="B411" s="13" t="s">
        <v>91</v>
      </c>
      <c r="C411" s="13" t="s">
        <v>5499</v>
      </c>
      <c r="D411" s="32" t="s">
        <v>5500</v>
      </c>
      <c r="E411" s="32" t="s">
        <v>5501</v>
      </c>
      <c r="F411" s="32" t="s">
        <v>1416</v>
      </c>
      <c r="G411" s="32" t="s">
        <v>1387</v>
      </c>
    </row>
    <row x14ac:dyDescent="0.25" r="412" customHeight="1" ht="15.75">
      <c r="A412" s="8">
        <v>25649</v>
      </c>
      <c r="B412" s="13" t="s">
        <v>91</v>
      </c>
      <c r="C412" s="13" t="s">
        <v>5502</v>
      </c>
      <c r="D412" s="32" t="s">
        <v>5503</v>
      </c>
      <c r="E412" s="32" t="s">
        <v>5504</v>
      </c>
      <c r="F412" s="32" t="s">
        <v>5505</v>
      </c>
      <c r="G412" s="32" t="s">
        <v>1367</v>
      </c>
    </row>
    <row x14ac:dyDescent="0.25" r="413" customHeight="1" ht="15.75">
      <c r="A413" s="8">
        <v>25650</v>
      </c>
      <c r="B413" s="13" t="s">
        <v>91</v>
      </c>
      <c r="C413" s="13" t="s">
        <v>5506</v>
      </c>
      <c r="D413" s="32" t="s">
        <v>4309</v>
      </c>
      <c r="E413" s="32" t="s">
        <v>5507</v>
      </c>
      <c r="F413" s="32" t="s">
        <v>5508</v>
      </c>
      <c r="G413" s="32" t="s">
        <v>571</v>
      </c>
    </row>
    <row x14ac:dyDescent="0.25" r="414" customHeight="1" ht="15.75">
      <c r="A414" s="8">
        <v>25621</v>
      </c>
      <c r="B414" s="13" t="s">
        <v>91</v>
      </c>
      <c r="C414" s="13" t="s">
        <v>5509</v>
      </c>
      <c r="D414" s="32" t="s">
        <v>5510</v>
      </c>
      <c r="E414" s="32" t="s">
        <v>5373</v>
      </c>
      <c r="F414" s="32" t="s">
        <v>5511</v>
      </c>
      <c r="G414" s="32" t="s">
        <v>4565</v>
      </c>
    </row>
    <row x14ac:dyDescent="0.25" r="415" customHeight="1" ht="15.75">
      <c r="A415" s="8">
        <v>25622</v>
      </c>
      <c r="B415" s="13" t="s">
        <v>91</v>
      </c>
      <c r="C415" s="13" t="s">
        <v>5512</v>
      </c>
      <c r="D415" s="32" t="s">
        <v>5513</v>
      </c>
      <c r="E415" s="32" t="s">
        <v>5404</v>
      </c>
      <c r="F415" s="32" t="s">
        <v>5514</v>
      </c>
      <c r="G415" s="32" t="s">
        <v>4138</v>
      </c>
    </row>
    <row x14ac:dyDescent="0.25" r="416" customHeight="1" ht="15.75">
      <c r="A416" s="8">
        <v>25623</v>
      </c>
      <c r="B416" s="13" t="s">
        <v>91</v>
      </c>
      <c r="C416" s="13" t="s">
        <v>5515</v>
      </c>
      <c r="D416" s="32" t="s">
        <v>5516</v>
      </c>
      <c r="E416" s="32" t="s">
        <v>5517</v>
      </c>
      <c r="F416" s="32" t="s">
        <v>5510</v>
      </c>
      <c r="G416" s="32" t="s">
        <v>5518</v>
      </c>
    </row>
    <row x14ac:dyDescent="0.25" r="417" customHeight="1" ht="15.75">
      <c r="A417" s="8">
        <v>25624</v>
      </c>
      <c r="B417" s="13" t="s">
        <v>91</v>
      </c>
      <c r="C417" s="13" t="s">
        <v>5519</v>
      </c>
      <c r="D417" s="32" t="s">
        <v>5520</v>
      </c>
      <c r="E417" s="32" t="s">
        <v>1454</v>
      </c>
      <c r="F417" s="32" t="s">
        <v>2504</v>
      </c>
      <c r="G417" s="32" t="s">
        <v>4353</v>
      </c>
    </row>
    <row x14ac:dyDescent="0.25" r="418" customHeight="1" ht="15.75">
      <c r="A418" s="8">
        <v>25625</v>
      </c>
      <c r="B418" s="13" t="s">
        <v>91</v>
      </c>
      <c r="C418" s="13" t="s">
        <v>5521</v>
      </c>
      <c r="D418" s="32" t="s">
        <v>5522</v>
      </c>
      <c r="E418" s="32" t="s">
        <v>4145</v>
      </c>
      <c r="F418" s="32" t="s">
        <v>5523</v>
      </c>
      <c r="G418" s="32" t="s">
        <v>987</v>
      </c>
    </row>
    <row x14ac:dyDescent="0.25" r="419" customHeight="1" ht="15.75">
      <c r="A419" s="8">
        <v>25626</v>
      </c>
      <c r="B419" s="13" t="s">
        <v>91</v>
      </c>
      <c r="C419" s="13" t="s">
        <v>5524</v>
      </c>
      <c r="D419" s="32" t="s">
        <v>5525</v>
      </c>
      <c r="E419" s="32" t="s">
        <v>5526</v>
      </c>
      <c r="F419" s="32" t="s">
        <v>5527</v>
      </c>
      <c r="G419" s="32" t="s">
        <v>1373</v>
      </c>
    </row>
    <row x14ac:dyDescent="0.25" r="420" customHeight="1" ht="15.75">
      <c r="A420" s="8">
        <v>25627</v>
      </c>
      <c r="B420" s="13" t="s">
        <v>91</v>
      </c>
      <c r="C420" s="13" t="s">
        <v>5528</v>
      </c>
      <c r="D420" s="32" t="s">
        <v>2468</v>
      </c>
      <c r="E420" s="32" t="s">
        <v>4646</v>
      </c>
      <c r="F420" s="32" t="s">
        <v>2319</v>
      </c>
      <c r="G420" s="32" t="s">
        <v>1876</v>
      </c>
    </row>
    <row x14ac:dyDescent="0.25" r="421" customHeight="1" ht="15.75">
      <c r="A421" s="8">
        <v>25628</v>
      </c>
      <c r="B421" s="13" t="s">
        <v>91</v>
      </c>
      <c r="C421" s="13" t="s">
        <v>5529</v>
      </c>
      <c r="D421" s="32" t="s">
        <v>5530</v>
      </c>
      <c r="E421" s="32" t="s">
        <v>1490</v>
      </c>
      <c r="F421" s="32" t="s">
        <v>5531</v>
      </c>
      <c r="G421" s="32" t="s">
        <v>5146</v>
      </c>
    </row>
    <row x14ac:dyDescent="0.25" r="422" customHeight="1" ht="15.75">
      <c r="A422" s="8">
        <v>25629</v>
      </c>
      <c r="B422" s="13" t="s">
        <v>91</v>
      </c>
      <c r="C422" s="13" t="s">
        <v>5532</v>
      </c>
      <c r="D422" s="32" t="s">
        <v>5533</v>
      </c>
      <c r="E422" s="32" t="s">
        <v>5534</v>
      </c>
      <c r="F422" s="32" t="s">
        <v>5511</v>
      </c>
      <c r="G422" s="32" t="s">
        <v>4443</v>
      </c>
    </row>
    <row x14ac:dyDescent="0.25" r="423" customHeight="1" ht="15.75">
      <c r="A423" s="8">
        <v>25630</v>
      </c>
      <c r="B423" s="13" t="s">
        <v>91</v>
      </c>
      <c r="C423" s="13" t="s">
        <v>5535</v>
      </c>
      <c r="D423" s="32" t="s">
        <v>5536</v>
      </c>
      <c r="E423" s="32" t="s">
        <v>5537</v>
      </c>
      <c r="F423" s="32" t="s">
        <v>5538</v>
      </c>
      <c r="G423" s="32" t="s">
        <v>5056</v>
      </c>
    </row>
    <row x14ac:dyDescent="0.25" r="424" customHeight="1" ht="15.75">
      <c r="A424" s="8">
        <v>25552</v>
      </c>
      <c r="B424" s="13" t="s">
        <v>91</v>
      </c>
      <c r="C424" s="13" t="s">
        <v>5539</v>
      </c>
      <c r="D424" s="32" t="s">
        <v>5540</v>
      </c>
      <c r="E424" s="32" t="s">
        <v>1449</v>
      </c>
      <c r="F424" s="32" t="s">
        <v>5541</v>
      </c>
      <c r="G424" s="32" t="s">
        <v>5349</v>
      </c>
    </row>
    <row x14ac:dyDescent="0.25" r="425" customHeight="1" ht="15.75">
      <c r="A425" s="8">
        <v>25631</v>
      </c>
      <c r="B425" s="13" t="s">
        <v>91</v>
      </c>
      <c r="C425" s="13" t="s">
        <v>5542</v>
      </c>
      <c r="D425" s="32" t="s">
        <v>5543</v>
      </c>
      <c r="E425" s="32" t="s">
        <v>4112</v>
      </c>
      <c r="F425" s="32" t="s">
        <v>5544</v>
      </c>
      <c r="G425" s="32" t="s">
        <v>1378</v>
      </c>
    </row>
    <row x14ac:dyDescent="0.25" r="426" customHeight="1" ht="15.75">
      <c r="A426" s="8">
        <v>25632</v>
      </c>
      <c r="B426" s="13" t="s">
        <v>91</v>
      </c>
      <c r="C426" s="13" t="s">
        <v>5545</v>
      </c>
      <c r="D426" s="32" t="s">
        <v>5546</v>
      </c>
      <c r="E426" s="32" t="s">
        <v>1588</v>
      </c>
      <c r="F426" s="32" t="s">
        <v>5547</v>
      </c>
      <c r="G426" s="32" t="s">
        <v>4108</v>
      </c>
    </row>
    <row x14ac:dyDescent="0.25" r="427" customHeight="1" ht="15.75">
      <c r="A427" s="8">
        <v>25553</v>
      </c>
      <c r="B427" s="13" t="s">
        <v>91</v>
      </c>
      <c r="C427" s="13" t="s">
        <v>5548</v>
      </c>
      <c r="D427" s="32" t="s">
        <v>4429</v>
      </c>
      <c r="E427" s="32" t="s">
        <v>4064</v>
      </c>
      <c r="F427" s="32" t="s">
        <v>5549</v>
      </c>
      <c r="G427" s="32" t="s">
        <v>4526</v>
      </c>
    </row>
    <row x14ac:dyDescent="0.25" r="428" customHeight="1" ht="15.75">
      <c r="A428" s="8">
        <v>25633</v>
      </c>
      <c r="B428" s="13" t="s">
        <v>91</v>
      </c>
      <c r="C428" s="13" t="s">
        <v>5550</v>
      </c>
      <c r="D428" s="32" t="s">
        <v>5551</v>
      </c>
      <c r="E428" s="32" t="s">
        <v>1613</v>
      </c>
      <c r="F428" s="32" t="s">
        <v>5119</v>
      </c>
      <c r="G428" s="32" t="s">
        <v>1371</v>
      </c>
    </row>
    <row x14ac:dyDescent="0.25" r="429" customHeight="1" ht="15.75">
      <c r="A429" s="8">
        <v>25634</v>
      </c>
      <c r="B429" s="13" t="s">
        <v>91</v>
      </c>
      <c r="C429" s="13" t="s">
        <v>5552</v>
      </c>
      <c r="D429" s="32" t="s">
        <v>5553</v>
      </c>
      <c r="E429" s="32" t="s">
        <v>5554</v>
      </c>
      <c r="F429" s="32" t="s">
        <v>5555</v>
      </c>
      <c r="G429" s="32" t="s">
        <v>2472</v>
      </c>
    </row>
    <row x14ac:dyDescent="0.25" r="430" customHeight="1" ht="15.75">
      <c r="A430" s="8">
        <v>25635</v>
      </c>
      <c r="B430" s="13" t="s">
        <v>91</v>
      </c>
      <c r="C430" s="13" t="s">
        <v>5556</v>
      </c>
      <c r="D430" s="32" t="s">
        <v>4319</v>
      </c>
      <c r="E430" s="32" t="s">
        <v>5557</v>
      </c>
      <c r="F430" s="32" t="s">
        <v>5558</v>
      </c>
      <c r="G430" s="32" t="s">
        <v>1387</v>
      </c>
    </row>
    <row x14ac:dyDescent="0.25" r="431" customHeight="1" ht="15.75">
      <c r="A431" s="8">
        <v>25636</v>
      </c>
      <c r="B431" s="13" t="s">
        <v>91</v>
      </c>
      <c r="C431" s="13" t="s">
        <v>5559</v>
      </c>
      <c r="D431" s="32" t="s">
        <v>81</v>
      </c>
      <c r="E431" s="32" t="s">
        <v>4315</v>
      </c>
      <c r="F431" s="32" t="s">
        <v>5560</v>
      </c>
      <c r="G431" s="32" t="s">
        <v>4064</v>
      </c>
    </row>
    <row x14ac:dyDescent="0.25" r="432" customHeight="1" ht="15.75">
      <c r="A432" s="8">
        <v>25637</v>
      </c>
      <c r="B432" s="13" t="s">
        <v>91</v>
      </c>
      <c r="C432" s="13" t="s">
        <v>5561</v>
      </c>
      <c r="D432" s="32" t="s">
        <v>5562</v>
      </c>
      <c r="E432" s="32" t="s">
        <v>1511</v>
      </c>
      <c r="F432" s="32" t="s">
        <v>5563</v>
      </c>
      <c r="G432" s="32" t="s">
        <v>4768</v>
      </c>
    </row>
    <row x14ac:dyDescent="0.25" r="433" customHeight="1" ht="15.75">
      <c r="A433" s="8">
        <v>25638</v>
      </c>
      <c r="B433" s="13" t="s">
        <v>91</v>
      </c>
      <c r="C433" s="13" t="s">
        <v>5564</v>
      </c>
      <c r="D433" s="32" t="s">
        <v>5010</v>
      </c>
      <c r="E433" s="32" t="s">
        <v>5316</v>
      </c>
      <c r="F433" s="32" t="s">
        <v>5565</v>
      </c>
      <c r="G433" s="32" t="s">
        <v>4759</v>
      </c>
    </row>
    <row x14ac:dyDescent="0.25" r="434" customHeight="1" ht="15.75">
      <c r="A434" s="8">
        <v>25639</v>
      </c>
      <c r="B434" s="13" t="s">
        <v>91</v>
      </c>
      <c r="C434" s="13" t="s">
        <v>5566</v>
      </c>
      <c r="D434" s="32" t="s">
        <v>5567</v>
      </c>
      <c r="E434" s="32" t="s">
        <v>5568</v>
      </c>
      <c r="F434" s="32" t="s">
        <v>5569</v>
      </c>
      <c r="G434" s="32" t="s">
        <v>4200</v>
      </c>
    </row>
    <row x14ac:dyDescent="0.25" r="435" customHeight="1" ht="15.75">
      <c r="A435" s="8">
        <v>25554</v>
      </c>
      <c r="B435" s="13" t="s">
        <v>91</v>
      </c>
      <c r="C435" s="13" t="s">
        <v>5570</v>
      </c>
      <c r="D435" s="32" t="s">
        <v>5571</v>
      </c>
      <c r="E435" s="32" t="s">
        <v>5572</v>
      </c>
      <c r="F435" s="32" t="s">
        <v>5573</v>
      </c>
      <c r="G435" s="32" t="s">
        <v>5574</v>
      </c>
    </row>
    <row x14ac:dyDescent="0.25" r="436" customHeight="1" ht="15.75">
      <c r="A436" s="8">
        <v>25640</v>
      </c>
      <c r="B436" s="13" t="s">
        <v>91</v>
      </c>
      <c r="C436" s="13" t="s">
        <v>5575</v>
      </c>
      <c r="D436" s="32" t="s">
        <v>5576</v>
      </c>
      <c r="E436" s="32" t="s">
        <v>5577</v>
      </c>
      <c r="F436" s="32" t="s">
        <v>5578</v>
      </c>
      <c r="G436" s="32" t="s">
        <v>5579</v>
      </c>
    </row>
    <row x14ac:dyDescent="0.25" r="437" customHeight="1" ht="15.75">
      <c r="A437" s="8">
        <v>25809</v>
      </c>
      <c r="B437" s="13" t="s">
        <v>126</v>
      </c>
      <c r="C437" s="13" t="s">
        <v>5580</v>
      </c>
      <c r="D437" s="32" t="s">
        <v>5581</v>
      </c>
      <c r="E437" s="32" t="s">
        <v>5582</v>
      </c>
      <c r="F437" s="32" t="s">
        <v>5583</v>
      </c>
      <c r="G437" s="32" t="s">
        <v>1446</v>
      </c>
    </row>
    <row x14ac:dyDescent="0.25" r="438" customHeight="1" ht="15.75">
      <c r="A438" s="8">
        <v>25810</v>
      </c>
      <c r="B438" s="13" t="s">
        <v>126</v>
      </c>
      <c r="C438" s="13" t="s">
        <v>5584</v>
      </c>
      <c r="D438" s="32" t="s">
        <v>5585</v>
      </c>
      <c r="E438" s="32" t="s">
        <v>5586</v>
      </c>
      <c r="F438" s="32" t="s">
        <v>5587</v>
      </c>
      <c r="G438" s="32" t="s">
        <v>4174</v>
      </c>
    </row>
    <row x14ac:dyDescent="0.25" r="439" customHeight="1" ht="15.75">
      <c r="A439" s="8">
        <v>25811</v>
      </c>
      <c r="B439" s="13" t="s">
        <v>126</v>
      </c>
      <c r="C439" s="13" t="s">
        <v>5588</v>
      </c>
      <c r="D439" s="32" t="s">
        <v>5589</v>
      </c>
      <c r="E439" s="32" t="s">
        <v>2630</v>
      </c>
      <c r="F439" s="32" t="s">
        <v>5590</v>
      </c>
      <c r="G439" s="32" t="s">
        <v>1337</v>
      </c>
    </row>
    <row x14ac:dyDescent="0.25" r="440" customHeight="1" ht="15.75">
      <c r="A440" s="8">
        <v>25812</v>
      </c>
      <c r="B440" s="13" t="s">
        <v>126</v>
      </c>
      <c r="C440" s="13" t="s">
        <v>5591</v>
      </c>
      <c r="D440" s="32" t="s">
        <v>5592</v>
      </c>
      <c r="E440" s="32" t="s">
        <v>4689</v>
      </c>
      <c r="F440" s="32" t="s">
        <v>5593</v>
      </c>
      <c r="G440" s="32" t="s">
        <v>5134</v>
      </c>
    </row>
    <row x14ac:dyDescent="0.25" r="441" customHeight="1" ht="15.75">
      <c r="A441" s="8">
        <v>25813</v>
      </c>
      <c r="B441" s="13" t="s">
        <v>126</v>
      </c>
      <c r="C441" s="13" t="s">
        <v>5594</v>
      </c>
      <c r="D441" s="32" t="s">
        <v>5595</v>
      </c>
      <c r="E441" s="32" t="s">
        <v>1659</v>
      </c>
      <c r="F441" s="32" t="s">
        <v>2457</v>
      </c>
      <c r="G441" s="32" t="s">
        <v>5085</v>
      </c>
    </row>
    <row x14ac:dyDescent="0.25" r="442" customHeight="1" ht="15.75">
      <c r="A442" s="8">
        <v>25814</v>
      </c>
      <c r="B442" s="13" t="s">
        <v>126</v>
      </c>
      <c r="C442" s="13" t="s">
        <v>5596</v>
      </c>
      <c r="D442" s="32" t="s">
        <v>5597</v>
      </c>
      <c r="E442" s="32" t="s">
        <v>5598</v>
      </c>
      <c r="F442" s="32" t="s">
        <v>1227</v>
      </c>
      <c r="G442" s="32" t="s">
        <v>2178</v>
      </c>
    </row>
    <row x14ac:dyDescent="0.25" r="443" customHeight="1" ht="15.75">
      <c r="A443" s="8">
        <v>25815</v>
      </c>
      <c r="B443" s="13" t="s">
        <v>126</v>
      </c>
      <c r="C443" s="13" t="s">
        <v>5599</v>
      </c>
      <c r="D443" s="32" t="s">
        <v>5600</v>
      </c>
      <c r="E443" s="32" t="s">
        <v>4981</v>
      </c>
      <c r="F443" s="32" t="s">
        <v>5601</v>
      </c>
      <c r="G443" s="32" t="s">
        <v>4188</v>
      </c>
    </row>
    <row x14ac:dyDescent="0.25" r="444" customHeight="1" ht="15.75">
      <c r="A444" s="8">
        <v>25816</v>
      </c>
      <c r="B444" s="13" t="s">
        <v>126</v>
      </c>
      <c r="C444" s="13" t="s">
        <v>5602</v>
      </c>
      <c r="D444" s="32" t="s">
        <v>5603</v>
      </c>
      <c r="E444" s="32" t="s">
        <v>4251</v>
      </c>
      <c r="F444" s="32" t="s">
        <v>5604</v>
      </c>
      <c r="G444" s="32" t="s">
        <v>5605</v>
      </c>
    </row>
    <row x14ac:dyDescent="0.25" r="445" customHeight="1" ht="15.75">
      <c r="A445" s="8">
        <v>25817</v>
      </c>
      <c r="B445" s="13" t="s">
        <v>126</v>
      </c>
      <c r="C445" s="13" t="s">
        <v>5606</v>
      </c>
      <c r="D445" s="32" t="s">
        <v>4662</v>
      </c>
      <c r="E445" s="32" t="s">
        <v>1759</v>
      </c>
      <c r="F445" s="32" t="s">
        <v>5607</v>
      </c>
      <c r="G445" s="32" t="s">
        <v>4151</v>
      </c>
    </row>
    <row x14ac:dyDescent="0.25" r="446" customHeight="1" ht="15.75">
      <c r="A446" s="8">
        <v>25818</v>
      </c>
      <c r="B446" s="13" t="s">
        <v>126</v>
      </c>
      <c r="C446" s="13" t="s">
        <v>5608</v>
      </c>
      <c r="D446" s="32" t="s">
        <v>5609</v>
      </c>
      <c r="E446" s="32" t="s">
        <v>5413</v>
      </c>
      <c r="F446" s="32" t="s">
        <v>5610</v>
      </c>
      <c r="G446" s="32" t="s">
        <v>5611</v>
      </c>
    </row>
    <row x14ac:dyDescent="0.25" r="447" customHeight="1" ht="15.75">
      <c r="A447" s="8">
        <v>25819</v>
      </c>
      <c r="B447" s="13" t="s">
        <v>126</v>
      </c>
      <c r="C447" s="13" t="s">
        <v>5612</v>
      </c>
      <c r="D447" s="32" t="s">
        <v>5613</v>
      </c>
      <c r="E447" s="32" t="s">
        <v>5614</v>
      </c>
      <c r="F447" s="32" t="s">
        <v>5615</v>
      </c>
      <c r="G447" s="32" t="s">
        <v>5616</v>
      </c>
    </row>
    <row x14ac:dyDescent="0.25" r="448" customHeight="1" ht="15.75">
      <c r="A448" s="8">
        <v>25820</v>
      </c>
      <c r="B448" s="13" t="s">
        <v>126</v>
      </c>
      <c r="C448" s="13" t="s">
        <v>5617</v>
      </c>
      <c r="D448" s="32" t="s">
        <v>5618</v>
      </c>
      <c r="E448" s="32" t="s">
        <v>783</v>
      </c>
      <c r="F448" s="32" t="s">
        <v>5619</v>
      </c>
      <c r="G448" s="32" t="s">
        <v>5360</v>
      </c>
    </row>
    <row x14ac:dyDescent="0.25" r="449" customHeight="1" ht="15.75">
      <c r="A449" s="8">
        <v>25821</v>
      </c>
      <c r="B449" s="13" t="s">
        <v>126</v>
      </c>
      <c r="C449" s="13" t="s">
        <v>4161</v>
      </c>
      <c r="D449" s="32" t="s">
        <v>5620</v>
      </c>
      <c r="E449" s="32" t="s">
        <v>4129</v>
      </c>
      <c r="F449" s="32" t="s">
        <v>5621</v>
      </c>
      <c r="G449" s="32" t="s">
        <v>4392</v>
      </c>
    </row>
    <row x14ac:dyDescent="0.25" r="450" customHeight="1" ht="15.75">
      <c r="A450" s="8">
        <v>25823</v>
      </c>
      <c r="B450" s="13" t="s">
        <v>126</v>
      </c>
      <c r="C450" s="13" t="s">
        <v>5622</v>
      </c>
      <c r="D450" s="32" t="s">
        <v>5623</v>
      </c>
      <c r="E450" s="32" t="s">
        <v>1574</v>
      </c>
      <c r="F450" s="32" t="s">
        <v>5624</v>
      </c>
      <c r="G450" s="32" t="s">
        <v>5625</v>
      </c>
    </row>
    <row x14ac:dyDescent="0.25" r="451" customHeight="1" ht="15.75">
      <c r="A451" s="8">
        <v>25824</v>
      </c>
      <c r="B451" s="13" t="s">
        <v>126</v>
      </c>
      <c r="C451" s="13" t="s">
        <v>5626</v>
      </c>
      <c r="D451" s="32" t="s">
        <v>5627</v>
      </c>
      <c r="E451" s="32" t="s">
        <v>1306</v>
      </c>
      <c r="F451" s="32" t="s">
        <v>2401</v>
      </c>
      <c r="G451" s="32" t="s">
        <v>4999</v>
      </c>
    </row>
    <row x14ac:dyDescent="0.25" r="452" customHeight="1" ht="15.75">
      <c r="A452" s="8">
        <v>25825</v>
      </c>
      <c r="B452" s="13" t="s">
        <v>126</v>
      </c>
      <c r="C452" s="13" t="s">
        <v>5628</v>
      </c>
      <c r="D452" s="32" t="s">
        <v>5629</v>
      </c>
      <c r="E452" s="32" t="s">
        <v>988</v>
      </c>
      <c r="F452" s="32" t="s">
        <v>5630</v>
      </c>
      <c r="G452" s="32" t="s">
        <v>1483</v>
      </c>
    </row>
    <row x14ac:dyDescent="0.25" r="453" customHeight="1" ht="15.75">
      <c r="A453" s="8">
        <v>25826</v>
      </c>
      <c r="B453" s="13" t="s">
        <v>126</v>
      </c>
      <c r="C453" s="13" t="s">
        <v>5631</v>
      </c>
      <c r="D453" s="32" t="s">
        <v>5632</v>
      </c>
      <c r="E453" s="32" t="s">
        <v>5633</v>
      </c>
      <c r="F453" s="32" t="s">
        <v>2679</v>
      </c>
      <c r="G453" s="32" t="s">
        <v>5170</v>
      </c>
    </row>
    <row x14ac:dyDescent="0.25" r="454" customHeight="1" ht="15.75">
      <c r="A454" s="8">
        <v>25827</v>
      </c>
      <c r="B454" s="13" t="s">
        <v>126</v>
      </c>
      <c r="C454" s="13" t="s">
        <v>5634</v>
      </c>
      <c r="D454" s="32" t="s">
        <v>2705</v>
      </c>
      <c r="E454" s="32" t="s">
        <v>5635</v>
      </c>
      <c r="F454" s="32" t="s">
        <v>5636</v>
      </c>
      <c r="G454" s="32" t="s">
        <v>1342</v>
      </c>
    </row>
    <row x14ac:dyDescent="0.25" r="455" customHeight="1" ht="15.75">
      <c r="A455" s="8">
        <v>25828</v>
      </c>
      <c r="B455" s="13" t="s">
        <v>126</v>
      </c>
      <c r="C455" s="13" t="s">
        <v>5637</v>
      </c>
      <c r="D455" s="32" t="s">
        <v>830</v>
      </c>
      <c r="E455" s="32" t="s">
        <v>5638</v>
      </c>
      <c r="F455" s="32" t="s">
        <v>5639</v>
      </c>
      <c r="G455" s="32" t="s">
        <v>4602</v>
      </c>
    </row>
    <row x14ac:dyDescent="0.25" r="456" customHeight="1" ht="15.75">
      <c r="A456" s="8">
        <v>25829</v>
      </c>
      <c r="B456" s="13" t="s">
        <v>126</v>
      </c>
      <c r="C456" s="13" t="s">
        <v>5640</v>
      </c>
      <c r="D456" s="32" t="s">
        <v>5641</v>
      </c>
      <c r="E456" s="32" t="s">
        <v>557</v>
      </c>
      <c r="F456" s="32" t="s">
        <v>5642</v>
      </c>
      <c r="G456" s="32" t="s">
        <v>4365</v>
      </c>
    </row>
    <row x14ac:dyDescent="0.25" r="457" customHeight="1" ht="15.75">
      <c r="A457" s="8">
        <v>25830</v>
      </c>
      <c r="B457" s="13" t="s">
        <v>126</v>
      </c>
      <c r="C457" s="13" t="s">
        <v>5643</v>
      </c>
      <c r="D457" s="32" t="s">
        <v>5644</v>
      </c>
      <c r="E457" s="32" t="s">
        <v>5645</v>
      </c>
      <c r="F457" s="32" t="s">
        <v>74</v>
      </c>
      <c r="G457" s="32" t="s">
        <v>5646</v>
      </c>
    </row>
    <row x14ac:dyDescent="0.25" r="458" customHeight="1" ht="15.75">
      <c r="A458" s="8">
        <v>25831</v>
      </c>
      <c r="B458" s="13" t="s">
        <v>126</v>
      </c>
      <c r="C458" s="13" t="s">
        <v>5647</v>
      </c>
      <c r="D458" s="32" t="s">
        <v>5000</v>
      </c>
      <c r="E458" s="32" t="s">
        <v>5648</v>
      </c>
      <c r="F458" s="32" t="s">
        <v>2599</v>
      </c>
      <c r="G458" s="32" t="s">
        <v>1524</v>
      </c>
    </row>
    <row x14ac:dyDescent="0.25" r="459" customHeight="1" ht="15.75">
      <c r="A459" s="8">
        <v>25832</v>
      </c>
      <c r="B459" s="13" t="s">
        <v>126</v>
      </c>
      <c r="C459" s="13" t="s">
        <v>5649</v>
      </c>
      <c r="D459" s="32" t="s">
        <v>5650</v>
      </c>
      <c r="E459" s="32" t="s">
        <v>4469</v>
      </c>
      <c r="F459" s="32" t="s">
        <v>5651</v>
      </c>
      <c r="G459" s="32" t="s">
        <v>4981</v>
      </c>
    </row>
    <row x14ac:dyDescent="0.25" r="460" customHeight="1" ht="15.75">
      <c r="A460" s="8">
        <v>25833</v>
      </c>
      <c r="B460" s="13" t="s">
        <v>126</v>
      </c>
      <c r="C460" s="13" t="s">
        <v>5652</v>
      </c>
      <c r="D460" s="32" t="s">
        <v>5653</v>
      </c>
      <c r="E460" s="32" t="s">
        <v>1159</v>
      </c>
      <c r="F460" s="32" t="s">
        <v>4440</v>
      </c>
      <c r="G460" s="32" t="s">
        <v>5654</v>
      </c>
    </row>
    <row x14ac:dyDescent="0.25" r="461" customHeight="1" ht="15.75">
      <c r="A461" s="8">
        <v>25834</v>
      </c>
      <c r="B461" s="13" t="s">
        <v>126</v>
      </c>
      <c r="C461" s="13" t="s">
        <v>5655</v>
      </c>
      <c r="D461" s="32" t="s">
        <v>5656</v>
      </c>
      <c r="E461" s="32" t="s">
        <v>1344</v>
      </c>
      <c r="F461" s="32" t="s">
        <v>4747</v>
      </c>
      <c r="G461" s="32" t="s">
        <v>1452</v>
      </c>
    </row>
    <row x14ac:dyDescent="0.25" r="462" customHeight="1" ht="15.75">
      <c r="A462" s="8">
        <v>25835</v>
      </c>
      <c r="B462" s="13" t="s">
        <v>126</v>
      </c>
      <c r="C462" s="13" t="s">
        <v>5657</v>
      </c>
      <c r="D462" s="32" t="s">
        <v>5658</v>
      </c>
      <c r="E462" s="32" t="s">
        <v>5130</v>
      </c>
      <c r="F462" s="32" t="s">
        <v>5659</v>
      </c>
      <c r="G462" s="32" t="s">
        <v>5162</v>
      </c>
    </row>
    <row x14ac:dyDescent="0.25" r="463" customHeight="1" ht="15.75">
      <c r="A463" s="8">
        <v>25836</v>
      </c>
      <c r="B463" s="13" t="s">
        <v>126</v>
      </c>
      <c r="C463" s="13" t="s">
        <v>5394</v>
      </c>
      <c r="D463" s="32" t="s">
        <v>5660</v>
      </c>
      <c r="E463" s="32" t="s">
        <v>5661</v>
      </c>
      <c r="F463" s="32" t="s">
        <v>5662</v>
      </c>
      <c r="G463" s="32" t="s">
        <v>2472</v>
      </c>
    </row>
    <row x14ac:dyDescent="0.25" r="464" customHeight="1" ht="15.75">
      <c r="A464" s="8">
        <v>25837</v>
      </c>
      <c r="B464" s="13" t="s">
        <v>126</v>
      </c>
      <c r="C464" s="13" t="s">
        <v>4228</v>
      </c>
      <c r="D464" s="32" t="s">
        <v>5663</v>
      </c>
      <c r="E464" s="32" t="s">
        <v>5664</v>
      </c>
      <c r="F464" s="32" t="s">
        <v>74</v>
      </c>
      <c r="G464" s="32" t="s">
        <v>656</v>
      </c>
    </row>
    <row x14ac:dyDescent="0.25" r="465" customHeight="1" ht="15.75">
      <c r="A465" s="8">
        <v>25838</v>
      </c>
      <c r="B465" s="13" t="s">
        <v>126</v>
      </c>
      <c r="C465" s="13" t="s">
        <v>5665</v>
      </c>
      <c r="D465" s="32" t="s">
        <v>5666</v>
      </c>
      <c r="E465" s="32" t="s">
        <v>4665</v>
      </c>
      <c r="F465" s="32" t="s">
        <v>5667</v>
      </c>
      <c r="G465" s="32" t="s">
        <v>1323</v>
      </c>
    </row>
    <row x14ac:dyDescent="0.25" r="466" customHeight="1" ht="15.75">
      <c r="A466" s="8">
        <v>25839</v>
      </c>
      <c r="B466" s="13" t="s">
        <v>126</v>
      </c>
      <c r="C466" s="13" t="s">
        <v>5412</v>
      </c>
      <c r="D466" s="32" t="s">
        <v>5668</v>
      </c>
      <c r="E466" s="32" t="s">
        <v>283</v>
      </c>
      <c r="F466" s="32" t="s">
        <v>5669</v>
      </c>
      <c r="G466" s="32" t="s">
        <v>5670</v>
      </c>
    </row>
    <row x14ac:dyDescent="0.25" r="467" customHeight="1" ht="15.75">
      <c r="A467" s="8">
        <v>25840</v>
      </c>
      <c r="B467" s="13" t="s">
        <v>126</v>
      </c>
      <c r="C467" s="13" t="s">
        <v>5671</v>
      </c>
      <c r="D467" s="32" t="s">
        <v>5672</v>
      </c>
      <c r="E467" s="32" t="s">
        <v>4840</v>
      </c>
      <c r="F467" s="32" t="s">
        <v>5673</v>
      </c>
      <c r="G467" s="32" t="s">
        <v>5674</v>
      </c>
    </row>
    <row x14ac:dyDescent="0.25" r="468" customHeight="1" ht="15.75">
      <c r="A468" s="8">
        <v>25841</v>
      </c>
      <c r="B468" s="13" t="s">
        <v>126</v>
      </c>
      <c r="C468" s="13" t="s">
        <v>5675</v>
      </c>
      <c r="D468" s="32" t="s">
        <v>5676</v>
      </c>
      <c r="E468" s="32" t="s">
        <v>4774</v>
      </c>
      <c r="F468" s="32" t="s">
        <v>5677</v>
      </c>
      <c r="G468" s="32" t="s">
        <v>4143</v>
      </c>
    </row>
    <row x14ac:dyDescent="0.25" r="469" customHeight="1" ht="15.75">
      <c r="A469" s="8">
        <v>25842</v>
      </c>
      <c r="B469" s="13" t="s">
        <v>126</v>
      </c>
      <c r="C469" s="13" t="s">
        <v>5678</v>
      </c>
      <c r="D469" s="32" t="s">
        <v>5679</v>
      </c>
      <c r="E469" s="32" t="s">
        <v>4633</v>
      </c>
      <c r="F469" s="32" t="s">
        <v>5680</v>
      </c>
      <c r="G469" s="32" t="s">
        <v>4149</v>
      </c>
    </row>
    <row x14ac:dyDescent="0.25" r="470" customHeight="1" ht="15.75">
      <c r="A470" s="8">
        <v>25843</v>
      </c>
      <c r="B470" s="13" t="s">
        <v>126</v>
      </c>
      <c r="C470" s="13" t="s">
        <v>5681</v>
      </c>
      <c r="D470" s="32" t="s">
        <v>5682</v>
      </c>
      <c r="E470" s="32" t="s">
        <v>4098</v>
      </c>
      <c r="F470" s="32" t="s">
        <v>2599</v>
      </c>
      <c r="G470" s="32" t="s">
        <v>4469</v>
      </c>
    </row>
    <row x14ac:dyDescent="0.25" r="471" customHeight="1" ht="15.75">
      <c r="A471" s="8">
        <v>25844</v>
      </c>
      <c r="B471" s="13" t="s">
        <v>126</v>
      </c>
      <c r="C471" s="13" t="s">
        <v>5683</v>
      </c>
      <c r="D471" s="32" t="s">
        <v>5684</v>
      </c>
      <c r="E471" s="32" t="s">
        <v>5451</v>
      </c>
      <c r="F471" s="32" t="s">
        <v>5685</v>
      </c>
      <c r="G471" s="32" t="s">
        <v>5404</v>
      </c>
    </row>
    <row x14ac:dyDescent="0.25" r="472" customHeight="1" ht="15.75">
      <c r="A472" s="8">
        <v>25845</v>
      </c>
      <c r="B472" s="13" t="s">
        <v>126</v>
      </c>
      <c r="C472" s="13" t="s">
        <v>5686</v>
      </c>
      <c r="D472" s="32" t="s">
        <v>4233</v>
      </c>
      <c r="E472" s="32" t="s">
        <v>5687</v>
      </c>
      <c r="F472" s="32" t="s">
        <v>2724</v>
      </c>
      <c r="G472" s="32" t="s">
        <v>5661</v>
      </c>
    </row>
    <row x14ac:dyDescent="0.25" r="473" customHeight="1" ht="15.75">
      <c r="A473" s="8">
        <v>25846</v>
      </c>
      <c r="B473" s="13" t="s">
        <v>126</v>
      </c>
      <c r="C473" s="13" t="s">
        <v>5688</v>
      </c>
      <c r="D473" s="32" t="s">
        <v>5689</v>
      </c>
      <c r="E473" s="32" t="s">
        <v>1547</v>
      </c>
      <c r="F473" s="32" t="s">
        <v>5690</v>
      </c>
      <c r="G473" s="32" t="s">
        <v>1413</v>
      </c>
    </row>
    <row x14ac:dyDescent="0.25" r="474" customHeight="1" ht="15.75">
      <c r="A474" s="8">
        <v>25847</v>
      </c>
      <c r="B474" s="13" t="s">
        <v>126</v>
      </c>
      <c r="C474" s="13" t="s">
        <v>5691</v>
      </c>
      <c r="D474" s="32" t="s">
        <v>5692</v>
      </c>
      <c r="E474" s="32" t="s">
        <v>4970</v>
      </c>
      <c r="F474" s="32" t="s">
        <v>5693</v>
      </c>
      <c r="G474" s="32" t="s">
        <v>4591</v>
      </c>
    </row>
    <row x14ac:dyDescent="0.25" r="475" customHeight="1" ht="15.75">
      <c r="A475" s="8">
        <v>25848</v>
      </c>
      <c r="B475" s="13" t="s">
        <v>126</v>
      </c>
      <c r="C475" s="13" t="s">
        <v>5694</v>
      </c>
      <c r="D475" s="32" t="s">
        <v>5695</v>
      </c>
      <c r="E475" s="32" t="s">
        <v>5696</v>
      </c>
      <c r="F475" s="32" t="s">
        <v>2516</v>
      </c>
      <c r="G475" s="32" t="s">
        <v>4635</v>
      </c>
    </row>
    <row x14ac:dyDescent="0.25" r="476" customHeight="1" ht="15.75">
      <c r="A476" s="8">
        <v>25849</v>
      </c>
      <c r="B476" s="13" t="s">
        <v>126</v>
      </c>
      <c r="C476" s="13" t="s">
        <v>5697</v>
      </c>
      <c r="D476" s="32" t="s">
        <v>4286</v>
      </c>
      <c r="E476" s="32" t="s">
        <v>1644</v>
      </c>
      <c r="F476" s="32" t="s">
        <v>5690</v>
      </c>
      <c r="G476" s="32" t="s">
        <v>5475</v>
      </c>
    </row>
    <row x14ac:dyDescent="0.25" r="477" customHeight="1" ht="15.75">
      <c r="A477" s="8">
        <v>25850</v>
      </c>
      <c r="B477" s="13" t="s">
        <v>126</v>
      </c>
      <c r="C477" s="13" t="s">
        <v>5698</v>
      </c>
      <c r="D477" s="32" t="s">
        <v>5699</v>
      </c>
      <c r="E477" s="32" t="s">
        <v>2488</v>
      </c>
      <c r="F477" s="32" t="s">
        <v>5700</v>
      </c>
      <c r="G477" s="32" t="s">
        <v>4268</v>
      </c>
    </row>
    <row x14ac:dyDescent="0.25" r="478" customHeight="1" ht="15.75">
      <c r="A478" s="8">
        <v>25851</v>
      </c>
      <c r="B478" s="13" t="s">
        <v>126</v>
      </c>
      <c r="C478" s="13" t="s">
        <v>5701</v>
      </c>
      <c r="D478" s="32" t="s">
        <v>5702</v>
      </c>
      <c r="E478" s="32" t="s">
        <v>4709</v>
      </c>
      <c r="F478" s="32" t="s">
        <v>5703</v>
      </c>
      <c r="G478" s="32" t="s">
        <v>5034</v>
      </c>
    </row>
    <row x14ac:dyDescent="0.25" r="479" customHeight="1" ht="15.75">
      <c r="A479" s="8">
        <v>25852</v>
      </c>
      <c r="B479" s="13" t="s">
        <v>126</v>
      </c>
      <c r="C479" s="13" t="s">
        <v>5704</v>
      </c>
      <c r="D479" s="32" t="s">
        <v>5705</v>
      </c>
      <c r="E479" s="32" t="s">
        <v>5706</v>
      </c>
      <c r="F479" s="32" t="s">
        <v>2557</v>
      </c>
      <c r="G479" s="32" t="s">
        <v>4892</v>
      </c>
    </row>
    <row x14ac:dyDescent="0.25" r="480" customHeight="1" ht="15.75">
      <c r="A480" s="8">
        <v>25853</v>
      </c>
      <c r="B480" s="13" t="s">
        <v>126</v>
      </c>
      <c r="C480" s="13" t="s">
        <v>5707</v>
      </c>
      <c r="D480" s="32" t="s">
        <v>4568</v>
      </c>
      <c r="E480" s="32" t="s">
        <v>605</v>
      </c>
      <c r="F480" s="32" t="s">
        <v>5708</v>
      </c>
      <c r="G480" s="32" t="s">
        <v>1418</v>
      </c>
    </row>
    <row x14ac:dyDescent="0.25" r="481" customHeight="1" ht="15.75">
      <c r="A481" s="8">
        <v>25854</v>
      </c>
      <c r="B481" s="13" t="s">
        <v>126</v>
      </c>
      <c r="C481" s="13" t="s">
        <v>5709</v>
      </c>
      <c r="D481" s="32" t="s">
        <v>5710</v>
      </c>
      <c r="E481" s="32" t="s">
        <v>5711</v>
      </c>
      <c r="F481" s="32" t="s">
        <v>5712</v>
      </c>
      <c r="G481" s="32" t="s">
        <v>1876</v>
      </c>
    </row>
    <row x14ac:dyDescent="0.25" r="482" customHeight="1" ht="15.75">
      <c r="A482" s="8">
        <v>25855</v>
      </c>
      <c r="B482" s="13" t="s">
        <v>126</v>
      </c>
      <c r="C482" s="13" t="s">
        <v>5713</v>
      </c>
      <c r="D482" s="32" t="s">
        <v>5288</v>
      </c>
      <c r="E482" s="32" t="s">
        <v>5187</v>
      </c>
      <c r="F482" s="32" t="s">
        <v>5714</v>
      </c>
      <c r="G482" s="32" t="s">
        <v>1385</v>
      </c>
    </row>
    <row x14ac:dyDescent="0.25" r="483" customHeight="1" ht="15.75">
      <c r="A483" s="8">
        <v>25857</v>
      </c>
      <c r="B483" s="13" t="s">
        <v>126</v>
      </c>
      <c r="C483" s="13" t="s">
        <v>5715</v>
      </c>
      <c r="D483" s="32" t="s">
        <v>5716</v>
      </c>
      <c r="E483" s="32" t="s">
        <v>1437</v>
      </c>
      <c r="F483" s="32" t="s">
        <v>5717</v>
      </c>
      <c r="G483" s="32" t="s">
        <v>4776</v>
      </c>
    </row>
    <row x14ac:dyDescent="0.25" r="484" customHeight="1" ht="15.75">
      <c r="A484" s="8">
        <v>25858</v>
      </c>
      <c r="B484" s="13" t="s">
        <v>126</v>
      </c>
      <c r="C484" s="13" t="s">
        <v>5718</v>
      </c>
      <c r="D484" s="32" t="s">
        <v>2689</v>
      </c>
      <c r="E484" s="32" t="s">
        <v>5719</v>
      </c>
      <c r="F484" s="32" t="s">
        <v>5720</v>
      </c>
      <c r="G484" s="32" t="s">
        <v>1876</v>
      </c>
    </row>
    <row x14ac:dyDescent="0.25" r="485" customHeight="1" ht="15.75">
      <c r="A485" s="8">
        <v>25860</v>
      </c>
      <c r="B485" s="13" t="s">
        <v>126</v>
      </c>
      <c r="C485" s="13" t="s">
        <v>5721</v>
      </c>
      <c r="D485" s="32" t="s">
        <v>5722</v>
      </c>
      <c r="E485" s="32" t="s">
        <v>4612</v>
      </c>
      <c r="F485" s="32" t="s">
        <v>4256</v>
      </c>
      <c r="G485" s="32" t="s">
        <v>5108</v>
      </c>
    </row>
    <row x14ac:dyDescent="0.25" r="486" customHeight="1" ht="15.75">
      <c r="A486" s="8">
        <v>25861</v>
      </c>
      <c r="B486" s="13" t="s">
        <v>126</v>
      </c>
      <c r="C486" s="13" t="s">
        <v>5723</v>
      </c>
      <c r="D486" s="32" t="s">
        <v>4680</v>
      </c>
      <c r="E486" s="32" t="s">
        <v>5724</v>
      </c>
      <c r="F486" s="32" t="s">
        <v>5725</v>
      </c>
      <c r="G486" s="32" t="s">
        <v>4748</v>
      </c>
    </row>
    <row x14ac:dyDescent="0.25" r="487" customHeight="1" ht="15.75">
      <c r="A487" s="8">
        <v>25862</v>
      </c>
      <c r="B487" s="13" t="s">
        <v>126</v>
      </c>
      <c r="C487" s="13" t="s">
        <v>5726</v>
      </c>
      <c r="D487" s="32" t="s">
        <v>4094</v>
      </c>
      <c r="E487" s="32" t="s">
        <v>5727</v>
      </c>
      <c r="F487" s="32" t="s">
        <v>1562</v>
      </c>
      <c r="G487" s="32" t="s">
        <v>5728</v>
      </c>
    </row>
    <row x14ac:dyDescent="0.25" r="488" customHeight="1" ht="15.75">
      <c r="A488" s="8">
        <v>25863</v>
      </c>
      <c r="B488" s="13" t="s">
        <v>126</v>
      </c>
      <c r="C488" s="13" t="s">
        <v>5729</v>
      </c>
      <c r="D488" s="32" t="s">
        <v>5730</v>
      </c>
      <c r="E488" s="32" t="s">
        <v>4565</v>
      </c>
      <c r="F488" s="32" t="s">
        <v>5731</v>
      </c>
      <c r="G488" s="32" t="s">
        <v>4656</v>
      </c>
    </row>
    <row x14ac:dyDescent="0.25" r="489" customHeight="1" ht="15.75">
      <c r="A489" s="8">
        <v>25864</v>
      </c>
      <c r="B489" s="13" t="s">
        <v>126</v>
      </c>
      <c r="C489" s="13" t="s">
        <v>5732</v>
      </c>
      <c r="D489" s="32" t="s">
        <v>5733</v>
      </c>
      <c r="E489" s="32" t="s">
        <v>5734</v>
      </c>
      <c r="F489" s="32" t="s">
        <v>5735</v>
      </c>
      <c r="G489" s="32" t="s">
        <v>4115</v>
      </c>
    </row>
    <row x14ac:dyDescent="0.25" r="490" customHeight="1" ht="15.75">
      <c r="A490" s="8">
        <v>25865</v>
      </c>
      <c r="B490" s="13" t="s">
        <v>126</v>
      </c>
      <c r="C490" s="13" t="s">
        <v>5736</v>
      </c>
      <c r="D490" s="32" t="s">
        <v>5737</v>
      </c>
      <c r="E490" s="32" t="s">
        <v>4411</v>
      </c>
      <c r="F490" s="32" t="s">
        <v>5738</v>
      </c>
      <c r="G490" s="32" t="s">
        <v>4525</v>
      </c>
    </row>
    <row x14ac:dyDescent="0.25" r="491" customHeight="1" ht="15.75">
      <c r="A491" s="8">
        <v>25866</v>
      </c>
      <c r="B491" s="13" t="s">
        <v>126</v>
      </c>
      <c r="C491" s="13" t="s">
        <v>5739</v>
      </c>
      <c r="D491" s="32" t="s">
        <v>2599</v>
      </c>
      <c r="E491" s="32" t="s">
        <v>5740</v>
      </c>
      <c r="F491" s="32" t="s">
        <v>5741</v>
      </c>
      <c r="G491" s="32" t="s">
        <v>4388</v>
      </c>
    </row>
    <row x14ac:dyDescent="0.25" r="492" customHeight="1" ht="15.75">
      <c r="A492" s="8">
        <v>25867</v>
      </c>
      <c r="B492" s="13" t="s">
        <v>126</v>
      </c>
      <c r="C492" s="13" t="s">
        <v>5742</v>
      </c>
      <c r="D492" s="32" t="s">
        <v>5743</v>
      </c>
      <c r="E492" s="32" t="s">
        <v>5744</v>
      </c>
      <c r="F492" s="32" t="s">
        <v>5745</v>
      </c>
      <c r="G492" s="32" t="s">
        <v>4414</v>
      </c>
    </row>
    <row x14ac:dyDescent="0.25" r="493" customHeight="1" ht="15.75">
      <c r="A493" s="8">
        <v>25868</v>
      </c>
      <c r="B493" s="13" t="s">
        <v>126</v>
      </c>
      <c r="C493" s="13" t="s">
        <v>5746</v>
      </c>
      <c r="D493" s="32" t="s">
        <v>5747</v>
      </c>
      <c r="E493" s="32" t="s">
        <v>5748</v>
      </c>
      <c r="F493" s="32" t="s">
        <v>5749</v>
      </c>
      <c r="G493" s="32" t="s">
        <v>5096</v>
      </c>
    </row>
    <row x14ac:dyDescent="0.25" r="494" customHeight="1" ht="15.75">
      <c r="A494" s="8">
        <v>25869</v>
      </c>
      <c r="B494" s="13" t="s">
        <v>126</v>
      </c>
      <c r="C494" s="13" t="s">
        <v>5750</v>
      </c>
      <c r="D494" s="32" t="s">
        <v>5751</v>
      </c>
      <c r="E494" s="32" t="s">
        <v>5752</v>
      </c>
      <c r="F494" s="32" t="s">
        <v>5753</v>
      </c>
      <c r="G494" s="32" t="s">
        <v>4818</v>
      </c>
    </row>
    <row x14ac:dyDescent="0.25" r="495" customHeight="1" ht="15.75">
      <c r="A495" s="8">
        <v>25870</v>
      </c>
      <c r="B495" s="13" t="s">
        <v>126</v>
      </c>
      <c r="C495" s="13" t="s">
        <v>5754</v>
      </c>
      <c r="D495" s="32" t="s">
        <v>5755</v>
      </c>
      <c r="E495" s="32" t="s">
        <v>5157</v>
      </c>
      <c r="F495" s="32" t="s">
        <v>5756</v>
      </c>
      <c r="G495" s="32" t="s">
        <v>4353</v>
      </c>
    </row>
    <row x14ac:dyDescent="0.25" r="496" customHeight="1" ht="15.75">
      <c r="A496" s="8">
        <v>25872</v>
      </c>
      <c r="B496" s="13" t="s">
        <v>126</v>
      </c>
      <c r="C496" s="13" t="s">
        <v>5757</v>
      </c>
      <c r="D496" s="32" t="s">
        <v>74</v>
      </c>
      <c r="E496" s="32" t="s">
        <v>2112</v>
      </c>
      <c r="F496" s="32" t="s">
        <v>5758</v>
      </c>
      <c r="G496" s="32" t="s">
        <v>1539</v>
      </c>
    </row>
    <row x14ac:dyDescent="0.25" r="497" customHeight="1" ht="15.75">
      <c r="A497" s="8">
        <v>25873</v>
      </c>
      <c r="B497" s="13" t="s">
        <v>126</v>
      </c>
      <c r="C497" s="13" t="s">
        <v>5759</v>
      </c>
      <c r="D497" s="32" t="s">
        <v>5148</v>
      </c>
      <c r="E497" s="32" t="s">
        <v>4436</v>
      </c>
      <c r="F497" s="32" t="s">
        <v>2635</v>
      </c>
      <c r="G497" s="32" t="s">
        <v>5760</v>
      </c>
    </row>
    <row x14ac:dyDescent="0.25" r="498" customHeight="1" ht="15.75">
      <c r="A498" s="8">
        <v>25874</v>
      </c>
      <c r="B498" s="13" t="s">
        <v>126</v>
      </c>
      <c r="C498" s="13" t="s">
        <v>5761</v>
      </c>
      <c r="D498" s="32" t="s">
        <v>5762</v>
      </c>
      <c r="E498" s="32" t="s">
        <v>928</v>
      </c>
      <c r="F498" s="32" t="s">
        <v>5763</v>
      </c>
      <c r="G498" s="32" t="s">
        <v>1167</v>
      </c>
    </row>
    <row x14ac:dyDescent="0.25" r="499" customHeight="1" ht="15.75">
      <c r="A499" s="8">
        <v>25875</v>
      </c>
      <c r="B499" s="13" t="s">
        <v>126</v>
      </c>
      <c r="C499" s="13" t="s">
        <v>5764</v>
      </c>
      <c r="D499" s="32" t="s">
        <v>5733</v>
      </c>
      <c r="E499" s="32" t="s">
        <v>5765</v>
      </c>
      <c r="F499" s="32" t="s">
        <v>2453</v>
      </c>
      <c r="G499" s="32" t="s">
        <v>1381</v>
      </c>
    </row>
    <row x14ac:dyDescent="0.25" r="500" customHeight="1" ht="15.75">
      <c r="A500" s="8">
        <v>25876</v>
      </c>
      <c r="B500" s="13" t="s">
        <v>126</v>
      </c>
      <c r="C500" s="13" t="s">
        <v>5766</v>
      </c>
      <c r="D500" s="32" t="s">
        <v>5767</v>
      </c>
      <c r="E500" s="32" t="s">
        <v>1093</v>
      </c>
      <c r="F500" s="32" t="s">
        <v>5768</v>
      </c>
      <c r="G500" s="32" t="s">
        <v>1876</v>
      </c>
    </row>
    <row x14ac:dyDescent="0.25" r="501" customHeight="1" ht="15.75">
      <c r="A501" s="8">
        <v>25877</v>
      </c>
      <c r="B501" s="13" t="s">
        <v>126</v>
      </c>
      <c r="C501" s="13" t="s">
        <v>5769</v>
      </c>
      <c r="D501" s="32" t="s">
        <v>5770</v>
      </c>
      <c r="E501" s="32" t="s">
        <v>5771</v>
      </c>
      <c r="F501" s="32" t="s">
        <v>5772</v>
      </c>
      <c r="G501" s="32" t="s">
        <v>5220</v>
      </c>
    </row>
    <row x14ac:dyDescent="0.25" r="502" customHeight="1" ht="15.75">
      <c r="A502" s="8">
        <v>25878</v>
      </c>
      <c r="B502" s="13" t="s">
        <v>126</v>
      </c>
      <c r="C502" s="13" t="s">
        <v>5773</v>
      </c>
      <c r="D502" s="32" t="s">
        <v>5774</v>
      </c>
      <c r="E502" s="32" t="s">
        <v>5775</v>
      </c>
      <c r="F502" s="32" t="s">
        <v>5776</v>
      </c>
      <c r="G502" s="32" t="s">
        <v>5264</v>
      </c>
    </row>
    <row x14ac:dyDescent="0.25" r="503" customHeight="1" ht="15.75">
      <c r="A503" s="8">
        <v>25879</v>
      </c>
      <c r="B503" s="13" t="s">
        <v>126</v>
      </c>
      <c r="C503" s="13" t="s">
        <v>5777</v>
      </c>
      <c r="D503" s="32" t="s">
        <v>5778</v>
      </c>
      <c r="E503" s="32" t="s">
        <v>5760</v>
      </c>
      <c r="F503" s="32" t="s">
        <v>5779</v>
      </c>
      <c r="G503" s="32" t="s">
        <v>1407</v>
      </c>
    </row>
    <row x14ac:dyDescent="0.25" r="504" customHeight="1" ht="15.75">
      <c r="A504" s="8">
        <v>25880</v>
      </c>
      <c r="B504" s="13" t="s">
        <v>126</v>
      </c>
      <c r="C504" s="13" t="s">
        <v>5780</v>
      </c>
      <c r="D504" s="32" t="s">
        <v>5781</v>
      </c>
      <c r="E504" s="32" t="s">
        <v>5331</v>
      </c>
      <c r="F504" s="32" t="s">
        <v>5782</v>
      </c>
      <c r="G504" s="32" t="s">
        <v>5783</v>
      </c>
    </row>
    <row x14ac:dyDescent="0.25" r="505" customHeight="1" ht="15.75">
      <c r="A505" s="8">
        <v>25881</v>
      </c>
      <c r="B505" s="13" t="s">
        <v>126</v>
      </c>
      <c r="C505" s="13" t="s">
        <v>5784</v>
      </c>
      <c r="D505" s="32" t="s">
        <v>4884</v>
      </c>
      <c r="E505" s="32" t="s">
        <v>4372</v>
      </c>
      <c r="F505" s="32" t="s">
        <v>5785</v>
      </c>
      <c r="G505" s="32" t="s">
        <v>4581</v>
      </c>
    </row>
    <row x14ac:dyDescent="0.25" r="506" customHeight="1" ht="15.75">
      <c r="A506" s="8">
        <v>25882</v>
      </c>
      <c r="B506" s="13" t="s">
        <v>126</v>
      </c>
      <c r="C506" s="13" t="s">
        <v>5786</v>
      </c>
      <c r="D506" s="32" t="s">
        <v>5787</v>
      </c>
      <c r="E506" s="32" t="s">
        <v>5788</v>
      </c>
      <c r="F506" s="32" t="s">
        <v>5789</v>
      </c>
      <c r="G506" s="32" t="s">
        <v>1148</v>
      </c>
    </row>
    <row x14ac:dyDescent="0.25" r="507" customHeight="1" ht="15.75">
      <c r="A507" s="8">
        <v>25883</v>
      </c>
      <c r="B507" s="13" t="s">
        <v>126</v>
      </c>
      <c r="C507" s="13" t="s">
        <v>5790</v>
      </c>
      <c r="D507" s="32" t="s">
        <v>5791</v>
      </c>
      <c r="E507" s="32" t="s">
        <v>5792</v>
      </c>
      <c r="F507" s="32" t="s">
        <v>5793</v>
      </c>
      <c r="G507" s="32" t="s">
        <v>1448</v>
      </c>
    </row>
    <row x14ac:dyDescent="0.25" r="508" customHeight="1" ht="15.75">
      <c r="A508" s="8">
        <v>25884</v>
      </c>
      <c r="B508" s="13" t="s">
        <v>126</v>
      </c>
      <c r="C508" s="13" t="s">
        <v>5794</v>
      </c>
      <c r="D508" s="32" t="s">
        <v>5795</v>
      </c>
      <c r="E508" s="32" t="s">
        <v>1539</v>
      </c>
      <c r="F508" s="32" t="s">
        <v>5796</v>
      </c>
      <c r="G508" s="32" t="s">
        <v>4138</v>
      </c>
    </row>
    <row x14ac:dyDescent="0.25" r="509" customHeight="1" ht="15.75">
      <c r="A509" s="8">
        <v>25885</v>
      </c>
      <c r="B509" s="13" t="s">
        <v>126</v>
      </c>
      <c r="C509" s="13" t="s">
        <v>5797</v>
      </c>
      <c r="D509" s="32" t="s">
        <v>74</v>
      </c>
      <c r="E509" s="32" t="s">
        <v>5798</v>
      </c>
      <c r="F509" s="32" t="s">
        <v>5799</v>
      </c>
      <c r="G509" s="32" t="s">
        <v>2758</v>
      </c>
    </row>
    <row x14ac:dyDescent="0.25" r="510" customHeight="1" ht="15.75">
      <c r="A510" s="8">
        <v>25893</v>
      </c>
      <c r="B510" s="13" t="s">
        <v>126</v>
      </c>
      <c r="C510" s="13" t="s">
        <v>5800</v>
      </c>
      <c r="D510" s="32" t="s">
        <v>5801</v>
      </c>
      <c r="E510" s="32" t="s">
        <v>1401</v>
      </c>
      <c r="F510" s="32" t="s">
        <v>5802</v>
      </c>
      <c r="G510" s="32" t="s">
        <v>4970</v>
      </c>
    </row>
    <row x14ac:dyDescent="0.25" r="511" customHeight="1" ht="15.75">
      <c r="A511" s="8">
        <v>25363</v>
      </c>
      <c r="B511" s="13" t="s">
        <v>103</v>
      </c>
      <c r="C511" s="13" t="s">
        <v>5803</v>
      </c>
      <c r="D511" s="32" t="s">
        <v>4760</v>
      </c>
      <c r="E511" s="32" t="s">
        <v>959</v>
      </c>
      <c r="F511" s="32" t="s">
        <v>5804</v>
      </c>
      <c r="G511" s="32" t="s">
        <v>4639</v>
      </c>
    </row>
    <row x14ac:dyDescent="0.25" r="512" customHeight="1" ht="15.75">
      <c r="A512" s="8">
        <v>25364</v>
      </c>
      <c r="B512" s="13" t="s">
        <v>103</v>
      </c>
      <c r="C512" s="13" t="s">
        <v>5805</v>
      </c>
      <c r="D512" s="32" t="s">
        <v>5806</v>
      </c>
      <c r="E512" s="32" t="s">
        <v>4519</v>
      </c>
      <c r="F512" s="32" t="s">
        <v>5093</v>
      </c>
      <c r="G512" s="32" t="s">
        <v>4854</v>
      </c>
    </row>
    <row x14ac:dyDescent="0.25" r="513" customHeight="1" ht="15.75">
      <c r="A513" s="8">
        <v>25365</v>
      </c>
      <c r="B513" s="13" t="s">
        <v>103</v>
      </c>
      <c r="C513" s="13" t="s">
        <v>5807</v>
      </c>
      <c r="D513" s="32" t="s">
        <v>5808</v>
      </c>
      <c r="E513" s="32" t="s">
        <v>5316</v>
      </c>
      <c r="F513" s="32" t="s">
        <v>5809</v>
      </c>
      <c r="G513" s="32" t="s">
        <v>5056</v>
      </c>
    </row>
    <row x14ac:dyDescent="0.25" r="514" customHeight="1" ht="15.75">
      <c r="A514" s="8">
        <v>25366</v>
      </c>
      <c r="B514" s="13" t="s">
        <v>103</v>
      </c>
      <c r="C514" s="13" t="s">
        <v>5810</v>
      </c>
      <c r="D514" s="32" t="s">
        <v>758</v>
      </c>
      <c r="E514" s="32" t="s">
        <v>2786</v>
      </c>
      <c r="F514" s="32" t="s">
        <v>2527</v>
      </c>
      <c r="G514" s="32" t="s">
        <v>4920</v>
      </c>
    </row>
    <row x14ac:dyDescent="0.25" r="515" customHeight="1" ht="15.75">
      <c r="A515" s="8">
        <v>25367</v>
      </c>
      <c r="B515" s="13" t="s">
        <v>103</v>
      </c>
      <c r="C515" s="13" t="s">
        <v>5811</v>
      </c>
      <c r="D515" s="32" t="s">
        <v>4473</v>
      </c>
      <c r="E515" s="32" t="s">
        <v>5812</v>
      </c>
      <c r="F515" s="32" t="s">
        <v>5813</v>
      </c>
      <c r="G515" s="32" t="s">
        <v>4776</v>
      </c>
    </row>
    <row x14ac:dyDescent="0.25" r="516" customHeight="1" ht="15.75">
      <c r="A516" s="8">
        <v>25368</v>
      </c>
      <c r="B516" s="13" t="s">
        <v>103</v>
      </c>
      <c r="C516" s="13" t="s">
        <v>4579</v>
      </c>
      <c r="D516" s="32" t="s">
        <v>498</v>
      </c>
      <c r="E516" s="32" t="s">
        <v>5814</v>
      </c>
      <c r="F516" s="32" t="s">
        <v>1547</v>
      </c>
      <c r="G516" s="32" t="s">
        <v>5670</v>
      </c>
    </row>
    <row x14ac:dyDescent="0.25" r="517" customHeight="1" ht="15.75">
      <c r="A517" s="8">
        <v>25369</v>
      </c>
      <c r="B517" s="13" t="s">
        <v>103</v>
      </c>
      <c r="C517" s="13" t="s">
        <v>5815</v>
      </c>
      <c r="D517" s="32" t="s">
        <v>5816</v>
      </c>
      <c r="E517" s="32" t="s">
        <v>5817</v>
      </c>
      <c r="F517" s="32" t="s">
        <v>5818</v>
      </c>
      <c r="G517" s="32" t="s">
        <v>4717</v>
      </c>
    </row>
    <row x14ac:dyDescent="0.25" r="518" customHeight="1" ht="15.75">
      <c r="A518" s="8">
        <v>25370</v>
      </c>
      <c r="B518" s="13" t="s">
        <v>103</v>
      </c>
      <c r="C518" s="13" t="s">
        <v>5819</v>
      </c>
      <c r="D518" s="32" t="s">
        <v>5820</v>
      </c>
      <c r="E518" s="32" t="s">
        <v>889</v>
      </c>
      <c r="F518" s="32" t="s">
        <v>1843</v>
      </c>
      <c r="G518" s="32" t="s">
        <v>4151</v>
      </c>
    </row>
    <row x14ac:dyDescent="0.25" r="519" customHeight="1" ht="15.75">
      <c r="A519" s="8">
        <v>25372</v>
      </c>
      <c r="B519" s="13" t="s">
        <v>103</v>
      </c>
      <c r="C519" s="13" t="s">
        <v>5821</v>
      </c>
      <c r="D519" s="32" t="s">
        <v>5822</v>
      </c>
      <c r="E519" s="32" t="s">
        <v>5187</v>
      </c>
      <c r="F519" s="32" t="s">
        <v>5823</v>
      </c>
      <c r="G519" s="32" t="s">
        <v>5574</v>
      </c>
    </row>
    <row x14ac:dyDescent="0.25" r="520" customHeight="1" ht="15.75">
      <c r="A520" s="8">
        <v>25373</v>
      </c>
      <c r="B520" s="13" t="s">
        <v>103</v>
      </c>
      <c r="C520" s="13" t="s">
        <v>5824</v>
      </c>
      <c r="D520" s="32" t="s">
        <v>5825</v>
      </c>
      <c r="E520" s="32" t="s">
        <v>5826</v>
      </c>
      <c r="F520" s="32" t="s">
        <v>2359</v>
      </c>
      <c r="G520" s="32" t="s">
        <v>740</v>
      </c>
    </row>
    <row x14ac:dyDescent="0.25" r="521" customHeight="1" ht="15.75">
      <c r="A521" s="8">
        <v>25374</v>
      </c>
      <c r="B521" s="13" t="s">
        <v>103</v>
      </c>
      <c r="C521" s="13" t="s">
        <v>5827</v>
      </c>
      <c r="D521" s="32" t="s">
        <v>5598</v>
      </c>
      <c r="E521" s="32" t="s">
        <v>5828</v>
      </c>
      <c r="F521" s="32" t="s">
        <v>5829</v>
      </c>
      <c r="G521" s="32" t="s">
        <v>5828</v>
      </c>
    </row>
    <row x14ac:dyDescent="0.25" r="522" customHeight="1" ht="15.75">
      <c r="A522" s="8">
        <v>25375</v>
      </c>
      <c r="B522" s="13" t="s">
        <v>103</v>
      </c>
      <c r="C522" s="13" t="s">
        <v>5830</v>
      </c>
      <c r="D522" s="32" t="s">
        <v>2584</v>
      </c>
      <c r="E522" s="32" t="s">
        <v>5831</v>
      </c>
      <c r="F522" s="32" t="s">
        <v>4958</v>
      </c>
      <c r="G522" s="32" t="s">
        <v>2544</v>
      </c>
    </row>
    <row x14ac:dyDescent="0.25" r="523" customHeight="1" ht="15.75">
      <c r="A523" s="8">
        <v>25376</v>
      </c>
      <c r="B523" s="13" t="s">
        <v>103</v>
      </c>
      <c r="C523" s="13" t="s">
        <v>5832</v>
      </c>
      <c r="D523" s="32" t="s">
        <v>4828</v>
      </c>
      <c r="E523" s="32" t="s">
        <v>5833</v>
      </c>
      <c r="F523" s="32" t="s">
        <v>1029</v>
      </c>
      <c r="G523" s="32" t="s">
        <v>5834</v>
      </c>
    </row>
    <row x14ac:dyDescent="0.25" r="524" customHeight="1" ht="15.75">
      <c r="A524" s="8">
        <v>25377</v>
      </c>
      <c r="B524" s="13" t="s">
        <v>103</v>
      </c>
      <c r="C524" s="13" t="s">
        <v>5835</v>
      </c>
      <c r="D524" s="32" t="s">
        <v>4314</v>
      </c>
      <c r="E524" s="32" t="s">
        <v>5836</v>
      </c>
      <c r="F524" s="32" t="s">
        <v>5837</v>
      </c>
      <c r="G524" s="32" t="s">
        <v>1533</v>
      </c>
    </row>
    <row x14ac:dyDescent="0.25" r="525" customHeight="1" ht="15.75">
      <c r="A525" s="8">
        <v>25378</v>
      </c>
      <c r="B525" s="13" t="s">
        <v>103</v>
      </c>
      <c r="C525" s="13" t="s">
        <v>5838</v>
      </c>
      <c r="D525" s="32" t="s">
        <v>5005</v>
      </c>
      <c r="E525" s="32" t="s">
        <v>5839</v>
      </c>
      <c r="F525" s="32" t="s">
        <v>5840</v>
      </c>
      <c r="G525" s="32" t="s">
        <v>1389</v>
      </c>
    </row>
    <row x14ac:dyDescent="0.25" r="526" customHeight="1" ht="15.75">
      <c r="A526" s="8">
        <v>25379</v>
      </c>
      <c r="B526" s="13" t="s">
        <v>103</v>
      </c>
      <c r="C526" s="13" t="s">
        <v>5841</v>
      </c>
      <c r="D526" s="32" t="s">
        <v>5842</v>
      </c>
      <c r="E526" s="32" t="s">
        <v>5843</v>
      </c>
      <c r="F526" s="32" t="s">
        <v>5844</v>
      </c>
      <c r="G526" s="32" t="s">
        <v>5455</v>
      </c>
    </row>
    <row x14ac:dyDescent="0.25" r="527" customHeight="1" ht="15.75">
      <c r="A527" s="8">
        <v>25380</v>
      </c>
      <c r="B527" s="13" t="s">
        <v>103</v>
      </c>
      <c r="C527" s="13" t="s">
        <v>5845</v>
      </c>
      <c r="D527" s="32" t="s">
        <v>5315</v>
      </c>
      <c r="E527" s="32" t="s">
        <v>4268</v>
      </c>
      <c r="F527" s="32" t="s">
        <v>5846</v>
      </c>
      <c r="G527" s="32" t="s">
        <v>5480</v>
      </c>
    </row>
    <row x14ac:dyDescent="0.25" r="528" customHeight="1" ht="15.75">
      <c r="A528" s="8">
        <v>25381</v>
      </c>
      <c r="B528" s="13" t="s">
        <v>103</v>
      </c>
      <c r="C528" s="13" t="s">
        <v>5847</v>
      </c>
      <c r="D528" s="32" t="s">
        <v>5848</v>
      </c>
      <c r="E528" s="32" t="s">
        <v>4899</v>
      </c>
      <c r="F528" s="32" t="s">
        <v>5260</v>
      </c>
      <c r="G528" s="32" t="s">
        <v>4946</v>
      </c>
    </row>
    <row x14ac:dyDescent="0.25" r="529" customHeight="1" ht="15.75">
      <c r="A529" s="8">
        <v>25382</v>
      </c>
      <c r="B529" s="13" t="s">
        <v>103</v>
      </c>
      <c r="C529" s="13" t="s">
        <v>5849</v>
      </c>
      <c r="D529" s="32" t="s">
        <v>1873</v>
      </c>
      <c r="E529" s="32" t="s">
        <v>5850</v>
      </c>
      <c r="F529" s="32" t="s">
        <v>5851</v>
      </c>
      <c r="G529" s="32" t="s">
        <v>1305</v>
      </c>
    </row>
    <row x14ac:dyDescent="0.25" r="530" customHeight="1" ht="15.75">
      <c r="A530" s="8">
        <v>25384</v>
      </c>
      <c r="B530" s="13" t="s">
        <v>103</v>
      </c>
      <c r="C530" s="13" t="s">
        <v>5852</v>
      </c>
      <c r="D530" s="32" t="s">
        <v>5853</v>
      </c>
      <c r="E530" s="32" t="s">
        <v>5170</v>
      </c>
      <c r="F530" s="32" t="s">
        <v>2531</v>
      </c>
      <c r="G530" s="32" t="s">
        <v>30</v>
      </c>
    </row>
    <row x14ac:dyDescent="0.25" r="531" customHeight="1" ht="15.75">
      <c r="A531" s="8">
        <v>25385</v>
      </c>
      <c r="B531" s="13" t="s">
        <v>103</v>
      </c>
      <c r="C531" s="13" t="s">
        <v>5854</v>
      </c>
      <c r="D531" s="32" t="s">
        <v>5855</v>
      </c>
      <c r="E531" s="32" t="s">
        <v>5856</v>
      </c>
      <c r="F531" s="32" t="s">
        <v>1572</v>
      </c>
      <c r="G531" s="32" t="s">
        <v>4183</v>
      </c>
    </row>
    <row x14ac:dyDescent="0.25" r="532" customHeight="1" ht="15.75">
      <c r="A532" s="8">
        <v>25386</v>
      </c>
      <c r="B532" s="13" t="s">
        <v>103</v>
      </c>
      <c r="C532" s="13" t="s">
        <v>5857</v>
      </c>
      <c r="D532" s="32" t="s">
        <v>5858</v>
      </c>
      <c r="E532" s="32" t="s">
        <v>1459</v>
      </c>
      <c r="F532" s="32" t="s">
        <v>2457</v>
      </c>
      <c r="G532" s="32" t="s">
        <v>1415</v>
      </c>
    </row>
    <row x14ac:dyDescent="0.25" r="533" customHeight="1" ht="15.75">
      <c r="A533" s="8">
        <v>25387</v>
      </c>
      <c r="B533" s="13" t="s">
        <v>103</v>
      </c>
      <c r="C533" s="13" t="s">
        <v>5859</v>
      </c>
      <c r="D533" s="32" t="s">
        <v>5860</v>
      </c>
      <c r="E533" s="32" t="s">
        <v>5861</v>
      </c>
      <c r="F533" s="32" t="s">
        <v>4952</v>
      </c>
      <c r="G533" s="32" t="s">
        <v>1403</v>
      </c>
    </row>
    <row x14ac:dyDescent="0.25" r="534" customHeight="1" ht="15.75">
      <c r="A534" s="8">
        <v>25388</v>
      </c>
      <c r="B534" s="13" t="s">
        <v>103</v>
      </c>
      <c r="C534" s="13" t="s">
        <v>5862</v>
      </c>
      <c r="D534" s="32" t="s">
        <v>2308</v>
      </c>
      <c r="E534" s="32" t="s">
        <v>4698</v>
      </c>
      <c r="F534" s="32" t="s">
        <v>5863</v>
      </c>
      <c r="G534" s="32" t="s">
        <v>5366</v>
      </c>
    </row>
    <row x14ac:dyDescent="0.25" r="535" customHeight="1" ht="15.75">
      <c r="A535" s="8">
        <v>25389</v>
      </c>
      <c r="B535" s="13" t="s">
        <v>103</v>
      </c>
      <c r="C535" s="13" t="s">
        <v>5864</v>
      </c>
      <c r="D535" s="32" t="s">
        <v>5865</v>
      </c>
      <c r="E535" s="32" t="s">
        <v>5526</v>
      </c>
      <c r="F535" s="32" t="s">
        <v>2140</v>
      </c>
      <c r="G535" s="32" t="s">
        <v>4730</v>
      </c>
    </row>
    <row x14ac:dyDescent="0.25" r="536" customHeight="1" ht="15.75">
      <c r="A536" s="8">
        <v>25391</v>
      </c>
      <c r="B536" s="13" t="s">
        <v>103</v>
      </c>
      <c r="C536" s="13" t="s">
        <v>5866</v>
      </c>
      <c r="D536" s="32" t="s">
        <v>5867</v>
      </c>
      <c r="E536" s="32" t="s">
        <v>5868</v>
      </c>
      <c r="F536" s="32" t="s">
        <v>5869</v>
      </c>
      <c r="G536" s="32" t="s">
        <v>5870</v>
      </c>
    </row>
    <row x14ac:dyDescent="0.25" r="537" customHeight="1" ht="15.75">
      <c r="A537" s="8">
        <v>25392</v>
      </c>
      <c r="B537" s="13" t="s">
        <v>103</v>
      </c>
      <c r="C537" s="13" t="s">
        <v>5871</v>
      </c>
      <c r="D537" s="32" t="s">
        <v>2719</v>
      </c>
      <c r="E537" s="32" t="s">
        <v>5872</v>
      </c>
      <c r="F537" s="32" t="s">
        <v>2120</v>
      </c>
      <c r="G537" s="32" t="s">
        <v>5873</v>
      </c>
    </row>
    <row x14ac:dyDescent="0.25" r="538" customHeight="1" ht="15.75">
      <c r="A538" s="8">
        <v>25393</v>
      </c>
      <c r="B538" s="13" t="s">
        <v>103</v>
      </c>
      <c r="C538" s="13" t="s">
        <v>5874</v>
      </c>
      <c r="D538" s="32" t="s">
        <v>5875</v>
      </c>
      <c r="E538" s="32" t="s">
        <v>5876</v>
      </c>
      <c r="F538" s="32" t="s">
        <v>5877</v>
      </c>
      <c r="G538" s="32" t="s">
        <v>5878</v>
      </c>
    </row>
    <row x14ac:dyDescent="0.25" r="539" customHeight="1" ht="15.75">
      <c r="A539" s="8">
        <v>25394</v>
      </c>
      <c r="B539" s="13" t="s">
        <v>103</v>
      </c>
      <c r="C539" s="13" t="s">
        <v>5879</v>
      </c>
      <c r="D539" s="32" t="s">
        <v>4459</v>
      </c>
      <c r="E539" s="32" t="s">
        <v>5880</v>
      </c>
      <c r="F539" s="32" t="s">
        <v>2726</v>
      </c>
      <c r="G539" s="32" t="s">
        <v>1043</v>
      </c>
    </row>
    <row x14ac:dyDescent="0.25" r="540" customHeight="1" ht="15.75">
      <c r="A540" s="8">
        <v>25395</v>
      </c>
      <c r="B540" s="13" t="s">
        <v>103</v>
      </c>
      <c r="C540" s="13" t="s">
        <v>5881</v>
      </c>
      <c r="D540" s="32" t="s">
        <v>5203</v>
      </c>
      <c r="E540" s="32" t="s">
        <v>972</v>
      </c>
      <c r="F540" s="32" t="s">
        <v>830</v>
      </c>
      <c r="G540" s="32" t="s">
        <v>4115</v>
      </c>
    </row>
    <row x14ac:dyDescent="0.25" r="541" customHeight="1" ht="15.75">
      <c r="A541" s="8">
        <v>25396</v>
      </c>
      <c r="B541" s="13" t="s">
        <v>103</v>
      </c>
      <c r="C541" s="13" t="s">
        <v>5882</v>
      </c>
      <c r="D541" s="32" t="s">
        <v>5883</v>
      </c>
      <c r="E541" s="32" t="s">
        <v>5884</v>
      </c>
      <c r="F541" s="32" t="s">
        <v>4848</v>
      </c>
      <c r="G541" s="32" t="s">
        <v>1509</v>
      </c>
    </row>
    <row x14ac:dyDescent="0.25" r="542" customHeight="1" ht="15.75">
      <c r="A542" s="8">
        <v>25397</v>
      </c>
      <c r="B542" s="13" t="s">
        <v>103</v>
      </c>
      <c r="C542" s="13" t="s">
        <v>5885</v>
      </c>
      <c r="D542" s="32" t="s">
        <v>5886</v>
      </c>
      <c r="E542" s="32" t="s">
        <v>1288</v>
      </c>
      <c r="F542" s="32" t="s">
        <v>5887</v>
      </c>
      <c r="G542" s="32" t="s">
        <v>5347</v>
      </c>
    </row>
    <row x14ac:dyDescent="0.25" r="543" customHeight="1" ht="15.75">
      <c r="A543" s="8">
        <v>25398</v>
      </c>
      <c r="B543" s="13" t="s">
        <v>103</v>
      </c>
      <c r="C543" s="13" t="s">
        <v>5888</v>
      </c>
      <c r="D543" s="32" t="s">
        <v>5889</v>
      </c>
      <c r="E543" s="32" t="s">
        <v>1535</v>
      </c>
      <c r="F543" s="32" t="s">
        <v>2762</v>
      </c>
      <c r="G543" s="32" t="s">
        <v>5154</v>
      </c>
    </row>
    <row x14ac:dyDescent="0.25" r="544" customHeight="1" ht="15.75">
      <c r="A544" s="8">
        <v>25399</v>
      </c>
      <c r="B544" s="13" t="s">
        <v>103</v>
      </c>
      <c r="C544" s="13" t="s">
        <v>5890</v>
      </c>
      <c r="D544" s="32" t="s">
        <v>5891</v>
      </c>
      <c r="E544" s="32" t="s">
        <v>5892</v>
      </c>
      <c r="F544" s="32" t="s">
        <v>4741</v>
      </c>
      <c r="G544" s="32" t="s">
        <v>5893</v>
      </c>
    </row>
    <row x14ac:dyDescent="0.25" r="545" customHeight="1" ht="15.75">
      <c r="A545" s="8">
        <v>25400</v>
      </c>
      <c r="B545" s="13" t="s">
        <v>103</v>
      </c>
      <c r="C545" s="13" t="s">
        <v>5894</v>
      </c>
      <c r="D545" s="32" t="s">
        <v>74</v>
      </c>
      <c r="E545" s="32" t="s">
        <v>1712</v>
      </c>
      <c r="F545" s="32" t="s">
        <v>2735</v>
      </c>
      <c r="G545" s="32" t="s">
        <v>5075</v>
      </c>
    </row>
    <row x14ac:dyDescent="0.25" r="546" customHeight="1" ht="15.75">
      <c r="A546" s="8">
        <v>25401</v>
      </c>
      <c r="B546" s="13" t="s">
        <v>103</v>
      </c>
      <c r="C546" s="13" t="s">
        <v>5895</v>
      </c>
      <c r="D546" s="32" t="s">
        <v>5896</v>
      </c>
      <c r="E546" s="32" t="s">
        <v>5897</v>
      </c>
      <c r="F546" s="32" t="s">
        <v>5898</v>
      </c>
      <c r="G546" s="32" t="s">
        <v>492</v>
      </c>
    </row>
    <row x14ac:dyDescent="0.25" r="547" customHeight="1" ht="15.75">
      <c r="A547" s="8">
        <v>25402</v>
      </c>
      <c r="B547" s="13" t="s">
        <v>103</v>
      </c>
      <c r="C547" s="13" t="s">
        <v>5899</v>
      </c>
      <c r="D547" s="32" t="s">
        <v>5900</v>
      </c>
      <c r="E547" s="32" t="s">
        <v>4890</v>
      </c>
      <c r="F547" s="32" t="s">
        <v>2532</v>
      </c>
      <c r="G547" s="32" t="s">
        <v>1212</v>
      </c>
    </row>
    <row x14ac:dyDescent="0.25" r="548" customHeight="1" ht="15.75">
      <c r="A548" s="8">
        <v>25404</v>
      </c>
      <c r="B548" s="13" t="s">
        <v>103</v>
      </c>
      <c r="C548" s="13" t="s">
        <v>5901</v>
      </c>
      <c r="D548" s="32" t="s">
        <v>5902</v>
      </c>
      <c r="E548" s="32" t="s">
        <v>5903</v>
      </c>
      <c r="F548" s="32" t="s">
        <v>5904</v>
      </c>
      <c r="G548" s="32" t="s">
        <v>5905</v>
      </c>
    </row>
    <row x14ac:dyDescent="0.25" r="549" customHeight="1" ht="15.75">
      <c r="A549" s="8">
        <v>25405</v>
      </c>
      <c r="B549" s="13" t="s">
        <v>103</v>
      </c>
      <c r="C549" s="13" t="s">
        <v>5906</v>
      </c>
      <c r="D549" s="32" t="s">
        <v>4254</v>
      </c>
      <c r="E549" s="32" t="s">
        <v>4591</v>
      </c>
      <c r="F549" s="32" t="s">
        <v>2437</v>
      </c>
      <c r="G549" s="32" t="s">
        <v>1630</v>
      </c>
    </row>
    <row x14ac:dyDescent="0.25" r="550" customHeight="1" ht="15.75">
      <c r="A550" s="8">
        <v>25406</v>
      </c>
      <c r="B550" s="13" t="s">
        <v>103</v>
      </c>
      <c r="C550" s="13" t="s">
        <v>5907</v>
      </c>
      <c r="D550" s="32" t="s">
        <v>5275</v>
      </c>
      <c r="E550" s="32" t="s">
        <v>5908</v>
      </c>
      <c r="F550" s="32" t="s">
        <v>57</v>
      </c>
      <c r="G550" s="32" t="s">
        <v>283</v>
      </c>
    </row>
    <row x14ac:dyDescent="0.25" r="551" customHeight="1" ht="15.75">
      <c r="A551" s="8">
        <v>25407</v>
      </c>
      <c r="B551" s="13" t="s">
        <v>103</v>
      </c>
      <c r="C551" s="13" t="s">
        <v>5909</v>
      </c>
      <c r="D551" s="32" t="s">
        <v>5782</v>
      </c>
      <c r="E551" s="32" t="s">
        <v>5910</v>
      </c>
      <c r="F551" s="32" t="s">
        <v>5911</v>
      </c>
      <c r="G551" s="32" t="s">
        <v>4388</v>
      </c>
    </row>
    <row x14ac:dyDescent="0.25" r="552" customHeight="1" ht="15.75">
      <c r="A552" s="8">
        <v>25408</v>
      </c>
      <c r="B552" s="13" t="s">
        <v>103</v>
      </c>
      <c r="C552" s="13" t="s">
        <v>4496</v>
      </c>
      <c r="D552" s="32" t="s">
        <v>5282</v>
      </c>
      <c r="E552" s="32" t="s">
        <v>5850</v>
      </c>
      <c r="F552" s="32" t="s">
        <v>1416</v>
      </c>
      <c r="G552" s="32" t="s">
        <v>2421</v>
      </c>
    </row>
    <row x14ac:dyDescent="0.25" r="553" customHeight="1" ht="15.75">
      <c r="A553" s="8">
        <v>25409</v>
      </c>
      <c r="B553" s="13" t="s">
        <v>103</v>
      </c>
      <c r="C553" s="13" t="s">
        <v>5912</v>
      </c>
      <c r="D553" s="32" t="s">
        <v>4869</v>
      </c>
      <c r="E553" s="32" t="s">
        <v>2630</v>
      </c>
      <c r="F553" s="32" t="s">
        <v>5913</v>
      </c>
      <c r="G553" s="32" t="s">
        <v>1385</v>
      </c>
    </row>
    <row x14ac:dyDescent="0.25" r="554" customHeight="1" ht="15.75">
      <c r="A554" s="8">
        <v>25410</v>
      </c>
      <c r="B554" s="13" t="s">
        <v>103</v>
      </c>
      <c r="C554" s="13" t="s">
        <v>5914</v>
      </c>
      <c r="D554" s="32" t="s">
        <v>1235</v>
      </c>
      <c r="E554" s="32" t="s">
        <v>5915</v>
      </c>
      <c r="F554" s="32" t="s">
        <v>5916</v>
      </c>
      <c r="G554" s="32" t="s">
        <v>5917</v>
      </c>
    </row>
    <row x14ac:dyDescent="0.25" r="555" customHeight="1" ht="15.75">
      <c r="A555" s="8">
        <v>25411</v>
      </c>
      <c r="B555" s="13" t="s">
        <v>103</v>
      </c>
      <c r="C555" s="13" t="s">
        <v>5918</v>
      </c>
      <c r="D555" s="32" t="s">
        <v>5919</v>
      </c>
      <c r="E555" s="32" t="s">
        <v>5920</v>
      </c>
      <c r="F555" s="32" t="s">
        <v>5921</v>
      </c>
      <c r="G555" s="32" t="s">
        <v>5056</v>
      </c>
    </row>
    <row x14ac:dyDescent="0.25" r="556" customHeight="1" ht="15.75">
      <c r="A556" s="8">
        <v>25412</v>
      </c>
      <c r="B556" s="13" t="s">
        <v>103</v>
      </c>
      <c r="C556" s="13" t="s">
        <v>5922</v>
      </c>
      <c r="D556" s="32" t="s">
        <v>5923</v>
      </c>
      <c r="E556" s="32" t="s">
        <v>4411</v>
      </c>
      <c r="F556" s="32" t="s">
        <v>5924</v>
      </c>
      <c r="G556" s="32" t="s">
        <v>4507</v>
      </c>
    </row>
    <row x14ac:dyDescent="0.25" r="557" customHeight="1" ht="15.75">
      <c r="A557" s="8">
        <v>25413</v>
      </c>
      <c r="B557" s="13" t="s">
        <v>103</v>
      </c>
      <c r="C557" s="13" t="s">
        <v>5925</v>
      </c>
      <c r="D557" s="32" t="s">
        <v>5926</v>
      </c>
      <c r="E557" s="32" t="s">
        <v>5927</v>
      </c>
      <c r="F557" s="32" t="s">
        <v>5911</v>
      </c>
      <c r="G557" s="32" t="s">
        <v>5220</v>
      </c>
    </row>
    <row x14ac:dyDescent="0.25" r="558" customHeight="1" ht="15.75">
      <c r="A558" s="8">
        <v>25414</v>
      </c>
      <c r="B558" s="13" t="s">
        <v>103</v>
      </c>
      <c r="C558" s="13" t="s">
        <v>5928</v>
      </c>
      <c r="D558" s="32" t="s">
        <v>5929</v>
      </c>
      <c r="E558" s="32" t="s">
        <v>5905</v>
      </c>
      <c r="F558" s="32" t="s">
        <v>5930</v>
      </c>
      <c r="G558" s="32" t="s">
        <v>5096</v>
      </c>
    </row>
    <row x14ac:dyDescent="0.25" r="559" customHeight="1" ht="15.75">
      <c r="A559" s="8">
        <v>25415</v>
      </c>
      <c r="B559" s="13" t="s">
        <v>103</v>
      </c>
      <c r="C559" s="13" t="s">
        <v>5931</v>
      </c>
      <c r="D559" s="32" t="s">
        <v>5070</v>
      </c>
      <c r="E559" s="32" t="s">
        <v>5932</v>
      </c>
      <c r="F559" s="32" t="s">
        <v>5933</v>
      </c>
      <c r="G559" s="32" t="s">
        <v>1524</v>
      </c>
    </row>
    <row x14ac:dyDescent="0.25" r="560" customHeight="1" ht="15.75">
      <c r="A560" s="8">
        <v>25416</v>
      </c>
      <c r="B560" s="13" t="s">
        <v>103</v>
      </c>
      <c r="C560" s="13" t="s">
        <v>5934</v>
      </c>
      <c r="D560" s="32" t="s">
        <v>5935</v>
      </c>
      <c r="E560" s="32" t="s">
        <v>4363</v>
      </c>
      <c r="F560" s="32" t="s">
        <v>5936</v>
      </c>
      <c r="G560" s="32" t="s">
        <v>5937</v>
      </c>
    </row>
    <row x14ac:dyDescent="0.25" r="561" customHeight="1" ht="15.75">
      <c r="A561" s="8">
        <v>25417</v>
      </c>
      <c r="B561" s="13" t="s">
        <v>103</v>
      </c>
      <c r="C561" s="13" t="s">
        <v>5938</v>
      </c>
      <c r="D561" s="32" t="s">
        <v>5939</v>
      </c>
      <c r="E561" s="32" t="s">
        <v>1279</v>
      </c>
      <c r="F561" s="32" t="s">
        <v>5940</v>
      </c>
      <c r="G561" s="32" t="s">
        <v>4181</v>
      </c>
    </row>
    <row x14ac:dyDescent="0.25" r="562" customHeight="1" ht="15.75">
      <c r="A562" s="8">
        <v>25418</v>
      </c>
      <c r="B562" s="13" t="s">
        <v>103</v>
      </c>
      <c r="C562" s="13" t="s">
        <v>5941</v>
      </c>
      <c r="D562" s="32" t="s">
        <v>5942</v>
      </c>
      <c r="E562" s="32" t="s">
        <v>4730</v>
      </c>
      <c r="F562" s="32" t="s">
        <v>5943</v>
      </c>
      <c r="G562" s="32" t="s">
        <v>5828</v>
      </c>
    </row>
    <row x14ac:dyDescent="0.25" r="563" customHeight="1" ht="15.75">
      <c r="A563" s="8">
        <v>25419</v>
      </c>
      <c r="B563" s="13" t="s">
        <v>103</v>
      </c>
      <c r="C563" s="13" t="s">
        <v>5944</v>
      </c>
      <c r="D563" s="32" t="s">
        <v>5945</v>
      </c>
      <c r="E563" s="32" t="s">
        <v>4369</v>
      </c>
      <c r="F563" s="32" t="s">
        <v>2307</v>
      </c>
      <c r="G563" s="32" t="s">
        <v>1376</v>
      </c>
    </row>
    <row x14ac:dyDescent="0.25" r="564" customHeight="1" ht="15.75">
      <c r="A564" s="8">
        <v>25420</v>
      </c>
      <c r="B564" s="13" t="s">
        <v>103</v>
      </c>
      <c r="C564" s="13" t="s">
        <v>5946</v>
      </c>
      <c r="D564" s="32" t="s">
        <v>5947</v>
      </c>
      <c r="E564" s="32" t="s">
        <v>4720</v>
      </c>
      <c r="F564" s="32" t="s">
        <v>5948</v>
      </c>
      <c r="G564" s="32" t="s">
        <v>143</v>
      </c>
    </row>
    <row x14ac:dyDescent="0.25" r="565" customHeight="1" ht="15.75">
      <c r="A565" s="8">
        <v>25421</v>
      </c>
      <c r="B565" s="13" t="s">
        <v>103</v>
      </c>
      <c r="C565" s="13" t="s">
        <v>5949</v>
      </c>
      <c r="D565" s="32" t="s">
        <v>5950</v>
      </c>
      <c r="E565" s="32" t="s">
        <v>1610</v>
      </c>
      <c r="F565" s="32" t="s">
        <v>5951</v>
      </c>
      <c r="G565" s="32" t="s">
        <v>1387</v>
      </c>
    </row>
    <row x14ac:dyDescent="0.25" r="566" customHeight="1" ht="15.75">
      <c r="A566" s="8">
        <v>25422</v>
      </c>
      <c r="B566" s="13" t="s">
        <v>103</v>
      </c>
      <c r="C566" s="13" t="s">
        <v>5952</v>
      </c>
      <c r="D566" s="32" t="s">
        <v>5745</v>
      </c>
      <c r="E566" s="32" t="s">
        <v>1533</v>
      </c>
      <c r="F566" s="32" t="s">
        <v>5953</v>
      </c>
      <c r="G566" s="32" t="s">
        <v>5744</v>
      </c>
    </row>
    <row x14ac:dyDescent="0.25" r="567" customHeight="1" ht="15.75">
      <c r="A567" s="8">
        <v>25423</v>
      </c>
      <c r="B567" s="13" t="s">
        <v>103</v>
      </c>
      <c r="C567" s="13" t="s">
        <v>5954</v>
      </c>
      <c r="D567" s="32" t="s">
        <v>2539</v>
      </c>
      <c r="E567" s="32" t="s">
        <v>1659</v>
      </c>
      <c r="F567" s="32" t="s">
        <v>5955</v>
      </c>
      <c r="G567" s="32" t="s">
        <v>1385</v>
      </c>
    </row>
    <row x14ac:dyDescent="0.25" r="568" customHeight="1" ht="15.75">
      <c r="A568" s="8">
        <v>25424</v>
      </c>
      <c r="B568" s="13" t="s">
        <v>103</v>
      </c>
      <c r="C568" s="13" t="s">
        <v>5956</v>
      </c>
      <c r="D568" s="32" t="s">
        <v>5957</v>
      </c>
      <c r="E568" s="32" t="s">
        <v>1918</v>
      </c>
      <c r="F568" s="32" t="s">
        <v>5958</v>
      </c>
      <c r="G568" s="32" t="s">
        <v>1418</v>
      </c>
    </row>
    <row x14ac:dyDescent="0.25" r="569" customHeight="1" ht="15.75">
      <c r="A569" s="8">
        <v>25425</v>
      </c>
      <c r="B569" s="13" t="s">
        <v>103</v>
      </c>
      <c r="C569" s="13" t="s">
        <v>5959</v>
      </c>
      <c r="D569" s="32" t="s">
        <v>5960</v>
      </c>
      <c r="E569" s="32" t="s">
        <v>5932</v>
      </c>
      <c r="F569" s="32" t="s">
        <v>5961</v>
      </c>
      <c r="G569" s="32" t="s">
        <v>5154</v>
      </c>
    </row>
    <row x14ac:dyDescent="0.25" r="570" customHeight="1" ht="15.75">
      <c r="A570" s="8">
        <v>25426</v>
      </c>
      <c r="B570" s="13" t="s">
        <v>103</v>
      </c>
      <c r="C570" s="13" t="s">
        <v>5962</v>
      </c>
      <c r="D570" s="32" t="s">
        <v>947</v>
      </c>
      <c r="E570" s="32" t="s">
        <v>346</v>
      </c>
      <c r="F570" s="32" t="s">
        <v>5963</v>
      </c>
      <c r="G570" s="32" t="s">
        <v>1367</v>
      </c>
    </row>
    <row x14ac:dyDescent="0.25" r="571" customHeight="1" ht="15.75">
      <c r="A571" s="8">
        <v>25427</v>
      </c>
      <c r="B571" s="13" t="s">
        <v>103</v>
      </c>
      <c r="C571" s="13" t="s">
        <v>5964</v>
      </c>
      <c r="D571" s="32" t="s">
        <v>5755</v>
      </c>
      <c r="E571" s="32" t="s">
        <v>4080</v>
      </c>
      <c r="F571" s="32" t="s">
        <v>5965</v>
      </c>
      <c r="G571" s="32" t="s">
        <v>4768</v>
      </c>
    </row>
    <row x14ac:dyDescent="0.25" r="572" customHeight="1" ht="15.75">
      <c r="A572" s="8">
        <v>25428</v>
      </c>
      <c r="B572" s="13" t="s">
        <v>103</v>
      </c>
      <c r="C572" s="13" t="s">
        <v>5966</v>
      </c>
      <c r="D572" s="32" t="s">
        <v>2531</v>
      </c>
      <c r="E572" s="32" t="s">
        <v>1517</v>
      </c>
      <c r="F572" s="32" t="s">
        <v>1347</v>
      </c>
      <c r="G572" s="32" t="s">
        <v>5744</v>
      </c>
    </row>
    <row x14ac:dyDescent="0.25" r="573" customHeight="1" ht="15.75">
      <c r="A573" s="8">
        <v>25433</v>
      </c>
      <c r="B573" s="13" t="s">
        <v>103</v>
      </c>
      <c r="C573" s="13" t="s">
        <v>5967</v>
      </c>
      <c r="D573" s="32" t="s">
        <v>5968</v>
      </c>
      <c r="E573" s="32" t="s">
        <v>1517</v>
      </c>
      <c r="F573" s="32" t="s">
        <v>5969</v>
      </c>
      <c r="G573" s="32" t="s">
        <v>1378</v>
      </c>
    </row>
    <row x14ac:dyDescent="0.25" r="574" customHeight="1" ht="15.75">
      <c r="A574" s="8">
        <v>25434</v>
      </c>
      <c r="B574" s="13" t="s">
        <v>103</v>
      </c>
      <c r="C574" s="13" t="s">
        <v>5970</v>
      </c>
      <c r="D574" s="32" t="s">
        <v>5921</v>
      </c>
      <c r="E574" s="32" t="s">
        <v>5971</v>
      </c>
      <c r="F574" s="32" t="s">
        <v>5972</v>
      </c>
      <c r="G574" s="32" t="s">
        <v>5034</v>
      </c>
    </row>
    <row x14ac:dyDescent="0.25" r="575" customHeight="1" ht="15.75">
      <c r="A575" s="8">
        <v>25435</v>
      </c>
      <c r="B575" s="13" t="s">
        <v>103</v>
      </c>
      <c r="C575" s="13" t="s">
        <v>5973</v>
      </c>
      <c r="D575" s="32" t="s">
        <v>5974</v>
      </c>
      <c r="E575" s="32" t="s">
        <v>5001</v>
      </c>
      <c r="F575" s="32" t="s">
        <v>5975</v>
      </c>
      <c r="G575" s="32" t="s">
        <v>4981</v>
      </c>
    </row>
    <row x14ac:dyDescent="0.25" r="576" customHeight="1" ht="15.75">
      <c r="A576" s="8">
        <v>25436</v>
      </c>
      <c r="B576" s="13" t="s">
        <v>103</v>
      </c>
      <c r="C576" s="13" t="s">
        <v>5976</v>
      </c>
      <c r="D576" s="32" t="s">
        <v>5977</v>
      </c>
      <c r="E576" s="32" t="s">
        <v>5978</v>
      </c>
      <c r="F576" s="32" t="s">
        <v>5979</v>
      </c>
      <c r="G576" s="32" t="s">
        <v>1407</v>
      </c>
    </row>
    <row x14ac:dyDescent="0.25" r="577" customHeight="1" ht="15.75">
      <c r="A577" s="8">
        <v>25894</v>
      </c>
      <c r="B577" s="13" t="s">
        <v>129</v>
      </c>
      <c r="C577" s="13" t="s">
        <v>5980</v>
      </c>
      <c r="D577" s="32" t="s">
        <v>5981</v>
      </c>
      <c r="E577" s="32" t="s">
        <v>1551</v>
      </c>
      <c r="F577" s="32" t="s">
        <v>4775</v>
      </c>
      <c r="G577" s="32" t="s">
        <v>5982</v>
      </c>
    </row>
    <row x14ac:dyDescent="0.25" r="578" customHeight="1" ht="15.75">
      <c r="A578" s="8">
        <v>25956</v>
      </c>
      <c r="B578" s="13" t="s">
        <v>129</v>
      </c>
      <c r="C578" s="13" t="s">
        <v>5983</v>
      </c>
      <c r="D578" s="32" t="s">
        <v>5984</v>
      </c>
      <c r="E578" s="32" t="s">
        <v>5404</v>
      </c>
      <c r="F578" s="32" t="s">
        <v>5985</v>
      </c>
      <c r="G578" s="32" t="s">
        <v>5174</v>
      </c>
    </row>
    <row x14ac:dyDescent="0.25" r="579" customHeight="1" ht="15.75">
      <c r="A579" s="8">
        <v>25895</v>
      </c>
      <c r="B579" s="13" t="s">
        <v>129</v>
      </c>
      <c r="C579" s="13" t="s">
        <v>5986</v>
      </c>
      <c r="D579" s="32" t="s">
        <v>5987</v>
      </c>
      <c r="E579" s="32" t="s">
        <v>5988</v>
      </c>
      <c r="F579" s="32" t="s">
        <v>5989</v>
      </c>
      <c r="G579" s="32" t="s">
        <v>5893</v>
      </c>
    </row>
    <row x14ac:dyDescent="0.25" r="580" customHeight="1" ht="15.75">
      <c r="A580" s="8">
        <v>25933</v>
      </c>
      <c r="B580" s="13" t="s">
        <v>129</v>
      </c>
      <c r="C580" s="13" t="s">
        <v>5990</v>
      </c>
      <c r="D580" s="32" t="s">
        <v>5991</v>
      </c>
      <c r="E580" s="32" t="s">
        <v>5992</v>
      </c>
      <c r="F580" s="32" t="s">
        <v>5993</v>
      </c>
      <c r="G580" s="32" t="s">
        <v>5475</v>
      </c>
    </row>
    <row x14ac:dyDescent="0.25" r="581" customHeight="1" ht="15.75">
      <c r="A581" s="8">
        <v>25944</v>
      </c>
      <c r="B581" s="13" t="s">
        <v>129</v>
      </c>
      <c r="C581" s="13" t="s">
        <v>5994</v>
      </c>
      <c r="D581" s="32" t="s">
        <v>5995</v>
      </c>
      <c r="E581" s="32" t="s">
        <v>210</v>
      </c>
      <c r="F581" s="32" t="s">
        <v>5996</v>
      </c>
      <c r="G581" s="32" t="s">
        <v>5331</v>
      </c>
    </row>
    <row x14ac:dyDescent="0.25" r="582" customHeight="1" ht="15.75">
      <c r="A582" s="8">
        <v>25957</v>
      </c>
      <c r="B582" s="13" t="s">
        <v>129</v>
      </c>
      <c r="C582" s="13" t="s">
        <v>5997</v>
      </c>
      <c r="D582" s="32" t="s">
        <v>4677</v>
      </c>
      <c r="E582" s="32" t="s">
        <v>5579</v>
      </c>
      <c r="F582" s="32" t="s">
        <v>4424</v>
      </c>
      <c r="G582" s="32" t="s">
        <v>1876</v>
      </c>
    </row>
    <row x14ac:dyDescent="0.25" r="583" customHeight="1" ht="15.75">
      <c r="A583" s="8">
        <v>25945</v>
      </c>
      <c r="B583" s="13" t="s">
        <v>129</v>
      </c>
      <c r="C583" s="13" t="s">
        <v>5998</v>
      </c>
      <c r="D583" s="32" t="s">
        <v>5999</v>
      </c>
      <c r="E583" s="32" t="s">
        <v>4467</v>
      </c>
      <c r="F583" s="32" t="s">
        <v>6000</v>
      </c>
      <c r="G583" s="32" t="s">
        <v>409</v>
      </c>
    </row>
    <row x14ac:dyDescent="0.25" r="584" customHeight="1" ht="15.75">
      <c r="A584" s="8">
        <v>25896</v>
      </c>
      <c r="B584" s="13" t="s">
        <v>129</v>
      </c>
      <c r="C584" s="13" t="s">
        <v>6001</v>
      </c>
      <c r="D584" s="32" t="s">
        <v>5026</v>
      </c>
      <c r="E584" s="32" t="s">
        <v>4203</v>
      </c>
      <c r="F584" s="32" t="s">
        <v>6002</v>
      </c>
      <c r="G584" s="32" t="s">
        <v>4215</v>
      </c>
    </row>
    <row x14ac:dyDescent="0.25" r="585" customHeight="1" ht="15.75">
      <c r="A585" s="8">
        <v>25897</v>
      </c>
      <c r="B585" s="13" t="s">
        <v>129</v>
      </c>
      <c r="C585" s="13" t="s">
        <v>6003</v>
      </c>
      <c r="D585" s="32" t="s">
        <v>6004</v>
      </c>
      <c r="E585" s="32" t="s">
        <v>5173</v>
      </c>
      <c r="F585" s="32" t="s">
        <v>5911</v>
      </c>
      <c r="G585" s="32" t="s">
        <v>1431</v>
      </c>
    </row>
    <row x14ac:dyDescent="0.25" r="586" customHeight="1" ht="15.75">
      <c r="A586" s="8">
        <v>25946</v>
      </c>
      <c r="B586" s="13" t="s">
        <v>129</v>
      </c>
      <c r="C586" s="13" t="s">
        <v>6005</v>
      </c>
      <c r="D586" s="32" t="s">
        <v>6006</v>
      </c>
      <c r="E586" s="32" t="s">
        <v>4112</v>
      </c>
      <c r="F586" s="32" t="s">
        <v>6007</v>
      </c>
      <c r="G586" s="32" t="s">
        <v>4602</v>
      </c>
    </row>
    <row x14ac:dyDescent="0.25" r="587" customHeight="1" ht="15.75">
      <c r="A587" s="8">
        <v>25898</v>
      </c>
      <c r="B587" s="13" t="s">
        <v>129</v>
      </c>
      <c r="C587" s="13" t="s">
        <v>6008</v>
      </c>
      <c r="D587" s="32" t="s">
        <v>4282</v>
      </c>
      <c r="E587" s="32" t="s">
        <v>4293</v>
      </c>
      <c r="F587" s="32" t="s">
        <v>6009</v>
      </c>
      <c r="G587" s="32" t="s">
        <v>1369</v>
      </c>
    </row>
    <row x14ac:dyDescent="0.25" r="588" customHeight="1" ht="15.75">
      <c r="A588" s="8">
        <v>25899</v>
      </c>
      <c r="B588" s="13" t="s">
        <v>129</v>
      </c>
      <c r="C588" s="13" t="s">
        <v>6010</v>
      </c>
      <c r="D588" s="32" t="s">
        <v>6011</v>
      </c>
      <c r="E588" s="32" t="s">
        <v>5478</v>
      </c>
      <c r="F588" s="32" t="s">
        <v>6012</v>
      </c>
      <c r="G588" s="32" t="s">
        <v>6013</v>
      </c>
    </row>
    <row x14ac:dyDescent="0.25" r="589" customHeight="1" ht="15.75">
      <c r="A589" s="8">
        <v>25934</v>
      </c>
      <c r="B589" s="13" t="s">
        <v>129</v>
      </c>
      <c r="C589" s="13" t="s">
        <v>6014</v>
      </c>
      <c r="D589" s="32" t="s">
        <v>6015</v>
      </c>
      <c r="E589" s="32" t="s">
        <v>6016</v>
      </c>
      <c r="F589" s="32" t="s">
        <v>2599</v>
      </c>
      <c r="G589" s="32" t="s">
        <v>5194</v>
      </c>
    </row>
    <row x14ac:dyDescent="0.25" r="590" customHeight="1" ht="15.75">
      <c r="A590" s="8">
        <v>25958</v>
      </c>
      <c r="B590" s="13" t="s">
        <v>129</v>
      </c>
      <c r="C590" s="13" t="s">
        <v>6017</v>
      </c>
      <c r="D590" s="32" t="s">
        <v>4590</v>
      </c>
      <c r="E590" s="32" t="s">
        <v>2340</v>
      </c>
      <c r="F590" s="32" t="s">
        <v>6018</v>
      </c>
      <c r="G590" s="32" t="s">
        <v>4108</v>
      </c>
    </row>
    <row x14ac:dyDescent="0.25" r="591" customHeight="1" ht="15.75">
      <c r="A591" s="8">
        <v>25959</v>
      </c>
      <c r="B591" s="13" t="s">
        <v>129</v>
      </c>
      <c r="C591" s="13" t="s">
        <v>6019</v>
      </c>
      <c r="D591" s="32" t="s">
        <v>6020</v>
      </c>
      <c r="E591" s="32" t="s">
        <v>4576</v>
      </c>
      <c r="F591" s="32" t="s">
        <v>6021</v>
      </c>
      <c r="G591" s="32" t="s">
        <v>31</v>
      </c>
    </row>
    <row x14ac:dyDescent="0.25" r="592" customHeight="1" ht="15.75">
      <c r="A592" s="8">
        <v>25935</v>
      </c>
      <c r="B592" s="13" t="s">
        <v>129</v>
      </c>
      <c r="C592" s="13" t="s">
        <v>6022</v>
      </c>
      <c r="D592" s="32" t="s">
        <v>6023</v>
      </c>
      <c r="E592" s="32" t="s">
        <v>6024</v>
      </c>
      <c r="F592" s="32" t="s">
        <v>6025</v>
      </c>
      <c r="G592" s="32" t="s">
        <v>1356</v>
      </c>
    </row>
    <row x14ac:dyDescent="0.25" r="593" customHeight="1" ht="15.75">
      <c r="A593" s="8">
        <v>25960</v>
      </c>
      <c r="B593" s="13" t="s">
        <v>129</v>
      </c>
      <c r="C593" s="13" t="s">
        <v>6026</v>
      </c>
      <c r="D593" s="32" t="s">
        <v>6027</v>
      </c>
      <c r="E593" s="32" t="s">
        <v>4430</v>
      </c>
      <c r="F593" s="32" t="s">
        <v>2717</v>
      </c>
      <c r="G593" s="32" t="s">
        <v>2070</v>
      </c>
    </row>
    <row x14ac:dyDescent="0.25" r="594" customHeight="1" ht="15.75">
      <c r="A594" s="8">
        <v>25961</v>
      </c>
      <c r="B594" s="13" t="s">
        <v>129</v>
      </c>
      <c r="C594" s="13" t="s">
        <v>6028</v>
      </c>
      <c r="D594" s="32" t="s">
        <v>6029</v>
      </c>
      <c r="E594" s="32" t="s">
        <v>5605</v>
      </c>
      <c r="F594" s="32" t="s">
        <v>6030</v>
      </c>
      <c r="G594" s="32" t="s">
        <v>4430</v>
      </c>
    </row>
    <row x14ac:dyDescent="0.25" r="595" customHeight="1" ht="15.75">
      <c r="A595" s="8">
        <v>25962</v>
      </c>
      <c r="B595" s="13" t="s">
        <v>129</v>
      </c>
      <c r="C595" s="13" t="s">
        <v>6031</v>
      </c>
      <c r="D595" s="32" t="s">
        <v>6032</v>
      </c>
      <c r="E595" s="32" t="s">
        <v>6033</v>
      </c>
      <c r="F595" s="32" t="s">
        <v>6034</v>
      </c>
      <c r="G595" s="32" t="s">
        <v>4287</v>
      </c>
    </row>
    <row x14ac:dyDescent="0.25" r="596" customHeight="1" ht="15.75">
      <c r="A596" s="8">
        <v>25963</v>
      </c>
      <c r="B596" s="13" t="s">
        <v>129</v>
      </c>
      <c r="C596" s="13" t="s">
        <v>6035</v>
      </c>
      <c r="D596" s="32" t="s">
        <v>6036</v>
      </c>
      <c r="E596" s="32" t="s">
        <v>4845</v>
      </c>
      <c r="F596" s="32" t="s">
        <v>6037</v>
      </c>
      <c r="G596" s="32" t="s">
        <v>2544</v>
      </c>
    </row>
    <row x14ac:dyDescent="0.25" r="597" customHeight="1" ht="15.75">
      <c r="A597" s="8">
        <v>25900</v>
      </c>
      <c r="B597" s="13" t="s">
        <v>129</v>
      </c>
      <c r="C597" s="13" t="s">
        <v>6038</v>
      </c>
      <c r="D597" s="32" t="s">
        <v>6039</v>
      </c>
      <c r="E597" s="32" t="s">
        <v>783</v>
      </c>
      <c r="F597" s="32" t="s">
        <v>6040</v>
      </c>
      <c r="G597" s="32" t="s">
        <v>4249</v>
      </c>
    </row>
    <row x14ac:dyDescent="0.25" r="598" customHeight="1" ht="15.75">
      <c r="A598" s="8">
        <v>25964</v>
      </c>
      <c r="B598" s="13" t="s">
        <v>129</v>
      </c>
      <c r="C598" s="13" t="s">
        <v>6041</v>
      </c>
      <c r="D598" s="32" t="s">
        <v>6042</v>
      </c>
      <c r="E598" s="32" t="s">
        <v>1574</v>
      </c>
      <c r="F598" s="32" t="s">
        <v>6043</v>
      </c>
      <c r="G598" s="32" t="s">
        <v>4174</v>
      </c>
    </row>
    <row x14ac:dyDescent="0.25" r="599" customHeight="1" ht="15.75">
      <c r="A599" s="8">
        <v>25901</v>
      </c>
      <c r="B599" s="13" t="s">
        <v>129</v>
      </c>
      <c r="C599" s="13" t="s">
        <v>6044</v>
      </c>
      <c r="D599" s="32" t="s">
        <v>6045</v>
      </c>
      <c r="E599" s="32" t="s">
        <v>5861</v>
      </c>
      <c r="F599" s="32" t="s">
        <v>6046</v>
      </c>
      <c r="G599" s="32" t="s">
        <v>4507</v>
      </c>
    </row>
    <row x14ac:dyDescent="0.25" r="600" customHeight="1" ht="15.75">
      <c r="A600" s="8">
        <v>25902</v>
      </c>
      <c r="B600" s="13" t="s">
        <v>129</v>
      </c>
      <c r="C600" s="13" t="s">
        <v>6047</v>
      </c>
      <c r="D600" s="32" t="s">
        <v>6048</v>
      </c>
      <c r="E600" s="32" t="s">
        <v>4501</v>
      </c>
      <c r="F600" s="32" t="s">
        <v>6049</v>
      </c>
      <c r="G600" s="32" t="s">
        <v>4602</v>
      </c>
    </row>
    <row x14ac:dyDescent="0.25" r="601" customHeight="1" ht="15.75">
      <c r="A601" s="8">
        <v>25965</v>
      </c>
      <c r="B601" s="13" t="s">
        <v>129</v>
      </c>
      <c r="C601" s="13" t="s">
        <v>6050</v>
      </c>
      <c r="D601" s="32" t="s">
        <v>6051</v>
      </c>
      <c r="E601" s="32" t="s">
        <v>5517</v>
      </c>
      <c r="F601" s="32" t="s">
        <v>6052</v>
      </c>
      <c r="G601" s="32" t="s">
        <v>5096</v>
      </c>
    </row>
    <row x14ac:dyDescent="0.25" r="602" customHeight="1" ht="15.75">
      <c r="A602" s="8">
        <v>25947</v>
      </c>
      <c r="B602" s="13" t="s">
        <v>129</v>
      </c>
      <c r="C602" s="13" t="s">
        <v>6053</v>
      </c>
      <c r="D602" s="32" t="s">
        <v>6054</v>
      </c>
      <c r="E602" s="32" t="s">
        <v>6055</v>
      </c>
      <c r="F602" s="32" t="s">
        <v>6056</v>
      </c>
      <c r="G602" s="32" t="s">
        <v>4507</v>
      </c>
    </row>
    <row x14ac:dyDescent="0.25" r="603" customHeight="1" ht="15.75">
      <c r="A603" s="8">
        <v>25948</v>
      </c>
      <c r="B603" s="13" t="s">
        <v>129</v>
      </c>
      <c r="C603" s="13" t="s">
        <v>6057</v>
      </c>
      <c r="D603" s="32" t="s">
        <v>4335</v>
      </c>
      <c r="E603" s="32" t="s">
        <v>4635</v>
      </c>
      <c r="F603" s="32" t="s">
        <v>6058</v>
      </c>
      <c r="G603" s="32" t="s">
        <v>1407</v>
      </c>
    </row>
    <row x14ac:dyDescent="0.25" r="604" customHeight="1" ht="15.75">
      <c r="A604" s="8">
        <v>25966</v>
      </c>
      <c r="B604" s="13" t="s">
        <v>129</v>
      </c>
      <c r="C604" s="13" t="s">
        <v>6059</v>
      </c>
      <c r="D604" s="32" t="s">
        <v>6060</v>
      </c>
      <c r="E604" s="32" t="s">
        <v>6061</v>
      </c>
      <c r="F604" s="32" t="s">
        <v>4329</v>
      </c>
      <c r="G604" s="32" t="s">
        <v>4525</v>
      </c>
    </row>
    <row x14ac:dyDescent="0.25" r="605" customHeight="1" ht="15.75">
      <c r="A605" s="8">
        <v>25903</v>
      </c>
      <c r="B605" s="13" t="s">
        <v>129</v>
      </c>
      <c r="C605" s="13" t="s">
        <v>6062</v>
      </c>
      <c r="D605" s="32" t="s">
        <v>122</v>
      </c>
      <c r="E605" s="32" t="s">
        <v>4663</v>
      </c>
      <c r="F605" s="32" t="s">
        <v>6063</v>
      </c>
      <c r="G605" s="32" t="s">
        <v>4671</v>
      </c>
    </row>
    <row x14ac:dyDescent="0.25" r="606" customHeight="1" ht="15.75">
      <c r="A606" s="8">
        <v>25949</v>
      </c>
      <c r="B606" s="13" t="s">
        <v>129</v>
      </c>
      <c r="C606" s="13" t="s">
        <v>6064</v>
      </c>
      <c r="D606" s="32" t="s">
        <v>6065</v>
      </c>
      <c r="E606" s="32" t="s">
        <v>1603</v>
      </c>
      <c r="F606" s="32" t="s">
        <v>5027</v>
      </c>
      <c r="G606" s="32" t="s">
        <v>6066</v>
      </c>
    </row>
    <row x14ac:dyDescent="0.25" r="607" customHeight="1" ht="15.75">
      <c r="A607" s="8">
        <v>25904</v>
      </c>
      <c r="B607" s="13" t="s">
        <v>129</v>
      </c>
      <c r="C607" s="13" t="s">
        <v>6067</v>
      </c>
      <c r="D607" s="32" t="s">
        <v>2655</v>
      </c>
      <c r="E607" s="32" t="s">
        <v>1576</v>
      </c>
      <c r="F607" s="32" t="s">
        <v>5409</v>
      </c>
      <c r="G607" s="32" t="s">
        <v>4200</v>
      </c>
    </row>
    <row x14ac:dyDescent="0.25" r="608" customHeight="1" ht="15.75">
      <c r="A608" s="8">
        <v>25950</v>
      </c>
      <c r="B608" s="13" t="s">
        <v>129</v>
      </c>
      <c r="C608" s="13" t="s">
        <v>6068</v>
      </c>
      <c r="D608" s="32" t="s">
        <v>6069</v>
      </c>
      <c r="E608" s="32" t="s">
        <v>1539</v>
      </c>
      <c r="F608" s="32" t="s">
        <v>6070</v>
      </c>
      <c r="G608" s="32" t="s">
        <v>4380</v>
      </c>
    </row>
    <row x14ac:dyDescent="0.25" r="609" customHeight="1" ht="15.75">
      <c r="A609" s="8">
        <v>25905</v>
      </c>
      <c r="B609" s="13" t="s">
        <v>129</v>
      </c>
      <c r="C609" s="13" t="s">
        <v>6071</v>
      </c>
      <c r="D609" s="32" t="s">
        <v>4533</v>
      </c>
      <c r="E609" s="32" t="s">
        <v>5228</v>
      </c>
      <c r="F609" s="32" t="s">
        <v>6072</v>
      </c>
      <c r="G609" s="32" t="s">
        <v>1492</v>
      </c>
    </row>
    <row x14ac:dyDescent="0.25" r="610" customHeight="1" ht="15.75">
      <c r="A610" s="8">
        <v>25906</v>
      </c>
      <c r="B610" s="13" t="s">
        <v>129</v>
      </c>
      <c r="C610" s="13" t="s">
        <v>6073</v>
      </c>
      <c r="D610" s="32" t="s">
        <v>2649</v>
      </c>
      <c r="E610" s="32" t="s">
        <v>4674</v>
      </c>
      <c r="F610" s="32" t="s">
        <v>5207</v>
      </c>
      <c r="G610" s="32" t="s">
        <v>4748</v>
      </c>
    </row>
    <row x14ac:dyDescent="0.25" r="611" customHeight="1" ht="15.75">
      <c r="A611" s="8">
        <v>25967</v>
      </c>
      <c r="B611" s="13" t="s">
        <v>129</v>
      </c>
      <c r="C611" s="13" t="s">
        <v>5918</v>
      </c>
      <c r="D611" s="32" t="s">
        <v>1463</v>
      </c>
      <c r="E611" s="32" t="s">
        <v>6016</v>
      </c>
      <c r="F611" s="32" t="s">
        <v>6074</v>
      </c>
      <c r="G611" s="32" t="s">
        <v>5812</v>
      </c>
    </row>
    <row x14ac:dyDescent="0.25" r="612" customHeight="1" ht="15.75">
      <c r="A612" s="8">
        <v>25936</v>
      </c>
      <c r="B612" s="13" t="s">
        <v>129</v>
      </c>
      <c r="C612" s="13" t="s">
        <v>6075</v>
      </c>
      <c r="D612" s="32" t="s">
        <v>6076</v>
      </c>
      <c r="E612" s="32" t="s">
        <v>5740</v>
      </c>
      <c r="F612" s="32" t="s">
        <v>6077</v>
      </c>
      <c r="G612" s="32" t="s">
        <v>2472</v>
      </c>
    </row>
    <row x14ac:dyDescent="0.25" r="613" customHeight="1" ht="15.75">
      <c r="A613" s="8">
        <v>25937</v>
      </c>
      <c r="B613" s="13" t="s">
        <v>129</v>
      </c>
      <c r="C613" s="13" t="s">
        <v>6078</v>
      </c>
      <c r="D613" s="32" t="s">
        <v>4086</v>
      </c>
      <c r="E613" s="32" t="s">
        <v>4881</v>
      </c>
      <c r="F613" s="32" t="s">
        <v>1143</v>
      </c>
      <c r="G613" s="32" t="s">
        <v>4112</v>
      </c>
    </row>
    <row x14ac:dyDescent="0.25" r="614" customHeight="1" ht="15.75">
      <c r="A614" s="8">
        <v>25938</v>
      </c>
      <c r="B614" s="13" t="s">
        <v>129</v>
      </c>
      <c r="C614" s="13" t="s">
        <v>6079</v>
      </c>
      <c r="D614" s="32" t="s">
        <v>6080</v>
      </c>
      <c r="E614" s="32" t="s">
        <v>6081</v>
      </c>
      <c r="F614" s="32" t="s">
        <v>6082</v>
      </c>
      <c r="G614" s="32" t="s">
        <v>4348</v>
      </c>
    </row>
    <row x14ac:dyDescent="0.25" r="615" customHeight="1" ht="15.75">
      <c r="A615" s="8">
        <v>25907</v>
      </c>
      <c r="B615" s="13" t="s">
        <v>129</v>
      </c>
      <c r="C615" s="13" t="s">
        <v>5922</v>
      </c>
      <c r="D615" s="32" t="s">
        <v>6083</v>
      </c>
      <c r="E615" s="32" t="s">
        <v>5271</v>
      </c>
      <c r="F615" s="32" t="s">
        <v>4478</v>
      </c>
      <c r="G615" s="32" t="s">
        <v>2710</v>
      </c>
    </row>
    <row x14ac:dyDescent="0.25" r="616" customHeight="1" ht="15.75">
      <c r="A616" s="8">
        <v>25908</v>
      </c>
      <c r="B616" s="13" t="s">
        <v>129</v>
      </c>
      <c r="C616" s="13" t="s">
        <v>6084</v>
      </c>
      <c r="D616" s="32" t="s">
        <v>6085</v>
      </c>
      <c r="E616" s="32" t="s">
        <v>4620</v>
      </c>
      <c r="F616" s="32" t="s">
        <v>5936</v>
      </c>
      <c r="G616" s="32" t="s">
        <v>4918</v>
      </c>
    </row>
    <row x14ac:dyDescent="0.25" r="617" customHeight="1" ht="15.75">
      <c r="A617" s="8">
        <v>25909</v>
      </c>
      <c r="B617" s="13" t="s">
        <v>129</v>
      </c>
      <c r="C617" s="13" t="s">
        <v>6086</v>
      </c>
      <c r="D617" s="32" t="s">
        <v>6087</v>
      </c>
      <c r="E617" s="32" t="s">
        <v>4620</v>
      </c>
      <c r="F617" s="32" t="s">
        <v>6088</v>
      </c>
      <c r="G617" s="32" t="s">
        <v>5706</v>
      </c>
    </row>
    <row x14ac:dyDescent="0.25" r="618" customHeight="1" ht="15.75">
      <c r="A618" s="8">
        <v>25951</v>
      </c>
      <c r="B618" s="13" t="s">
        <v>129</v>
      </c>
      <c r="C618" s="13" t="s">
        <v>6089</v>
      </c>
      <c r="D618" s="32" t="s">
        <v>1562</v>
      </c>
      <c r="E618" s="32" t="s">
        <v>5598</v>
      </c>
      <c r="F618" s="32" t="s">
        <v>6090</v>
      </c>
      <c r="G618" s="32" t="s">
        <v>6091</v>
      </c>
    </row>
    <row x14ac:dyDescent="0.25" r="619" customHeight="1" ht="15.75">
      <c r="A619" s="8">
        <v>25968</v>
      </c>
      <c r="B619" s="13" t="s">
        <v>129</v>
      </c>
      <c r="C619" s="13" t="s">
        <v>6092</v>
      </c>
      <c r="D619" s="32" t="s">
        <v>2573</v>
      </c>
      <c r="E619" s="32" t="s">
        <v>1579</v>
      </c>
      <c r="F619" s="32" t="s">
        <v>6093</v>
      </c>
      <c r="G619" s="32" t="s">
        <v>1407</v>
      </c>
    </row>
    <row x14ac:dyDescent="0.25" r="620" customHeight="1" ht="15.75">
      <c r="A620" s="8">
        <v>25952</v>
      </c>
      <c r="B620" s="13" t="s">
        <v>129</v>
      </c>
      <c r="C620" s="13" t="s">
        <v>6094</v>
      </c>
      <c r="D620" s="32" t="s">
        <v>6095</v>
      </c>
      <c r="E620" s="32" t="s">
        <v>4339</v>
      </c>
      <c r="F620" s="32" t="s">
        <v>2394</v>
      </c>
      <c r="G620" s="32" t="s">
        <v>288</v>
      </c>
    </row>
    <row x14ac:dyDescent="0.25" r="621" customHeight="1" ht="15.75">
      <c r="A621" s="8">
        <v>25969</v>
      </c>
      <c r="B621" s="13" t="s">
        <v>129</v>
      </c>
      <c r="C621" s="13" t="s">
        <v>6096</v>
      </c>
      <c r="D621" s="32" t="s">
        <v>6097</v>
      </c>
      <c r="E621" s="32" t="s">
        <v>4310</v>
      </c>
      <c r="F621" s="32" t="s">
        <v>5299</v>
      </c>
      <c r="G621" s="32" t="s">
        <v>1381</v>
      </c>
    </row>
    <row x14ac:dyDescent="0.25" r="622" customHeight="1" ht="15.75">
      <c r="A622" s="8">
        <v>25970</v>
      </c>
      <c r="B622" s="13" t="s">
        <v>129</v>
      </c>
      <c r="C622" s="13" t="s">
        <v>6098</v>
      </c>
      <c r="D622" s="32" t="s">
        <v>6099</v>
      </c>
      <c r="E622" s="32" t="s">
        <v>5088</v>
      </c>
      <c r="F622" s="32" t="s">
        <v>6100</v>
      </c>
      <c r="G622" s="32" t="s">
        <v>4759</v>
      </c>
    </row>
    <row x14ac:dyDescent="0.25" r="623" customHeight="1" ht="15.75">
      <c r="A623" s="8">
        <v>25971</v>
      </c>
      <c r="B623" s="13" t="s">
        <v>129</v>
      </c>
      <c r="C623" s="13" t="s">
        <v>6101</v>
      </c>
      <c r="D623" s="32" t="s">
        <v>6102</v>
      </c>
      <c r="E623" s="32" t="s">
        <v>4869</v>
      </c>
      <c r="F623" s="32" t="s">
        <v>6103</v>
      </c>
      <c r="G623" s="32" t="s">
        <v>6104</v>
      </c>
    </row>
    <row x14ac:dyDescent="0.25" r="624" customHeight="1" ht="15.75">
      <c r="A624" s="8">
        <v>25972</v>
      </c>
      <c r="B624" s="13" t="s">
        <v>129</v>
      </c>
      <c r="C624" s="13" t="s">
        <v>6105</v>
      </c>
      <c r="D624" s="32" t="s">
        <v>1562</v>
      </c>
      <c r="E624" s="32" t="s">
        <v>4482</v>
      </c>
      <c r="F624" s="32" t="s">
        <v>2666</v>
      </c>
      <c r="G624" s="32" t="s">
        <v>5197</v>
      </c>
    </row>
    <row x14ac:dyDescent="0.25" r="625" customHeight="1" ht="15.75">
      <c r="A625" s="8">
        <v>25910</v>
      </c>
      <c r="B625" s="13" t="s">
        <v>129</v>
      </c>
      <c r="C625" s="13" t="s">
        <v>6106</v>
      </c>
      <c r="D625" s="32" t="s">
        <v>2000</v>
      </c>
      <c r="E625" s="32" t="s">
        <v>2758</v>
      </c>
      <c r="F625" s="32" t="s">
        <v>6107</v>
      </c>
      <c r="G625" s="32" t="s">
        <v>5572</v>
      </c>
    </row>
    <row x14ac:dyDescent="0.25" r="626" customHeight="1" ht="15.75">
      <c r="A626" s="8">
        <v>25973</v>
      </c>
      <c r="B626" s="13" t="s">
        <v>129</v>
      </c>
      <c r="C626" s="13" t="s">
        <v>6108</v>
      </c>
      <c r="D626" s="32" t="s">
        <v>6109</v>
      </c>
      <c r="E626" s="32" t="s">
        <v>5162</v>
      </c>
      <c r="F626" s="32" t="s">
        <v>6110</v>
      </c>
      <c r="G626" s="32" t="s">
        <v>740</v>
      </c>
    </row>
    <row x14ac:dyDescent="0.25" r="627" customHeight="1" ht="15.75">
      <c r="A627" s="8">
        <v>25911</v>
      </c>
      <c r="B627" s="13" t="s">
        <v>129</v>
      </c>
      <c r="C627" s="13" t="s">
        <v>6111</v>
      </c>
      <c r="D627" s="32" t="s">
        <v>2721</v>
      </c>
      <c r="E627" s="32" t="s">
        <v>6112</v>
      </c>
      <c r="F627" s="32" t="s">
        <v>830</v>
      </c>
      <c r="G627" s="32" t="s">
        <v>1459</v>
      </c>
    </row>
    <row x14ac:dyDescent="0.25" r="628" customHeight="1" ht="15.75">
      <c r="A628" s="8">
        <v>25912</v>
      </c>
      <c r="B628" s="13" t="s">
        <v>129</v>
      </c>
      <c r="C628" s="13" t="s">
        <v>6113</v>
      </c>
      <c r="D628" s="32" t="s">
        <v>6114</v>
      </c>
      <c r="E628" s="32" t="s">
        <v>6115</v>
      </c>
      <c r="F628" s="32" t="s">
        <v>6116</v>
      </c>
      <c r="G628" s="32" t="s">
        <v>1369</v>
      </c>
    </row>
    <row x14ac:dyDescent="0.25" r="629" customHeight="1" ht="15.75">
      <c r="A629" s="8">
        <v>25913</v>
      </c>
      <c r="B629" s="13" t="s">
        <v>129</v>
      </c>
      <c r="C629" s="13" t="s">
        <v>6117</v>
      </c>
      <c r="D629" s="32" t="s">
        <v>6118</v>
      </c>
      <c r="E629" s="32" t="s">
        <v>6119</v>
      </c>
      <c r="F629" s="32" t="s">
        <v>6120</v>
      </c>
      <c r="G629" s="32" t="s">
        <v>6121</v>
      </c>
    </row>
    <row x14ac:dyDescent="0.25" r="630" customHeight="1" ht="15.75">
      <c r="A630" s="8">
        <v>25914</v>
      </c>
      <c r="B630" s="13" t="s">
        <v>129</v>
      </c>
      <c r="C630" s="13" t="s">
        <v>6122</v>
      </c>
      <c r="D630" s="32" t="s">
        <v>6123</v>
      </c>
      <c r="E630" s="32" t="s">
        <v>4439</v>
      </c>
      <c r="F630" s="32" t="s">
        <v>5530</v>
      </c>
      <c r="G630" s="32" t="s">
        <v>1401</v>
      </c>
    </row>
    <row x14ac:dyDescent="0.25" r="631" customHeight="1" ht="15.75">
      <c r="A631" s="8">
        <v>25915</v>
      </c>
      <c r="B631" s="13" t="s">
        <v>129</v>
      </c>
      <c r="C631" s="13" t="s">
        <v>6124</v>
      </c>
      <c r="D631" s="32" t="s">
        <v>6125</v>
      </c>
      <c r="E631" s="32" t="s">
        <v>6126</v>
      </c>
      <c r="F631" s="32" t="s">
        <v>6127</v>
      </c>
      <c r="G631" s="32" t="s">
        <v>5162</v>
      </c>
    </row>
    <row x14ac:dyDescent="0.25" r="632" customHeight="1" ht="15.75">
      <c r="A632" s="8">
        <v>25974</v>
      </c>
      <c r="B632" s="13" t="s">
        <v>129</v>
      </c>
      <c r="C632" s="13" t="s">
        <v>4531</v>
      </c>
      <c r="D632" s="32" t="s">
        <v>6128</v>
      </c>
      <c r="E632" s="32" t="s">
        <v>1387</v>
      </c>
      <c r="F632" s="32" t="s">
        <v>6129</v>
      </c>
      <c r="G632" s="32" t="s">
        <v>4219</v>
      </c>
    </row>
    <row x14ac:dyDescent="0.25" r="633" customHeight="1" ht="15.75">
      <c r="A633" s="8">
        <v>25939</v>
      </c>
      <c r="B633" s="13" t="s">
        <v>129</v>
      </c>
      <c r="C633" s="13" t="s">
        <v>6130</v>
      </c>
      <c r="D633" s="32" t="s">
        <v>6131</v>
      </c>
      <c r="E633" s="32" t="s">
        <v>6132</v>
      </c>
      <c r="F633" s="32" t="s">
        <v>6133</v>
      </c>
      <c r="G633" s="32" t="s">
        <v>6134</v>
      </c>
    </row>
    <row x14ac:dyDescent="0.25" r="634" customHeight="1" ht="15.75">
      <c r="A634" s="8">
        <v>25975</v>
      </c>
      <c r="B634" s="13" t="s">
        <v>129</v>
      </c>
      <c r="C634" s="13" t="s">
        <v>5226</v>
      </c>
      <c r="D634" s="32" t="s">
        <v>6135</v>
      </c>
      <c r="E634" s="32" t="s">
        <v>6136</v>
      </c>
      <c r="F634" s="32" t="s">
        <v>6137</v>
      </c>
      <c r="G634" s="32" t="s">
        <v>4348</v>
      </c>
    </row>
    <row x14ac:dyDescent="0.25" r="635" customHeight="1" ht="15.75">
      <c r="A635" s="8">
        <v>25976</v>
      </c>
      <c r="B635" s="13" t="s">
        <v>129</v>
      </c>
      <c r="C635" s="13" t="s">
        <v>6138</v>
      </c>
      <c r="D635" s="32" t="s">
        <v>6139</v>
      </c>
      <c r="E635" s="32" t="s">
        <v>6140</v>
      </c>
      <c r="F635" s="32" t="s">
        <v>4371</v>
      </c>
      <c r="G635" s="32" t="s">
        <v>5744</v>
      </c>
    </row>
    <row x14ac:dyDescent="0.25" r="636" customHeight="1" ht="15.75">
      <c r="A636" s="8">
        <v>25978</v>
      </c>
      <c r="B636" s="13" t="s">
        <v>129</v>
      </c>
      <c r="C636" s="13" t="s">
        <v>6141</v>
      </c>
      <c r="D636" s="32" t="s">
        <v>6142</v>
      </c>
      <c r="E636" s="32" t="s">
        <v>4372</v>
      </c>
      <c r="F636" s="32" t="s">
        <v>6143</v>
      </c>
      <c r="G636" s="32" t="s">
        <v>5214</v>
      </c>
    </row>
    <row x14ac:dyDescent="0.25" r="637" customHeight="1" ht="15.75">
      <c r="A637" s="8">
        <v>25916</v>
      </c>
      <c r="B637" s="13" t="s">
        <v>129</v>
      </c>
      <c r="C637" s="13" t="s">
        <v>6144</v>
      </c>
      <c r="D637" s="32" t="s">
        <v>6145</v>
      </c>
      <c r="E637" s="32" t="s">
        <v>1470</v>
      </c>
      <c r="F637" s="32" t="s">
        <v>6146</v>
      </c>
      <c r="G637" s="32" t="s">
        <v>4085</v>
      </c>
    </row>
    <row x14ac:dyDescent="0.25" r="638" customHeight="1" ht="15.75">
      <c r="A638" s="8">
        <v>25941</v>
      </c>
      <c r="B638" s="13" t="s">
        <v>129</v>
      </c>
      <c r="C638" s="13" t="s">
        <v>6147</v>
      </c>
      <c r="D638" s="32" t="s">
        <v>350</v>
      </c>
      <c r="E638" s="32" t="s">
        <v>6148</v>
      </c>
      <c r="F638" s="32" t="s">
        <v>88</v>
      </c>
      <c r="G638" s="32" t="s">
        <v>5661</v>
      </c>
    </row>
    <row x14ac:dyDescent="0.25" r="639" customHeight="1" ht="15.75">
      <c r="A639" s="8">
        <v>25942</v>
      </c>
      <c r="B639" s="13" t="s">
        <v>129</v>
      </c>
      <c r="C639" s="13" t="s">
        <v>6149</v>
      </c>
      <c r="D639" s="32" t="s">
        <v>6150</v>
      </c>
      <c r="E639" s="32" t="s">
        <v>1579</v>
      </c>
      <c r="F639" s="32" t="s">
        <v>6151</v>
      </c>
      <c r="G639" s="32" t="s">
        <v>4639</v>
      </c>
    </row>
    <row x14ac:dyDescent="0.25" r="640" customHeight="1" ht="15.75">
      <c r="A640" s="8">
        <v>25917</v>
      </c>
      <c r="B640" s="13" t="s">
        <v>129</v>
      </c>
      <c r="C640" s="13" t="s">
        <v>6152</v>
      </c>
      <c r="D640" s="32" t="s">
        <v>6153</v>
      </c>
      <c r="E640" s="32" t="s">
        <v>1659</v>
      </c>
      <c r="F640" s="32" t="s">
        <v>6154</v>
      </c>
      <c r="G640" s="32" t="s">
        <v>5194</v>
      </c>
    </row>
    <row x14ac:dyDescent="0.25" r="641" customHeight="1" ht="15.75">
      <c r="A641" s="8">
        <v>25979</v>
      </c>
      <c r="B641" s="13" t="s">
        <v>129</v>
      </c>
      <c r="C641" s="13" t="s">
        <v>6155</v>
      </c>
      <c r="D641" s="32" t="s">
        <v>6156</v>
      </c>
      <c r="E641" s="32" t="s">
        <v>6157</v>
      </c>
      <c r="F641" s="32" t="s">
        <v>2486</v>
      </c>
      <c r="G641" s="32" t="s">
        <v>5878</v>
      </c>
    </row>
    <row x14ac:dyDescent="0.25" r="642" customHeight="1" ht="15.75">
      <c r="A642" s="8">
        <v>25980</v>
      </c>
      <c r="B642" s="13" t="s">
        <v>129</v>
      </c>
      <c r="C642" s="13" t="s">
        <v>6158</v>
      </c>
      <c r="D642" s="32" t="s">
        <v>6159</v>
      </c>
      <c r="E642" s="32" t="s">
        <v>4369</v>
      </c>
      <c r="F642" s="32" t="s">
        <v>6160</v>
      </c>
      <c r="G642" s="32" t="s">
        <v>4354</v>
      </c>
    </row>
    <row x14ac:dyDescent="0.25" r="643" customHeight="1" ht="15.75">
      <c r="A643" s="8">
        <v>25918</v>
      </c>
      <c r="B643" s="13" t="s">
        <v>129</v>
      </c>
      <c r="C643" s="13" t="s">
        <v>6161</v>
      </c>
      <c r="D643" s="32" t="s">
        <v>6162</v>
      </c>
      <c r="E643" s="32" t="s">
        <v>5170</v>
      </c>
      <c r="F643" s="32" t="s">
        <v>2264</v>
      </c>
      <c r="G643" s="32" t="s">
        <v>4940</v>
      </c>
    </row>
    <row x14ac:dyDescent="0.25" r="644" customHeight="1" ht="15.75">
      <c r="A644" s="8">
        <v>25981</v>
      </c>
      <c r="B644" s="13" t="s">
        <v>129</v>
      </c>
      <c r="C644" s="13" t="s">
        <v>6163</v>
      </c>
      <c r="D644" s="32" t="s">
        <v>1826</v>
      </c>
      <c r="E644" s="32" t="s">
        <v>43</v>
      </c>
      <c r="F644" s="32" t="s">
        <v>2636</v>
      </c>
      <c r="G644" s="32" t="s">
        <v>4940</v>
      </c>
    </row>
    <row x14ac:dyDescent="0.25" r="645" customHeight="1" ht="15.75">
      <c r="A645" s="8">
        <v>25982</v>
      </c>
      <c r="B645" s="13" t="s">
        <v>129</v>
      </c>
      <c r="C645" s="13" t="s">
        <v>6164</v>
      </c>
      <c r="D645" s="32" t="s">
        <v>6165</v>
      </c>
      <c r="E645" s="32" t="s">
        <v>5674</v>
      </c>
      <c r="F645" s="32" t="s">
        <v>2142</v>
      </c>
      <c r="G645" s="32" t="s">
        <v>4138</v>
      </c>
    </row>
    <row x14ac:dyDescent="0.25" r="646" customHeight="1" ht="15.75">
      <c r="A646" s="8">
        <v>25983</v>
      </c>
      <c r="B646" s="13" t="s">
        <v>129</v>
      </c>
      <c r="C646" s="13" t="s">
        <v>6166</v>
      </c>
      <c r="D646" s="32" t="s">
        <v>6167</v>
      </c>
      <c r="E646" s="32" t="s">
        <v>6168</v>
      </c>
      <c r="F646" s="32" t="s">
        <v>951</v>
      </c>
      <c r="G646" s="32" t="s">
        <v>1452</v>
      </c>
    </row>
    <row x14ac:dyDescent="0.25" r="647" customHeight="1" ht="15.75">
      <c r="A647" s="8">
        <v>25984</v>
      </c>
      <c r="B647" s="13" t="s">
        <v>129</v>
      </c>
      <c r="C647" s="13" t="s">
        <v>6169</v>
      </c>
      <c r="D647" s="32" t="s">
        <v>6170</v>
      </c>
      <c r="E647" s="32" t="s">
        <v>6171</v>
      </c>
      <c r="F647" s="32" t="s">
        <v>6172</v>
      </c>
      <c r="G647" s="32" t="s">
        <v>5518</v>
      </c>
    </row>
    <row x14ac:dyDescent="0.25" r="648" customHeight="1" ht="15.75">
      <c r="A648" s="8">
        <v>25985</v>
      </c>
      <c r="B648" s="13" t="s">
        <v>129</v>
      </c>
      <c r="C648" s="13" t="s">
        <v>6173</v>
      </c>
      <c r="D648" s="32" t="s">
        <v>6174</v>
      </c>
      <c r="E648" s="32" t="s">
        <v>6175</v>
      </c>
      <c r="F648" s="32" t="s">
        <v>4598</v>
      </c>
      <c r="G648" s="32" t="s">
        <v>1474</v>
      </c>
    </row>
    <row x14ac:dyDescent="0.25" r="649" customHeight="1" ht="15.75">
      <c r="A649" s="8">
        <v>25986</v>
      </c>
      <c r="B649" s="13" t="s">
        <v>129</v>
      </c>
      <c r="C649" s="13" t="s">
        <v>6176</v>
      </c>
      <c r="D649" s="32" t="s">
        <v>6177</v>
      </c>
      <c r="E649" s="32" t="s">
        <v>6178</v>
      </c>
      <c r="F649" s="32" t="s">
        <v>6179</v>
      </c>
      <c r="G649" s="32" t="s">
        <v>4698</v>
      </c>
    </row>
    <row x14ac:dyDescent="0.25" r="650" customHeight="1" ht="15.75">
      <c r="A650" s="8">
        <v>25919</v>
      </c>
      <c r="B650" s="13" t="s">
        <v>129</v>
      </c>
      <c r="C650" s="13" t="s">
        <v>6180</v>
      </c>
      <c r="D650" s="32" t="s">
        <v>4121</v>
      </c>
      <c r="E650" s="32" t="s">
        <v>6181</v>
      </c>
      <c r="F650" s="32" t="s">
        <v>34</v>
      </c>
      <c r="G650" s="32" t="s">
        <v>5661</v>
      </c>
    </row>
    <row x14ac:dyDescent="0.25" r="651" customHeight="1" ht="15.75">
      <c r="A651" s="8">
        <v>25987</v>
      </c>
      <c r="B651" s="13" t="s">
        <v>129</v>
      </c>
      <c r="C651" s="13" t="s">
        <v>6182</v>
      </c>
      <c r="D651" s="32" t="s">
        <v>6183</v>
      </c>
      <c r="E651" s="32" t="s">
        <v>6184</v>
      </c>
      <c r="F651" s="32" t="s">
        <v>6185</v>
      </c>
      <c r="G651" s="32" t="s">
        <v>5360</v>
      </c>
    </row>
    <row x14ac:dyDescent="0.25" r="652" customHeight="1" ht="15.75">
      <c r="A652" s="8">
        <v>25920</v>
      </c>
      <c r="B652" s="13" t="s">
        <v>129</v>
      </c>
      <c r="C652" s="13" t="s">
        <v>6186</v>
      </c>
      <c r="D652" s="32" t="s">
        <v>6187</v>
      </c>
      <c r="E652" s="32" t="s">
        <v>5316</v>
      </c>
      <c r="F652" s="32" t="s">
        <v>6188</v>
      </c>
      <c r="G652" s="32" t="s">
        <v>4151</v>
      </c>
    </row>
    <row x14ac:dyDescent="0.25" r="653" customHeight="1" ht="15.75">
      <c r="A653" s="8">
        <v>25921</v>
      </c>
      <c r="B653" s="13" t="s">
        <v>129</v>
      </c>
      <c r="C653" s="13" t="s">
        <v>6189</v>
      </c>
      <c r="D653" s="32" t="s">
        <v>6190</v>
      </c>
      <c r="E653" s="32" t="s">
        <v>4890</v>
      </c>
      <c r="F653" s="32" t="s">
        <v>6191</v>
      </c>
      <c r="G653" s="32" t="s">
        <v>4671</v>
      </c>
    </row>
    <row x14ac:dyDescent="0.25" r="654" customHeight="1" ht="15.75">
      <c r="A654" s="8">
        <v>25953</v>
      </c>
      <c r="B654" s="13" t="s">
        <v>129</v>
      </c>
      <c r="C654" s="13" t="s">
        <v>6192</v>
      </c>
      <c r="D654" s="32" t="s">
        <v>6193</v>
      </c>
      <c r="E654" s="32" t="s">
        <v>6194</v>
      </c>
      <c r="F654" s="32" t="s">
        <v>5731</v>
      </c>
      <c r="G654" s="32" t="s">
        <v>1465</v>
      </c>
    </row>
    <row x14ac:dyDescent="0.25" r="655" customHeight="1" ht="15.75">
      <c r="A655" s="8">
        <v>25922</v>
      </c>
      <c r="B655" s="13" t="s">
        <v>129</v>
      </c>
      <c r="C655" s="13" t="s">
        <v>6195</v>
      </c>
      <c r="D655" s="32" t="s">
        <v>5865</v>
      </c>
      <c r="E655" s="32" t="s">
        <v>5771</v>
      </c>
      <c r="F655" s="32" t="s">
        <v>5785</v>
      </c>
      <c r="G655" s="32" t="s">
        <v>5661</v>
      </c>
    </row>
    <row x14ac:dyDescent="0.25" r="656" customHeight="1" ht="15.75">
      <c r="A656" s="8">
        <v>25923</v>
      </c>
      <c r="B656" s="13" t="s">
        <v>129</v>
      </c>
      <c r="C656" s="13" t="s">
        <v>6196</v>
      </c>
      <c r="D656" s="32" t="s">
        <v>5207</v>
      </c>
      <c r="E656" s="32" t="s">
        <v>1533</v>
      </c>
      <c r="F656" s="32" t="s">
        <v>6123</v>
      </c>
      <c r="G656" s="32" t="s">
        <v>1389</v>
      </c>
    </row>
    <row x14ac:dyDescent="0.25" r="657" customHeight="1" ht="15.75">
      <c r="A657" s="8">
        <v>25924</v>
      </c>
      <c r="B657" s="13" t="s">
        <v>129</v>
      </c>
      <c r="C657" s="13" t="s">
        <v>6197</v>
      </c>
      <c r="D657" s="32" t="s">
        <v>951</v>
      </c>
      <c r="E657" s="32" t="s">
        <v>409</v>
      </c>
      <c r="F657" s="32" t="s">
        <v>6198</v>
      </c>
      <c r="G657" s="32" t="s">
        <v>740</v>
      </c>
    </row>
    <row x14ac:dyDescent="0.25" r="658" customHeight="1" ht="15.75">
      <c r="A658" s="8">
        <v>25943</v>
      </c>
      <c r="B658" s="13" t="s">
        <v>129</v>
      </c>
      <c r="C658" s="13" t="s">
        <v>6199</v>
      </c>
      <c r="D658" s="32" t="s">
        <v>4234</v>
      </c>
      <c r="E658" s="32" t="s">
        <v>1013</v>
      </c>
      <c r="F658" s="32" t="s">
        <v>6200</v>
      </c>
      <c r="G658" s="32" t="s">
        <v>4104</v>
      </c>
    </row>
    <row x14ac:dyDescent="0.25" r="659" customHeight="1" ht="15.75">
      <c r="A659" s="8">
        <v>25925</v>
      </c>
      <c r="B659" s="13" t="s">
        <v>129</v>
      </c>
      <c r="C659" s="13" t="s">
        <v>6201</v>
      </c>
      <c r="D659" s="32" t="s">
        <v>6202</v>
      </c>
      <c r="E659" s="32" t="s">
        <v>4630</v>
      </c>
      <c r="F659" s="32" t="s">
        <v>6203</v>
      </c>
      <c r="G659" s="32" t="s">
        <v>5323</v>
      </c>
    </row>
    <row x14ac:dyDescent="0.25" r="660" customHeight="1" ht="15.75">
      <c r="A660" s="8">
        <v>25926</v>
      </c>
      <c r="B660" s="13" t="s">
        <v>129</v>
      </c>
      <c r="C660" s="13" t="s">
        <v>6204</v>
      </c>
      <c r="D660" s="32" t="s">
        <v>6205</v>
      </c>
      <c r="E660" s="32" t="s">
        <v>1509</v>
      </c>
      <c r="F660" s="32" t="s">
        <v>2387</v>
      </c>
      <c r="G660" s="32" t="s">
        <v>6104</v>
      </c>
    </row>
    <row x14ac:dyDescent="0.25" r="661" customHeight="1" ht="15.75">
      <c r="A661" s="8">
        <v>25927</v>
      </c>
      <c r="B661" s="13" t="s">
        <v>129</v>
      </c>
      <c r="C661" s="13" t="s">
        <v>6206</v>
      </c>
      <c r="D661" s="32" t="s">
        <v>6207</v>
      </c>
      <c r="E661" s="32" t="s">
        <v>4102</v>
      </c>
      <c r="F661" s="32" t="s">
        <v>6208</v>
      </c>
      <c r="G661" s="32" t="s">
        <v>4124</v>
      </c>
    </row>
    <row x14ac:dyDescent="0.25" r="662" customHeight="1" ht="15.75">
      <c r="A662" s="8">
        <v>25928</v>
      </c>
      <c r="B662" s="13" t="s">
        <v>129</v>
      </c>
      <c r="C662" s="13" t="s">
        <v>6209</v>
      </c>
      <c r="D662" s="32" t="s">
        <v>6210</v>
      </c>
      <c r="E662" s="32" t="s">
        <v>4578</v>
      </c>
      <c r="F662" s="32" t="s">
        <v>4304</v>
      </c>
      <c r="G662" s="32" t="s">
        <v>6211</v>
      </c>
    </row>
    <row x14ac:dyDescent="0.25" r="663" customHeight="1" ht="15.75">
      <c r="A663" s="8">
        <v>25929</v>
      </c>
      <c r="B663" s="13" t="s">
        <v>129</v>
      </c>
      <c r="C663" s="13" t="s">
        <v>6212</v>
      </c>
      <c r="D663" s="32" t="s">
        <v>2687</v>
      </c>
      <c r="E663" s="32" t="s">
        <v>6213</v>
      </c>
      <c r="F663" s="32" t="s">
        <v>6214</v>
      </c>
      <c r="G663" s="32" t="s">
        <v>5876</v>
      </c>
    </row>
    <row x14ac:dyDescent="0.25" r="664" customHeight="1" ht="15.75">
      <c r="A664" s="8">
        <v>25930</v>
      </c>
      <c r="B664" s="13" t="s">
        <v>129</v>
      </c>
      <c r="C664" s="13" t="s">
        <v>6215</v>
      </c>
      <c r="D664" s="32" t="s">
        <v>6216</v>
      </c>
      <c r="E664" s="32" t="s">
        <v>1452</v>
      </c>
      <c r="F664" s="32" t="s">
        <v>6217</v>
      </c>
      <c r="G664" s="32" t="s">
        <v>4698</v>
      </c>
    </row>
    <row x14ac:dyDescent="0.25" r="665" customHeight="1" ht="15.75">
      <c r="A665" s="8">
        <v>25954</v>
      </c>
      <c r="B665" s="13" t="s">
        <v>129</v>
      </c>
      <c r="C665" s="13" t="s">
        <v>6218</v>
      </c>
      <c r="D665" s="32" t="s">
        <v>6219</v>
      </c>
      <c r="E665" s="32" t="s">
        <v>4091</v>
      </c>
      <c r="F665" s="32" t="s">
        <v>4384</v>
      </c>
      <c r="G665" s="32" t="s">
        <v>1395</v>
      </c>
    </row>
    <row x14ac:dyDescent="0.25" r="666" customHeight="1" ht="15.75">
      <c r="A666" s="8">
        <v>25988</v>
      </c>
      <c r="B666" s="13" t="s">
        <v>129</v>
      </c>
      <c r="C666" s="13" t="s">
        <v>6220</v>
      </c>
      <c r="D666" s="32" t="s">
        <v>5658</v>
      </c>
      <c r="E666" s="32" t="s">
        <v>4251</v>
      </c>
      <c r="F666" s="32" t="s">
        <v>4394</v>
      </c>
      <c r="G666" s="32" t="s">
        <v>4798</v>
      </c>
    </row>
    <row x14ac:dyDescent="0.25" r="667" customHeight="1" ht="15.75">
      <c r="A667" s="8">
        <v>25989</v>
      </c>
      <c r="B667" s="13" t="s">
        <v>129</v>
      </c>
      <c r="C667" s="13" t="s">
        <v>6221</v>
      </c>
      <c r="D667" s="32" t="s">
        <v>6222</v>
      </c>
      <c r="E667" s="32" t="s">
        <v>5971</v>
      </c>
      <c r="F667" s="32" t="s">
        <v>6223</v>
      </c>
      <c r="G667" s="32" t="s">
        <v>6104</v>
      </c>
    </row>
    <row x14ac:dyDescent="0.25" r="668" customHeight="1" ht="15.75">
      <c r="A668" s="8">
        <v>25990</v>
      </c>
      <c r="B668" s="13" t="s">
        <v>129</v>
      </c>
      <c r="C668" s="13" t="s">
        <v>6224</v>
      </c>
      <c r="D668" s="32" t="s">
        <v>6225</v>
      </c>
      <c r="E668" s="32" t="s">
        <v>4213</v>
      </c>
      <c r="F668" s="32" t="s">
        <v>696</v>
      </c>
      <c r="G668" s="32" t="s">
        <v>5264</v>
      </c>
    </row>
    <row x14ac:dyDescent="0.25" r="669" customHeight="1" ht="15.75">
      <c r="A669" s="8">
        <v>25991</v>
      </c>
      <c r="B669" s="13" t="s">
        <v>129</v>
      </c>
      <c r="C669" s="13" t="s">
        <v>6226</v>
      </c>
      <c r="D669" s="32" t="s">
        <v>6227</v>
      </c>
      <c r="E669" s="32" t="s">
        <v>4231</v>
      </c>
      <c r="F669" s="32" t="s">
        <v>6228</v>
      </c>
      <c r="G669" s="32" t="s">
        <v>5856</v>
      </c>
    </row>
    <row x14ac:dyDescent="0.25" r="670" customHeight="1" ht="15.75">
      <c r="A670" s="8">
        <v>25955</v>
      </c>
      <c r="B670" s="13" t="s">
        <v>129</v>
      </c>
      <c r="C670" s="13" t="s">
        <v>6229</v>
      </c>
      <c r="D670" s="32" t="s">
        <v>6230</v>
      </c>
      <c r="E670" s="32" t="s">
        <v>6231</v>
      </c>
      <c r="F670" s="32" t="s">
        <v>6232</v>
      </c>
      <c r="G670" s="32" t="s">
        <v>4581</v>
      </c>
    </row>
    <row x14ac:dyDescent="0.25" r="671" customHeight="1" ht="15.75">
      <c r="A671" s="8">
        <v>25021</v>
      </c>
      <c r="B671" s="13" t="s">
        <v>109</v>
      </c>
      <c r="C671" s="13" t="s">
        <v>6233</v>
      </c>
      <c r="D671" s="32" t="s">
        <v>74</v>
      </c>
      <c r="E671" s="32" t="s">
        <v>6234</v>
      </c>
      <c r="F671" s="32" t="s">
        <v>6235</v>
      </c>
      <c r="G671" s="32" t="s">
        <v>4430</v>
      </c>
    </row>
    <row x14ac:dyDescent="0.25" r="672" customHeight="1" ht="15.75">
      <c r="A672" s="8">
        <v>25003</v>
      </c>
      <c r="B672" s="13" t="s">
        <v>109</v>
      </c>
      <c r="C672" s="13" t="s">
        <v>6236</v>
      </c>
      <c r="D672" s="32" t="s">
        <v>6237</v>
      </c>
      <c r="E672" s="32" t="s">
        <v>4437</v>
      </c>
      <c r="F672" s="32" t="s">
        <v>4319</v>
      </c>
      <c r="G672" s="32" t="s">
        <v>4946</v>
      </c>
    </row>
    <row x14ac:dyDescent="0.25" r="673" customHeight="1" ht="15.75">
      <c r="A673" s="8">
        <v>25050</v>
      </c>
      <c r="B673" s="13" t="s">
        <v>109</v>
      </c>
      <c r="C673" s="13" t="s">
        <v>6238</v>
      </c>
      <c r="D673" s="32" t="s">
        <v>6239</v>
      </c>
      <c r="E673" s="32" t="s">
        <v>2776</v>
      </c>
      <c r="F673" s="32" t="s">
        <v>1521</v>
      </c>
      <c r="G673" s="32" t="s">
        <v>6240</v>
      </c>
    </row>
    <row x14ac:dyDescent="0.25" r="674" customHeight="1" ht="15.75">
      <c r="A674" s="8">
        <v>25022</v>
      </c>
      <c r="B674" s="13" t="s">
        <v>109</v>
      </c>
      <c r="C674" s="13" t="s">
        <v>6241</v>
      </c>
      <c r="D674" s="32" t="s">
        <v>6242</v>
      </c>
      <c r="E674" s="32" t="s">
        <v>4800</v>
      </c>
      <c r="F674" s="32" t="s">
        <v>4900</v>
      </c>
      <c r="G674" s="32" t="s">
        <v>5146</v>
      </c>
    </row>
    <row x14ac:dyDescent="0.25" r="675" customHeight="1" ht="15.75">
      <c r="A675" s="8">
        <v>25023</v>
      </c>
      <c r="B675" s="13" t="s">
        <v>109</v>
      </c>
      <c r="C675" s="13" t="s">
        <v>6243</v>
      </c>
      <c r="D675" s="32" t="s">
        <v>6244</v>
      </c>
      <c r="E675" s="32" t="s">
        <v>5138</v>
      </c>
      <c r="F675" s="32" t="s">
        <v>6245</v>
      </c>
      <c r="G675" s="32" t="s">
        <v>1603</v>
      </c>
    </row>
    <row x14ac:dyDescent="0.25" r="676" customHeight="1" ht="15.75">
      <c r="A676" s="8">
        <v>25042</v>
      </c>
      <c r="B676" s="13" t="s">
        <v>109</v>
      </c>
      <c r="C676" s="13" t="s">
        <v>6246</v>
      </c>
      <c r="D676" s="32" t="s">
        <v>6247</v>
      </c>
      <c r="E676" s="32" t="s">
        <v>2770</v>
      </c>
      <c r="F676" s="32" t="s">
        <v>6248</v>
      </c>
      <c r="G676" s="32" t="s">
        <v>6249</v>
      </c>
    </row>
    <row x14ac:dyDescent="0.25" r="677" customHeight="1" ht="15.75">
      <c r="A677" s="8">
        <v>25037</v>
      </c>
      <c r="B677" s="13" t="s">
        <v>109</v>
      </c>
      <c r="C677" s="13" t="s">
        <v>6250</v>
      </c>
      <c r="D677" s="32" t="s">
        <v>6251</v>
      </c>
      <c r="E677" s="32" t="s">
        <v>6252</v>
      </c>
      <c r="F677" s="32" t="s">
        <v>2481</v>
      </c>
      <c r="G677" s="32" t="s">
        <v>5831</v>
      </c>
    </row>
    <row x14ac:dyDescent="0.25" r="678" customHeight="1" ht="15.75">
      <c r="A678" s="8">
        <v>25046</v>
      </c>
      <c r="B678" s="13" t="s">
        <v>109</v>
      </c>
      <c r="C678" s="13" t="s">
        <v>6253</v>
      </c>
      <c r="D678" s="32" t="s">
        <v>6254</v>
      </c>
      <c r="E678" s="32" t="s">
        <v>5554</v>
      </c>
      <c r="F678" s="32" t="s">
        <v>6255</v>
      </c>
      <c r="G678" s="32" t="s">
        <v>4237</v>
      </c>
    </row>
    <row x14ac:dyDescent="0.25" r="679" customHeight="1" ht="15.75">
      <c r="A679" s="8">
        <v>25024</v>
      </c>
      <c r="B679" s="13" t="s">
        <v>109</v>
      </c>
      <c r="C679" s="13" t="s">
        <v>6256</v>
      </c>
      <c r="D679" s="32" t="s">
        <v>4708</v>
      </c>
      <c r="E679" s="32" t="s">
        <v>6257</v>
      </c>
      <c r="F679" s="32" t="s">
        <v>6258</v>
      </c>
      <c r="G679" s="32" t="s">
        <v>4248</v>
      </c>
    </row>
    <row x14ac:dyDescent="0.25" r="680" customHeight="1" ht="15.75">
      <c r="A680" s="8">
        <v>25025</v>
      </c>
      <c r="B680" s="13" t="s">
        <v>109</v>
      </c>
      <c r="C680" s="13" t="s">
        <v>6259</v>
      </c>
      <c r="D680" s="32" t="s">
        <v>6260</v>
      </c>
      <c r="E680" s="32" t="s">
        <v>4546</v>
      </c>
      <c r="F680" s="32" t="s">
        <v>6261</v>
      </c>
      <c r="G680" s="32" t="s">
        <v>5347</v>
      </c>
    </row>
    <row x14ac:dyDescent="0.25" r="681" customHeight="1" ht="15.75">
      <c r="A681" s="8">
        <v>25051</v>
      </c>
      <c r="B681" s="13" t="s">
        <v>109</v>
      </c>
      <c r="C681" s="13" t="s">
        <v>6262</v>
      </c>
      <c r="D681" s="32" t="s">
        <v>4687</v>
      </c>
      <c r="E681" s="32" t="s">
        <v>5173</v>
      </c>
      <c r="F681" s="32" t="s">
        <v>5660</v>
      </c>
      <c r="G681" s="32" t="s">
        <v>6263</v>
      </c>
    </row>
    <row x14ac:dyDescent="0.25" r="682" customHeight="1" ht="15.75">
      <c r="A682" s="8">
        <v>25026</v>
      </c>
      <c r="B682" s="13" t="s">
        <v>109</v>
      </c>
      <c r="C682" s="13" t="s">
        <v>6264</v>
      </c>
      <c r="D682" s="32" t="s">
        <v>6265</v>
      </c>
      <c r="E682" s="32" t="s">
        <v>4529</v>
      </c>
      <c r="F682" s="32" t="s">
        <v>6265</v>
      </c>
      <c r="G682" s="32" t="s">
        <v>4612</v>
      </c>
    </row>
    <row x14ac:dyDescent="0.25" r="683" customHeight="1" ht="15.75">
      <c r="A683" s="8">
        <v>25004</v>
      </c>
      <c r="B683" s="13" t="s">
        <v>109</v>
      </c>
      <c r="C683" s="13" t="s">
        <v>6266</v>
      </c>
      <c r="D683" s="32" t="s">
        <v>6267</v>
      </c>
      <c r="E683" s="32" t="s">
        <v>1722</v>
      </c>
      <c r="F683" s="32" t="s">
        <v>6268</v>
      </c>
      <c r="G683" s="32" t="s">
        <v>283</v>
      </c>
    </row>
    <row x14ac:dyDescent="0.25" r="684" customHeight="1" ht="15.75">
      <c r="A684" s="8">
        <v>25043</v>
      </c>
      <c r="B684" s="13" t="s">
        <v>109</v>
      </c>
      <c r="C684" s="13" t="s">
        <v>6269</v>
      </c>
      <c r="D684" s="32" t="s">
        <v>6270</v>
      </c>
      <c r="E684" s="32" t="s">
        <v>1649</v>
      </c>
      <c r="F684" s="32" t="s">
        <v>6270</v>
      </c>
      <c r="G684" s="32" t="s">
        <v>6271</v>
      </c>
    </row>
    <row x14ac:dyDescent="0.25" r="685" customHeight="1" ht="15.75">
      <c r="A685" s="8">
        <v>25044</v>
      </c>
      <c r="B685" s="13" t="s">
        <v>109</v>
      </c>
      <c r="C685" s="13" t="s">
        <v>6272</v>
      </c>
      <c r="D685" s="32" t="s">
        <v>6273</v>
      </c>
      <c r="E685" s="32" t="s">
        <v>4346</v>
      </c>
      <c r="F685" s="32" t="s">
        <v>6274</v>
      </c>
      <c r="G685" s="32" t="s">
        <v>5554</v>
      </c>
    </row>
    <row x14ac:dyDescent="0.25" r="686" customHeight="1" ht="15.75">
      <c r="A686" s="8">
        <v>25016</v>
      </c>
      <c r="B686" s="13" t="s">
        <v>109</v>
      </c>
      <c r="C686" s="13" t="s">
        <v>6275</v>
      </c>
      <c r="D686" s="32" t="s">
        <v>6276</v>
      </c>
      <c r="E686" s="32" t="s">
        <v>6277</v>
      </c>
      <c r="F686" s="32" t="s">
        <v>6278</v>
      </c>
      <c r="G686" s="32" t="s">
        <v>6279</v>
      </c>
    </row>
    <row x14ac:dyDescent="0.25" r="687" customHeight="1" ht="15.75">
      <c r="A687" s="8">
        <v>25047</v>
      </c>
      <c r="B687" s="13" t="s">
        <v>109</v>
      </c>
      <c r="C687" s="13" t="s">
        <v>6280</v>
      </c>
      <c r="D687" s="32" t="s">
        <v>74</v>
      </c>
      <c r="E687" s="32" t="s">
        <v>6281</v>
      </c>
      <c r="F687" s="32" t="s">
        <v>74</v>
      </c>
      <c r="G687" s="32" t="s">
        <v>6282</v>
      </c>
    </row>
    <row x14ac:dyDescent="0.25" r="688" customHeight="1" ht="15.75">
      <c r="A688" s="8">
        <v>25005</v>
      </c>
      <c r="B688" s="13" t="s">
        <v>109</v>
      </c>
      <c r="C688" s="13" t="s">
        <v>6035</v>
      </c>
      <c r="D688" s="32" t="s">
        <v>6283</v>
      </c>
      <c r="E688" s="32" t="s">
        <v>2472</v>
      </c>
      <c r="F688" s="32" t="s">
        <v>6284</v>
      </c>
      <c r="G688" s="32" t="s">
        <v>6285</v>
      </c>
    </row>
    <row x14ac:dyDescent="0.25" r="689" customHeight="1" ht="15.75">
      <c r="A689" s="8">
        <v>25017</v>
      </c>
      <c r="B689" s="13" t="s">
        <v>109</v>
      </c>
      <c r="C689" s="13" t="s">
        <v>6286</v>
      </c>
      <c r="D689" s="32" t="s">
        <v>6287</v>
      </c>
      <c r="E689" s="32" t="s">
        <v>4562</v>
      </c>
      <c r="F689" s="32" t="s">
        <v>6288</v>
      </c>
      <c r="G689" s="32" t="s">
        <v>5920</v>
      </c>
    </row>
    <row x14ac:dyDescent="0.25" r="690" customHeight="1" ht="15.75">
      <c r="A690" s="8">
        <v>25014</v>
      </c>
      <c r="B690" s="13" t="s">
        <v>109</v>
      </c>
      <c r="C690" s="13" t="s">
        <v>6289</v>
      </c>
      <c r="D690" s="32" t="s">
        <v>6290</v>
      </c>
      <c r="E690" s="32" t="s">
        <v>111</v>
      </c>
      <c r="F690" s="32" t="s">
        <v>4543</v>
      </c>
      <c r="G690" s="32" t="s">
        <v>1671</v>
      </c>
    </row>
    <row x14ac:dyDescent="0.25" r="691" customHeight="1" ht="15.75">
      <c r="A691" s="8">
        <v>25052</v>
      </c>
      <c r="B691" s="13" t="s">
        <v>109</v>
      </c>
      <c r="C691" s="13" t="s">
        <v>6291</v>
      </c>
      <c r="D691" s="32" t="s">
        <v>6292</v>
      </c>
      <c r="E691" s="32" t="s">
        <v>6293</v>
      </c>
      <c r="F691" s="32" t="s">
        <v>4063</v>
      </c>
      <c r="G691" s="32" t="s">
        <v>6294</v>
      </c>
    </row>
    <row x14ac:dyDescent="0.25" r="692" customHeight="1" ht="15.75">
      <c r="A692" s="8">
        <v>25018</v>
      </c>
      <c r="B692" s="13" t="s">
        <v>109</v>
      </c>
      <c r="C692" s="13" t="s">
        <v>6295</v>
      </c>
      <c r="D692" s="32" t="s">
        <v>74</v>
      </c>
      <c r="E692" s="32" t="s">
        <v>1808</v>
      </c>
      <c r="F692" s="32" t="s">
        <v>4590</v>
      </c>
      <c r="G692" s="32" t="s">
        <v>4646</v>
      </c>
    </row>
    <row x14ac:dyDescent="0.25" r="693" customHeight="1" ht="15.75">
      <c r="A693" s="8">
        <v>25048</v>
      </c>
      <c r="B693" s="13" t="s">
        <v>109</v>
      </c>
      <c r="C693" s="13" t="s">
        <v>6296</v>
      </c>
      <c r="D693" s="32" t="s">
        <v>2364</v>
      </c>
      <c r="E693" s="32" t="s">
        <v>1462</v>
      </c>
      <c r="F693" s="32" t="s">
        <v>4961</v>
      </c>
      <c r="G693" s="32" t="s">
        <v>1437</v>
      </c>
    </row>
    <row x14ac:dyDescent="0.25" r="694" customHeight="1" ht="15.75">
      <c r="A694" s="8">
        <v>25027</v>
      </c>
      <c r="B694" s="13" t="s">
        <v>109</v>
      </c>
      <c r="C694" s="13" t="s">
        <v>6297</v>
      </c>
      <c r="D694" s="32" t="s">
        <v>2264</v>
      </c>
      <c r="E694" s="32" t="s">
        <v>6298</v>
      </c>
      <c r="F694" s="32" t="s">
        <v>2264</v>
      </c>
      <c r="G694" s="32" t="s">
        <v>1462</v>
      </c>
    </row>
    <row x14ac:dyDescent="0.25" r="695" customHeight="1" ht="15.75">
      <c r="A695" s="8">
        <v>25019</v>
      </c>
      <c r="B695" s="13" t="s">
        <v>109</v>
      </c>
      <c r="C695" s="13" t="s">
        <v>6299</v>
      </c>
      <c r="D695" s="32" t="s">
        <v>74</v>
      </c>
      <c r="E695" s="32" t="s">
        <v>6300</v>
      </c>
      <c r="F695" s="32" t="s">
        <v>6301</v>
      </c>
      <c r="G695" s="32" t="s">
        <v>1679</v>
      </c>
    </row>
    <row x14ac:dyDescent="0.25" r="696" customHeight="1" ht="15.75">
      <c r="A696" s="8">
        <v>25028</v>
      </c>
      <c r="B696" s="13" t="s">
        <v>109</v>
      </c>
      <c r="C696" s="13" t="s">
        <v>6302</v>
      </c>
      <c r="D696" s="32" t="s">
        <v>6303</v>
      </c>
      <c r="E696" s="32" t="s">
        <v>1470</v>
      </c>
      <c r="F696" s="32" t="s">
        <v>6304</v>
      </c>
      <c r="G696" s="32" t="s">
        <v>4141</v>
      </c>
    </row>
    <row x14ac:dyDescent="0.25" r="697" customHeight="1" ht="15.75">
      <c r="A697" s="8">
        <v>25001</v>
      </c>
      <c r="B697" s="13" t="s">
        <v>109</v>
      </c>
      <c r="C697" s="13" t="s">
        <v>6305</v>
      </c>
      <c r="D697" s="32" t="s">
        <v>5433</v>
      </c>
      <c r="E697" s="32" t="s">
        <v>1551</v>
      </c>
      <c r="F697" s="32" t="s">
        <v>5288</v>
      </c>
      <c r="G697" s="32" t="s">
        <v>4774</v>
      </c>
    </row>
    <row x14ac:dyDescent="0.25" r="698" customHeight="1" ht="15.75">
      <c r="A698" s="8">
        <v>25029</v>
      </c>
      <c r="B698" s="13" t="s">
        <v>109</v>
      </c>
      <c r="C698" s="13" t="s">
        <v>6306</v>
      </c>
      <c r="D698" s="32" t="s">
        <v>6307</v>
      </c>
      <c r="E698" s="32" t="s">
        <v>2512</v>
      </c>
      <c r="F698" s="32" t="s">
        <v>6308</v>
      </c>
      <c r="G698" s="32" t="s">
        <v>4526</v>
      </c>
    </row>
    <row x14ac:dyDescent="0.25" r="699" customHeight="1" ht="15.75">
      <c r="A699" s="8">
        <v>25006</v>
      </c>
      <c r="B699" s="13" t="s">
        <v>109</v>
      </c>
      <c r="C699" s="13" t="s">
        <v>6309</v>
      </c>
      <c r="D699" s="32" t="s">
        <v>2689</v>
      </c>
      <c r="E699" s="32" t="s">
        <v>5001</v>
      </c>
      <c r="F699" s="32" t="s">
        <v>6310</v>
      </c>
      <c r="G699" s="32" t="s">
        <v>5030</v>
      </c>
    </row>
    <row x14ac:dyDescent="0.25" r="700" customHeight="1" ht="15.75">
      <c r="A700" s="8">
        <v>25038</v>
      </c>
      <c r="B700" s="13" t="s">
        <v>109</v>
      </c>
      <c r="C700" s="13" t="s">
        <v>6311</v>
      </c>
      <c r="D700" s="32" t="s">
        <v>6042</v>
      </c>
      <c r="E700" s="32" t="s">
        <v>6312</v>
      </c>
      <c r="F700" s="32" t="s">
        <v>6313</v>
      </c>
      <c r="G700" s="32" t="s">
        <v>6314</v>
      </c>
    </row>
    <row x14ac:dyDescent="0.25" r="701" customHeight="1" ht="15.75">
      <c r="A701" s="8">
        <v>25007</v>
      </c>
      <c r="B701" s="13" t="s">
        <v>109</v>
      </c>
      <c r="C701" s="13" t="s">
        <v>6062</v>
      </c>
      <c r="D701" s="32" t="s">
        <v>6245</v>
      </c>
      <c r="E701" s="32" t="s">
        <v>4806</v>
      </c>
      <c r="F701" s="32" t="s">
        <v>6245</v>
      </c>
      <c r="G701" s="32" t="s">
        <v>5661</v>
      </c>
    </row>
    <row x14ac:dyDescent="0.25" r="702" customHeight="1" ht="15.75">
      <c r="A702" s="8">
        <v>25008</v>
      </c>
      <c r="B702" s="13" t="s">
        <v>109</v>
      </c>
      <c r="C702" s="13" t="s">
        <v>6315</v>
      </c>
      <c r="D702" s="32" t="s">
        <v>4536</v>
      </c>
      <c r="E702" s="32" t="s">
        <v>1524</v>
      </c>
      <c r="F702" s="32" t="s">
        <v>74</v>
      </c>
      <c r="G702" s="32" t="s">
        <v>1740</v>
      </c>
    </row>
    <row x14ac:dyDescent="0.25" r="703" customHeight="1" ht="15.75">
      <c r="A703" s="8">
        <v>25058</v>
      </c>
      <c r="B703" s="13" t="s">
        <v>109</v>
      </c>
      <c r="C703" s="13" t="s">
        <v>6316</v>
      </c>
      <c r="D703" s="32" t="s">
        <v>2714</v>
      </c>
      <c r="E703" s="32" t="s">
        <v>1593</v>
      </c>
      <c r="F703" s="32" t="s">
        <v>4065</v>
      </c>
      <c r="G703" s="32" t="s">
        <v>5347</v>
      </c>
    </row>
    <row x14ac:dyDescent="0.25" r="704" customHeight="1" ht="15.75">
      <c r="A704" s="8">
        <v>25030</v>
      </c>
      <c r="B704" s="13" t="s">
        <v>109</v>
      </c>
      <c r="C704" s="13" t="s">
        <v>6317</v>
      </c>
      <c r="D704" s="32" t="s">
        <v>2679</v>
      </c>
      <c r="E704" s="32" t="s">
        <v>5903</v>
      </c>
      <c r="F704" s="32" t="s">
        <v>6284</v>
      </c>
      <c r="G704" s="32" t="s">
        <v>5162</v>
      </c>
    </row>
    <row x14ac:dyDescent="0.25" r="705" customHeight="1" ht="15.75">
      <c r="A705" s="8">
        <v>25011</v>
      </c>
      <c r="B705" s="13" t="s">
        <v>109</v>
      </c>
      <c r="C705" s="13" t="s">
        <v>6318</v>
      </c>
      <c r="D705" s="32" t="s">
        <v>6319</v>
      </c>
      <c r="E705" s="32" t="s">
        <v>1700</v>
      </c>
      <c r="F705" s="32" t="s">
        <v>6320</v>
      </c>
      <c r="G705" s="32" t="s">
        <v>4443</v>
      </c>
    </row>
    <row x14ac:dyDescent="0.25" r="706" customHeight="1" ht="15.75">
      <c r="A706" s="8">
        <v>25009</v>
      </c>
      <c r="B706" s="13" t="s">
        <v>109</v>
      </c>
      <c r="C706" s="13" t="s">
        <v>6321</v>
      </c>
      <c r="D706" s="32" t="s">
        <v>4073</v>
      </c>
      <c r="E706" s="32" t="s">
        <v>4724</v>
      </c>
      <c r="F706" s="32" t="s">
        <v>6165</v>
      </c>
      <c r="G706" s="32" t="s">
        <v>5661</v>
      </c>
    </row>
    <row x14ac:dyDescent="0.25" r="707" customHeight="1" ht="15.75">
      <c r="A707" s="8">
        <v>25053</v>
      </c>
      <c r="B707" s="13" t="s">
        <v>109</v>
      </c>
      <c r="C707" s="13" t="s">
        <v>6322</v>
      </c>
      <c r="D707" s="32" t="s">
        <v>6323</v>
      </c>
      <c r="E707" s="32" t="s">
        <v>6324</v>
      </c>
      <c r="F707" s="32" t="s">
        <v>6102</v>
      </c>
      <c r="G707" s="32" t="s">
        <v>517</v>
      </c>
    </row>
    <row x14ac:dyDescent="0.25" r="708" customHeight="1" ht="15.75">
      <c r="A708" s="8">
        <v>25039</v>
      </c>
      <c r="B708" s="13" t="s">
        <v>109</v>
      </c>
      <c r="C708" s="13" t="s">
        <v>6325</v>
      </c>
      <c r="D708" s="32" t="s">
        <v>74</v>
      </c>
      <c r="E708" s="32" t="s">
        <v>4455</v>
      </c>
      <c r="F708" s="32" t="s">
        <v>74</v>
      </c>
      <c r="G708" s="32" t="s">
        <v>5593</v>
      </c>
    </row>
    <row x14ac:dyDescent="0.25" r="709" customHeight="1" ht="15.75">
      <c r="A709" s="8">
        <v>25031</v>
      </c>
      <c r="B709" s="13" t="s">
        <v>109</v>
      </c>
      <c r="C709" s="13" t="s">
        <v>6326</v>
      </c>
      <c r="D709" s="32" t="s">
        <v>74</v>
      </c>
      <c r="E709" s="32" t="s">
        <v>1722</v>
      </c>
      <c r="F709" s="32" t="s">
        <v>6327</v>
      </c>
      <c r="G709" s="32" t="s">
        <v>1509</v>
      </c>
    </row>
    <row x14ac:dyDescent="0.25" r="710" customHeight="1" ht="15.75">
      <c r="A710" s="8">
        <v>25032</v>
      </c>
      <c r="B710" s="13" t="s">
        <v>109</v>
      </c>
      <c r="C710" s="13" t="s">
        <v>6328</v>
      </c>
      <c r="D710" s="32" t="s">
        <v>6329</v>
      </c>
      <c r="E710" s="32" t="s">
        <v>4560</v>
      </c>
      <c r="F710" s="32" t="s">
        <v>447</v>
      </c>
      <c r="G710" s="32" t="s">
        <v>5012</v>
      </c>
    </row>
    <row x14ac:dyDescent="0.25" r="711" customHeight="1" ht="15.75">
      <c r="A711" s="8">
        <v>25054</v>
      </c>
      <c r="B711" s="13" t="s">
        <v>109</v>
      </c>
      <c r="C711" s="13" t="s">
        <v>6330</v>
      </c>
      <c r="D711" s="32" t="s">
        <v>6331</v>
      </c>
      <c r="E711" s="32" t="s">
        <v>1856</v>
      </c>
      <c r="F711" s="32" t="s">
        <v>485</v>
      </c>
      <c r="G711" s="32" t="s">
        <v>4620</v>
      </c>
    </row>
    <row x14ac:dyDescent="0.25" r="712" customHeight="1" ht="15.75">
      <c r="A712" s="8">
        <v>25033</v>
      </c>
      <c r="B712" s="13" t="s">
        <v>109</v>
      </c>
      <c r="C712" s="13" t="s">
        <v>6332</v>
      </c>
      <c r="D712" s="32" t="s">
        <v>74</v>
      </c>
      <c r="E712" s="32" t="s">
        <v>5783</v>
      </c>
      <c r="F712" s="32" t="s">
        <v>4319</v>
      </c>
      <c r="G712" s="32" t="s">
        <v>4177</v>
      </c>
    </row>
    <row x14ac:dyDescent="0.25" r="713" customHeight="1" ht="15.75">
      <c r="A713" s="8">
        <v>25055</v>
      </c>
      <c r="B713" s="13" t="s">
        <v>109</v>
      </c>
      <c r="C713" s="13" t="s">
        <v>6333</v>
      </c>
      <c r="D713" s="32" t="s">
        <v>6334</v>
      </c>
      <c r="E713" s="32" t="s">
        <v>4786</v>
      </c>
      <c r="F713" s="32" t="s">
        <v>5663</v>
      </c>
      <c r="G713" s="32" t="s">
        <v>4578</v>
      </c>
    </row>
    <row x14ac:dyDescent="0.25" r="714" customHeight="1" ht="15.75">
      <c r="A714" s="8">
        <v>25056</v>
      </c>
      <c r="B714" s="13" t="s">
        <v>109</v>
      </c>
      <c r="C714" s="13" t="s">
        <v>6335</v>
      </c>
      <c r="D714" s="32" t="s">
        <v>4536</v>
      </c>
      <c r="E714" s="32" t="s">
        <v>503</v>
      </c>
      <c r="F714" s="32" t="s">
        <v>5423</v>
      </c>
      <c r="G714" s="32" t="s">
        <v>5598</v>
      </c>
    </row>
    <row x14ac:dyDescent="0.25" r="715" customHeight="1" ht="15.75">
      <c r="A715" s="8">
        <v>25012</v>
      </c>
      <c r="B715" s="13" t="s">
        <v>109</v>
      </c>
      <c r="C715" s="13" t="s">
        <v>6336</v>
      </c>
      <c r="D715" s="32" t="s">
        <v>74</v>
      </c>
      <c r="E715" s="32" t="s">
        <v>4549</v>
      </c>
      <c r="F715" s="32" t="s">
        <v>951</v>
      </c>
      <c r="G715" s="32" t="s">
        <v>4156</v>
      </c>
    </row>
    <row x14ac:dyDescent="0.25" r="716" customHeight="1" ht="15.75">
      <c r="A716" s="8">
        <v>25015</v>
      </c>
      <c r="B716" s="13" t="s">
        <v>109</v>
      </c>
      <c r="C716" s="13" t="s">
        <v>6337</v>
      </c>
      <c r="D716" s="32" t="s">
        <v>6338</v>
      </c>
      <c r="E716" s="32" t="s">
        <v>6339</v>
      </c>
      <c r="F716" s="32" t="s">
        <v>6329</v>
      </c>
      <c r="G716" s="32" t="s">
        <v>6340</v>
      </c>
    </row>
    <row x14ac:dyDescent="0.25" r="717" customHeight="1" ht="15.75">
      <c r="A717" s="8">
        <v>25035</v>
      </c>
      <c r="B717" s="13" t="s">
        <v>109</v>
      </c>
      <c r="C717" s="13" t="s">
        <v>6341</v>
      </c>
      <c r="D717" s="32" t="s">
        <v>6342</v>
      </c>
      <c r="E717" s="32" t="s">
        <v>6343</v>
      </c>
      <c r="F717" s="32" t="s">
        <v>6344</v>
      </c>
      <c r="G717" s="32" t="s">
        <v>4268</v>
      </c>
    </row>
    <row x14ac:dyDescent="0.25" r="718" customHeight="1" ht="15.75">
      <c r="A718" s="8">
        <v>25040</v>
      </c>
      <c r="B718" s="13" t="s">
        <v>109</v>
      </c>
      <c r="C718" s="13" t="s">
        <v>6345</v>
      </c>
      <c r="D718" s="32" t="s">
        <v>6346</v>
      </c>
      <c r="E718" s="32" t="s">
        <v>6347</v>
      </c>
      <c r="F718" s="32" t="s">
        <v>5615</v>
      </c>
      <c r="G718" s="32" t="s">
        <v>6348</v>
      </c>
    </row>
    <row x14ac:dyDescent="0.25" r="719" customHeight="1" ht="15.75">
      <c r="A719" s="8">
        <v>25020</v>
      </c>
      <c r="B719" s="13" t="s">
        <v>109</v>
      </c>
      <c r="C719" s="13" t="s">
        <v>6349</v>
      </c>
      <c r="D719" s="32" t="s">
        <v>5241</v>
      </c>
      <c r="E719" s="32" t="s">
        <v>6350</v>
      </c>
      <c r="F719" s="32" t="s">
        <v>6351</v>
      </c>
      <c r="G719" s="32" t="s">
        <v>1630</v>
      </c>
    </row>
    <row x14ac:dyDescent="0.25" r="720" customHeight="1" ht="15.75">
      <c r="A720" s="8">
        <v>25013</v>
      </c>
      <c r="B720" s="13" t="s">
        <v>109</v>
      </c>
      <c r="C720" s="13" t="s">
        <v>6352</v>
      </c>
      <c r="D720" s="32" t="s">
        <v>6248</v>
      </c>
      <c r="E720" s="32" t="s">
        <v>6353</v>
      </c>
      <c r="F720" s="32" t="s">
        <v>6248</v>
      </c>
      <c r="G720" s="32" t="s">
        <v>4671</v>
      </c>
    </row>
    <row x14ac:dyDescent="0.25" r="721" customHeight="1" ht="15.75">
      <c r="A721" s="8">
        <v>25036</v>
      </c>
      <c r="B721" s="13" t="s">
        <v>109</v>
      </c>
      <c r="C721" s="13" t="s">
        <v>6354</v>
      </c>
      <c r="D721" s="32" t="s">
        <v>6355</v>
      </c>
      <c r="E721" s="32" t="s">
        <v>1622</v>
      </c>
      <c r="F721" s="32" t="s">
        <v>6356</v>
      </c>
      <c r="G721" s="32" t="s">
        <v>409</v>
      </c>
    </row>
    <row x14ac:dyDescent="0.25" r="722" customHeight="1" ht="15.75">
      <c r="A722" s="8">
        <v>25002</v>
      </c>
      <c r="B722" s="13" t="s">
        <v>109</v>
      </c>
      <c r="C722" s="13" t="s">
        <v>6357</v>
      </c>
      <c r="D722" s="32" t="s">
        <v>6358</v>
      </c>
      <c r="E722" s="32" t="s">
        <v>1585</v>
      </c>
      <c r="F722" s="32" t="s">
        <v>6358</v>
      </c>
      <c r="G722" s="32" t="s">
        <v>1441</v>
      </c>
    </row>
    <row x14ac:dyDescent="0.25" r="723" customHeight="1" ht="15.75">
      <c r="A723" s="8">
        <v>25045</v>
      </c>
      <c r="B723" s="13" t="s">
        <v>109</v>
      </c>
      <c r="C723" s="13" t="s">
        <v>6359</v>
      </c>
      <c r="D723" s="32" t="s">
        <v>6360</v>
      </c>
      <c r="E723" s="32" t="s">
        <v>2790</v>
      </c>
      <c r="F723" s="32" t="s">
        <v>6360</v>
      </c>
      <c r="G723" s="32" t="s">
        <v>1497</v>
      </c>
    </row>
    <row x14ac:dyDescent="0.25" r="724" customHeight="1" ht="15.75">
      <c r="A724" s="8">
        <v>25059</v>
      </c>
      <c r="B724" s="13" t="s">
        <v>109</v>
      </c>
      <c r="C724" s="13" t="s">
        <v>6361</v>
      </c>
      <c r="D724" s="32" t="s">
        <v>6362</v>
      </c>
      <c r="E724" s="32" t="s">
        <v>4372</v>
      </c>
      <c r="F724" s="32" t="s">
        <v>4282</v>
      </c>
      <c r="G724" s="32" t="s">
        <v>4730</v>
      </c>
    </row>
    <row x14ac:dyDescent="0.25" r="725" customHeight="1" ht="15.75">
      <c r="A725" s="8">
        <v>25041</v>
      </c>
      <c r="B725" s="13" t="s">
        <v>109</v>
      </c>
      <c r="C725" s="13" t="s">
        <v>6363</v>
      </c>
      <c r="D725" s="32" t="s">
        <v>6364</v>
      </c>
      <c r="E725" s="32" t="s">
        <v>1644</v>
      </c>
      <c r="F725" s="32" t="s">
        <v>6365</v>
      </c>
      <c r="G725" s="32" t="s">
        <v>5537</v>
      </c>
    </row>
    <row x14ac:dyDescent="0.25" r="726" customHeight="1" ht="15.75">
      <c r="A726" s="8">
        <v>25010</v>
      </c>
      <c r="B726" s="13" t="s">
        <v>109</v>
      </c>
      <c r="C726" s="13" t="s">
        <v>6366</v>
      </c>
      <c r="D726" s="32" t="s">
        <v>6367</v>
      </c>
      <c r="E726" s="32" t="s">
        <v>6168</v>
      </c>
      <c r="F726" s="32" t="s">
        <v>4198</v>
      </c>
      <c r="G726" s="32" t="s">
        <v>6104</v>
      </c>
    </row>
    <row x14ac:dyDescent="0.25" r="727" customHeight="1" ht="15.75">
      <c r="A727" s="8">
        <v>25049</v>
      </c>
      <c r="B727" s="13" t="s">
        <v>109</v>
      </c>
      <c r="C727" s="13" t="s">
        <v>6368</v>
      </c>
      <c r="D727" s="32" t="s">
        <v>6245</v>
      </c>
      <c r="E727" s="32" t="s">
        <v>6369</v>
      </c>
      <c r="F727" s="32" t="s">
        <v>6370</v>
      </c>
      <c r="G727" s="32" t="s">
        <v>892</v>
      </c>
    </row>
    <row x14ac:dyDescent="0.25" r="728" customHeight="1" ht="15.75">
      <c r="A728" s="8">
        <v>25149</v>
      </c>
      <c r="B728" s="13" t="s">
        <v>227</v>
      </c>
      <c r="C728" s="13" t="s">
        <v>6371</v>
      </c>
      <c r="D728" s="32" t="s">
        <v>6372</v>
      </c>
      <c r="E728" s="32" t="s">
        <v>4752</v>
      </c>
      <c r="F728" s="32" t="s">
        <v>2616</v>
      </c>
      <c r="G728" s="32" t="s">
        <v>4156</v>
      </c>
    </row>
    <row x14ac:dyDescent="0.25" r="729" customHeight="1" ht="15.75">
      <c r="A729" s="8">
        <v>25141</v>
      </c>
      <c r="B729" s="13" t="s">
        <v>227</v>
      </c>
      <c r="C729" s="13" t="s">
        <v>6373</v>
      </c>
      <c r="D729" s="32" t="s">
        <v>6374</v>
      </c>
      <c r="E729" s="32" t="s">
        <v>5149</v>
      </c>
      <c r="F729" s="32" t="s">
        <v>6375</v>
      </c>
      <c r="G729" s="32" t="s">
        <v>6376</v>
      </c>
    </row>
    <row x14ac:dyDescent="0.25" r="730" customHeight="1" ht="15.75">
      <c r="A730" s="8">
        <v>25150</v>
      </c>
      <c r="B730" s="13" t="s">
        <v>227</v>
      </c>
      <c r="C730" s="13" t="s">
        <v>6377</v>
      </c>
      <c r="D730" s="32" t="s">
        <v>6378</v>
      </c>
      <c r="E730" s="32" t="s">
        <v>6379</v>
      </c>
      <c r="F730" s="32" t="s">
        <v>4282</v>
      </c>
      <c r="G730" s="32" t="s">
        <v>1148</v>
      </c>
    </row>
    <row x14ac:dyDescent="0.25" r="731" customHeight="1" ht="15.75">
      <c r="A731" s="8">
        <v>25060</v>
      </c>
      <c r="B731" s="13" t="s">
        <v>227</v>
      </c>
      <c r="C731" s="13" t="s">
        <v>6380</v>
      </c>
      <c r="D731" s="32" t="s">
        <v>5294</v>
      </c>
      <c r="E731" s="32" t="s">
        <v>4656</v>
      </c>
      <c r="F731" s="32" t="s">
        <v>6381</v>
      </c>
      <c r="G731" s="32" t="s">
        <v>1369</v>
      </c>
    </row>
    <row x14ac:dyDescent="0.25" r="732" customHeight="1" ht="15.75">
      <c r="A732" s="8">
        <v>25061</v>
      </c>
      <c r="B732" s="13" t="s">
        <v>227</v>
      </c>
      <c r="C732" s="13" t="s">
        <v>6382</v>
      </c>
      <c r="D732" s="32" t="s">
        <v>6383</v>
      </c>
      <c r="E732" s="32" t="s">
        <v>557</v>
      </c>
      <c r="F732" s="32" t="s">
        <v>6384</v>
      </c>
      <c r="G732" s="32" t="s">
        <v>4766</v>
      </c>
    </row>
    <row x14ac:dyDescent="0.25" r="733" customHeight="1" ht="15.75">
      <c r="A733" s="8">
        <v>25142</v>
      </c>
      <c r="B733" s="13" t="s">
        <v>227</v>
      </c>
      <c r="C733" s="13" t="s">
        <v>6385</v>
      </c>
      <c r="D733" s="32" t="s">
        <v>5705</v>
      </c>
      <c r="E733" s="32" t="s">
        <v>5696</v>
      </c>
      <c r="F733" s="32" t="s">
        <v>6386</v>
      </c>
      <c r="G733" s="32" t="s">
        <v>5120</v>
      </c>
    </row>
    <row x14ac:dyDescent="0.25" r="734" customHeight="1" ht="15.75">
      <c r="A734" s="8">
        <v>25062</v>
      </c>
      <c r="B734" s="13" t="s">
        <v>227</v>
      </c>
      <c r="C734" s="13" t="s">
        <v>6387</v>
      </c>
      <c r="D734" s="32" t="s">
        <v>74</v>
      </c>
      <c r="E734" s="32" t="s">
        <v>6388</v>
      </c>
      <c r="F734" s="32" t="s">
        <v>74</v>
      </c>
      <c r="G734" s="32" t="s">
        <v>1365</v>
      </c>
    </row>
    <row x14ac:dyDescent="0.25" r="735" customHeight="1" ht="15.75">
      <c r="A735" s="8">
        <v>25110</v>
      </c>
      <c r="B735" s="13" t="s">
        <v>227</v>
      </c>
      <c r="C735" s="13" t="s">
        <v>6389</v>
      </c>
      <c r="D735" s="32" t="s">
        <v>6390</v>
      </c>
      <c r="E735" s="32" t="s">
        <v>5856</v>
      </c>
      <c r="F735" s="32" t="s">
        <v>6391</v>
      </c>
      <c r="G735" s="32" t="s">
        <v>4452</v>
      </c>
    </row>
    <row x14ac:dyDescent="0.25" r="736" customHeight="1" ht="15.75">
      <c r="A736" s="8">
        <v>25135</v>
      </c>
      <c r="B736" s="13" t="s">
        <v>227</v>
      </c>
      <c r="C736" s="13" t="s">
        <v>4947</v>
      </c>
      <c r="D736" s="32" t="s">
        <v>6290</v>
      </c>
      <c r="E736" s="32" t="s">
        <v>5376</v>
      </c>
      <c r="F736" s="32" t="s">
        <v>6290</v>
      </c>
      <c r="G736" s="32" t="s">
        <v>5146</v>
      </c>
    </row>
    <row x14ac:dyDescent="0.25" r="737" customHeight="1" ht="15.75">
      <c r="A737" s="8">
        <v>25063</v>
      </c>
      <c r="B737" s="13" t="s">
        <v>227</v>
      </c>
      <c r="C737" s="13" t="s">
        <v>6392</v>
      </c>
      <c r="D737" s="32" t="s">
        <v>4282</v>
      </c>
      <c r="E737" s="32" t="s">
        <v>1212</v>
      </c>
      <c r="F737" s="32" t="s">
        <v>6393</v>
      </c>
      <c r="G737" s="32" t="s">
        <v>4726</v>
      </c>
    </row>
    <row x14ac:dyDescent="0.25" r="738" customHeight="1" ht="15.75">
      <c r="A738" s="8">
        <v>25112</v>
      </c>
      <c r="B738" s="13" t="s">
        <v>227</v>
      </c>
      <c r="C738" s="13" t="s">
        <v>6394</v>
      </c>
      <c r="D738" s="32" t="s">
        <v>4282</v>
      </c>
      <c r="E738" s="32" t="s">
        <v>5982</v>
      </c>
      <c r="F738" s="32" t="s">
        <v>2401</v>
      </c>
      <c r="G738" s="32" t="s">
        <v>503</v>
      </c>
    </row>
    <row x14ac:dyDescent="0.25" r="739" customHeight="1" ht="15.75">
      <c r="A739" s="8">
        <v>25151</v>
      </c>
      <c r="B739" s="13" t="s">
        <v>227</v>
      </c>
      <c r="C739" s="13" t="s">
        <v>6395</v>
      </c>
      <c r="D739" s="32" t="s">
        <v>6396</v>
      </c>
      <c r="E739" s="32" t="s">
        <v>5214</v>
      </c>
      <c r="F739" s="32" t="s">
        <v>6165</v>
      </c>
      <c r="G739" s="32" t="s">
        <v>6013</v>
      </c>
    </row>
    <row x14ac:dyDescent="0.25" r="740" customHeight="1" ht="15.75">
      <c r="A740" s="8">
        <v>25130</v>
      </c>
      <c r="B740" s="13" t="s">
        <v>227</v>
      </c>
      <c r="C740" s="13" t="s">
        <v>6397</v>
      </c>
      <c r="D740" s="32" t="s">
        <v>6398</v>
      </c>
      <c r="E740" s="32" t="s">
        <v>1457</v>
      </c>
      <c r="F740" s="32" t="s">
        <v>2000</v>
      </c>
      <c r="G740" s="32" t="s">
        <v>6399</v>
      </c>
    </row>
    <row x14ac:dyDescent="0.25" r="741" customHeight="1" ht="15.75">
      <c r="A741" s="8">
        <v>25064</v>
      </c>
      <c r="B741" s="13" t="s">
        <v>227</v>
      </c>
      <c r="C741" s="13" t="s">
        <v>6400</v>
      </c>
      <c r="D741" s="32" t="s">
        <v>4548</v>
      </c>
      <c r="E741" s="32" t="s">
        <v>4129</v>
      </c>
      <c r="F741" s="32" t="s">
        <v>1849</v>
      </c>
      <c r="G741" s="32" t="s">
        <v>4249</v>
      </c>
    </row>
    <row x14ac:dyDescent="0.25" r="742" customHeight="1" ht="15.75">
      <c r="A742" s="8">
        <v>25065</v>
      </c>
      <c r="B742" s="13" t="s">
        <v>227</v>
      </c>
      <c r="C742" s="13" t="s">
        <v>6401</v>
      </c>
      <c r="D742" s="32" t="s">
        <v>6402</v>
      </c>
      <c r="E742" s="32" t="s">
        <v>4287</v>
      </c>
      <c r="F742" s="32" t="s">
        <v>6052</v>
      </c>
      <c r="G742" s="32" t="s">
        <v>6403</v>
      </c>
    </row>
    <row x14ac:dyDescent="0.25" r="743" customHeight="1" ht="15.75">
      <c r="A743" s="8">
        <v>25066</v>
      </c>
      <c r="B743" s="13" t="s">
        <v>227</v>
      </c>
      <c r="C743" s="13" t="s">
        <v>6404</v>
      </c>
      <c r="D743" s="32" t="s">
        <v>4241</v>
      </c>
      <c r="E743" s="32" t="s">
        <v>6132</v>
      </c>
      <c r="F743" s="32" t="s">
        <v>6405</v>
      </c>
      <c r="G743" s="32" t="s">
        <v>1376</v>
      </c>
    </row>
    <row x14ac:dyDescent="0.25" r="744" customHeight="1" ht="15.75">
      <c r="A744" s="8">
        <v>25136</v>
      </c>
      <c r="B744" s="13" t="s">
        <v>227</v>
      </c>
      <c r="C744" s="13" t="s">
        <v>6406</v>
      </c>
      <c r="D744" s="32" t="s">
        <v>6407</v>
      </c>
      <c r="E744" s="32" t="s">
        <v>5951</v>
      </c>
      <c r="F744" s="32" t="s">
        <v>6408</v>
      </c>
      <c r="G744" s="32" t="s">
        <v>4411</v>
      </c>
    </row>
    <row x14ac:dyDescent="0.25" r="745" customHeight="1" ht="15.75">
      <c r="A745" s="8">
        <v>25067</v>
      </c>
      <c r="B745" s="13" t="s">
        <v>227</v>
      </c>
      <c r="C745" s="13" t="s">
        <v>6409</v>
      </c>
      <c r="D745" s="32" t="s">
        <v>6410</v>
      </c>
      <c r="E745" s="32" t="s">
        <v>1305</v>
      </c>
      <c r="F745" s="32" t="s">
        <v>88</v>
      </c>
      <c r="G745" s="32" t="s">
        <v>1398</v>
      </c>
    </row>
    <row x14ac:dyDescent="0.25" r="746" customHeight="1" ht="15.75">
      <c r="A746" s="8">
        <v>25068</v>
      </c>
      <c r="B746" s="13" t="s">
        <v>227</v>
      </c>
      <c r="C746" s="13" t="s">
        <v>6411</v>
      </c>
      <c r="D746" s="32" t="s">
        <v>6412</v>
      </c>
      <c r="E746" s="32" t="s">
        <v>5126</v>
      </c>
      <c r="F746" s="32" t="s">
        <v>81</v>
      </c>
      <c r="G746" s="32" t="s">
        <v>2544</v>
      </c>
    </row>
    <row x14ac:dyDescent="0.25" r="747" customHeight="1" ht="15.75">
      <c r="A747" s="8">
        <v>25143</v>
      </c>
      <c r="B747" s="13" t="s">
        <v>227</v>
      </c>
      <c r="C747" s="13" t="s">
        <v>6413</v>
      </c>
      <c r="D747" s="32" t="s">
        <v>6414</v>
      </c>
      <c r="E747" s="32" t="s">
        <v>1615</v>
      </c>
      <c r="F747" s="32" t="s">
        <v>6415</v>
      </c>
      <c r="G747" s="32" t="s">
        <v>2223</v>
      </c>
    </row>
    <row x14ac:dyDescent="0.25" r="748" customHeight="1" ht="15.75">
      <c r="A748" s="8">
        <v>25069</v>
      </c>
      <c r="B748" s="13" t="s">
        <v>227</v>
      </c>
      <c r="C748" s="13" t="s">
        <v>6416</v>
      </c>
      <c r="D748" s="32" t="s">
        <v>6417</v>
      </c>
      <c r="E748" s="32" t="s">
        <v>6418</v>
      </c>
      <c r="F748" s="32" t="s">
        <v>6419</v>
      </c>
      <c r="G748" s="32" t="s">
        <v>1448</v>
      </c>
    </row>
    <row x14ac:dyDescent="0.25" r="749" customHeight="1" ht="15.75">
      <c r="A749" s="8">
        <v>25070</v>
      </c>
      <c r="B749" s="13" t="s">
        <v>227</v>
      </c>
      <c r="C749" s="13" t="s">
        <v>6420</v>
      </c>
      <c r="D749" s="32" t="s">
        <v>4842</v>
      </c>
      <c r="E749" s="32" t="s">
        <v>4581</v>
      </c>
      <c r="F749" s="32" t="s">
        <v>6421</v>
      </c>
      <c r="G749" s="32" t="s">
        <v>6422</v>
      </c>
    </row>
    <row x14ac:dyDescent="0.25" r="750" customHeight="1" ht="15.75">
      <c r="A750" s="8">
        <v>25071</v>
      </c>
      <c r="B750" s="13" t="s">
        <v>227</v>
      </c>
      <c r="C750" s="13" t="s">
        <v>6423</v>
      </c>
      <c r="D750" s="32" t="s">
        <v>2496</v>
      </c>
      <c r="E750" s="32" t="s">
        <v>5908</v>
      </c>
      <c r="F750" s="32" t="s">
        <v>1891</v>
      </c>
      <c r="G750" s="32" t="s">
        <v>5085</v>
      </c>
    </row>
    <row x14ac:dyDescent="0.25" r="751" customHeight="1" ht="15.75">
      <c r="A751" s="8">
        <v>25072</v>
      </c>
      <c r="B751" s="13" t="s">
        <v>227</v>
      </c>
      <c r="C751" s="13" t="s">
        <v>6424</v>
      </c>
      <c r="D751" s="32" t="s">
        <v>6425</v>
      </c>
      <c r="E751" s="32" t="s">
        <v>6426</v>
      </c>
      <c r="F751" s="32" t="s">
        <v>2486</v>
      </c>
      <c r="G751" s="32" t="s">
        <v>6427</v>
      </c>
    </row>
    <row x14ac:dyDescent="0.25" r="752" customHeight="1" ht="15.75">
      <c r="A752" s="8">
        <v>25073</v>
      </c>
      <c r="B752" s="13" t="s">
        <v>227</v>
      </c>
      <c r="C752" s="13" t="s">
        <v>6428</v>
      </c>
      <c r="D752" s="32" t="s">
        <v>6313</v>
      </c>
      <c r="E752" s="32" t="s">
        <v>6429</v>
      </c>
      <c r="F752" s="32" t="s">
        <v>4341</v>
      </c>
      <c r="G752" s="32" t="s">
        <v>4353</v>
      </c>
    </row>
    <row x14ac:dyDescent="0.25" r="753" customHeight="1" ht="15.75">
      <c r="A753" s="8">
        <v>25074</v>
      </c>
      <c r="B753" s="13" t="s">
        <v>227</v>
      </c>
      <c r="C753" s="13" t="s">
        <v>6430</v>
      </c>
      <c r="D753" s="32" t="s">
        <v>6431</v>
      </c>
      <c r="E753" s="32" t="s">
        <v>1581</v>
      </c>
      <c r="F753" s="32" t="s">
        <v>6432</v>
      </c>
      <c r="G753" s="32" t="s">
        <v>5574</v>
      </c>
    </row>
    <row x14ac:dyDescent="0.25" r="754" customHeight="1" ht="15.75">
      <c r="A754" s="8">
        <v>25152</v>
      </c>
      <c r="B754" s="13" t="s">
        <v>227</v>
      </c>
      <c r="C754" s="13" t="s">
        <v>6433</v>
      </c>
      <c r="D754" s="32" t="s">
        <v>2599</v>
      </c>
      <c r="E754" s="32" t="s">
        <v>2770</v>
      </c>
      <c r="F754" s="32" t="s">
        <v>2460</v>
      </c>
      <c r="G754" s="32" t="s">
        <v>4709</v>
      </c>
    </row>
    <row x14ac:dyDescent="0.25" r="755" customHeight="1" ht="15.75">
      <c r="A755" s="8">
        <v>25153</v>
      </c>
      <c r="B755" s="13" t="s">
        <v>227</v>
      </c>
      <c r="C755" s="13" t="s">
        <v>6434</v>
      </c>
      <c r="D755" s="32" t="s">
        <v>6435</v>
      </c>
      <c r="E755" s="32" t="s">
        <v>4918</v>
      </c>
      <c r="F755" s="32" t="s">
        <v>6436</v>
      </c>
      <c r="G755" s="32" t="s">
        <v>31</v>
      </c>
    </row>
    <row x14ac:dyDescent="0.25" r="756" customHeight="1" ht="15.75">
      <c r="A756" s="8">
        <v>25075</v>
      </c>
      <c r="B756" s="13" t="s">
        <v>227</v>
      </c>
      <c r="C756" s="13" t="s">
        <v>6437</v>
      </c>
      <c r="D756" s="32" t="s">
        <v>6438</v>
      </c>
      <c r="E756" s="32" t="s">
        <v>4112</v>
      </c>
      <c r="F756" s="32" t="s">
        <v>4736</v>
      </c>
      <c r="G756" s="32" t="s">
        <v>5146</v>
      </c>
    </row>
    <row x14ac:dyDescent="0.25" r="757" customHeight="1" ht="15.75">
      <c r="A757" s="8">
        <v>25076</v>
      </c>
      <c r="B757" s="13" t="s">
        <v>227</v>
      </c>
      <c r="C757" s="13" t="s">
        <v>6439</v>
      </c>
      <c r="D757" s="32" t="s">
        <v>6440</v>
      </c>
      <c r="E757" s="32" t="s">
        <v>6441</v>
      </c>
      <c r="F757" s="32" t="s">
        <v>6432</v>
      </c>
      <c r="G757" s="32" t="s">
        <v>5120</v>
      </c>
    </row>
    <row x14ac:dyDescent="0.25" r="758" customHeight="1" ht="15.75">
      <c r="A758" s="8">
        <v>25077</v>
      </c>
      <c r="B758" s="13" t="s">
        <v>227</v>
      </c>
      <c r="C758" s="13" t="s">
        <v>6442</v>
      </c>
      <c r="D758" s="32" t="s">
        <v>6443</v>
      </c>
      <c r="E758" s="32" t="s">
        <v>6444</v>
      </c>
      <c r="F758" s="32" t="s">
        <v>4111</v>
      </c>
      <c r="G758" s="32" t="s">
        <v>1359</v>
      </c>
    </row>
    <row x14ac:dyDescent="0.25" r="759" customHeight="1" ht="15.75">
      <c r="A759" s="8">
        <v>25113</v>
      </c>
      <c r="B759" s="13" t="s">
        <v>227</v>
      </c>
      <c r="C759" s="13" t="s">
        <v>6445</v>
      </c>
      <c r="D759" s="32" t="s">
        <v>6446</v>
      </c>
      <c r="E759" s="32" t="s">
        <v>5120</v>
      </c>
      <c r="F759" s="32" t="s">
        <v>6447</v>
      </c>
      <c r="G759" s="32" t="s">
        <v>4734</v>
      </c>
    </row>
    <row x14ac:dyDescent="0.25" r="760" customHeight="1" ht="15.75">
      <c r="A760" s="8">
        <v>25137</v>
      </c>
      <c r="B760" s="13" t="s">
        <v>227</v>
      </c>
      <c r="C760" s="13" t="s">
        <v>6448</v>
      </c>
      <c r="D760" s="32" t="s">
        <v>6351</v>
      </c>
      <c r="E760" s="32" t="s">
        <v>1732</v>
      </c>
      <c r="F760" s="32" t="s">
        <v>4872</v>
      </c>
      <c r="G760" s="32" t="s">
        <v>4098</v>
      </c>
    </row>
    <row x14ac:dyDescent="0.25" r="761" customHeight="1" ht="15.75">
      <c r="A761" s="8">
        <v>25144</v>
      </c>
      <c r="B761" s="13" t="s">
        <v>227</v>
      </c>
      <c r="C761" s="13" t="s">
        <v>6449</v>
      </c>
      <c r="D761" s="32" t="s">
        <v>74</v>
      </c>
      <c r="E761" s="32" t="s">
        <v>6450</v>
      </c>
      <c r="F761" s="32" t="s">
        <v>6451</v>
      </c>
      <c r="G761" s="32" t="s">
        <v>5982</v>
      </c>
    </row>
    <row x14ac:dyDescent="0.25" r="762" customHeight="1" ht="15.75">
      <c r="A762" s="8">
        <v>25078</v>
      </c>
      <c r="B762" s="13" t="s">
        <v>227</v>
      </c>
      <c r="C762" s="13" t="s">
        <v>6452</v>
      </c>
      <c r="D762" s="32" t="s">
        <v>5710</v>
      </c>
      <c r="E762" s="32" t="s">
        <v>5202</v>
      </c>
      <c r="F762" s="32" t="s">
        <v>6453</v>
      </c>
      <c r="G762" s="32" t="s">
        <v>5593</v>
      </c>
    </row>
    <row x14ac:dyDescent="0.25" r="763" customHeight="1" ht="15.75">
      <c r="A763" s="8">
        <v>25079</v>
      </c>
      <c r="B763" s="13" t="s">
        <v>227</v>
      </c>
      <c r="C763" s="13" t="s">
        <v>6454</v>
      </c>
      <c r="D763" s="32" t="s">
        <v>6455</v>
      </c>
      <c r="E763" s="32" t="s">
        <v>6456</v>
      </c>
      <c r="F763" s="32" t="s">
        <v>6457</v>
      </c>
      <c r="G763" s="32" t="s">
        <v>6181</v>
      </c>
    </row>
    <row x14ac:dyDescent="0.25" r="764" customHeight="1" ht="15.75">
      <c r="A764" s="8">
        <v>25138</v>
      </c>
      <c r="B764" s="13" t="s">
        <v>227</v>
      </c>
      <c r="C764" s="13" t="s">
        <v>6458</v>
      </c>
      <c r="D764" s="32" t="s">
        <v>74</v>
      </c>
      <c r="E764" s="32" t="s">
        <v>1337</v>
      </c>
      <c r="F764" s="32" t="s">
        <v>5047</v>
      </c>
      <c r="G764" s="32" t="s">
        <v>5478</v>
      </c>
    </row>
    <row x14ac:dyDescent="0.25" r="765" customHeight="1" ht="15.75">
      <c r="A765" s="8">
        <v>25118</v>
      </c>
      <c r="B765" s="13" t="s">
        <v>227</v>
      </c>
      <c r="C765" s="13" t="s">
        <v>6459</v>
      </c>
      <c r="D765" s="32" t="s">
        <v>6460</v>
      </c>
      <c r="E765" s="32" t="s">
        <v>1178</v>
      </c>
      <c r="F765" s="32" t="s">
        <v>5045</v>
      </c>
      <c r="G765" s="32" t="s">
        <v>5276</v>
      </c>
    </row>
    <row x14ac:dyDescent="0.25" r="766" customHeight="1" ht="15.75">
      <c r="A766" s="8">
        <v>25131</v>
      </c>
      <c r="B766" s="13" t="s">
        <v>227</v>
      </c>
      <c r="C766" s="13" t="s">
        <v>6461</v>
      </c>
      <c r="D766" s="32" t="s">
        <v>252</v>
      </c>
      <c r="E766" s="32" t="s">
        <v>1963</v>
      </c>
      <c r="F766" s="32" t="s">
        <v>4973</v>
      </c>
      <c r="G766" s="32" t="s">
        <v>4759</v>
      </c>
    </row>
    <row x14ac:dyDescent="0.25" r="767" customHeight="1" ht="15.75">
      <c r="A767" s="8">
        <v>25154</v>
      </c>
      <c r="B767" s="13" t="s">
        <v>227</v>
      </c>
      <c r="C767" s="13" t="s">
        <v>6462</v>
      </c>
      <c r="D767" s="32" t="s">
        <v>74</v>
      </c>
      <c r="E767" s="32" t="s">
        <v>5817</v>
      </c>
      <c r="F767" s="32" t="s">
        <v>74</v>
      </c>
      <c r="G767" s="32" t="s">
        <v>6463</v>
      </c>
    </row>
    <row x14ac:dyDescent="0.25" r="768" customHeight="1" ht="15.75">
      <c r="A768" s="8">
        <v>25080</v>
      </c>
      <c r="B768" s="13" t="s">
        <v>227</v>
      </c>
      <c r="C768" s="13" t="s">
        <v>6464</v>
      </c>
      <c r="D768" s="32" t="s">
        <v>6465</v>
      </c>
      <c r="E768" s="32" t="s">
        <v>1543</v>
      </c>
      <c r="F768" s="32" t="s">
        <v>6466</v>
      </c>
      <c r="G768" s="32" t="s">
        <v>1441</v>
      </c>
    </row>
    <row x14ac:dyDescent="0.25" r="769" customHeight="1" ht="15.75">
      <c r="A769" s="8">
        <v>25145</v>
      </c>
      <c r="B769" s="13" t="s">
        <v>227</v>
      </c>
      <c r="C769" s="13" t="s">
        <v>6467</v>
      </c>
      <c r="D769" s="32" t="s">
        <v>74</v>
      </c>
      <c r="E769" s="32" t="s">
        <v>4798</v>
      </c>
      <c r="F769" s="32" t="s">
        <v>485</v>
      </c>
      <c r="G769" s="32" t="s">
        <v>5674</v>
      </c>
    </row>
    <row x14ac:dyDescent="0.25" r="770" customHeight="1" ht="15.75">
      <c r="A770" s="8">
        <v>25119</v>
      </c>
      <c r="B770" s="13" t="s">
        <v>227</v>
      </c>
      <c r="C770" s="13" t="s">
        <v>6468</v>
      </c>
      <c r="D770" s="32" t="s">
        <v>6469</v>
      </c>
      <c r="E770" s="32" t="s">
        <v>2488</v>
      </c>
      <c r="F770" s="32" t="s">
        <v>6470</v>
      </c>
      <c r="G770" s="32" t="s">
        <v>1376</v>
      </c>
    </row>
    <row x14ac:dyDescent="0.25" r="771" customHeight="1" ht="15.75">
      <c r="A771" s="8">
        <v>25081</v>
      </c>
      <c r="B771" s="13" t="s">
        <v>227</v>
      </c>
      <c r="C771" s="13" t="s">
        <v>6471</v>
      </c>
      <c r="D771" s="32" t="s">
        <v>5211</v>
      </c>
      <c r="E771" s="32" t="s">
        <v>4145</v>
      </c>
      <c r="F771" s="32" t="s">
        <v>6472</v>
      </c>
      <c r="G771" s="32" t="s">
        <v>4188</v>
      </c>
    </row>
    <row x14ac:dyDescent="0.25" r="772" customHeight="1" ht="15.75">
      <c r="A772" s="8">
        <v>25082</v>
      </c>
      <c r="B772" s="13" t="s">
        <v>227</v>
      </c>
      <c r="C772" s="13" t="s">
        <v>6473</v>
      </c>
      <c r="D772" s="32" t="s">
        <v>6358</v>
      </c>
      <c r="E772" s="32" t="s">
        <v>2608</v>
      </c>
      <c r="F772" s="32" t="s">
        <v>6474</v>
      </c>
      <c r="G772" s="32" t="s">
        <v>5349</v>
      </c>
    </row>
    <row x14ac:dyDescent="0.25" r="773" customHeight="1" ht="15.75">
      <c r="A773" s="8">
        <v>25083</v>
      </c>
      <c r="B773" s="13" t="s">
        <v>227</v>
      </c>
      <c r="C773" s="13" t="s">
        <v>6475</v>
      </c>
      <c r="D773" s="32" t="s">
        <v>6476</v>
      </c>
      <c r="E773" s="32" t="s">
        <v>4124</v>
      </c>
      <c r="F773" s="32" t="s">
        <v>6165</v>
      </c>
      <c r="G773" s="32" t="s">
        <v>5518</v>
      </c>
    </row>
    <row x14ac:dyDescent="0.25" r="774" customHeight="1" ht="15.75">
      <c r="A774" s="8">
        <v>25084</v>
      </c>
      <c r="B774" s="13" t="s">
        <v>227</v>
      </c>
      <c r="C774" s="13" t="s">
        <v>6477</v>
      </c>
      <c r="D774" s="32" t="s">
        <v>6478</v>
      </c>
      <c r="E774" s="32" t="s">
        <v>6479</v>
      </c>
      <c r="F774" s="32" t="s">
        <v>74</v>
      </c>
      <c r="G774" s="32" t="s">
        <v>5024</v>
      </c>
    </row>
    <row x14ac:dyDescent="0.25" r="775" customHeight="1" ht="15.75">
      <c r="A775" s="8">
        <v>25120</v>
      </c>
      <c r="B775" s="13" t="s">
        <v>227</v>
      </c>
      <c r="C775" s="13" t="s">
        <v>6480</v>
      </c>
      <c r="D775" s="32" t="s">
        <v>6481</v>
      </c>
      <c r="E775" s="32" t="s">
        <v>1605</v>
      </c>
      <c r="F775" s="32" t="s">
        <v>37</v>
      </c>
      <c r="G775" s="32" t="s">
        <v>1401</v>
      </c>
    </row>
    <row x14ac:dyDescent="0.25" r="776" customHeight="1" ht="15.75">
      <c r="A776" s="8">
        <v>25085</v>
      </c>
      <c r="B776" s="13" t="s">
        <v>227</v>
      </c>
      <c r="C776" s="13" t="s">
        <v>6482</v>
      </c>
      <c r="D776" s="32" t="s">
        <v>6483</v>
      </c>
      <c r="E776" s="32" t="s">
        <v>1452</v>
      </c>
      <c r="F776" s="32" t="s">
        <v>2655</v>
      </c>
      <c r="G776" s="32" t="s">
        <v>1201</v>
      </c>
    </row>
    <row x14ac:dyDescent="0.25" r="777" customHeight="1" ht="15.75">
      <c r="A777" s="8">
        <v>25086</v>
      </c>
      <c r="B777" s="13" t="s">
        <v>227</v>
      </c>
      <c r="C777" s="13" t="s">
        <v>6484</v>
      </c>
      <c r="D777" s="32" t="s">
        <v>4763</v>
      </c>
      <c r="E777" s="32" t="s">
        <v>5360</v>
      </c>
      <c r="F777" s="32" t="s">
        <v>2321</v>
      </c>
      <c r="G777" s="32" t="s">
        <v>5616</v>
      </c>
    </row>
    <row x14ac:dyDescent="0.25" r="778" customHeight="1" ht="15.75">
      <c r="A778" s="8">
        <v>25121</v>
      </c>
      <c r="B778" s="13" t="s">
        <v>227</v>
      </c>
      <c r="C778" s="13" t="s">
        <v>6485</v>
      </c>
      <c r="D778" s="32" t="s">
        <v>6486</v>
      </c>
      <c r="E778" s="32" t="s">
        <v>4816</v>
      </c>
      <c r="F778" s="32" t="s">
        <v>6487</v>
      </c>
      <c r="G778" s="32" t="s">
        <v>5518</v>
      </c>
    </row>
    <row x14ac:dyDescent="0.25" r="779" customHeight="1" ht="15.75">
      <c r="A779" s="8">
        <v>25139</v>
      </c>
      <c r="B779" s="13" t="s">
        <v>227</v>
      </c>
      <c r="C779" s="13" t="s">
        <v>6488</v>
      </c>
      <c r="D779" s="32" t="s">
        <v>6489</v>
      </c>
      <c r="E779" s="32" t="s">
        <v>5664</v>
      </c>
      <c r="F779" s="32" t="s">
        <v>1017</v>
      </c>
      <c r="G779" s="32" t="s">
        <v>5254</v>
      </c>
    </row>
    <row x14ac:dyDescent="0.25" r="780" customHeight="1" ht="15.75">
      <c r="A780" s="8">
        <v>25087</v>
      </c>
      <c r="B780" s="13" t="s">
        <v>227</v>
      </c>
      <c r="C780" s="13" t="s">
        <v>6490</v>
      </c>
      <c r="D780" s="32" t="s">
        <v>6491</v>
      </c>
      <c r="E780" s="32" t="s">
        <v>4213</v>
      </c>
      <c r="F780" s="32" t="s">
        <v>6492</v>
      </c>
      <c r="G780" s="32" t="s">
        <v>4156</v>
      </c>
    </row>
    <row x14ac:dyDescent="0.25" r="781" customHeight="1" ht="15.75">
      <c r="A781" s="8">
        <v>25088</v>
      </c>
      <c r="B781" s="13" t="s">
        <v>227</v>
      </c>
      <c r="C781" s="13" t="s">
        <v>6493</v>
      </c>
      <c r="D781" s="32" t="s">
        <v>6494</v>
      </c>
      <c r="E781" s="32" t="s">
        <v>4089</v>
      </c>
      <c r="F781" s="32" t="s">
        <v>6495</v>
      </c>
      <c r="G781" s="32" t="s">
        <v>4920</v>
      </c>
    </row>
    <row x14ac:dyDescent="0.25" r="782" customHeight="1" ht="15.75">
      <c r="A782" s="8">
        <v>25089</v>
      </c>
      <c r="B782" s="13" t="s">
        <v>227</v>
      </c>
      <c r="C782" s="13" t="s">
        <v>4496</v>
      </c>
      <c r="D782" s="32" t="s">
        <v>6496</v>
      </c>
      <c r="E782" s="32" t="s">
        <v>5572</v>
      </c>
      <c r="F782" s="32" t="s">
        <v>6497</v>
      </c>
      <c r="G782" s="32" t="s">
        <v>6134</v>
      </c>
    </row>
    <row x14ac:dyDescent="0.25" r="783" customHeight="1" ht="15.75">
      <c r="A783" s="8">
        <v>25090</v>
      </c>
      <c r="B783" s="13" t="s">
        <v>227</v>
      </c>
      <c r="C783" s="13" t="s">
        <v>6498</v>
      </c>
      <c r="D783" s="32" t="s">
        <v>4523</v>
      </c>
      <c r="E783" s="32" t="s">
        <v>4437</v>
      </c>
      <c r="F783" s="32" t="s">
        <v>6499</v>
      </c>
      <c r="G783" s="32" t="s">
        <v>5905</v>
      </c>
    </row>
    <row x14ac:dyDescent="0.25" r="784" customHeight="1" ht="15.75">
      <c r="A784" s="8">
        <v>25091</v>
      </c>
      <c r="B784" s="13" t="s">
        <v>227</v>
      </c>
      <c r="C784" s="13" t="s">
        <v>6500</v>
      </c>
      <c r="D784" s="32" t="s">
        <v>5597</v>
      </c>
      <c r="E784" s="32" t="s">
        <v>4985</v>
      </c>
      <c r="F784" s="32" t="s">
        <v>1672</v>
      </c>
      <c r="G784" s="32" t="s">
        <v>6403</v>
      </c>
    </row>
    <row x14ac:dyDescent="0.25" r="785" customHeight="1" ht="15.75">
      <c r="A785" s="8">
        <v>25146</v>
      </c>
      <c r="B785" s="13" t="s">
        <v>227</v>
      </c>
      <c r="C785" s="13" t="s">
        <v>6501</v>
      </c>
      <c r="D785" s="32" t="s">
        <v>74</v>
      </c>
      <c r="E785" s="32" t="s">
        <v>5432</v>
      </c>
      <c r="F785" s="32" t="s">
        <v>5461</v>
      </c>
      <c r="G785" s="32" t="s">
        <v>1371</v>
      </c>
    </row>
    <row x14ac:dyDescent="0.25" r="786" customHeight="1" ht="15.75">
      <c r="A786" s="8">
        <v>25122</v>
      </c>
      <c r="B786" s="13" t="s">
        <v>227</v>
      </c>
      <c r="C786" s="13" t="s">
        <v>6502</v>
      </c>
      <c r="D786" s="32" t="s">
        <v>6503</v>
      </c>
      <c r="E786" s="32" t="s">
        <v>5170</v>
      </c>
      <c r="F786" s="32" t="s">
        <v>4489</v>
      </c>
      <c r="G786" s="32" t="s">
        <v>194</v>
      </c>
    </row>
    <row x14ac:dyDescent="0.25" r="787" customHeight="1" ht="15.75">
      <c r="A787" s="8">
        <v>25092</v>
      </c>
      <c r="B787" s="13" t="s">
        <v>227</v>
      </c>
      <c r="C787" s="13" t="s">
        <v>6504</v>
      </c>
      <c r="D787" s="32" t="s">
        <v>74</v>
      </c>
      <c r="E787" s="32" t="s">
        <v>4656</v>
      </c>
      <c r="F787" s="32" t="s">
        <v>6505</v>
      </c>
      <c r="G787" s="32" t="s">
        <v>6506</v>
      </c>
    </row>
    <row x14ac:dyDescent="0.25" r="788" customHeight="1" ht="15.75">
      <c r="A788" s="8">
        <v>25123</v>
      </c>
      <c r="B788" s="13" t="s">
        <v>227</v>
      </c>
      <c r="C788" s="13" t="s">
        <v>6507</v>
      </c>
      <c r="D788" s="32" t="s">
        <v>6508</v>
      </c>
      <c r="E788" s="32" t="s">
        <v>6509</v>
      </c>
      <c r="F788" s="32" t="s">
        <v>34</v>
      </c>
      <c r="G788" s="32" t="s">
        <v>571</v>
      </c>
    </row>
    <row x14ac:dyDescent="0.25" r="789" customHeight="1" ht="15.75">
      <c r="A789" s="8">
        <v>25093</v>
      </c>
      <c r="B789" s="13" t="s">
        <v>227</v>
      </c>
      <c r="C789" s="13" t="s">
        <v>6510</v>
      </c>
      <c r="D789" s="32" t="s">
        <v>6087</v>
      </c>
      <c r="E789" s="32" t="s">
        <v>6511</v>
      </c>
      <c r="F789" s="32" t="s">
        <v>2521</v>
      </c>
      <c r="G789" s="32" t="s">
        <v>6422</v>
      </c>
    </row>
    <row x14ac:dyDescent="0.25" r="790" customHeight="1" ht="15.75">
      <c r="A790" s="8">
        <v>25124</v>
      </c>
      <c r="B790" s="13" t="s">
        <v>227</v>
      </c>
      <c r="C790" s="13" t="s">
        <v>6512</v>
      </c>
      <c r="D790" s="32" t="s">
        <v>6513</v>
      </c>
      <c r="E790" s="32" t="s">
        <v>6514</v>
      </c>
      <c r="F790" s="32" t="s">
        <v>6515</v>
      </c>
      <c r="G790" s="32" t="s">
        <v>6516</v>
      </c>
    </row>
    <row x14ac:dyDescent="0.25" r="791" customHeight="1" ht="15.75">
      <c r="A791" s="8">
        <v>25155</v>
      </c>
      <c r="B791" s="13" t="s">
        <v>227</v>
      </c>
      <c r="C791" s="13" t="s">
        <v>6517</v>
      </c>
      <c r="D791" s="32" t="s">
        <v>6244</v>
      </c>
      <c r="E791" s="32" t="s">
        <v>2569</v>
      </c>
      <c r="F791" s="32" t="s">
        <v>6518</v>
      </c>
      <c r="G791" s="32" t="s">
        <v>4946</v>
      </c>
    </row>
    <row x14ac:dyDescent="0.25" r="792" customHeight="1" ht="15.75">
      <c r="A792" s="8">
        <v>25132</v>
      </c>
      <c r="B792" s="13" t="s">
        <v>227</v>
      </c>
      <c r="C792" s="13" t="s">
        <v>6519</v>
      </c>
      <c r="D792" s="32" t="s">
        <v>6520</v>
      </c>
      <c r="E792" s="32" t="s">
        <v>5579</v>
      </c>
      <c r="F792" s="32" t="s">
        <v>6521</v>
      </c>
      <c r="G792" s="32" t="s">
        <v>4532</v>
      </c>
    </row>
    <row x14ac:dyDescent="0.25" r="793" customHeight="1" ht="15.75">
      <c r="A793" s="8">
        <v>25094</v>
      </c>
      <c r="B793" s="13" t="s">
        <v>227</v>
      </c>
      <c r="C793" s="13" t="s">
        <v>6522</v>
      </c>
      <c r="D793" s="32" t="s">
        <v>6523</v>
      </c>
      <c r="E793" s="32" t="s">
        <v>6211</v>
      </c>
      <c r="F793" s="32" t="s">
        <v>74</v>
      </c>
      <c r="G793" s="32" t="s">
        <v>6263</v>
      </c>
    </row>
    <row x14ac:dyDescent="0.25" r="794" customHeight="1" ht="15.75">
      <c r="A794" s="8">
        <v>25147</v>
      </c>
      <c r="B794" s="13" t="s">
        <v>227</v>
      </c>
      <c r="C794" s="13" t="s">
        <v>6524</v>
      </c>
      <c r="D794" s="32" t="s">
        <v>6525</v>
      </c>
      <c r="E794" s="32" t="s">
        <v>5661</v>
      </c>
      <c r="F794" s="32" t="s">
        <v>4282</v>
      </c>
      <c r="G794" s="32" t="s">
        <v>6526</v>
      </c>
    </row>
    <row x14ac:dyDescent="0.25" r="795" customHeight="1" ht="15.75">
      <c r="A795" s="8">
        <v>25125</v>
      </c>
      <c r="B795" s="13" t="s">
        <v>227</v>
      </c>
      <c r="C795" s="13" t="s">
        <v>6527</v>
      </c>
      <c r="D795" s="32" t="s">
        <v>6528</v>
      </c>
      <c r="E795" s="32" t="s">
        <v>5197</v>
      </c>
      <c r="F795" s="32" t="s">
        <v>6529</v>
      </c>
      <c r="G795" s="32" t="s">
        <v>1376</v>
      </c>
    </row>
    <row x14ac:dyDescent="0.25" r="796" customHeight="1" ht="15.75">
      <c r="A796" s="8">
        <v>25095</v>
      </c>
      <c r="B796" s="13" t="s">
        <v>227</v>
      </c>
      <c r="C796" s="13" t="s">
        <v>6530</v>
      </c>
      <c r="D796" s="32" t="s">
        <v>2747</v>
      </c>
      <c r="E796" s="32" t="s">
        <v>4170</v>
      </c>
      <c r="F796" s="32" t="s">
        <v>74</v>
      </c>
      <c r="G796" s="32" t="s">
        <v>1594</v>
      </c>
    </row>
    <row x14ac:dyDescent="0.25" r="797" customHeight="1" ht="15.75">
      <c r="A797" s="8">
        <v>25109</v>
      </c>
      <c r="B797" s="13" t="s">
        <v>227</v>
      </c>
      <c r="C797" s="13" t="s">
        <v>6531</v>
      </c>
      <c r="D797" s="32" t="s">
        <v>6351</v>
      </c>
      <c r="E797" s="32" t="s">
        <v>1415</v>
      </c>
      <c r="F797" s="32" t="s">
        <v>6532</v>
      </c>
      <c r="G797" s="32" t="s">
        <v>963</v>
      </c>
    </row>
    <row x14ac:dyDescent="0.25" r="798" customHeight="1" ht="15.75">
      <c r="A798" s="8">
        <v>25115</v>
      </c>
      <c r="B798" s="13" t="s">
        <v>227</v>
      </c>
      <c r="C798" s="13" t="s">
        <v>6533</v>
      </c>
      <c r="D798" s="32" t="s">
        <v>6534</v>
      </c>
      <c r="E798" s="32" t="s">
        <v>6013</v>
      </c>
      <c r="F798" s="32" t="s">
        <v>6535</v>
      </c>
      <c r="G798" s="32" t="s">
        <v>6536</v>
      </c>
    </row>
    <row x14ac:dyDescent="0.25" r="799" customHeight="1" ht="15.75">
      <c r="A799" s="8">
        <v>25126</v>
      </c>
      <c r="B799" s="13" t="s">
        <v>227</v>
      </c>
      <c r="C799" s="13" t="s">
        <v>6537</v>
      </c>
      <c r="D799" s="32" t="s">
        <v>6538</v>
      </c>
      <c r="E799" s="32" t="s">
        <v>5302</v>
      </c>
      <c r="F799" s="32" t="s">
        <v>6539</v>
      </c>
      <c r="G799" s="32" t="s">
        <v>283</v>
      </c>
    </row>
    <row x14ac:dyDescent="0.25" r="800" customHeight="1" ht="15.75">
      <c r="A800" s="8">
        <v>25129</v>
      </c>
      <c r="B800" s="13" t="s">
        <v>227</v>
      </c>
      <c r="C800" s="13" t="s">
        <v>6540</v>
      </c>
      <c r="D800" s="32" t="s">
        <v>6541</v>
      </c>
      <c r="E800" s="32" t="s">
        <v>4331</v>
      </c>
      <c r="F800" s="32" t="s">
        <v>6542</v>
      </c>
      <c r="G800" s="32" t="s">
        <v>5783</v>
      </c>
    </row>
    <row x14ac:dyDescent="0.25" r="801" customHeight="1" ht="15.75">
      <c r="A801" s="8">
        <v>25096</v>
      </c>
      <c r="B801" s="13" t="s">
        <v>227</v>
      </c>
      <c r="C801" s="13" t="s">
        <v>6543</v>
      </c>
      <c r="D801" s="32" t="s">
        <v>6544</v>
      </c>
      <c r="E801" s="32" t="s">
        <v>6545</v>
      </c>
      <c r="F801" s="32" t="s">
        <v>2504</v>
      </c>
      <c r="G801" s="32" t="s">
        <v>4764</v>
      </c>
    </row>
    <row x14ac:dyDescent="0.25" r="802" customHeight="1" ht="15.75">
      <c r="A802" s="8">
        <v>25098</v>
      </c>
      <c r="B802" s="13" t="s">
        <v>227</v>
      </c>
      <c r="C802" s="13" t="s">
        <v>6546</v>
      </c>
      <c r="D802" s="32" t="s">
        <v>5522</v>
      </c>
      <c r="E802" s="32" t="s">
        <v>1559</v>
      </c>
      <c r="F802" s="32" t="s">
        <v>6547</v>
      </c>
      <c r="G802" s="32" t="s">
        <v>5174</v>
      </c>
    </row>
    <row x14ac:dyDescent="0.25" r="803" customHeight="1" ht="15.75">
      <c r="A803" s="8">
        <v>25099</v>
      </c>
      <c r="B803" s="13" t="s">
        <v>227</v>
      </c>
      <c r="C803" s="13" t="s">
        <v>6548</v>
      </c>
      <c r="D803" s="32" t="s">
        <v>6549</v>
      </c>
      <c r="E803" s="32" t="s">
        <v>1024</v>
      </c>
      <c r="F803" s="32" t="s">
        <v>6284</v>
      </c>
      <c r="G803" s="32" t="s">
        <v>1291</v>
      </c>
    </row>
    <row x14ac:dyDescent="0.25" r="804" customHeight="1" ht="15.75">
      <c r="A804" s="8">
        <v>25134</v>
      </c>
      <c r="B804" s="13" t="s">
        <v>227</v>
      </c>
      <c r="C804" s="13" t="s">
        <v>6550</v>
      </c>
      <c r="D804" s="32" t="s">
        <v>6551</v>
      </c>
      <c r="E804" s="32" t="s">
        <v>5557</v>
      </c>
      <c r="F804" s="32" t="s">
        <v>6552</v>
      </c>
      <c r="G804" s="32" t="s">
        <v>5206</v>
      </c>
    </row>
    <row x14ac:dyDescent="0.25" r="805" customHeight="1" ht="15.75">
      <c r="A805" s="8">
        <v>25100</v>
      </c>
      <c r="B805" s="13" t="s">
        <v>227</v>
      </c>
      <c r="C805" s="13" t="s">
        <v>6553</v>
      </c>
      <c r="D805" s="32" t="s">
        <v>5774</v>
      </c>
      <c r="E805" s="32" t="s">
        <v>5775</v>
      </c>
      <c r="F805" s="32" t="s">
        <v>6554</v>
      </c>
      <c r="G805" s="32" t="s">
        <v>4143</v>
      </c>
    </row>
    <row x14ac:dyDescent="0.25" r="806" customHeight="1" ht="15.75">
      <c r="A806" s="8">
        <v>25101</v>
      </c>
      <c r="B806" s="13" t="s">
        <v>227</v>
      </c>
      <c r="C806" s="13" t="s">
        <v>6555</v>
      </c>
      <c r="D806" s="32" t="s">
        <v>4548</v>
      </c>
      <c r="E806" s="32" t="s">
        <v>4295</v>
      </c>
      <c r="F806" s="32" t="s">
        <v>2166</v>
      </c>
      <c r="G806" s="32" t="s">
        <v>5674</v>
      </c>
    </row>
    <row x14ac:dyDescent="0.25" r="807" customHeight="1" ht="15.75">
      <c r="A807" s="8">
        <v>25116</v>
      </c>
      <c r="B807" s="13" t="s">
        <v>227</v>
      </c>
      <c r="C807" s="13" t="s">
        <v>6556</v>
      </c>
      <c r="D807" s="32" t="s">
        <v>6557</v>
      </c>
      <c r="E807" s="32" t="s">
        <v>1622</v>
      </c>
      <c r="F807" s="32" t="s">
        <v>1507</v>
      </c>
      <c r="G807" s="32" t="s">
        <v>1268</v>
      </c>
    </row>
    <row x14ac:dyDescent="0.25" r="808" customHeight="1" ht="15.75">
      <c r="A808" s="8">
        <v>25128</v>
      </c>
      <c r="B808" s="13" t="s">
        <v>227</v>
      </c>
      <c r="C808" s="13" t="s">
        <v>6558</v>
      </c>
      <c r="D808" s="32" t="s">
        <v>6559</v>
      </c>
      <c r="E808" s="32" t="s">
        <v>210</v>
      </c>
      <c r="F808" s="32" t="s">
        <v>81</v>
      </c>
      <c r="G808" s="32" t="s">
        <v>1446</v>
      </c>
    </row>
    <row x14ac:dyDescent="0.25" r="809" customHeight="1" ht="15.75">
      <c r="A809" s="8">
        <v>25102</v>
      </c>
      <c r="B809" s="13" t="s">
        <v>227</v>
      </c>
      <c r="C809" s="13" t="s">
        <v>6560</v>
      </c>
      <c r="D809" s="32" t="s">
        <v>5241</v>
      </c>
      <c r="E809" s="32" t="s">
        <v>4315</v>
      </c>
      <c r="F809" s="32" t="s">
        <v>6561</v>
      </c>
      <c r="G809" s="32" t="s">
        <v>1876</v>
      </c>
    </row>
    <row x14ac:dyDescent="0.25" r="810" customHeight="1" ht="15.75">
      <c r="A810" s="8">
        <v>25103</v>
      </c>
      <c r="B810" s="13" t="s">
        <v>227</v>
      </c>
      <c r="C810" s="13" t="s">
        <v>6562</v>
      </c>
      <c r="D810" s="32" t="s">
        <v>6563</v>
      </c>
      <c r="E810" s="32" t="s">
        <v>6564</v>
      </c>
      <c r="F810" s="32" t="s">
        <v>6565</v>
      </c>
      <c r="G810" s="32" t="s">
        <v>5504</v>
      </c>
    </row>
    <row x14ac:dyDescent="0.25" r="811" customHeight="1" ht="15.75">
      <c r="A811" s="8">
        <v>25104</v>
      </c>
      <c r="B811" s="13" t="s">
        <v>227</v>
      </c>
      <c r="C811" s="13" t="s">
        <v>6566</v>
      </c>
      <c r="D811" s="32" t="s">
        <v>74</v>
      </c>
      <c r="E811" s="32" t="s">
        <v>5501</v>
      </c>
      <c r="F811" s="32" t="s">
        <v>4221</v>
      </c>
      <c r="G811" s="32" t="s">
        <v>6567</v>
      </c>
    </row>
    <row x14ac:dyDescent="0.25" r="812" customHeight="1" ht="15.75">
      <c r="A812" s="8">
        <v>25105</v>
      </c>
      <c r="B812" s="13" t="s">
        <v>227</v>
      </c>
      <c r="C812" s="13" t="s">
        <v>6568</v>
      </c>
      <c r="D812" s="32" t="s">
        <v>6569</v>
      </c>
      <c r="E812" s="32" t="s">
        <v>1682</v>
      </c>
      <c r="F812" s="32" t="s">
        <v>5776</v>
      </c>
      <c r="G812" s="32" t="s">
        <v>5574</v>
      </c>
    </row>
    <row x14ac:dyDescent="0.25" r="813" customHeight="1" ht="15.75">
      <c r="A813" s="8">
        <v>25111</v>
      </c>
      <c r="B813" s="13" t="s">
        <v>227</v>
      </c>
      <c r="C813" s="13" t="s">
        <v>6570</v>
      </c>
      <c r="D813" s="32" t="s">
        <v>74</v>
      </c>
      <c r="E813" s="32" t="s">
        <v>4764</v>
      </c>
      <c r="F813" s="32" t="s">
        <v>5275</v>
      </c>
      <c r="G813" s="32" t="s">
        <v>1403</v>
      </c>
    </row>
    <row x14ac:dyDescent="0.25" r="814" customHeight="1" ht="15.75">
      <c r="A814" s="8">
        <v>25106</v>
      </c>
      <c r="B814" s="13" t="s">
        <v>227</v>
      </c>
      <c r="C814" s="13" t="s">
        <v>6571</v>
      </c>
      <c r="D814" s="32" t="s">
        <v>2599</v>
      </c>
      <c r="E814" s="32" t="s">
        <v>5366</v>
      </c>
      <c r="F814" s="32" t="s">
        <v>2264</v>
      </c>
      <c r="G814" s="32" t="s">
        <v>1579</v>
      </c>
    </row>
    <row x14ac:dyDescent="0.25" r="815" customHeight="1" ht="15.75">
      <c r="A815" s="8">
        <v>25148</v>
      </c>
      <c r="B815" s="13" t="s">
        <v>227</v>
      </c>
      <c r="C815" s="13" t="s">
        <v>6572</v>
      </c>
      <c r="D815" s="32" t="s">
        <v>6244</v>
      </c>
      <c r="E815" s="32" t="s">
        <v>1277</v>
      </c>
      <c r="F815" s="32" t="s">
        <v>6573</v>
      </c>
      <c r="G815" s="32" t="s">
        <v>6574</v>
      </c>
    </row>
    <row x14ac:dyDescent="0.25" r="816" customHeight="1" ht="15.75">
      <c r="A816" s="8">
        <v>25108</v>
      </c>
      <c r="B816" s="13" t="s">
        <v>227</v>
      </c>
      <c r="C816" s="13" t="s">
        <v>6575</v>
      </c>
      <c r="D816" s="32" t="s">
        <v>6417</v>
      </c>
      <c r="E816" s="32" t="s">
        <v>5366</v>
      </c>
      <c r="F816" s="32" t="s">
        <v>6576</v>
      </c>
      <c r="G816" s="32" t="s">
        <v>5161</v>
      </c>
    </row>
    <row x14ac:dyDescent="0.25" r="817" customHeight="1" ht="15.75">
      <c r="A817" s="8">
        <v>25748</v>
      </c>
      <c r="B817" s="13" t="s">
        <v>198</v>
      </c>
      <c r="C817" s="13" t="s">
        <v>6577</v>
      </c>
      <c r="D817" s="32" t="s">
        <v>6578</v>
      </c>
      <c r="E817" s="32" t="s">
        <v>4748</v>
      </c>
      <c r="F817" s="32" t="s">
        <v>6579</v>
      </c>
      <c r="G817" s="32" t="s">
        <v>6580</v>
      </c>
    </row>
    <row x14ac:dyDescent="0.25" r="818" customHeight="1" ht="15.75">
      <c r="A818" s="8">
        <v>25798</v>
      </c>
      <c r="B818" s="13" t="s">
        <v>198</v>
      </c>
      <c r="C818" s="13" t="s">
        <v>6581</v>
      </c>
      <c r="D818" s="32" t="s">
        <v>6582</v>
      </c>
      <c r="E818" s="32" t="s">
        <v>6583</v>
      </c>
      <c r="F818" s="32" t="s">
        <v>6307</v>
      </c>
      <c r="G818" s="32" t="s">
        <v>1647</v>
      </c>
    </row>
    <row x14ac:dyDescent="0.25" r="819" customHeight="1" ht="15.75">
      <c r="A819" s="8">
        <v>25745</v>
      </c>
      <c r="B819" s="13" t="s">
        <v>198</v>
      </c>
      <c r="C819" s="13" t="s">
        <v>6584</v>
      </c>
      <c r="D819" s="32" t="s">
        <v>74</v>
      </c>
      <c r="E819" s="32" t="s">
        <v>6585</v>
      </c>
      <c r="F819" s="32" t="s">
        <v>6586</v>
      </c>
      <c r="G819" s="32" t="s">
        <v>4327</v>
      </c>
    </row>
    <row x14ac:dyDescent="0.25" r="820" customHeight="1" ht="15.75">
      <c r="A820" s="8">
        <v>25789</v>
      </c>
      <c r="B820" s="13" t="s">
        <v>198</v>
      </c>
      <c r="C820" s="13" t="s">
        <v>6587</v>
      </c>
      <c r="D820" s="32" t="s">
        <v>6588</v>
      </c>
      <c r="E820" s="32" t="s">
        <v>6119</v>
      </c>
      <c r="F820" s="32" t="s">
        <v>6589</v>
      </c>
      <c r="G820" s="32" t="s">
        <v>5001</v>
      </c>
    </row>
    <row x14ac:dyDescent="0.25" r="821" customHeight="1" ht="15.75">
      <c r="A821" s="8">
        <v>25770</v>
      </c>
      <c r="B821" s="13" t="s">
        <v>198</v>
      </c>
      <c r="C821" s="13" t="s">
        <v>6590</v>
      </c>
      <c r="D821" s="32" t="s">
        <v>6591</v>
      </c>
      <c r="E821" s="32" t="s">
        <v>6592</v>
      </c>
      <c r="F821" s="32" t="s">
        <v>6593</v>
      </c>
      <c r="G821" s="32" t="s">
        <v>4953</v>
      </c>
    </row>
    <row x14ac:dyDescent="0.25" r="822" customHeight="1" ht="15.75">
      <c r="A822" s="8">
        <v>25799</v>
      </c>
      <c r="B822" s="13" t="s">
        <v>198</v>
      </c>
      <c r="C822" s="13" t="s">
        <v>6594</v>
      </c>
      <c r="D822" s="32" t="s">
        <v>6595</v>
      </c>
      <c r="E822" s="32" t="s">
        <v>4788</v>
      </c>
      <c r="F822" s="32" t="s">
        <v>6596</v>
      </c>
      <c r="G822" s="32" t="s">
        <v>6597</v>
      </c>
    </row>
    <row x14ac:dyDescent="0.25" r="823" customHeight="1" ht="15.75">
      <c r="A823" s="8">
        <v>25747</v>
      </c>
      <c r="B823" s="13" t="s">
        <v>198</v>
      </c>
      <c r="C823" s="13" t="s">
        <v>6598</v>
      </c>
      <c r="D823" s="32" t="s">
        <v>6374</v>
      </c>
      <c r="E823" s="32" t="s">
        <v>5834</v>
      </c>
      <c r="F823" s="32" t="s">
        <v>6599</v>
      </c>
      <c r="G823" s="32" t="s">
        <v>6234</v>
      </c>
    </row>
    <row x14ac:dyDescent="0.25" r="824" customHeight="1" ht="15.75">
      <c r="A824" s="8">
        <v>25782</v>
      </c>
      <c r="B824" s="13" t="s">
        <v>198</v>
      </c>
      <c r="C824" s="13" t="s">
        <v>6600</v>
      </c>
      <c r="D824" s="32" t="s">
        <v>2740</v>
      </c>
      <c r="E824" s="32" t="s">
        <v>4080</v>
      </c>
      <c r="F824" s="32" t="s">
        <v>5865</v>
      </c>
      <c r="G824" s="32" t="s">
        <v>6601</v>
      </c>
    </row>
    <row x14ac:dyDescent="0.25" r="825" customHeight="1" ht="15.75">
      <c r="A825" s="8">
        <v>25751</v>
      </c>
      <c r="B825" s="13" t="s">
        <v>198</v>
      </c>
      <c r="C825" s="13" t="s">
        <v>6602</v>
      </c>
      <c r="D825" s="32" t="s">
        <v>74</v>
      </c>
      <c r="E825" s="32" t="s">
        <v>5534</v>
      </c>
      <c r="F825" s="32" t="s">
        <v>4217</v>
      </c>
      <c r="G825" s="32" t="s">
        <v>4392</v>
      </c>
    </row>
    <row x14ac:dyDescent="0.25" r="826" customHeight="1" ht="15.75">
      <c r="A826" s="8">
        <v>25749</v>
      </c>
      <c r="B826" s="13" t="s">
        <v>198</v>
      </c>
      <c r="C826" s="13" t="s">
        <v>6603</v>
      </c>
      <c r="D826" s="32" t="s">
        <v>6604</v>
      </c>
      <c r="E826" s="32" t="s">
        <v>4525</v>
      </c>
      <c r="F826" s="32" t="s">
        <v>6605</v>
      </c>
      <c r="G826" s="32" t="s">
        <v>1462</v>
      </c>
    </row>
    <row x14ac:dyDescent="0.25" r="827" customHeight="1" ht="15.75">
      <c r="A827" s="8">
        <v>25771</v>
      </c>
      <c r="B827" s="13" t="s">
        <v>198</v>
      </c>
      <c r="C827" s="13" t="s">
        <v>6606</v>
      </c>
      <c r="D827" s="32" t="s">
        <v>6607</v>
      </c>
      <c r="E827" s="32" t="s">
        <v>4411</v>
      </c>
      <c r="F827" s="32" t="s">
        <v>6608</v>
      </c>
      <c r="G827" s="32" t="s">
        <v>4940</v>
      </c>
    </row>
    <row x14ac:dyDescent="0.25" r="828" customHeight="1" ht="15.75">
      <c r="A828" s="8">
        <v>25752</v>
      </c>
      <c r="B828" s="13" t="s">
        <v>198</v>
      </c>
      <c r="C828" s="13" t="s">
        <v>6609</v>
      </c>
      <c r="D828" s="32" t="s">
        <v>2723</v>
      </c>
      <c r="E828" s="32" t="s">
        <v>1020</v>
      </c>
      <c r="F828" s="32" t="s">
        <v>6610</v>
      </c>
      <c r="G828" s="32" t="s">
        <v>6611</v>
      </c>
    </row>
    <row x14ac:dyDescent="0.25" r="829" customHeight="1" ht="15.75">
      <c r="A829" s="8">
        <v>25772</v>
      </c>
      <c r="B829" s="13" t="s">
        <v>198</v>
      </c>
      <c r="C829" s="13" t="s">
        <v>6612</v>
      </c>
      <c r="D829" s="32" t="s">
        <v>6613</v>
      </c>
      <c r="E829" s="32" t="s">
        <v>4098</v>
      </c>
      <c r="F829" s="32" t="s">
        <v>6614</v>
      </c>
      <c r="G829" s="32" t="s">
        <v>63</v>
      </c>
    </row>
    <row x14ac:dyDescent="0.25" r="830" customHeight="1" ht="15.75">
      <c r="A830" s="8">
        <v>25800</v>
      </c>
      <c r="B830" s="13" t="s">
        <v>198</v>
      </c>
      <c r="C830" s="13" t="s">
        <v>6615</v>
      </c>
      <c r="D830" s="32" t="s">
        <v>6616</v>
      </c>
      <c r="E830" s="32" t="s">
        <v>5971</v>
      </c>
      <c r="F830" s="32" t="s">
        <v>2000</v>
      </c>
      <c r="G830" s="32" t="s">
        <v>5670</v>
      </c>
    </row>
    <row x14ac:dyDescent="0.25" r="831" customHeight="1" ht="15.75">
      <c r="A831" s="8">
        <v>25790</v>
      </c>
      <c r="B831" s="13" t="s">
        <v>198</v>
      </c>
      <c r="C831" s="13" t="s">
        <v>6617</v>
      </c>
      <c r="D831" s="32" t="s">
        <v>2429</v>
      </c>
      <c r="E831" s="32" t="s">
        <v>2658</v>
      </c>
      <c r="F831" s="32" t="s">
        <v>6618</v>
      </c>
      <c r="G831" s="32" t="s">
        <v>5349</v>
      </c>
    </row>
    <row x14ac:dyDescent="0.25" r="832" customHeight="1" ht="15.75">
      <c r="A832" s="8">
        <v>25773</v>
      </c>
      <c r="B832" s="13" t="s">
        <v>198</v>
      </c>
      <c r="C832" s="13" t="s">
        <v>6619</v>
      </c>
      <c r="D832" s="32" t="s">
        <v>6620</v>
      </c>
      <c r="E832" s="32" t="s">
        <v>4541</v>
      </c>
      <c r="F832" s="32" t="s">
        <v>6621</v>
      </c>
      <c r="G832" s="32" t="s">
        <v>6444</v>
      </c>
    </row>
    <row x14ac:dyDescent="0.25" r="833" customHeight="1" ht="15.75">
      <c r="A833" s="8">
        <v>25791</v>
      </c>
      <c r="B833" s="13" t="s">
        <v>198</v>
      </c>
      <c r="C833" s="13" t="s">
        <v>6622</v>
      </c>
      <c r="D833" s="32" t="s">
        <v>6438</v>
      </c>
      <c r="E833" s="32" t="s">
        <v>4108</v>
      </c>
      <c r="F833" s="32" t="s">
        <v>6623</v>
      </c>
      <c r="G833" s="32" t="s">
        <v>4452</v>
      </c>
    </row>
    <row x14ac:dyDescent="0.25" r="834" customHeight="1" ht="15.75">
      <c r="A834" s="8">
        <v>25792</v>
      </c>
      <c r="B834" s="13" t="s">
        <v>198</v>
      </c>
      <c r="C834" s="13" t="s">
        <v>6624</v>
      </c>
      <c r="D834" s="32" t="s">
        <v>4894</v>
      </c>
      <c r="E834" s="32" t="s">
        <v>6140</v>
      </c>
      <c r="F834" s="32" t="s">
        <v>6625</v>
      </c>
      <c r="G834" s="32" t="s">
        <v>5073</v>
      </c>
    </row>
    <row x14ac:dyDescent="0.25" r="835" customHeight="1" ht="15.75">
      <c r="A835" s="8">
        <v>25801</v>
      </c>
      <c r="B835" s="13" t="s">
        <v>198</v>
      </c>
      <c r="C835" s="13" t="s">
        <v>6626</v>
      </c>
      <c r="D835" s="32" t="s">
        <v>74</v>
      </c>
      <c r="E835" s="32" t="s">
        <v>4779</v>
      </c>
      <c r="F835" s="32" t="s">
        <v>6378</v>
      </c>
      <c r="G835" s="32" t="s">
        <v>1754</v>
      </c>
    </row>
    <row x14ac:dyDescent="0.25" r="836" customHeight="1" ht="15.75">
      <c r="A836" s="8">
        <v>25793</v>
      </c>
      <c r="B836" s="13" t="s">
        <v>198</v>
      </c>
      <c r="C836" s="13" t="s">
        <v>6627</v>
      </c>
      <c r="D836" s="32" t="s">
        <v>6628</v>
      </c>
      <c r="E836" s="32" t="s">
        <v>6629</v>
      </c>
      <c r="F836" s="32" t="s">
        <v>6630</v>
      </c>
      <c r="G836" s="32" t="s">
        <v>4283</v>
      </c>
    </row>
    <row x14ac:dyDescent="0.25" r="837" customHeight="1" ht="15.75">
      <c r="A837" s="8">
        <v>25774</v>
      </c>
      <c r="B837" s="13" t="s">
        <v>198</v>
      </c>
      <c r="C837" s="13" t="s">
        <v>6631</v>
      </c>
      <c r="D837" s="32" t="s">
        <v>6565</v>
      </c>
      <c r="E837" s="32" t="s">
        <v>5478</v>
      </c>
      <c r="F837" s="32" t="s">
        <v>6632</v>
      </c>
      <c r="G837" s="32" t="s">
        <v>409</v>
      </c>
    </row>
    <row x14ac:dyDescent="0.25" r="838" customHeight="1" ht="15.75">
      <c r="A838" s="8">
        <v>25753</v>
      </c>
      <c r="B838" s="13" t="s">
        <v>198</v>
      </c>
      <c r="C838" s="13" t="s">
        <v>6633</v>
      </c>
      <c r="D838" s="32" t="s">
        <v>6634</v>
      </c>
      <c r="E838" s="32" t="s">
        <v>5932</v>
      </c>
      <c r="F838" s="32" t="s">
        <v>6290</v>
      </c>
      <c r="G838" s="32" t="s">
        <v>1437</v>
      </c>
    </row>
    <row x14ac:dyDescent="0.25" r="839" customHeight="1" ht="15.75">
      <c r="A839" s="8">
        <v>25754</v>
      </c>
      <c r="B839" s="13" t="s">
        <v>198</v>
      </c>
      <c r="C839" s="13" t="s">
        <v>6635</v>
      </c>
      <c r="D839" s="32" t="s">
        <v>4435</v>
      </c>
      <c r="E839" s="32" t="s">
        <v>5014</v>
      </c>
      <c r="F839" s="32" t="s">
        <v>6636</v>
      </c>
      <c r="G839" s="32" t="s">
        <v>4151</v>
      </c>
    </row>
    <row x14ac:dyDescent="0.25" r="840" customHeight="1" ht="15.75">
      <c r="A840" s="8">
        <v>25794</v>
      </c>
      <c r="B840" s="13" t="s">
        <v>198</v>
      </c>
      <c r="C840" s="13" t="s">
        <v>6302</v>
      </c>
      <c r="D840" s="32" t="s">
        <v>6637</v>
      </c>
      <c r="E840" s="32" t="s">
        <v>6298</v>
      </c>
      <c r="F840" s="32" t="s">
        <v>6638</v>
      </c>
      <c r="G840" s="32" t="s">
        <v>4656</v>
      </c>
    </row>
    <row x14ac:dyDescent="0.25" r="841" customHeight="1" ht="15.75">
      <c r="A841" s="8">
        <v>25746</v>
      </c>
      <c r="B841" s="13" t="s">
        <v>198</v>
      </c>
      <c r="C841" s="13" t="s">
        <v>6639</v>
      </c>
      <c r="D841" s="32" t="s">
        <v>6640</v>
      </c>
      <c r="E841" s="32" t="s">
        <v>4388</v>
      </c>
      <c r="F841" s="32" t="s">
        <v>5650</v>
      </c>
      <c r="G841" s="32" t="s">
        <v>4755</v>
      </c>
    </row>
    <row x14ac:dyDescent="0.25" r="842" customHeight="1" ht="15.75">
      <c r="A842" s="8">
        <v>25755</v>
      </c>
      <c r="B842" s="13" t="s">
        <v>198</v>
      </c>
      <c r="C842" s="13" t="s">
        <v>6641</v>
      </c>
      <c r="D842" s="32" t="s">
        <v>6642</v>
      </c>
      <c r="E842" s="32" t="s">
        <v>4732</v>
      </c>
      <c r="F842" s="32" t="s">
        <v>2560</v>
      </c>
      <c r="G842" s="32" t="s">
        <v>6564</v>
      </c>
    </row>
    <row x14ac:dyDescent="0.25" r="843" customHeight="1" ht="15.75">
      <c r="A843" s="8">
        <v>25783</v>
      </c>
      <c r="B843" s="13" t="s">
        <v>198</v>
      </c>
      <c r="C843" s="13" t="s">
        <v>6643</v>
      </c>
      <c r="D843" s="32" t="s">
        <v>6644</v>
      </c>
      <c r="E843" s="32" t="s">
        <v>6645</v>
      </c>
      <c r="F843" s="32" t="s">
        <v>6646</v>
      </c>
      <c r="G843" s="32" t="s">
        <v>4262</v>
      </c>
    </row>
    <row x14ac:dyDescent="0.25" r="844" customHeight="1" ht="15.75">
      <c r="A844" s="8">
        <v>25802</v>
      </c>
      <c r="B844" s="13" t="s">
        <v>198</v>
      </c>
      <c r="C844" s="13" t="s">
        <v>5405</v>
      </c>
      <c r="D844" s="32" t="s">
        <v>6647</v>
      </c>
      <c r="E844" s="32" t="s">
        <v>6648</v>
      </c>
      <c r="F844" s="32" t="s">
        <v>6649</v>
      </c>
      <c r="G844" s="32" t="s">
        <v>5526</v>
      </c>
    </row>
    <row x14ac:dyDescent="0.25" r="845" customHeight="1" ht="15.75">
      <c r="A845" s="8">
        <v>25756</v>
      </c>
      <c r="B845" s="13" t="s">
        <v>198</v>
      </c>
      <c r="C845" s="13" t="s">
        <v>6650</v>
      </c>
      <c r="D845" s="32" t="s">
        <v>6651</v>
      </c>
      <c r="E845" s="32" t="s">
        <v>6104</v>
      </c>
      <c r="F845" s="32" t="s">
        <v>6652</v>
      </c>
      <c r="G845" s="32" t="s">
        <v>1448</v>
      </c>
    </row>
    <row x14ac:dyDescent="0.25" r="846" customHeight="1" ht="15.75">
      <c r="A846" s="8">
        <v>25784</v>
      </c>
      <c r="B846" s="13" t="s">
        <v>198</v>
      </c>
      <c r="C846" s="13" t="s">
        <v>6653</v>
      </c>
      <c r="D846" s="32" t="s">
        <v>74</v>
      </c>
      <c r="E846" s="32" t="s">
        <v>1671</v>
      </c>
      <c r="F846" s="32" t="s">
        <v>4254</v>
      </c>
      <c r="G846" s="32" t="s">
        <v>6580</v>
      </c>
    </row>
    <row x14ac:dyDescent="0.25" r="847" customHeight="1" ht="15.75">
      <c r="A847" s="8">
        <v>25795</v>
      </c>
      <c r="B847" s="13" t="s">
        <v>198</v>
      </c>
      <c r="C847" s="13" t="s">
        <v>6654</v>
      </c>
      <c r="D847" s="32" t="s">
        <v>6655</v>
      </c>
      <c r="E847" s="32" t="s">
        <v>5572</v>
      </c>
      <c r="F847" s="32" t="s">
        <v>6656</v>
      </c>
      <c r="G847" s="32" t="s">
        <v>4696</v>
      </c>
    </row>
    <row x14ac:dyDescent="0.25" r="848" customHeight="1" ht="15.75">
      <c r="A848" s="8">
        <v>25775</v>
      </c>
      <c r="B848" s="13" t="s">
        <v>198</v>
      </c>
      <c r="C848" s="13" t="s">
        <v>6657</v>
      </c>
      <c r="D848" s="32" t="s">
        <v>6658</v>
      </c>
      <c r="E848" s="32" t="s">
        <v>1389</v>
      </c>
      <c r="F848" s="32" t="s">
        <v>2492</v>
      </c>
      <c r="G848" s="32" t="s">
        <v>5478</v>
      </c>
    </row>
    <row x14ac:dyDescent="0.25" r="849" customHeight="1" ht="15.75">
      <c r="A849" s="8">
        <v>25757</v>
      </c>
      <c r="B849" s="13" t="s">
        <v>198</v>
      </c>
      <c r="C849" s="13" t="s">
        <v>6659</v>
      </c>
      <c r="D849" s="32" t="s">
        <v>6660</v>
      </c>
      <c r="E849" s="32" t="s">
        <v>6661</v>
      </c>
      <c r="F849" s="32" t="s">
        <v>6662</v>
      </c>
      <c r="G849" s="32" t="s">
        <v>4240</v>
      </c>
    </row>
    <row x14ac:dyDescent="0.25" r="850" customHeight="1" ht="15.75">
      <c r="A850" s="8">
        <v>25803</v>
      </c>
      <c r="B850" s="13" t="s">
        <v>198</v>
      </c>
      <c r="C850" s="13" t="s">
        <v>6663</v>
      </c>
      <c r="D850" s="32" t="s">
        <v>6664</v>
      </c>
      <c r="E850" s="32" t="s">
        <v>5593</v>
      </c>
      <c r="F850" s="32" t="s">
        <v>2532</v>
      </c>
      <c r="G850" s="32" t="s">
        <v>5760</v>
      </c>
    </row>
    <row x14ac:dyDescent="0.25" r="851" customHeight="1" ht="15.75">
      <c r="A851" s="8">
        <v>25758</v>
      </c>
      <c r="B851" s="13" t="s">
        <v>198</v>
      </c>
      <c r="C851" s="13" t="s">
        <v>6665</v>
      </c>
      <c r="D851" s="32" t="s">
        <v>6666</v>
      </c>
      <c r="E851" s="32" t="s">
        <v>6055</v>
      </c>
      <c r="F851" s="32" t="s">
        <v>6667</v>
      </c>
      <c r="G851" s="32" t="s">
        <v>4177</v>
      </c>
    </row>
    <row x14ac:dyDescent="0.25" r="852" customHeight="1" ht="15.75">
      <c r="A852" s="8">
        <v>25750</v>
      </c>
      <c r="B852" s="13" t="s">
        <v>198</v>
      </c>
      <c r="C852" s="13" t="s">
        <v>6668</v>
      </c>
      <c r="D852" s="32" t="s">
        <v>4416</v>
      </c>
      <c r="E852" s="32" t="s">
        <v>4354</v>
      </c>
      <c r="F852" s="32" t="s">
        <v>6669</v>
      </c>
      <c r="G852" s="32" t="s">
        <v>5518</v>
      </c>
    </row>
    <row x14ac:dyDescent="0.25" r="853" customHeight="1" ht="15.75">
      <c r="A853" s="8">
        <v>25785</v>
      </c>
      <c r="B853" s="13" t="s">
        <v>198</v>
      </c>
      <c r="C853" s="13" t="s">
        <v>6670</v>
      </c>
      <c r="D853" s="32" t="s">
        <v>6671</v>
      </c>
      <c r="E853" s="32" t="s">
        <v>6672</v>
      </c>
      <c r="F853" s="32" t="s">
        <v>6673</v>
      </c>
      <c r="G853" s="32" t="s">
        <v>5183</v>
      </c>
    </row>
    <row x14ac:dyDescent="0.25" r="854" customHeight="1" ht="15.75">
      <c r="A854" s="8">
        <v>25759</v>
      </c>
      <c r="B854" s="13" t="s">
        <v>198</v>
      </c>
      <c r="C854" s="13" t="s">
        <v>6674</v>
      </c>
      <c r="D854" s="32" t="s">
        <v>6675</v>
      </c>
      <c r="E854" s="32" t="s">
        <v>5347</v>
      </c>
      <c r="F854" s="32" t="s">
        <v>2539</v>
      </c>
      <c r="G854" s="32" t="s">
        <v>4892</v>
      </c>
    </row>
    <row x14ac:dyDescent="0.25" r="855" customHeight="1" ht="15.75">
      <c r="A855" s="8">
        <v>25760</v>
      </c>
      <c r="B855" s="13" t="s">
        <v>198</v>
      </c>
      <c r="C855" s="13" t="s">
        <v>6676</v>
      </c>
      <c r="D855" s="32" t="s">
        <v>74</v>
      </c>
      <c r="E855" s="32" t="s">
        <v>1588</v>
      </c>
      <c r="F855" s="32" t="s">
        <v>6677</v>
      </c>
      <c r="G855" s="32" t="s">
        <v>4612</v>
      </c>
    </row>
    <row x14ac:dyDescent="0.25" r="856" customHeight="1" ht="15.75">
      <c r="A856" s="8">
        <v>25786</v>
      </c>
      <c r="B856" s="13" t="s">
        <v>198</v>
      </c>
      <c r="C856" s="13" t="s">
        <v>6678</v>
      </c>
      <c r="D856" s="32" t="s">
        <v>74</v>
      </c>
      <c r="E856" s="32" t="s">
        <v>1630</v>
      </c>
      <c r="F856" s="32" t="s">
        <v>2335</v>
      </c>
      <c r="G856" s="32" t="s">
        <v>4551</v>
      </c>
    </row>
    <row x14ac:dyDescent="0.25" r="857" customHeight="1" ht="15.75">
      <c r="A857" s="8">
        <v>25804</v>
      </c>
      <c r="B857" s="13" t="s">
        <v>198</v>
      </c>
      <c r="C857" s="13" t="s">
        <v>6679</v>
      </c>
      <c r="D857" s="32" t="s">
        <v>6680</v>
      </c>
      <c r="E857" s="32" t="s">
        <v>4788</v>
      </c>
      <c r="F857" s="32" t="s">
        <v>74</v>
      </c>
      <c r="G857" s="32" t="s">
        <v>6681</v>
      </c>
    </row>
    <row x14ac:dyDescent="0.25" r="858" customHeight="1" ht="15.75">
      <c r="A858" s="8">
        <v>25776</v>
      </c>
      <c r="B858" s="13" t="s">
        <v>198</v>
      </c>
      <c r="C858" s="13" t="s">
        <v>5698</v>
      </c>
      <c r="D858" s="32" t="s">
        <v>6682</v>
      </c>
      <c r="E858" s="32" t="s">
        <v>6683</v>
      </c>
      <c r="F858" s="32" t="s">
        <v>6684</v>
      </c>
      <c r="G858" s="32" t="s">
        <v>6369</v>
      </c>
    </row>
    <row x14ac:dyDescent="0.25" r="859" customHeight="1" ht="15.75">
      <c r="A859" s="8">
        <v>25761</v>
      </c>
      <c r="B859" s="13" t="s">
        <v>198</v>
      </c>
      <c r="C859" s="13" t="s">
        <v>6685</v>
      </c>
      <c r="D859" s="32" t="s">
        <v>5294</v>
      </c>
      <c r="E859" s="32" t="s">
        <v>1401</v>
      </c>
      <c r="F859" s="32" t="s">
        <v>81</v>
      </c>
      <c r="G859" s="32" t="s">
        <v>1341</v>
      </c>
    </row>
    <row x14ac:dyDescent="0.25" r="860" customHeight="1" ht="15.75">
      <c r="A860" s="8">
        <v>25805</v>
      </c>
      <c r="B860" s="13" t="s">
        <v>198</v>
      </c>
      <c r="C860" s="13" t="s">
        <v>6686</v>
      </c>
      <c r="D860" s="32" t="s">
        <v>74</v>
      </c>
      <c r="E860" s="32" t="s">
        <v>1431</v>
      </c>
      <c r="F860" s="32" t="s">
        <v>1348</v>
      </c>
      <c r="G860" s="32" t="s">
        <v>4156</v>
      </c>
    </row>
    <row x14ac:dyDescent="0.25" r="861" customHeight="1" ht="15.75">
      <c r="A861" s="8">
        <v>25762</v>
      </c>
      <c r="B861" s="13" t="s">
        <v>198</v>
      </c>
      <c r="C861" s="13" t="s">
        <v>6687</v>
      </c>
      <c r="D861" s="32" t="s">
        <v>6374</v>
      </c>
      <c r="E861" s="32" t="s">
        <v>1232</v>
      </c>
      <c r="F861" s="32" t="s">
        <v>6688</v>
      </c>
      <c r="G861" s="32" t="s">
        <v>4635</v>
      </c>
    </row>
    <row x14ac:dyDescent="0.25" r="862" customHeight="1" ht="15.75">
      <c r="A862" s="8">
        <v>25763</v>
      </c>
      <c r="B862" s="13" t="s">
        <v>198</v>
      </c>
      <c r="C862" s="13" t="s">
        <v>6689</v>
      </c>
      <c r="D862" s="32" t="s">
        <v>6690</v>
      </c>
      <c r="E862" s="32" t="s">
        <v>6691</v>
      </c>
      <c r="F862" s="32" t="s">
        <v>74</v>
      </c>
      <c r="G862" s="32" t="s">
        <v>1351</v>
      </c>
    </row>
    <row x14ac:dyDescent="0.25" r="863" customHeight="1" ht="15.75">
      <c r="A863" s="8">
        <v>25797</v>
      </c>
      <c r="B863" s="13" t="s">
        <v>198</v>
      </c>
      <c r="C863" s="13" t="s">
        <v>6692</v>
      </c>
      <c r="D863" s="32" t="s">
        <v>6693</v>
      </c>
      <c r="E863" s="32" t="s">
        <v>6277</v>
      </c>
      <c r="F863" s="32" t="s">
        <v>6694</v>
      </c>
      <c r="G863" s="32" t="s">
        <v>6294</v>
      </c>
    </row>
    <row x14ac:dyDescent="0.25" r="864" customHeight="1" ht="15.75">
      <c r="A864" s="8">
        <v>25778</v>
      </c>
      <c r="B864" s="13" t="s">
        <v>198</v>
      </c>
      <c r="C864" s="13" t="s">
        <v>6695</v>
      </c>
      <c r="D864" s="32" t="s">
        <v>74</v>
      </c>
      <c r="E864" s="32" t="s">
        <v>6696</v>
      </c>
      <c r="F864" s="32" t="s">
        <v>74</v>
      </c>
      <c r="G864" s="32" t="s">
        <v>6024</v>
      </c>
    </row>
    <row x14ac:dyDescent="0.25" r="865" customHeight="1" ht="15.75">
      <c r="A865" s="8">
        <v>25764</v>
      </c>
      <c r="B865" s="13" t="s">
        <v>198</v>
      </c>
      <c r="C865" s="13" t="s">
        <v>6697</v>
      </c>
      <c r="D865" s="32" t="s">
        <v>6698</v>
      </c>
      <c r="E865" s="32" t="s">
        <v>6699</v>
      </c>
      <c r="F865" s="32" t="s">
        <v>2695</v>
      </c>
      <c r="G865" s="32" t="s">
        <v>1514</v>
      </c>
    </row>
    <row x14ac:dyDescent="0.25" r="866" customHeight="1" ht="15.75">
      <c r="A866" s="8">
        <v>25765</v>
      </c>
      <c r="B866" s="13" t="s">
        <v>198</v>
      </c>
      <c r="C866" s="13" t="s">
        <v>6700</v>
      </c>
      <c r="D866" s="32" t="s">
        <v>6701</v>
      </c>
      <c r="E866" s="32" t="s">
        <v>4759</v>
      </c>
      <c r="F866" s="32" t="s">
        <v>74</v>
      </c>
      <c r="G866" s="32" t="s">
        <v>6271</v>
      </c>
    </row>
    <row x14ac:dyDescent="0.25" r="867" customHeight="1" ht="15.75">
      <c r="A867" s="8">
        <v>25779</v>
      </c>
      <c r="B867" s="13" t="s">
        <v>198</v>
      </c>
      <c r="C867" s="13" t="s">
        <v>6702</v>
      </c>
      <c r="D867" s="32" t="s">
        <v>6478</v>
      </c>
      <c r="E867" s="32" t="s">
        <v>1291</v>
      </c>
      <c r="F867" s="32" t="s">
        <v>6703</v>
      </c>
      <c r="G867" s="32" t="s">
        <v>5674</v>
      </c>
    </row>
    <row x14ac:dyDescent="0.25" r="868" customHeight="1" ht="15.75">
      <c r="A868" s="8">
        <v>25766</v>
      </c>
      <c r="B868" s="13" t="s">
        <v>198</v>
      </c>
      <c r="C868" s="13" t="s">
        <v>6704</v>
      </c>
      <c r="D868" s="32" t="s">
        <v>6557</v>
      </c>
      <c r="E868" s="32" t="s">
        <v>6705</v>
      </c>
      <c r="F868" s="32" t="s">
        <v>951</v>
      </c>
      <c r="G868" s="32" t="s">
        <v>6066</v>
      </c>
    </row>
    <row x14ac:dyDescent="0.25" r="869" customHeight="1" ht="15.75">
      <c r="A869" s="8">
        <v>25780</v>
      </c>
      <c r="B869" s="13" t="s">
        <v>198</v>
      </c>
      <c r="C869" s="13" t="s">
        <v>6706</v>
      </c>
      <c r="D869" s="32" t="s">
        <v>6707</v>
      </c>
      <c r="E869" s="32" t="s">
        <v>1446</v>
      </c>
      <c r="F869" s="32" t="s">
        <v>6708</v>
      </c>
      <c r="G869" s="32" t="s">
        <v>6709</v>
      </c>
    </row>
    <row x14ac:dyDescent="0.25" r="870" customHeight="1" ht="15.75">
      <c r="A870" s="8">
        <v>25788</v>
      </c>
      <c r="B870" s="13" t="s">
        <v>198</v>
      </c>
      <c r="C870" s="13" t="s">
        <v>6710</v>
      </c>
      <c r="D870" s="32" t="s">
        <v>6711</v>
      </c>
      <c r="E870" s="32" t="s">
        <v>5932</v>
      </c>
      <c r="F870" s="32" t="s">
        <v>5103</v>
      </c>
      <c r="G870" s="32" t="s">
        <v>4635</v>
      </c>
    </row>
    <row x14ac:dyDescent="0.25" r="871" customHeight="1" ht="15.75">
      <c r="A871" s="8">
        <v>25767</v>
      </c>
      <c r="B871" s="13" t="s">
        <v>198</v>
      </c>
      <c r="C871" s="13" t="s">
        <v>6712</v>
      </c>
      <c r="D871" s="32" t="s">
        <v>350</v>
      </c>
      <c r="E871" s="32" t="s">
        <v>6713</v>
      </c>
      <c r="F871" s="32" t="s">
        <v>6714</v>
      </c>
      <c r="G871" s="32" t="s">
        <v>4766</v>
      </c>
    </row>
    <row x14ac:dyDescent="0.25" r="872" customHeight="1" ht="15.75">
      <c r="A872" s="8">
        <v>25768</v>
      </c>
      <c r="B872" s="13" t="s">
        <v>198</v>
      </c>
      <c r="C872" s="13" t="s">
        <v>6715</v>
      </c>
      <c r="D872" s="32" t="s">
        <v>6716</v>
      </c>
      <c r="E872" s="32" t="s">
        <v>4602</v>
      </c>
      <c r="F872" s="32" t="s">
        <v>5109</v>
      </c>
      <c r="G872" s="32" t="s">
        <v>1478</v>
      </c>
    </row>
    <row x14ac:dyDescent="0.25" r="873" customHeight="1" ht="15.75">
      <c r="A873" s="8">
        <v>25769</v>
      </c>
      <c r="B873" s="13" t="s">
        <v>198</v>
      </c>
      <c r="C873" s="13" t="s">
        <v>6717</v>
      </c>
      <c r="D873" s="32" t="s">
        <v>6718</v>
      </c>
      <c r="E873" s="32" t="s">
        <v>6719</v>
      </c>
      <c r="F873" s="32" t="s">
        <v>4666</v>
      </c>
      <c r="G873" s="32" t="s">
        <v>1454</v>
      </c>
    </row>
    <row x14ac:dyDescent="0.25" r="874" customHeight="1" ht="15.75">
      <c r="A874" s="8">
        <v>25807</v>
      </c>
      <c r="B874" s="13" t="s">
        <v>198</v>
      </c>
      <c r="C874" s="13" t="s">
        <v>6720</v>
      </c>
      <c r="D874" s="32" t="s">
        <v>6721</v>
      </c>
      <c r="E874" s="32" t="s">
        <v>1177</v>
      </c>
      <c r="F874" s="32" t="s">
        <v>6722</v>
      </c>
      <c r="G874" s="32" t="s">
        <v>1539</v>
      </c>
    </row>
    <row x14ac:dyDescent="0.25" r="875" customHeight="1" ht="15.75">
      <c r="A875" s="8">
        <v>25781</v>
      </c>
      <c r="B875" s="13" t="s">
        <v>198</v>
      </c>
      <c r="C875" s="13" t="s">
        <v>6723</v>
      </c>
      <c r="D875" s="32" t="s">
        <v>6724</v>
      </c>
      <c r="E875" s="32" t="s">
        <v>4752</v>
      </c>
      <c r="F875" s="32" t="s">
        <v>6725</v>
      </c>
      <c r="G875" s="32" t="s">
        <v>4581</v>
      </c>
    </row>
    <row x14ac:dyDescent="0.25" r="876" customHeight="1" ht="15.75">
      <c r="A876" s="8">
        <v>25808</v>
      </c>
      <c r="B876" s="13" t="s">
        <v>198</v>
      </c>
      <c r="C876" s="13" t="s">
        <v>6726</v>
      </c>
      <c r="D876" s="32" t="s">
        <v>6513</v>
      </c>
      <c r="E876" s="32" t="s">
        <v>6727</v>
      </c>
      <c r="F876" s="32" t="s">
        <v>6728</v>
      </c>
      <c r="G876" s="32" t="s">
        <v>1571</v>
      </c>
    </row>
    <row x14ac:dyDescent="0.25" r="877" customHeight="1" ht="15.75">
      <c r="A877" s="8">
        <v>25175</v>
      </c>
      <c r="B877" s="13" t="s">
        <v>391</v>
      </c>
      <c r="C877" s="13" t="s">
        <v>6729</v>
      </c>
      <c r="D877" s="32" t="s">
        <v>2733</v>
      </c>
      <c r="E877" s="32" t="s">
        <v>6730</v>
      </c>
      <c r="F877" s="32" t="s">
        <v>6731</v>
      </c>
      <c r="G877" s="32" t="s">
        <v>5775</v>
      </c>
    </row>
    <row x14ac:dyDescent="0.25" r="878" customHeight="1" ht="15.75">
      <c r="A878" s="8">
        <v>25188</v>
      </c>
      <c r="B878" s="13" t="s">
        <v>391</v>
      </c>
      <c r="C878" s="13" t="s">
        <v>6732</v>
      </c>
      <c r="D878" s="32" t="s">
        <v>6731</v>
      </c>
      <c r="E878" s="32" t="s">
        <v>6733</v>
      </c>
      <c r="F878" s="32" t="s">
        <v>6607</v>
      </c>
      <c r="G878" s="32" t="s">
        <v>4255</v>
      </c>
    </row>
    <row x14ac:dyDescent="0.25" r="879" customHeight="1" ht="15.75">
      <c r="A879" s="8">
        <v>25194</v>
      </c>
      <c r="B879" s="13" t="s">
        <v>391</v>
      </c>
      <c r="C879" s="13" t="s">
        <v>6734</v>
      </c>
      <c r="D879" s="32" t="s">
        <v>6735</v>
      </c>
      <c r="E879" s="32" t="s">
        <v>2223</v>
      </c>
      <c r="F879" s="32" t="s">
        <v>6736</v>
      </c>
      <c r="G879" s="32" t="s">
        <v>4151</v>
      </c>
    </row>
    <row x14ac:dyDescent="0.25" r="880" customHeight="1" ht="15.75">
      <c r="A880" s="8">
        <v>25189</v>
      </c>
      <c r="B880" s="13" t="s">
        <v>391</v>
      </c>
      <c r="C880" s="13" t="s">
        <v>6737</v>
      </c>
      <c r="D880" s="32" t="s">
        <v>6738</v>
      </c>
      <c r="E880" s="32" t="s">
        <v>6184</v>
      </c>
      <c r="F880" s="32" t="s">
        <v>5482</v>
      </c>
      <c r="G880" s="32" t="s">
        <v>5146</v>
      </c>
    </row>
    <row x14ac:dyDescent="0.25" r="881" customHeight="1" ht="15.75">
      <c r="A881" s="8">
        <v>25200</v>
      </c>
      <c r="B881" s="13" t="s">
        <v>391</v>
      </c>
      <c r="C881" s="13" t="s">
        <v>6739</v>
      </c>
      <c r="D881" s="32" t="s">
        <v>6740</v>
      </c>
      <c r="E881" s="32" t="s">
        <v>6741</v>
      </c>
      <c r="F881" s="32" t="s">
        <v>6742</v>
      </c>
      <c r="G881" s="32" t="s">
        <v>6743</v>
      </c>
    </row>
    <row x14ac:dyDescent="0.25" r="882" customHeight="1" ht="15.75">
      <c r="A882" s="8">
        <v>25161</v>
      </c>
      <c r="B882" s="13" t="s">
        <v>391</v>
      </c>
      <c r="C882" s="13" t="s">
        <v>6744</v>
      </c>
      <c r="D882" s="32" t="s">
        <v>4371</v>
      </c>
      <c r="E882" s="32" t="s">
        <v>308</v>
      </c>
      <c r="F882" s="32" t="s">
        <v>4548</v>
      </c>
      <c r="G882" s="32" t="s">
        <v>4818</v>
      </c>
    </row>
    <row x14ac:dyDescent="0.25" r="883" customHeight="1" ht="15.75">
      <c r="A883" s="8">
        <v>25225</v>
      </c>
      <c r="B883" s="13" t="s">
        <v>391</v>
      </c>
      <c r="C883" s="13" t="s">
        <v>6745</v>
      </c>
      <c r="D883" s="32" t="s">
        <v>74</v>
      </c>
      <c r="E883" s="32" t="s">
        <v>4526</v>
      </c>
      <c r="F883" s="32" t="s">
        <v>6746</v>
      </c>
      <c r="G883" s="32" t="s">
        <v>5413</v>
      </c>
    </row>
    <row x14ac:dyDescent="0.25" r="884" customHeight="1" ht="15.75">
      <c r="A884" s="8">
        <v>25181</v>
      </c>
      <c r="B884" s="13" t="s">
        <v>391</v>
      </c>
      <c r="C884" s="13" t="s">
        <v>6747</v>
      </c>
      <c r="D884" s="32" t="s">
        <v>5806</v>
      </c>
      <c r="E884" s="32" t="s">
        <v>6353</v>
      </c>
      <c r="F884" s="32" t="s">
        <v>6748</v>
      </c>
      <c r="G884" s="32" t="s">
        <v>4525</v>
      </c>
    </row>
    <row x14ac:dyDescent="0.25" r="885" customHeight="1" ht="15.75">
      <c r="A885" s="8">
        <v>25231</v>
      </c>
      <c r="B885" s="13" t="s">
        <v>391</v>
      </c>
      <c r="C885" s="13" t="s">
        <v>6749</v>
      </c>
      <c r="D885" s="32" t="s">
        <v>6750</v>
      </c>
      <c r="E885" s="32" t="s">
        <v>4646</v>
      </c>
      <c r="F885" s="32" t="s">
        <v>6751</v>
      </c>
      <c r="G885" s="32" t="s">
        <v>587</v>
      </c>
    </row>
    <row x14ac:dyDescent="0.25" r="886" customHeight="1" ht="15.75">
      <c r="A886" s="8">
        <v>25201</v>
      </c>
      <c r="B886" s="13" t="s">
        <v>391</v>
      </c>
      <c r="C886" s="13" t="s">
        <v>6752</v>
      </c>
      <c r="D886" s="32" t="s">
        <v>6753</v>
      </c>
      <c r="E886" s="32" t="s">
        <v>2813</v>
      </c>
      <c r="F886" s="32" t="s">
        <v>5768</v>
      </c>
      <c r="G886" s="32" t="s">
        <v>6754</v>
      </c>
    </row>
    <row x14ac:dyDescent="0.25" r="887" customHeight="1" ht="15.75">
      <c r="A887" s="8">
        <v>25182</v>
      </c>
      <c r="B887" s="13" t="s">
        <v>391</v>
      </c>
      <c r="C887" s="13" t="s">
        <v>6755</v>
      </c>
      <c r="D887" s="32" t="s">
        <v>6756</v>
      </c>
      <c r="E887" s="32" t="s">
        <v>5696</v>
      </c>
      <c r="F887" s="32" t="s">
        <v>6757</v>
      </c>
      <c r="G887" s="32" t="s">
        <v>5012</v>
      </c>
    </row>
    <row x14ac:dyDescent="0.25" r="888" customHeight="1" ht="15.75">
      <c r="A888" s="8">
        <v>25170</v>
      </c>
      <c r="B888" s="13" t="s">
        <v>391</v>
      </c>
      <c r="C888" s="13" t="s">
        <v>6758</v>
      </c>
      <c r="D888" s="32" t="s">
        <v>74</v>
      </c>
      <c r="E888" s="32" t="s">
        <v>6759</v>
      </c>
      <c r="F888" s="32" t="s">
        <v>1419</v>
      </c>
      <c r="G888" s="32" t="s">
        <v>5554</v>
      </c>
    </row>
    <row x14ac:dyDescent="0.25" r="889" customHeight="1" ht="15.75">
      <c r="A889" s="8">
        <v>25190</v>
      </c>
      <c r="B889" s="13" t="s">
        <v>391</v>
      </c>
      <c r="C889" s="13" t="s">
        <v>6760</v>
      </c>
      <c r="D889" s="32" t="s">
        <v>5799</v>
      </c>
      <c r="E889" s="32" t="s">
        <v>6761</v>
      </c>
      <c r="F889" s="32" t="s">
        <v>74</v>
      </c>
      <c r="G889" s="32" t="s">
        <v>5307</v>
      </c>
    </row>
    <row x14ac:dyDescent="0.25" r="890" customHeight="1" ht="15.75">
      <c r="A890" s="8">
        <v>25203</v>
      </c>
      <c r="B890" s="13" t="s">
        <v>391</v>
      </c>
      <c r="C890" s="13" t="s">
        <v>6762</v>
      </c>
      <c r="D890" s="32" t="s">
        <v>5695</v>
      </c>
      <c r="E890" s="32" t="s">
        <v>6763</v>
      </c>
      <c r="F890" s="32" t="s">
        <v>6764</v>
      </c>
      <c r="G890" s="32" t="s">
        <v>4768</v>
      </c>
    </row>
    <row x14ac:dyDescent="0.25" r="891" customHeight="1" ht="15.75">
      <c r="A891" s="8">
        <v>25171</v>
      </c>
      <c r="B891" s="13" t="s">
        <v>391</v>
      </c>
      <c r="C891" s="13" t="s">
        <v>6765</v>
      </c>
      <c r="D891" s="32" t="s">
        <v>5148</v>
      </c>
      <c r="E891" s="32" t="s">
        <v>6194</v>
      </c>
      <c r="F891" s="32" t="s">
        <v>5822</v>
      </c>
      <c r="G891" s="32" t="s">
        <v>1474</v>
      </c>
    </row>
    <row x14ac:dyDescent="0.25" r="892" customHeight="1" ht="15.75">
      <c r="A892" s="8">
        <v>25204</v>
      </c>
      <c r="B892" s="13" t="s">
        <v>391</v>
      </c>
      <c r="C892" s="13" t="s">
        <v>6766</v>
      </c>
      <c r="D892" s="32" t="s">
        <v>6767</v>
      </c>
      <c r="E892" s="32" t="s">
        <v>6768</v>
      </c>
      <c r="F892" s="32" t="s">
        <v>6769</v>
      </c>
      <c r="G892" s="32" t="s">
        <v>6770</v>
      </c>
    </row>
    <row x14ac:dyDescent="0.25" r="893" customHeight="1" ht="15.75">
      <c r="A893" s="8">
        <v>25205</v>
      </c>
      <c r="B893" s="13" t="s">
        <v>391</v>
      </c>
      <c r="C893" s="13" t="s">
        <v>6771</v>
      </c>
      <c r="D893" s="32" t="s">
        <v>6772</v>
      </c>
      <c r="E893" s="32" t="s">
        <v>6773</v>
      </c>
      <c r="F893" s="32" t="s">
        <v>5968</v>
      </c>
      <c r="G893" s="32" t="s">
        <v>2512</v>
      </c>
    </row>
    <row x14ac:dyDescent="0.25" r="894" customHeight="1" ht="15.75">
      <c r="A894" s="8">
        <v>25156</v>
      </c>
      <c r="B894" s="13" t="s">
        <v>391</v>
      </c>
      <c r="C894" s="13" t="s">
        <v>6774</v>
      </c>
      <c r="D894" s="32" t="s">
        <v>6775</v>
      </c>
      <c r="E894" s="32" t="s">
        <v>6776</v>
      </c>
      <c r="F894" s="32" t="s">
        <v>4949</v>
      </c>
      <c r="G894" s="32" t="s">
        <v>4635</v>
      </c>
    </row>
    <row x14ac:dyDescent="0.25" r="895" customHeight="1" ht="15.75">
      <c r="A895" s="8">
        <v>25206</v>
      </c>
      <c r="B895" s="13" t="s">
        <v>391</v>
      </c>
      <c r="C895" s="13" t="s">
        <v>6777</v>
      </c>
      <c r="D895" s="32" t="s">
        <v>6778</v>
      </c>
      <c r="E895" s="32" t="s">
        <v>6779</v>
      </c>
      <c r="F895" s="32" t="s">
        <v>4277</v>
      </c>
      <c r="G895" s="32" t="s">
        <v>5971</v>
      </c>
    </row>
    <row x14ac:dyDescent="0.25" r="896" customHeight="1" ht="15.75">
      <c r="A896" s="8">
        <v>25207</v>
      </c>
      <c r="B896" s="13" t="s">
        <v>391</v>
      </c>
      <c r="C896" s="13" t="s">
        <v>6780</v>
      </c>
      <c r="D896" s="32" t="s">
        <v>6781</v>
      </c>
      <c r="E896" s="32" t="s">
        <v>5557</v>
      </c>
      <c r="F896" s="32" t="s">
        <v>5891</v>
      </c>
      <c r="G896" s="32" t="s">
        <v>5833</v>
      </c>
    </row>
    <row x14ac:dyDescent="0.25" r="897" customHeight="1" ht="15.75">
      <c r="A897" s="8">
        <v>25208</v>
      </c>
      <c r="B897" s="13" t="s">
        <v>391</v>
      </c>
      <c r="C897" s="13" t="s">
        <v>6782</v>
      </c>
      <c r="D897" s="32" t="s">
        <v>6783</v>
      </c>
      <c r="E897" s="32" t="s">
        <v>6784</v>
      </c>
      <c r="F897" s="32" t="s">
        <v>6785</v>
      </c>
      <c r="G897" s="32" t="s">
        <v>1452</v>
      </c>
    </row>
    <row x14ac:dyDescent="0.25" r="898" customHeight="1" ht="15.75">
      <c r="A898" s="8">
        <v>25209</v>
      </c>
      <c r="B898" s="13" t="s">
        <v>391</v>
      </c>
      <c r="C898" s="13" t="s">
        <v>6786</v>
      </c>
      <c r="D898" s="32" t="s">
        <v>5341</v>
      </c>
      <c r="E898" s="32" t="s">
        <v>1765</v>
      </c>
      <c r="F898" s="32" t="s">
        <v>6787</v>
      </c>
      <c r="G898" s="32" t="s">
        <v>6788</v>
      </c>
    </row>
    <row x14ac:dyDescent="0.25" r="899" customHeight="1" ht="15.75">
      <c r="A899" s="8">
        <v>25210</v>
      </c>
      <c r="B899" s="13" t="s">
        <v>391</v>
      </c>
      <c r="C899" s="13" t="s">
        <v>6789</v>
      </c>
      <c r="D899" s="32" t="s">
        <v>4919</v>
      </c>
      <c r="E899" s="32" t="s">
        <v>4068</v>
      </c>
      <c r="F899" s="32" t="s">
        <v>1562</v>
      </c>
      <c r="G899" s="32" t="s">
        <v>4776</v>
      </c>
    </row>
    <row x14ac:dyDescent="0.25" r="900" customHeight="1" ht="15.75">
      <c r="A900" s="8">
        <v>25198</v>
      </c>
      <c r="B900" s="13" t="s">
        <v>391</v>
      </c>
      <c r="C900" s="13" t="s">
        <v>6790</v>
      </c>
      <c r="D900" s="32" t="s">
        <v>6791</v>
      </c>
      <c r="E900" s="32" t="s">
        <v>6792</v>
      </c>
      <c r="F900" s="32" t="s">
        <v>6237</v>
      </c>
      <c r="G900" s="32" t="s">
        <v>5170</v>
      </c>
    </row>
    <row x14ac:dyDescent="0.25" r="901" customHeight="1" ht="15.75">
      <c r="A901" s="8">
        <v>25176</v>
      </c>
      <c r="B901" s="13" t="s">
        <v>391</v>
      </c>
      <c r="C901" s="13" t="s">
        <v>6793</v>
      </c>
      <c r="D901" s="32" t="s">
        <v>4069</v>
      </c>
      <c r="E901" s="32" t="s">
        <v>6794</v>
      </c>
      <c r="F901" s="32" t="s">
        <v>122</v>
      </c>
      <c r="G901" s="32" t="s">
        <v>4970</v>
      </c>
    </row>
    <row x14ac:dyDescent="0.25" r="902" customHeight="1" ht="15.75">
      <c r="A902" s="8">
        <v>25183</v>
      </c>
      <c r="B902" s="13" t="s">
        <v>391</v>
      </c>
      <c r="C902" s="13" t="s">
        <v>6795</v>
      </c>
      <c r="D902" s="32" t="s">
        <v>6796</v>
      </c>
      <c r="E902" s="32" t="s">
        <v>1517</v>
      </c>
      <c r="F902" s="32" t="s">
        <v>4086</v>
      </c>
      <c r="G902" s="32" t="s">
        <v>4612</v>
      </c>
    </row>
    <row x14ac:dyDescent="0.25" r="903" customHeight="1" ht="15.75">
      <c r="A903" s="8">
        <v>25226</v>
      </c>
      <c r="B903" s="13" t="s">
        <v>391</v>
      </c>
      <c r="C903" s="13" t="s">
        <v>6797</v>
      </c>
      <c r="D903" s="32" t="s">
        <v>74</v>
      </c>
      <c r="E903" s="32" t="s">
        <v>6348</v>
      </c>
      <c r="F903" s="32" t="s">
        <v>6798</v>
      </c>
      <c r="G903" s="32" t="s">
        <v>6799</v>
      </c>
    </row>
    <row x14ac:dyDescent="0.25" r="904" customHeight="1" ht="15.75">
      <c r="A904" s="8">
        <v>25172</v>
      </c>
      <c r="B904" s="13" t="s">
        <v>391</v>
      </c>
      <c r="C904" s="13" t="s">
        <v>6800</v>
      </c>
      <c r="D904" s="32" t="s">
        <v>4536</v>
      </c>
      <c r="E904" s="32" t="s">
        <v>6450</v>
      </c>
      <c r="F904" s="32" t="s">
        <v>1348</v>
      </c>
      <c r="G904" s="32" t="s">
        <v>4287</v>
      </c>
    </row>
    <row x14ac:dyDescent="0.25" r="905" customHeight="1" ht="15.75">
      <c r="A905" s="8">
        <v>25233</v>
      </c>
      <c r="B905" s="13" t="s">
        <v>391</v>
      </c>
      <c r="C905" s="13" t="s">
        <v>6801</v>
      </c>
      <c r="D905" s="32" t="s">
        <v>74</v>
      </c>
      <c r="E905" s="32" t="s">
        <v>6802</v>
      </c>
      <c r="F905" s="32" t="s">
        <v>122</v>
      </c>
      <c r="G905" s="32" t="s">
        <v>6803</v>
      </c>
    </row>
    <row x14ac:dyDescent="0.25" r="906" customHeight="1" ht="15.75">
      <c r="A906" s="8">
        <v>25227</v>
      </c>
      <c r="B906" s="13" t="s">
        <v>391</v>
      </c>
      <c r="C906" s="13" t="s">
        <v>6804</v>
      </c>
      <c r="D906" s="32" t="s">
        <v>4588</v>
      </c>
      <c r="E906" s="32" t="s">
        <v>4560</v>
      </c>
      <c r="F906" s="32" t="s">
        <v>74</v>
      </c>
      <c r="G906" s="32" t="s">
        <v>1371</v>
      </c>
    </row>
    <row x14ac:dyDescent="0.25" r="907" customHeight="1" ht="15.75">
      <c r="A907" s="8">
        <v>25199</v>
      </c>
      <c r="B907" s="13" t="s">
        <v>391</v>
      </c>
      <c r="C907" s="13" t="s">
        <v>6805</v>
      </c>
      <c r="D907" s="32" t="s">
        <v>6806</v>
      </c>
      <c r="E907" s="32" t="s">
        <v>6807</v>
      </c>
      <c r="F907" s="32" t="s">
        <v>6806</v>
      </c>
      <c r="G907" s="32" t="s">
        <v>4696</v>
      </c>
    </row>
    <row x14ac:dyDescent="0.25" r="908" customHeight="1" ht="15.75">
      <c r="A908" s="8">
        <v>25211</v>
      </c>
      <c r="B908" s="13" t="s">
        <v>391</v>
      </c>
      <c r="C908" s="13" t="s">
        <v>6808</v>
      </c>
      <c r="D908" s="32" t="s">
        <v>4590</v>
      </c>
      <c r="E908" s="32" t="s">
        <v>6809</v>
      </c>
      <c r="F908" s="32" t="s">
        <v>2496</v>
      </c>
      <c r="G908" s="32" t="s">
        <v>2758</v>
      </c>
    </row>
    <row x14ac:dyDescent="0.25" r="909" customHeight="1" ht="15.75">
      <c r="A909" s="8">
        <v>25212</v>
      </c>
      <c r="B909" s="13" t="s">
        <v>391</v>
      </c>
      <c r="C909" s="13" t="s">
        <v>6810</v>
      </c>
      <c r="D909" s="32" t="s">
        <v>6811</v>
      </c>
      <c r="E909" s="32" t="s">
        <v>5696</v>
      </c>
      <c r="F909" s="32" t="s">
        <v>6812</v>
      </c>
      <c r="G909" s="32" t="s">
        <v>1543</v>
      </c>
    </row>
    <row x14ac:dyDescent="0.25" r="910" customHeight="1" ht="15.75">
      <c r="A910" s="8">
        <v>25157</v>
      </c>
      <c r="B910" s="13" t="s">
        <v>391</v>
      </c>
      <c r="C910" s="13" t="s">
        <v>6813</v>
      </c>
      <c r="D910" s="32" t="s">
        <v>74</v>
      </c>
      <c r="E910" s="32" t="s">
        <v>6814</v>
      </c>
      <c r="F910" s="32" t="s">
        <v>6815</v>
      </c>
      <c r="G910" s="32" t="s">
        <v>4209</v>
      </c>
    </row>
    <row x14ac:dyDescent="0.25" r="911" customHeight="1" ht="15.75">
      <c r="A911" s="8">
        <v>25235</v>
      </c>
      <c r="B911" s="13" t="s">
        <v>391</v>
      </c>
      <c r="C911" s="13" t="s">
        <v>6816</v>
      </c>
      <c r="D911" s="32" t="s">
        <v>6817</v>
      </c>
      <c r="E911" s="32" t="s">
        <v>6818</v>
      </c>
      <c r="F911" s="32" t="s">
        <v>6819</v>
      </c>
      <c r="G911" s="32" t="s">
        <v>6820</v>
      </c>
    </row>
    <row x14ac:dyDescent="0.25" r="912" customHeight="1" ht="15.75">
      <c r="A912" s="8">
        <v>25195</v>
      </c>
      <c r="B912" s="13" t="s">
        <v>391</v>
      </c>
      <c r="C912" s="13" t="s">
        <v>6821</v>
      </c>
      <c r="D912" s="32" t="s">
        <v>6822</v>
      </c>
      <c r="E912" s="32" t="s">
        <v>4413</v>
      </c>
      <c r="F912" s="32" t="s">
        <v>5275</v>
      </c>
      <c r="G912" s="32" t="s">
        <v>6592</v>
      </c>
    </row>
    <row x14ac:dyDescent="0.25" r="913" customHeight="1" ht="15.75">
      <c r="A913" s="8">
        <v>25162</v>
      </c>
      <c r="B913" s="13" t="s">
        <v>391</v>
      </c>
      <c r="C913" s="13" t="s">
        <v>6823</v>
      </c>
      <c r="D913" s="32" t="s">
        <v>6824</v>
      </c>
      <c r="E913" s="32" t="s">
        <v>4089</v>
      </c>
      <c r="F913" s="32" t="s">
        <v>6825</v>
      </c>
      <c r="G913" s="32" t="s">
        <v>928</v>
      </c>
    </row>
    <row x14ac:dyDescent="0.25" r="914" customHeight="1" ht="15.75">
      <c r="A914" s="8">
        <v>25213</v>
      </c>
      <c r="B914" s="13" t="s">
        <v>391</v>
      </c>
      <c r="C914" s="13" t="s">
        <v>6826</v>
      </c>
      <c r="D914" s="32" t="s">
        <v>4825</v>
      </c>
      <c r="E914" s="32" t="s">
        <v>6827</v>
      </c>
      <c r="F914" s="32" t="s">
        <v>6828</v>
      </c>
      <c r="G914" s="32" t="s">
        <v>6175</v>
      </c>
    </row>
    <row x14ac:dyDescent="0.25" r="915" customHeight="1" ht="15.75">
      <c r="A915" s="8">
        <v>25214</v>
      </c>
      <c r="B915" s="13" t="s">
        <v>391</v>
      </c>
      <c r="C915" s="13" t="s">
        <v>6829</v>
      </c>
      <c r="D915" s="32" t="s">
        <v>485</v>
      </c>
      <c r="E915" s="32" t="s">
        <v>6830</v>
      </c>
      <c r="F915" s="32" t="s">
        <v>6796</v>
      </c>
      <c r="G915" s="32" t="s">
        <v>1509</v>
      </c>
    </row>
    <row x14ac:dyDescent="0.25" r="916" customHeight="1" ht="15.75">
      <c r="A916" s="8">
        <v>25178</v>
      </c>
      <c r="B916" s="13" t="s">
        <v>391</v>
      </c>
      <c r="C916" s="13" t="s">
        <v>6831</v>
      </c>
      <c r="D916" s="32" t="s">
        <v>1601</v>
      </c>
      <c r="E916" s="32" t="s">
        <v>1674</v>
      </c>
      <c r="F916" s="32" t="s">
        <v>6832</v>
      </c>
      <c r="G916" s="32" t="s">
        <v>6136</v>
      </c>
    </row>
    <row x14ac:dyDescent="0.25" r="917" customHeight="1" ht="15.75">
      <c r="A917" s="8">
        <v>25215</v>
      </c>
      <c r="B917" s="13" t="s">
        <v>391</v>
      </c>
      <c r="C917" s="13" t="s">
        <v>6833</v>
      </c>
      <c r="D917" s="32" t="s">
        <v>74</v>
      </c>
      <c r="E917" s="32" t="s">
        <v>6112</v>
      </c>
      <c r="F917" s="32" t="s">
        <v>6358</v>
      </c>
      <c r="G917" s="32" t="s">
        <v>1605</v>
      </c>
    </row>
    <row x14ac:dyDescent="0.25" r="918" customHeight="1" ht="15.75">
      <c r="A918" s="8">
        <v>25216</v>
      </c>
      <c r="B918" s="13" t="s">
        <v>391</v>
      </c>
      <c r="C918" s="13" t="s">
        <v>6834</v>
      </c>
      <c r="D918" s="32" t="s">
        <v>6835</v>
      </c>
      <c r="E918" s="32" t="s">
        <v>4682</v>
      </c>
      <c r="F918" s="32" t="s">
        <v>2603</v>
      </c>
      <c r="G918" s="32" t="s">
        <v>5903</v>
      </c>
    </row>
    <row x14ac:dyDescent="0.25" r="919" customHeight="1" ht="15.75">
      <c r="A919" s="8">
        <v>25158</v>
      </c>
      <c r="B919" s="13" t="s">
        <v>391</v>
      </c>
      <c r="C919" s="13" t="s">
        <v>6836</v>
      </c>
      <c r="D919" s="32" t="s">
        <v>6378</v>
      </c>
      <c r="E919" s="32" t="s">
        <v>6081</v>
      </c>
      <c r="F919" s="32" t="s">
        <v>6837</v>
      </c>
      <c r="G919" s="32" t="s">
        <v>1511</v>
      </c>
    </row>
    <row x14ac:dyDescent="0.25" r="920" customHeight="1" ht="15.75">
      <c r="A920" s="8">
        <v>25184</v>
      </c>
      <c r="B920" s="13" t="s">
        <v>391</v>
      </c>
      <c r="C920" s="13" t="s">
        <v>6838</v>
      </c>
      <c r="D920" s="32" t="s">
        <v>6791</v>
      </c>
      <c r="E920" s="32" t="s">
        <v>2588</v>
      </c>
      <c r="F920" s="32" t="s">
        <v>6839</v>
      </c>
      <c r="G920" s="32" t="s">
        <v>5012</v>
      </c>
    </row>
    <row x14ac:dyDescent="0.25" r="921" customHeight="1" ht="15.75">
      <c r="A921" s="8">
        <v>25217</v>
      </c>
      <c r="B921" s="13" t="s">
        <v>391</v>
      </c>
      <c r="C921" s="13" t="s">
        <v>6840</v>
      </c>
      <c r="D921" s="32" t="s">
        <v>6432</v>
      </c>
      <c r="E921" s="32" t="s">
        <v>6841</v>
      </c>
      <c r="F921" s="32" t="s">
        <v>2418</v>
      </c>
      <c r="G921" s="32" t="s">
        <v>4546</v>
      </c>
    </row>
    <row x14ac:dyDescent="0.25" r="922" customHeight="1" ht="15.75">
      <c r="A922" s="8">
        <v>25164</v>
      </c>
      <c r="B922" s="13" t="s">
        <v>391</v>
      </c>
      <c r="C922" s="13" t="s">
        <v>6842</v>
      </c>
      <c r="D922" s="32" t="s">
        <v>4958</v>
      </c>
      <c r="E922" s="32" t="s">
        <v>6843</v>
      </c>
      <c r="F922" s="32" t="s">
        <v>6844</v>
      </c>
      <c r="G922" s="32" t="s">
        <v>4752</v>
      </c>
    </row>
    <row x14ac:dyDescent="0.25" r="923" customHeight="1" ht="15.75">
      <c r="A923" s="8">
        <v>25159</v>
      </c>
      <c r="B923" s="13" t="s">
        <v>391</v>
      </c>
      <c r="C923" s="13" t="s">
        <v>6845</v>
      </c>
      <c r="D923" s="32" t="s">
        <v>6846</v>
      </c>
      <c r="E923" s="32" t="s">
        <v>6847</v>
      </c>
      <c r="F923" s="32" t="s">
        <v>5346</v>
      </c>
      <c r="G923" s="32" t="s">
        <v>4526</v>
      </c>
    </row>
    <row x14ac:dyDescent="0.25" r="924" customHeight="1" ht="15.75">
      <c r="A924" s="8">
        <v>25218</v>
      </c>
      <c r="B924" s="13" t="s">
        <v>391</v>
      </c>
      <c r="C924" s="13" t="s">
        <v>6848</v>
      </c>
      <c r="D924" s="32" t="s">
        <v>5801</v>
      </c>
      <c r="E924" s="32" t="s">
        <v>6849</v>
      </c>
      <c r="F924" s="32" t="s">
        <v>1505</v>
      </c>
      <c r="G924" s="32" t="s">
        <v>4890</v>
      </c>
    </row>
    <row x14ac:dyDescent="0.25" r="925" customHeight="1" ht="15.75">
      <c r="A925" s="8">
        <v>25185</v>
      </c>
      <c r="B925" s="13" t="s">
        <v>391</v>
      </c>
      <c r="C925" s="13" t="s">
        <v>6850</v>
      </c>
      <c r="D925" s="32" t="s">
        <v>6851</v>
      </c>
      <c r="E925" s="32" t="s">
        <v>4472</v>
      </c>
      <c r="F925" s="32" t="s">
        <v>6852</v>
      </c>
      <c r="G925" s="32" t="s">
        <v>1454</v>
      </c>
    </row>
    <row x14ac:dyDescent="0.25" r="926" customHeight="1" ht="15.75">
      <c r="A926" s="8">
        <v>25219</v>
      </c>
      <c r="B926" s="13" t="s">
        <v>391</v>
      </c>
      <c r="C926" s="13" t="s">
        <v>6853</v>
      </c>
      <c r="D926" s="32" t="s">
        <v>4662</v>
      </c>
      <c r="E926" s="32" t="s">
        <v>6854</v>
      </c>
      <c r="F926" s="32" t="s">
        <v>6855</v>
      </c>
      <c r="G926" s="32" t="s">
        <v>6856</v>
      </c>
    </row>
    <row x14ac:dyDescent="0.25" r="927" customHeight="1" ht="15.75">
      <c r="A927" s="8">
        <v>25186</v>
      </c>
      <c r="B927" s="13" t="s">
        <v>391</v>
      </c>
      <c r="C927" s="13" t="s">
        <v>6857</v>
      </c>
      <c r="D927" s="32" t="s">
        <v>6292</v>
      </c>
      <c r="E927" s="32" t="s">
        <v>4503</v>
      </c>
      <c r="F927" s="32" t="s">
        <v>6858</v>
      </c>
      <c r="G927" s="32" t="s">
        <v>4151</v>
      </c>
    </row>
    <row x14ac:dyDescent="0.25" r="928" customHeight="1" ht="15.75">
      <c r="A928" s="8">
        <v>25165</v>
      </c>
      <c r="B928" s="13" t="s">
        <v>391</v>
      </c>
      <c r="C928" s="13" t="s">
        <v>6859</v>
      </c>
      <c r="D928" s="32" t="s">
        <v>4593</v>
      </c>
      <c r="E928" s="32" t="s">
        <v>6282</v>
      </c>
      <c r="F928" s="32" t="s">
        <v>4247</v>
      </c>
      <c r="G928" s="32" t="s">
        <v>5197</v>
      </c>
    </row>
    <row x14ac:dyDescent="0.25" r="929" customHeight="1" ht="15.75">
      <c r="A929" s="8">
        <v>25229</v>
      </c>
      <c r="B929" s="13" t="s">
        <v>391</v>
      </c>
      <c r="C929" s="13" t="s">
        <v>6860</v>
      </c>
      <c r="D929" s="32" t="s">
        <v>5774</v>
      </c>
      <c r="E929" s="32" t="s">
        <v>5557</v>
      </c>
      <c r="F929" s="32" t="s">
        <v>6861</v>
      </c>
      <c r="G929" s="32" t="s">
        <v>4348</v>
      </c>
    </row>
    <row x14ac:dyDescent="0.25" r="930" customHeight="1" ht="15.75">
      <c r="A930" s="8">
        <v>25230</v>
      </c>
      <c r="B930" s="13" t="s">
        <v>391</v>
      </c>
      <c r="C930" s="13" t="s">
        <v>6862</v>
      </c>
      <c r="D930" s="32" t="s">
        <v>6863</v>
      </c>
      <c r="E930" s="32" t="s">
        <v>5861</v>
      </c>
      <c r="F930" s="32" t="s">
        <v>5708</v>
      </c>
      <c r="G930" s="32" t="s">
        <v>5075</v>
      </c>
    </row>
    <row x14ac:dyDescent="0.25" r="931" customHeight="1" ht="15.75">
      <c r="A931" s="8">
        <v>25166</v>
      </c>
      <c r="B931" s="13" t="s">
        <v>391</v>
      </c>
      <c r="C931" s="13" t="s">
        <v>6864</v>
      </c>
      <c r="D931" s="32" t="s">
        <v>6496</v>
      </c>
      <c r="E931" s="32" t="s">
        <v>1674</v>
      </c>
      <c r="F931" s="32" t="s">
        <v>4307</v>
      </c>
      <c r="G931" s="32" t="s">
        <v>4177</v>
      </c>
    </row>
    <row x14ac:dyDescent="0.25" r="932" customHeight="1" ht="15.75">
      <c r="A932" s="8">
        <v>25221</v>
      </c>
      <c r="B932" s="13" t="s">
        <v>391</v>
      </c>
      <c r="C932" s="13" t="s">
        <v>6865</v>
      </c>
      <c r="D932" s="32" t="s">
        <v>6866</v>
      </c>
      <c r="E932" s="32" t="s">
        <v>626</v>
      </c>
      <c r="F932" s="32" t="s">
        <v>2716</v>
      </c>
      <c r="G932" s="32" t="s">
        <v>5373</v>
      </c>
    </row>
    <row x14ac:dyDescent="0.25" r="933" customHeight="1" ht="15.75">
      <c r="A933" s="8">
        <v>25167</v>
      </c>
      <c r="B933" s="13" t="s">
        <v>391</v>
      </c>
      <c r="C933" s="13" t="s">
        <v>6867</v>
      </c>
      <c r="D933" s="32" t="s">
        <v>6362</v>
      </c>
      <c r="E933" s="32" t="s">
        <v>6868</v>
      </c>
      <c r="F933" s="32" t="s">
        <v>5785</v>
      </c>
      <c r="G933" s="32" t="s">
        <v>6869</v>
      </c>
    </row>
    <row x14ac:dyDescent="0.25" r="934" customHeight="1" ht="15.75">
      <c r="A934" s="8">
        <v>25192</v>
      </c>
      <c r="B934" s="13" t="s">
        <v>391</v>
      </c>
      <c r="C934" s="13" t="s">
        <v>6870</v>
      </c>
      <c r="D934" s="32" t="s">
        <v>4094</v>
      </c>
      <c r="E934" s="32" t="s">
        <v>5893</v>
      </c>
      <c r="F934" s="32" t="s">
        <v>6871</v>
      </c>
      <c r="G934" s="32" t="s">
        <v>2804</v>
      </c>
    </row>
    <row x14ac:dyDescent="0.25" r="935" customHeight="1" ht="15.75">
      <c r="A935" s="8">
        <v>25228</v>
      </c>
      <c r="B935" s="13" t="s">
        <v>391</v>
      </c>
      <c r="C935" s="13" t="s">
        <v>6872</v>
      </c>
      <c r="D935" s="32" t="s">
        <v>6873</v>
      </c>
      <c r="E935" s="32" t="s">
        <v>4918</v>
      </c>
      <c r="F935" s="32" t="s">
        <v>5148</v>
      </c>
      <c r="G935" s="32" t="s">
        <v>4920</v>
      </c>
    </row>
    <row x14ac:dyDescent="0.25" r="936" customHeight="1" ht="15.75">
      <c r="A936" s="8">
        <v>25174</v>
      </c>
      <c r="B936" s="13" t="s">
        <v>391</v>
      </c>
      <c r="C936" s="13" t="s">
        <v>6874</v>
      </c>
      <c r="D936" s="32" t="s">
        <v>2460</v>
      </c>
      <c r="E936" s="32" t="s">
        <v>6875</v>
      </c>
      <c r="F936" s="32" t="s">
        <v>1419</v>
      </c>
      <c r="G936" s="32" t="s">
        <v>4156</v>
      </c>
    </row>
    <row x14ac:dyDescent="0.25" r="937" customHeight="1" ht="15.75">
      <c r="A937" s="8">
        <v>25236</v>
      </c>
      <c r="B937" s="13" t="s">
        <v>391</v>
      </c>
      <c r="C937" s="13" t="s">
        <v>6876</v>
      </c>
      <c r="D937" s="32" t="s">
        <v>74</v>
      </c>
      <c r="E937" s="32" t="s">
        <v>1459</v>
      </c>
      <c r="F937" s="32" t="s">
        <v>4929</v>
      </c>
      <c r="G937" s="32" t="s">
        <v>194</v>
      </c>
    </row>
    <row x14ac:dyDescent="0.25" r="938" customHeight="1" ht="15.75">
      <c r="A938" s="8">
        <v>25180</v>
      </c>
      <c r="B938" s="13" t="s">
        <v>391</v>
      </c>
      <c r="C938" s="13" t="s">
        <v>6877</v>
      </c>
      <c r="D938" s="32" t="s">
        <v>5801</v>
      </c>
      <c r="E938" s="32" t="s">
        <v>6878</v>
      </c>
      <c r="F938" s="32" t="s">
        <v>6879</v>
      </c>
      <c r="G938" s="32" t="s">
        <v>6799</v>
      </c>
    </row>
    <row x14ac:dyDescent="0.25" r="939" customHeight="1" ht="15.75">
      <c r="A939" s="8">
        <v>25232</v>
      </c>
      <c r="B939" s="13" t="s">
        <v>391</v>
      </c>
      <c r="C939" s="13" t="s">
        <v>6880</v>
      </c>
      <c r="D939" s="32" t="s">
        <v>4403</v>
      </c>
      <c r="E939" s="32" t="s">
        <v>1806</v>
      </c>
      <c r="F939" s="32" t="s">
        <v>6503</v>
      </c>
      <c r="G939" s="32" t="s">
        <v>6881</v>
      </c>
    </row>
    <row x14ac:dyDescent="0.25" r="940" customHeight="1" ht="15.75">
      <c r="A940" s="8">
        <v>25160</v>
      </c>
      <c r="B940" s="13" t="s">
        <v>391</v>
      </c>
      <c r="C940" s="13" t="s">
        <v>6882</v>
      </c>
      <c r="D940" s="32" t="s">
        <v>6883</v>
      </c>
      <c r="E940" s="32" t="s">
        <v>6884</v>
      </c>
      <c r="F940" s="32" t="s">
        <v>5346</v>
      </c>
      <c r="G940" s="32" t="s">
        <v>5740</v>
      </c>
    </row>
    <row x14ac:dyDescent="0.25" r="941" customHeight="1" ht="15.75">
      <c r="A941" s="8">
        <v>25168</v>
      </c>
      <c r="B941" s="13" t="s">
        <v>391</v>
      </c>
      <c r="C941" s="13" t="s">
        <v>6885</v>
      </c>
      <c r="D941" s="32" t="s">
        <v>6886</v>
      </c>
      <c r="E941" s="32" t="s">
        <v>5316</v>
      </c>
      <c r="F941" s="32" t="s">
        <v>4329</v>
      </c>
      <c r="G941" s="32" t="s">
        <v>1524</v>
      </c>
    </row>
    <row x14ac:dyDescent="0.25" r="942" customHeight="1" ht="15.75">
      <c r="A942" s="8">
        <v>25169</v>
      </c>
      <c r="B942" s="13" t="s">
        <v>391</v>
      </c>
      <c r="C942" s="13" t="s">
        <v>6887</v>
      </c>
      <c r="D942" s="32" t="s">
        <v>74</v>
      </c>
      <c r="E942" s="32" t="s">
        <v>6888</v>
      </c>
      <c r="F942" s="32" t="s">
        <v>74</v>
      </c>
      <c r="G942" s="32" t="s">
        <v>4262</v>
      </c>
    </row>
    <row x14ac:dyDescent="0.25" r="943" customHeight="1" ht="15.75">
      <c r="A943" s="8">
        <v>25222</v>
      </c>
      <c r="B943" s="13" t="s">
        <v>391</v>
      </c>
      <c r="C943" s="13" t="s">
        <v>6889</v>
      </c>
      <c r="D943" s="32" t="s">
        <v>485</v>
      </c>
      <c r="E943" s="32" t="s">
        <v>6890</v>
      </c>
      <c r="F943" s="32" t="s">
        <v>2668</v>
      </c>
      <c r="G943" s="32" t="s">
        <v>5234</v>
      </c>
    </row>
    <row x14ac:dyDescent="0.25" r="944" customHeight="1" ht="15.75">
      <c r="A944" s="8">
        <v>25197</v>
      </c>
      <c r="B944" s="13" t="s">
        <v>391</v>
      </c>
      <c r="C944" s="13" t="s">
        <v>6891</v>
      </c>
      <c r="D944" s="32" t="s">
        <v>4254</v>
      </c>
      <c r="E944" s="32" t="s">
        <v>6892</v>
      </c>
      <c r="F944" s="32" t="s">
        <v>5822</v>
      </c>
      <c r="G944" s="32" t="s">
        <v>4443</v>
      </c>
    </row>
    <row x14ac:dyDescent="0.25" r="945" customHeight="1" ht="15.75">
      <c r="A945" s="8">
        <v>25224</v>
      </c>
      <c r="B945" s="13" t="s">
        <v>391</v>
      </c>
      <c r="C945" s="13" t="s">
        <v>6893</v>
      </c>
      <c r="D945" s="32" t="s">
        <v>5658</v>
      </c>
      <c r="E945" s="32" t="s">
        <v>627</v>
      </c>
      <c r="F945" s="32" t="s">
        <v>4394</v>
      </c>
      <c r="G945" s="32" t="s">
        <v>5037</v>
      </c>
    </row>
    <row x14ac:dyDescent="0.25" r="946" customHeight="1" ht="15.75">
      <c r="A946" s="8">
        <v>25193</v>
      </c>
      <c r="B946" s="13" t="s">
        <v>391</v>
      </c>
      <c r="C946" s="13" t="s">
        <v>6894</v>
      </c>
      <c r="D946" s="32" t="s">
        <v>6895</v>
      </c>
      <c r="E946" s="32" t="s">
        <v>1770</v>
      </c>
      <c r="F946" s="32" t="s">
        <v>6846</v>
      </c>
      <c r="G946" s="32" t="s">
        <v>4268</v>
      </c>
    </row>
    <row x14ac:dyDescent="0.25" r="947" customHeight="1" ht="15.75">
      <c r="A947" s="8">
        <v>26210</v>
      </c>
      <c r="B947" s="13" t="s">
        <v>116</v>
      </c>
      <c r="C947" s="13" t="s">
        <v>6896</v>
      </c>
      <c r="D947" s="32" t="s">
        <v>6265</v>
      </c>
      <c r="E947" s="32" t="s">
        <v>4715</v>
      </c>
      <c r="F947" s="32" t="s">
        <v>74</v>
      </c>
      <c r="G947" s="32" t="s">
        <v>1483</v>
      </c>
    </row>
    <row x14ac:dyDescent="0.25" r="948" customHeight="1" ht="15.75">
      <c r="A948" s="8">
        <v>26190</v>
      </c>
      <c r="B948" s="13" t="s">
        <v>116</v>
      </c>
      <c r="C948" s="13" t="s">
        <v>6897</v>
      </c>
      <c r="D948" s="32" t="s">
        <v>6898</v>
      </c>
      <c r="E948" s="32" t="s">
        <v>6376</v>
      </c>
      <c r="F948" s="32" t="s">
        <v>2610</v>
      </c>
      <c r="G948" s="32" t="s">
        <v>6899</v>
      </c>
    </row>
    <row x14ac:dyDescent="0.25" r="949" customHeight="1" ht="15.75">
      <c r="A949" s="8">
        <v>26207</v>
      </c>
      <c r="B949" s="13" t="s">
        <v>116</v>
      </c>
      <c r="C949" s="13" t="s">
        <v>6900</v>
      </c>
      <c r="D949" s="32" t="s">
        <v>4523</v>
      </c>
      <c r="E949" s="32" t="s">
        <v>6849</v>
      </c>
      <c r="F949" s="32" t="s">
        <v>6901</v>
      </c>
      <c r="G949" s="32" t="s">
        <v>1478</v>
      </c>
    </row>
    <row x14ac:dyDescent="0.25" r="950" customHeight="1" ht="15.75">
      <c r="A950" s="8">
        <v>26184</v>
      </c>
      <c r="B950" s="13" t="s">
        <v>116</v>
      </c>
      <c r="C950" s="13" t="s">
        <v>6902</v>
      </c>
      <c r="D950" s="32" t="s">
        <v>6520</v>
      </c>
      <c r="E950" s="32" t="s">
        <v>4436</v>
      </c>
      <c r="F950" s="32" t="s">
        <v>6903</v>
      </c>
      <c r="G950" s="32" t="s">
        <v>4509</v>
      </c>
    </row>
    <row x14ac:dyDescent="0.25" r="951" customHeight="1" ht="15.75">
      <c r="A951" s="8">
        <v>26194</v>
      </c>
      <c r="B951" s="13" t="s">
        <v>116</v>
      </c>
      <c r="C951" s="13" t="s">
        <v>6904</v>
      </c>
      <c r="D951" s="32" t="s">
        <v>6905</v>
      </c>
      <c r="E951" s="32" t="s">
        <v>1689</v>
      </c>
      <c r="F951" s="32" t="s">
        <v>6906</v>
      </c>
      <c r="G951" s="32" t="s">
        <v>30</v>
      </c>
    </row>
    <row x14ac:dyDescent="0.25" r="952" customHeight="1" ht="15.75">
      <c r="A952" s="8">
        <v>26195</v>
      </c>
      <c r="B952" s="13" t="s">
        <v>116</v>
      </c>
      <c r="C952" s="13" t="s">
        <v>6907</v>
      </c>
      <c r="D952" s="32" t="s">
        <v>6908</v>
      </c>
      <c r="E952" s="32" t="s">
        <v>6909</v>
      </c>
      <c r="F952" s="32" t="s">
        <v>5801</v>
      </c>
      <c r="G952" s="32" t="s">
        <v>6910</v>
      </c>
    </row>
    <row x14ac:dyDescent="0.25" r="953" customHeight="1" ht="15.75">
      <c r="A953" s="8">
        <v>26196</v>
      </c>
      <c r="B953" s="13" t="s">
        <v>116</v>
      </c>
      <c r="C953" s="13" t="s">
        <v>6911</v>
      </c>
      <c r="D953" s="32" t="s">
        <v>6912</v>
      </c>
      <c r="E953" s="32" t="s">
        <v>6913</v>
      </c>
      <c r="F953" s="32" t="s">
        <v>6914</v>
      </c>
      <c r="G953" s="32" t="s">
        <v>6279</v>
      </c>
    </row>
    <row x14ac:dyDescent="0.25" r="954" customHeight="1" ht="15.75">
      <c r="A954" s="8">
        <v>26148</v>
      </c>
      <c r="B954" s="13" t="s">
        <v>116</v>
      </c>
      <c r="C954" s="13" t="s">
        <v>6915</v>
      </c>
      <c r="D954" s="32" t="s">
        <v>6916</v>
      </c>
      <c r="E954" s="32" t="s">
        <v>4315</v>
      </c>
      <c r="F954" s="32" t="s">
        <v>2724</v>
      </c>
      <c r="G954" s="32" t="s">
        <v>1287</v>
      </c>
    </row>
    <row x14ac:dyDescent="0.25" r="955" customHeight="1" ht="15.75">
      <c r="A955" s="8">
        <v>26197</v>
      </c>
      <c r="B955" s="13" t="s">
        <v>116</v>
      </c>
      <c r="C955" s="13" t="s">
        <v>6917</v>
      </c>
      <c r="D955" s="32" t="s">
        <v>6918</v>
      </c>
      <c r="E955" s="32" t="s">
        <v>6919</v>
      </c>
      <c r="F955" s="32" t="s">
        <v>5615</v>
      </c>
      <c r="G955" s="32" t="s">
        <v>4509</v>
      </c>
    </row>
    <row x14ac:dyDescent="0.25" r="956" customHeight="1" ht="15.75">
      <c r="A956" s="8">
        <v>26162</v>
      </c>
      <c r="B956" s="13" t="s">
        <v>116</v>
      </c>
      <c r="C956" s="13" t="s">
        <v>6920</v>
      </c>
      <c r="D956" s="32" t="s">
        <v>6921</v>
      </c>
      <c r="E956" s="32" t="s">
        <v>6922</v>
      </c>
      <c r="F956" s="32" t="s">
        <v>34</v>
      </c>
      <c r="G956" s="32" t="s">
        <v>5982</v>
      </c>
    </row>
    <row x14ac:dyDescent="0.25" r="957" customHeight="1" ht="15.75">
      <c r="A957" s="8">
        <v>26163</v>
      </c>
      <c r="B957" s="13" t="s">
        <v>116</v>
      </c>
      <c r="C957" s="13" t="s">
        <v>6923</v>
      </c>
      <c r="D957" s="32" t="s">
        <v>6924</v>
      </c>
      <c r="E957" s="32" t="s">
        <v>5459</v>
      </c>
      <c r="F957" s="32" t="s">
        <v>6925</v>
      </c>
      <c r="G957" s="32" t="s">
        <v>1446</v>
      </c>
    </row>
    <row x14ac:dyDescent="0.25" r="958" customHeight="1" ht="15.75">
      <c r="A958" s="8">
        <v>26211</v>
      </c>
      <c r="B958" s="13" t="s">
        <v>116</v>
      </c>
      <c r="C958" s="13" t="s">
        <v>6926</v>
      </c>
      <c r="D958" s="32" t="s">
        <v>4417</v>
      </c>
      <c r="E958" s="32" t="s">
        <v>5313</v>
      </c>
      <c r="F958" s="32" t="s">
        <v>1983</v>
      </c>
      <c r="G958" s="32" t="s">
        <v>5174</v>
      </c>
    </row>
    <row x14ac:dyDescent="0.25" r="959" customHeight="1" ht="15.75">
      <c r="A959" s="8">
        <v>26164</v>
      </c>
      <c r="B959" s="13" t="s">
        <v>116</v>
      </c>
      <c r="C959" s="13" t="s">
        <v>6927</v>
      </c>
      <c r="D959" s="32" t="s">
        <v>1348</v>
      </c>
      <c r="E959" s="32" t="s">
        <v>6091</v>
      </c>
      <c r="F959" s="32" t="s">
        <v>6928</v>
      </c>
      <c r="G959" s="32" t="s">
        <v>6929</v>
      </c>
    </row>
    <row x14ac:dyDescent="0.25" r="960" customHeight="1" ht="15.75">
      <c r="A960" s="8">
        <v>26212</v>
      </c>
      <c r="B960" s="13" t="s">
        <v>116</v>
      </c>
      <c r="C960" s="13" t="s">
        <v>6930</v>
      </c>
      <c r="D960" s="32" t="s">
        <v>6931</v>
      </c>
      <c r="E960" s="32" t="s">
        <v>557</v>
      </c>
      <c r="F960" s="32" t="s">
        <v>6932</v>
      </c>
      <c r="G960" s="32" t="s">
        <v>6479</v>
      </c>
    </row>
    <row x14ac:dyDescent="0.25" r="961" customHeight="1" ht="15.75">
      <c r="A961" s="8">
        <v>26149</v>
      </c>
      <c r="B961" s="13" t="s">
        <v>116</v>
      </c>
      <c r="C961" s="13" t="s">
        <v>6933</v>
      </c>
      <c r="D961" s="32" t="s">
        <v>2518</v>
      </c>
      <c r="E961" s="32" t="s">
        <v>4262</v>
      </c>
      <c r="F961" s="32" t="s">
        <v>5806</v>
      </c>
      <c r="G961" s="32" t="s">
        <v>4940</v>
      </c>
    </row>
    <row x14ac:dyDescent="0.25" r="962" customHeight="1" ht="15.75">
      <c r="A962" s="8">
        <v>26180</v>
      </c>
      <c r="B962" s="13" t="s">
        <v>116</v>
      </c>
      <c r="C962" s="13" t="s">
        <v>6934</v>
      </c>
      <c r="D962" s="32" t="s">
        <v>6935</v>
      </c>
      <c r="E962" s="32" t="s">
        <v>6936</v>
      </c>
      <c r="F962" s="32" t="s">
        <v>6937</v>
      </c>
      <c r="G962" s="32" t="s">
        <v>6580</v>
      </c>
    </row>
    <row x14ac:dyDescent="0.25" r="963" customHeight="1" ht="15.75">
      <c r="A963" s="8">
        <v>26188</v>
      </c>
      <c r="B963" s="13" t="s">
        <v>116</v>
      </c>
      <c r="C963" s="13" t="s">
        <v>6938</v>
      </c>
      <c r="D963" s="32" t="s">
        <v>6939</v>
      </c>
      <c r="E963" s="32" t="s">
        <v>6940</v>
      </c>
      <c r="F963" s="32" t="s">
        <v>6941</v>
      </c>
      <c r="G963" s="32" t="s">
        <v>5982</v>
      </c>
    </row>
    <row x14ac:dyDescent="0.25" r="964" customHeight="1" ht="15.75">
      <c r="A964" s="8">
        <v>26165</v>
      </c>
      <c r="B964" s="13" t="s">
        <v>116</v>
      </c>
      <c r="C964" s="13" t="s">
        <v>6942</v>
      </c>
      <c r="D964" s="32" t="s">
        <v>2666</v>
      </c>
      <c r="E964" s="32" t="s">
        <v>6943</v>
      </c>
      <c r="F964" s="32" t="s">
        <v>4446</v>
      </c>
      <c r="G964" s="32" t="s">
        <v>892</v>
      </c>
    </row>
    <row x14ac:dyDescent="0.25" r="965" customHeight="1" ht="15.75">
      <c r="A965" s="8">
        <v>26150</v>
      </c>
      <c r="B965" s="13" t="s">
        <v>116</v>
      </c>
      <c r="C965" s="13" t="s">
        <v>4993</v>
      </c>
      <c r="D965" s="32" t="s">
        <v>6944</v>
      </c>
      <c r="E965" s="32" t="s">
        <v>6945</v>
      </c>
      <c r="F965" s="32" t="s">
        <v>6946</v>
      </c>
      <c r="G965" s="32" t="s">
        <v>4774</v>
      </c>
    </row>
    <row x14ac:dyDescent="0.25" r="966" customHeight="1" ht="15.75">
      <c r="A966" s="8">
        <v>26191</v>
      </c>
      <c r="B966" s="13" t="s">
        <v>116</v>
      </c>
      <c r="C966" s="13" t="s">
        <v>6947</v>
      </c>
      <c r="D966" s="32" t="s">
        <v>6948</v>
      </c>
      <c r="E966" s="32" t="s">
        <v>6792</v>
      </c>
      <c r="F966" s="32" t="s">
        <v>6076</v>
      </c>
      <c r="G966" s="32" t="s">
        <v>5197</v>
      </c>
    </row>
    <row x14ac:dyDescent="0.25" r="967" customHeight="1" ht="15.75">
      <c r="A967" s="8">
        <v>26151</v>
      </c>
      <c r="B967" s="13" t="s">
        <v>116</v>
      </c>
      <c r="C967" s="13" t="s">
        <v>6949</v>
      </c>
      <c r="D967" s="32" t="s">
        <v>6463</v>
      </c>
      <c r="E967" s="32" t="s">
        <v>5455</v>
      </c>
      <c r="F967" s="32" t="s">
        <v>6950</v>
      </c>
      <c r="G967" s="32" t="s">
        <v>1381</v>
      </c>
    </row>
    <row x14ac:dyDescent="0.25" r="968" customHeight="1" ht="15.75">
      <c r="A968" s="8">
        <v>26198</v>
      </c>
      <c r="B968" s="13" t="s">
        <v>116</v>
      </c>
      <c r="C968" s="13" t="s">
        <v>6951</v>
      </c>
      <c r="D968" s="32" t="s">
        <v>6952</v>
      </c>
      <c r="E968" s="32" t="s">
        <v>5727</v>
      </c>
      <c r="F968" s="32" t="s">
        <v>5560</v>
      </c>
      <c r="G968" s="32" t="s">
        <v>1371</v>
      </c>
    </row>
    <row x14ac:dyDescent="0.25" r="969" customHeight="1" ht="15.75">
      <c r="A969" s="8">
        <v>26185</v>
      </c>
      <c r="B969" s="13" t="s">
        <v>116</v>
      </c>
      <c r="C969" s="13" t="s">
        <v>6953</v>
      </c>
      <c r="D969" s="32" t="s">
        <v>6954</v>
      </c>
      <c r="E969" s="32" t="s">
        <v>6955</v>
      </c>
      <c r="F969" s="32" t="s">
        <v>6956</v>
      </c>
      <c r="G969" s="32" t="s">
        <v>4866</v>
      </c>
    </row>
    <row x14ac:dyDescent="0.25" r="970" customHeight="1" ht="15.75">
      <c r="A970" s="8">
        <v>26199</v>
      </c>
      <c r="B970" s="13" t="s">
        <v>116</v>
      </c>
      <c r="C970" s="13" t="s">
        <v>6957</v>
      </c>
      <c r="D970" s="32" t="s">
        <v>4533</v>
      </c>
      <c r="E970" s="32" t="s">
        <v>6148</v>
      </c>
      <c r="F970" s="32" t="s">
        <v>4449</v>
      </c>
      <c r="G970" s="32" t="s">
        <v>4936</v>
      </c>
    </row>
    <row x14ac:dyDescent="0.25" r="971" customHeight="1" ht="15.75">
      <c r="A971" s="8">
        <v>26208</v>
      </c>
      <c r="B971" s="13" t="s">
        <v>116</v>
      </c>
      <c r="C971" s="13" t="s">
        <v>6958</v>
      </c>
      <c r="D971" s="32" t="s">
        <v>6959</v>
      </c>
      <c r="E971" s="32" t="s">
        <v>2488</v>
      </c>
      <c r="F971" s="32" t="s">
        <v>6960</v>
      </c>
      <c r="G971" s="32" t="s">
        <v>6580</v>
      </c>
    </row>
    <row x14ac:dyDescent="0.25" r="972" customHeight="1" ht="15.75">
      <c r="A972" s="8">
        <v>26213</v>
      </c>
      <c r="B972" s="13" t="s">
        <v>116</v>
      </c>
      <c r="C972" s="13" t="s">
        <v>6961</v>
      </c>
      <c r="D972" s="32" t="s">
        <v>234</v>
      </c>
      <c r="E972" s="32" t="s">
        <v>5579</v>
      </c>
      <c r="F972" s="32" t="s">
        <v>6962</v>
      </c>
      <c r="G972" s="32" t="s">
        <v>4170</v>
      </c>
    </row>
    <row x14ac:dyDescent="0.25" r="973" customHeight="1" ht="15.75">
      <c r="A973" s="8">
        <v>26214</v>
      </c>
      <c r="B973" s="13" t="s">
        <v>116</v>
      </c>
      <c r="C973" s="13" t="s">
        <v>6963</v>
      </c>
      <c r="D973" s="32" t="s">
        <v>6964</v>
      </c>
      <c r="E973" s="32" t="s">
        <v>1674</v>
      </c>
      <c r="F973" s="32" t="s">
        <v>6965</v>
      </c>
      <c r="G973" s="32" t="s">
        <v>6966</v>
      </c>
    </row>
    <row x14ac:dyDescent="0.25" r="974" customHeight="1" ht="15.75">
      <c r="A974" s="8">
        <v>26181</v>
      </c>
      <c r="B974" s="13" t="s">
        <v>116</v>
      </c>
      <c r="C974" s="13" t="s">
        <v>6967</v>
      </c>
      <c r="D974" s="32" t="s">
        <v>6968</v>
      </c>
      <c r="E974" s="32" t="s">
        <v>6969</v>
      </c>
      <c r="F974" s="32" t="s">
        <v>6970</v>
      </c>
      <c r="G974" s="32" t="s">
        <v>4138</v>
      </c>
    </row>
    <row x14ac:dyDescent="0.25" r="975" customHeight="1" ht="15.75">
      <c r="A975" s="8">
        <v>26152</v>
      </c>
      <c r="B975" s="13" t="s">
        <v>116</v>
      </c>
      <c r="C975" s="13" t="s">
        <v>6971</v>
      </c>
      <c r="D975" s="32" t="s">
        <v>6972</v>
      </c>
      <c r="E975" s="32" t="s">
        <v>6973</v>
      </c>
      <c r="F975" s="32" t="s">
        <v>6974</v>
      </c>
      <c r="G975" s="32" t="s">
        <v>4614</v>
      </c>
    </row>
    <row x14ac:dyDescent="0.25" r="976" customHeight="1" ht="15.75">
      <c r="A976" s="8">
        <v>26166</v>
      </c>
      <c r="B976" s="13" t="s">
        <v>116</v>
      </c>
      <c r="C976" s="13" t="s">
        <v>6975</v>
      </c>
      <c r="D976" s="32" t="s">
        <v>6976</v>
      </c>
      <c r="E976" s="32" t="s">
        <v>1671</v>
      </c>
      <c r="F976" s="32" t="s">
        <v>6977</v>
      </c>
      <c r="G976" s="32" t="s">
        <v>4709</v>
      </c>
    </row>
    <row x14ac:dyDescent="0.25" r="977" customHeight="1" ht="15.75">
      <c r="A977" s="8">
        <v>26167</v>
      </c>
      <c r="B977" s="13" t="s">
        <v>116</v>
      </c>
      <c r="C977" s="13" t="s">
        <v>6978</v>
      </c>
      <c r="D977" s="32" t="s">
        <v>6979</v>
      </c>
      <c r="E977" s="32" t="s">
        <v>6892</v>
      </c>
      <c r="F977" s="32" t="s">
        <v>2143</v>
      </c>
      <c r="G977" s="32" t="s">
        <v>4305</v>
      </c>
    </row>
    <row x14ac:dyDescent="0.25" r="978" customHeight="1" ht="15.75">
      <c r="A978" s="8">
        <v>26182</v>
      </c>
      <c r="B978" s="13" t="s">
        <v>116</v>
      </c>
      <c r="C978" s="13" t="s">
        <v>6980</v>
      </c>
      <c r="D978" s="32" t="s">
        <v>6981</v>
      </c>
      <c r="E978" s="32" t="s">
        <v>4141</v>
      </c>
      <c r="F978" s="32" t="s">
        <v>6982</v>
      </c>
      <c r="G978" s="32" t="s">
        <v>4918</v>
      </c>
    </row>
    <row x14ac:dyDescent="0.25" r="979" customHeight="1" ht="15.75">
      <c r="A979" s="8">
        <v>26153</v>
      </c>
      <c r="B979" s="13" t="s">
        <v>116</v>
      </c>
      <c r="C979" s="13" t="s">
        <v>6983</v>
      </c>
      <c r="D979" s="32" t="s">
        <v>6984</v>
      </c>
      <c r="E979" s="32" t="s">
        <v>6899</v>
      </c>
      <c r="F979" s="32" t="s">
        <v>6985</v>
      </c>
      <c r="G979" s="32" t="s">
        <v>4363</v>
      </c>
    </row>
    <row x14ac:dyDescent="0.25" r="980" customHeight="1" ht="15.75">
      <c r="A980" s="8">
        <v>26168</v>
      </c>
      <c r="B980" s="13" t="s">
        <v>116</v>
      </c>
      <c r="C980" s="13" t="s">
        <v>6986</v>
      </c>
      <c r="D980" s="32" t="s">
        <v>6987</v>
      </c>
      <c r="E980" s="32" t="s">
        <v>2317</v>
      </c>
      <c r="F980" s="32" t="s">
        <v>6988</v>
      </c>
      <c r="G980" s="32" t="s">
        <v>4656</v>
      </c>
    </row>
    <row x14ac:dyDescent="0.25" r="981" customHeight="1" ht="15.75">
      <c r="A981" s="8">
        <v>26200</v>
      </c>
      <c r="B981" s="13" t="s">
        <v>116</v>
      </c>
      <c r="C981" s="13" t="s">
        <v>6989</v>
      </c>
      <c r="D981" s="32" t="s">
        <v>4678</v>
      </c>
      <c r="E981" s="32" t="s">
        <v>6990</v>
      </c>
      <c r="F981" s="32" t="s">
        <v>6991</v>
      </c>
      <c r="G981" s="32" t="s">
        <v>4525</v>
      </c>
    </row>
    <row x14ac:dyDescent="0.25" r="982" customHeight="1" ht="15.75">
      <c r="A982" s="8">
        <v>26183</v>
      </c>
      <c r="B982" s="13" t="s">
        <v>116</v>
      </c>
      <c r="C982" s="13" t="s">
        <v>6992</v>
      </c>
      <c r="D982" s="32" t="s">
        <v>6993</v>
      </c>
      <c r="E982" s="32" t="s">
        <v>5257</v>
      </c>
      <c r="F982" s="32" t="s">
        <v>6994</v>
      </c>
      <c r="G982" s="32" t="s">
        <v>4946</v>
      </c>
    </row>
    <row x14ac:dyDescent="0.25" r="983" customHeight="1" ht="15.75">
      <c r="A983" s="8">
        <v>26154</v>
      </c>
      <c r="B983" s="13" t="s">
        <v>116</v>
      </c>
      <c r="C983" s="13" t="s">
        <v>6995</v>
      </c>
      <c r="D983" s="32" t="s">
        <v>6996</v>
      </c>
      <c r="E983" s="32" t="s">
        <v>5897</v>
      </c>
      <c r="F983" s="32" t="s">
        <v>6997</v>
      </c>
      <c r="G983" s="32" t="s">
        <v>5236</v>
      </c>
    </row>
    <row x14ac:dyDescent="0.25" r="984" customHeight="1" ht="15.75">
      <c r="A984" s="8">
        <v>26215</v>
      </c>
      <c r="B984" s="13" t="s">
        <v>116</v>
      </c>
      <c r="C984" s="13" t="s">
        <v>6998</v>
      </c>
      <c r="D984" s="32" t="s">
        <v>6495</v>
      </c>
      <c r="E984" s="32" t="s">
        <v>1671</v>
      </c>
      <c r="F984" s="32" t="s">
        <v>4426</v>
      </c>
      <c r="G984" s="32" t="s">
        <v>1457</v>
      </c>
    </row>
    <row x14ac:dyDescent="0.25" r="985" customHeight="1" ht="15.75">
      <c r="A985" s="8">
        <v>26169</v>
      </c>
      <c r="B985" s="13" t="s">
        <v>116</v>
      </c>
      <c r="C985" s="13" t="s">
        <v>6999</v>
      </c>
      <c r="D985" s="32" t="s">
        <v>7000</v>
      </c>
      <c r="E985" s="32" t="s">
        <v>1567</v>
      </c>
      <c r="F985" s="32" t="s">
        <v>1507</v>
      </c>
      <c r="G985" s="32" t="s">
        <v>4667</v>
      </c>
    </row>
    <row x14ac:dyDescent="0.25" r="986" customHeight="1" ht="15.75">
      <c r="A986" s="8">
        <v>26192</v>
      </c>
      <c r="B986" s="13" t="s">
        <v>116</v>
      </c>
      <c r="C986" s="13" t="s">
        <v>7001</v>
      </c>
      <c r="D986" s="32" t="s">
        <v>7002</v>
      </c>
      <c r="E986" s="32" t="s">
        <v>1210</v>
      </c>
      <c r="F986" s="32" t="s">
        <v>2448</v>
      </c>
      <c r="G986" s="32" t="s">
        <v>5893</v>
      </c>
    </row>
    <row x14ac:dyDescent="0.25" r="987" customHeight="1" ht="15.75">
      <c r="A987" s="8">
        <v>26201</v>
      </c>
      <c r="B987" s="13" t="s">
        <v>116</v>
      </c>
      <c r="C987" s="13" t="s">
        <v>5912</v>
      </c>
      <c r="D987" s="32" t="s">
        <v>7003</v>
      </c>
      <c r="E987" s="32" t="s">
        <v>4080</v>
      </c>
      <c r="F987" s="32" t="s">
        <v>7004</v>
      </c>
      <c r="G987" s="32" t="s">
        <v>4752</v>
      </c>
    </row>
    <row x14ac:dyDescent="0.25" r="988" customHeight="1" ht="15.75">
      <c r="A988" s="8">
        <v>26202</v>
      </c>
      <c r="B988" s="13" t="s">
        <v>116</v>
      </c>
      <c r="C988" s="13" t="s">
        <v>7005</v>
      </c>
      <c r="D988" s="32" t="s">
        <v>4319</v>
      </c>
      <c r="E988" s="32" t="s">
        <v>6429</v>
      </c>
      <c r="F988" s="32" t="s">
        <v>7006</v>
      </c>
      <c r="G988" s="32" t="s">
        <v>4768</v>
      </c>
    </row>
    <row x14ac:dyDescent="0.25" r="989" customHeight="1" ht="15.75">
      <c r="A989" s="8">
        <v>26203</v>
      </c>
      <c r="B989" s="13" t="s">
        <v>116</v>
      </c>
      <c r="C989" s="13" t="s">
        <v>7007</v>
      </c>
      <c r="D989" s="32" t="s">
        <v>7008</v>
      </c>
      <c r="E989" s="32" t="s">
        <v>283</v>
      </c>
      <c r="F989" s="32" t="s">
        <v>4267</v>
      </c>
      <c r="G989" s="32" t="s">
        <v>4369</v>
      </c>
    </row>
    <row x14ac:dyDescent="0.25" r="990" customHeight="1" ht="15.75">
      <c r="A990" s="8">
        <v>26216</v>
      </c>
      <c r="B990" s="13" t="s">
        <v>116</v>
      </c>
      <c r="C990" s="13" t="s">
        <v>7009</v>
      </c>
      <c r="D990" s="32" t="s">
        <v>7010</v>
      </c>
      <c r="E990" s="32" t="s">
        <v>4948</v>
      </c>
      <c r="F990" s="32" t="s">
        <v>2308</v>
      </c>
      <c r="G990" s="32" t="s">
        <v>1410</v>
      </c>
    </row>
    <row x14ac:dyDescent="0.25" r="991" customHeight="1" ht="15.75">
      <c r="A991" s="8">
        <v>26155</v>
      </c>
      <c r="B991" s="13" t="s">
        <v>116</v>
      </c>
      <c r="C991" s="13" t="s">
        <v>7011</v>
      </c>
      <c r="D991" s="32" t="s">
        <v>7012</v>
      </c>
      <c r="E991" s="32" t="s">
        <v>1437</v>
      </c>
      <c r="F991" s="32" t="s">
        <v>1463</v>
      </c>
      <c r="G991" s="32" t="s">
        <v>4656</v>
      </c>
    </row>
    <row x14ac:dyDescent="0.25" r="992" customHeight="1" ht="15.75">
      <c r="A992" s="8">
        <v>26217</v>
      </c>
      <c r="B992" s="13" t="s">
        <v>116</v>
      </c>
      <c r="C992" s="13" t="s">
        <v>7013</v>
      </c>
      <c r="D992" s="32" t="s">
        <v>6260</v>
      </c>
      <c r="E992" s="32" t="s">
        <v>1926</v>
      </c>
      <c r="F992" s="32" t="s">
        <v>7014</v>
      </c>
      <c r="G992" s="32" t="s">
        <v>1178</v>
      </c>
    </row>
    <row x14ac:dyDescent="0.25" r="993" customHeight="1" ht="15.75">
      <c r="A993" s="8">
        <v>26218</v>
      </c>
      <c r="B993" s="13" t="s">
        <v>116</v>
      </c>
      <c r="C993" s="13" t="s">
        <v>7015</v>
      </c>
      <c r="D993" s="32" t="s">
        <v>2518</v>
      </c>
      <c r="E993" s="32" t="s">
        <v>1194</v>
      </c>
      <c r="F993" s="32" t="s">
        <v>5207</v>
      </c>
      <c r="G993" s="32" t="s">
        <v>5880</v>
      </c>
    </row>
    <row x14ac:dyDescent="0.25" r="994" customHeight="1" ht="15.75">
      <c r="A994" s="8">
        <v>26219</v>
      </c>
      <c r="B994" s="13" t="s">
        <v>116</v>
      </c>
      <c r="C994" s="13" t="s">
        <v>7016</v>
      </c>
      <c r="D994" s="32" t="s">
        <v>2409</v>
      </c>
      <c r="E994" s="32" t="s">
        <v>7017</v>
      </c>
      <c r="F994" s="32" t="s">
        <v>2474</v>
      </c>
      <c r="G994" s="32" t="s">
        <v>1410</v>
      </c>
    </row>
    <row x14ac:dyDescent="0.25" r="995" customHeight="1" ht="15.75">
      <c r="A995" s="8">
        <v>26204</v>
      </c>
      <c r="B995" s="13" t="s">
        <v>116</v>
      </c>
      <c r="C995" s="13" t="s">
        <v>7018</v>
      </c>
      <c r="D995" s="32" t="s">
        <v>4765</v>
      </c>
      <c r="E995" s="32" t="s">
        <v>1596</v>
      </c>
      <c r="F995" s="32" t="s">
        <v>4849</v>
      </c>
      <c r="G995" s="32" t="s">
        <v>4188</v>
      </c>
    </row>
    <row x14ac:dyDescent="0.25" r="996" customHeight="1" ht="15.75">
      <c r="A996" s="8">
        <v>26170</v>
      </c>
      <c r="B996" s="13" t="s">
        <v>116</v>
      </c>
      <c r="C996" s="13" t="s">
        <v>7019</v>
      </c>
      <c r="D996" s="32" t="s">
        <v>7020</v>
      </c>
      <c r="E996" s="32" t="s">
        <v>1230</v>
      </c>
      <c r="F996" s="32" t="s">
        <v>7021</v>
      </c>
      <c r="G996" s="32" t="s">
        <v>4607</v>
      </c>
    </row>
    <row x14ac:dyDescent="0.25" r="997" customHeight="1" ht="15.75">
      <c r="A997" s="8">
        <v>26193</v>
      </c>
      <c r="B997" s="13" t="s">
        <v>116</v>
      </c>
      <c r="C997" s="13" t="s">
        <v>7022</v>
      </c>
      <c r="D997" s="32" t="s">
        <v>7023</v>
      </c>
      <c r="E997" s="32" t="s">
        <v>6799</v>
      </c>
      <c r="F997" s="32" t="s">
        <v>4111</v>
      </c>
      <c r="G997" s="32" t="s">
        <v>30</v>
      </c>
    </row>
    <row x14ac:dyDescent="0.25" r="998" customHeight="1" ht="15.75">
      <c r="A998" s="8">
        <v>26220</v>
      </c>
      <c r="B998" s="13" t="s">
        <v>116</v>
      </c>
      <c r="C998" s="13" t="s">
        <v>7024</v>
      </c>
      <c r="D998" s="32" t="s">
        <v>7025</v>
      </c>
      <c r="E998" s="32" t="s">
        <v>1690</v>
      </c>
      <c r="F998" s="32" t="s">
        <v>7026</v>
      </c>
      <c r="G998" s="32" t="s">
        <v>4617</v>
      </c>
    </row>
    <row x14ac:dyDescent="0.25" r="999" customHeight="1" ht="15.75">
      <c r="A999" s="8">
        <v>26221</v>
      </c>
      <c r="B999" s="13" t="s">
        <v>116</v>
      </c>
      <c r="C999" s="13" t="s">
        <v>7027</v>
      </c>
      <c r="D999" s="32" t="s">
        <v>7028</v>
      </c>
      <c r="E999" s="32" t="s">
        <v>4479</v>
      </c>
      <c r="F999" s="32" t="s">
        <v>7029</v>
      </c>
      <c r="G999" s="32" t="s">
        <v>409</v>
      </c>
    </row>
    <row x14ac:dyDescent="0.25" r="1000" customHeight="1" ht="15.75">
      <c r="A1000" s="8">
        <v>26222</v>
      </c>
      <c r="B1000" s="13" t="s">
        <v>116</v>
      </c>
      <c r="C1000" s="13" t="s">
        <v>7030</v>
      </c>
      <c r="D1000" s="32" t="s">
        <v>7031</v>
      </c>
      <c r="E1000" s="32" t="s">
        <v>5092</v>
      </c>
      <c r="F1000" s="32" t="s">
        <v>7032</v>
      </c>
      <c r="G1000" s="32" t="s">
        <v>1401</v>
      </c>
    </row>
    <row x14ac:dyDescent="0.25" r="1001" customHeight="1" ht="15.75">
      <c r="A1001" s="8">
        <v>26156</v>
      </c>
      <c r="B1001" s="13" t="s">
        <v>116</v>
      </c>
      <c r="C1001" s="13" t="s">
        <v>7033</v>
      </c>
      <c r="D1001" s="32" t="s">
        <v>2670</v>
      </c>
      <c r="E1001" s="32" t="s">
        <v>7034</v>
      </c>
      <c r="F1001" s="32" t="s">
        <v>7035</v>
      </c>
      <c r="G1001" s="32" t="s">
        <v>6940</v>
      </c>
    </row>
    <row x14ac:dyDescent="0.25" r="1002" customHeight="1" ht="15.75">
      <c r="A1002" s="8">
        <v>26223</v>
      </c>
      <c r="B1002" s="13" t="s">
        <v>116</v>
      </c>
      <c r="C1002" s="13" t="s">
        <v>7036</v>
      </c>
      <c r="D1002" s="32" t="s">
        <v>2453</v>
      </c>
      <c r="E1002" s="32" t="s">
        <v>6818</v>
      </c>
      <c r="F1002" s="32" t="s">
        <v>2172</v>
      </c>
      <c r="G1002" s="32" t="s">
        <v>1410</v>
      </c>
    </row>
    <row x14ac:dyDescent="0.25" r="1003" customHeight="1" ht="15.75">
      <c r="A1003" s="8">
        <v>26171</v>
      </c>
      <c r="B1003" s="13" t="s">
        <v>116</v>
      </c>
      <c r="C1003" s="13" t="s">
        <v>7037</v>
      </c>
      <c r="D1003" s="32" t="s">
        <v>7038</v>
      </c>
      <c r="E1003" s="32" t="s">
        <v>7039</v>
      </c>
      <c r="F1003" s="32" t="s">
        <v>7040</v>
      </c>
      <c r="G1003" s="32" t="s">
        <v>1594</v>
      </c>
    </row>
    <row x14ac:dyDescent="0.25" r="1004" customHeight="1" ht="15.75">
      <c r="A1004" s="8">
        <v>26224</v>
      </c>
      <c r="B1004" s="13" t="s">
        <v>116</v>
      </c>
      <c r="C1004" s="13" t="s">
        <v>6328</v>
      </c>
      <c r="D1004" s="32" t="s">
        <v>6742</v>
      </c>
      <c r="E1004" s="32" t="s">
        <v>6768</v>
      </c>
      <c r="F1004" s="32" t="s">
        <v>5745</v>
      </c>
      <c r="G1004" s="32" t="s">
        <v>4565</v>
      </c>
    </row>
    <row x14ac:dyDescent="0.25" r="1005" customHeight="1" ht="15.75">
      <c r="A1005" s="8">
        <v>26225</v>
      </c>
      <c r="B1005" s="13" t="s">
        <v>116</v>
      </c>
      <c r="C1005" s="13" t="s">
        <v>5212</v>
      </c>
      <c r="D1005" s="32" t="s">
        <v>7041</v>
      </c>
      <c r="E1005" s="32" t="s">
        <v>5438</v>
      </c>
      <c r="F1005" s="32" t="s">
        <v>7042</v>
      </c>
      <c r="G1005" s="32" t="s">
        <v>5937</v>
      </c>
    </row>
    <row x14ac:dyDescent="0.25" r="1006" customHeight="1" ht="15.75">
      <c r="A1006" s="8">
        <v>26226</v>
      </c>
      <c r="B1006" s="13" t="s">
        <v>116</v>
      </c>
      <c r="C1006" s="13" t="s">
        <v>7043</v>
      </c>
      <c r="D1006" s="32" t="s">
        <v>4329</v>
      </c>
      <c r="E1006" s="32" t="s">
        <v>1148</v>
      </c>
      <c r="F1006" s="32" t="s">
        <v>2477</v>
      </c>
      <c r="G1006" s="32" t="s">
        <v>1369</v>
      </c>
    </row>
    <row x14ac:dyDescent="0.25" r="1007" customHeight="1" ht="15.75">
      <c r="A1007" s="8">
        <v>26172</v>
      </c>
      <c r="B1007" s="13" t="s">
        <v>116</v>
      </c>
      <c r="C1007" s="13" t="s">
        <v>7044</v>
      </c>
      <c r="D1007" s="32" t="s">
        <v>5083</v>
      </c>
      <c r="E1007" s="32" t="s">
        <v>1178</v>
      </c>
      <c r="F1007" s="32" t="s">
        <v>7045</v>
      </c>
      <c r="G1007" s="32" t="s">
        <v>1403</v>
      </c>
    </row>
    <row x14ac:dyDescent="0.25" r="1008" customHeight="1" ht="15.75">
      <c r="A1008" s="8">
        <v>26173</v>
      </c>
      <c r="B1008" s="13" t="s">
        <v>116</v>
      </c>
      <c r="C1008" s="13" t="s">
        <v>7046</v>
      </c>
      <c r="D1008" s="32" t="s">
        <v>6159</v>
      </c>
      <c r="E1008" s="32" t="s">
        <v>557</v>
      </c>
      <c r="F1008" s="32" t="s">
        <v>1555</v>
      </c>
      <c r="G1008" s="32" t="s">
        <v>7047</v>
      </c>
    </row>
    <row x14ac:dyDescent="0.25" r="1009" customHeight="1" ht="15.75">
      <c r="A1009" s="8">
        <v>26228</v>
      </c>
      <c r="B1009" s="13" t="s">
        <v>116</v>
      </c>
      <c r="C1009" s="13" t="s">
        <v>7048</v>
      </c>
      <c r="D1009" s="32" t="s">
        <v>1227</v>
      </c>
      <c r="E1009" s="32" t="s">
        <v>4436</v>
      </c>
      <c r="F1009" s="32" t="s">
        <v>7049</v>
      </c>
      <c r="G1009" s="32" t="s">
        <v>6820</v>
      </c>
    </row>
    <row x14ac:dyDescent="0.25" r="1010" customHeight="1" ht="15.75">
      <c r="A1010" s="8">
        <v>26159</v>
      </c>
      <c r="B1010" s="13" t="s">
        <v>116</v>
      </c>
      <c r="C1010" s="13" t="s">
        <v>7050</v>
      </c>
      <c r="D1010" s="32" t="s">
        <v>2511</v>
      </c>
      <c r="E1010" s="32" t="s">
        <v>4501</v>
      </c>
      <c r="F1010" s="32" t="s">
        <v>5246</v>
      </c>
      <c r="G1010" s="32" t="s">
        <v>4213</v>
      </c>
    </row>
    <row x14ac:dyDescent="0.25" r="1011" customHeight="1" ht="15.75">
      <c r="A1011" s="8">
        <v>26189</v>
      </c>
      <c r="B1011" s="13" t="s">
        <v>116</v>
      </c>
      <c r="C1011" s="13" t="s">
        <v>7051</v>
      </c>
      <c r="D1011" s="32" t="s">
        <v>7052</v>
      </c>
      <c r="E1011" s="32" t="s">
        <v>7053</v>
      </c>
      <c r="F1011" s="32" t="s">
        <v>7054</v>
      </c>
      <c r="G1011" s="32" t="s">
        <v>4953</v>
      </c>
    </row>
    <row x14ac:dyDescent="0.25" r="1012" customHeight="1" ht="15.75">
      <c r="A1012" s="8">
        <v>26175</v>
      </c>
      <c r="B1012" s="13" t="s">
        <v>116</v>
      </c>
      <c r="C1012" s="13" t="s">
        <v>7055</v>
      </c>
      <c r="D1012" s="32" t="s">
        <v>7056</v>
      </c>
      <c r="E1012" s="32" t="s">
        <v>5313</v>
      </c>
      <c r="F1012" s="32" t="s">
        <v>5433</v>
      </c>
      <c r="G1012" s="32" t="s">
        <v>7057</v>
      </c>
    </row>
    <row x14ac:dyDescent="0.25" r="1013" customHeight="1" ht="15.75">
      <c r="A1013" s="8">
        <v>26229</v>
      </c>
      <c r="B1013" s="13" t="s">
        <v>116</v>
      </c>
      <c r="C1013" s="13" t="s">
        <v>7058</v>
      </c>
      <c r="D1013" s="32" t="s">
        <v>6844</v>
      </c>
      <c r="E1013" s="32" t="s">
        <v>4517</v>
      </c>
      <c r="F1013" s="32" t="s">
        <v>1601</v>
      </c>
      <c r="G1013" s="32" t="s">
        <v>7059</v>
      </c>
    </row>
    <row x14ac:dyDescent="0.25" r="1014" customHeight="1" ht="15.75">
      <c r="A1014" s="8">
        <v>26230</v>
      </c>
      <c r="B1014" s="13" t="s">
        <v>116</v>
      </c>
      <c r="C1014" s="13" t="s">
        <v>7060</v>
      </c>
      <c r="D1014" s="32" t="s">
        <v>7061</v>
      </c>
      <c r="E1014" s="32" t="s">
        <v>7062</v>
      </c>
      <c r="F1014" s="32" t="s">
        <v>5702</v>
      </c>
      <c r="G1014" s="32" t="s">
        <v>1501</v>
      </c>
    </row>
    <row x14ac:dyDescent="0.25" r="1015" customHeight="1" ht="15.75">
      <c r="A1015" s="8">
        <v>26209</v>
      </c>
      <c r="B1015" s="13" t="s">
        <v>116</v>
      </c>
      <c r="C1015" s="13" t="s">
        <v>7063</v>
      </c>
      <c r="D1015" s="32" t="s">
        <v>7064</v>
      </c>
      <c r="E1015" s="32" t="s">
        <v>1148</v>
      </c>
      <c r="F1015" s="32" t="s">
        <v>2679</v>
      </c>
      <c r="G1015" s="32" t="s">
        <v>5910</v>
      </c>
    </row>
    <row x14ac:dyDescent="0.25" r="1016" customHeight="1" ht="15.75">
      <c r="A1016" s="8">
        <v>26231</v>
      </c>
      <c r="B1016" s="13" t="s">
        <v>116</v>
      </c>
      <c r="C1016" s="13" t="s">
        <v>7065</v>
      </c>
      <c r="D1016" s="32" t="s">
        <v>2364</v>
      </c>
      <c r="E1016" s="32" t="s">
        <v>4779</v>
      </c>
      <c r="F1016" s="32" t="s">
        <v>4961</v>
      </c>
      <c r="G1016" s="32" t="s">
        <v>7066</v>
      </c>
    </row>
    <row x14ac:dyDescent="0.25" r="1017" customHeight="1" ht="15.75">
      <c r="A1017" s="8">
        <v>26160</v>
      </c>
      <c r="B1017" s="13" t="s">
        <v>116</v>
      </c>
      <c r="C1017" s="13" t="s">
        <v>7067</v>
      </c>
      <c r="D1017" s="32" t="s">
        <v>1505</v>
      </c>
      <c r="E1017" s="32" t="s">
        <v>7068</v>
      </c>
      <c r="F1017" s="32" t="s">
        <v>5598</v>
      </c>
      <c r="G1017" s="32" t="s">
        <v>5518</v>
      </c>
    </row>
    <row x14ac:dyDescent="0.25" r="1018" customHeight="1" ht="15.75">
      <c r="A1018" s="8">
        <v>26206</v>
      </c>
      <c r="B1018" s="13" t="s">
        <v>116</v>
      </c>
      <c r="C1018" s="13" t="s">
        <v>7069</v>
      </c>
      <c r="D1018" s="32" t="s">
        <v>2543</v>
      </c>
      <c r="E1018" s="32" t="s">
        <v>7070</v>
      </c>
      <c r="F1018" s="32" t="s">
        <v>7071</v>
      </c>
      <c r="G1018" s="32" t="s">
        <v>4748</v>
      </c>
    </row>
    <row x14ac:dyDescent="0.25" r="1019" customHeight="1" ht="15.75">
      <c r="A1019" s="8">
        <v>26232</v>
      </c>
      <c r="B1019" s="13" t="s">
        <v>116</v>
      </c>
      <c r="C1019" s="13" t="s">
        <v>7072</v>
      </c>
      <c r="D1019" s="32" t="s">
        <v>4079</v>
      </c>
      <c r="E1019" s="32" t="s">
        <v>7073</v>
      </c>
      <c r="F1019" s="32" t="s">
        <v>4079</v>
      </c>
      <c r="G1019" s="32" t="s">
        <v>7074</v>
      </c>
    </row>
    <row x14ac:dyDescent="0.25" r="1020" customHeight="1" ht="15.75">
      <c r="A1020" s="8">
        <v>26233</v>
      </c>
      <c r="B1020" s="13" t="s">
        <v>116</v>
      </c>
      <c r="C1020" s="13" t="s">
        <v>7075</v>
      </c>
      <c r="D1020" s="32" t="s">
        <v>6374</v>
      </c>
      <c r="E1020" s="32" t="s">
        <v>1501</v>
      </c>
      <c r="F1020" s="32" t="s">
        <v>7076</v>
      </c>
      <c r="G1020" s="32" t="s">
        <v>4689</v>
      </c>
    </row>
    <row x14ac:dyDescent="0.25" r="1021" customHeight="1" ht="15.75">
      <c r="A1021" s="8">
        <v>26176</v>
      </c>
      <c r="B1021" s="13" t="s">
        <v>116</v>
      </c>
      <c r="C1021" s="13" t="s">
        <v>7077</v>
      </c>
      <c r="D1021" s="32" t="s">
        <v>6237</v>
      </c>
      <c r="E1021" s="32" t="s">
        <v>7078</v>
      </c>
      <c r="F1021" s="32" t="s">
        <v>4319</v>
      </c>
      <c r="G1021" s="32" t="s">
        <v>5302</v>
      </c>
    </row>
    <row x14ac:dyDescent="0.25" r="1022" customHeight="1" ht="15.75">
      <c r="A1022" s="8">
        <v>26177</v>
      </c>
      <c r="B1022" s="13" t="s">
        <v>116</v>
      </c>
      <c r="C1022" s="13" t="s">
        <v>7079</v>
      </c>
      <c r="D1022" s="32" t="s">
        <v>7080</v>
      </c>
      <c r="E1022" s="32" t="s">
        <v>5614</v>
      </c>
      <c r="F1022" s="32" t="s">
        <v>7081</v>
      </c>
      <c r="G1022" s="32" t="s">
        <v>4845</v>
      </c>
    </row>
    <row x14ac:dyDescent="0.25" r="1023" customHeight="1" ht="15.75">
      <c r="A1023" s="8">
        <v>26179</v>
      </c>
      <c r="B1023" s="13" t="s">
        <v>116</v>
      </c>
      <c r="C1023" s="13" t="s">
        <v>7082</v>
      </c>
      <c r="D1023" s="32" t="s">
        <v>4319</v>
      </c>
      <c r="E1023" s="32" t="s">
        <v>5927</v>
      </c>
      <c r="F1023" s="32" t="s">
        <v>7083</v>
      </c>
      <c r="G1023" s="32" t="s">
        <v>914</v>
      </c>
    </row>
    <row x14ac:dyDescent="0.25" r="1024" customHeight="1" ht="15.75">
      <c r="A1024" s="8">
        <v>26178</v>
      </c>
      <c r="B1024" s="13" t="s">
        <v>116</v>
      </c>
      <c r="C1024" s="13" t="s">
        <v>7084</v>
      </c>
      <c r="D1024" s="32" t="s">
        <v>7085</v>
      </c>
      <c r="E1024" s="32" t="s">
        <v>1452</v>
      </c>
      <c r="F1024" s="32" t="s">
        <v>7086</v>
      </c>
      <c r="G1024" s="32" t="s">
        <v>4693</v>
      </c>
    </row>
    <row x14ac:dyDescent="0.25" r="1025" customHeight="1" ht="15.75">
      <c r="A1025" s="8">
        <v>26161</v>
      </c>
      <c r="B1025" s="13" t="s">
        <v>116</v>
      </c>
      <c r="C1025" s="13" t="s">
        <v>7087</v>
      </c>
      <c r="D1025" s="32" t="s">
        <v>7088</v>
      </c>
      <c r="E1025" s="32" t="s">
        <v>4372</v>
      </c>
      <c r="F1025" s="32" t="s">
        <v>5395</v>
      </c>
      <c r="G1025" s="32" t="s">
        <v>5937</v>
      </c>
    </row>
    <row x14ac:dyDescent="0.25" r="1026" customHeight="1" ht="15.75">
      <c r="A1026" s="8">
        <v>26187</v>
      </c>
      <c r="B1026" s="13" t="s">
        <v>116</v>
      </c>
      <c r="C1026" s="13" t="s">
        <v>7089</v>
      </c>
      <c r="D1026" s="32" t="s">
        <v>7090</v>
      </c>
      <c r="E1026" s="32" t="s">
        <v>1732</v>
      </c>
      <c r="F1026" s="32" t="s">
        <v>7091</v>
      </c>
      <c r="G1026" s="32" t="s">
        <v>4541</v>
      </c>
    </row>
    <row x14ac:dyDescent="0.25" r="1027" customHeight="1" ht="15.75">
      <c r="A1027" s="8">
        <v>26235</v>
      </c>
      <c r="B1027" s="13" t="s">
        <v>116</v>
      </c>
      <c r="C1027" s="13" t="s">
        <v>7092</v>
      </c>
      <c r="D1027" s="32" t="s">
        <v>4528</v>
      </c>
      <c r="E1027" s="32" t="s">
        <v>6479</v>
      </c>
      <c r="F1027" s="32" t="s">
        <v>6334</v>
      </c>
      <c r="G1027" s="32" t="s">
        <v>337</v>
      </c>
    </row>
    <row x14ac:dyDescent="0.25" r="1028" customHeight="1" ht="15.75">
      <c r="A1028" s="36" t="s">
        <v>7093</v>
      </c>
      <c r="B1028" s="27" t="s">
        <v>27</v>
      </c>
      <c r="C1028" s="27" t="s">
        <v>27</v>
      </c>
      <c r="D1028" s="28" t="s">
        <v>5679</v>
      </c>
      <c r="E1028" s="28" t="s">
        <v>6803</v>
      </c>
      <c r="F1028" s="28" t="s">
        <v>7094</v>
      </c>
      <c r="G1028" s="28" t="s">
        <v>4108</v>
      </c>
    </row>
    <row x14ac:dyDescent="0.25" r="1029" customHeight="1" ht="15.75">
      <c r="A1029" s="36" t="s">
        <v>7093</v>
      </c>
      <c r="B1029" s="27" t="s">
        <v>512</v>
      </c>
      <c r="C1029" s="27" t="s">
        <v>512</v>
      </c>
      <c r="D1029" s="28" t="s">
        <v>7095</v>
      </c>
      <c r="E1029" s="28" t="s">
        <v>1647</v>
      </c>
      <c r="F1029" s="28" t="s">
        <v>7096</v>
      </c>
      <c r="G1029" s="28" t="s">
        <v>4885</v>
      </c>
    </row>
    <row x14ac:dyDescent="0.25" r="1030" customHeight="1" ht="15.75">
      <c r="A1030" s="36" t="s">
        <v>7093</v>
      </c>
      <c r="B1030" s="27" t="s">
        <v>184</v>
      </c>
      <c r="C1030" s="27" t="s">
        <v>184</v>
      </c>
      <c r="D1030" s="28" t="s">
        <v>7097</v>
      </c>
      <c r="E1030" s="28" t="s">
        <v>6803</v>
      </c>
      <c r="F1030" s="28" t="s">
        <v>7098</v>
      </c>
      <c r="G1030" s="28" t="s">
        <v>4138</v>
      </c>
    </row>
    <row x14ac:dyDescent="0.25" r="1031" customHeight="1" ht="15.75">
      <c r="A1031" s="36" t="s">
        <v>7093</v>
      </c>
      <c r="B1031" s="27" t="s">
        <v>66</v>
      </c>
      <c r="C1031" s="27" t="s">
        <v>66</v>
      </c>
      <c r="D1031" s="28" t="s">
        <v>5887</v>
      </c>
      <c r="E1031" s="28" t="s">
        <v>4392</v>
      </c>
      <c r="F1031" s="28" t="s">
        <v>5693</v>
      </c>
      <c r="G1031" s="28" t="s">
        <v>118</v>
      </c>
    </row>
    <row x14ac:dyDescent="0.25" r="1032" customHeight="1" ht="15.75">
      <c r="A1032" s="36" t="s">
        <v>7093</v>
      </c>
      <c r="B1032" s="27" t="s">
        <v>69</v>
      </c>
      <c r="C1032" s="27" t="s">
        <v>69</v>
      </c>
      <c r="D1032" s="28" t="s">
        <v>2525</v>
      </c>
      <c r="E1032" s="28" t="s">
        <v>4287</v>
      </c>
      <c r="F1032" s="28" t="s">
        <v>7099</v>
      </c>
      <c r="G1032" s="28" t="s">
        <v>7100</v>
      </c>
    </row>
    <row x14ac:dyDescent="0.25" r="1033" customHeight="1" ht="15.75">
      <c r="A1033" s="36" t="s">
        <v>7093</v>
      </c>
      <c r="B1033" s="27" t="s">
        <v>91</v>
      </c>
      <c r="C1033" s="27" t="s">
        <v>91</v>
      </c>
      <c r="D1033" s="28" t="s">
        <v>6753</v>
      </c>
      <c r="E1033" s="28" t="s">
        <v>4541</v>
      </c>
      <c r="F1033" s="28" t="s">
        <v>6396</v>
      </c>
      <c r="G1033" s="28" t="s">
        <v>4219</v>
      </c>
    </row>
    <row x14ac:dyDescent="0.25" r="1034" customHeight="1" ht="15.75">
      <c r="A1034" s="36" t="s">
        <v>7093</v>
      </c>
      <c r="B1034" s="27" t="s">
        <v>126</v>
      </c>
      <c r="C1034" s="27" t="s">
        <v>126</v>
      </c>
      <c r="D1034" s="28" t="s">
        <v>7101</v>
      </c>
      <c r="E1034" s="28" t="s">
        <v>6709</v>
      </c>
      <c r="F1034" s="28" t="s">
        <v>7102</v>
      </c>
      <c r="G1034" s="28" t="s">
        <v>4151</v>
      </c>
    </row>
    <row x14ac:dyDescent="0.25" r="1035" customHeight="1" ht="15.75">
      <c r="A1035" s="36" t="s">
        <v>7093</v>
      </c>
      <c r="B1035" s="27" t="s">
        <v>103</v>
      </c>
      <c r="C1035" s="27" t="s">
        <v>103</v>
      </c>
      <c r="D1035" s="28" t="s">
        <v>2546</v>
      </c>
      <c r="E1035" s="28" t="s">
        <v>4392</v>
      </c>
      <c r="F1035" s="28" t="s">
        <v>5188</v>
      </c>
      <c r="G1035" s="28" t="s">
        <v>4614</v>
      </c>
    </row>
    <row x14ac:dyDescent="0.25" r="1036" customHeight="1" ht="15.75">
      <c r="A1036" s="36" t="s">
        <v>7093</v>
      </c>
      <c r="B1036" s="27" t="s">
        <v>129</v>
      </c>
      <c r="C1036" s="27" t="s">
        <v>129</v>
      </c>
      <c r="D1036" s="28" t="s">
        <v>5623</v>
      </c>
      <c r="E1036" s="28" t="s">
        <v>6240</v>
      </c>
      <c r="F1036" s="28" t="s">
        <v>4601</v>
      </c>
      <c r="G1036" s="28" t="s">
        <v>914</v>
      </c>
    </row>
    <row x14ac:dyDescent="0.25" r="1037" customHeight="1" ht="15.75">
      <c r="A1037" s="36" t="s">
        <v>7093</v>
      </c>
      <c r="B1037" s="27" t="s">
        <v>109</v>
      </c>
      <c r="C1037" s="27" t="s">
        <v>109</v>
      </c>
      <c r="D1037" s="28" t="s">
        <v>7103</v>
      </c>
      <c r="E1037" s="28" t="s">
        <v>7104</v>
      </c>
      <c r="F1037" s="28" t="s">
        <v>7105</v>
      </c>
      <c r="G1037" s="28" t="s">
        <v>5379</v>
      </c>
    </row>
    <row x14ac:dyDescent="0.25" r="1038" customHeight="1" ht="15.75">
      <c r="A1038" s="36" t="s">
        <v>7093</v>
      </c>
      <c r="B1038" s="27" t="s">
        <v>227</v>
      </c>
      <c r="C1038" s="27" t="s">
        <v>227</v>
      </c>
      <c r="D1038" s="28" t="s">
        <v>7106</v>
      </c>
      <c r="E1038" s="28" t="s">
        <v>283</v>
      </c>
      <c r="F1038" s="28" t="s">
        <v>5935</v>
      </c>
      <c r="G1038" s="28" t="s">
        <v>1395</v>
      </c>
    </row>
    <row x14ac:dyDescent="0.25" r="1039" customHeight="1" ht="15.75">
      <c r="A1039" s="36" t="s">
        <v>7093</v>
      </c>
      <c r="B1039" s="27" t="s">
        <v>198</v>
      </c>
      <c r="C1039" s="27" t="s">
        <v>198</v>
      </c>
      <c r="D1039" s="28" t="s">
        <v>7107</v>
      </c>
      <c r="E1039" s="28" t="s">
        <v>1478</v>
      </c>
      <c r="F1039" s="28" t="s">
        <v>7108</v>
      </c>
      <c r="G1039" s="28" t="s">
        <v>6376</v>
      </c>
    </row>
    <row x14ac:dyDescent="0.25" r="1040" customHeight="1" ht="15.75">
      <c r="A1040" s="36" t="s">
        <v>7093</v>
      </c>
      <c r="B1040" s="27" t="s">
        <v>391</v>
      </c>
      <c r="C1040" s="27" t="s">
        <v>391</v>
      </c>
      <c r="D1040" s="28" t="s">
        <v>4903</v>
      </c>
      <c r="E1040" s="28" t="s">
        <v>6168</v>
      </c>
      <c r="F1040" s="28" t="s">
        <v>7109</v>
      </c>
      <c r="G1040" s="28" t="s">
        <v>1470</v>
      </c>
    </row>
    <row x14ac:dyDescent="0.25" r="1041" customHeight="1" ht="15.75">
      <c r="A1041" s="36" t="s">
        <v>7093</v>
      </c>
      <c r="B1041" s="27" t="s">
        <v>116</v>
      </c>
      <c r="C1041" s="27" t="s">
        <v>116</v>
      </c>
      <c r="D1041" s="28" t="s">
        <v>5682</v>
      </c>
      <c r="E1041" s="28" t="s">
        <v>6940</v>
      </c>
      <c r="F1041" s="28" t="s">
        <v>7110</v>
      </c>
      <c r="G1041" s="28" t="s">
        <v>1459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25"/>
  <sheetViews>
    <sheetView workbookViewId="0"/>
  </sheetViews>
  <sheetFormatPr defaultRowHeight="15" x14ac:dyDescent="0.25"/>
  <cols>
    <col min="1" max="1" style="21" width="24.576428571428572" customWidth="1" bestFit="1"/>
    <col min="2" max="2" style="21" width="46.005" customWidth="1" bestFit="1"/>
    <col min="3" max="3" style="30" width="22.290714285714284" customWidth="1" bestFit="1"/>
    <col min="4" max="4" style="35" width="22.290714285714284" customWidth="1" bestFit="1"/>
    <col min="5" max="5" style="35" width="22.290714285714284" customWidth="1" bestFit="1"/>
    <col min="6" max="6" style="35" width="22.290714285714284" customWidth="1" bestFit="1"/>
    <col min="7" max="7" style="35" width="22.290714285714284" customWidth="1" bestFit="1"/>
    <col min="8" max="8" style="35" width="22.290714285714284" customWidth="1" bestFit="1"/>
    <col min="9" max="9" style="35" width="22.290714285714284" customWidth="1" bestFit="1"/>
  </cols>
  <sheetData>
    <row x14ac:dyDescent="0.25" r="1" customHeight="1" ht="15.75">
      <c r="A1" s="25" t="s">
        <v>1</v>
      </c>
      <c r="B1" s="25" t="s">
        <v>2</v>
      </c>
      <c r="C1" s="3" t="s">
        <v>2821</v>
      </c>
      <c r="D1" s="31" t="s">
        <v>2822</v>
      </c>
      <c r="E1" s="31" t="s">
        <v>2823</v>
      </c>
      <c r="F1" s="31" t="s">
        <v>2824</v>
      </c>
      <c r="G1" s="31" t="s">
        <v>2825</v>
      </c>
      <c r="H1" s="31" t="s">
        <v>2826</v>
      </c>
      <c r="I1" s="31" t="s">
        <v>2827</v>
      </c>
    </row>
    <row x14ac:dyDescent="0.25" r="2" customHeight="1" ht="15.75">
      <c r="A2" s="13" t="s">
        <v>27</v>
      </c>
      <c r="B2" s="13" t="s">
        <v>933</v>
      </c>
      <c r="C2" s="32" t="s">
        <v>2828</v>
      </c>
      <c r="D2" s="33" t="s">
        <v>2829</v>
      </c>
      <c r="E2" s="33" t="s">
        <v>2830</v>
      </c>
      <c r="F2" s="33" t="s">
        <v>2831</v>
      </c>
      <c r="G2" s="33" t="s">
        <v>2832</v>
      </c>
      <c r="H2" s="33" t="s">
        <v>2833</v>
      </c>
      <c r="I2" s="33" t="s">
        <v>2834</v>
      </c>
    </row>
    <row x14ac:dyDescent="0.25" r="3" customHeight="1" ht="15.75">
      <c r="A3" s="13" t="s">
        <v>27</v>
      </c>
      <c r="B3" s="13" t="s">
        <v>461</v>
      </c>
      <c r="C3" s="32" t="s">
        <v>2835</v>
      </c>
      <c r="D3" s="33" t="s">
        <v>2836</v>
      </c>
      <c r="E3" s="33" t="s">
        <v>2837</v>
      </c>
      <c r="F3" s="33" t="s">
        <v>2838</v>
      </c>
      <c r="G3" s="33" t="s">
        <v>2839</v>
      </c>
      <c r="H3" s="33" t="s">
        <v>2840</v>
      </c>
      <c r="I3" s="33" t="s">
        <v>2834</v>
      </c>
    </row>
    <row x14ac:dyDescent="0.25" r="4" customHeight="1" ht="15.75">
      <c r="A4" s="13" t="s">
        <v>27</v>
      </c>
      <c r="B4" s="13" t="s">
        <v>232</v>
      </c>
      <c r="C4" s="32" t="s">
        <v>2841</v>
      </c>
      <c r="D4" s="33" t="s">
        <v>2842</v>
      </c>
      <c r="E4" s="33" t="s">
        <v>2843</v>
      </c>
      <c r="F4" s="33" t="s">
        <v>2844</v>
      </c>
      <c r="G4" s="33" t="s">
        <v>2845</v>
      </c>
      <c r="H4" s="33" t="s">
        <v>2843</v>
      </c>
      <c r="I4" s="33" t="s">
        <v>2843</v>
      </c>
    </row>
    <row x14ac:dyDescent="0.25" r="5" customHeight="1" ht="15.75">
      <c r="A5" s="13" t="s">
        <v>27</v>
      </c>
      <c r="B5" s="13" t="s">
        <v>459</v>
      </c>
      <c r="C5" s="32" t="s">
        <v>2846</v>
      </c>
      <c r="D5" s="33" t="s">
        <v>2847</v>
      </c>
      <c r="E5" s="33" t="s">
        <v>2848</v>
      </c>
      <c r="F5" s="33" t="s">
        <v>2849</v>
      </c>
      <c r="G5" s="33" t="s">
        <v>2850</v>
      </c>
      <c r="H5" s="33" t="s">
        <v>2843</v>
      </c>
      <c r="I5" s="33" t="s">
        <v>2843</v>
      </c>
    </row>
    <row x14ac:dyDescent="0.25" r="6" customHeight="1" ht="15.75">
      <c r="A6" s="13" t="s">
        <v>27</v>
      </c>
      <c r="B6" s="13" t="s">
        <v>35</v>
      </c>
      <c r="C6" s="32" t="s">
        <v>2851</v>
      </c>
      <c r="D6" s="33" t="s">
        <v>2852</v>
      </c>
      <c r="E6" s="33" t="s">
        <v>2853</v>
      </c>
      <c r="F6" s="33" t="s">
        <v>2854</v>
      </c>
      <c r="G6" s="33" t="s">
        <v>2843</v>
      </c>
      <c r="H6" s="33" t="s">
        <v>2843</v>
      </c>
      <c r="I6" s="33" t="s">
        <v>2843</v>
      </c>
    </row>
    <row x14ac:dyDescent="0.25" r="7" customHeight="1" ht="15.75">
      <c r="A7" s="13" t="s">
        <v>27</v>
      </c>
      <c r="B7" s="13" t="s">
        <v>306</v>
      </c>
      <c r="C7" s="32" t="s">
        <v>2855</v>
      </c>
      <c r="D7" s="33" t="s">
        <v>2843</v>
      </c>
      <c r="E7" s="33" t="s">
        <v>2856</v>
      </c>
      <c r="F7" s="33" t="s">
        <v>2857</v>
      </c>
      <c r="G7" s="33" t="s">
        <v>2847</v>
      </c>
      <c r="H7" s="33" t="s">
        <v>2850</v>
      </c>
      <c r="I7" s="33" t="s">
        <v>2858</v>
      </c>
    </row>
    <row x14ac:dyDescent="0.25" r="8" customHeight="1" ht="15.75">
      <c r="A8" s="13" t="s">
        <v>27</v>
      </c>
      <c r="B8" s="13" t="s">
        <v>579</v>
      </c>
      <c r="C8" s="32" t="s">
        <v>2859</v>
      </c>
      <c r="D8" s="33" t="s">
        <v>2860</v>
      </c>
      <c r="E8" s="33" t="s">
        <v>2861</v>
      </c>
      <c r="F8" s="33" t="s">
        <v>2862</v>
      </c>
      <c r="G8" s="33" t="s">
        <v>2863</v>
      </c>
      <c r="H8" s="33" t="s">
        <v>2864</v>
      </c>
      <c r="I8" s="33" t="s">
        <v>2865</v>
      </c>
    </row>
    <row x14ac:dyDescent="0.25" r="9" customHeight="1" ht="15.75">
      <c r="A9" s="13" t="s">
        <v>27</v>
      </c>
      <c r="B9" s="13" t="s">
        <v>906</v>
      </c>
      <c r="C9" s="32" t="s">
        <v>2866</v>
      </c>
      <c r="D9" s="33" t="s">
        <v>2867</v>
      </c>
      <c r="E9" s="33" t="s">
        <v>2868</v>
      </c>
      <c r="F9" s="33" t="s">
        <v>2869</v>
      </c>
      <c r="G9" s="33" t="s">
        <v>2870</v>
      </c>
      <c r="H9" s="33" t="s">
        <v>2871</v>
      </c>
      <c r="I9" s="33" t="s">
        <v>2872</v>
      </c>
    </row>
    <row x14ac:dyDescent="0.25" r="10" customHeight="1" ht="15.75">
      <c r="A10" s="13" t="s">
        <v>27</v>
      </c>
      <c r="B10" s="13" t="s">
        <v>1625</v>
      </c>
      <c r="C10" s="32" t="s">
        <v>2873</v>
      </c>
      <c r="D10" s="33" t="s">
        <v>2874</v>
      </c>
      <c r="E10" s="33" t="s">
        <v>2875</v>
      </c>
      <c r="F10" s="33" t="s">
        <v>2876</v>
      </c>
      <c r="G10" s="33" t="s">
        <v>2877</v>
      </c>
      <c r="H10" s="33" t="s">
        <v>2878</v>
      </c>
      <c r="I10" s="33" t="s">
        <v>2879</v>
      </c>
    </row>
    <row x14ac:dyDescent="0.25" r="11" customHeight="1" ht="15.75">
      <c r="A11" s="13" t="s">
        <v>27</v>
      </c>
      <c r="B11" s="13" t="s">
        <v>925</v>
      </c>
      <c r="C11" s="32" t="s">
        <v>2880</v>
      </c>
      <c r="D11" s="33" t="s">
        <v>2881</v>
      </c>
      <c r="E11" s="33" t="s">
        <v>2862</v>
      </c>
      <c r="F11" s="33" t="s">
        <v>2882</v>
      </c>
      <c r="G11" s="33" t="s">
        <v>2883</v>
      </c>
      <c r="H11" s="33" t="s">
        <v>2884</v>
      </c>
      <c r="I11" s="33" t="s">
        <v>2885</v>
      </c>
    </row>
    <row x14ac:dyDescent="0.25" r="12" customHeight="1" ht="15.75">
      <c r="A12" s="13" t="s">
        <v>27</v>
      </c>
      <c r="B12" s="13" t="s">
        <v>289</v>
      </c>
      <c r="C12" s="32" t="s">
        <v>2886</v>
      </c>
      <c r="D12" s="33" t="s">
        <v>2887</v>
      </c>
      <c r="E12" s="33" t="s">
        <v>2843</v>
      </c>
      <c r="F12" s="33" t="s">
        <v>2888</v>
      </c>
      <c r="G12" s="33" t="s">
        <v>2889</v>
      </c>
      <c r="H12" s="33" t="s">
        <v>2890</v>
      </c>
      <c r="I12" s="33" t="s">
        <v>2890</v>
      </c>
    </row>
    <row x14ac:dyDescent="0.25" r="13" customHeight="1" ht="15.75">
      <c r="A13" s="13" t="s">
        <v>27</v>
      </c>
      <c r="B13" s="13" t="s">
        <v>420</v>
      </c>
      <c r="C13" s="32" t="s">
        <v>2886</v>
      </c>
      <c r="D13" s="33" t="s">
        <v>2891</v>
      </c>
      <c r="E13" s="33" t="s">
        <v>2892</v>
      </c>
      <c r="F13" s="33" t="s">
        <v>2893</v>
      </c>
      <c r="G13" s="33" t="s">
        <v>2894</v>
      </c>
      <c r="H13" s="33" t="s">
        <v>2843</v>
      </c>
      <c r="I13" s="33" t="s">
        <v>2895</v>
      </c>
    </row>
    <row x14ac:dyDescent="0.25" r="14" customHeight="1" ht="15.75">
      <c r="A14" s="13" t="s">
        <v>27</v>
      </c>
      <c r="B14" s="13" t="s">
        <v>398</v>
      </c>
      <c r="C14" s="32" t="s">
        <v>2896</v>
      </c>
      <c r="D14" s="33" t="s">
        <v>2897</v>
      </c>
      <c r="E14" s="33" t="s">
        <v>2898</v>
      </c>
      <c r="F14" s="33" t="s">
        <v>2887</v>
      </c>
      <c r="G14" s="33" t="s">
        <v>2899</v>
      </c>
      <c r="H14" s="33" t="s">
        <v>2892</v>
      </c>
      <c r="I14" s="33" t="s">
        <v>2900</v>
      </c>
    </row>
    <row x14ac:dyDescent="0.25" r="15" customHeight="1" ht="15.75">
      <c r="A15" s="13" t="s">
        <v>27</v>
      </c>
      <c r="B15" s="13" t="s">
        <v>32</v>
      </c>
      <c r="C15" s="32" t="s">
        <v>2901</v>
      </c>
      <c r="D15" s="33" t="s">
        <v>2902</v>
      </c>
      <c r="E15" s="33" t="s">
        <v>2903</v>
      </c>
      <c r="F15" s="33" t="s">
        <v>2904</v>
      </c>
      <c r="G15" s="33" t="s">
        <v>2905</v>
      </c>
      <c r="H15" s="33" t="s">
        <v>2902</v>
      </c>
      <c r="I15" s="33" t="s">
        <v>2903</v>
      </c>
    </row>
    <row x14ac:dyDescent="0.25" r="16" customHeight="1" ht="15.75">
      <c r="A16" s="13" t="s">
        <v>27</v>
      </c>
      <c r="B16" s="13" t="s">
        <v>1580</v>
      </c>
      <c r="C16" s="32" t="s">
        <v>2906</v>
      </c>
      <c r="D16" s="33" t="s">
        <v>2907</v>
      </c>
      <c r="E16" s="33" t="s">
        <v>2908</v>
      </c>
      <c r="F16" s="33" t="s">
        <v>2909</v>
      </c>
      <c r="G16" s="33" t="s">
        <v>2910</v>
      </c>
      <c r="H16" s="33" t="s">
        <v>2890</v>
      </c>
      <c r="I16" s="33" t="s">
        <v>2911</v>
      </c>
    </row>
    <row x14ac:dyDescent="0.25" r="17" customHeight="1" ht="15.75">
      <c r="A17" s="13" t="s">
        <v>27</v>
      </c>
      <c r="B17" s="13" t="s">
        <v>414</v>
      </c>
      <c r="C17" s="32" t="s">
        <v>2912</v>
      </c>
      <c r="D17" s="33" t="s">
        <v>2913</v>
      </c>
      <c r="E17" s="33" t="s">
        <v>2914</v>
      </c>
      <c r="F17" s="33" t="s">
        <v>2915</v>
      </c>
      <c r="G17" s="33" t="s">
        <v>2895</v>
      </c>
      <c r="H17" s="33" t="s">
        <v>2843</v>
      </c>
      <c r="I17" s="33" t="s">
        <v>2843</v>
      </c>
    </row>
    <row x14ac:dyDescent="0.25" r="18" customHeight="1" ht="15.75">
      <c r="A18" s="13" t="s">
        <v>27</v>
      </c>
      <c r="B18" s="13" t="s">
        <v>1162</v>
      </c>
      <c r="C18" s="32" t="s">
        <v>2916</v>
      </c>
      <c r="D18" s="33" t="s">
        <v>2917</v>
      </c>
      <c r="E18" s="33" t="s">
        <v>2918</v>
      </c>
      <c r="F18" s="33" t="s">
        <v>2919</v>
      </c>
      <c r="G18" s="33" t="s">
        <v>2920</v>
      </c>
      <c r="H18" s="33" t="s">
        <v>2832</v>
      </c>
      <c r="I18" s="33" t="s">
        <v>2921</v>
      </c>
    </row>
    <row x14ac:dyDescent="0.25" r="19" customHeight="1" ht="15.75">
      <c r="A19" s="13" t="s">
        <v>27</v>
      </c>
      <c r="B19" s="13" t="s">
        <v>815</v>
      </c>
      <c r="C19" s="32" t="s">
        <v>2922</v>
      </c>
      <c r="D19" s="33" t="s">
        <v>2923</v>
      </c>
      <c r="E19" s="33" t="s">
        <v>2924</v>
      </c>
      <c r="F19" s="33" t="s">
        <v>2923</v>
      </c>
      <c r="G19" s="33" t="s">
        <v>2925</v>
      </c>
      <c r="H19" s="33" t="s">
        <v>2926</v>
      </c>
      <c r="I19" s="33" t="s">
        <v>2927</v>
      </c>
    </row>
    <row x14ac:dyDescent="0.25" r="20" customHeight="1" ht="15.75">
      <c r="A20" s="13" t="s">
        <v>27</v>
      </c>
      <c r="B20" s="13" t="s">
        <v>509</v>
      </c>
      <c r="C20" s="32" t="s">
        <v>2928</v>
      </c>
      <c r="D20" s="33" t="s">
        <v>2929</v>
      </c>
      <c r="E20" s="33" t="s">
        <v>2930</v>
      </c>
      <c r="F20" s="33" t="s">
        <v>2931</v>
      </c>
      <c r="G20" s="33" t="s">
        <v>2932</v>
      </c>
      <c r="H20" s="33" t="s">
        <v>2842</v>
      </c>
      <c r="I20" s="33" t="s">
        <v>2933</v>
      </c>
    </row>
    <row x14ac:dyDescent="0.25" r="21" customHeight="1" ht="15.75">
      <c r="A21" s="13" t="s">
        <v>27</v>
      </c>
      <c r="B21" s="13" t="s">
        <v>841</v>
      </c>
      <c r="C21" s="32" t="s">
        <v>2934</v>
      </c>
      <c r="D21" s="33" t="s">
        <v>2935</v>
      </c>
      <c r="E21" s="33" t="s">
        <v>2936</v>
      </c>
      <c r="F21" s="33" t="s">
        <v>2937</v>
      </c>
      <c r="G21" s="33" t="s">
        <v>2938</v>
      </c>
      <c r="H21" s="33" t="s">
        <v>2939</v>
      </c>
      <c r="I21" s="33" t="s">
        <v>2940</v>
      </c>
    </row>
    <row x14ac:dyDescent="0.25" r="22" customHeight="1" ht="15.75">
      <c r="A22" s="13" t="s">
        <v>27</v>
      </c>
      <c r="B22" s="13" t="s">
        <v>532</v>
      </c>
      <c r="C22" s="32" t="s">
        <v>2941</v>
      </c>
      <c r="D22" s="33" t="s">
        <v>2857</v>
      </c>
      <c r="E22" s="33" t="s">
        <v>2942</v>
      </c>
      <c r="F22" s="33" t="s">
        <v>2848</v>
      </c>
      <c r="G22" s="33" t="s">
        <v>2943</v>
      </c>
      <c r="H22" s="33" t="s">
        <v>2843</v>
      </c>
      <c r="I22" s="33" t="s">
        <v>2843</v>
      </c>
    </row>
    <row x14ac:dyDescent="0.25" r="23" customHeight="1" ht="15.75">
      <c r="A23" s="13" t="s">
        <v>27</v>
      </c>
      <c r="B23" s="13" t="s">
        <v>647</v>
      </c>
      <c r="C23" s="32" t="s">
        <v>2944</v>
      </c>
      <c r="D23" s="33" t="s">
        <v>2945</v>
      </c>
      <c r="E23" s="33" t="s">
        <v>2871</v>
      </c>
      <c r="F23" s="33" t="s">
        <v>2946</v>
      </c>
      <c r="G23" s="33" t="s">
        <v>2947</v>
      </c>
      <c r="H23" s="33" t="s">
        <v>2948</v>
      </c>
      <c r="I23" s="33" t="s">
        <v>2949</v>
      </c>
    </row>
    <row x14ac:dyDescent="0.25" r="24" customHeight="1" ht="15.75">
      <c r="A24" s="13" t="s">
        <v>27</v>
      </c>
      <c r="B24" s="13" t="s">
        <v>28</v>
      </c>
      <c r="C24" s="32" t="s">
        <v>2944</v>
      </c>
      <c r="D24" s="33" t="s">
        <v>2950</v>
      </c>
      <c r="E24" s="33" t="s">
        <v>2904</v>
      </c>
      <c r="F24" s="33" t="s">
        <v>2950</v>
      </c>
      <c r="G24" s="33" t="s">
        <v>2951</v>
      </c>
      <c r="H24" s="33" t="s">
        <v>2904</v>
      </c>
      <c r="I24" s="33" t="s">
        <v>2843</v>
      </c>
    </row>
    <row x14ac:dyDescent="0.25" r="25" customHeight="1" ht="15.75">
      <c r="A25" s="13" t="s">
        <v>27</v>
      </c>
      <c r="B25" s="13" t="s">
        <v>1280</v>
      </c>
      <c r="C25" s="32" t="s">
        <v>2952</v>
      </c>
      <c r="D25" s="33" t="s">
        <v>2953</v>
      </c>
      <c r="E25" s="33" t="s">
        <v>2883</v>
      </c>
      <c r="F25" s="33" t="s">
        <v>2954</v>
      </c>
      <c r="G25" s="33" t="s">
        <v>2955</v>
      </c>
      <c r="H25" s="33" t="s">
        <v>2956</v>
      </c>
      <c r="I25" s="33" t="s">
        <v>2957</v>
      </c>
    </row>
    <row x14ac:dyDescent="0.25" r="26" customHeight="1" ht="15.75">
      <c r="A26" s="13" t="s">
        <v>27</v>
      </c>
      <c r="B26" s="13" t="s">
        <v>689</v>
      </c>
      <c r="C26" s="32" t="s">
        <v>2958</v>
      </c>
      <c r="D26" s="33" t="s">
        <v>2921</v>
      </c>
      <c r="E26" s="33" t="s">
        <v>2959</v>
      </c>
      <c r="F26" s="33" t="s">
        <v>2960</v>
      </c>
      <c r="G26" s="33" t="s">
        <v>2961</v>
      </c>
      <c r="H26" s="33" t="s">
        <v>2962</v>
      </c>
      <c r="I26" s="33" t="s">
        <v>2961</v>
      </c>
    </row>
    <row x14ac:dyDescent="0.25" r="27" customHeight="1" ht="15.75">
      <c r="A27" s="13" t="s">
        <v>27</v>
      </c>
      <c r="B27" s="13" t="s">
        <v>1009</v>
      </c>
      <c r="C27" s="32" t="s">
        <v>2958</v>
      </c>
      <c r="D27" s="33" t="s">
        <v>2963</v>
      </c>
      <c r="E27" s="33" t="s">
        <v>2964</v>
      </c>
      <c r="F27" s="33" t="s">
        <v>2897</v>
      </c>
      <c r="G27" s="33" t="s">
        <v>2965</v>
      </c>
      <c r="H27" s="33" t="s">
        <v>2920</v>
      </c>
      <c r="I27" s="33" t="s">
        <v>2966</v>
      </c>
    </row>
    <row x14ac:dyDescent="0.25" r="28" customHeight="1" ht="15.75">
      <c r="A28" s="13" t="s">
        <v>27</v>
      </c>
      <c r="B28" s="13" t="s">
        <v>1595</v>
      </c>
      <c r="C28" s="32" t="s">
        <v>2967</v>
      </c>
      <c r="D28" s="33" t="s">
        <v>2968</v>
      </c>
      <c r="E28" s="33" t="s">
        <v>2844</v>
      </c>
      <c r="F28" s="33" t="s">
        <v>2969</v>
      </c>
      <c r="G28" s="33" t="s">
        <v>2895</v>
      </c>
      <c r="H28" s="33" t="s">
        <v>2970</v>
      </c>
      <c r="I28" s="33" t="s">
        <v>2971</v>
      </c>
    </row>
    <row x14ac:dyDescent="0.25" r="29" customHeight="1" ht="15.75">
      <c r="A29" s="13" t="s">
        <v>27</v>
      </c>
      <c r="B29" s="13" t="s">
        <v>1749</v>
      </c>
      <c r="C29" s="32" t="s">
        <v>2972</v>
      </c>
      <c r="D29" s="33" t="s">
        <v>2973</v>
      </c>
      <c r="E29" s="33" t="s">
        <v>2974</v>
      </c>
      <c r="F29" s="33" t="s">
        <v>2975</v>
      </c>
      <c r="G29" s="33" t="s">
        <v>2956</v>
      </c>
      <c r="H29" s="33" t="s">
        <v>2976</v>
      </c>
      <c r="I29" s="33" t="s">
        <v>2977</v>
      </c>
    </row>
    <row x14ac:dyDescent="0.25" r="30" customHeight="1" ht="15.75">
      <c r="A30" s="13" t="s">
        <v>27</v>
      </c>
      <c r="B30" s="13" t="s">
        <v>272</v>
      </c>
      <c r="C30" s="32" t="s">
        <v>2978</v>
      </c>
      <c r="D30" s="33" t="s">
        <v>2979</v>
      </c>
      <c r="E30" s="33" t="s">
        <v>2980</v>
      </c>
      <c r="F30" s="33" t="s">
        <v>2981</v>
      </c>
      <c r="G30" s="33" t="s">
        <v>2982</v>
      </c>
      <c r="H30" s="33" t="s">
        <v>2889</v>
      </c>
      <c r="I30" s="33" t="s">
        <v>2983</v>
      </c>
    </row>
    <row x14ac:dyDescent="0.25" r="31" customHeight="1" ht="15.75">
      <c r="A31" s="13" t="s">
        <v>27</v>
      </c>
      <c r="B31" s="13" t="s">
        <v>1402</v>
      </c>
      <c r="C31" s="32" t="s">
        <v>2984</v>
      </c>
      <c r="D31" s="33" t="s">
        <v>2985</v>
      </c>
      <c r="E31" s="33" t="s">
        <v>2986</v>
      </c>
      <c r="F31" s="33" t="s">
        <v>2987</v>
      </c>
      <c r="G31" s="33" t="s">
        <v>2988</v>
      </c>
      <c r="H31" s="33" t="s">
        <v>2989</v>
      </c>
      <c r="I31" s="33" t="s">
        <v>2989</v>
      </c>
    </row>
    <row x14ac:dyDescent="0.25" r="32" customHeight="1" ht="15.75">
      <c r="A32" s="13" t="s">
        <v>27</v>
      </c>
      <c r="B32" s="13" t="s">
        <v>1578</v>
      </c>
      <c r="C32" s="32" t="s">
        <v>2984</v>
      </c>
      <c r="D32" s="33" t="s">
        <v>2970</v>
      </c>
      <c r="E32" s="33" t="s">
        <v>2990</v>
      </c>
      <c r="F32" s="33" t="s">
        <v>2991</v>
      </c>
      <c r="G32" s="33" t="s">
        <v>2891</v>
      </c>
      <c r="H32" s="33" t="s">
        <v>2892</v>
      </c>
      <c r="I32" s="33" t="s">
        <v>2992</v>
      </c>
    </row>
    <row x14ac:dyDescent="0.25" r="33" customHeight="1" ht="15.75">
      <c r="A33" s="13" t="s">
        <v>27</v>
      </c>
      <c r="B33" s="13" t="s">
        <v>1204</v>
      </c>
      <c r="C33" s="32" t="s">
        <v>2993</v>
      </c>
      <c r="D33" s="33" t="s">
        <v>2877</v>
      </c>
      <c r="E33" s="33" t="s">
        <v>2911</v>
      </c>
      <c r="F33" s="33" t="s">
        <v>2994</v>
      </c>
      <c r="G33" s="33" t="s">
        <v>2959</v>
      </c>
      <c r="H33" s="33" t="s">
        <v>2995</v>
      </c>
      <c r="I33" s="33" t="s">
        <v>2917</v>
      </c>
    </row>
    <row x14ac:dyDescent="0.25" r="34" customHeight="1" ht="15.75">
      <c r="A34" s="13" t="s">
        <v>27</v>
      </c>
      <c r="B34" s="13" t="s">
        <v>929</v>
      </c>
      <c r="C34" s="32" t="s">
        <v>2996</v>
      </c>
      <c r="D34" s="33" t="s">
        <v>2905</v>
      </c>
      <c r="E34" s="33" t="s">
        <v>2997</v>
      </c>
      <c r="F34" s="33" t="s">
        <v>2998</v>
      </c>
      <c r="G34" s="33" t="s">
        <v>2998</v>
      </c>
      <c r="H34" s="33" t="s">
        <v>2999</v>
      </c>
      <c r="I34" s="33" t="s">
        <v>3000</v>
      </c>
    </row>
    <row x14ac:dyDescent="0.25" r="35" customHeight="1" ht="15.75">
      <c r="A35" s="13" t="s">
        <v>27</v>
      </c>
      <c r="B35" s="13" t="s">
        <v>1361</v>
      </c>
      <c r="C35" s="32" t="s">
        <v>3001</v>
      </c>
      <c r="D35" s="33" t="s">
        <v>3002</v>
      </c>
      <c r="E35" s="33" t="s">
        <v>3003</v>
      </c>
      <c r="F35" s="33" t="s">
        <v>3004</v>
      </c>
      <c r="G35" s="33" t="s">
        <v>3005</v>
      </c>
      <c r="H35" s="33" t="s">
        <v>3006</v>
      </c>
      <c r="I35" s="33" t="s">
        <v>3007</v>
      </c>
    </row>
    <row x14ac:dyDescent="0.25" r="36" customHeight="1" ht="15.75">
      <c r="A36" s="13" t="s">
        <v>27</v>
      </c>
      <c r="B36" s="13" t="s">
        <v>1702</v>
      </c>
      <c r="C36" s="32" t="s">
        <v>3008</v>
      </c>
      <c r="D36" s="33" t="s">
        <v>3009</v>
      </c>
      <c r="E36" s="33" t="s">
        <v>3010</v>
      </c>
      <c r="F36" s="33" t="s">
        <v>2936</v>
      </c>
      <c r="G36" s="33" t="s">
        <v>3011</v>
      </c>
      <c r="H36" s="33" t="s">
        <v>3012</v>
      </c>
      <c r="I36" s="33" t="s">
        <v>2890</v>
      </c>
    </row>
    <row x14ac:dyDescent="0.25" r="37" customHeight="1" ht="15.75">
      <c r="A37" s="13" t="s">
        <v>27</v>
      </c>
      <c r="B37" s="13" t="s">
        <v>1842</v>
      </c>
      <c r="C37" s="32" t="s">
        <v>3013</v>
      </c>
      <c r="D37" s="33" t="s">
        <v>3014</v>
      </c>
      <c r="E37" s="33" t="s">
        <v>3015</v>
      </c>
      <c r="F37" s="33" t="s">
        <v>3016</v>
      </c>
      <c r="G37" s="33" t="s">
        <v>3017</v>
      </c>
      <c r="H37" s="33" t="s">
        <v>3018</v>
      </c>
      <c r="I37" s="33" t="s">
        <v>3019</v>
      </c>
    </row>
    <row x14ac:dyDescent="0.25" r="38" customHeight="1" ht="15.75">
      <c r="A38" s="13" t="s">
        <v>27</v>
      </c>
      <c r="B38" s="13" t="s">
        <v>526</v>
      </c>
      <c r="C38" s="32" t="s">
        <v>3020</v>
      </c>
      <c r="D38" s="33" t="s">
        <v>2987</v>
      </c>
      <c r="E38" s="33" t="s">
        <v>3021</v>
      </c>
      <c r="F38" s="33" t="s">
        <v>3022</v>
      </c>
      <c r="G38" s="33" t="s">
        <v>3023</v>
      </c>
      <c r="H38" s="33" t="s">
        <v>2892</v>
      </c>
      <c r="I38" s="33" t="s">
        <v>3024</v>
      </c>
    </row>
    <row x14ac:dyDescent="0.25" r="39" customHeight="1" ht="15.75">
      <c r="A39" s="13" t="s">
        <v>27</v>
      </c>
      <c r="B39" s="13" t="s">
        <v>1063</v>
      </c>
      <c r="C39" s="32" t="s">
        <v>3025</v>
      </c>
      <c r="D39" s="33" t="s">
        <v>3026</v>
      </c>
      <c r="E39" s="33" t="s">
        <v>3027</v>
      </c>
      <c r="F39" s="33" t="s">
        <v>3028</v>
      </c>
      <c r="G39" s="33" t="s">
        <v>3029</v>
      </c>
      <c r="H39" s="33" t="s">
        <v>3030</v>
      </c>
      <c r="I39" s="33" t="s">
        <v>3031</v>
      </c>
    </row>
    <row x14ac:dyDescent="0.25" r="40" customHeight="1" ht="15.75">
      <c r="A40" s="13" t="s">
        <v>27</v>
      </c>
      <c r="B40" s="13" t="s">
        <v>257</v>
      </c>
      <c r="C40" s="32" t="s">
        <v>3032</v>
      </c>
      <c r="D40" s="33" t="s">
        <v>2938</v>
      </c>
      <c r="E40" s="33" t="s">
        <v>3023</v>
      </c>
      <c r="F40" s="33" t="s">
        <v>3033</v>
      </c>
      <c r="G40" s="33" t="s">
        <v>2969</v>
      </c>
      <c r="H40" s="33" t="s">
        <v>2921</v>
      </c>
      <c r="I40" s="33" t="s">
        <v>2885</v>
      </c>
    </row>
    <row x14ac:dyDescent="0.25" r="41" customHeight="1" ht="15.75">
      <c r="A41" s="13" t="s">
        <v>27</v>
      </c>
      <c r="B41" s="13" t="s">
        <v>1810</v>
      </c>
      <c r="C41" s="32" t="s">
        <v>3034</v>
      </c>
      <c r="D41" s="33" t="s">
        <v>3035</v>
      </c>
      <c r="E41" s="33" t="s">
        <v>2924</v>
      </c>
      <c r="F41" s="33" t="s">
        <v>3036</v>
      </c>
      <c r="G41" s="33" t="s">
        <v>3037</v>
      </c>
      <c r="H41" s="33" t="s">
        <v>3038</v>
      </c>
      <c r="I41" s="33" t="s">
        <v>2911</v>
      </c>
    </row>
    <row x14ac:dyDescent="0.25" r="42" customHeight="1" ht="15.75">
      <c r="A42" s="13" t="s">
        <v>27</v>
      </c>
      <c r="B42" s="13" t="s">
        <v>781</v>
      </c>
      <c r="C42" s="32" t="s">
        <v>3039</v>
      </c>
      <c r="D42" s="33" t="s">
        <v>3040</v>
      </c>
      <c r="E42" s="33" t="s">
        <v>2833</v>
      </c>
      <c r="F42" s="33" t="s">
        <v>3003</v>
      </c>
      <c r="G42" s="33" t="s">
        <v>3041</v>
      </c>
      <c r="H42" s="33" t="s">
        <v>3042</v>
      </c>
      <c r="I42" s="33" t="s">
        <v>3043</v>
      </c>
    </row>
    <row x14ac:dyDescent="0.25" r="43" customHeight="1" ht="15.75">
      <c r="A43" s="13" t="s">
        <v>27</v>
      </c>
      <c r="B43" s="13" t="s">
        <v>1018</v>
      </c>
      <c r="C43" s="32" t="s">
        <v>3044</v>
      </c>
      <c r="D43" s="33" t="s">
        <v>3045</v>
      </c>
      <c r="E43" s="33" t="s">
        <v>3046</v>
      </c>
      <c r="F43" s="33" t="s">
        <v>3047</v>
      </c>
      <c r="G43" s="33" t="s">
        <v>3048</v>
      </c>
      <c r="H43" s="33" t="s">
        <v>2970</v>
      </c>
      <c r="I43" s="33" t="s">
        <v>2890</v>
      </c>
    </row>
    <row x14ac:dyDescent="0.25" r="44" customHeight="1" ht="15.75">
      <c r="A44" s="13" t="s">
        <v>27</v>
      </c>
      <c r="B44" s="13" t="s">
        <v>1223</v>
      </c>
      <c r="C44" s="32" t="s">
        <v>3049</v>
      </c>
      <c r="D44" s="33" t="s">
        <v>3050</v>
      </c>
      <c r="E44" s="33" t="s">
        <v>3051</v>
      </c>
      <c r="F44" s="33" t="s">
        <v>2982</v>
      </c>
      <c r="G44" s="33" t="s">
        <v>3052</v>
      </c>
      <c r="H44" s="33" t="s">
        <v>2843</v>
      </c>
      <c r="I44" s="33" t="s">
        <v>3053</v>
      </c>
    </row>
    <row x14ac:dyDescent="0.25" r="45" customHeight="1" ht="15.75">
      <c r="A45" s="13" t="s">
        <v>27</v>
      </c>
      <c r="B45" s="13" t="s">
        <v>2661</v>
      </c>
      <c r="C45" s="32" t="s">
        <v>3054</v>
      </c>
      <c r="D45" s="33" t="s">
        <v>3055</v>
      </c>
      <c r="E45" s="33" t="s">
        <v>3056</v>
      </c>
      <c r="F45" s="33" t="s">
        <v>2854</v>
      </c>
      <c r="G45" s="33" t="s">
        <v>2854</v>
      </c>
      <c r="H45" s="33" t="s">
        <v>2852</v>
      </c>
      <c r="I45" s="33" t="s">
        <v>2854</v>
      </c>
    </row>
    <row x14ac:dyDescent="0.25" r="46" customHeight="1" ht="15.75">
      <c r="A46" s="13" t="s">
        <v>27</v>
      </c>
      <c r="B46" s="13" t="s">
        <v>2662</v>
      </c>
      <c r="C46" s="32" t="s">
        <v>3057</v>
      </c>
      <c r="D46" s="33" t="s">
        <v>3058</v>
      </c>
      <c r="E46" s="33" t="s">
        <v>3024</v>
      </c>
      <c r="F46" s="33" t="s">
        <v>2892</v>
      </c>
      <c r="G46" s="33" t="s">
        <v>2982</v>
      </c>
      <c r="H46" s="33" t="s">
        <v>2992</v>
      </c>
      <c r="I46" s="33" t="s">
        <v>2845</v>
      </c>
    </row>
    <row x14ac:dyDescent="0.25" r="47" customHeight="1" ht="15.75">
      <c r="A47" s="13" t="s">
        <v>27</v>
      </c>
      <c r="B47" s="13" t="s">
        <v>2524</v>
      </c>
      <c r="C47" s="32" t="s">
        <v>3059</v>
      </c>
      <c r="D47" s="33" t="s">
        <v>3060</v>
      </c>
      <c r="E47" s="33" t="s">
        <v>2843</v>
      </c>
      <c r="F47" s="33" t="s">
        <v>2892</v>
      </c>
      <c r="G47" s="33" t="s">
        <v>2991</v>
      </c>
      <c r="H47" s="33" t="s">
        <v>2843</v>
      </c>
      <c r="I47" s="33" t="s">
        <v>2845</v>
      </c>
    </row>
    <row x14ac:dyDescent="0.25" r="48" customHeight="1" ht="15.75">
      <c r="A48" s="13" t="s">
        <v>27</v>
      </c>
      <c r="B48" s="13" t="s">
        <v>642</v>
      </c>
      <c r="C48" s="32" t="s">
        <v>3061</v>
      </c>
      <c r="D48" s="33" t="s">
        <v>3062</v>
      </c>
      <c r="E48" s="33" t="s">
        <v>2924</v>
      </c>
      <c r="F48" s="33" t="s">
        <v>2931</v>
      </c>
      <c r="G48" s="33" t="s">
        <v>3028</v>
      </c>
      <c r="H48" s="33" t="s">
        <v>3063</v>
      </c>
      <c r="I48" s="33" t="s">
        <v>3064</v>
      </c>
    </row>
    <row x14ac:dyDescent="0.25" r="49" customHeight="1" ht="15.75">
      <c r="A49" s="13" t="s">
        <v>27</v>
      </c>
      <c r="B49" s="13" t="s">
        <v>912</v>
      </c>
      <c r="C49" s="32" t="s">
        <v>3065</v>
      </c>
      <c r="D49" s="33" t="s">
        <v>2895</v>
      </c>
      <c r="E49" s="33" t="s">
        <v>2891</v>
      </c>
      <c r="F49" s="33" t="s">
        <v>3066</v>
      </c>
      <c r="G49" s="33" t="s">
        <v>2915</v>
      </c>
      <c r="H49" s="33" t="s">
        <v>2894</v>
      </c>
      <c r="I49" s="33" t="s">
        <v>3067</v>
      </c>
    </row>
    <row x14ac:dyDescent="0.25" r="50" customHeight="1" ht="15.75">
      <c r="A50" s="13" t="s">
        <v>27</v>
      </c>
      <c r="B50" s="13" t="s">
        <v>582</v>
      </c>
      <c r="C50" s="32" t="s">
        <v>3068</v>
      </c>
      <c r="D50" s="33" t="s">
        <v>2949</v>
      </c>
      <c r="E50" s="33" t="s">
        <v>2890</v>
      </c>
      <c r="F50" s="33" t="s">
        <v>3069</v>
      </c>
      <c r="G50" s="33" t="s">
        <v>3070</v>
      </c>
      <c r="H50" s="33" t="s">
        <v>3071</v>
      </c>
      <c r="I50" s="33" t="s">
        <v>3043</v>
      </c>
    </row>
    <row x14ac:dyDescent="0.25" r="51" customHeight="1" ht="15.75">
      <c r="A51" s="13" t="s">
        <v>27</v>
      </c>
      <c r="B51" s="13" t="s">
        <v>2228</v>
      </c>
      <c r="C51" s="32" t="s">
        <v>3072</v>
      </c>
      <c r="D51" s="33" t="s">
        <v>3073</v>
      </c>
      <c r="E51" s="33" t="s">
        <v>3074</v>
      </c>
      <c r="F51" s="33" t="s">
        <v>2968</v>
      </c>
      <c r="G51" s="33" t="s">
        <v>3075</v>
      </c>
      <c r="H51" s="33" t="s">
        <v>2844</v>
      </c>
      <c r="I51" s="33" t="s">
        <v>2856</v>
      </c>
    </row>
    <row x14ac:dyDescent="0.25" r="52" customHeight="1" ht="15.75">
      <c r="A52" s="13" t="s">
        <v>27</v>
      </c>
      <c r="B52" s="13" t="s">
        <v>1458</v>
      </c>
      <c r="C52" s="32" t="s">
        <v>3076</v>
      </c>
      <c r="D52" s="33" t="s">
        <v>3077</v>
      </c>
      <c r="E52" s="33" t="s">
        <v>3078</v>
      </c>
      <c r="F52" s="33" t="s">
        <v>3079</v>
      </c>
      <c r="G52" s="33" t="s">
        <v>3080</v>
      </c>
      <c r="H52" s="33" t="s">
        <v>3081</v>
      </c>
      <c r="I52" s="33" t="s">
        <v>3082</v>
      </c>
    </row>
    <row x14ac:dyDescent="0.25" r="53" customHeight="1" ht="15.75">
      <c r="A53" s="13" t="s">
        <v>27</v>
      </c>
      <c r="B53" s="13" t="s">
        <v>342</v>
      </c>
      <c r="C53" s="32" t="s">
        <v>3083</v>
      </c>
      <c r="D53" s="33" t="s">
        <v>2940</v>
      </c>
      <c r="E53" s="33" t="s">
        <v>3024</v>
      </c>
      <c r="F53" s="33" t="s">
        <v>2982</v>
      </c>
      <c r="G53" s="33" t="s">
        <v>3067</v>
      </c>
      <c r="H53" s="33" t="s">
        <v>2890</v>
      </c>
      <c r="I53" s="33" t="s">
        <v>2991</v>
      </c>
    </row>
    <row x14ac:dyDescent="0.25" r="54" customHeight="1" ht="15.75">
      <c r="A54" s="13" t="s">
        <v>27</v>
      </c>
      <c r="B54" s="13" t="s">
        <v>1731</v>
      </c>
      <c r="C54" s="32" t="s">
        <v>3084</v>
      </c>
      <c r="D54" s="33" t="s">
        <v>3085</v>
      </c>
      <c r="E54" s="33" t="s">
        <v>3086</v>
      </c>
      <c r="F54" s="33" t="s">
        <v>3087</v>
      </c>
      <c r="G54" s="33" t="s">
        <v>3088</v>
      </c>
      <c r="H54" s="33" t="s">
        <v>3086</v>
      </c>
      <c r="I54" s="33" t="s">
        <v>2843</v>
      </c>
    </row>
    <row x14ac:dyDescent="0.25" r="55" customHeight="1" ht="15.75">
      <c r="A55" s="13" t="s">
        <v>27</v>
      </c>
      <c r="B55" s="13" t="s">
        <v>2201</v>
      </c>
      <c r="C55" s="32" t="s">
        <v>3089</v>
      </c>
      <c r="D55" s="33" t="s">
        <v>2891</v>
      </c>
      <c r="E55" s="33" t="s">
        <v>2887</v>
      </c>
      <c r="F55" s="33" t="s">
        <v>3067</v>
      </c>
      <c r="G55" s="33" t="s">
        <v>2891</v>
      </c>
      <c r="H55" s="33" t="s">
        <v>2968</v>
      </c>
      <c r="I55" s="33" t="s">
        <v>2970</v>
      </c>
    </row>
    <row x14ac:dyDescent="0.25" r="56" customHeight="1" ht="15.75">
      <c r="A56" s="13" t="s">
        <v>27</v>
      </c>
      <c r="B56" s="13" t="s">
        <v>501</v>
      </c>
      <c r="C56" s="32" t="s">
        <v>3090</v>
      </c>
      <c r="D56" s="33" t="s">
        <v>2975</v>
      </c>
      <c r="E56" s="33" t="s">
        <v>3091</v>
      </c>
      <c r="F56" s="33" t="s">
        <v>2989</v>
      </c>
      <c r="G56" s="33" t="s">
        <v>3041</v>
      </c>
      <c r="H56" s="33" t="s">
        <v>2987</v>
      </c>
      <c r="I56" s="33" t="s">
        <v>3092</v>
      </c>
    </row>
    <row x14ac:dyDescent="0.25" r="57" customHeight="1" ht="15.75">
      <c r="A57" s="13" t="s">
        <v>27</v>
      </c>
      <c r="B57" s="13" t="s">
        <v>2115</v>
      </c>
      <c r="C57" s="32" t="s">
        <v>3093</v>
      </c>
      <c r="D57" s="33" t="s">
        <v>3094</v>
      </c>
      <c r="E57" s="33" t="s">
        <v>3009</v>
      </c>
      <c r="F57" s="33" t="s">
        <v>3081</v>
      </c>
      <c r="G57" s="33" t="s">
        <v>2885</v>
      </c>
      <c r="H57" s="33" t="s">
        <v>2989</v>
      </c>
      <c r="I57" s="33" t="s">
        <v>3095</v>
      </c>
    </row>
    <row x14ac:dyDescent="0.25" r="58" customHeight="1" ht="15.75">
      <c r="A58" s="13" t="s">
        <v>27</v>
      </c>
      <c r="B58" s="13" t="s">
        <v>2299</v>
      </c>
      <c r="C58" s="32" t="s">
        <v>3096</v>
      </c>
      <c r="D58" s="33" t="s">
        <v>2844</v>
      </c>
      <c r="E58" s="33" t="s">
        <v>2899</v>
      </c>
      <c r="F58" s="33" t="s">
        <v>2991</v>
      </c>
      <c r="G58" s="33" t="s">
        <v>2894</v>
      </c>
      <c r="H58" s="33" t="s">
        <v>2981</v>
      </c>
      <c r="I58" s="33" t="s">
        <v>2843</v>
      </c>
    </row>
    <row x14ac:dyDescent="0.25" r="59" customHeight="1" ht="15.75">
      <c r="A59" s="13" t="s">
        <v>27</v>
      </c>
      <c r="B59" s="13" t="s">
        <v>1825</v>
      </c>
      <c r="C59" s="32" t="s">
        <v>3097</v>
      </c>
      <c r="D59" s="33" t="s">
        <v>2919</v>
      </c>
      <c r="E59" s="33" t="s">
        <v>2893</v>
      </c>
      <c r="F59" s="33" t="s">
        <v>2848</v>
      </c>
      <c r="G59" s="33" t="s">
        <v>2893</v>
      </c>
      <c r="H59" s="33" t="s">
        <v>2845</v>
      </c>
      <c r="I59" s="33" t="s">
        <v>2843</v>
      </c>
    </row>
    <row x14ac:dyDescent="0.25" r="60" customHeight="1" ht="15.75">
      <c r="A60" s="13" t="s">
        <v>27</v>
      </c>
      <c r="B60" s="13" t="s">
        <v>2456</v>
      </c>
      <c r="C60" s="32" t="s">
        <v>3098</v>
      </c>
      <c r="D60" s="33" t="s">
        <v>3099</v>
      </c>
      <c r="E60" s="33" t="s">
        <v>2940</v>
      </c>
      <c r="F60" s="33" t="s">
        <v>3100</v>
      </c>
      <c r="G60" s="33" t="s">
        <v>3101</v>
      </c>
      <c r="H60" s="33" t="s">
        <v>2932</v>
      </c>
      <c r="I60" s="33" t="s">
        <v>3075</v>
      </c>
    </row>
    <row x14ac:dyDescent="0.25" r="61" customHeight="1" ht="15.75">
      <c r="A61" s="13" t="s">
        <v>27</v>
      </c>
      <c r="B61" s="13" t="s">
        <v>2160</v>
      </c>
      <c r="C61" s="32" t="s">
        <v>3102</v>
      </c>
      <c r="D61" s="33" t="s">
        <v>2962</v>
      </c>
      <c r="E61" s="33" t="s">
        <v>3103</v>
      </c>
      <c r="F61" s="33" t="s">
        <v>2933</v>
      </c>
      <c r="G61" s="33" t="s">
        <v>2898</v>
      </c>
      <c r="H61" s="33" t="s">
        <v>2842</v>
      </c>
      <c r="I61" s="33" t="s">
        <v>2943</v>
      </c>
    </row>
    <row x14ac:dyDescent="0.25" r="62" customHeight="1" ht="15.75">
      <c r="A62" s="13" t="s">
        <v>27</v>
      </c>
      <c r="B62" s="13" t="s">
        <v>1252</v>
      </c>
      <c r="C62" s="32" t="s">
        <v>3104</v>
      </c>
      <c r="D62" s="33" t="s">
        <v>3105</v>
      </c>
      <c r="E62" s="33" t="s">
        <v>3106</v>
      </c>
      <c r="F62" s="33" t="s">
        <v>2842</v>
      </c>
      <c r="G62" s="33" t="s">
        <v>3107</v>
      </c>
      <c r="H62" s="33" t="s">
        <v>3029</v>
      </c>
      <c r="I62" s="33" t="s">
        <v>2925</v>
      </c>
    </row>
    <row x14ac:dyDescent="0.25" r="63" customHeight="1" ht="15.75">
      <c r="A63" s="13" t="s">
        <v>27</v>
      </c>
      <c r="B63" s="13" t="s">
        <v>634</v>
      </c>
      <c r="C63" s="32" t="s">
        <v>3108</v>
      </c>
      <c r="D63" s="33" t="s">
        <v>3109</v>
      </c>
      <c r="E63" s="33" t="s">
        <v>2954</v>
      </c>
      <c r="F63" s="33" t="s">
        <v>3110</v>
      </c>
      <c r="G63" s="33" t="s">
        <v>2872</v>
      </c>
      <c r="H63" s="33" t="s">
        <v>3111</v>
      </c>
      <c r="I63" s="33" t="s">
        <v>3112</v>
      </c>
    </row>
    <row x14ac:dyDescent="0.25" r="64" customHeight="1" ht="15.75">
      <c r="A64" s="13" t="s">
        <v>27</v>
      </c>
      <c r="B64" s="13" t="s">
        <v>1883</v>
      </c>
      <c r="C64" s="32" t="s">
        <v>3113</v>
      </c>
      <c r="D64" s="33" t="s">
        <v>3114</v>
      </c>
      <c r="E64" s="33" t="s">
        <v>3115</v>
      </c>
      <c r="F64" s="33" t="s">
        <v>3075</v>
      </c>
      <c r="G64" s="33" t="s">
        <v>2895</v>
      </c>
      <c r="H64" s="33" t="s">
        <v>2969</v>
      </c>
      <c r="I64" s="33" t="s">
        <v>2932</v>
      </c>
    </row>
    <row x14ac:dyDescent="0.25" r="65" customHeight="1" ht="15.75">
      <c r="A65" s="13" t="s">
        <v>27</v>
      </c>
      <c r="B65" s="13" t="s">
        <v>1939</v>
      </c>
      <c r="C65" s="32" t="s">
        <v>3116</v>
      </c>
      <c r="D65" s="33" t="s">
        <v>3117</v>
      </c>
      <c r="E65" s="33" t="s">
        <v>3118</v>
      </c>
      <c r="F65" s="33" t="s">
        <v>3119</v>
      </c>
      <c r="G65" s="33" t="s">
        <v>3071</v>
      </c>
      <c r="H65" s="33" t="s">
        <v>3120</v>
      </c>
      <c r="I65" s="33" t="s">
        <v>2843</v>
      </c>
    </row>
    <row x14ac:dyDescent="0.25" r="66" customHeight="1" ht="15.75">
      <c r="A66" s="13" t="s">
        <v>27</v>
      </c>
      <c r="B66" s="13" t="s">
        <v>1334</v>
      </c>
      <c r="C66" s="32" t="s">
        <v>3121</v>
      </c>
      <c r="D66" s="33" t="s">
        <v>3022</v>
      </c>
      <c r="E66" s="33" t="s">
        <v>3122</v>
      </c>
      <c r="F66" s="33" t="s">
        <v>3086</v>
      </c>
      <c r="G66" s="33" t="s">
        <v>3074</v>
      </c>
      <c r="H66" s="33" t="s">
        <v>2968</v>
      </c>
      <c r="I66" s="33" t="s">
        <v>2968</v>
      </c>
    </row>
    <row x14ac:dyDescent="0.25" r="67" customHeight="1" ht="15.75">
      <c r="A67" s="13" t="s">
        <v>27</v>
      </c>
      <c r="B67" s="13" t="s">
        <v>682</v>
      </c>
      <c r="C67" s="32" t="s">
        <v>3123</v>
      </c>
      <c r="D67" s="33" t="s">
        <v>3030</v>
      </c>
      <c r="E67" s="33" t="s">
        <v>3124</v>
      </c>
      <c r="F67" s="33" t="s">
        <v>3125</v>
      </c>
      <c r="G67" s="33" t="s">
        <v>2898</v>
      </c>
      <c r="H67" s="33" t="s">
        <v>2847</v>
      </c>
      <c r="I67" s="33" t="s">
        <v>2890</v>
      </c>
    </row>
    <row x14ac:dyDescent="0.25" r="68" customHeight="1" ht="15.75">
      <c r="A68" s="13" t="s">
        <v>27</v>
      </c>
      <c r="B68" s="13" t="s">
        <v>844</v>
      </c>
      <c r="C68" s="32" t="s">
        <v>3126</v>
      </c>
      <c r="D68" s="33" t="s">
        <v>3062</v>
      </c>
      <c r="E68" s="33" t="s">
        <v>3127</v>
      </c>
      <c r="F68" s="33" t="s">
        <v>3027</v>
      </c>
      <c r="G68" s="33" t="s">
        <v>3128</v>
      </c>
      <c r="H68" s="33" t="s">
        <v>3129</v>
      </c>
      <c r="I68" s="33" t="s">
        <v>2843</v>
      </c>
    </row>
    <row x14ac:dyDescent="0.25" r="69" customHeight="1" ht="15.75">
      <c r="A69" s="13" t="s">
        <v>27</v>
      </c>
      <c r="B69" s="13" t="s">
        <v>1937</v>
      </c>
      <c r="C69" s="32" t="s">
        <v>3130</v>
      </c>
      <c r="D69" s="33" t="s">
        <v>3131</v>
      </c>
      <c r="E69" s="33" t="s">
        <v>3132</v>
      </c>
      <c r="F69" s="33" t="s">
        <v>3043</v>
      </c>
      <c r="G69" s="33" t="s">
        <v>3106</v>
      </c>
      <c r="H69" s="33" t="s">
        <v>3091</v>
      </c>
      <c r="I69" s="33" t="s">
        <v>3127</v>
      </c>
    </row>
    <row x14ac:dyDescent="0.25" r="70" customHeight="1" ht="15.75">
      <c r="A70" s="13" t="s">
        <v>27</v>
      </c>
      <c r="B70" s="13" t="s">
        <v>2639</v>
      </c>
      <c r="C70" s="32" t="s">
        <v>3133</v>
      </c>
      <c r="D70" s="33" t="s">
        <v>3134</v>
      </c>
      <c r="E70" s="33" t="s">
        <v>2963</v>
      </c>
      <c r="F70" s="33" t="s">
        <v>2968</v>
      </c>
      <c r="G70" s="33" t="s">
        <v>3074</v>
      </c>
      <c r="H70" s="33" t="s">
        <v>3060</v>
      </c>
      <c r="I70" s="33" t="s">
        <v>2920</v>
      </c>
    </row>
    <row x14ac:dyDescent="0.25" r="71" customHeight="1" ht="15.75">
      <c r="A71" s="13" t="s">
        <v>27</v>
      </c>
      <c r="B71" s="13" t="s">
        <v>2053</v>
      </c>
      <c r="C71" s="32" t="s">
        <v>3135</v>
      </c>
      <c r="D71" s="33" t="s">
        <v>3136</v>
      </c>
      <c r="E71" s="33" t="s">
        <v>2903</v>
      </c>
      <c r="F71" s="33" t="s">
        <v>3137</v>
      </c>
      <c r="G71" s="33" t="s">
        <v>3138</v>
      </c>
      <c r="H71" s="33" t="s">
        <v>2904</v>
      </c>
      <c r="I71" s="33" t="s">
        <v>2843</v>
      </c>
    </row>
    <row x14ac:dyDescent="0.25" r="72" customHeight="1" ht="15.75">
      <c r="A72" s="13" t="s">
        <v>27</v>
      </c>
      <c r="B72" s="13" t="s">
        <v>1955</v>
      </c>
      <c r="C72" s="32" t="s">
        <v>3139</v>
      </c>
      <c r="D72" s="33" t="s">
        <v>3140</v>
      </c>
      <c r="E72" s="33" t="s">
        <v>2982</v>
      </c>
      <c r="F72" s="33" t="s">
        <v>2887</v>
      </c>
      <c r="G72" s="33" t="s">
        <v>3141</v>
      </c>
      <c r="H72" s="33" t="s">
        <v>2845</v>
      </c>
      <c r="I72" s="33" t="s">
        <v>2890</v>
      </c>
    </row>
    <row x14ac:dyDescent="0.25" r="73" customHeight="1" ht="15.75">
      <c r="A73" s="13" t="s">
        <v>27</v>
      </c>
      <c r="B73" s="13" t="s">
        <v>2500</v>
      </c>
      <c r="C73" s="32" t="s">
        <v>3142</v>
      </c>
      <c r="D73" s="33" t="s">
        <v>2975</v>
      </c>
      <c r="E73" s="33" t="s">
        <v>3143</v>
      </c>
      <c r="F73" s="33" t="s">
        <v>3132</v>
      </c>
      <c r="G73" s="33" t="s">
        <v>3144</v>
      </c>
      <c r="H73" s="33" t="s">
        <v>3145</v>
      </c>
      <c r="I73" s="33" t="s">
        <v>2917</v>
      </c>
    </row>
    <row x14ac:dyDescent="0.25" r="74" customHeight="1" ht="15.75">
      <c r="A74" s="13" t="s">
        <v>27</v>
      </c>
      <c r="B74" s="13" t="s">
        <v>1409</v>
      </c>
      <c r="C74" s="32" t="s">
        <v>3146</v>
      </c>
      <c r="D74" s="33" t="s">
        <v>2956</v>
      </c>
      <c r="E74" s="33" t="s">
        <v>2987</v>
      </c>
      <c r="F74" s="33" t="s">
        <v>3147</v>
      </c>
      <c r="G74" s="33" t="s">
        <v>3148</v>
      </c>
      <c r="H74" s="33" t="s">
        <v>2995</v>
      </c>
      <c r="I74" s="33" t="s">
        <v>3149</v>
      </c>
    </row>
    <row x14ac:dyDescent="0.25" r="75" customHeight="1" ht="15.75">
      <c r="A75" s="13" t="s">
        <v>27</v>
      </c>
      <c r="B75" s="13" t="s">
        <v>2540</v>
      </c>
      <c r="C75" s="32" t="s">
        <v>3150</v>
      </c>
      <c r="D75" s="33" t="s">
        <v>2951</v>
      </c>
      <c r="E75" s="33" t="s">
        <v>2850</v>
      </c>
      <c r="F75" s="33" t="s">
        <v>2997</v>
      </c>
      <c r="G75" s="33" t="s">
        <v>3151</v>
      </c>
      <c r="H75" s="33" t="s">
        <v>2850</v>
      </c>
      <c r="I75" s="33" t="s">
        <v>3152</v>
      </c>
    </row>
    <row x14ac:dyDescent="0.25" r="76" customHeight="1" ht="15.75">
      <c r="A76" s="13" t="s">
        <v>27</v>
      </c>
      <c r="B76" s="13" t="s">
        <v>2680</v>
      </c>
      <c r="C76" s="32" t="s">
        <v>3153</v>
      </c>
      <c r="D76" s="33" t="s">
        <v>2882</v>
      </c>
      <c r="E76" s="33" t="s">
        <v>3067</v>
      </c>
      <c r="F76" s="33" t="s">
        <v>2897</v>
      </c>
      <c r="G76" s="33" t="s">
        <v>3101</v>
      </c>
      <c r="H76" s="33" t="s">
        <v>3099</v>
      </c>
      <c r="I76" s="33" t="s">
        <v>3154</v>
      </c>
    </row>
    <row x14ac:dyDescent="0.25" r="77" customHeight="1" ht="15.75">
      <c r="A77" s="13" t="s">
        <v>27</v>
      </c>
      <c r="B77" s="13" t="s">
        <v>984</v>
      </c>
      <c r="C77" s="32" t="s">
        <v>3155</v>
      </c>
      <c r="D77" s="33" t="s">
        <v>3156</v>
      </c>
      <c r="E77" s="33" t="s">
        <v>3138</v>
      </c>
      <c r="F77" s="33" t="s">
        <v>2980</v>
      </c>
      <c r="G77" s="33" t="s">
        <v>2980</v>
      </c>
      <c r="H77" s="33" t="s">
        <v>2858</v>
      </c>
      <c r="I77" s="33" t="s">
        <v>3138</v>
      </c>
    </row>
    <row x14ac:dyDescent="0.25" r="78" customHeight="1" ht="15.75">
      <c r="A78" s="13" t="s">
        <v>27</v>
      </c>
      <c r="B78" s="13" t="s">
        <v>1787</v>
      </c>
      <c r="C78" s="32" t="s">
        <v>3157</v>
      </c>
      <c r="D78" s="33" t="s">
        <v>3158</v>
      </c>
      <c r="E78" s="33" t="s">
        <v>3033</v>
      </c>
      <c r="F78" s="33" t="s">
        <v>2842</v>
      </c>
      <c r="G78" s="33" t="s">
        <v>2938</v>
      </c>
      <c r="H78" s="33" t="s">
        <v>3159</v>
      </c>
      <c r="I78" s="33" t="s">
        <v>3029</v>
      </c>
    </row>
    <row x14ac:dyDescent="0.25" r="79" customHeight="1" ht="15.75">
      <c r="A79" s="13" t="s">
        <v>27</v>
      </c>
      <c r="B79" s="13" t="s">
        <v>1885</v>
      </c>
      <c r="C79" s="32" t="s">
        <v>3160</v>
      </c>
      <c r="D79" s="33" t="s">
        <v>2895</v>
      </c>
      <c r="E79" s="33" t="s">
        <v>3124</v>
      </c>
      <c r="F79" s="33" t="s">
        <v>2893</v>
      </c>
      <c r="G79" s="33" t="s">
        <v>2894</v>
      </c>
      <c r="H79" s="33" t="s">
        <v>2893</v>
      </c>
      <c r="I79" s="33" t="s">
        <v>2890</v>
      </c>
    </row>
    <row x14ac:dyDescent="0.25" r="80" customHeight="1" ht="15.75">
      <c r="A80" s="13" t="s">
        <v>27</v>
      </c>
      <c r="B80" s="13" t="s">
        <v>2164</v>
      </c>
      <c r="C80" s="32" t="s">
        <v>3161</v>
      </c>
      <c r="D80" s="33" t="s">
        <v>3063</v>
      </c>
      <c r="E80" s="33" t="s">
        <v>3162</v>
      </c>
      <c r="F80" s="33" t="s">
        <v>2930</v>
      </c>
      <c r="G80" s="33" t="s">
        <v>3163</v>
      </c>
      <c r="H80" s="33" t="s">
        <v>3162</v>
      </c>
      <c r="I80" s="33" t="s">
        <v>3022</v>
      </c>
    </row>
    <row x14ac:dyDescent="0.25" r="81" customHeight="1" ht="15.75">
      <c r="A81" s="13" t="s">
        <v>27</v>
      </c>
      <c r="B81" s="13" t="s">
        <v>1837</v>
      </c>
      <c r="C81" s="32" t="s">
        <v>3164</v>
      </c>
      <c r="D81" s="33" t="s">
        <v>2832</v>
      </c>
      <c r="E81" s="33" t="s">
        <v>3165</v>
      </c>
      <c r="F81" s="33" t="s">
        <v>2887</v>
      </c>
      <c r="G81" s="33" t="s">
        <v>3166</v>
      </c>
      <c r="H81" s="33" t="s">
        <v>3165</v>
      </c>
      <c r="I81" s="33" t="s">
        <v>2969</v>
      </c>
    </row>
    <row x14ac:dyDescent="0.25" r="82" customHeight="1" ht="15.75">
      <c r="A82" s="13" t="s">
        <v>27</v>
      </c>
      <c r="B82" s="13" t="s">
        <v>372</v>
      </c>
      <c r="C82" s="32" t="s">
        <v>3167</v>
      </c>
      <c r="D82" s="33" t="s">
        <v>2900</v>
      </c>
      <c r="E82" s="33" t="s">
        <v>2894</v>
      </c>
      <c r="F82" s="33" t="s">
        <v>3024</v>
      </c>
      <c r="G82" s="33" t="s">
        <v>2899</v>
      </c>
      <c r="H82" s="33" t="s">
        <v>2991</v>
      </c>
      <c r="I82" s="33" t="s">
        <v>3168</v>
      </c>
    </row>
    <row x14ac:dyDescent="0.25" r="83" customHeight="1" ht="15.75">
      <c r="A83" s="13" t="s">
        <v>27</v>
      </c>
      <c r="B83" s="13" t="s">
        <v>2495</v>
      </c>
      <c r="C83" s="32" t="s">
        <v>3169</v>
      </c>
      <c r="D83" s="33" t="s">
        <v>3170</v>
      </c>
      <c r="E83" s="33" t="s">
        <v>2981</v>
      </c>
      <c r="F83" s="33" t="s">
        <v>2914</v>
      </c>
      <c r="G83" s="33" t="s">
        <v>2915</v>
      </c>
      <c r="H83" s="33" t="s">
        <v>2981</v>
      </c>
      <c r="I83" s="33" t="s">
        <v>2889</v>
      </c>
    </row>
    <row x14ac:dyDescent="0.25" r="84" customHeight="1" ht="15.75">
      <c r="A84" s="13" t="s">
        <v>27</v>
      </c>
      <c r="B84" s="13" t="s">
        <v>837</v>
      </c>
      <c r="C84" s="32" t="s">
        <v>3171</v>
      </c>
      <c r="D84" s="33" t="s">
        <v>3172</v>
      </c>
      <c r="E84" s="33" t="s">
        <v>3173</v>
      </c>
      <c r="F84" s="33" t="s">
        <v>2833</v>
      </c>
      <c r="G84" s="33" t="s">
        <v>3027</v>
      </c>
      <c r="H84" s="33" t="s">
        <v>2959</v>
      </c>
      <c r="I84" s="33" t="s">
        <v>2890</v>
      </c>
    </row>
    <row x14ac:dyDescent="0.25" r="85" customHeight="1" ht="15.75">
      <c r="A85" s="13" t="s">
        <v>27</v>
      </c>
      <c r="B85" s="13" t="s">
        <v>2078</v>
      </c>
      <c r="C85" s="32" t="s">
        <v>3174</v>
      </c>
      <c r="D85" s="33" t="s">
        <v>3175</v>
      </c>
      <c r="E85" s="33" t="s">
        <v>2892</v>
      </c>
      <c r="F85" s="33" t="s">
        <v>2900</v>
      </c>
      <c r="G85" s="33" t="s">
        <v>2891</v>
      </c>
      <c r="H85" s="33" t="s">
        <v>2913</v>
      </c>
      <c r="I85" s="33" t="s">
        <v>2894</v>
      </c>
    </row>
    <row x14ac:dyDescent="0.25" r="86" customHeight="1" ht="15.75">
      <c r="A86" s="13" t="s">
        <v>27</v>
      </c>
      <c r="B86" s="13" t="s">
        <v>956</v>
      </c>
      <c r="C86" s="32" t="s">
        <v>3176</v>
      </c>
      <c r="D86" s="33" t="s">
        <v>2863</v>
      </c>
      <c r="E86" s="33" t="s">
        <v>3110</v>
      </c>
      <c r="F86" s="33" t="s">
        <v>3103</v>
      </c>
      <c r="G86" s="33" t="s">
        <v>2976</v>
      </c>
      <c r="H86" s="33" t="s">
        <v>2870</v>
      </c>
      <c r="I86" s="33" t="s">
        <v>2884</v>
      </c>
    </row>
    <row x14ac:dyDescent="0.25" r="87" customHeight="1" ht="15.75">
      <c r="A87" s="13" t="s">
        <v>27</v>
      </c>
      <c r="B87" s="13" t="s">
        <v>2623</v>
      </c>
      <c r="C87" s="32" t="s">
        <v>3177</v>
      </c>
      <c r="D87" s="33" t="s">
        <v>2913</v>
      </c>
      <c r="E87" s="33" t="s">
        <v>3024</v>
      </c>
      <c r="F87" s="33" t="s">
        <v>3141</v>
      </c>
      <c r="G87" s="33" t="s">
        <v>3024</v>
      </c>
      <c r="H87" s="33" t="s">
        <v>3067</v>
      </c>
      <c r="I87" s="33" t="s">
        <v>3024</v>
      </c>
    </row>
    <row x14ac:dyDescent="0.25" r="88" customHeight="1" ht="15.75">
      <c r="A88" s="13" t="s">
        <v>27</v>
      </c>
      <c r="B88" s="13" t="s">
        <v>2398</v>
      </c>
      <c r="C88" s="32" t="s">
        <v>3178</v>
      </c>
      <c r="D88" s="33" t="s">
        <v>3179</v>
      </c>
      <c r="E88" s="33" t="s">
        <v>3152</v>
      </c>
      <c r="F88" s="33" t="s">
        <v>3179</v>
      </c>
      <c r="G88" s="33" t="s">
        <v>3179</v>
      </c>
      <c r="H88" s="33" t="s">
        <v>3179</v>
      </c>
      <c r="I88" s="33" t="s">
        <v>3180</v>
      </c>
    </row>
    <row x14ac:dyDescent="0.25" r="89" customHeight="1" ht="15.75">
      <c r="A89" s="13" t="s">
        <v>27</v>
      </c>
      <c r="B89" s="13" t="s">
        <v>1607</v>
      </c>
      <c r="C89" s="32" t="s">
        <v>3181</v>
      </c>
      <c r="D89" s="33" t="s">
        <v>2857</v>
      </c>
      <c r="E89" s="33" t="s">
        <v>2889</v>
      </c>
      <c r="F89" s="33" t="s">
        <v>2905</v>
      </c>
      <c r="G89" s="33" t="s">
        <v>2903</v>
      </c>
      <c r="H89" s="33" t="s">
        <v>2905</v>
      </c>
      <c r="I89" s="33" t="s">
        <v>2997</v>
      </c>
    </row>
    <row x14ac:dyDescent="0.25" r="90" customHeight="1" ht="15.75">
      <c r="A90" s="13" t="s">
        <v>512</v>
      </c>
      <c r="B90" s="13" t="s">
        <v>2693</v>
      </c>
      <c r="C90" s="32" t="s">
        <v>3182</v>
      </c>
      <c r="D90" s="33" t="s">
        <v>2942</v>
      </c>
      <c r="E90" s="33" t="s">
        <v>2845</v>
      </c>
      <c r="F90" s="33" t="s">
        <v>2856</v>
      </c>
      <c r="G90" s="33" t="s">
        <v>2853</v>
      </c>
      <c r="H90" s="33" t="s">
        <v>2902</v>
      </c>
      <c r="I90" s="33" t="s">
        <v>2950</v>
      </c>
    </row>
    <row x14ac:dyDescent="0.25" r="91" customHeight="1" ht="15.75">
      <c r="A91" s="13" t="s">
        <v>512</v>
      </c>
      <c r="B91" s="13" t="s">
        <v>1519</v>
      </c>
      <c r="C91" s="32" t="s">
        <v>3183</v>
      </c>
      <c r="D91" s="33" t="s">
        <v>3184</v>
      </c>
      <c r="E91" s="33" t="s">
        <v>2931</v>
      </c>
      <c r="F91" s="33" t="s">
        <v>2959</v>
      </c>
      <c r="G91" s="33" t="s">
        <v>2897</v>
      </c>
      <c r="H91" s="33" t="s">
        <v>3112</v>
      </c>
      <c r="I91" s="33" t="s">
        <v>3112</v>
      </c>
    </row>
    <row x14ac:dyDescent="0.25" r="92" customHeight="1" ht="15.75">
      <c r="A92" s="13" t="s">
        <v>512</v>
      </c>
      <c r="B92" s="13" t="s">
        <v>513</v>
      </c>
      <c r="C92" s="32" t="s">
        <v>3185</v>
      </c>
      <c r="D92" s="33" t="s">
        <v>3031</v>
      </c>
      <c r="E92" s="33" t="s">
        <v>3186</v>
      </c>
      <c r="F92" s="33" t="s">
        <v>3063</v>
      </c>
      <c r="G92" s="33" t="s">
        <v>3159</v>
      </c>
      <c r="H92" s="33" t="s">
        <v>3187</v>
      </c>
      <c r="I92" s="33" t="s">
        <v>3112</v>
      </c>
    </row>
    <row x14ac:dyDescent="0.25" r="93" customHeight="1" ht="15.75">
      <c r="A93" s="13" t="s">
        <v>512</v>
      </c>
      <c r="B93" s="13" t="s">
        <v>2155</v>
      </c>
      <c r="C93" s="32" t="s">
        <v>3188</v>
      </c>
      <c r="D93" s="33" t="s">
        <v>3103</v>
      </c>
      <c r="E93" s="33" t="s">
        <v>2925</v>
      </c>
      <c r="F93" s="33" t="s">
        <v>3087</v>
      </c>
      <c r="G93" s="33" t="s">
        <v>2959</v>
      </c>
      <c r="H93" s="33" t="s">
        <v>2939</v>
      </c>
      <c r="I93" s="33" t="s">
        <v>2924</v>
      </c>
    </row>
    <row x14ac:dyDescent="0.25" r="94" customHeight="1" ht="15.75">
      <c r="A94" s="13" t="s">
        <v>512</v>
      </c>
      <c r="B94" s="13" t="s">
        <v>684</v>
      </c>
      <c r="C94" s="32" t="s">
        <v>3189</v>
      </c>
      <c r="D94" s="33" t="s">
        <v>3073</v>
      </c>
      <c r="E94" s="33" t="s">
        <v>3124</v>
      </c>
      <c r="F94" s="33" t="s">
        <v>2969</v>
      </c>
      <c r="G94" s="33" t="s">
        <v>2892</v>
      </c>
      <c r="H94" s="33" t="s">
        <v>3140</v>
      </c>
      <c r="I94" s="33" t="s">
        <v>3074</v>
      </c>
    </row>
    <row x14ac:dyDescent="0.25" r="95" customHeight="1" ht="15.75">
      <c r="A95" s="13" t="s">
        <v>512</v>
      </c>
      <c r="B95" s="13" t="s">
        <v>1604</v>
      </c>
      <c r="C95" s="32" t="s">
        <v>3190</v>
      </c>
      <c r="D95" s="33" t="s">
        <v>2919</v>
      </c>
      <c r="E95" s="33" t="s">
        <v>3115</v>
      </c>
      <c r="F95" s="33" t="s">
        <v>3022</v>
      </c>
      <c r="G95" s="33" t="s">
        <v>3021</v>
      </c>
      <c r="H95" s="33" t="s">
        <v>2937</v>
      </c>
      <c r="I95" s="33" t="s">
        <v>2832</v>
      </c>
    </row>
    <row x14ac:dyDescent="0.25" r="96" customHeight="1" ht="15.75">
      <c r="A96" s="13" t="s">
        <v>512</v>
      </c>
      <c r="B96" s="13" t="s">
        <v>1190</v>
      </c>
      <c r="C96" s="32" t="s">
        <v>2993</v>
      </c>
      <c r="D96" s="33" t="s">
        <v>3033</v>
      </c>
      <c r="E96" s="33" t="s">
        <v>2919</v>
      </c>
      <c r="F96" s="33" t="s">
        <v>3187</v>
      </c>
      <c r="G96" s="33" t="s">
        <v>2832</v>
      </c>
      <c r="H96" s="33" t="s">
        <v>3115</v>
      </c>
      <c r="I96" s="33" t="s">
        <v>3191</v>
      </c>
    </row>
    <row x14ac:dyDescent="0.25" r="97" customHeight="1" ht="15.75">
      <c r="A97" s="13" t="s">
        <v>512</v>
      </c>
      <c r="B97" s="13" t="s">
        <v>1045</v>
      </c>
      <c r="C97" s="32" t="s">
        <v>2996</v>
      </c>
      <c r="D97" s="33" t="s">
        <v>2939</v>
      </c>
      <c r="E97" s="33" t="s">
        <v>2938</v>
      </c>
      <c r="F97" s="33" t="s">
        <v>2938</v>
      </c>
      <c r="G97" s="33" t="s">
        <v>3166</v>
      </c>
      <c r="H97" s="33" t="s">
        <v>3122</v>
      </c>
      <c r="I97" s="33" t="s">
        <v>2832</v>
      </c>
    </row>
    <row x14ac:dyDescent="0.25" r="98" customHeight="1" ht="15.75">
      <c r="A98" s="13" t="s">
        <v>512</v>
      </c>
      <c r="B98" s="13" t="s">
        <v>559</v>
      </c>
      <c r="C98" s="32" t="s">
        <v>3192</v>
      </c>
      <c r="D98" s="33" t="s">
        <v>2942</v>
      </c>
      <c r="E98" s="33" t="s">
        <v>2856</v>
      </c>
      <c r="F98" s="33" t="s">
        <v>3136</v>
      </c>
      <c r="G98" s="33" t="s">
        <v>3193</v>
      </c>
      <c r="H98" s="33" t="s">
        <v>2856</v>
      </c>
      <c r="I98" s="33" t="s">
        <v>2983</v>
      </c>
    </row>
    <row x14ac:dyDescent="0.25" r="99" customHeight="1" ht="15.75">
      <c r="A99" s="13" t="s">
        <v>512</v>
      </c>
      <c r="B99" s="13" t="s">
        <v>1913</v>
      </c>
      <c r="C99" s="32" t="s">
        <v>3194</v>
      </c>
      <c r="D99" s="33" t="s">
        <v>2905</v>
      </c>
      <c r="E99" s="33" t="s">
        <v>2951</v>
      </c>
      <c r="F99" s="33" t="s">
        <v>2903</v>
      </c>
      <c r="G99" s="33" t="s">
        <v>2847</v>
      </c>
      <c r="H99" s="33" t="s">
        <v>3051</v>
      </c>
      <c r="I99" s="33" t="s">
        <v>3051</v>
      </c>
    </row>
    <row x14ac:dyDescent="0.25" r="100" customHeight="1" ht="15.75">
      <c r="A100" s="13" t="s">
        <v>512</v>
      </c>
      <c r="B100" s="13" t="s">
        <v>1461</v>
      </c>
      <c r="C100" s="32" t="s">
        <v>3034</v>
      </c>
      <c r="D100" s="33" t="s">
        <v>3033</v>
      </c>
      <c r="E100" s="33" t="s">
        <v>3086</v>
      </c>
      <c r="F100" s="33" t="s">
        <v>2968</v>
      </c>
      <c r="G100" s="33" t="s">
        <v>2897</v>
      </c>
      <c r="H100" s="33" t="s">
        <v>3023</v>
      </c>
      <c r="I100" s="33" t="s">
        <v>3099</v>
      </c>
    </row>
    <row x14ac:dyDescent="0.25" r="101" customHeight="1" ht="15.75">
      <c r="A101" s="13" t="s">
        <v>512</v>
      </c>
      <c r="B101" s="13" t="s">
        <v>2214</v>
      </c>
      <c r="C101" s="32" t="s">
        <v>3195</v>
      </c>
      <c r="D101" s="33" t="s">
        <v>3018</v>
      </c>
      <c r="E101" s="33" t="s">
        <v>3196</v>
      </c>
      <c r="F101" s="33" t="s">
        <v>2963</v>
      </c>
      <c r="G101" s="33" t="s">
        <v>2940</v>
      </c>
      <c r="H101" s="33" t="s">
        <v>3023</v>
      </c>
      <c r="I101" s="33" t="s">
        <v>3166</v>
      </c>
    </row>
    <row x14ac:dyDescent="0.25" r="102" customHeight="1" ht="15.75">
      <c r="A102" s="13" t="s">
        <v>512</v>
      </c>
      <c r="B102" s="13" t="s">
        <v>2023</v>
      </c>
      <c r="C102" s="32" t="s">
        <v>3057</v>
      </c>
      <c r="D102" s="33" t="s">
        <v>3197</v>
      </c>
      <c r="E102" s="33" t="s">
        <v>2832</v>
      </c>
      <c r="F102" s="33" t="s">
        <v>3018</v>
      </c>
      <c r="G102" s="33" t="s">
        <v>2898</v>
      </c>
      <c r="H102" s="33" t="s">
        <v>2968</v>
      </c>
      <c r="I102" s="33" t="s">
        <v>3066</v>
      </c>
    </row>
    <row x14ac:dyDescent="0.25" r="103" customHeight="1" ht="15.75">
      <c r="A103" s="13" t="s">
        <v>512</v>
      </c>
      <c r="B103" s="13" t="s">
        <v>2267</v>
      </c>
      <c r="C103" s="32" t="s">
        <v>3198</v>
      </c>
      <c r="D103" s="33" t="s">
        <v>2980</v>
      </c>
      <c r="E103" s="33" t="s">
        <v>2914</v>
      </c>
      <c r="F103" s="33" t="s">
        <v>2847</v>
      </c>
      <c r="G103" s="33" t="s">
        <v>2902</v>
      </c>
      <c r="H103" s="33" t="s">
        <v>2950</v>
      </c>
      <c r="I103" s="33" t="s">
        <v>2951</v>
      </c>
    </row>
    <row x14ac:dyDescent="0.25" r="104" customHeight="1" ht="15.75">
      <c r="A104" s="13" t="s">
        <v>512</v>
      </c>
      <c r="B104" s="13" t="s">
        <v>1411</v>
      </c>
      <c r="C104" s="32" t="s">
        <v>3199</v>
      </c>
      <c r="D104" s="33" t="s">
        <v>2915</v>
      </c>
      <c r="E104" s="33" t="s">
        <v>2857</v>
      </c>
      <c r="F104" s="33" t="s">
        <v>2979</v>
      </c>
      <c r="G104" s="33" t="s">
        <v>2991</v>
      </c>
      <c r="H104" s="33" t="s">
        <v>3053</v>
      </c>
      <c r="I104" s="33" t="s">
        <v>3050</v>
      </c>
    </row>
    <row x14ac:dyDescent="0.25" r="105" customHeight="1" ht="15.75">
      <c r="A105" s="13" t="s">
        <v>512</v>
      </c>
      <c r="B105" s="13" t="s">
        <v>1599</v>
      </c>
      <c r="C105" s="32" t="s">
        <v>3200</v>
      </c>
      <c r="D105" s="33" t="s">
        <v>3201</v>
      </c>
      <c r="E105" s="33" t="s">
        <v>3088</v>
      </c>
      <c r="F105" s="33" t="s">
        <v>3033</v>
      </c>
      <c r="G105" s="33" t="s">
        <v>2882</v>
      </c>
      <c r="H105" s="33" t="s">
        <v>3033</v>
      </c>
      <c r="I105" s="33" t="s">
        <v>3112</v>
      </c>
    </row>
    <row x14ac:dyDescent="0.25" r="106" customHeight="1" ht="15.75">
      <c r="A106" s="13" t="s">
        <v>512</v>
      </c>
      <c r="B106" s="13" t="s">
        <v>2270</v>
      </c>
      <c r="C106" s="32" t="s">
        <v>3089</v>
      </c>
      <c r="D106" s="33" t="s">
        <v>3067</v>
      </c>
      <c r="E106" s="33" t="s">
        <v>3141</v>
      </c>
      <c r="F106" s="33" t="s">
        <v>3052</v>
      </c>
      <c r="G106" s="33" t="s">
        <v>3175</v>
      </c>
      <c r="H106" s="33" t="s">
        <v>3067</v>
      </c>
      <c r="I106" s="33" t="s">
        <v>2918</v>
      </c>
    </row>
    <row x14ac:dyDescent="0.25" r="107" customHeight="1" ht="15.75">
      <c r="A107" s="13" t="s">
        <v>512</v>
      </c>
      <c r="B107" s="13" t="s">
        <v>2683</v>
      </c>
      <c r="C107" s="32" t="s">
        <v>3202</v>
      </c>
      <c r="D107" s="33" t="s">
        <v>3112</v>
      </c>
      <c r="E107" s="33" t="s">
        <v>3196</v>
      </c>
      <c r="F107" s="33" t="s">
        <v>3029</v>
      </c>
      <c r="G107" s="33" t="s">
        <v>3203</v>
      </c>
      <c r="H107" s="33" t="s">
        <v>3191</v>
      </c>
      <c r="I107" s="33" t="s">
        <v>3100</v>
      </c>
    </row>
    <row x14ac:dyDescent="0.25" r="108" customHeight="1" ht="15.75">
      <c r="A108" s="13" t="s">
        <v>512</v>
      </c>
      <c r="B108" s="13" t="s">
        <v>1832</v>
      </c>
      <c r="C108" s="32" t="s">
        <v>3204</v>
      </c>
      <c r="D108" s="33" t="s">
        <v>2992</v>
      </c>
      <c r="E108" s="33" t="s">
        <v>2992</v>
      </c>
      <c r="F108" s="33" t="s">
        <v>2982</v>
      </c>
      <c r="G108" s="33" t="s">
        <v>2899</v>
      </c>
      <c r="H108" s="33" t="s">
        <v>3168</v>
      </c>
      <c r="I108" s="33" t="s">
        <v>3141</v>
      </c>
    </row>
    <row x14ac:dyDescent="0.25" r="109" customHeight="1" ht="15.75">
      <c r="A109" s="13" t="s">
        <v>512</v>
      </c>
      <c r="B109" s="13" t="s">
        <v>1174</v>
      </c>
      <c r="C109" s="32" t="s">
        <v>3205</v>
      </c>
      <c r="D109" s="33" t="s">
        <v>2950</v>
      </c>
      <c r="E109" s="33" t="s">
        <v>2904</v>
      </c>
      <c r="F109" s="33" t="s">
        <v>2849</v>
      </c>
      <c r="G109" s="33" t="s">
        <v>2904</v>
      </c>
      <c r="H109" s="33" t="s">
        <v>2903</v>
      </c>
      <c r="I109" s="33" t="s">
        <v>2903</v>
      </c>
    </row>
    <row x14ac:dyDescent="0.25" r="110" customHeight="1" ht="15.75">
      <c r="A110" s="13" t="s">
        <v>512</v>
      </c>
      <c r="B110" s="13" t="s">
        <v>2522</v>
      </c>
      <c r="C110" s="32" t="s">
        <v>3206</v>
      </c>
      <c r="D110" s="33" t="s">
        <v>2927</v>
      </c>
      <c r="E110" s="33" t="s">
        <v>3082</v>
      </c>
      <c r="F110" s="33" t="s">
        <v>2988</v>
      </c>
      <c r="G110" s="33" t="s">
        <v>2927</v>
      </c>
      <c r="H110" s="33" t="s">
        <v>2930</v>
      </c>
      <c r="I110" s="33" t="s">
        <v>3144</v>
      </c>
    </row>
    <row x14ac:dyDescent="0.25" r="111" customHeight="1" ht="15.75">
      <c r="A111" s="13" t="s">
        <v>512</v>
      </c>
      <c r="B111" s="13" t="s">
        <v>2311</v>
      </c>
      <c r="C111" s="32" t="s">
        <v>3207</v>
      </c>
      <c r="D111" s="33" t="s">
        <v>2979</v>
      </c>
      <c r="E111" s="33" t="s">
        <v>2943</v>
      </c>
      <c r="F111" s="33" t="s">
        <v>3136</v>
      </c>
      <c r="G111" s="33" t="s">
        <v>2980</v>
      </c>
      <c r="H111" s="33" t="s">
        <v>2943</v>
      </c>
      <c r="I111" s="33" t="s">
        <v>3136</v>
      </c>
    </row>
    <row x14ac:dyDescent="0.25" r="112" customHeight="1" ht="15.75">
      <c r="A112" s="13" t="s">
        <v>512</v>
      </c>
      <c r="B112" s="13" t="s">
        <v>2601</v>
      </c>
      <c r="C112" s="32" t="s">
        <v>3208</v>
      </c>
      <c r="D112" s="33" t="s">
        <v>2964</v>
      </c>
      <c r="E112" s="33" t="s">
        <v>3107</v>
      </c>
      <c r="F112" s="33" t="s">
        <v>3209</v>
      </c>
      <c r="G112" s="33" t="s">
        <v>3088</v>
      </c>
      <c r="H112" s="33" t="s">
        <v>2832</v>
      </c>
      <c r="I112" s="33" t="s">
        <v>2939</v>
      </c>
    </row>
    <row x14ac:dyDescent="0.25" r="113" customHeight="1" ht="15.75">
      <c r="A113" s="13" t="s">
        <v>512</v>
      </c>
      <c r="B113" s="13" t="s">
        <v>2087</v>
      </c>
      <c r="C113" s="32" t="s">
        <v>3208</v>
      </c>
      <c r="D113" s="33" t="s">
        <v>3175</v>
      </c>
      <c r="E113" s="33" t="s">
        <v>3165</v>
      </c>
      <c r="F113" s="33" t="s">
        <v>3168</v>
      </c>
      <c r="G113" s="33" t="s">
        <v>3067</v>
      </c>
      <c r="H113" s="33" t="s">
        <v>2992</v>
      </c>
      <c r="I113" s="33" t="s">
        <v>3066</v>
      </c>
    </row>
    <row x14ac:dyDescent="0.25" r="114" customHeight="1" ht="15.75">
      <c r="A114" s="13" t="s">
        <v>512</v>
      </c>
      <c r="B114" s="13" t="s">
        <v>922</v>
      </c>
      <c r="C114" s="32" t="s">
        <v>3210</v>
      </c>
      <c r="D114" s="33" t="s">
        <v>3087</v>
      </c>
      <c r="E114" s="33" t="s">
        <v>2965</v>
      </c>
      <c r="F114" s="33" t="s">
        <v>3079</v>
      </c>
      <c r="G114" s="33" t="s">
        <v>3078</v>
      </c>
      <c r="H114" s="33" t="s">
        <v>2939</v>
      </c>
      <c r="I114" s="33" t="s">
        <v>3028</v>
      </c>
    </row>
    <row x14ac:dyDescent="0.25" r="115" customHeight="1" ht="15.75">
      <c r="A115" s="13" t="s">
        <v>512</v>
      </c>
      <c r="B115" s="13" t="s">
        <v>2059</v>
      </c>
      <c r="C115" s="32" t="s">
        <v>3211</v>
      </c>
      <c r="D115" s="33" t="s">
        <v>3212</v>
      </c>
      <c r="E115" s="33" t="s">
        <v>3148</v>
      </c>
      <c r="F115" s="33" t="s">
        <v>3009</v>
      </c>
      <c r="G115" s="33" t="s">
        <v>3132</v>
      </c>
      <c r="H115" s="33" t="s">
        <v>3127</v>
      </c>
      <c r="I115" s="33" t="s">
        <v>3041</v>
      </c>
    </row>
    <row x14ac:dyDescent="0.25" r="116" customHeight="1" ht="15.75">
      <c r="A116" s="13" t="s">
        <v>512</v>
      </c>
      <c r="B116" s="13" t="s">
        <v>2174</v>
      </c>
      <c r="C116" s="32" t="s">
        <v>3213</v>
      </c>
      <c r="D116" s="33" t="s">
        <v>3149</v>
      </c>
      <c r="E116" s="33" t="s">
        <v>3214</v>
      </c>
      <c r="F116" s="33" t="s">
        <v>3215</v>
      </c>
      <c r="G116" s="33" t="s">
        <v>3214</v>
      </c>
      <c r="H116" s="33" t="s">
        <v>2995</v>
      </c>
      <c r="I116" s="33" t="s">
        <v>2961</v>
      </c>
    </row>
    <row x14ac:dyDescent="0.25" r="117" customHeight="1" ht="15.75">
      <c r="A117" s="13" t="s">
        <v>512</v>
      </c>
      <c r="B117" s="13" t="s">
        <v>2410</v>
      </c>
      <c r="C117" s="32" t="s">
        <v>3139</v>
      </c>
      <c r="D117" s="33" t="s">
        <v>3052</v>
      </c>
      <c r="E117" s="33" t="s">
        <v>3052</v>
      </c>
      <c r="F117" s="33" t="s">
        <v>2856</v>
      </c>
      <c r="G117" s="33" t="s">
        <v>2857</v>
      </c>
      <c r="H117" s="33" t="s">
        <v>3216</v>
      </c>
      <c r="I117" s="33" t="s">
        <v>2983</v>
      </c>
    </row>
    <row x14ac:dyDescent="0.25" r="118" customHeight="1" ht="15.75">
      <c r="A118" s="13" t="s">
        <v>512</v>
      </c>
      <c r="B118" s="13" t="s">
        <v>1987</v>
      </c>
      <c r="C118" s="32" t="s">
        <v>3217</v>
      </c>
      <c r="D118" s="33" t="s">
        <v>3170</v>
      </c>
      <c r="E118" s="33" t="s">
        <v>2981</v>
      </c>
      <c r="F118" s="33" t="s">
        <v>3216</v>
      </c>
      <c r="G118" s="33" t="s">
        <v>2979</v>
      </c>
      <c r="H118" s="33" t="s">
        <v>3156</v>
      </c>
      <c r="I118" s="33" t="s">
        <v>2942</v>
      </c>
    </row>
    <row x14ac:dyDescent="0.25" r="119" customHeight="1" ht="15.75">
      <c r="A119" s="13" t="s">
        <v>512</v>
      </c>
      <c r="B119" s="13" t="s">
        <v>2739</v>
      </c>
      <c r="C119" s="32" t="s">
        <v>3218</v>
      </c>
      <c r="D119" s="33" t="s">
        <v>2983</v>
      </c>
      <c r="E119" s="33" t="s">
        <v>3136</v>
      </c>
      <c r="F119" s="33" t="s">
        <v>3138</v>
      </c>
      <c r="G119" s="33" t="s">
        <v>2858</v>
      </c>
      <c r="H119" s="33" t="s">
        <v>2848</v>
      </c>
      <c r="I119" s="33" t="s">
        <v>2980</v>
      </c>
    </row>
    <row x14ac:dyDescent="0.25" r="120" customHeight="1" ht="15.75">
      <c r="A120" s="13" t="s">
        <v>512</v>
      </c>
      <c r="B120" s="13" t="s">
        <v>2609</v>
      </c>
      <c r="C120" s="32" t="s">
        <v>3219</v>
      </c>
      <c r="D120" s="33" t="s">
        <v>2913</v>
      </c>
      <c r="E120" s="33" t="s">
        <v>3066</v>
      </c>
      <c r="F120" s="33" t="s">
        <v>3024</v>
      </c>
      <c r="G120" s="33" t="s">
        <v>3168</v>
      </c>
      <c r="H120" s="33" t="s">
        <v>3168</v>
      </c>
      <c r="I120" s="33" t="s">
        <v>3168</v>
      </c>
    </row>
    <row x14ac:dyDescent="0.25" r="121" customHeight="1" ht="15.75">
      <c r="A121" s="13" t="s">
        <v>512</v>
      </c>
      <c r="B121" s="13" t="s">
        <v>2615</v>
      </c>
      <c r="C121" s="32" t="s">
        <v>3219</v>
      </c>
      <c r="D121" s="33" t="s">
        <v>2982</v>
      </c>
      <c r="E121" s="33" t="s">
        <v>2979</v>
      </c>
      <c r="F121" s="33" t="s">
        <v>2893</v>
      </c>
      <c r="G121" s="33" t="s">
        <v>3170</v>
      </c>
      <c r="H121" s="33" t="s">
        <v>2982</v>
      </c>
      <c r="I121" s="33" t="s">
        <v>3053</v>
      </c>
    </row>
    <row x14ac:dyDescent="0.25" r="122" customHeight="1" ht="15.75">
      <c r="A122" s="13" t="s">
        <v>512</v>
      </c>
      <c r="B122" s="13" t="s">
        <v>2046</v>
      </c>
      <c r="C122" s="32" t="s">
        <v>3220</v>
      </c>
      <c r="D122" s="33" t="s">
        <v>2891</v>
      </c>
      <c r="E122" s="33" t="s">
        <v>2891</v>
      </c>
      <c r="F122" s="33" t="s">
        <v>2915</v>
      </c>
      <c r="G122" s="33" t="s">
        <v>2893</v>
      </c>
      <c r="H122" s="33" t="s">
        <v>2979</v>
      </c>
      <c r="I122" s="33" t="s">
        <v>2915</v>
      </c>
    </row>
    <row x14ac:dyDescent="0.25" r="123" customHeight="1" ht="15.75">
      <c r="A123" s="13" t="s">
        <v>512</v>
      </c>
      <c r="B123" s="13" t="s">
        <v>2567</v>
      </c>
      <c r="C123" s="32" t="s">
        <v>3221</v>
      </c>
      <c r="D123" s="33" t="s">
        <v>2961</v>
      </c>
      <c r="E123" s="33" t="s">
        <v>3021</v>
      </c>
      <c r="F123" s="33" t="s">
        <v>3086</v>
      </c>
      <c r="G123" s="33" t="s">
        <v>3222</v>
      </c>
      <c r="H123" s="33" t="s">
        <v>3075</v>
      </c>
      <c r="I123" s="33" t="s">
        <v>2965</v>
      </c>
    </row>
    <row x14ac:dyDescent="0.25" r="124" customHeight="1" ht="15.75">
      <c r="A124" s="13" t="s">
        <v>512</v>
      </c>
      <c r="B124" s="13" t="s">
        <v>2545</v>
      </c>
      <c r="C124" s="32" t="s">
        <v>3223</v>
      </c>
      <c r="D124" s="33" t="s">
        <v>2897</v>
      </c>
      <c r="E124" s="33" t="s">
        <v>3099</v>
      </c>
      <c r="F124" s="33" t="s">
        <v>3197</v>
      </c>
      <c r="G124" s="33" t="s">
        <v>3159</v>
      </c>
      <c r="H124" s="33" t="s">
        <v>2937</v>
      </c>
      <c r="I124" s="33" t="s">
        <v>2940</v>
      </c>
    </row>
    <row x14ac:dyDescent="0.25" r="125" customHeight="1" ht="15.75">
      <c r="A125" s="13" t="s">
        <v>512</v>
      </c>
      <c r="B125" s="13" t="s">
        <v>2138</v>
      </c>
      <c r="C125" s="32" t="s">
        <v>3223</v>
      </c>
      <c r="D125" s="33" t="s">
        <v>3100</v>
      </c>
      <c r="E125" s="33" t="s">
        <v>2932</v>
      </c>
      <c r="F125" s="33" t="s">
        <v>3159</v>
      </c>
      <c r="G125" s="33" t="s">
        <v>2919</v>
      </c>
      <c r="H125" s="33" t="s">
        <v>2966</v>
      </c>
      <c r="I125" s="33" t="s">
        <v>3099</v>
      </c>
    </row>
    <row x14ac:dyDescent="0.25" r="126" customHeight="1" ht="15.75">
      <c r="A126" s="13" t="s">
        <v>512</v>
      </c>
      <c r="B126" s="13" t="s">
        <v>2491</v>
      </c>
      <c r="C126" s="32" t="s">
        <v>3224</v>
      </c>
      <c r="D126" s="33" t="s">
        <v>3225</v>
      </c>
      <c r="E126" s="33" t="s">
        <v>3225</v>
      </c>
      <c r="F126" s="33" t="s">
        <v>3087</v>
      </c>
      <c r="G126" s="33" t="s">
        <v>2917</v>
      </c>
      <c r="H126" s="33" t="s">
        <v>3163</v>
      </c>
      <c r="I126" s="33" t="s">
        <v>2939</v>
      </c>
    </row>
    <row x14ac:dyDescent="0.25" r="127" customHeight="1" ht="15.75">
      <c r="A127" s="13" t="s">
        <v>512</v>
      </c>
      <c r="B127" s="13" t="s">
        <v>2606</v>
      </c>
      <c r="C127" s="32" t="s">
        <v>3226</v>
      </c>
      <c r="D127" s="33" t="s">
        <v>3107</v>
      </c>
      <c r="E127" s="33" t="s">
        <v>3101</v>
      </c>
      <c r="F127" s="33" t="s">
        <v>3060</v>
      </c>
      <c r="G127" s="33" t="s">
        <v>2897</v>
      </c>
      <c r="H127" s="33" t="s">
        <v>3099</v>
      </c>
      <c r="I127" s="33" t="s">
        <v>3159</v>
      </c>
    </row>
    <row x14ac:dyDescent="0.25" r="128" customHeight="1" ht="15.75">
      <c r="A128" s="13" t="s">
        <v>512</v>
      </c>
      <c r="B128" s="13" t="s">
        <v>1651</v>
      </c>
      <c r="C128" s="32" t="s">
        <v>3227</v>
      </c>
      <c r="D128" s="33" t="s">
        <v>2882</v>
      </c>
      <c r="E128" s="33" t="s">
        <v>3018</v>
      </c>
      <c r="F128" s="33" t="s">
        <v>2966</v>
      </c>
      <c r="G128" s="33" t="s">
        <v>3023</v>
      </c>
      <c r="H128" s="33" t="s">
        <v>3154</v>
      </c>
      <c r="I128" s="33" t="s">
        <v>2892</v>
      </c>
    </row>
    <row x14ac:dyDescent="0.25" r="129" customHeight="1" ht="15.75">
      <c r="A129" s="13" t="s">
        <v>512</v>
      </c>
      <c r="B129" s="13" t="s">
        <v>2597</v>
      </c>
      <c r="C129" s="32" t="s">
        <v>3228</v>
      </c>
      <c r="D129" s="33" t="s">
        <v>3100</v>
      </c>
      <c r="E129" s="33" t="s">
        <v>2895</v>
      </c>
      <c r="F129" s="33" t="s">
        <v>2892</v>
      </c>
      <c r="G129" s="33" t="s">
        <v>3124</v>
      </c>
      <c r="H129" s="33" t="s">
        <v>2844</v>
      </c>
      <c r="I129" s="33" t="s">
        <v>3124</v>
      </c>
    </row>
    <row x14ac:dyDescent="0.25" r="130" customHeight="1" ht="15.75">
      <c r="A130" s="13" t="s">
        <v>512</v>
      </c>
      <c r="B130" s="13" t="s">
        <v>2676</v>
      </c>
      <c r="C130" s="32" t="s">
        <v>3229</v>
      </c>
      <c r="D130" s="33" t="s">
        <v>2892</v>
      </c>
      <c r="E130" s="33" t="s">
        <v>2891</v>
      </c>
      <c r="F130" s="33" t="s">
        <v>2900</v>
      </c>
      <c r="G130" s="33" t="s">
        <v>2913</v>
      </c>
      <c r="H130" s="33" t="s">
        <v>3066</v>
      </c>
      <c r="I130" s="33" t="s">
        <v>2900</v>
      </c>
    </row>
    <row x14ac:dyDescent="0.25" r="131" customHeight="1" ht="15.75">
      <c r="A131" s="13" t="s">
        <v>512</v>
      </c>
      <c r="B131" s="13" t="s">
        <v>2686</v>
      </c>
      <c r="C131" s="32" t="s">
        <v>3230</v>
      </c>
      <c r="D131" s="33" t="s">
        <v>3136</v>
      </c>
      <c r="E131" s="33" t="s">
        <v>2903</v>
      </c>
      <c r="F131" s="33" t="s">
        <v>3051</v>
      </c>
      <c r="G131" s="33" t="s">
        <v>3193</v>
      </c>
      <c r="H131" s="33" t="s">
        <v>2848</v>
      </c>
      <c r="I131" s="33" t="s">
        <v>2904</v>
      </c>
    </row>
    <row x14ac:dyDescent="0.25" r="132" customHeight="1" ht="15.75">
      <c r="A132" s="13" t="s">
        <v>512</v>
      </c>
      <c r="B132" s="13" t="s">
        <v>2727</v>
      </c>
      <c r="C132" s="32" t="s">
        <v>3231</v>
      </c>
      <c r="D132" s="33" t="s">
        <v>2856</v>
      </c>
      <c r="E132" s="33" t="s">
        <v>3137</v>
      </c>
      <c r="F132" s="33" t="s">
        <v>3137</v>
      </c>
      <c r="G132" s="33" t="s">
        <v>3156</v>
      </c>
      <c r="H132" s="33" t="s">
        <v>2983</v>
      </c>
      <c r="I132" s="33" t="s">
        <v>2983</v>
      </c>
    </row>
    <row x14ac:dyDescent="0.25" r="133" customHeight="1" ht="15.75">
      <c r="A133" s="13" t="s">
        <v>512</v>
      </c>
      <c r="B133" s="13" t="s">
        <v>1149</v>
      </c>
      <c r="C133" s="32" t="s">
        <v>3232</v>
      </c>
      <c r="D133" s="33" t="s">
        <v>2857</v>
      </c>
      <c r="E133" s="33" t="s">
        <v>3156</v>
      </c>
      <c r="F133" s="33" t="s">
        <v>2888</v>
      </c>
      <c r="G133" s="33" t="s">
        <v>2983</v>
      </c>
      <c r="H133" s="33" t="s">
        <v>3156</v>
      </c>
      <c r="I133" s="33" t="s">
        <v>2983</v>
      </c>
    </row>
    <row x14ac:dyDescent="0.25" r="134" customHeight="1" ht="15.75">
      <c r="A134" s="13" t="s">
        <v>512</v>
      </c>
      <c r="B134" s="13" t="s">
        <v>2552</v>
      </c>
      <c r="C134" s="32" t="s">
        <v>3233</v>
      </c>
      <c r="D134" s="33" t="s">
        <v>3024</v>
      </c>
      <c r="E134" s="33" t="s">
        <v>2918</v>
      </c>
      <c r="F134" s="33" t="s">
        <v>2894</v>
      </c>
      <c r="G134" s="33" t="s">
        <v>2918</v>
      </c>
      <c r="H134" s="33" t="s">
        <v>2918</v>
      </c>
      <c r="I134" s="33" t="s">
        <v>2899</v>
      </c>
    </row>
    <row x14ac:dyDescent="0.25" r="135" customHeight="1" ht="15.75">
      <c r="A135" s="13" t="s">
        <v>512</v>
      </c>
      <c r="B135" s="13" t="s">
        <v>2734</v>
      </c>
      <c r="C135" s="32" t="s">
        <v>3234</v>
      </c>
      <c r="D135" s="33" t="s">
        <v>2936</v>
      </c>
      <c r="E135" s="33" t="s">
        <v>2925</v>
      </c>
      <c r="F135" s="33" t="s">
        <v>3092</v>
      </c>
      <c r="G135" s="33" t="s">
        <v>3092</v>
      </c>
      <c r="H135" s="33" t="s">
        <v>3214</v>
      </c>
      <c r="I135" s="33" t="s">
        <v>3092</v>
      </c>
    </row>
    <row x14ac:dyDescent="0.25" r="136" customHeight="1" ht="15.75">
      <c r="A136" s="13" t="s">
        <v>512</v>
      </c>
      <c r="B136" s="13" t="s">
        <v>2690</v>
      </c>
      <c r="C136" s="32" t="s">
        <v>3235</v>
      </c>
      <c r="D136" s="33" t="s">
        <v>3099</v>
      </c>
      <c r="E136" s="33" t="s">
        <v>2898</v>
      </c>
      <c r="F136" s="33" t="s">
        <v>3101</v>
      </c>
      <c r="G136" s="33" t="s">
        <v>2966</v>
      </c>
      <c r="H136" s="33" t="s">
        <v>2932</v>
      </c>
      <c r="I136" s="33" t="s">
        <v>3074</v>
      </c>
    </row>
    <row x14ac:dyDescent="0.25" r="137" customHeight="1" ht="15.75">
      <c r="A137" s="13" t="s">
        <v>38</v>
      </c>
      <c r="B137" s="13" t="s">
        <v>58</v>
      </c>
      <c r="C137" s="32" t="s">
        <v>3236</v>
      </c>
      <c r="D137" s="33" t="s">
        <v>2843</v>
      </c>
      <c r="E137" s="33" t="s">
        <v>2843</v>
      </c>
      <c r="F137" s="33" t="s">
        <v>2843</v>
      </c>
      <c r="G137" s="33" t="s">
        <v>2843</v>
      </c>
      <c r="H137" s="33" t="s">
        <v>2843</v>
      </c>
      <c r="I137" s="33" t="s">
        <v>2843</v>
      </c>
    </row>
    <row x14ac:dyDescent="0.25" r="138" customHeight="1" ht="15.75">
      <c r="A138" s="13" t="s">
        <v>38</v>
      </c>
      <c r="B138" s="13" t="s">
        <v>40</v>
      </c>
      <c r="C138" s="32" t="s">
        <v>3236</v>
      </c>
      <c r="D138" s="33" t="s">
        <v>2843</v>
      </c>
      <c r="E138" s="33" t="s">
        <v>2843</v>
      </c>
      <c r="F138" s="33" t="s">
        <v>2843</v>
      </c>
      <c r="G138" s="33" t="s">
        <v>2843</v>
      </c>
      <c r="H138" s="33" t="s">
        <v>2843</v>
      </c>
      <c r="I138" s="33" t="s">
        <v>2843</v>
      </c>
    </row>
    <row x14ac:dyDescent="0.25" r="139" customHeight="1" ht="15.75">
      <c r="A139" s="13" t="s">
        <v>38</v>
      </c>
      <c r="B139" s="13" t="s">
        <v>48</v>
      </c>
      <c r="C139" s="32" t="s">
        <v>3236</v>
      </c>
      <c r="D139" s="33" t="s">
        <v>2843</v>
      </c>
      <c r="E139" s="33" t="s">
        <v>2843</v>
      </c>
      <c r="F139" s="33" t="s">
        <v>2843</v>
      </c>
      <c r="G139" s="33" t="s">
        <v>2843</v>
      </c>
      <c r="H139" s="33" t="s">
        <v>2843</v>
      </c>
      <c r="I139" s="33" t="s">
        <v>2843</v>
      </c>
    </row>
    <row x14ac:dyDescent="0.25" r="140" customHeight="1" ht="15.75">
      <c r="A140" s="13" t="s">
        <v>38</v>
      </c>
      <c r="B140" s="13" t="s">
        <v>65</v>
      </c>
      <c r="C140" s="32" t="s">
        <v>3236</v>
      </c>
      <c r="D140" s="33" t="s">
        <v>2843</v>
      </c>
      <c r="E140" s="33" t="s">
        <v>2843</v>
      </c>
      <c r="F140" s="33" t="s">
        <v>2843</v>
      </c>
      <c r="G140" s="33" t="s">
        <v>2843</v>
      </c>
      <c r="H140" s="33" t="s">
        <v>2843</v>
      </c>
      <c r="I140" s="33" t="s">
        <v>2843</v>
      </c>
    </row>
    <row x14ac:dyDescent="0.25" r="141" customHeight="1" ht="15.75">
      <c r="A141" s="13" t="s">
        <v>38</v>
      </c>
      <c r="B141" s="13" t="s">
        <v>45</v>
      </c>
      <c r="C141" s="32" t="s">
        <v>3236</v>
      </c>
      <c r="D141" s="33" t="s">
        <v>2843</v>
      </c>
      <c r="E141" s="33" t="s">
        <v>2843</v>
      </c>
      <c r="F141" s="33" t="s">
        <v>2843</v>
      </c>
      <c r="G141" s="33" t="s">
        <v>2843</v>
      </c>
      <c r="H141" s="33" t="s">
        <v>2843</v>
      </c>
      <c r="I141" s="33" t="s">
        <v>2843</v>
      </c>
    </row>
    <row x14ac:dyDescent="0.25" r="142" customHeight="1" ht="15.75">
      <c r="A142" s="13" t="s">
        <v>38</v>
      </c>
      <c r="B142" s="13" t="s">
        <v>46</v>
      </c>
      <c r="C142" s="32" t="s">
        <v>3236</v>
      </c>
      <c r="D142" s="33" t="s">
        <v>2843</v>
      </c>
      <c r="E142" s="33" t="s">
        <v>2843</v>
      </c>
      <c r="F142" s="33" t="s">
        <v>2843</v>
      </c>
      <c r="G142" s="33" t="s">
        <v>2843</v>
      </c>
      <c r="H142" s="33" t="s">
        <v>2843</v>
      </c>
      <c r="I142" s="33" t="s">
        <v>2843</v>
      </c>
    </row>
    <row x14ac:dyDescent="0.25" r="143" customHeight="1" ht="15.75">
      <c r="A143" s="13" t="s">
        <v>184</v>
      </c>
      <c r="B143" s="13" t="s">
        <v>301</v>
      </c>
      <c r="C143" s="32" t="s">
        <v>3237</v>
      </c>
      <c r="D143" s="33" t="s">
        <v>3225</v>
      </c>
      <c r="E143" s="33" t="s">
        <v>3238</v>
      </c>
      <c r="F143" s="33" t="s">
        <v>2976</v>
      </c>
      <c r="G143" s="33" t="s">
        <v>2891</v>
      </c>
      <c r="H143" s="33" t="s">
        <v>2865</v>
      </c>
      <c r="I143" s="33" t="s">
        <v>3041</v>
      </c>
    </row>
    <row x14ac:dyDescent="0.25" r="144" customHeight="1" ht="15.75">
      <c r="A144" s="13" t="s">
        <v>184</v>
      </c>
      <c r="B144" s="13" t="s">
        <v>847</v>
      </c>
      <c r="C144" s="32" t="s">
        <v>3239</v>
      </c>
      <c r="D144" s="33" t="s">
        <v>3240</v>
      </c>
      <c r="E144" s="33" t="s">
        <v>2884</v>
      </c>
      <c r="F144" s="33" t="s">
        <v>2974</v>
      </c>
      <c r="G144" s="33" t="s">
        <v>3103</v>
      </c>
      <c r="H144" s="33" t="s">
        <v>3241</v>
      </c>
      <c r="I144" s="33" t="s">
        <v>3115</v>
      </c>
    </row>
    <row x14ac:dyDescent="0.25" r="145" customHeight="1" ht="15.75">
      <c r="A145" s="13" t="s">
        <v>184</v>
      </c>
      <c r="B145" s="13" t="s">
        <v>713</v>
      </c>
      <c r="C145" s="32" t="s">
        <v>3242</v>
      </c>
      <c r="D145" s="33" t="s">
        <v>2936</v>
      </c>
      <c r="E145" s="33" t="s">
        <v>2836</v>
      </c>
      <c r="F145" s="33" t="s">
        <v>3184</v>
      </c>
      <c r="G145" s="33" t="s">
        <v>3021</v>
      </c>
      <c r="H145" s="33" t="s">
        <v>3209</v>
      </c>
      <c r="I145" s="33" t="s">
        <v>3243</v>
      </c>
    </row>
    <row x14ac:dyDescent="0.25" r="146" customHeight="1" ht="15.75">
      <c r="A146" s="13" t="s">
        <v>184</v>
      </c>
      <c r="B146" s="13" t="s">
        <v>429</v>
      </c>
      <c r="C146" s="32" t="s">
        <v>3244</v>
      </c>
      <c r="D146" s="33" t="s">
        <v>3184</v>
      </c>
      <c r="E146" s="33" t="s">
        <v>3154</v>
      </c>
      <c r="F146" s="33" t="s">
        <v>2963</v>
      </c>
      <c r="G146" s="33" t="s">
        <v>3184</v>
      </c>
      <c r="H146" s="33" t="s">
        <v>3154</v>
      </c>
      <c r="I146" s="33" t="s">
        <v>2919</v>
      </c>
    </row>
    <row x14ac:dyDescent="0.25" r="147" customHeight="1" ht="15.75">
      <c r="A147" s="13" t="s">
        <v>184</v>
      </c>
      <c r="B147" s="13" t="s">
        <v>383</v>
      </c>
      <c r="C147" s="32" t="s">
        <v>2886</v>
      </c>
      <c r="D147" s="33" t="s">
        <v>3245</v>
      </c>
      <c r="E147" s="33" t="s">
        <v>2893</v>
      </c>
      <c r="F147" s="33" t="s">
        <v>2940</v>
      </c>
      <c r="G147" s="33" t="s">
        <v>3165</v>
      </c>
      <c r="H147" s="33" t="s">
        <v>2892</v>
      </c>
      <c r="I147" s="33" t="s">
        <v>2913</v>
      </c>
    </row>
    <row x14ac:dyDescent="0.25" r="148" customHeight="1" ht="15.75">
      <c r="A148" s="13" t="s">
        <v>184</v>
      </c>
      <c r="B148" s="13" t="s">
        <v>1874</v>
      </c>
      <c r="C148" s="32" t="s">
        <v>3246</v>
      </c>
      <c r="D148" s="33" t="s">
        <v>2923</v>
      </c>
      <c r="E148" s="33" t="s">
        <v>3214</v>
      </c>
      <c r="F148" s="33" t="s">
        <v>2939</v>
      </c>
      <c r="G148" s="33" t="s">
        <v>3012</v>
      </c>
      <c r="H148" s="33" t="s">
        <v>3030</v>
      </c>
      <c r="I148" s="33" t="s">
        <v>3144</v>
      </c>
    </row>
    <row x14ac:dyDescent="0.25" r="149" customHeight="1" ht="15.75">
      <c r="A149" s="13" t="s">
        <v>184</v>
      </c>
      <c r="B149" s="13" t="s">
        <v>585</v>
      </c>
      <c r="C149" s="32" t="s">
        <v>3247</v>
      </c>
      <c r="D149" s="33" t="s">
        <v>3248</v>
      </c>
      <c r="E149" s="33" t="s">
        <v>3249</v>
      </c>
      <c r="F149" s="33" t="s">
        <v>3250</v>
      </c>
      <c r="G149" s="33" t="s">
        <v>3005</v>
      </c>
      <c r="H149" s="33" t="s">
        <v>3251</v>
      </c>
      <c r="I149" s="33" t="s">
        <v>3252</v>
      </c>
    </row>
    <row x14ac:dyDescent="0.25" r="150" customHeight="1" ht="15.75">
      <c r="A150" s="13" t="s">
        <v>184</v>
      </c>
      <c r="B150" s="13" t="s">
        <v>1445</v>
      </c>
      <c r="C150" s="32" t="s">
        <v>3253</v>
      </c>
      <c r="D150" s="33" t="s">
        <v>3086</v>
      </c>
      <c r="E150" s="33" t="s">
        <v>3099</v>
      </c>
      <c r="F150" s="33" t="s">
        <v>3187</v>
      </c>
      <c r="G150" s="33" t="s">
        <v>3021</v>
      </c>
      <c r="H150" s="33" t="s">
        <v>3029</v>
      </c>
      <c r="I150" s="33" t="s">
        <v>3088</v>
      </c>
    </row>
    <row x14ac:dyDescent="0.25" r="151" customHeight="1" ht="15.75">
      <c r="A151" s="13" t="s">
        <v>184</v>
      </c>
      <c r="B151" s="13" t="s">
        <v>473</v>
      </c>
      <c r="C151" s="32" t="s">
        <v>2928</v>
      </c>
      <c r="D151" s="33" t="s">
        <v>3022</v>
      </c>
      <c r="E151" s="33" t="s">
        <v>3023</v>
      </c>
      <c r="F151" s="33" t="s">
        <v>2832</v>
      </c>
      <c r="G151" s="33" t="s">
        <v>2895</v>
      </c>
      <c r="H151" s="33" t="s">
        <v>3203</v>
      </c>
      <c r="I151" s="33" t="s">
        <v>3184</v>
      </c>
    </row>
    <row x14ac:dyDescent="0.25" r="152" customHeight="1" ht="15.75">
      <c r="A152" s="13" t="s">
        <v>184</v>
      </c>
      <c r="B152" s="13" t="s">
        <v>394</v>
      </c>
      <c r="C152" s="32" t="s">
        <v>3254</v>
      </c>
      <c r="D152" s="33" t="s">
        <v>3115</v>
      </c>
      <c r="E152" s="33" t="s">
        <v>2892</v>
      </c>
      <c r="F152" s="33" t="s">
        <v>3073</v>
      </c>
      <c r="G152" s="33" t="s">
        <v>3140</v>
      </c>
      <c r="H152" s="33" t="s">
        <v>3087</v>
      </c>
      <c r="I152" s="33" t="s">
        <v>3073</v>
      </c>
    </row>
    <row x14ac:dyDescent="0.25" r="153" customHeight="1" ht="15.75">
      <c r="A153" s="13" t="s">
        <v>184</v>
      </c>
      <c r="B153" s="13" t="s">
        <v>1038</v>
      </c>
      <c r="C153" s="32" t="s">
        <v>3255</v>
      </c>
      <c r="D153" s="33" t="s">
        <v>3069</v>
      </c>
      <c r="E153" s="33" t="s">
        <v>3041</v>
      </c>
      <c r="F153" s="33" t="s">
        <v>3256</v>
      </c>
      <c r="G153" s="33" t="s">
        <v>3094</v>
      </c>
      <c r="H153" s="33" t="s">
        <v>2957</v>
      </c>
      <c r="I153" s="33" t="s">
        <v>2924</v>
      </c>
    </row>
    <row x14ac:dyDescent="0.25" r="154" customHeight="1" ht="15.75">
      <c r="A154" s="13" t="s">
        <v>184</v>
      </c>
      <c r="B154" s="13" t="s">
        <v>913</v>
      </c>
      <c r="C154" s="32" t="s">
        <v>3257</v>
      </c>
      <c r="D154" s="33" t="s">
        <v>3186</v>
      </c>
      <c r="E154" s="33" t="s">
        <v>2936</v>
      </c>
      <c r="F154" s="33" t="s">
        <v>3214</v>
      </c>
      <c r="G154" s="33" t="s">
        <v>3088</v>
      </c>
      <c r="H154" s="33" t="s">
        <v>3088</v>
      </c>
      <c r="I154" s="33" t="s">
        <v>2960</v>
      </c>
    </row>
    <row x14ac:dyDescent="0.25" r="155" customHeight="1" ht="15.75">
      <c r="A155" s="13" t="s">
        <v>184</v>
      </c>
      <c r="B155" s="13" t="s">
        <v>945</v>
      </c>
      <c r="C155" s="32" t="s">
        <v>3258</v>
      </c>
      <c r="D155" s="33" t="s">
        <v>2836</v>
      </c>
      <c r="E155" s="33" t="s">
        <v>2930</v>
      </c>
      <c r="F155" s="33" t="s">
        <v>3033</v>
      </c>
      <c r="G155" s="33" t="s">
        <v>2921</v>
      </c>
      <c r="H155" s="33" t="s">
        <v>3134</v>
      </c>
      <c r="I155" s="33" t="s">
        <v>2970</v>
      </c>
    </row>
    <row x14ac:dyDescent="0.25" r="156" customHeight="1" ht="15.75">
      <c r="A156" s="13" t="s">
        <v>184</v>
      </c>
      <c r="B156" s="13" t="s">
        <v>855</v>
      </c>
      <c r="C156" s="32" t="s">
        <v>3259</v>
      </c>
      <c r="D156" s="33" t="s">
        <v>2909</v>
      </c>
      <c r="E156" s="33" t="s">
        <v>3085</v>
      </c>
      <c r="F156" s="33" t="s">
        <v>2960</v>
      </c>
      <c r="G156" s="33" t="s">
        <v>2962</v>
      </c>
      <c r="H156" s="33" t="s">
        <v>3214</v>
      </c>
      <c r="I156" s="33" t="s">
        <v>3144</v>
      </c>
    </row>
    <row x14ac:dyDescent="0.25" r="157" customHeight="1" ht="15.75">
      <c r="A157" s="13" t="s">
        <v>184</v>
      </c>
      <c r="B157" s="13" t="s">
        <v>839</v>
      </c>
      <c r="C157" s="32" t="s">
        <v>3260</v>
      </c>
      <c r="D157" s="33" t="s">
        <v>2938</v>
      </c>
      <c r="E157" s="33" t="s">
        <v>2832</v>
      </c>
      <c r="F157" s="33" t="s">
        <v>3018</v>
      </c>
      <c r="G157" s="33" t="s">
        <v>2940</v>
      </c>
      <c r="H157" s="33" t="s">
        <v>2940</v>
      </c>
      <c r="I157" s="33" t="s">
        <v>3021</v>
      </c>
    </row>
    <row x14ac:dyDescent="0.25" r="158" customHeight="1" ht="15.75">
      <c r="A158" s="13" t="s">
        <v>184</v>
      </c>
      <c r="B158" s="13" t="s">
        <v>1699</v>
      </c>
      <c r="C158" s="32" t="s">
        <v>3261</v>
      </c>
      <c r="D158" s="33" t="s">
        <v>3105</v>
      </c>
      <c r="E158" s="33" t="s">
        <v>3158</v>
      </c>
      <c r="F158" s="33" t="s">
        <v>3106</v>
      </c>
      <c r="G158" s="33" t="s">
        <v>3243</v>
      </c>
      <c r="H158" s="33" t="s">
        <v>2935</v>
      </c>
      <c r="I158" s="33" t="s">
        <v>2989</v>
      </c>
    </row>
    <row x14ac:dyDescent="0.25" r="159" customHeight="1" ht="15.75">
      <c r="A159" s="13" t="s">
        <v>184</v>
      </c>
      <c r="B159" s="13" t="s">
        <v>1414</v>
      </c>
      <c r="C159" s="32" t="s">
        <v>3261</v>
      </c>
      <c r="D159" s="33" t="s">
        <v>3050</v>
      </c>
      <c r="E159" s="33" t="s">
        <v>3050</v>
      </c>
      <c r="F159" s="33" t="s">
        <v>2857</v>
      </c>
      <c r="G159" s="33" t="s">
        <v>2914</v>
      </c>
      <c r="H159" s="33" t="s">
        <v>2980</v>
      </c>
      <c r="I159" s="33" t="s">
        <v>3050</v>
      </c>
    </row>
    <row x14ac:dyDescent="0.25" r="160" customHeight="1" ht="15.75">
      <c r="A160" s="13" t="s">
        <v>184</v>
      </c>
      <c r="B160" s="13" t="s">
        <v>817</v>
      </c>
      <c r="C160" s="32" t="s">
        <v>2944</v>
      </c>
      <c r="D160" s="33" t="s">
        <v>2957</v>
      </c>
      <c r="E160" s="33" t="s">
        <v>2987</v>
      </c>
      <c r="F160" s="33" t="s">
        <v>2885</v>
      </c>
      <c r="G160" s="33" t="s">
        <v>2926</v>
      </c>
      <c r="H160" s="33" t="s">
        <v>2964</v>
      </c>
      <c r="I160" s="33" t="s">
        <v>2930</v>
      </c>
    </row>
    <row x14ac:dyDescent="0.25" r="161" customHeight="1" ht="15.75">
      <c r="A161" s="13" t="s">
        <v>184</v>
      </c>
      <c r="B161" s="13" t="s">
        <v>1324</v>
      </c>
      <c r="C161" s="32" t="s">
        <v>2952</v>
      </c>
      <c r="D161" s="33" t="s">
        <v>3045</v>
      </c>
      <c r="E161" s="33" t="s">
        <v>3262</v>
      </c>
      <c r="F161" s="33" t="s">
        <v>3263</v>
      </c>
      <c r="G161" s="33" t="s">
        <v>3264</v>
      </c>
      <c r="H161" s="33" t="s">
        <v>3265</v>
      </c>
      <c r="I161" s="33" t="s">
        <v>3037</v>
      </c>
    </row>
    <row x14ac:dyDescent="0.25" r="162" customHeight="1" ht="15.75">
      <c r="A162" s="13" t="s">
        <v>184</v>
      </c>
      <c r="B162" s="13" t="s">
        <v>1075</v>
      </c>
      <c r="C162" s="32" t="s">
        <v>3266</v>
      </c>
      <c r="D162" s="33" t="s">
        <v>2933</v>
      </c>
      <c r="E162" s="33" t="s">
        <v>3010</v>
      </c>
      <c r="F162" s="33" t="s">
        <v>3134</v>
      </c>
      <c r="G162" s="33" t="s">
        <v>3094</v>
      </c>
      <c r="H162" s="33" t="s">
        <v>3148</v>
      </c>
      <c r="I162" s="33" t="s">
        <v>3267</v>
      </c>
    </row>
    <row x14ac:dyDescent="0.25" r="163" customHeight="1" ht="15.75">
      <c r="A163" s="13" t="s">
        <v>184</v>
      </c>
      <c r="B163" s="13" t="s">
        <v>1592</v>
      </c>
      <c r="C163" s="32" t="s">
        <v>3266</v>
      </c>
      <c r="D163" s="33" t="s">
        <v>2995</v>
      </c>
      <c r="E163" s="33" t="s">
        <v>3216</v>
      </c>
      <c r="F163" s="33" t="s">
        <v>2938</v>
      </c>
      <c r="G163" s="33" t="s">
        <v>3022</v>
      </c>
      <c r="H163" s="33" t="s">
        <v>2897</v>
      </c>
      <c r="I163" s="33" t="s">
        <v>3122</v>
      </c>
    </row>
    <row x14ac:dyDescent="0.25" r="164" customHeight="1" ht="15.75">
      <c r="A164" s="13" t="s">
        <v>184</v>
      </c>
      <c r="B164" s="13" t="s">
        <v>192</v>
      </c>
      <c r="C164" s="32" t="s">
        <v>3266</v>
      </c>
      <c r="D164" s="33" t="s">
        <v>2882</v>
      </c>
      <c r="E164" s="33" t="s">
        <v>2966</v>
      </c>
      <c r="F164" s="33" t="s">
        <v>3154</v>
      </c>
      <c r="G164" s="33" t="s">
        <v>3191</v>
      </c>
      <c r="H164" s="33" t="s">
        <v>3196</v>
      </c>
      <c r="I164" s="33" t="s">
        <v>2965</v>
      </c>
    </row>
    <row x14ac:dyDescent="0.25" r="165" customHeight="1" ht="15.75">
      <c r="A165" s="13" t="s">
        <v>184</v>
      </c>
      <c r="B165" s="13" t="s">
        <v>868</v>
      </c>
      <c r="C165" s="32" t="s">
        <v>3268</v>
      </c>
      <c r="D165" s="33" t="s">
        <v>3087</v>
      </c>
      <c r="E165" s="33" t="s">
        <v>3073</v>
      </c>
      <c r="F165" s="33" t="s">
        <v>3023</v>
      </c>
      <c r="G165" s="33" t="s">
        <v>3099</v>
      </c>
      <c r="H165" s="33" t="s">
        <v>2919</v>
      </c>
      <c r="I165" s="33" t="s">
        <v>2897</v>
      </c>
    </row>
    <row x14ac:dyDescent="0.25" r="166" customHeight="1" ht="15.75">
      <c r="A166" s="13" t="s">
        <v>184</v>
      </c>
      <c r="B166" s="13" t="s">
        <v>1388</v>
      </c>
      <c r="C166" s="32" t="s">
        <v>3269</v>
      </c>
      <c r="D166" s="33" t="s">
        <v>3270</v>
      </c>
      <c r="E166" s="33" t="s">
        <v>3271</v>
      </c>
      <c r="F166" s="33" t="s">
        <v>3172</v>
      </c>
      <c r="G166" s="33" t="s">
        <v>3272</v>
      </c>
      <c r="H166" s="33" t="s">
        <v>3273</v>
      </c>
      <c r="I166" s="33" t="s">
        <v>3085</v>
      </c>
    </row>
    <row x14ac:dyDescent="0.25" r="167" customHeight="1" ht="15.75">
      <c r="A167" s="13" t="s">
        <v>184</v>
      </c>
      <c r="B167" s="13" t="s">
        <v>654</v>
      </c>
      <c r="C167" s="32" t="s">
        <v>3190</v>
      </c>
      <c r="D167" s="33" t="s">
        <v>3201</v>
      </c>
      <c r="E167" s="33" t="s">
        <v>3107</v>
      </c>
      <c r="F167" s="33" t="s">
        <v>2939</v>
      </c>
      <c r="G167" s="33" t="s">
        <v>2919</v>
      </c>
      <c r="H167" s="33" t="s">
        <v>2940</v>
      </c>
      <c r="I167" s="33" t="s">
        <v>2832</v>
      </c>
    </row>
    <row x14ac:dyDescent="0.25" r="168" customHeight="1" ht="15.75">
      <c r="A168" s="13" t="s">
        <v>184</v>
      </c>
      <c r="B168" s="13" t="s">
        <v>2141</v>
      </c>
      <c r="C168" s="32" t="s">
        <v>3274</v>
      </c>
      <c r="D168" s="33" t="s">
        <v>3162</v>
      </c>
      <c r="E168" s="33" t="s">
        <v>3163</v>
      </c>
      <c r="F168" s="33" t="s">
        <v>3275</v>
      </c>
      <c r="G168" s="33" t="s">
        <v>3134</v>
      </c>
      <c r="H168" s="33" t="s">
        <v>2930</v>
      </c>
      <c r="I168" s="33" t="s">
        <v>3245</v>
      </c>
    </row>
    <row x14ac:dyDescent="0.25" r="169" customHeight="1" ht="15.75">
      <c r="A169" s="13" t="s">
        <v>184</v>
      </c>
      <c r="B169" s="13" t="s">
        <v>1974</v>
      </c>
      <c r="C169" s="32" t="s">
        <v>3274</v>
      </c>
      <c r="D169" s="33" t="s">
        <v>3152</v>
      </c>
      <c r="E169" s="33" t="s">
        <v>3000</v>
      </c>
      <c r="F169" s="33" t="s">
        <v>3152</v>
      </c>
      <c r="G169" s="33" t="s">
        <v>2998</v>
      </c>
      <c r="H169" s="33" t="s">
        <v>3276</v>
      </c>
      <c r="I169" s="33" t="s">
        <v>3276</v>
      </c>
    </row>
    <row x14ac:dyDescent="0.25" r="170" customHeight="1" ht="15.75">
      <c r="A170" s="13" t="s">
        <v>184</v>
      </c>
      <c r="B170" s="13" t="s">
        <v>2329</v>
      </c>
      <c r="C170" s="32" t="s">
        <v>3277</v>
      </c>
      <c r="D170" s="33" t="s">
        <v>3278</v>
      </c>
      <c r="E170" s="33" t="s">
        <v>2872</v>
      </c>
      <c r="F170" s="33" t="s">
        <v>3033</v>
      </c>
      <c r="G170" s="33" t="s">
        <v>3159</v>
      </c>
      <c r="H170" s="33" t="s">
        <v>2897</v>
      </c>
      <c r="I170" s="33" t="s">
        <v>3100</v>
      </c>
    </row>
    <row x14ac:dyDescent="0.25" r="171" customHeight="1" ht="15.75">
      <c r="A171" s="13" t="s">
        <v>184</v>
      </c>
      <c r="B171" s="13" t="s">
        <v>1496</v>
      </c>
      <c r="C171" s="32" t="s">
        <v>3279</v>
      </c>
      <c r="D171" s="33" t="s">
        <v>3280</v>
      </c>
      <c r="E171" s="33" t="s">
        <v>2953</v>
      </c>
      <c r="F171" s="33" t="s">
        <v>3281</v>
      </c>
      <c r="G171" s="33" t="s">
        <v>3282</v>
      </c>
      <c r="H171" s="33" t="s">
        <v>3002</v>
      </c>
      <c r="I171" s="33" t="s">
        <v>3283</v>
      </c>
    </row>
    <row x14ac:dyDescent="0.25" r="172" customHeight="1" ht="15.75">
      <c r="A172" s="13" t="s">
        <v>184</v>
      </c>
      <c r="B172" s="13" t="s">
        <v>2231</v>
      </c>
      <c r="C172" s="32" t="s">
        <v>3013</v>
      </c>
      <c r="D172" s="33" t="s">
        <v>3063</v>
      </c>
      <c r="E172" s="33" t="s">
        <v>3064</v>
      </c>
      <c r="F172" s="33" t="s">
        <v>3029</v>
      </c>
      <c r="G172" s="33" t="s">
        <v>2938</v>
      </c>
      <c r="H172" s="33" t="s">
        <v>3060</v>
      </c>
      <c r="I172" s="33" t="s">
        <v>2965</v>
      </c>
    </row>
    <row x14ac:dyDescent="0.25" r="173" customHeight="1" ht="15.75">
      <c r="A173" s="13" t="s">
        <v>184</v>
      </c>
      <c r="B173" s="13" t="s">
        <v>1451</v>
      </c>
      <c r="C173" s="32" t="s">
        <v>3279</v>
      </c>
      <c r="D173" s="33" t="s">
        <v>3170</v>
      </c>
      <c r="E173" s="33" t="s">
        <v>2979</v>
      </c>
      <c r="F173" s="33" t="s">
        <v>3156</v>
      </c>
      <c r="G173" s="33" t="s">
        <v>2983</v>
      </c>
      <c r="H173" s="33" t="s">
        <v>2981</v>
      </c>
      <c r="I173" s="33" t="s">
        <v>2914</v>
      </c>
    </row>
    <row x14ac:dyDescent="0.25" r="174" customHeight="1" ht="15.75">
      <c r="A174" s="13" t="s">
        <v>184</v>
      </c>
      <c r="B174" s="13" t="s">
        <v>1744</v>
      </c>
      <c r="C174" s="32" t="s">
        <v>3284</v>
      </c>
      <c r="D174" s="33" t="s">
        <v>2897</v>
      </c>
      <c r="E174" s="33" t="s">
        <v>3285</v>
      </c>
      <c r="F174" s="33" t="s">
        <v>2961</v>
      </c>
      <c r="G174" s="33" t="s">
        <v>2842</v>
      </c>
      <c r="H174" s="33" t="s">
        <v>3086</v>
      </c>
      <c r="I174" s="33" t="s">
        <v>3022</v>
      </c>
    </row>
    <row x14ac:dyDescent="0.25" r="175" customHeight="1" ht="15.75">
      <c r="A175" s="13" t="s">
        <v>184</v>
      </c>
      <c r="B175" s="13" t="s">
        <v>2031</v>
      </c>
      <c r="C175" s="32" t="s">
        <v>3286</v>
      </c>
      <c r="D175" s="33" t="s">
        <v>3287</v>
      </c>
      <c r="E175" s="33" t="s">
        <v>2830</v>
      </c>
      <c r="F175" s="33" t="s">
        <v>3288</v>
      </c>
      <c r="G175" s="33" t="s">
        <v>3289</v>
      </c>
      <c r="H175" s="33" t="s">
        <v>3290</v>
      </c>
      <c r="I175" s="33" t="s">
        <v>3283</v>
      </c>
    </row>
    <row x14ac:dyDescent="0.25" r="176" customHeight="1" ht="15.75">
      <c r="A176" s="13" t="s">
        <v>184</v>
      </c>
      <c r="B176" s="13" t="s">
        <v>1684</v>
      </c>
      <c r="C176" s="32" t="s">
        <v>3286</v>
      </c>
      <c r="D176" s="33" t="s">
        <v>3278</v>
      </c>
      <c r="E176" s="33" t="s">
        <v>3145</v>
      </c>
      <c r="F176" s="33" t="s">
        <v>2927</v>
      </c>
      <c r="G176" s="33" t="s">
        <v>3209</v>
      </c>
      <c r="H176" s="33" t="s">
        <v>3103</v>
      </c>
      <c r="I176" s="33" t="s">
        <v>2988</v>
      </c>
    </row>
    <row x14ac:dyDescent="0.25" r="177" customHeight="1" ht="15.75">
      <c r="A177" s="13" t="s">
        <v>184</v>
      </c>
      <c r="B177" s="13" t="s">
        <v>1545</v>
      </c>
      <c r="C177" s="32" t="s">
        <v>3286</v>
      </c>
      <c r="D177" s="33" t="s">
        <v>2935</v>
      </c>
      <c r="E177" s="33" t="s">
        <v>2961</v>
      </c>
      <c r="F177" s="33" t="s">
        <v>3159</v>
      </c>
      <c r="G177" s="33" t="s">
        <v>3086</v>
      </c>
      <c r="H177" s="33" t="s">
        <v>3187</v>
      </c>
      <c r="I177" s="33" t="s">
        <v>3154</v>
      </c>
    </row>
    <row x14ac:dyDescent="0.25" r="178" customHeight="1" ht="15.75">
      <c r="A178" s="13" t="s">
        <v>184</v>
      </c>
      <c r="B178" s="13" t="s">
        <v>270</v>
      </c>
      <c r="C178" s="32" t="s">
        <v>3291</v>
      </c>
      <c r="D178" s="33" t="s">
        <v>3216</v>
      </c>
      <c r="E178" s="33" t="s">
        <v>3050</v>
      </c>
      <c r="F178" s="33" t="s">
        <v>2856</v>
      </c>
      <c r="G178" s="33" t="s">
        <v>2979</v>
      </c>
      <c r="H178" s="33" t="s">
        <v>2893</v>
      </c>
      <c r="I178" s="33" t="s">
        <v>2980</v>
      </c>
    </row>
    <row x14ac:dyDescent="0.25" r="179" customHeight="1" ht="15.75">
      <c r="A179" s="13" t="s">
        <v>184</v>
      </c>
      <c r="B179" s="13" t="s">
        <v>806</v>
      </c>
      <c r="C179" s="32" t="s">
        <v>3292</v>
      </c>
      <c r="D179" s="33" t="s">
        <v>3138</v>
      </c>
      <c r="E179" s="33" t="s">
        <v>2858</v>
      </c>
      <c r="F179" s="33" t="s">
        <v>3137</v>
      </c>
      <c r="G179" s="33" t="s">
        <v>3136</v>
      </c>
      <c r="H179" s="33" t="s">
        <v>2888</v>
      </c>
      <c r="I179" s="33" t="s">
        <v>2858</v>
      </c>
    </row>
    <row x14ac:dyDescent="0.25" r="180" customHeight="1" ht="15.75">
      <c r="A180" s="13" t="s">
        <v>184</v>
      </c>
      <c r="B180" s="13" t="s">
        <v>1725</v>
      </c>
      <c r="C180" s="32" t="s">
        <v>3293</v>
      </c>
      <c r="D180" s="33" t="s">
        <v>3030</v>
      </c>
      <c r="E180" s="33" t="s">
        <v>3191</v>
      </c>
      <c r="F180" s="33" t="s">
        <v>3294</v>
      </c>
      <c r="G180" s="33" t="s">
        <v>3214</v>
      </c>
      <c r="H180" s="33" t="s">
        <v>2988</v>
      </c>
      <c r="I180" s="33" t="s">
        <v>3294</v>
      </c>
    </row>
    <row x14ac:dyDescent="0.25" r="181" customHeight="1" ht="15.75">
      <c r="A181" s="13" t="s">
        <v>184</v>
      </c>
      <c r="B181" s="13" t="s">
        <v>686</v>
      </c>
      <c r="C181" s="32" t="s">
        <v>3065</v>
      </c>
      <c r="D181" s="33" t="s">
        <v>3240</v>
      </c>
      <c r="E181" s="33" t="s">
        <v>3046</v>
      </c>
      <c r="F181" s="33" t="s">
        <v>2989</v>
      </c>
      <c r="G181" s="33" t="s">
        <v>3046</v>
      </c>
      <c r="H181" s="33" t="s">
        <v>3243</v>
      </c>
      <c r="I181" s="33" t="s">
        <v>3030</v>
      </c>
    </row>
    <row x14ac:dyDescent="0.25" r="182" customHeight="1" ht="15.75">
      <c r="A182" s="13" t="s">
        <v>184</v>
      </c>
      <c r="B182" s="13" t="s">
        <v>792</v>
      </c>
      <c r="C182" s="32" t="s">
        <v>3199</v>
      </c>
      <c r="D182" s="33" t="s">
        <v>3295</v>
      </c>
      <c r="E182" s="33" t="s">
        <v>3296</v>
      </c>
      <c r="F182" s="33" t="s">
        <v>3125</v>
      </c>
      <c r="G182" s="33" t="s">
        <v>3149</v>
      </c>
      <c r="H182" s="33" t="s">
        <v>3064</v>
      </c>
      <c r="I182" s="33" t="s">
        <v>3132</v>
      </c>
    </row>
    <row x14ac:dyDescent="0.25" r="183" customHeight="1" ht="15.75">
      <c r="A183" s="13" t="s">
        <v>184</v>
      </c>
      <c r="B183" s="13" t="s">
        <v>828</v>
      </c>
      <c r="C183" s="32" t="s">
        <v>3297</v>
      </c>
      <c r="D183" s="33" t="s">
        <v>2965</v>
      </c>
      <c r="E183" s="33" t="s">
        <v>2970</v>
      </c>
      <c r="F183" s="33" t="s">
        <v>2844</v>
      </c>
      <c r="G183" s="33" t="s">
        <v>3067</v>
      </c>
      <c r="H183" s="33" t="s">
        <v>3168</v>
      </c>
      <c r="I183" s="33" t="s">
        <v>3052</v>
      </c>
    </row>
    <row x14ac:dyDescent="0.25" r="184" customHeight="1" ht="15.75">
      <c r="A184" s="13" t="s">
        <v>184</v>
      </c>
      <c r="B184" s="13" t="s">
        <v>666</v>
      </c>
      <c r="C184" s="32" t="s">
        <v>3298</v>
      </c>
      <c r="D184" s="33" t="s">
        <v>3022</v>
      </c>
      <c r="E184" s="33" t="s">
        <v>3031</v>
      </c>
      <c r="F184" s="33" t="s">
        <v>3112</v>
      </c>
      <c r="G184" s="33" t="s">
        <v>3064</v>
      </c>
      <c r="H184" s="33" t="s">
        <v>3028</v>
      </c>
      <c r="I184" s="33" t="s">
        <v>3095</v>
      </c>
    </row>
    <row x14ac:dyDescent="0.25" r="185" customHeight="1" ht="15.75">
      <c r="A185" s="13" t="s">
        <v>184</v>
      </c>
      <c r="B185" s="13" t="s">
        <v>1010</v>
      </c>
      <c r="C185" s="32" t="s">
        <v>3299</v>
      </c>
      <c r="D185" s="33" t="s">
        <v>3105</v>
      </c>
      <c r="E185" s="33" t="s">
        <v>3080</v>
      </c>
      <c r="F185" s="33" t="s">
        <v>3011</v>
      </c>
      <c r="G185" s="33" t="s">
        <v>3186</v>
      </c>
      <c r="H185" s="33" t="s">
        <v>3012</v>
      </c>
      <c r="I185" s="33" t="s">
        <v>3028</v>
      </c>
    </row>
    <row x14ac:dyDescent="0.25" r="186" customHeight="1" ht="15.75">
      <c r="A186" s="13" t="s">
        <v>184</v>
      </c>
      <c r="B186" s="13" t="s">
        <v>755</v>
      </c>
      <c r="C186" s="32" t="s">
        <v>3300</v>
      </c>
      <c r="D186" s="33" t="s">
        <v>3103</v>
      </c>
      <c r="E186" s="33" t="s">
        <v>2938</v>
      </c>
      <c r="F186" s="33" t="s">
        <v>2925</v>
      </c>
      <c r="G186" s="33" t="s">
        <v>2938</v>
      </c>
      <c r="H186" s="33" t="s">
        <v>3197</v>
      </c>
      <c r="I186" s="33" t="s">
        <v>2965</v>
      </c>
    </row>
    <row x14ac:dyDescent="0.25" r="187" customHeight="1" ht="15.75">
      <c r="A187" s="13" t="s">
        <v>184</v>
      </c>
      <c r="B187" s="13" t="s">
        <v>1073</v>
      </c>
      <c r="C187" s="32" t="s">
        <v>3300</v>
      </c>
      <c r="D187" s="33" t="s">
        <v>2882</v>
      </c>
      <c r="E187" s="33" t="s">
        <v>3058</v>
      </c>
      <c r="F187" s="33" t="s">
        <v>3023</v>
      </c>
      <c r="G187" s="33" t="s">
        <v>2920</v>
      </c>
      <c r="H187" s="33" t="s">
        <v>3301</v>
      </c>
      <c r="I187" s="33" t="s">
        <v>3023</v>
      </c>
    </row>
    <row x14ac:dyDescent="0.25" r="188" customHeight="1" ht="15.75">
      <c r="A188" s="13" t="s">
        <v>184</v>
      </c>
      <c r="B188" s="13" t="s">
        <v>1185</v>
      </c>
      <c r="C188" s="32" t="s">
        <v>3302</v>
      </c>
      <c r="D188" s="33" t="s">
        <v>3303</v>
      </c>
      <c r="E188" s="33" t="s">
        <v>3136</v>
      </c>
      <c r="F188" s="33" t="s">
        <v>3304</v>
      </c>
      <c r="G188" s="33" t="s">
        <v>3048</v>
      </c>
      <c r="H188" s="33" t="s">
        <v>3305</v>
      </c>
      <c r="I188" s="33" t="s">
        <v>3306</v>
      </c>
    </row>
    <row x14ac:dyDescent="0.25" r="189" customHeight="1" ht="15.75">
      <c r="A189" s="13" t="s">
        <v>184</v>
      </c>
      <c r="B189" s="13" t="s">
        <v>185</v>
      </c>
      <c r="C189" s="32" t="s">
        <v>3307</v>
      </c>
      <c r="D189" s="33" t="s">
        <v>3136</v>
      </c>
      <c r="E189" s="33" t="s">
        <v>2858</v>
      </c>
      <c r="F189" s="33" t="s">
        <v>2951</v>
      </c>
      <c r="G189" s="33" t="s">
        <v>2849</v>
      </c>
      <c r="H189" s="33" t="s">
        <v>2902</v>
      </c>
      <c r="I189" s="33" t="s">
        <v>2848</v>
      </c>
    </row>
    <row x14ac:dyDescent="0.25" r="190" customHeight="1" ht="15.75">
      <c r="A190" s="13" t="s">
        <v>184</v>
      </c>
      <c r="B190" s="13" t="s">
        <v>1071</v>
      </c>
      <c r="C190" s="32" t="s">
        <v>3308</v>
      </c>
      <c r="D190" s="33" t="s">
        <v>3085</v>
      </c>
      <c r="E190" s="33" t="s">
        <v>2974</v>
      </c>
      <c r="F190" s="33" t="s">
        <v>3081</v>
      </c>
      <c r="G190" s="33" t="s">
        <v>3158</v>
      </c>
      <c r="H190" s="33" t="s">
        <v>3037</v>
      </c>
      <c r="I190" s="33" t="s">
        <v>3038</v>
      </c>
    </row>
    <row x14ac:dyDescent="0.25" r="191" customHeight="1" ht="15.75">
      <c r="A191" s="13" t="s">
        <v>184</v>
      </c>
      <c r="B191" s="13" t="s">
        <v>1894</v>
      </c>
      <c r="C191" s="32" t="s">
        <v>3309</v>
      </c>
      <c r="D191" s="33" t="s">
        <v>3144</v>
      </c>
      <c r="E191" s="33" t="s">
        <v>2882</v>
      </c>
      <c r="F191" s="33" t="s">
        <v>2921</v>
      </c>
      <c r="G191" s="33" t="s">
        <v>3222</v>
      </c>
      <c r="H191" s="33" t="s">
        <v>3114</v>
      </c>
      <c r="I191" s="33" t="s">
        <v>3074</v>
      </c>
    </row>
    <row x14ac:dyDescent="0.25" r="192" customHeight="1" ht="15.75">
      <c r="A192" s="13" t="s">
        <v>184</v>
      </c>
      <c r="B192" s="13" t="s">
        <v>2145</v>
      </c>
      <c r="C192" s="32" t="s">
        <v>3097</v>
      </c>
      <c r="D192" s="33" t="s">
        <v>3085</v>
      </c>
      <c r="E192" s="33" t="s">
        <v>2987</v>
      </c>
      <c r="F192" s="33" t="s">
        <v>2931</v>
      </c>
      <c r="G192" s="33" t="s">
        <v>2882</v>
      </c>
      <c r="H192" s="33" t="s">
        <v>3031</v>
      </c>
      <c r="I192" s="33" t="s">
        <v>2921</v>
      </c>
    </row>
    <row x14ac:dyDescent="0.25" r="193" customHeight="1" ht="15.75">
      <c r="A193" s="13" t="s">
        <v>184</v>
      </c>
      <c r="B193" s="13" t="s">
        <v>2187</v>
      </c>
      <c r="C193" s="32" t="s">
        <v>3096</v>
      </c>
      <c r="D193" s="33" t="s">
        <v>2961</v>
      </c>
      <c r="E193" s="33" t="s">
        <v>2842</v>
      </c>
      <c r="F193" s="33" t="s">
        <v>2919</v>
      </c>
      <c r="G193" s="33" t="s">
        <v>3166</v>
      </c>
      <c r="H193" s="33" t="s">
        <v>2832</v>
      </c>
      <c r="I193" s="33" t="s">
        <v>3021</v>
      </c>
    </row>
    <row x14ac:dyDescent="0.25" r="194" customHeight="1" ht="15.75">
      <c r="A194" s="13" t="s">
        <v>184</v>
      </c>
      <c r="B194" s="13" t="s">
        <v>871</v>
      </c>
      <c r="C194" s="32" t="s">
        <v>3202</v>
      </c>
      <c r="D194" s="33" t="s">
        <v>3140</v>
      </c>
      <c r="E194" s="33" t="s">
        <v>2894</v>
      </c>
      <c r="F194" s="33" t="s">
        <v>2971</v>
      </c>
      <c r="G194" s="33" t="s">
        <v>2899</v>
      </c>
      <c r="H194" s="33" t="s">
        <v>2991</v>
      </c>
      <c r="I194" s="33" t="s">
        <v>2990</v>
      </c>
    </row>
    <row x14ac:dyDescent="0.25" r="195" customHeight="1" ht="15.75">
      <c r="A195" s="13" t="s">
        <v>184</v>
      </c>
      <c r="B195" s="13" t="s">
        <v>499</v>
      </c>
      <c r="C195" s="32" t="s">
        <v>3202</v>
      </c>
      <c r="D195" s="33" t="s">
        <v>2888</v>
      </c>
      <c r="E195" s="33" t="s">
        <v>2902</v>
      </c>
      <c r="F195" s="33" t="s">
        <v>3075</v>
      </c>
      <c r="G195" s="33" t="s">
        <v>3154</v>
      </c>
      <c r="H195" s="33" t="s">
        <v>3073</v>
      </c>
      <c r="I195" s="33" t="s">
        <v>3114</v>
      </c>
    </row>
    <row x14ac:dyDescent="0.25" r="196" customHeight="1" ht="15.75">
      <c r="A196" s="13" t="s">
        <v>184</v>
      </c>
      <c r="B196" s="13" t="s">
        <v>1228</v>
      </c>
      <c r="C196" s="32" t="s">
        <v>3102</v>
      </c>
      <c r="D196" s="33" t="s">
        <v>3087</v>
      </c>
      <c r="E196" s="33" t="s">
        <v>3074</v>
      </c>
      <c r="F196" s="33" t="s">
        <v>3073</v>
      </c>
      <c r="G196" s="33" t="s">
        <v>2921</v>
      </c>
      <c r="H196" s="33" t="s">
        <v>2937</v>
      </c>
      <c r="I196" s="33" t="s">
        <v>3066</v>
      </c>
    </row>
    <row x14ac:dyDescent="0.25" r="197" customHeight="1" ht="15.75">
      <c r="A197" s="13" t="s">
        <v>184</v>
      </c>
      <c r="B197" s="13" t="s">
        <v>1469</v>
      </c>
      <c r="C197" s="32" t="s">
        <v>3310</v>
      </c>
      <c r="D197" s="33" t="s">
        <v>3311</v>
      </c>
      <c r="E197" s="33" t="s">
        <v>3312</v>
      </c>
      <c r="F197" s="33" t="s">
        <v>3313</v>
      </c>
      <c r="G197" s="33" t="s">
        <v>2829</v>
      </c>
      <c r="H197" s="33" t="s">
        <v>3314</v>
      </c>
      <c r="I197" s="33" t="s">
        <v>2865</v>
      </c>
    </row>
    <row x14ac:dyDescent="0.25" r="198" customHeight="1" ht="15.75">
      <c r="A198" s="13" t="s">
        <v>184</v>
      </c>
      <c r="B198" s="13" t="s">
        <v>1733</v>
      </c>
      <c r="C198" s="32" t="s">
        <v>3315</v>
      </c>
      <c r="D198" s="33" t="s">
        <v>3316</v>
      </c>
      <c r="E198" s="33" t="s">
        <v>2884</v>
      </c>
      <c r="F198" s="33" t="s">
        <v>3148</v>
      </c>
      <c r="G198" s="33" t="s">
        <v>3317</v>
      </c>
      <c r="H198" s="33" t="s">
        <v>3094</v>
      </c>
      <c r="I198" s="33" t="s">
        <v>2845</v>
      </c>
    </row>
    <row x14ac:dyDescent="0.25" r="199" customHeight="1" ht="15.75">
      <c r="A199" s="13" t="s">
        <v>184</v>
      </c>
      <c r="B199" s="13" t="s">
        <v>2667</v>
      </c>
      <c r="C199" s="32" t="s">
        <v>3206</v>
      </c>
      <c r="D199" s="33" t="s">
        <v>2997</v>
      </c>
      <c r="E199" s="33" t="s">
        <v>2850</v>
      </c>
      <c r="F199" s="33" t="s">
        <v>3151</v>
      </c>
      <c r="G199" s="33" t="s">
        <v>2850</v>
      </c>
      <c r="H199" s="33" t="s">
        <v>3179</v>
      </c>
      <c r="I199" s="33" t="s">
        <v>3000</v>
      </c>
    </row>
    <row x14ac:dyDescent="0.25" r="200" customHeight="1" ht="15.75">
      <c r="A200" s="13" t="s">
        <v>184</v>
      </c>
      <c r="B200" s="13" t="s">
        <v>1068</v>
      </c>
      <c r="C200" s="32" t="s">
        <v>3207</v>
      </c>
      <c r="D200" s="33" t="s">
        <v>2877</v>
      </c>
      <c r="E200" s="33" t="s">
        <v>3172</v>
      </c>
      <c r="F200" s="33" t="s">
        <v>3238</v>
      </c>
      <c r="G200" s="33" t="s">
        <v>3318</v>
      </c>
      <c r="H200" s="33" t="s">
        <v>3319</v>
      </c>
      <c r="I200" s="33" t="s">
        <v>3320</v>
      </c>
    </row>
    <row x14ac:dyDescent="0.25" r="201" customHeight="1" ht="15.75">
      <c r="A201" s="13" t="s">
        <v>184</v>
      </c>
      <c r="B201" s="13" t="s">
        <v>1518</v>
      </c>
      <c r="C201" s="32" t="s">
        <v>3321</v>
      </c>
      <c r="D201" s="33" t="s">
        <v>2939</v>
      </c>
      <c r="E201" s="33" t="s">
        <v>2966</v>
      </c>
      <c r="F201" s="33" t="s">
        <v>3114</v>
      </c>
      <c r="G201" s="33" t="s">
        <v>3154</v>
      </c>
      <c r="H201" s="33" t="s">
        <v>3144</v>
      </c>
      <c r="I201" s="33" t="s">
        <v>3058</v>
      </c>
    </row>
    <row x14ac:dyDescent="0.25" r="202" customHeight="1" ht="15.75">
      <c r="A202" s="13" t="s">
        <v>184</v>
      </c>
      <c r="B202" s="13" t="s">
        <v>1439</v>
      </c>
      <c r="C202" s="32" t="s">
        <v>3322</v>
      </c>
      <c r="D202" s="33" t="s">
        <v>3095</v>
      </c>
      <c r="E202" s="33" t="s">
        <v>2936</v>
      </c>
      <c r="F202" s="33" t="s">
        <v>3209</v>
      </c>
      <c r="G202" s="33" t="s">
        <v>3162</v>
      </c>
      <c r="H202" s="33" t="s">
        <v>3064</v>
      </c>
      <c r="I202" s="33" t="s">
        <v>3144</v>
      </c>
    </row>
    <row x14ac:dyDescent="0.25" r="203" customHeight="1" ht="15.75">
      <c r="A203" s="13" t="s">
        <v>184</v>
      </c>
      <c r="B203" s="13" t="s">
        <v>530</v>
      </c>
      <c r="C203" s="32" t="s">
        <v>3323</v>
      </c>
      <c r="D203" s="33" t="s">
        <v>3136</v>
      </c>
      <c r="E203" s="33" t="s">
        <v>3136</v>
      </c>
      <c r="F203" s="33" t="s">
        <v>2980</v>
      </c>
      <c r="G203" s="33" t="s">
        <v>2888</v>
      </c>
      <c r="H203" s="33" t="s">
        <v>2888</v>
      </c>
      <c r="I203" s="33" t="s">
        <v>2980</v>
      </c>
    </row>
    <row x14ac:dyDescent="0.25" r="204" customHeight="1" ht="15.75">
      <c r="A204" s="13" t="s">
        <v>184</v>
      </c>
      <c r="B204" s="13" t="s">
        <v>550</v>
      </c>
      <c r="C204" s="32" t="s">
        <v>3324</v>
      </c>
      <c r="D204" s="33" t="s">
        <v>3325</v>
      </c>
      <c r="E204" s="33" t="s">
        <v>3152</v>
      </c>
      <c r="F204" s="33" t="s">
        <v>3326</v>
      </c>
      <c r="G204" s="33" t="s">
        <v>3327</v>
      </c>
      <c r="H204" s="33" t="s">
        <v>3328</v>
      </c>
      <c r="I204" s="33" t="s">
        <v>3329</v>
      </c>
    </row>
    <row x14ac:dyDescent="0.25" r="205" customHeight="1" ht="15.75">
      <c r="A205" s="13" t="s">
        <v>184</v>
      </c>
      <c r="B205" s="13" t="s">
        <v>1386</v>
      </c>
      <c r="C205" s="32" t="s">
        <v>3330</v>
      </c>
      <c r="D205" s="33" t="s">
        <v>3275</v>
      </c>
      <c r="E205" s="33" t="s">
        <v>3215</v>
      </c>
      <c r="F205" s="33" t="s">
        <v>2919</v>
      </c>
      <c r="G205" s="33" t="s">
        <v>3197</v>
      </c>
      <c r="H205" s="33" t="s">
        <v>3099</v>
      </c>
      <c r="I205" s="33" t="s">
        <v>3100</v>
      </c>
    </row>
    <row x14ac:dyDescent="0.25" r="206" customHeight="1" ht="15.75">
      <c r="A206" s="13" t="s">
        <v>184</v>
      </c>
      <c r="B206" s="13" t="s">
        <v>2061</v>
      </c>
      <c r="C206" s="32" t="s">
        <v>3331</v>
      </c>
      <c r="D206" s="33" t="s">
        <v>3030</v>
      </c>
      <c r="E206" s="33" t="s">
        <v>3214</v>
      </c>
      <c r="F206" s="33" t="s">
        <v>3187</v>
      </c>
      <c r="G206" s="33" t="s">
        <v>2940</v>
      </c>
      <c r="H206" s="33" t="s">
        <v>3144</v>
      </c>
      <c r="I206" s="33" t="s">
        <v>3115</v>
      </c>
    </row>
    <row x14ac:dyDescent="0.25" r="207" customHeight="1" ht="15.75">
      <c r="A207" s="13" t="s">
        <v>184</v>
      </c>
      <c r="B207" s="13" t="s">
        <v>2216</v>
      </c>
      <c r="C207" s="32" t="s">
        <v>3332</v>
      </c>
      <c r="D207" s="33" t="s">
        <v>3333</v>
      </c>
      <c r="E207" s="33" t="s">
        <v>3334</v>
      </c>
      <c r="F207" s="33" t="s">
        <v>3045</v>
      </c>
      <c r="G207" s="33" t="s">
        <v>3334</v>
      </c>
      <c r="H207" s="33" t="s">
        <v>3148</v>
      </c>
      <c r="I207" s="33" t="s">
        <v>3295</v>
      </c>
    </row>
    <row x14ac:dyDescent="0.25" r="208" customHeight="1" ht="15.75">
      <c r="A208" s="13" t="s">
        <v>184</v>
      </c>
      <c r="B208" s="13" t="s">
        <v>1023</v>
      </c>
      <c r="C208" s="32" t="s">
        <v>3142</v>
      </c>
      <c r="D208" s="33" t="s">
        <v>2936</v>
      </c>
      <c r="E208" s="33" t="s">
        <v>2963</v>
      </c>
      <c r="F208" s="33" t="s">
        <v>2933</v>
      </c>
      <c r="G208" s="33" t="s">
        <v>2842</v>
      </c>
      <c r="H208" s="33" t="s">
        <v>2937</v>
      </c>
      <c r="I208" s="33" t="s">
        <v>3144</v>
      </c>
    </row>
    <row x14ac:dyDescent="0.25" r="209" customHeight="1" ht="15.75">
      <c r="A209" s="13" t="s">
        <v>184</v>
      </c>
      <c r="B209" s="13" t="s">
        <v>2362</v>
      </c>
      <c r="C209" s="32" t="s">
        <v>3335</v>
      </c>
      <c r="D209" s="33" t="s">
        <v>3066</v>
      </c>
      <c r="E209" s="33" t="s">
        <v>2895</v>
      </c>
      <c r="F209" s="33" t="s">
        <v>3216</v>
      </c>
      <c r="G209" s="33" t="s">
        <v>2991</v>
      </c>
      <c r="H209" s="33" t="s">
        <v>2914</v>
      </c>
      <c r="I209" s="33" t="s">
        <v>3053</v>
      </c>
    </row>
    <row x14ac:dyDescent="0.25" r="210" customHeight="1" ht="15.75">
      <c r="A210" s="13" t="s">
        <v>184</v>
      </c>
      <c r="B210" s="13" t="s">
        <v>1127</v>
      </c>
      <c r="C210" s="32" t="s">
        <v>3336</v>
      </c>
      <c r="D210" s="33" t="s">
        <v>3021</v>
      </c>
      <c r="E210" s="33" t="s">
        <v>2917</v>
      </c>
      <c r="F210" s="33" t="s">
        <v>2931</v>
      </c>
      <c r="G210" s="33" t="s">
        <v>3060</v>
      </c>
      <c r="H210" s="33" t="s">
        <v>3075</v>
      </c>
      <c r="I210" s="33" t="s">
        <v>3101</v>
      </c>
    </row>
    <row x14ac:dyDescent="0.25" r="211" customHeight="1" ht="15.75">
      <c r="A211" s="13" t="s">
        <v>184</v>
      </c>
      <c r="B211" s="13" t="s">
        <v>1358</v>
      </c>
      <c r="C211" s="32" t="s">
        <v>3337</v>
      </c>
      <c r="D211" s="33" t="s">
        <v>3338</v>
      </c>
      <c r="E211" s="33" t="s">
        <v>3339</v>
      </c>
      <c r="F211" s="33" t="s">
        <v>3340</v>
      </c>
      <c r="G211" s="33" t="s">
        <v>3027</v>
      </c>
      <c r="H211" s="33" t="s">
        <v>2948</v>
      </c>
      <c r="I211" s="33" t="s">
        <v>2883</v>
      </c>
    </row>
    <row x14ac:dyDescent="0.25" r="212" customHeight="1" ht="15.75">
      <c r="A212" s="13" t="s">
        <v>184</v>
      </c>
      <c r="B212" s="13" t="s">
        <v>1835</v>
      </c>
      <c r="C212" s="32" t="s">
        <v>3341</v>
      </c>
      <c r="D212" s="33" t="s">
        <v>2969</v>
      </c>
      <c r="E212" s="33" t="s">
        <v>3067</v>
      </c>
      <c r="F212" s="33" t="s">
        <v>3168</v>
      </c>
      <c r="G212" s="33" t="s">
        <v>3073</v>
      </c>
      <c r="H212" s="33" t="s">
        <v>3067</v>
      </c>
      <c r="I212" s="33" t="s">
        <v>2971</v>
      </c>
    </row>
    <row x14ac:dyDescent="0.25" r="213" customHeight="1" ht="15.75">
      <c r="A213" s="13" t="s">
        <v>184</v>
      </c>
      <c r="B213" s="13" t="s">
        <v>2302</v>
      </c>
      <c r="C213" s="32" t="s">
        <v>3342</v>
      </c>
      <c r="D213" s="33" t="s">
        <v>2927</v>
      </c>
      <c r="E213" s="33" t="s">
        <v>3103</v>
      </c>
      <c r="F213" s="33" t="s">
        <v>3033</v>
      </c>
      <c r="G213" s="33" t="s">
        <v>3033</v>
      </c>
      <c r="H213" s="33" t="s">
        <v>2882</v>
      </c>
      <c r="I213" s="33" t="s">
        <v>3029</v>
      </c>
    </row>
    <row x14ac:dyDescent="0.25" r="214" customHeight="1" ht="15.75">
      <c r="A214" s="13" t="s">
        <v>184</v>
      </c>
      <c r="B214" s="13" t="s">
        <v>646</v>
      </c>
      <c r="C214" s="32" t="s">
        <v>3157</v>
      </c>
      <c r="D214" s="33" t="s">
        <v>3088</v>
      </c>
      <c r="E214" s="33" t="s">
        <v>3033</v>
      </c>
      <c r="F214" s="33" t="s">
        <v>3222</v>
      </c>
      <c r="G214" s="33" t="s">
        <v>2925</v>
      </c>
      <c r="H214" s="33" t="s">
        <v>2936</v>
      </c>
      <c r="I214" s="33" t="s">
        <v>3184</v>
      </c>
    </row>
    <row x14ac:dyDescent="0.25" r="215" customHeight="1" ht="15.75">
      <c r="A215" s="13" t="s">
        <v>184</v>
      </c>
      <c r="B215" s="13" t="s">
        <v>831</v>
      </c>
      <c r="C215" s="32" t="s">
        <v>3161</v>
      </c>
      <c r="D215" s="33" t="s">
        <v>3092</v>
      </c>
      <c r="E215" s="33" t="s">
        <v>2988</v>
      </c>
      <c r="F215" s="33" t="s">
        <v>3285</v>
      </c>
      <c r="G215" s="33" t="s">
        <v>3285</v>
      </c>
      <c r="H215" s="33" t="s">
        <v>2917</v>
      </c>
      <c r="I215" s="33" t="s">
        <v>2961</v>
      </c>
    </row>
    <row x14ac:dyDescent="0.25" r="216" customHeight="1" ht="15.75">
      <c r="A216" s="13" t="s">
        <v>184</v>
      </c>
      <c r="B216" s="13" t="s">
        <v>1086</v>
      </c>
      <c r="C216" s="32" t="s">
        <v>3167</v>
      </c>
      <c r="D216" s="33" t="s">
        <v>3343</v>
      </c>
      <c r="E216" s="33" t="s">
        <v>2863</v>
      </c>
      <c r="F216" s="33" t="s">
        <v>2955</v>
      </c>
      <c r="G216" s="33" t="s">
        <v>3077</v>
      </c>
      <c r="H216" s="33" t="s">
        <v>3125</v>
      </c>
      <c r="I216" s="33" t="s">
        <v>3037</v>
      </c>
    </row>
    <row x14ac:dyDescent="0.25" r="217" customHeight="1" ht="15.75">
      <c r="A217" s="13" t="s">
        <v>184</v>
      </c>
      <c r="B217" s="13" t="s">
        <v>1801</v>
      </c>
      <c r="C217" s="32" t="s">
        <v>3344</v>
      </c>
      <c r="D217" s="33" t="s">
        <v>3094</v>
      </c>
      <c r="E217" s="33" t="s">
        <v>3345</v>
      </c>
      <c r="F217" s="33" t="s">
        <v>3144</v>
      </c>
      <c r="G217" s="33" t="s">
        <v>3346</v>
      </c>
      <c r="H217" s="33" t="s">
        <v>2955</v>
      </c>
      <c r="I217" s="33" t="s">
        <v>3347</v>
      </c>
    </row>
    <row x14ac:dyDescent="0.25" r="218" customHeight="1" ht="15.75">
      <c r="A218" s="13" t="s">
        <v>184</v>
      </c>
      <c r="B218" s="13" t="s">
        <v>2520</v>
      </c>
      <c r="C218" s="32" t="s">
        <v>3344</v>
      </c>
      <c r="D218" s="33" t="s">
        <v>2856</v>
      </c>
      <c r="E218" s="33" t="s">
        <v>3052</v>
      </c>
      <c r="F218" s="33" t="s">
        <v>2980</v>
      </c>
      <c r="G218" s="33" t="s">
        <v>2888</v>
      </c>
      <c r="H218" s="33" t="s">
        <v>2980</v>
      </c>
      <c r="I218" s="33" t="s">
        <v>2980</v>
      </c>
    </row>
    <row x14ac:dyDescent="0.25" r="219" customHeight="1" ht="15.75">
      <c r="A219" s="13" t="s">
        <v>184</v>
      </c>
      <c r="B219" s="13" t="s">
        <v>2082</v>
      </c>
      <c r="C219" s="32" t="s">
        <v>3348</v>
      </c>
      <c r="D219" s="33" t="s">
        <v>3145</v>
      </c>
      <c r="E219" s="33" t="s">
        <v>2966</v>
      </c>
      <c r="F219" s="33" t="s">
        <v>2988</v>
      </c>
      <c r="G219" s="33" t="s">
        <v>3028</v>
      </c>
      <c r="H219" s="33" t="s">
        <v>3012</v>
      </c>
      <c r="I219" s="33" t="s">
        <v>3079</v>
      </c>
    </row>
    <row x14ac:dyDescent="0.25" r="220" customHeight="1" ht="15.75">
      <c r="A220" s="13" t="s">
        <v>184</v>
      </c>
      <c r="B220" s="13" t="s">
        <v>2148</v>
      </c>
      <c r="C220" s="32" t="s">
        <v>3349</v>
      </c>
      <c r="D220" s="33" t="s">
        <v>3075</v>
      </c>
      <c r="E220" s="33" t="s">
        <v>2940</v>
      </c>
      <c r="F220" s="33" t="s">
        <v>3166</v>
      </c>
      <c r="G220" s="33" t="s">
        <v>2992</v>
      </c>
      <c r="H220" s="33" t="s">
        <v>3166</v>
      </c>
      <c r="I220" s="33" t="s">
        <v>3166</v>
      </c>
    </row>
    <row x14ac:dyDescent="0.25" r="221" customHeight="1" ht="15.75">
      <c r="A221" s="13" t="s">
        <v>184</v>
      </c>
      <c r="B221" s="13" t="s">
        <v>2204</v>
      </c>
      <c r="C221" s="32" t="s">
        <v>3350</v>
      </c>
      <c r="D221" s="33" t="s">
        <v>2850</v>
      </c>
      <c r="E221" s="33" t="s">
        <v>2998</v>
      </c>
      <c r="F221" s="33" t="s">
        <v>2997</v>
      </c>
      <c r="G221" s="33" t="s">
        <v>2997</v>
      </c>
      <c r="H221" s="33" t="s">
        <v>3351</v>
      </c>
      <c r="I221" s="33" t="s">
        <v>2997</v>
      </c>
    </row>
    <row x14ac:dyDescent="0.25" r="222" customHeight="1" ht="15.75">
      <c r="A222" s="13" t="s">
        <v>184</v>
      </c>
      <c r="B222" s="13" t="s">
        <v>1042</v>
      </c>
      <c r="C222" s="32" t="s">
        <v>3352</v>
      </c>
      <c r="D222" s="33" t="s">
        <v>2980</v>
      </c>
      <c r="E222" s="33" t="s">
        <v>3137</v>
      </c>
      <c r="F222" s="33" t="s">
        <v>2950</v>
      </c>
      <c r="G222" s="33" t="s">
        <v>3353</v>
      </c>
      <c r="H222" s="33" t="s">
        <v>2950</v>
      </c>
      <c r="I222" s="33" t="s">
        <v>2849</v>
      </c>
    </row>
    <row x14ac:dyDescent="0.25" r="223" customHeight="1" ht="15.75">
      <c r="A223" s="13" t="s">
        <v>184</v>
      </c>
      <c r="B223" s="13" t="s">
        <v>986</v>
      </c>
      <c r="C223" s="32" t="s">
        <v>3354</v>
      </c>
      <c r="D223" s="33" t="s">
        <v>3305</v>
      </c>
      <c r="E223" s="33" t="s">
        <v>2865</v>
      </c>
      <c r="F223" s="33" t="s">
        <v>3069</v>
      </c>
      <c r="G223" s="33" t="s">
        <v>3355</v>
      </c>
      <c r="H223" s="33" t="s">
        <v>3027</v>
      </c>
      <c r="I223" s="33" t="s">
        <v>3027</v>
      </c>
    </row>
    <row x14ac:dyDescent="0.25" r="224" customHeight="1" ht="15.75">
      <c r="A224" s="13" t="s">
        <v>184</v>
      </c>
      <c r="B224" s="13" t="s">
        <v>2467</v>
      </c>
      <c r="C224" s="32" t="s">
        <v>3356</v>
      </c>
      <c r="D224" s="33" t="s">
        <v>2900</v>
      </c>
      <c r="E224" s="33" t="s">
        <v>3024</v>
      </c>
      <c r="F224" s="33" t="s">
        <v>2899</v>
      </c>
      <c r="G224" s="33" t="s">
        <v>2918</v>
      </c>
      <c r="H224" s="33" t="s">
        <v>3053</v>
      </c>
      <c r="I224" s="33" t="s">
        <v>2889</v>
      </c>
    </row>
    <row x14ac:dyDescent="0.25" r="225" customHeight="1" ht="15.75">
      <c r="A225" s="13" t="s">
        <v>184</v>
      </c>
      <c r="B225" s="13" t="s">
        <v>1436</v>
      </c>
      <c r="C225" s="32" t="s">
        <v>3357</v>
      </c>
      <c r="D225" s="33" t="s">
        <v>3326</v>
      </c>
      <c r="E225" s="33" t="s">
        <v>3358</v>
      </c>
      <c r="F225" s="33" t="s">
        <v>3359</v>
      </c>
      <c r="G225" s="33" t="s">
        <v>3360</v>
      </c>
      <c r="H225" s="33" t="s">
        <v>3327</v>
      </c>
      <c r="I225" s="33" t="s">
        <v>3361</v>
      </c>
    </row>
    <row x14ac:dyDescent="0.25" r="226" customHeight="1" ht="15.75">
      <c r="A226" s="13" t="s">
        <v>184</v>
      </c>
      <c r="B226" s="13" t="s">
        <v>862</v>
      </c>
      <c r="C226" s="32" t="s">
        <v>3362</v>
      </c>
      <c r="D226" s="33" t="s">
        <v>3363</v>
      </c>
      <c r="E226" s="33" t="s">
        <v>3364</v>
      </c>
      <c r="F226" s="33" t="s">
        <v>3365</v>
      </c>
      <c r="G226" s="33" t="s">
        <v>3366</v>
      </c>
      <c r="H226" s="33" t="s">
        <v>3361</v>
      </c>
      <c r="I226" s="33" t="s">
        <v>3367</v>
      </c>
    </row>
    <row x14ac:dyDescent="0.25" r="227" customHeight="1" ht="15.75">
      <c r="A227" s="13" t="s">
        <v>184</v>
      </c>
      <c r="B227" s="13" t="s">
        <v>1240</v>
      </c>
      <c r="C227" s="32" t="s">
        <v>3233</v>
      </c>
      <c r="D227" s="33" t="s">
        <v>2913</v>
      </c>
      <c r="E227" s="33" t="s">
        <v>3170</v>
      </c>
      <c r="F227" s="33" t="s">
        <v>3024</v>
      </c>
      <c r="G227" s="33" t="s">
        <v>2979</v>
      </c>
      <c r="H227" s="33" t="s">
        <v>2990</v>
      </c>
      <c r="I227" s="33" t="s">
        <v>3053</v>
      </c>
    </row>
    <row x14ac:dyDescent="0.25" r="228" customHeight="1" ht="15.75">
      <c r="A228" s="13" t="s">
        <v>184</v>
      </c>
      <c r="B228" s="13" t="s">
        <v>1264</v>
      </c>
      <c r="C228" s="32" t="s">
        <v>3368</v>
      </c>
      <c r="D228" s="33" t="s">
        <v>3317</v>
      </c>
      <c r="E228" s="33" t="s">
        <v>2975</v>
      </c>
      <c r="F228" s="33" t="s">
        <v>2910</v>
      </c>
      <c r="G228" s="33" t="s">
        <v>3369</v>
      </c>
      <c r="H228" s="33" t="s">
        <v>3077</v>
      </c>
      <c r="I228" s="33" t="s">
        <v>3370</v>
      </c>
    </row>
    <row x14ac:dyDescent="0.25" r="229" customHeight="1" ht="15.75">
      <c r="A229" s="13" t="s">
        <v>184</v>
      </c>
      <c r="B229" s="13" t="s">
        <v>2645</v>
      </c>
      <c r="C229" s="32" t="s">
        <v>3371</v>
      </c>
      <c r="D229" s="33" t="s">
        <v>3372</v>
      </c>
      <c r="E229" s="33" t="s">
        <v>2977</v>
      </c>
      <c r="F229" s="33" t="s">
        <v>3110</v>
      </c>
      <c r="G229" s="33" t="s">
        <v>3373</v>
      </c>
      <c r="H229" s="33" t="s">
        <v>3256</v>
      </c>
      <c r="I229" s="33" t="s">
        <v>3094</v>
      </c>
    </row>
    <row x14ac:dyDescent="0.25" r="230" customHeight="1" ht="15.75">
      <c r="A230" s="13" t="s">
        <v>184</v>
      </c>
      <c r="B230" s="13" t="s">
        <v>865</v>
      </c>
      <c r="C230" s="32" t="s">
        <v>3374</v>
      </c>
      <c r="D230" s="33" t="s">
        <v>2921</v>
      </c>
      <c r="E230" s="33" t="s">
        <v>3033</v>
      </c>
      <c r="F230" s="33" t="s">
        <v>3145</v>
      </c>
      <c r="G230" s="33" t="s">
        <v>3112</v>
      </c>
      <c r="H230" s="33" t="s">
        <v>3103</v>
      </c>
      <c r="I230" s="33" t="s">
        <v>3079</v>
      </c>
    </row>
    <row x14ac:dyDescent="0.25" r="231" customHeight="1" ht="15.75">
      <c r="A231" s="13" t="s">
        <v>184</v>
      </c>
      <c r="B231" s="13" t="s">
        <v>1005</v>
      </c>
      <c r="C231" s="32" t="s">
        <v>3375</v>
      </c>
      <c r="D231" s="33" t="s">
        <v>3376</v>
      </c>
      <c r="E231" s="33" t="s">
        <v>3377</v>
      </c>
      <c r="F231" s="33" t="s">
        <v>3376</v>
      </c>
      <c r="G231" s="33" t="s">
        <v>3378</v>
      </c>
      <c r="H231" s="33" t="s">
        <v>3379</v>
      </c>
      <c r="I231" s="33" t="s">
        <v>3380</v>
      </c>
    </row>
    <row x14ac:dyDescent="0.25" r="232" customHeight="1" ht="15.75">
      <c r="A232" s="13" t="s">
        <v>184</v>
      </c>
      <c r="B232" s="13" t="s">
        <v>2751</v>
      </c>
      <c r="C232" s="32" t="s">
        <v>3381</v>
      </c>
      <c r="D232" s="33" t="s">
        <v>3184</v>
      </c>
      <c r="E232" s="33" t="s">
        <v>3191</v>
      </c>
      <c r="F232" s="33" t="s">
        <v>3086</v>
      </c>
      <c r="G232" s="33" t="s">
        <v>3060</v>
      </c>
      <c r="H232" s="33" t="s">
        <v>3115</v>
      </c>
      <c r="I232" s="33" t="s">
        <v>3021</v>
      </c>
    </row>
    <row x14ac:dyDescent="0.25" r="233" customHeight="1" ht="15.75">
      <c r="A233" s="13" t="s">
        <v>184</v>
      </c>
      <c r="B233" s="13" t="s">
        <v>1853</v>
      </c>
      <c r="C233" s="32" t="s">
        <v>3234</v>
      </c>
      <c r="D233" s="33" t="s">
        <v>3240</v>
      </c>
      <c r="E233" s="33" t="s">
        <v>3343</v>
      </c>
      <c r="F233" s="33" t="s">
        <v>3382</v>
      </c>
      <c r="G233" s="33" t="s">
        <v>3262</v>
      </c>
      <c r="H233" s="33" t="s">
        <v>3262</v>
      </c>
      <c r="I233" s="33" t="s">
        <v>3262</v>
      </c>
    </row>
    <row x14ac:dyDescent="0.25" r="234" customHeight="1" ht="15.75">
      <c r="A234" s="13" t="s">
        <v>184</v>
      </c>
      <c r="B234" s="13" t="s">
        <v>2688</v>
      </c>
      <c r="C234" s="32" t="s">
        <v>3383</v>
      </c>
      <c r="D234" s="33" t="s">
        <v>3132</v>
      </c>
      <c r="E234" s="33" t="s">
        <v>2957</v>
      </c>
      <c r="F234" s="33" t="s">
        <v>3132</v>
      </c>
      <c r="G234" s="33" t="s">
        <v>3384</v>
      </c>
      <c r="H234" s="33" t="s">
        <v>3245</v>
      </c>
      <c r="I234" s="33" t="s">
        <v>3345</v>
      </c>
    </row>
    <row x14ac:dyDescent="0.25" r="235" customHeight="1" ht="15.75">
      <c r="A235" s="13" t="s">
        <v>184</v>
      </c>
      <c r="B235" s="13" t="s">
        <v>2130</v>
      </c>
      <c r="C235" s="32" t="s">
        <v>3178</v>
      </c>
      <c r="D235" s="33" t="s">
        <v>3285</v>
      </c>
      <c r="E235" s="33" t="s">
        <v>2832</v>
      </c>
      <c r="F235" s="33" t="s">
        <v>2832</v>
      </c>
      <c r="G235" s="33" t="s">
        <v>2832</v>
      </c>
      <c r="H235" s="33" t="s">
        <v>2832</v>
      </c>
      <c r="I235" s="33" t="s">
        <v>2832</v>
      </c>
    </row>
    <row x14ac:dyDescent="0.25" r="236" customHeight="1" ht="15.75">
      <c r="A236" s="13" t="s">
        <v>184</v>
      </c>
      <c r="B236" s="13" t="s">
        <v>2614</v>
      </c>
      <c r="C236" s="32" t="s">
        <v>3181</v>
      </c>
      <c r="D236" s="33" t="s">
        <v>3056</v>
      </c>
      <c r="E236" s="33" t="s">
        <v>3056</v>
      </c>
      <c r="F236" s="33" t="s">
        <v>3056</v>
      </c>
      <c r="G236" s="33" t="s">
        <v>3056</v>
      </c>
      <c r="H236" s="33" t="s">
        <v>3056</v>
      </c>
      <c r="I236" s="33" t="s">
        <v>3056</v>
      </c>
    </row>
    <row x14ac:dyDescent="0.25" r="237" customHeight="1" ht="15.75">
      <c r="A237" s="13" t="s">
        <v>66</v>
      </c>
      <c r="B237" s="13" t="s">
        <v>396</v>
      </c>
      <c r="C237" s="32" t="s">
        <v>3385</v>
      </c>
      <c r="D237" s="33" t="s">
        <v>3023</v>
      </c>
      <c r="E237" s="33" t="s">
        <v>3141</v>
      </c>
      <c r="F237" s="33" t="s">
        <v>2891</v>
      </c>
      <c r="G237" s="33" t="s">
        <v>3168</v>
      </c>
      <c r="H237" s="33" t="s">
        <v>3053</v>
      </c>
      <c r="I237" s="33" t="s">
        <v>2918</v>
      </c>
    </row>
    <row x14ac:dyDescent="0.25" r="238" customHeight="1" ht="15.75">
      <c r="A238" s="13" t="s">
        <v>66</v>
      </c>
      <c r="B238" s="13" t="s">
        <v>1473</v>
      </c>
      <c r="C238" s="32" t="s">
        <v>3386</v>
      </c>
      <c r="D238" s="33" t="s">
        <v>2857</v>
      </c>
      <c r="E238" s="33" t="s">
        <v>2915</v>
      </c>
      <c r="F238" s="33" t="s">
        <v>2982</v>
      </c>
      <c r="G238" s="33" t="s">
        <v>2943</v>
      </c>
      <c r="H238" s="33" t="s">
        <v>3052</v>
      </c>
      <c r="I238" s="33" t="s">
        <v>2982</v>
      </c>
    </row>
    <row x14ac:dyDescent="0.25" r="239" customHeight="1" ht="15.75">
      <c r="A239" s="13" t="s">
        <v>66</v>
      </c>
      <c r="B239" s="13" t="s">
        <v>663</v>
      </c>
      <c r="C239" s="32" t="s">
        <v>3387</v>
      </c>
      <c r="D239" s="33" t="s">
        <v>3388</v>
      </c>
      <c r="E239" s="33" t="s">
        <v>3373</v>
      </c>
      <c r="F239" s="33" t="s">
        <v>3271</v>
      </c>
      <c r="G239" s="33" t="s">
        <v>2961</v>
      </c>
      <c r="H239" s="33" t="s">
        <v>3148</v>
      </c>
      <c r="I239" s="33" t="s">
        <v>2956</v>
      </c>
    </row>
    <row x14ac:dyDescent="0.25" r="240" customHeight="1" ht="15.75">
      <c r="A240" s="13" t="s">
        <v>66</v>
      </c>
      <c r="B240" s="13" t="s">
        <v>493</v>
      </c>
      <c r="C240" s="32" t="s">
        <v>3389</v>
      </c>
      <c r="D240" s="33" t="s">
        <v>2991</v>
      </c>
      <c r="E240" s="33" t="s">
        <v>2899</v>
      </c>
      <c r="F240" s="33" t="s">
        <v>2991</v>
      </c>
      <c r="G240" s="33" t="s">
        <v>2893</v>
      </c>
      <c r="H240" s="33" t="s">
        <v>2857</v>
      </c>
      <c r="I240" s="33" t="s">
        <v>2980</v>
      </c>
    </row>
    <row x14ac:dyDescent="0.25" r="241" customHeight="1" ht="15.75">
      <c r="A241" s="13" t="s">
        <v>66</v>
      </c>
      <c r="B241" s="13" t="s">
        <v>1631</v>
      </c>
      <c r="C241" s="32" t="s">
        <v>2901</v>
      </c>
      <c r="D241" s="33" t="s">
        <v>3390</v>
      </c>
      <c r="E241" s="33" t="s">
        <v>3391</v>
      </c>
      <c r="F241" s="33" t="s">
        <v>3392</v>
      </c>
      <c r="G241" s="33" t="s">
        <v>3393</v>
      </c>
      <c r="H241" s="33" t="s">
        <v>3394</v>
      </c>
      <c r="I241" s="33" t="s">
        <v>3395</v>
      </c>
    </row>
    <row x14ac:dyDescent="0.25" r="242" customHeight="1" ht="15.75">
      <c r="A242" s="13" t="s">
        <v>66</v>
      </c>
      <c r="B242" s="13" t="s">
        <v>898</v>
      </c>
      <c r="C242" s="32" t="s">
        <v>2912</v>
      </c>
      <c r="D242" s="33" t="s">
        <v>2887</v>
      </c>
      <c r="E242" s="33" t="s">
        <v>2932</v>
      </c>
      <c r="F242" s="33" t="s">
        <v>3124</v>
      </c>
      <c r="G242" s="33" t="s">
        <v>2971</v>
      </c>
      <c r="H242" s="33" t="s">
        <v>3073</v>
      </c>
      <c r="I242" s="33" t="s">
        <v>3165</v>
      </c>
    </row>
    <row x14ac:dyDescent="0.25" r="243" customHeight="1" ht="15.75">
      <c r="A243" s="13" t="s">
        <v>66</v>
      </c>
      <c r="B243" s="13" t="s">
        <v>1384</v>
      </c>
      <c r="C243" s="32" t="s">
        <v>3396</v>
      </c>
      <c r="D243" s="33" t="s">
        <v>3144</v>
      </c>
      <c r="E243" s="33" t="s">
        <v>2965</v>
      </c>
      <c r="F243" s="33" t="s">
        <v>2927</v>
      </c>
      <c r="G243" s="33" t="s">
        <v>3107</v>
      </c>
      <c r="H243" s="33" t="s">
        <v>2842</v>
      </c>
      <c r="I243" s="33" t="s">
        <v>3122</v>
      </c>
    </row>
    <row x14ac:dyDescent="0.25" r="244" customHeight="1" ht="15.75">
      <c r="A244" s="13" t="s">
        <v>66</v>
      </c>
      <c r="B244" s="13" t="s">
        <v>680</v>
      </c>
      <c r="C244" s="32" t="s">
        <v>3397</v>
      </c>
      <c r="D244" s="33" t="s">
        <v>2931</v>
      </c>
      <c r="E244" s="33" t="s">
        <v>3134</v>
      </c>
      <c r="F244" s="33" t="s">
        <v>3201</v>
      </c>
      <c r="G244" s="33" t="s">
        <v>2959</v>
      </c>
      <c r="H244" s="33" t="s">
        <v>3134</v>
      </c>
      <c r="I244" s="33" t="s">
        <v>3030</v>
      </c>
    </row>
    <row x14ac:dyDescent="0.25" r="245" customHeight="1" ht="15.75">
      <c r="A245" s="13" t="s">
        <v>66</v>
      </c>
      <c r="B245" s="13" t="s">
        <v>1534</v>
      </c>
      <c r="C245" s="32" t="s">
        <v>3398</v>
      </c>
      <c r="D245" s="33" t="s">
        <v>2865</v>
      </c>
      <c r="E245" s="33" t="s">
        <v>3399</v>
      </c>
      <c r="F245" s="33" t="s">
        <v>3400</v>
      </c>
      <c r="G245" s="33" t="s">
        <v>3289</v>
      </c>
      <c r="H245" s="33" t="s">
        <v>3401</v>
      </c>
      <c r="I245" s="33" t="s">
        <v>2834</v>
      </c>
    </row>
    <row x14ac:dyDescent="0.25" r="246" customHeight="1" ht="15.75">
      <c r="A246" s="13" t="s">
        <v>66</v>
      </c>
      <c r="B246" s="13" t="s">
        <v>1290</v>
      </c>
      <c r="C246" s="32" t="s">
        <v>3255</v>
      </c>
      <c r="D246" s="33" t="s">
        <v>3029</v>
      </c>
      <c r="E246" s="33" t="s">
        <v>3086</v>
      </c>
      <c r="F246" s="33" t="s">
        <v>2920</v>
      </c>
      <c r="G246" s="33" t="s">
        <v>2969</v>
      </c>
      <c r="H246" s="33" t="s">
        <v>3134</v>
      </c>
      <c r="I246" s="33" t="s">
        <v>3285</v>
      </c>
    </row>
    <row x14ac:dyDescent="0.25" r="247" customHeight="1" ht="15.75">
      <c r="A247" s="13" t="s">
        <v>66</v>
      </c>
      <c r="B247" s="13" t="s">
        <v>1343</v>
      </c>
      <c r="C247" s="32" t="s">
        <v>3402</v>
      </c>
      <c r="D247" s="33" t="s">
        <v>3088</v>
      </c>
      <c r="E247" s="33" t="s">
        <v>3101</v>
      </c>
      <c r="F247" s="33" t="s">
        <v>3159</v>
      </c>
      <c r="G247" s="33" t="s">
        <v>3140</v>
      </c>
      <c r="H247" s="33" t="s">
        <v>2965</v>
      </c>
      <c r="I247" s="33" t="s">
        <v>2891</v>
      </c>
    </row>
    <row x14ac:dyDescent="0.25" r="248" customHeight="1" ht="15.75">
      <c r="A248" s="13" t="s">
        <v>66</v>
      </c>
      <c r="B248" s="13" t="s">
        <v>412</v>
      </c>
      <c r="C248" s="32" t="s">
        <v>3258</v>
      </c>
      <c r="D248" s="33" t="s">
        <v>2842</v>
      </c>
      <c r="E248" s="33" t="s">
        <v>3140</v>
      </c>
      <c r="F248" s="33" t="s">
        <v>3154</v>
      </c>
      <c r="G248" s="33" t="s">
        <v>2898</v>
      </c>
      <c r="H248" s="33" t="s">
        <v>3114</v>
      </c>
      <c r="I248" s="33" t="s">
        <v>2969</v>
      </c>
    </row>
    <row x14ac:dyDescent="0.25" r="249" customHeight="1" ht="15.75">
      <c r="A249" s="13" t="s">
        <v>66</v>
      </c>
      <c r="B249" s="13" t="s">
        <v>1652</v>
      </c>
      <c r="C249" s="32" t="s">
        <v>2941</v>
      </c>
      <c r="D249" s="33" t="s">
        <v>2971</v>
      </c>
      <c r="E249" s="33" t="s">
        <v>2918</v>
      </c>
      <c r="F249" s="33" t="s">
        <v>2971</v>
      </c>
      <c r="G249" s="33" t="s">
        <v>2914</v>
      </c>
      <c r="H249" s="33" t="s">
        <v>2942</v>
      </c>
      <c r="I249" s="33" t="s">
        <v>2915</v>
      </c>
    </row>
    <row x14ac:dyDescent="0.25" r="250" customHeight="1" ht="15.75">
      <c r="A250" s="13" t="s">
        <v>66</v>
      </c>
      <c r="B250" s="13" t="s">
        <v>1658</v>
      </c>
      <c r="C250" s="32" t="s">
        <v>3403</v>
      </c>
      <c r="D250" s="33" t="s">
        <v>3400</v>
      </c>
      <c r="E250" s="33" t="s">
        <v>3319</v>
      </c>
      <c r="F250" s="33" t="s">
        <v>3305</v>
      </c>
      <c r="G250" s="33" t="s">
        <v>3372</v>
      </c>
      <c r="H250" s="33" t="s">
        <v>3404</v>
      </c>
      <c r="I250" s="33" t="s">
        <v>3370</v>
      </c>
    </row>
    <row x14ac:dyDescent="0.25" r="251" customHeight="1" ht="15.75">
      <c r="A251" s="13" t="s">
        <v>66</v>
      </c>
      <c r="B251" s="13" t="s">
        <v>1363</v>
      </c>
      <c r="C251" s="32" t="s">
        <v>3405</v>
      </c>
      <c r="D251" s="33" t="s">
        <v>3103</v>
      </c>
      <c r="E251" s="33" t="s">
        <v>2936</v>
      </c>
      <c r="F251" s="33" t="s">
        <v>2925</v>
      </c>
      <c r="G251" s="33" t="s">
        <v>3101</v>
      </c>
      <c r="H251" s="33" t="s">
        <v>3215</v>
      </c>
      <c r="I251" s="33" t="s">
        <v>3031</v>
      </c>
    </row>
    <row x14ac:dyDescent="0.25" r="252" customHeight="1" ht="15.75">
      <c r="A252" s="13" t="s">
        <v>66</v>
      </c>
      <c r="B252" s="13" t="s">
        <v>1257</v>
      </c>
      <c r="C252" s="32" t="s">
        <v>3406</v>
      </c>
      <c r="D252" s="33" t="s">
        <v>2882</v>
      </c>
      <c r="E252" s="33" t="s">
        <v>3075</v>
      </c>
      <c r="F252" s="33" t="s">
        <v>3115</v>
      </c>
      <c r="G252" s="33" t="s">
        <v>2933</v>
      </c>
      <c r="H252" s="33" t="s">
        <v>2832</v>
      </c>
      <c r="I252" s="33" t="s">
        <v>2939</v>
      </c>
    </row>
    <row x14ac:dyDescent="0.25" r="253" customHeight="1" ht="15.75">
      <c r="A253" s="13" t="s">
        <v>66</v>
      </c>
      <c r="B253" s="13" t="s">
        <v>1255</v>
      </c>
      <c r="C253" s="32" t="s">
        <v>3407</v>
      </c>
      <c r="D253" s="33" t="s">
        <v>3151</v>
      </c>
      <c r="E253" s="33" t="s">
        <v>2847</v>
      </c>
      <c r="F253" s="33" t="s">
        <v>3351</v>
      </c>
      <c r="G253" s="33" t="s">
        <v>3351</v>
      </c>
      <c r="H253" s="33" t="s">
        <v>3351</v>
      </c>
      <c r="I253" s="33" t="s">
        <v>2843</v>
      </c>
    </row>
    <row x14ac:dyDescent="0.25" r="254" customHeight="1" ht="15.75">
      <c r="A254" s="13" t="s">
        <v>66</v>
      </c>
      <c r="B254" s="13" t="s">
        <v>1440</v>
      </c>
      <c r="C254" s="32" t="s">
        <v>3408</v>
      </c>
      <c r="D254" s="33" t="s">
        <v>2921</v>
      </c>
      <c r="E254" s="33" t="s">
        <v>2913</v>
      </c>
      <c r="F254" s="33" t="s">
        <v>3184</v>
      </c>
      <c r="G254" s="33" t="s">
        <v>3018</v>
      </c>
      <c r="H254" s="33" t="s">
        <v>3222</v>
      </c>
      <c r="I254" s="33" t="s">
        <v>3184</v>
      </c>
    </row>
    <row x14ac:dyDescent="0.25" r="255" customHeight="1" ht="15.75">
      <c r="A255" s="13" t="s">
        <v>66</v>
      </c>
      <c r="B255" s="13" t="s">
        <v>495</v>
      </c>
      <c r="C255" s="32" t="s">
        <v>2952</v>
      </c>
      <c r="D255" s="33" t="s">
        <v>3136</v>
      </c>
      <c r="E255" s="33" t="s">
        <v>3019</v>
      </c>
      <c r="F255" s="33" t="s">
        <v>2903</v>
      </c>
      <c r="G255" s="33" t="s">
        <v>2902</v>
      </c>
      <c r="H255" s="33" t="s">
        <v>2902</v>
      </c>
      <c r="I255" s="33" t="s">
        <v>3353</v>
      </c>
    </row>
    <row x14ac:dyDescent="0.25" r="256" customHeight="1" ht="15.75">
      <c r="A256" s="13" t="s">
        <v>66</v>
      </c>
      <c r="B256" s="13" t="s">
        <v>1327</v>
      </c>
      <c r="C256" s="32" t="s">
        <v>3409</v>
      </c>
      <c r="D256" s="33" t="s">
        <v>3410</v>
      </c>
      <c r="E256" s="33" t="s">
        <v>3411</v>
      </c>
      <c r="F256" s="33" t="s">
        <v>3412</v>
      </c>
      <c r="G256" s="33" t="s">
        <v>3311</v>
      </c>
      <c r="H256" s="33" t="s">
        <v>3413</v>
      </c>
      <c r="I256" s="33" t="s">
        <v>3361</v>
      </c>
    </row>
    <row x14ac:dyDescent="0.25" r="257" customHeight="1" ht="15.75">
      <c r="A257" s="13" t="s">
        <v>66</v>
      </c>
      <c r="B257" s="13" t="s">
        <v>761</v>
      </c>
      <c r="C257" s="32" t="s">
        <v>3414</v>
      </c>
      <c r="D257" s="33" t="s">
        <v>3112</v>
      </c>
      <c r="E257" s="33" t="s">
        <v>3122</v>
      </c>
      <c r="F257" s="33" t="s">
        <v>2897</v>
      </c>
      <c r="G257" s="33" t="s">
        <v>3197</v>
      </c>
      <c r="H257" s="33" t="s">
        <v>3112</v>
      </c>
      <c r="I257" s="33" t="s">
        <v>3063</v>
      </c>
    </row>
    <row x14ac:dyDescent="0.25" r="258" customHeight="1" ht="15.75">
      <c r="A258" s="13" t="s">
        <v>66</v>
      </c>
      <c r="B258" s="13" t="s">
        <v>1927</v>
      </c>
      <c r="C258" s="32" t="s">
        <v>2958</v>
      </c>
      <c r="D258" s="33" t="s">
        <v>3099</v>
      </c>
      <c r="E258" s="33" t="s">
        <v>3099</v>
      </c>
      <c r="F258" s="33" t="s">
        <v>2898</v>
      </c>
      <c r="G258" s="33" t="s">
        <v>3114</v>
      </c>
      <c r="H258" s="33" t="s">
        <v>2882</v>
      </c>
      <c r="I258" s="33" t="s">
        <v>2832</v>
      </c>
    </row>
    <row x14ac:dyDescent="0.25" r="259" customHeight="1" ht="15.75">
      <c r="A259" s="13" t="s">
        <v>66</v>
      </c>
      <c r="B259" s="13" t="s">
        <v>560</v>
      </c>
      <c r="C259" s="32" t="s">
        <v>2958</v>
      </c>
      <c r="D259" s="33" t="s">
        <v>2847</v>
      </c>
      <c r="E259" s="33" t="s">
        <v>2847</v>
      </c>
      <c r="F259" s="33" t="s">
        <v>2903</v>
      </c>
      <c r="G259" s="33" t="s">
        <v>2904</v>
      </c>
      <c r="H259" s="33" t="s">
        <v>2849</v>
      </c>
      <c r="I259" s="33" t="s">
        <v>2847</v>
      </c>
    </row>
    <row x14ac:dyDescent="0.25" r="260" customHeight="1" ht="15.75">
      <c r="A260" s="13" t="s">
        <v>66</v>
      </c>
      <c r="B260" s="13" t="s">
        <v>1443</v>
      </c>
      <c r="C260" s="32" t="s">
        <v>3415</v>
      </c>
      <c r="D260" s="33" t="s">
        <v>3101</v>
      </c>
      <c r="E260" s="33" t="s">
        <v>3075</v>
      </c>
      <c r="F260" s="33" t="s">
        <v>3086</v>
      </c>
      <c r="G260" s="33" t="s">
        <v>3166</v>
      </c>
      <c r="H260" s="33" t="s">
        <v>3018</v>
      </c>
      <c r="I260" s="33" t="s">
        <v>3301</v>
      </c>
    </row>
    <row x14ac:dyDescent="0.25" r="261" customHeight="1" ht="15.75">
      <c r="A261" s="13" t="s">
        <v>66</v>
      </c>
      <c r="B261" s="13" t="s">
        <v>68</v>
      </c>
      <c r="C261" s="32" t="s">
        <v>3416</v>
      </c>
      <c r="D261" s="33" t="s">
        <v>2998</v>
      </c>
      <c r="E261" s="33" t="s">
        <v>2999</v>
      </c>
      <c r="F261" s="33" t="s">
        <v>3276</v>
      </c>
      <c r="G261" s="33" t="s">
        <v>2853</v>
      </c>
      <c r="H261" s="33" t="s">
        <v>2999</v>
      </c>
      <c r="I261" s="33" t="s">
        <v>2852</v>
      </c>
    </row>
    <row x14ac:dyDescent="0.25" r="262" customHeight="1" ht="15.75">
      <c r="A262" s="13" t="s">
        <v>66</v>
      </c>
      <c r="B262" s="13" t="s">
        <v>1350</v>
      </c>
      <c r="C262" s="32" t="s">
        <v>2978</v>
      </c>
      <c r="D262" s="33" t="s">
        <v>3417</v>
      </c>
      <c r="E262" s="33" t="s">
        <v>3120</v>
      </c>
      <c r="F262" s="33" t="s">
        <v>3366</v>
      </c>
      <c r="G262" s="33" t="s">
        <v>3395</v>
      </c>
      <c r="H262" s="33" t="s">
        <v>3004</v>
      </c>
      <c r="I262" s="33" t="s">
        <v>3117</v>
      </c>
    </row>
    <row x14ac:dyDescent="0.25" r="263" customHeight="1" ht="15.75">
      <c r="A263" s="13" t="s">
        <v>66</v>
      </c>
      <c r="B263" s="13" t="s">
        <v>967</v>
      </c>
      <c r="C263" s="32" t="s">
        <v>3001</v>
      </c>
      <c r="D263" s="33" t="s">
        <v>3301</v>
      </c>
      <c r="E263" s="33" t="s">
        <v>3140</v>
      </c>
      <c r="F263" s="33" t="s">
        <v>2971</v>
      </c>
      <c r="G263" s="33" t="s">
        <v>3175</v>
      </c>
      <c r="H263" s="33" t="s">
        <v>2992</v>
      </c>
      <c r="I263" s="33" t="s">
        <v>3216</v>
      </c>
    </row>
    <row x14ac:dyDescent="0.25" r="264" customHeight="1" ht="15.75">
      <c r="A264" s="13" t="s">
        <v>66</v>
      </c>
      <c r="B264" s="13" t="s">
        <v>2711</v>
      </c>
      <c r="C264" s="32" t="s">
        <v>3277</v>
      </c>
      <c r="D264" s="33" t="s">
        <v>3122</v>
      </c>
      <c r="E264" s="33" t="s">
        <v>3074</v>
      </c>
      <c r="F264" s="33" t="s">
        <v>3122</v>
      </c>
      <c r="G264" s="33" t="s">
        <v>2965</v>
      </c>
      <c r="H264" s="33" t="s">
        <v>3122</v>
      </c>
      <c r="I264" s="33" t="s">
        <v>2891</v>
      </c>
    </row>
    <row x14ac:dyDescent="0.25" r="265" customHeight="1" ht="15.75">
      <c r="A265" s="13" t="s">
        <v>66</v>
      </c>
      <c r="B265" s="13" t="s">
        <v>842</v>
      </c>
      <c r="C265" s="32" t="s">
        <v>3286</v>
      </c>
      <c r="D265" s="33" t="s">
        <v>2986</v>
      </c>
      <c r="E265" s="33" t="s">
        <v>2962</v>
      </c>
      <c r="F265" s="33" t="s">
        <v>3163</v>
      </c>
      <c r="G265" s="33" t="s">
        <v>2986</v>
      </c>
      <c r="H265" s="33" t="s">
        <v>2845</v>
      </c>
      <c r="I265" s="33" t="s">
        <v>2843</v>
      </c>
    </row>
    <row x14ac:dyDescent="0.25" r="266" customHeight="1" ht="15.75">
      <c r="A266" s="13" t="s">
        <v>66</v>
      </c>
      <c r="B266" s="13" t="s">
        <v>1000</v>
      </c>
      <c r="C266" s="32" t="s">
        <v>3291</v>
      </c>
      <c r="D266" s="33" t="s">
        <v>3033</v>
      </c>
      <c r="E266" s="33" t="s">
        <v>3074</v>
      </c>
      <c r="F266" s="33" t="s">
        <v>3100</v>
      </c>
      <c r="G266" s="33" t="s">
        <v>3196</v>
      </c>
      <c r="H266" s="33" t="s">
        <v>3100</v>
      </c>
      <c r="I266" s="33" t="s">
        <v>2887</v>
      </c>
    </row>
    <row x14ac:dyDescent="0.25" r="267" customHeight="1" ht="15.75">
      <c r="A267" s="13" t="s">
        <v>66</v>
      </c>
      <c r="B267" s="13" t="s">
        <v>1935</v>
      </c>
      <c r="C267" s="32" t="s">
        <v>3025</v>
      </c>
      <c r="D267" s="33" t="s">
        <v>2999</v>
      </c>
      <c r="E267" s="33" t="s">
        <v>2830</v>
      </c>
      <c r="F267" s="33" t="s">
        <v>3019</v>
      </c>
      <c r="G267" s="33" t="s">
        <v>3019</v>
      </c>
      <c r="H267" s="33" t="s">
        <v>3019</v>
      </c>
      <c r="I267" s="33" t="s">
        <v>2830</v>
      </c>
    </row>
    <row x14ac:dyDescent="0.25" r="268" customHeight="1" ht="15.75">
      <c r="A268" s="13" t="s">
        <v>66</v>
      </c>
      <c r="B268" s="13" t="s">
        <v>2051</v>
      </c>
      <c r="C268" s="32" t="s">
        <v>3418</v>
      </c>
      <c r="D268" s="33" t="s">
        <v>2898</v>
      </c>
      <c r="E268" s="33" t="s">
        <v>3134</v>
      </c>
      <c r="F268" s="33" t="s">
        <v>3285</v>
      </c>
      <c r="G268" s="33" t="s">
        <v>2842</v>
      </c>
      <c r="H268" s="33" t="s">
        <v>2962</v>
      </c>
      <c r="I268" s="33" t="s">
        <v>3184</v>
      </c>
    </row>
    <row x14ac:dyDescent="0.25" r="269" customHeight="1" ht="15.75">
      <c r="A269" s="13" t="s">
        <v>66</v>
      </c>
      <c r="B269" s="13" t="s">
        <v>1141</v>
      </c>
      <c r="C269" s="32" t="s">
        <v>3292</v>
      </c>
      <c r="D269" s="33" t="s">
        <v>3012</v>
      </c>
      <c r="E269" s="33" t="s">
        <v>3187</v>
      </c>
      <c r="F269" s="33" t="s">
        <v>3295</v>
      </c>
      <c r="G269" s="33" t="s">
        <v>3112</v>
      </c>
      <c r="H269" s="33" t="s">
        <v>3186</v>
      </c>
      <c r="I269" s="33" t="s">
        <v>3107</v>
      </c>
    </row>
    <row x14ac:dyDescent="0.25" r="270" customHeight="1" ht="15.75">
      <c r="A270" s="13" t="s">
        <v>66</v>
      </c>
      <c r="B270" s="13" t="s">
        <v>471</v>
      </c>
      <c r="C270" s="32" t="s">
        <v>3292</v>
      </c>
      <c r="D270" s="33" t="s">
        <v>3024</v>
      </c>
      <c r="E270" s="33" t="s">
        <v>3141</v>
      </c>
      <c r="F270" s="33" t="s">
        <v>2991</v>
      </c>
      <c r="G270" s="33" t="s">
        <v>2915</v>
      </c>
      <c r="H270" s="33" t="s">
        <v>3067</v>
      </c>
      <c r="I270" s="33" t="s">
        <v>3050</v>
      </c>
    </row>
    <row x14ac:dyDescent="0.25" r="271" customHeight="1" ht="15.75">
      <c r="A271" s="13" t="s">
        <v>66</v>
      </c>
      <c r="B271" s="13" t="s">
        <v>2096</v>
      </c>
      <c r="C271" s="32" t="s">
        <v>3419</v>
      </c>
      <c r="D271" s="33" t="s">
        <v>3420</v>
      </c>
      <c r="E271" s="33" t="s">
        <v>3421</v>
      </c>
      <c r="F271" s="33" t="s">
        <v>2862</v>
      </c>
      <c r="G271" s="33" t="s">
        <v>3316</v>
      </c>
      <c r="H271" s="33" t="s">
        <v>3422</v>
      </c>
      <c r="I271" s="33" t="s">
        <v>3240</v>
      </c>
    </row>
    <row x14ac:dyDescent="0.25" r="272" customHeight="1" ht="15.75">
      <c r="A272" s="13" t="s">
        <v>66</v>
      </c>
      <c r="B272" s="13" t="s">
        <v>1827</v>
      </c>
      <c r="C272" s="32" t="s">
        <v>3423</v>
      </c>
      <c r="D272" s="33" t="s">
        <v>2942</v>
      </c>
      <c r="E272" s="33" t="s">
        <v>2856</v>
      </c>
      <c r="F272" s="33" t="s">
        <v>2857</v>
      </c>
      <c r="G272" s="33" t="s">
        <v>3136</v>
      </c>
      <c r="H272" s="33" t="s">
        <v>3050</v>
      </c>
      <c r="I272" s="33" t="s">
        <v>2943</v>
      </c>
    </row>
    <row x14ac:dyDescent="0.25" r="273" customHeight="1" ht="15.75">
      <c r="A273" s="13" t="s">
        <v>66</v>
      </c>
      <c r="B273" s="13" t="s">
        <v>1412</v>
      </c>
      <c r="C273" s="32" t="s">
        <v>3424</v>
      </c>
      <c r="D273" s="33" t="s">
        <v>3035</v>
      </c>
      <c r="E273" s="33" t="s">
        <v>3425</v>
      </c>
      <c r="F273" s="33" t="s">
        <v>2955</v>
      </c>
      <c r="G273" s="33" t="s">
        <v>3186</v>
      </c>
      <c r="H273" s="33" t="s">
        <v>3082</v>
      </c>
      <c r="I273" s="33" t="s">
        <v>3295</v>
      </c>
    </row>
    <row x14ac:dyDescent="0.25" r="274" customHeight="1" ht="15.75">
      <c r="A274" s="13" t="s">
        <v>66</v>
      </c>
      <c r="B274" s="13" t="s">
        <v>2526</v>
      </c>
      <c r="C274" s="32" t="s">
        <v>3198</v>
      </c>
      <c r="D274" s="33" t="s">
        <v>3136</v>
      </c>
      <c r="E274" s="33" t="s">
        <v>2980</v>
      </c>
      <c r="F274" s="33" t="s">
        <v>2843</v>
      </c>
      <c r="G274" s="33" t="s">
        <v>2943</v>
      </c>
      <c r="H274" s="33" t="s">
        <v>2980</v>
      </c>
      <c r="I274" s="33" t="s">
        <v>2942</v>
      </c>
    </row>
    <row x14ac:dyDescent="0.25" r="275" customHeight="1" ht="15.75">
      <c r="A275" s="13" t="s">
        <v>66</v>
      </c>
      <c r="B275" s="13" t="s">
        <v>954</v>
      </c>
      <c r="C275" s="32" t="s">
        <v>3198</v>
      </c>
      <c r="D275" s="33" t="s">
        <v>3136</v>
      </c>
      <c r="E275" s="33" t="s">
        <v>3276</v>
      </c>
      <c r="F275" s="33" t="s">
        <v>2981</v>
      </c>
      <c r="G275" s="33" t="s">
        <v>2888</v>
      </c>
      <c r="H275" s="33" t="s">
        <v>2849</v>
      </c>
      <c r="I275" s="33" t="s">
        <v>2849</v>
      </c>
    </row>
    <row x14ac:dyDescent="0.25" r="276" customHeight="1" ht="15.75">
      <c r="A276" s="13" t="s">
        <v>66</v>
      </c>
      <c r="B276" s="13" t="s">
        <v>618</v>
      </c>
      <c r="C276" s="32" t="s">
        <v>3426</v>
      </c>
      <c r="D276" s="33" t="s">
        <v>2964</v>
      </c>
      <c r="E276" s="33" t="s">
        <v>3187</v>
      </c>
      <c r="F276" s="33" t="s">
        <v>3197</v>
      </c>
      <c r="G276" s="33" t="s">
        <v>3107</v>
      </c>
      <c r="H276" s="33" t="s">
        <v>2937</v>
      </c>
      <c r="I276" s="33" t="s">
        <v>3122</v>
      </c>
    </row>
    <row x14ac:dyDescent="0.25" r="277" customHeight="1" ht="15.75">
      <c r="A277" s="13" t="s">
        <v>66</v>
      </c>
      <c r="B277" s="13" t="s">
        <v>1267</v>
      </c>
      <c r="C277" s="32" t="s">
        <v>3427</v>
      </c>
      <c r="D277" s="33" t="s">
        <v>3428</v>
      </c>
      <c r="E277" s="33" t="s">
        <v>3003</v>
      </c>
      <c r="F277" s="33" t="s">
        <v>3429</v>
      </c>
      <c r="G277" s="33" t="s">
        <v>3249</v>
      </c>
      <c r="H277" s="33" t="s">
        <v>3378</v>
      </c>
      <c r="I277" s="33" t="s">
        <v>3430</v>
      </c>
    </row>
    <row x14ac:dyDescent="0.25" r="278" customHeight="1" ht="15.75">
      <c r="A278" s="13" t="s">
        <v>66</v>
      </c>
      <c r="B278" s="13" t="s">
        <v>969</v>
      </c>
      <c r="C278" s="32" t="s">
        <v>3083</v>
      </c>
      <c r="D278" s="33" t="s">
        <v>2962</v>
      </c>
      <c r="E278" s="33" t="s">
        <v>3073</v>
      </c>
      <c r="F278" s="33" t="s">
        <v>3196</v>
      </c>
      <c r="G278" s="33" t="s">
        <v>2966</v>
      </c>
      <c r="H278" s="33" t="s">
        <v>3101</v>
      </c>
      <c r="I278" s="33" t="s">
        <v>2966</v>
      </c>
    </row>
    <row x14ac:dyDescent="0.25" r="279" customHeight="1" ht="15.75">
      <c r="A279" s="13" t="s">
        <v>66</v>
      </c>
      <c r="B279" s="13" t="s">
        <v>887</v>
      </c>
      <c r="C279" s="32" t="s">
        <v>3431</v>
      </c>
      <c r="D279" s="33" t="s">
        <v>2948</v>
      </c>
      <c r="E279" s="33" t="s">
        <v>3127</v>
      </c>
      <c r="F279" s="33" t="s">
        <v>3432</v>
      </c>
      <c r="G279" s="33" t="s">
        <v>3010</v>
      </c>
      <c r="H279" s="33" t="s">
        <v>2959</v>
      </c>
      <c r="I279" s="33" t="s">
        <v>3063</v>
      </c>
    </row>
    <row x14ac:dyDescent="0.25" r="280" customHeight="1" ht="15.75">
      <c r="A280" s="13" t="s">
        <v>66</v>
      </c>
      <c r="B280" s="13" t="s">
        <v>1763</v>
      </c>
      <c r="C280" s="32" t="s">
        <v>3431</v>
      </c>
      <c r="D280" s="33" t="s">
        <v>3351</v>
      </c>
      <c r="E280" s="33" t="s">
        <v>2997</v>
      </c>
      <c r="F280" s="33" t="s">
        <v>2905</v>
      </c>
      <c r="G280" s="33" t="s">
        <v>2847</v>
      </c>
      <c r="H280" s="33" t="s">
        <v>2905</v>
      </c>
      <c r="I280" s="33" t="s">
        <v>2850</v>
      </c>
    </row>
    <row x14ac:dyDescent="0.25" r="281" customHeight="1" ht="15.75">
      <c r="A281" s="13" t="s">
        <v>66</v>
      </c>
      <c r="B281" s="13" t="s">
        <v>1484</v>
      </c>
      <c r="C281" s="32" t="s">
        <v>3089</v>
      </c>
      <c r="D281" s="33" t="s">
        <v>3112</v>
      </c>
      <c r="E281" s="33" t="s">
        <v>2832</v>
      </c>
      <c r="F281" s="33" t="s">
        <v>2936</v>
      </c>
      <c r="G281" s="33" t="s">
        <v>3112</v>
      </c>
      <c r="H281" s="33" t="s">
        <v>3201</v>
      </c>
      <c r="I281" s="33" t="s">
        <v>2917</v>
      </c>
    </row>
    <row x14ac:dyDescent="0.25" r="282" customHeight="1" ht="15.75">
      <c r="A282" s="13" t="s">
        <v>66</v>
      </c>
      <c r="B282" s="13" t="s">
        <v>1901</v>
      </c>
      <c r="C282" s="32" t="s">
        <v>3433</v>
      </c>
      <c r="D282" s="33" t="s">
        <v>3163</v>
      </c>
      <c r="E282" s="33" t="s">
        <v>2933</v>
      </c>
      <c r="F282" s="33" t="s">
        <v>3197</v>
      </c>
      <c r="G282" s="33" t="s">
        <v>3087</v>
      </c>
      <c r="H282" s="33" t="s">
        <v>3112</v>
      </c>
      <c r="I282" s="33" t="s">
        <v>3029</v>
      </c>
    </row>
    <row x14ac:dyDescent="0.25" r="283" customHeight="1" ht="15.75">
      <c r="A283" s="13" t="s">
        <v>66</v>
      </c>
      <c r="B283" s="13" t="s">
        <v>1158</v>
      </c>
      <c r="C283" s="32" t="s">
        <v>3434</v>
      </c>
      <c r="D283" s="33" t="s">
        <v>3114</v>
      </c>
      <c r="E283" s="33" t="s">
        <v>3074</v>
      </c>
      <c r="F283" s="33" t="s">
        <v>3301</v>
      </c>
      <c r="G283" s="33" t="s">
        <v>2897</v>
      </c>
      <c r="H283" s="33" t="s">
        <v>3154</v>
      </c>
      <c r="I283" s="33" t="s">
        <v>2966</v>
      </c>
    </row>
    <row x14ac:dyDescent="0.25" r="284" customHeight="1" ht="15.75">
      <c r="A284" s="13" t="s">
        <v>66</v>
      </c>
      <c r="B284" s="13" t="s">
        <v>1737</v>
      </c>
      <c r="C284" s="32" t="s">
        <v>3307</v>
      </c>
      <c r="D284" s="33" t="s">
        <v>3137</v>
      </c>
      <c r="E284" s="33" t="s">
        <v>3138</v>
      </c>
      <c r="F284" s="33" t="s">
        <v>2983</v>
      </c>
      <c r="G284" s="33" t="s">
        <v>2980</v>
      </c>
      <c r="H284" s="33" t="s">
        <v>3137</v>
      </c>
      <c r="I284" s="33" t="s">
        <v>2983</v>
      </c>
    </row>
    <row x14ac:dyDescent="0.25" r="285" customHeight="1" ht="15.75">
      <c r="A285" s="13" t="s">
        <v>66</v>
      </c>
      <c r="B285" s="13" t="s">
        <v>1208</v>
      </c>
      <c r="C285" s="32" t="s">
        <v>3090</v>
      </c>
      <c r="D285" s="33" t="s">
        <v>2979</v>
      </c>
      <c r="E285" s="33" t="s">
        <v>2893</v>
      </c>
      <c r="F285" s="33" t="s">
        <v>2981</v>
      </c>
      <c r="G285" s="33" t="s">
        <v>2856</v>
      </c>
      <c r="H285" s="33" t="s">
        <v>3156</v>
      </c>
      <c r="I285" s="33" t="s">
        <v>2982</v>
      </c>
    </row>
    <row x14ac:dyDescent="0.25" r="286" customHeight="1" ht="15.75">
      <c r="A286" s="13" t="s">
        <v>66</v>
      </c>
      <c r="B286" s="13" t="s">
        <v>2179</v>
      </c>
      <c r="C286" s="32" t="s">
        <v>3435</v>
      </c>
      <c r="D286" s="33" t="s">
        <v>3250</v>
      </c>
      <c r="E286" s="33" t="s">
        <v>3412</v>
      </c>
      <c r="F286" s="33" t="s">
        <v>3329</v>
      </c>
      <c r="G286" s="33" t="s">
        <v>3436</v>
      </c>
      <c r="H286" s="33" t="s">
        <v>3437</v>
      </c>
      <c r="I286" s="33" t="s">
        <v>3248</v>
      </c>
    </row>
    <row x14ac:dyDescent="0.25" r="287" customHeight="1" ht="15.75">
      <c r="A287" s="13" t="s">
        <v>66</v>
      </c>
      <c r="B287" s="13" t="s">
        <v>2210</v>
      </c>
      <c r="C287" s="32" t="s">
        <v>3202</v>
      </c>
      <c r="D287" s="33" t="s">
        <v>2863</v>
      </c>
      <c r="E287" s="33" t="s">
        <v>3132</v>
      </c>
      <c r="F287" s="33" t="s">
        <v>3010</v>
      </c>
      <c r="G287" s="33" t="s">
        <v>3345</v>
      </c>
      <c r="H287" s="33" t="s">
        <v>3347</v>
      </c>
      <c r="I287" s="33" t="s">
        <v>2832</v>
      </c>
    </row>
    <row x14ac:dyDescent="0.25" r="288" customHeight="1" ht="15.75">
      <c r="A288" s="13" t="s">
        <v>66</v>
      </c>
      <c r="B288" s="13" t="s">
        <v>2167</v>
      </c>
      <c r="C288" s="32" t="s">
        <v>3104</v>
      </c>
      <c r="D288" s="33" t="s">
        <v>2962</v>
      </c>
      <c r="E288" s="33" t="s">
        <v>2960</v>
      </c>
      <c r="F288" s="33" t="s">
        <v>2887</v>
      </c>
      <c r="G288" s="33" t="s">
        <v>3018</v>
      </c>
      <c r="H288" s="33" t="s">
        <v>2970</v>
      </c>
      <c r="I288" s="33" t="s">
        <v>3058</v>
      </c>
    </row>
    <row x14ac:dyDescent="0.25" r="289" customHeight="1" ht="15.75">
      <c r="A289" s="13" t="s">
        <v>66</v>
      </c>
      <c r="B289" s="13" t="s">
        <v>1669</v>
      </c>
      <c r="C289" s="32" t="s">
        <v>3113</v>
      </c>
      <c r="D289" s="33" t="s">
        <v>2925</v>
      </c>
      <c r="E289" s="33" t="s">
        <v>2930</v>
      </c>
      <c r="F289" s="33" t="s">
        <v>2940</v>
      </c>
      <c r="G289" s="33" t="s">
        <v>2965</v>
      </c>
      <c r="H289" s="33" t="s">
        <v>3159</v>
      </c>
      <c r="I289" s="33" t="s">
        <v>2937</v>
      </c>
    </row>
    <row x14ac:dyDescent="0.25" r="290" customHeight="1" ht="15.75">
      <c r="A290" s="13" t="s">
        <v>66</v>
      </c>
      <c r="B290" s="13" t="s">
        <v>1727</v>
      </c>
      <c r="C290" s="32" t="s">
        <v>3108</v>
      </c>
      <c r="D290" s="33" t="s">
        <v>3112</v>
      </c>
      <c r="E290" s="33" t="s">
        <v>2897</v>
      </c>
      <c r="F290" s="33" t="s">
        <v>3166</v>
      </c>
      <c r="G290" s="33" t="s">
        <v>2968</v>
      </c>
      <c r="H290" s="33" t="s">
        <v>3122</v>
      </c>
      <c r="I290" s="33" t="s">
        <v>2940</v>
      </c>
    </row>
    <row x14ac:dyDescent="0.25" r="291" customHeight="1" ht="15.75">
      <c r="A291" s="13" t="s">
        <v>66</v>
      </c>
      <c r="B291" s="13" t="s">
        <v>799</v>
      </c>
      <c r="C291" s="32" t="s">
        <v>3438</v>
      </c>
      <c r="D291" s="33" t="s">
        <v>3137</v>
      </c>
      <c r="E291" s="33" t="s">
        <v>3156</v>
      </c>
      <c r="F291" s="33" t="s">
        <v>2856</v>
      </c>
      <c r="G291" s="33" t="s">
        <v>3353</v>
      </c>
      <c r="H291" s="33" t="s">
        <v>3050</v>
      </c>
      <c r="I291" s="33" t="s">
        <v>2942</v>
      </c>
    </row>
    <row x14ac:dyDescent="0.25" r="292" customHeight="1" ht="15.75">
      <c r="A292" s="13" t="s">
        <v>66</v>
      </c>
      <c r="B292" s="13" t="s">
        <v>2173</v>
      </c>
      <c r="C292" s="32" t="s">
        <v>3206</v>
      </c>
      <c r="D292" s="33" t="s">
        <v>3351</v>
      </c>
      <c r="E292" s="33" t="s">
        <v>3351</v>
      </c>
      <c r="F292" s="33" t="s">
        <v>3000</v>
      </c>
      <c r="G292" s="33" t="s">
        <v>3276</v>
      </c>
      <c r="H292" s="33" t="s">
        <v>3152</v>
      </c>
      <c r="I292" s="33" t="s">
        <v>3152</v>
      </c>
    </row>
    <row x14ac:dyDescent="0.25" r="293" customHeight="1" ht="15.75">
      <c r="A293" s="13" t="s">
        <v>66</v>
      </c>
      <c r="B293" s="13" t="s">
        <v>482</v>
      </c>
      <c r="C293" s="32" t="s">
        <v>3439</v>
      </c>
      <c r="D293" s="33" t="s">
        <v>3140</v>
      </c>
      <c r="E293" s="33" t="s">
        <v>2892</v>
      </c>
      <c r="F293" s="33" t="s">
        <v>2844</v>
      </c>
      <c r="G293" s="33" t="s">
        <v>2990</v>
      </c>
      <c r="H293" s="33" t="s">
        <v>2894</v>
      </c>
      <c r="I293" s="33" t="s">
        <v>2915</v>
      </c>
    </row>
    <row x14ac:dyDescent="0.25" r="294" customHeight="1" ht="15.75">
      <c r="A294" s="13" t="s">
        <v>66</v>
      </c>
      <c r="B294" s="13" t="s">
        <v>2001</v>
      </c>
      <c r="C294" s="32" t="s">
        <v>3440</v>
      </c>
      <c r="D294" s="33" t="s">
        <v>2899</v>
      </c>
      <c r="E294" s="33" t="s">
        <v>2843</v>
      </c>
      <c r="F294" s="33" t="s">
        <v>2991</v>
      </c>
      <c r="G294" s="33" t="s">
        <v>2894</v>
      </c>
      <c r="H294" s="33" t="s">
        <v>2894</v>
      </c>
      <c r="I294" s="33" t="s">
        <v>3216</v>
      </c>
    </row>
    <row x14ac:dyDescent="0.25" r="295" customHeight="1" ht="15.75">
      <c r="A295" s="13" t="s">
        <v>66</v>
      </c>
      <c r="B295" s="13" t="s">
        <v>915</v>
      </c>
      <c r="C295" s="32" t="s">
        <v>3324</v>
      </c>
      <c r="D295" s="33" t="s">
        <v>2943</v>
      </c>
      <c r="E295" s="33" t="s">
        <v>2903</v>
      </c>
      <c r="F295" s="33" t="s">
        <v>2904</v>
      </c>
      <c r="G295" s="33" t="s">
        <v>3353</v>
      </c>
      <c r="H295" s="33" t="s">
        <v>3051</v>
      </c>
      <c r="I295" s="33" t="s">
        <v>2843</v>
      </c>
    </row>
    <row x14ac:dyDescent="0.25" r="296" customHeight="1" ht="15.75">
      <c r="A296" s="13" t="s">
        <v>66</v>
      </c>
      <c r="B296" s="13" t="s">
        <v>910</v>
      </c>
      <c r="C296" s="32" t="s">
        <v>3331</v>
      </c>
      <c r="D296" s="33" t="s">
        <v>3106</v>
      </c>
      <c r="E296" s="33" t="s">
        <v>3047</v>
      </c>
      <c r="F296" s="33" t="s">
        <v>2926</v>
      </c>
      <c r="G296" s="33" t="s">
        <v>3112</v>
      </c>
      <c r="H296" s="33" t="s">
        <v>3064</v>
      </c>
      <c r="I296" s="33" t="s">
        <v>3030</v>
      </c>
    </row>
    <row x14ac:dyDescent="0.25" r="297" customHeight="1" ht="15.75">
      <c r="A297" s="13" t="s">
        <v>66</v>
      </c>
      <c r="B297" s="13" t="s">
        <v>1253</v>
      </c>
      <c r="C297" s="32" t="s">
        <v>3331</v>
      </c>
      <c r="D297" s="33" t="s">
        <v>2891</v>
      </c>
      <c r="E297" s="33" t="s">
        <v>2971</v>
      </c>
      <c r="F297" s="33" t="s">
        <v>2971</v>
      </c>
      <c r="G297" s="33" t="s">
        <v>3170</v>
      </c>
      <c r="H297" s="33" t="s">
        <v>3066</v>
      </c>
      <c r="I297" s="33" t="s">
        <v>2900</v>
      </c>
    </row>
    <row x14ac:dyDescent="0.25" r="298" customHeight="1" ht="15.75">
      <c r="A298" s="13" t="s">
        <v>66</v>
      </c>
      <c r="B298" s="13" t="s">
        <v>1975</v>
      </c>
      <c r="C298" s="32" t="s">
        <v>3133</v>
      </c>
      <c r="D298" s="33" t="s">
        <v>3345</v>
      </c>
      <c r="E298" s="33" t="s">
        <v>2882</v>
      </c>
      <c r="F298" s="33" t="s">
        <v>2968</v>
      </c>
      <c r="G298" s="33" t="s">
        <v>2938</v>
      </c>
      <c r="H298" s="33" t="s">
        <v>3197</v>
      </c>
      <c r="I298" s="33" t="s">
        <v>3197</v>
      </c>
    </row>
    <row x14ac:dyDescent="0.25" r="299" customHeight="1" ht="15.75">
      <c r="A299" s="13" t="s">
        <v>66</v>
      </c>
      <c r="B299" s="13" t="s">
        <v>1756</v>
      </c>
      <c r="C299" s="32" t="s">
        <v>3441</v>
      </c>
      <c r="D299" s="33" t="s">
        <v>2915</v>
      </c>
      <c r="E299" s="33" t="s">
        <v>3156</v>
      </c>
      <c r="F299" s="33" t="s">
        <v>3156</v>
      </c>
      <c r="G299" s="33" t="s">
        <v>3353</v>
      </c>
      <c r="H299" s="33" t="s">
        <v>2848</v>
      </c>
      <c r="I299" s="33" t="s">
        <v>2905</v>
      </c>
    </row>
    <row x14ac:dyDescent="0.25" r="300" customHeight="1" ht="15.75">
      <c r="A300" s="13" t="s">
        <v>66</v>
      </c>
      <c r="B300" s="13" t="s">
        <v>528</v>
      </c>
      <c r="C300" s="32" t="s">
        <v>3213</v>
      </c>
      <c r="D300" s="33" t="s">
        <v>3275</v>
      </c>
      <c r="E300" s="33" t="s">
        <v>3029</v>
      </c>
      <c r="F300" s="33" t="s">
        <v>3285</v>
      </c>
      <c r="G300" s="33" t="s">
        <v>2937</v>
      </c>
      <c r="H300" s="33" t="s">
        <v>2938</v>
      </c>
      <c r="I300" s="33" t="s">
        <v>3088</v>
      </c>
    </row>
    <row x14ac:dyDescent="0.25" r="301" customHeight="1" ht="15.75">
      <c r="A301" s="13" t="s">
        <v>66</v>
      </c>
      <c r="B301" s="13" t="s">
        <v>1302</v>
      </c>
      <c r="C301" s="32" t="s">
        <v>3213</v>
      </c>
      <c r="D301" s="33" t="s">
        <v>2990</v>
      </c>
      <c r="E301" s="33" t="s">
        <v>3052</v>
      </c>
      <c r="F301" s="33" t="s">
        <v>2888</v>
      </c>
      <c r="G301" s="33" t="s">
        <v>2893</v>
      </c>
      <c r="H301" s="33" t="s">
        <v>2979</v>
      </c>
      <c r="I301" s="33" t="s">
        <v>2856</v>
      </c>
    </row>
    <row x14ac:dyDescent="0.25" r="302" customHeight="1" ht="15.75">
      <c r="A302" s="13" t="s">
        <v>66</v>
      </c>
      <c r="B302" s="13" t="s">
        <v>2289</v>
      </c>
      <c r="C302" s="32" t="s">
        <v>3332</v>
      </c>
      <c r="D302" s="33" t="s">
        <v>2842</v>
      </c>
      <c r="E302" s="33" t="s">
        <v>3115</v>
      </c>
      <c r="F302" s="33" t="s">
        <v>2920</v>
      </c>
      <c r="G302" s="33" t="s">
        <v>2969</v>
      </c>
      <c r="H302" s="33" t="s">
        <v>3114</v>
      </c>
      <c r="I302" s="33" t="s">
        <v>3196</v>
      </c>
    </row>
    <row x14ac:dyDescent="0.25" r="303" customHeight="1" ht="15.75">
      <c r="A303" s="13" t="s">
        <v>66</v>
      </c>
      <c r="B303" s="13" t="s">
        <v>918</v>
      </c>
      <c r="C303" s="32" t="s">
        <v>3442</v>
      </c>
      <c r="D303" s="33" t="s">
        <v>3023</v>
      </c>
      <c r="E303" s="33" t="s">
        <v>3023</v>
      </c>
      <c r="F303" s="33" t="s">
        <v>2899</v>
      </c>
      <c r="G303" s="33" t="s">
        <v>3074</v>
      </c>
      <c r="H303" s="33" t="s">
        <v>3075</v>
      </c>
      <c r="I303" s="33" t="s">
        <v>3166</v>
      </c>
    </row>
    <row x14ac:dyDescent="0.25" r="304" customHeight="1" ht="15.75">
      <c r="A304" s="13" t="s">
        <v>66</v>
      </c>
      <c r="B304" s="13" t="s">
        <v>2197</v>
      </c>
      <c r="C304" s="32" t="s">
        <v>3335</v>
      </c>
      <c r="D304" s="33" t="s">
        <v>3145</v>
      </c>
      <c r="E304" s="33" t="s">
        <v>3030</v>
      </c>
      <c r="F304" s="33" t="s">
        <v>3063</v>
      </c>
      <c r="G304" s="33" t="s">
        <v>2836</v>
      </c>
      <c r="H304" s="33" t="s">
        <v>2917</v>
      </c>
      <c r="I304" s="33" t="s">
        <v>3064</v>
      </c>
    </row>
    <row x14ac:dyDescent="0.25" r="305" customHeight="1" ht="15.75">
      <c r="A305" s="13" t="s">
        <v>66</v>
      </c>
      <c r="B305" s="13" t="s">
        <v>2612</v>
      </c>
      <c r="C305" s="32" t="s">
        <v>3336</v>
      </c>
      <c r="D305" s="33" t="s">
        <v>3021</v>
      </c>
      <c r="E305" s="33" t="s">
        <v>3134</v>
      </c>
      <c r="F305" s="33" t="s">
        <v>3222</v>
      </c>
      <c r="G305" s="33" t="s">
        <v>3099</v>
      </c>
      <c r="H305" s="33" t="s">
        <v>2937</v>
      </c>
      <c r="I305" s="33" t="s">
        <v>3086</v>
      </c>
    </row>
    <row x14ac:dyDescent="0.25" r="306" customHeight="1" ht="15.75">
      <c r="A306" s="13" t="s">
        <v>66</v>
      </c>
      <c r="B306" s="13" t="s">
        <v>2432</v>
      </c>
      <c r="C306" s="32" t="s">
        <v>3336</v>
      </c>
      <c r="D306" s="33" t="s">
        <v>2899</v>
      </c>
      <c r="E306" s="33" t="s">
        <v>2915</v>
      </c>
      <c r="F306" s="33" t="s">
        <v>2990</v>
      </c>
      <c r="G306" s="33" t="s">
        <v>3170</v>
      </c>
      <c r="H306" s="33" t="s">
        <v>2971</v>
      </c>
      <c r="I306" s="33" t="s">
        <v>2918</v>
      </c>
    </row>
    <row x14ac:dyDescent="0.25" r="307" customHeight="1" ht="15.75">
      <c r="A307" s="13" t="s">
        <v>66</v>
      </c>
      <c r="B307" s="13" t="s">
        <v>843</v>
      </c>
      <c r="C307" s="32" t="s">
        <v>3153</v>
      </c>
      <c r="D307" s="33" t="s">
        <v>3193</v>
      </c>
      <c r="E307" s="33" t="s">
        <v>2904</v>
      </c>
      <c r="F307" s="33" t="s">
        <v>2849</v>
      </c>
      <c r="G307" s="33" t="s">
        <v>2951</v>
      </c>
      <c r="H307" s="33" t="s">
        <v>2847</v>
      </c>
      <c r="I307" s="33" t="s">
        <v>2950</v>
      </c>
    </row>
    <row x14ac:dyDescent="0.25" r="308" customHeight="1" ht="15.75">
      <c r="A308" s="13" t="s">
        <v>66</v>
      </c>
      <c r="B308" s="13" t="s">
        <v>2327</v>
      </c>
      <c r="C308" s="32" t="s">
        <v>3443</v>
      </c>
      <c r="D308" s="33" t="s">
        <v>2963</v>
      </c>
      <c r="E308" s="33" t="s">
        <v>3140</v>
      </c>
      <c r="F308" s="33" t="s">
        <v>3124</v>
      </c>
      <c r="G308" s="33" t="s">
        <v>3165</v>
      </c>
      <c r="H308" s="33" t="s">
        <v>3165</v>
      </c>
      <c r="I308" s="33" t="s">
        <v>3175</v>
      </c>
    </row>
    <row x14ac:dyDescent="0.25" r="309" customHeight="1" ht="15.75">
      <c r="A309" s="13" t="s">
        <v>66</v>
      </c>
      <c r="B309" s="13" t="s">
        <v>1404</v>
      </c>
      <c r="C309" s="32" t="s">
        <v>3444</v>
      </c>
      <c r="D309" s="33" t="s">
        <v>3156</v>
      </c>
      <c r="E309" s="33" t="s">
        <v>3193</v>
      </c>
      <c r="F309" s="33" t="s">
        <v>3136</v>
      </c>
      <c r="G309" s="33" t="s">
        <v>2980</v>
      </c>
      <c r="H309" s="33" t="s">
        <v>2943</v>
      </c>
      <c r="I309" s="33" t="s">
        <v>3137</v>
      </c>
    </row>
    <row x14ac:dyDescent="0.25" r="310" customHeight="1" ht="15.75">
      <c r="A310" s="13" t="s">
        <v>66</v>
      </c>
      <c r="B310" s="13" t="s">
        <v>1552</v>
      </c>
      <c r="C310" s="32" t="s">
        <v>3160</v>
      </c>
      <c r="D310" s="33" t="s">
        <v>3050</v>
      </c>
      <c r="E310" s="33" t="s">
        <v>2943</v>
      </c>
      <c r="F310" s="33" t="s">
        <v>2983</v>
      </c>
      <c r="G310" s="33" t="s">
        <v>3051</v>
      </c>
      <c r="H310" s="33" t="s">
        <v>2943</v>
      </c>
      <c r="I310" s="33" t="s">
        <v>3137</v>
      </c>
    </row>
    <row x14ac:dyDescent="0.25" r="311" customHeight="1" ht="15.75">
      <c r="A311" s="13" t="s">
        <v>66</v>
      </c>
      <c r="B311" s="13" t="s">
        <v>2238</v>
      </c>
      <c r="C311" s="32" t="s">
        <v>3161</v>
      </c>
      <c r="D311" s="33" t="s">
        <v>3027</v>
      </c>
      <c r="E311" s="33" t="s">
        <v>2929</v>
      </c>
      <c r="F311" s="33" t="s">
        <v>3346</v>
      </c>
      <c r="G311" s="33" t="s">
        <v>3041</v>
      </c>
      <c r="H311" s="33" t="s">
        <v>3127</v>
      </c>
      <c r="I311" s="33" t="s">
        <v>3267</v>
      </c>
    </row>
    <row x14ac:dyDescent="0.25" r="312" customHeight="1" ht="15.75">
      <c r="A312" s="13" t="s">
        <v>66</v>
      </c>
      <c r="B312" s="13" t="s">
        <v>521</v>
      </c>
      <c r="C312" s="32" t="s">
        <v>3445</v>
      </c>
      <c r="D312" s="33" t="s">
        <v>3168</v>
      </c>
      <c r="E312" s="33" t="s">
        <v>2857</v>
      </c>
      <c r="F312" s="33" t="s">
        <v>2981</v>
      </c>
      <c r="G312" s="33" t="s">
        <v>2893</v>
      </c>
      <c r="H312" s="33" t="s">
        <v>2893</v>
      </c>
      <c r="I312" s="33" t="s">
        <v>2914</v>
      </c>
    </row>
    <row x14ac:dyDescent="0.25" r="313" customHeight="1" ht="15.75">
      <c r="A313" s="13" t="s">
        <v>66</v>
      </c>
      <c r="B313" s="13" t="s">
        <v>2696</v>
      </c>
      <c r="C313" s="32" t="s">
        <v>3446</v>
      </c>
      <c r="D313" s="33" t="s">
        <v>3140</v>
      </c>
      <c r="E313" s="33" t="s">
        <v>2970</v>
      </c>
      <c r="F313" s="33" t="s">
        <v>2992</v>
      </c>
      <c r="G313" s="33" t="s">
        <v>2892</v>
      </c>
      <c r="H313" s="33" t="s">
        <v>2899</v>
      </c>
      <c r="I313" s="33" t="s">
        <v>3024</v>
      </c>
    </row>
    <row x14ac:dyDescent="0.25" r="314" customHeight="1" ht="15.75">
      <c r="A314" s="13" t="s">
        <v>66</v>
      </c>
      <c r="B314" s="13" t="s">
        <v>2099</v>
      </c>
      <c r="C314" s="32" t="s">
        <v>3447</v>
      </c>
      <c r="D314" s="33" t="s">
        <v>3043</v>
      </c>
      <c r="E314" s="33" t="s">
        <v>3011</v>
      </c>
      <c r="F314" s="33" t="s">
        <v>3091</v>
      </c>
      <c r="G314" s="33" t="s">
        <v>3241</v>
      </c>
      <c r="H314" s="33" t="s">
        <v>3432</v>
      </c>
      <c r="I314" s="33" t="s">
        <v>3127</v>
      </c>
    </row>
    <row x14ac:dyDescent="0.25" r="315" customHeight="1" ht="15.75">
      <c r="A315" s="13" t="s">
        <v>66</v>
      </c>
      <c r="B315" s="13" t="s">
        <v>1922</v>
      </c>
      <c r="C315" s="32" t="s">
        <v>3448</v>
      </c>
      <c r="D315" s="33" t="s">
        <v>2900</v>
      </c>
      <c r="E315" s="33" t="s">
        <v>2981</v>
      </c>
      <c r="F315" s="33" t="s">
        <v>3168</v>
      </c>
      <c r="G315" s="33" t="s">
        <v>2895</v>
      </c>
      <c r="H315" s="33" t="s">
        <v>3165</v>
      </c>
      <c r="I315" s="33" t="s">
        <v>3165</v>
      </c>
    </row>
    <row x14ac:dyDescent="0.25" r="316" customHeight="1" ht="15.75">
      <c r="A316" s="13" t="s">
        <v>66</v>
      </c>
      <c r="B316" s="13" t="s">
        <v>574</v>
      </c>
      <c r="C316" s="32" t="s">
        <v>3350</v>
      </c>
      <c r="D316" s="33" t="s">
        <v>3140</v>
      </c>
      <c r="E316" s="33" t="s">
        <v>3203</v>
      </c>
      <c r="F316" s="33" t="s">
        <v>2971</v>
      </c>
      <c r="G316" s="33" t="s">
        <v>3175</v>
      </c>
      <c r="H316" s="33" t="s">
        <v>3066</v>
      </c>
      <c r="I316" s="33" t="s">
        <v>2992</v>
      </c>
    </row>
    <row x14ac:dyDescent="0.25" r="317" customHeight="1" ht="15.75">
      <c r="A317" s="13" t="s">
        <v>66</v>
      </c>
      <c r="B317" s="13" t="s">
        <v>2577</v>
      </c>
      <c r="C317" s="32" t="s">
        <v>3449</v>
      </c>
      <c r="D317" s="33" t="s">
        <v>2914</v>
      </c>
      <c r="E317" s="33" t="s">
        <v>2981</v>
      </c>
      <c r="F317" s="33" t="s">
        <v>2857</v>
      </c>
      <c r="G317" s="33" t="s">
        <v>3050</v>
      </c>
      <c r="H317" s="33" t="s">
        <v>3052</v>
      </c>
      <c r="I317" s="33" t="s">
        <v>3052</v>
      </c>
    </row>
    <row x14ac:dyDescent="0.25" r="318" customHeight="1" ht="15.75">
      <c r="A318" s="13" t="s">
        <v>66</v>
      </c>
      <c r="B318" s="13" t="s">
        <v>2707</v>
      </c>
      <c r="C318" s="32" t="s">
        <v>3450</v>
      </c>
      <c r="D318" s="33" t="s">
        <v>2882</v>
      </c>
      <c r="E318" s="33" t="s">
        <v>3184</v>
      </c>
      <c r="F318" s="33" t="s">
        <v>2919</v>
      </c>
      <c r="G318" s="33" t="s">
        <v>2963</v>
      </c>
      <c r="H318" s="33" t="s">
        <v>3115</v>
      </c>
      <c r="I318" s="33" t="s">
        <v>2921</v>
      </c>
    </row>
    <row x14ac:dyDescent="0.25" r="319" customHeight="1" ht="15.75">
      <c r="A319" s="13" t="s">
        <v>66</v>
      </c>
      <c r="B319" s="13" t="s">
        <v>2042</v>
      </c>
      <c r="C319" s="32" t="s">
        <v>3451</v>
      </c>
      <c r="D319" s="33" t="s">
        <v>3159</v>
      </c>
      <c r="E319" s="33" t="s">
        <v>3021</v>
      </c>
      <c r="F319" s="33" t="s">
        <v>3021</v>
      </c>
      <c r="G319" s="33" t="s">
        <v>3021</v>
      </c>
      <c r="H319" s="33" t="s">
        <v>3100</v>
      </c>
      <c r="I319" s="33" t="s">
        <v>3154</v>
      </c>
    </row>
    <row x14ac:dyDescent="0.25" r="320" customHeight="1" ht="15.75">
      <c r="A320" s="13" t="s">
        <v>66</v>
      </c>
      <c r="B320" s="13" t="s">
        <v>2408</v>
      </c>
      <c r="C320" s="32" t="s">
        <v>3452</v>
      </c>
      <c r="D320" s="33" t="s">
        <v>2847</v>
      </c>
      <c r="E320" s="33" t="s">
        <v>2997</v>
      </c>
      <c r="F320" s="33" t="s">
        <v>2905</v>
      </c>
      <c r="G320" s="33" t="s">
        <v>2849</v>
      </c>
      <c r="H320" s="33" t="s">
        <v>2849</v>
      </c>
      <c r="I320" s="33" t="s">
        <v>3151</v>
      </c>
    </row>
    <row x14ac:dyDescent="0.25" r="321" customHeight="1" ht="15.75">
      <c r="A321" s="13" t="s">
        <v>69</v>
      </c>
      <c r="B321" s="13" t="s">
        <v>83</v>
      </c>
      <c r="C321" s="32" t="s">
        <v>3453</v>
      </c>
      <c r="D321" s="33" t="s">
        <v>3152</v>
      </c>
      <c r="E321" s="33" t="s">
        <v>3055</v>
      </c>
      <c r="F321" s="33" t="s">
        <v>3056</v>
      </c>
      <c r="G321" s="33" t="s">
        <v>2834</v>
      </c>
      <c r="H321" s="33" t="s">
        <v>3152</v>
      </c>
      <c r="I321" s="33" t="s">
        <v>2905</v>
      </c>
    </row>
    <row x14ac:dyDescent="0.25" r="322" customHeight="1" ht="15.75">
      <c r="A322" s="13" t="s">
        <v>69</v>
      </c>
      <c r="B322" s="13" t="s">
        <v>1078</v>
      </c>
      <c r="C322" s="32" t="s">
        <v>3454</v>
      </c>
      <c r="D322" s="33" t="s">
        <v>3430</v>
      </c>
      <c r="E322" s="33" t="s">
        <v>2902</v>
      </c>
      <c r="F322" s="33" t="s">
        <v>2976</v>
      </c>
      <c r="G322" s="33" t="s">
        <v>3019</v>
      </c>
      <c r="H322" s="33" t="s">
        <v>2949</v>
      </c>
      <c r="I322" s="33" t="s">
        <v>3432</v>
      </c>
    </row>
    <row x14ac:dyDescent="0.25" r="323" customHeight="1" ht="15.75">
      <c r="A323" s="13" t="s">
        <v>69</v>
      </c>
      <c r="B323" s="13" t="s">
        <v>563</v>
      </c>
      <c r="C323" s="32" t="s">
        <v>3455</v>
      </c>
      <c r="D323" s="33" t="s">
        <v>3000</v>
      </c>
      <c r="E323" s="33" t="s">
        <v>2847</v>
      </c>
      <c r="F323" s="33" t="s">
        <v>2950</v>
      </c>
      <c r="G323" s="33" t="s">
        <v>3000</v>
      </c>
      <c r="H323" s="33" t="s">
        <v>3180</v>
      </c>
      <c r="I323" s="33" t="s">
        <v>3136</v>
      </c>
    </row>
    <row x14ac:dyDescent="0.25" r="324" customHeight="1" ht="15.75">
      <c r="A324" s="13" t="s">
        <v>69</v>
      </c>
      <c r="B324" s="13" t="s">
        <v>187</v>
      </c>
      <c r="C324" s="32" t="s">
        <v>3456</v>
      </c>
      <c r="D324" s="33" t="s">
        <v>2959</v>
      </c>
      <c r="E324" s="33" t="s">
        <v>3087</v>
      </c>
      <c r="F324" s="33" t="s">
        <v>3075</v>
      </c>
      <c r="G324" s="33" t="s">
        <v>3053</v>
      </c>
      <c r="H324" s="33" t="s">
        <v>3067</v>
      </c>
      <c r="I324" s="33" t="s">
        <v>2852</v>
      </c>
    </row>
    <row x14ac:dyDescent="0.25" r="325" customHeight="1" ht="15.75">
      <c r="A325" s="13" t="s">
        <v>69</v>
      </c>
      <c r="B325" s="13" t="s">
        <v>315</v>
      </c>
      <c r="C325" s="32" t="s">
        <v>3457</v>
      </c>
      <c r="D325" s="33" t="s">
        <v>2950</v>
      </c>
      <c r="E325" s="33" t="s">
        <v>2847</v>
      </c>
      <c r="F325" s="33" t="s">
        <v>2997</v>
      </c>
      <c r="G325" s="33" t="s">
        <v>2998</v>
      </c>
      <c r="H325" s="33" t="s">
        <v>3151</v>
      </c>
      <c r="I325" s="33" t="s">
        <v>2847</v>
      </c>
    </row>
    <row x14ac:dyDescent="0.25" r="326" customHeight="1" ht="15.75">
      <c r="A326" s="13" t="s">
        <v>69</v>
      </c>
      <c r="B326" s="13" t="s">
        <v>309</v>
      </c>
      <c r="C326" s="32" t="s">
        <v>3458</v>
      </c>
      <c r="D326" s="33" t="s">
        <v>2848</v>
      </c>
      <c r="E326" s="33" t="s">
        <v>3179</v>
      </c>
      <c r="F326" s="33" t="s">
        <v>2847</v>
      </c>
      <c r="G326" s="33" t="s">
        <v>3000</v>
      </c>
      <c r="H326" s="33" t="s">
        <v>2997</v>
      </c>
      <c r="I326" s="33" t="s">
        <v>3000</v>
      </c>
    </row>
    <row x14ac:dyDescent="0.25" r="327" customHeight="1" ht="15.75">
      <c r="A327" s="13" t="s">
        <v>69</v>
      </c>
      <c r="B327" s="13" t="s">
        <v>948</v>
      </c>
      <c r="C327" s="32" t="s">
        <v>3459</v>
      </c>
      <c r="D327" s="33" t="s">
        <v>3055</v>
      </c>
      <c r="E327" s="33" t="s">
        <v>3460</v>
      </c>
      <c r="F327" s="33" t="s">
        <v>3461</v>
      </c>
      <c r="G327" s="33" t="s">
        <v>3462</v>
      </c>
      <c r="H327" s="33" t="s">
        <v>3463</v>
      </c>
      <c r="I327" s="33" t="s">
        <v>3464</v>
      </c>
    </row>
    <row x14ac:dyDescent="0.25" r="328" customHeight="1" ht="15.75">
      <c r="A328" s="13" t="s">
        <v>69</v>
      </c>
      <c r="B328" s="13" t="s">
        <v>71</v>
      </c>
      <c r="C328" s="32" t="s">
        <v>3465</v>
      </c>
      <c r="D328" s="33" t="s">
        <v>3152</v>
      </c>
      <c r="E328" s="33" t="s">
        <v>3351</v>
      </c>
      <c r="F328" s="33" t="s">
        <v>3152</v>
      </c>
      <c r="G328" s="33" t="s">
        <v>3000</v>
      </c>
      <c r="H328" s="33" t="s">
        <v>2852</v>
      </c>
      <c r="I328" s="33" t="s">
        <v>3180</v>
      </c>
    </row>
    <row x14ac:dyDescent="0.25" r="329" customHeight="1" ht="15.75">
      <c r="A329" s="13" t="s">
        <v>69</v>
      </c>
      <c r="B329" s="13" t="s">
        <v>718</v>
      </c>
      <c r="C329" s="32" t="s">
        <v>3466</v>
      </c>
      <c r="D329" s="33" t="s">
        <v>2997</v>
      </c>
      <c r="E329" s="33" t="s">
        <v>2997</v>
      </c>
      <c r="F329" s="33" t="s">
        <v>2905</v>
      </c>
      <c r="G329" s="33" t="s">
        <v>3180</v>
      </c>
      <c r="H329" s="33" t="s">
        <v>3151</v>
      </c>
      <c r="I329" s="33" t="s">
        <v>2847</v>
      </c>
    </row>
    <row x14ac:dyDescent="0.25" r="330" customHeight="1" ht="15.75">
      <c r="A330" s="13" t="s">
        <v>69</v>
      </c>
      <c r="B330" s="13" t="s">
        <v>89</v>
      </c>
      <c r="C330" s="32" t="s">
        <v>3467</v>
      </c>
      <c r="D330" s="33" t="s">
        <v>3345</v>
      </c>
      <c r="E330" s="33" t="s">
        <v>2964</v>
      </c>
      <c r="F330" s="33" t="s">
        <v>3022</v>
      </c>
      <c r="G330" s="33" t="s">
        <v>2943</v>
      </c>
      <c r="H330" s="33" t="s">
        <v>3107</v>
      </c>
      <c r="I330" s="33" t="s">
        <v>3024</v>
      </c>
    </row>
    <row x14ac:dyDescent="0.25" r="331" customHeight="1" ht="15.75">
      <c r="A331" s="13" t="s">
        <v>69</v>
      </c>
      <c r="B331" s="13" t="s">
        <v>262</v>
      </c>
      <c r="C331" s="32" t="s">
        <v>3468</v>
      </c>
      <c r="D331" s="33" t="s">
        <v>2848</v>
      </c>
      <c r="E331" s="33" t="s">
        <v>2856</v>
      </c>
      <c r="F331" s="33" t="s">
        <v>2902</v>
      </c>
      <c r="G331" s="33" t="s">
        <v>3137</v>
      </c>
      <c r="H331" s="33" t="s">
        <v>2904</v>
      </c>
      <c r="I331" s="33" t="s">
        <v>3156</v>
      </c>
    </row>
    <row x14ac:dyDescent="0.25" r="332" customHeight="1" ht="15.75">
      <c r="A332" s="13" t="s">
        <v>69</v>
      </c>
      <c r="B332" s="13" t="s">
        <v>248</v>
      </c>
      <c r="C332" s="32" t="s">
        <v>3469</v>
      </c>
      <c r="D332" s="33" t="s">
        <v>3168</v>
      </c>
      <c r="E332" s="33" t="s">
        <v>3141</v>
      </c>
      <c r="F332" s="33" t="s">
        <v>2889</v>
      </c>
      <c r="G332" s="33" t="s">
        <v>3156</v>
      </c>
      <c r="H332" s="33" t="s">
        <v>3170</v>
      </c>
      <c r="I332" s="33" t="s">
        <v>3193</v>
      </c>
    </row>
    <row x14ac:dyDescent="0.25" r="333" customHeight="1" ht="15.75">
      <c r="A333" s="13" t="s">
        <v>69</v>
      </c>
      <c r="B333" s="13" t="s">
        <v>266</v>
      </c>
      <c r="C333" s="32" t="s">
        <v>3470</v>
      </c>
      <c r="D333" s="33" t="s">
        <v>3203</v>
      </c>
      <c r="E333" s="33" t="s">
        <v>3184</v>
      </c>
      <c r="F333" s="33" t="s">
        <v>3052</v>
      </c>
      <c r="G333" s="33" t="s">
        <v>3018</v>
      </c>
      <c r="H333" s="33" t="s">
        <v>2913</v>
      </c>
      <c r="I333" s="33" t="s">
        <v>3140</v>
      </c>
    </row>
    <row x14ac:dyDescent="0.25" r="334" customHeight="1" ht="15.75">
      <c r="A334" s="13" t="s">
        <v>69</v>
      </c>
      <c r="B334" s="13" t="s">
        <v>442</v>
      </c>
      <c r="C334" s="32" t="s">
        <v>3471</v>
      </c>
      <c r="D334" s="33" t="s">
        <v>2982</v>
      </c>
      <c r="E334" s="33" t="s">
        <v>2902</v>
      </c>
      <c r="F334" s="33" t="s">
        <v>2895</v>
      </c>
      <c r="G334" s="33" t="s">
        <v>2844</v>
      </c>
      <c r="H334" s="33" t="s">
        <v>3124</v>
      </c>
      <c r="I334" s="33" t="s">
        <v>3114</v>
      </c>
    </row>
    <row x14ac:dyDescent="0.25" r="335" customHeight="1" ht="15.75">
      <c r="A335" s="13" t="s">
        <v>69</v>
      </c>
      <c r="B335" s="13" t="s">
        <v>958</v>
      </c>
      <c r="C335" s="32" t="s">
        <v>3472</v>
      </c>
      <c r="D335" s="33" t="s">
        <v>3170</v>
      </c>
      <c r="E335" s="33" t="s">
        <v>3024</v>
      </c>
      <c r="F335" s="33" t="s">
        <v>3216</v>
      </c>
      <c r="G335" s="33" t="s">
        <v>3124</v>
      </c>
      <c r="H335" s="33" t="s">
        <v>2918</v>
      </c>
      <c r="I335" s="33" t="s">
        <v>2892</v>
      </c>
    </row>
    <row x14ac:dyDescent="0.25" r="336" customHeight="1" ht="15.75">
      <c r="A336" s="13" t="s">
        <v>69</v>
      </c>
      <c r="B336" s="13" t="s">
        <v>336</v>
      </c>
      <c r="C336" s="32" t="s">
        <v>3473</v>
      </c>
      <c r="D336" s="33" t="s">
        <v>3170</v>
      </c>
      <c r="E336" s="33" t="s">
        <v>2991</v>
      </c>
      <c r="F336" s="33" t="s">
        <v>2858</v>
      </c>
      <c r="G336" s="33" t="s">
        <v>2899</v>
      </c>
      <c r="H336" s="33" t="s">
        <v>2889</v>
      </c>
      <c r="I336" s="33" t="s">
        <v>3216</v>
      </c>
    </row>
    <row x14ac:dyDescent="0.25" r="337" customHeight="1" ht="15.75">
      <c r="A337" s="13" t="s">
        <v>69</v>
      </c>
      <c r="B337" s="13" t="s">
        <v>76</v>
      </c>
      <c r="C337" s="32" t="s">
        <v>3474</v>
      </c>
      <c r="D337" s="33" t="s">
        <v>3166</v>
      </c>
      <c r="E337" s="33" t="s">
        <v>2888</v>
      </c>
      <c r="F337" s="33" t="s">
        <v>2990</v>
      </c>
      <c r="G337" s="33" t="s">
        <v>2893</v>
      </c>
      <c r="H337" s="33" t="s">
        <v>3170</v>
      </c>
      <c r="I337" s="33" t="s">
        <v>2889</v>
      </c>
    </row>
    <row x14ac:dyDescent="0.25" r="338" customHeight="1" ht="15.75">
      <c r="A338" s="13" t="s">
        <v>69</v>
      </c>
      <c r="B338" s="13" t="s">
        <v>146</v>
      </c>
      <c r="C338" s="32" t="s">
        <v>3474</v>
      </c>
      <c r="D338" s="33" t="s">
        <v>2943</v>
      </c>
      <c r="E338" s="33" t="s">
        <v>2848</v>
      </c>
      <c r="F338" s="33" t="s">
        <v>2848</v>
      </c>
      <c r="G338" s="33" t="s">
        <v>2888</v>
      </c>
      <c r="H338" s="33" t="s">
        <v>3137</v>
      </c>
      <c r="I338" s="33" t="s">
        <v>2983</v>
      </c>
    </row>
    <row x14ac:dyDescent="0.25" r="339" customHeight="1" ht="15.75">
      <c r="A339" s="13" t="s">
        <v>69</v>
      </c>
      <c r="B339" s="13" t="s">
        <v>1055</v>
      </c>
      <c r="C339" s="32" t="s">
        <v>3475</v>
      </c>
      <c r="D339" s="33" t="s">
        <v>3006</v>
      </c>
      <c r="E339" s="33" t="s">
        <v>3476</v>
      </c>
      <c r="F339" s="33" t="s">
        <v>3477</v>
      </c>
      <c r="G339" s="33" t="s">
        <v>3125</v>
      </c>
      <c r="H339" s="33" t="s">
        <v>3281</v>
      </c>
      <c r="I339" s="33" t="s">
        <v>3478</v>
      </c>
    </row>
    <row x14ac:dyDescent="0.25" r="340" customHeight="1" ht="15.75">
      <c r="A340" s="13" t="s">
        <v>69</v>
      </c>
      <c r="B340" s="13" t="s">
        <v>397</v>
      </c>
      <c r="C340" s="32" t="s">
        <v>3479</v>
      </c>
      <c r="D340" s="33" t="s">
        <v>2889</v>
      </c>
      <c r="E340" s="33" t="s">
        <v>3136</v>
      </c>
      <c r="F340" s="33" t="s">
        <v>3151</v>
      </c>
      <c r="G340" s="33" t="s">
        <v>3151</v>
      </c>
      <c r="H340" s="33" t="s">
        <v>2903</v>
      </c>
      <c r="I340" s="33" t="s">
        <v>3151</v>
      </c>
    </row>
    <row x14ac:dyDescent="0.25" r="341" customHeight="1" ht="15.75">
      <c r="A341" s="13" t="s">
        <v>69</v>
      </c>
      <c r="B341" s="13" t="s">
        <v>438</v>
      </c>
      <c r="C341" s="32" t="s">
        <v>3480</v>
      </c>
      <c r="D341" s="33" t="s">
        <v>3179</v>
      </c>
      <c r="E341" s="33" t="s">
        <v>2850</v>
      </c>
      <c r="F341" s="33" t="s">
        <v>3152</v>
      </c>
      <c r="G341" s="33" t="s">
        <v>2850</v>
      </c>
      <c r="H341" s="33" t="s">
        <v>2850</v>
      </c>
      <c r="I341" s="33" t="s">
        <v>2998</v>
      </c>
    </row>
    <row x14ac:dyDescent="0.25" r="342" customHeight="1" ht="15.75">
      <c r="A342" s="13" t="s">
        <v>69</v>
      </c>
      <c r="B342" s="13" t="s">
        <v>1355</v>
      </c>
      <c r="C342" s="32" t="s">
        <v>3481</v>
      </c>
      <c r="D342" s="33" t="s">
        <v>3379</v>
      </c>
      <c r="E342" s="33" t="s">
        <v>2877</v>
      </c>
      <c r="F342" s="33" t="s">
        <v>3412</v>
      </c>
      <c r="G342" s="33" t="s">
        <v>3482</v>
      </c>
      <c r="H342" s="33" t="s">
        <v>3483</v>
      </c>
      <c r="I342" s="33" t="s">
        <v>2869</v>
      </c>
    </row>
    <row x14ac:dyDescent="0.25" r="343" customHeight="1" ht="15.75">
      <c r="A343" s="13" t="s">
        <v>69</v>
      </c>
      <c r="B343" s="13" t="s">
        <v>744</v>
      </c>
      <c r="C343" s="32" t="s">
        <v>3183</v>
      </c>
      <c r="D343" s="33" t="s">
        <v>3248</v>
      </c>
      <c r="E343" s="33" t="s">
        <v>3401</v>
      </c>
      <c r="F343" s="33" t="s">
        <v>2883</v>
      </c>
      <c r="G343" s="33" t="s">
        <v>3027</v>
      </c>
      <c r="H343" s="33" t="s">
        <v>3484</v>
      </c>
      <c r="I343" s="33" t="s">
        <v>3212</v>
      </c>
    </row>
    <row x14ac:dyDescent="0.25" r="344" customHeight="1" ht="15.75">
      <c r="A344" s="13" t="s">
        <v>69</v>
      </c>
      <c r="B344" s="13" t="s">
        <v>73</v>
      </c>
      <c r="C344" s="32" t="s">
        <v>3389</v>
      </c>
      <c r="D344" s="33" t="s">
        <v>3156</v>
      </c>
      <c r="E344" s="33" t="s">
        <v>2943</v>
      </c>
      <c r="F344" s="33" t="s">
        <v>2848</v>
      </c>
      <c r="G344" s="33" t="s">
        <v>2902</v>
      </c>
      <c r="H344" s="33" t="s">
        <v>3055</v>
      </c>
      <c r="I344" s="33" t="s">
        <v>2951</v>
      </c>
    </row>
    <row x14ac:dyDescent="0.25" r="345" customHeight="1" ht="15.75">
      <c r="A345" s="13" t="s">
        <v>69</v>
      </c>
      <c r="B345" s="13" t="s">
        <v>223</v>
      </c>
      <c r="C345" s="32" t="s">
        <v>3485</v>
      </c>
      <c r="D345" s="33" t="s">
        <v>3243</v>
      </c>
      <c r="E345" s="33" t="s">
        <v>2845</v>
      </c>
      <c r="F345" s="33" t="s">
        <v>2931</v>
      </c>
      <c r="G345" s="33" t="s">
        <v>2888</v>
      </c>
      <c r="H345" s="33" t="s">
        <v>2890</v>
      </c>
      <c r="I345" s="33" t="s">
        <v>3154</v>
      </c>
    </row>
    <row x14ac:dyDescent="0.25" r="346" customHeight="1" ht="15.75">
      <c r="A346" s="13" t="s">
        <v>69</v>
      </c>
      <c r="B346" s="13" t="s">
        <v>296</v>
      </c>
      <c r="C346" s="32" t="s">
        <v>3242</v>
      </c>
      <c r="D346" s="33" t="s">
        <v>2997</v>
      </c>
      <c r="E346" s="33" t="s">
        <v>3179</v>
      </c>
      <c r="F346" s="33" t="s">
        <v>2997</v>
      </c>
      <c r="G346" s="33" t="s">
        <v>2904</v>
      </c>
      <c r="H346" s="33" t="s">
        <v>2998</v>
      </c>
      <c r="I346" s="33" t="s">
        <v>2950</v>
      </c>
    </row>
    <row x14ac:dyDescent="0.25" r="347" customHeight="1" ht="15.75">
      <c r="A347" s="13" t="s">
        <v>69</v>
      </c>
      <c r="B347" s="13" t="s">
        <v>1025</v>
      </c>
      <c r="C347" s="32" t="s">
        <v>3486</v>
      </c>
      <c r="D347" s="33" t="s">
        <v>2833</v>
      </c>
      <c r="E347" s="33" t="s">
        <v>3262</v>
      </c>
      <c r="F347" s="33" t="s">
        <v>3436</v>
      </c>
      <c r="G347" s="33" t="s">
        <v>3271</v>
      </c>
      <c r="H347" s="33" t="s">
        <v>3270</v>
      </c>
      <c r="I347" s="33" t="s">
        <v>2947</v>
      </c>
    </row>
    <row x14ac:dyDescent="0.25" r="348" customHeight="1" ht="15.75">
      <c r="A348" s="13" t="s">
        <v>69</v>
      </c>
      <c r="B348" s="13" t="s">
        <v>834</v>
      </c>
      <c r="C348" s="32" t="s">
        <v>3487</v>
      </c>
      <c r="D348" s="33" t="s">
        <v>2939</v>
      </c>
      <c r="E348" s="33" t="s">
        <v>2939</v>
      </c>
      <c r="F348" s="33" t="s">
        <v>2966</v>
      </c>
      <c r="G348" s="33" t="s">
        <v>2959</v>
      </c>
      <c r="H348" s="33" t="s">
        <v>3018</v>
      </c>
      <c r="I348" s="33" t="s">
        <v>3140</v>
      </c>
    </row>
    <row x14ac:dyDescent="0.25" r="349" customHeight="1" ht="15.75">
      <c r="A349" s="13" t="s">
        <v>69</v>
      </c>
      <c r="B349" s="13" t="s">
        <v>1176</v>
      </c>
      <c r="C349" s="32" t="s">
        <v>3488</v>
      </c>
      <c r="D349" s="33" t="s">
        <v>3477</v>
      </c>
      <c r="E349" s="33" t="s">
        <v>3489</v>
      </c>
      <c r="F349" s="33" t="s">
        <v>3490</v>
      </c>
      <c r="G349" s="33" t="s">
        <v>3491</v>
      </c>
      <c r="H349" s="33" t="s">
        <v>3131</v>
      </c>
      <c r="I349" s="33" t="s">
        <v>3492</v>
      </c>
    </row>
    <row x14ac:dyDescent="0.25" r="350" customHeight="1" ht="15.75">
      <c r="A350" s="13" t="s">
        <v>69</v>
      </c>
      <c r="B350" s="13" t="s">
        <v>317</v>
      </c>
      <c r="C350" s="32" t="s">
        <v>2896</v>
      </c>
      <c r="D350" s="33" t="s">
        <v>3493</v>
      </c>
      <c r="E350" s="33" t="s">
        <v>3148</v>
      </c>
      <c r="F350" s="33" t="s">
        <v>3372</v>
      </c>
      <c r="G350" s="33" t="s">
        <v>3047</v>
      </c>
      <c r="H350" s="33" t="s">
        <v>3320</v>
      </c>
      <c r="I350" s="33" t="s">
        <v>3369</v>
      </c>
    </row>
    <row x14ac:dyDescent="0.25" r="351" customHeight="1" ht="15.75">
      <c r="A351" s="13" t="s">
        <v>69</v>
      </c>
      <c r="B351" s="13" t="s">
        <v>827</v>
      </c>
      <c r="C351" s="32" t="s">
        <v>2896</v>
      </c>
      <c r="D351" s="33" t="s">
        <v>3051</v>
      </c>
      <c r="E351" s="33" t="s">
        <v>2904</v>
      </c>
      <c r="F351" s="33" t="s">
        <v>2905</v>
      </c>
      <c r="G351" s="33" t="s">
        <v>2904</v>
      </c>
      <c r="H351" s="33" t="s">
        <v>2905</v>
      </c>
      <c r="I351" s="33" t="s">
        <v>3152</v>
      </c>
    </row>
    <row x14ac:dyDescent="0.25" r="352" customHeight="1" ht="15.75">
      <c r="A352" s="13" t="s">
        <v>69</v>
      </c>
      <c r="B352" s="13" t="s">
        <v>453</v>
      </c>
      <c r="C352" s="32" t="s">
        <v>3494</v>
      </c>
      <c r="D352" s="33" t="s">
        <v>2981</v>
      </c>
      <c r="E352" s="33" t="s">
        <v>2992</v>
      </c>
      <c r="F352" s="33" t="s">
        <v>2914</v>
      </c>
      <c r="G352" s="33" t="s">
        <v>2893</v>
      </c>
      <c r="H352" s="33" t="s">
        <v>2981</v>
      </c>
      <c r="I352" s="33" t="s">
        <v>3053</v>
      </c>
    </row>
    <row x14ac:dyDescent="0.25" r="353" customHeight="1" ht="15.75">
      <c r="A353" s="13" t="s">
        <v>69</v>
      </c>
      <c r="B353" s="13" t="s">
        <v>751</v>
      </c>
      <c r="C353" s="32" t="s">
        <v>3495</v>
      </c>
      <c r="D353" s="33" t="s">
        <v>3496</v>
      </c>
      <c r="E353" s="33" t="s">
        <v>3497</v>
      </c>
      <c r="F353" s="33" t="s">
        <v>2954</v>
      </c>
      <c r="G353" s="33" t="s">
        <v>3131</v>
      </c>
      <c r="H353" s="33" t="s">
        <v>3498</v>
      </c>
      <c r="I353" s="33" t="s">
        <v>3493</v>
      </c>
    </row>
    <row x14ac:dyDescent="0.25" r="354" customHeight="1" ht="15.75">
      <c r="A354" s="13" t="s">
        <v>69</v>
      </c>
      <c r="B354" s="13" t="s">
        <v>833</v>
      </c>
      <c r="C354" s="32" t="s">
        <v>3499</v>
      </c>
      <c r="D354" s="33" t="s">
        <v>2905</v>
      </c>
      <c r="E354" s="33" t="s">
        <v>2905</v>
      </c>
      <c r="F354" s="33" t="s">
        <v>2951</v>
      </c>
      <c r="G354" s="33" t="s">
        <v>2850</v>
      </c>
      <c r="H354" s="33" t="s">
        <v>2999</v>
      </c>
      <c r="I354" s="33" t="s">
        <v>3351</v>
      </c>
    </row>
    <row x14ac:dyDescent="0.25" r="355" customHeight="1" ht="15.75">
      <c r="A355" s="13" t="s">
        <v>69</v>
      </c>
      <c r="B355" s="13" t="s">
        <v>692</v>
      </c>
      <c r="C355" s="32" t="s">
        <v>3500</v>
      </c>
      <c r="D355" s="33" t="s">
        <v>3238</v>
      </c>
      <c r="E355" s="33" t="s">
        <v>3482</v>
      </c>
      <c r="F355" s="33" t="s">
        <v>2862</v>
      </c>
      <c r="G355" s="33" t="s">
        <v>3501</v>
      </c>
      <c r="H355" s="33" t="s">
        <v>3502</v>
      </c>
      <c r="I355" s="33" t="s">
        <v>3264</v>
      </c>
    </row>
    <row x14ac:dyDescent="0.25" r="356" customHeight="1" ht="15.75">
      <c r="A356" s="13" t="s">
        <v>69</v>
      </c>
      <c r="B356" s="13" t="s">
        <v>123</v>
      </c>
      <c r="C356" s="32" t="s">
        <v>3503</v>
      </c>
      <c r="D356" s="33" t="s">
        <v>2895</v>
      </c>
      <c r="E356" s="33" t="s">
        <v>3124</v>
      </c>
      <c r="F356" s="33" t="s">
        <v>2921</v>
      </c>
      <c r="G356" s="33" t="s">
        <v>3114</v>
      </c>
      <c r="H356" s="33" t="s">
        <v>2894</v>
      </c>
      <c r="I356" s="33" t="s">
        <v>3196</v>
      </c>
    </row>
    <row x14ac:dyDescent="0.25" r="357" customHeight="1" ht="15.75">
      <c r="A357" s="13" t="s">
        <v>69</v>
      </c>
      <c r="B357" s="13" t="s">
        <v>367</v>
      </c>
      <c r="C357" s="32" t="s">
        <v>2912</v>
      </c>
      <c r="D357" s="33" t="s">
        <v>2898</v>
      </c>
      <c r="E357" s="33" t="s">
        <v>3165</v>
      </c>
      <c r="F357" s="33" t="s">
        <v>2898</v>
      </c>
      <c r="G357" s="33" t="s">
        <v>3203</v>
      </c>
      <c r="H357" s="33" t="s">
        <v>2892</v>
      </c>
      <c r="I357" s="33" t="s">
        <v>2892</v>
      </c>
    </row>
    <row x14ac:dyDescent="0.25" r="358" customHeight="1" ht="15.75">
      <c r="A358" s="13" t="s">
        <v>69</v>
      </c>
      <c r="B358" s="13" t="s">
        <v>298</v>
      </c>
      <c r="C358" s="32" t="s">
        <v>2912</v>
      </c>
      <c r="D358" s="33" t="s">
        <v>3141</v>
      </c>
      <c r="E358" s="33" t="s">
        <v>2894</v>
      </c>
      <c r="F358" s="33" t="s">
        <v>2983</v>
      </c>
      <c r="G358" s="33" t="s">
        <v>3053</v>
      </c>
      <c r="H358" s="33" t="s">
        <v>2857</v>
      </c>
      <c r="I358" s="33" t="s">
        <v>3050</v>
      </c>
    </row>
    <row x14ac:dyDescent="0.25" r="359" customHeight="1" ht="15.75">
      <c r="A359" s="13" t="s">
        <v>69</v>
      </c>
      <c r="B359" s="13" t="s">
        <v>1430</v>
      </c>
      <c r="C359" s="32" t="s">
        <v>3504</v>
      </c>
      <c r="D359" s="33" t="s">
        <v>3505</v>
      </c>
      <c r="E359" s="33" t="s">
        <v>3506</v>
      </c>
      <c r="F359" s="33" t="s">
        <v>3492</v>
      </c>
      <c r="G359" s="33" t="s">
        <v>2860</v>
      </c>
      <c r="H359" s="33" t="s">
        <v>3492</v>
      </c>
      <c r="I359" s="33" t="s">
        <v>3507</v>
      </c>
    </row>
    <row x14ac:dyDescent="0.25" r="360" customHeight="1" ht="15.75">
      <c r="A360" s="13" t="s">
        <v>69</v>
      </c>
      <c r="B360" s="13" t="s">
        <v>82</v>
      </c>
      <c r="C360" s="32" t="s">
        <v>3508</v>
      </c>
      <c r="D360" s="33" t="s">
        <v>2981</v>
      </c>
      <c r="E360" s="33" t="s">
        <v>2942</v>
      </c>
      <c r="F360" s="33" t="s">
        <v>2979</v>
      </c>
      <c r="G360" s="33" t="s">
        <v>2914</v>
      </c>
      <c r="H360" s="33" t="s">
        <v>2979</v>
      </c>
      <c r="I360" s="33" t="s">
        <v>2991</v>
      </c>
    </row>
    <row x14ac:dyDescent="0.25" r="361" customHeight="1" ht="15.75">
      <c r="A361" s="13" t="s">
        <v>69</v>
      </c>
      <c r="B361" s="13" t="s">
        <v>310</v>
      </c>
      <c r="C361" s="32" t="s">
        <v>3509</v>
      </c>
      <c r="D361" s="33" t="s">
        <v>2936</v>
      </c>
      <c r="E361" s="33" t="s">
        <v>3094</v>
      </c>
      <c r="F361" s="33" t="s">
        <v>2836</v>
      </c>
      <c r="G361" s="33" t="s">
        <v>2842</v>
      </c>
      <c r="H361" s="33" t="s">
        <v>2919</v>
      </c>
      <c r="I361" s="33" t="s">
        <v>3086</v>
      </c>
    </row>
    <row x14ac:dyDescent="0.25" r="362" customHeight="1" ht="15.75">
      <c r="A362" s="13" t="s">
        <v>69</v>
      </c>
      <c r="B362" s="13" t="s">
        <v>1027</v>
      </c>
      <c r="C362" s="32" t="s">
        <v>3188</v>
      </c>
      <c r="D362" s="33" t="s">
        <v>3289</v>
      </c>
      <c r="E362" s="33" t="s">
        <v>2947</v>
      </c>
      <c r="F362" s="33" t="s">
        <v>3510</v>
      </c>
      <c r="G362" s="33" t="s">
        <v>2994</v>
      </c>
      <c r="H362" s="33" t="s">
        <v>3511</v>
      </c>
      <c r="I362" s="33" t="s">
        <v>3071</v>
      </c>
    </row>
    <row x14ac:dyDescent="0.25" r="363" customHeight="1" ht="15.75">
      <c r="A363" s="13" t="s">
        <v>69</v>
      </c>
      <c r="B363" s="13" t="s">
        <v>1094</v>
      </c>
      <c r="C363" s="32" t="s">
        <v>3512</v>
      </c>
      <c r="D363" s="33" t="s">
        <v>3320</v>
      </c>
      <c r="E363" s="33" t="s">
        <v>3046</v>
      </c>
      <c r="F363" s="33" t="s">
        <v>3256</v>
      </c>
      <c r="G363" s="33" t="s">
        <v>3270</v>
      </c>
      <c r="H363" s="33" t="s">
        <v>2985</v>
      </c>
      <c r="I363" s="33" t="s">
        <v>2924</v>
      </c>
    </row>
    <row x14ac:dyDescent="0.25" r="364" customHeight="1" ht="15.75">
      <c r="A364" s="13" t="s">
        <v>69</v>
      </c>
      <c r="B364" s="13" t="s">
        <v>1115</v>
      </c>
      <c r="C364" s="32" t="s">
        <v>3513</v>
      </c>
      <c r="D364" s="33" t="s">
        <v>2914</v>
      </c>
      <c r="E364" s="33" t="s">
        <v>2983</v>
      </c>
      <c r="F364" s="33" t="s">
        <v>2943</v>
      </c>
      <c r="G364" s="33" t="s">
        <v>2858</v>
      </c>
      <c r="H364" s="33" t="s">
        <v>2943</v>
      </c>
      <c r="I364" s="33" t="s">
        <v>2942</v>
      </c>
    </row>
    <row x14ac:dyDescent="0.25" r="365" customHeight="1" ht="15.75">
      <c r="A365" s="13" t="s">
        <v>69</v>
      </c>
      <c r="B365" s="13" t="s">
        <v>251</v>
      </c>
      <c r="C365" s="32" t="s">
        <v>3514</v>
      </c>
      <c r="D365" s="33" t="s">
        <v>2980</v>
      </c>
      <c r="E365" s="33" t="s">
        <v>3114</v>
      </c>
      <c r="F365" s="33" t="s">
        <v>3170</v>
      </c>
      <c r="G365" s="33" t="s">
        <v>2899</v>
      </c>
      <c r="H365" s="33" t="s">
        <v>3165</v>
      </c>
      <c r="I365" s="33" t="s">
        <v>2895</v>
      </c>
    </row>
    <row x14ac:dyDescent="0.25" r="366" customHeight="1" ht="15.75">
      <c r="A366" s="13" t="s">
        <v>69</v>
      </c>
      <c r="B366" s="13" t="s">
        <v>370</v>
      </c>
      <c r="C366" s="32" t="s">
        <v>3255</v>
      </c>
      <c r="D366" s="33" t="s">
        <v>2932</v>
      </c>
      <c r="E366" s="33" t="s">
        <v>3073</v>
      </c>
      <c r="F366" s="33" t="s">
        <v>2899</v>
      </c>
      <c r="G366" s="33" t="s">
        <v>3196</v>
      </c>
      <c r="H366" s="33" t="s">
        <v>2970</v>
      </c>
      <c r="I366" s="33" t="s">
        <v>3168</v>
      </c>
    </row>
    <row x14ac:dyDescent="0.25" r="367" customHeight="1" ht="15.75">
      <c r="A367" s="13" t="s">
        <v>69</v>
      </c>
      <c r="B367" s="13" t="s">
        <v>1368</v>
      </c>
      <c r="C367" s="32" t="s">
        <v>3515</v>
      </c>
      <c r="D367" s="33" t="s">
        <v>3079</v>
      </c>
      <c r="E367" s="33" t="s">
        <v>3345</v>
      </c>
      <c r="F367" s="33" t="s">
        <v>2836</v>
      </c>
      <c r="G367" s="33" t="s">
        <v>3225</v>
      </c>
      <c r="H367" s="33" t="s">
        <v>3092</v>
      </c>
      <c r="I367" s="33" t="s">
        <v>3021</v>
      </c>
    </row>
    <row x14ac:dyDescent="0.25" r="368" customHeight="1" ht="15.75">
      <c r="A368" s="13" t="s">
        <v>69</v>
      </c>
      <c r="B368" s="13" t="s">
        <v>1661</v>
      </c>
      <c r="C368" s="32" t="s">
        <v>3257</v>
      </c>
      <c r="D368" s="33" t="s">
        <v>3163</v>
      </c>
      <c r="E368" s="33" t="s">
        <v>3162</v>
      </c>
      <c r="F368" s="33" t="s">
        <v>3187</v>
      </c>
      <c r="G368" s="33" t="s">
        <v>3163</v>
      </c>
      <c r="H368" s="33" t="s">
        <v>3163</v>
      </c>
      <c r="I368" s="33" t="s">
        <v>2960</v>
      </c>
    </row>
    <row x14ac:dyDescent="0.25" r="369" customHeight="1" ht="15.75">
      <c r="A369" s="13" t="s">
        <v>69</v>
      </c>
      <c r="B369" s="13" t="s">
        <v>255</v>
      </c>
      <c r="C369" s="32" t="s">
        <v>3516</v>
      </c>
      <c r="D369" s="33" t="s">
        <v>3363</v>
      </c>
      <c r="E369" s="33" t="s">
        <v>3517</v>
      </c>
      <c r="F369" s="33" t="s">
        <v>3312</v>
      </c>
      <c r="G369" s="33" t="s">
        <v>3281</v>
      </c>
      <c r="H369" s="33" t="s">
        <v>3518</v>
      </c>
      <c r="I369" s="33" t="s">
        <v>3283</v>
      </c>
    </row>
    <row x14ac:dyDescent="0.25" r="370" customHeight="1" ht="15.75">
      <c r="A370" s="13" t="s">
        <v>69</v>
      </c>
      <c r="B370" s="13" t="s">
        <v>497</v>
      </c>
      <c r="C370" s="32" t="s">
        <v>3519</v>
      </c>
      <c r="D370" s="33" t="s">
        <v>2951</v>
      </c>
      <c r="E370" s="33" t="s">
        <v>2902</v>
      </c>
      <c r="F370" s="33" t="s">
        <v>2847</v>
      </c>
      <c r="G370" s="33" t="s">
        <v>3138</v>
      </c>
      <c r="H370" s="33" t="s">
        <v>2858</v>
      </c>
      <c r="I370" s="33" t="s">
        <v>2904</v>
      </c>
    </row>
    <row x14ac:dyDescent="0.25" r="371" customHeight="1" ht="15.75">
      <c r="A371" s="13" t="s">
        <v>69</v>
      </c>
      <c r="B371" s="13" t="s">
        <v>281</v>
      </c>
      <c r="C371" s="32" t="s">
        <v>3405</v>
      </c>
      <c r="D371" s="33" t="s">
        <v>3037</v>
      </c>
      <c r="E371" s="33" t="s">
        <v>3482</v>
      </c>
      <c r="F371" s="33" t="s">
        <v>2989</v>
      </c>
      <c r="G371" s="33" t="s">
        <v>3038</v>
      </c>
      <c r="H371" s="33" t="s">
        <v>3011</v>
      </c>
      <c r="I371" s="33" t="s">
        <v>2911</v>
      </c>
    </row>
    <row x14ac:dyDescent="0.25" r="372" customHeight="1" ht="15.75">
      <c r="A372" s="13" t="s">
        <v>69</v>
      </c>
      <c r="B372" s="13" t="s">
        <v>561</v>
      </c>
      <c r="C372" s="32" t="s">
        <v>3405</v>
      </c>
      <c r="D372" s="33" t="s">
        <v>2991</v>
      </c>
      <c r="E372" s="33" t="s">
        <v>3053</v>
      </c>
      <c r="F372" s="33" t="s">
        <v>2899</v>
      </c>
      <c r="G372" s="33" t="s">
        <v>2889</v>
      </c>
      <c r="H372" s="33" t="s">
        <v>2914</v>
      </c>
      <c r="I372" s="33" t="s">
        <v>2858</v>
      </c>
    </row>
    <row x14ac:dyDescent="0.25" r="373" customHeight="1" ht="15.75">
      <c r="A373" s="13" t="s">
        <v>69</v>
      </c>
      <c r="B373" s="13" t="s">
        <v>79</v>
      </c>
      <c r="C373" s="32" t="s">
        <v>3260</v>
      </c>
      <c r="D373" s="33" t="s">
        <v>2857</v>
      </c>
      <c r="E373" s="33" t="s">
        <v>2981</v>
      </c>
      <c r="F373" s="33" t="s">
        <v>2856</v>
      </c>
      <c r="G373" s="33" t="s">
        <v>2982</v>
      </c>
      <c r="H373" s="33" t="s">
        <v>2893</v>
      </c>
      <c r="I373" s="33" t="s">
        <v>2979</v>
      </c>
    </row>
    <row x14ac:dyDescent="0.25" r="374" customHeight="1" ht="15.75">
      <c r="A374" s="13" t="s">
        <v>69</v>
      </c>
      <c r="B374" s="13" t="s">
        <v>75</v>
      </c>
      <c r="C374" s="32" t="s">
        <v>3520</v>
      </c>
      <c r="D374" s="33" t="s">
        <v>3353</v>
      </c>
      <c r="E374" s="33" t="s">
        <v>2847</v>
      </c>
      <c r="F374" s="33" t="s">
        <v>2903</v>
      </c>
      <c r="G374" s="33" t="s">
        <v>2904</v>
      </c>
      <c r="H374" s="33" t="s">
        <v>2905</v>
      </c>
      <c r="I374" s="33" t="s">
        <v>3180</v>
      </c>
    </row>
    <row x14ac:dyDescent="0.25" r="375" customHeight="1" ht="15.75">
      <c r="A375" s="13" t="s">
        <v>69</v>
      </c>
      <c r="B375" s="13" t="s">
        <v>202</v>
      </c>
      <c r="C375" s="32" t="s">
        <v>3521</v>
      </c>
      <c r="D375" s="33" t="s">
        <v>2997</v>
      </c>
      <c r="E375" s="33" t="s">
        <v>2997</v>
      </c>
      <c r="F375" s="33" t="s">
        <v>3179</v>
      </c>
      <c r="G375" s="33" t="s">
        <v>2902</v>
      </c>
      <c r="H375" s="33" t="s">
        <v>2849</v>
      </c>
      <c r="I375" s="33" t="s">
        <v>2905</v>
      </c>
    </row>
    <row x14ac:dyDescent="0.25" r="376" customHeight="1" ht="15.75">
      <c r="A376" s="13" t="s">
        <v>69</v>
      </c>
      <c r="B376" s="13" t="s">
        <v>440</v>
      </c>
      <c r="C376" s="32" t="s">
        <v>3522</v>
      </c>
      <c r="D376" s="33" t="s">
        <v>2913</v>
      </c>
      <c r="E376" s="33" t="s">
        <v>2971</v>
      </c>
      <c r="F376" s="33" t="s">
        <v>2915</v>
      </c>
      <c r="G376" s="33" t="s">
        <v>2893</v>
      </c>
      <c r="H376" s="33" t="s">
        <v>2889</v>
      </c>
      <c r="I376" s="33" t="s">
        <v>2979</v>
      </c>
    </row>
    <row x14ac:dyDescent="0.25" r="377" customHeight="1" ht="15.75">
      <c r="A377" s="13" t="s">
        <v>69</v>
      </c>
      <c r="B377" s="13" t="s">
        <v>504</v>
      </c>
      <c r="C377" s="32" t="s">
        <v>3408</v>
      </c>
      <c r="D377" s="33" t="s">
        <v>3359</v>
      </c>
      <c r="E377" s="33" t="s">
        <v>3149</v>
      </c>
      <c r="F377" s="33" t="s">
        <v>3271</v>
      </c>
      <c r="G377" s="33" t="s">
        <v>3267</v>
      </c>
      <c r="H377" s="33" t="s">
        <v>3296</v>
      </c>
      <c r="I377" s="33" t="s">
        <v>3101</v>
      </c>
    </row>
    <row x14ac:dyDescent="0.25" r="378" customHeight="1" ht="15.75">
      <c r="A378" s="13" t="s">
        <v>69</v>
      </c>
      <c r="B378" s="13" t="s">
        <v>138</v>
      </c>
      <c r="C378" s="32" t="s">
        <v>2952</v>
      </c>
      <c r="D378" s="33" t="s">
        <v>2887</v>
      </c>
      <c r="E378" s="33" t="s">
        <v>2848</v>
      </c>
      <c r="F378" s="33" t="s">
        <v>2982</v>
      </c>
      <c r="G378" s="33" t="s">
        <v>3140</v>
      </c>
      <c r="H378" s="33" t="s">
        <v>2915</v>
      </c>
      <c r="I378" s="33" t="s">
        <v>3216</v>
      </c>
    </row>
    <row x14ac:dyDescent="0.25" r="379" customHeight="1" ht="15.75">
      <c r="A379" s="13" t="s">
        <v>69</v>
      </c>
      <c r="B379" s="13" t="s">
        <v>230</v>
      </c>
      <c r="C379" s="32" t="s">
        <v>3523</v>
      </c>
      <c r="D379" s="33" t="s">
        <v>3101</v>
      </c>
      <c r="E379" s="33" t="s">
        <v>2961</v>
      </c>
      <c r="F379" s="33" t="s">
        <v>3021</v>
      </c>
      <c r="G379" s="33" t="s">
        <v>3058</v>
      </c>
      <c r="H379" s="33" t="s">
        <v>3301</v>
      </c>
      <c r="I379" s="33" t="s">
        <v>2965</v>
      </c>
    </row>
    <row x14ac:dyDescent="0.25" r="380" customHeight="1" ht="15.75">
      <c r="A380" s="13" t="s">
        <v>69</v>
      </c>
      <c r="B380" s="13" t="s">
        <v>1088</v>
      </c>
      <c r="C380" s="32" t="s">
        <v>3269</v>
      </c>
      <c r="D380" s="33" t="s">
        <v>3524</v>
      </c>
      <c r="E380" s="33" t="s">
        <v>3251</v>
      </c>
      <c r="F380" s="33" t="s">
        <v>3525</v>
      </c>
      <c r="G380" s="33" t="s">
        <v>2945</v>
      </c>
      <c r="H380" s="33" t="s">
        <v>2947</v>
      </c>
      <c r="I380" s="33" t="s">
        <v>3272</v>
      </c>
    </row>
    <row x14ac:dyDescent="0.25" r="381" customHeight="1" ht="15.75">
      <c r="A381" s="13" t="s">
        <v>69</v>
      </c>
      <c r="B381" s="13" t="s">
        <v>598</v>
      </c>
      <c r="C381" s="32" t="s">
        <v>2972</v>
      </c>
      <c r="D381" s="33" t="s">
        <v>2872</v>
      </c>
      <c r="E381" s="33" t="s">
        <v>3047</v>
      </c>
      <c r="F381" s="33" t="s">
        <v>3149</v>
      </c>
      <c r="G381" s="33" t="s">
        <v>3080</v>
      </c>
      <c r="H381" s="33" t="s">
        <v>3148</v>
      </c>
      <c r="I381" s="33" t="s">
        <v>2885</v>
      </c>
    </row>
    <row x14ac:dyDescent="0.25" r="382" customHeight="1" ht="15.75">
      <c r="A382" s="13" t="s">
        <v>69</v>
      </c>
      <c r="B382" s="13" t="s">
        <v>264</v>
      </c>
      <c r="C382" s="32" t="s">
        <v>2978</v>
      </c>
      <c r="D382" s="33" t="s">
        <v>2904</v>
      </c>
      <c r="E382" s="33" t="s">
        <v>3351</v>
      </c>
      <c r="F382" s="33" t="s">
        <v>2950</v>
      </c>
      <c r="G382" s="33" t="s">
        <v>2904</v>
      </c>
      <c r="H382" s="33" t="s">
        <v>2951</v>
      </c>
      <c r="I382" s="33" t="s">
        <v>2905</v>
      </c>
    </row>
    <row x14ac:dyDescent="0.25" r="383" customHeight="1" ht="15.75">
      <c r="A383" s="13" t="s">
        <v>69</v>
      </c>
      <c r="B383" s="13" t="s">
        <v>802</v>
      </c>
      <c r="C383" s="32" t="s">
        <v>3526</v>
      </c>
      <c r="D383" s="33" t="s">
        <v>2991</v>
      </c>
      <c r="E383" s="33" t="s">
        <v>2888</v>
      </c>
      <c r="F383" s="33" t="s">
        <v>2858</v>
      </c>
      <c r="G383" s="33" t="s">
        <v>3053</v>
      </c>
      <c r="H383" s="33" t="s">
        <v>2856</v>
      </c>
      <c r="I383" s="33" t="s">
        <v>3137</v>
      </c>
    </row>
    <row x14ac:dyDescent="0.25" r="384" customHeight="1" ht="15.75">
      <c r="A384" s="13" t="s">
        <v>69</v>
      </c>
      <c r="B384" s="13" t="s">
        <v>70</v>
      </c>
      <c r="C384" s="32" t="s">
        <v>3008</v>
      </c>
      <c r="D384" s="33" t="s">
        <v>2919</v>
      </c>
      <c r="E384" s="33" t="s">
        <v>3214</v>
      </c>
      <c r="F384" s="33" t="s">
        <v>3030</v>
      </c>
      <c r="G384" s="33" t="s">
        <v>2940</v>
      </c>
      <c r="H384" s="33" t="s">
        <v>3073</v>
      </c>
      <c r="I384" s="33" t="s">
        <v>2964</v>
      </c>
    </row>
    <row x14ac:dyDescent="0.25" r="385" customHeight="1" ht="15.75">
      <c r="A385" s="13" t="s">
        <v>69</v>
      </c>
      <c r="B385" s="13" t="s">
        <v>457</v>
      </c>
      <c r="C385" s="32" t="s">
        <v>3008</v>
      </c>
      <c r="D385" s="33" t="s">
        <v>3058</v>
      </c>
      <c r="E385" s="33" t="s">
        <v>2892</v>
      </c>
      <c r="F385" s="33" t="s">
        <v>3066</v>
      </c>
      <c r="G385" s="33" t="s">
        <v>3203</v>
      </c>
      <c r="H385" s="33" t="s">
        <v>3124</v>
      </c>
      <c r="I385" s="33" t="s">
        <v>2971</v>
      </c>
    </row>
    <row x14ac:dyDescent="0.25" r="386" customHeight="1" ht="15.75">
      <c r="A386" s="13" t="s">
        <v>69</v>
      </c>
      <c r="B386" s="13" t="s">
        <v>616</v>
      </c>
      <c r="C386" s="32" t="s">
        <v>3032</v>
      </c>
      <c r="D386" s="33" t="s">
        <v>2857</v>
      </c>
      <c r="E386" s="33" t="s">
        <v>2856</v>
      </c>
      <c r="F386" s="33" t="s">
        <v>2981</v>
      </c>
      <c r="G386" s="33" t="s">
        <v>2942</v>
      </c>
      <c r="H386" s="33" t="s">
        <v>2980</v>
      </c>
      <c r="I386" s="33" t="s">
        <v>3138</v>
      </c>
    </row>
    <row x14ac:dyDescent="0.25" r="387" customHeight="1" ht="15.75">
      <c r="A387" s="13" t="s">
        <v>69</v>
      </c>
      <c r="B387" s="13" t="s">
        <v>410</v>
      </c>
      <c r="C387" s="32" t="s">
        <v>3527</v>
      </c>
      <c r="D387" s="33" t="s">
        <v>2904</v>
      </c>
      <c r="E387" s="33" t="s">
        <v>2904</v>
      </c>
      <c r="F387" s="33" t="s">
        <v>2848</v>
      </c>
      <c r="G387" s="33" t="s">
        <v>3156</v>
      </c>
      <c r="H387" s="33" t="s">
        <v>2943</v>
      </c>
      <c r="I387" s="33" t="s">
        <v>2904</v>
      </c>
    </row>
    <row x14ac:dyDescent="0.25" r="388" customHeight="1" ht="15.75">
      <c r="A388" s="13" t="s">
        <v>69</v>
      </c>
      <c r="B388" s="13" t="s">
        <v>355</v>
      </c>
      <c r="C388" s="32" t="s">
        <v>3044</v>
      </c>
      <c r="D388" s="33" t="s">
        <v>2898</v>
      </c>
      <c r="E388" s="33" t="s">
        <v>3073</v>
      </c>
      <c r="F388" s="33" t="s">
        <v>2932</v>
      </c>
      <c r="G388" s="33" t="s">
        <v>3154</v>
      </c>
      <c r="H388" s="33" t="s">
        <v>3124</v>
      </c>
      <c r="I388" s="33" t="s">
        <v>3203</v>
      </c>
    </row>
    <row x14ac:dyDescent="0.25" r="389" customHeight="1" ht="15.75">
      <c r="A389" s="13" t="s">
        <v>69</v>
      </c>
      <c r="B389" s="13" t="s">
        <v>351</v>
      </c>
      <c r="C389" s="32" t="s">
        <v>3528</v>
      </c>
      <c r="D389" s="33" t="s">
        <v>3062</v>
      </c>
      <c r="E389" s="33" t="s">
        <v>3384</v>
      </c>
      <c r="F389" s="33" t="s">
        <v>2923</v>
      </c>
      <c r="G389" s="33" t="s">
        <v>3384</v>
      </c>
      <c r="H389" s="33" t="s">
        <v>3081</v>
      </c>
      <c r="I389" s="33" t="s">
        <v>2923</v>
      </c>
    </row>
    <row x14ac:dyDescent="0.25" r="390" customHeight="1" ht="15.75">
      <c r="A390" s="13" t="s">
        <v>69</v>
      </c>
      <c r="B390" s="13" t="s">
        <v>241</v>
      </c>
      <c r="C390" s="32" t="s">
        <v>3529</v>
      </c>
      <c r="D390" s="33" t="s">
        <v>2964</v>
      </c>
      <c r="E390" s="33" t="s">
        <v>2962</v>
      </c>
      <c r="F390" s="33" t="s">
        <v>3166</v>
      </c>
      <c r="G390" s="33" t="s">
        <v>3197</v>
      </c>
      <c r="H390" s="33" t="s">
        <v>3021</v>
      </c>
      <c r="I390" s="33" t="s">
        <v>2832</v>
      </c>
    </row>
    <row x14ac:dyDescent="0.25" r="391" customHeight="1" ht="15.75">
      <c r="A391" s="13" t="s">
        <v>69</v>
      </c>
      <c r="B391" s="13" t="s">
        <v>1643</v>
      </c>
      <c r="C391" s="32" t="s">
        <v>3530</v>
      </c>
      <c r="D391" s="33" t="s">
        <v>2949</v>
      </c>
      <c r="E391" s="33" t="s">
        <v>3378</v>
      </c>
      <c r="F391" s="33" t="s">
        <v>3491</v>
      </c>
      <c r="G391" s="33" t="s">
        <v>3531</v>
      </c>
      <c r="H391" s="33" t="s">
        <v>3312</v>
      </c>
      <c r="I391" s="33" t="s">
        <v>3532</v>
      </c>
    </row>
    <row x14ac:dyDescent="0.25" r="392" customHeight="1" ht="15.75">
      <c r="A392" s="13" t="s">
        <v>69</v>
      </c>
      <c r="B392" s="13" t="s">
        <v>555</v>
      </c>
      <c r="C392" s="32" t="s">
        <v>3054</v>
      </c>
      <c r="D392" s="33" t="s">
        <v>3533</v>
      </c>
      <c r="E392" s="33" t="s">
        <v>3534</v>
      </c>
      <c r="F392" s="33" t="s">
        <v>3535</v>
      </c>
      <c r="G392" s="33" t="s">
        <v>3536</v>
      </c>
      <c r="H392" s="33" t="s">
        <v>3537</v>
      </c>
      <c r="I392" s="33" t="s">
        <v>3538</v>
      </c>
    </row>
    <row x14ac:dyDescent="0.25" r="393" customHeight="1" ht="15.75">
      <c r="A393" s="13" t="s">
        <v>69</v>
      </c>
      <c r="B393" s="13" t="s">
        <v>1231</v>
      </c>
      <c r="C393" s="32" t="s">
        <v>3424</v>
      </c>
      <c r="D393" s="33" t="s">
        <v>3294</v>
      </c>
      <c r="E393" s="33" t="s">
        <v>3079</v>
      </c>
      <c r="F393" s="33" t="s">
        <v>3103</v>
      </c>
      <c r="G393" s="33" t="s">
        <v>3081</v>
      </c>
      <c r="H393" s="33" t="s">
        <v>3163</v>
      </c>
      <c r="I393" s="33" t="s">
        <v>2936</v>
      </c>
    </row>
    <row x14ac:dyDescent="0.25" r="394" customHeight="1" ht="15.75">
      <c r="A394" s="13" t="s">
        <v>69</v>
      </c>
      <c r="B394" s="13" t="s">
        <v>1508</v>
      </c>
      <c r="C394" s="32" t="s">
        <v>3539</v>
      </c>
      <c r="D394" s="33" t="s">
        <v>2926</v>
      </c>
      <c r="E394" s="33" t="s">
        <v>2931</v>
      </c>
      <c r="F394" s="33" t="s">
        <v>3088</v>
      </c>
      <c r="G394" s="33" t="s">
        <v>2836</v>
      </c>
      <c r="H394" s="33" t="s">
        <v>3033</v>
      </c>
      <c r="I394" s="33" t="s">
        <v>2961</v>
      </c>
    </row>
    <row x14ac:dyDescent="0.25" r="395" customHeight="1" ht="15.75">
      <c r="A395" s="13" t="s">
        <v>69</v>
      </c>
      <c r="B395" s="13" t="s">
        <v>214</v>
      </c>
      <c r="C395" s="32" t="s">
        <v>3539</v>
      </c>
      <c r="D395" s="33" t="s">
        <v>2921</v>
      </c>
      <c r="E395" s="33" t="s">
        <v>3134</v>
      </c>
      <c r="F395" s="33" t="s">
        <v>2940</v>
      </c>
      <c r="G395" s="33" t="s">
        <v>3033</v>
      </c>
      <c r="H395" s="33" t="s">
        <v>3165</v>
      </c>
      <c r="I395" s="33" t="s">
        <v>3060</v>
      </c>
    </row>
    <row x14ac:dyDescent="0.25" r="396" customHeight="1" ht="15.75">
      <c r="A396" s="13" t="s">
        <v>69</v>
      </c>
      <c r="B396" s="13" t="s">
        <v>225</v>
      </c>
      <c r="C396" s="32" t="s">
        <v>3539</v>
      </c>
      <c r="D396" s="33" t="s">
        <v>3154</v>
      </c>
      <c r="E396" s="33" t="s">
        <v>2950</v>
      </c>
      <c r="F396" s="33" t="s">
        <v>3053</v>
      </c>
      <c r="G396" s="33" t="s">
        <v>3170</v>
      </c>
      <c r="H396" s="33" t="s">
        <v>2913</v>
      </c>
      <c r="I396" s="33" t="s">
        <v>3216</v>
      </c>
    </row>
    <row x14ac:dyDescent="0.25" r="397" customHeight="1" ht="15.75">
      <c r="A397" s="13" t="s">
        <v>69</v>
      </c>
      <c r="B397" s="13" t="s">
        <v>243</v>
      </c>
      <c r="C397" s="32" t="s">
        <v>3198</v>
      </c>
      <c r="D397" s="33" t="s">
        <v>2856</v>
      </c>
      <c r="E397" s="33" t="s">
        <v>2902</v>
      </c>
      <c r="F397" s="33" t="s">
        <v>2858</v>
      </c>
      <c r="G397" s="33" t="s">
        <v>2982</v>
      </c>
      <c r="H397" s="33" t="s">
        <v>3141</v>
      </c>
      <c r="I397" s="33" t="s">
        <v>2889</v>
      </c>
    </row>
    <row x14ac:dyDescent="0.25" r="398" customHeight="1" ht="15.75">
      <c r="A398" s="13" t="s">
        <v>69</v>
      </c>
      <c r="B398" s="13" t="s">
        <v>1704</v>
      </c>
      <c r="C398" s="32" t="s">
        <v>3540</v>
      </c>
      <c r="D398" s="33" t="s">
        <v>3541</v>
      </c>
      <c r="E398" s="33" t="s">
        <v>3542</v>
      </c>
      <c r="F398" s="33" t="s">
        <v>3542</v>
      </c>
      <c r="G398" s="33" t="s">
        <v>3543</v>
      </c>
      <c r="H398" s="33" t="s">
        <v>3544</v>
      </c>
      <c r="I398" s="33" t="s">
        <v>3545</v>
      </c>
    </row>
    <row x14ac:dyDescent="0.25" r="399" customHeight="1" ht="15.75">
      <c r="A399" s="13" t="s">
        <v>69</v>
      </c>
      <c r="B399" s="13" t="s">
        <v>86</v>
      </c>
      <c r="C399" s="32" t="s">
        <v>3083</v>
      </c>
      <c r="D399" s="33" t="s">
        <v>2893</v>
      </c>
      <c r="E399" s="33" t="s">
        <v>2889</v>
      </c>
      <c r="F399" s="33" t="s">
        <v>2888</v>
      </c>
      <c r="G399" s="33" t="s">
        <v>2893</v>
      </c>
      <c r="H399" s="33" t="s">
        <v>2983</v>
      </c>
      <c r="I399" s="33" t="s">
        <v>2914</v>
      </c>
    </row>
    <row x14ac:dyDescent="0.25" r="400" customHeight="1" ht="15.75">
      <c r="A400" s="13" t="s">
        <v>69</v>
      </c>
      <c r="B400" s="13" t="s">
        <v>1761</v>
      </c>
      <c r="C400" s="32" t="s">
        <v>3299</v>
      </c>
      <c r="D400" s="33" t="s">
        <v>2957</v>
      </c>
      <c r="E400" s="33" t="s">
        <v>3148</v>
      </c>
      <c r="F400" s="33" t="s">
        <v>2923</v>
      </c>
      <c r="G400" s="33" t="s">
        <v>3158</v>
      </c>
      <c r="H400" s="33" t="s">
        <v>3038</v>
      </c>
      <c r="I400" s="33" t="s">
        <v>3225</v>
      </c>
    </row>
    <row x14ac:dyDescent="0.25" r="401" customHeight="1" ht="15.75">
      <c r="A401" s="13" t="s">
        <v>69</v>
      </c>
      <c r="B401" s="13" t="s">
        <v>636</v>
      </c>
      <c r="C401" s="32" t="s">
        <v>3302</v>
      </c>
      <c r="D401" s="33" t="s">
        <v>3546</v>
      </c>
      <c r="E401" s="33" t="s">
        <v>2945</v>
      </c>
      <c r="F401" s="33" t="s">
        <v>3148</v>
      </c>
      <c r="G401" s="33" t="s">
        <v>3267</v>
      </c>
      <c r="H401" s="33" t="s">
        <v>3081</v>
      </c>
      <c r="I401" s="33" t="s">
        <v>2923</v>
      </c>
    </row>
    <row x14ac:dyDescent="0.25" r="402" customHeight="1" ht="15.75">
      <c r="A402" s="13" t="s">
        <v>69</v>
      </c>
      <c r="B402" s="13" t="s">
        <v>1286</v>
      </c>
      <c r="C402" s="32" t="s">
        <v>3547</v>
      </c>
      <c r="D402" s="33" t="s">
        <v>3548</v>
      </c>
      <c r="E402" s="33" t="s">
        <v>3505</v>
      </c>
      <c r="F402" s="33" t="s">
        <v>2910</v>
      </c>
      <c r="G402" s="33" t="s">
        <v>3549</v>
      </c>
      <c r="H402" s="33" t="s">
        <v>3003</v>
      </c>
      <c r="I402" s="33" t="s">
        <v>3393</v>
      </c>
    </row>
    <row x14ac:dyDescent="0.25" r="403" customHeight="1" ht="15.75">
      <c r="A403" s="13" t="s">
        <v>69</v>
      </c>
      <c r="B403" s="13" t="s">
        <v>1236</v>
      </c>
      <c r="C403" s="32" t="s">
        <v>3309</v>
      </c>
      <c r="D403" s="33" t="s">
        <v>3550</v>
      </c>
      <c r="E403" s="33" t="s">
        <v>3551</v>
      </c>
      <c r="F403" s="33" t="s">
        <v>3552</v>
      </c>
      <c r="G403" s="33" t="s">
        <v>3553</v>
      </c>
      <c r="H403" s="33" t="s">
        <v>3554</v>
      </c>
      <c r="I403" s="33" t="s">
        <v>3555</v>
      </c>
    </row>
    <row x14ac:dyDescent="0.25" r="404" customHeight="1" ht="15.75">
      <c r="A404" s="13" t="s">
        <v>69</v>
      </c>
      <c r="B404" s="13" t="s">
        <v>860</v>
      </c>
      <c r="C404" s="32" t="s">
        <v>3097</v>
      </c>
      <c r="D404" s="33" t="s">
        <v>3051</v>
      </c>
      <c r="E404" s="33" t="s">
        <v>2950</v>
      </c>
      <c r="F404" s="33" t="s">
        <v>2951</v>
      </c>
      <c r="G404" s="33" t="s">
        <v>2905</v>
      </c>
      <c r="H404" s="33" t="s">
        <v>2951</v>
      </c>
      <c r="I404" s="33" t="s">
        <v>2951</v>
      </c>
    </row>
    <row x14ac:dyDescent="0.25" r="405" customHeight="1" ht="15.75">
      <c r="A405" s="13" t="s">
        <v>69</v>
      </c>
      <c r="B405" s="13" t="s">
        <v>1084</v>
      </c>
      <c r="C405" s="32" t="s">
        <v>3104</v>
      </c>
      <c r="D405" s="33" t="s">
        <v>2992</v>
      </c>
      <c r="E405" s="33" t="s">
        <v>3052</v>
      </c>
      <c r="F405" s="33" t="s">
        <v>2992</v>
      </c>
      <c r="G405" s="33" t="s">
        <v>2970</v>
      </c>
      <c r="H405" s="33" t="s">
        <v>3193</v>
      </c>
      <c r="I405" s="33" t="s">
        <v>2894</v>
      </c>
    </row>
    <row x14ac:dyDescent="0.25" r="406" customHeight="1" ht="15.75">
      <c r="A406" s="13" t="s">
        <v>69</v>
      </c>
      <c r="B406" s="13" t="s">
        <v>1366</v>
      </c>
      <c r="C406" s="32" t="s">
        <v>3123</v>
      </c>
      <c r="D406" s="33" t="s">
        <v>2965</v>
      </c>
      <c r="E406" s="33" t="s">
        <v>3073</v>
      </c>
      <c r="F406" s="33" t="s">
        <v>3075</v>
      </c>
      <c r="G406" s="33" t="s">
        <v>2887</v>
      </c>
      <c r="H406" s="33" t="s">
        <v>3114</v>
      </c>
      <c r="I406" s="33" t="s">
        <v>3018</v>
      </c>
    </row>
    <row x14ac:dyDescent="0.25" r="407" customHeight="1" ht="15.75">
      <c r="A407" s="13" t="s">
        <v>69</v>
      </c>
      <c r="B407" s="13" t="s">
        <v>389</v>
      </c>
      <c r="C407" s="32" t="s">
        <v>3556</v>
      </c>
      <c r="D407" s="33" t="s">
        <v>3278</v>
      </c>
      <c r="E407" s="33" t="s">
        <v>3033</v>
      </c>
      <c r="F407" s="33" t="s">
        <v>2961</v>
      </c>
      <c r="G407" s="33" t="s">
        <v>3107</v>
      </c>
      <c r="H407" s="33" t="s">
        <v>3197</v>
      </c>
      <c r="I407" s="33" t="s">
        <v>2911</v>
      </c>
    </row>
    <row x14ac:dyDescent="0.25" r="408" customHeight="1" ht="15.75">
      <c r="A408" s="13" t="s">
        <v>69</v>
      </c>
      <c r="B408" s="13" t="s">
        <v>1144</v>
      </c>
      <c r="C408" s="32" t="s">
        <v>3557</v>
      </c>
      <c r="D408" s="33" t="s">
        <v>3079</v>
      </c>
      <c r="E408" s="33" t="s">
        <v>3100</v>
      </c>
      <c r="F408" s="33" t="s">
        <v>2963</v>
      </c>
      <c r="G408" s="33" t="s">
        <v>3144</v>
      </c>
      <c r="H408" s="33" t="s">
        <v>3100</v>
      </c>
      <c r="I408" s="33" t="s">
        <v>2969</v>
      </c>
    </row>
    <row x14ac:dyDescent="0.25" r="409" customHeight="1" ht="15.75">
      <c r="A409" s="13" t="s">
        <v>69</v>
      </c>
      <c r="B409" s="13" t="s">
        <v>1048</v>
      </c>
      <c r="C409" s="32" t="s">
        <v>3323</v>
      </c>
      <c r="D409" s="33" t="s">
        <v>3080</v>
      </c>
      <c r="E409" s="33" t="s">
        <v>2925</v>
      </c>
      <c r="F409" s="33" t="s">
        <v>3107</v>
      </c>
      <c r="G409" s="33" t="s">
        <v>3134</v>
      </c>
      <c r="H409" s="33" t="s">
        <v>3144</v>
      </c>
      <c r="I409" s="33" t="s">
        <v>3088</v>
      </c>
    </row>
    <row x14ac:dyDescent="0.25" r="410" customHeight="1" ht="15.75">
      <c r="A410" s="13" t="s">
        <v>69</v>
      </c>
      <c r="B410" s="13" t="s">
        <v>893</v>
      </c>
      <c r="C410" s="32" t="s">
        <v>3330</v>
      </c>
      <c r="D410" s="33" t="s">
        <v>2925</v>
      </c>
      <c r="E410" s="33" t="s">
        <v>3243</v>
      </c>
      <c r="F410" s="33" t="s">
        <v>3140</v>
      </c>
      <c r="G410" s="33" t="s">
        <v>3124</v>
      </c>
      <c r="H410" s="33" t="s">
        <v>3066</v>
      </c>
      <c r="I410" s="33" t="s">
        <v>2895</v>
      </c>
    </row>
    <row x14ac:dyDescent="0.25" r="411" customHeight="1" ht="15.75">
      <c r="A411" s="13" t="s">
        <v>69</v>
      </c>
      <c r="B411" s="13" t="s">
        <v>171</v>
      </c>
      <c r="C411" s="32" t="s">
        <v>3558</v>
      </c>
      <c r="D411" s="33" t="s">
        <v>3138</v>
      </c>
      <c r="E411" s="33" t="s">
        <v>2980</v>
      </c>
      <c r="F411" s="33" t="s">
        <v>2858</v>
      </c>
      <c r="G411" s="33" t="s">
        <v>2856</v>
      </c>
      <c r="H411" s="33" t="s">
        <v>3138</v>
      </c>
      <c r="I411" s="33" t="s">
        <v>2856</v>
      </c>
    </row>
    <row x14ac:dyDescent="0.25" r="412" customHeight="1" ht="15.75">
      <c r="A412" s="13" t="s">
        <v>69</v>
      </c>
      <c r="B412" s="13" t="s">
        <v>2279</v>
      </c>
      <c r="C412" s="32" t="s">
        <v>3559</v>
      </c>
      <c r="D412" s="33" t="s">
        <v>2994</v>
      </c>
      <c r="E412" s="33" t="s">
        <v>2994</v>
      </c>
      <c r="F412" s="33" t="s">
        <v>3127</v>
      </c>
      <c r="G412" s="33" t="s">
        <v>2935</v>
      </c>
      <c r="H412" s="33" t="s">
        <v>2917</v>
      </c>
      <c r="I412" s="33" t="s">
        <v>3063</v>
      </c>
    </row>
    <row x14ac:dyDescent="0.25" r="413" customHeight="1" ht="15.75">
      <c r="A413" s="13" t="s">
        <v>69</v>
      </c>
      <c r="B413" s="13" t="s">
        <v>2258</v>
      </c>
      <c r="C413" s="32" t="s">
        <v>3559</v>
      </c>
      <c r="D413" s="33" t="s">
        <v>3122</v>
      </c>
      <c r="E413" s="33" t="s">
        <v>3184</v>
      </c>
      <c r="F413" s="33" t="s">
        <v>3115</v>
      </c>
      <c r="G413" s="33" t="s">
        <v>2897</v>
      </c>
      <c r="H413" s="33" t="s">
        <v>2940</v>
      </c>
      <c r="I413" s="33" t="s">
        <v>2969</v>
      </c>
    </row>
    <row x14ac:dyDescent="0.25" r="414" customHeight="1" ht="15.75">
      <c r="A414" s="13" t="s">
        <v>69</v>
      </c>
      <c r="B414" s="13" t="s">
        <v>286</v>
      </c>
      <c r="C414" s="32" t="s">
        <v>3560</v>
      </c>
      <c r="D414" s="33" t="s">
        <v>3517</v>
      </c>
      <c r="E414" s="33" t="s">
        <v>3561</v>
      </c>
      <c r="F414" s="33" t="s">
        <v>3562</v>
      </c>
      <c r="G414" s="33" t="s">
        <v>3563</v>
      </c>
      <c r="H414" s="33" t="s">
        <v>3564</v>
      </c>
      <c r="I414" s="33" t="s">
        <v>3565</v>
      </c>
    </row>
    <row x14ac:dyDescent="0.25" r="415" customHeight="1" ht="15.75">
      <c r="A415" s="13" t="s">
        <v>69</v>
      </c>
      <c r="B415" s="13" t="s">
        <v>1950</v>
      </c>
      <c r="C415" s="32" t="s">
        <v>3566</v>
      </c>
      <c r="D415" s="33" t="s">
        <v>2850</v>
      </c>
      <c r="E415" s="33" t="s">
        <v>3351</v>
      </c>
      <c r="F415" s="33" t="s">
        <v>2950</v>
      </c>
      <c r="G415" s="33" t="s">
        <v>2904</v>
      </c>
      <c r="H415" s="33" t="s">
        <v>2849</v>
      </c>
      <c r="I415" s="33" t="s">
        <v>3193</v>
      </c>
    </row>
    <row x14ac:dyDescent="0.25" r="416" customHeight="1" ht="15.75">
      <c r="A416" s="13" t="s">
        <v>69</v>
      </c>
      <c r="B416" s="13" t="s">
        <v>2191</v>
      </c>
      <c r="C416" s="32" t="s">
        <v>3224</v>
      </c>
      <c r="D416" s="33" t="s">
        <v>3145</v>
      </c>
      <c r="E416" s="33" t="s">
        <v>2959</v>
      </c>
      <c r="F416" s="33" t="s">
        <v>2926</v>
      </c>
      <c r="G416" s="33" t="s">
        <v>3163</v>
      </c>
      <c r="H416" s="33" t="s">
        <v>3029</v>
      </c>
      <c r="I416" s="33" t="s">
        <v>2933</v>
      </c>
    </row>
    <row x14ac:dyDescent="0.25" r="417" customHeight="1" ht="15.75">
      <c r="A417" s="13" t="s">
        <v>69</v>
      </c>
      <c r="B417" s="13" t="s">
        <v>2725</v>
      </c>
      <c r="C417" s="32" t="s">
        <v>3567</v>
      </c>
      <c r="D417" s="33" t="s">
        <v>2962</v>
      </c>
      <c r="E417" s="33" t="s">
        <v>3088</v>
      </c>
      <c r="F417" s="33" t="s">
        <v>2842</v>
      </c>
      <c r="G417" s="33" t="s">
        <v>2961</v>
      </c>
      <c r="H417" s="33" t="s">
        <v>2933</v>
      </c>
      <c r="I417" s="33" t="s">
        <v>2920</v>
      </c>
    </row>
    <row x14ac:dyDescent="0.25" r="418" customHeight="1" ht="15.75">
      <c r="A418" s="13" t="s">
        <v>69</v>
      </c>
      <c r="B418" s="13" t="s">
        <v>1486</v>
      </c>
      <c r="C418" s="32" t="s">
        <v>3568</v>
      </c>
      <c r="D418" s="33" t="s">
        <v>3343</v>
      </c>
      <c r="E418" s="33" t="s">
        <v>3569</v>
      </c>
      <c r="F418" s="33" t="s">
        <v>3120</v>
      </c>
      <c r="G418" s="33" t="s">
        <v>3027</v>
      </c>
      <c r="H418" s="33" t="s">
        <v>3027</v>
      </c>
      <c r="I418" s="33" t="s">
        <v>3131</v>
      </c>
    </row>
    <row x14ac:dyDescent="0.25" r="419" customHeight="1" ht="15.75">
      <c r="A419" s="13" t="s">
        <v>69</v>
      </c>
      <c r="B419" s="13" t="s">
        <v>359</v>
      </c>
      <c r="C419" s="32" t="s">
        <v>3570</v>
      </c>
      <c r="D419" s="33" t="s">
        <v>2899</v>
      </c>
      <c r="E419" s="33" t="s">
        <v>2990</v>
      </c>
      <c r="F419" s="33" t="s">
        <v>3216</v>
      </c>
      <c r="G419" s="33" t="s">
        <v>3170</v>
      </c>
      <c r="H419" s="33" t="s">
        <v>3067</v>
      </c>
      <c r="I419" s="33" t="s">
        <v>3052</v>
      </c>
    </row>
    <row x14ac:dyDescent="0.25" r="420" customHeight="1" ht="15.75">
      <c r="A420" s="13" t="s">
        <v>91</v>
      </c>
      <c r="B420" s="13" t="s">
        <v>101</v>
      </c>
      <c r="C420" s="32" t="s">
        <v>3571</v>
      </c>
      <c r="D420" s="33" t="s">
        <v>2849</v>
      </c>
      <c r="E420" s="33" t="s">
        <v>2894</v>
      </c>
      <c r="F420" s="33" t="s">
        <v>2915</v>
      </c>
      <c r="G420" s="33" t="s">
        <v>2848</v>
      </c>
      <c r="H420" s="33" t="s">
        <v>2911</v>
      </c>
      <c r="I420" s="33" t="s">
        <v>3141</v>
      </c>
    </row>
    <row x14ac:dyDescent="0.25" r="421" customHeight="1" ht="15.75">
      <c r="A421" s="13" t="s">
        <v>91</v>
      </c>
      <c r="B421" s="13" t="s">
        <v>964</v>
      </c>
      <c r="C421" s="32" t="s">
        <v>3572</v>
      </c>
      <c r="D421" s="33" t="s">
        <v>3111</v>
      </c>
      <c r="E421" s="33" t="s">
        <v>2853</v>
      </c>
      <c r="F421" s="33" t="s">
        <v>3091</v>
      </c>
      <c r="G421" s="33" t="s">
        <v>2911</v>
      </c>
      <c r="H421" s="33" t="s">
        <v>3028</v>
      </c>
      <c r="I421" s="33" t="s">
        <v>2843</v>
      </c>
    </row>
    <row x14ac:dyDescent="0.25" r="422" customHeight="1" ht="15.75">
      <c r="A422" s="13" t="s">
        <v>91</v>
      </c>
      <c r="B422" s="13" t="s">
        <v>535</v>
      </c>
      <c r="C422" s="32" t="s">
        <v>3573</v>
      </c>
      <c r="D422" s="33" t="s">
        <v>3036</v>
      </c>
      <c r="E422" s="33" t="s">
        <v>2920</v>
      </c>
      <c r="F422" s="33" t="s">
        <v>3103</v>
      </c>
      <c r="G422" s="33" t="s">
        <v>3175</v>
      </c>
      <c r="H422" s="33" t="s">
        <v>2917</v>
      </c>
      <c r="I422" s="33" t="s">
        <v>2843</v>
      </c>
    </row>
    <row x14ac:dyDescent="0.25" r="423" customHeight="1" ht="15.75">
      <c r="A423" s="13" t="s">
        <v>91</v>
      </c>
      <c r="B423" s="13" t="s">
        <v>276</v>
      </c>
      <c r="C423" s="32" t="s">
        <v>3574</v>
      </c>
      <c r="D423" s="33" t="s">
        <v>3058</v>
      </c>
      <c r="E423" s="33" t="s">
        <v>3141</v>
      </c>
      <c r="F423" s="33" t="s">
        <v>2971</v>
      </c>
      <c r="G423" s="33" t="s">
        <v>2982</v>
      </c>
      <c r="H423" s="33" t="s">
        <v>2991</v>
      </c>
      <c r="I423" s="33" t="s">
        <v>3140</v>
      </c>
    </row>
    <row x14ac:dyDescent="0.25" r="424" customHeight="1" ht="15.75">
      <c r="A424" s="13" t="s">
        <v>91</v>
      </c>
      <c r="B424" s="13" t="s">
        <v>219</v>
      </c>
      <c r="C424" s="32" t="s">
        <v>3575</v>
      </c>
      <c r="D424" s="33" t="s">
        <v>3137</v>
      </c>
      <c r="E424" s="33" t="s">
        <v>2911</v>
      </c>
      <c r="F424" s="33" t="s">
        <v>2981</v>
      </c>
      <c r="G424" s="33" t="s">
        <v>2991</v>
      </c>
      <c r="H424" s="33" t="s">
        <v>3152</v>
      </c>
      <c r="I424" s="33" t="s">
        <v>2845</v>
      </c>
    </row>
    <row x14ac:dyDescent="0.25" r="425" customHeight="1" ht="15.75">
      <c r="A425" s="13" t="s">
        <v>91</v>
      </c>
      <c r="B425" s="13" t="s">
        <v>152</v>
      </c>
      <c r="C425" s="32" t="s">
        <v>3576</v>
      </c>
      <c r="D425" s="33" t="s">
        <v>3114</v>
      </c>
      <c r="E425" s="33" t="s">
        <v>2894</v>
      </c>
      <c r="F425" s="33" t="s">
        <v>3168</v>
      </c>
      <c r="G425" s="33" t="s">
        <v>2982</v>
      </c>
      <c r="H425" s="33" t="s">
        <v>2911</v>
      </c>
      <c r="I425" s="33" t="s">
        <v>2843</v>
      </c>
    </row>
    <row x14ac:dyDescent="0.25" r="426" customHeight="1" ht="15.75">
      <c r="A426" s="13" t="s">
        <v>91</v>
      </c>
      <c r="B426" s="13" t="s">
        <v>1532</v>
      </c>
      <c r="C426" s="32" t="s">
        <v>3577</v>
      </c>
      <c r="D426" s="33" t="s">
        <v>2982</v>
      </c>
      <c r="E426" s="33" t="s">
        <v>2915</v>
      </c>
      <c r="F426" s="33" t="s">
        <v>2857</v>
      </c>
      <c r="G426" s="33" t="s">
        <v>2942</v>
      </c>
      <c r="H426" s="33" t="s">
        <v>2942</v>
      </c>
      <c r="I426" s="33" t="s">
        <v>3141</v>
      </c>
    </row>
    <row x14ac:dyDescent="0.25" r="427" customHeight="1" ht="15.75">
      <c r="A427" s="13" t="s">
        <v>91</v>
      </c>
      <c r="B427" s="13" t="s">
        <v>133</v>
      </c>
      <c r="C427" s="32" t="s">
        <v>3578</v>
      </c>
      <c r="D427" s="33" t="s">
        <v>2995</v>
      </c>
      <c r="E427" s="33" t="s">
        <v>2836</v>
      </c>
      <c r="F427" s="33" t="s">
        <v>2992</v>
      </c>
      <c r="G427" s="33" t="s">
        <v>2990</v>
      </c>
      <c r="H427" s="33" t="s">
        <v>2991</v>
      </c>
      <c r="I427" s="33" t="s">
        <v>2911</v>
      </c>
    </row>
    <row x14ac:dyDescent="0.25" r="428" customHeight="1" ht="15.75">
      <c r="A428" s="13" t="s">
        <v>91</v>
      </c>
      <c r="B428" s="13" t="s">
        <v>449</v>
      </c>
      <c r="C428" s="32" t="s">
        <v>3579</v>
      </c>
      <c r="D428" s="33" t="s">
        <v>2869</v>
      </c>
      <c r="E428" s="33" t="s">
        <v>3367</v>
      </c>
      <c r="F428" s="33" t="s">
        <v>3580</v>
      </c>
      <c r="G428" s="33" t="s">
        <v>3518</v>
      </c>
      <c r="H428" s="33" t="s">
        <v>3546</v>
      </c>
      <c r="I428" s="33" t="s">
        <v>3581</v>
      </c>
    </row>
    <row x14ac:dyDescent="0.25" r="429" customHeight="1" ht="15.75">
      <c r="A429" s="13" t="s">
        <v>91</v>
      </c>
      <c r="B429" s="13" t="s">
        <v>209</v>
      </c>
      <c r="C429" s="32" t="s">
        <v>3582</v>
      </c>
      <c r="D429" s="33" t="s">
        <v>2971</v>
      </c>
      <c r="E429" s="33" t="s">
        <v>2889</v>
      </c>
      <c r="F429" s="33" t="s">
        <v>3050</v>
      </c>
      <c r="G429" s="33" t="s">
        <v>2848</v>
      </c>
      <c r="H429" s="33" t="s">
        <v>2904</v>
      </c>
      <c r="I429" s="33" t="s">
        <v>2943</v>
      </c>
    </row>
    <row x14ac:dyDescent="0.25" r="430" customHeight="1" ht="15.75">
      <c r="A430" s="13" t="s">
        <v>91</v>
      </c>
      <c r="B430" s="13" t="s">
        <v>180</v>
      </c>
      <c r="C430" s="32" t="s">
        <v>3583</v>
      </c>
      <c r="D430" s="33" t="s">
        <v>2900</v>
      </c>
      <c r="E430" s="33" t="s">
        <v>3024</v>
      </c>
      <c r="F430" s="33" t="s">
        <v>2915</v>
      </c>
      <c r="G430" s="33" t="s">
        <v>2893</v>
      </c>
      <c r="H430" s="33" t="s">
        <v>3216</v>
      </c>
      <c r="I430" s="33" t="s">
        <v>2899</v>
      </c>
    </row>
    <row x14ac:dyDescent="0.25" r="431" customHeight="1" ht="15.75">
      <c r="A431" s="13" t="s">
        <v>91</v>
      </c>
      <c r="B431" s="13" t="s">
        <v>96</v>
      </c>
      <c r="C431" s="32" t="s">
        <v>3472</v>
      </c>
      <c r="D431" s="33" t="s">
        <v>3024</v>
      </c>
      <c r="E431" s="33" t="s">
        <v>3175</v>
      </c>
      <c r="F431" s="33" t="s">
        <v>2893</v>
      </c>
      <c r="G431" s="33" t="s">
        <v>3141</v>
      </c>
      <c r="H431" s="33" t="s">
        <v>2979</v>
      </c>
      <c r="I431" s="33" t="s">
        <v>2979</v>
      </c>
    </row>
    <row x14ac:dyDescent="0.25" r="432" customHeight="1" ht="15.75">
      <c r="A432" s="13" t="s">
        <v>91</v>
      </c>
      <c r="B432" s="13" t="s">
        <v>221</v>
      </c>
      <c r="C432" s="32" t="s">
        <v>3584</v>
      </c>
      <c r="D432" s="33" t="s">
        <v>2891</v>
      </c>
      <c r="E432" s="33" t="s">
        <v>2970</v>
      </c>
      <c r="F432" s="33" t="s">
        <v>2965</v>
      </c>
      <c r="G432" s="33" t="s">
        <v>2992</v>
      </c>
      <c r="H432" s="33" t="s">
        <v>2891</v>
      </c>
      <c r="I432" s="33" t="s">
        <v>3073</v>
      </c>
    </row>
    <row x14ac:dyDescent="0.25" r="433" customHeight="1" ht="15.75">
      <c r="A433" s="13" t="s">
        <v>91</v>
      </c>
      <c r="B433" s="13" t="s">
        <v>401</v>
      </c>
      <c r="C433" s="32" t="s">
        <v>3473</v>
      </c>
      <c r="D433" s="33" t="s">
        <v>3053</v>
      </c>
      <c r="E433" s="33" t="s">
        <v>3137</v>
      </c>
      <c r="F433" s="33" t="s">
        <v>3124</v>
      </c>
      <c r="G433" s="33" t="s">
        <v>2991</v>
      </c>
      <c r="H433" s="33" t="s">
        <v>2991</v>
      </c>
      <c r="I433" s="33" t="s">
        <v>2990</v>
      </c>
    </row>
    <row x14ac:dyDescent="0.25" r="434" customHeight="1" ht="15.75">
      <c r="A434" s="13" t="s">
        <v>91</v>
      </c>
      <c r="B434" s="13" t="s">
        <v>765</v>
      </c>
      <c r="C434" s="32" t="s">
        <v>3474</v>
      </c>
      <c r="D434" s="33" t="s">
        <v>3585</v>
      </c>
      <c r="E434" s="33" t="s">
        <v>3586</v>
      </c>
      <c r="F434" s="33" t="s">
        <v>3587</v>
      </c>
      <c r="G434" s="33" t="s">
        <v>3588</v>
      </c>
      <c r="H434" s="33" t="s">
        <v>3589</v>
      </c>
      <c r="I434" s="33" t="s">
        <v>3363</v>
      </c>
    </row>
    <row x14ac:dyDescent="0.25" r="435" customHeight="1" ht="15.75">
      <c r="A435" s="13" t="s">
        <v>91</v>
      </c>
      <c r="B435" s="13" t="s">
        <v>169</v>
      </c>
      <c r="C435" s="32" t="s">
        <v>3590</v>
      </c>
      <c r="D435" s="33" t="s">
        <v>3141</v>
      </c>
      <c r="E435" s="33" t="s">
        <v>3136</v>
      </c>
      <c r="F435" s="33" t="s">
        <v>3193</v>
      </c>
      <c r="G435" s="33" t="s">
        <v>2990</v>
      </c>
      <c r="H435" s="33" t="s">
        <v>2942</v>
      </c>
      <c r="I435" s="33" t="s">
        <v>2856</v>
      </c>
    </row>
    <row x14ac:dyDescent="0.25" r="436" customHeight="1" ht="15.75">
      <c r="A436" s="13" t="s">
        <v>91</v>
      </c>
      <c r="B436" s="13" t="s">
        <v>1890</v>
      </c>
      <c r="C436" s="32" t="s">
        <v>2873</v>
      </c>
      <c r="D436" s="33" t="s">
        <v>3012</v>
      </c>
      <c r="E436" s="33" t="s">
        <v>2962</v>
      </c>
      <c r="F436" s="33" t="s">
        <v>3103</v>
      </c>
      <c r="G436" s="33" t="s">
        <v>3285</v>
      </c>
      <c r="H436" s="33" t="s">
        <v>3294</v>
      </c>
      <c r="I436" s="33" t="s">
        <v>3243</v>
      </c>
    </row>
    <row x14ac:dyDescent="0.25" r="437" customHeight="1" ht="15.75">
      <c r="A437" s="13" t="s">
        <v>91</v>
      </c>
      <c r="B437" s="13" t="s">
        <v>269</v>
      </c>
      <c r="C437" s="32" t="s">
        <v>2873</v>
      </c>
      <c r="D437" s="33" t="s">
        <v>3018</v>
      </c>
      <c r="E437" s="33" t="s">
        <v>2982</v>
      </c>
      <c r="F437" s="33" t="s">
        <v>2899</v>
      </c>
      <c r="G437" s="33" t="s">
        <v>2887</v>
      </c>
      <c r="H437" s="33" t="s">
        <v>3066</v>
      </c>
      <c r="I437" s="33" t="s">
        <v>2913</v>
      </c>
    </row>
    <row x14ac:dyDescent="0.25" r="438" customHeight="1" ht="15.75">
      <c r="A438" s="13" t="s">
        <v>91</v>
      </c>
      <c r="B438" s="13" t="s">
        <v>1523</v>
      </c>
      <c r="C438" s="32" t="s">
        <v>3479</v>
      </c>
      <c r="D438" s="33" t="s">
        <v>3392</v>
      </c>
      <c r="E438" s="33" t="s">
        <v>3591</v>
      </c>
      <c r="F438" s="33" t="s">
        <v>3173</v>
      </c>
      <c r="G438" s="33" t="s">
        <v>3009</v>
      </c>
      <c r="H438" s="33" t="s">
        <v>3317</v>
      </c>
      <c r="I438" s="33" t="s">
        <v>2830</v>
      </c>
    </row>
    <row x14ac:dyDescent="0.25" r="439" customHeight="1" ht="15.75">
      <c r="A439" s="13" t="s">
        <v>91</v>
      </c>
      <c r="B439" s="13" t="s">
        <v>606</v>
      </c>
      <c r="C439" s="32" t="s">
        <v>3592</v>
      </c>
      <c r="D439" s="33" t="s">
        <v>3593</v>
      </c>
      <c r="E439" s="33" t="s">
        <v>2837</v>
      </c>
      <c r="F439" s="33" t="s">
        <v>3546</v>
      </c>
      <c r="G439" s="33" t="s">
        <v>3594</v>
      </c>
      <c r="H439" s="33" t="s">
        <v>3436</v>
      </c>
      <c r="I439" s="33" t="s">
        <v>3264</v>
      </c>
    </row>
    <row x14ac:dyDescent="0.25" r="440" customHeight="1" ht="15.75">
      <c r="A440" s="13" t="s">
        <v>91</v>
      </c>
      <c r="B440" s="13" t="s">
        <v>94</v>
      </c>
      <c r="C440" s="32" t="s">
        <v>3595</v>
      </c>
      <c r="D440" s="33" t="s">
        <v>3051</v>
      </c>
      <c r="E440" s="33" t="s">
        <v>3138</v>
      </c>
      <c r="F440" s="33" t="s">
        <v>2905</v>
      </c>
      <c r="G440" s="33" t="s">
        <v>3193</v>
      </c>
      <c r="H440" s="33" t="s">
        <v>2857</v>
      </c>
      <c r="I440" s="33" t="s">
        <v>3193</v>
      </c>
    </row>
    <row x14ac:dyDescent="0.25" r="441" customHeight="1" ht="15.75">
      <c r="A441" s="13" t="s">
        <v>91</v>
      </c>
      <c r="B441" s="13" t="s">
        <v>98</v>
      </c>
      <c r="C441" s="32" t="s">
        <v>3596</v>
      </c>
      <c r="D441" s="33" t="s">
        <v>2992</v>
      </c>
      <c r="E441" s="33" t="s">
        <v>2845</v>
      </c>
      <c r="F441" s="33" t="s">
        <v>3052</v>
      </c>
      <c r="G441" s="33" t="s">
        <v>3053</v>
      </c>
      <c r="H441" s="33" t="s">
        <v>3067</v>
      </c>
      <c r="I441" s="33" t="s">
        <v>3050</v>
      </c>
    </row>
    <row x14ac:dyDescent="0.25" r="442" customHeight="1" ht="15.75">
      <c r="A442" s="13" t="s">
        <v>91</v>
      </c>
      <c r="B442" s="13" t="s">
        <v>722</v>
      </c>
      <c r="C442" s="32" t="s">
        <v>3597</v>
      </c>
      <c r="D442" s="33" t="s">
        <v>3598</v>
      </c>
      <c r="E442" s="33" t="s">
        <v>3364</v>
      </c>
      <c r="F442" s="33" t="s">
        <v>3380</v>
      </c>
      <c r="G442" s="33" t="s">
        <v>3599</v>
      </c>
      <c r="H442" s="33" t="s">
        <v>3600</v>
      </c>
      <c r="I442" s="33" t="s">
        <v>3601</v>
      </c>
    </row>
    <row x14ac:dyDescent="0.25" r="443" customHeight="1" ht="15.75">
      <c r="A443" s="13" t="s">
        <v>91</v>
      </c>
      <c r="B443" s="13" t="s">
        <v>1011</v>
      </c>
      <c r="C443" s="32" t="s">
        <v>3602</v>
      </c>
      <c r="D443" s="33" t="s">
        <v>3511</v>
      </c>
      <c r="E443" s="33" t="s">
        <v>3603</v>
      </c>
      <c r="F443" s="33" t="s">
        <v>3604</v>
      </c>
      <c r="G443" s="33" t="s">
        <v>3498</v>
      </c>
      <c r="H443" s="33" t="s">
        <v>3119</v>
      </c>
      <c r="I443" s="33" t="s">
        <v>2955</v>
      </c>
    </row>
    <row x14ac:dyDescent="0.25" r="444" customHeight="1" ht="15.75">
      <c r="A444" s="13" t="s">
        <v>91</v>
      </c>
      <c r="B444" s="13" t="s">
        <v>1721</v>
      </c>
      <c r="C444" s="32" t="s">
        <v>3602</v>
      </c>
      <c r="D444" s="33" t="s">
        <v>3111</v>
      </c>
      <c r="E444" s="33" t="s">
        <v>3027</v>
      </c>
      <c r="F444" s="33" t="s">
        <v>3272</v>
      </c>
      <c r="G444" s="33" t="s">
        <v>3605</v>
      </c>
      <c r="H444" s="33" t="s">
        <v>3091</v>
      </c>
      <c r="I444" s="33" t="s">
        <v>2853</v>
      </c>
    </row>
    <row x14ac:dyDescent="0.25" r="445" customHeight="1" ht="15.75">
      <c r="A445" s="13" t="s">
        <v>91</v>
      </c>
      <c r="B445" s="13" t="s">
        <v>155</v>
      </c>
      <c r="C445" s="32" t="s">
        <v>3485</v>
      </c>
      <c r="D445" s="33" t="s">
        <v>2969</v>
      </c>
      <c r="E445" s="33" t="s">
        <v>3073</v>
      </c>
      <c r="F445" s="33" t="s">
        <v>2891</v>
      </c>
      <c r="G445" s="33" t="s">
        <v>3114</v>
      </c>
      <c r="H445" s="33" t="s">
        <v>3124</v>
      </c>
      <c r="I445" s="33" t="s">
        <v>3156</v>
      </c>
    </row>
    <row x14ac:dyDescent="0.25" r="446" customHeight="1" ht="15.75">
      <c r="A446" s="13" t="s">
        <v>91</v>
      </c>
      <c r="B446" s="13" t="s">
        <v>576</v>
      </c>
      <c r="C446" s="32" t="s">
        <v>3606</v>
      </c>
      <c r="D446" s="33" t="s">
        <v>3534</v>
      </c>
      <c r="E446" s="33" t="s">
        <v>3603</v>
      </c>
      <c r="F446" s="33" t="s">
        <v>3607</v>
      </c>
      <c r="G446" s="33" t="s">
        <v>3608</v>
      </c>
      <c r="H446" s="33" t="s">
        <v>3303</v>
      </c>
      <c r="I446" s="33" t="s">
        <v>3290</v>
      </c>
    </row>
    <row x14ac:dyDescent="0.25" r="447" customHeight="1" ht="15.75">
      <c r="A447" s="13" t="s">
        <v>91</v>
      </c>
      <c r="B447" s="13" t="s">
        <v>1138</v>
      </c>
      <c r="C447" s="32" t="s">
        <v>3609</v>
      </c>
      <c r="D447" s="33" t="s">
        <v>3610</v>
      </c>
      <c r="E447" s="33" t="s">
        <v>3611</v>
      </c>
      <c r="F447" s="33" t="s">
        <v>3612</v>
      </c>
      <c r="G447" s="33" t="s">
        <v>3250</v>
      </c>
      <c r="H447" s="33" t="s">
        <v>3613</v>
      </c>
      <c r="I447" s="33" t="s">
        <v>3614</v>
      </c>
    </row>
    <row x14ac:dyDescent="0.25" r="448" customHeight="1" ht="15.75">
      <c r="A448" s="13" t="s">
        <v>91</v>
      </c>
      <c r="B448" s="13" t="s">
        <v>2049</v>
      </c>
      <c r="C448" s="32" t="s">
        <v>3615</v>
      </c>
      <c r="D448" s="33" t="s">
        <v>3124</v>
      </c>
      <c r="E448" s="33" t="s">
        <v>3175</v>
      </c>
      <c r="F448" s="33" t="s">
        <v>3168</v>
      </c>
      <c r="G448" s="33" t="s">
        <v>2979</v>
      </c>
      <c r="H448" s="33" t="s">
        <v>3168</v>
      </c>
      <c r="I448" s="33" t="s">
        <v>3067</v>
      </c>
    </row>
    <row x14ac:dyDescent="0.25" r="449" customHeight="1" ht="15.75">
      <c r="A449" s="13" t="s">
        <v>91</v>
      </c>
      <c r="B449" s="13" t="s">
        <v>658</v>
      </c>
      <c r="C449" s="32" t="s">
        <v>2896</v>
      </c>
      <c r="D449" s="33" t="s">
        <v>2924</v>
      </c>
      <c r="E449" s="33" t="s">
        <v>3144</v>
      </c>
      <c r="F449" s="33" t="s">
        <v>2927</v>
      </c>
      <c r="G449" s="33" t="s">
        <v>2920</v>
      </c>
      <c r="H449" s="33" t="s">
        <v>2962</v>
      </c>
      <c r="I449" s="33" t="s">
        <v>3012</v>
      </c>
    </row>
    <row x14ac:dyDescent="0.25" r="450" customHeight="1" ht="15.75">
      <c r="A450" s="13" t="s">
        <v>91</v>
      </c>
      <c r="B450" s="13" t="s">
        <v>260</v>
      </c>
      <c r="C450" s="32" t="s">
        <v>3616</v>
      </c>
      <c r="D450" s="33" t="s">
        <v>2872</v>
      </c>
      <c r="E450" s="33" t="s">
        <v>3081</v>
      </c>
      <c r="F450" s="33" t="s">
        <v>2974</v>
      </c>
      <c r="G450" s="33" t="s">
        <v>3122</v>
      </c>
      <c r="H450" s="33" t="s">
        <v>2964</v>
      </c>
      <c r="I450" s="33" t="s">
        <v>3134</v>
      </c>
    </row>
    <row x14ac:dyDescent="0.25" r="451" customHeight="1" ht="15.75">
      <c r="A451" s="13" t="s">
        <v>91</v>
      </c>
      <c r="B451" s="13" t="s">
        <v>569</v>
      </c>
      <c r="C451" s="32" t="s">
        <v>3617</v>
      </c>
      <c r="D451" s="33" t="s">
        <v>3158</v>
      </c>
      <c r="E451" s="33" t="s">
        <v>2926</v>
      </c>
      <c r="F451" s="33" t="s">
        <v>3347</v>
      </c>
      <c r="G451" s="33" t="s">
        <v>3010</v>
      </c>
      <c r="H451" s="33" t="s">
        <v>3618</v>
      </c>
      <c r="I451" s="33" t="s">
        <v>3105</v>
      </c>
    </row>
    <row x14ac:dyDescent="0.25" r="452" customHeight="1" ht="15.75">
      <c r="A452" s="13" t="s">
        <v>91</v>
      </c>
      <c r="B452" s="13" t="s">
        <v>177</v>
      </c>
      <c r="C452" s="32" t="s">
        <v>3499</v>
      </c>
      <c r="D452" s="33" t="s">
        <v>3165</v>
      </c>
      <c r="E452" s="33" t="s">
        <v>3134</v>
      </c>
      <c r="F452" s="33" t="s">
        <v>2915</v>
      </c>
      <c r="G452" s="33" t="s">
        <v>3168</v>
      </c>
      <c r="H452" s="33" t="s">
        <v>3168</v>
      </c>
      <c r="I452" s="33" t="s">
        <v>2970</v>
      </c>
    </row>
    <row x14ac:dyDescent="0.25" r="453" customHeight="1" ht="15.75">
      <c r="A453" s="13" t="s">
        <v>91</v>
      </c>
      <c r="B453" s="13" t="s">
        <v>238</v>
      </c>
      <c r="C453" s="32" t="s">
        <v>2912</v>
      </c>
      <c r="D453" s="33" t="s">
        <v>2863</v>
      </c>
      <c r="E453" s="33" t="s">
        <v>3245</v>
      </c>
      <c r="F453" s="33" t="s">
        <v>2930</v>
      </c>
      <c r="G453" s="33" t="s">
        <v>3186</v>
      </c>
      <c r="H453" s="33" t="s">
        <v>3060</v>
      </c>
      <c r="I453" s="33" t="s">
        <v>2892</v>
      </c>
    </row>
    <row x14ac:dyDescent="0.25" r="454" customHeight="1" ht="15.75">
      <c r="A454" s="13" t="s">
        <v>91</v>
      </c>
      <c r="B454" s="13" t="s">
        <v>651</v>
      </c>
      <c r="C454" s="32" t="s">
        <v>3247</v>
      </c>
      <c r="D454" s="33" t="s">
        <v>2913</v>
      </c>
      <c r="E454" s="33" t="s">
        <v>2888</v>
      </c>
      <c r="F454" s="33" t="s">
        <v>3353</v>
      </c>
      <c r="G454" s="33" t="s">
        <v>3138</v>
      </c>
      <c r="H454" s="33" t="s">
        <v>2843</v>
      </c>
      <c r="I454" s="33" t="s">
        <v>2843</v>
      </c>
    </row>
    <row x14ac:dyDescent="0.25" r="455" customHeight="1" ht="15.75">
      <c r="A455" s="13" t="s">
        <v>91</v>
      </c>
      <c r="B455" s="13" t="s">
        <v>1565</v>
      </c>
      <c r="C455" s="32" t="s">
        <v>3619</v>
      </c>
      <c r="D455" s="33" t="s">
        <v>3129</v>
      </c>
      <c r="E455" s="33" t="s">
        <v>3502</v>
      </c>
      <c r="F455" s="33" t="s">
        <v>2884</v>
      </c>
      <c r="G455" s="33" t="s">
        <v>3045</v>
      </c>
      <c r="H455" s="33" t="s">
        <v>2957</v>
      </c>
      <c r="I455" s="33" t="s">
        <v>3048</v>
      </c>
    </row>
    <row x14ac:dyDescent="0.25" r="456" customHeight="1" ht="15.75">
      <c r="A456" s="13" t="s">
        <v>91</v>
      </c>
      <c r="B456" s="13" t="s">
        <v>140</v>
      </c>
      <c r="C456" s="32" t="s">
        <v>3620</v>
      </c>
      <c r="D456" s="33" t="s">
        <v>3621</v>
      </c>
      <c r="E456" s="33" t="s">
        <v>3378</v>
      </c>
      <c r="F456" s="33" t="s">
        <v>3340</v>
      </c>
      <c r="G456" s="33" t="s">
        <v>3622</v>
      </c>
      <c r="H456" s="33" t="s">
        <v>3120</v>
      </c>
      <c r="I456" s="33" t="s">
        <v>3399</v>
      </c>
    </row>
    <row x14ac:dyDescent="0.25" r="457" customHeight="1" ht="15.75">
      <c r="A457" s="13" t="s">
        <v>91</v>
      </c>
      <c r="B457" s="13" t="s">
        <v>488</v>
      </c>
      <c r="C457" s="32" t="s">
        <v>3508</v>
      </c>
      <c r="D457" s="33" t="s">
        <v>2929</v>
      </c>
      <c r="E457" s="33" t="s">
        <v>3010</v>
      </c>
      <c r="F457" s="33" t="s">
        <v>3425</v>
      </c>
      <c r="G457" s="33" t="s">
        <v>3163</v>
      </c>
      <c r="H457" s="33" t="s">
        <v>2842</v>
      </c>
      <c r="I457" s="33" t="s">
        <v>2890</v>
      </c>
    </row>
    <row x14ac:dyDescent="0.25" r="458" customHeight="1" ht="15.75">
      <c r="A458" s="13" t="s">
        <v>91</v>
      </c>
      <c r="B458" s="13" t="s">
        <v>990</v>
      </c>
      <c r="C458" s="32" t="s">
        <v>3397</v>
      </c>
      <c r="D458" s="33" t="s">
        <v>3623</v>
      </c>
      <c r="E458" s="33" t="s">
        <v>3380</v>
      </c>
      <c r="F458" s="33" t="s">
        <v>3361</v>
      </c>
      <c r="G458" s="33" t="s">
        <v>2909</v>
      </c>
      <c r="H458" s="33" t="s">
        <v>3312</v>
      </c>
      <c r="I458" s="33" t="s">
        <v>3624</v>
      </c>
    </row>
    <row x14ac:dyDescent="0.25" r="459" customHeight="1" ht="15.75">
      <c r="A459" s="13" t="s">
        <v>91</v>
      </c>
      <c r="B459" s="13" t="s">
        <v>385</v>
      </c>
      <c r="C459" s="32" t="s">
        <v>3398</v>
      </c>
      <c r="D459" s="33" t="s">
        <v>3272</v>
      </c>
      <c r="E459" s="33" t="s">
        <v>3272</v>
      </c>
      <c r="F459" s="33" t="s">
        <v>3316</v>
      </c>
      <c r="G459" s="33" t="s">
        <v>3048</v>
      </c>
      <c r="H459" s="33" t="s">
        <v>3095</v>
      </c>
      <c r="I459" s="33" t="s">
        <v>2988</v>
      </c>
    </row>
    <row x14ac:dyDescent="0.25" r="460" customHeight="1" ht="15.75">
      <c r="A460" s="13" t="s">
        <v>91</v>
      </c>
      <c r="B460" s="13" t="s">
        <v>1200</v>
      </c>
      <c r="C460" s="32" t="s">
        <v>3398</v>
      </c>
      <c r="D460" s="33" t="s">
        <v>3103</v>
      </c>
      <c r="E460" s="33" t="s">
        <v>2933</v>
      </c>
      <c r="F460" s="33" t="s">
        <v>2832</v>
      </c>
      <c r="G460" s="33" t="s">
        <v>2836</v>
      </c>
      <c r="H460" s="33" t="s">
        <v>3184</v>
      </c>
      <c r="I460" s="33" t="s">
        <v>3115</v>
      </c>
    </row>
    <row x14ac:dyDescent="0.25" r="461" customHeight="1" ht="15.75">
      <c r="A461" s="13" t="s">
        <v>91</v>
      </c>
      <c r="B461" s="13" t="s">
        <v>378</v>
      </c>
      <c r="C461" s="32" t="s">
        <v>3253</v>
      </c>
      <c r="D461" s="33" t="s">
        <v>3191</v>
      </c>
      <c r="E461" s="33" t="s">
        <v>3196</v>
      </c>
      <c r="F461" s="33" t="s">
        <v>3154</v>
      </c>
      <c r="G461" s="33" t="s">
        <v>3060</v>
      </c>
      <c r="H461" s="33" t="s">
        <v>2969</v>
      </c>
      <c r="I461" s="33" t="s">
        <v>2843</v>
      </c>
    </row>
    <row x14ac:dyDescent="0.25" r="462" customHeight="1" ht="15.75">
      <c r="A462" s="13" t="s">
        <v>91</v>
      </c>
      <c r="B462" s="13" t="s">
        <v>436</v>
      </c>
      <c r="C462" s="32" t="s">
        <v>3512</v>
      </c>
      <c r="D462" s="33" t="s">
        <v>3159</v>
      </c>
      <c r="E462" s="33" t="s">
        <v>2895</v>
      </c>
      <c r="F462" s="33" t="s">
        <v>3141</v>
      </c>
      <c r="G462" s="33" t="s">
        <v>2895</v>
      </c>
      <c r="H462" s="33" t="s">
        <v>2895</v>
      </c>
      <c r="I462" s="33" t="s">
        <v>3175</v>
      </c>
    </row>
    <row x14ac:dyDescent="0.25" r="463" customHeight="1" ht="15.75">
      <c r="A463" s="13" t="s">
        <v>91</v>
      </c>
      <c r="B463" s="13" t="s">
        <v>669</v>
      </c>
      <c r="C463" s="32" t="s">
        <v>2928</v>
      </c>
      <c r="D463" s="33" t="s">
        <v>2991</v>
      </c>
      <c r="E463" s="33" t="s">
        <v>2918</v>
      </c>
      <c r="F463" s="33" t="s">
        <v>3141</v>
      </c>
      <c r="G463" s="33" t="s">
        <v>3067</v>
      </c>
      <c r="H463" s="33" t="s">
        <v>2894</v>
      </c>
      <c r="I463" s="33" t="s">
        <v>3050</v>
      </c>
    </row>
    <row x14ac:dyDescent="0.25" r="464" customHeight="1" ht="15.75">
      <c r="A464" s="13" t="s">
        <v>91</v>
      </c>
      <c r="B464" s="13" t="s">
        <v>769</v>
      </c>
      <c r="C464" s="32" t="s">
        <v>3513</v>
      </c>
      <c r="D464" s="33" t="s">
        <v>3625</v>
      </c>
      <c r="E464" s="33" t="s">
        <v>3340</v>
      </c>
      <c r="F464" s="33" t="s">
        <v>3360</v>
      </c>
      <c r="G464" s="33" t="s">
        <v>3626</v>
      </c>
      <c r="H464" s="33" t="s">
        <v>3131</v>
      </c>
      <c r="I464" s="33" t="s">
        <v>3517</v>
      </c>
    </row>
    <row x14ac:dyDescent="0.25" r="465" customHeight="1" ht="15.75">
      <c r="A465" s="13" t="s">
        <v>91</v>
      </c>
      <c r="B465" s="13" t="s">
        <v>523</v>
      </c>
      <c r="C465" s="32" t="s">
        <v>3254</v>
      </c>
      <c r="D465" s="33" t="s">
        <v>3112</v>
      </c>
      <c r="E465" s="33" t="s">
        <v>3073</v>
      </c>
      <c r="F465" s="33" t="s">
        <v>2895</v>
      </c>
      <c r="G465" s="33" t="s">
        <v>2963</v>
      </c>
      <c r="H465" s="33" t="s">
        <v>3114</v>
      </c>
      <c r="I465" s="33" t="s">
        <v>3301</v>
      </c>
    </row>
    <row x14ac:dyDescent="0.25" r="466" customHeight="1" ht="15.75">
      <c r="A466" s="13" t="s">
        <v>91</v>
      </c>
      <c r="B466" s="13" t="s">
        <v>784</v>
      </c>
      <c r="C466" s="32" t="s">
        <v>3402</v>
      </c>
      <c r="D466" s="33" t="s">
        <v>3627</v>
      </c>
      <c r="E466" s="33" t="s">
        <v>3628</v>
      </c>
      <c r="F466" s="33" t="s">
        <v>3629</v>
      </c>
      <c r="G466" s="33" t="s">
        <v>3630</v>
      </c>
      <c r="H466" s="33" t="s">
        <v>3631</v>
      </c>
      <c r="I466" s="33" t="s">
        <v>3417</v>
      </c>
    </row>
    <row x14ac:dyDescent="0.25" r="467" customHeight="1" ht="15.75">
      <c r="A467" s="13" t="s">
        <v>91</v>
      </c>
      <c r="B467" s="13" t="s">
        <v>1591</v>
      </c>
      <c r="C467" s="32" t="s">
        <v>3632</v>
      </c>
      <c r="D467" s="33" t="s">
        <v>3040</v>
      </c>
      <c r="E467" s="33" t="s">
        <v>3633</v>
      </c>
      <c r="F467" s="33" t="s">
        <v>3634</v>
      </c>
      <c r="G467" s="33" t="s">
        <v>3399</v>
      </c>
      <c r="H467" s="33" t="s">
        <v>3635</v>
      </c>
      <c r="I467" s="33" t="s">
        <v>3518</v>
      </c>
    </row>
    <row x14ac:dyDescent="0.25" r="468" customHeight="1" ht="15.75">
      <c r="A468" s="13" t="s">
        <v>91</v>
      </c>
      <c r="B468" s="13" t="s">
        <v>102</v>
      </c>
      <c r="C468" s="32" t="s">
        <v>3636</v>
      </c>
      <c r="D468" s="33" t="s">
        <v>2856</v>
      </c>
      <c r="E468" s="33" t="s">
        <v>2951</v>
      </c>
      <c r="F468" s="33" t="s">
        <v>2849</v>
      </c>
      <c r="G468" s="33" t="s">
        <v>2849</v>
      </c>
      <c r="H468" s="33" t="s">
        <v>2950</v>
      </c>
      <c r="I468" s="33" t="s">
        <v>2847</v>
      </c>
    </row>
    <row x14ac:dyDescent="0.25" r="469" customHeight="1" ht="15.75">
      <c r="A469" s="13" t="s">
        <v>91</v>
      </c>
      <c r="B469" s="13" t="s">
        <v>167</v>
      </c>
      <c r="C469" s="32" t="s">
        <v>3516</v>
      </c>
      <c r="D469" s="33" t="s">
        <v>2991</v>
      </c>
      <c r="E469" s="33" t="s">
        <v>2894</v>
      </c>
      <c r="F469" s="33" t="s">
        <v>3138</v>
      </c>
      <c r="G469" s="33" t="s">
        <v>2857</v>
      </c>
      <c r="H469" s="33" t="s">
        <v>2983</v>
      </c>
      <c r="I469" s="33" t="s">
        <v>2902</v>
      </c>
    </row>
    <row x14ac:dyDescent="0.25" r="470" customHeight="1" ht="15.75">
      <c r="A470" s="13" t="s">
        <v>91</v>
      </c>
      <c r="B470" s="13" t="s">
        <v>1948</v>
      </c>
      <c r="C470" s="32" t="s">
        <v>3637</v>
      </c>
      <c r="D470" s="33" t="s">
        <v>2848</v>
      </c>
      <c r="E470" s="33" t="s">
        <v>2903</v>
      </c>
      <c r="F470" s="33" t="s">
        <v>2904</v>
      </c>
      <c r="G470" s="33" t="s">
        <v>3353</v>
      </c>
      <c r="H470" s="33" t="s">
        <v>2849</v>
      </c>
      <c r="I470" s="33" t="s">
        <v>2850</v>
      </c>
    </row>
    <row x14ac:dyDescent="0.25" r="471" customHeight="1" ht="15.75">
      <c r="A471" s="13" t="s">
        <v>91</v>
      </c>
      <c r="B471" s="13" t="s">
        <v>2402</v>
      </c>
      <c r="C471" s="32" t="s">
        <v>3408</v>
      </c>
      <c r="D471" s="33" t="s">
        <v>2926</v>
      </c>
      <c r="E471" s="33" t="s">
        <v>3421</v>
      </c>
      <c r="F471" s="33" t="s">
        <v>3131</v>
      </c>
      <c r="G471" s="33" t="s">
        <v>3638</v>
      </c>
      <c r="H471" s="33" t="s">
        <v>3373</v>
      </c>
      <c r="I471" s="33" t="s">
        <v>3400</v>
      </c>
    </row>
    <row x14ac:dyDescent="0.25" r="472" customHeight="1" ht="15.75">
      <c r="A472" s="13" t="s">
        <v>91</v>
      </c>
      <c r="B472" s="13" t="s">
        <v>253</v>
      </c>
      <c r="C472" s="32" t="s">
        <v>3523</v>
      </c>
      <c r="D472" s="33" t="s">
        <v>3301</v>
      </c>
      <c r="E472" s="33" t="s">
        <v>2844</v>
      </c>
      <c r="F472" s="33" t="s">
        <v>2991</v>
      </c>
      <c r="G472" s="33" t="s">
        <v>3058</v>
      </c>
      <c r="H472" s="33" t="s">
        <v>3141</v>
      </c>
      <c r="I472" s="33" t="s">
        <v>3168</v>
      </c>
    </row>
    <row x14ac:dyDescent="0.25" r="473" customHeight="1" ht="15.75">
      <c r="A473" s="13" t="s">
        <v>91</v>
      </c>
      <c r="B473" s="13" t="s">
        <v>881</v>
      </c>
      <c r="C473" s="32" t="s">
        <v>2958</v>
      </c>
      <c r="D473" s="33" t="s">
        <v>3639</v>
      </c>
      <c r="E473" s="33" t="s">
        <v>3493</v>
      </c>
      <c r="F473" s="33" t="s">
        <v>3333</v>
      </c>
      <c r="G473" s="33" t="s">
        <v>2975</v>
      </c>
      <c r="H473" s="33" t="s">
        <v>3484</v>
      </c>
      <c r="I473" s="33" t="s">
        <v>2989</v>
      </c>
    </row>
    <row x14ac:dyDescent="0.25" r="474" customHeight="1" ht="15.75">
      <c r="A474" s="13" t="s">
        <v>91</v>
      </c>
      <c r="B474" s="13" t="s">
        <v>2260</v>
      </c>
      <c r="C474" s="32" t="s">
        <v>3640</v>
      </c>
      <c r="D474" s="33" t="s">
        <v>3095</v>
      </c>
      <c r="E474" s="33" t="s">
        <v>3191</v>
      </c>
      <c r="F474" s="33" t="s">
        <v>2961</v>
      </c>
      <c r="G474" s="33" t="s">
        <v>3275</v>
      </c>
      <c r="H474" s="33" t="s">
        <v>2927</v>
      </c>
      <c r="I474" s="33" t="s">
        <v>3162</v>
      </c>
    </row>
    <row x14ac:dyDescent="0.25" r="475" customHeight="1" ht="15.75">
      <c r="A475" s="13" t="s">
        <v>91</v>
      </c>
      <c r="B475" s="13" t="s">
        <v>962</v>
      </c>
      <c r="C475" s="32" t="s">
        <v>2967</v>
      </c>
      <c r="D475" s="33" t="s">
        <v>3641</v>
      </c>
      <c r="E475" s="33" t="s">
        <v>3642</v>
      </c>
      <c r="F475" s="33" t="s">
        <v>3643</v>
      </c>
      <c r="G475" s="33" t="s">
        <v>3477</v>
      </c>
      <c r="H475" s="33" t="s">
        <v>3644</v>
      </c>
      <c r="I475" s="33" t="s">
        <v>3645</v>
      </c>
    </row>
    <row x14ac:dyDescent="0.25" r="476" customHeight="1" ht="15.75">
      <c r="A476" s="13" t="s">
        <v>91</v>
      </c>
      <c r="B476" s="13" t="s">
        <v>2254</v>
      </c>
      <c r="C476" s="32" t="s">
        <v>2972</v>
      </c>
      <c r="D476" s="33" t="s">
        <v>3646</v>
      </c>
      <c r="E476" s="33" t="s">
        <v>3003</v>
      </c>
      <c r="F476" s="33" t="s">
        <v>3647</v>
      </c>
      <c r="G476" s="33" t="s">
        <v>3532</v>
      </c>
      <c r="H476" s="33" t="s">
        <v>2839</v>
      </c>
      <c r="I476" s="33" t="s">
        <v>3647</v>
      </c>
    </row>
    <row x14ac:dyDescent="0.25" r="477" customHeight="1" ht="15.75">
      <c r="A477" s="13" t="s">
        <v>91</v>
      </c>
      <c r="B477" s="13" t="s">
        <v>916</v>
      </c>
      <c r="C477" s="32" t="s">
        <v>3001</v>
      </c>
      <c r="D477" s="33" t="s">
        <v>2884</v>
      </c>
      <c r="E477" s="33" t="s">
        <v>2863</v>
      </c>
      <c r="F477" s="33" t="s">
        <v>3271</v>
      </c>
      <c r="G477" s="33" t="s">
        <v>2955</v>
      </c>
      <c r="H477" s="33" t="s">
        <v>3106</v>
      </c>
      <c r="I477" s="33" t="s">
        <v>3432</v>
      </c>
    </row>
    <row x14ac:dyDescent="0.25" r="478" customHeight="1" ht="15.75">
      <c r="A478" s="13" t="s">
        <v>91</v>
      </c>
      <c r="B478" s="13" t="s">
        <v>1681</v>
      </c>
      <c r="C478" s="32" t="s">
        <v>3648</v>
      </c>
      <c r="D478" s="33" t="s">
        <v>3303</v>
      </c>
      <c r="E478" s="33" t="s">
        <v>3109</v>
      </c>
      <c r="F478" s="33" t="s">
        <v>3361</v>
      </c>
      <c r="G478" s="33" t="s">
        <v>3319</v>
      </c>
      <c r="H478" s="33" t="s">
        <v>2949</v>
      </c>
      <c r="I478" s="33" t="s">
        <v>3267</v>
      </c>
    </row>
    <row x14ac:dyDescent="0.25" r="479" customHeight="1" ht="15.75">
      <c r="A479" s="13" t="s">
        <v>91</v>
      </c>
      <c r="B479" s="13" t="s">
        <v>1792</v>
      </c>
      <c r="C479" s="32" t="s">
        <v>3526</v>
      </c>
      <c r="D479" s="33" t="s">
        <v>3086</v>
      </c>
      <c r="E479" s="33" t="s">
        <v>3184</v>
      </c>
      <c r="F479" s="33" t="s">
        <v>2937</v>
      </c>
      <c r="G479" s="33" t="s">
        <v>2963</v>
      </c>
      <c r="H479" s="33" t="s">
        <v>3021</v>
      </c>
      <c r="I479" s="33" t="s">
        <v>2933</v>
      </c>
    </row>
    <row x14ac:dyDescent="0.25" r="480" customHeight="1" ht="15.75">
      <c r="A480" s="13" t="s">
        <v>91</v>
      </c>
      <c r="B480" s="13" t="s">
        <v>1308</v>
      </c>
      <c r="C480" s="32" t="s">
        <v>3277</v>
      </c>
      <c r="D480" s="33" t="s">
        <v>3117</v>
      </c>
      <c r="E480" s="33" t="s">
        <v>3390</v>
      </c>
      <c r="F480" s="33" t="s">
        <v>3649</v>
      </c>
      <c r="G480" s="33" t="s">
        <v>3650</v>
      </c>
      <c r="H480" s="33" t="s">
        <v>3651</v>
      </c>
      <c r="I480" s="33" t="s">
        <v>2871</v>
      </c>
    </row>
    <row x14ac:dyDescent="0.25" r="481" customHeight="1" ht="15.75">
      <c r="A481" s="13" t="s">
        <v>91</v>
      </c>
      <c r="B481" s="13" t="s">
        <v>1170</v>
      </c>
      <c r="C481" s="32" t="s">
        <v>3652</v>
      </c>
      <c r="D481" s="33" t="s">
        <v>3653</v>
      </c>
      <c r="E481" s="33" t="s">
        <v>3654</v>
      </c>
      <c r="F481" s="33" t="s">
        <v>3549</v>
      </c>
      <c r="G481" s="33" t="s">
        <v>2881</v>
      </c>
      <c r="H481" s="33" t="s">
        <v>3412</v>
      </c>
      <c r="I481" s="33" t="s">
        <v>3003</v>
      </c>
    </row>
    <row x14ac:dyDescent="0.25" r="482" customHeight="1" ht="15.75">
      <c r="A482" s="13" t="s">
        <v>91</v>
      </c>
      <c r="B482" s="13" t="s">
        <v>759</v>
      </c>
      <c r="C482" s="32" t="s">
        <v>3032</v>
      </c>
      <c r="D482" s="33" t="s">
        <v>3311</v>
      </c>
      <c r="E482" s="33" t="s">
        <v>3046</v>
      </c>
      <c r="F482" s="33" t="s">
        <v>3618</v>
      </c>
      <c r="G482" s="33" t="s">
        <v>3078</v>
      </c>
      <c r="H482" s="33" t="s">
        <v>2988</v>
      </c>
      <c r="I482" s="33" t="s">
        <v>3107</v>
      </c>
    </row>
    <row x14ac:dyDescent="0.25" r="483" customHeight="1" ht="15.75">
      <c r="A483" s="13" t="s">
        <v>91</v>
      </c>
      <c r="B483" s="13" t="s">
        <v>1243</v>
      </c>
      <c r="C483" s="32" t="s">
        <v>3527</v>
      </c>
      <c r="D483" s="33" t="s">
        <v>3145</v>
      </c>
      <c r="E483" s="33" t="s">
        <v>3201</v>
      </c>
      <c r="F483" s="33" t="s">
        <v>2988</v>
      </c>
      <c r="G483" s="33" t="s">
        <v>3029</v>
      </c>
      <c r="H483" s="33" t="s">
        <v>2961</v>
      </c>
      <c r="I483" s="33" t="s">
        <v>3166</v>
      </c>
    </row>
    <row x14ac:dyDescent="0.25" r="484" customHeight="1" ht="15.75">
      <c r="A484" s="13" t="s">
        <v>91</v>
      </c>
      <c r="B484" s="13" t="s">
        <v>1621</v>
      </c>
      <c r="C484" s="32" t="s">
        <v>3418</v>
      </c>
      <c r="D484" s="33" t="s">
        <v>3327</v>
      </c>
      <c r="E484" s="33" t="s">
        <v>3430</v>
      </c>
      <c r="F484" s="33" t="s">
        <v>3607</v>
      </c>
      <c r="G484" s="33" t="s">
        <v>3491</v>
      </c>
      <c r="H484" s="33" t="s">
        <v>3655</v>
      </c>
      <c r="I484" s="33" t="s">
        <v>3656</v>
      </c>
    </row>
    <row x14ac:dyDescent="0.25" r="485" customHeight="1" ht="15.75">
      <c r="A485" s="13" t="s">
        <v>91</v>
      </c>
      <c r="B485" s="13" t="s">
        <v>1477</v>
      </c>
      <c r="C485" s="32" t="s">
        <v>3054</v>
      </c>
      <c r="D485" s="33" t="s">
        <v>3657</v>
      </c>
      <c r="E485" s="33" t="s">
        <v>3658</v>
      </c>
      <c r="F485" s="33" t="s">
        <v>3659</v>
      </c>
      <c r="G485" s="33" t="s">
        <v>3660</v>
      </c>
      <c r="H485" s="33" t="s">
        <v>3661</v>
      </c>
      <c r="I485" s="33" t="s">
        <v>3548</v>
      </c>
    </row>
    <row x14ac:dyDescent="0.25" r="486" customHeight="1" ht="15.75">
      <c r="A486" s="13" t="s">
        <v>91</v>
      </c>
      <c r="B486" s="13" t="s">
        <v>2482</v>
      </c>
      <c r="C486" s="32" t="s">
        <v>3054</v>
      </c>
      <c r="D486" s="33" t="s">
        <v>2898</v>
      </c>
      <c r="E486" s="33" t="s">
        <v>2969</v>
      </c>
      <c r="F486" s="33" t="s">
        <v>3114</v>
      </c>
      <c r="G486" s="33" t="s">
        <v>3073</v>
      </c>
      <c r="H486" s="33" t="s">
        <v>2965</v>
      </c>
      <c r="I486" s="33" t="s">
        <v>3018</v>
      </c>
    </row>
    <row x14ac:dyDescent="0.25" r="487" customHeight="1" ht="15.75">
      <c r="A487" s="13" t="s">
        <v>91</v>
      </c>
      <c r="B487" s="13" t="s">
        <v>1862</v>
      </c>
      <c r="C487" s="32" t="s">
        <v>3540</v>
      </c>
      <c r="D487" s="33" t="s">
        <v>3092</v>
      </c>
      <c r="E487" s="33" t="s">
        <v>3086</v>
      </c>
      <c r="F487" s="33" t="s">
        <v>3103</v>
      </c>
      <c r="G487" s="33" t="s">
        <v>3209</v>
      </c>
      <c r="H487" s="33" t="s">
        <v>3243</v>
      </c>
      <c r="I487" s="33" t="s">
        <v>3112</v>
      </c>
    </row>
    <row x14ac:dyDescent="0.25" r="488" customHeight="1" ht="15.75">
      <c r="A488" s="13" t="s">
        <v>91</v>
      </c>
      <c r="B488" s="13" t="s">
        <v>515</v>
      </c>
      <c r="C488" s="32" t="s">
        <v>3662</v>
      </c>
      <c r="D488" s="33" t="s">
        <v>3663</v>
      </c>
      <c r="E488" s="33" t="s">
        <v>3510</v>
      </c>
      <c r="F488" s="33" t="s">
        <v>3311</v>
      </c>
      <c r="G488" s="33" t="s">
        <v>3212</v>
      </c>
      <c r="H488" s="33" t="s">
        <v>3437</v>
      </c>
      <c r="I488" s="33" t="s">
        <v>2890</v>
      </c>
    </row>
    <row x14ac:dyDescent="0.25" r="489" customHeight="1" ht="15.75">
      <c r="A489" s="13" t="s">
        <v>91</v>
      </c>
      <c r="B489" s="13" t="s">
        <v>1417</v>
      </c>
      <c r="C489" s="32" t="s">
        <v>3433</v>
      </c>
      <c r="D489" s="33" t="s">
        <v>3664</v>
      </c>
      <c r="E489" s="33" t="s">
        <v>3665</v>
      </c>
      <c r="F489" s="33" t="s">
        <v>3666</v>
      </c>
      <c r="G489" s="33" t="s">
        <v>3667</v>
      </c>
      <c r="H489" s="33" t="s">
        <v>3668</v>
      </c>
      <c r="I489" s="33" t="s">
        <v>3002</v>
      </c>
    </row>
    <row x14ac:dyDescent="0.25" r="490" customHeight="1" ht="15.75">
      <c r="A490" s="13" t="s">
        <v>91</v>
      </c>
      <c r="B490" s="13" t="s">
        <v>1274</v>
      </c>
      <c r="C490" s="32" t="s">
        <v>3307</v>
      </c>
      <c r="D490" s="33" t="s">
        <v>3669</v>
      </c>
      <c r="E490" s="33" t="s">
        <v>3638</v>
      </c>
      <c r="F490" s="33" t="s">
        <v>3037</v>
      </c>
      <c r="G490" s="33" t="s">
        <v>2926</v>
      </c>
      <c r="H490" s="33" t="s">
        <v>3110</v>
      </c>
      <c r="I490" s="33" t="s">
        <v>2974</v>
      </c>
    </row>
    <row x14ac:dyDescent="0.25" r="491" customHeight="1" ht="15.75">
      <c r="A491" s="13" t="s">
        <v>91</v>
      </c>
      <c r="B491" s="13" t="s">
        <v>1489</v>
      </c>
      <c r="C491" s="32" t="s">
        <v>3434</v>
      </c>
      <c r="D491" s="33" t="s">
        <v>3026</v>
      </c>
      <c r="E491" s="33" t="s">
        <v>3370</v>
      </c>
      <c r="F491" s="33" t="s">
        <v>2989</v>
      </c>
      <c r="G491" s="33" t="s">
        <v>2926</v>
      </c>
      <c r="H491" s="33" t="s">
        <v>3030</v>
      </c>
      <c r="I491" s="33" t="s">
        <v>3186</v>
      </c>
    </row>
    <row x14ac:dyDescent="0.25" r="492" customHeight="1" ht="15.75">
      <c r="A492" s="13" t="s">
        <v>91</v>
      </c>
      <c r="B492" s="13" t="s">
        <v>1546</v>
      </c>
      <c r="C492" s="32" t="s">
        <v>3670</v>
      </c>
      <c r="D492" s="33" t="s">
        <v>3060</v>
      </c>
      <c r="E492" s="33" t="s">
        <v>3074</v>
      </c>
      <c r="F492" s="33" t="s">
        <v>2891</v>
      </c>
      <c r="G492" s="33" t="s">
        <v>2968</v>
      </c>
      <c r="H492" s="33" t="s">
        <v>2970</v>
      </c>
      <c r="I492" s="33" t="s">
        <v>3074</v>
      </c>
    </row>
    <row x14ac:dyDescent="0.25" r="493" customHeight="1" ht="15.75">
      <c r="A493" s="13" t="s">
        <v>91</v>
      </c>
      <c r="B493" s="13" t="s">
        <v>1422</v>
      </c>
      <c r="C493" s="32" t="s">
        <v>3315</v>
      </c>
      <c r="D493" s="33" t="s">
        <v>3671</v>
      </c>
      <c r="E493" s="33" t="s">
        <v>3672</v>
      </c>
      <c r="F493" s="33" t="s">
        <v>3673</v>
      </c>
      <c r="G493" s="33" t="s">
        <v>3674</v>
      </c>
      <c r="H493" s="33" t="s">
        <v>3601</v>
      </c>
      <c r="I493" s="33" t="s">
        <v>3287</v>
      </c>
    </row>
    <row x14ac:dyDescent="0.25" r="494" customHeight="1" ht="15.75">
      <c r="A494" s="13" t="s">
        <v>91</v>
      </c>
      <c r="B494" s="13" t="s">
        <v>1397</v>
      </c>
      <c r="C494" s="32" t="s">
        <v>3315</v>
      </c>
      <c r="D494" s="33" t="s">
        <v>3360</v>
      </c>
      <c r="E494" s="33" t="s">
        <v>3531</v>
      </c>
      <c r="F494" s="33" t="s">
        <v>3502</v>
      </c>
      <c r="G494" s="33" t="s">
        <v>3346</v>
      </c>
      <c r="H494" s="33" t="s">
        <v>2910</v>
      </c>
      <c r="I494" s="33" t="s">
        <v>3314</v>
      </c>
    </row>
    <row x14ac:dyDescent="0.25" r="495" customHeight="1" ht="15.75">
      <c r="A495" s="13" t="s">
        <v>91</v>
      </c>
      <c r="B495" s="13" t="s">
        <v>1491</v>
      </c>
      <c r="C495" s="32" t="s">
        <v>3310</v>
      </c>
      <c r="D495" s="33" t="s">
        <v>2844</v>
      </c>
      <c r="E495" s="33" t="s">
        <v>2919</v>
      </c>
      <c r="F495" s="33" t="s">
        <v>3115</v>
      </c>
      <c r="G495" s="33" t="s">
        <v>2969</v>
      </c>
      <c r="H495" s="33" t="s">
        <v>3165</v>
      </c>
      <c r="I495" s="33" t="s">
        <v>2971</v>
      </c>
    </row>
    <row x14ac:dyDescent="0.25" r="496" customHeight="1" ht="15.75">
      <c r="A496" s="13" t="s">
        <v>91</v>
      </c>
      <c r="B496" s="13" t="s">
        <v>161</v>
      </c>
      <c r="C496" s="32" t="s">
        <v>3104</v>
      </c>
      <c r="D496" s="33" t="s">
        <v>2980</v>
      </c>
      <c r="E496" s="33" t="s">
        <v>3050</v>
      </c>
      <c r="F496" s="33" t="s">
        <v>2858</v>
      </c>
      <c r="G496" s="33" t="s">
        <v>2942</v>
      </c>
      <c r="H496" s="33" t="s">
        <v>2888</v>
      </c>
      <c r="I496" s="33" t="s">
        <v>2856</v>
      </c>
    </row>
    <row x14ac:dyDescent="0.25" r="497" customHeight="1" ht="15.75">
      <c r="A497" s="13" t="s">
        <v>91</v>
      </c>
      <c r="B497" s="13" t="s">
        <v>1123</v>
      </c>
      <c r="C497" s="32" t="s">
        <v>3675</v>
      </c>
      <c r="D497" s="33" t="s">
        <v>3676</v>
      </c>
      <c r="E497" s="33" t="s">
        <v>3129</v>
      </c>
      <c r="F497" s="33" t="s">
        <v>2948</v>
      </c>
      <c r="G497" s="33" t="s">
        <v>2877</v>
      </c>
      <c r="H497" s="33" t="s">
        <v>3502</v>
      </c>
      <c r="I497" s="33" t="s">
        <v>2890</v>
      </c>
    </row>
    <row x14ac:dyDescent="0.25" r="498" customHeight="1" ht="15.75">
      <c r="A498" s="13" t="s">
        <v>91</v>
      </c>
      <c r="B498" s="13" t="s">
        <v>795</v>
      </c>
      <c r="C498" s="32" t="s">
        <v>3207</v>
      </c>
      <c r="D498" s="33" t="s">
        <v>3677</v>
      </c>
      <c r="E498" s="33" t="s">
        <v>3678</v>
      </c>
      <c r="F498" s="33" t="s">
        <v>3679</v>
      </c>
      <c r="G498" s="33" t="s">
        <v>3680</v>
      </c>
      <c r="H498" s="33" t="s">
        <v>3681</v>
      </c>
      <c r="I498" s="33" t="s">
        <v>3682</v>
      </c>
    </row>
    <row x14ac:dyDescent="0.25" r="499" customHeight="1" ht="15.75">
      <c r="A499" s="13" t="s">
        <v>91</v>
      </c>
      <c r="B499" s="13" t="s">
        <v>1864</v>
      </c>
      <c r="C499" s="32" t="s">
        <v>3557</v>
      </c>
      <c r="D499" s="33" t="s">
        <v>3621</v>
      </c>
      <c r="E499" s="33" t="s">
        <v>3683</v>
      </c>
      <c r="F499" s="33" t="s">
        <v>3684</v>
      </c>
      <c r="G499" s="33" t="s">
        <v>3685</v>
      </c>
      <c r="H499" s="33" t="s">
        <v>3340</v>
      </c>
      <c r="I499" s="33" t="s">
        <v>3491</v>
      </c>
    </row>
    <row x14ac:dyDescent="0.25" r="500" customHeight="1" ht="15.75">
      <c r="A500" s="13" t="s">
        <v>91</v>
      </c>
      <c r="B500" s="13" t="s">
        <v>2047</v>
      </c>
      <c r="C500" s="32" t="s">
        <v>3686</v>
      </c>
      <c r="D500" s="33" t="s">
        <v>3078</v>
      </c>
      <c r="E500" s="33" t="s">
        <v>3092</v>
      </c>
      <c r="F500" s="33" t="s">
        <v>3132</v>
      </c>
      <c r="G500" s="33" t="s">
        <v>3111</v>
      </c>
      <c r="H500" s="33" t="s">
        <v>2974</v>
      </c>
      <c r="I500" s="33" t="s">
        <v>3028</v>
      </c>
    </row>
    <row x14ac:dyDescent="0.25" r="501" customHeight="1" ht="15.75">
      <c r="A501" s="13" t="s">
        <v>91</v>
      </c>
      <c r="B501" s="13" t="s">
        <v>2641</v>
      </c>
      <c r="C501" s="32" t="s">
        <v>3687</v>
      </c>
      <c r="D501" s="33" t="s">
        <v>3688</v>
      </c>
      <c r="E501" s="33" t="s">
        <v>3689</v>
      </c>
      <c r="F501" s="33" t="s">
        <v>3690</v>
      </c>
      <c r="G501" s="33" t="s">
        <v>3691</v>
      </c>
      <c r="H501" s="33" t="s">
        <v>3692</v>
      </c>
      <c r="I501" s="33" t="s">
        <v>3693</v>
      </c>
    </row>
    <row x14ac:dyDescent="0.25" r="502" customHeight="1" ht="15.75">
      <c r="A502" s="13" t="s">
        <v>91</v>
      </c>
      <c r="B502" s="13" t="s">
        <v>596</v>
      </c>
      <c r="C502" s="32" t="s">
        <v>3139</v>
      </c>
      <c r="D502" s="33" t="s">
        <v>3186</v>
      </c>
      <c r="E502" s="33" t="s">
        <v>3301</v>
      </c>
      <c r="F502" s="33" t="s">
        <v>3021</v>
      </c>
      <c r="G502" s="33" t="s">
        <v>2842</v>
      </c>
      <c r="H502" s="33" t="s">
        <v>2965</v>
      </c>
      <c r="I502" s="33" t="s">
        <v>2966</v>
      </c>
    </row>
    <row x14ac:dyDescent="0.25" r="503" customHeight="1" ht="15.75">
      <c r="A503" s="13" t="s">
        <v>91</v>
      </c>
      <c r="B503" s="13" t="s">
        <v>738</v>
      </c>
      <c r="C503" s="32" t="s">
        <v>3694</v>
      </c>
      <c r="D503" s="33" t="s">
        <v>3695</v>
      </c>
      <c r="E503" s="33" t="s">
        <v>3696</v>
      </c>
      <c r="F503" s="33" t="s">
        <v>3697</v>
      </c>
      <c r="G503" s="33" t="s">
        <v>3698</v>
      </c>
      <c r="H503" s="33" t="s">
        <v>3699</v>
      </c>
      <c r="I503" s="33" t="s">
        <v>3105</v>
      </c>
    </row>
    <row x14ac:dyDescent="0.25" r="504" customHeight="1" ht="15.75">
      <c r="A504" s="13" t="s">
        <v>91</v>
      </c>
      <c r="B504" s="13" t="s">
        <v>748</v>
      </c>
      <c r="C504" s="32" t="s">
        <v>3700</v>
      </c>
      <c r="D504" s="33" t="s">
        <v>2829</v>
      </c>
      <c r="E504" s="33" t="s">
        <v>3655</v>
      </c>
      <c r="F504" s="33" t="s">
        <v>3036</v>
      </c>
      <c r="G504" s="33" t="s">
        <v>3010</v>
      </c>
      <c r="H504" s="33" t="s">
        <v>3132</v>
      </c>
      <c r="I504" s="33" t="s">
        <v>3048</v>
      </c>
    </row>
    <row x14ac:dyDescent="0.25" r="505" customHeight="1" ht="15.75">
      <c r="A505" s="13" t="s">
        <v>91</v>
      </c>
      <c r="B505" s="13" t="s">
        <v>444</v>
      </c>
      <c r="C505" s="32" t="s">
        <v>3701</v>
      </c>
      <c r="D505" s="33" t="s">
        <v>2914</v>
      </c>
      <c r="E505" s="33" t="s">
        <v>3193</v>
      </c>
      <c r="F505" s="33" t="s">
        <v>3136</v>
      </c>
      <c r="G505" s="33" t="s">
        <v>3156</v>
      </c>
      <c r="H505" s="33" t="s">
        <v>2848</v>
      </c>
      <c r="I505" s="33" t="s">
        <v>2843</v>
      </c>
    </row>
    <row x14ac:dyDescent="0.25" r="506" customHeight="1" ht="15.75">
      <c r="A506" s="13" t="s">
        <v>91</v>
      </c>
      <c r="B506" s="13" t="s">
        <v>1113</v>
      </c>
      <c r="C506" s="32" t="s">
        <v>3702</v>
      </c>
      <c r="D506" s="33" t="s">
        <v>3088</v>
      </c>
      <c r="E506" s="33" t="s">
        <v>3122</v>
      </c>
      <c r="F506" s="33" t="s">
        <v>2939</v>
      </c>
      <c r="G506" s="33" t="s">
        <v>3144</v>
      </c>
      <c r="H506" s="33" t="s">
        <v>3112</v>
      </c>
      <c r="I506" s="33" t="s">
        <v>3075</v>
      </c>
    </row>
    <row x14ac:dyDescent="0.25" r="507" customHeight="1" ht="15.75">
      <c r="A507" s="13" t="s">
        <v>91</v>
      </c>
      <c r="B507" s="13" t="s">
        <v>2438</v>
      </c>
      <c r="C507" s="32" t="s">
        <v>3703</v>
      </c>
      <c r="D507" s="33" t="s">
        <v>3045</v>
      </c>
      <c r="E507" s="33" t="s">
        <v>2975</v>
      </c>
      <c r="F507" s="33" t="s">
        <v>3078</v>
      </c>
      <c r="G507" s="33" t="s">
        <v>3091</v>
      </c>
      <c r="H507" s="33" t="s">
        <v>3147</v>
      </c>
      <c r="I507" s="33" t="s">
        <v>3214</v>
      </c>
    </row>
    <row x14ac:dyDescent="0.25" r="508" customHeight="1" ht="15.75">
      <c r="A508" s="13" t="s">
        <v>91</v>
      </c>
      <c r="B508" s="13" t="s">
        <v>2417</v>
      </c>
      <c r="C508" s="32" t="s">
        <v>3146</v>
      </c>
      <c r="D508" s="33" t="s">
        <v>3295</v>
      </c>
      <c r="E508" s="33" t="s">
        <v>3294</v>
      </c>
      <c r="F508" s="33" t="s">
        <v>2989</v>
      </c>
      <c r="G508" s="33" t="s">
        <v>3158</v>
      </c>
      <c r="H508" s="33" t="s">
        <v>3030</v>
      </c>
      <c r="I508" s="33" t="s">
        <v>3064</v>
      </c>
    </row>
    <row x14ac:dyDescent="0.25" r="509" customHeight="1" ht="15.75">
      <c r="A509" s="13" t="s">
        <v>91</v>
      </c>
      <c r="B509" s="13" t="s">
        <v>1943</v>
      </c>
      <c r="C509" s="32" t="s">
        <v>3153</v>
      </c>
      <c r="D509" s="33" t="s">
        <v>2891</v>
      </c>
      <c r="E509" s="33" t="s">
        <v>2979</v>
      </c>
      <c r="F509" s="33" t="s">
        <v>3052</v>
      </c>
      <c r="G509" s="33" t="s">
        <v>3216</v>
      </c>
      <c r="H509" s="33" t="s">
        <v>2893</v>
      </c>
      <c r="I509" s="33" t="s">
        <v>3141</v>
      </c>
    </row>
    <row x14ac:dyDescent="0.25" r="510" customHeight="1" ht="15.75">
      <c r="A510" s="13" t="s">
        <v>91</v>
      </c>
      <c r="B510" s="13" t="s">
        <v>1803</v>
      </c>
      <c r="C510" s="32" t="s">
        <v>3160</v>
      </c>
      <c r="D510" s="33" t="s">
        <v>3060</v>
      </c>
      <c r="E510" s="33" t="s">
        <v>2888</v>
      </c>
      <c r="F510" s="33" t="s">
        <v>2895</v>
      </c>
      <c r="G510" s="33" t="s">
        <v>3074</v>
      </c>
      <c r="H510" s="33" t="s">
        <v>2992</v>
      </c>
      <c r="I510" s="33" t="s">
        <v>2895</v>
      </c>
    </row>
    <row x14ac:dyDescent="0.25" r="511" customHeight="1" ht="15.75">
      <c r="A511" s="13" t="s">
        <v>91</v>
      </c>
      <c r="B511" s="13" t="s">
        <v>1908</v>
      </c>
      <c r="C511" s="32" t="s">
        <v>3704</v>
      </c>
      <c r="D511" s="33" t="s">
        <v>3705</v>
      </c>
      <c r="E511" s="33" t="s">
        <v>3007</v>
      </c>
      <c r="F511" s="33" t="s">
        <v>3518</v>
      </c>
      <c r="G511" s="33" t="s">
        <v>3027</v>
      </c>
      <c r="H511" s="33" t="s">
        <v>3082</v>
      </c>
      <c r="I511" s="33" t="s">
        <v>2865</v>
      </c>
    </row>
    <row x14ac:dyDescent="0.25" r="512" customHeight="1" ht="15.75">
      <c r="A512" s="13" t="s">
        <v>91</v>
      </c>
      <c r="B512" s="13" t="s">
        <v>92</v>
      </c>
      <c r="C512" s="32" t="s">
        <v>3706</v>
      </c>
      <c r="D512" s="33" t="s">
        <v>2981</v>
      </c>
      <c r="E512" s="33" t="s">
        <v>2843</v>
      </c>
      <c r="F512" s="33" t="s">
        <v>2991</v>
      </c>
      <c r="G512" s="33" t="s">
        <v>3216</v>
      </c>
      <c r="H512" s="33" t="s">
        <v>2970</v>
      </c>
      <c r="I512" s="33" t="s">
        <v>2970</v>
      </c>
    </row>
    <row x14ac:dyDescent="0.25" r="513" customHeight="1" ht="15.75">
      <c r="A513" s="13" t="s">
        <v>91</v>
      </c>
      <c r="B513" s="13" t="s">
        <v>2631</v>
      </c>
      <c r="C513" s="32" t="s">
        <v>3171</v>
      </c>
      <c r="D513" s="33" t="s">
        <v>3077</v>
      </c>
      <c r="E513" s="33" t="s">
        <v>2955</v>
      </c>
      <c r="F513" s="33" t="s">
        <v>3624</v>
      </c>
      <c r="G513" s="33" t="s">
        <v>3372</v>
      </c>
      <c r="H513" s="33" t="s">
        <v>3624</v>
      </c>
      <c r="I513" s="33" t="s">
        <v>3404</v>
      </c>
    </row>
    <row x14ac:dyDescent="0.25" r="514" customHeight="1" ht="15.75">
      <c r="A514" s="13" t="s">
        <v>91</v>
      </c>
      <c r="B514" s="13" t="s">
        <v>1166</v>
      </c>
      <c r="C514" s="32" t="s">
        <v>3567</v>
      </c>
      <c r="D514" s="33" t="s">
        <v>3707</v>
      </c>
      <c r="E514" s="33" t="s">
        <v>3708</v>
      </c>
      <c r="F514" s="33" t="s">
        <v>3709</v>
      </c>
      <c r="G514" s="33" t="s">
        <v>3710</v>
      </c>
      <c r="H514" s="33" t="s">
        <v>3711</v>
      </c>
      <c r="I514" s="33" t="s">
        <v>3305</v>
      </c>
    </row>
    <row x14ac:dyDescent="0.25" r="515" customHeight="1" ht="15.75">
      <c r="A515" s="13" t="s">
        <v>91</v>
      </c>
      <c r="B515" s="13" t="s">
        <v>976</v>
      </c>
      <c r="C515" s="32" t="s">
        <v>3712</v>
      </c>
      <c r="D515" s="33" t="s">
        <v>2913</v>
      </c>
      <c r="E515" s="33" t="s">
        <v>3124</v>
      </c>
      <c r="F515" s="33" t="s">
        <v>2844</v>
      </c>
      <c r="G515" s="33" t="s">
        <v>2895</v>
      </c>
      <c r="H515" s="33" t="s">
        <v>3203</v>
      </c>
      <c r="I515" s="33" t="s">
        <v>3203</v>
      </c>
    </row>
    <row x14ac:dyDescent="0.25" r="516" customHeight="1" ht="15.75">
      <c r="A516" s="13" t="s">
        <v>91</v>
      </c>
      <c r="B516" s="13" t="s">
        <v>2591</v>
      </c>
      <c r="C516" s="32" t="s">
        <v>3368</v>
      </c>
      <c r="D516" s="33" t="s">
        <v>3172</v>
      </c>
      <c r="E516" s="33" t="s">
        <v>3316</v>
      </c>
      <c r="F516" s="33" t="s">
        <v>3317</v>
      </c>
      <c r="G516" s="33" t="s">
        <v>2956</v>
      </c>
      <c r="H516" s="33" t="s">
        <v>2956</v>
      </c>
      <c r="I516" s="33" t="s">
        <v>3109</v>
      </c>
    </row>
    <row x14ac:dyDescent="0.25" r="517" customHeight="1" ht="15.75">
      <c r="A517" s="13" t="s">
        <v>126</v>
      </c>
      <c r="B517" s="13" t="s">
        <v>1195</v>
      </c>
      <c r="C517" s="32" t="s">
        <v>3713</v>
      </c>
      <c r="D517" s="33" t="s">
        <v>3436</v>
      </c>
      <c r="E517" s="33" t="s">
        <v>3569</v>
      </c>
      <c r="F517" s="33" t="s">
        <v>2877</v>
      </c>
      <c r="G517" s="33" t="s">
        <v>3026</v>
      </c>
      <c r="H517" s="33" t="s">
        <v>3127</v>
      </c>
      <c r="I517" s="33" t="s">
        <v>3028</v>
      </c>
    </row>
    <row x14ac:dyDescent="0.25" r="518" customHeight="1" ht="15.75">
      <c r="A518" s="13" t="s">
        <v>126</v>
      </c>
      <c r="B518" s="13" t="s">
        <v>1981</v>
      </c>
      <c r="C518" s="32" t="s">
        <v>3468</v>
      </c>
      <c r="D518" s="33" t="s">
        <v>3714</v>
      </c>
      <c r="E518" s="33" t="s">
        <v>3429</v>
      </c>
      <c r="F518" s="33" t="s">
        <v>3264</v>
      </c>
      <c r="G518" s="33" t="s">
        <v>3170</v>
      </c>
      <c r="H518" s="33" t="s">
        <v>3077</v>
      </c>
      <c r="I518" s="33" t="s">
        <v>3095</v>
      </c>
    </row>
    <row x14ac:dyDescent="0.25" r="519" customHeight="1" ht="15.75">
      <c r="A519" s="13" t="s">
        <v>126</v>
      </c>
      <c r="B519" s="13" t="s">
        <v>624</v>
      </c>
      <c r="C519" s="32" t="s">
        <v>3715</v>
      </c>
      <c r="D519" s="33" t="s">
        <v>3114</v>
      </c>
      <c r="E519" s="33" t="s">
        <v>3115</v>
      </c>
      <c r="F519" s="33" t="s">
        <v>2969</v>
      </c>
      <c r="G519" s="33" t="s">
        <v>2971</v>
      </c>
      <c r="H519" s="33" t="s">
        <v>2887</v>
      </c>
      <c r="I519" s="33" t="s">
        <v>2891</v>
      </c>
    </row>
    <row x14ac:dyDescent="0.25" r="520" customHeight="1" ht="15.75">
      <c r="A520" s="13" t="s">
        <v>126</v>
      </c>
      <c r="B520" s="13" t="s">
        <v>675</v>
      </c>
      <c r="C520" s="32" t="s">
        <v>3615</v>
      </c>
      <c r="D520" s="33" t="s">
        <v>2936</v>
      </c>
      <c r="E520" s="33" t="s">
        <v>3115</v>
      </c>
      <c r="F520" s="33" t="s">
        <v>2963</v>
      </c>
      <c r="G520" s="33" t="s">
        <v>2968</v>
      </c>
      <c r="H520" s="33" t="s">
        <v>3191</v>
      </c>
      <c r="I520" s="33" t="s">
        <v>3060</v>
      </c>
    </row>
    <row x14ac:dyDescent="0.25" r="521" customHeight="1" ht="15.75">
      <c r="A521" s="13" t="s">
        <v>126</v>
      </c>
      <c r="B521" s="13" t="s">
        <v>601</v>
      </c>
      <c r="C521" s="32" t="s">
        <v>3716</v>
      </c>
      <c r="D521" s="33" t="s">
        <v>3197</v>
      </c>
      <c r="E521" s="33" t="s">
        <v>3079</v>
      </c>
      <c r="F521" s="33" t="s">
        <v>2995</v>
      </c>
      <c r="G521" s="33" t="s">
        <v>2961</v>
      </c>
      <c r="H521" s="33" t="s">
        <v>3162</v>
      </c>
      <c r="I521" s="33" t="s">
        <v>3186</v>
      </c>
    </row>
    <row x14ac:dyDescent="0.25" r="522" customHeight="1" ht="15.75">
      <c r="A522" s="13" t="s">
        <v>126</v>
      </c>
      <c r="B522" s="13" t="s">
        <v>402</v>
      </c>
      <c r="C522" s="32" t="s">
        <v>3717</v>
      </c>
      <c r="D522" s="33" t="s">
        <v>3134</v>
      </c>
      <c r="E522" s="33" t="s">
        <v>3197</v>
      </c>
      <c r="F522" s="33" t="s">
        <v>3285</v>
      </c>
      <c r="G522" s="33" t="s">
        <v>3060</v>
      </c>
      <c r="H522" s="33" t="s">
        <v>3214</v>
      </c>
      <c r="I522" s="33" t="s">
        <v>2842</v>
      </c>
    </row>
    <row x14ac:dyDescent="0.25" r="523" customHeight="1" ht="15.75">
      <c r="A523" s="13" t="s">
        <v>126</v>
      </c>
      <c r="B523" s="13" t="s">
        <v>2003</v>
      </c>
      <c r="C523" s="32" t="s">
        <v>3619</v>
      </c>
      <c r="D523" s="33" t="s">
        <v>3684</v>
      </c>
      <c r="E523" s="33" t="s">
        <v>3498</v>
      </c>
      <c r="F523" s="33" t="s">
        <v>3430</v>
      </c>
      <c r="G523" s="33" t="s">
        <v>3422</v>
      </c>
      <c r="H523" s="33" t="s">
        <v>3569</v>
      </c>
      <c r="I523" s="33" t="s">
        <v>3382</v>
      </c>
    </row>
    <row x14ac:dyDescent="0.25" r="524" customHeight="1" ht="15.75">
      <c r="A524" s="13" t="s">
        <v>126</v>
      </c>
      <c r="B524" s="13" t="s">
        <v>900</v>
      </c>
      <c r="C524" s="32" t="s">
        <v>3718</v>
      </c>
      <c r="D524" s="33" t="s">
        <v>3191</v>
      </c>
      <c r="E524" s="33" t="s">
        <v>3184</v>
      </c>
      <c r="F524" s="33" t="s">
        <v>2900</v>
      </c>
      <c r="G524" s="33" t="s">
        <v>2933</v>
      </c>
      <c r="H524" s="33" t="s">
        <v>3115</v>
      </c>
      <c r="I524" s="33" t="s">
        <v>2990</v>
      </c>
    </row>
    <row x14ac:dyDescent="0.25" r="525" customHeight="1" ht="15.75">
      <c r="A525" s="13" t="s">
        <v>126</v>
      </c>
      <c r="B525" s="13" t="s">
        <v>407</v>
      </c>
      <c r="C525" s="32" t="s">
        <v>3397</v>
      </c>
      <c r="D525" s="33" t="s">
        <v>2920</v>
      </c>
      <c r="E525" s="33" t="s">
        <v>3023</v>
      </c>
      <c r="F525" s="33" t="s">
        <v>2844</v>
      </c>
      <c r="G525" s="33" t="s">
        <v>3301</v>
      </c>
      <c r="H525" s="33" t="s">
        <v>2887</v>
      </c>
      <c r="I525" s="33" t="s">
        <v>2895</v>
      </c>
    </row>
    <row x14ac:dyDescent="0.25" r="526" customHeight="1" ht="15.75">
      <c r="A526" s="13" t="s">
        <v>126</v>
      </c>
      <c r="B526" s="13" t="s">
        <v>575</v>
      </c>
      <c r="C526" s="32" t="s">
        <v>3719</v>
      </c>
      <c r="D526" s="33" t="s">
        <v>2963</v>
      </c>
      <c r="E526" s="33" t="s">
        <v>3100</v>
      </c>
      <c r="F526" s="33" t="s">
        <v>3018</v>
      </c>
      <c r="G526" s="33" t="s">
        <v>2992</v>
      </c>
      <c r="H526" s="33" t="s">
        <v>3175</v>
      </c>
      <c r="I526" s="33" t="s">
        <v>2890</v>
      </c>
    </row>
    <row x14ac:dyDescent="0.25" r="527" customHeight="1" ht="15.75">
      <c r="A527" s="13" t="s">
        <v>126</v>
      </c>
      <c r="B527" s="13" t="s">
        <v>1082</v>
      </c>
      <c r="C527" s="32" t="s">
        <v>3514</v>
      </c>
      <c r="D527" s="33" t="s">
        <v>3156</v>
      </c>
      <c r="E527" s="33" t="s">
        <v>3193</v>
      </c>
      <c r="F527" s="33" t="s">
        <v>2848</v>
      </c>
      <c r="G527" s="33" t="s">
        <v>3136</v>
      </c>
      <c r="H527" s="33" t="s">
        <v>2942</v>
      </c>
      <c r="I527" s="33" t="s">
        <v>3136</v>
      </c>
    </row>
    <row x14ac:dyDescent="0.25" r="528" customHeight="1" ht="15.75">
      <c r="A528" s="13" t="s">
        <v>126</v>
      </c>
      <c r="B528" s="13" t="s">
        <v>127</v>
      </c>
      <c r="C528" s="32" t="s">
        <v>3255</v>
      </c>
      <c r="D528" s="33" t="s">
        <v>2921</v>
      </c>
      <c r="E528" s="33" t="s">
        <v>3073</v>
      </c>
      <c r="F528" s="33" t="s">
        <v>2920</v>
      </c>
      <c r="G528" s="33" t="s">
        <v>2844</v>
      </c>
      <c r="H528" s="33" t="s">
        <v>2982</v>
      </c>
      <c r="I528" s="33" t="s">
        <v>3024</v>
      </c>
    </row>
    <row x14ac:dyDescent="0.25" r="529" customHeight="1" ht="15.75">
      <c r="A529" s="13" t="s">
        <v>126</v>
      </c>
      <c r="B529" s="13" t="s">
        <v>1638</v>
      </c>
      <c r="C529" s="32" t="s">
        <v>3720</v>
      </c>
      <c r="D529" s="33" t="s">
        <v>2891</v>
      </c>
      <c r="E529" s="33" t="s">
        <v>2893</v>
      </c>
      <c r="F529" s="33" t="s">
        <v>3152</v>
      </c>
      <c r="G529" s="33" t="s">
        <v>2991</v>
      </c>
      <c r="H529" s="33" t="s">
        <v>3024</v>
      </c>
      <c r="I529" s="33" t="s">
        <v>2843</v>
      </c>
    </row>
    <row x14ac:dyDescent="0.25" r="530" customHeight="1" ht="15.75">
      <c r="A530" s="13" t="s">
        <v>126</v>
      </c>
      <c r="B530" s="13" t="s">
        <v>1233</v>
      </c>
      <c r="C530" s="32" t="s">
        <v>2934</v>
      </c>
      <c r="D530" s="33" t="s">
        <v>2994</v>
      </c>
      <c r="E530" s="33" t="s">
        <v>3110</v>
      </c>
      <c r="F530" s="33" t="s">
        <v>3062</v>
      </c>
      <c r="G530" s="33" t="s">
        <v>3432</v>
      </c>
      <c r="H530" s="33" t="s">
        <v>2885</v>
      </c>
      <c r="I530" s="33" t="s">
        <v>3267</v>
      </c>
    </row>
    <row x14ac:dyDescent="0.25" r="531" customHeight="1" ht="15.75">
      <c r="A531" s="13" t="s">
        <v>126</v>
      </c>
      <c r="B531" s="13" t="s">
        <v>542</v>
      </c>
      <c r="C531" s="32" t="s">
        <v>2934</v>
      </c>
      <c r="D531" s="33" t="s">
        <v>2995</v>
      </c>
      <c r="E531" s="33" t="s">
        <v>3063</v>
      </c>
      <c r="F531" s="33" t="s">
        <v>3109</v>
      </c>
      <c r="G531" s="33" t="s">
        <v>3144</v>
      </c>
      <c r="H531" s="33" t="s">
        <v>3144</v>
      </c>
      <c r="I531" s="33" t="s">
        <v>3010</v>
      </c>
    </row>
    <row x14ac:dyDescent="0.25" r="532" customHeight="1" ht="15.75">
      <c r="A532" s="13" t="s">
        <v>126</v>
      </c>
      <c r="B532" s="13" t="s">
        <v>1609</v>
      </c>
      <c r="C532" s="32" t="s">
        <v>3516</v>
      </c>
      <c r="D532" s="33" t="s">
        <v>2931</v>
      </c>
      <c r="E532" s="33" t="s">
        <v>2959</v>
      </c>
      <c r="F532" s="33" t="s">
        <v>2961</v>
      </c>
      <c r="G532" s="33" t="s">
        <v>3209</v>
      </c>
      <c r="H532" s="33" t="s">
        <v>3029</v>
      </c>
      <c r="I532" s="33" t="s">
        <v>3285</v>
      </c>
    </row>
    <row x14ac:dyDescent="0.25" r="533" customHeight="1" ht="15.75">
      <c r="A533" s="13" t="s">
        <v>126</v>
      </c>
      <c r="B533" s="13" t="s">
        <v>1092</v>
      </c>
      <c r="C533" s="32" t="s">
        <v>3261</v>
      </c>
      <c r="D533" s="33" t="s">
        <v>3107</v>
      </c>
      <c r="E533" s="33" t="s">
        <v>3099</v>
      </c>
      <c r="F533" s="33" t="s">
        <v>3099</v>
      </c>
      <c r="G533" s="33" t="s">
        <v>3154</v>
      </c>
      <c r="H533" s="33" t="s">
        <v>3222</v>
      </c>
      <c r="I533" s="33" t="s">
        <v>2899</v>
      </c>
    </row>
    <row x14ac:dyDescent="0.25" r="534" customHeight="1" ht="15.75">
      <c r="A534" s="13" t="s">
        <v>126</v>
      </c>
      <c r="B534" s="13" t="s">
        <v>480</v>
      </c>
      <c r="C534" s="32" t="s">
        <v>3408</v>
      </c>
      <c r="D534" s="33" t="s">
        <v>3067</v>
      </c>
      <c r="E534" s="33" t="s">
        <v>2914</v>
      </c>
      <c r="F534" s="33" t="s">
        <v>2914</v>
      </c>
      <c r="G534" s="33" t="s">
        <v>2856</v>
      </c>
      <c r="H534" s="33" t="s">
        <v>2857</v>
      </c>
      <c r="I534" s="33" t="s">
        <v>2843</v>
      </c>
    </row>
    <row x14ac:dyDescent="0.25" r="535" customHeight="1" ht="15.75">
      <c r="A535" s="13" t="s">
        <v>126</v>
      </c>
      <c r="B535" s="13" t="s">
        <v>1146</v>
      </c>
      <c r="C535" s="32" t="s">
        <v>3266</v>
      </c>
      <c r="D535" s="33" t="s">
        <v>3721</v>
      </c>
      <c r="E535" s="33" t="s">
        <v>3722</v>
      </c>
      <c r="F535" s="33" t="s">
        <v>3482</v>
      </c>
      <c r="G535" s="33" t="s">
        <v>2973</v>
      </c>
      <c r="H535" s="33" t="s">
        <v>3605</v>
      </c>
      <c r="I535" s="33" t="s">
        <v>3110</v>
      </c>
    </row>
    <row x14ac:dyDescent="0.25" r="536" customHeight="1" ht="15.75">
      <c r="A536" s="13" t="s">
        <v>126</v>
      </c>
      <c r="B536" s="13" t="s">
        <v>873</v>
      </c>
      <c r="C536" s="32" t="s">
        <v>3415</v>
      </c>
      <c r="D536" s="33" t="s">
        <v>2962</v>
      </c>
      <c r="E536" s="33" t="s">
        <v>3114</v>
      </c>
      <c r="F536" s="33" t="s">
        <v>3140</v>
      </c>
      <c r="G536" s="33" t="s">
        <v>3124</v>
      </c>
      <c r="H536" s="33" t="s">
        <v>2889</v>
      </c>
      <c r="I536" s="33" t="s">
        <v>2891</v>
      </c>
    </row>
    <row x14ac:dyDescent="0.25" r="537" customHeight="1" ht="15.75">
      <c r="A537" s="13" t="s">
        <v>126</v>
      </c>
      <c r="B537" s="13" t="s">
        <v>1516</v>
      </c>
      <c r="C537" s="32" t="s">
        <v>3269</v>
      </c>
      <c r="D537" s="33" t="s">
        <v>3222</v>
      </c>
      <c r="E537" s="33" t="s">
        <v>3170</v>
      </c>
      <c r="F537" s="33" t="s">
        <v>3075</v>
      </c>
      <c r="G537" s="33" t="s">
        <v>3100</v>
      </c>
      <c r="H537" s="33" t="s">
        <v>3018</v>
      </c>
      <c r="I537" s="33" t="s">
        <v>3023</v>
      </c>
    </row>
    <row x14ac:dyDescent="0.25" r="538" customHeight="1" ht="15.75">
      <c r="A538" s="13" t="s">
        <v>126</v>
      </c>
      <c r="B538" s="13" t="s">
        <v>592</v>
      </c>
      <c r="C538" s="32" t="s">
        <v>2993</v>
      </c>
      <c r="D538" s="33" t="s">
        <v>3091</v>
      </c>
      <c r="E538" s="33" t="s">
        <v>2925</v>
      </c>
      <c r="F538" s="33" t="s">
        <v>3087</v>
      </c>
      <c r="G538" s="33" t="s">
        <v>2963</v>
      </c>
      <c r="H538" s="33" t="s">
        <v>3101</v>
      </c>
      <c r="I538" s="33" t="s">
        <v>3166</v>
      </c>
    </row>
    <row x14ac:dyDescent="0.25" r="539" customHeight="1" ht="15.75">
      <c r="A539" s="13" t="s">
        <v>126</v>
      </c>
      <c r="B539" s="13" t="s">
        <v>2181</v>
      </c>
      <c r="C539" s="32" t="s">
        <v>2993</v>
      </c>
      <c r="D539" s="33" t="s">
        <v>3060</v>
      </c>
      <c r="E539" s="33" t="s">
        <v>2940</v>
      </c>
      <c r="F539" s="33" t="s">
        <v>3074</v>
      </c>
      <c r="G539" s="33" t="s">
        <v>3073</v>
      </c>
      <c r="H539" s="33" t="s">
        <v>3166</v>
      </c>
      <c r="I539" s="33" t="s">
        <v>3075</v>
      </c>
    </row>
    <row x14ac:dyDescent="0.25" r="540" customHeight="1" ht="15.75">
      <c r="A540" s="13" t="s">
        <v>126</v>
      </c>
      <c r="B540" s="13" t="s">
        <v>2152</v>
      </c>
      <c r="C540" s="32" t="s">
        <v>3723</v>
      </c>
      <c r="D540" s="33" t="s">
        <v>3165</v>
      </c>
      <c r="E540" s="33" t="s">
        <v>2902</v>
      </c>
      <c r="F540" s="33" t="s">
        <v>2970</v>
      </c>
      <c r="G540" s="33" t="s">
        <v>3216</v>
      </c>
      <c r="H540" s="33" t="s">
        <v>2970</v>
      </c>
      <c r="I540" s="33" t="s">
        <v>2892</v>
      </c>
    </row>
    <row x14ac:dyDescent="0.25" r="541" customHeight="1" ht="15.75">
      <c r="A541" s="13" t="s">
        <v>126</v>
      </c>
      <c r="B541" s="13" t="s">
        <v>196</v>
      </c>
      <c r="C541" s="32" t="s">
        <v>3526</v>
      </c>
      <c r="D541" s="33" t="s">
        <v>3074</v>
      </c>
      <c r="E541" s="33" t="s">
        <v>3140</v>
      </c>
      <c r="F541" s="33" t="s">
        <v>2971</v>
      </c>
      <c r="G541" s="33" t="s">
        <v>3073</v>
      </c>
      <c r="H541" s="33" t="s">
        <v>2900</v>
      </c>
      <c r="I541" s="33" t="s">
        <v>2900</v>
      </c>
    </row>
    <row x14ac:dyDescent="0.25" r="542" customHeight="1" ht="15.75">
      <c r="A542" s="13" t="s">
        <v>126</v>
      </c>
      <c r="B542" s="13" t="s">
        <v>2162</v>
      </c>
      <c r="C542" s="32" t="s">
        <v>3277</v>
      </c>
      <c r="D542" s="33" t="s">
        <v>2930</v>
      </c>
      <c r="E542" s="33" t="s">
        <v>3184</v>
      </c>
      <c r="F542" s="33" t="s">
        <v>2959</v>
      </c>
      <c r="G542" s="33" t="s">
        <v>2963</v>
      </c>
      <c r="H542" s="33" t="s">
        <v>3187</v>
      </c>
      <c r="I542" s="33" t="s">
        <v>3159</v>
      </c>
    </row>
    <row x14ac:dyDescent="0.25" r="543" customHeight="1" ht="15.75">
      <c r="A543" s="13" t="s">
        <v>126</v>
      </c>
      <c r="B543" s="13" t="s">
        <v>932</v>
      </c>
      <c r="C543" s="32" t="s">
        <v>3013</v>
      </c>
      <c r="D543" s="33" t="s">
        <v>2882</v>
      </c>
      <c r="E543" s="33" t="s">
        <v>2898</v>
      </c>
      <c r="F543" s="33" t="s">
        <v>3073</v>
      </c>
      <c r="G543" s="33" t="s">
        <v>3018</v>
      </c>
      <c r="H543" s="33" t="s">
        <v>2968</v>
      </c>
      <c r="I543" s="33" t="s">
        <v>2844</v>
      </c>
    </row>
    <row x14ac:dyDescent="0.25" r="544" customHeight="1" ht="15.75">
      <c r="A544" s="13" t="s">
        <v>126</v>
      </c>
      <c r="B544" s="13" t="s">
        <v>1059</v>
      </c>
      <c r="C544" s="32" t="s">
        <v>3286</v>
      </c>
      <c r="D544" s="33" t="s">
        <v>3493</v>
      </c>
      <c r="E544" s="33" t="s">
        <v>2962</v>
      </c>
      <c r="F544" s="33" t="s">
        <v>3030</v>
      </c>
      <c r="G544" s="33" t="s">
        <v>2995</v>
      </c>
      <c r="H544" s="33" t="s">
        <v>3145</v>
      </c>
      <c r="I544" s="33" t="s">
        <v>2921</v>
      </c>
    </row>
    <row x14ac:dyDescent="0.25" r="545" customHeight="1" ht="15.75">
      <c r="A545" s="13" t="s">
        <v>126</v>
      </c>
      <c r="B545" s="13" t="s">
        <v>1406</v>
      </c>
      <c r="C545" s="32" t="s">
        <v>3194</v>
      </c>
      <c r="D545" s="33" t="s">
        <v>3095</v>
      </c>
      <c r="E545" s="33" t="s">
        <v>2935</v>
      </c>
      <c r="F545" s="33" t="s">
        <v>3031</v>
      </c>
      <c r="G545" s="33" t="s">
        <v>2926</v>
      </c>
      <c r="H545" s="33" t="s">
        <v>3030</v>
      </c>
      <c r="I545" s="33" t="s">
        <v>2927</v>
      </c>
    </row>
    <row x14ac:dyDescent="0.25" r="546" customHeight="1" ht="15.75">
      <c r="A546" s="13" t="s">
        <v>126</v>
      </c>
      <c r="B546" s="13" t="s">
        <v>1667</v>
      </c>
      <c r="C546" s="32" t="s">
        <v>3724</v>
      </c>
      <c r="D546" s="33" t="s">
        <v>2926</v>
      </c>
      <c r="E546" s="33" t="s">
        <v>3162</v>
      </c>
      <c r="F546" s="33" t="s">
        <v>2988</v>
      </c>
      <c r="G546" s="33" t="s">
        <v>2960</v>
      </c>
      <c r="H546" s="33" t="s">
        <v>2832</v>
      </c>
      <c r="I546" s="33" t="s">
        <v>3140</v>
      </c>
    </row>
    <row x14ac:dyDescent="0.25" r="547" customHeight="1" ht="15.75">
      <c r="A547" s="13" t="s">
        <v>126</v>
      </c>
      <c r="B547" s="13" t="s">
        <v>1563</v>
      </c>
      <c r="C547" s="32" t="s">
        <v>3032</v>
      </c>
      <c r="D547" s="33" t="s">
        <v>3131</v>
      </c>
      <c r="E547" s="33" t="s">
        <v>3186</v>
      </c>
      <c r="F547" s="33" t="s">
        <v>3112</v>
      </c>
      <c r="G547" s="33" t="s">
        <v>3012</v>
      </c>
      <c r="H547" s="33" t="s">
        <v>3201</v>
      </c>
      <c r="I547" s="33" t="s">
        <v>3112</v>
      </c>
    </row>
    <row x14ac:dyDescent="0.25" r="548" customHeight="1" ht="15.75">
      <c r="A548" s="13" t="s">
        <v>126</v>
      </c>
      <c r="B548" s="13" t="s">
        <v>978</v>
      </c>
      <c r="C548" s="32" t="s">
        <v>3039</v>
      </c>
      <c r="D548" s="33" t="s">
        <v>3027</v>
      </c>
      <c r="E548" s="33" t="s">
        <v>3343</v>
      </c>
      <c r="F548" s="33" t="s">
        <v>3070</v>
      </c>
      <c r="G548" s="33" t="s">
        <v>3272</v>
      </c>
      <c r="H548" s="33" t="s">
        <v>2973</v>
      </c>
      <c r="I548" s="33" t="s">
        <v>3009</v>
      </c>
    </row>
    <row x14ac:dyDescent="0.25" r="549" customHeight="1" ht="15.75">
      <c r="A549" s="13" t="s">
        <v>126</v>
      </c>
      <c r="B549" s="13" t="s">
        <v>1126</v>
      </c>
      <c r="C549" s="32" t="s">
        <v>3725</v>
      </c>
      <c r="D549" s="33" t="s">
        <v>2927</v>
      </c>
      <c r="E549" s="33" t="s">
        <v>3144</v>
      </c>
      <c r="F549" s="33" t="s">
        <v>2963</v>
      </c>
      <c r="G549" s="33" t="s">
        <v>3029</v>
      </c>
      <c r="H549" s="33" t="s">
        <v>3021</v>
      </c>
      <c r="I549" s="33" t="s">
        <v>2845</v>
      </c>
    </row>
    <row x14ac:dyDescent="0.25" r="550" customHeight="1" ht="15.75">
      <c r="A550" s="13" t="s">
        <v>126</v>
      </c>
      <c r="B550" s="13" t="s">
        <v>2036</v>
      </c>
      <c r="C550" s="32" t="s">
        <v>3293</v>
      </c>
      <c r="D550" s="33" t="s">
        <v>2927</v>
      </c>
      <c r="E550" s="33" t="s">
        <v>2959</v>
      </c>
      <c r="F550" s="33" t="s">
        <v>3031</v>
      </c>
      <c r="G550" s="33" t="s">
        <v>2842</v>
      </c>
      <c r="H550" s="33" t="s">
        <v>2832</v>
      </c>
      <c r="I550" s="33" t="s">
        <v>3033</v>
      </c>
    </row>
    <row x14ac:dyDescent="0.25" r="551" customHeight="1" ht="15.75">
      <c r="A551" s="13" t="s">
        <v>126</v>
      </c>
      <c r="B551" s="13" t="s">
        <v>2153</v>
      </c>
      <c r="C551" s="32" t="s">
        <v>3726</v>
      </c>
      <c r="D551" s="33" t="s">
        <v>3081</v>
      </c>
      <c r="E551" s="33" t="s">
        <v>3186</v>
      </c>
      <c r="F551" s="33" t="s">
        <v>3105</v>
      </c>
      <c r="G551" s="33" t="s">
        <v>3345</v>
      </c>
      <c r="H551" s="33" t="s">
        <v>3112</v>
      </c>
      <c r="I551" s="33" t="s">
        <v>3103</v>
      </c>
    </row>
    <row x14ac:dyDescent="0.25" r="552" customHeight="1" ht="15.75">
      <c r="A552" s="13" t="s">
        <v>126</v>
      </c>
      <c r="B552" s="13" t="s">
        <v>1276</v>
      </c>
      <c r="C552" s="32" t="s">
        <v>3727</v>
      </c>
      <c r="D552" s="33" t="s">
        <v>3425</v>
      </c>
      <c r="E552" s="33" t="s">
        <v>3144</v>
      </c>
      <c r="F552" s="33" t="s">
        <v>3134</v>
      </c>
      <c r="G552" s="33" t="s">
        <v>3184</v>
      </c>
      <c r="H552" s="33" t="s">
        <v>3075</v>
      </c>
      <c r="I552" s="33" t="s">
        <v>2940</v>
      </c>
    </row>
    <row x14ac:dyDescent="0.25" r="553" customHeight="1" ht="15.75">
      <c r="A553" s="13" t="s">
        <v>126</v>
      </c>
      <c r="B553" s="13" t="s">
        <v>2575</v>
      </c>
      <c r="C553" s="32" t="s">
        <v>3728</v>
      </c>
      <c r="D553" s="33" t="s">
        <v>2939</v>
      </c>
      <c r="E553" s="33" t="s">
        <v>3107</v>
      </c>
      <c r="F553" s="33" t="s">
        <v>2937</v>
      </c>
      <c r="G553" s="33" t="s">
        <v>3101</v>
      </c>
      <c r="H553" s="33" t="s">
        <v>3115</v>
      </c>
      <c r="I553" s="33" t="s">
        <v>3115</v>
      </c>
    </row>
    <row x14ac:dyDescent="0.25" r="554" customHeight="1" ht="15.75">
      <c r="A554" s="13" t="s">
        <v>126</v>
      </c>
      <c r="B554" s="13" t="s">
        <v>427</v>
      </c>
      <c r="C554" s="32" t="s">
        <v>3728</v>
      </c>
      <c r="D554" s="33" t="s">
        <v>3023</v>
      </c>
      <c r="E554" s="33" t="s">
        <v>2932</v>
      </c>
      <c r="F554" s="33" t="s">
        <v>2844</v>
      </c>
      <c r="G554" s="33" t="s">
        <v>3124</v>
      </c>
      <c r="H554" s="33" t="s">
        <v>2898</v>
      </c>
      <c r="I554" s="33" t="s">
        <v>3073</v>
      </c>
    </row>
    <row x14ac:dyDescent="0.25" r="555" customHeight="1" ht="15.75">
      <c r="A555" s="13" t="s">
        <v>126</v>
      </c>
      <c r="B555" s="13" t="s">
        <v>1945</v>
      </c>
      <c r="C555" s="32" t="s">
        <v>3729</v>
      </c>
      <c r="D555" s="33" t="s">
        <v>2844</v>
      </c>
      <c r="E555" s="33" t="s">
        <v>2969</v>
      </c>
      <c r="F555" s="33" t="s">
        <v>3175</v>
      </c>
      <c r="G555" s="33" t="s">
        <v>3141</v>
      </c>
      <c r="H555" s="33" t="s">
        <v>3053</v>
      </c>
      <c r="I555" s="33" t="s">
        <v>3141</v>
      </c>
    </row>
    <row x14ac:dyDescent="0.25" r="556" customHeight="1" ht="15.75">
      <c r="A556" s="13" t="s">
        <v>126</v>
      </c>
      <c r="B556" s="13" t="s">
        <v>1303</v>
      </c>
      <c r="C556" s="32" t="s">
        <v>3728</v>
      </c>
      <c r="D556" s="33" t="s">
        <v>3140</v>
      </c>
      <c r="E556" s="33" t="s">
        <v>3170</v>
      </c>
      <c r="F556" s="33" t="s">
        <v>2915</v>
      </c>
      <c r="G556" s="33" t="s">
        <v>3050</v>
      </c>
      <c r="H556" s="33" t="s">
        <v>2983</v>
      </c>
      <c r="I556" s="33" t="s">
        <v>2979</v>
      </c>
    </row>
    <row x14ac:dyDescent="0.25" r="557" customHeight="1" ht="15.75">
      <c r="A557" s="13" t="s">
        <v>126</v>
      </c>
      <c r="B557" s="13" t="s">
        <v>1213</v>
      </c>
      <c r="C557" s="32" t="s">
        <v>3065</v>
      </c>
      <c r="D557" s="33" t="s">
        <v>2942</v>
      </c>
      <c r="E557" s="33" t="s">
        <v>2888</v>
      </c>
      <c r="F557" s="33" t="s">
        <v>3137</v>
      </c>
      <c r="G557" s="33" t="s">
        <v>3136</v>
      </c>
      <c r="H557" s="33" t="s">
        <v>3137</v>
      </c>
      <c r="I557" s="33" t="s">
        <v>2888</v>
      </c>
    </row>
    <row x14ac:dyDescent="0.25" r="558" customHeight="1" ht="15.75">
      <c r="A558" s="13" t="s">
        <v>126</v>
      </c>
      <c r="B558" s="13" t="s">
        <v>720</v>
      </c>
      <c r="C558" s="32" t="s">
        <v>3426</v>
      </c>
      <c r="D558" s="33" t="s">
        <v>2963</v>
      </c>
      <c r="E558" s="33" t="s">
        <v>3058</v>
      </c>
      <c r="F558" s="33" t="s">
        <v>3021</v>
      </c>
      <c r="G558" s="33" t="s">
        <v>3074</v>
      </c>
      <c r="H558" s="33" t="s">
        <v>3024</v>
      </c>
      <c r="I558" s="33" t="s">
        <v>2895</v>
      </c>
    </row>
    <row x14ac:dyDescent="0.25" r="559" customHeight="1" ht="15.75">
      <c r="A559" s="13" t="s">
        <v>126</v>
      </c>
      <c r="B559" s="13" t="s">
        <v>695</v>
      </c>
      <c r="C559" s="32" t="s">
        <v>3427</v>
      </c>
      <c r="D559" s="33" t="s">
        <v>2856</v>
      </c>
      <c r="E559" s="33" t="s">
        <v>3052</v>
      </c>
      <c r="F559" s="33" t="s">
        <v>3156</v>
      </c>
      <c r="G559" s="33" t="s">
        <v>2980</v>
      </c>
      <c r="H559" s="33" t="s">
        <v>3050</v>
      </c>
      <c r="I559" s="33" t="s">
        <v>2845</v>
      </c>
    </row>
    <row x14ac:dyDescent="0.25" r="560" customHeight="1" ht="15.75">
      <c r="A560" s="13" t="s">
        <v>126</v>
      </c>
      <c r="B560" s="13" t="s">
        <v>1635</v>
      </c>
      <c r="C560" s="32" t="s">
        <v>3730</v>
      </c>
      <c r="D560" s="33" t="s">
        <v>3042</v>
      </c>
      <c r="E560" s="33" t="s">
        <v>2977</v>
      </c>
      <c r="F560" s="33" t="s">
        <v>3317</v>
      </c>
      <c r="G560" s="33" t="s">
        <v>3271</v>
      </c>
      <c r="H560" s="33" t="s">
        <v>3048</v>
      </c>
      <c r="I560" s="33" t="s">
        <v>3241</v>
      </c>
    </row>
    <row x14ac:dyDescent="0.25" r="561" customHeight="1" ht="15.75">
      <c r="A561" s="13" t="s">
        <v>126</v>
      </c>
      <c r="B561" s="13" t="s">
        <v>1206</v>
      </c>
      <c r="C561" s="32" t="s">
        <v>3083</v>
      </c>
      <c r="D561" s="33" t="s">
        <v>3145</v>
      </c>
      <c r="E561" s="33" t="s">
        <v>2836</v>
      </c>
      <c r="F561" s="33" t="s">
        <v>3086</v>
      </c>
      <c r="G561" s="33" t="s">
        <v>3079</v>
      </c>
      <c r="H561" s="33" t="s">
        <v>2882</v>
      </c>
      <c r="I561" s="33" t="s">
        <v>3112</v>
      </c>
    </row>
    <row x14ac:dyDescent="0.25" r="562" customHeight="1" ht="15.75">
      <c r="A562" s="13" t="s">
        <v>126</v>
      </c>
      <c r="B562" s="13" t="s">
        <v>1510</v>
      </c>
      <c r="C562" s="32" t="s">
        <v>3089</v>
      </c>
      <c r="D562" s="33" t="s">
        <v>3634</v>
      </c>
      <c r="E562" s="33" t="s">
        <v>3633</v>
      </c>
      <c r="F562" s="33" t="s">
        <v>3731</v>
      </c>
      <c r="G562" s="33" t="s">
        <v>3367</v>
      </c>
      <c r="H562" s="33" t="s">
        <v>3248</v>
      </c>
      <c r="I562" s="33" t="s">
        <v>3003</v>
      </c>
    </row>
    <row x14ac:dyDescent="0.25" r="563" customHeight="1" ht="15.75">
      <c r="A563" s="13" t="s">
        <v>126</v>
      </c>
      <c r="B563" s="13" t="s">
        <v>1584</v>
      </c>
      <c r="C563" s="32" t="s">
        <v>3732</v>
      </c>
      <c r="D563" s="33" t="s">
        <v>3482</v>
      </c>
      <c r="E563" s="33" t="s">
        <v>2977</v>
      </c>
      <c r="F563" s="33" t="s">
        <v>3319</v>
      </c>
      <c r="G563" s="33" t="s">
        <v>3569</v>
      </c>
      <c r="H563" s="33" t="s">
        <v>3110</v>
      </c>
      <c r="I563" s="33" t="s">
        <v>2976</v>
      </c>
    </row>
    <row x14ac:dyDescent="0.25" r="564" customHeight="1" ht="15.75">
      <c r="A564" s="13" t="s">
        <v>126</v>
      </c>
      <c r="B564" s="13" t="s">
        <v>1946</v>
      </c>
      <c r="C564" s="32" t="s">
        <v>3732</v>
      </c>
      <c r="D564" s="33" t="s">
        <v>3212</v>
      </c>
      <c r="E564" s="33" t="s">
        <v>3043</v>
      </c>
      <c r="F564" s="33" t="s">
        <v>2955</v>
      </c>
      <c r="G564" s="33" t="s">
        <v>3265</v>
      </c>
      <c r="H564" s="33" t="s">
        <v>3501</v>
      </c>
      <c r="I564" s="33" t="s">
        <v>3271</v>
      </c>
    </row>
    <row x14ac:dyDescent="0.25" r="565" customHeight="1" ht="15.75">
      <c r="A565" s="13" t="s">
        <v>126</v>
      </c>
      <c r="B565" s="13" t="s">
        <v>1692</v>
      </c>
      <c r="C565" s="32" t="s">
        <v>3308</v>
      </c>
      <c r="D565" s="33" t="s">
        <v>3172</v>
      </c>
      <c r="E565" s="33" t="s">
        <v>3011</v>
      </c>
      <c r="F565" s="33" t="s">
        <v>2948</v>
      </c>
      <c r="G565" s="33" t="s">
        <v>3158</v>
      </c>
      <c r="H565" s="33" t="s">
        <v>2917</v>
      </c>
      <c r="I565" s="33" t="s">
        <v>3043</v>
      </c>
    </row>
    <row x14ac:dyDescent="0.25" r="566" customHeight="1" ht="15.75">
      <c r="A566" s="13" t="s">
        <v>126</v>
      </c>
      <c r="B566" s="13" t="s">
        <v>2634</v>
      </c>
      <c r="C566" s="32" t="s">
        <v>3733</v>
      </c>
      <c r="D566" s="33" t="s">
        <v>3156</v>
      </c>
      <c r="E566" s="33" t="s">
        <v>3353</v>
      </c>
      <c r="F566" s="33" t="s">
        <v>3353</v>
      </c>
      <c r="G566" s="33" t="s">
        <v>3136</v>
      </c>
      <c r="H566" s="33" t="s">
        <v>3353</v>
      </c>
      <c r="I566" s="33" t="s">
        <v>3353</v>
      </c>
    </row>
    <row x14ac:dyDescent="0.25" r="567" customHeight="1" ht="15.75">
      <c r="A567" s="13" t="s">
        <v>126</v>
      </c>
      <c r="B567" s="13" t="s">
        <v>2304</v>
      </c>
      <c r="C567" s="32" t="s">
        <v>3090</v>
      </c>
      <c r="D567" s="33" t="s">
        <v>3114</v>
      </c>
      <c r="E567" s="33" t="s">
        <v>3203</v>
      </c>
      <c r="F567" s="33" t="s">
        <v>3124</v>
      </c>
      <c r="G567" s="33" t="s">
        <v>2887</v>
      </c>
      <c r="H567" s="33" t="s">
        <v>3073</v>
      </c>
      <c r="I567" s="33" t="s">
        <v>2891</v>
      </c>
    </row>
    <row x14ac:dyDescent="0.25" r="568" customHeight="1" ht="15.75">
      <c r="A568" s="13" t="s">
        <v>126</v>
      </c>
      <c r="B568" s="13" t="s">
        <v>2442</v>
      </c>
      <c r="C568" s="32" t="s">
        <v>3205</v>
      </c>
      <c r="D568" s="33" t="s">
        <v>3134</v>
      </c>
      <c r="E568" s="33" t="s">
        <v>2832</v>
      </c>
      <c r="F568" s="33" t="s">
        <v>3134</v>
      </c>
      <c r="G568" s="33" t="s">
        <v>2961</v>
      </c>
      <c r="H568" s="33" t="s">
        <v>2961</v>
      </c>
      <c r="I568" s="33" t="s">
        <v>2832</v>
      </c>
    </row>
    <row x14ac:dyDescent="0.25" r="569" customHeight="1" ht="15.75">
      <c r="A569" s="13" t="s">
        <v>126</v>
      </c>
      <c r="B569" s="13" t="s">
        <v>902</v>
      </c>
      <c r="C569" s="32" t="s">
        <v>3121</v>
      </c>
      <c r="D569" s="33" t="s">
        <v>2938</v>
      </c>
      <c r="E569" s="33" t="s">
        <v>2937</v>
      </c>
      <c r="F569" s="33" t="s">
        <v>3088</v>
      </c>
      <c r="G569" s="33" t="s">
        <v>3187</v>
      </c>
      <c r="H569" s="33" t="s">
        <v>2917</v>
      </c>
      <c r="I569" s="33" t="s">
        <v>2925</v>
      </c>
    </row>
    <row x14ac:dyDescent="0.25" r="570" customHeight="1" ht="15.75">
      <c r="A570" s="13" t="s">
        <v>126</v>
      </c>
      <c r="B570" s="13" t="s">
        <v>2555</v>
      </c>
      <c r="C570" s="32" t="s">
        <v>3734</v>
      </c>
      <c r="D570" s="33" t="s">
        <v>3168</v>
      </c>
      <c r="E570" s="33" t="s">
        <v>3067</v>
      </c>
      <c r="F570" s="33" t="s">
        <v>2918</v>
      </c>
      <c r="G570" s="33" t="s">
        <v>2990</v>
      </c>
      <c r="H570" s="33" t="s">
        <v>2990</v>
      </c>
      <c r="I570" s="33" t="s">
        <v>2899</v>
      </c>
    </row>
    <row x14ac:dyDescent="0.25" r="571" customHeight="1" ht="15.75">
      <c r="A571" s="13" t="s">
        <v>126</v>
      </c>
      <c r="B571" s="13" t="s">
        <v>2134</v>
      </c>
      <c r="C571" s="32" t="s">
        <v>3322</v>
      </c>
      <c r="D571" s="33" t="s">
        <v>3735</v>
      </c>
      <c r="E571" s="33" t="s">
        <v>2954</v>
      </c>
      <c r="F571" s="33" t="s">
        <v>2954</v>
      </c>
      <c r="G571" s="33" t="s">
        <v>3422</v>
      </c>
      <c r="H571" s="33" t="s">
        <v>2954</v>
      </c>
      <c r="I571" s="33" t="s">
        <v>3048</v>
      </c>
    </row>
    <row x14ac:dyDescent="0.25" r="572" customHeight="1" ht="15.75">
      <c r="A572" s="13" t="s">
        <v>126</v>
      </c>
      <c r="B572" s="13" t="s">
        <v>2685</v>
      </c>
      <c r="C572" s="32" t="s">
        <v>3440</v>
      </c>
      <c r="D572" s="33" t="s">
        <v>3353</v>
      </c>
      <c r="E572" s="33" t="s">
        <v>2850</v>
      </c>
      <c r="F572" s="33" t="s">
        <v>2849</v>
      </c>
      <c r="G572" s="33" t="s">
        <v>2847</v>
      </c>
      <c r="H572" s="33" t="s">
        <v>2950</v>
      </c>
      <c r="I572" s="33" t="s">
        <v>2950</v>
      </c>
    </row>
    <row x14ac:dyDescent="0.25" r="573" customHeight="1" ht="15.75">
      <c r="A573" s="13" t="s">
        <v>126</v>
      </c>
      <c r="B573" s="13" t="s">
        <v>1953</v>
      </c>
      <c r="C573" s="32" t="s">
        <v>3558</v>
      </c>
      <c r="D573" s="33" t="s">
        <v>2940</v>
      </c>
      <c r="E573" s="33" t="s">
        <v>2842</v>
      </c>
      <c r="F573" s="33" t="s">
        <v>3033</v>
      </c>
      <c r="G573" s="33" t="s">
        <v>2891</v>
      </c>
      <c r="H573" s="33" t="s">
        <v>2940</v>
      </c>
      <c r="I573" s="33" t="s">
        <v>2963</v>
      </c>
    </row>
    <row x14ac:dyDescent="0.25" r="574" customHeight="1" ht="15.75">
      <c r="A574" s="13" t="s">
        <v>126</v>
      </c>
      <c r="B574" s="13" t="s">
        <v>1966</v>
      </c>
      <c r="C574" s="32" t="s">
        <v>3559</v>
      </c>
      <c r="D574" s="33" t="s">
        <v>3736</v>
      </c>
      <c r="E574" s="33" t="s">
        <v>3621</v>
      </c>
      <c r="F574" s="33" t="s">
        <v>3646</v>
      </c>
      <c r="G574" s="33" t="s">
        <v>3737</v>
      </c>
      <c r="H574" s="33" t="s">
        <v>3738</v>
      </c>
      <c r="I574" s="33" t="s">
        <v>3364</v>
      </c>
    </row>
    <row x14ac:dyDescent="0.25" r="575" customHeight="1" ht="15.75">
      <c r="A575" s="13" t="s">
        <v>126</v>
      </c>
      <c r="B575" s="13" t="s">
        <v>1768</v>
      </c>
      <c r="C575" s="32" t="s">
        <v>3739</v>
      </c>
      <c r="D575" s="33" t="s">
        <v>3490</v>
      </c>
      <c r="E575" s="33" t="s">
        <v>3497</v>
      </c>
      <c r="F575" s="33" t="s">
        <v>3429</v>
      </c>
      <c r="G575" s="33" t="s">
        <v>2949</v>
      </c>
      <c r="H575" s="33" t="s">
        <v>2948</v>
      </c>
      <c r="I575" s="33" t="s">
        <v>3669</v>
      </c>
    </row>
    <row x14ac:dyDescent="0.25" r="576" customHeight="1" ht="15.75">
      <c r="A576" s="13" t="s">
        <v>126</v>
      </c>
      <c r="B576" s="13" t="s">
        <v>1839</v>
      </c>
      <c r="C576" s="32" t="s">
        <v>3740</v>
      </c>
      <c r="D576" s="33" t="s">
        <v>3518</v>
      </c>
      <c r="E576" s="33" t="s">
        <v>3311</v>
      </c>
      <c r="F576" s="33" t="s">
        <v>3265</v>
      </c>
      <c r="G576" s="33" t="s">
        <v>3273</v>
      </c>
      <c r="H576" s="33" t="s">
        <v>3110</v>
      </c>
      <c r="I576" s="33" t="s">
        <v>3373</v>
      </c>
    </row>
    <row x14ac:dyDescent="0.25" r="577" customHeight="1" ht="15.75">
      <c r="A577" s="13" t="s">
        <v>126</v>
      </c>
      <c r="B577" s="13" t="s">
        <v>1150</v>
      </c>
      <c r="C577" s="32" t="s">
        <v>3741</v>
      </c>
      <c r="D577" s="33" t="s">
        <v>3276</v>
      </c>
      <c r="E577" s="33" t="s">
        <v>3152</v>
      </c>
      <c r="F577" s="33" t="s">
        <v>3179</v>
      </c>
      <c r="G577" s="33" t="s">
        <v>3055</v>
      </c>
      <c r="H577" s="33" t="s">
        <v>3056</v>
      </c>
      <c r="I577" s="33" t="s">
        <v>3056</v>
      </c>
    </row>
    <row x14ac:dyDescent="0.25" r="578" customHeight="1" ht="15.75">
      <c r="A578" s="13" t="s">
        <v>126</v>
      </c>
      <c r="B578" s="13" t="s">
        <v>2391</v>
      </c>
      <c r="C578" s="32" t="s">
        <v>3442</v>
      </c>
      <c r="D578" s="33" t="s">
        <v>3079</v>
      </c>
      <c r="E578" s="33" t="s">
        <v>2842</v>
      </c>
      <c r="F578" s="33" t="s">
        <v>3144</v>
      </c>
      <c r="G578" s="33" t="s">
        <v>2919</v>
      </c>
      <c r="H578" s="33" t="s">
        <v>3191</v>
      </c>
      <c r="I578" s="33" t="s">
        <v>2842</v>
      </c>
    </row>
    <row x14ac:dyDescent="0.25" r="579" customHeight="1" ht="15.75">
      <c r="A579" s="13" t="s">
        <v>126</v>
      </c>
      <c r="B579" s="13" t="s">
        <v>1560</v>
      </c>
      <c r="C579" s="32" t="s">
        <v>3335</v>
      </c>
      <c r="D579" s="33" t="s">
        <v>2903</v>
      </c>
      <c r="E579" s="33" t="s">
        <v>3353</v>
      </c>
      <c r="F579" s="33" t="s">
        <v>2902</v>
      </c>
      <c r="G579" s="33" t="s">
        <v>3353</v>
      </c>
      <c r="H579" s="33" t="s">
        <v>2903</v>
      </c>
      <c r="I579" s="33" t="s">
        <v>3353</v>
      </c>
    </row>
    <row x14ac:dyDescent="0.25" r="580" customHeight="1" ht="15.75">
      <c r="A580" s="13" t="s">
        <v>126</v>
      </c>
      <c r="B580" s="13" t="s">
        <v>2349</v>
      </c>
      <c r="C580" s="32" t="s">
        <v>3703</v>
      </c>
      <c r="D580" s="33" t="s">
        <v>3333</v>
      </c>
      <c r="E580" s="33" t="s">
        <v>2872</v>
      </c>
      <c r="F580" s="33" t="s">
        <v>3313</v>
      </c>
      <c r="G580" s="33" t="s">
        <v>3110</v>
      </c>
      <c r="H580" s="33" t="s">
        <v>3388</v>
      </c>
      <c r="I580" s="33" t="s">
        <v>3172</v>
      </c>
    </row>
    <row x14ac:dyDescent="0.25" r="581" customHeight="1" ht="15.75">
      <c r="A581" s="13" t="s">
        <v>126</v>
      </c>
      <c r="B581" s="13" t="s">
        <v>982</v>
      </c>
      <c r="C581" s="32" t="s">
        <v>3443</v>
      </c>
      <c r="D581" s="33" t="s">
        <v>3077</v>
      </c>
      <c r="E581" s="33" t="s">
        <v>3163</v>
      </c>
      <c r="F581" s="33" t="s">
        <v>3296</v>
      </c>
      <c r="G581" s="33" t="s">
        <v>3184</v>
      </c>
      <c r="H581" s="33" t="s">
        <v>3214</v>
      </c>
      <c r="I581" s="33" t="s">
        <v>2845</v>
      </c>
    </row>
    <row x14ac:dyDescent="0.25" r="582" customHeight="1" ht="15.75">
      <c r="A582" s="13" t="s">
        <v>126</v>
      </c>
      <c r="B582" s="13" t="s">
        <v>2478</v>
      </c>
      <c r="C582" s="32" t="s">
        <v>3742</v>
      </c>
      <c r="D582" s="33" t="s">
        <v>2931</v>
      </c>
      <c r="E582" s="33" t="s">
        <v>2995</v>
      </c>
      <c r="F582" s="33" t="s">
        <v>3214</v>
      </c>
      <c r="G582" s="33" t="s">
        <v>3029</v>
      </c>
      <c r="H582" s="33" t="s">
        <v>3086</v>
      </c>
      <c r="I582" s="33" t="s">
        <v>2919</v>
      </c>
    </row>
    <row x14ac:dyDescent="0.25" r="583" customHeight="1" ht="15.75">
      <c r="A583" s="13" t="s">
        <v>126</v>
      </c>
      <c r="B583" s="13" t="s">
        <v>1805</v>
      </c>
      <c r="C583" s="32" t="s">
        <v>3743</v>
      </c>
      <c r="D583" s="33" t="s">
        <v>2957</v>
      </c>
      <c r="E583" s="33" t="s">
        <v>3046</v>
      </c>
      <c r="F583" s="33" t="s">
        <v>3099</v>
      </c>
      <c r="G583" s="33" t="s">
        <v>2836</v>
      </c>
      <c r="H583" s="33" t="s">
        <v>3063</v>
      </c>
      <c r="I583" s="33" t="s">
        <v>3203</v>
      </c>
    </row>
    <row x14ac:dyDescent="0.25" r="584" customHeight="1" ht="15.75">
      <c r="A584" s="13" t="s">
        <v>126</v>
      </c>
      <c r="B584" s="13" t="s">
        <v>1892</v>
      </c>
      <c r="C584" s="32" t="s">
        <v>3446</v>
      </c>
      <c r="D584" s="33" t="s">
        <v>3162</v>
      </c>
      <c r="E584" s="33" t="s">
        <v>3144</v>
      </c>
      <c r="F584" s="33" t="s">
        <v>2995</v>
      </c>
      <c r="G584" s="33" t="s">
        <v>3296</v>
      </c>
      <c r="H584" s="33" t="s">
        <v>3214</v>
      </c>
      <c r="I584" s="33" t="s">
        <v>2960</v>
      </c>
    </row>
    <row x14ac:dyDescent="0.25" r="585" customHeight="1" ht="15.75">
      <c r="A585" s="13" t="s">
        <v>126</v>
      </c>
      <c r="B585" s="13" t="s">
        <v>1847</v>
      </c>
      <c r="C585" s="32" t="s">
        <v>3744</v>
      </c>
      <c r="D585" s="33" t="s">
        <v>3103</v>
      </c>
      <c r="E585" s="33" t="s">
        <v>3191</v>
      </c>
      <c r="F585" s="33" t="s">
        <v>3086</v>
      </c>
      <c r="G585" s="33" t="s">
        <v>3063</v>
      </c>
      <c r="H585" s="33" t="s">
        <v>2963</v>
      </c>
      <c r="I585" s="33" t="s">
        <v>2937</v>
      </c>
    </row>
    <row x14ac:dyDescent="0.25" r="586" customHeight="1" ht="15.75">
      <c r="A586" s="13" t="s">
        <v>126</v>
      </c>
      <c r="B586" s="13" t="s">
        <v>2348</v>
      </c>
      <c r="C586" s="32" t="s">
        <v>3745</v>
      </c>
      <c r="D586" s="33" t="s">
        <v>3154</v>
      </c>
      <c r="E586" s="33" t="s">
        <v>3114</v>
      </c>
      <c r="F586" s="33" t="s">
        <v>2940</v>
      </c>
      <c r="G586" s="33" t="s">
        <v>3196</v>
      </c>
      <c r="H586" s="33" t="s">
        <v>3196</v>
      </c>
      <c r="I586" s="33" t="s">
        <v>2932</v>
      </c>
    </row>
    <row x14ac:dyDescent="0.25" r="587" customHeight="1" ht="15.75">
      <c r="A587" s="13" t="s">
        <v>126</v>
      </c>
      <c r="B587" s="13" t="s">
        <v>2697</v>
      </c>
      <c r="C587" s="32" t="s">
        <v>3746</v>
      </c>
      <c r="D587" s="33" t="s">
        <v>3062</v>
      </c>
      <c r="E587" s="33" t="s">
        <v>2929</v>
      </c>
      <c r="F587" s="33" t="s">
        <v>3241</v>
      </c>
      <c r="G587" s="33" t="s">
        <v>3317</v>
      </c>
      <c r="H587" s="33" t="s">
        <v>3317</v>
      </c>
      <c r="I587" s="33" t="s">
        <v>3037</v>
      </c>
    </row>
    <row x14ac:dyDescent="0.25" r="588" customHeight="1" ht="15.75">
      <c r="A588" s="13" t="s">
        <v>126</v>
      </c>
      <c r="B588" s="13" t="s">
        <v>622</v>
      </c>
      <c r="C588" s="32" t="s">
        <v>3747</v>
      </c>
      <c r="D588" s="33" t="s">
        <v>2927</v>
      </c>
      <c r="E588" s="33" t="s">
        <v>2930</v>
      </c>
      <c r="F588" s="33" t="s">
        <v>3031</v>
      </c>
      <c r="G588" s="33" t="s">
        <v>3031</v>
      </c>
      <c r="H588" s="33" t="s">
        <v>3201</v>
      </c>
      <c r="I588" s="33" t="s">
        <v>3186</v>
      </c>
    </row>
    <row x14ac:dyDescent="0.25" r="589" customHeight="1" ht="15.75">
      <c r="A589" s="13" t="s">
        <v>126</v>
      </c>
      <c r="B589" s="13" t="s">
        <v>2654</v>
      </c>
      <c r="C589" s="32" t="s">
        <v>3375</v>
      </c>
      <c r="D589" s="33" t="s">
        <v>3138</v>
      </c>
      <c r="E589" s="33" t="s">
        <v>2858</v>
      </c>
      <c r="F589" s="33" t="s">
        <v>2858</v>
      </c>
      <c r="G589" s="33" t="s">
        <v>2858</v>
      </c>
      <c r="H589" s="33" t="s">
        <v>2848</v>
      </c>
      <c r="I589" s="33" t="s">
        <v>3136</v>
      </c>
    </row>
    <row x14ac:dyDescent="0.25" r="590" customHeight="1" ht="15.75">
      <c r="A590" s="13" t="s">
        <v>103</v>
      </c>
      <c r="B590" s="13" t="s">
        <v>330</v>
      </c>
      <c r="C590" s="32" t="s">
        <v>3748</v>
      </c>
      <c r="D590" s="33" t="s">
        <v>2850</v>
      </c>
      <c r="E590" s="33" t="s">
        <v>3305</v>
      </c>
      <c r="F590" s="33" t="s">
        <v>3036</v>
      </c>
      <c r="G590" s="33" t="s">
        <v>2923</v>
      </c>
      <c r="H590" s="33" t="s">
        <v>2987</v>
      </c>
      <c r="I590" s="33" t="s">
        <v>2843</v>
      </c>
    </row>
    <row x14ac:dyDescent="0.25" r="591" customHeight="1" ht="15.75">
      <c r="A591" s="13" t="s">
        <v>103</v>
      </c>
      <c r="B591" s="13" t="s">
        <v>274</v>
      </c>
      <c r="C591" s="32" t="s">
        <v>3749</v>
      </c>
      <c r="D591" s="33" t="s">
        <v>2849</v>
      </c>
      <c r="E591" s="33" t="s">
        <v>2845</v>
      </c>
      <c r="F591" s="33" t="s">
        <v>2890</v>
      </c>
      <c r="G591" s="33" t="s">
        <v>2843</v>
      </c>
      <c r="H591" s="33" t="s">
        <v>2843</v>
      </c>
      <c r="I591" s="33" t="s">
        <v>2843</v>
      </c>
    </row>
    <row x14ac:dyDescent="0.25" r="592" customHeight="1" ht="15.75">
      <c r="A592" s="13" t="s">
        <v>103</v>
      </c>
      <c r="B592" s="13" t="s">
        <v>211</v>
      </c>
      <c r="C592" s="32" t="s">
        <v>3750</v>
      </c>
      <c r="D592" s="33" t="s">
        <v>2998</v>
      </c>
      <c r="E592" s="33" t="s">
        <v>2943</v>
      </c>
      <c r="F592" s="33" t="s">
        <v>3137</v>
      </c>
      <c r="G592" s="33" t="s">
        <v>2852</v>
      </c>
      <c r="H592" s="33" t="s">
        <v>3051</v>
      </c>
      <c r="I592" s="33" t="s">
        <v>2843</v>
      </c>
    </row>
    <row x14ac:dyDescent="0.25" r="593" customHeight="1" ht="15.75">
      <c r="A593" s="13" t="s">
        <v>103</v>
      </c>
      <c r="B593" s="13" t="s">
        <v>157</v>
      </c>
      <c r="C593" s="32" t="s">
        <v>3751</v>
      </c>
      <c r="D593" s="33" t="s">
        <v>2942</v>
      </c>
      <c r="E593" s="33" t="s">
        <v>2843</v>
      </c>
      <c r="F593" s="33" t="s">
        <v>2933</v>
      </c>
      <c r="G593" s="33" t="s">
        <v>2933</v>
      </c>
      <c r="H593" s="33" t="s">
        <v>2845</v>
      </c>
      <c r="I593" s="33" t="s">
        <v>3122</v>
      </c>
    </row>
    <row x14ac:dyDescent="0.25" r="594" customHeight="1" ht="15.75">
      <c r="A594" s="13" t="s">
        <v>103</v>
      </c>
      <c r="B594" s="13" t="s">
        <v>159</v>
      </c>
      <c r="C594" s="32" t="s">
        <v>3752</v>
      </c>
      <c r="D594" s="33" t="s">
        <v>2904</v>
      </c>
      <c r="E594" s="33" t="s">
        <v>2847</v>
      </c>
      <c r="F594" s="33" t="s">
        <v>3179</v>
      </c>
      <c r="G594" s="33" t="s">
        <v>2998</v>
      </c>
      <c r="H594" s="33" t="s">
        <v>3351</v>
      </c>
      <c r="I594" s="33" t="s">
        <v>2843</v>
      </c>
    </row>
    <row x14ac:dyDescent="0.25" r="595" customHeight="1" ht="15.75">
      <c r="A595" s="13" t="s">
        <v>103</v>
      </c>
      <c r="B595" s="13" t="s">
        <v>677</v>
      </c>
      <c r="C595" s="32" t="s">
        <v>3753</v>
      </c>
      <c r="D595" s="33" t="s">
        <v>3043</v>
      </c>
      <c r="E595" s="33" t="s">
        <v>3294</v>
      </c>
      <c r="F595" s="33" t="s">
        <v>3085</v>
      </c>
      <c r="G595" s="33" t="s">
        <v>2911</v>
      </c>
      <c r="H595" s="33" t="s">
        <v>3245</v>
      </c>
      <c r="I595" s="33" t="s">
        <v>2890</v>
      </c>
    </row>
    <row x14ac:dyDescent="0.25" r="596" customHeight="1" ht="15.75">
      <c r="A596" s="13" t="s">
        <v>103</v>
      </c>
      <c r="B596" s="13" t="s">
        <v>850</v>
      </c>
      <c r="C596" s="32" t="s">
        <v>3754</v>
      </c>
      <c r="D596" s="33" t="s">
        <v>2966</v>
      </c>
      <c r="E596" s="33" t="s">
        <v>3263</v>
      </c>
      <c r="F596" s="33" t="s">
        <v>3755</v>
      </c>
      <c r="G596" s="33" t="s">
        <v>3501</v>
      </c>
      <c r="H596" s="33" t="s">
        <v>3339</v>
      </c>
      <c r="I596" s="33" t="s">
        <v>2843</v>
      </c>
    </row>
    <row x14ac:dyDescent="0.25" r="597" customHeight="1" ht="15.75">
      <c r="A597" s="13" t="s">
        <v>103</v>
      </c>
      <c r="B597" s="13" t="s">
        <v>313</v>
      </c>
      <c r="C597" s="32" t="s">
        <v>3756</v>
      </c>
      <c r="D597" s="33" t="s">
        <v>3073</v>
      </c>
      <c r="E597" s="33" t="s">
        <v>3137</v>
      </c>
      <c r="F597" s="33" t="s">
        <v>2904</v>
      </c>
      <c r="G597" s="33" t="s">
        <v>2890</v>
      </c>
      <c r="H597" s="33" t="s">
        <v>2903</v>
      </c>
      <c r="I597" s="33" t="s">
        <v>2843</v>
      </c>
    </row>
    <row x14ac:dyDescent="0.25" r="598" customHeight="1" ht="15.75">
      <c r="A598" s="13" t="s">
        <v>103</v>
      </c>
      <c r="B598" s="13" t="s">
        <v>708</v>
      </c>
      <c r="C598" s="32" t="s">
        <v>3757</v>
      </c>
      <c r="D598" s="33" t="s">
        <v>3421</v>
      </c>
      <c r="E598" s="33" t="s">
        <v>2843</v>
      </c>
      <c r="F598" s="33" t="s">
        <v>3264</v>
      </c>
      <c r="G598" s="33" t="s">
        <v>2982</v>
      </c>
      <c r="H598" s="33" t="s">
        <v>2971</v>
      </c>
      <c r="I598" s="33" t="s">
        <v>2843</v>
      </c>
    </row>
    <row x14ac:dyDescent="0.25" r="599" customHeight="1" ht="15.75">
      <c r="A599" s="13" t="s">
        <v>103</v>
      </c>
      <c r="B599" s="13" t="s">
        <v>565</v>
      </c>
      <c r="C599" s="32" t="s">
        <v>3758</v>
      </c>
      <c r="D599" s="33" t="s">
        <v>3304</v>
      </c>
      <c r="E599" s="33" t="s">
        <v>2885</v>
      </c>
      <c r="F599" s="33" t="s">
        <v>2977</v>
      </c>
      <c r="G599" s="33" t="s">
        <v>2936</v>
      </c>
      <c r="H599" s="33" t="s">
        <v>3317</v>
      </c>
      <c r="I599" s="33" t="s">
        <v>2911</v>
      </c>
    </row>
    <row x14ac:dyDescent="0.25" r="600" customHeight="1" ht="15.75">
      <c r="A600" s="13" t="s">
        <v>103</v>
      </c>
      <c r="B600" s="13" t="s">
        <v>144</v>
      </c>
      <c r="C600" s="32" t="s">
        <v>3759</v>
      </c>
      <c r="D600" s="33" t="s">
        <v>3241</v>
      </c>
      <c r="E600" s="33" t="s">
        <v>3425</v>
      </c>
      <c r="F600" s="33" t="s">
        <v>3149</v>
      </c>
      <c r="G600" s="33" t="s">
        <v>2845</v>
      </c>
      <c r="H600" s="33" t="s">
        <v>3079</v>
      </c>
      <c r="I600" s="33" t="s">
        <v>2843</v>
      </c>
    </row>
    <row x14ac:dyDescent="0.25" r="601" customHeight="1" ht="15.75">
      <c r="A601" s="13" t="s">
        <v>103</v>
      </c>
      <c r="B601" s="13" t="s">
        <v>148</v>
      </c>
      <c r="C601" s="32" t="s">
        <v>3576</v>
      </c>
      <c r="D601" s="33" t="s">
        <v>2856</v>
      </c>
      <c r="E601" s="33" t="s">
        <v>2940</v>
      </c>
      <c r="F601" s="33" t="s">
        <v>3101</v>
      </c>
      <c r="G601" s="33" t="s">
        <v>3301</v>
      </c>
      <c r="H601" s="33" t="s">
        <v>3058</v>
      </c>
      <c r="I601" s="33" t="s">
        <v>2845</v>
      </c>
    </row>
    <row x14ac:dyDescent="0.25" r="602" customHeight="1" ht="15.75">
      <c r="A602" s="13" t="s">
        <v>103</v>
      </c>
      <c r="B602" s="13" t="s">
        <v>236</v>
      </c>
      <c r="C602" s="32" t="s">
        <v>3182</v>
      </c>
      <c r="D602" s="33" t="s">
        <v>3154</v>
      </c>
      <c r="E602" s="33" t="s">
        <v>2843</v>
      </c>
      <c r="F602" s="33" t="s">
        <v>3166</v>
      </c>
      <c r="G602" s="33" t="s">
        <v>3052</v>
      </c>
      <c r="H602" s="33" t="s">
        <v>2911</v>
      </c>
      <c r="I602" s="33" t="s">
        <v>2845</v>
      </c>
    </row>
    <row x14ac:dyDescent="0.25" r="603" customHeight="1" ht="15.75">
      <c r="A603" s="13" t="s">
        <v>103</v>
      </c>
      <c r="B603" s="13" t="s">
        <v>1032</v>
      </c>
      <c r="C603" s="32" t="s">
        <v>3760</v>
      </c>
      <c r="D603" s="33" t="s">
        <v>3359</v>
      </c>
      <c r="E603" s="33" t="s">
        <v>3761</v>
      </c>
      <c r="F603" s="33" t="s">
        <v>3561</v>
      </c>
      <c r="G603" s="33" t="s">
        <v>3762</v>
      </c>
      <c r="H603" s="33" t="s">
        <v>2839</v>
      </c>
      <c r="I603" s="33" t="s">
        <v>2845</v>
      </c>
    </row>
    <row x14ac:dyDescent="0.25" r="604" customHeight="1" ht="15.75">
      <c r="A604" s="13" t="s">
        <v>103</v>
      </c>
      <c r="B604" s="13" t="s">
        <v>852</v>
      </c>
      <c r="C604" s="32" t="s">
        <v>2855</v>
      </c>
      <c r="D604" s="33" t="s">
        <v>3071</v>
      </c>
      <c r="E604" s="33" t="s">
        <v>3698</v>
      </c>
      <c r="F604" s="33" t="s">
        <v>3669</v>
      </c>
      <c r="G604" s="33" t="s">
        <v>3288</v>
      </c>
      <c r="H604" s="33" t="s">
        <v>3343</v>
      </c>
      <c r="I604" s="33" t="s">
        <v>2843</v>
      </c>
    </row>
    <row x14ac:dyDescent="0.25" r="605" customHeight="1" ht="15.75">
      <c r="A605" s="13" t="s">
        <v>103</v>
      </c>
      <c r="B605" s="13" t="s">
        <v>299</v>
      </c>
      <c r="C605" s="32" t="s">
        <v>3472</v>
      </c>
      <c r="D605" s="33" t="s">
        <v>3078</v>
      </c>
      <c r="E605" s="33" t="s">
        <v>2843</v>
      </c>
      <c r="F605" s="33" t="s">
        <v>3092</v>
      </c>
      <c r="G605" s="33" t="s">
        <v>2940</v>
      </c>
      <c r="H605" s="33" t="s">
        <v>3145</v>
      </c>
      <c r="I605" s="33" t="s">
        <v>2890</v>
      </c>
    </row>
    <row x14ac:dyDescent="0.25" r="606" customHeight="1" ht="15.75">
      <c r="A606" s="13" t="s">
        <v>103</v>
      </c>
      <c r="B606" s="13" t="s">
        <v>212</v>
      </c>
      <c r="C606" s="32" t="s">
        <v>3763</v>
      </c>
      <c r="D606" s="33" t="s">
        <v>3353</v>
      </c>
      <c r="E606" s="33" t="s">
        <v>3276</v>
      </c>
      <c r="F606" s="33" t="s">
        <v>2950</v>
      </c>
      <c r="G606" s="33" t="s">
        <v>2888</v>
      </c>
      <c r="H606" s="33" t="s">
        <v>3179</v>
      </c>
      <c r="I606" s="33" t="s">
        <v>2845</v>
      </c>
    </row>
    <row x14ac:dyDescent="0.25" r="607" customHeight="1" ht="15.75">
      <c r="A607" s="13" t="s">
        <v>103</v>
      </c>
      <c r="B607" s="13" t="s">
        <v>338</v>
      </c>
      <c r="C607" s="32" t="s">
        <v>3239</v>
      </c>
      <c r="D607" s="33" t="s">
        <v>3175</v>
      </c>
      <c r="E607" s="33" t="s">
        <v>2982</v>
      </c>
      <c r="F607" s="33" t="s">
        <v>3216</v>
      </c>
      <c r="G607" s="33" t="s">
        <v>2899</v>
      </c>
      <c r="H607" s="33" t="s">
        <v>3137</v>
      </c>
      <c r="I607" s="33" t="s">
        <v>2843</v>
      </c>
    </row>
    <row x14ac:dyDescent="0.25" r="608" customHeight="1" ht="15.75">
      <c r="A608" s="13" t="s">
        <v>103</v>
      </c>
      <c r="B608" s="13" t="s">
        <v>182</v>
      </c>
      <c r="C608" s="32" t="s">
        <v>3764</v>
      </c>
      <c r="D608" s="33" t="s">
        <v>2937</v>
      </c>
      <c r="E608" s="33" t="s">
        <v>2932</v>
      </c>
      <c r="F608" s="33" t="s">
        <v>3075</v>
      </c>
      <c r="G608" s="33" t="s">
        <v>3075</v>
      </c>
      <c r="H608" s="33" t="s">
        <v>3023</v>
      </c>
      <c r="I608" s="33" t="s">
        <v>2843</v>
      </c>
    </row>
    <row x14ac:dyDescent="0.25" r="609" customHeight="1" ht="15.75">
      <c r="A609" s="13" t="s">
        <v>103</v>
      </c>
      <c r="B609" s="13" t="s">
        <v>858</v>
      </c>
      <c r="C609" s="32" t="s">
        <v>3480</v>
      </c>
      <c r="D609" s="33" t="s">
        <v>2904</v>
      </c>
      <c r="E609" s="33" t="s">
        <v>2904</v>
      </c>
      <c r="F609" s="33" t="s">
        <v>2904</v>
      </c>
      <c r="G609" s="33" t="s">
        <v>2998</v>
      </c>
      <c r="H609" s="33" t="s">
        <v>2902</v>
      </c>
      <c r="I609" s="33" t="s">
        <v>2843</v>
      </c>
    </row>
    <row x14ac:dyDescent="0.25" r="610" customHeight="1" ht="15.75">
      <c r="A610" s="13" t="s">
        <v>103</v>
      </c>
      <c r="B610" s="13" t="s">
        <v>735</v>
      </c>
      <c r="C610" s="32" t="s">
        <v>3765</v>
      </c>
      <c r="D610" s="33" t="s">
        <v>3339</v>
      </c>
      <c r="E610" s="33" t="s">
        <v>3604</v>
      </c>
      <c r="F610" s="33" t="s">
        <v>3766</v>
      </c>
      <c r="G610" s="33" t="s">
        <v>3158</v>
      </c>
      <c r="H610" s="33" t="s">
        <v>3380</v>
      </c>
      <c r="I610" s="33" t="s">
        <v>2890</v>
      </c>
    </row>
    <row x14ac:dyDescent="0.25" r="611" customHeight="1" ht="15.75">
      <c r="A611" s="13" t="s">
        <v>103</v>
      </c>
      <c r="B611" s="13" t="s">
        <v>104</v>
      </c>
      <c r="C611" s="32" t="s">
        <v>3386</v>
      </c>
      <c r="D611" s="33" t="s">
        <v>3179</v>
      </c>
      <c r="E611" s="33" t="s">
        <v>3056</v>
      </c>
      <c r="F611" s="33" t="s">
        <v>2999</v>
      </c>
      <c r="G611" s="33" t="s">
        <v>2849</v>
      </c>
      <c r="H611" s="33" t="s">
        <v>2951</v>
      </c>
      <c r="I611" s="33" t="s">
        <v>2843</v>
      </c>
    </row>
    <row x14ac:dyDescent="0.25" r="612" customHeight="1" ht="15.75">
      <c r="A612" s="13" t="s">
        <v>103</v>
      </c>
      <c r="B612" s="13" t="s">
        <v>1370</v>
      </c>
      <c r="C612" s="32" t="s">
        <v>3595</v>
      </c>
      <c r="D612" s="33" t="s">
        <v>2899</v>
      </c>
      <c r="E612" s="33" t="s">
        <v>3141</v>
      </c>
      <c r="F612" s="33" t="s">
        <v>2981</v>
      </c>
      <c r="G612" s="33" t="s">
        <v>3170</v>
      </c>
      <c r="H612" s="33" t="s">
        <v>2915</v>
      </c>
      <c r="I612" s="33" t="s">
        <v>2843</v>
      </c>
    </row>
    <row x14ac:dyDescent="0.25" r="613" customHeight="1" ht="15.75">
      <c r="A613" s="13" t="s">
        <v>103</v>
      </c>
      <c r="B613" s="13" t="s">
        <v>279</v>
      </c>
      <c r="C613" s="32" t="s">
        <v>3487</v>
      </c>
      <c r="D613" s="33" t="s">
        <v>3267</v>
      </c>
      <c r="E613" s="33" t="s">
        <v>2836</v>
      </c>
      <c r="F613" s="33" t="s">
        <v>2960</v>
      </c>
      <c r="G613" s="33" t="s">
        <v>2932</v>
      </c>
      <c r="H613" s="33" t="s">
        <v>3285</v>
      </c>
      <c r="I613" s="33" t="s">
        <v>2845</v>
      </c>
    </row>
    <row x14ac:dyDescent="0.25" r="614" customHeight="1" ht="15.75">
      <c r="A614" s="13" t="s">
        <v>103</v>
      </c>
      <c r="B614" s="13" t="s">
        <v>120</v>
      </c>
      <c r="C614" s="32" t="s">
        <v>3615</v>
      </c>
      <c r="D614" s="33" t="s">
        <v>2974</v>
      </c>
      <c r="E614" s="33" t="s">
        <v>2959</v>
      </c>
      <c r="F614" s="33" t="s">
        <v>2882</v>
      </c>
      <c r="G614" s="33" t="s">
        <v>3092</v>
      </c>
      <c r="H614" s="33" t="s">
        <v>3107</v>
      </c>
      <c r="I614" s="33" t="s">
        <v>2843</v>
      </c>
    </row>
    <row x14ac:dyDescent="0.25" r="615" customHeight="1" ht="15.75">
      <c r="A615" s="13" t="s">
        <v>103</v>
      </c>
      <c r="B615" s="13" t="s">
        <v>348</v>
      </c>
      <c r="C615" s="32" t="s">
        <v>3767</v>
      </c>
      <c r="D615" s="33" t="s">
        <v>2981</v>
      </c>
      <c r="E615" s="33" t="s">
        <v>2899</v>
      </c>
      <c r="F615" s="33" t="s">
        <v>2963</v>
      </c>
      <c r="G615" s="33" t="s">
        <v>3168</v>
      </c>
      <c r="H615" s="33" t="s">
        <v>3066</v>
      </c>
      <c r="I615" s="33" t="s">
        <v>2843</v>
      </c>
    </row>
    <row x14ac:dyDescent="0.25" r="616" customHeight="1" ht="15.75">
      <c r="A616" s="13" t="s">
        <v>103</v>
      </c>
      <c r="B616" s="13" t="s">
        <v>381</v>
      </c>
      <c r="C616" s="32" t="s">
        <v>3768</v>
      </c>
      <c r="D616" s="33" t="s">
        <v>2995</v>
      </c>
      <c r="E616" s="33" t="s">
        <v>2889</v>
      </c>
      <c r="F616" s="33" t="s">
        <v>2982</v>
      </c>
      <c r="G616" s="33" t="s">
        <v>3196</v>
      </c>
      <c r="H616" s="33" t="s">
        <v>2844</v>
      </c>
      <c r="I616" s="33" t="s">
        <v>2843</v>
      </c>
    </row>
    <row x14ac:dyDescent="0.25" r="617" customHeight="1" ht="15.75">
      <c r="A617" s="13" t="s">
        <v>103</v>
      </c>
      <c r="B617" s="13" t="s">
        <v>664</v>
      </c>
      <c r="C617" s="32" t="s">
        <v>3768</v>
      </c>
      <c r="D617" s="33" t="s">
        <v>3060</v>
      </c>
      <c r="E617" s="33" t="s">
        <v>2891</v>
      </c>
      <c r="F617" s="33" t="s">
        <v>3140</v>
      </c>
      <c r="G617" s="33" t="s">
        <v>2970</v>
      </c>
      <c r="H617" s="33" t="s">
        <v>3165</v>
      </c>
      <c r="I617" s="33" t="s">
        <v>2843</v>
      </c>
    </row>
    <row x14ac:dyDescent="0.25" r="618" customHeight="1" ht="15.75">
      <c r="A618" s="13" t="s">
        <v>103</v>
      </c>
      <c r="B618" s="13" t="s">
        <v>939</v>
      </c>
      <c r="C618" s="32" t="s">
        <v>3500</v>
      </c>
      <c r="D618" s="33" t="s">
        <v>3769</v>
      </c>
      <c r="E618" s="33" t="s">
        <v>3770</v>
      </c>
      <c r="F618" s="33" t="s">
        <v>3695</v>
      </c>
      <c r="G618" s="33" t="s">
        <v>3478</v>
      </c>
      <c r="H618" s="33" t="s">
        <v>3771</v>
      </c>
      <c r="I618" s="33" t="s">
        <v>3772</v>
      </c>
    </row>
    <row x14ac:dyDescent="0.25" r="619" customHeight="1" ht="15.75">
      <c r="A619" s="13" t="s">
        <v>103</v>
      </c>
      <c r="B619" s="13" t="s">
        <v>1051</v>
      </c>
      <c r="C619" s="32" t="s">
        <v>3396</v>
      </c>
      <c r="D619" s="33" t="s">
        <v>3289</v>
      </c>
      <c r="E619" s="33" t="s">
        <v>2860</v>
      </c>
      <c r="F619" s="33" t="s">
        <v>2829</v>
      </c>
      <c r="G619" s="33" t="s">
        <v>3370</v>
      </c>
      <c r="H619" s="33" t="s">
        <v>3436</v>
      </c>
      <c r="I619" s="33" t="s">
        <v>2911</v>
      </c>
    </row>
    <row x14ac:dyDescent="0.25" r="620" customHeight="1" ht="15.75">
      <c r="A620" s="13" t="s">
        <v>103</v>
      </c>
      <c r="B620" s="13" t="s">
        <v>2193</v>
      </c>
      <c r="C620" s="32" t="s">
        <v>3247</v>
      </c>
      <c r="D620" s="33" t="s">
        <v>3773</v>
      </c>
      <c r="E620" s="33" t="s">
        <v>3413</v>
      </c>
      <c r="F620" s="33" t="s">
        <v>3774</v>
      </c>
      <c r="G620" s="33" t="s">
        <v>3775</v>
      </c>
      <c r="H620" s="33" t="s">
        <v>3776</v>
      </c>
      <c r="I620" s="33" t="s">
        <v>2843</v>
      </c>
    </row>
    <row x14ac:dyDescent="0.25" r="621" customHeight="1" ht="15.75">
      <c r="A621" s="13" t="s">
        <v>103</v>
      </c>
      <c r="B621" s="13" t="s">
        <v>304</v>
      </c>
      <c r="C621" s="32" t="s">
        <v>3619</v>
      </c>
      <c r="D621" s="33" t="s">
        <v>3166</v>
      </c>
      <c r="E621" s="33" t="s">
        <v>2980</v>
      </c>
      <c r="F621" s="33" t="s">
        <v>2915</v>
      </c>
      <c r="G621" s="33" t="s">
        <v>3138</v>
      </c>
      <c r="H621" s="33" t="s">
        <v>2888</v>
      </c>
      <c r="I621" s="33" t="s">
        <v>2843</v>
      </c>
    </row>
    <row x14ac:dyDescent="0.25" r="622" customHeight="1" ht="15.75">
      <c r="A622" s="13" t="s">
        <v>103</v>
      </c>
      <c r="B622" s="13" t="s">
        <v>633</v>
      </c>
      <c r="C622" s="32" t="s">
        <v>3253</v>
      </c>
      <c r="D622" s="33" t="s">
        <v>2919</v>
      </c>
      <c r="E622" s="33" t="s">
        <v>3222</v>
      </c>
      <c r="F622" s="33" t="s">
        <v>2898</v>
      </c>
      <c r="G622" s="33" t="s">
        <v>3184</v>
      </c>
      <c r="H622" s="33" t="s">
        <v>3191</v>
      </c>
      <c r="I622" s="33" t="s">
        <v>2843</v>
      </c>
    </row>
    <row x14ac:dyDescent="0.25" r="623" customHeight="1" ht="15.75">
      <c r="A623" s="13" t="s">
        <v>103</v>
      </c>
      <c r="B623" s="13" t="s">
        <v>163</v>
      </c>
      <c r="C623" s="32" t="s">
        <v>3777</v>
      </c>
      <c r="D623" s="33" t="s">
        <v>3086</v>
      </c>
      <c r="E623" s="33" t="s">
        <v>3122</v>
      </c>
      <c r="F623" s="33" t="s">
        <v>3222</v>
      </c>
      <c r="G623" s="33" t="s">
        <v>2965</v>
      </c>
      <c r="H623" s="33" t="s">
        <v>2969</v>
      </c>
      <c r="I623" s="33" t="s">
        <v>2843</v>
      </c>
    </row>
    <row x14ac:dyDescent="0.25" r="624" customHeight="1" ht="15.75">
      <c r="A624" s="13" t="s">
        <v>103</v>
      </c>
      <c r="B624" s="13" t="s">
        <v>1184</v>
      </c>
      <c r="C624" s="32" t="s">
        <v>3778</v>
      </c>
      <c r="D624" s="33" t="s">
        <v>3018</v>
      </c>
      <c r="E624" s="33" t="s">
        <v>3018</v>
      </c>
      <c r="F624" s="33" t="s">
        <v>2932</v>
      </c>
      <c r="G624" s="33" t="s">
        <v>3203</v>
      </c>
      <c r="H624" s="33" t="s">
        <v>3124</v>
      </c>
      <c r="I624" s="33" t="s">
        <v>2843</v>
      </c>
    </row>
    <row x14ac:dyDescent="0.25" r="625" customHeight="1" ht="15.75">
      <c r="A625" s="13" t="s">
        <v>103</v>
      </c>
      <c r="B625" s="13" t="s">
        <v>1464</v>
      </c>
      <c r="C625" s="32" t="s">
        <v>3515</v>
      </c>
      <c r="D625" s="33" t="s">
        <v>3045</v>
      </c>
      <c r="E625" s="33" t="s">
        <v>3278</v>
      </c>
      <c r="F625" s="33" t="s">
        <v>3036</v>
      </c>
      <c r="G625" s="33" t="s">
        <v>3132</v>
      </c>
      <c r="H625" s="33" t="s">
        <v>3384</v>
      </c>
      <c r="I625" s="33" t="s">
        <v>2843</v>
      </c>
    </row>
    <row x14ac:dyDescent="0.25" r="626" customHeight="1" ht="15.75">
      <c r="A626" s="13" t="s">
        <v>103</v>
      </c>
      <c r="B626" s="13" t="s">
        <v>362</v>
      </c>
      <c r="C626" s="32" t="s">
        <v>3258</v>
      </c>
      <c r="D626" s="33" t="s">
        <v>3222</v>
      </c>
      <c r="E626" s="33" t="s">
        <v>3029</v>
      </c>
      <c r="F626" s="33" t="s">
        <v>3115</v>
      </c>
      <c r="G626" s="33" t="s">
        <v>2938</v>
      </c>
      <c r="H626" s="33" t="s">
        <v>3159</v>
      </c>
      <c r="I626" s="33" t="s">
        <v>2843</v>
      </c>
    </row>
    <row x14ac:dyDescent="0.25" r="627" customHeight="1" ht="15.75">
      <c r="A627" s="13" t="s">
        <v>103</v>
      </c>
      <c r="B627" s="13" t="s">
        <v>741</v>
      </c>
      <c r="C627" s="32" t="s">
        <v>3720</v>
      </c>
      <c r="D627" s="33" t="s">
        <v>2905</v>
      </c>
      <c r="E627" s="33" t="s">
        <v>3000</v>
      </c>
      <c r="F627" s="33" t="s">
        <v>2998</v>
      </c>
      <c r="G627" s="33" t="s">
        <v>3152</v>
      </c>
      <c r="H627" s="33" t="s">
        <v>3000</v>
      </c>
      <c r="I627" s="33" t="s">
        <v>2843</v>
      </c>
    </row>
    <row x14ac:dyDescent="0.25" r="628" customHeight="1" ht="15.75">
      <c r="A628" s="13" t="s">
        <v>103</v>
      </c>
      <c r="B628" s="13" t="s">
        <v>1575</v>
      </c>
      <c r="C628" s="32" t="s">
        <v>3636</v>
      </c>
      <c r="D628" s="33" t="s">
        <v>3735</v>
      </c>
      <c r="E628" s="33" t="s">
        <v>3400</v>
      </c>
      <c r="F628" s="33" t="s">
        <v>3355</v>
      </c>
      <c r="G628" s="33" t="s">
        <v>3173</v>
      </c>
      <c r="H628" s="33" t="s">
        <v>3779</v>
      </c>
      <c r="I628" s="33" t="s">
        <v>2890</v>
      </c>
    </row>
    <row x14ac:dyDescent="0.25" r="629" customHeight="1" ht="15.75">
      <c r="A629" s="13" t="s">
        <v>103</v>
      </c>
      <c r="B629" s="13" t="s">
        <v>811</v>
      </c>
      <c r="C629" s="32" t="s">
        <v>3780</v>
      </c>
      <c r="D629" s="33" t="s">
        <v>2961</v>
      </c>
      <c r="E629" s="33" t="s">
        <v>2979</v>
      </c>
      <c r="F629" s="33" t="s">
        <v>3074</v>
      </c>
      <c r="G629" s="33" t="s">
        <v>2940</v>
      </c>
      <c r="H629" s="33" t="s">
        <v>3196</v>
      </c>
      <c r="I629" s="33" t="s">
        <v>2845</v>
      </c>
    </row>
    <row x14ac:dyDescent="0.25" r="630" customHeight="1" ht="15.75">
      <c r="A630" s="13" t="s">
        <v>103</v>
      </c>
      <c r="B630" s="13" t="s">
        <v>474</v>
      </c>
      <c r="C630" s="32" t="s">
        <v>3781</v>
      </c>
      <c r="D630" s="33" t="s">
        <v>3018</v>
      </c>
      <c r="E630" s="33" t="s">
        <v>2969</v>
      </c>
      <c r="F630" s="33" t="s">
        <v>3196</v>
      </c>
      <c r="G630" s="33" t="s">
        <v>2990</v>
      </c>
      <c r="H630" s="33" t="s">
        <v>2942</v>
      </c>
      <c r="I630" s="33" t="s">
        <v>2843</v>
      </c>
    </row>
    <row x14ac:dyDescent="0.25" r="631" customHeight="1" ht="15.75">
      <c r="A631" s="13" t="s">
        <v>103</v>
      </c>
      <c r="B631" s="13" t="s">
        <v>971</v>
      </c>
      <c r="C631" s="32" t="s">
        <v>3637</v>
      </c>
      <c r="D631" s="33" t="s">
        <v>3340</v>
      </c>
      <c r="E631" s="33" t="s">
        <v>3684</v>
      </c>
      <c r="F631" s="33" t="s">
        <v>3361</v>
      </c>
      <c r="G631" s="33" t="s">
        <v>3370</v>
      </c>
      <c r="H631" s="33" t="s">
        <v>3318</v>
      </c>
      <c r="I631" s="33" t="s">
        <v>3010</v>
      </c>
    </row>
    <row x14ac:dyDescent="0.25" r="632" customHeight="1" ht="15.75">
      <c r="A632" s="13" t="s">
        <v>103</v>
      </c>
      <c r="B632" s="13" t="s">
        <v>422</v>
      </c>
      <c r="C632" s="32" t="s">
        <v>2944</v>
      </c>
      <c r="D632" s="33" t="s">
        <v>2888</v>
      </c>
      <c r="E632" s="33" t="s">
        <v>2950</v>
      </c>
      <c r="F632" s="33" t="s">
        <v>3151</v>
      </c>
      <c r="G632" s="33" t="s">
        <v>2914</v>
      </c>
      <c r="H632" s="33" t="s">
        <v>3151</v>
      </c>
      <c r="I632" s="33" t="s">
        <v>2843</v>
      </c>
    </row>
    <row x14ac:dyDescent="0.25" r="633" customHeight="1" ht="15.75">
      <c r="A633" s="13" t="s">
        <v>103</v>
      </c>
      <c r="B633" s="13" t="s">
        <v>1315</v>
      </c>
      <c r="C633" s="32" t="s">
        <v>3782</v>
      </c>
      <c r="D633" s="33" t="s">
        <v>3783</v>
      </c>
      <c r="E633" s="33" t="s">
        <v>3784</v>
      </c>
      <c r="F633" s="33" t="s">
        <v>3710</v>
      </c>
      <c r="G633" s="33" t="s">
        <v>3785</v>
      </c>
      <c r="H633" s="33" t="s">
        <v>3786</v>
      </c>
      <c r="I633" s="33" t="s">
        <v>3787</v>
      </c>
    </row>
    <row x14ac:dyDescent="0.25" r="634" customHeight="1" ht="15.75">
      <c r="A634" s="13" t="s">
        <v>103</v>
      </c>
      <c r="B634" s="13" t="s">
        <v>804</v>
      </c>
      <c r="C634" s="32" t="s">
        <v>3408</v>
      </c>
      <c r="D634" s="33" t="s">
        <v>2980</v>
      </c>
      <c r="E634" s="33" t="s">
        <v>3136</v>
      </c>
      <c r="F634" s="33" t="s">
        <v>3193</v>
      </c>
      <c r="G634" s="33" t="s">
        <v>2943</v>
      </c>
      <c r="H634" s="33" t="s">
        <v>3138</v>
      </c>
      <c r="I634" s="33" t="s">
        <v>2843</v>
      </c>
    </row>
    <row x14ac:dyDescent="0.25" r="635" customHeight="1" ht="15.75">
      <c r="A635" s="13" t="s">
        <v>103</v>
      </c>
      <c r="B635" s="13" t="s">
        <v>700</v>
      </c>
      <c r="C635" s="32" t="s">
        <v>3788</v>
      </c>
      <c r="D635" s="33" t="s">
        <v>2864</v>
      </c>
      <c r="E635" s="33" t="s">
        <v>3789</v>
      </c>
      <c r="F635" s="33" t="s">
        <v>3518</v>
      </c>
      <c r="G635" s="33" t="s">
        <v>3779</v>
      </c>
      <c r="H635" s="33" t="s">
        <v>2862</v>
      </c>
      <c r="I635" s="33" t="s">
        <v>2890</v>
      </c>
    </row>
    <row x14ac:dyDescent="0.25" r="636" customHeight="1" ht="15.75">
      <c r="A636" s="13" t="s">
        <v>103</v>
      </c>
      <c r="B636" s="13" t="s">
        <v>108</v>
      </c>
      <c r="C636" s="32" t="s">
        <v>3266</v>
      </c>
      <c r="D636" s="33" t="s">
        <v>3353</v>
      </c>
      <c r="E636" s="33" t="s">
        <v>2999</v>
      </c>
      <c r="F636" s="33" t="s">
        <v>3152</v>
      </c>
      <c r="G636" s="33" t="s">
        <v>3152</v>
      </c>
      <c r="H636" s="33" t="s">
        <v>3056</v>
      </c>
      <c r="I636" s="33" t="s">
        <v>2843</v>
      </c>
    </row>
    <row x14ac:dyDescent="0.25" r="637" customHeight="1" ht="15.75">
      <c r="A637" s="13" t="s">
        <v>103</v>
      </c>
      <c r="B637" s="13" t="s">
        <v>312</v>
      </c>
      <c r="C637" s="32" t="s">
        <v>3523</v>
      </c>
      <c r="D637" s="33" t="s">
        <v>2950</v>
      </c>
      <c r="E637" s="33" t="s">
        <v>2852</v>
      </c>
      <c r="F637" s="33" t="s">
        <v>2850</v>
      </c>
      <c r="G637" s="33" t="s">
        <v>2998</v>
      </c>
      <c r="H637" s="33" t="s">
        <v>3351</v>
      </c>
      <c r="I637" s="33" t="s">
        <v>2843</v>
      </c>
    </row>
    <row x14ac:dyDescent="0.25" r="638" customHeight="1" ht="15.75">
      <c r="A638" s="13" t="s">
        <v>103</v>
      </c>
      <c r="B638" s="13" t="s">
        <v>1766</v>
      </c>
      <c r="C638" s="32" t="s">
        <v>2958</v>
      </c>
      <c r="D638" s="33" t="s">
        <v>2885</v>
      </c>
      <c r="E638" s="33" t="s">
        <v>2995</v>
      </c>
      <c r="F638" s="33" t="s">
        <v>2936</v>
      </c>
      <c r="G638" s="33" t="s">
        <v>3186</v>
      </c>
      <c r="H638" s="33" t="s">
        <v>2939</v>
      </c>
      <c r="I638" s="33" t="s">
        <v>2843</v>
      </c>
    </row>
    <row x14ac:dyDescent="0.25" r="639" customHeight="1" ht="15.75">
      <c r="A639" s="13" t="s">
        <v>103</v>
      </c>
      <c r="B639" s="13" t="s">
        <v>1614</v>
      </c>
      <c r="C639" s="32" t="s">
        <v>3415</v>
      </c>
      <c r="D639" s="33" t="s">
        <v>3790</v>
      </c>
      <c r="E639" s="33" t="s">
        <v>3791</v>
      </c>
      <c r="F639" s="33" t="s">
        <v>3792</v>
      </c>
      <c r="G639" s="33" t="s">
        <v>3489</v>
      </c>
      <c r="H639" s="33" t="s">
        <v>3610</v>
      </c>
      <c r="I639" s="33" t="s">
        <v>3657</v>
      </c>
    </row>
    <row x14ac:dyDescent="0.25" r="640" customHeight="1" ht="15.75">
      <c r="A640" s="13" t="s">
        <v>103</v>
      </c>
      <c r="B640" s="13" t="s">
        <v>920</v>
      </c>
      <c r="C640" s="32" t="s">
        <v>3793</v>
      </c>
      <c r="D640" s="33" t="s">
        <v>3030</v>
      </c>
      <c r="E640" s="33" t="s">
        <v>3022</v>
      </c>
      <c r="F640" s="33" t="s">
        <v>3191</v>
      </c>
      <c r="G640" s="33" t="s">
        <v>2963</v>
      </c>
      <c r="H640" s="33" t="s">
        <v>3100</v>
      </c>
      <c r="I640" s="33" t="s">
        <v>2850</v>
      </c>
    </row>
    <row x14ac:dyDescent="0.25" r="641" customHeight="1" ht="15.75">
      <c r="A641" s="13" t="s">
        <v>103</v>
      </c>
      <c r="B641" s="13" t="s">
        <v>1475</v>
      </c>
      <c r="C641" s="32" t="s">
        <v>3648</v>
      </c>
      <c r="D641" s="33" t="s">
        <v>3035</v>
      </c>
      <c r="E641" s="33" t="s">
        <v>3347</v>
      </c>
      <c r="F641" s="33" t="s">
        <v>3271</v>
      </c>
      <c r="G641" s="33" t="s">
        <v>3106</v>
      </c>
      <c r="H641" s="33" t="s">
        <v>3347</v>
      </c>
      <c r="I641" s="33" t="s">
        <v>2890</v>
      </c>
    </row>
    <row x14ac:dyDescent="0.25" r="642" customHeight="1" ht="15.75">
      <c r="A642" s="13" t="s">
        <v>103</v>
      </c>
      <c r="B642" s="13" t="s">
        <v>904</v>
      </c>
      <c r="C642" s="32" t="s">
        <v>3286</v>
      </c>
      <c r="D642" s="33" t="s">
        <v>2920</v>
      </c>
      <c r="E642" s="33" t="s">
        <v>2894</v>
      </c>
      <c r="F642" s="33" t="s">
        <v>2894</v>
      </c>
      <c r="G642" s="33" t="s">
        <v>3216</v>
      </c>
      <c r="H642" s="33" t="s">
        <v>2889</v>
      </c>
      <c r="I642" s="33" t="s">
        <v>2843</v>
      </c>
    </row>
    <row x14ac:dyDescent="0.25" r="643" customHeight="1" ht="15.75">
      <c r="A643" s="13" t="s">
        <v>103</v>
      </c>
      <c r="B643" s="13" t="s">
        <v>478</v>
      </c>
      <c r="C643" s="32" t="s">
        <v>3025</v>
      </c>
      <c r="D643" s="33" t="s">
        <v>2844</v>
      </c>
      <c r="E643" s="33" t="s">
        <v>3023</v>
      </c>
      <c r="F643" s="33" t="s">
        <v>3166</v>
      </c>
      <c r="G643" s="33" t="s">
        <v>3018</v>
      </c>
      <c r="H643" s="33" t="s">
        <v>2891</v>
      </c>
      <c r="I643" s="33" t="s">
        <v>2843</v>
      </c>
    </row>
    <row x14ac:dyDescent="0.25" r="644" customHeight="1" ht="15.75">
      <c r="A644" s="13" t="s">
        <v>103</v>
      </c>
      <c r="B644" s="13" t="s">
        <v>174</v>
      </c>
      <c r="C644" s="32" t="s">
        <v>3794</v>
      </c>
      <c r="D644" s="33" t="s">
        <v>3078</v>
      </c>
      <c r="E644" s="33" t="s">
        <v>3158</v>
      </c>
      <c r="F644" s="33" t="s">
        <v>3159</v>
      </c>
      <c r="G644" s="33" t="s">
        <v>2963</v>
      </c>
      <c r="H644" s="33" t="s">
        <v>3060</v>
      </c>
      <c r="I644" s="33" t="s">
        <v>2845</v>
      </c>
    </row>
    <row x14ac:dyDescent="0.25" r="645" customHeight="1" ht="15.75">
      <c r="A645" s="13" t="s">
        <v>103</v>
      </c>
      <c r="B645" s="13" t="s">
        <v>431</v>
      </c>
      <c r="C645" s="32" t="s">
        <v>3049</v>
      </c>
      <c r="D645" s="33" t="s">
        <v>3063</v>
      </c>
      <c r="E645" s="33" t="s">
        <v>3186</v>
      </c>
      <c r="F645" s="33" t="s">
        <v>3243</v>
      </c>
      <c r="G645" s="33" t="s">
        <v>2988</v>
      </c>
      <c r="H645" s="33" t="s">
        <v>2919</v>
      </c>
      <c r="I645" s="33" t="s">
        <v>2845</v>
      </c>
    </row>
    <row x14ac:dyDescent="0.25" r="646" customHeight="1" ht="15.75">
      <c r="A646" s="13" t="s">
        <v>103</v>
      </c>
      <c r="B646" s="13" t="s">
        <v>2368</v>
      </c>
      <c r="C646" s="32" t="s">
        <v>3090</v>
      </c>
      <c r="D646" s="33" t="s">
        <v>3030</v>
      </c>
      <c r="E646" s="33" t="s">
        <v>2931</v>
      </c>
      <c r="F646" s="33" t="s">
        <v>2882</v>
      </c>
      <c r="G646" s="33" t="s">
        <v>2939</v>
      </c>
      <c r="H646" s="33" t="s">
        <v>3144</v>
      </c>
      <c r="I646" s="33" t="s">
        <v>2845</v>
      </c>
    </row>
    <row x14ac:dyDescent="0.25" r="647" customHeight="1" ht="15.75">
      <c r="A647" s="13" t="s">
        <v>103</v>
      </c>
      <c r="B647" s="13" t="s">
        <v>2497</v>
      </c>
      <c r="C647" s="32" t="s">
        <v>3202</v>
      </c>
      <c r="D647" s="33" t="s">
        <v>3042</v>
      </c>
      <c r="E647" s="33" t="s">
        <v>3319</v>
      </c>
      <c r="F647" s="33" t="s">
        <v>3795</v>
      </c>
      <c r="G647" s="33" t="s">
        <v>3432</v>
      </c>
      <c r="H647" s="33" t="s">
        <v>3343</v>
      </c>
      <c r="I647" s="33" t="s">
        <v>2845</v>
      </c>
    </row>
    <row x14ac:dyDescent="0.25" r="648" customHeight="1" ht="15.75">
      <c r="A648" s="13" t="s">
        <v>103</v>
      </c>
      <c r="B648" s="13" t="s">
        <v>2119</v>
      </c>
      <c r="C648" s="32" t="s">
        <v>3322</v>
      </c>
      <c r="D648" s="33" t="s">
        <v>3132</v>
      </c>
      <c r="E648" s="33" t="s">
        <v>3345</v>
      </c>
      <c r="F648" s="33" t="s">
        <v>3011</v>
      </c>
      <c r="G648" s="33" t="s">
        <v>2989</v>
      </c>
      <c r="H648" s="33" t="s">
        <v>3125</v>
      </c>
      <c r="I648" s="33" t="s">
        <v>2845</v>
      </c>
    </row>
    <row x14ac:dyDescent="0.25" r="649" customHeight="1" ht="15.75">
      <c r="A649" s="13" t="s">
        <v>103</v>
      </c>
      <c r="B649" s="13" t="s">
        <v>491</v>
      </c>
      <c r="C649" s="32" t="s">
        <v>3703</v>
      </c>
      <c r="D649" s="33" t="s">
        <v>3358</v>
      </c>
      <c r="E649" s="33" t="s">
        <v>3506</v>
      </c>
      <c r="F649" s="33" t="s">
        <v>3120</v>
      </c>
      <c r="G649" s="33" t="s">
        <v>3378</v>
      </c>
      <c r="H649" s="33" t="s">
        <v>3546</v>
      </c>
      <c r="I649" s="33" t="s">
        <v>2911</v>
      </c>
    </row>
    <row x14ac:dyDescent="0.25" r="650" customHeight="1" ht="15.75">
      <c r="A650" s="13" t="s">
        <v>103</v>
      </c>
      <c r="B650" s="13" t="s">
        <v>1834</v>
      </c>
      <c r="C650" s="32" t="s">
        <v>3796</v>
      </c>
      <c r="D650" s="33" t="s">
        <v>3276</v>
      </c>
      <c r="E650" s="33" t="s">
        <v>3276</v>
      </c>
      <c r="F650" s="33" t="s">
        <v>3055</v>
      </c>
      <c r="G650" s="33" t="s">
        <v>2852</v>
      </c>
      <c r="H650" s="33" t="s">
        <v>3276</v>
      </c>
      <c r="I650" s="33" t="s">
        <v>2843</v>
      </c>
    </row>
    <row x14ac:dyDescent="0.25" r="651" customHeight="1" ht="15.75">
      <c r="A651" s="13" t="s">
        <v>103</v>
      </c>
      <c r="B651" s="13" t="s">
        <v>2268</v>
      </c>
      <c r="C651" s="32" t="s">
        <v>3797</v>
      </c>
      <c r="D651" s="33" t="s">
        <v>3073</v>
      </c>
      <c r="E651" s="33" t="s">
        <v>2892</v>
      </c>
      <c r="F651" s="33" t="s">
        <v>2895</v>
      </c>
      <c r="G651" s="33" t="s">
        <v>3074</v>
      </c>
      <c r="H651" s="33" t="s">
        <v>3074</v>
      </c>
      <c r="I651" s="33" t="s">
        <v>2843</v>
      </c>
    </row>
    <row x14ac:dyDescent="0.25" r="652" customHeight="1" ht="15.75">
      <c r="A652" s="13" t="s">
        <v>103</v>
      </c>
      <c r="B652" s="13" t="s">
        <v>1108</v>
      </c>
      <c r="C652" s="32" t="s">
        <v>3354</v>
      </c>
      <c r="D652" s="33" t="s">
        <v>2878</v>
      </c>
      <c r="E652" s="33" t="s">
        <v>2890</v>
      </c>
      <c r="F652" s="33" t="s">
        <v>3798</v>
      </c>
      <c r="G652" s="33" t="s">
        <v>3282</v>
      </c>
      <c r="H652" s="33" t="s">
        <v>3668</v>
      </c>
      <c r="I652" s="33" t="s">
        <v>2845</v>
      </c>
    </row>
    <row x14ac:dyDescent="0.25" r="653" customHeight="1" ht="15.75">
      <c r="A653" s="13" t="s">
        <v>103</v>
      </c>
      <c r="B653" s="13" t="s">
        <v>2651</v>
      </c>
      <c r="C653" s="32" t="s">
        <v>3356</v>
      </c>
      <c r="D653" s="33" t="s">
        <v>2872</v>
      </c>
      <c r="E653" s="33" t="s">
        <v>2893</v>
      </c>
      <c r="F653" s="33" t="s">
        <v>2986</v>
      </c>
      <c r="G653" s="33" t="s">
        <v>3132</v>
      </c>
      <c r="H653" s="33" t="s">
        <v>3384</v>
      </c>
      <c r="I653" s="33" t="s">
        <v>2843</v>
      </c>
    </row>
    <row x14ac:dyDescent="0.25" r="654" customHeight="1" ht="15.75">
      <c r="A654" s="13" t="s">
        <v>103</v>
      </c>
      <c r="B654" s="13" t="s">
        <v>1629</v>
      </c>
      <c r="C654" s="32" t="s">
        <v>3799</v>
      </c>
      <c r="D654" s="33" t="s">
        <v>3618</v>
      </c>
      <c r="E654" s="33" t="s">
        <v>3125</v>
      </c>
      <c r="F654" s="33" t="s">
        <v>3373</v>
      </c>
      <c r="G654" s="33" t="s">
        <v>3036</v>
      </c>
      <c r="H654" s="33" t="s">
        <v>3240</v>
      </c>
      <c r="I654" s="33" t="s">
        <v>2845</v>
      </c>
    </row>
    <row x14ac:dyDescent="0.25" r="655" customHeight="1" ht="15.75">
      <c r="A655" s="13" t="s">
        <v>129</v>
      </c>
      <c r="B655" s="13" t="s">
        <v>466</v>
      </c>
      <c r="C655" s="32" t="s">
        <v>3800</v>
      </c>
      <c r="D655" s="33" t="s">
        <v>2960</v>
      </c>
      <c r="E655" s="33" t="s">
        <v>2842</v>
      </c>
      <c r="F655" s="33" t="s">
        <v>3186</v>
      </c>
      <c r="G655" s="33" t="s">
        <v>2939</v>
      </c>
      <c r="H655" s="33" t="s">
        <v>3275</v>
      </c>
      <c r="I655" s="33" t="s">
        <v>3103</v>
      </c>
    </row>
    <row x14ac:dyDescent="0.25" r="656" customHeight="1" ht="15.75">
      <c r="A656" s="13" t="s">
        <v>129</v>
      </c>
      <c r="B656" s="13" t="s">
        <v>345</v>
      </c>
      <c r="C656" s="32" t="s">
        <v>3801</v>
      </c>
      <c r="D656" s="33" t="s">
        <v>3203</v>
      </c>
      <c r="E656" s="33" t="s">
        <v>2979</v>
      </c>
      <c r="F656" s="33" t="s">
        <v>3021</v>
      </c>
      <c r="G656" s="33" t="s">
        <v>2965</v>
      </c>
      <c r="H656" s="33" t="s">
        <v>3033</v>
      </c>
      <c r="I656" s="33" t="s">
        <v>2892</v>
      </c>
    </row>
    <row x14ac:dyDescent="0.25" r="657" customHeight="1" ht="15.75">
      <c r="A657" s="13" t="s">
        <v>129</v>
      </c>
      <c r="B657" s="13" t="s">
        <v>1746</v>
      </c>
      <c r="C657" s="32" t="s">
        <v>3472</v>
      </c>
      <c r="D657" s="33" t="s">
        <v>2987</v>
      </c>
      <c r="E657" s="33" t="s">
        <v>3079</v>
      </c>
      <c r="F657" s="33" t="s">
        <v>3030</v>
      </c>
      <c r="G657" s="33" t="s">
        <v>2931</v>
      </c>
      <c r="H657" s="33" t="s">
        <v>3088</v>
      </c>
      <c r="I657" s="33" t="s">
        <v>2931</v>
      </c>
    </row>
    <row x14ac:dyDescent="0.25" r="658" customHeight="1" ht="15.75">
      <c r="A658" s="13" t="s">
        <v>129</v>
      </c>
      <c r="B658" s="13" t="s">
        <v>130</v>
      </c>
      <c r="C658" s="32" t="s">
        <v>3596</v>
      </c>
      <c r="D658" s="33" t="s">
        <v>3141</v>
      </c>
      <c r="E658" s="33" t="s">
        <v>2981</v>
      </c>
      <c r="F658" s="33" t="s">
        <v>2856</v>
      </c>
      <c r="G658" s="33" t="s">
        <v>2942</v>
      </c>
      <c r="H658" s="33" t="s">
        <v>3060</v>
      </c>
      <c r="I658" s="33" t="s">
        <v>2844</v>
      </c>
    </row>
    <row x14ac:dyDescent="0.25" r="659" customHeight="1" ht="15.75">
      <c r="A659" s="13" t="s">
        <v>129</v>
      </c>
      <c r="B659" s="13" t="s">
        <v>356</v>
      </c>
      <c r="C659" s="32" t="s">
        <v>3802</v>
      </c>
      <c r="D659" s="33" t="s">
        <v>3050</v>
      </c>
      <c r="E659" s="33" t="s">
        <v>2914</v>
      </c>
      <c r="F659" s="33" t="s">
        <v>2980</v>
      </c>
      <c r="G659" s="33" t="s">
        <v>3136</v>
      </c>
      <c r="H659" s="33" t="s">
        <v>3216</v>
      </c>
      <c r="I659" s="33" t="s">
        <v>2902</v>
      </c>
    </row>
    <row x14ac:dyDescent="0.25" r="660" customHeight="1" ht="15.75">
      <c r="A660" s="13" t="s">
        <v>129</v>
      </c>
      <c r="B660" s="13" t="s">
        <v>416</v>
      </c>
      <c r="C660" s="32" t="s">
        <v>3803</v>
      </c>
      <c r="D660" s="33" t="s">
        <v>3078</v>
      </c>
      <c r="E660" s="33" t="s">
        <v>3063</v>
      </c>
      <c r="F660" s="33" t="s">
        <v>2964</v>
      </c>
      <c r="G660" s="33" t="s">
        <v>3184</v>
      </c>
      <c r="H660" s="33" t="s">
        <v>3030</v>
      </c>
      <c r="I660" s="33" t="s">
        <v>2964</v>
      </c>
    </row>
    <row x14ac:dyDescent="0.25" r="661" customHeight="1" ht="15.75">
      <c r="A661" s="13" t="s">
        <v>129</v>
      </c>
      <c r="B661" s="13" t="s">
        <v>1925</v>
      </c>
      <c r="C661" s="32" t="s">
        <v>3804</v>
      </c>
      <c r="D661" s="33" t="s">
        <v>2991</v>
      </c>
      <c r="E661" s="33" t="s">
        <v>2915</v>
      </c>
      <c r="F661" s="33" t="s">
        <v>2990</v>
      </c>
      <c r="G661" s="33" t="s">
        <v>3175</v>
      </c>
      <c r="H661" s="33" t="s">
        <v>2900</v>
      </c>
      <c r="I661" s="33" t="s">
        <v>3168</v>
      </c>
    </row>
    <row x14ac:dyDescent="0.25" r="662" customHeight="1" ht="15.75">
      <c r="A662" s="13" t="s">
        <v>129</v>
      </c>
      <c r="B662" s="13" t="s">
        <v>1102</v>
      </c>
      <c r="C662" s="32" t="s">
        <v>3486</v>
      </c>
      <c r="D662" s="33" t="s">
        <v>3805</v>
      </c>
      <c r="E662" s="33" t="s">
        <v>3806</v>
      </c>
      <c r="F662" s="33" t="s">
        <v>3807</v>
      </c>
      <c r="G662" s="33" t="s">
        <v>3607</v>
      </c>
      <c r="H662" s="33" t="s">
        <v>3808</v>
      </c>
      <c r="I662" s="33" t="s">
        <v>3608</v>
      </c>
    </row>
    <row x14ac:dyDescent="0.25" r="663" customHeight="1" ht="15.75">
      <c r="A663" s="13" t="s">
        <v>129</v>
      </c>
      <c r="B663" s="13" t="s">
        <v>1447</v>
      </c>
      <c r="C663" s="32" t="s">
        <v>3488</v>
      </c>
      <c r="D663" s="33" t="s">
        <v>3305</v>
      </c>
      <c r="E663" s="33" t="s">
        <v>2929</v>
      </c>
      <c r="F663" s="33" t="s">
        <v>3263</v>
      </c>
      <c r="G663" s="33" t="s">
        <v>2975</v>
      </c>
      <c r="H663" s="33" t="s">
        <v>3421</v>
      </c>
      <c r="I663" s="33" t="s">
        <v>3173</v>
      </c>
    </row>
    <row x14ac:dyDescent="0.25" r="664" customHeight="1" ht="15.75">
      <c r="A664" s="13" t="s">
        <v>129</v>
      </c>
      <c r="B664" s="13" t="s">
        <v>2039</v>
      </c>
      <c r="C664" s="32" t="s">
        <v>3809</v>
      </c>
      <c r="D664" s="33" t="s">
        <v>3041</v>
      </c>
      <c r="E664" s="33" t="s">
        <v>3267</v>
      </c>
      <c r="F664" s="33" t="s">
        <v>3369</v>
      </c>
      <c r="G664" s="33" t="s">
        <v>2931</v>
      </c>
      <c r="H664" s="33" t="s">
        <v>2872</v>
      </c>
      <c r="I664" s="33" t="s">
        <v>3127</v>
      </c>
    </row>
    <row x14ac:dyDescent="0.25" r="665" customHeight="1" ht="15.75">
      <c r="A665" s="13" t="s">
        <v>129</v>
      </c>
      <c r="B665" s="13" t="s">
        <v>205</v>
      </c>
      <c r="C665" s="32" t="s">
        <v>3616</v>
      </c>
      <c r="D665" s="33" t="s">
        <v>3140</v>
      </c>
      <c r="E665" s="33" t="s">
        <v>2970</v>
      </c>
      <c r="F665" s="33" t="s">
        <v>2982</v>
      </c>
      <c r="G665" s="33" t="s">
        <v>2943</v>
      </c>
      <c r="H665" s="33" t="s">
        <v>2932</v>
      </c>
      <c r="I665" s="33" t="s">
        <v>2966</v>
      </c>
    </row>
    <row x14ac:dyDescent="0.25" r="666" customHeight="1" ht="15.75">
      <c r="A666" s="13" t="s">
        <v>129</v>
      </c>
      <c r="B666" s="13" t="s">
        <v>867</v>
      </c>
      <c r="C666" s="32" t="s">
        <v>3503</v>
      </c>
      <c r="D666" s="33" t="s">
        <v>3060</v>
      </c>
      <c r="E666" s="33" t="s">
        <v>2898</v>
      </c>
      <c r="F666" s="33" t="s">
        <v>2921</v>
      </c>
      <c r="G666" s="33" t="s">
        <v>2892</v>
      </c>
      <c r="H666" s="33" t="s">
        <v>3114</v>
      </c>
      <c r="I666" s="33" t="s">
        <v>2966</v>
      </c>
    </row>
    <row x14ac:dyDescent="0.25" r="667" customHeight="1" ht="15.75">
      <c r="A667" s="13" t="s">
        <v>129</v>
      </c>
      <c r="B667" s="13" t="s">
        <v>518</v>
      </c>
      <c r="C667" s="32" t="s">
        <v>2912</v>
      </c>
      <c r="D667" s="33" t="s">
        <v>3074</v>
      </c>
      <c r="E667" s="33" t="s">
        <v>3203</v>
      </c>
      <c r="F667" s="33" t="s">
        <v>3175</v>
      </c>
      <c r="G667" s="33" t="s">
        <v>2891</v>
      </c>
      <c r="H667" s="33" t="s">
        <v>2966</v>
      </c>
      <c r="I667" s="33" t="s">
        <v>3166</v>
      </c>
    </row>
    <row x14ac:dyDescent="0.25" r="668" customHeight="1" ht="15.75">
      <c r="A668" s="13" t="s">
        <v>129</v>
      </c>
      <c r="B668" s="13" t="s">
        <v>729</v>
      </c>
      <c r="C668" s="32" t="s">
        <v>3247</v>
      </c>
      <c r="D668" s="33" t="s">
        <v>2902</v>
      </c>
      <c r="E668" s="33" t="s">
        <v>3138</v>
      </c>
      <c r="F668" s="33" t="s">
        <v>3136</v>
      </c>
      <c r="G668" s="33" t="s">
        <v>3151</v>
      </c>
      <c r="H668" s="33" t="s">
        <v>2942</v>
      </c>
      <c r="I668" s="33" t="s">
        <v>2858</v>
      </c>
    </row>
    <row x14ac:dyDescent="0.25" r="669" customHeight="1" ht="15.75">
      <c r="A669" s="13" t="s">
        <v>129</v>
      </c>
      <c r="B669" s="13" t="s">
        <v>1292</v>
      </c>
      <c r="C669" s="32" t="s">
        <v>3504</v>
      </c>
      <c r="D669" s="33" t="s">
        <v>3771</v>
      </c>
      <c r="E669" s="33" t="s">
        <v>3810</v>
      </c>
      <c r="F669" s="33" t="s">
        <v>3535</v>
      </c>
      <c r="G669" s="33" t="s">
        <v>3007</v>
      </c>
      <c r="H669" s="33" t="s">
        <v>3811</v>
      </c>
      <c r="I669" s="33" t="s">
        <v>3812</v>
      </c>
    </row>
    <row x14ac:dyDescent="0.25" r="670" customHeight="1" ht="15.75">
      <c r="A670" s="13" t="s">
        <v>129</v>
      </c>
      <c r="B670" s="13" t="s">
        <v>1453</v>
      </c>
      <c r="C670" s="32" t="s">
        <v>3398</v>
      </c>
      <c r="D670" s="33" t="s">
        <v>2891</v>
      </c>
      <c r="E670" s="33" t="s">
        <v>3301</v>
      </c>
      <c r="F670" s="33" t="s">
        <v>2899</v>
      </c>
      <c r="G670" s="33" t="s">
        <v>3024</v>
      </c>
      <c r="H670" s="33" t="s">
        <v>2969</v>
      </c>
      <c r="I670" s="33" t="s">
        <v>3175</v>
      </c>
    </row>
    <row x14ac:dyDescent="0.25" r="671" customHeight="1" ht="15.75">
      <c r="A671" s="13" t="s">
        <v>129</v>
      </c>
      <c r="B671" s="13" t="s">
        <v>1002</v>
      </c>
      <c r="C671" s="32" t="s">
        <v>3253</v>
      </c>
      <c r="D671" s="33" t="s">
        <v>3267</v>
      </c>
      <c r="E671" s="33" t="s">
        <v>2964</v>
      </c>
      <c r="F671" s="33" t="s">
        <v>2935</v>
      </c>
      <c r="G671" s="33" t="s">
        <v>3425</v>
      </c>
      <c r="H671" s="33" t="s">
        <v>3265</v>
      </c>
      <c r="I671" s="33" t="s">
        <v>2956</v>
      </c>
    </row>
    <row x14ac:dyDescent="0.25" r="672" customHeight="1" ht="15.75">
      <c r="A672" s="13" t="s">
        <v>129</v>
      </c>
      <c r="B672" s="13" t="s">
        <v>974</v>
      </c>
      <c r="C672" s="32" t="s">
        <v>3253</v>
      </c>
      <c r="D672" s="33" t="s">
        <v>3091</v>
      </c>
      <c r="E672" s="33" t="s">
        <v>3294</v>
      </c>
      <c r="F672" s="33" t="s">
        <v>2987</v>
      </c>
      <c r="G672" s="33" t="s">
        <v>3092</v>
      </c>
      <c r="H672" s="33" t="s">
        <v>3618</v>
      </c>
      <c r="I672" s="33" t="s">
        <v>3095</v>
      </c>
    </row>
    <row x14ac:dyDescent="0.25" r="673" customHeight="1" ht="15.75">
      <c r="A673" s="13" t="s">
        <v>129</v>
      </c>
      <c r="B673" s="13" t="s">
        <v>763</v>
      </c>
      <c r="C673" s="32" t="s">
        <v>3719</v>
      </c>
      <c r="D673" s="33" t="s">
        <v>3018</v>
      </c>
      <c r="E673" s="33" t="s">
        <v>2900</v>
      </c>
      <c r="F673" s="33" t="s">
        <v>2898</v>
      </c>
      <c r="G673" s="33" t="s">
        <v>2969</v>
      </c>
      <c r="H673" s="33" t="s">
        <v>3073</v>
      </c>
      <c r="I673" s="33" t="s">
        <v>2940</v>
      </c>
    </row>
    <row x14ac:dyDescent="0.25" r="674" customHeight="1" ht="15.75">
      <c r="A674" s="13" t="s">
        <v>129</v>
      </c>
      <c r="B674" s="13" t="s">
        <v>1346</v>
      </c>
      <c r="C674" s="32" t="s">
        <v>3813</v>
      </c>
      <c r="D674" s="33" t="s">
        <v>3058</v>
      </c>
      <c r="E674" s="33" t="s">
        <v>3067</v>
      </c>
      <c r="F674" s="33" t="s">
        <v>2940</v>
      </c>
      <c r="G674" s="33" t="s">
        <v>2898</v>
      </c>
      <c r="H674" s="33" t="s">
        <v>2844</v>
      </c>
      <c r="I674" s="33" t="s">
        <v>3175</v>
      </c>
    </row>
    <row x14ac:dyDescent="0.25" r="675" customHeight="1" ht="15.75">
      <c r="A675" s="13" t="s">
        <v>129</v>
      </c>
      <c r="B675" s="13" t="s">
        <v>639</v>
      </c>
      <c r="C675" s="32" t="s">
        <v>3514</v>
      </c>
      <c r="D675" s="33" t="s">
        <v>2842</v>
      </c>
      <c r="E675" s="33" t="s">
        <v>3101</v>
      </c>
      <c r="F675" s="33" t="s">
        <v>3092</v>
      </c>
      <c r="G675" s="33" t="s">
        <v>2966</v>
      </c>
      <c r="H675" s="33" t="s">
        <v>3033</v>
      </c>
      <c r="I675" s="33" t="s">
        <v>3107</v>
      </c>
    </row>
    <row x14ac:dyDescent="0.25" r="676" customHeight="1" ht="15.75">
      <c r="A676" s="13" t="s">
        <v>129</v>
      </c>
      <c r="B676" s="13" t="s">
        <v>702</v>
      </c>
      <c r="C676" s="32" t="s">
        <v>3632</v>
      </c>
      <c r="D676" s="33" t="s">
        <v>3482</v>
      </c>
      <c r="E676" s="33" t="s">
        <v>2954</v>
      </c>
      <c r="F676" s="33" t="s">
        <v>3501</v>
      </c>
      <c r="G676" s="33" t="s">
        <v>3240</v>
      </c>
      <c r="H676" s="33" t="s">
        <v>3722</v>
      </c>
      <c r="I676" s="33" t="s">
        <v>2865</v>
      </c>
    </row>
    <row x14ac:dyDescent="0.25" r="677" customHeight="1" ht="15.75">
      <c r="A677" s="13" t="s">
        <v>129</v>
      </c>
      <c r="B677" s="13" t="s">
        <v>164</v>
      </c>
      <c r="C677" s="32" t="s">
        <v>3257</v>
      </c>
      <c r="D677" s="33" t="s">
        <v>3067</v>
      </c>
      <c r="E677" s="33" t="s">
        <v>2991</v>
      </c>
      <c r="F677" s="33" t="s">
        <v>2971</v>
      </c>
      <c r="G677" s="33" t="s">
        <v>2894</v>
      </c>
      <c r="H677" s="33" t="s">
        <v>2899</v>
      </c>
      <c r="I677" s="33" t="s">
        <v>2894</v>
      </c>
    </row>
    <row x14ac:dyDescent="0.25" r="678" customHeight="1" ht="15.75">
      <c r="A678" s="13" t="s">
        <v>129</v>
      </c>
      <c r="B678" s="13" t="s">
        <v>424</v>
      </c>
      <c r="C678" s="32" t="s">
        <v>3814</v>
      </c>
      <c r="D678" s="33" t="s">
        <v>3041</v>
      </c>
      <c r="E678" s="33" t="s">
        <v>3425</v>
      </c>
      <c r="F678" s="33" t="s">
        <v>3079</v>
      </c>
      <c r="G678" s="33" t="s">
        <v>3145</v>
      </c>
      <c r="H678" s="33" t="s">
        <v>3147</v>
      </c>
      <c r="I678" s="33" t="s">
        <v>2959</v>
      </c>
    </row>
    <row x14ac:dyDescent="0.25" r="679" customHeight="1" ht="15.75">
      <c r="A679" s="13" t="s">
        <v>129</v>
      </c>
      <c r="B679" s="13" t="s">
        <v>825</v>
      </c>
      <c r="C679" s="32" t="s">
        <v>2941</v>
      </c>
      <c r="D679" s="33" t="s">
        <v>2926</v>
      </c>
      <c r="E679" s="33" t="s">
        <v>2936</v>
      </c>
      <c r="F679" s="33" t="s">
        <v>3030</v>
      </c>
      <c r="G679" s="33" t="s">
        <v>2926</v>
      </c>
      <c r="H679" s="33" t="s">
        <v>2926</v>
      </c>
      <c r="I679" s="33" t="s">
        <v>2836</v>
      </c>
    </row>
    <row x14ac:dyDescent="0.25" r="680" customHeight="1" ht="15.75">
      <c r="A680" s="13" t="s">
        <v>129</v>
      </c>
      <c r="B680" s="13" t="s">
        <v>1405</v>
      </c>
      <c r="C680" s="32" t="s">
        <v>3516</v>
      </c>
      <c r="D680" s="33" t="s">
        <v>2894</v>
      </c>
      <c r="E680" s="33" t="s">
        <v>2889</v>
      </c>
      <c r="F680" s="33" t="s">
        <v>2970</v>
      </c>
      <c r="G680" s="33" t="s">
        <v>3050</v>
      </c>
      <c r="H680" s="33" t="s">
        <v>2893</v>
      </c>
      <c r="I680" s="33" t="s">
        <v>2848</v>
      </c>
    </row>
    <row x14ac:dyDescent="0.25" r="681" customHeight="1" ht="15.75">
      <c r="A681" s="13" t="s">
        <v>129</v>
      </c>
      <c r="B681" s="13" t="s">
        <v>1678</v>
      </c>
      <c r="C681" s="32" t="s">
        <v>3815</v>
      </c>
      <c r="D681" s="33" t="s">
        <v>3669</v>
      </c>
      <c r="E681" s="33" t="s">
        <v>2994</v>
      </c>
      <c r="F681" s="33" t="s">
        <v>3070</v>
      </c>
      <c r="G681" s="33" t="s">
        <v>3238</v>
      </c>
      <c r="H681" s="33" t="s">
        <v>2884</v>
      </c>
      <c r="I681" s="33" t="s">
        <v>3265</v>
      </c>
    </row>
    <row x14ac:dyDescent="0.25" r="682" customHeight="1" ht="15.75">
      <c r="A682" s="13" t="s">
        <v>129</v>
      </c>
      <c r="B682" s="13" t="s">
        <v>365</v>
      </c>
      <c r="C682" s="32" t="s">
        <v>3816</v>
      </c>
      <c r="D682" s="33" t="s">
        <v>3023</v>
      </c>
      <c r="E682" s="33" t="s">
        <v>3018</v>
      </c>
      <c r="F682" s="33" t="s">
        <v>2937</v>
      </c>
      <c r="G682" s="33" t="s">
        <v>3196</v>
      </c>
      <c r="H682" s="33" t="s">
        <v>3115</v>
      </c>
      <c r="I682" s="33" t="s">
        <v>2898</v>
      </c>
    </row>
    <row x14ac:dyDescent="0.25" r="683" customHeight="1" ht="15.75">
      <c r="A683" s="13" t="s">
        <v>129</v>
      </c>
      <c r="B683" s="13" t="s">
        <v>1100</v>
      </c>
      <c r="C683" s="32" t="s">
        <v>3520</v>
      </c>
      <c r="D683" s="33" t="s">
        <v>2889</v>
      </c>
      <c r="E683" s="33" t="s">
        <v>2914</v>
      </c>
      <c r="F683" s="33" t="s">
        <v>3053</v>
      </c>
      <c r="G683" s="33" t="s">
        <v>2982</v>
      </c>
      <c r="H683" s="33" t="s">
        <v>2990</v>
      </c>
      <c r="I683" s="33" t="s">
        <v>3216</v>
      </c>
    </row>
    <row x14ac:dyDescent="0.25" r="684" customHeight="1" ht="15.75">
      <c r="A684" s="13" t="s">
        <v>129</v>
      </c>
      <c r="B684" s="13" t="s">
        <v>819</v>
      </c>
      <c r="C684" s="32" t="s">
        <v>3407</v>
      </c>
      <c r="D684" s="33" t="s">
        <v>3564</v>
      </c>
      <c r="E684" s="33" t="s">
        <v>3600</v>
      </c>
      <c r="F684" s="33" t="s">
        <v>3817</v>
      </c>
      <c r="G684" s="33" t="s">
        <v>3818</v>
      </c>
      <c r="H684" s="33" t="s">
        <v>3819</v>
      </c>
      <c r="I684" s="33" t="s">
        <v>3820</v>
      </c>
    </row>
    <row x14ac:dyDescent="0.25" r="685" customHeight="1" ht="15.75">
      <c r="A685" s="13" t="s">
        <v>129</v>
      </c>
      <c r="B685" s="13" t="s">
        <v>2028</v>
      </c>
      <c r="C685" s="32" t="s">
        <v>3407</v>
      </c>
      <c r="D685" s="33" t="s">
        <v>2955</v>
      </c>
      <c r="E685" s="33" t="s">
        <v>3334</v>
      </c>
      <c r="F685" s="33" t="s">
        <v>3372</v>
      </c>
      <c r="G685" s="33" t="s">
        <v>3158</v>
      </c>
      <c r="H685" s="33" t="s">
        <v>3267</v>
      </c>
      <c r="I685" s="33" t="s">
        <v>3081</v>
      </c>
    </row>
    <row x14ac:dyDescent="0.25" r="686" customHeight="1" ht="15.75">
      <c r="A686" s="13" t="s">
        <v>129</v>
      </c>
      <c r="B686" s="13" t="s">
        <v>425</v>
      </c>
      <c r="C686" s="32" t="s">
        <v>3522</v>
      </c>
      <c r="D686" s="33" t="s">
        <v>3060</v>
      </c>
      <c r="E686" s="33" t="s">
        <v>2899</v>
      </c>
      <c r="F686" s="33" t="s">
        <v>2895</v>
      </c>
      <c r="G686" s="33" t="s">
        <v>2969</v>
      </c>
      <c r="H686" s="33" t="s">
        <v>2969</v>
      </c>
      <c r="I686" s="33" t="s">
        <v>2900</v>
      </c>
    </row>
    <row x14ac:dyDescent="0.25" r="687" customHeight="1" ht="15.75">
      <c r="A687" s="13" t="s">
        <v>129</v>
      </c>
      <c r="B687" s="13" t="s">
        <v>1131</v>
      </c>
      <c r="C687" s="32" t="s">
        <v>2952</v>
      </c>
      <c r="D687" s="33" t="s">
        <v>2861</v>
      </c>
      <c r="E687" s="33" t="s">
        <v>3821</v>
      </c>
      <c r="F687" s="33" t="s">
        <v>3822</v>
      </c>
      <c r="G687" s="33" t="s">
        <v>3490</v>
      </c>
      <c r="H687" s="33" t="s">
        <v>3823</v>
      </c>
      <c r="I687" s="33" t="s">
        <v>2875</v>
      </c>
    </row>
    <row x14ac:dyDescent="0.25" r="688" customHeight="1" ht="15.75">
      <c r="A688" s="13" t="s">
        <v>129</v>
      </c>
      <c r="B688" s="13" t="s">
        <v>671</v>
      </c>
      <c r="C688" s="32" t="s">
        <v>3408</v>
      </c>
      <c r="D688" s="33" t="s">
        <v>3273</v>
      </c>
      <c r="E688" s="33" t="s">
        <v>3824</v>
      </c>
      <c r="F688" s="33" t="s">
        <v>3618</v>
      </c>
      <c r="G688" s="33" t="s">
        <v>3095</v>
      </c>
      <c r="H688" s="33" t="s">
        <v>3263</v>
      </c>
      <c r="I688" s="33" t="s">
        <v>3158</v>
      </c>
    </row>
    <row x14ac:dyDescent="0.25" r="689" customHeight="1" ht="15.75">
      <c r="A689" s="13" t="s">
        <v>129</v>
      </c>
      <c r="B689" s="13" t="s">
        <v>719</v>
      </c>
      <c r="C689" s="32" t="s">
        <v>3408</v>
      </c>
      <c r="D689" s="33" t="s">
        <v>3243</v>
      </c>
      <c r="E689" s="33" t="s">
        <v>3285</v>
      </c>
      <c r="F689" s="33" t="s">
        <v>3163</v>
      </c>
      <c r="G689" s="33" t="s">
        <v>2960</v>
      </c>
      <c r="H689" s="33" t="s">
        <v>3197</v>
      </c>
      <c r="I689" s="33" t="s">
        <v>2931</v>
      </c>
    </row>
    <row x14ac:dyDescent="0.25" r="690" customHeight="1" ht="15.75">
      <c r="A690" s="13" t="s">
        <v>129</v>
      </c>
      <c r="B690" s="13" t="s">
        <v>1044</v>
      </c>
      <c r="C690" s="32" t="s">
        <v>3408</v>
      </c>
      <c r="D690" s="33" t="s">
        <v>2935</v>
      </c>
      <c r="E690" s="33" t="s">
        <v>2933</v>
      </c>
      <c r="F690" s="33" t="s">
        <v>3099</v>
      </c>
      <c r="G690" s="33" t="s">
        <v>3122</v>
      </c>
      <c r="H690" s="33" t="s">
        <v>2959</v>
      </c>
      <c r="I690" s="33" t="s">
        <v>2937</v>
      </c>
    </row>
    <row x14ac:dyDescent="0.25" r="691" customHeight="1" ht="15.75">
      <c r="A691" s="13" t="s">
        <v>129</v>
      </c>
      <c r="B691" s="13" t="s">
        <v>1152</v>
      </c>
      <c r="C691" s="32" t="s">
        <v>2952</v>
      </c>
      <c r="D691" s="33" t="s">
        <v>2903</v>
      </c>
      <c r="E691" s="33" t="s">
        <v>2950</v>
      </c>
      <c r="F691" s="33" t="s">
        <v>2847</v>
      </c>
      <c r="G691" s="33" t="s">
        <v>3276</v>
      </c>
      <c r="H691" s="33" t="s">
        <v>2913</v>
      </c>
      <c r="I691" s="33" t="s">
        <v>2892</v>
      </c>
    </row>
    <row x14ac:dyDescent="0.25" r="692" customHeight="1" ht="15.75">
      <c r="A692" s="13" t="s">
        <v>129</v>
      </c>
      <c r="B692" s="13" t="s">
        <v>807</v>
      </c>
      <c r="C692" s="32" t="s">
        <v>3788</v>
      </c>
      <c r="D692" s="33" t="s">
        <v>2998</v>
      </c>
      <c r="E692" s="33" t="s">
        <v>3276</v>
      </c>
      <c r="F692" s="33" t="s">
        <v>2998</v>
      </c>
      <c r="G692" s="33" t="s">
        <v>3179</v>
      </c>
      <c r="H692" s="33" t="s">
        <v>3351</v>
      </c>
      <c r="I692" s="33" t="s">
        <v>3276</v>
      </c>
    </row>
    <row x14ac:dyDescent="0.25" r="693" customHeight="1" ht="15.75">
      <c r="A693" s="13" t="s">
        <v>129</v>
      </c>
      <c r="B693" s="13" t="s">
        <v>568</v>
      </c>
      <c r="C693" s="32" t="s">
        <v>3415</v>
      </c>
      <c r="D693" s="33" t="s">
        <v>3184</v>
      </c>
      <c r="E693" s="33" t="s">
        <v>2937</v>
      </c>
      <c r="F693" s="33" t="s">
        <v>3159</v>
      </c>
      <c r="G693" s="33" t="s">
        <v>3074</v>
      </c>
      <c r="H693" s="33" t="s">
        <v>3196</v>
      </c>
      <c r="I693" s="33" t="s">
        <v>2919</v>
      </c>
    </row>
    <row x14ac:dyDescent="0.25" r="694" customHeight="1" ht="15.75">
      <c r="A694" s="13" t="s">
        <v>129</v>
      </c>
      <c r="B694" s="13" t="s">
        <v>644</v>
      </c>
      <c r="C694" s="32" t="s">
        <v>3793</v>
      </c>
      <c r="D694" s="33" t="s">
        <v>3278</v>
      </c>
      <c r="E694" s="33" t="s">
        <v>2931</v>
      </c>
      <c r="F694" s="33" t="s">
        <v>3618</v>
      </c>
      <c r="G694" s="33" t="s">
        <v>3031</v>
      </c>
      <c r="H694" s="33" t="s">
        <v>2935</v>
      </c>
      <c r="I694" s="33" t="s">
        <v>2935</v>
      </c>
    </row>
    <row x14ac:dyDescent="0.25" r="695" customHeight="1" ht="15.75">
      <c r="A695" s="13" t="s">
        <v>129</v>
      </c>
      <c r="B695" s="13" t="s">
        <v>1242</v>
      </c>
      <c r="C695" s="32" t="s">
        <v>3793</v>
      </c>
      <c r="D695" s="33" t="s">
        <v>3124</v>
      </c>
      <c r="E695" s="33" t="s">
        <v>2992</v>
      </c>
      <c r="F695" s="33" t="s">
        <v>2892</v>
      </c>
      <c r="G695" s="33" t="s">
        <v>3067</v>
      </c>
      <c r="H695" s="33" t="s">
        <v>2913</v>
      </c>
      <c r="I695" s="33" t="s">
        <v>2915</v>
      </c>
    </row>
    <row x14ac:dyDescent="0.25" r="696" customHeight="1" ht="15.75">
      <c r="A696" s="13" t="s">
        <v>129</v>
      </c>
      <c r="B696" s="13" t="s">
        <v>189</v>
      </c>
      <c r="C696" s="32" t="s">
        <v>3793</v>
      </c>
      <c r="D696" s="33" t="s">
        <v>2856</v>
      </c>
      <c r="E696" s="33" t="s">
        <v>2858</v>
      </c>
      <c r="F696" s="33" t="s">
        <v>3168</v>
      </c>
      <c r="G696" s="33" t="s">
        <v>3138</v>
      </c>
      <c r="H696" s="33" t="s">
        <v>3052</v>
      </c>
      <c r="I696" s="33" t="s">
        <v>2904</v>
      </c>
    </row>
    <row x14ac:dyDescent="0.25" r="697" customHeight="1" ht="15.75">
      <c r="A697" s="13" t="s">
        <v>129</v>
      </c>
      <c r="B697" s="13" t="s">
        <v>1933</v>
      </c>
      <c r="C697" s="32" t="s">
        <v>2996</v>
      </c>
      <c r="D697" s="33" t="s">
        <v>3103</v>
      </c>
      <c r="E697" s="33" t="s">
        <v>3187</v>
      </c>
      <c r="F697" s="33" t="s">
        <v>3243</v>
      </c>
      <c r="G697" s="33" t="s">
        <v>3099</v>
      </c>
      <c r="H697" s="33" t="s">
        <v>3033</v>
      </c>
      <c r="I697" s="33" t="s">
        <v>3112</v>
      </c>
    </row>
    <row x14ac:dyDescent="0.25" r="698" customHeight="1" ht="15.75">
      <c r="A698" s="13" t="s">
        <v>129</v>
      </c>
      <c r="B698" s="13" t="s">
        <v>890</v>
      </c>
      <c r="C698" s="32" t="s">
        <v>3279</v>
      </c>
      <c r="D698" s="33" t="s">
        <v>2925</v>
      </c>
      <c r="E698" s="33" t="s">
        <v>3112</v>
      </c>
      <c r="F698" s="33" t="s">
        <v>3214</v>
      </c>
      <c r="G698" s="33" t="s">
        <v>3033</v>
      </c>
      <c r="H698" s="33" t="s">
        <v>3028</v>
      </c>
      <c r="I698" s="33" t="s">
        <v>3243</v>
      </c>
    </row>
    <row x14ac:dyDescent="0.25" r="699" customHeight="1" ht="15.75">
      <c r="A699" s="13" t="s">
        <v>129</v>
      </c>
      <c r="B699" s="13" t="s">
        <v>374</v>
      </c>
      <c r="C699" s="32" t="s">
        <v>3284</v>
      </c>
      <c r="D699" s="33" t="s">
        <v>3154</v>
      </c>
      <c r="E699" s="33" t="s">
        <v>2888</v>
      </c>
      <c r="F699" s="33" t="s">
        <v>2887</v>
      </c>
      <c r="G699" s="33" t="s">
        <v>3203</v>
      </c>
      <c r="H699" s="33" t="s">
        <v>3074</v>
      </c>
      <c r="I699" s="33" t="s">
        <v>2844</v>
      </c>
    </row>
    <row x14ac:dyDescent="0.25" r="700" customHeight="1" ht="15.75">
      <c r="A700" s="13" t="s">
        <v>129</v>
      </c>
      <c r="B700" s="13" t="s">
        <v>715</v>
      </c>
      <c r="C700" s="32" t="s">
        <v>3724</v>
      </c>
      <c r="D700" s="33" t="s">
        <v>3722</v>
      </c>
      <c r="E700" s="33" t="s">
        <v>3128</v>
      </c>
      <c r="F700" s="33" t="s">
        <v>2975</v>
      </c>
      <c r="G700" s="33" t="s">
        <v>3132</v>
      </c>
      <c r="H700" s="33" t="s">
        <v>2877</v>
      </c>
      <c r="I700" s="33" t="s">
        <v>3422</v>
      </c>
    </row>
    <row x14ac:dyDescent="0.25" r="701" customHeight="1" ht="15.75">
      <c r="A701" s="13" t="s">
        <v>129</v>
      </c>
      <c r="B701" s="13" t="s">
        <v>2322</v>
      </c>
      <c r="C701" s="32" t="s">
        <v>3825</v>
      </c>
      <c r="D701" s="33" t="s">
        <v>3635</v>
      </c>
      <c r="E701" s="33" t="s">
        <v>3633</v>
      </c>
      <c r="F701" s="33" t="s">
        <v>2871</v>
      </c>
      <c r="G701" s="33" t="s">
        <v>3129</v>
      </c>
      <c r="H701" s="33" t="s">
        <v>3655</v>
      </c>
      <c r="I701" s="33" t="s">
        <v>3599</v>
      </c>
    </row>
    <row x14ac:dyDescent="0.25" r="702" customHeight="1" ht="15.75">
      <c r="A702" s="13" t="s">
        <v>129</v>
      </c>
      <c r="B702" s="13" t="s">
        <v>2200</v>
      </c>
      <c r="C702" s="32" t="s">
        <v>3825</v>
      </c>
      <c r="D702" s="33" t="s">
        <v>3136</v>
      </c>
      <c r="E702" s="33" t="s">
        <v>2980</v>
      </c>
      <c r="F702" s="33" t="s">
        <v>2991</v>
      </c>
      <c r="G702" s="33" t="s">
        <v>2942</v>
      </c>
      <c r="H702" s="33" t="s">
        <v>2942</v>
      </c>
      <c r="I702" s="33" t="s">
        <v>2942</v>
      </c>
    </row>
    <row x14ac:dyDescent="0.25" r="703" customHeight="1" ht="15.75">
      <c r="A703" s="13" t="s">
        <v>129</v>
      </c>
      <c r="B703" s="13" t="s">
        <v>1558</v>
      </c>
      <c r="C703" s="32" t="s">
        <v>3527</v>
      </c>
      <c r="D703" s="33" t="s">
        <v>3073</v>
      </c>
      <c r="E703" s="33" t="s">
        <v>3165</v>
      </c>
      <c r="F703" s="33" t="s">
        <v>3058</v>
      </c>
      <c r="G703" s="33" t="s">
        <v>3168</v>
      </c>
      <c r="H703" s="33" t="s">
        <v>2894</v>
      </c>
      <c r="I703" s="33" t="s">
        <v>3066</v>
      </c>
    </row>
    <row x14ac:dyDescent="0.25" r="704" customHeight="1" ht="15.75">
      <c r="A704" s="13" t="s">
        <v>129</v>
      </c>
      <c r="B704" s="13" t="s">
        <v>267</v>
      </c>
      <c r="C704" s="32" t="s">
        <v>3826</v>
      </c>
      <c r="D704" s="33" t="s">
        <v>2965</v>
      </c>
      <c r="E704" s="33" t="s">
        <v>2992</v>
      </c>
      <c r="F704" s="33" t="s">
        <v>2900</v>
      </c>
      <c r="G704" s="33" t="s">
        <v>3140</v>
      </c>
      <c r="H704" s="33" t="s">
        <v>3216</v>
      </c>
      <c r="I704" s="33" t="s">
        <v>3074</v>
      </c>
    </row>
    <row x14ac:dyDescent="0.25" r="705" customHeight="1" ht="15.75">
      <c r="A705" s="13" t="s">
        <v>129</v>
      </c>
      <c r="B705" s="13" t="s">
        <v>1904</v>
      </c>
      <c r="C705" s="32" t="s">
        <v>3826</v>
      </c>
      <c r="D705" s="33" t="s">
        <v>2969</v>
      </c>
      <c r="E705" s="33" t="s">
        <v>2971</v>
      </c>
      <c r="F705" s="33" t="s">
        <v>3175</v>
      </c>
      <c r="G705" s="33" t="s">
        <v>3140</v>
      </c>
      <c r="H705" s="33" t="s">
        <v>2887</v>
      </c>
      <c r="I705" s="33" t="s">
        <v>3024</v>
      </c>
    </row>
    <row x14ac:dyDescent="0.25" r="706" customHeight="1" ht="15.75">
      <c r="A706" s="13" t="s">
        <v>129</v>
      </c>
      <c r="B706" s="13" t="s">
        <v>697</v>
      </c>
      <c r="C706" s="32" t="s">
        <v>3826</v>
      </c>
      <c r="D706" s="33" t="s">
        <v>3053</v>
      </c>
      <c r="E706" s="33" t="s">
        <v>2980</v>
      </c>
      <c r="F706" s="33" t="s">
        <v>3053</v>
      </c>
      <c r="G706" s="33" t="s">
        <v>2914</v>
      </c>
      <c r="H706" s="33" t="s">
        <v>2914</v>
      </c>
      <c r="I706" s="33" t="s">
        <v>3053</v>
      </c>
    </row>
    <row x14ac:dyDescent="0.25" r="707" customHeight="1" ht="15.75">
      <c r="A707" s="13" t="s">
        <v>129</v>
      </c>
      <c r="B707" s="13" t="s">
        <v>1372</v>
      </c>
      <c r="C707" s="32" t="s">
        <v>3418</v>
      </c>
      <c r="D707" s="33" t="s">
        <v>3827</v>
      </c>
      <c r="E707" s="33" t="s">
        <v>3779</v>
      </c>
      <c r="F707" s="33" t="s">
        <v>3026</v>
      </c>
      <c r="G707" s="33" t="s">
        <v>2883</v>
      </c>
      <c r="H707" s="33" t="s">
        <v>3569</v>
      </c>
      <c r="I707" s="33" t="s">
        <v>3043</v>
      </c>
    </row>
    <row x14ac:dyDescent="0.25" r="708" customHeight="1" ht="15.75">
      <c r="A708" s="13" t="s">
        <v>129</v>
      </c>
      <c r="B708" s="13" t="s">
        <v>1377</v>
      </c>
      <c r="C708" s="32" t="s">
        <v>3034</v>
      </c>
      <c r="D708" s="33" t="s">
        <v>2863</v>
      </c>
      <c r="E708" s="33" t="s">
        <v>3091</v>
      </c>
      <c r="F708" s="33" t="s">
        <v>3009</v>
      </c>
      <c r="G708" s="33" t="s">
        <v>2884</v>
      </c>
      <c r="H708" s="33" t="s">
        <v>3172</v>
      </c>
      <c r="I708" s="33" t="s">
        <v>3038</v>
      </c>
    </row>
    <row x14ac:dyDescent="0.25" r="709" customHeight="1" ht="15.75">
      <c r="A709" s="13" t="s">
        <v>129</v>
      </c>
      <c r="B709" s="13" t="s">
        <v>2297</v>
      </c>
      <c r="C709" s="32" t="s">
        <v>3419</v>
      </c>
      <c r="D709" s="33" t="s">
        <v>3203</v>
      </c>
      <c r="E709" s="33" t="s">
        <v>2992</v>
      </c>
      <c r="F709" s="33" t="s">
        <v>3073</v>
      </c>
      <c r="G709" s="33" t="s">
        <v>3024</v>
      </c>
      <c r="H709" s="33" t="s">
        <v>3124</v>
      </c>
      <c r="I709" s="33" t="s">
        <v>3203</v>
      </c>
    </row>
    <row x14ac:dyDescent="0.25" r="710" customHeight="1" ht="15.75">
      <c r="A710" s="13" t="s">
        <v>129</v>
      </c>
      <c r="B710" s="13" t="s">
        <v>2352</v>
      </c>
      <c r="C710" s="32" t="s">
        <v>3528</v>
      </c>
      <c r="D710" s="33" t="s">
        <v>2863</v>
      </c>
      <c r="E710" s="33" t="s">
        <v>3080</v>
      </c>
      <c r="F710" s="33" t="s">
        <v>3295</v>
      </c>
      <c r="G710" s="33" t="s">
        <v>3010</v>
      </c>
      <c r="H710" s="33" t="s">
        <v>3125</v>
      </c>
      <c r="I710" s="33" t="s">
        <v>3080</v>
      </c>
    </row>
    <row x14ac:dyDescent="0.25" r="711" customHeight="1" ht="15.75">
      <c r="A711" s="13" t="s">
        <v>129</v>
      </c>
      <c r="B711" s="13" t="s">
        <v>631</v>
      </c>
      <c r="C711" s="32" t="s">
        <v>3529</v>
      </c>
      <c r="D711" s="33" t="s">
        <v>2920</v>
      </c>
      <c r="E711" s="33" t="s">
        <v>2966</v>
      </c>
      <c r="F711" s="33" t="s">
        <v>2918</v>
      </c>
      <c r="G711" s="33" t="s">
        <v>2892</v>
      </c>
      <c r="H711" s="33" t="s">
        <v>3018</v>
      </c>
      <c r="I711" s="33" t="s">
        <v>2887</v>
      </c>
    </row>
    <row x14ac:dyDescent="0.25" r="712" customHeight="1" ht="15.75">
      <c r="A712" s="13" t="s">
        <v>129</v>
      </c>
      <c r="B712" s="13" t="s">
        <v>572</v>
      </c>
      <c r="C712" s="32" t="s">
        <v>3828</v>
      </c>
      <c r="D712" s="33" t="s">
        <v>3101</v>
      </c>
      <c r="E712" s="33" t="s">
        <v>3216</v>
      </c>
      <c r="F712" s="33" t="s">
        <v>2894</v>
      </c>
      <c r="G712" s="33" t="s">
        <v>3216</v>
      </c>
      <c r="H712" s="33" t="s">
        <v>3053</v>
      </c>
      <c r="I712" s="33" t="s">
        <v>2983</v>
      </c>
    </row>
    <row x14ac:dyDescent="0.25" r="713" customHeight="1" ht="15.75">
      <c r="A713" s="13" t="s">
        <v>129</v>
      </c>
      <c r="B713" s="13" t="s">
        <v>2371</v>
      </c>
      <c r="C713" s="32" t="s">
        <v>3054</v>
      </c>
      <c r="D713" s="33" t="s">
        <v>3128</v>
      </c>
      <c r="E713" s="33" t="s">
        <v>3372</v>
      </c>
      <c r="F713" s="33" t="s">
        <v>3493</v>
      </c>
      <c r="G713" s="33" t="s">
        <v>3048</v>
      </c>
      <c r="H713" s="33" t="s">
        <v>2985</v>
      </c>
      <c r="I713" s="33" t="s">
        <v>2957</v>
      </c>
    </row>
    <row x14ac:dyDescent="0.25" r="714" customHeight="1" ht="15.75">
      <c r="A714" s="13" t="s">
        <v>129</v>
      </c>
      <c r="B714" s="13" t="s">
        <v>653</v>
      </c>
      <c r="C714" s="32" t="s">
        <v>3054</v>
      </c>
      <c r="D714" s="33" t="s">
        <v>2920</v>
      </c>
      <c r="E714" s="33" t="s">
        <v>2900</v>
      </c>
      <c r="F714" s="33" t="s">
        <v>2991</v>
      </c>
      <c r="G714" s="33" t="s">
        <v>3141</v>
      </c>
      <c r="H714" s="33" t="s">
        <v>3124</v>
      </c>
      <c r="I714" s="33" t="s">
        <v>2891</v>
      </c>
    </row>
    <row x14ac:dyDescent="0.25" r="715" customHeight="1" ht="15.75">
      <c r="A715" s="13" t="s">
        <v>129</v>
      </c>
      <c r="B715" s="13" t="s">
        <v>1969</v>
      </c>
      <c r="C715" s="32" t="s">
        <v>3059</v>
      </c>
      <c r="D715" s="33" t="s">
        <v>3345</v>
      </c>
      <c r="E715" s="33" t="s">
        <v>3275</v>
      </c>
      <c r="F715" s="33" t="s">
        <v>2935</v>
      </c>
      <c r="G715" s="33" t="s">
        <v>2925</v>
      </c>
      <c r="H715" s="33" t="s">
        <v>3030</v>
      </c>
      <c r="I715" s="33" t="s">
        <v>3100</v>
      </c>
    </row>
    <row x14ac:dyDescent="0.25" r="716" customHeight="1" ht="15.75">
      <c r="A716" s="13" t="s">
        <v>129</v>
      </c>
      <c r="B716" s="13" t="s">
        <v>1219</v>
      </c>
      <c r="C716" s="32" t="s">
        <v>3829</v>
      </c>
      <c r="D716" s="33" t="s">
        <v>2983</v>
      </c>
      <c r="E716" s="33" t="s">
        <v>2951</v>
      </c>
      <c r="F716" s="33" t="s">
        <v>2888</v>
      </c>
      <c r="G716" s="33" t="s">
        <v>2983</v>
      </c>
      <c r="H716" s="33" t="s">
        <v>3136</v>
      </c>
      <c r="I716" s="33" t="s">
        <v>2914</v>
      </c>
    </row>
    <row x14ac:dyDescent="0.25" r="717" customHeight="1" ht="15.75">
      <c r="A717" s="13" t="s">
        <v>129</v>
      </c>
      <c r="B717" s="13" t="s">
        <v>2058</v>
      </c>
      <c r="C717" s="32" t="s">
        <v>3728</v>
      </c>
      <c r="D717" s="33" t="s">
        <v>2850</v>
      </c>
      <c r="E717" s="33" t="s">
        <v>2850</v>
      </c>
      <c r="F717" s="33" t="s">
        <v>2903</v>
      </c>
      <c r="G717" s="33" t="s">
        <v>2997</v>
      </c>
      <c r="H717" s="33" t="s">
        <v>3351</v>
      </c>
      <c r="I717" s="33" t="s">
        <v>3179</v>
      </c>
    </row>
    <row x14ac:dyDescent="0.25" r="718" customHeight="1" ht="15.75">
      <c r="A718" s="13" t="s">
        <v>129</v>
      </c>
      <c r="B718" s="13" t="s">
        <v>2627</v>
      </c>
      <c r="C718" s="32" t="s">
        <v>3539</v>
      </c>
      <c r="D718" s="33" t="s">
        <v>3162</v>
      </c>
      <c r="E718" s="33" t="s">
        <v>3197</v>
      </c>
      <c r="F718" s="33" t="s">
        <v>3163</v>
      </c>
      <c r="G718" s="33" t="s">
        <v>3159</v>
      </c>
      <c r="H718" s="33" t="s">
        <v>3285</v>
      </c>
      <c r="I718" s="33" t="s">
        <v>3086</v>
      </c>
    </row>
    <row x14ac:dyDescent="0.25" r="719" customHeight="1" ht="15.75">
      <c r="A719" s="13" t="s">
        <v>129</v>
      </c>
      <c r="B719" s="13" t="s">
        <v>1957</v>
      </c>
      <c r="C719" s="32" t="s">
        <v>3539</v>
      </c>
      <c r="D719" s="33" t="s">
        <v>2894</v>
      </c>
      <c r="E719" s="33" t="s">
        <v>2991</v>
      </c>
      <c r="F719" s="33" t="s">
        <v>2913</v>
      </c>
      <c r="G719" s="33" t="s">
        <v>3170</v>
      </c>
      <c r="H719" s="33" t="s">
        <v>2970</v>
      </c>
      <c r="I719" s="33" t="s">
        <v>2900</v>
      </c>
    </row>
    <row x14ac:dyDescent="0.25" r="720" customHeight="1" ht="15.75">
      <c r="A720" s="13" t="s">
        <v>129</v>
      </c>
      <c r="B720" s="13" t="s">
        <v>1513</v>
      </c>
      <c r="C720" s="32" t="s">
        <v>3540</v>
      </c>
      <c r="D720" s="33" t="s">
        <v>3042</v>
      </c>
      <c r="E720" s="33" t="s">
        <v>3421</v>
      </c>
      <c r="F720" s="33" t="s">
        <v>3830</v>
      </c>
      <c r="G720" s="33" t="s">
        <v>3317</v>
      </c>
      <c r="H720" s="33" t="s">
        <v>3305</v>
      </c>
      <c r="I720" s="33" t="s">
        <v>3421</v>
      </c>
    </row>
    <row x14ac:dyDescent="0.25" r="721" customHeight="1" ht="15.75">
      <c r="A721" s="13" t="s">
        <v>129</v>
      </c>
      <c r="B721" s="13" t="s">
        <v>2055</v>
      </c>
      <c r="C721" s="32" t="s">
        <v>3540</v>
      </c>
      <c r="D721" s="33" t="s">
        <v>3187</v>
      </c>
      <c r="E721" s="33" t="s">
        <v>3187</v>
      </c>
      <c r="F721" s="33" t="s">
        <v>2891</v>
      </c>
      <c r="G721" s="33" t="s">
        <v>3186</v>
      </c>
      <c r="H721" s="33" t="s">
        <v>2959</v>
      </c>
      <c r="I721" s="33" t="s">
        <v>2962</v>
      </c>
    </row>
    <row x14ac:dyDescent="0.25" r="722" customHeight="1" ht="15.75">
      <c r="A722" s="13" t="s">
        <v>129</v>
      </c>
      <c r="B722" s="13" t="s">
        <v>1299</v>
      </c>
      <c r="C722" s="32" t="s">
        <v>3427</v>
      </c>
      <c r="D722" s="33" t="s">
        <v>3222</v>
      </c>
      <c r="E722" s="33" t="s">
        <v>3074</v>
      </c>
      <c r="F722" s="33" t="s">
        <v>2899</v>
      </c>
      <c r="G722" s="33" t="s">
        <v>2892</v>
      </c>
      <c r="H722" s="33" t="s">
        <v>3114</v>
      </c>
      <c r="I722" s="33" t="s">
        <v>2892</v>
      </c>
    </row>
    <row x14ac:dyDescent="0.25" r="723" customHeight="1" ht="15.75">
      <c r="A723" s="13" t="s">
        <v>129</v>
      </c>
      <c r="B723" s="13" t="s">
        <v>779</v>
      </c>
      <c r="C723" s="32" t="s">
        <v>3730</v>
      </c>
      <c r="D723" s="33" t="s">
        <v>3145</v>
      </c>
      <c r="E723" s="33" t="s">
        <v>2959</v>
      </c>
      <c r="F723" s="33" t="s">
        <v>2836</v>
      </c>
      <c r="G723" s="33" t="s">
        <v>3144</v>
      </c>
      <c r="H723" s="33" t="s">
        <v>2842</v>
      </c>
      <c r="I723" s="33" t="s">
        <v>3033</v>
      </c>
    </row>
    <row x14ac:dyDescent="0.25" r="724" customHeight="1" ht="15.75">
      <c r="A724" s="13" t="s">
        <v>129</v>
      </c>
      <c r="B724" s="13" t="s">
        <v>1248</v>
      </c>
      <c r="C724" s="32" t="s">
        <v>3297</v>
      </c>
      <c r="D724" s="33" t="s">
        <v>3172</v>
      </c>
      <c r="E724" s="33" t="s">
        <v>2974</v>
      </c>
      <c r="F724" s="33" t="s">
        <v>3372</v>
      </c>
      <c r="G724" s="33" t="s">
        <v>3149</v>
      </c>
      <c r="H724" s="33" t="s">
        <v>3317</v>
      </c>
      <c r="I724" s="33" t="s">
        <v>3127</v>
      </c>
    </row>
    <row x14ac:dyDescent="0.25" r="725" customHeight="1" ht="15.75">
      <c r="A725" s="13" t="s">
        <v>129</v>
      </c>
      <c r="B725" s="13" t="s">
        <v>2396</v>
      </c>
      <c r="C725" s="32" t="s">
        <v>3831</v>
      </c>
      <c r="D725" s="33" t="s">
        <v>3832</v>
      </c>
      <c r="E725" s="33" t="s">
        <v>3779</v>
      </c>
      <c r="F725" s="33" t="s">
        <v>3131</v>
      </c>
      <c r="G725" s="33" t="s">
        <v>3372</v>
      </c>
      <c r="H725" s="33" t="s">
        <v>3382</v>
      </c>
      <c r="I725" s="33" t="s">
        <v>3027</v>
      </c>
    </row>
    <row x14ac:dyDescent="0.25" r="726" customHeight="1" ht="15.75">
      <c r="A726" s="13" t="s">
        <v>129</v>
      </c>
      <c r="B726" s="13" t="s">
        <v>994</v>
      </c>
      <c r="C726" s="32" t="s">
        <v>3833</v>
      </c>
      <c r="D726" s="33" t="s">
        <v>3101</v>
      </c>
      <c r="E726" s="33" t="s">
        <v>3301</v>
      </c>
      <c r="F726" s="33" t="s">
        <v>3073</v>
      </c>
      <c r="G726" s="33" t="s">
        <v>2887</v>
      </c>
      <c r="H726" s="33" t="s">
        <v>3074</v>
      </c>
      <c r="I726" s="33" t="s">
        <v>3175</v>
      </c>
    </row>
    <row x14ac:dyDescent="0.25" r="727" customHeight="1" ht="15.75">
      <c r="A727" s="13" t="s">
        <v>129</v>
      </c>
      <c r="B727" s="13" t="s">
        <v>2548</v>
      </c>
      <c r="C727" s="32" t="s">
        <v>3089</v>
      </c>
      <c r="D727" s="33" t="s">
        <v>3042</v>
      </c>
      <c r="E727" s="33" t="s">
        <v>3314</v>
      </c>
      <c r="F727" s="33" t="s">
        <v>2881</v>
      </c>
      <c r="G727" s="33" t="s">
        <v>3834</v>
      </c>
      <c r="H727" s="33" t="s">
        <v>2862</v>
      </c>
      <c r="I727" s="33" t="s">
        <v>3491</v>
      </c>
    </row>
    <row x14ac:dyDescent="0.25" r="728" customHeight="1" ht="15.75">
      <c r="A728" s="13" t="s">
        <v>129</v>
      </c>
      <c r="B728" s="13" t="s">
        <v>2451</v>
      </c>
      <c r="C728" s="32" t="s">
        <v>3089</v>
      </c>
      <c r="D728" s="33" t="s">
        <v>3138</v>
      </c>
      <c r="E728" s="33" t="s">
        <v>3193</v>
      </c>
      <c r="F728" s="33" t="s">
        <v>2903</v>
      </c>
      <c r="G728" s="33" t="s">
        <v>2858</v>
      </c>
      <c r="H728" s="33" t="s">
        <v>3353</v>
      </c>
      <c r="I728" s="33" t="s">
        <v>2858</v>
      </c>
    </row>
    <row x14ac:dyDescent="0.25" r="729" customHeight="1" ht="15.75">
      <c r="A729" s="13" t="s">
        <v>129</v>
      </c>
      <c r="B729" s="13" t="s">
        <v>1696</v>
      </c>
      <c r="C729" s="32" t="s">
        <v>3308</v>
      </c>
      <c r="D729" s="33" t="s">
        <v>3835</v>
      </c>
      <c r="E729" s="33" t="s">
        <v>3669</v>
      </c>
      <c r="F729" s="33" t="s">
        <v>3676</v>
      </c>
      <c r="G729" s="33" t="s">
        <v>2864</v>
      </c>
      <c r="H729" s="33" t="s">
        <v>3649</v>
      </c>
      <c r="I729" s="33" t="s">
        <v>3654</v>
      </c>
    </row>
    <row x14ac:dyDescent="0.25" r="730" customHeight="1" ht="15.75">
      <c r="A730" s="13" t="s">
        <v>129</v>
      </c>
      <c r="B730" s="13" t="s">
        <v>1493</v>
      </c>
      <c r="C730" s="32" t="s">
        <v>3309</v>
      </c>
      <c r="D730" s="33" t="s">
        <v>2957</v>
      </c>
      <c r="E730" s="33" t="s">
        <v>3079</v>
      </c>
      <c r="F730" s="33" t="s">
        <v>2927</v>
      </c>
      <c r="G730" s="33" t="s">
        <v>3092</v>
      </c>
      <c r="H730" s="33" t="s">
        <v>3215</v>
      </c>
      <c r="I730" s="33" t="s">
        <v>3101</v>
      </c>
    </row>
    <row x14ac:dyDescent="0.25" r="731" customHeight="1" ht="15.75">
      <c r="A731" s="13" t="s">
        <v>129</v>
      </c>
      <c r="B731" s="13" t="s">
        <v>1061</v>
      </c>
      <c r="C731" s="32" t="s">
        <v>3308</v>
      </c>
      <c r="D731" s="33" t="s">
        <v>3107</v>
      </c>
      <c r="E731" s="33" t="s">
        <v>3101</v>
      </c>
      <c r="F731" s="33" t="s">
        <v>2963</v>
      </c>
      <c r="G731" s="33" t="s">
        <v>3086</v>
      </c>
      <c r="H731" s="33" t="s">
        <v>3184</v>
      </c>
      <c r="I731" s="33" t="s">
        <v>2921</v>
      </c>
    </row>
    <row x14ac:dyDescent="0.25" r="732" customHeight="1" ht="15.75">
      <c r="A732" s="13" t="s">
        <v>129</v>
      </c>
      <c r="B732" s="13" t="s">
        <v>743</v>
      </c>
      <c r="C732" s="32" t="s">
        <v>3309</v>
      </c>
      <c r="D732" s="33" t="s">
        <v>3122</v>
      </c>
      <c r="E732" s="33" t="s">
        <v>3165</v>
      </c>
      <c r="F732" s="33" t="s">
        <v>2921</v>
      </c>
      <c r="G732" s="33" t="s">
        <v>3024</v>
      </c>
      <c r="H732" s="33" t="s">
        <v>2887</v>
      </c>
      <c r="I732" s="33" t="s">
        <v>3301</v>
      </c>
    </row>
    <row x14ac:dyDescent="0.25" r="733" customHeight="1" ht="15.75">
      <c r="A733" s="13" t="s">
        <v>129</v>
      </c>
      <c r="B733" s="13" t="s">
        <v>2203</v>
      </c>
      <c r="C733" s="32" t="s">
        <v>3836</v>
      </c>
      <c r="D733" s="33" t="s">
        <v>2950</v>
      </c>
      <c r="E733" s="33" t="s">
        <v>2950</v>
      </c>
      <c r="F733" s="33" t="s">
        <v>2849</v>
      </c>
      <c r="G733" s="33" t="s">
        <v>2905</v>
      </c>
      <c r="H733" s="33" t="s">
        <v>2950</v>
      </c>
      <c r="I733" s="33" t="s">
        <v>2849</v>
      </c>
    </row>
    <row x14ac:dyDescent="0.25" r="734" customHeight="1" ht="15.75">
      <c r="A734" s="13" t="s">
        <v>129</v>
      </c>
      <c r="B734" s="13" t="s">
        <v>445</v>
      </c>
      <c r="C734" s="32" t="s">
        <v>3097</v>
      </c>
      <c r="D734" s="33" t="s">
        <v>3022</v>
      </c>
      <c r="E734" s="33" t="s">
        <v>3086</v>
      </c>
      <c r="F734" s="33" t="s">
        <v>2962</v>
      </c>
      <c r="G734" s="33" t="s">
        <v>3086</v>
      </c>
      <c r="H734" s="33" t="s">
        <v>2882</v>
      </c>
      <c r="I734" s="33" t="s">
        <v>3187</v>
      </c>
    </row>
    <row x14ac:dyDescent="0.25" r="735" customHeight="1" ht="15.75">
      <c r="A735" s="13" t="s">
        <v>129</v>
      </c>
      <c r="B735" s="13" t="s">
        <v>1858</v>
      </c>
      <c r="C735" s="32" t="s">
        <v>3202</v>
      </c>
      <c r="D735" s="33" t="s">
        <v>3320</v>
      </c>
      <c r="E735" s="33" t="s">
        <v>2985</v>
      </c>
      <c r="F735" s="33" t="s">
        <v>3077</v>
      </c>
      <c r="G735" s="33" t="s">
        <v>3271</v>
      </c>
      <c r="H735" s="33" t="s">
        <v>3043</v>
      </c>
      <c r="I735" s="33" t="s">
        <v>3372</v>
      </c>
    </row>
    <row x14ac:dyDescent="0.25" r="736" customHeight="1" ht="15.75">
      <c r="A736" s="13" t="s">
        <v>129</v>
      </c>
      <c r="B736" s="13" t="s">
        <v>1550</v>
      </c>
      <c r="C736" s="32" t="s">
        <v>3315</v>
      </c>
      <c r="D736" s="33" t="s">
        <v>3058</v>
      </c>
      <c r="E736" s="33" t="s">
        <v>2891</v>
      </c>
      <c r="F736" s="33" t="s">
        <v>2900</v>
      </c>
      <c r="G736" s="33" t="s">
        <v>3067</v>
      </c>
      <c r="H736" s="33" t="s">
        <v>2992</v>
      </c>
      <c r="I736" s="33" t="s">
        <v>2942</v>
      </c>
    </row>
    <row x14ac:dyDescent="0.25" r="737" customHeight="1" ht="15.75">
      <c r="A737" s="13" t="s">
        <v>129</v>
      </c>
      <c r="B737" s="13" t="s">
        <v>1717</v>
      </c>
      <c r="C737" s="32" t="s">
        <v>3113</v>
      </c>
      <c r="D737" s="33" t="s">
        <v>2974</v>
      </c>
      <c r="E737" s="33" t="s">
        <v>3345</v>
      </c>
      <c r="F737" s="33" t="s">
        <v>3295</v>
      </c>
      <c r="G737" s="33" t="s">
        <v>3425</v>
      </c>
      <c r="H737" s="33" t="s">
        <v>2926</v>
      </c>
      <c r="I737" s="33" t="s">
        <v>3046</v>
      </c>
    </row>
    <row x14ac:dyDescent="0.25" r="738" customHeight="1" ht="15.75">
      <c r="A738" s="13" t="s">
        <v>129</v>
      </c>
      <c r="B738" s="13" t="s">
        <v>552</v>
      </c>
      <c r="C738" s="32" t="s">
        <v>3675</v>
      </c>
      <c r="D738" s="33" t="s">
        <v>2990</v>
      </c>
      <c r="E738" s="33" t="s">
        <v>2889</v>
      </c>
      <c r="F738" s="33" t="s">
        <v>2992</v>
      </c>
      <c r="G738" s="33" t="s">
        <v>2991</v>
      </c>
      <c r="H738" s="33" t="s">
        <v>3196</v>
      </c>
      <c r="I738" s="33" t="s">
        <v>3073</v>
      </c>
    </row>
    <row x14ac:dyDescent="0.25" r="739" customHeight="1" ht="15.75">
      <c r="A739" s="13" t="s">
        <v>129</v>
      </c>
      <c r="B739" s="13" t="s">
        <v>2126</v>
      </c>
      <c r="C739" s="32" t="s">
        <v>3123</v>
      </c>
      <c r="D739" s="33" t="s">
        <v>2987</v>
      </c>
      <c r="E739" s="33" t="s">
        <v>3112</v>
      </c>
      <c r="F739" s="33" t="s">
        <v>2964</v>
      </c>
      <c r="G739" s="33" t="s">
        <v>3214</v>
      </c>
      <c r="H739" s="33" t="s">
        <v>3214</v>
      </c>
      <c r="I739" s="33" t="s">
        <v>3079</v>
      </c>
    </row>
    <row x14ac:dyDescent="0.25" r="740" customHeight="1" ht="15.75">
      <c r="A740" s="13" t="s">
        <v>129</v>
      </c>
      <c r="B740" s="13" t="s">
        <v>1554</v>
      </c>
      <c r="C740" s="32" t="s">
        <v>3557</v>
      </c>
      <c r="D740" s="33" t="s">
        <v>2976</v>
      </c>
      <c r="E740" s="33" t="s">
        <v>2976</v>
      </c>
      <c r="F740" s="33" t="s">
        <v>2976</v>
      </c>
      <c r="G740" s="33" t="s">
        <v>3143</v>
      </c>
      <c r="H740" s="33" t="s">
        <v>3143</v>
      </c>
      <c r="I740" s="33" t="s">
        <v>3045</v>
      </c>
    </row>
    <row x14ac:dyDescent="0.25" r="741" customHeight="1" ht="15.75">
      <c r="A741" s="13" t="s">
        <v>129</v>
      </c>
      <c r="B741" s="13" t="s">
        <v>1812</v>
      </c>
      <c r="C741" s="32" t="s">
        <v>3321</v>
      </c>
      <c r="D741" s="33" t="s">
        <v>2856</v>
      </c>
      <c r="E741" s="33" t="s">
        <v>3137</v>
      </c>
      <c r="F741" s="33" t="s">
        <v>3156</v>
      </c>
      <c r="G741" s="33" t="s">
        <v>3136</v>
      </c>
      <c r="H741" s="33" t="s">
        <v>2980</v>
      </c>
      <c r="I741" s="33" t="s">
        <v>2980</v>
      </c>
    </row>
    <row x14ac:dyDescent="0.25" r="742" customHeight="1" ht="15.75">
      <c r="A742" s="13" t="s">
        <v>129</v>
      </c>
      <c r="B742" s="13" t="s">
        <v>2579</v>
      </c>
      <c r="C742" s="32" t="s">
        <v>3130</v>
      </c>
      <c r="D742" s="33" t="s">
        <v>2915</v>
      </c>
      <c r="E742" s="33" t="s">
        <v>3170</v>
      </c>
      <c r="F742" s="33" t="s">
        <v>3067</v>
      </c>
      <c r="G742" s="33" t="s">
        <v>2915</v>
      </c>
      <c r="H742" s="33" t="s">
        <v>2899</v>
      </c>
      <c r="I742" s="33" t="s">
        <v>3170</v>
      </c>
    </row>
    <row x14ac:dyDescent="0.25" r="743" customHeight="1" ht="15.75">
      <c r="A743" s="13" t="s">
        <v>129</v>
      </c>
      <c r="B743" s="13" t="s">
        <v>1322</v>
      </c>
      <c r="C743" s="32" t="s">
        <v>3559</v>
      </c>
      <c r="D743" s="33" t="s">
        <v>2931</v>
      </c>
      <c r="E743" s="33" t="s">
        <v>3201</v>
      </c>
      <c r="F743" s="33" t="s">
        <v>2927</v>
      </c>
      <c r="G743" s="33" t="s">
        <v>3107</v>
      </c>
      <c r="H743" s="33" t="s">
        <v>2960</v>
      </c>
      <c r="I743" s="33" t="s">
        <v>2936</v>
      </c>
    </row>
    <row x14ac:dyDescent="0.25" r="744" customHeight="1" ht="15.75">
      <c r="A744" s="13" t="s">
        <v>129</v>
      </c>
      <c r="B744" s="13" t="s">
        <v>2505</v>
      </c>
      <c r="C744" s="32" t="s">
        <v>3142</v>
      </c>
      <c r="D744" s="33" t="s">
        <v>3180</v>
      </c>
      <c r="E744" s="33" t="s">
        <v>3180</v>
      </c>
      <c r="F744" s="33" t="s">
        <v>2999</v>
      </c>
      <c r="G744" s="33" t="s">
        <v>2852</v>
      </c>
      <c r="H744" s="33" t="s">
        <v>3055</v>
      </c>
      <c r="I744" s="33" t="s">
        <v>2999</v>
      </c>
    </row>
    <row x14ac:dyDescent="0.25" r="745" customHeight="1" ht="15.75">
      <c r="A745" s="13" t="s">
        <v>129</v>
      </c>
      <c r="B745" s="13" t="s">
        <v>706</v>
      </c>
      <c r="C745" s="32" t="s">
        <v>3837</v>
      </c>
      <c r="D745" s="33" t="s">
        <v>2891</v>
      </c>
      <c r="E745" s="33" t="s">
        <v>2900</v>
      </c>
      <c r="F745" s="33" t="s">
        <v>2899</v>
      </c>
      <c r="G745" s="33" t="s">
        <v>3168</v>
      </c>
      <c r="H745" s="33" t="s">
        <v>2918</v>
      </c>
      <c r="I745" s="33" t="s">
        <v>2990</v>
      </c>
    </row>
    <row x14ac:dyDescent="0.25" r="746" customHeight="1" ht="15.75">
      <c r="A746" s="13" t="s">
        <v>129</v>
      </c>
      <c r="B746" s="13" t="s">
        <v>2400</v>
      </c>
      <c r="C746" s="32" t="s">
        <v>3217</v>
      </c>
      <c r="D746" s="33" t="s">
        <v>3170</v>
      </c>
      <c r="E746" s="33" t="s">
        <v>3050</v>
      </c>
      <c r="F746" s="33" t="s">
        <v>2979</v>
      </c>
      <c r="G746" s="33" t="s">
        <v>2942</v>
      </c>
      <c r="H746" s="33" t="s">
        <v>2983</v>
      </c>
      <c r="I746" s="33" t="s">
        <v>2888</v>
      </c>
    </row>
    <row x14ac:dyDescent="0.25" r="747" customHeight="1" ht="15.75">
      <c r="A747" s="13" t="s">
        <v>129</v>
      </c>
      <c r="B747" s="13" t="s">
        <v>2489</v>
      </c>
      <c r="C747" s="32" t="s">
        <v>3155</v>
      </c>
      <c r="D747" s="33" t="s">
        <v>3081</v>
      </c>
      <c r="E747" s="33" t="s">
        <v>3225</v>
      </c>
      <c r="F747" s="33" t="s">
        <v>2923</v>
      </c>
      <c r="G747" s="33" t="s">
        <v>3296</v>
      </c>
      <c r="H747" s="33" t="s">
        <v>2885</v>
      </c>
      <c r="I747" s="33" t="s">
        <v>2987</v>
      </c>
    </row>
    <row x14ac:dyDescent="0.25" r="748" customHeight="1" ht="15.75">
      <c r="A748" s="13" t="s">
        <v>129</v>
      </c>
      <c r="B748" s="13" t="s">
        <v>2586</v>
      </c>
      <c r="C748" s="32" t="s">
        <v>3167</v>
      </c>
      <c r="D748" s="33" t="s">
        <v>3149</v>
      </c>
      <c r="E748" s="33" t="s">
        <v>3638</v>
      </c>
      <c r="F748" s="33" t="s">
        <v>3132</v>
      </c>
      <c r="G748" s="33" t="s">
        <v>3038</v>
      </c>
      <c r="H748" s="33" t="s">
        <v>3432</v>
      </c>
      <c r="I748" s="33" t="s">
        <v>3278</v>
      </c>
    </row>
    <row x14ac:dyDescent="0.25" r="749" customHeight="1" ht="15.75">
      <c r="A749" s="13" t="s">
        <v>109</v>
      </c>
      <c r="B749" s="13" t="s">
        <v>937</v>
      </c>
      <c r="C749" s="32" t="s">
        <v>3257</v>
      </c>
      <c r="D749" s="33" t="s">
        <v>2899</v>
      </c>
      <c r="E749" s="33" t="s">
        <v>2889</v>
      </c>
      <c r="F749" s="33" t="s">
        <v>2914</v>
      </c>
      <c r="G749" s="33" t="s">
        <v>2943</v>
      </c>
      <c r="H749" s="33" t="s">
        <v>3138</v>
      </c>
      <c r="I749" s="33" t="s">
        <v>2888</v>
      </c>
    </row>
    <row x14ac:dyDescent="0.25" r="750" customHeight="1" ht="15.75">
      <c r="A750" s="13" t="s">
        <v>109</v>
      </c>
      <c r="B750" s="13" t="s">
        <v>1820</v>
      </c>
      <c r="C750" s="32" t="s">
        <v>3259</v>
      </c>
      <c r="D750" s="33" t="s">
        <v>3050</v>
      </c>
      <c r="E750" s="33" t="s">
        <v>3138</v>
      </c>
      <c r="F750" s="33" t="s">
        <v>2848</v>
      </c>
      <c r="G750" s="33" t="s">
        <v>3138</v>
      </c>
      <c r="H750" s="33" t="s">
        <v>3193</v>
      </c>
      <c r="I750" s="33" t="s">
        <v>3138</v>
      </c>
    </row>
    <row x14ac:dyDescent="0.25" r="751" customHeight="1" ht="15.75">
      <c r="A751" s="13" t="s">
        <v>109</v>
      </c>
      <c r="B751" s="13" t="s">
        <v>1375</v>
      </c>
      <c r="C751" s="32" t="s">
        <v>3637</v>
      </c>
      <c r="D751" s="33" t="s">
        <v>2889</v>
      </c>
      <c r="E751" s="33" t="s">
        <v>3138</v>
      </c>
      <c r="F751" s="33" t="s">
        <v>2889</v>
      </c>
      <c r="G751" s="33" t="s">
        <v>2942</v>
      </c>
      <c r="H751" s="33" t="s">
        <v>2979</v>
      </c>
      <c r="I751" s="33" t="s">
        <v>2983</v>
      </c>
    </row>
    <row x14ac:dyDescent="0.25" r="752" customHeight="1" ht="15.75">
      <c r="A752" s="13" t="s">
        <v>109</v>
      </c>
      <c r="B752" s="13" t="s">
        <v>863</v>
      </c>
      <c r="C752" s="32" t="s">
        <v>3637</v>
      </c>
      <c r="D752" s="33" t="s">
        <v>2903</v>
      </c>
      <c r="E752" s="33" t="s">
        <v>2843</v>
      </c>
      <c r="F752" s="33" t="s">
        <v>3151</v>
      </c>
      <c r="G752" s="33" t="s">
        <v>2847</v>
      </c>
      <c r="H752" s="33" t="s">
        <v>2849</v>
      </c>
      <c r="I752" s="33" t="s">
        <v>2850</v>
      </c>
    </row>
    <row x14ac:dyDescent="0.25" r="753" customHeight="1" ht="15.75">
      <c r="A753" s="13" t="s">
        <v>109</v>
      </c>
      <c r="B753" s="13" t="s">
        <v>1748</v>
      </c>
      <c r="C753" s="32" t="s">
        <v>3192</v>
      </c>
      <c r="D753" s="33" t="s">
        <v>2894</v>
      </c>
      <c r="E753" s="33" t="s">
        <v>3137</v>
      </c>
      <c r="F753" s="33" t="s">
        <v>2856</v>
      </c>
      <c r="G753" s="33" t="s">
        <v>2951</v>
      </c>
      <c r="H753" s="33" t="s">
        <v>2983</v>
      </c>
      <c r="I753" s="33" t="s">
        <v>2905</v>
      </c>
    </row>
    <row x14ac:dyDescent="0.25" r="754" customHeight="1" ht="15.75">
      <c r="A754" s="13" t="s">
        <v>109</v>
      </c>
      <c r="B754" s="13" t="s">
        <v>997</v>
      </c>
      <c r="C754" s="32" t="s">
        <v>3194</v>
      </c>
      <c r="D754" s="33" t="s">
        <v>2895</v>
      </c>
      <c r="E754" s="33" t="s">
        <v>3052</v>
      </c>
      <c r="F754" s="33" t="s">
        <v>2893</v>
      </c>
      <c r="G754" s="33" t="s">
        <v>3067</v>
      </c>
      <c r="H754" s="33" t="s">
        <v>2891</v>
      </c>
      <c r="I754" s="33" t="s">
        <v>3053</v>
      </c>
    </row>
    <row x14ac:dyDescent="0.25" r="755" customHeight="1" ht="15.75">
      <c r="A755" s="13" t="s">
        <v>109</v>
      </c>
      <c r="B755" s="13" t="s">
        <v>2247</v>
      </c>
      <c r="C755" s="32" t="s">
        <v>3034</v>
      </c>
      <c r="D755" s="33" t="s">
        <v>3184</v>
      </c>
      <c r="E755" s="33" t="s">
        <v>3023</v>
      </c>
      <c r="F755" s="33" t="s">
        <v>3100</v>
      </c>
      <c r="G755" s="33" t="s">
        <v>2966</v>
      </c>
      <c r="H755" s="33" t="s">
        <v>2937</v>
      </c>
      <c r="I755" s="33" t="s">
        <v>3052</v>
      </c>
    </row>
    <row x14ac:dyDescent="0.25" r="756" customHeight="1" ht="15.75">
      <c r="A756" s="13" t="s">
        <v>109</v>
      </c>
      <c r="B756" s="13" t="s">
        <v>114</v>
      </c>
      <c r="C756" s="32" t="s">
        <v>3292</v>
      </c>
      <c r="D756" s="33" t="s">
        <v>3138</v>
      </c>
      <c r="E756" s="33" t="s">
        <v>2904</v>
      </c>
      <c r="F756" s="33" t="s">
        <v>3136</v>
      </c>
      <c r="G756" s="33" t="s">
        <v>3051</v>
      </c>
      <c r="H756" s="33" t="s">
        <v>2951</v>
      </c>
      <c r="I756" s="33" t="s">
        <v>2951</v>
      </c>
    </row>
    <row x14ac:dyDescent="0.25" r="757" customHeight="1" ht="15.75">
      <c r="A757" s="13" t="s">
        <v>109</v>
      </c>
      <c r="B757" s="13" t="s">
        <v>1217</v>
      </c>
      <c r="C757" s="32" t="s">
        <v>3199</v>
      </c>
      <c r="D757" s="33" t="s">
        <v>2914</v>
      </c>
      <c r="E757" s="33" t="s">
        <v>2848</v>
      </c>
      <c r="F757" s="33" t="s">
        <v>3353</v>
      </c>
      <c r="G757" s="33" t="s">
        <v>3136</v>
      </c>
      <c r="H757" s="33" t="s">
        <v>3353</v>
      </c>
      <c r="I757" s="33" t="s">
        <v>3353</v>
      </c>
    </row>
    <row x14ac:dyDescent="0.25" r="758" customHeight="1" ht="15.75">
      <c r="A758" s="13" t="s">
        <v>109</v>
      </c>
      <c r="B758" s="13" t="s">
        <v>1648</v>
      </c>
      <c r="C758" s="32" t="s">
        <v>3072</v>
      </c>
      <c r="D758" s="33" t="s">
        <v>2925</v>
      </c>
      <c r="E758" s="33" t="s">
        <v>3033</v>
      </c>
      <c r="F758" s="33" t="s">
        <v>3222</v>
      </c>
      <c r="G758" s="33" t="s">
        <v>3033</v>
      </c>
      <c r="H758" s="33" t="s">
        <v>3184</v>
      </c>
      <c r="I758" s="33" t="s">
        <v>3165</v>
      </c>
    </row>
    <row x14ac:dyDescent="0.25" r="759" customHeight="1" ht="15.75">
      <c r="A759" s="13" t="s">
        <v>109</v>
      </c>
      <c r="B759" s="13" t="s">
        <v>2393</v>
      </c>
      <c r="C759" s="32" t="s">
        <v>3098</v>
      </c>
      <c r="D759" s="33" t="s">
        <v>3243</v>
      </c>
      <c r="E759" s="33" t="s">
        <v>2927</v>
      </c>
      <c r="F759" s="33" t="s">
        <v>2917</v>
      </c>
      <c r="G759" s="33" t="s">
        <v>3186</v>
      </c>
      <c r="H759" s="33" t="s">
        <v>3063</v>
      </c>
      <c r="I759" s="33" t="s">
        <v>3063</v>
      </c>
    </row>
    <row x14ac:dyDescent="0.25" r="760" customHeight="1" ht="15.75">
      <c r="A760" s="13" t="s">
        <v>109</v>
      </c>
      <c r="B760" s="13" t="s">
        <v>2243</v>
      </c>
      <c r="C760" s="32" t="s">
        <v>3202</v>
      </c>
      <c r="D760" s="33" t="s">
        <v>3136</v>
      </c>
      <c r="E760" s="33" t="s">
        <v>2902</v>
      </c>
      <c r="F760" s="33" t="s">
        <v>2951</v>
      </c>
      <c r="G760" s="33" t="s">
        <v>2904</v>
      </c>
      <c r="H760" s="33" t="s">
        <v>2903</v>
      </c>
      <c r="I760" s="33" t="s">
        <v>2849</v>
      </c>
    </row>
    <row x14ac:dyDescent="0.25" r="761" customHeight="1" ht="15.75">
      <c r="A761" s="13" t="s">
        <v>109</v>
      </c>
      <c r="B761" s="13" t="s">
        <v>2430</v>
      </c>
      <c r="C761" s="32" t="s">
        <v>3838</v>
      </c>
      <c r="D761" s="33" t="s">
        <v>3023</v>
      </c>
      <c r="E761" s="33" t="s">
        <v>3184</v>
      </c>
      <c r="F761" s="33" t="s">
        <v>3058</v>
      </c>
      <c r="G761" s="33" t="s">
        <v>2992</v>
      </c>
      <c r="H761" s="33" t="s">
        <v>2913</v>
      </c>
      <c r="I761" s="33" t="s">
        <v>3066</v>
      </c>
    </row>
    <row x14ac:dyDescent="0.25" r="762" customHeight="1" ht="15.75">
      <c r="A762" s="13" t="s">
        <v>109</v>
      </c>
      <c r="B762" s="13" t="s">
        <v>2016</v>
      </c>
      <c r="C762" s="32" t="s">
        <v>3675</v>
      </c>
      <c r="D762" s="33" t="s">
        <v>2999</v>
      </c>
      <c r="E762" s="33" t="s">
        <v>2999</v>
      </c>
      <c r="F762" s="33" t="s">
        <v>3055</v>
      </c>
      <c r="G762" s="33" t="s">
        <v>2999</v>
      </c>
      <c r="H762" s="33" t="s">
        <v>2999</v>
      </c>
      <c r="I762" s="33" t="s">
        <v>2999</v>
      </c>
    </row>
    <row x14ac:dyDescent="0.25" r="763" customHeight="1" ht="15.75">
      <c r="A763" s="13" t="s">
        <v>109</v>
      </c>
      <c r="B763" s="13" t="s">
        <v>446</v>
      </c>
      <c r="C763" s="32" t="s">
        <v>3839</v>
      </c>
      <c r="D763" s="33" t="s">
        <v>3136</v>
      </c>
      <c r="E763" s="33" t="s">
        <v>3353</v>
      </c>
      <c r="F763" s="33" t="s">
        <v>2943</v>
      </c>
      <c r="G763" s="33" t="s">
        <v>2849</v>
      </c>
      <c r="H763" s="33" t="s">
        <v>2902</v>
      </c>
      <c r="I763" s="33" t="s">
        <v>3180</v>
      </c>
    </row>
    <row x14ac:dyDescent="0.25" r="764" customHeight="1" ht="15.75">
      <c r="A764" s="13" t="s">
        <v>109</v>
      </c>
      <c r="B764" s="13" t="s">
        <v>2358</v>
      </c>
      <c r="C764" s="32" t="s">
        <v>3133</v>
      </c>
      <c r="D764" s="33" t="s">
        <v>3285</v>
      </c>
      <c r="E764" s="33" t="s">
        <v>2891</v>
      </c>
      <c r="F764" s="33" t="s">
        <v>3115</v>
      </c>
      <c r="G764" s="33" t="s">
        <v>2966</v>
      </c>
      <c r="H764" s="33" t="s">
        <v>3023</v>
      </c>
      <c r="I764" s="33" t="s">
        <v>3101</v>
      </c>
    </row>
    <row x14ac:dyDescent="0.25" r="765" customHeight="1" ht="15.75">
      <c r="A765" s="13" t="s">
        <v>109</v>
      </c>
      <c r="B765" s="13" t="s">
        <v>484</v>
      </c>
      <c r="C765" s="32" t="s">
        <v>3139</v>
      </c>
      <c r="D765" s="33" t="s">
        <v>2888</v>
      </c>
      <c r="E765" s="33" t="s">
        <v>2903</v>
      </c>
      <c r="F765" s="33" t="s">
        <v>3156</v>
      </c>
      <c r="G765" s="33" t="s">
        <v>2856</v>
      </c>
      <c r="H765" s="33" t="s">
        <v>3156</v>
      </c>
      <c r="I765" s="33" t="s">
        <v>3156</v>
      </c>
    </row>
    <row x14ac:dyDescent="0.25" r="766" customHeight="1" ht="15.75">
      <c r="A766" s="13" t="s">
        <v>109</v>
      </c>
      <c r="B766" s="13" t="s">
        <v>2010</v>
      </c>
      <c r="C766" s="32" t="s">
        <v>3700</v>
      </c>
      <c r="D766" s="33" t="s">
        <v>2955</v>
      </c>
      <c r="E766" s="33" t="s">
        <v>2930</v>
      </c>
      <c r="F766" s="33" t="s">
        <v>3082</v>
      </c>
      <c r="G766" s="33" t="s">
        <v>3064</v>
      </c>
      <c r="H766" s="33" t="s">
        <v>3105</v>
      </c>
      <c r="I766" s="33" t="s">
        <v>3112</v>
      </c>
    </row>
    <row x14ac:dyDescent="0.25" r="767" customHeight="1" ht="15.75">
      <c r="A767" s="13" t="s">
        <v>109</v>
      </c>
      <c r="B767" s="13" t="s">
        <v>1919</v>
      </c>
      <c r="C767" s="32" t="s">
        <v>3840</v>
      </c>
      <c r="D767" s="33" t="s">
        <v>3080</v>
      </c>
      <c r="E767" s="33" t="s">
        <v>3295</v>
      </c>
      <c r="F767" s="33" t="s">
        <v>2974</v>
      </c>
      <c r="G767" s="33" t="s">
        <v>2930</v>
      </c>
      <c r="H767" s="33" t="s">
        <v>2960</v>
      </c>
      <c r="I767" s="33" t="s">
        <v>3285</v>
      </c>
    </row>
    <row x14ac:dyDescent="0.25" r="768" customHeight="1" ht="15.75">
      <c r="A768" s="13" t="s">
        <v>109</v>
      </c>
      <c r="B768" s="13" t="s">
        <v>698</v>
      </c>
      <c r="C768" s="32" t="s">
        <v>3841</v>
      </c>
      <c r="D768" s="33" t="s">
        <v>2951</v>
      </c>
      <c r="E768" s="33" t="s">
        <v>2850</v>
      </c>
      <c r="F768" s="33" t="s">
        <v>2950</v>
      </c>
      <c r="G768" s="33" t="s">
        <v>2904</v>
      </c>
      <c r="H768" s="33" t="s">
        <v>2903</v>
      </c>
      <c r="I768" s="33" t="s">
        <v>2903</v>
      </c>
    </row>
    <row x14ac:dyDescent="0.25" r="769" customHeight="1" ht="15.75">
      <c r="A769" s="13" t="s">
        <v>109</v>
      </c>
      <c r="B769" s="13" t="s">
        <v>1977</v>
      </c>
      <c r="C769" s="32" t="s">
        <v>3153</v>
      </c>
      <c r="D769" s="33" t="s">
        <v>2942</v>
      </c>
      <c r="E769" s="33" t="s">
        <v>2943</v>
      </c>
      <c r="F769" s="33" t="s">
        <v>2942</v>
      </c>
      <c r="G769" s="33" t="s">
        <v>2942</v>
      </c>
      <c r="H769" s="33" t="s">
        <v>3137</v>
      </c>
      <c r="I769" s="33" t="s">
        <v>3151</v>
      </c>
    </row>
    <row x14ac:dyDescent="0.25" r="770" customHeight="1" ht="15.75">
      <c r="A770" s="13" t="s">
        <v>109</v>
      </c>
      <c r="B770" s="13" t="s">
        <v>110</v>
      </c>
      <c r="C770" s="32" t="s">
        <v>3842</v>
      </c>
      <c r="D770" s="33" t="s">
        <v>3193</v>
      </c>
      <c r="E770" s="33" t="s">
        <v>3051</v>
      </c>
      <c r="F770" s="33" t="s">
        <v>3051</v>
      </c>
      <c r="G770" s="33" t="s">
        <v>3051</v>
      </c>
      <c r="H770" s="33" t="s">
        <v>2902</v>
      </c>
      <c r="I770" s="33" t="s">
        <v>2951</v>
      </c>
    </row>
    <row x14ac:dyDescent="0.25" r="771" customHeight="1" ht="15.75">
      <c r="A771" s="13" t="s">
        <v>109</v>
      </c>
      <c r="B771" s="13" t="s">
        <v>2094</v>
      </c>
      <c r="C771" s="32" t="s">
        <v>3843</v>
      </c>
      <c r="D771" s="33" t="s">
        <v>2913</v>
      </c>
      <c r="E771" s="33" t="s">
        <v>3052</v>
      </c>
      <c r="F771" s="33" t="s">
        <v>2971</v>
      </c>
      <c r="G771" s="33" t="s">
        <v>2913</v>
      </c>
      <c r="H771" s="33" t="s">
        <v>2971</v>
      </c>
      <c r="I771" s="33" t="s">
        <v>2918</v>
      </c>
    </row>
    <row x14ac:dyDescent="0.25" r="772" customHeight="1" ht="15.75">
      <c r="A772" s="13" t="s">
        <v>109</v>
      </c>
      <c r="B772" s="13" t="s">
        <v>113</v>
      </c>
      <c r="C772" s="32" t="s">
        <v>3218</v>
      </c>
      <c r="D772" s="33" t="s">
        <v>2942</v>
      </c>
      <c r="E772" s="33" t="s">
        <v>3138</v>
      </c>
      <c r="F772" s="33" t="s">
        <v>2951</v>
      </c>
      <c r="G772" s="33" t="s">
        <v>3051</v>
      </c>
      <c r="H772" s="33" t="s">
        <v>3193</v>
      </c>
      <c r="I772" s="33" t="s">
        <v>2903</v>
      </c>
    </row>
    <row x14ac:dyDescent="0.25" r="773" customHeight="1" ht="15.75">
      <c r="A773" s="13" t="s">
        <v>109</v>
      </c>
      <c r="B773" s="13" t="s">
        <v>2506</v>
      </c>
      <c r="C773" s="32" t="s">
        <v>3341</v>
      </c>
      <c r="D773" s="33" t="s">
        <v>2915</v>
      </c>
      <c r="E773" s="33" t="s">
        <v>2857</v>
      </c>
      <c r="F773" s="33" t="s">
        <v>3216</v>
      </c>
      <c r="G773" s="33" t="s">
        <v>2915</v>
      </c>
      <c r="H773" s="33" t="s">
        <v>2914</v>
      </c>
      <c r="I773" s="33" t="s">
        <v>3216</v>
      </c>
    </row>
    <row x14ac:dyDescent="0.25" r="774" customHeight="1" ht="15.75">
      <c r="A774" s="13" t="s">
        <v>109</v>
      </c>
      <c r="B774" s="13" t="s">
        <v>2515</v>
      </c>
      <c r="C774" s="32" t="s">
        <v>3342</v>
      </c>
      <c r="D774" s="33" t="s">
        <v>2902</v>
      </c>
      <c r="E774" s="33" t="s">
        <v>2847</v>
      </c>
      <c r="F774" s="33" t="s">
        <v>2847</v>
      </c>
      <c r="G774" s="33" t="s">
        <v>3051</v>
      </c>
      <c r="H774" s="33" t="s">
        <v>3193</v>
      </c>
      <c r="I774" s="33" t="s">
        <v>3193</v>
      </c>
    </row>
    <row x14ac:dyDescent="0.25" r="775" customHeight="1" ht="15.75">
      <c r="A775" s="13" t="s">
        <v>109</v>
      </c>
      <c r="B775" s="13" t="s">
        <v>2355</v>
      </c>
      <c r="C775" s="32" t="s">
        <v>3844</v>
      </c>
      <c r="D775" s="33" t="s">
        <v>2888</v>
      </c>
      <c r="E775" s="33" t="s">
        <v>3353</v>
      </c>
      <c r="F775" s="33" t="s">
        <v>2888</v>
      </c>
      <c r="G775" s="33" t="s">
        <v>3051</v>
      </c>
      <c r="H775" s="33" t="s">
        <v>3353</v>
      </c>
      <c r="I775" s="33" t="s">
        <v>3051</v>
      </c>
    </row>
    <row x14ac:dyDescent="0.25" r="776" customHeight="1" ht="15.75">
      <c r="A776" s="13" t="s">
        <v>109</v>
      </c>
      <c r="B776" s="13" t="s">
        <v>2620</v>
      </c>
      <c r="C776" s="32" t="s">
        <v>3164</v>
      </c>
      <c r="D776" s="33" t="s">
        <v>2999</v>
      </c>
      <c r="E776" s="33" t="s">
        <v>2853</v>
      </c>
      <c r="F776" s="33" t="s">
        <v>3055</v>
      </c>
      <c r="G776" s="33" t="s">
        <v>2852</v>
      </c>
      <c r="H776" s="33" t="s">
        <v>2852</v>
      </c>
      <c r="I776" s="33" t="s">
        <v>3055</v>
      </c>
    </row>
    <row x14ac:dyDescent="0.25" r="777" customHeight="1" ht="15.75">
      <c r="A777" s="13" t="s">
        <v>109</v>
      </c>
      <c r="B777" s="13" t="s">
        <v>2583</v>
      </c>
      <c r="C777" s="32" t="s">
        <v>3220</v>
      </c>
      <c r="D777" s="33" t="s">
        <v>2925</v>
      </c>
      <c r="E777" s="33" t="s">
        <v>3191</v>
      </c>
      <c r="F777" s="33" t="s">
        <v>3197</v>
      </c>
      <c r="G777" s="33" t="s">
        <v>3122</v>
      </c>
      <c r="H777" s="33" t="s">
        <v>2897</v>
      </c>
      <c r="I777" s="33" t="s">
        <v>3086</v>
      </c>
    </row>
    <row x14ac:dyDescent="0.25" r="778" customHeight="1" ht="15.75">
      <c r="A778" s="13" t="s">
        <v>109</v>
      </c>
      <c r="B778" s="13" t="s">
        <v>540</v>
      </c>
      <c r="C778" s="32" t="s">
        <v>3743</v>
      </c>
      <c r="D778" s="33" t="s">
        <v>3021</v>
      </c>
      <c r="E778" s="33" t="s">
        <v>3196</v>
      </c>
      <c r="F778" s="33" t="s">
        <v>3023</v>
      </c>
      <c r="G778" s="33" t="s">
        <v>3140</v>
      </c>
      <c r="H778" s="33" t="s">
        <v>2970</v>
      </c>
      <c r="I778" s="33" t="s">
        <v>3203</v>
      </c>
    </row>
    <row x14ac:dyDescent="0.25" r="779" customHeight="1" ht="15.75">
      <c r="A779" s="13" t="s">
        <v>109</v>
      </c>
      <c r="B779" s="13" t="s">
        <v>2068</v>
      </c>
      <c r="C779" s="32" t="s">
        <v>3167</v>
      </c>
      <c r="D779" s="33" t="s">
        <v>3845</v>
      </c>
      <c r="E779" s="33" t="s">
        <v>3502</v>
      </c>
      <c r="F779" s="33" t="s">
        <v>3027</v>
      </c>
      <c r="G779" s="33" t="s">
        <v>3003</v>
      </c>
      <c r="H779" s="33" t="s">
        <v>3172</v>
      </c>
      <c r="I779" s="33" t="s">
        <v>3319</v>
      </c>
    </row>
    <row x14ac:dyDescent="0.25" r="780" customHeight="1" ht="15.75">
      <c r="A780" s="13" t="s">
        <v>109</v>
      </c>
      <c r="B780" s="13" t="s">
        <v>2333</v>
      </c>
      <c r="C780" s="32" t="s">
        <v>3167</v>
      </c>
      <c r="D780" s="33" t="s">
        <v>3278</v>
      </c>
      <c r="E780" s="33" t="s">
        <v>2960</v>
      </c>
      <c r="F780" s="33" t="s">
        <v>3345</v>
      </c>
      <c r="G780" s="33" t="s">
        <v>2987</v>
      </c>
      <c r="H780" s="33" t="s">
        <v>3012</v>
      </c>
      <c r="I780" s="33" t="s">
        <v>3011</v>
      </c>
    </row>
    <row x14ac:dyDescent="0.25" r="781" customHeight="1" ht="15.75">
      <c r="A781" s="13" t="s">
        <v>109</v>
      </c>
      <c r="B781" s="13" t="s">
        <v>2360</v>
      </c>
      <c r="C781" s="32" t="s">
        <v>3846</v>
      </c>
      <c r="D781" s="33" t="s">
        <v>2892</v>
      </c>
      <c r="E781" s="33" t="s">
        <v>3066</v>
      </c>
      <c r="F781" s="33" t="s">
        <v>2971</v>
      </c>
      <c r="G781" s="33" t="s">
        <v>2900</v>
      </c>
      <c r="H781" s="33" t="s">
        <v>3024</v>
      </c>
      <c r="I781" s="33" t="s">
        <v>3067</v>
      </c>
    </row>
    <row x14ac:dyDescent="0.25" r="782" customHeight="1" ht="15.75">
      <c r="A782" s="13" t="s">
        <v>109</v>
      </c>
      <c r="B782" s="13" t="s">
        <v>2718</v>
      </c>
      <c r="C782" s="32" t="s">
        <v>3847</v>
      </c>
      <c r="D782" s="33" t="s">
        <v>3222</v>
      </c>
      <c r="E782" s="33" t="s">
        <v>3166</v>
      </c>
      <c r="F782" s="33" t="s">
        <v>3075</v>
      </c>
      <c r="G782" s="33" t="s">
        <v>3166</v>
      </c>
      <c r="H782" s="33" t="s">
        <v>2920</v>
      </c>
      <c r="I782" s="33" t="s">
        <v>3196</v>
      </c>
    </row>
    <row x14ac:dyDescent="0.25" r="783" customHeight="1" ht="15.75">
      <c r="A783" s="13" t="s">
        <v>109</v>
      </c>
      <c r="B783" s="13" t="s">
        <v>2517</v>
      </c>
      <c r="C783" s="32" t="s">
        <v>3848</v>
      </c>
      <c r="D783" s="33" t="s">
        <v>2915</v>
      </c>
      <c r="E783" s="33" t="s">
        <v>2857</v>
      </c>
      <c r="F783" s="33" t="s">
        <v>2893</v>
      </c>
      <c r="G783" s="33" t="s">
        <v>2889</v>
      </c>
      <c r="H783" s="33" t="s">
        <v>3216</v>
      </c>
      <c r="I783" s="33" t="s">
        <v>3216</v>
      </c>
    </row>
    <row x14ac:dyDescent="0.25" r="784" customHeight="1" ht="15.75">
      <c r="A784" s="13" t="s">
        <v>109</v>
      </c>
      <c r="B784" s="13" t="s">
        <v>2117</v>
      </c>
      <c r="C784" s="32" t="s">
        <v>3849</v>
      </c>
      <c r="D784" s="33" t="s">
        <v>2937</v>
      </c>
      <c r="E784" s="33" t="s">
        <v>3166</v>
      </c>
      <c r="F784" s="33" t="s">
        <v>3166</v>
      </c>
      <c r="G784" s="33" t="s">
        <v>3159</v>
      </c>
      <c r="H784" s="33" t="s">
        <v>3018</v>
      </c>
      <c r="I784" s="33" t="s">
        <v>2968</v>
      </c>
    </row>
    <row x14ac:dyDescent="0.25" r="785" customHeight="1" ht="15.75">
      <c r="A785" s="13" t="s">
        <v>109</v>
      </c>
      <c r="B785" s="13" t="s">
        <v>2128</v>
      </c>
      <c r="C785" s="32" t="s">
        <v>3850</v>
      </c>
      <c r="D785" s="33" t="s">
        <v>3086</v>
      </c>
      <c r="E785" s="33" t="s">
        <v>3018</v>
      </c>
      <c r="F785" s="33" t="s">
        <v>3021</v>
      </c>
      <c r="G785" s="33" t="s">
        <v>3159</v>
      </c>
      <c r="H785" s="33" t="s">
        <v>2897</v>
      </c>
      <c r="I785" s="33" t="s">
        <v>2920</v>
      </c>
    </row>
    <row x14ac:dyDescent="0.25" r="786" customHeight="1" ht="15.75">
      <c r="A786" s="13" t="s">
        <v>109</v>
      </c>
      <c r="B786" s="13" t="s">
        <v>2422</v>
      </c>
      <c r="C786" s="32" t="s">
        <v>3851</v>
      </c>
      <c r="D786" s="33" t="s">
        <v>3091</v>
      </c>
      <c r="E786" s="33" t="s">
        <v>2987</v>
      </c>
      <c r="F786" s="33" t="s">
        <v>3095</v>
      </c>
      <c r="G786" s="33" t="s">
        <v>3078</v>
      </c>
      <c r="H786" s="33" t="s">
        <v>2989</v>
      </c>
      <c r="I786" s="33" t="s">
        <v>2995</v>
      </c>
    </row>
    <row x14ac:dyDescent="0.25" r="787" customHeight="1" ht="15.75">
      <c r="A787" s="13" t="s">
        <v>109</v>
      </c>
      <c r="B787" s="13" t="s">
        <v>2563</v>
      </c>
      <c r="C787" s="32" t="s">
        <v>3852</v>
      </c>
      <c r="D787" s="33" t="s">
        <v>3278</v>
      </c>
      <c r="E787" s="33" t="s">
        <v>2995</v>
      </c>
      <c r="F787" s="33" t="s">
        <v>3103</v>
      </c>
      <c r="G787" s="33" t="s">
        <v>3294</v>
      </c>
      <c r="H787" s="33" t="s">
        <v>3079</v>
      </c>
      <c r="I787" s="33" t="s">
        <v>3063</v>
      </c>
    </row>
    <row x14ac:dyDescent="0.25" r="788" customHeight="1" ht="15.75">
      <c r="A788" s="13" t="s">
        <v>109</v>
      </c>
      <c r="B788" s="13" t="s">
        <v>2713</v>
      </c>
      <c r="C788" s="32" t="s">
        <v>3352</v>
      </c>
      <c r="D788" s="33" t="s">
        <v>2904</v>
      </c>
      <c r="E788" s="33" t="s">
        <v>2904</v>
      </c>
      <c r="F788" s="33" t="s">
        <v>2951</v>
      </c>
      <c r="G788" s="33" t="s">
        <v>2850</v>
      </c>
      <c r="H788" s="33" t="s">
        <v>2950</v>
      </c>
      <c r="I788" s="33" t="s">
        <v>2950</v>
      </c>
    </row>
    <row x14ac:dyDescent="0.25" r="789" customHeight="1" ht="15.75">
      <c r="A789" s="13" t="s">
        <v>109</v>
      </c>
      <c r="B789" s="13" t="s">
        <v>2459</v>
      </c>
      <c r="C789" s="32" t="s">
        <v>3171</v>
      </c>
      <c r="D789" s="33" t="s">
        <v>3197</v>
      </c>
      <c r="E789" s="33" t="s">
        <v>2832</v>
      </c>
      <c r="F789" s="33" t="s">
        <v>3122</v>
      </c>
      <c r="G789" s="33" t="s">
        <v>2933</v>
      </c>
      <c r="H789" s="33" t="s">
        <v>2921</v>
      </c>
      <c r="I789" s="33" t="s">
        <v>3086</v>
      </c>
    </row>
    <row x14ac:dyDescent="0.25" r="790" customHeight="1" ht="15.75">
      <c r="A790" s="13" t="s">
        <v>109</v>
      </c>
      <c r="B790" s="13" t="s">
        <v>2245</v>
      </c>
      <c r="C790" s="32" t="s">
        <v>3853</v>
      </c>
      <c r="D790" s="33" t="s">
        <v>3050</v>
      </c>
      <c r="E790" s="33" t="s">
        <v>2888</v>
      </c>
      <c r="F790" s="33" t="s">
        <v>2888</v>
      </c>
      <c r="G790" s="33" t="s">
        <v>2942</v>
      </c>
      <c r="H790" s="33" t="s">
        <v>3137</v>
      </c>
      <c r="I790" s="33" t="s">
        <v>2858</v>
      </c>
    </row>
    <row x14ac:dyDescent="0.25" r="791" customHeight="1" ht="15.75">
      <c r="A791" s="13" t="s">
        <v>109</v>
      </c>
      <c r="B791" s="13" t="s">
        <v>673</v>
      </c>
      <c r="C791" s="32" t="s">
        <v>3854</v>
      </c>
      <c r="D791" s="33" t="s">
        <v>2915</v>
      </c>
      <c r="E791" s="33" t="s">
        <v>2982</v>
      </c>
      <c r="F791" s="33" t="s">
        <v>2942</v>
      </c>
      <c r="G791" s="33" t="s">
        <v>3050</v>
      </c>
      <c r="H791" s="33" t="s">
        <v>3052</v>
      </c>
      <c r="I791" s="33" t="s">
        <v>2857</v>
      </c>
    </row>
    <row x14ac:dyDescent="0.25" r="792" customHeight="1" ht="15.75">
      <c r="A792" s="13" t="s">
        <v>109</v>
      </c>
      <c r="B792" s="13" t="s">
        <v>2720</v>
      </c>
      <c r="C792" s="32" t="s">
        <v>3855</v>
      </c>
      <c r="D792" s="33" t="s">
        <v>2915</v>
      </c>
      <c r="E792" s="33" t="s">
        <v>3053</v>
      </c>
      <c r="F792" s="33" t="s">
        <v>3216</v>
      </c>
      <c r="G792" s="33" t="s">
        <v>3053</v>
      </c>
      <c r="H792" s="33" t="s">
        <v>3216</v>
      </c>
      <c r="I792" s="33" t="s">
        <v>3353</v>
      </c>
    </row>
    <row x14ac:dyDescent="0.25" r="793" customHeight="1" ht="15.75">
      <c r="A793" s="13" t="s">
        <v>109</v>
      </c>
      <c r="B793" s="13" t="s">
        <v>2755</v>
      </c>
      <c r="C793" s="32" t="s">
        <v>3855</v>
      </c>
      <c r="D793" s="33" t="s">
        <v>3051</v>
      </c>
      <c r="E793" s="33" t="s">
        <v>3051</v>
      </c>
      <c r="F793" s="33" t="s">
        <v>2847</v>
      </c>
      <c r="G793" s="33" t="s">
        <v>2849</v>
      </c>
      <c r="H793" s="33" t="s">
        <v>2847</v>
      </c>
      <c r="I793" s="33" t="s">
        <v>3151</v>
      </c>
    </row>
    <row x14ac:dyDescent="0.25" r="794" customHeight="1" ht="15.75">
      <c r="A794" s="13" t="s">
        <v>109</v>
      </c>
      <c r="B794" s="13" t="s">
        <v>2132</v>
      </c>
      <c r="C794" s="32" t="s">
        <v>3856</v>
      </c>
      <c r="D794" s="33" t="s">
        <v>3151</v>
      </c>
      <c r="E794" s="33" t="s">
        <v>3151</v>
      </c>
      <c r="F794" s="33" t="s">
        <v>3179</v>
      </c>
      <c r="G794" s="33" t="s">
        <v>2997</v>
      </c>
      <c r="H794" s="33" t="s">
        <v>3000</v>
      </c>
      <c r="I794" s="33" t="s">
        <v>2850</v>
      </c>
    </row>
    <row x14ac:dyDescent="0.25" r="795" customHeight="1" ht="15.75">
      <c r="A795" s="13" t="s">
        <v>109</v>
      </c>
      <c r="B795" s="13" t="s">
        <v>2283</v>
      </c>
      <c r="C795" s="32" t="s">
        <v>3712</v>
      </c>
      <c r="D795" s="33" t="s">
        <v>3140</v>
      </c>
      <c r="E795" s="33" t="s">
        <v>2970</v>
      </c>
      <c r="F795" s="33" t="s">
        <v>2992</v>
      </c>
      <c r="G795" s="33" t="s">
        <v>2969</v>
      </c>
      <c r="H795" s="33" t="s">
        <v>2887</v>
      </c>
      <c r="I795" s="33" t="s">
        <v>3124</v>
      </c>
    </row>
    <row x14ac:dyDescent="0.25" r="796" customHeight="1" ht="15.75">
      <c r="A796" s="13" t="s">
        <v>109</v>
      </c>
      <c r="B796" s="13" t="s">
        <v>2617</v>
      </c>
      <c r="C796" s="32" t="s">
        <v>3857</v>
      </c>
      <c r="D796" s="33" t="s">
        <v>3067</v>
      </c>
      <c r="E796" s="33" t="s">
        <v>2979</v>
      </c>
      <c r="F796" s="33" t="s">
        <v>2990</v>
      </c>
      <c r="G796" s="33" t="s">
        <v>2991</v>
      </c>
      <c r="H796" s="33" t="s">
        <v>2979</v>
      </c>
      <c r="I796" s="33" t="s">
        <v>2893</v>
      </c>
    </row>
    <row x14ac:dyDescent="0.25" r="797" customHeight="1" ht="15.75">
      <c r="A797" s="13" t="s">
        <v>109</v>
      </c>
      <c r="B797" s="13" t="s">
        <v>2704</v>
      </c>
      <c r="C797" s="32" t="s">
        <v>3858</v>
      </c>
      <c r="D797" s="33" t="s">
        <v>2999</v>
      </c>
      <c r="E797" s="33" t="s">
        <v>3055</v>
      </c>
      <c r="F797" s="33" t="s">
        <v>3055</v>
      </c>
      <c r="G797" s="33" t="s">
        <v>3180</v>
      </c>
      <c r="H797" s="33" t="s">
        <v>3180</v>
      </c>
      <c r="I797" s="33" t="s">
        <v>3055</v>
      </c>
    </row>
    <row x14ac:dyDescent="0.25" r="798" customHeight="1" ht="15.75">
      <c r="A798" s="13" t="s">
        <v>109</v>
      </c>
      <c r="B798" s="13" t="s">
        <v>2469</v>
      </c>
      <c r="C798" s="32" t="s">
        <v>3859</v>
      </c>
      <c r="D798" s="33" t="s">
        <v>3046</v>
      </c>
      <c r="E798" s="33" t="s">
        <v>2974</v>
      </c>
      <c r="F798" s="33" t="s">
        <v>3047</v>
      </c>
      <c r="G798" s="33" t="s">
        <v>3106</v>
      </c>
      <c r="H798" s="33" t="s">
        <v>3105</v>
      </c>
      <c r="I798" s="33" t="s">
        <v>2985</v>
      </c>
    </row>
    <row x14ac:dyDescent="0.25" r="799" customHeight="1" ht="15.75">
      <c r="A799" s="13" t="s">
        <v>109</v>
      </c>
      <c r="B799" s="13" t="s">
        <v>112</v>
      </c>
      <c r="C799" s="32" t="s">
        <v>3860</v>
      </c>
      <c r="D799" s="33" t="s">
        <v>2852</v>
      </c>
      <c r="E799" s="33" t="s">
        <v>3055</v>
      </c>
      <c r="F799" s="33" t="s">
        <v>3055</v>
      </c>
      <c r="G799" s="33" t="s">
        <v>3055</v>
      </c>
      <c r="H799" s="33" t="s">
        <v>2852</v>
      </c>
      <c r="I799" s="33" t="s">
        <v>2852</v>
      </c>
    </row>
    <row x14ac:dyDescent="0.25" r="800" customHeight="1" ht="15.75">
      <c r="A800" s="13" t="s">
        <v>109</v>
      </c>
      <c r="B800" s="13" t="s">
        <v>2741</v>
      </c>
      <c r="C800" s="32" t="s">
        <v>3368</v>
      </c>
      <c r="D800" s="33" t="s">
        <v>3052</v>
      </c>
      <c r="E800" s="33" t="s">
        <v>3052</v>
      </c>
      <c r="F800" s="33" t="s">
        <v>2983</v>
      </c>
      <c r="G800" s="33" t="s">
        <v>2857</v>
      </c>
      <c r="H800" s="33" t="s">
        <v>3156</v>
      </c>
      <c r="I800" s="33" t="s">
        <v>2980</v>
      </c>
    </row>
    <row x14ac:dyDescent="0.25" r="801" customHeight="1" ht="15.75">
      <c r="A801" s="13" t="s">
        <v>109</v>
      </c>
      <c r="B801" s="13" t="s">
        <v>2354</v>
      </c>
      <c r="C801" s="32" t="s">
        <v>3861</v>
      </c>
      <c r="D801" s="33" t="s">
        <v>2981</v>
      </c>
      <c r="E801" s="33" t="s">
        <v>3052</v>
      </c>
      <c r="F801" s="33" t="s">
        <v>3052</v>
      </c>
      <c r="G801" s="33" t="s">
        <v>3052</v>
      </c>
      <c r="H801" s="33" t="s">
        <v>2857</v>
      </c>
      <c r="I801" s="33" t="s">
        <v>3052</v>
      </c>
    </row>
    <row x14ac:dyDescent="0.25" r="802" customHeight="1" ht="15.75">
      <c r="A802" s="13" t="s">
        <v>109</v>
      </c>
      <c r="B802" s="13" t="s">
        <v>2510</v>
      </c>
      <c r="C802" s="32" t="s">
        <v>3862</v>
      </c>
      <c r="D802" s="33" t="s">
        <v>2959</v>
      </c>
      <c r="E802" s="33" t="s">
        <v>2959</v>
      </c>
      <c r="F802" s="33" t="s">
        <v>3064</v>
      </c>
      <c r="G802" s="33" t="s">
        <v>3063</v>
      </c>
      <c r="H802" s="33" t="s">
        <v>3209</v>
      </c>
      <c r="I802" s="33" t="s">
        <v>2960</v>
      </c>
    </row>
    <row x14ac:dyDescent="0.25" r="803" customHeight="1" ht="15.75">
      <c r="A803" s="13" t="s">
        <v>109</v>
      </c>
      <c r="B803" s="13" t="s">
        <v>2737</v>
      </c>
      <c r="C803" s="32" t="s">
        <v>3863</v>
      </c>
      <c r="D803" s="33" t="s">
        <v>3000</v>
      </c>
      <c r="E803" s="33" t="s">
        <v>3179</v>
      </c>
      <c r="F803" s="33" t="s">
        <v>3000</v>
      </c>
      <c r="G803" s="33" t="s">
        <v>3000</v>
      </c>
      <c r="H803" s="33" t="s">
        <v>3179</v>
      </c>
      <c r="I803" s="33" t="s">
        <v>2998</v>
      </c>
    </row>
    <row x14ac:dyDescent="0.25" r="804" customHeight="1" ht="15.75">
      <c r="A804" s="13" t="s">
        <v>109</v>
      </c>
      <c r="B804" s="13" t="s">
        <v>808</v>
      </c>
      <c r="C804" s="32" t="s">
        <v>3864</v>
      </c>
      <c r="D804" s="33" t="s">
        <v>2913</v>
      </c>
      <c r="E804" s="33" t="s">
        <v>3066</v>
      </c>
      <c r="F804" s="33" t="s">
        <v>3067</v>
      </c>
      <c r="G804" s="33" t="s">
        <v>2913</v>
      </c>
      <c r="H804" s="33" t="s">
        <v>2979</v>
      </c>
      <c r="I804" s="33" t="s">
        <v>3170</v>
      </c>
    </row>
    <row x14ac:dyDescent="0.25" r="805" customHeight="1" ht="15.75">
      <c r="A805" s="13" t="s">
        <v>109</v>
      </c>
      <c r="B805" s="13" t="s">
        <v>2674</v>
      </c>
      <c r="C805" s="32" t="s">
        <v>3865</v>
      </c>
      <c r="D805" s="33" t="s">
        <v>2951</v>
      </c>
      <c r="E805" s="33" t="s">
        <v>2951</v>
      </c>
      <c r="F805" s="33" t="s">
        <v>2951</v>
      </c>
      <c r="G805" s="33" t="s">
        <v>2951</v>
      </c>
      <c r="H805" s="33" t="s">
        <v>2950</v>
      </c>
      <c r="I805" s="33" t="s">
        <v>2951</v>
      </c>
    </row>
    <row x14ac:dyDescent="0.25" r="806" customHeight="1" ht="15.75">
      <c r="A806" s="13" t="s">
        <v>227</v>
      </c>
      <c r="B806" s="13" t="s">
        <v>291</v>
      </c>
      <c r="C806" s="32" t="s">
        <v>3866</v>
      </c>
      <c r="D806" s="33" t="s">
        <v>2905</v>
      </c>
      <c r="E806" s="33" t="s">
        <v>2830</v>
      </c>
      <c r="F806" s="33" t="s">
        <v>2853</v>
      </c>
      <c r="G806" s="33" t="s">
        <v>3055</v>
      </c>
      <c r="H806" s="33" t="s">
        <v>2852</v>
      </c>
      <c r="I806" s="33" t="s">
        <v>3180</v>
      </c>
    </row>
    <row x14ac:dyDescent="0.25" r="807" customHeight="1" ht="15.75">
      <c r="A807" s="13" t="s">
        <v>227</v>
      </c>
      <c r="B807" s="13" t="s">
        <v>357</v>
      </c>
      <c r="C807" s="32" t="s">
        <v>3867</v>
      </c>
      <c r="D807" s="33" t="s">
        <v>2848</v>
      </c>
      <c r="E807" s="33" t="s">
        <v>3165</v>
      </c>
      <c r="F807" s="33" t="s">
        <v>3301</v>
      </c>
      <c r="G807" s="33" t="s">
        <v>2903</v>
      </c>
      <c r="H807" s="33" t="s">
        <v>2903</v>
      </c>
      <c r="I807" s="33" t="s">
        <v>3193</v>
      </c>
    </row>
    <row x14ac:dyDescent="0.25" r="808" customHeight="1" ht="15.75">
      <c r="A808" s="13" t="s">
        <v>227</v>
      </c>
      <c r="B808" s="13" t="s">
        <v>228</v>
      </c>
      <c r="C808" s="32" t="s">
        <v>3760</v>
      </c>
      <c r="D808" s="33" t="s">
        <v>2832</v>
      </c>
      <c r="E808" s="33" t="s">
        <v>3216</v>
      </c>
      <c r="F808" s="33" t="s">
        <v>2965</v>
      </c>
      <c r="G808" s="33" t="s">
        <v>2981</v>
      </c>
      <c r="H808" s="33" t="s">
        <v>2902</v>
      </c>
      <c r="I808" s="33" t="s">
        <v>3050</v>
      </c>
    </row>
    <row x14ac:dyDescent="0.25" r="809" customHeight="1" ht="15.75">
      <c r="A809" s="13" t="s">
        <v>227</v>
      </c>
      <c r="B809" s="13" t="s">
        <v>875</v>
      </c>
      <c r="C809" s="32" t="s">
        <v>3583</v>
      </c>
      <c r="D809" s="33" t="s">
        <v>3517</v>
      </c>
      <c r="E809" s="33" t="s">
        <v>3119</v>
      </c>
      <c r="F809" s="33" t="s">
        <v>3705</v>
      </c>
      <c r="G809" s="33" t="s">
        <v>2877</v>
      </c>
      <c r="H809" s="33" t="s">
        <v>3492</v>
      </c>
      <c r="I809" s="33" t="s">
        <v>3651</v>
      </c>
    </row>
    <row x14ac:dyDescent="0.25" r="810" customHeight="1" ht="15.75">
      <c r="A810" s="13" t="s">
        <v>227</v>
      </c>
      <c r="B810" s="13" t="s">
        <v>1118</v>
      </c>
      <c r="C810" s="32" t="s">
        <v>3868</v>
      </c>
      <c r="D810" s="33" t="s">
        <v>2837</v>
      </c>
      <c r="E810" s="33" t="s">
        <v>3869</v>
      </c>
      <c r="F810" s="33" t="s">
        <v>3870</v>
      </c>
      <c r="G810" s="33" t="s">
        <v>3624</v>
      </c>
      <c r="H810" s="33" t="s">
        <v>3871</v>
      </c>
      <c r="I810" s="33" t="s">
        <v>3002</v>
      </c>
    </row>
    <row x14ac:dyDescent="0.25" r="811" customHeight="1" ht="15.75">
      <c r="A811" s="13" t="s">
        <v>227</v>
      </c>
      <c r="B811" s="13" t="s">
        <v>1673</v>
      </c>
      <c r="C811" s="32" t="s">
        <v>2866</v>
      </c>
      <c r="D811" s="33" t="s">
        <v>2987</v>
      </c>
      <c r="E811" s="33" t="s">
        <v>2957</v>
      </c>
      <c r="F811" s="33" t="s">
        <v>3094</v>
      </c>
      <c r="G811" s="33" t="s">
        <v>2925</v>
      </c>
      <c r="H811" s="33" t="s">
        <v>2957</v>
      </c>
      <c r="I811" s="33" t="s">
        <v>2845</v>
      </c>
    </row>
    <row x14ac:dyDescent="0.25" r="812" customHeight="1" ht="15.75">
      <c r="A812" s="13" t="s">
        <v>227</v>
      </c>
      <c r="B812" s="13" t="s">
        <v>895</v>
      </c>
      <c r="C812" s="32" t="s">
        <v>3481</v>
      </c>
      <c r="D812" s="33" t="s">
        <v>3497</v>
      </c>
      <c r="E812" s="33" t="s">
        <v>3262</v>
      </c>
      <c r="F812" s="33" t="s">
        <v>3320</v>
      </c>
      <c r="G812" s="33" t="s">
        <v>3158</v>
      </c>
      <c r="H812" s="33" t="s">
        <v>3043</v>
      </c>
      <c r="I812" s="33" t="s">
        <v>3094</v>
      </c>
    </row>
    <row x14ac:dyDescent="0.25" r="813" customHeight="1" ht="15.75">
      <c r="A813" s="13" t="s">
        <v>227</v>
      </c>
      <c r="B813" s="13" t="s">
        <v>363</v>
      </c>
      <c r="C813" s="32" t="s">
        <v>3872</v>
      </c>
      <c r="D813" s="33" t="s">
        <v>3186</v>
      </c>
      <c r="E813" s="33" t="s">
        <v>2963</v>
      </c>
      <c r="F813" s="33" t="s">
        <v>2917</v>
      </c>
      <c r="G813" s="33" t="s">
        <v>3222</v>
      </c>
      <c r="H813" s="33" t="s">
        <v>3022</v>
      </c>
      <c r="I813" s="33" t="s">
        <v>2920</v>
      </c>
    </row>
    <row x14ac:dyDescent="0.25" r="814" customHeight="1" ht="15.75">
      <c r="A814" s="13" t="s">
        <v>227</v>
      </c>
      <c r="B814" s="13" t="s">
        <v>245</v>
      </c>
      <c r="C814" s="32" t="s">
        <v>3809</v>
      </c>
      <c r="D814" s="33" t="s">
        <v>3082</v>
      </c>
      <c r="E814" s="33" t="s">
        <v>3031</v>
      </c>
      <c r="F814" s="33" t="s">
        <v>3197</v>
      </c>
      <c r="G814" s="33" t="s">
        <v>3033</v>
      </c>
      <c r="H814" s="33" t="s">
        <v>2939</v>
      </c>
      <c r="I814" s="33" t="s">
        <v>3030</v>
      </c>
    </row>
    <row x14ac:dyDescent="0.25" r="815" customHeight="1" ht="15.75">
      <c r="A815" s="13" t="s">
        <v>227</v>
      </c>
      <c r="B815" s="13" t="s">
        <v>1887</v>
      </c>
      <c r="C815" s="32" t="s">
        <v>3717</v>
      </c>
      <c r="D815" s="33" t="s">
        <v>3372</v>
      </c>
      <c r="E815" s="33" t="s">
        <v>2845</v>
      </c>
      <c r="F815" s="33" t="s">
        <v>3245</v>
      </c>
      <c r="G815" s="33" t="s">
        <v>2936</v>
      </c>
      <c r="H815" s="33" t="s">
        <v>3018</v>
      </c>
      <c r="I815" s="33" t="s">
        <v>2882</v>
      </c>
    </row>
    <row x14ac:dyDescent="0.25" r="816" customHeight="1" ht="15.75">
      <c r="A816" s="13" t="s">
        <v>227</v>
      </c>
      <c r="B816" s="13" t="s">
        <v>321</v>
      </c>
      <c r="C816" s="32" t="s">
        <v>3188</v>
      </c>
      <c r="D816" s="33" t="s">
        <v>2849</v>
      </c>
      <c r="E816" s="33" t="s">
        <v>2843</v>
      </c>
      <c r="F816" s="33" t="s">
        <v>3351</v>
      </c>
      <c r="G816" s="33" t="s">
        <v>3152</v>
      </c>
      <c r="H816" s="33" t="s">
        <v>3351</v>
      </c>
      <c r="I816" s="33" t="s">
        <v>2843</v>
      </c>
    </row>
    <row x14ac:dyDescent="0.25" r="817" customHeight="1" ht="15.75">
      <c r="A817" s="13" t="s">
        <v>227</v>
      </c>
      <c r="B817" s="13" t="s">
        <v>1794</v>
      </c>
      <c r="C817" s="32" t="s">
        <v>3777</v>
      </c>
      <c r="D817" s="33" t="s">
        <v>3873</v>
      </c>
      <c r="E817" s="33" t="s">
        <v>3305</v>
      </c>
      <c r="F817" s="33" t="s">
        <v>3501</v>
      </c>
      <c r="G817" s="33" t="s">
        <v>3256</v>
      </c>
      <c r="H817" s="33" t="s">
        <v>3874</v>
      </c>
      <c r="I817" s="33" t="s">
        <v>3262</v>
      </c>
    </row>
    <row x14ac:dyDescent="0.25" r="818" customHeight="1" ht="15.75">
      <c r="A818" s="13" t="s">
        <v>227</v>
      </c>
      <c r="B818" s="13" t="s">
        <v>284</v>
      </c>
      <c r="C818" s="32" t="s">
        <v>3875</v>
      </c>
      <c r="D818" s="33" t="s">
        <v>2951</v>
      </c>
      <c r="E818" s="33" t="s">
        <v>2849</v>
      </c>
      <c r="F818" s="33" t="s">
        <v>2950</v>
      </c>
      <c r="G818" s="33" t="s">
        <v>3151</v>
      </c>
      <c r="H818" s="33" t="s">
        <v>2854</v>
      </c>
      <c r="I818" s="33" t="s">
        <v>2847</v>
      </c>
    </row>
    <row x14ac:dyDescent="0.25" r="819" customHeight="1" ht="15.75">
      <c r="A819" s="13" t="s">
        <v>227</v>
      </c>
      <c r="B819" s="13" t="s">
        <v>603</v>
      </c>
      <c r="C819" s="32" t="s">
        <v>3255</v>
      </c>
      <c r="D819" s="33" t="s">
        <v>3874</v>
      </c>
      <c r="E819" s="33" t="s">
        <v>3129</v>
      </c>
      <c r="F819" s="33" t="s">
        <v>3370</v>
      </c>
      <c r="G819" s="33" t="s">
        <v>3795</v>
      </c>
      <c r="H819" s="33" t="s">
        <v>2843</v>
      </c>
      <c r="I819" s="33" t="s">
        <v>2902</v>
      </c>
    </row>
    <row x14ac:dyDescent="0.25" r="820" customHeight="1" ht="15.75">
      <c r="A820" s="13" t="s">
        <v>227</v>
      </c>
      <c r="B820" s="13" t="s">
        <v>1896</v>
      </c>
      <c r="C820" s="32" t="s">
        <v>3632</v>
      </c>
      <c r="D820" s="33" t="s">
        <v>3639</v>
      </c>
      <c r="E820" s="33" t="s">
        <v>3238</v>
      </c>
      <c r="F820" s="33" t="s">
        <v>2884</v>
      </c>
      <c r="G820" s="33" t="s">
        <v>3273</v>
      </c>
      <c r="H820" s="33" t="s">
        <v>3094</v>
      </c>
      <c r="I820" s="33" t="s">
        <v>3110</v>
      </c>
    </row>
    <row x14ac:dyDescent="0.25" r="821" customHeight="1" ht="15.75">
      <c r="A821" s="13" t="s">
        <v>227</v>
      </c>
      <c r="B821" s="13" t="s">
        <v>613</v>
      </c>
      <c r="C821" s="32" t="s">
        <v>2934</v>
      </c>
      <c r="D821" s="33" t="s">
        <v>3373</v>
      </c>
      <c r="E821" s="33" t="s">
        <v>3110</v>
      </c>
      <c r="F821" s="33" t="s">
        <v>3110</v>
      </c>
      <c r="G821" s="33" t="s">
        <v>3078</v>
      </c>
      <c r="H821" s="33" t="s">
        <v>2885</v>
      </c>
      <c r="I821" s="33" t="s">
        <v>3011</v>
      </c>
    </row>
    <row x14ac:dyDescent="0.25" r="822" customHeight="1" ht="15.75">
      <c r="A822" s="13" t="s">
        <v>227</v>
      </c>
      <c r="B822" s="13" t="s">
        <v>1336</v>
      </c>
      <c r="C822" s="32" t="s">
        <v>3876</v>
      </c>
      <c r="D822" s="33" t="s">
        <v>3114</v>
      </c>
      <c r="E822" s="33" t="s">
        <v>3154</v>
      </c>
      <c r="F822" s="33" t="s">
        <v>2932</v>
      </c>
      <c r="G822" s="33" t="s">
        <v>3018</v>
      </c>
      <c r="H822" s="33" t="s">
        <v>2897</v>
      </c>
      <c r="I822" s="33" t="s">
        <v>3100</v>
      </c>
    </row>
    <row x14ac:dyDescent="0.25" r="823" customHeight="1" ht="15.75">
      <c r="A823" s="13" t="s">
        <v>227</v>
      </c>
      <c r="B823" s="13" t="s">
        <v>376</v>
      </c>
      <c r="C823" s="32" t="s">
        <v>2967</v>
      </c>
      <c r="D823" s="33" t="s">
        <v>2924</v>
      </c>
      <c r="E823" s="33" t="s">
        <v>3222</v>
      </c>
      <c r="F823" s="33" t="s">
        <v>2894</v>
      </c>
      <c r="G823" s="33" t="s">
        <v>2920</v>
      </c>
      <c r="H823" s="33" t="s">
        <v>2970</v>
      </c>
      <c r="I823" s="33" t="s">
        <v>3018</v>
      </c>
    </row>
    <row x14ac:dyDescent="0.25" r="824" customHeight="1" ht="15.75">
      <c r="A824" s="13" t="s">
        <v>227</v>
      </c>
      <c r="B824" s="13" t="s">
        <v>813</v>
      </c>
      <c r="C824" s="32" t="s">
        <v>3877</v>
      </c>
      <c r="D824" s="33" t="s">
        <v>2894</v>
      </c>
      <c r="E824" s="33" t="s">
        <v>2981</v>
      </c>
      <c r="F824" s="33" t="s">
        <v>2848</v>
      </c>
      <c r="G824" s="33" t="s">
        <v>2856</v>
      </c>
      <c r="H824" s="33" t="s">
        <v>2856</v>
      </c>
      <c r="I824" s="33" t="s">
        <v>3050</v>
      </c>
    </row>
    <row x14ac:dyDescent="0.25" r="825" customHeight="1" ht="15.75">
      <c r="A825" s="13" t="s">
        <v>227</v>
      </c>
      <c r="B825" s="13" t="s">
        <v>930</v>
      </c>
      <c r="C825" s="32" t="s">
        <v>3001</v>
      </c>
      <c r="D825" s="33" t="s">
        <v>3078</v>
      </c>
      <c r="E825" s="33" t="s">
        <v>3134</v>
      </c>
      <c r="F825" s="33" t="s">
        <v>2969</v>
      </c>
      <c r="G825" s="33" t="s">
        <v>3275</v>
      </c>
      <c r="H825" s="33" t="s">
        <v>2921</v>
      </c>
      <c r="I825" s="33" t="s">
        <v>3055</v>
      </c>
    </row>
    <row x14ac:dyDescent="0.25" r="826" customHeight="1" ht="15.75">
      <c r="A826" s="13" t="s">
        <v>227</v>
      </c>
      <c r="B826" s="13" t="s">
        <v>883</v>
      </c>
      <c r="C826" s="32" t="s">
        <v>3020</v>
      </c>
      <c r="D826" s="33" t="s">
        <v>3296</v>
      </c>
      <c r="E826" s="33" t="s">
        <v>3275</v>
      </c>
      <c r="F826" s="33" t="s">
        <v>3079</v>
      </c>
      <c r="G826" s="33" t="s">
        <v>3134</v>
      </c>
      <c r="H826" s="33" t="s">
        <v>2917</v>
      </c>
      <c r="I826" s="33" t="s">
        <v>3170</v>
      </c>
    </row>
    <row x14ac:dyDescent="0.25" r="827" customHeight="1" ht="15.75">
      <c r="A827" s="13" t="s">
        <v>227</v>
      </c>
      <c r="B827" s="13" t="s">
        <v>340</v>
      </c>
      <c r="C827" s="32" t="s">
        <v>3286</v>
      </c>
      <c r="D827" s="33" t="s">
        <v>2882</v>
      </c>
      <c r="E827" s="33" t="s">
        <v>2895</v>
      </c>
      <c r="F827" s="33" t="s">
        <v>3165</v>
      </c>
      <c r="G827" s="33" t="s">
        <v>3074</v>
      </c>
      <c r="H827" s="33" t="s">
        <v>2895</v>
      </c>
      <c r="I827" s="33" t="s">
        <v>3073</v>
      </c>
    </row>
    <row x14ac:dyDescent="0.25" r="828" customHeight="1" ht="15.75">
      <c r="A828" s="13" t="s">
        <v>227</v>
      </c>
      <c r="B828" s="13" t="s">
        <v>2018</v>
      </c>
      <c r="C828" s="32" t="s">
        <v>3825</v>
      </c>
      <c r="D828" s="33" t="s">
        <v>3779</v>
      </c>
      <c r="E828" s="33" t="s">
        <v>3320</v>
      </c>
      <c r="F828" s="33" t="s">
        <v>3501</v>
      </c>
      <c r="G828" s="33" t="s">
        <v>3201</v>
      </c>
      <c r="H828" s="33" t="s">
        <v>2985</v>
      </c>
      <c r="I828" s="33" t="s">
        <v>3080</v>
      </c>
    </row>
    <row x14ac:dyDescent="0.25" r="829" customHeight="1" ht="15.75">
      <c r="A829" s="13" t="s">
        <v>227</v>
      </c>
      <c r="B829" s="13" t="s">
        <v>486</v>
      </c>
      <c r="C829" s="32" t="s">
        <v>3528</v>
      </c>
      <c r="D829" s="33" t="s">
        <v>2897</v>
      </c>
      <c r="E829" s="33" t="s">
        <v>2893</v>
      </c>
      <c r="F829" s="33" t="s">
        <v>3175</v>
      </c>
      <c r="G829" s="33" t="s">
        <v>3023</v>
      </c>
      <c r="H829" s="33" t="s">
        <v>3222</v>
      </c>
      <c r="I829" s="33" t="s">
        <v>2897</v>
      </c>
    </row>
    <row x14ac:dyDescent="0.25" r="830" customHeight="1" ht="15.75">
      <c r="A830" s="13" t="s">
        <v>227</v>
      </c>
      <c r="B830" s="13" t="s">
        <v>562</v>
      </c>
      <c r="C830" s="32" t="s">
        <v>3198</v>
      </c>
      <c r="D830" s="33" t="s">
        <v>3243</v>
      </c>
      <c r="E830" s="33" t="s">
        <v>3100</v>
      </c>
      <c r="F830" s="33" t="s">
        <v>3285</v>
      </c>
      <c r="G830" s="33" t="s">
        <v>2961</v>
      </c>
      <c r="H830" s="33" t="s">
        <v>3197</v>
      </c>
      <c r="I830" s="33" t="s">
        <v>2938</v>
      </c>
    </row>
    <row x14ac:dyDescent="0.25" r="831" customHeight="1" ht="15.75">
      <c r="A831" s="13" t="s">
        <v>227</v>
      </c>
      <c r="B831" s="13" t="s">
        <v>1538</v>
      </c>
      <c r="C831" s="32" t="s">
        <v>3540</v>
      </c>
      <c r="D831" s="33" t="s">
        <v>3131</v>
      </c>
      <c r="E831" s="33" t="s">
        <v>2985</v>
      </c>
      <c r="F831" s="33" t="s">
        <v>3091</v>
      </c>
      <c r="G831" s="33" t="s">
        <v>3243</v>
      </c>
      <c r="H831" s="33" t="s">
        <v>3028</v>
      </c>
      <c r="I831" s="33" t="s">
        <v>2927</v>
      </c>
    </row>
    <row x14ac:dyDescent="0.25" r="832" customHeight="1" ht="15.75">
      <c r="A832" s="13" t="s">
        <v>227</v>
      </c>
      <c r="B832" s="13" t="s">
        <v>960</v>
      </c>
      <c r="C832" s="32" t="s">
        <v>3297</v>
      </c>
      <c r="D832" s="33" t="s">
        <v>2940</v>
      </c>
      <c r="E832" s="33" t="s">
        <v>2969</v>
      </c>
      <c r="F832" s="33" t="s">
        <v>3022</v>
      </c>
      <c r="G832" s="33" t="s">
        <v>2962</v>
      </c>
      <c r="H832" s="33" t="s">
        <v>3187</v>
      </c>
      <c r="I832" s="33" t="s">
        <v>2843</v>
      </c>
    </row>
    <row x14ac:dyDescent="0.25" r="833" customHeight="1" ht="15.75">
      <c r="A833" s="13" t="s">
        <v>227</v>
      </c>
      <c r="B833" s="13" t="s">
        <v>1225</v>
      </c>
      <c r="C833" s="32" t="s">
        <v>3297</v>
      </c>
      <c r="D833" s="33" t="s">
        <v>2919</v>
      </c>
      <c r="E833" s="33" t="s">
        <v>3075</v>
      </c>
      <c r="F833" s="33" t="s">
        <v>3222</v>
      </c>
      <c r="G833" s="33" t="s">
        <v>2898</v>
      </c>
      <c r="H833" s="33" t="s">
        <v>3101</v>
      </c>
      <c r="I833" s="33" t="s">
        <v>3196</v>
      </c>
    </row>
    <row x14ac:dyDescent="0.25" r="834" customHeight="1" ht="15.75">
      <c r="A834" s="13" t="s">
        <v>227</v>
      </c>
      <c r="B834" s="13" t="s">
        <v>1304</v>
      </c>
      <c r="C834" s="32" t="s">
        <v>3878</v>
      </c>
      <c r="D834" s="33" t="s">
        <v>3002</v>
      </c>
      <c r="E834" s="33" t="s">
        <v>3412</v>
      </c>
      <c r="F834" s="33" t="s">
        <v>3656</v>
      </c>
      <c r="G834" s="33" t="s">
        <v>2837</v>
      </c>
      <c r="H834" s="33" t="s">
        <v>3879</v>
      </c>
      <c r="I834" s="33" t="s">
        <v>3304</v>
      </c>
    </row>
    <row x14ac:dyDescent="0.25" r="835" customHeight="1" ht="15.75">
      <c r="A835" s="13" t="s">
        <v>227</v>
      </c>
      <c r="B835" s="13" t="s">
        <v>1077</v>
      </c>
      <c r="C835" s="32" t="s">
        <v>3878</v>
      </c>
      <c r="D835" s="33" t="s">
        <v>2964</v>
      </c>
      <c r="E835" s="33" t="s">
        <v>3033</v>
      </c>
      <c r="F835" s="33" t="s">
        <v>2963</v>
      </c>
      <c r="G835" s="33" t="s">
        <v>3222</v>
      </c>
      <c r="H835" s="33" t="s">
        <v>2982</v>
      </c>
      <c r="I835" s="33" t="s">
        <v>2963</v>
      </c>
    </row>
    <row x14ac:dyDescent="0.25" r="836" customHeight="1" ht="15.75">
      <c r="A836" s="13" t="s">
        <v>227</v>
      </c>
      <c r="B836" s="13" t="s">
        <v>1164</v>
      </c>
      <c r="C836" s="32" t="s">
        <v>3298</v>
      </c>
      <c r="D836" s="33" t="s">
        <v>3334</v>
      </c>
      <c r="E836" s="33" t="s">
        <v>3148</v>
      </c>
      <c r="F836" s="33" t="s">
        <v>3278</v>
      </c>
      <c r="G836" s="33" t="s">
        <v>3618</v>
      </c>
      <c r="H836" s="33" t="s">
        <v>2964</v>
      </c>
      <c r="I836" s="33" t="s">
        <v>3158</v>
      </c>
    </row>
    <row x14ac:dyDescent="0.25" r="837" customHeight="1" ht="15.75">
      <c r="A837" s="13" t="s">
        <v>227</v>
      </c>
      <c r="B837" s="13" t="s">
        <v>1382</v>
      </c>
      <c r="C837" s="32" t="s">
        <v>3072</v>
      </c>
      <c r="D837" s="33" t="s">
        <v>3159</v>
      </c>
      <c r="E837" s="33" t="s">
        <v>2921</v>
      </c>
      <c r="F837" s="33" t="s">
        <v>3154</v>
      </c>
      <c r="G837" s="33" t="s">
        <v>2992</v>
      </c>
      <c r="H837" s="33" t="s">
        <v>2900</v>
      </c>
      <c r="I837" s="33" t="s">
        <v>3140</v>
      </c>
    </row>
    <row x14ac:dyDescent="0.25" r="838" customHeight="1" ht="15.75">
      <c r="A838" s="13" t="s">
        <v>227</v>
      </c>
      <c r="B838" s="13" t="s">
        <v>335</v>
      </c>
      <c r="C838" s="32" t="s">
        <v>3302</v>
      </c>
      <c r="D838" s="33" t="s">
        <v>2914</v>
      </c>
      <c r="E838" s="33" t="s">
        <v>2856</v>
      </c>
      <c r="F838" s="33" t="s">
        <v>3052</v>
      </c>
      <c r="G838" s="33" t="s">
        <v>2888</v>
      </c>
      <c r="H838" s="33" t="s">
        <v>2980</v>
      </c>
      <c r="I838" s="33" t="s">
        <v>3000</v>
      </c>
    </row>
    <row x14ac:dyDescent="0.25" r="839" customHeight="1" ht="15.75">
      <c r="A839" s="13" t="s">
        <v>227</v>
      </c>
      <c r="B839" s="13" t="s">
        <v>2221</v>
      </c>
      <c r="C839" s="32" t="s">
        <v>3084</v>
      </c>
      <c r="D839" s="33" t="s">
        <v>3333</v>
      </c>
      <c r="E839" s="33" t="s">
        <v>3036</v>
      </c>
      <c r="F839" s="33" t="s">
        <v>2976</v>
      </c>
      <c r="G839" s="33" t="s">
        <v>3373</v>
      </c>
      <c r="H839" s="33" t="s">
        <v>3317</v>
      </c>
      <c r="I839" s="33" t="s">
        <v>3373</v>
      </c>
    </row>
    <row x14ac:dyDescent="0.25" r="840" customHeight="1" ht="15.75">
      <c r="A840" s="13" t="s">
        <v>227</v>
      </c>
      <c r="B840" s="13" t="s">
        <v>434</v>
      </c>
      <c r="C840" s="32" t="s">
        <v>3880</v>
      </c>
      <c r="D840" s="33" t="s">
        <v>3067</v>
      </c>
      <c r="E840" s="33" t="s">
        <v>3175</v>
      </c>
      <c r="F840" s="33" t="s">
        <v>2979</v>
      </c>
      <c r="G840" s="33" t="s">
        <v>2915</v>
      </c>
      <c r="H840" s="33" t="s">
        <v>3136</v>
      </c>
      <c r="I840" s="33" t="s">
        <v>2856</v>
      </c>
    </row>
    <row x14ac:dyDescent="0.25" r="841" customHeight="1" ht="15.75">
      <c r="A841" s="13" t="s">
        <v>227</v>
      </c>
      <c r="B841" s="13" t="s">
        <v>469</v>
      </c>
      <c r="C841" s="32" t="s">
        <v>3433</v>
      </c>
      <c r="D841" s="33" t="s">
        <v>3051</v>
      </c>
      <c r="E841" s="33" t="s">
        <v>3193</v>
      </c>
      <c r="F841" s="33" t="s">
        <v>3193</v>
      </c>
      <c r="G841" s="33" t="s">
        <v>3353</v>
      </c>
      <c r="H841" s="33" t="s">
        <v>3019</v>
      </c>
      <c r="I841" s="33" t="s">
        <v>2843</v>
      </c>
    </row>
    <row x14ac:dyDescent="0.25" r="842" customHeight="1" ht="15.75">
      <c r="A842" s="13" t="s">
        <v>227</v>
      </c>
      <c r="B842" s="13" t="s">
        <v>1015</v>
      </c>
      <c r="C842" s="32" t="s">
        <v>3309</v>
      </c>
      <c r="D842" s="33" t="s">
        <v>3755</v>
      </c>
      <c r="E842" s="33" t="s">
        <v>2975</v>
      </c>
      <c r="F842" s="33" t="s">
        <v>2975</v>
      </c>
      <c r="G842" s="33" t="s">
        <v>3295</v>
      </c>
      <c r="H842" s="33" t="s">
        <v>3106</v>
      </c>
      <c r="I842" s="33" t="s">
        <v>3038</v>
      </c>
    </row>
    <row x14ac:dyDescent="0.25" r="843" customHeight="1" ht="15.75">
      <c r="A843" s="13" t="s">
        <v>227</v>
      </c>
      <c r="B843" s="13" t="s">
        <v>1340</v>
      </c>
      <c r="C843" s="32" t="s">
        <v>3670</v>
      </c>
      <c r="D843" s="33" t="s">
        <v>2836</v>
      </c>
      <c r="E843" s="33" t="s">
        <v>2962</v>
      </c>
      <c r="F843" s="33" t="s">
        <v>2992</v>
      </c>
      <c r="G843" s="33" t="s">
        <v>2990</v>
      </c>
      <c r="H843" s="33" t="s">
        <v>3165</v>
      </c>
      <c r="I843" s="33" t="s">
        <v>3140</v>
      </c>
    </row>
    <row x14ac:dyDescent="0.25" r="844" customHeight="1" ht="15.75">
      <c r="A844" s="13" t="s">
        <v>227</v>
      </c>
      <c r="B844" s="13" t="s">
        <v>1728</v>
      </c>
      <c r="C844" s="32" t="s">
        <v>3090</v>
      </c>
      <c r="D844" s="33" t="s">
        <v>3436</v>
      </c>
      <c r="E844" s="33" t="s">
        <v>3131</v>
      </c>
      <c r="F844" s="33" t="s">
        <v>3372</v>
      </c>
      <c r="G844" s="33" t="s">
        <v>3011</v>
      </c>
      <c r="H844" s="33" t="s">
        <v>3317</v>
      </c>
      <c r="I844" s="33" t="s">
        <v>2974</v>
      </c>
    </row>
    <row x14ac:dyDescent="0.25" r="845" customHeight="1" ht="15.75">
      <c r="A845" s="13" t="s">
        <v>227</v>
      </c>
      <c r="B845" s="13" t="s">
        <v>2415</v>
      </c>
      <c r="C845" s="32" t="s">
        <v>3093</v>
      </c>
      <c r="D845" s="33" t="s">
        <v>3073</v>
      </c>
      <c r="E845" s="33" t="s">
        <v>3165</v>
      </c>
      <c r="F845" s="33" t="s">
        <v>3156</v>
      </c>
      <c r="G845" s="33" t="s">
        <v>2889</v>
      </c>
      <c r="H845" s="33" t="s">
        <v>2889</v>
      </c>
      <c r="I845" s="33" t="s">
        <v>2889</v>
      </c>
    </row>
    <row x14ac:dyDescent="0.25" r="846" customHeight="1" ht="15.75">
      <c r="A846" s="13" t="s">
        <v>227</v>
      </c>
      <c r="B846" s="13" t="s">
        <v>1929</v>
      </c>
      <c r="C846" s="32" t="s">
        <v>3097</v>
      </c>
      <c r="D846" s="33" t="s">
        <v>3881</v>
      </c>
      <c r="E846" s="33" t="s">
        <v>3882</v>
      </c>
      <c r="F846" s="33" t="s">
        <v>2909</v>
      </c>
      <c r="G846" s="33" t="s">
        <v>2881</v>
      </c>
      <c r="H846" s="33" t="s">
        <v>3517</v>
      </c>
      <c r="I846" s="33" t="s">
        <v>3874</v>
      </c>
    </row>
    <row x14ac:dyDescent="0.25" r="847" customHeight="1" ht="15.75">
      <c r="A847" s="13" t="s">
        <v>227</v>
      </c>
      <c r="B847" s="13" t="s">
        <v>1338</v>
      </c>
      <c r="C847" s="32" t="s">
        <v>3315</v>
      </c>
      <c r="D847" s="33" t="s">
        <v>3063</v>
      </c>
      <c r="E847" s="33" t="s">
        <v>3101</v>
      </c>
      <c r="F847" s="33" t="s">
        <v>3099</v>
      </c>
      <c r="G847" s="33" t="s">
        <v>3100</v>
      </c>
      <c r="H847" s="33" t="s">
        <v>2887</v>
      </c>
      <c r="I847" s="33" t="s">
        <v>2920</v>
      </c>
    </row>
    <row x14ac:dyDescent="0.25" r="848" customHeight="1" ht="15.75">
      <c r="A848" s="13" t="s">
        <v>227</v>
      </c>
      <c r="B848" s="13" t="s">
        <v>981</v>
      </c>
      <c r="C848" s="32" t="s">
        <v>3310</v>
      </c>
      <c r="D848" s="33" t="s">
        <v>2980</v>
      </c>
      <c r="E848" s="33" t="s">
        <v>3051</v>
      </c>
      <c r="F848" s="33" t="s">
        <v>2997</v>
      </c>
      <c r="G848" s="33" t="s">
        <v>3151</v>
      </c>
      <c r="H848" s="33" t="s">
        <v>2951</v>
      </c>
      <c r="I848" s="33" t="s">
        <v>2850</v>
      </c>
    </row>
    <row x14ac:dyDescent="0.25" r="849" customHeight="1" ht="15.75">
      <c r="A849" s="13" t="s">
        <v>227</v>
      </c>
      <c r="B849" s="13" t="s">
        <v>1889</v>
      </c>
      <c r="C849" s="32" t="s">
        <v>3205</v>
      </c>
      <c r="D849" s="33" t="s">
        <v>3156</v>
      </c>
      <c r="E849" s="33" t="s">
        <v>2904</v>
      </c>
      <c r="F849" s="33" t="s">
        <v>3138</v>
      </c>
      <c r="G849" s="33" t="s">
        <v>2942</v>
      </c>
      <c r="H849" s="33" t="s">
        <v>2980</v>
      </c>
      <c r="I849" s="33" t="s">
        <v>2856</v>
      </c>
    </row>
    <row x14ac:dyDescent="0.25" r="850" customHeight="1" ht="15.75">
      <c r="A850" s="13" t="s">
        <v>227</v>
      </c>
      <c r="B850" s="13" t="s">
        <v>2386</v>
      </c>
      <c r="C850" s="32" t="s">
        <v>3108</v>
      </c>
      <c r="D850" s="33" t="s">
        <v>3132</v>
      </c>
      <c r="E850" s="33" t="s">
        <v>2917</v>
      </c>
      <c r="F850" s="33" t="s">
        <v>3103</v>
      </c>
      <c r="G850" s="33" t="s">
        <v>3147</v>
      </c>
      <c r="H850" s="33" t="s">
        <v>3145</v>
      </c>
      <c r="I850" s="33" t="s">
        <v>3162</v>
      </c>
    </row>
    <row x14ac:dyDescent="0.25" r="851" customHeight="1" ht="15.75">
      <c r="A851" s="13" t="s">
        <v>227</v>
      </c>
      <c r="B851" s="13" t="s">
        <v>2290</v>
      </c>
      <c r="C851" s="32" t="s">
        <v>3121</v>
      </c>
      <c r="D851" s="33" t="s">
        <v>3165</v>
      </c>
      <c r="E851" s="33" t="s">
        <v>2937</v>
      </c>
      <c r="F851" s="33" t="s">
        <v>3058</v>
      </c>
      <c r="G851" s="33" t="s">
        <v>3075</v>
      </c>
      <c r="H851" s="33" t="s">
        <v>2965</v>
      </c>
      <c r="I851" s="33" t="s">
        <v>3301</v>
      </c>
    </row>
    <row x14ac:dyDescent="0.25" r="852" customHeight="1" ht="15.75">
      <c r="A852" s="13" t="s">
        <v>227</v>
      </c>
      <c r="B852" s="13" t="s">
        <v>494</v>
      </c>
      <c r="C852" s="32" t="s">
        <v>3675</v>
      </c>
      <c r="D852" s="33" t="s">
        <v>3105</v>
      </c>
      <c r="E852" s="33" t="s">
        <v>3077</v>
      </c>
      <c r="F852" s="33" t="s">
        <v>3107</v>
      </c>
      <c r="G852" s="33" t="s">
        <v>3033</v>
      </c>
      <c r="H852" s="33" t="s">
        <v>2917</v>
      </c>
      <c r="I852" s="33" t="s">
        <v>2845</v>
      </c>
    </row>
    <row x14ac:dyDescent="0.25" r="853" customHeight="1" ht="15.75">
      <c r="A853" s="13" t="s">
        <v>227</v>
      </c>
      <c r="B853" s="13" t="s">
        <v>1192</v>
      </c>
      <c r="C853" s="32" t="s">
        <v>3123</v>
      </c>
      <c r="D853" s="33" t="s">
        <v>2985</v>
      </c>
      <c r="E853" s="33" t="s">
        <v>3091</v>
      </c>
      <c r="F853" s="33" t="s">
        <v>3077</v>
      </c>
      <c r="G853" s="33" t="s">
        <v>3086</v>
      </c>
      <c r="H853" s="33" t="s">
        <v>2992</v>
      </c>
      <c r="I853" s="33" t="s">
        <v>3114</v>
      </c>
    </row>
    <row x14ac:dyDescent="0.25" r="854" customHeight="1" ht="15.75">
      <c r="A854" s="13" t="s">
        <v>227</v>
      </c>
      <c r="B854" s="13" t="s">
        <v>1097</v>
      </c>
      <c r="C854" s="32" t="s">
        <v>3323</v>
      </c>
      <c r="D854" s="33" t="s">
        <v>2920</v>
      </c>
      <c r="E854" s="33" t="s">
        <v>3099</v>
      </c>
      <c r="F854" s="33" t="s">
        <v>2932</v>
      </c>
      <c r="G854" s="33" t="s">
        <v>2895</v>
      </c>
      <c r="H854" s="33" t="s">
        <v>2932</v>
      </c>
      <c r="I854" s="33" t="s">
        <v>3166</v>
      </c>
    </row>
    <row x14ac:dyDescent="0.25" r="855" customHeight="1" ht="15.75">
      <c r="A855" s="13" t="s">
        <v>227</v>
      </c>
      <c r="B855" s="13" t="s">
        <v>1798</v>
      </c>
      <c r="C855" s="32" t="s">
        <v>3440</v>
      </c>
      <c r="D855" s="33" t="s">
        <v>2970</v>
      </c>
      <c r="E855" s="33" t="s">
        <v>2914</v>
      </c>
      <c r="F855" s="33" t="s">
        <v>2942</v>
      </c>
      <c r="G855" s="33" t="s">
        <v>2889</v>
      </c>
      <c r="H855" s="33" t="s">
        <v>3156</v>
      </c>
      <c r="I855" s="33" t="s">
        <v>3156</v>
      </c>
    </row>
    <row x14ac:dyDescent="0.25" r="856" customHeight="1" ht="15.75">
      <c r="A856" s="13" t="s">
        <v>227</v>
      </c>
      <c r="B856" s="13" t="s">
        <v>589</v>
      </c>
      <c r="C856" s="32" t="s">
        <v>3839</v>
      </c>
      <c r="D856" s="33" t="s">
        <v>3053</v>
      </c>
      <c r="E856" s="33" t="s">
        <v>3156</v>
      </c>
      <c r="F856" s="33" t="s">
        <v>3156</v>
      </c>
      <c r="G856" s="33" t="s">
        <v>3136</v>
      </c>
      <c r="H856" s="33" t="s">
        <v>2915</v>
      </c>
      <c r="I856" s="33" t="s">
        <v>2915</v>
      </c>
    </row>
    <row x14ac:dyDescent="0.25" r="857" customHeight="1" ht="15.75">
      <c r="A857" s="13" t="s">
        <v>227</v>
      </c>
      <c r="B857" s="13" t="s">
        <v>1978</v>
      </c>
      <c r="C857" s="32" t="s">
        <v>3130</v>
      </c>
      <c r="D857" s="33" t="s">
        <v>2942</v>
      </c>
      <c r="E857" s="33" t="s">
        <v>2904</v>
      </c>
      <c r="F857" s="33" t="s">
        <v>2980</v>
      </c>
      <c r="G857" s="33" t="s">
        <v>2888</v>
      </c>
      <c r="H857" s="33" t="s">
        <v>3193</v>
      </c>
      <c r="I857" s="33" t="s">
        <v>2902</v>
      </c>
    </row>
    <row x14ac:dyDescent="0.25" r="858" customHeight="1" ht="15.75">
      <c r="A858" s="13" t="s">
        <v>227</v>
      </c>
      <c r="B858" s="13" t="s">
        <v>1985</v>
      </c>
      <c r="C858" s="32" t="s">
        <v>3330</v>
      </c>
      <c r="D858" s="33" t="s">
        <v>3075</v>
      </c>
      <c r="E858" s="33" t="s">
        <v>2899</v>
      </c>
      <c r="F858" s="33" t="s">
        <v>3053</v>
      </c>
      <c r="G858" s="33" t="s">
        <v>2990</v>
      </c>
      <c r="H858" s="33" t="s">
        <v>3141</v>
      </c>
      <c r="I858" s="33" t="s">
        <v>2915</v>
      </c>
    </row>
    <row x14ac:dyDescent="0.25" r="859" customHeight="1" ht="15.75">
      <c r="A859" s="13" t="s">
        <v>227</v>
      </c>
      <c r="B859" s="13" t="s">
        <v>2320</v>
      </c>
      <c r="C859" s="32" t="s">
        <v>3883</v>
      </c>
      <c r="D859" s="33" t="s">
        <v>2980</v>
      </c>
      <c r="E859" s="33" t="s">
        <v>2903</v>
      </c>
      <c r="F859" s="33" t="s">
        <v>2904</v>
      </c>
      <c r="G859" s="33" t="s">
        <v>2951</v>
      </c>
      <c r="H859" s="33" t="s">
        <v>2951</v>
      </c>
      <c r="I859" s="33" t="s">
        <v>2950</v>
      </c>
    </row>
    <row x14ac:dyDescent="0.25" r="860" customHeight="1" ht="15.75">
      <c r="A860" s="13" t="s">
        <v>227</v>
      </c>
      <c r="B860" s="13" t="s">
        <v>657</v>
      </c>
      <c r="C860" s="32" t="s">
        <v>3884</v>
      </c>
      <c r="D860" s="33" t="s">
        <v>2991</v>
      </c>
      <c r="E860" s="33" t="s">
        <v>2942</v>
      </c>
      <c r="F860" s="33" t="s">
        <v>2888</v>
      </c>
      <c r="G860" s="33" t="s">
        <v>2943</v>
      </c>
      <c r="H860" s="33" t="s">
        <v>3136</v>
      </c>
      <c r="I860" s="33" t="s">
        <v>3051</v>
      </c>
    </row>
    <row x14ac:dyDescent="0.25" r="861" customHeight="1" ht="15.75">
      <c r="A861" s="13" t="s">
        <v>227</v>
      </c>
      <c r="B861" s="13" t="s">
        <v>455</v>
      </c>
      <c r="C861" s="32" t="s">
        <v>3558</v>
      </c>
      <c r="D861" s="33" t="s">
        <v>2979</v>
      </c>
      <c r="E861" s="33" t="s">
        <v>2979</v>
      </c>
      <c r="F861" s="33" t="s">
        <v>2902</v>
      </c>
      <c r="G861" s="33" t="s">
        <v>2848</v>
      </c>
      <c r="H861" s="33" t="s">
        <v>3193</v>
      </c>
      <c r="I861" s="33" t="s">
        <v>2850</v>
      </c>
    </row>
    <row x14ac:dyDescent="0.25" r="862" customHeight="1" ht="15.75">
      <c r="A862" s="13" t="s">
        <v>227</v>
      </c>
      <c r="B862" s="13" t="s">
        <v>1049</v>
      </c>
      <c r="C862" s="32" t="s">
        <v>3211</v>
      </c>
      <c r="D862" s="33" t="s">
        <v>2913</v>
      </c>
      <c r="E862" s="33" t="s">
        <v>3168</v>
      </c>
      <c r="F862" s="33" t="s">
        <v>2844</v>
      </c>
      <c r="G862" s="33" t="s">
        <v>2990</v>
      </c>
      <c r="H862" s="33" t="s">
        <v>2899</v>
      </c>
      <c r="I862" s="33" t="s">
        <v>2899</v>
      </c>
    </row>
    <row x14ac:dyDescent="0.25" r="863" customHeight="1" ht="15.75">
      <c r="A863" s="13" t="s">
        <v>227</v>
      </c>
      <c r="B863" s="13" t="s">
        <v>2388</v>
      </c>
      <c r="C863" s="32" t="s">
        <v>3135</v>
      </c>
      <c r="D863" s="33" t="s">
        <v>3058</v>
      </c>
      <c r="E863" s="33" t="s">
        <v>3140</v>
      </c>
      <c r="F863" s="33" t="s">
        <v>3101</v>
      </c>
      <c r="G863" s="33" t="s">
        <v>2969</v>
      </c>
      <c r="H863" s="33" t="s">
        <v>3156</v>
      </c>
      <c r="I863" s="33" t="s">
        <v>3058</v>
      </c>
    </row>
    <row x14ac:dyDescent="0.25" r="864" customHeight="1" ht="15.75">
      <c r="A864" s="13" t="s">
        <v>227</v>
      </c>
      <c r="B864" s="13" t="s">
        <v>511</v>
      </c>
      <c r="C864" s="32" t="s">
        <v>3885</v>
      </c>
      <c r="D864" s="33" t="s">
        <v>2942</v>
      </c>
      <c r="E864" s="33" t="s">
        <v>2950</v>
      </c>
      <c r="F864" s="33" t="s">
        <v>2847</v>
      </c>
      <c r="G864" s="33" t="s">
        <v>2903</v>
      </c>
      <c r="H864" s="33" t="s">
        <v>2849</v>
      </c>
      <c r="I864" s="33" t="s">
        <v>3353</v>
      </c>
    </row>
    <row x14ac:dyDescent="0.25" r="865" customHeight="1" ht="15.75">
      <c r="A865" s="13" t="s">
        <v>227</v>
      </c>
      <c r="B865" s="13" t="s">
        <v>1872</v>
      </c>
      <c r="C865" s="32" t="s">
        <v>3701</v>
      </c>
      <c r="D865" s="33" t="s">
        <v>2937</v>
      </c>
      <c r="E865" s="33" t="s">
        <v>3165</v>
      </c>
      <c r="F865" s="33" t="s">
        <v>2932</v>
      </c>
      <c r="G865" s="33" t="s">
        <v>2920</v>
      </c>
      <c r="H865" s="33" t="s">
        <v>3140</v>
      </c>
      <c r="I865" s="33" t="s">
        <v>3060</v>
      </c>
    </row>
    <row x14ac:dyDescent="0.25" r="866" customHeight="1" ht="15.75">
      <c r="A866" s="13" t="s">
        <v>227</v>
      </c>
      <c r="B866" s="13" t="s">
        <v>775</v>
      </c>
      <c r="C866" s="32" t="s">
        <v>3142</v>
      </c>
      <c r="D866" s="33" t="s">
        <v>3140</v>
      </c>
      <c r="E866" s="33" t="s">
        <v>3100</v>
      </c>
      <c r="F866" s="33" t="s">
        <v>2887</v>
      </c>
      <c r="G866" s="33" t="s">
        <v>2991</v>
      </c>
      <c r="H866" s="33" t="s">
        <v>3170</v>
      </c>
      <c r="I866" s="33" t="s">
        <v>2982</v>
      </c>
    </row>
    <row x14ac:dyDescent="0.25" r="867" customHeight="1" ht="15.75">
      <c r="A867" s="13" t="s">
        <v>227</v>
      </c>
      <c r="B867" s="13" t="s">
        <v>1782</v>
      </c>
      <c r="C867" s="32" t="s">
        <v>3837</v>
      </c>
      <c r="D867" s="33" t="s">
        <v>2904</v>
      </c>
      <c r="E867" s="33" t="s">
        <v>2849</v>
      </c>
      <c r="F867" s="33" t="s">
        <v>2849</v>
      </c>
      <c r="G867" s="33" t="s">
        <v>2848</v>
      </c>
      <c r="H867" s="33" t="s">
        <v>3351</v>
      </c>
      <c r="I867" s="33" t="s">
        <v>3151</v>
      </c>
    </row>
    <row x14ac:dyDescent="0.25" r="868" customHeight="1" ht="15.75">
      <c r="A868" s="13" t="s">
        <v>227</v>
      </c>
      <c r="B868" s="13" t="s">
        <v>2257</v>
      </c>
      <c r="C868" s="32" t="s">
        <v>3886</v>
      </c>
      <c r="D868" s="33" t="s">
        <v>3351</v>
      </c>
      <c r="E868" s="33" t="s">
        <v>3276</v>
      </c>
      <c r="F868" s="33" t="s">
        <v>2998</v>
      </c>
      <c r="G868" s="33" t="s">
        <v>3179</v>
      </c>
      <c r="H868" s="33" t="s">
        <v>3179</v>
      </c>
      <c r="I868" s="33" t="s">
        <v>3152</v>
      </c>
    </row>
    <row x14ac:dyDescent="0.25" r="869" customHeight="1" ht="15.75">
      <c r="A869" s="13" t="s">
        <v>227</v>
      </c>
      <c r="B869" s="13" t="s">
        <v>2208</v>
      </c>
      <c r="C869" s="32" t="s">
        <v>3217</v>
      </c>
      <c r="D869" s="33" t="s">
        <v>3122</v>
      </c>
      <c r="E869" s="33" t="s">
        <v>3074</v>
      </c>
      <c r="F869" s="33" t="s">
        <v>3073</v>
      </c>
      <c r="G869" s="33" t="s">
        <v>2968</v>
      </c>
      <c r="H869" s="33" t="s">
        <v>3301</v>
      </c>
      <c r="I869" s="33" t="s">
        <v>3074</v>
      </c>
    </row>
    <row x14ac:dyDescent="0.25" r="870" customHeight="1" ht="15.75">
      <c r="A870" s="13" t="s">
        <v>227</v>
      </c>
      <c r="B870" s="13" t="s">
        <v>1587</v>
      </c>
      <c r="C870" s="32" t="s">
        <v>3887</v>
      </c>
      <c r="D870" s="33" t="s">
        <v>3141</v>
      </c>
      <c r="E870" s="33" t="s">
        <v>3141</v>
      </c>
      <c r="F870" s="33" t="s">
        <v>2982</v>
      </c>
      <c r="G870" s="33" t="s">
        <v>2980</v>
      </c>
      <c r="H870" s="33" t="s">
        <v>2857</v>
      </c>
      <c r="I870" s="33" t="s">
        <v>3136</v>
      </c>
    </row>
    <row x14ac:dyDescent="0.25" r="871" customHeight="1" ht="15.75">
      <c r="A871" s="13" t="s">
        <v>227</v>
      </c>
      <c r="B871" s="13" t="s">
        <v>544</v>
      </c>
      <c r="C871" s="32" t="s">
        <v>3161</v>
      </c>
      <c r="D871" s="33" t="s">
        <v>3058</v>
      </c>
      <c r="E871" s="33" t="s">
        <v>3140</v>
      </c>
      <c r="F871" s="33" t="s">
        <v>3066</v>
      </c>
      <c r="G871" s="33" t="s">
        <v>3024</v>
      </c>
      <c r="H871" s="33" t="s">
        <v>3168</v>
      </c>
      <c r="I871" s="33" t="s">
        <v>2892</v>
      </c>
    </row>
    <row x14ac:dyDescent="0.25" r="872" customHeight="1" ht="15.75">
      <c r="A872" s="13" t="s">
        <v>227</v>
      </c>
      <c r="B872" s="13" t="s">
        <v>1915</v>
      </c>
      <c r="C872" s="32" t="s">
        <v>3164</v>
      </c>
      <c r="D872" s="33" t="s">
        <v>3175</v>
      </c>
      <c r="E872" s="33" t="s">
        <v>2982</v>
      </c>
      <c r="F872" s="33" t="s">
        <v>2979</v>
      </c>
      <c r="G872" s="33" t="s">
        <v>2889</v>
      </c>
      <c r="H872" s="33" t="s">
        <v>2893</v>
      </c>
      <c r="I872" s="33" t="s">
        <v>3053</v>
      </c>
    </row>
    <row x14ac:dyDescent="0.25" r="873" customHeight="1" ht="15.75">
      <c r="A873" s="13" t="s">
        <v>227</v>
      </c>
      <c r="B873" s="13" t="s">
        <v>2621</v>
      </c>
      <c r="C873" s="32" t="s">
        <v>3445</v>
      </c>
      <c r="D873" s="33" t="s">
        <v>2856</v>
      </c>
      <c r="E873" s="33" t="s">
        <v>2983</v>
      </c>
      <c r="F873" s="33" t="s">
        <v>2914</v>
      </c>
      <c r="G873" s="33" t="s">
        <v>2857</v>
      </c>
      <c r="H873" s="33" t="s">
        <v>2942</v>
      </c>
      <c r="I873" s="33" t="s">
        <v>2983</v>
      </c>
    </row>
    <row x14ac:dyDescent="0.25" r="874" customHeight="1" ht="15.75">
      <c r="A874" s="13" t="s">
        <v>227</v>
      </c>
      <c r="B874" s="13" t="s">
        <v>778</v>
      </c>
      <c r="C874" s="32" t="s">
        <v>3344</v>
      </c>
      <c r="D874" s="33" t="s">
        <v>3152</v>
      </c>
      <c r="E874" s="33" t="s">
        <v>3276</v>
      </c>
      <c r="F874" s="33" t="s">
        <v>2997</v>
      </c>
      <c r="G874" s="33" t="s">
        <v>2849</v>
      </c>
      <c r="H874" s="33" t="s">
        <v>3000</v>
      </c>
      <c r="I874" s="33" t="s">
        <v>2997</v>
      </c>
    </row>
    <row x14ac:dyDescent="0.25" r="875" customHeight="1" ht="15.75">
      <c r="A875" s="13" t="s">
        <v>227</v>
      </c>
      <c r="B875" s="13" t="s">
        <v>1597</v>
      </c>
      <c r="C875" s="32" t="s">
        <v>3704</v>
      </c>
      <c r="D875" s="33" t="s">
        <v>3351</v>
      </c>
      <c r="E875" s="33" t="s">
        <v>3351</v>
      </c>
      <c r="F875" s="33" t="s">
        <v>3000</v>
      </c>
      <c r="G875" s="33" t="s">
        <v>2850</v>
      </c>
      <c r="H875" s="33" t="s">
        <v>2999</v>
      </c>
      <c r="I875" s="33" t="s">
        <v>2998</v>
      </c>
    </row>
    <row x14ac:dyDescent="0.25" r="876" customHeight="1" ht="15.75">
      <c r="A876" s="13" t="s">
        <v>227</v>
      </c>
      <c r="B876" s="13" t="s">
        <v>1851</v>
      </c>
      <c r="C876" s="32" t="s">
        <v>3446</v>
      </c>
      <c r="D876" s="33" t="s">
        <v>3080</v>
      </c>
      <c r="E876" s="33" t="s">
        <v>3030</v>
      </c>
      <c r="F876" s="33" t="s">
        <v>3225</v>
      </c>
      <c r="G876" s="33" t="s">
        <v>2924</v>
      </c>
      <c r="H876" s="33" t="s">
        <v>2987</v>
      </c>
      <c r="I876" s="33" t="s">
        <v>2926</v>
      </c>
    </row>
    <row x14ac:dyDescent="0.25" r="877" customHeight="1" ht="15.75">
      <c r="A877" s="13" t="s">
        <v>227</v>
      </c>
      <c r="B877" s="13" t="s">
        <v>1829</v>
      </c>
      <c r="C877" s="32" t="s">
        <v>3448</v>
      </c>
      <c r="D877" s="33" t="s">
        <v>3888</v>
      </c>
      <c r="E877" s="33" t="s">
        <v>2829</v>
      </c>
      <c r="F877" s="33" t="s">
        <v>3580</v>
      </c>
      <c r="G877" s="33" t="s">
        <v>3669</v>
      </c>
      <c r="H877" s="33" t="s">
        <v>3109</v>
      </c>
      <c r="I877" s="33" t="s">
        <v>2845</v>
      </c>
    </row>
    <row x14ac:dyDescent="0.25" r="878" customHeight="1" ht="15.75">
      <c r="A878" s="13" t="s">
        <v>227</v>
      </c>
      <c r="B878" s="13" t="s">
        <v>2722</v>
      </c>
      <c r="C878" s="32" t="s">
        <v>3448</v>
      </c>
      <c r="D878" s="33" t="s">
        <v>2932</v>
      </c>
      <c r="E878" s="33" t="s">
        <v>3058</v>
      </c>
      <c r="F878" s="33" t="s">
        <v>3066</v>
      </c>
      <c r="G878" s="33" t="s">
        <v>3066</v>
      </c>
      <c r="H878" s="33" t="s">
        <v>3175</v>
      </c>
      <c r="I878" s="33" t="s">
        <v>3168</v>
      </c>
    </row>
    <row x14ac:dyDescent="0.25" r="879" customHeight="1" ht="15.75">
      <c r="A879" s="13" t="s">
        <v>227</v>
      </c>
      <c r="B879" s="13" t="s">
        <v>1129</v>
      </c>
      <c r="C879" s="32" t="s">
        <v>3349</v>
      </c>
      <c r="D879" s="33" t="s">
        <v>2889</v>
      </c>
      <c r="E879" s="33" t="s">
        <v>2914</v>
      </c>
      <c r="F879" s="33" t="s">
        <v>3216</v>
      </c>
      <c r="G879" s="33" t="s">
        <v>2889</v>
      </c>
      <c r="H879" s="33" t="s">
        <v>2889</v>
      </c>
      <c r="I879" s="33" t="s">
        <v>2889</v>
      </c>
    </row>
    <row x14ac:dyDescent="0.25" r="880" customHeight="1" ht="15.75">
      <c r="A880" s="13" t="s">
        <v>227</v>
      </c>
      <c r="B880" s="13" t="s">
        <v>2392</v>
      </c>
      <c r="C880" s="32" t="s">
        <v>3227</v>
      </c>
      <c r="D880" s="33" t="s">
        <v>2942</v>
      </c>
      <c r="E880" s="33" t="s">
        <v>2858</v>
      </c>
      <c r="F880" s="33" t="s">
        <v>2858</v>
      </c>
      <c r="G880" s="33" t="s">
        <v>2848</v>
      </c>
      <c r="H880" s="33" t="s">
        <v>2858</v>
      </c>
      <c r="I880" s="33" t="s">
        <v>3138</v>
      </c>
    </row>
    <row x14ac:dyDescent="0.25" r="881" customHeight="1" ht="15.75">
      <c r="A881" s="13" t="s">
        <v>227</v>
      </c>
      <c r="B881" s="13" t="s">
        <v>1653</v>
      </c>
      <c r="C881" s="32" t="s">
        <v>3889</v>
      </c>
      <c r="D881" s="33" t="s">
        <v>3569</v>
      </c>
      <c r="E881" s="33" t="s">
        <v>3305</v>
      </c>
      <c r="F881" s="33" t="s">
        <v>3042</v>
      </c>
      <c r="G881" s="33" t="s">
        <v>3003</v>
      </c>
      <c r="H881" s="33" t="s">
        <v>3507</v>
      </c>
      <c r="I881" s="33" t="s">
        <v>3212</v>
      </c>
    </row>
    <row x14ac:dyDescent="0.25" r="882" customHeight="1" ht="15.75">
      <c r="A882" s="13" t="s">
        <v>227</v>
      </c>
      <c r="B882" s="13" t="s">
        <v>2381</v>
      </c>
      <c r="C882" s="32" t="s">
        <v>3362</v>
      </c>
      <c r="D882" s="33" t="s">
        <v>2919</v>
      </c>
      <c r="E882" s="33" t="s">
        <v>3018</v>
      </c>
      <c r="F882" s="33" t="s">
        <v>3122</v>
      </c>
      <c r="G882" s="33" t="s">
        <v>2940</v>
      </c>
      <c r="H882" s="33" t="s">
        <v>2895</v>
      </c>
      <c r="I882" s="33" t="s">
        <v>2969</v>
      </c>
    </row>
    <row x14ac:dyDescent="0.25" r="883" customHeight="1" ht="15.75">
      <c r="A883" s="13" t="s">
        <v>227</v>
      </c>
      <c r="B883" s="13" t="s">
        <v>691</v>
      </c>
      <c r="C883" s="32" t="s">
        <v>3371</v>
      </c>
      <c r="D883" s="33" t="s">
        <v>2995</v>
      </c>
      <c r="E883" s="33" t="s">
        <v>2842</v>
      </c>
      <c r="F883" s="33" t="s">
        <v>3145</v>
      </c>
      <c r="G883" s="33" t="s">
        <v>3214</v>
      </c>
      <c r="H883" s="33" t="s">
        <v>2935</v>
      </c>
      <c r="I883" s="33" t="s">
        <v>3214</v>
      </c>
    </row>
    <row x14ac:dyDescent="0.25" r="884" customHeight="1" ht="15.75">
      <c r="A884" s="13" t="s">
        <v>227</v>
      </c>
      <c r="B884" s="13" t="s">
        <v>2480</v>
      </c>
      <c r="C884" s="32" t="s">
        <v>3890</v>
      </c>
      <c r="D884" s="33" t="s">
        <v>3066</v>
      </c>
      <c r="E884" s="33" t="s">
        <v>2979</v>
      </c>
      <c r="F884" s="33" t="s">
        <v>2899</v>
      </c>
      <c r="G884" s="33" t="s">
        <v>2918</v>
      </c>
      <c r="H884" s="33" t="s">
        <v>2899</v>
      </c>
      <c r="I884" s="33" t="s">
        <v>2990</v>
      </c>
    </row>
    <row x14ac:dyDescent="0.25" r="885" customHeight="1" ht="15.75">
      <c r="A885" s="13" t="s">
        <v>227</v>
      </c>
      <c r="B885" s="13" t="s">
        <v>1500</v>
      </c>
      <c r="C885" s="32" t="s">
        <v>3375</v>
      </c>
      <c r="D885" s="33" t="s">
        <v>3792</v>
      </c>
      <c r="E885" s="33" t="s">
        <v>3891</v>
      </c>
      <c r="F885" s="33" t="s">
        <v>3892</v>
      </c>
      <c r="G885" s="33" t="s">
        <v>3893</v>
      </c>
      <c r="H885" s="33" t="s">
        <v>3894</v>
      </c>
      <c r="I885" s="33" t="s">
        <v>3894</v>
      </c>
    </row>
    <row x14ac:dyDescent="0.25" r="886" customHeight="1" ht="15.75">
      <c r="A886" s="13" t="s">
        <v>227</v>
      </c>
      <c r="B886" s="13" t="s">
        <v>1160</v>
      </c>
      <c r="C886" s="32" t="s">
        <v>3862</v>
      </c>
      <c r="D886" s="33" t="s">
        <v>3165</v>
      </c>
      <c r="E886" s="33" t="s">
        <v>3073</v>
      </c>
      <c r="F886" s="33" t="s">
        <v>2968</v>
      </c>
      <c r="G886" s="33" t="s">
        <v>2968</v>
      </c>
      <c r="H886" s="33" t="s">
        <v>2968</v>
      </c>
      <c r="I886" s="33" t="s">
        <v>2968</v>
      </c>
    </row>
    <row x14ac:dyDescent="0.25" r="887" customHeight="1" ht="15.75">
      <c r="A887" s="13" t="s">
        <v>227</v>
      </c>
      <c r="B887" s="13" t="s">
        <v>2262</v>
      </c>
      <c r="C887" s="32" t="s">
        <v>3177</v>
      </c>
      <c r="D887" s="33" t="s">
        <v>2988</v>
      </c>
      <c r="E887" s="33" t="s">
        <v>3012</v>
      </c>
      <c r="F887" s="33" t="s">
        <v>3103</v>
      </c>
      <c r="G887" s="33" t="s">
        <v>3145</v>
      </c>
      <c r="H887" s="33" t="s">
        <v>2989</v>
      </c>
      <c r="I887" s="33" t="s">
        <v>3030</v>
      </c>
    </row>
    <row x14ac:dyDescent="0.25" r="888" customHeight="1" ht="15.75">
      <c r="A888" s="13" t="s">
        <v>227</v>
      </c>
      <c r="B888" s="13" t="s">
        <v>2105</v>
      </c>
      <c r="C888" s="32" t="s">
        <v>3451</v>
      </c>
      <c r="D888" s="33" t="s">
        <v>3319</v>
      </c>
      <c r="E888" s="33" t="s">
        <v>3722</v>
      </c>
      <c r="F888" s="33" t="s">
        <v>3722</v>
      </c>
      <c r="G888" s="33" t="s">
        <v>3316</v>
      </c>
      <c r="H888" s="33" t="s">
        <v>3238</v>
      </c>
      <c r="I888" s="33" t="s">
        <v>2910</v>
      </c>
    </row>
    <row x14ac:dyDescent="0.25" r="889" customHeight="1" ht="15.75">
      <c r="A889" s="13" t="s">
        <v>227</v>
      </c>
      <c r="B889" s="13" t="s">
        <v>353</v>
      </c>
      <c r="C889" s="32" t="s">
        <v>3895</v>
      </c>
      <c r="D889" s="33" t="s">
        <v>3086</v>
      </c>
      <c r="E889" s="33" t="s">
        <v>2940</v>
      </c>
      <c r="F889" s="33" t="s">
        <v>3086</v>
      </c>
      <c r="G889" s="33" t="s">
        <v>3086</v>
      </c>
      <c r="H889" s="33" t="s">
        <v>3086</v>
      </c>
      <c r="I889" s="33" t="s">
        <v>3086</v>
      </c>
    </row>
    <row x14ac:dyDescent="0.25" r="890" customHeight="1" ht="15.75">
      <c r="A890" s="13" t="s">
        <v>227</v>
      </c>
      <c r="B890" s="13" t="s">
        <v>1657</v>
      </c>
      <c r="C890" s="32" t="s">
        <v>3896</v>
      </c>
      <c r="D890" s="33" t="s">
        <v>3101</v>
      </c>
      <c r="E890" s="33" t="s">
        <v>3101</v>
      </c>
      <c r="F890" s="33" t="s">
        <v>2966</v>
      </c>
      <c r="G890" s="33" t="s">
        <v>3222</v>
      </c>
      <c r="H890" s="33" t="s">
        <v>3159</v>
      </c>
      <c r="I890" s="33" t="s">
        <v>3222</v>
      </c>
    </row>
    <row x14ac:dyDescent="0.25" r="891" customHeight="1" ht="15.75">
      <c r="A891" s="13" t="s">
        <v>227</v>
      </c>
      <c r="B891" s="13" t="s">
        <v>2656</v>
      </c>
      <c r="C891" s="32" t="s">
        <v>3897</v>
      </c>
      <c r="D891" s="33" t="s">
        <v>3073</v>
      </c>
      <c r="E891" s="33" t="s">
        <v>2932</v>
      </c>
      <c r="F891" s="33" t="s">
        <v>3196</v>
      </c>
      <c r="G891" s="33" t="s">
        <v>2968</v>
      </c>
      <c r="H891" s="33" t="s">
        <v>3075</v>
      </c>
      <c r="I891" s="33" t="s">
        <v>3154</v>
      </c>
    </row>
    <row x14ac:dyDescent="0.25" r="892" customHeight="1" ht="15.75">
      <c r="A892" s="13" t="s">
        <v>227</v>
      </c>
      <c r="B892" s="13" t="s">
        <v>2441</v>
      </c>
      <c r="C892" s="32" t="s">
        <v>3181</v>
      </c>
      <c r="D892" s="33" t="s">
        <v>3196</v>
      </c>
      <c r="E892" s="33" t="s">
        <v>3196</v>
      </c>
      <c r="F892" s="33" t="s">
        <v>3196</v>
      </c>
      <c r="G892" s="33" t="s">
        <v>3196</v>
      </c>
      <c r="H892" s="33" t="s">
        <v>3196</v>
      </c>
      <c r="I892" s="33" t="s">
        <v>3196</v>
      </c>
    </row>
    <row x14ac:dyDescent="0.25" r="893" customHeight="1" ht="15.75">
      <c r="A893" s="13" t="s">
        <v>227</v>
      </c>
      <c r="B893" s="13" t="s">
        <v>2169</v>
      </c>
      <c r="C893" s="32" t="s">
        <v>3181</v>
      </c>
      <c r="D893" s="33" t="s">
        <v>2914</v>
      </c>
      <c r="E893" s="33" t="s">
        <v>2914</v>
      </c>
      <c r="F893" s="33" t="s">
        <v>2899</v>
      </c>
      <c r="G893" s="33" t="s">
        <v>3050</v>
      </c>
      <c r="H893" s="33" t="s">
        <v>2899</v>
      </c>
      <c r="I893" s="33" t="s">
        <v>3170</v>
      </c>
    </row>
    <row x14ac:dyDescent="0.25" r="894" customHeight="1" ht="15.75">
      <c r="A894" s="13" t="s">
        <v>227</v>
      </c>
      <c r="B894" s="13" t="s">
        <v>1998</v>
      </c>
      <c r="C894" s="32" t="s">
        <v>3181</v>
      </c>
      <c r="D894" s="33" t="s">
        <v>3156</v>
      </c>
      <c r="E894" s="33" t="s">
        <v>2904</v>
      </c>
      <c r="F894" s="33" t="s">
        <v>2847</v>
      </c>
      <c r="G894" s="33" t="s">
        <v>2903</v>
      </c>
      <c r="H894" s="33" t="s">
        <v>2950</v>
      </c>
      <c r="I894" s="33" t="s">
        <v>2951</v>
      </c>
    </row>
    <row x14ac:dyDescent="0.25" r="895" customHeight="1" ht="15.75">
      <c r="A895" s="13" t="s">
        <v>198</v>
      </c>
      <c r="B895" s="13" t="s">
        <v>1155</v>
      </c>
      <c r="C895" s="32" t="s">
        <v>3596</v>
      </c>
      <c r="D895" s="33" t="s">
        <v>3063</v>
      </c>
      <c r="E895" s="33" t="s">
        <v>2892</v>
      </c>
      <c r="F895" s="33" t="s">
        <v>2966</v>
      </c>
      <c r="G895" s="33" t="s">
        <v>3018</v>
      </c>
      <c r="H895" s="33" t="s">
        <v>3099</v>
      </c>
      <c r="I895" s="33" t="s">
        <v>2965</v>
      </c>
    </row>
    <row x14ac:dyDescent="0.25" r="896" customHeight="1" ht="15.75">
      <c r="A896" s="13" t="s">
        <v>198</v>
      </c>
      <c r="B896" s="13" t="s">
        <v>322</v>
      </c>
      <c r="C896" s="32" t="s">
        <v>3269</v>
      </c>
      <c r="D896" s="33" t="s">
        <v>3058</v>
      </c>
      <c r="E896" s="33" t="s">
        <v>3024</v>
      </c>
      <c r="F896" s="33" t="s">
        <v>3216</v>
      </c>
      <c r="G896" s="33" t="s">
        <v>2971</v>
      </c>
      <c r="H896" s="33" t="s">
        <v>3170</v>
      </c>
      <c r="I896" s="33" t="s">
        <v>2982</v>
      </c>
    </row>
    <row x14ac:dyDescent="0.25" r="897" customHeight="1" ht="15.75">
      <c r="A897" s="13" t="s">
        <v>198</v>
      </c>
      <c r="B897" s="13" t="s">
        <v>1867</v>
      </c>
      <c r="C897" s="32" t="s">
        <v>3825</v>
      </c>
      <c r="D897" s="33" t="s">
        <v>3651</v>
      </c>
      <c r="E897" s="33" t="s">
        <v>3766</v>
      </c>
      <c r="F897" s="33" t="s">
        <v>3789</v>
      </c>
      <c r="G897" s="33" t="s">
        <v>3766</v>
      </c>
      <c r="H897" s="33" t="s">
        <v>3766</v>
      </c>
      <c r="I897" s="33" t="s">
        <v>3546</v>
      </c>
    </row>
    <row x14ac:dyDescent="0.25" r="898" customHeight="1" ht="15.75">
      <c r="A898" s="13" t="s">
        <v>198</v>
      </c>
      <c r="B898" s="13" t="s">
        <v>546</v>
      </c>
      <c r="C898" s="32" t="s">
        <v>3032</v>
      </c>
      <c r="D898" s="33" t="s">
        <v>3413</v>
      </c>
      <c r="E898" s="33" t="s">
        <v>3721</v>
      </c>
      <c r="F898" s="33" t="s">
        <v>3898</v>
      </c>
      <c r="G898" s="33" t="s">
        <v>3735</v>
      </c>
      <c r="H898" s="33" t="s">
        <v>2871</v>
      </c>
      <c r="I898" s="33" t="s">
        <v>3830</v>
      </c>
    </row>
    <row x14ac:dyDescent="0.25" r="899" customHeight="1" ht="15.75">
      <c r="A899" s="13" t="s">
        <v>198</v>
      </c>
      <c r="B899" s="13" t="s">
        <v>326</v>
      </c>
      <c r="C899" s="32" t="s">
        <v>3293</v>
      </c>
      <c r="D899" s="33" t="s">
        <v>3052</v>
      </c>
      <c r="E899" s="33" t="s">
        <v>2983</v>
      </c>
      <c r="F899" s="33" t="s">
        <v>3138</v>
      </c>
      <c r="G899" s="33" t="s">
        <v>2943</v>
      </c>
      <c r="H899" s="33" t="s">
        <v>3156</v>
      </c>
      <c r="I899" s="33" t="s">
        <v>2980</v>
      </c>
    </row>
    <row x14ac:dyDescent="0.25" r="900" customHeight="1" ht="15.75">
      <c r="A900" s="13" t="s">
        <v>198</v>
      </c>
      <c r="B900" s="13" t="s">
        <v>1777</v>
      </c>
      <c r="C900" s="32" t="s">
        <v>3899</v>
      </c>
      <c r="D900" s="33" t="s">
        <v>3073</v>
      </c>
      <c r="E900" s="33" t="s">
        <v>3216</v>
      </c>
      <c r="F900" s="33" t="s">
        <v>2990</v>
      </c>
      <c r="G900" s="33" t="s">
        <v>2981</v>
      </c>
      <c r="H900" s="33" t="s">
        <v>3052</v>
      </c>
      <c r="I900" s="33" t="s">
        <v>2915</v>
      </c>
    </row>
    <row x14ac:dyDescent="0.25" r="901" customHeight="1" ht="15.75">
      <c r="A901" s="13" t="s">
        <v>198</v>
      </c>
      <c r="B901" s="13" t="s">
        <v>823</v>
      </c>
      <c r="C901" s="32" t="s">
        <v>3732</v>
      </c>
      <c r="D901" s="33" t="s">
        <v>3401</v>
      </c>
      <c r="E901" s="33" t="s">
        <v>3384</v>
      </c>
      <c r="F901" s="33" t="s">
        <v>3225</v>
      </c>
      <c r="G901" s="33" t="s">
        <v>3048</v>
      </c>
      <c r="H901" s="33" t="s">
        <v>3225</v>
      </c>
      <c r="I901" s="33" t="s">
        <v>3772</v>
      </c>
    </row>
    <row x14ac:dyDescent="0.25" r="902" customHeight="1" ht="15.75">
      <c r="A902" s="13" t="s">
        <v>198</v>
      </c>
      <c r="B902" s="13" t="s">
        <v>1783</v>
      </c>
      <c r="C902" s="32" t="s">
        <v>3434</v>
      </c>
      <c r="D902" s="33" t="s">
        <v>3900</v>
      </c>
      <c r="E902" s="33" t="s">
        <v>3410</v>
      </c>
      <c r="F902" s="33" t="s">
        <v>3464</v>
      </c>
      <c r="G902" s="33" t="s">
        <v>3613</v>
      </c>
      <c r="H902" s="33" t="s">
        <v>3411</v>
      </c>
      <c r="I902" s="33" t="s">
        <v>3798</v>
      </c>
    </row>
    <row x14ac:dyDescent="0.25" r="903" customHeight="1" ht="15.75">
      <c r="A903" s="13" t="s">
        <v>198</v>
      </c>
      <c r="B903" s="13" t="s">
        <v>2013</v>
      </c>
      <c r="C903" s="32" t="s">
        <v>3307</v>
      </c>
      <c r="D903" s="33" t="s">
        <v>3046</v>
      </c>
      <c r="E903" s="33" t="s">
        <v>3124</v>
      </c>
      <c r="F903" s="33" t="s">
        <v>3087</v>
      </c>
      <c r="G903" s="33" t="s">
        <v>2937</v>
      </c>
      <c r="H903" s="33" t="s">
        <v>3063</v>
      </c>
      <c r="I903" s="33" t="s">
        <v>3163</v>
      </c>
    </row>
    <row x14ac:dyDescent="0.25" r="904" customHeight="1" ht="15.75">
      <c r="A904" s="13" t="s">
        <v>198</v>
      </c>
      <c r="B904" s="13" t="s">
        <v>1259</v>
      </c>
      <c r="C904" s="32" t="s">
        <v>3096</v>
      </c>
      <c r="D904" s="33" t="s">
        <v>3021</v>
      </c>
      <c r="E904" s="33" t="s">
        <v>3203</v>
      </c>
      <c r="F904" s="33" t="s">
        <v>3353</v>
      </c>
      <c r="G904" s="33" t="s">
        <v>2940</v>
      </c>
      <c r="H904" s="33" t="s">
        <v>3222</v>
      </c>
      <c r="I904" s="33" t="s">
        <v>2965</v>
      </c>
    </row>
    <row x14ac:dyDescent="0.25" r="905" customHeight="1" ht="15.75">
      <c r="A905" s="13" t="s">
        <v>198</v>
      </c>
      <c r="B905" s="13" t="s">
        <v>1263</v>
      </c>
      <c r="C905" s="32" t="s">
        <v>3104</v>
      </c>
      <c r="D905" s="33" t="s">
        <v>2920</v>
      </c>
      <c r="E905" s="33" t="s">
        <v>2970</v>
      </c>
      <c r="F905" s="33" t="s">
        <v>3170</v>
      </c>
      <c r="G905" s="33" t="s">
        <v>3066</v>
      </c>
      <c r="H905" s="33" t="s">
        <v>3168</v>
      </c>
      <c r="I905" s="33" t="s">
        <v>2992</v>
      </c>
    </row>
    <row x14ac:dyDescent="0.25" r="906" customHeight="1" ht="15.75">
      <c r="A906" s="13" t="s">
        <v>198</v>
      </c>
      <c r="B906" s="13" t="s">
        <v>2285</v>
      </c>
      <c r="C906" s="32" t="s">
        <v>3205</v>
      </c>
      <c r="D906" s="33" t="s">
        <v>3901</v>
      </c>
      <c r="E906" s="33" t="s">
        <v>3902</v>
      </c>
      <c r="F906" s="33" t="s">
        <v>3903</v>
      </c>
      <c r="G906" s="33" t="s">
        <v>3904</v>
      </c>
      <c r="H906" s="33" t="s">
        <v>3463</v>
      </c>
      <c r="I906" s="33" t="s">
        <v>3252</v>
      </c>
    </row>
    <row x14ac:dyDescent="0.25" r="907" customHeight="1" ht="15.75">
      <c r="A907" s="13" t="s">
        <v>198</v>
      </c>
      <c r="B907" s="13" t="s">
        <v>2248</v>
      </c>
      <c r="C907" s="32" t="s">
        <v>3113</v>
      </c>
      <c r="D907" s="33" t="s">
        <v>3905</v>
      </c>
      <c r="E907" s="33" t="s">
        <v>3483</v>
      </c>
      <c r="F907" s="33" t="s">
        <v>3628</v>
      </c>
      <c r="G907" s="33" t="s">
        <v>3906</v>
      </c>
      <c r="H907" s="33" t="s">
        <v>3117</v>
      </c>
      <c r="I907" s="33" t="s">
        <v>2845</v>
      </c>
    </row>
    <row x14ac:dyDescent="0.25" r="908" customHeight="1" ht="15.75">
      <c r="A908" s="13" t="s">
        <v>198</v>
      </c>
      <c r="B908" s="13" t="s">
        <v>2006</v>
      </c>
      <c r="C908" s="32" t="s">
        <v>3438</v>
      </c>
      <c r="D908" s="33" t="s">
        <v>3907</v>
      </c>
      <c r="E908" s="33" t="s">
        <v>3908</v>
      </c>
      <c r="F908" s="33" t="s">
        <v>3873</v>
      </c>
      <c r="G908" s="33" t="s">
        <v>3003</v>
      </c>
      <c r="H908" s="33" t="s">
        <v>3270</v>
      </c>
      <c r="I908" s="33" t="s">
        <v>3599</v>
      </c>
    </row>
    <row x14ac:dyDescent="0.25" r="909" customHeight="1" ht="15.75">
      <c r="A909" s="13" t="s">
        <v>198</v>
      </c>
      <c r="B909" s="13" t="s">
        <v>2375</v>
      </c>
      <c r="C909" s="32" t="s">
        <v>3838</v>
      </c>
      <c r="D909" s="33" t="s">
        <v>3041</v>
      </c>
      <c r="E909" s="33" t="s">
        <v>2995</v>
      </c>
      <c r="F909" s="33" t="s">
        <v>3095</v>
      </c>
      <c r="G909" s="33" t="s">
        <v>3105</v>
      </c>
      <c r="H909" s="33" t="s">
        <v>3201</v>
      </c>
      <c r="I909" s="33" t="s">
        <v>2924</v>
      </c>
    </row>
    <row x14ac:dyDescent="0.25" r="910" customHeight="1" ht="15.75">
      <c r="A910" s="13" t="s">
        <v>198</v>
      </c>
      <c r="B910" s="13" t="s">
        <v>1573</v>
      </c>
      <c r="C910" s="32" t="s">
        <v>3116</v>
      </c>
      <c r="D910" s="33" t="s">
        <v>3909</v>
      </c>
      <c r="E910" s="33" t="s">
        <v>3070</v>
      </c>
      <c r="F910" s="33" t="s">
        <v>3319</v>
      </c>
      <c r="G910" s="33" t="s">
        <v>2956</v>
      </c>
      <c r="H910" s="33" t="s">
        <v>3622</v>
      </c>
      <c r="I910" s="33" t="s">
        <v>3264</v>
      </c>
    </row>
    <row x14ac:dyDescent="0.25" r="911" customHeight="1" ht="15.75">
      <c r="A911" s="13" t="s">
        <v>198</v>
      </c>
      <c r="B911" s="13" t="s">
        <v>2154</v>
      </c>
      <c r="C911" s="32" t="s">
        <v>3206</v>
      </c>
      <c r="D911" s="33" t="s">
        <v>3103</v>
      </c>
      <c r="E911" s="33" t="s">
        <v>2844</v>
      </c>
      <c r="F911" s="33" t="s">
        <v>2919</v>
      </c>
      <c r="G911" s="33" t="s">
        <v>3099</v>
      </c>
      <c r="H911" s="33" t="s">
        <v>3196</v>
      </c>
      <c r="I911" s="33" t="s">
        <v>3122</v>
      </c>
    </row>
    <row x14ac:dyDescent="0.25" r="912" customHeight="1" ht="15.75">
      <c r="A912" s="13" t="s">
        <v>198</v>
      </c>
      <c r="B912" s="13" t="s">
        <v>1245</v>
      </c>
      <c r="C912" s="32" t="s">
        <v>3323</v>
      </c>
      <c r="D912" s="33" t="s">
        <v>3910</v>
      </c>
      <c r="E912" s="33" t="s">
        <v>3608</v>
      </c>
      <c r="F912" s="33" t="s">
        <v>3338</v>
      </c>
      <c r="G912" s="33" t="s">
        <v>3306</v>
      </c>
      <c r="H912" s="33" t="s">
        <v>3580</v>
      </c>
      <c r="I912" s="33" t="s">
        <v>3909</v>
      </c>
    </row>
    <row x14ac:dyDescent="0.25" r="913" customHeight="1" ht="15.75">
      <c r="A913" s="13" t="s">
        <v>198</v>
      </c>
      <c r="B913" s="13" t="s">
        <v>1994</v>
      </c>
      <c r="C913" s="32" t="s">
        <v>3323</v>
      </c>
      <c r="D913" s="33" t="s">
        <v>3911</v>
      </c>
      <c r="E913" s="33" t="s">
        <v>2945</v>
      </c>
      <c r="F913" s="33" t="s">
        <v>3327</v>
      </c>
      <c r="G913" s="33" t="s">
        <v>3735</v>
      </c>
      <c r="H913" s="33" t="s">
        <v>2881</v>
      </c>
      <c r="I913" s="33" t="s">
        <v>2909</v>
      </c>
    </row>
    <row x14ac:dyDescent="0.25" r="914" customHeight="1" ht="15.75">
      <c r="A914" s="13" t="s">
        <v>198</v>
      </c>
      <c r="B914" s="13" t="s">
        <v>1741</v>
      </c>
      <c r="C914" s="32" t="s">
        <v>3323</v>
      </c>
      <c r="D914" s="33" t="s">
        <v>2956</v>
      </c>
      <c r="E914" s="33" t="s">
        <v>2925</v>
      </c>
      <c r="F914" s="33" t="s">
        <v>3078</v>
      </c>
      <c r="G914" s="33" t="s">
        <v>2931</v>
      </c>
      <c r="H914" s="33" t="s">
        <v>2988</v>
      </c>
      <c r="I914" s="33" t="s">
        <v>3345</v>
      </c>
    </row>
    <row x14ac:dyDescent="0.25" r="915" customHeight="1" ht="15.75">
      <c r="A915" s="13" t="s">
        <v>198</v>
      </c>
      <c r="B915" s="13" t="s">
        <v>1823</v>
      </c>
      <c r="C915" s="32" t="s">
        <v>3440</v>
      </c>
      <c r="D915" s="33" t="s">
        <v>3105</v>
      </c>
      <c r="E915" s="33" t="s">
        <v>2995</v>
      </c>
      <c r="F915" s="33" t="s">
        <v>2960</v>
      </c>
      <c r="G915" s="33" t="s">
        <v>3107</v>
      </c>
      <c r="H915" s="33" t="s">
        <v>3029</v>
      </c>
      <c r="I915" s="33" t="s">
        <v>2938</v>
      </c>
    </row>
    <row x14ac:dyDescent="0.25" r="916" customHeight="1" ht="15.75">
      <c r="A916" s="13" t="s">
        <v>198</v>
      </c>
      <c r="B916" s="13" t="s">
        <v>2345</v>
      </c>
      <c r="C916" s="32" t="s">
        <v>3210</v>
      </c>
      <c r="D916" s="33" t="s">
        <v>3361</v>
      </c>
      <c r="E916" s="33" t="s">
        <v>3172</v>
      </c>
      <c r="F916" s="33" t="s">
        <v>3346</v>
      </c>
      <c r="G916" s="33" t="s">
        <v>2870</v>
      </c>
      <c r="H916" s="33" t="s">
        <v>2977</v>
      </c>
      <c r="I916" s="33" t="s">
        <v>3347</v>
      </c>
    </row>
    <row x14ac:dyDescent="0.25" r="917" customHeight="1" ht="15.75">
      <c r="A917" s="13" t="s">
        <v>198</v>
      </c>
      <c r="B917" s="13" t="s">
        <v>2089</v>
      </c>
      <c r="C917" s="32" t="s">
        <v>3133</v>
      </c>
      <c r="D917" s="33" t="s">
        <v>3340</v>
      </c>
      <c r="E917" s="33" t="s">
        <v>2877</v>
      </c>
      <c r="F917" s="33" t="s">
        <v>3912</v>
      </c>
      <c r="G917" s="33" t="s">
        <v>3722</v>
      </c>
      <c r="H917" s="33" t="s">
        <v>3305</v>
      </c>
      <c r="I917" s="33" t="s">
        <v>3109</v>
      </c>
    </row>
    <row x14ac:dyDescent="0.25" r="918" customHeight="1" ht="15.75">
      <c r="A918" s="13" t="s">
        <v>198</v>
      </c>
      <c r="B918" s="13" t="s">
        <v>1180</v>
      </c>
      <c r="C918" s="32" t="s">
        <v>3740</v>
      </c>
      <c r="D918" s="33" t="s">
        <v>3070</v>
      </c>
      <c r="E918" s="33" t="s">
        <v>2885</v>
      </c>
      <c r="F918" s="33" t="s">
        <v>3095</v>
      </c>
      <c r="G918" s="33" t="s">
        <v>3030</v>
      </c>
      <c r="H918" s="33" t="s">
        <v>3078</v>
      </c>
      <c r="I918" s="33" t="s">
        <v>3275</v>
      </c>
    </row>
    <row x14ac:dyDescent="0.25" r="919" customHeight="1" ht="15.75">
      <c r="A919" s="13" t="s">
        <v>198</v>
      </c>
      <c r="B919" s="13" t="s">
        <v>1224</v>
      </c>
      <c r="C919" s="32" t="s">
        <v>3740</v>
      </c>
      <c r="D919" s="33" t="s">
        <v>2990</v>
      </c>
      <c r="E919" s="33" t="s">
        <v>2858</v>
      </c>
      <c r="F919" s="33" t="s">
        <v>2942</v>
      </c>
      <c r="G919" s="33" t="s">
        <v>2943</v>
      </c>
      <c r="H919" s="33" t="s">
        <v>3051</v>
      </c>
      <c r="I919" s="33" t="s">
        <v>3137</v>
      </c>
    </row>
    <row x14ac:dyDescent="0.25" r="920" customHeight="1" ht="15.75">
      <c r="A920" s="13" t="s">
        <v>198</v>
      </c>
      <c r="B920" s="13" t="s">
        <v>1297</v>
      </c>
      <c r="C920" s="32" t="s">
        <v>3885</v>
      </c>
      <c r="D920" s="33" t="s">
        <v>3041</v>
      </c>
      <c r="E920" s="33" t="s">
        <v>2885</v>
      </c>
      <c r="F920" s="33" t="s">
        <v>3092</v>
      </c>
      <c r="G920" s="33" t="s">
        <v>2836</v>
      </c>
      <c r="H920" s="33" t="s">
        <v>2989</v>
      </c>
      <c r="I920" s="33" t="s">
        <v>3187</v>
      </c>
    </row>
    <row x14ac:dyDescent="0.25" r="921" customHeight="1" ht="15.75">
      <c r="A921" s="13" t="s">
        <v>198</v>
      </c>
      <c r="B921" s="13" t="s">
        <v>1504</v>
      </c>
      <c r="C921" s="32" t="s">
        <v>3560</v>
      </c>
      <c r="D921" s="33" t="s">
        <v>2924</v>
      </c>
      <c r="E921" s="33" t="s">
        <v>2882</v>
      </c>
      <c r="F921" s="33" t="s">
        <v>3021</v>
      </c>
      <c r="G921" s="33" t="s">
        <v>2882</v>
      </c>
      <c r="H921" s="33" t="s">
        <v>2836</v>
      </c>
      <c r="I921" s="33" t="s">
        <v>3064</v>
      </c>
    </row>
    <row x14ac:dyDescent="0.25" r="922" customHeight="1" ht="15.75">
      <c r="A922" s="13" t="s">
        <v>198</v>
      </c>
      <c r="B922" s="13" t="s">
        <v>2065</v>
      </c>
      <c r="C922" s="32" t="s">
        <v>3702</v>
      </c>
      <c r="D922" s="33" t="s">
        <v>3263</v>
      </c>
      <c r="E922" s="33" t="s">
        <v>3388</v>
      </c>
      <c r="F922" s="33" t="s">
        <v>2954</v>
      </c>
      <c r="G922" s="33" t="s">
        <v>3082</v>
      </c>
      <c r="H922" s="33" t="s">
        <v>3271</v>
      </c>
      <c r="I922" s="33" t="s">
        <v>3082</v>
      </c>
    </row>
    <row x14ac:dyDescent="0.25" r="923" customHeight="1" ht="15.75">
      <c r="A923" s="13" t="s">
        <v>198</v>
      </c>
      <c r="B923" s="13" t="s">
        <v>1988</v>
      </c>
      <c r="C923" s="32" t="s">
        <v>3337</v>
      </c>
      <c r="D923" s="33" t="s">
        <v>2987</v>
      </c>
      <c r="E923" s="33" t="s">
        <v>2921</v>
      </c>
      <c r="F923" s="33" t="s">
        <v>2836</v>
      </c>
      <c r="G923" s="33" t="s">
        <v>2963</v>
      </c>
      <c r="H923" s="33" t="s">
        <v>3087</v>
      </c>
      <c r="I923" s="33" t="s">
        <v>2961</v>
      </c>
    </row>
    <row x14ac:dyDescent="0.25" r="924" customHeight="1" ht="15.75">
      <c r="A924" s="13" t="s">
        <v>198</v>
      </c>
      <c r="B924" s="13" t="s">
        <v>1182</v>
      </c>
      <c r="C924" s="32" t="s">
        <v>3150</v>
      </c>
      <c r="D924" s="33" t="s">
        <v>3830</v>
      </c>
      <c r="E924" s="33" t="s">
        <v>3062</v>
      </c>
      <c r="F924" s="33" t="s">
        <v>2884</v>
      </c>
      <c r="G924" s="33" t="s">
        <v>3316</v>
      </c>
      <c r="H924" s="33" t="s">
        <v>3369</v>
      </c>
      <c r="I924" s="33" t="s">
        <v>3605</v>
      </c>
    </row>
    <row x14ac:dyDescent="0.25" r="925" customHeight="1" ht="15.75">
      <c r="A925" s="13" t="s">
        <v>198</v>
      </c>
      <c r="B925" s="13" t="s">
        <v>1714</v>
      </c>
      <c r="C925" s="32" t="s">
        <v>3842</v>
      </c>
      <c r="D925" s="33" t="s">
        <v>3882</v>
      </c>
      <c r="E925" s="33" t="s">
        <v>2885</v>
      </c>
      <c r="F925" s="33" t="s">
        <v>3158</v>
      </c>
      <c r="G925" s="33" t="s">
        <v>3082</v>
      </c>
      <c r="H925" s="33" t="s">
        <v>2885</v>
      </c>
      <c r="I925" s="33" t="s">
        <v>2919</v>
      </c>
    </row>
    <row x14ac:dyDescent="0.25" r="926" customHeight="1" ht="15.75">
      <c r="A926" s="13" t="s">
        <v>198</v>
      </c>
      <c r="B926" s="13" t="s">
        <v>2122</v>
      </c>
      <c r="C926" s="32" t="s">
        <v>3155</v>
      </c>
      <c r="D926" s="33" t="s">
        <v>3429</v>
      </c>
      <c r="E926" s="33" t="s">
        <v>3109</v>
      </c>
      <c r="F926" s="33" t="s">
        <v>2956</v>
      </c>
      <c r="G926" s="33" t="s">
        <v>3422</v>
      </c>
      <c r="H926" s="33" t="s">
        <v>2929</v>
      </c>
      <c r="I926" s="33" t="s">
        <v>2863</v>
      </c>
    </row>
    <row x14ac:dyDescent="0.25" r="927" customHeight="1" ht="15.75">
      <c r="A927" s="13" t="s">
        <v>198</v>
      </c>
      <c r="B927" s="13" t="s">
        <v>2108</v>
      </c>
      <c r="C927" s="32" t="s">
        <v>3155</v>
      </c>
      <c r="D927" s="33" t="s">
        <v>3779</v>
      </c>
      <c r="E927" s="33" t="s">
        <v>3010</v>
      </c>
      <c r="F927" s="33" t="s">
        <v>3369</v>
      </c>
      <c r="G927" s="33" t="s">
        <v>2985</v>
      </c>
      <c r="H927" s="33" t="s">
        <v>3077</v>
      </c>
      <c r="I927" s="33" t="s">
        <v>3063</v>
      </c>
    </row>
    <row x14ac:dyDescent="0.25" r="928" customHeight="1" ht="15.75">
      <c r="A928" s="13" t="s">
        <v>198</v>
      </c>
      <c r="B928" s="13" t="s">
        <v>594</v>
      </c>
      <c r="C928" s="32" t="s">
        <v>3155</v>
      </c>
      <c r="D928" s="33" t="s">
        <v>2897</v>
      </c>
      <c r="E928" s="33" t="s">
        <v>2899</v>
      </c>
      <c r="F928" s="33" t="s">
        <v>2913</v>
      </c>
      <c r="G928" s="33" t="s">
        <v>3203</v>
      </c>
      <c r="H928" s="33" t="s">
        <v>3175</v>
      </c>
      <c r="I928" s="33" t="s">
        <v>2914</v>
      </c>
    </row>
    <row x14ac:dyDescent="0.25" r="929" customHeight="1" ht="15.75">
      <c r="A929" s="13" t="s">
        <v>198</v>
      </c>
      <c r="B929" s="13" t="s">
        <v>2463</v>
      </c>
      <c r="C929" s="32" t="s">
        <v>3913</v>
      </c>
      <c r="D929" s="33" t="s">
        <v>3022</v>
      </c>
      <c r="E929" s="33" t="s">
        <v>3023</v>
      </c>
      <c r="F929" s="33" t="s">
        <v>3101</v>
      </c>
      <c r="G929" s="33" t="s">
        <v>3023</v>
      </c>
      <c r="H929" s="33" t="s">
        <v>2965</v>
      </c>
      <c r="I929" s="33" t="s">
        <v>2895</v>
      </c>
    </row>
    <row x14ac:dyDescent="0.25" r="930" customHeight="1" ht="15.75">
      <c r="A930" s="13" t="s">
        <v>198</v>
      </c>
      <c r="B930" s="13" t="s">
        <v>2356</v>
      </c>
      <c r="C930" s="32" t="s">
        <v>3914</v>
      </c>
      <c r="D930" s="33" t="s">
        <v>2887</v>
      </c>
      <c r="E930" s="33" t="s">
        <v>2918</v>
      </c>
      <c r="F930" s="33" t="s">
        <v>2971</v>
      </c>
      <c r="G930" s="33" t="s">
        <v>3175</v>
      </c>
      <c r="H930" s="33" t="s">
        <v>2991</v>
      </c>
      <c r="I930" s="33" t="s">
        <v>3168</v>
      </c>
    </row>
    <row x14ac:dyDescent="0.25" r="931" customHeight="1" ht="15.75">
      <c r="A931" s="13" t="s">
        <v>198</v>
      </c>
      <c r="B931" s="13" t="s">
        <v>2111</v>
      </c>
      <c r="C931" s="32" t="s">
        <v>3844</v>
      </c>
      <c r="D931" s="33" t="s">
        <v>3002</v>
      </c>
      <c r="E931" s="33" t="s">
        <v>3380</v>
      </c>
      <c r="F931" s="33" t="s">
        <v>3119</v>
      </c>
      <c r="G931" s="33" t="s">
        <v>3684</v>
      </c>
      <c r="H931" s="33" t="s">
        <v>3367</v>
      </c>
      <c r="I931" s="33" t="s">
        <v>2862</v>
      </c>
    </row>
    <row x14ac:dyDescent="0.25" r="932" customHeight="1" ht="15.75">
      <c r="A932" s="13" t="s">
        <v>198</v>
      </c>
      <c r="B932" s="13" t="s">
        <v>2292</v>
      </c>
      <c r="C932" s="32" t="s">
        <v>3915</v>
      </c>
      <c r="D932" s="33" t="s">
        <v>2872</v>
      </c>
      <c r="E932" s="33" t="s">
        <v>3095</v>
      </c>
      <c r="F932" s="33" t="s">
        <v>2964</v>
      </c>
      <c r="G932" s="33" t="s">
        <v>3149</v>
      </c>
      <c r="H932" s="33" t="s">
        <v>3214</v>
      </c>
      <c r="I932" s="33" t="s">
        <v>2924</v>
      </c>
    </row>
    <row x14ac:dyDescent="0.25" r="933" customHeight="1" ht="15.75">
      <c r="A933" s="13" t="s">
        <v>198</v>
      </c>
      <c r="B933" s="13" t="s">
        <v>2426</v>
      </c>
      <c r="C933" s="32" t="s">
        <v>3743</v>
      </c>
      <c r="D933" s="33" t="s">
        <v>3832</v>
      </c>
      <c r="E933" s="33" t="s">
        <v>3832</v>
      </c>
      <c r="F933" s="33" t="s">
        <v>3085</v>
      </c>
      <c r="G933" s="33" t="s">
        <v>3045</v>
      </c>
      <c r="H933" s="33" t="s">
        <v>3373</v>
      </c>
      <c r="I933" s="33" t="s">
        <v>3036</v>
      </c>
    </row>
    <row x14ac:dyDescent="0.25" r="934" customHeight="1" ht="15.75">
      <c r="A934" s="13" t="s">
        <v>198</v>
      </c>
      <c r="B934" s="13" t="s">
        <v>2251</v>
      </c>
      <c r="C934" s="32" t="s">
        <v>3916</v>
      </c>
      <c r="D934" s="33" t="s">
        <v>2962</v>
      </c>
      <c r="E934" s="33" t="s">
        <v>3023</v>
      </c>
      <c r="F934" s="33" t="s">
        <v>2940</v>
      </c>
      <c r="G934" s="33" t="s">
        <v>3196</v>
      </c>
      <c r="H934" s="33" t="s">
        <v>2940</v>
      </c>
      <c r="I934" s="33" t="s">
        <v>3074</v>
      </c>
    </row>
    <row x14ac:dyDescent="0.25" r="935" customHeight="1" ht="15.75">
      <c r="A935" s="13" t="s">
        <v>198</v>
      </c>
      <c r="B935" s="13" t="s">
        <v>2158</v>
      </c>
      <c r="C935" s="32" t="s">
        <v>3917</v>
      </c>
      <c r="D935" s="33" t="s">
        <v>3082</v>
      </c>
      <c r="E935" s="33" t="s">
        <v>3201</v>
      </c>
      <c r="F935" s="33" t="s">
        <v>2925</v>
      </c>
      <c r="G935" s="33" t="s">
        <v>3209</v>
      </c>
      <c r="H935" s="33" t="s">
        <v>3145</v>
      </c>
      <c r="I935" s="33" t="s">
        <v>3079</v>
      </c>
    </row>
    <row x14ac:dyDescent="0.25" r="936" customHeight="1" ht="15.75">
      <c r="A936" s="13" t="s">
        <v>198</v>
      </c>
      <c r="B936" s="13" t="s">
        <v>2484</v>
      </c>
      <c r="C936" s="32" t="s">
        <v>3918</v>
      </c>
      <c r="D936" s="33" t="s">
        <v>3216</v>
      </c>
      <c r="E936" s="33" t="s">
        <v>3216</v>
      </c>
      <c r="F936" s="33" t="s">
        <v>2981</v>
      </c>
      <c r="G936" s="33" t="s">
        <v>2942</v>
      </c>
      <c r="H936" s="33" t="s">
        <v>2942</v>
      </c>
      <c r="I936" s="33" t="s">
        <v>3052</v>
      </c>
    </row>
    <row x14ac:dyDescent="0.25" r="937" customHeight="1" ht="15.75">
      <c r="A937" s="13" t="s">
        <v>198</v>
      </c>
      <c r="B937" s="13" t="s">
        <v>2092</v>
      </c>
      <c r="C937" s="32" t="s">
        <v>3847</v>
      </c>
      <c r="D937" s="33" t="s">
        <v>3187</v>
      </c>
      <c r="E937" s="33" t="s">
        <v>3023</v>
      </c>
      <c r="F937" s="33" t="s">
        <v>3166</v>
      </c>
      <c r="G937" s="33" t="s">
        <v>3222</v>
      </c>
      <c r="H937" s="33" t="s">
        <v>2966</v>
      </c>
      <c r="I937" s="33" t="s">
        <v>3301</v>
      </c>
    </row>
    <row x14ac:dyDescent="0.25" r="938" customHeight="1" ht="15.75">
      <c r="A938" s="13" t="s">
        <v>198</v>
      </c>
      <c r="B938" s="13" t="s">
        <v>1990</v>
      </c>
      <c r="C938" s="32" t="s">
        <v>3919</v>
      </c>
      <c r="D938" s="33" t="s">
        <v>3007</v>
      </c>
      <c r="E938" s="33" t="s">
        <v>3420</v>
      </c>
      <c r="F938" s="33" t="s">
        <v>3827</v>
      </c>
      <c r="G938" s="33" t="s">
        <v>3845</v>
      </c>
      <c r="H938" s="33" t="s">
        <v>3507</v>
      </c>
      <c r="I938" s="33" t="s">
        <v>3262</v>
      </c>
    </row>
    <row x14ac:dyDescent="0.25" r="939" customHeight="1" ht="15.75">
      <c r="A939" s="13" t="s">
        <v>198</v>
      </c>
      <c r="B939" s="13" t="s">
        <v>2075</v>
      </c>
      <c r="C939" s="32" t="s">
        <v>3920</v>
      </c>
      <c r="D939" s="33" t="s">
        <v>2955</v>
      </c>
      <c r="E939" s="33" t="s">
        <v>3078</v>
      </c>
      <c r="F939" s="33" t="s">
        <v>3078</v>
      </c>
      <c r="G939" s="33" t="s">
        <v>3081</v>
      </c>
      <c r="H939" s="33" t="s">
        <v>3225</v>
      </c>
      <c r="I939" s="33" t="s">
        <v>3095</v>
      </c>
    </row>
    <row x14ac:dyDescent="0.25" r="940" customHeight="1" ht="15.75">
      <c r="A940" s="13" t="s">
        <v>198</v>
      </c>
      <c r="B940" s="13" t="s">
        <v>2341</v>
      </c>
      <c r="C940" s="32" t="s">
        <v>3921</v>
      </c>
      <c r="D940" s="33" t="s">
        <v>2936</v>
      </c>
      <c r="E940" s="33" t="s">
        <v>3099</v>
      </c>
      <c r="F940" s="33" t="s">
        <v>2919</v>
      </c>
      <c r="G940" s="33" t="s">
        <v>3029</v>
      </c>
      <c r="H940" s="33" t="s">
        <v>3115</v>
      </c>
      <c r="I940" s="33" t="s">
        <v>3122</v>
      </c>
    </row>
    <row x14ac:dyDescent="0.25" r="941" customHeight="1" ht="15.75">
      <c r="A941" s="13" t="s">
        <v>198</v>
      </c>
      <c r="B941" s="13" t="s">
        <v>2366</v>
      </c>
      <c r="C941" s="32" t="s">
        <v>3223</v>
      </c>
      <c r="D941" s="33" t="s">
        <v>2960</v>
      </c>
      <c r="E941" s="33" t="s">
        <v>3107</v>
      </c>
      <c r="F941" s="33" t="s">
        <v>3033</v>
      </c>
      <c r="G941" s="33" t="s">
        <v>2938</v>
      </c>
      <c r="H941" s="33" t="s">
        <v>3107</v>
      </c>
      <c r="I941" s="33" t="s">
        <v>2938</v>
      </c>
    </row>
    <row x14ac:dyDescent="0.25" r="942" customHeight="1" ht="15.75">
      <c r="A942" s="13" t="s">
        <v>198</v>
      </c>
      <c r="B942" s="13" t="s">
        <v>1959</v>
      </c>
      <c r="C942" s="32" t="s">
        <v>3228</v>
      </c>
      <c r="D942" s="33" t="s">
        <v>3598</v>
      </c>
      <c r="E942" s="33" t="s">
        <v>3881</v>
      </c>
      <c r="F942" s="33" t="s">
        <v>3819</v>
      </c>
      <c r="G942" s="33" t="s">
        <v>3922</v>
      </c>
      <c r="H942" s="33" t="s">
        <v>3898</v>
      </c>
      <c r="I942" s="33" t="s">
        <v>3016</v>
      </c>
    </row>
    <row x14ac:dyDescent="0.25" r="943" customHeight="1" ht="15.75">
      <c r="A943" s="13" t="s">
        <v>198</v>
      </c>
      <c r="B943" s="13" t="s">
        <v>2589</v>
      </c>
      <c r="C943" s="32" t="s">
        <v>3228</v>
      </c>
      <c r="D943" s="33" t="s">
        <v>2933</v>
      </c>
      <c r="E943" s="33" t="s">
        <v>2933</v>
      </c>
      <c r="F943" s="33" t="s">
        <v>3101</v>
      </c>
      <c r="G943" s="33" t="s">
        <v>2920</v>
      </c>
      <c r="H943" s="33" t="s">
        <v>2966</v>
      </c>
      <c r="I943" s="33" t="s">
        <v>2966</v>
      </c>
    </row>
    <row x14ac:dyDescent="0.25" r="944" customHeight="1" ht="15.75">
      <c r="A944" s="13" t="s">
        <v>198</v>
      </c>
      <c r="B944" s="13" t="s">
        <v>790</v>
      </c>
      <c r="C944" s="32" t="s">
        <v>3567</v>
      </c>
      <c r="D944" s="33" t="s">
        <v>3165</v>
      </c>
      <c r="E944" s="33" t="s">
        <v>2918</v>
      </c>
      <c r="F944" s="33" t="s">
        <v>2915</v>
      </c>
      <c r="G944" s="33" t="s">
        <v>2990</v>
      </c>
      <c r="H944" s="33" t="s">
        <v>2970</v>
      </c>
      <c r="I944" s="33" t="s">
        <v>3066</v>
      </c>
    </row>
    <row x14ac:dyDescent="0.25" r="945" customHeight="1" ht="15.75">
      <c r="A945" s="13" t="s">
        <v>198</v>
      </c>
      <c r="B945" s="13" t="s">
        <v>199</v>
      </c>
      <c r="C945" s="32" t="s">
        <v>3567</v>
      </c>
      <c r="D945" s="33" t="s">
        <v>3170</v>
      </c>
      <c r="E945" s="33" t="s">
        <v>2893</v>
      </c>
      <c r="F945" s="33" t="s">
        <v>3050</v>
      </c>
      <c r="G945" s="33" t="s">
        <v>2914</v>
      </c>
      <c r="H945" s="33" t="s">
        <v>2981</v>
      </c>
      <c r="I945" s="33" t="s">
        <v>2981</v>
      </c>
    </row>
    <row x14ac:dyDescent="0.25" r="946" customHeight="1" ht="15.75">
      <c r="A946" s="13" t="s">
        <v>198</v>
      </c>
      <c r="B946" s="13" t="s">
        <v>2729</v>
      </c>
      <c r="C946" s="32" t="s">
        <v>3923</v>
      </c>
      <c r="D946" s="33" t="s">
        <v>2899</v>
      </c>
      <c r="E946" s="33" t="s">
        <v>2899</v>
      </c>
      <c r="F946" s="33" t="s">
        <v>3067</v>
      </c>
      <c r="G946" s="33" t="s">
        <v>3067</v>
      </c>
      <c r="H946" s="33" t="s">
        <v>3170</v>
      </c>
      <c r="I946" s="33" t="s">
        <v>3141</v>
      </c>
    </row>
    <row x14ac:dyDescent="0.25" r="947" customHeight="1" ht="15.75">
      <c r="A947" s="13" t="s">
        <v>198</v>
      </c>
      <c r="B947" s="13" t="s">
        <v>1122</v>
      </c>
      <c r="C947" s="32" t="s">
        <v>3747</v>
      </c>
      <c r="D947" s="33" t="s">
        <v>2937</v>
      </c>
      <c r="E947" s="33" t="s">
        <v>3021</v>
      </c>
      <c r="F947" s="33" t="s">
        <v>2963</v>
      </c>
      <c r="G947" s="33" t="s">
        <v>2963</v>
      </c>
      <c r="H947" s="33" t="s">
        <v>2963</v>
      </c>
      <c r="I947" s="33" t="s">
        <v>2963</v>
      </c>
    </row>
    <row x14ac:dyDescent="0.25" r="948" customHeight="1" ht="15.75">
      <c r="A948" s="13" t="s">
        <v>198</v>
      </c>
      <c r="B948" s="13" t="s">
        <v>1979</v>
      </c>
      <c r="C948" s="32" t="s">
        <v>3924</v>
      </c>
      <c r="D948" s="33" t="s">
        <v>2923</v>
      </c>
      <c r="E948" s="33" t="s">
        <v>2931</v>
      </c>
      <c r="F948" s="33" t="s">
        <v>3618</v>
      </c>
      <c r="G948" s="33" t="s">
        <v>3105</v>
      </c>
      <c r="H948" s="33" t="s">
        <v>3618</v>
      </c>
      <c r="I948" s="33" t="s">
        <v>3618</v>
      </c>
    </row>
    <row x14ac:dyDescent="0.25" r="949" customHeight="1" ht="15.75">
      <c r="A949" s="13" t="s">
        <v>198</v>
      </c>
      <c r="B949" s="13" t="s">
        <v>2183</v>
      </c>
      <c r="C949" s="32" t="s">
        <v>3924</v>
      </c>
      <c r="D949" s="33" t="s">
        <v>3156</v>
      </c>
      <c r="E949" s="33" t="s">
        <v>3193</v>
      </c>
      <c r="F949" s="33" t="s">
        <v>3137</v>
      </c>
      <c r="G949" s="33" t="s">
        <v>3156</v>
      </c>
      <c r="H949" s="33" t="s">
        <v>3156</v>
      </c>
      <c r="I949" s="33" t="s">
        <v>3156</v>
      </c>
    </row>
    <row x14ac:dyDescent="0.25" r="950" customHeight="1" ht="15.75">
      <c r="A950" s="13" t="s">
        <v>198</v>
      </c>
      <c r="B950" s="13" t="s">
        <v>2226</v>
      </c>
      <c r="C950" s="32" t="s">
        <v>3925</v>
      </c>
      <c r="D950" s="33" t="s">
        <v>3353</v>
      </c>
      <c r="E950" s="33" t="s">
        <v>3353</v>
      </c>
      <c r="F950" s="33" t="s">
        <v>2903</v>
      </c>
      <c r="G950" s="33" t="s">
        <v>3051</v>
      </c>
      <c r="H950" s="33" t="s">
        <v>2904</v>
      </c>
      <c r="I950" s="33" t="s">
        <v>2904</v>
      </c>
    </row>
    <row x14ac:dyDescent="0.25" r="951" customHeight="1" ht="15.75">
      <c r="A951" s="13" t="s">
        <v>198</v>
      </c>
      <c r="B951" s="13" t="s">
        <v>2528</v>
      </c>
      <c r="C951" s="32" t="s">
        <v>3451</v>
      </c>
      <c r="D951" s="33" t="s">
        <v>2885</v>
      </c>
      <c r="E951" s="33" t="s">
        <v>3225</v>
      </c>
      <c r="F951" s="33" t="s">
        <v>3147</v>
      </c>
      <c r="G951" s="33" t="s">
        <v>3147</v>
      </c>
      <c r="H951" s="33" t="s">
        <v>3278</v>
      </c>
      <c r="I951" s="33" t="s">
        <v>3278</v>
      </c>
    </row>
    <row x14ac:dyDescent="0.25" r="952" customHeight="1" ht="15.75">
      <c r="A952" s="13" t="s">
        <v>198</v>
      </c>
      <c r="B952" s="13" t="s">
        <v>525</v>
      </c>
      <c r="C952" s="32" t="s">
        <v>3383</v>
      </c>
      <c r="D952" s="33" t="s">
        <v>2888</v>
      </c>
      <c r="E952" s="33" t="s">
        <v>2950</v>
      </c>
      <c r="F952" s="33" t="s">
        <v>2950</v>
      </c>
      <c r="G952" s="33" t="s">
        <v>3193</v>
      </c>
      <c r="H952" s="33" t="s">
        <v>2951</v>
      </c>
      <c r="I952" s="33" t="s">
        <v>3193</v>
      </c>
    </row>
    <row x14ac:dyDescent="0.25" r="953" customHeight="1" ht="15.75">
      <c r="A953" s="13" t="s">
        <v>198</v>
      </c>
      <c r="B953" s="13" t="s">
        <v>324</v>
      </c>
      <c r="C953" s="32" t="s">
        <v>3926</v>
      </c>
      <c r="D953" s="33" t="s">
        <v>3075</v>
      </c>
      <c r="E953" s="33" t="s">
        <v>3154</v>
      </c>
      <c r="F953" s="33" t="s">
        <v>3154</v>
      </c>
      <c r="G953" s="33" t="s">
        <v>3154</v>
      </c>
      <c r="H953" s="33" t="s">
        <v>3154</v>
      </c>
      <c r="I953" s="33" t="s">
        <v>3154</v>
      </c>
    </row>
    <row x14ac:dyDescent="0.25" r="954" customHeight="1" ht="15.75">
      <c r="A954" s="13" t="s">
        <v>198</v>
      </c>
      <c r="B954" s="13" t="s">
        <v>2756</v>
      </c>
      <c r="C954" s="32" t="s">
        <v>3181</v>
      </c>
      <c r="D954" s="33" t="s">
        <v>2834</v>
      </c>
      <c r="E954" s="33" t="s">
        <v>2834</v>
      </c>
      <c r="F954" s="33" t="s">
        <v>2834</v>
      </c>
      <c r="G954" s="33" t="s">
        <v>2834</v>
      </c>
      <c r="H954" s="33" t="s">
        <v>2834</v>
      </c>
      <c r="I954" s="33" t="s">
        <v>2911</v>
      </c>
    </row>
    <row x14ac:dyDescent="0.25" r="955" customHeight="1" ht="15.75">
      <c r="A955" s="13" t="s">
        <v>391</v>
      </c>
      <c r="B955" s="13" t="s">
        <v>2275</v>
      </c>
      <c r="C955" s="32" t="s">
        <v>3481</v>
      </c>
      <c r="D955" s="33" t="s">
        <v>2845</v>
      </c>
      <c r="E955" s="33" t="s">
        <v>2888</v>
      </c>
      <c r="F955" s="33" t="s">
        <v>3137</v>
      </c>
      <c r="G955" s="33" t="s">
        <v>2943</v>
      </c>
      <c r="H955" s="33" t="s">
        <v>3353</v>
      </c>
      <c r="I955" s="33" t="s">
        <v>2980</v>
      </c>
    </row>
    <row x14ac:dyDescent="0.25" r="956" customHeight="1" ht="15.75">
      <c r="A956" s="13" t="s">
        <v>391</v>
      </c>
      <c r="B956" s="13" t="s">
        <v>1383</v>
      </c>
      <c r="C956" s="32" t="s">
        <v>3927</v>
      </c>
      <c r="D956" s="33" t="s">
        <v>2843</v>
      </c>
      <c r="E956" s="33" t="s">
        <v>3019</v>
      </c>
      <c r="F956" s="33" t="s">
        <v>2854</v>
      </c>
      <c r="G956" s="33" t="s">
        <v>2854</v>
      </c>
      <c r="H956" s="33" t="s">
        <v>2854</v>
      </c>
      <c r="I956" s="33" t="s">
        <v>2854</v>
      </c>
    </row>
    <row x14ac:dyDescent="0.25" r="957" customHeight="1" ht="15.75">
      <c r="A957" s="13" t="s">
        <v>391</v>
      </c>
      <c r="B957" s="13" t="s">
        <v>392</v>
      </c>
      <c r="C957" s="32" t="s">
        <v>3254</v>
      </c>
      <c r="D957" s="33" t="s">
        <v>3353</v>
      </c>
      <c r="E957" s="33" t="s">
        <v>2951</v>
      </c>
      <c r="F957" s="33" t="s">
        <v>2902</v>
      </c>
      <c r="G957" s="33" t="s">
        <v>2847</v>
      </c>
      <c r="H957" s="33" t="s">
        <v>3193</v>
      </c>
      <c r="I957" s="33" t="s">
        <v>2902</v>
      </c>
    </row>
    <row x14ac:dyDescent="0.25" r="958" customHeight="1" ht="15.75">
      <c r="A958" s="13" t="s">
        <v>391</v>
      </c>
      <c r="B958" s="13" t="s">
        <v>1993</v>
      </c>
      <c r="C958" s="32" t="s">
        <v>3255</v>
      </c>
      <c r="D958" s="33" t="s">
        <v>3074</v>
      </c>
      <c r="E958" s="33" t="s">
        <v>3018</v>
      </c>
      <c r="F958" s="33" t="s">
        <v>2895</v>
      </c>
      <c r="G958" s="33" t="s">
        <v>2856</v>
      </c>
      <c r="H958" s="33" t="s">
        <v>2887</v>
      </c>
      <c r="I958" s="33" t="s">
        <v>2898</v>
      </c>
    </row>
    <row x14ac:dyDescent="0.25" r="959" customHeight="1" ht="15.75">
      <c r="A959" s="13" t="s">
        <v>391</v>
      </c>
      <c r="B959" s="13" t="s">
        <v>1789</v>
      </c>
      <c r="C959" s="32" t="s">
        <v>3402</v>
      </c>
      <c r="D959" s="33" t="s">
        <v>3029</v>
      </c>
      <c r="E959" s="33" t="s">
        <v>3060</v>
      </c>
      <c r="F959" s="33" t="s">
        <v>2965</v>
      </c>
      <c r="G959" s="33" t="s">
        <v>3196</v>
      </c>
      <c r="H959" s="33" t="s">
        <v>2965</v>
      </c>
      <c r="I959" s="33" t="s">
        <v>3196</v>
      </c>
    </row>
    <row x14ac:dyDescent="0.25" r="960" customHeight="1" ht="15.75">
      <c r="A960" s="13" t="s">
        <v>391</v>
      </c>
      <c r="B960" s="13" t="s">
        <v>1880</v>
      </c>
      <c r="C960" s="32" t="s">
        <v>3521</v>
      </c>
      <c r="D960" s="33" t="s">
        <v>3432</v>
      </c>
      <c r="E960" s="33" t="s">
        <v>2885</v>
      </c>
      <c r="F960" s="33" t="s">
        <v>2930</v>
      </c>
      <c r="G960" s="33" t="s">
        <v>2957</v>
      </c>
      <c r="H960" s="33" t="s">
        <v>3080</v>
      </c>
      <c r="I960" s="33" t="s">
        <v>3091</v>
      </c>
    </row>
    <row x14ac:dyDescent="0.25" r="961" customHeight="1" ht="15.75">
      <c r="A961" s="13" t="s">
        <v>391</v>
      </c>
      <c r="B961" s="13" t="s">
        <v>1710</v>
      </c>
      <c r="C961" s="32" t="s">
        <v>3414</v>
      </c>
      <c r="D961" s="33" t="s">
        <v>2960</v>
      </c>
      <c r="E961" s="33" t="s">
        <v>2933</v>
      </c>
      <c r="F961" s="33" t="s">
        <v>3166</v>
      </c>
      <c r="G961" s="33" t="s">
        <v>3196</v>
      </c>
      <c r="H961" s="33" t="s">
        <v>2898</v>
      </c>
      <c r="I961" s="33" t="s">
        <v>3115</v>
      </c>
    </row>
    <row x14ac:dyDescent="0.25" r="962" customHeight="1" ht="15.75">
      <c r="A962" s="13" t="s">
        <v>391</v>
      </c>
      <c r="B962" s="13" t="s">
        <v>1646</v>
      </c>
      <c r="C962" s="32" t="s">
        <v>3190</v>
      </c>
      <c r="D962" s="33" t="s">
        <v>2895</v>
      </c>
      <c r="E962" s="33" t="s">
        <v>3222</v>
      </c>
      <c r="F962" s="33" t="s">
        <v>2940</v>
      </c>
      <c r="G962" s="33" t="s">
        <v>3100</v>
      </c>
      <c r="H962" s="33" t="s">
        <v>3073</v>
      </c>
      <c r="I962" s="33" t="s">
        <v>3023</v>
      </c>
    </row>
    <row x14ac:dyDescent="0.25" r="963" customHeight="1" ht="15.75">
      <c r="A963" s="13" t="s">
        <v>391</v>
      </c>
      <c r="B963" s="13" t="s">
        <v>1972</v>
      </c>
      <c r="C963" s="32" t="s">
        <v>3274</v>
      </c>
      <c r="D963" s="33" t="s">
        <v>2938</v>
      </c>
      <c r="E963" s="33" t="s">
        <v>3023</v>
      </c>
      <c r="F963" s="33" t="s">
        <v>2940</v>
      </c>
      <c r="G963" s="33" t="s">
        <v>3075</v>
      </c>
      <c r="H963" s="33" t="s">
        <v>2888</v>
      </c>
      <c r="I963" s="33" t="s">
        <v>2990</v>
      </c>
    </row>
    <row x14ac:dyDescent="0.25" r="964" customHeight="1" ht="15.75">
      <c r="A964" s="13" t="s">
        <v>391</v>
      </c>
      <c r="B964" s="13" t="s">
        <v>2449</v>
      </c>
      <c r="C964" s="32" t="s">
        <v>3013</v>
      </c>
      <c r="D964" s="33" t="s">
        <v>3151</v>
      </c>
      <c r="E964" s="33" t="s">
        <v>2849</v>
      </c>
      <c r="F964" s="33" t="s">
        <v>2903</v>
      </c>
      <c r="G964" s="33" t="s">
        <v>2951</v>
      </c>
      <c r="H964" s="33" t="s">
        <v>3000</v>
      </c>
      <c r="I964" s="33" t="s">
        <v>2998</v>
      </c>
    </row>
    <row x14ac:dyDescent="0.25" r="965" customHeight="1" ht="15.75">
      <c r="A965" s="13" t="s">
        <v>391</v>
      </c>
      <c r="B965" s="13" t="s">
        <v>1428</v>
      </c>
      <c r="C965" s="32" t="s">
        <v>3928</v>
      </c>
      <c r="D965" s="33" t="s">
        <v>3074</v>
      </c>
      <c r="E965" s="33" t="s">
        <v>2992</v>
      </c>
      <c r="F965" s="33" t="s">
        <v>3203</v>
      </c>
      <c r="G965" s="33" t="s">
        <v>3165</v>
      </c>
      <c r="H965" s="33" t="s">
        <v>3165</v>
      </c>
      <c r="I965" s="33" t="s">
        <v>2969</v>
      </c>
    </row>
    <row x14ac:dyDescent="0.25" r="966" customHeight="1" ht="15.75">
      <c r="A966" s="13" t="s">
        <v>391</v>
      </c>
      <c r="B966" s="13" t="s">
        <v>1764</v>
      </c>
      <c r="C966" s="32" t="s">
        <v>3826</v>
      </c>
      <c r="D966" s="33" t="s">
        <v>3082</v>
      </c>
      <c r="E966" s="33" t="s">
        <v>3092</v>
      </c>
      <c r="F966" s="33" t="s">
        <v>3095</v>
      </c>
      <c r="G966" s="33" t="s">
        <v>2921</v>
      </c>
      <c r="H966" s="33" t="s">
        <v>2962</v>
      </c>
      <c r="I966" s="33" t="s">
        <v>3168</v>
      </c>
    </row>
    <row x14ac:dyDescent="0.25" r="967" customHeight="1" ht="15.75">
      <c r="A967" s="13" t="s">
        <v>391</v>
      </c>
      <c r="B967" s="13" t="s">
        <v>1779</v>
      </c>
      <c r="C967" s="32" t="s">
        <v>3297</v>
      </c>
      <c r="D967" s="33" t="s">
        <v>2955</v>
      </c>
      <c r="E967" s="33" t="s">
        <v>3047</v>
      </c>
      <c r="F967" s="33" t="s">
        <v>3092</v>
      </c>
      <c r="G967" s="33" t="s">
        <v>3134</v>
      </c>
      <c r="H967" s="33" t="s">
        <v>2836</v>
      </c>
      <c r="I967" s="33" t="s">
        <v>3145</v>
      </c>
    </row>
    <row x14ac:dyDescent="0.25" r="968" customHeight="1" ht="15.75">
      <c r="A968" s="13" t="s">
        <v>391</v>
      </c>
      <c r="B968" s="13" t="s">
        <v>732</v>
      </c>
      <c r="C968" s="32" t="s">
        <v>3200</v>
      </c>
      <c r="D968" s="33" t="s">
        <v>3874</v>
      </c>
      <c r="E968" s="33" t="s">
        <v>3267</v>
      </c>
      <c r="F968" s="33" t="s">
        <v>3132</v>
      </c>
      <c r="G968" s="33" t="s">
        <v>3296</v>
      </c>
      <c r="H968" s="33" t="s">
        <v>3125</v>
      </c>
      <c r="I968" s="33" t="s">
        <v>3158</v>
      </c>
    </row>
    <row x14ac:dyDescent="0.25" r="969" customHeight="1" ht="15.75">
      <c r="A969" s="13" t="s">
        <v>391</v>
      </c>
      <c r="B969" s="13" t="s">
        <v>1408</v>
      </c>
      <c r="C969" s="32" t="s">
        <v>3072</v>
      </c>
      <c r="D969" s="33" t="s">
        <v>2990</v>
      </c>
      <c r="E969" s="33" t="s">
        <v>2889</v>
      </c>
      <c r="F969" s="33" t="s">
        <v>3216</v>
      </c>
      <c r="G969" s="33" t="s">
        <v>2971</v>
      </c>
      <c r="H969" s="33" t="s">
        <v>2894</v>
      </c>
      <c r="I969" s="33" t="s">
        <v>3067</v>
      </c>
    </row>
    <row x14ac:dyDescent="0.25" r="970" customHeight="1" ht="15.75">
      <c r="A970" s="13" t="s">
        <v>391</v>
      </c>
      <c r="B970" s="13" t="s">
        <v>1116</v>
      </c>
      <c r="C970" s="32" t="s">
        <v>3298</v>
      </c>
      <c r="D970" s="33" t="s">
        <v>2997</v>
      </c>
      <c r="E970" s="33" t="s">
        <v>3138</v>
      </c>
      <c r="F970" s="33" t="s">
        <v>2942</v>
      </c>
      <c r="G970" s="33" t="s">
        <v>2848</v>
      </c>
      <c r="H970" s="33" t="s">
        <v>2914</v>
      </c>
      <c r="I970" s="33" t="s">
        <v>3137</v>
      </c>
    </row>
    <row x14ac:dyDescent="0.25" r="971" customHeight="1" ht="15.75">
      <c r="A971" s="13" t="s">
        <v>391</v>
      </c>
      <c r="B971" s="13" t="s">
        <v>2026</v>
      </c>
      <c r="C971" s="32" t="s">
        <v>3083</v>
      </c>
      <c r="D971" s="33" t="s">
        <v>2897</v>
      </c>
      <c r="E971" s="33" t="s">
        <v>3101</v>
      </c>
      <c r="F971" s="33" t="s">
        <v>3100</v>
      </c>
      <c r="G971" s="33" t="s">
        <v>3018</v>
      </c>
      <c r="H971" s="33" t="s">
        <v>3154</v>
      </c>
      <c r="I971" s="33" t="s">
        <v>2898</v>
      </c>
    </row>
    <row x14ac:dyDescent="0.25" r="972" customHeight="1" ht="15.75">
      <c r="A972" s="13" t="s">
        <v>391</v>
      </c>
      <c r="B972" s="13" t="s">
        <v>2446</v>
      </c>
      <c r="C972" s="32" t="s">
        <v>3431</v>
      </c>
      <c r="D972" s="33" t="s">
        <v>2858</v>
      </c>
      <c r="E972" s="33" t="s">
        <v>2847</v>
      </c>
      <c r="F972" s="33" t="s">
        <v>2847</v>
      </c>
      <c r="G972" s="33" t="s">
        <v>2902</v>
      </c>
      <c r="H972" s="33" t="s">
        <v>2951</v>
      </c>
      <c r="I972" s="33" t="s">
        <v>2950</v>
      </c>
    </row>
    <row x14ac:dyDescent="0.25" r="973" customHeight="1" ht="15.75">
      <c r="A973" s="13" t="s">
        <v>391</v>
      </c>
      <c r="B973" s="13" t="s">
        <v>408</v>
      </c>
      <c r="C973" s="32" t="s">
        <v>3929</v>
      </c>
      <c r="D973" s="33" t="s">
        <v>3137</v>
      </c>
      <c r="E973" s="33" t="s">
        <v>2843</v>
      </c>
      <c r="F973" s="33" t="s">
        <v>2848</v>
      </c>
      <c r="G973" s="33" t="s">
        <v>2903</v>
      </c>
      <c r="H973" s="33" t="s">
        <v>3193</v>
      </c>
      <c r="I973" s="33" t="s">
        <v>2904</v>
      </c>
    </row>
    <row x14ac:dyDescent="0.25" r="974" customHeight="1" ht="15.75">
      <c r="A974" s="13" t="s">
        <v>391</v>
      </c>
      <c r="B974" s="13" t="s">
        <v>2277</v>
      </c>
      <c r="C974" s="32" t="s">
        <v>3662</v>
      </c>
      <c r="D974" s="33" t="s">
        <v>3103</v>
      </c>
      <c r="E974" s="33" t="s">
        <v>2935</v>
      </c>
      <c r="F974" s="33" t="s">
        <v>3063</v>
      </c>
      <c r="G974" s="33" t="s">
        <v>3187</v>
      </c>
      <c r="H974" s="33" t="s">
        <v>3145</v>
      </c>
      <c r="I974" s="33" t="s">
        <v>3201</v>
      </c>
    </row>
    <row x14ac:dyDescent="0.25" r="975" customHeight="1" ht="15.75">
      <c r="A975" s="13" t="s">
        <v>391</v>
      </c>
      <c r="B975" s="13" t="s">
        <v>1589</v>
      </c>
      <c r="C975" s="32" t="s">
        <v>3433</v>
      </c>
      <c r="D975" s="33" t="s">
        <v>2938</v>
      </c>
      <c r="E975" s="33" t="s">
        <v>2842</v>
      </c>
      <c r="F975" s="33" t="s">
        <v>3088</v>
      </c>
      <c r="G975" s="33" t="s">
        <v>3145</v>
      </c>
      <c r="H975" s="33" t="s">
        <v>3162</v>
      </c>
      <c r="I975" s="33" t="s">
        <v>3114</v>
      </c>
    </row>
    <row x14ac:dyDescent="0.25" r="976" customHeight="1" ht="15.75">
      <c r="A976" s="13" t="s">
        <v>391</v>
      </c>
      <c r="B976" s="13" t="s">
        <v>1312</v>
      </c>
      <c r="C976" s="32" t="s">
        <v>3433</v>
      </c>
      <c r="D976" s="33" t="s">
        <v>2942</v>
      </c>
      <c r="E976" s="33" t="s">
        <v>3138</v>
      </c>
      <c r="F976" s="33" t="s">
        <v>3136</v>
      </c>
      <c r="G976" s="33" t="s">
        <v>2980</v>
      </c>
      <c r="H976" s="33" t="s">
        <v>2983</v>
      </c>
      <c r="I976" s="33" t="s">
        <v>3052</v>
      </c>
    </row>
    <row x14ac:dyDescent="0.25" r="977" customHeight="1" ht="15.75">
      <c r="A977" s="13" t="s">
        <v>391</v>
      </c>
      <c r="B977" s="13" t="s">
        <v>2309</v>
      </c>
      <c r="C977" s="32" t="s">
        <v>3104</v>
      </c>
      <c r="D977" s="33" t="s">
        <v>2857</v>
      </c>
      <c r="E977" s="33" t="s">
        <v>2943</v>
      </c>
      <c r="F977" s="33" t="s">
        <v>2848</v>
      </c>
      <c r="G977" s="33" t="s">
        <v>2858</v>
      </c>
      <c r="H977" s="33" t="s">
        <v>2902</v>
      </c>
      <c r="I977" s="33" t="s">
        <v>2849</v>
      </c>
    </row>
    <row x14ac:dyDescent="0.25" r="978" customHeight="1" ht="15.75">
      <c r="A978" s="13" t="s">
        <v>391</v>
      </c>
      <c r="B978" s="13" t="s">
        <v>1549</v>
      </c>
      <c r="C978" s="32" t="s">
        <v>3438</v>
      </c>
      <c r="D978" s="33" t="s">
        <v>3351</v>
      </c>
      <c r="E978" s="33" t="s">
        <v>3000</v>
      </c>
      <c r="F978" s="33" t="s">
        <v>3152</v>
      </c>
      <c r="G978" s="33" t="s">
        <v>3152</v>
      </c>
      <c r="H978" s="33" t="s">
        <v>2852</v>
      </c>
      <c r="I978" s="33" t="s">
        <v>2852</v>
      </c>
    </row>
    <row x14ac:dyDescent="0.25" r="979" customHeight="1" ht="15.75">
      <c r="A979" s="13" t="s">
        <v>391</v>
      </c>
      <c r="B979" s="13" t="s">
        <v>1878</v>
      </c>
      <c r="C979" s="32" t="s">
        <v>3116</v>
      </c>
      <c r="D979" s="33" t="s">
        <v>2965</v>
      </c>
      <c r="E979" s="33" t="s">
        <v>3301</v>
      </c>
      <c r="F979" s="33" t="s">
        <v>3140</v>
      </c>
      <c r="G979" s="33" t="s">
        <v>2982</v>
      </c>
      <c r="H979" s="33" t="s">
        <v>2895</v>
      </c>
      <c r="I979" s="33" t="s">
        <v>2891</v>
      </c>
    </row>
    <row x14ac:dyDescent="0.25" r="980" customHeight="1" ht="15.75">
      <c r="A980" s="13" t="s">
        <v>391</v>
      </c>
      <c r="B980" s="13" t="s">
        <v>2313</v>
      </c>
      <c r="C980" s="32" t="s">
        <v>3206</v>
      </c>
      <c r="D980" s="33" t="s">
        <v>3166</v>
      </c>
      <c r="E980" s="33" t="s">
        <v>3088</v>
      </c>
      <c r="F980" s="33" t="s">
        <v>3144</v>
      </c>
      <c r="G980" s="33" t="s">
        <v>3222</v>
      </c>
      <c r="H980" s="33" t="s">
        <v>3222</v>
      </c>
      <c r="I980" s="33" t="s">
        <v>2845</v>
      </c>
    </row>
    <row x14ac:dyDescent="0.25" r="981" customHeight="1" ht="15.75">
      <c r="A981" s="13" t="s">
        <v>391</v>
      </c>
      <c r="B981" s="13" t="s">
        <v>2659</v>
      </c>
      <c r="C981" s="32" t="s">
        <v>3930</v>
      </c>
      <c r="D981" s="33" t="s">
        <v>2903</v>
      </c>
      <c r="E981" s="33" t="s">
        <v>2843</v>
      </c>
      <c r="F981" s="33" t="s">
        <v>2950</v>
      </c>
      <c r="G981" s="33" t="s">
        <v>2847</v>
      </c>
      <c r="H981" s="33" t="s">
        <v>2997</v>
      </c>
      <c r="I981" s="33" t="s">
        <v>3151</v>
      </c>
    </row>
    <row x14ac:dyDescent="0.25" r="982" customHeight="1" ht="15.75">
      <c r="A982" s="13" t="s">
        <v>391</v>
      </c>
      <c r="B982" s="13" t="s">
        <v>2643</v>
      </c>
      <c r="C982" s="32" t="s">
        <v>3126</v>
      </c>
      <c r="D982" s="33" t="s">
        <v>2900</v>
      </c>
      <c r="E982" s="33" t="s">
        <v>3203</v>
      </c>
      <c r="F982" s="33" t="s">
        <v>3301</v>
      </c>
      <c r="G982" s="33" t="s">
        <v>2844</v>
      </c>
      <c r="H982" s="33" t="s">
        <v>2844</v>
      </c>
      <c r="I982" s="33" t="s">
        <v>3074</v>
      </c>
    </row>
    <row x14ac:dyDescent="0.25" r="983" customHeight="1" ht="15.75">
      <c r="A983" s="13" t="s">
        <v>391</v>
      </c>
      <c r="B983" s="13" t="s">
        <v>2399</v>
      </c>
      <c r="C983" s="32" t="s">
        <v>3126</v>
      </c>
      <c r="D983" s="33" t="s">
        <v>2894</v>
      </c>
      <c r="E983" s="33" t="s">
        <v>2899</v>
      </c>
      <c r="F983" s="33" t="s">
        <v>2888</v>
      </c>
      <c r="G983" s="33" t="s">
        <v>3050</v>
      </c>
      <c r="H983" s="33" t="s">
        <v>2979</v>
      </c>
      <c r="I983" s="33" t="s">
        <v>2981</v>
      </c>
    </row>
    <row x14ac:dyDescent="0.25" r="984" customHeight="1" ht="15.75">
      <c r="A984" s="13" t="s">
        <v>391</v>
      </c>
      <c r="B984" s="13" t="s">
        <v>1215</v>
      </c>
      <c r="C984" s="32" t="s">
        <v>3557</v>
      </c>
      <c r="D984" s="33" t="s">
        <v>3874</v>
      </c>
      <c r="E984" s="33" t="s">
        <v>3319</v>
      </c>
      <c r="F984" s="33" t="s">
        <v>3240</v>
      </c>
      <c r="G984" s="33" t="s">
        <v>2954</v>
      </c>
      <c r="H984" s="33" t="s">
        <v>3071</v>
      </c>
      <c r="I984" s="33" t="s">
        <v>3238</v>
      </c>
    </row>
    <row x14ac:dyDescent="0.25" r="985" customHeight="1" ht="15.75">
      <c r="A985" s="13" t="s">
        <v>391</v>
      </c>
      <c r="B985" s="13" t="s">
        <v>1400</v>
      </c>
      <c r="C985" s="32" t="s">
        <v>3557</v>
      </c>
      <c r="D985" s="33" t="s">
        <v>3156</v>
      </c>
      <c r="E985" s="33" t="s">
        <v>3156</v>
      </c>
      <c r="F985" s="33" t="s">
        <v>2914</v>
      </c>
      <c r="G985" s="33" t="s">
        <v>3138</v>
      </c>
      <c r="H985" s="33" t="s">
        <v>2942</v>
      </c>
      <c r="I985" s="33" t="s">
        <v>2889</v>
      </c>
    </row>
    <row x14ac:dyDescent="0.25" r="986" customHeight="1" ht="15.75">
      <c r="A986" s="13" t="s">
        <v>391</v>
      </c>
      <c r="B986" s="13" t="s">
        <v>2171</v>
      </c>
      <c r="C986" s="32" t="s">
        <v>3130</v>
      </c>
      <c r="D986" s="33" t="s">
        <v>3151</v>
      </c>
      <c r="E986" s="33" t="s">
        <v>2905</v>
      </c>
      <c r="F986" s="33" t="s">
        <v>3351</v>
      </c>
      <c r="G986" s="33" t="s">
        <v>2997</v>
      </c>
      <c r="H986" s="33" t="s">
        <v>3000</v>
      </c>
      <c r="I986" s="33" t="s">
        <v>3351</v>
      </c>
    </row>
    <row x14ac:dyDescent="0.25" r="987" customHeight="1" ht="15.75">
      <c r="A987" s="13" t="s">
        <v>391</v>
      </c>
      <c r="B987" s="13" t="s">
        <v>2744</v>
      </c>
      <c r="C987" s="32" t="s">
        <v>3210</v>
      </c>
      <c r="D987" s="33" t="s">
        <v>3052</v>
      </c>
      <c r="E987" s="33" t="s">
        <v>2888</v>
      </c>
      <c r="F987" s="33" t="s">
        <v>2943</v>
      </c>
      <c r="G987" s="33" t="s">
        <v>3353</v>
      </c>
      <c r="H987" s="33" t="s">
        <v>3136</v>
      </c>
      <c r="I987" s="33" t="s">
        <v>2858</v>
      </c>
    </row>
    <row x14ac:dyDescent="0.25" r="988" customHeight="1" ht="15.75">
      <c r="A988" s="13" t="s">
        <v>391</v>
      </c>
      <c r="B988" s="13" t="s">
        <v>1916</v>
      </c>
      <c r="C988" s="32" t="s">
        <v>3559</v>
      </c>
      <c r="D988" s="33" t="s">
        <v>2836</v>
      </c>
      <c r="E988" s="33" t="s">
        <v>3134</v>
      </c>
      <c r="F988" s="33" t="s">
        <v>2961</v>
      </c>
      <c r="G988" s="33" t="s">
        <v>3197</v>
      </c>
      <c r="H988" s="33" t="s">
        <v>3033</v>
      </c>
      <c r="I988" s="33" t="s">
        <v>3285</v>
      </c>
    </row>
    <row x14ac:dyDescent="0.25" r="989" customHeight="1" ht="15.75">
      <c r="A989" s="13" t="s">
        <v>391</v>
      </c>
      <c r="B989" s="13" t="s">
        <v>660</v>
      </c>
      <c r="C989" s="32" t="s">
        <v>3211</v>
      </c>
      <c r="D989" s="33" t="s">
        <v>3140</v>
      </c>
      <c r="E989" s="33" t="s">
        <v>2891</v>
      </c>
      <c r="F989" s="33" t="s">
        <v>3216</v>
      </c>
      <c r="G989" s="33" t="s">
        <v>2887</v>
      </c>
      <c r="H989" s="33" t="s">
        <v>3203</v>
      </c>
      <c r="I989" s="33" t="s">
        <v>3024</v>
      </c>
    </row>
    <row x14ac:dyDescent="0.25" r="990" customHeight="1" ht="15.75">
      <c r="A990" s="13" t="s">
        <v>391</v>
      </c>
      <c r="B990" s="13" t="s">
        <v>611</v>
      </c>
      <c r="C990" s="32" t="s">
        <v>3740</v>
      </c>
      <c r="D990" s="33" t="s">
        <v>2849</v>
      </c>
      <c r="E990" s="33" t="s">
        <v>2850</v>
      </c>
      <c r="F990" s="33" t="s">
        <v>3351</v>
      </c>
      <c r="G990" s="33" t="s">
        <v>3351</v>
      </c>
      <c r="H990" s="33" t="s">
        <v>3179</v>
      </c>
      <c r="I990" s="33" t="s">
        <v>3152</v>
      </c>
    </row>
    <row x14ac:dyDescent="0.25" r="991" customHeight="1" ht="15.75">
      <c r="A991" s="13" t="s">
        <v>391</v>
      </c>
      <c r="B991" s="13" t="s">
        <v>2454</v>
      </c>
      <c r="C991" s="32" t="s">
        <v>3701</v>
      </c>
      <c r="D991" s="33" t="s">
        <v>3067</v>
      </c>
      <c r="E991" s="33" t="s">
        <v>3053</v>
      </c>
      <c r="F991" s="33" t="s">
        <v>2893</v>
      </c>
      <c r="G991" s="33" t="s">
        <v>2979</v>
      </c>
      <c r="H991" s="33" t="s">
        <v>2856</v>
      </c>
      <c r="I991" s="33" t="s">
        <v>2889</v>
      </c>
    </row>
    <row x14ac:dyDescent="0.25" r="992" customHeight="1" ht="15.75">
      <c r="A992" s="13" t="s">
        <v>391</v>
      </c>
      <c r="B992" s="13" t="s">
        <v>2150</v>
      </c>
      <c r="C992" s="32" t="s">
        <v>3442</v>
      </c>
      <c r="D992" s="33" t="s">
        <v>2899</v>
      </c>
      <c r="E992" s="33" t="s">
        <v>3067</v>
      </c>
      <c r="F992" s="33" t="s">
        <v>2894</v>
      </c>
      <c r="G992" s="33" t="s">
        <v>3216</v>
      </c>
      <c r="H992" s="33" t="s">
        <v>3216</v>
      </c>
      <c r="I992" s="33" t="s">
        <v>2914</v>
      </c>
    </row>
    <row x14ac:dyDescent="0.25" r="993" customHeight="1" ht="15.75">
      <c r="A993" s="13" t="s">
        <v>391</v>
      </c>
      <c r="B993" s="13" t="s">
        <v>1719</v>
      </c>
      <c r="C993" s="32" t="s">
        <v>3886</v>
      </c>
      <c r="D993" s="33" t="s">
        <v>3166</v>
      </c>
      <c r="E993" s="33" t="s">
        <v>2892</v>
      </c>
      <c r="F993" s="33" t="s">
        <v>3018</v>
      </c>
      <c r="G993" s="33" t="s">
        <v>3073</v>
      </c>
      <c r="H993" s="33" t="s">
        <v>2895</v>
      </c>
      <c r="I993" s="33" t="s">
        <v>2969</v>
      </c>
    </row>
    <row x14ac:dyDescent="0.25" r="994" customHeight="1" ht="15.75">
      <c r="A994" s="13" t="s">
        <v>391</v>
      </c>
      <c r="B994" s="13" t="s">
        <v>1936</v>
      </c>
      <c r="C994" s="32" t="s">
        <v>3886</v>
      </c>
      <c r="D994" s="33" t="s">
        <v>3067</v>
      </c>
      <c r="E994" s="33" t="s">
        <v>2843</v>
      </c>
      <c r="F994" s="33" t="s">
        <v>3067</v>
      </c>
      <c r="G994" s="33" t="s">
        <v>2942</v>
      </c>
      <c r="H994" s="33" t="s">
        <v>3141</v>
      </c>
      <c r="I994" s="33" t="s">
        <v>3067</v>
      </c>
    </row>
    <row x14ac:dyDescent="0.25" r="995" customHeight="1" ht="15.75">
      <c r="A995" s="13" t="s">
        <v>391</v>
      </c>
      <c r="B995" s="13" t="s">
        <v>2294</v>
      </c>
      <c r="C995" s="32" t="s">
        <v>3337</v>
      </c>
      <c r="D995" s="33" t="s">
        <v>2936</v>
      </c>
      <c r="E995" s="33" t="s">
        <v>2933</v>
      </c>
      <c r="F995" s="33" t="s">
        <v>2936</v>
      </c>
      <c r="G995" s="33" t="s">
        <v>3088</v>
      </c>
      <c r="H995" s="33" t="s">
        <v>3029</v>
      </c>
      <c r="I995" s="33" t="s">
        <v>2919</v>
      </c>
    </row>
    <row x14ac:dyDescent="0.25" r="996" customHeight="1" ht="15.75">
      <c r="A996" s="13" t="s">
        <v>391</v>
      </c>
      <c r="B996" s="13" t="s">
        <v>2189</v>
      </c>
      <c r="C996" s="32" t="s">
        <v>3337</v>
      </c>
      <c r="D996" s="33" t="s">
        <v>2979</v>
      </c>
      <c r="E996" s="33" t="s">
        <v>3052</v>
      </c>
      <c r="F996" s="33" t="s">
        <v>2980</v>
      </c>
      <c r="G996" s="33" t="s">
        <v>2983</v>
      </c>
      <c r="H996" s="33" t="s">
        <v>3052</v>
      </c>
      <c r="I996" s="33" t="s">
        <v>2983</v>
      </c>
    </row>
    <row x14ac:dyDescent="0.25" r="997" customHeight="1" ht="15.75">
      <c r="A997" s="13" t="s">
        <v>391</v>
      </c>
      <c r="B997" s="13" t="s">
        <v>2412</v>
      </c>
      <c r="C997" s="32" t="s">
        <v>3146</v>
      </c>
      <c r="D997" s="33" t="s">
        <v>2857</v>
      </c>
      <c r="E997" s="33" t="s">
        <v>2980</v>
      </c>
      <c r="F997" s="33" t="s">
        <v>3137</v>
      </c>
      <c r="G997" s="33" t="s">
        <v>3156</v>
      </c>
      <c r="H997" s="33" t="s">
        <v>2903</v>
      </c>
      <c r="I997" s="33" t="s">
        <v>3193</v>
      </c>
    </row>
    <row x14ac:dyDescent="0.25" r="998" customHeight="1" ht="15.75">
      <c r="A998" s="13" t="s">
        <v>391</v>
      </c>
      <c r="B998" s="13" t="s">
        <v>2715</v>
      </c>
      <c r="C998" s="32" t="s">
        <v>3217</v>
      </c>
      <c r="D998" s="33" t="s">
        <v>3168</v>
      </c>
      <c r="E998" s="33" t="s">
        <v>3170</v>
      </c>
      <c r="F998" s="33" t="s">
        <v>3216</v>
      </c>
      <c r="G998" s="33" t="s">
        <v>2915</v>
      </c>
      <c r="H998" s="33" t="s">
        <v>2893</v>
      </c>
      <c r="I998" s="33" t="s">
        <v>3216</v>
      </c>
    </row>
    <row x14ac:dyDescent="0.25" r="999" customHeight="1" ht="15.75">
      <c r="A999" s="13" t="s">
        <v>391</v>
      </c>
      <c r="B999" s="13" t="s">
        <v>2310</v>
      </c>
      <c r="C999" s="32" t="s">
        <v>3931</v>
      </c>
      <c r="D999" s="33" t="s">
        <v>2905</v>
      </c>
      <c r="E999" s="33" t="s">
        <v>3351</v>
      </c>
      <c r="F999" s="33" t="s">
        <v>3000</v>
      </c>
      <c r="G999" s="33" t="s">
        <v>3151</v>
      </c>
      <c r="H999" s="33" t="s">
        <v>2850</v>
      </c>
      <c r="I999" s="33" t="s">
        <v>2997</v>
      </c>
    </row>
    <row x14ac:dyDescent="0.25" r="1000" customHeight="1" ht="15.75">
      <c r="A1000" s="13" t="s">
        <v>391</v>
      </c>
      <c r="B1000" s="13" t="s">
        <v>2461</v>
      </c>
      <c r="C1000" s="32" t="s">
        <v>3932</v>
      </c>
      <c r="D1000" s="33" t="s">
        <v>2905</v>
      </c>
      <c r="E1000" s="33" t="s">
        <v>2999</v>
      </c>
      <c r="F1000" s="33" t="s">
        <v>2850</v>
      </c>
      <c r="G1000" s="33" t="s">
        <v>3351</v>
      </c>
      <c r="H1000" s="33" t="s">
        <v>3151</v>
      </c>
      <c r="I1000" s="33" t="s">
        <v>3151</v>
      </c>
    </row>
    <row x14ac:dyDescent="0.25" r="1001" customHeight="1" ht="15.75">
      <c r="A1001" s="13" t="s">
        <v>391</v>
      </c>
      <c r="B1001" s="13" t="s">
        <v>2390</v>
      </c>
      <c r="C1001" s="32" t="s">
        <v>3153</v>
      </c>
      <c r="D1001" s="33" t="s">
        <v>3112</v>
      </c>
      <c r="E1001" s="33" t="s">
        <v>3191</v>
      </c>
      <c r="F1001" s="33" t="s">
        <v>3187</v>
      </c>
      <c r="G1001" s="33" t="s">
        <v>3086</v>
      </c>
      <c r="H1001" s="33" t="s">
        <v>3100</v>
      </c>
      <c r="I1001" s="33" t="s">
        <v>3166</v>
      </c>
    </row>
    <row x14ac:dyDescent="0.25" r="1002" customHeight="1" ht="15.75">
      <c r="A1002" s="13" t="s">
        <v>391</v>
      </c>
      <c r="B1002" s="13" t="s">
        <v>2536</v>
      </c>
      <c r="C1002" s="32" t="s">
        <v>3933</v>
      </c>
      <c r="D1002" s="33" t="s">
        <v>3124</v>
      </c>
      <c r="E1002" s="33" t="s">
        <v>2918</v>
      </c>
      <c r="F1002" s="33" t="s">
        <v>2913</v>
      </c>
      <c r="G1002" s="33" t="s">
        <v>3024</v>
      </c>
      <c r="H1002" s="33" t="s">
        <v>3066</v>
      </c>
      <c r="I1002" s="33" t="s">
        <v>2918</v>
      </c>
    </row>
    <row x14ac:dyDescent="0.25" r="1003" customHeight="1" ht="15.75">
      <c r="A1003" s="13" t="s">
        <v>391</v>
      </c>
      <c r="B1003" s="13" t="s">
        <v>2572</v>
      </c>
      <c r="C1003" s="32" t="s">
        <v>3934</v>
      </c>
      <c r="D1003" s="33" t="s">
        <v>2981</v>
      </c>
      <c r="E1003" s="33" t="s">
        <v>2889</v>
      </c>
      <c r="F1003" s="33" t="s">
        <v>2915</v>
      </c>
      <c r="G1003" s="33" t="s">
        <v>2915</v>
      </c>
      <c r="H1003" s="33" t="s">
        <v>3052</v>
      </c>
      <c r="I1003" s="33" t="s">
        <v>3052</v>
      </c>
    </row>
    <row x14ac:dyDescent="0.25" r="1004" customHeight="1" ht="15.75">
      <c r="A1004" s="13" t="s">
        <v>391</v>
      </c>
      <c r="B1004" s="13" t="s">
        <v>405</v>
      </c>
      <c r="C1004" s="32" t="s">
        <v>3742</v>
      </c>
      <c r="D1004" s="33" t="s">
        <v>2844</v>
      </c>
      <c r="E1004" s="33" t="s">
        <v>3024</v>
      </c>
      <c r="F1004" s="33" t="s">
        <v>2991</v>
      </c>
      <c r="G1004" s="33" t="s">
        <v>3058</v>
      </c>
      <c r="H1004" s="33" t="s">
        <v>3137</v>
      </c>
      <c r="I1004" s="33" t="s">
        <v>2914</v>
      </c>
    </row>
    <row x14ac:dyDescent="0.25" r="1005" customHeight="1" ht="15.75">
      <c r="A1005" s="13" t="s">
        <v>391</v>
      </c>
      <c r="B1005" s="13" t="s">
        <v>2072</v>
      </c>
      <c r="C1005" s="32" t="s">
        <v>3444</v>
      </c>
      <c r="D1005" s="33" t="s">
        <v>3807</v>
      </c>
      <c r="E1005" s="33" t="s">
        <v>3120</v>
      </c>
      <c r="F1005" s="33" t="s">
        <v>2949</v>
      </c>
      <c r="G1005" s="33" t="s">
        <v>2871</v>
      </c>
      <c r="H1005" s="33" t="s">
        <v>3779</v>
      </c>
      <c r="I1005" s="33" t="s">
        <v>3400</v>
      </c>
    </row>
    <row x14ac:dyDescent="0.25" r="1006" customHeight="1" ht="15.75">
      <c r="A1006" s="13" t="s">
        <v>391</v>
      </c>
      <c r="B1006" s="13" t="s">
        <v>2582</v>
      </c>
      <c r="C1006" s="32" t="s">
        <v>3743</v>
      </c>
      <c r="D1006" s="33" t="s">
        <v>2990</v>
      </c>
      <c r="E1006" s="33" t="s">
        <v>2857</v>
      </c>
      <c r="F1006" s="33" t="s">
        <v>2915</v>
      </c>
      <c r="G1006" s="33" t="s">
        <v>2982</v>
      </c>
      <c r="H1006" s="33" t="s">
        <v>3053</v>
      </c>
      <c r="I1006" s="33" t="s">
        <v>2983</v>
      </c>
    </row>
    <row x14ac:dyDescent="0.25" r="1007" customHeight="1" ht="15.75">
      <c r="A1007" s="13" t="s">
        <v>391</v>
      </c>
      <c r="B1007" s="13" t="s">
        <v>2637</v>
      </c>
      <c r="C1007" s="32" t="s">
        <v>3169</v>
      </c>
      <c r="D1007" s="33" t="s">
        <v>3115</v>
      </c>
      <c r="E1007" s="33" t="s">
        <v>3023</v>
      </c>
      <c r="F1007" s="33" t="s">
        <v>3101</v>
      </c>
      <c r="G1007" s="33" t="s">
        <v>3196</v>
      </c>
      <c r="H1007" s="33" t="s">
        <v>3100</v>
      </c>
      <c r="I1007" s="33" t="s">
        <v>2932</v>
      </c>
    </row>
    <row x14ac:dyDescent="0.25" r="1008" customHeight="1" ht="15.75">
      <c r="A1008" s="13" t="s">
        <v>391</v>
      </c>
      <c r="B1008" s="13" t="s">
        <v>2665</v>
      </c>
      <c r="C1008" s="32" t="s">
        <v>3935</v>
      </c>
      <c r="D1008" s="33" t="s">
        <v>2902</v>
      </c>
      <c r="E1008" s="33" t="s">
        <v>3353</v>
      </c>
      <c r="F1008" s="33" t="s">
        <v>3051</v>
      </c>
      <c r="G1008" s="33" t="s">
        <v>2903</v>
      </c>
      <c r="H1008" s="33" t="s">
        <v>2951</v>
      </c>
      <c r="I1008" s="33" t="s">
        <v>2951</v>
      </c>
    </row>
    <row x14ac:dyDescent="0.25" r="1009" customHeight="1" ht="15.75">
      <c r="A1009" s="13" t="s">
        <v>391</v>
      </c>
      <c r="B1009" s="13" t="s">
        <v>1117</v>
      </c>
      <c r="C1009" s="32" t="s">
        <v>3936</v>
      </c>
      <c r="D1009" s="33" t="s">
        <v>2931</v>
      </c>
      <c r="E1009" s="33" t="s">
        <v>3086</v>
      </c>
      <c r="F1009" s="33" t="s">
        <v>3222</v>
      </c>
      <c r="G1009" s="33" t="s">
        <v>3285</v>
      </c>
      <c r="H1009" s="33" t="s">
        <v>3029</v>
      </c>
      <c r="I1009" s="33" t="s">
        <v>3021</v>
      </c>
    </row>
    <row x14ac:dyDescent="0.25" r="1010" customHeight="1" ht="15.75">
      <c r="A1010" s="13" t="s">
        <v>391</v>
      </c>
      <c r="B1010" s="13" t="s">
        <v>2185</v>
      </c>
      <c r="C1010" s="32" t="s">
        <v>3448</v>
      </c>
      <c r="D1010" s="33" t="s">
        <v>3138</v>
      </c>
      <c r="E1010" s="33" t="s">
        <v>3353</v>
      </c>
      <c r="F1010" s="33" t="s">
        <v>3051</v>
      </c>
      <c r="G1010" s="33" t="s">
        <v>2904</v>
      </c>
      <c r="H1010" s="33" t="s">
        <v>3193</v>
      </c>
      <c r="I1010" s="33" t="s">
        <v>3051</v>
      </c>
    </row>
    <row x14ac:dyDescent="0.25" r="1011" customHeight="1" ht="15.75">
      <c r="A1011" s="13" t="s">
        <v>391</v>
      </c>
      <c r="B1011" s="13" t="s">
        <v>1753</v>
      </c>
      <c r="C1011" s="32" t="s">
        <v>3566</v>
      </c>
      <c r="D1011" s="33" t="s">
        <v>2961</v>
      </c>
      <c r="E1011" s="33" t="s">
        <v>3088</v>
      </c>
      <c r="F1011" s="33" t="s">
        <v>2939</v>
      </c>
      <c r="G1011" s="33" t="s">
        <v>3060</v>
      </c>
      <c r="H1011" s="33" t="s">
        <v>3187</v>
      </c>
      <c r="I1011" s="33" t="s">
        <v>2913</v>
      </c>
    </row>
    <row x14ac:dyDescent="0.25" r="1012" customHeight="1" ht="15.75">
      <c r="A1012" s="13" t="s">
        <v>391</v>
      </c>
      <c r="B1012" s="13" t="s">
        <v>2021</v>
      </c>
      <c r="C1012" s="32" t="s">
        <v>3224</v>
      </c>
      <c r="D1012" s="33" t="s">
        <v>3100</v>
      </c>
      <c r="E1012" s="33" t="s">
        <v>2940</v>
      </c>
      <c r="F1012" s="33" t="s">
        <v>3166</v>
      </c>
      <c r="G1012" s="33" t="s">
        <v>3073</v>
      </c>
      <c r="H1012" s="33" t="s">
        <v>3074</v>
      </c>
      <c r="I1012" s="33" t="s">
        <v>2966</v>
      </c>
    </row>
    <row x14ac:dyDescent="0.25" r="1013" customHeight="1" ht="15.75">
      <c r="A1013" s="13" t="s">
        <v>391</v>
      </c>
      <c r="B1013" s="13" t="s">
        <v>2434</v>
      </c>
      <c r="C1013" s="32" t="s">
        <v>3224</v>
      </c>
      <c r="D1013" s="33" t="s">
        <v>2844</v>
      </c>
      <c r="E1013" s="33" t="s">
        <v>3175</v>
      </c>
      <c r="F1013" s="33" t="s">
        <v>2965</v>
      </c>
      <c r="G1013" s="33" t="s">
        <v>2898</v>
      </c>
      <c r="H1013" s="33" t="s">
        <v>3100</v>
      </c>
      <c r="I1013" s="33" t="s">
        <v>3165</v>
      </c>
    </row>
    <row x14ac:dyDescent="0.25" r="1014" customHeight="1" ht="15.75">
      <c r="A1014" s="13" t="s">
        <v>391</v>
      </c>
      <c r="B1014" s="13" t="s">
        <v>2282</v>
      </c>
      <c r="C1014" s="32" t="s">
        <v>3352</v>
      </c>
      <c r="D1014" s="33" t="s">
        <v>3168</v>
      </c>
      <c r="E1014" s="33" t="s">
        <v>2843</v>
      </c>
      <c r="F1014" s="33" t="s">
        <v>2915</v>
      </c>
      <c r="G1014" s="33" t="s">
        <v>2913</v>
      </c>
      <c r="H1014" s="33" t="s">
        <v>2971</v>
      </c>
      <c r="I1014" s="33" t="s">
        <v>2992</v>
      </c>
    </row>
    <row x14ac:dyDescent="0.25" r="1015" customHeight="1" ht="15.75">
      <c r="A1015" s="13" t="s">
        <v>391</v>
      </c>
      <c r="B1015" s="13" t="s">
        <v>534</v>
      </c>
      <c r="C1015" s="32" t="s">
        <v>3889</v>
      </c>
      <c r="D1015" s="33" t="s">
        <v>3152</v>
      </c>
      <c r="E1015" s="33" t="s">
        <v>3276</v>
      </c>
      <c r="F1015" s="33" t="s">
        <v>2999</v>
      </c>
      <c r="G1015" s="33" t="s">
        <v>2999</v>
      </c>
      <c r="H1015" s="33" t="s">
        <v>2999</v>
      </c>
      <c r="I1015" s="33" t="s">
        <v>2999</v>
      </c>
    </row>
    <row x14ac:dyDescent="0.25" r="1016" customHeight="1" ht="15.75">
      <c r="A1016" s="13" t="s">
        <v>391</v>
      </c>
      <c r="B1016" s="13" t="s">
        <v>2533</v>
      </c>
      <c r="C1016" s="32" t="s">
        <v>3937</v>
      </c>
      <c r="D1016" s="33" t="s">
        <v>3018</v>
      </c>
      <c r="E1016" s="33" t="s">
        <v>2891</v>
      </c>
      <c r="F1016" s="33" t="s">
        <v>2932</v>
      </c>
      <c r="G1016" s="33" t="s">
        <v>2969</v>
      </c>
      <c r="H1016" s="33" t="s">
        <v>3073</v>
      </c>
      <c r="I1016" s="33" t="s">
        <v>2891</v>
      </c>
    </row>
    <row x14ac:dyDescent="0.25" r="1017" customHeight="1" ht="15.75">
      <c r="A1017" s="13" t="s">
        <v>391</v>
      </c>
      <c r="B1017" s="13" t="s">
        <v>1906</v>
      </c>
      <c r="C1017" s="32" t="s">
        <v>3938</v>
      </c>
      <c r="D1017" s="33" t="s">
        <v>2902</v>
      </c>
      <c r="E1017" s="33" t="s">
        <v>3353</v>
      </c>
      <c r="F1017" s="33" t="s">
        <v>3353</v>
      </c>
      <c r="G1017" s="33" t="s">
        <v>3051</v>
      </c>
      <c r="H1017" s="33" t="s">
        <v>2903</v>
      </c>
      <c r="I1017" s="33" t="s">
        <v>2951</v>
      </c>
    </row>
    <row x14ac:dyDescent="0.25" r="1018" customHeight="1" ht="15.75">
      <c r="A1018" s="13" t="s">
        <v>391</v>
      </c>
      <c r="B1018" s="13" t="s">
        <v>2757</v>
      </c>
      <c r="C1018" s="32" t="s">
        <v>3860</v>
      </c>
      <c r="D1018" s="33" t="s">
        <v>3351</v>
      </c>
      <c r="E1018" s="33" t="s">
        <v>3179</v>
      </c>
      <c r="F1018" s="33" t="s">
        <v>3000</v>
      </c>
      <c r="G1018" s="33" t="s">
        <v>2998</v>
      </c>
      <c r="H1018" s="33" t="s">
        <v>2998</v>
      </c>
      <c r="I1018" s="33" t="s">
        <v>3179</v>
      </c>
    </row>
    <row x14ac:dyDescent="0.25" r="1019" customHeight="1" ht="15.75">
      <c r="A1019" s="13" t="s">
        <v>391</v>
      </c>
      <c r="B1019" s="13" t="s">
        <v>2063</v>
      </c>
      <c r="C1019" s="32" t="s">
        <v>3745</v>
      </c>
      <c r="D1019" s="33" t="s">
        <v>3018</v>
      </c>
      <c r="E1019" s="33" t="s">
        <v>3018</v>
      </c>
      <c r="F1019" s="33" t="s">
        <v>3154</v>
      </c>
      <c r="G1019" s="33" t="s">
        <v>3114</v>
      </c>
      <c r="H1019" s="33" t="s">
        <v>3075</v>
      </c>
      <c r="I1019" s="33" t="s">
        <v>3154</v>
      </c>
    </row>
    <row x14ac:dyDescent="0.25" r="1020" customHeight="1" ht="15.75">
      <c r="A1020" s="13" t="s">
        <v>391</v>
      </c>
      <c r="B1020" s="13" t="s">
        <v>2732</v>
      </c>
      <c r="C1020" s="32" t="s">
        <v>3861</v>
      </c>
      <c r="D1020" s="33" t="s">
        <v>2856</v>
      </c>
      <c r="E1020" s="33" t="s">
        <v>2857</v>
      </c>
      <c r="F1020" s="33" t="s">
        <v>2857</v>
      </c>
      <c r="G1020" s="33" t="s">
        <v>2857</v>
      </c>
      <c r="H1020" s="33" t="s">
        <v>2942</v>
      </c>
      <c r="I1020" s="33" t="s">
        <v>2857</v>
      </c>
    </row>
    <row x14ac:dyDescent="0.25" r="1021" customHeight="1" ht="15.75">
      <c r="A1021" s="13" t="s">
        <v>391</v>
      </c>
      <c r="B1021" s="13" t="s">
        <v>2476</v>
      </c>
      <c r="C1021" s="32" t="s">
        <v>3747</v>
      </c>
      <c r="D1021" s="33" t="s">
        <v>2992</v>
      </c>
      <c r="E1021" s="33" t="s">
        <v>3175</v>
      </c>
      <c r="F1021" s="33" t="s">
        <v>3175</v>
      </c>
      <c r="G1021" s="33" t="s">
        <v>2900</v>
      </c>
      <c r="H1021" s="33" t="s">
        <v>2913</v>
      </c>
      <c r="I1021" s="33" t="s">
        <v>2913</v>
      </c>
    </row>
    <row x14ac:dyDescent="0.25" r="1022" customHeight="1" ht="15.75">
      <c r="A1022" s="13" t="s">
        <v>391</v>
      </c>
      <c r="B1022" s="13" t="s">
        <v>801</v>
      </c>
      <c r="C1022" s="32" t="s">
        <v>3939</v>
      </c>
      <c r="D1022" s="33" t="s">
        <v>2882</v>
      </c>
      <c r="E1022" s="33" t="s">
        <v>3159</v>
      </c>
      <c r="F1022" s="33" t="s">
        <v>2882</v>
      </c>
      <c r="G1022" s="33" t="s">
        <v>3184</v>
      </c>
      <c r="H1022" s="33" t="s">
        <v>2919</v>
      </c>
      <c r="I1022" s="33" t="s">
        <v>3196</v>
      </c>
    </row>
    <row x14ac:dyDescent="0.25" r="1023" customHeight="1" ht="15.75">
      <c r="A1023" s="13" t="s">
        <v>391</v>
      </c>
      <c r="B1023" s="13" t="s">
        <v>2436</v>
      </c>
      <c r="C1023" s="32" t="s">
        <v>3177</v>
      </c>
      <c r="D1023" s="33" t="s">
        <v>3353</v>
      </c>
      <c r="E1023" s="33" t="s">
        <v>2902</v>
      </c>
      <c r="F1023" s="33" t="s">
        <v>2903</v>
      </c>
      <c r="G1023" s="33" t="s">
        <v>3193</v>
      </c>
      <c r="H1023" s="33" t="s">
        <v>2903</v>
      </c>
      <c r="I1023" s="33" t="s">
        <v>3193</v>
      </c>
    </row>
    <row x14ac:dyDescent="0.25" r="1024" customHeight="1" ht="15.75">
      <c r="A1024" s="13" t="s">
        <v>391</v>
      </c>
      <c r="B1024" s="13" t="s">
        <v>2509</v>
      </c>
      <c r="C1024" s="32" t="s">
        <v>3940</v>
      </c>
      <c r="D1024" s="33" t="s">
        <v>2858</v>
      </c>
      <c r="E1024" s="33" t="s">
        <v>2858</v>
      </c>
      <c r="F1024" s="33" t="s">
        <v>3138</v>
      </c>
      <c r="G1024" s="33" t="s">
        <v>3138</v>
      </c>
      <c r="H1024" s="33" t="s">
        <v>3138</v>
      </c>
      <c r="I1024" s="33" t="s">
        <v>3138</v>
      </c>
    </row>
    <row x14ac:dyDescent="0.25" r="1025" customHeight="1" ht="15.75">
      <c r="A1025" s="13" t="s">
        <v>391</v>
      </c>
      <c r="B1025" s="13" t="s">
        <v>2133</v>
      </c>
      <c r="C1025" s="32" t="s">
        <v>3941</v>
      </c>
      <c r="D1025" s="33" t="s">
        <v>2850</v>
      </c>
      <c r="E1025" s="33" t="s">
        <v>2998</v>
      </c>
      <c r="F1025" s="33" t="s">
        <v>3351</v>
      </c>
      <c r="G1025" s="33" t="s">
        <v>3151</v>
      </c>
      <c r="H1025" s="33" t="s">
        <v>2850</v>
      </c>
      <c r="I1025" s="33" t="s">
        <v>2850</v>
      </c>
    </row>
    <row x14ac:dyDescent="0.25" r="1026" customHeight="1" ht="15.75">
      <c r="A1026" s="13" t="s">
        <v>391</v>
      </c>
      <c r="B1026" s="13" t="s">
        <v>2044</v>
      </c>
      <c r="C1026" s="32" t="s">
        <v>3383</v>
      </c>
      <c r="D1026" s="33" t="s">
        <v>2920</v>
      </c>
      <c r="E1026" s="33" t="s">
        <v>2966</v>
      </c>
      <c r="F1026" s="33" t="s">
        <v>3101</v>
      </c>
      <c r="G1026" s="33" t="s">
        <v>2897</v>
      </c>
      <c r="H1026" s="33" t="s">
        <v>3101</v>
      </c>
      <c r="I1026" s="33" t="s">
        <v>3101</v>
      </c>
    </row>
    <row x14ac:dyDescent="0.25" r="1027" customHeight="1" ht="15.75">
      <c r="A1027" s="13" t="s">
        <v>391</v>
      </c>
      <c r="B1027" s="13" t="s">
        <v>2706</v>
      </c>
      <c r="C1027" s="32" t="s">
        <v>3942</v>
      </c>
      <c r="D1027" s="33" t="s">
        <v>2857</v>
      </c>
      <c r="E1027" s="33" t="s">
        <v>2856</v>
      </c>
      <c r="F1027" s="33" t="s">
        <v>3052</v>
      </c>
      <c r="G1027" s="33" t="s">
        <v>3050</v>
      </c>
      <c r="H1027" s="33" t="s">
        <v>3052</v>
      </c>
      <c r="I1027" s="33" t="s">
        <v>3052</v>
      </c>
    </row>
    <row x14ac:dyDescent="0.25" r="1028" customHeight="1" ht="15.75">
      <c r="A1028" s="13" t="s">
        <v>391</v>
      </c>
      <c r="B1028" s="13" t="s">
        <v>2673</v>
      </c>
      <c r="C1028" s="32" t="s">
        <v>3181</v>
      </c>
      <c r="D1028" s="33" t="s">
        <v>2850</v>
      </c>
      <c r="E1028" s="33" t="s">
        <v>2850</v>
      </c>
      <c r="F1028" s="33" t="s">
        <v>2850</v>
      </c>
      <c r="G1028" s="33" t="s">
        <v>2850</v>
      </c>
      <c r="H1028" s="33" t="s">
        <v>2850</v>
      </c>
      <c r="I1028" s="33" t="s">
        <v>3351</v>
      </c>
    </row>
    <row x14ac:dyDescent="0.25" r="1029" customHeight="1" ht="15.75">
      <c r="A1029" s="13" t="s">
        <v>116</v>
      </c>
      <c r="B1029" s="13" t="s">
        <v>628</v>
      </c>
      <c r="C1029" s="32" t="s">
        <v>3943</v>
      </c>
      <c r="D1029" s="33" t="s">
        <v>3196</v>
      </c>
      <c r="E1029" s="33" t="s">
        <v>3944</v>
      </c>
      <c r="F1029" s="33" t="s">
        <v>3493</v>
      </c>
      <c r="G1029" s="33" t="s">
        <v>3158</v>
      </c>
      <c r="H1029" s="33" t="s">
        <v>2975</v>
      </c>
      <c r="I1029" s="33" t="s">
        <v>3038</v>
      </c>
    </row>
    <row x14ac:dyDescent="0.25" r="1030" customHeight="1" ht="15.75">
      <c r="A1030" s="13" t="s">
        <v>116</v>
      </c>
      <c r="B1030" s="13" t="s">
        <v>3945</v>
      </c>
      <c r="C1030" s="32" t="s">
        <v>3946</v>
      </c>
      <c r="D1030" s="33" t="s">
        <v>2999</v>
      </c>
      <c r="E1030" s="33" t="s">
        <v>2854</v>
      </c>
      <c r="F1030" s="33" t="s">
        <v>2843</v>
      </c>
      <c r="G1030" s="33" t="s">
        <v>2843</v>
      </c>
      <c r="H1030" s="33" t="s">
        <v>2843</v>
      </c>
      <c r="I1030" s="33" t="s">
        <v>2843</v>
      </c>
    </row>
    <row x14ac:dyDescent="0.25" r="1031" customHeight="1" ht="15.75">
      <c r="A1031" s="13" t="s">
        <v>116</v>
      </c>
      <c r="B1031" s="13" t="s">
        <v>195</v>
      </c>
      <c r="C1031" s="32" t="s">
        <v>3947</v>
      </c>
      <c r="D1031" s="33" t="s">
        <v>2858</v>
      </c>
      <c r="E1031" s="33" t="s">
        <v>2943</v>
      </c>
      <c r="F1031" s="33" t="s">
        <v>2950</v>
      </c>
      <c r="G1031" s="33" t="s">
        <v>2850</v>
      </c>
      <c r="H1031" s="33" t="s">
        <v>3353</v>
      </c>
      <c r="I1031" s="33" t="s">
        <v>2951</v>
      </c>
    </row>
    <row x14ac:dyDescent="0.25" r="1032" customHeight="1" ht="15.75">
      <c r="A1032" s="13" t="s">
        <v>116</v>
      </c>
      <c r="B1032" s="13" t="s">
        <v>2406</v>
      </c>
      <c r="C1032" s="32" t="s">
        <v>3472</v>
      </c>
      <c r="D1032" s="33" t="s">
        <v>3193</v>
      </c>
      <c r="E1032" s="33" t="s">
        <v>2849</v>
      </c>
      <c r="F1032" s="33" t="s">
        <v>2905</v>
      </c>
      <c r="G1032" s="33" t="s">
        <v>2850</v>
      </c>
      <c r="H1032" s="33" t="s">
        <v>2847</v>
      </c>
      <c r="I1032" s="33" t="s">
        <v>3000</v>
      </c>
    </row>
    <row x14ac:dyDescent="0.25" r="1033" customHeight="1" ht="15.75">
      <c r="A1033" s="13" t="s">
        <v>116</v>
      </c>
      <c r="B1033" s="13" t="s">
        <v>1313</v>
      </c>
      <c r="C1033" s="32" t="s">
        <v>3485</v>
      </c>
      <c r="D1033" s="33" t="s">
        <v>3201</v>
      </c>
      <c r="E1033" s="33" t="s">
        <v>3099</v>
      </c>
      <c r="F1033" s="33" t="s">
        <v>2995</v>
      </c>
      <c r="G1033" s="33" t="s">
        <v>2969</v>
      </c>
      <c r="H1033" s="33" t="s">
        <v>2930</v>
      </c>
      <c r="I1033" s="33" t="s">
        <v>2889</v>
      </c>
    </row>
    <row x14ac:dyDescent="0.25" r="1034" customHeight="1" ht="15.75">
      <c r="A1034" s="13" t="s">
        <v>116</v>
      </c>
      <c r="B1034" s="13" t="s">
        <v>1506</v>
      </c>
      <c r="C1034" s="32" t="s">
        <v>3487</v>
      </c>
      <c r="D1034" s="33" t="s">
        <v>2891</v>
      </c>
      <c r="E1034" s="33" t="s">
        <v>3073</v>
      </c>
      <c r="F1034" s="33" t="s">
        <v>2918</v>
      </c>
      <c r="G1034" s="33" t="s">
        <v>3066</v>
      </c>
      <c r="H1034" s="33" t="s">
        <v>3066</v>
      </c>
      <c r="I1034" s="33" t="s">
        <v>2971</v>
      </c>
    </row>
    <row x14ac:dyDescent="0.25" r="1035" customHeight="1" ht="15.75">
      <c r="A1035" s="13" t="s">
        <v>116</v>
      </c>
      <c r="B1035" s="13" t="s">
        <v>117</v>
      </c>
      <c r="C1035" s="32" t="s">
        <v>3948</v>
      </c>
      <c r="D1035" s="33" t="s">
        <v>2849</v>
      </c>
      <c r="E1035" s="33" t="s">
        <v>3193</v>
      </c>
      <c r="F1035" s="33" t="s">
        <v>2997</v>
      </c>
      <c r="G1035" s="33" t="s">
        <v>2904</v>
      </c>
      <c r="H1035" s="33" t="s">
        <v>2904</v>
      </c>
      <c r="I1035" s="33" t="s">
        <v>2903</v>
      </c>
    </row>
    <row x14ac:dyDescent="0.25" r="1036" customHeight="1" ht="15.75">
      <c r="A1036" s="13" t="s">
        <v>116</v>
      </c>
      <c r="B1036" s="13" t="s">
        <v>1774</v>
      </c>
      <c r="C1036" s="32" t="s">
        <v>3716</v>
      </c>
      <c r="D1036" s="33" t="s">
        <v>3832</v>
      </c>
      <c r="E1036" s="33" t="s">
        <v>2931</v>
      </c>
      <c r="F1036" s="33" t="s">
        <v>3147</v>
      </c>
      <c r="G1036" s="33" t="s">
        <v>2930</v>
      </c>
      <c r="H1036" s="33" t="s">
        <v>2964</v>
      </c>
      <c r="I1036" s="33" t="s">
        <v>2844</v>
      </c>
    </row>
    <row x14ac:dyDescent="0.25" r="1037" customHeight="1" ht="15.75">
      <c r="A1037" s="13" t="s">
        <v>116</v>
      </c>
      <c r="B1037" s="13" t="s">
        <v>1136</v>
      </c>
      <c r="C1037" s="32" t="s">
        <v>3949</v>
      </c>
      <c r="D1037" s="33" t="s">
        <v>2930</v>
      </c>
      <c r="E1037" s="33" t="s">
        <v>2995</v>
      </c>
      <c r="F1037" s="33" t="s">
        <v>2931</v>
      </c>
      <c r="G1037" s="33" t="s">
        <v>2917</v>
      </c>
      <c r="H1037" s="33" t="s">
        <v>3345</v>
      </c>
      <c r="I1037" s="33" t="s">
        <v>3064</v>
      </c>
    </row>
    <row x14ac:dyDescent="0.25" r="1038" customHeight="1" ht="15.75">
      <c r="A1038" s="13" t="s">
        <v>116</v>
      </c>
      <c r="B1038" s="13" t="s">
        <v>1529</v>
      </c>
      <c r="C1038" s="32" t="s">
        <v>3503</v>
      </c>
      <c r="D1038" s="33" t="s">
        <v>3384</v>
      </c>
      <c r="E1038" s="33" t="s">
        <v>2964</v>
      </c>
      <c r="F1038" s="33" t="s">
        <v>3148</v>
      </c>
      <c r="G1038" s="33" t="s">
        <v>3134</v>
      </c>
      <c r="H1038" s="33" t="s">
        <v>3148</v>
      </c>
      <c r="I1038" s="33" t="s">
        <v>3158</v>
      </c>
    </row>
    <row x14ac:dyDescent="0.25" r="1039" customHeight="1" ht="15.75">
      <c r="A1039" s="13" t="s">
        <v>116</v>
      </c>
      <c r="B1039" s="13" t="s">
        <v>1713</v>
      </c>
      <c r="C1039" s="32" t="s">
        <v>2922</v>
      </c>
      <c r="D1039" s="33" t="s">
        <v>3141</v>
      </c>
      <c r="E1039" s="33" t="s">
        <v>2915</v>
      </c>
      <c r="F1039" s="33" t="s">
        <v>2942</v>
      </c>
      <c r="G1039" s="33" t="s">
        <v>3156</v>
      </c>
      <c r="H1039" s="33" t="s">
        <v>2915</v>
      </c>
      <c r="I1039" s="33" t="s">
        <v>2914</v>
      </c>
    </row>
    <row x14ac:dyDescent="0.25" r="1040" customHeight="1" ht="15.75">
      <c r="A1040" s="13" t="s">
        <v>116</v>
      </c>
      <c r="B1040" s="13" t="s">
        <v>2271</v>
      </c>
      <c r="C1040" s="32" t="s">
        <v>3185</v>
      </c>
      <c r="D1040" s="33" t="s">
        <v>3173</v>
      </c>
      <c r="E1040" s="33" t="s">
        <v>3143</v>
      </c>
      <c r="F1040" s="33" t="s">
        <v>3834</v>
      </c>
      <c r="G1040" s="33" t="s">
        <v>2985</v>
      </c>
      <c r="H1040" s="33" t="s">
        <v>3027</v>
      </c>
      <c r="I1040" s="33" t="s">
        <v>2910</v>
      </c>
    </row>
    <row x14ac:dyDescent="0.25" r="1041" customHeight="1" ht="15.75">
      <c r="A1041" s="13" t="s">
        <v>116</v>
      </c>
      <c r="B1041" s="13" t="s">
        <v>711</v>
      </c>
      <c r="C1041" s="32" t="s">
        <v>3718</v>
      </c>
      <c r="D1041" s="33" t="s">
        <v>3043</v>
      </c>
      <c r="E1041" s="33" t="s">
        <v>3295</v>
      </c>
      <c r="F1041" s="33" t="s">
        <v>3063</v>
      </c>
      <c r="G1041" s="33" t="s">
        <v>2970</v>
      </c>
      <c r="H1041" s="33" t="s">
        <v>3425</v>
      </c>
      <c r="I1041" s="33" t="s">
        <v>3147</v>
      </c>
    </row>
    <row x14ac:dyDescent="0.25" r="1042" customHeight="1" ht="15.75">
      <c r="A1042" s="13" t="s">
        <v>116</v>
      </c>
      <c r="B1042" s="13" t="s">
        <v>1090</v>
      </c>
      <c r="C1042" s="32" t="s">
        <v>3950</v>
      </c>
      <c r="D1042" s="33" t="s">
        <v>2897</v>
      </c>
      <c r="E1042" s="33" t="s">
        <v>2918</v>
      </c>
      <c r="F1042" s="33" t="s">
        <v>3203</v>
      </c>
      <c r="G1042" s="33" t="s">
        <v>3166</v>
      </c>
      <c r="H1042" s="33" t="s">
        <v>3058</v>
      </c>
      <c r="I1042" s="33" t="s">
        <v>2832</v>
      </c>
    </row>
    <row x14ac:dyDescent="0.25" r="1043" customHeight="1" ht="15.75">
      <c r="A1043" s="13" t="s">
        <v>116</v>
      </c>
      <c r="B1043" s="13" t="s">
        <v>1758</v>
      </c>
      <c r="C1043" s="32" t="s">
        <v>3253</v>
      </c>
      <c r="D1043" s="33" t="s">
        <v>3209</v>
      </c>
      <c r="E1043" s="33" t="s">
        <v>3162</v>
      </c>
      <c r="F1043" s="33" t="s">
        <v>3145</v>
      </c>
      <c r="G1043" s="33" t="s">
        <v>3214</v>
      </c>
      <c r="H1043" s="33" t="s">
        <v>2935</v>
      </c>
      <c r="I1043" s="33" t="s">
        <v>3243</v>
      </c>
    </row>
    <row x14ac:dyDescent="0.25" r="1044" customHeight="1" ht="15.75">
      <c r="A1044" s="13" t="s">
        <v>116</v>
      </c>
      <c r="B1044" s="13" t="s">
        <v>1261</v>
      </c>
      <c r="C1044" s="32" t="s">
        <v>2928</v>
      </c>
      <c r="D1044" s="33" t="s">
        <v>2925</v>
      </c>
      <c r="E1044" s="33" t="s">
        <v>2959</v>
      </c>
      <c r="F1044" s="33" t="s">
        <v>2936</v>
      </c>
      <c r="G1044" s="33" t="s">
        <v>2920</v>
      </c>
      <c r="H1044" s="33" t="s">
        <v>2917</v>
      </c>
      <c r="I1044" s="33" t="s">
        <v>3064</v>
      </c>
    </row>
    <row x14ac:dyDescent="0.25" r="1045" customHeight="1" ht="15.75">
      <c r="A1045" s="13" t="s">
        <v>116</v>
      </c>
      <c r="B1045" s="13" t="s">
        <v>2306</v>
      </c>
      <c r="C1045" s="32" t="s">
        <v>2928</v>
      </c>
      <c r="D1045" s="33" t="s">
        <v>3023</v>
      </c>
      <c r="E1045" s="33" t="s">
        <v>3074</v>
      </c>
      <c r="F1045" s="33" t="s">
        <v>2895</v>
      </c>
      <c r="G1045" s="33" t="s">
        <v>2990</v>
      </c>
      <c r="H1045" s="33" t="s">
        <v>2970</v>
      </c>
      <c r="I1045" s="33" t="s">
        <v>2892</v>
      </c>
    </row>
    <row x14ac:dyDescent="0.25" r="1046" customHeight="1" ht="15.75">
      <c r="A1046" s="13" t="s">
        <v>116</v>
      </c>
      <c r="B1046" s="13" t="s">
        <v>1796</v>
      </c>
      <c r="C1046" s="32" t="s">
        <v>3777</v>
      </c>
      <c r="D1046" s="33" t="s">
        <v>3073</v>
      </c>
      <c r="E1046" s="33" t="s">
        <v>2900</v>
      </c>
      <c r="F1046" s="33" t="s">
        <v>2990</v>
      </c>
      <c r="G1046" s="33" t="s">
        <v>2900</v>
      </c>
      <c r="H1046" s="33" t="s">
        <v>3124</v>
      </c>
      <c r="I1046" s="33" t="s">
        <v>2971</v>
      </c>
    </row>
    <row x14ac:dyDescent="0.25" r="1047" customHeight="1" ht="15.75">
      <c r="A1047" s="13" t="s">
        <v>116</v>
      </c>
      <c r="B1047" s="13" t="s">
        <v>2101</v>
      </c>
      <c r="C1047" s="32" t="s">
        <v>3778</v>
      </c>
      <c r="D1047" s="33" t="s">
        <v>3506</v>
      </c>
      <c r="E1047" s="33" t="s">
        <v>2839</v>
      </c>
      <c r="F1047" s="33" t="s">
        <v>3040</v>
      </c>
      <c r="G1047" s="33" t="s">
        <v>3071</v>
      </c>
      <c r="H1047" s="33" t="s">
        <v>3288</v>
      </c>
      <c r="I1047" s="33" t="s">
        <v>3879</v>
      </c>
    </row>
    <row x14ac:dyDescent="0.25" r="1048" customHeight="1" ht="15.75">
      <c r="A1048" s="13" t="s">
        <v>116</v>
      </c>
      <c r="B1048" s="13" t="s">
        <v>1396</v>
      </c>
      <c r="C1048" s="32" t="s">
        <v>3255</v>
      </c>
      <c r="D1048" s="33" t="s">
        <v>2942</v>
      </c>
      <c r="E1048" s="33" t="s">
        <v>2889</v>
      </c>
      <c r="F1048" s="33" t="s">
        <v>2981</v>
      </c>
      <c r="G1048" s="33" t="s">
        <v>2914</v>
      </c>
      <c r="H1048" s="33" t="s">
        <v>2914</v>
      </c>
      <c r="I1048" s="33" t="s">
        <v>2893</v>
      </c>
    </row>
    <row x14ac:dyDescent="0.25" r="1049" customHeight="1" ht="15.75">
      <c r="A1049" s="13" t="s">
        <v>116</v>
      </c>
      <c r="B1049" s="13" t="s">
        <v>2080</v>
      </c>
      <c r="C1049" s="32" t="s">
        <v>3951</v>
      </c>
      <c r="D1049" s="33" t="s">
        <v>2931</v>
      </c>
      <c r="E1049" s="33" t="s">
        <v>3173</v>
      </c>
      <c r="F1049" s="33" t="s">
        <v>3400</v>
      </c>
      <c r="G1049" s="33" t="s">
        <v>2923</v>
      </c>
      <c r="H1049" s="33" t="s">
        <v>2986</v>
      </c>
      <c r="I1049" s="33" t="s">
        <v>3384</v>
      </c>
    </row>
    <row x14ac:dyDescent="0.25" r="1050" customHeight="1" ht="15.75">
      <c r="A1050" s="13" t="s">
        <v>116</v>
      </c>
      <c r="B1050" s="13" t="s">
        <v>788</v>
      </c>
      <c r="C1050" s="32" t="s">
        <v>3951</v>
      </c>
      <c r="D1050" s="33" t="s">
        <v>3114</v>
      </c>
      <c r="E1050" s="33" t="s">
        <v>3124</v>
      </c>
      <c r="F1050" s="33" t="s">
        <v>3165</v>
      </c>
      <c r="G1050" s="33" t="s">
        <v>3124</v>
      </c>
      <c r="H1050" s="33" t="s">
        <v>2965</v>
      </c>
      <c r="I1050" s="33" t="s">
        <v>2913</v>
      </c>
    </row>
    <row x14ac:dyDescent="0.25" r="1051" customHeight="1" ht="15.75">
      <c r="A1051" s="13" t="s">
        <v>116</v>
      </c>
      <c r="B1051" s="13" t="s">
        <v>448</v>
      </c>
      <c r="C1051" s="32" t="s">
        <v>3632</v>
      </c>
      <c r="D1051" s="33" t="s">
        <v>2887</v>
      </c>
      <c r="E1051" s="33" t="s">
        <v>2899</v>
      </c>
      <c r="F1051" s="33" t="s">
        <v>2970</v>
      </c>
      <c r="G1051" s="33" t="s">
        <v>3141</v>
      </c>
      <c r="H1051" s="33" t="s">
        <v>2900</v>
      </c>
      <c r="I1051" s="33" t="s">
        <v>2892</v>
      </c>
    </row>
    <row x14ac:dyDescent="0.25" r="1052" customHeight="1" ht="15.75">
      <c r="A1052" s="13" t="s">
        <v>116</v>
      </c>
      <c r="B1052" s="13" t="s">
        <v>1816</v>
      </c>
      <c r="C1052" s="32" t="s">
        <v>3720</v>
      </c>
      <c r="D1052" s="33" t="s">
        <v>3128</v>
      </c>
      <c r="E1052" s="33" t="s">
        <v>3148</v>
      </c>
      <c r="F1052" s="33" t="s">
        <v>3143</v>
      </c>
      <c r="G1052" s="33" t="s">
        <v>3425</v>
      </c>
      <c r="H1052" s="33" t="s">
        <v>3388</v>
      </c>
      <c r="I1052" s="33" t="s">
        <v>3095</v>
      </c>
    </row>
    <row x14ac:dyDescent="0.25" r="1053" customHeight="1" ht="15.75">
      <c r="A1053" s="13" t="s">
        <v>116</v>
      </c>
      <c r="B1053" s="13" t="s">
        <v>1209</v>
      </c>
      <c r="C1053" s="32" t="s">
        <v>3258</v>
      </c>
      <c r="D1053" s="33" t="s">
        <v>2962</v>
      </c>
      <c r="E1053" s="33" t="s">
        <v>2988</v>
      </c>
      <c r="F1053" s="33" t="s">
        <v>3112</v>
      </c>
      <c r="G1053" s="33" t="s">
        <v>2936</v>
      </c>
      <c r="H1053" s="33" t="s">
        <v>2930</v>
      </c>
      <c r="I1053" s="33" t="s">
        <v>2930</v>
      </c>
    </row>
    <row x14ac:dyDescent="0.25" r="1054" customHeight="1" ht="15.75">
      <c r="A1054" s="13" t="s">
        <v>116</v>
      </c>
      <c r="B1054" s="13" t="s">
        <v>2473</v>
      </c>
      <c r="C1054" s="32" t="s">
        <v>3519</v>
      </c>
      <c r="D1054" s="33" t="s">
        <v>2913</v>
      </c>
      <c r="E1054" s="33" t="s">
        <v>3168</v>
      </c>
      <c r="F1054" s="33" t="s">
        <v>2969</v>
      </c>
      <c r="G1054" s="33" t="s">
        <v>2979</v>
      </c>
      <c r="H1054" s="33" t="s">
        <v>2913</v>
      </c>
      <c r="I1054" s="33" t="s">
        <v>2844</v>
      </c>
    </row>
    <row x14ac:dyDescent="0.25" r="1055" customHeight="1" ht="15.75">
      <c r="A1055" s="13" t="s">
        <v>116</v>
      </c>
      <c r="B1055" s="13" t="s">
        <v>1456</v>
      </c>
      <c r="C1055" s="32" t="s">
        <v>3519</v>
      </c>
      <c r="D1055" s="33" t="s">
        <v>2856</v>
      </c>
      <c r="E1055" s="33" t="s">
        <v>2983</v>
      </c>
      <c r="F1055" s="33" t="s">
        <v>2849</v>
      </c>
      <c r="G1055" s="33" t="s">
        <v>3193</v>
      </c>
      <c r="H1055" s="33" t="s">
        <v>2858</v>
      </c>
      <c r="I1055" s="33" t="s">
        <v>3138</v>
      </c>
    </row>
    <row x14ac:dyDescent="0.25" r="1056" customHeight="1" ht="15.75">
      <c r="A1056" s="13" t="s">
        <v>116</v>
      </c>
      <c r="B1056" s="13" t="s">
        <v>1522</v>
      </c>
      <c r="C1056" s="32" t="s">
        <v>3405</v>
      </c>
      <c r="D1056" s="33" t="s">
        <v>2917</v>
      </c>
      <c r="E1056" s="33" t="s">
        <v>3243</v>
      </c>
      <c r="F1056" s="33" t="s">
        <v>3112</v>
      </c>
      <c r="G1056" s="33" t="s">
        <v>3187</v>
      </c>
      <c r="H1056" s="33" t="s">
        <v>3099</v>
      </c>
      <c r="I1056" s="33" t="s">
        <v>3033</v>
      </c>
    </row>
    <row x14ac:dyDescent="0.25" r="1057" customHeight="1" ht="15.75">
      <c r="A1057" s="13" t="s">
        <v>116</v>
      </c>
      <c r="B1057" s="13" t="s">
        <v>861</v>
      </c>
      <c r="C1057" s="32" t="s">
        <v>3816</v>
      </c>
      <c r="D1057" s="33" t="s">
        <v>3064</v>
      </c>
      <c r="E1057" s="33" t="s">
        <v>3345</v>
      </c>
      <c r="F1057" s="33" t="s">
        <v>3296</v>
      </c>
      <c r="G1057" s="33" t="s">
        <v>3103</v>
      </c>
      <c r="H1057" s="33" t="s">
        <v>3095</v>
      </c>
      <c r="I1057" s="33" t="s">
        <v>3095</v>
      </c>
    </row>
    <row x14ac:dyDescent="0.25" r="1058" customHeight="1" ht="15.75">
      <c r="A1058" s="13" t="s">
        <v>116</v>
      </c>
      <c r="B1058" s="13" t="s">
        <v>1570</v>
      </c>
      <c r="C1058" s="32" t="s">
        <v>2952</v>
      </c>
      <c r="D1058" s="33" t="s">
        <v>2858</v>
      </c>
      <c r="E1058" s="33" t="s">
        <v>3051</v>
      </c>
      <c r="F1058" s="33" t="s">
        <v>2856</v>
      </c>
      <c r="G1058" s="33" t="s">
        <v>2981</v>
      </c>
      <c r="H1058" s="33" t="s">
        <v>3156</v>
      </c>
      <c r="I1058" s="33" t="s">
        <v>3156</v>
      </c>
    </row>
    <row x14ac:dyDescent="0.25" r="1059" customHeight="1" ht="15.75">
      <c r="A1059" s="13" t="s">
        <v>116</v>
      </c>
      <c r="B1059" s="13" t="s">
        <v>1394</v>
      </c>
      <c r="C1059" s="32" t="s">
        <v>3640</v>
      </c>
      <c r="D1059" s="33" t="s">
        <v>2957</v>
      </c>
      <c r="E1059" s="33" t="s">
        <v>2882</v>
      </c>
      <c r="F1059" s="33" t="s">
        <v>3163</v>
      </c>
      <c r="G1059" s="33" t="s">
        <v>3159</v>
      </c>
      <c r="H1059" s="33" t="s">
        <v>2995</v>
      </c>
      <c r="I1059" s="33" t="s">
        <v>3145</v>
      </c>
    </row>
    <row x14ac:dyDescent="0.25" r="1060" customHeight="1" ht="15.75">
      <c r="A1060" s="13" t="s">
        <v>116</v>
      </c>
      <c r="B1060" s="13" t="s">
        <v>1332</v>
      </c>
      <c r="C1060" s="32" t="s">
        <v>3268</v>
      </c>
      <c r="D1060" s="33" t="s">
        <v>3144</v>
      </c>
      <c r="E1060" s="33" t="s">
        <v>3023</v>
      </c>
      <c r="F1060" s="33" t="s">
        <v>2882</v>
      </c>
      <c r="G1060" s="33" t="s">
        <v>3222</v>
      </c>
      <c r="H1060" s="33" t="s">
        <v>3184</v>
      </c>
      <c r="I1060" s="33" t="s">
        <v>2966</v>
      </c>
    </row>
    <row x14ac:dyDescent="0.25" r="1061" customHeight="1" ht="15.75">
      <c r="A1061" s="13" t="s">
        <v>116</v>
      </c>
      <c r="B1061" s="13" t="s">
        <v>1154</v>
      </c>
      <c r="C1061" s="32" t="s">
        <v>2972</v>
      </c>
      <c r="D1061" s="33" t="s">
        <v>3165</v>
      </c>
      <c r="E1061" s="33" t="s">
        <v>3058</v>
      </c>
      <c r="F1061" s="33" t="s">
        <v>3058</v>
      </c>
      <c r="G1061" s="33" t="s">
        <v>3140</v>
      </c>
      <c r="H1061" s="33" t="s">
        <v>2970</v>
      </c>
      <c r="I1061" s="33" t="s">
        <v>3203</v>
      </c>
    </row>
    <row x14ac:dyDescent="0.25" r="1062" customHeight="1" ht="15.75">
      <c r="A1062" s="13" t="s">
        <v>116</v>
      </c>
      <c r="B1062" s="13" t="s">
        <v>1602</v>
      </c>
      <c r="C1062" s="32" t="s">
        <v>2978</v>
      </c>
      <c r="D1062" s="33" t="s">
        <v>3285</v>
      </c>
      <c r="E1062" s="33" t="s">
        <v>3023</v>
      </c>
      <c r="F1062" s="33" t="s">
        <v>3301</v>
      </c>
      <c r="G1062" s="33" t="s">
        <v>3124</v>
      </c>
      <c r="H1062" s="33" t="s">
        <v>3060</v>
      </c>
      <c r="I1062" s="33" t="s">
        <v>2887</v>
      </c>
    </row>
    <row x14ac:dyDescent="0.25" r="1063" customHeight="1" ht="15.75">
      <c r="A1063" s="13" t="s">
        <v>116</v>
      </c>
      <c r="B1063" s="13" t="s">
        <v>2384</v>
      </c>
      <c r="C1063" s="32" t="s">
        <v>3190</v>
      </c>
      <c r="D1063" s="33" t="s">
        <v>2986</v>
      </c>
      <c r="E1063" s="33" t="s">
        <v>2957</v>
      </c>
      <c r="F1063" s="33" t="s">
        <v>3225</v>
      </c>
      <c r="G1063" s="33" t="s">
        <v>3186</v>
      </c>
      <c r="H1063" s="33" t="s">
        <v>2988</v>
      </c>
      <c r="I1063" s="33" t="s">
        <v>2933</v>
      </c>
    </row>
    <row x14ac:dyDescent="0.25" r="1064" customHeight="1" ht="15.75">
      <c r="A1064" s="13" t="s">
        <v>116</v>
      </c>
      <c r="B1064" s="13" t="s">
        <v>1640</v>
      </c>
      <c r="C1064" s="32" t="s">
        <v>3952</v>
      </c>
      <c r="D1064" s="33" t="s">
        <v>3201</v>
      </c>
      <c r="E1064" s="33" t="s">
        <v>3197</v>
      </c>
      <c r="F1064" s="33" t="s">
        <v>2933</v>
      </c>
      <c r="G1064" s="33" t="s">
        <v>3086</v>
      </c>
      <c r="H1064" s="33" t="s">
        <v>3187</v>
      </c>
      <c r="I1064" s="33" t="s">
        <v>3100</v>
      </c>
    </row>
    <row x14ac:dyDescent="0.25" r="1065" customHeight="1" ht="15.75">
      <c r="A1065" s="13" t="s">
        <v>116</v>
      </c>
      <c r="B1065" s="13" t="s">
        <v>620</v>
      </c>
      <c r="C1065" s="32" t="s">
        <v>3192</v>
      </c>
      <c r="D1065" s="33" t="s">
        <v>3141</v>
      </c>
      <c r="E1065" s="33" t="s">
        <v>2889</v>
      </c>
      <c r="F1065" s="33" t="s">
        <v>3067</v>
      </c>
      <c r="G1065" s="33" t="s">
        <v>3067</v>
      </c>
      <c r="H1065" s="33" t="s">
        <v>3067</v>
      </c>
      <c r="I1065" s="33" t="s">
        <v>2990</v>
      </c>
    </row>
    <row x14ac:dyDescent="0.25" r="1066" customHeight="1" ht="15.75">
      <c r="A1066" s="13" t="s">
        <v>116</v>
      </c>
      <c r="B1066" s="13" t="s">
        <v>1739</v>
      </c>
      <c r="C1066" s="32" t="s">
        <v>3284</v>
      </c>
      <c r="D1066" s="33" t="s">
        <v>2858</v>
      </c>
      <c r="E1066" s="33" t="s">
        <v>3156</v>
      </c>
      <c r="F1066" s="33" t="s">
        <v>2857</v>
      </c>
      <c r="G1066" s="33" t="s">
        <v>2980</v>
      </c>
      <c r="H1066" s="33" t="s">
        <v>2980</v>
      </c>
      <c r="I1066" s="33" t="s">
        <v>2888</v>
      </c>
    </row>
    <row x14ac:dyDescent="0.25" r="1067" customHeight="1" ht="15.75">
      <c r="A1067" s="13" t="s">
        <v>116</v>
      </c>
      <c r="B1067" s="13" t="s">
        <v>151</v>
      </c>
      <c r="C1067" s="32" t="s">
        <v>3825</v>
      </c>
      <c r="D1067" s="33" t="s">
        <v>3124</v>
      </c>
      <c r="E1067" s="33" t="s">
        <v>2844</v>
      </c>
      <c r="F1067" s="33" t="s">
        <v>3156</v>
      </c>
      <c r="G1067" s="33" t="s">
        <v>3137</v>
      </c>
      <c r="H1067" s="33" t="s">
        <v>2982</v>
      </c>
      <c r="I1067" s="33" t="s">
        <v>2857</v>
      </c>
    </row>
    <row x14ac:dyDescent="0.25" r="1068" customHeight="1" ht="15.75">
      <c r="A1068" s="13" t="s">
        <v>116</v>
      </c>
      <c r="B1068" s="13" t="s">
        <v>591</v>
      </c>
      <c r="C1068" s="32" t="s">
        <v>3527</v>
      </c>
      <c r="D1068" s="33" t="s">
        <v>3193</v>
      </c>
      <c r="E1068" s="33" t="s">
        <v>2951</v>
      </c>
      <c r="F1068" s="33" t="s">
        <v>3019</v>
      </c>
      <c r="G1068" s="33" t="s">
        <v>2849</v>
      </c>
      <c r="H1068" s="33" t="s">
        <v>3179</v>
      </c>
      <c r="I1068" s="33" t="s">
        <v>2903</v>
      </c>
    </row>
    <row x14ac:dyDescent="0.25" r="1069" customHeight="1" ht="15.75">
      <c r="A1069" s="13" t="s">
        <v>116</v>
      </c>
      <c r="B1069" s="13" t="s">
        <v>1541</v>
      </c>
      <c r="C1069" s="32" t="s">
        <v>3794</v>
      </c>
      <c r="D1069" s="33" t="s">
        <v>3367</v>
      </c>
      <c r="E1069" s="33" t="s">
        <v>3735</v>
      </c>
      <c r="F1069" s="33" t="s">
        <v>3422</v>
      </c>
      <c r="G1069" s="33" t="s">
        <v>2955</v>
      </c>
      <c r="H1069" s="33" t="s">
        <v>2975</v>
      </c>
      <c r="I1069" s="33" t="s">
        <v>3638</v>
      </c>
    </row>
    <row x14ac:dyDescent="0.25" r="1070" customHeight="1" ht="15.75">
      <c r="A1070" s="13" t="s">
        <v>116</v>
      </c>
      <c r="B1070" s="13" t="s">
        <v>2452</v>
      </c>
      <c r="C1070" s="32" t="s">
        <v>3826</v>
      </c>
      <c r="D1070" s="33" t="s">
        <v>2848</v>
      </c>
      <c r="E1070" s="33" t="s">
        <v>2950</v>
      </c>
      <c r="F1070" s="33" t="s">
        <v>2903</v>
      </c>
      <c r="G1070" s="33" t="s">
        <v>3051</v>
      </c>
      <c r="H1070" s="33" t="s">
        <v>3138</v>
      </c>
      <c r="I1070" s="33" t="s">
        <v>2858</v>
      </c>
    </row>
    <row x14ac:dyDescent="0.25" r="1071" customHeight="1" ht="15.75">
      <c r="A1071" s="13" t="s">
        <v>116</v>
      </c>
      <c r="B1071" s="13" t="s">
        <v>364</v>
      </c>
      <c r="C1071" s="32" t="s">
        <v>3418</v>
      </c>
      <c r="D1071" s="33" t="s">
        <v>3175</v>
      </c>
      <c r="E1071" s="33" t="s">
        <v>2992</v>
      </c>
      <c r="F1071" s="33" t="s">
        <v>2892</v>
      </c>
      <c r="G1071" s="33" t="s">
        <v>2913</v>
      </c>
      <c r="H1071" s="33" t="s">
        <v>3024</v>
      </c>
      <c r="I1071" s="33" t="s">
        <v>3175</v>
      </c>
    </row>
    <row x14ac:dyDescent="0.25" r="1072" customHeight="1" ht="15.75">
      <c r="A1072" s="13" t="s">
        <v>116</v>
      </c>
      <c r="B1072" s="13" t="s">
        <v>955</v>
      </c>
      <c r="C1072" s="32" t="s">
        <v>3292</v>
      </c>
      <c r="D1072" s="33" t="s">
        <v>2847</v>
      </c>
      <c r="E1072" s="33" t="s">
        <v>2904</v>
      </c>
      <c r="F1072" s="33" t="s">
        <v>2951</v>
      </c>
      <c r="G1072" s="33" t="s">
        <v>2905</v>
      </c>
      <c r="H1072" s="33" t="s">
        <v>2951</v>
      </c>
      <c r="I1072" s="33" t="s">
        <v>2904</v>
      </c>
    </row>
    <row x14ac:dyDescent="0.25" r="1073" customHeight="1" ht="15.75">
      <c r="A1073" s="13" t="s">
        <v>116</v>
      </c>
      <c r="B1073" s="13" t="s">
        <v>2485</v>
      </c>
      <c r="C1073" s="32" t="s">
        <v>3725</v>
      </c>
      <c r="D1073" s="33" t="s">
        <v>3011</v>
      </c>
      <c r="E1073" s="33" t="s">
        <v>2836</v>
      </c>
      <c r="F1073" s="33" t="s">
        <v>3197</v>
      </c>
      <c r="G1073" s="33" t="s">
        <v>2919</v>
      </c>
      <c r="H1073" s="33" t="s">
        <v>2930</v>
      </c>
      <c r="I1073" s="33" t="s">
        <v>2836</v>
      </c>
    </row>
    <row x14ac:dyDescent="0.25" r="1074" customHeight="1" ht="15.75">
      <c r="A1074" s="13" t="s">
        <v>116</v>
      </c>
      <c r="B1074" s="13" t="s">
        <v>1855</v>
      </c>
      <c r="C1074" s="32" t="s">
        <v>3419</v>
      </c>
      <c r="D1074" s="33" t="s">
        <v>2891</v>
      </c>
      <c r="E1074" s="33" t="s">
        <v>2990</v>
      </c>
      <c r="F1074" s="33" t="s">
        <v>3175</v>
      </c>
      <c r="G1074" s="33" t="s">
        <v>2982</v>
      </c>
      <c r="H1074" s="33" t="s">
        <v>3168</v>
      </c>
      <c r="I1074" s="33" t="s">
        <v>2918</v>
      </c>
    </row>
    <row x14ac:dyDescent="0.25" r="1075" customHeight="1" ht="15.75">
      <c r="A1075" s="13" t="s">
        <v>116</v>
      </c>
      <c r="B1075" s="13" t="s">
        <v>1221</v>
      </c>
      <c r="C1075" s="32" t="s">
        <v>3293</v>
      </c>
      <c r="D1075" s="33" t="s">
        <v>2960</v>
      </c>
      <c r="E1075" s="33" t="s">
        <v>3029</v>
      </c>
      <c r="F1075" s="33" t="s">
        <v>2897</v>
      </c>
      <c r="G1075" s="33" t="s">
        <v>2920</v>
      </c>
      <c r="H1075" s="33" t="s">
        <v>3088</v>
      </c>
      <c r="I1075" s="33" t="s">
        <v>2882</v>
      </c>
    </row>
    <row x14ac:dyDescent="0.25" r="1076" customHeight="1" ht="15.75">
      <c r="A1076" s="13" t="s">
        <v>116</v>
      </c>
      <c r="B1076" s="13" t="s">
        <v>2336</v>
      </c>
      <c r="C1076" s="32" t="s">
        <v>3198</v>
      </c>
      <c r="D1076" s="33" t="s">
        <v>2962</v>
      </c>
      <c r="E1076" s="33" t="s">
        <v>3243</v>
      </c>
      <c r="F1076" s="33" t="s">
        <v>2832</v>
      </c>
      <c r="G1076" s="33" t="s">
        <v>3099</v>
      </c>
      <c r="H1076" s="33" t="s">
        <v>2836</v>
      </c>
      <c r="I1076" s="33" t="s">
        <v>3088</v>
      </c>
    </row>
    <row x14ac:dyDescent="0.25" r="1077" customHeight="1" ht="15.75">
      <c r="A1077" s="13" t="s">
        <v>116</v>
      </c>
      <c r="B1077" s="13" t="s">
        <v>2233</v>
      </c>
      <c r="C1077" s="32" t="s">
        <v>3540</v>
      </c>
      <c r="D1077" s="33" t="s">
        <v>3498</v>
      </c>
      <c r="E1077" s="33" t="s">
        <v>3766</v>
      </c>
      <c r="F1077" s="33" t="s">
        <v>3684</v>
      </c>
      <c r="G1077" s="33" t="s">
        <v>3498</v>
      </c>
      <c r="H1077" s="33" t="s">
        <v>3392</v>
      </c>
      <c r="I1077" s="33" t="s">
        <v>3412</v>
      </c>
    </row>
    <row x14ac:dyDescent="0.25" r="1078" customHeight="1" ht="15.75">
      <c r="A1078" s="13" t="s">
        <v>116</v>
      </c>
      <c r="B1078" s="13" t="s">
        <v>1670</v>
      </c>
      <c r="C1078" s="32" t="s">
        <v>3540</v>
      </c>
      <c r="D1078" s="33" t="s">
        <v>3265</v>
      </c>
      <c r="E1078" s="33" t="s">
        <v>3273</v>
      </c>
      <c r="F1078" s="33" t="s">
        <v>3484</v>
      </c>
      <c r="G1078" s="33" t="s">
        <v>2956</v>
      </c>
      <c r="H1078" s="33" t="s">
        <v>3316</v>
      </c>
      <c r="I1078" s="33" t="s">
        <v>3062</v>
      </c>
    </row>
    <row x14ac:dyDescent="0.25" r="1079" customHeight="1" ht="15.75">
      <c r="A1079" s="13" t="s">
        <v>116</v>
      </c>
      <c r="B1079" s="13" t="s">
        <v>2205</v>
      </c>
      <c r="C1079" s="32" t="s">
        <v>3199</v>
      </c>
      <c r="D1079" s="33" t="s">
        <v>3334</v>
      </c>
      <c r="E1079" s="33" t="s">
        <v>3009</v>
      </c>
      <c r="F1079" s="33" t="s">
        <v>2985</v>
      </c>
      <c r="G1079" s="33" t="s">
        <v>3091</v>
      </c>
      <c r="H1079" s="33" t="s">
        <v>2884</v>
      </c>
      <c r="I1079" s="33" t="s">
        <v>3267</v>
      </c>
    </row>
    <row x14ac:dyDescent="0.25" r="1080" customHeight="1" ht="15.75">
      <c r="A1080" s="13" t="s">
        <v>116</v>
      </c>
      <c r="B1080" s="13" t="s">
        <v>661</v>
      </c>
      <c r="C1080" s="32" t="s">
        <v>3547</v>
      </c>
      <c r="D1080" s="33" t="s">
        <v>3125</v>
      </c>
      <c r="E1080" s="33" t="s">
        <v>3209</v>
      </c>
      <c r="F1080" s="33" t="s">
        <v>2917</v>
      </c>
      <c r="G1080" s="33" t="s">
        <v>3201</v>
      </c>
      <c r="H1080" s="33" t="s">
        <v>3163</v>
      </c>
      <c r="I1080" s="33" t="s">
        <v>3064</v>
      </c>
    </row>
    <row x14ac:dyDescent="0.25" r="1081" customHeight="1" ht="15.75">
      <c r="A1081" s="13" t="s">
        <v>116</v>
      </c>
      <c r="B1081" s="13" t="s">
        <v>1612</v>
      </c>
      <c r="C1081" s="32" t="s">
        <v>3662</v>
      </c>
      <c r="D1081" s="33" t="s">
        <v>3052</v>
      </c>
      <c r="E1081" s="33" t="s">
        <v>2983</v>
      </c>
      <c r="F1081" s="33" t="s">
        <v>2857</v>
      </c>
      <c r="G1081" s="33" t="s">
        <v>2980</v>
      </c>
      <c r="H1081" s="33" t="s">
        <v>3052</v>
      </c>
      <c r="I1081" s="33" t="s">
        <v>2981</v>
      </c>
    </row>
    <row x14ac:dyDescent="0.25" r="1082" customHeight="1" ht="15.75">
      <c r="A1082" s="13" t="s">
        <v>116</v>
      </c>
      <c r="B1082" s="13" t="s">
        <v>1566</v>
      </c>
      <c r="C1082" s="32" t="s">
        <v>3309</v>
      </c>
      <c r="D1082" s="33" t="s">
        <v>3881</v>
      </c>
      <c r="E1082" s="33" t="s">
        <v>3314</v>
      </c>
      <c r="F1082" s="33" t="s">
        <v>3262</v>
      </c>
      <c r="G1082" s="33" t="s">
        <v>3270</v>
      </c>
      <c r="H1082" s="33" t="s">
        <v>3779</v>
      </c>
      <c r="I1082" s="33" t="s">
        <v>3421</v>
      </c>
    </row>
    <row x14ac:dyDescent="0.25" r="1083" customHeight="1" ht="15.75">
      <c r="A1083" s="13" t="s">
        <v>116</v>
      </c>
      <c r="B1083" s="13" t="s">
        <v>1675</v>
      </c>
      <c r="C1083" s="32" t="s">
        <v>3309</v>
      </c>
      <c r="D1083" s="33" t="s">
        <v>3384</v>
      </c>
      <c r="E1083" s="33" t="s">
        <v>3214</v>
      </c>
      <c r="F1083" s="33" t="s">
        <v>3373</v>
      </c>
      <c r="G1083" s="33" t="s">
        <v>3432</v>
      </c>
      <c r="H1083" s="33" t="s">
        <v>3110</v>
      </c>
      <c r="I1083" s="33" t="s">
        <v>2957</v>
      </c>
    </row>
    <row x14ac:dyDescent="0.25" r="1084" customHeight="1" ht="15.75">
      <c r="A1084" s="13" t="s">
        <v>116</v>
      </c>
      <c r="B1084" s="13" t="s">
        <v>1869</v>
      </c>
      <c r="C1084" s="32" t="s">
        <v>3093</v>
      </c>
      <c r="D1084" s="33" t="s">
        <v>3953</v>
      </c>
      <c r="E1084" s="33" t="s">
        <v>3429</v>
      </c>
      <c r="F1084" s="33" t="s">
        <v>3599</v>
      </c>
      <c r="G1084" s="33" t="s">
        <v>3482</v>
      </c>
      <c r="H1084" s="33" t="s">
        <v>3669</v>
      </c>
      <c r="I1084" s="33" t="s">
        <v>3119</v>
      </c>
    </row>
    <row x14ac:dyDescent="0.25" r="1085" customHeight="1" ht="15.75">
      <c r="A1085" s="13" t="s">
        <v>116</v>
      </c>
      <c r="B1085" s="13" t="s">
        <v>2595</v>
      </c>
      <c r="C1085" s="32" t="s">
        <v>3315</v>
      </c>
      <c r="D1085" s="33" t="s">
        <v>2893</v>
      </c>
      <c r="E1085" s="33" t="s">
        <v>2942</v>
      </c>
      <c r="F1085" s="33" t="s">
        <v>2899</v>
      </c>
      <c r="G1085" s="33" t="s">
        <v>3141</v>
      </c>
      <c r="H1085" s="33" t="s">
        <v>3170</v>
      </c>
      <c r="I1085" s="33" t="s">
        <v>2893</v>
      </c>
    </row>
    <row x14ac:dyDescent="0.25" r="1086" customHeight="1" ht="15.75">
      <c r="A1086" s="13" t="s">
        <v>116</v>
      </c>
      <c r="B1086" s="13" t="s">
        <v>1688</v>
      </c>
      <c r="C1086" s="32" t="s">
        <v>3838</v>
      </c>
      <c r="D1086" s="33" t="s">
        <v>3624</v>
      </c>
      <c r="E1086" s="33" t="s">
        <v>3109</v>
      </c>
      <c r="F1086" s="33" t="s">
        <v>3071</v>
      </c>
      <c r="G1086" s="33" t="s">
        <v>3317</v>
      </c>
      <c r="H1086" s="33" t="s">
        <v>3009</v>
      </c>
      <c r="I1086" s="33" t="s">
        <v>3105</v>
      </c>
    </row>
    <row x14ac:dyDescent="0.25" r="1087" customHeight="1" ht="15.75">
      <c r="A1087" s="13" t="s">
        <v>116</v>
      </c>
      <c r="B1087" s="13" t="s">
        <v>2558</v>
      </c>
      <c r="C1087" s="32" t="s">
        <v>3438</v>
      </c>
      <c r="D1087" s="33" t="s">
        <v>2888</v>
      </c>
      <c r="E1087" s="33" t="s">
        <v>2951</v>
      </c>
      <c r="F1087" s="33" t="s">
        <v>2858</v>
      </c>
      <c r="G1087" s="33" t="s">
        <v>2903</v>
      </c>
      <c r="H1087" s="33" t="s">
        <v>3138</v>
      </c>
      <c r="I1087" s="33" t="s">
        <v>2848</v>
      </c>
    </row>
    <row x14ac:dyDescent="0.25" r="1088" customHeight="1" ht="15.75">
      <c r="A1088" s="13" t="s">
        <v>116</v>
      </c>
      <c r="B1088" s="13" t="s">
        <v>2542</v>
      </c>
      <c r="C1088" s="32" t="s">
        <v>3954</v>
      </c>
      <c r="D1088" s="33" t="s">
        <v>3005</v>
      </c>
      <c r="E1088" s="33" t="s">
        <v>3510</v>
      </c>
      <c r="F1088" s="33" t="s">
        <v>3874</v>
      </c>
      <c r="G1088" s="33" t="s">
        <v>2860</v>
      </c>
      <c r="H1088" s="33" t="s">
        <v>3650</v>
      </c>
      <c r="I1088" s="33" t="s">
        <v>3653</v>
      </c>
    </row>
    <row x14ac:dyDescent="0.25" r="1089" customHeight="1" ht="15.75">
      <c r="A1089" s="13" t="s">
        <v>116</v>
      </c>
      <c r="B1089" s="13" t="s">
        <v>2530</v>
      </c>
      <c r="C1089" s="32" t="s">
        <v>3321</v>
      </c>
      <c r="D1089" s="33" t="s">
        <v>2939</v>
      </c>
      <c r="E1089" s="33" t="s">
        <v>3122</v>
      </c>
      <c r="F1089" s="33" t="s">
        <v>3115</v>
      </c>
      <c r="G1089" s="33" t="s">
        <v>3159</v>
      </c>
      <c r="H1089" s="33" t="s">
        <v>2921</v>
      </c>
      <c r="I1089" s="33" t="s">
        <v>3101</v>
      </c>
    </row>
    <row x14ac:dyDescent="0.25" r="1090" customHeight="1" ht="15.75">
      <c r="A1090" s="13" t="s">
        <v>116</v>
      </c>
      <c r="B1090" s="13" t="s">
        <v>1300</v>
      </c>
      <c r="C1090" s="32" t="s">
        <v>3839</v>
      </c>
      <c r="D1090" s="33" t="s">
        <v>2894</v>
      </c>
      <c r="E1090" s="33" t="s">
        <v>3216</v>
      </c>
      <c r="F1090" s="33" t="s">
        <v>2915</v>
      </c>
      <c r="G1090" s="33" t="s">
        <v>3141</v>
      </c>
      <c r="H1090" s="33" t="s">
        <v>3066</v>
      </c>
      <c r="I1090" s="33" t="s">
        <v>3024</v>
      </c>
    </row>
    <row x14ac:dyDescent="0.25" r="1091" customHeight="1" ht="15.75">
      <c r="A1091" s="13" t="s">
        <v>116</v>
      </c>
      <c r="B1091" s="13" t="s">
        <v>1920</v>
      </c>
      <c r="C1091" s="32" t="s">
        <v>3130</v>
      </c>
      <c r="D1091" s="33" t="s">
        <v>2940</v>
      </c>
      <c r="E1091" s="33" t="s">
        <v>2965</v>
      </c>
      <c r="F1091" s="33" t="s">
        <v>3165</v>
      </c>
      <c r="G1091" s="33" t="s">
        <v>2968</v>
      </c>
      <c r="H1091" s="33" t="s">
        <v>3124</v>
      </c>
      <c r="I1091" s="33" t="s">
        <v>3066</v>
      </c>
    </row>
    <row x14ac:dyDescent="0.25" r="1092" customHeight="1" ht="15.75">
      <c r="A1092" s="13" t="s">
        <v>116</v>
      </c>
      <c r="B1092" s="13" t="s">
        <v>2338</v>
      </c>
      <c r="C1092" s="32" t="s">
        <v>3558</v>
      </c>
      <c r="D1092" s="33" t="s">
        <v>2897</v>
      </c>
      <c r="E1092" s="33" t="s">
        <v>3067</v>
      </c>
      <c r="F1092" s="33" t="s">
        <v>3066</v>
      </c>
      <c r="G1092" s="33" t="s">
        <v>2990</v>
      </c>
      <c r="H1092" s="33" t="s">
        <v>2913</v>
      </c>
      <c r="I1092" s="33" t="s">
        <v>2893</v>
      </c>
    </row>
    <row x14ac:dyDescent="0.25" r="1093" customHeight="1" ht="15.75">
      <c r="A1093" s="13" t="s">
        <v>116</v>
      </c>
      <c r="B1093" s="13" t="s">
        <v>2559</v>
      </c>
      <c r="C1093" s="32" t="s">
        <v>3331</v>
      </c>
      <c r="D1093" s="33" t="s">
        <v>2926</v>
      </c>
      <c r="E1093" s="33" t="s">
        <v>2935</v>
      </c>
      <c r="F1093" s="33" t="s">
        <v>3296</v>
      </c>
      <c r="G1093" s="33" t="s">
        <v>3158</v>
      </c>
      <c r="H1093" s="33" t="s">
        <v>3214</v>
      </c>
      <c r="I1093" s="33" t="s">
        <v>2917</v>
      </c>
    </row>
    <row x14ac:dyDescent="0.25" r="1094" customHeight="1" ht="15.75">
      <c r="A1094" s="13" t="s">
        <v>116</v>
      </c>
      <c r="B1094" s="13" t="s">
        <v>1380</v>
      </c>
      <c r="C1094" s="32" t="s">
        <v>3739</v>
      </c>
      <c r="D1094" s="33" t="s">
        <v>3122</v>
      </c>
      <c r="E1094" s="33" t="s">
        <v>3074</v>
      </c>
      <c r="F1094" s="33" t="s">
        <v>3060</v>
      </c>
      <c r="G1094" s="33" t="s">
        <v>3222</v>
      </c>
      <c r="H1094" s="33" t="s">
        <v>3159</v>
      </c>
      <c r="I1094" s="33" t="s">
        <v>2940</v>
      </c>
    </row>
    <row x14ac:dyDescent="0.25" r="1095" customHeight="1" ht="15.75">
      <c r="A1095" s="13" t="s">
        <v>116</v>
      </c>
      <c r="B1095" s="13" t="s">
        <v>1813</v>
      </c>
      <c r="C1095" s="32" t="s">
        <v>3335</v>
      </c>
      <c r="D1095" s="33" t="s">
        <v>3109</v>
      </c>
      <c r="E1095" s="33" t="s">
        <v>3128</v>
      </c>
      <c r="F1095" s="33" t="s">
        <v>3384</v>
      </c>
      <c r="G1095" s="33" t="s">
        <v>2995</v>
      </c>
      <c r="H1095" s="33" t="s">
        <v>2863</v>
      </c>
      <c r="I1095" s="33" t="s">
        <v>2863</v>
      </c>
    </row>
    <row x14ac:dyDescent="0.25" r="1096" customHeight="1" ht="15.75">
      <c r="A1096" s="13" t="s">
        <v>116</v>
      </c>
      <c r="B1096" s="13" t="s">
        <v>2343</v>
      </c>
      <c r="C1096" s="32" t="s">
        <v>3843</v>
      </c>
      <c r="D1096" s="33" t="s">
        <v>3382</v>
      </c>
      <c r="E1096" s="33" t="s">
        <v>2956</v>
      </c>
      <c r="F1096" s="33" t="s">
        <v>3125</v>
      </c>
      <c r="G1096" s="33" t="s">
        <v>3384</v>
      </c>
      <c r="H1096" s="33" t="s">
        <v>3149</v>
      </c>
      <c r="I1096" s="33" t="s">
        <v>3082</v>
      </c>
    </row>
    <row x14ac:dyDescent="0.25" r="1097" customHeight="1" ht="15.75">
      <c r="A1097" s="13" t="s">
        <v>116</v>
      </c>
      <c r="B1097" s="13" t="s">
        <v>2648</v>
      </c>
      <c r="C1097" s="32" t="s">
        <v>3164</v>
      </c>
      <c r="D1097" s="33" t="s">
        <v>2988</v>
      </c>
      <c r="E1097" s="33" t="s">
        <v>2988</v>
      </c>
      <c r="F1097" s="33" t="s">
        <v>2921</v>
      </c>
      <c r="G1097" s="33" t="s">
        <v>2919</v>
      </c>
      <c r="H1097" s="33" t="s">
        <v>3285</v>
      </c>
      <c r="I1097" s="33" t="s">
        <v>2963</v>
      </c>
    </row>
    <row x14ac:dyDescent="0.25" r="1098" customHeight="1" ht="15.75">
      <c r="A1098" s="13" t="s">
        <v>116</v>
      </c>
      <c r="B1098" s="13" t="s">
        <v>756</v>
      </c>
      <c r="C1098" s="32" t="s">
        <v>3955</v>
      </c>
      <c r="D1098" s="33" t="s">
        <v>3353</v>
      </c>
      <c r="E1098" s="33" t="s">
        <v>3193</v>
      </c>
      <c r="F1098" s="33" t="s">
        <v>3193</v>
      </c>
      <c r="G1098" s="33" t="s">
        <v>2951</v>
      </c>
      <c r="H1098" s="33" t="s">
        <v>3193</v>
      </c>
      <c r="I1098" s="33" t="s">
        <v>2848</v>
      </c>
    </row>
    <row x14ac:dyDescent="0.25" r="1099" customHeight="1" ht="15.75">
      <c r="A1099" s="13" t="s">
        <v>116</v>
      </c>
      <c r="B1099" s="13" t="s">
        <v>2182</v>
      </c>
      <c r="C1099" s="32" t="s">
        <v>3956</v>
      </c>
      <c r="D1099" s="33" t="s">
        <v>2888</v>
      </c>
      <c r="E1099" s="33" t="s">
        <v>2858</v>
      </c>
      <c r="F1099" s="33" t="s">
        <v>2902</v>
      </c>
      <c r="G1099" s="33" t="s">
        <v>3051</v>
      </c>
      <c r="H1099" s="33" t="s">
        <v>2903</v>
      </c>
      <c r="I1099" s="33" t="s">
        <v>3136</v>
      </c>
    </row>
    <row x14ac:dyDescent="0.25" r="1100" customHeight="1" ht="15.75">
      <c r="A1100" s="13" t="s">
        <v>116</v>
      </c>
      <c r="B1100" s="13" t="s">
        <v>119</v>
      </c>
      <c r="C1100" s="32" t="s">
        <v>3935</v>
      </c>
      <c r="D1100" s="33" t="s">
        <v>3193</v>
      </c>
      <c r="E1100" s="33" t="s">
        <v>2950</v>
      </c>
      <c r="F1100" s="33" t="s">
        <v>2904</v>
      </c>
      <c r="G1100" s="33" t="s">
        <v>2847</v>
      </c>
      <c r="H1100" s="33" t="s">
        <v>2950</v>
      </c>
      <c r="I1100" s="33" t="s">
        <v>2905</v>
      </c>
    </row>
    <row x14ac:dyDescent="0.25" r="1101" customHeight="1" ht="15.75">
      <c r="A1101" s="13" t="s">
        <v>116</v>
      </c>
      <c r="B1101" s="13" t="s">
        <v>2669</v>
      </c>
      <c r="C1101" s="32" t="s">
        <v>3446</v>
      </c>
      <c r="D1101" s="33" t="s">
        <v>3046</v>
      </c>
      <c r="E1101" s="33" t="s">
        <v>3425</v>
      </c>
      <c r="F1101" s="33" t="s">
        <v>3078</v>
      </c>
      <c r="G1101" s="33" t="s">
        <v>3158</v>
      </c>
      <c r="H1101" s="33" t="s">
        <v>3345</v>
      </c>
      <c r="I1101" s="33" t="s">
        <v>2924</v>
      </c>
    </row>
    <row x14ac:dyDescent="0.25" r="1102" customHeight="1" ht="15.75">
      <c r="A1102" s="13" t="s">
        <v>116</v>
      </c>
      <c r="B1102" s="13" t="s">
        <v>2624</v>
      </c>
      <c r="C1102" s="32" t="s">
        <v>3349</v>
      </c>
      <c r="D1102" s="33" t="s">
        <v>3086</v>
      </c>
      <c r="E1102" s="33" t="s">
        <v>3285</v>
      </c>
      <c r="F1102" s="33" t="s">
        <v>2932</v>
      </c>
      <c r="G1102" s="33" t="s">
        <v>3166</v>
      </c>
      <c r="H1102" s="33" t="s">
        <v>3074</v>
      </c>
      <c r="I1102" s="33" t="s">
        <v>2898</v>
      </c>
    </row>
    <row x14ac:dyDescent="0.25" r="1103" customHeight="1" ht="15.75">
      <c r="A1103" s="13" t="s">
        <v>116</v>
      </c>
      <c r="B1103" s="13" t="s">
        <v>2465</v>
      </c>
      <c r="C1103" s="32" t="s">
        <v>3848</v>
      </c>
      <c r="D1103" s="33" t="s">
        <v>2962</v>
      </c>
      <c r="E1103" s="33" t="s">
        <v>3144</v>
      </c>
      <c r="F1103" s="33" t="s">
        <v>2832</v>
      </c>
      <c r="G1103" s="33" t="s">
        <v>3197</v>
      </c>
      <c r="H1103" s="33" t="s">
        <v>3187</v>
      </c>
      <c r="I1103" s="33" t="s">
        <v>2963</v>
      </c>
    </row>
    <row x14ac:dyDescent="0.25" r="1104" customHeight="1" ht="15.75">
      <c r="A1104" s="13" t="s">
        <v>116</v>
      </c>
      <c r="B1104" s="13" t="s">
        <v>2315</v>
      </c>
      <c r="C1104" s="32" t="s">
        <v>3920</v>
      </c>
      <c r="D1104" s="33" t="s">
        <v>3156</v>
      </c>
      <c r="E1104" s="33" t="s">
        <v>3138</v>
      </c>
      <c r="F1104" s="33" t="s">
        <v>3138</v>
      </c>
      <c r="G1104" s="33" t="s">
        <v>2857</v>
      </c>
      <c r="H1104" s="33" t="s">
        <v>2888</v>
      </c>
      <c r="I1104" s="33" t="s">
        <v>2857</v>
      </c>
    </row>
    <row x14ac:dyDescent="0.25" r="1105" customHeight="1" ht="15.75">
      <c r="A1105" s="13" t="s">
        <v>116</v>
      </c>
      <c r="B1105" s="13" t="s">
        <v>2503</v>
      </c>
      <c r="C1105" s="32" t="s">
        <v>3229</v>
      </c>
      <c r="D1105" s="33" t="s">
        <v>2970</v>
      </c>
      <c r="E1105" s="33" t="s">
        <v>2971</v>
      </c>
      <c r="F1105" s="33" t="s">
        <v>2918</v>
      </c>
      <c r="G1105" s="33" t="s">
        <v>2900</v>
      </c>
      <c r="H1105" s="33" t="s">
        <v>3170</v>
      </c>
      <c r="I1105" s="33" t="s">
        <v>2918</v>
      </c>
    </row>
    <row x14ac:dyDescent="0.25" r="1106" customHeight="1" ht="15.75">
      <c r="A1106" s="13" t="s">
        <v>116</v>
      </c>
      <c r="B1106" s="13" t="s">
        <v>1807</v>
      </c>
      <c r="C1106" s="32" t="s">
        <v>3449</v>
      </c>
      <c r="D1106" s="33" t="s">
        <v>3957</v>
      </c>
      <c r="E1106" s="33" t="s">
        <v>3785</v>
      </c>
      <c r="F1106" s="33" t="s">
        <v>3958</v>
      </c>
      <c r="G1106" s="33" t="s">
        <v>3959</v>
      </c>
      <c r="H1106" s="33" t="s">
        <v>3960</v>
      </c>
      <c r="I1106" s="33" t="s">
        <v>3961</v>
      </c>
    </row>
    <row x14ac:dyDescent="0.25" r="1107" customHeight="1" ht="15.75">
      <c r="A1107" s="13" t="s">
        <v>116</v>
      </c>
      <c r="B1107" s="13" t="s">
        <v>2357</v>
      </c>
      <c r="C1107" s="32" t="s">
        <v>3449</v>
      </c>
      <c r="D1107" s="33" t="s">
        <v>2850</v>
      </c>
      <c r="E1107" s="33" t="s">
        <v>2905</v>
      </c>
      <c r="F1107" s="33" t="s">
        <v>2849</v>
      </c>
      <c r="G1107" s="33" t="s">
        <v>2847</v>
      </c>
      <c r="H1107" s="33" t="s">
        <v>2849</v>
      </c>
      <c r="I1107" s="33" t="s">
        <v>2905</v>
      </c>
    </row>
    <row x14ac:dyDescent="0.25" r="1108" customHeight="1" ht="15.75">
      <c r="A1108" s="13" t="s">
        <v>116</v>
      </c>
      <c r="B1108" s="13" t="s">
        <v>2538</v>
      </c>
      <c r="C1108" s="32" t="s">
        <v>3356</v>
      </c>
      <c r="D1108" s="33" t="s">
        <v>3125</v>
      </c>
      <c r="E1108" s="33" t="s">
        <v>3215</v>
      </c>
      <c r="F1108" s="33" t="s">
        <v>3046</v>
      </c>
      <c r="G1108" s="33" t="s">
        <v>3011</v>
      </c>
      <c r="H1108" s="33" t="s">
        <v>3082</v>
      </c>
      <c r="I1108" s="33" t="s">
        <v>3295</v>
      </c>
    </row>
    <row x14ac:dyDescent="0.25" r="1109" customHeight="1" ht="15.75">
      <c r="A1109" s="13" t="s">
        <v>116</v>
      </c>
      <c r="B1109" s="13" t="s">
        <v>2318</v>
      </c>
      <c r="C1109" s="32" t="s">
        <v>3368</v>
      </c>
      <c r="D1109" s="33" t="s">
        <v>2943</v>
      </c>
      <c r="E1109" s="33" t="s">
        <v>2858</v>
      </c>
      <c r="F1109" s="33" t="s">
        <v>2848</v>
      </c>
      <c r="G1109" s="33" t="s">
        <v>3137</v>
      </c>
      <c r="H1109" s="33" t="s">
        <v>2943</v>
      </c>
      <c r="I1109" s="33" t="s">
        <v>2902</v>
      </c>
    </row>
    <row x14ac:dyDescent="0.25" r="1110" customHeight="1" ht="15.75">
      <c r="A1110" s="13" t="s">
        <v>116</v>
      </c>
      <c r="B1110" s="13" t="s">
        <v>2746</v>
      </c>
      <c r="C1110" s="32" t="s">
        <v>3962</v>
      </c>
      <c r="D1110" s="33" t="s">
        <v>2915</v>
      </c>
      <c r="E1110" s="33" t="s">
        <v>3216</v>
      </c>
      <c r="F1110" s="33" t="s">
        <v>2915</v>
      </c>
      <c r="G1110" s="33" t="s">
        <v>3053</v>
      </c>
      <c r="H1110" s="33" t="s">
        <v>3141</v>
      </c>
      <c r="I1110" s="33" t="s">
        <v>3141</v>
      </c>
    </row>
    <row x14ac:dyDescent="0.25" r="1111" customHeight="1" ht="15.75">
      <c r="A1111" s="27" t="s">
        <v>27</v>
      </c>
      <c r="B1111" s="27" t="s">
        <v>27</v>
      </c>
      <c r="C1111" s="28" t="s">
        <v>3759</v>
      </c>
      <c r="D1111" s="34" t="s">
        <v>3963</v>
      </c>
      <c r="E1111" s="34" t="s">
        <v>3964</v>
      </c>
      <c r="F1111" s="34" t="s">
        <v>3965</v>
      </c>
      <c r="G1111" s="34" t="s">
        <v>3966</v>
      </c>
      <c r="H1111" s="34" t="s">
        <v>3967</v>
      </c>
      <c r="I1111" s="34" t="s">
        <v>3968</v>
      </c>
    </row>
    <row x14ac:dyDescent="0.25" r="1112" customHeight="1" ht="15.75">
      <c r="A1112" s="27" t="s">
        <v>512</v>
      </c>
      <c r="B1112" s="27" t="s">
        <v>512</v>
      </c>
      <c r="C1112" s="28" t="s">
        <v>3969</v>
      </c>
      <c r="D1112" s="34" t="s">
        <v>3970</v>
      </c>
      <c r="E1112" s="34" t="s">
        <v>3971</v>
      </c>
      <c r="F1112" s="34" t="s">
        <v>3972</v>
      </c>
      <c r="G1112" s="34" t="s">
        <v>3973</v>
      </c>
      <c r="H1112" s="34" t="s">
        <v>3974</v>
      </c>
      <c r="I1112" s="34" t="s">
        <v>3975</v>
      </c>
    </row>
    <row x14ac:dyDescent="0.25" r="1113" customHeight="1" ht="15.75">
      <c r="A1113" s="27" t="s">
        <v>38</v>
      </c>
      <c r="B1113" s="27" t="s">
        <v>38</v>
      </c>
      <c r="C1113" s="28" t="s">
        <v>3236</v>
      </c>
      <c r="D1113" s="34" t="s">
        <v>2843</v>
      </c>
      <c r="E1113" s="34" t="s">
        <v>2843</v>
      </c>
      <c r="F1113" s="34" t="s">
        <v>2843</v>
      </c>
      <c r="G1113" s="34" t="s">
        <v>2843</v>
      </c>
      <c r="H1113" s="34" t="s">
        <v>2843</v>
      </c>
      <c r="I1113" s="34" t="s">
        <v>2843</v>
      </c>
    </row>
    <row x14ac:dyDescent="0.25" r="1114" customHeight="1" ht="15.75">
      <c r="A1114" s="27" t="s">
        <v>184</v>
      </c>
      <c r="B1114" s="27" t="s">
        <v>184</v>
      </c>
      <c r="C1114" s="28" t="s">
        <v>3976</v>
      </c>
      <c r="D1114" s="34" t="s">
        <v>3977</v>
      </c>
      <c r="E1114" s="34" t="s">
        <v>3978</v>
      </c>
      <c r="F1114" s="34" t="s">
        <v>3979</v>
      </c>
      <c r="G1114" s="34" t="s">
        <v>3980</v>
      </c>
      <c r="H1114" s="34" t="s">
        <v>3981</v>
      </c>
      <c r="I1114" s="34" t="s">
        <v>3982</v>
      </c>
    </row>
    <row x14ac:dyDescent="0.25" r="1115" customHeight="1" ht="15.75">
      <c r="A1115" s="27" t="s">
        <v>66</v>
      </c>
      <c r="B1115" s="27" t="s">
        <v>66</v>
      </c>
      <c r="C1115" s="28" t="s">
        <v>3983</v>
      </c>
      <c r="D1115" s="34" t="s">
        <v>3984</v>
      </c>
      <c r="E1115" s="34" t="s">
        <v>3985</v>
      </c>
      <c r="F1115" s="34" t="s">
        <v>3986</v>
      </c>
      <c r="G1115" s="34" t="s">
        <v>3987</v>
      </c>
      <c r="H1115" s="34" t="s">
        <v>3988</v>
      </c>
      <c r="I1115" s="34" t="s">
        <v>3989</v>
      </c>
    </row>
    <row x14ac:dyDescent="0.25" r="1116" customHeight="1" ht="15.75">
      <c r="A1116" s="27" t="s">
        <v>69</v>
      </c>
      <c r="B1116" s="27" t="s">
        <v>69</v>
      </c>
      <c r="C1116" s="28" t="s">
        <v>3990</v>
      </c>
      <c r="D1116" s="34" t="s">
        <v>3991</v>
      </c>
      <c r="E1116" s="34" t="s">
        <v>3992</v>
      </c>
      <c r="F1116" s="34" t="s">
        <v>3993</v>
      </c>
      <c r="G1116" s="34" t="s">
        <v>3994</v>
      </c>
      <c r="H1116" s="34" t="s">
        <v>3995</v>
      </c>
      <c r="I1116" s="34" t="s">
        <v>3996</v>
      </c>
    </row>
    <row x14ac:dyDescent="0.25" r="1117" customHeight="1" ht="15.75">
      <c r="A1117" s="27" t="s">
        <v>91</v>
      </c>
      <c r="B1117" s="27" t="s">
        <v>91</v>
      </c>
      <c r="C1117" s="28" t="s">
        <v>3997</v>
      </c>
      <c r="D1117" s="34" t="s">
        <v>3998</v>
      </c>
      <c r="E1117" s="34" t="s">
        <v>3999</v>
      </c>
      <c r="F1117" s="34" t="s">
        <v>4000</v>
      </c>
      <c r="G1117" s="34" t="s">
        <v>4001</v>
      </c>
      <c r="H1117" s="34" t="s">
        <v>4002</v>
      </c>
      <c r="I1117" s="34" t="s">
        <v>4003</v>
      </c>
    </row>
    <row x14ac:dyDescent="0.25" r="1118" customHeight="1" ht="15.75">
      <c r="A1118" s="27" t="s">
        <v>126</v>
      </c>
      <c r="B1118" s="27" t="s">
        <v>126</v>
      </c>
      <c r="C1118" s="28" t="s">
        <v>4004</v>
      </c>
      <c r="D1118" s="34" t="s">
        <v>4005</v>
      </c>
      <c r="E1118" s="34" t="s">
        <v>4006</v>
      </c>
      <c r="F1118" s="34" t="s">
        <v>4007</v>
      </c>
      <c r="G1118" s="34" t="s">
        <v>4008</v>
      </c>
      <c r="H1118" s="34" t="s">
        <v>4009</v>
      </c>
      <c r="I1118" s="34" t="s">
        <v>4010</v>
      </c>
    </row>
    <row x14ac:dyDescent="0.25" r="1119" customHeight="1" ht="15.75">
      <c r="A1119" s="27" t="s">
        <v>103</v>
      </c>
      <c r="B1119" s="27" t="s">
        <v>103</v>
      </c>
      <c r="C1119" s="28" t="s">
        <v>4011</v>
      </c>
      <c r="D1119" s="34" t="s">
        <v>4012</v>
      </c>
      <c r="E1119" s="34" t="s">
        <v>4013</v>
      </c>
      <c r="F1119" s="34" t="s">
        <v>4014</v>
      </c>
      <c r="G1119" s="34" t="s">
        <v>4015</v>
      </c>
      <c r="H1119" s="34" t="s">
        <v>4016</v>
      </c>
      <c r="I1119" s="34" t="s">
        <v>4017</v>
      </c>
    </row>
    <row x14ac:dyDescent="0.25" r="1120" customHeight="1" ht="15.75">
      <c r="A1120" s="27" t="s">
        <v>129</v>
      </c>
      <c r="B1120" s="27" t="s">
        <v>129</v>
      </c>
      <c r="C1120" s="28" t="s">
        <v>3457</v>
      </c>
      <c r="D1120" s="34" t="s">
        <v>4018</v>
      </c>
      <c r="E1120" s="34" t="s">
        <v>4019</v>
      </c>
      <c r="F1120" s="34" t="s">
        <v>4020</v>
      </c>
      <c r="G1120" s="34" t="s">
        <v>4021</v>
      </c>
      <c r="H1120" s="34" t="s">
        <v>4022</v>
      </c>
      <c r="I1120" s="34" t="s">
        <v>4023</v>
      </c>
    </row>
    <row x14ac:dyDescent="0.25" r="1121" customHeight="1" ht="15.75">
      <c r="A1121" s="27" t="s">
        <v>109</v>
      </c>
      <c r="B1121" s="27" t="s">
        <v>109</v>
      </c>
      <c r="C1121" s="28" t="s">
        <v>4024</v>
      </c>
      <c r="D1121" s="34" t="s">
        <v>4025</v>
      </c>
      <c r="E1121" s="34" t="s">
        <v>4026</v>
      </c>
      <c r="F1121" s="34" t="s">
        <v>4027</v>
      </c>
      <c r="G1121" s="34" t="s">
        <v>4028</v>
      </c>
      <c r="H1121" s="34" t="s">
        <v>4029</v>
      </c>
      <c r="I1121" s="34" t="s">
        <v>4030</v>
      </c>
    </row>
    <row x14ac:dyDescent="0.25" r="1122" customHeight="1" ht="15.75">
      <c r="A1122" s="27" t="s">
        <v>227</v>
      </c>
      <c r="B1122" s="27" t="s">
        <v>227</v>
      </c>
      <c r="C1122" s="28" t="s">
        <v>4031</v>
      </c>
      <c r="D1122" s="34" t="s">
        <v>4032</v>
      </c>
      <c r="E1122" s="34" t="s">
        <v>4033</v>
      </c>
      <c r="F1122" s="34" t="s">
        <v>4034</v>
      </c>
      <c r="G1122" s="34" t="s">
        <v>4035</v>
      </c>
      <c r="H1122" s="34" t="s">
        <v>4036</v>
      </c>
      <c r="I1122" s="34" t="s">
        <v>4037</v>
      </c>
    </row>
    <row x14ac:dyDescent="0.25" r="1123" customHeight="1" ht="15.75">
      <c r="A1123" s="27" t="s">
        <v>198</v>
      </c>
      <c r="B1123" s="27" t="s">
        <v>198</v>
      </c>
      <c r="C1123" s="28" t="s">
        <v>4038</v>
      </c>
      <c r="D1123" s="34" t="s">
        <v>4039</v>
      </c>
      <c r="E1123" s="34" t="s">
        <v>4040</v>
      </c>
      <c r="F1123" s="34" t="s">
        <v>4041</v>
      </c>
      <c r="G1123" s="34" t="s">
        <v>4042</v>
      </c>
      <c r="H1123" s="34" t="s">
        <v>4043</v>
      </c>
      <c r="I1123" s="34" t="s">
        <v>4044</v>
      </c>
    </row>
    <row x14ac:dyDescent="0.25" r="1124" customHeight="1" ht="15.75">
      <c r="A1124" s="27" t="s">
        <v>391</v>
      </c>
      <c r="B1124" s="27" t="s">
        <v>391</v>
      </c>
      <c r="C1124" s="28" t="s">
        <v>4045</v>
      </c>
      <c r="D1124" s="34" t="s">
        <v>4046</v>
      </c>
      <c r="E1124" s="34" t="s">
        <v>4047</v>
      </c>
      <c r="F1124" s="34" t="s">
        <v>4048</v>
      </c>
      <c r="G1124" s="34" t="s">
        <v>4049</v>
      </c>
      <c r="H1124" s="34" t="s">
        <v>4050</v>
      </c>
      <c r="I1124" s="34" t="s">
        <v>4051</v>
      </c>
    </row>
    <row x14ac:dyDescent="0.25" r="1125" customHeight="1" ht="15.75">
      <c r="A1125" s="27" t="s">
        <v>116</v>
      </c>
      <c r="B1125" s="27" t="s">
        <v>116</v>
      </c>
      <c r="C1125" s="28" t="s">
        <v>4052</v>
      </c>
      <c r="D1125" s="34" t="s">
        <v>4053</v>
      </c>
      <c r="E1125" s="34" t="s">
        <v>4054</v>
      </c>
      <c r="F1125" s="34" t="s">
        <v>4055</v>
      </c>
      <c r="G1125" s="34" t="s">
        <v>4056</v>
      </c>
      <c r="H1125" s="34" t="s">
        <v>4057</v>
      </c>
      <c r="I1125" s="34" t="s">
        <v>4058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59"/>
  <sheetViews>
    <sheetView workbookViewId="0"/>
  </sheetViews>
  <sheetFormatPr defaultRowHeight="15" x14ac:dyDescent="0.25"/>
  <cols>
    <col min="1" max="1" style="29" width="66.005" customWidth="1" bestFit="1"/>
    <col min="2" max="2" style="29" width="68.57642857142856" customWidth="1" bestFit="1"/>
    <col min="3" max="3" style="30" width="21.14785714285714" customWidth="1" bestFit="1"/>
    <col min="4" max="4" style="30" width="21.14785714285714" customWidth="1" bestFit="1"/>
    <col min="5" max="5" style="30" width="21.14785714285714" customWidth="1" bestFit="1"/>
    <col min="6" max="6" style="30" width="21.14785714285714" customWidth="1" bestFit="1"/>
    <col min="7" max="7" style="30" width="21.14785714285714" customWidth="1" bestFit="1"/>
    <col min="8" max="8" style="30" width="21.14785714285714" customWidth="1" bestFit="1"/>
    <col min="9" max="9" style="30" width="21.14785714285714" customWidth="1" bestFit="1"/>
    <col min="10" max="10" style="30" width="21.14785714285714" customWidth="1" bestFit="1"/>
  </cols>
  <sheetData>
    <row x14ac:dyDescent="0.25" r="1" customHeight="1" ht="37.5">
      <c r="A1" s="25" t="s">
        <v>1</v>
      </c>
      <c r="B1" s="25" t="s">
        <v>2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</row>
    <row x14ac:dyDescent="0.25" r="2" customHeight="1" ht="15.75">
      <c r="A2" s="13" t="s">
        <v>27</v>
      </c>
      <c r="B2" s="13" t="s">
        <v>28</v>
      </c>
      <c r="C2" s="26" t="s">
        <v>29</v>
      </c>
      <c r="D2" s="26" t="s">
        <v>30</v>
      </c>
      <c r="E2" s="26" t="s">
        <v>31</v>
      </c>
      <c r="F2" s="26" t="s">
        <v>29</v>
      </c>
      <c r="G2" s="26" t="s">
        <v>29</v>
      </c>
      <c r="H2" s="26" t="s">
        <v>29</v>
      </c>
      <c r="I2" s="26" t="s">
        <v>29</v>
      </c>
      <c r="J2" s="26" t="s">
        <v>29</v>
      </c>
    </row>
    <row x14ac:dyDescent="0.25" r="3" customHeight="1" ht="15.75">
      <c r="A3" s="13" t="s">
        <v>27</v>
      </c>
      <c r="B3" s="13" t="s">
        <v>32</v>
      </c>
      <c r="C3" s="26" t="s">
        <v>29</v>
      </c>
      <c r="D3" s="26" t="s">
        <v>33</v>
      </c>
      <c r="E3" s="26" t="s">
        <v>34</v>
      </c>
      <c r="F3" s="26" t="s">
        <v>29</v>
      </c>
      <c r="G3" s="26" t="s">
        <v>29</v>
      </c>
      <c r="H3" s="26" t="s">
        <v>29</v>
      </c>
      <c r="I3" s="26" t="s">
        <v>29</v>
      </c>
      <c r="J3" s="26" t="s">
        <v>29</v>
      </c>
    </row>
    <row x14ac:dyDescent="0.25" r="4" customHeight="1" ht="15.75">
      <c r="A4" s="13" t="s">
        <v>27</v>
      </c>
      <c r="B4" s="13" t="s">
        <v>35</v>
      </c>
      <c r="C4" s="26" t="s">
        <v>29</v>
      </c>
      <c r="D4" s="26" t="s">
        <v>36</v>
      </c>
      <c r="E4" s="26" t="s">
        <v>37</v>
      </c>
      <c r="F4" s="26" t="s">
        <v>29</v>
      </c>
      <c r="G4" s="26" t="s">
        <v>29</v>
      </c>
      <c r="H4" s="26" t="s">
        <v>29</v>
      </c>
      <c r="I4" s="26" t="s">
        <v>29</v>
      </c>
      <c r="J4" s="26" t="s">
        <v>29</v>
      </c>
    </row>
    <row x14ac:dyDescent="0.25" r="5" customHeight="1" ht="15.75">
      <c r="A5" s="13" t="s">
        <v>38</v>
      </c>
      <c r="B5" s="13" t="s">
        <v>39</v>
      </c>
      <c r="C5" s="26" t="s">
        <v>29</v>
      </c>
      <c r="D5" s="26" t="s">
        <v>29</v>
      </c>
      <c r="E5" s="26" t="s">
        <v>29</v>
      </c>
      <c r="F5" s="26" t="s">
        <v>29</v>
      </c>
      <c r="G5" s="26" t="s">
        <v>29</v>
      </c>
      <c r="H5" s="26" t="s">
        <v>29</v>
      </c>
      <c r="I5" s="26" t="s">
        <v>29</v>
      </c>
      <c r="J5" s="26" t="s">
        <v>29</v>
      </c>
    </row>
    <row x14ac:dyDescent="0.25" r="6" customHeight="1" ht="15.75">
      <c r="A6" s="13" t="s">
        <v>38</v>
      </c>
      <c r="B6" s="13" t="s">
        <v>40</v>
      </c>
      <c r="C6" s="26" t="s">
        <v>29</v>
      </c>
      <c r="D6" s="26" t="s">
        <v>29</v>
      </c>
      <c r="E6" s="26" t="s">
        <v>29</v>
      </c>
      <c r="F6" s="26" t="s">
        <v>29</v>
      </c>
      <c r="G6" s="26" t="s">
        <v>29</v>
      </c>
      <c r="H6" s="26" t="s">
        <v>29</v>
      </c>
      <c r="I6" s="26" t="s">
        <v>29</v>
      </c>
      <c r="J6" s="26" t="s">
        <v>29</v>
      </c>
    </row>
    <row x14ac:dyDescent="0.25" r="7" customHeight="1" ht="15.75">
      <c r="A7" s="13" t="s">
        <v>38</v>
      </c>
      <c r="B7" s="13" t="s">
        <v>41</v>
      </c>
      <c r="C7" s="26" t="s">
        <v>29</v>
      </c>
      <c r="D7" s="26" t="s">
        <v>42</v>
      </c>
      <c r="E7" s="26" t="s">
        <v>43</v>
      </c>
      <c r="F7" s="26" t="s">
        <v>29</v>
      </c>
      <c r="G7" s="26" t="s">
        <v>29</v>
      </c>
      <c r="H7" s="26" t="s">
        <v>29</v>
      </c>
      <c r="I7" s="26" t="s">
        <v>29</v>
      </c>
      <c r="J7" s="26" t="s">
        <v>29</v>
      </c>
    </row>
    <row x14ac:dyDescent="0.25" r="8" customHeight="1" ht="15.75">
      <c r="A8" s="13" t="s">
        <v>38</v>
      </c>
      <c r="B8" s="13" t="s">
        <v>44</v>
      </c>
      <c r="C8" s="26" t="s">
        <v>29</v>
      </c>
      <c r="D8" s="26" t="s">
        <v>29</v>
      </c>
      <c r="E8" s="26" t="s">
        <v>43</v>
      </c>
      <c r="F8" s="26" t="s">
        <v>29</v>
      </c>
      <c r="G8" s="26" t="s">
        <v>29</v>
      </c>
      <c r="H8" s="26" t="s">
        <v>29</v>
      </c>
      <c r="I8" s="26" t="s">
        <v>29</v>
      </c>
      <c r="J8" s="26" t="s">
        <v>29</v>
      </c>
    </row>
    <row x14ac:dyDescent="0.25" r="9" customHeight="1" ht="15.75">
      <c r="A9" s="13" t="s">
        <v>38</v>
      </c>
      <c r="B9" s="13" t="s">
        <v>45</v>
      </c>
      <c r="C9" s="26" t="s">
        <v>29</v>
      </c>
      <c r="D9" s="26" t="s">
        <v>29</v>
      </c>
      <c r="E9" s="26" t="s">
        <v>31</v>
      </c>
      <c r="F9" s="26" t="s">
        <v>29</v>
      </c>
      <c r="G9" s="26" t="s">
        <v>29</v>
      </c>
      <c r="H9" s="26" t="s">
        <v>29</v>
      </c>
      <c r="I9" s="26" t="s">
        <v>29</v>
      </c>
      <c r="J9" s="26" t="s">
        <v>29</v>
      </c>
    </row>
    <row x14ac:dyDescent="0.25" r="10" customHeight="1" ht="15.75">
      <c r="A10" s="13" t="s">
        <v>38</v>
      </c>
      <c r="B10" s="13" t="s">
        <v>46</v>
      </c>
      <c r="C10" s="26" t="s">
        <v>29</v>
      </c>
      <c r="D10" s="26" t="s">
        <v>47</v>
      </c>
      <c r="E10" s="26" t="s">
        <v>31</v>
      </c>
      <c r="F10" s="26" t="s">
        <v>29</v>
      </c>
      <c r="G10" s="26" t="s">
        <v>29</v>
      </c>
      <c r="H10" s="26" t="s">
        <v>29</v>
      </c>
      <c r="I10" s="26" t="s">
        <v>29</v>
      </c>
      <c r="J10" s="26" t="s">
        <v>29</v>
      </c>
    </row>
    <row x14ac:dyDescent="0.25" r="11" customHeight="1" ht="15.75">
      <c r="A11" s="13" t="s">
        <v>38</v>
      </c>
      <c r="B11" s="13" t="s">
        <v>48</v>
      </c>
      <c r="C11" s="26" t="s">
        <v>29</v>
      </c>
      <c r="D11" s="26" t="s">
        <v>29</v>
      </c>
      <c r="E11" s="26" t="s">
        <v>43</v>
      </c>
      <c r="F11" s="26" t="s">
        <v>29</v>
      </c>
      <c r="G11" s="26" t="s">
        <v>29</v>
      </c>
      <c r="H11" s="26" t="s">
        <v>29</v>
      </c>
      <c r="I11" s="26" t="s">
        <v>29</v>
      </c>
      <c r="J11" s="26" t="s">
        <v>29</v>
      </c>
    </row>
    <row x14ac:dyDescent="0.25" r="12" customHeight="1" ht="15.75">
      <c r="A12" s="13" t="s">
        <v>38</v>
      </c>
      <c r="B12" s="13" t="s">
        <v>49</v>
      </c>
      <c r="C12" s="26" t="s">
        <v>29</v>
      </c>
      <c r="D12" s="26" t="s">
        <v>50</v>
      </c>
      <c r="E12" s="26" t="s">
        <v>34</v>
      </c>
      <c r="F12" s="26" t="s">
        <v>29</v>
      </c>
      <c r="G12" s="26" t="s">
        <v>29</v>
      </c>
      <c r="H12" s="26" t="s">
        <v>29</v>
      </c>
      <c r="I12" s="26" t="s">
        <v>29</v>
      </c>
      <c r="J12" s="26" t="s">
        <v>29</v>
      </c>
    </row>
    <row x14ac:dyDescent="0.25" r="13" customHeight="1" ht="15.75">
      <c r="A13" s="13" t="s">
        <v>38</v>
      </c>
      <c r="B13" s="13" t="s">
        <v>51</v>
      </c>
      <c r="C13" s="26" t="s">
        <v>29</v>
      </c>
      <c r="D13" s="26" t="s">
        <v>52</v>
      </c>
      <c r="E13" s="26" t="s">
        <v>31</v>
      </c>
      <c r="F13" s="26" t="s">
        <v>29</v>
      </c>
      <c r="G13" s="26" t="s">
        <v>29</v>
      </c>
      <c r="H13" s="26" t="s">
        <v>29</v>
      </c>
      <c r="I13" s="26" t="s">
        <v>29</v>
      </c>
      <c r="J13" s="26" t="s">
        <v>29</v>
      </c>
    </row>
    <row x14ac:dyDescent="0.25" r="14" customHeight="1" ht="15.75">
      <c r="A14" s="13" t="s">
        <v>38</v>
      </c>
      <c r="B14" s="13" t="s">
        <v>53</v>
      </c>
      <c r="C14" s="26" t="s">
        <v>29</v>
      </c>
      <c r="D14" s="26" t="s">
        <v>54</v>
      </c>
      <c r="E14" s="26" t="s">
        <v>43</v>
      </c>
      <c r="F14" s="26" t="s">
        <v>29</v>
      </c>
      <c r="G14" s="26" t="s">
        <v>29</v>
      </c>
      <c r="H14" s="26" t="s">
        <v>29</v>
      </c>
      <c r="I14" s="26" t="s">
        <v>29</v>
      </c>
      <c r="J14" s="26" t="s">
        <v>29</v>
      </c>
    </row>
    <row x14ac:dyDescent="0.25" r="15" customHeight="1" ht="15.75">
      <c r="A15" s="13" t="s">
        <v>38</v>
      </c>
      <c r="B15" s="13" t="s">
        <v>55</v>
      </c>
      <c r="C15" s="26" t="s">
        <v>29</v>
      </c>
      <c r="D15" s="26" t="s">
        <v>29</v>
      </c>
      <c r="E15" s="26" t="s">
        <v>29</v>
      </c>
      <c r="F15" s="26" t="s">
        <v>29</v>
      </c>
      <c r="G15" s="26" t="s">
        <v>29</v>
      </c>
      <c r="H15" s="26" t="s">
        <v>29</v>
      </c>
      <c r="I15" s="26" t="s">
        <v>29</v>
      </c>
      <c r="J15" s="26" t="s">
        <v>29</v>
      </c>
    </row>
    <row x14ac:dyDescent="0.25" r="16" customHeight="1" ht="15.75">
      <c r="A16" s="13" t="s">
        <v>38</v>
      </c>
      <c r="B16" s="13" t="s">
        <v>56</v>
      </c>
      <c r="C16" s="26" t="s">
        <v>29</v>
      </c>
      <c r="D16" s="26" t="s">
        <v>29</v>
      </c>
      <c r="E16" s="26" t="s">
        <v>57</v>
      </c>
      <c r="F16" s="26" t="s">
        <v>29</v>
      </c>
      <c r="G16" s="26" t="s">
        <v>29</v>
      </c>
      <c r="H16" s="26" t="s">
        <v>29</v>
      </c>
      <c r="I16" s="26" t="s">
        <v>29</v>
      </c>
      <c r="J16" s="26" t="s">
        <v>29</v>
      </c>
    </row>
    <row x14ac:dyDescent="0.25" r="17" customHeight="1" ht="15.75">
      <c r="A17" s="13" t="s">
        <v>38</v>
      </c>
      <c r="B17" s="13" t="s">
        <v>58</v>
      </c>
      <c r="C17" s="26" t="s">
        <v>29</v>
      </c>
      <c r="D17" s="26" t="s">
        <v>29</v>
      </c>
      <c r="E17" s="26" t="s">
        <v>43</v>
      </c>
      <c r="F17" s="26" t="s">
        <v>29</v>
      </c>
      <c r="G17" s="26" t="s">
        <v>29</v>
      </c>
      <c r="H17" s="26" t="s">
        <v>29</v>
      </c>
      <c r="I17" s="26" t="s">
        <v>29</v>
      </c>
      <c r="J17" s="26" t="s">
        <v>29</v>
      </c>
    </row>
    <row x14ac:dyDescent="0.25" r="18" customHeight="1" ht="15.75">
      <c r="A18" s="13" t="s">
        <v>38</v>
      </c>
      <c r="B18" s="13" t="s">
        <v>59</v>
      </c>
      <c r="C18" s="26" t="s">
        <v>29</v>
      </c>
      <c r="D18" s="26" t="s">
        <v>29</v>
      </c>
      <c r="E18" s="26" t="s">
        <v>43</v>
      </c>
      <c r="F18" s="26" t="s">
        <v>29</v>
      </c>
      <c r="G18" s="26" t="s">
        <v>29</v>
      </c>
      <c r="H18" s="26" t="s">
        <v>29</v>
      </c>
      <c r="I18" s="26" t="s">
        <v>29</v>
      </c>
      <c r="J18" s="26" t="s">
        <v>29</v>
      </c>
    </row>
    <row x14ac:dyDescent="0.25" r="19" customHeight="1" ht="15.75">
      <c r="A19" s="13" t="s">
        <v>38</v>
      </c>
      <c r="B19" s="13" t="s">
        <v>60</v>
      </c>
      <c r="C19" s="26" t="s">
        <v>29</v>
      </c>
      <c r="D19" s="26" t="s">
        <v>50</v>
      </c>
      <c r="E19" s="26" t="s">
        <v>31</v>
      </c>
      <c r="F19" s="26" t="s">
        <v>29</v>
      </c>
      <c r="G19" s="26" t="s">
        <v>29</v>
      </c>
      <c r="H19" s="26" t="s">
        <v>29</v>
      </c>
      <c r="I19" s="26" t="s">
        <v>29</v>
      </c>
      <c r="J19" s="26" t="s">
        <v>29</v>
      </c>
    </row>
    <row x14ac:dyDescent="0.25" r="20" customHeight="1" ht="15.75">
      <c r="A20" s="13" t="s">
        <v>38</v>
      </c>
      <c r="B20" s="13" t="s">
        <v>61</v>
      </c>
      <c r="C20" s="26" t="s">
        <v>29</v>
      </c>
      <c r="D20" s="26" t="s">
        <v>50</v>
      </c>
      <c r="E20" s="26" t="s">
        <v>43</v>
      </c>
      <c r="F20" s="26" t="s">
        <v>29</v>
      </c>
      <c r="G20" s="26" t="s">
        <v>29</v>
      </c>
      <c r="H20" s="26" t="s">
        <v>29</v>
      </c>
      <c r="I20" s="26" t="s">
        <v>29</v>
      </c>
      <c r="J20" s="26" t="s">
        <v>29</v>
      </c>
    </row>
    <row x14ac:dyDescent="0.25" r="21" customHeight="1" ht="15.75">
      <c r="A21" s="13" t="s">
        <v>38</v>
      </c>
      <c r="B21" s="13" t="s">
        <v>62</v>
      </c>
      <c r="C21" s="26" t="s">
        <v>29</v>
      </c>
      <c r="D21" s="26" t="s">
        <v>63</v>
      </c>
      <c r="E21" s="26" t="s">
        <v>37</v>
      </c>
      <c r="F21" s="26" t="s">
        <v>29</v>
      </c>
      <c r="G21" s="26" t="s">
        <v>29</v>
      </c>
      <c r="H21" s="26" t="s">
        <v>29</v>
      </c>
      <c r="I21" s="26" t="s">
        <v>29</v>
      </c>
      <c r="J21" s="26" t="s">
        <v>29</v>
      </c>
    </row>
    <row x14ac:dyDescent="0.25" r="22" customHeight="1" ht="15.75">
      <c r="A22" s="13" t="s">
        <v>38</v>
      </c>
      <c r="B22" s="13" t="s">
        <v>64</v>
      </c>
      <c r="C22" s="26" t="s">
        <v>29</v>
      </c>
      <c r="D22" s="26" t="s">
        <v>29</v>
      </c>
      <c r="E22" s="26" t="s">
        <v>43</v>
      </c>
      <c r="F22" s="26" t="s">
        <v>29</v>
      </c>
      <c r="G22" s="26" t="s">
        <v>29</v>
      </c>
      <c r="H22" s="26" t="s">
        <v>29</v>
      </c>
      <c r="I22" s="26" t="s">
        <v>29</v>
      </c>
      <c r="J22" s="26" t="s">
        <v>29</v>
      </c>
    </row>
    <row x14ac:dyDescent="0.25" r="23" customHeight="1" ht="15.75">
      <c r="A23" s="13" t="s">
        <v>38</v>
      </c>
      <c r="B23" s="13" t="s">
        <v>65</v>
      </c>
      <c r="C23" s="26" t="s">
        <v>29</v>
      </c>
      <c r="D23" s="26" t="s">
        <v>29</v>
      </c>
      <c r="E23" s="26" t="s">
        <v>57</v>
      </c>
      <c r="F23" s="26" t="s">
        <v>29</v>
      </c>
      <c r="G23" s="26" t="s">
        <v>29</v>
      </c>
      <c r="H23" s="26" t="s">
        <v>29</v>
      </c>
      <c r="I23" s="26" t="s">
        <v>29</v>
      </c>
      <c r="J23" s="26" t="s">
        <v>29</v>
      </c>
    </row>
    <row x14ac:dyDescent="0.25" r="24" customHeight="1" ht="15.75">
      <c r="A24" s="13" t="s">
        <v>66</v>
      </c>
      <c r="B24" s="13" t="s">
        <v>67</v>
      </c>
      <c r="C24" s="26" t="s">
        <v>29</v>
      </c>
      <c r="D24" s="26" t="s">
        <v>37</v>
      </c>
      <c r="E24" s="26" t="s">
        <v>57</v>
      </c>
      <c r="F24" s="26" t="s">
        <v>29</v>
      </c>
      <c r="G24" s="26" t="s">
        <v>29</v>
      </c>
      <c r="H24" s="26" t="s">
        <v>29</v>
      </c>
      <c r="I24" s="26" t="s">
        <v>29</v>
      </c>
      <c r="J24" s="26" t="s">
        <v>29</v>
      </c>
    </row>
    <row x14ac:dyDescent="0.25" r="25" customHeight="1" ht="15.75">
      <c r="A25" s="13" t="s">
        <v>66</v>
      </c>
      <c r="B25" s="13" t="s">
        <v>68</v>
      </c>
      <c r="C25" s="26" t="s">
        <v>29</v>
      </c>
      <c r="D25" s="26" t="s">
        <v>50</v>
      </c>
      <c r="E25" s="26" t="s">
        <v>57</v>
      </c>
      <c r="F25" s="26" t="s">
        <v>29</v>
      </c>
      <c r="G25" s="26" t="s">
        <v>29</v>
      </c>
      <c r="H25" s="26" t="s">
        <v>29</v>
      </c>
      <c r="I25" s="26" t="s">
        <v>29</v>
      </c>
      <c r="J25" s="26" t="s">
        <v>29</v>
      </c>
    </row>
    <row x14ac:dyDescent="0.25" r="26" customHeight="1" ht="15.75">
      <c r="A26" s="13" t="s">
        <v>69</v>
      </c>
      <c r="B26" s="13" t="s">
        <v>70</v>
      </c>
      <c r="C26" s="26" t="s">
        <v>29</v>
      </c>
      <c r="D26" s="26" t="s">
        <v>52</v>
      </c>
      <c r="E26" s="26" t="s">
        <v>31</v>
      </c>
      <c r="F26" s="26" t="s">
        <v>29</v>
      </c>
      <c r="G26" s="26" t="s">
        <v>29</v>
      </c>
      <c r="H26" s="26" t="s">
        <v>29</v>
      </c>
      <c r="I26" s="26" t="s">
        <v>29</v>
      </c>
      <c r="J26" s="26" t="s">
        <v>29</v>
      </c>
    </row>
    <row x14ac:dyDescent="0.25" r="27" customHeight="1" ht="15.75">
      <c r="A27" s="13" t="s">
        <v>69</v>
      </c>
      <c r="B27" s="13" t="s">
        <v>71</v>
      </c>
      <c r="C27" s="26" t="s">
        <v>29</v>
      </c>
      <c r="D27" s="26" t="s">
        <v>50</v>
      </c>
      <c r="E27" s="26" t="s">
        <v>43</v>
      </c>
      <c r="F27" s="26" t="s">
        <v>29</v>
      </c>
      <c r="G27" s="26" t="s">
        <v>29</v>
      </c>
      <c r="H27" s="26" t="s">
        <v>29</v>
      </c>
      <c r="I27" s="26" t="s">
        <v>29</v>
      </c>
      <c r="J27" s="26" t="s">
        <v>29</v>
      </c>
    </row>
    <row x14ac:dyDescent="0.25" r="28" customHeight="1" ht="15.75">
      <c r="A28" s="13" t="s">
        <v>69</v>
      </c>
      <c r="B28" s="13" t="s">
        <v>72</v>
      </c>
      <c r="C28" s="26" t="s">
        <v>29</v>
      </c>
      <c r="D28" s="26" t="s">
        <v>29</v>
      </c>
      <c r="E28" s="26" t="s">
        <v>34</v>
      </c>
      <c r="F28" s="26" t="s">
        <v>29</v>
      </c>
      <c r="G28" s="26" t="s">
        <v>29</v>
      </c>
      <c r="H28" s="26" t="s">
        <v>29</v>
      </c>
      <c r="I28" s="26" t="s">
        <v>29</v>
      </c>
      <c r="J28" s="26" t="s">
        <v>29</v>
      </c>
    </row>
    <row x14ac:dyDescent="0.25" r="29" customHeight="1" ht="15.75">
      <c r="A29" s="13" t="s">
        <v>69</v>
      </c>
      <c r="B29" s="13" t="s">
        <v>73</v>
      </c>
      <c r="C29" s="26" t="s">
        <v>29</v>
      </c>
      <c r="D29" s="26" t="s">
        <v>50</v>
      </c>
      <c r="E29" s="26" t="s">
        <v>74</v>
      </c>
      <c r="F29" s="26" t="s">
        <v>29</v>
      </c>
      <c r="G29" s="26" t="s">
        <v>29</v>
      </c>
      <c r="H29" s="26" t="s">
        <v>29</v>
      </c>
      <c r="I29" s="26" t="s">
        <v>29</v>
      </c>
      <c r="J29" s="26" t="s">
        <v>29</v>
      </c>
    </row>
    <row x14ac:dyDescent="0.25" r="30" customHeight="1" ht="15.75">
      <c r="A30" s="13" t="s">
        <v>69</v>
      </c>
      <c r="B30" s="13" t="s">
        <v>75</v>
      </c>
      <c r="C30" s="26" t="s">
        <v>29</v>
      </c>
      <c r="D30" s="26" t="s">
        <v>29</v>
      </c>
      <c r="E30" s="26" t="s">
        <v>34</v>
      </c>
      <c r="F30" s="26" t="s">
        <v>29</v>
      </c>
      <c r="G30" s="26" t="s">
        <v>29</v>
      </c>
      <c r="H30" s="26" t="s">
        <v>29</v>
      </c>
      <c r="I30" s="26" t="s">
        <v>29</v>
      </c>
      <c r="J30" s="26" t="s">
        <v>29</v>
      </c>
    </row>
    <row x14ac:dyDescent="0.25" r="31" customHeight="1" ht="15.75">
      <c r="A31" s="13" t="s">
        <v>69</v>
      </c>
      <c r="B31" s="13" t="s">
        <v>76</v>
      </c>
      <c r="C31" s="26" t="s">
        <v>29</v>
      </c>
      <c r="D31" s="26" t="s">
        <v>77</v>
      </c>
      <c r="E31" s="26" t="s">
        <v>78</v>
      </c>
      <c r="F31" s="26" t="s">
        <v>29</v>
      </c>
      <c r="G31" s="26" t="s">
        <v>29</v>
      </c>
      <c r="H31" s="26" t="s">
        <v>29</v>
      </c>
      <c r="I31" s="26" t="s">
        <v>29</v>
      </c>
      <c r="J31" s="26" t="s">
        <v>29</v>
      </c>
    </row>
    <row x14ac:dyDescent="0.25" r="32" customHeight="1" ht="15.75">
      <c r="A32" s="13" t="s">
        <v>69</v>
      </c>
      <c r="B32" s="13" t="s">
        <v>79</v>
      </c>
      <c r="C32" s="26" t="s">
        <v>29</v>
      </c>
      <c r="D32" s="26" t="s">
        <v>80</v>
      </c>
      <c r="E32" s="26" t="s">
        <v>81</v>
      </c>
      <c r="F32" s="26" t="s">
        <v>29</v>
      </c>
      <c r="G32" s="26" t="s">
        <v>29</v>
      </c>
      <c r="H32" s="26" t="s">
        <v>29</v>
      </c>
      <c r="I32" s="26" t="s">
        <v>29</v>
      </c>
      <c r="J32" s="26" t="s">
        <v>29</v>
      </c>
    </row>
    <row x14ac:dyDescent="0.25" r="33" customHeight="1" ht="15.75">
      <c r="A33" s="13" t="s">
        <v>69</v>
      </c>
      <c r="B33" s="13" t="s">
        <v>82</v>
      </c>
      <c r="C33" s="26" t="s">
        <v>29</v>
      </c>
      <c r="D33" s="26" t="s">
        <v>29</v>
      </c>
      <c r="E33" s="26" t="s">
        <v>43</v>
      </c>
      <c r="F33" s="26" t="s">
        <v>29</v>
      </c>
      <c r="G33" s="26" t="s">
        <v>29</v>
      </c>
      <c r="H33" s="26" t="s">
        <v>29</v>
      </c>
      <c r="I33" s="26" t="s">
        <v>29</v>
      </c>
      <c r="J33" s="26" t="s">
        <v>29</v>
      </c>
    </row>
    <row x14ac:dyDescent="0.25" r="34" customHeight="1" ht="15.75">
      <c r="A34" s="13" t="s">
        <v>69</v>
      </c>
      <c r="B34" s="13" t="s">
        <v>83</v>
      </c>
      <c r="C34" s="26" t="s">
        <v>29</v>
      </c>
      <c r="D34" s="26" t="s">
        <v>84</v>
      </c>
      <c r="E34" s="26" t="s">
        <v>81</v>
      </c>
      <c r="F34" s="26" t="s">
        <v>29</v>
      </c>
      <c r="G34" s="26" t="s">
        <v>29</v>
      </c>
      <c r="H34" s="26" t="s">
        <v>29</v>
      </c>
      <c r="I34" s="26" t="s">
        <v>29</v>
      </c>
      <c r="J34" s="26" t="s">
        <v>29</v>
      </c>
    </row>
    <row x14ac:dyDescent="0.25" r="35" customHeight="1" ht="15.75">
      <c r="A35" s="13" t="s">
        <v>69</v>
      </c>
      <c r="B35" s="13" t="s">
        <v>85</v>
      </c>
      <c r="C35" s="26" t="s">
        <v>29</v>
      </c>
      <c r="D35" s="26" t="s">
        <v>50</v>
      </c>
      <c r="E35" s="26" t="s">
        <v>37</v>
      </c>
      <c r="F35" s="26" t="s">
        <v>29</v>
      </c>
      <c r="G35" s="26" t="s">
        <v>29</v>
      </c>
      <c r="H35" s="26" t="s">
        <v>29</v>
      </c>
      <c r="I35" s="26" t="s">
        <v>29</v>
      </c>
      <c r="J35" s="26" t="s">
        <v>29</v>
      </c>
    </row>
    <row x14ac:dyDescent="0.25" r="36" customHeight="1" ht="15.75">
      <c r="A36" s="13" t="s">
        <v>69</v>
      </c>
      <c r="B36" s="13" t="s">
        <v>86</v>
      </c>
      <c r="C36" s="26" t="s">
        <v>29</v>
      </c>
      <c r="D36" s="26" t="s">
        <v>87</v>
      </c>
      <c r="E36" s="26" t="s">
        <v>88</v>
      </c>
      <c r="F36" s="26" t="s">
        <v>29</v>
      </c>
      <c r="G36" s="26" t="s">
        <v>29</v>
      </c>
      <c r="H36" s="26" t="s">
        <v>29</v>
      </c>
      <c r="I36" s="26" t="s">
        <v>29</v>
      </c>
      <c r="J36" s="26" t="s">
        <v>29</v>
      </c>
    </row>
    <row x14ac:dyDescent="0.25" r="37" customHeight="1" ht="15.75">
      <c r="A37" s="13" t="s">
        <v>69</v>
      </c>
      <c r="B37" s="13" t="s">
        <v>89</v>
      </c>
      <c r="C37" s="26" t="s">
        <v>29</v>
      </c>
      <c r="D37" s="26" t="s">
        <v>90</v>
      </c>
      <c r="E37" s="26" t="s">
        <v>81</v>
      </c>
      <c r="F37" s="26" t="s">
        <v>29</v>
      </c>
      <c r="G37" s="26" t="s">
        <v>29</v>
      </c>
      <c r="H37" s="26" t="s">
        <v>29</v>
      </c>
      <c r="I37" s="26" t="s">
        <v>29</v>
      </c>
      <c r="J37" s="26" t="s">
        <v>29</v>
      </c>
    </row>
    <row x14ac:dyDescent="0.25" r="38" customHeight="1" ht="15.75">
      <c r="A38" s="13" t="s">
        <v>91</v>
      </c>
      <c r="B38" s="13" t="s">
        <v>92</v>
      </c>
      <c r="C38" s="26" t="s">
        <v>29</v>
      </c>
      <c r="D38" s="26" t="s">
        <v>93</v>
      </c>
      <c r="E38" s="26" t="s">
        <v>43</v>
      </c>
      <c r="F38" s="26" t="s">
        <v>29</v>
      </c>
      <c r="G38" s="26" t="s">
        <v>29</v>
      </c>
      <c r="H38" s="26" t="s">
        <v>29</v>
      </c>
      <c r="I38" s="26" t="s">
        <v>29</v>
      </c>
      <c r="J38" s="26" t="s">
        <v>29</v>
      </c>
    </row>
    <row x14ac:dyDescent="0.25" r="39" customHeight="1" ht="15.75">
      <c r="A39" s="13" t="s">
        <v>91</v>
      </c>
      <c r="B39" s="13" t="s">
        <v>94</v>
      </c>
      <c r="C39" s="26" t="s">
        <v>29</v>
      </c>
      <c r="D39" s="26" t="s">
        <v>95</v>
      </c>
      <c r="E39" s="26" t="s">
        <v>81</v>
      </c>
      <c r="F39" s="26" t="s">
        <v>29</v>
      </c>
      <c r="G39" s="26" t="s">
        <v>29</v>
      </c>
      <c r="H39" s="26" t="s">
        <v>29</v>
      </c>
      <c r="I39" s="26" t="s">
        <v>29</v>
      </c>
      <c r="J39" s="26" t="s">
        <v>29</v>
      </c>
    </row>
    <row x14ac:dyDescent="0.25" r="40" customHeight="1" ht="15.75">
      <c r="A40" s="13" t="s">
        <v>91</v>
      </c>
      <c r="B40" s="13" t="s">
        <v>96</v>
      </c>
      <c r="C40" s="26" t="s">
        <v>29</v>
      </c>
      <c r="D40" s="26" t="s">
        <v>97</v>
      </c>
      <c r="E40" s="26" t="s">
        <v>31</v>
      </c>
      <c r="F40" s="26" t="s">
        <v>29</v>
      </c>
      <c r="G40" s="26" t="s">
        <v>29</v>
      </c>
      <c r="H40" s="26" t="s">
        <v>29</v>
      </c>
      <c r="I40" s="26" t="s">
        <v>29</v>
      </c>
      <c r="J40" s="26" t="s">
        <v>29</v>
      </c>
    </row>
    <row x14ac:dyDescent="0.25" r="41" customHeight="1" ht="15.75">
      <c r="A41" s="13" t="s">
        <v>91</v>
      </c>
      <c r="B41" s="13" t="s">
        <v>98</v>
      </c>
      <c r="C41" s="26" t="s">
        <v>29</v>
      </c>
      <c r="D41" s="26" t="s">
        <v>99</v>
      </c>
      <c r="E41" s="26" t="s">
        <v>37</v>
      </c>
      <c r="F41" s="26" t="s">
        <v>29</v>
      </c>
      <c r="G41" s="26" t="s">
        <v>29</v>
      </c>
      <c r="H41" s="26" t="s">
        <v>29</v>
      </c>
      <c r="I41" s="26" t="s">
        <v>29</v>
      </c>
      <c r="J41" s="26" t="s">
        <v>29</v>
      </c>
    </row>
    <row x14ac:dyDescent="0.25" r="42" customHeight="1" ht="15.75">
      <c r="A42" s="13" t="s">
        <v>91</v>
      </c>
      <c r="B42" s="13" t="s">
        <v>100</v>
      </c>
      <c r="C42" s="26" t="s">
        <v>29</v>
      </c>
      <c r="D42" s="26" t="s">
        <v>87</v>
      </c>
      <c r="E42" s="26" t="s">
        <v>78</v>
      </c>
      <c r="F42" s="26" t="s">
        <v>29</v>
      </c>
      <c r="G42" s="26" t="s">
        <v>29</v>
      </c>
      <c r="H42" s="26" t="s">
        <v>29</v>
      </c>
      <c r="I42" s="26" t="s">
        <v>29</v>
      </c>
      <c r="J42" s="26" t="s">
        <v>29</v>
      </c>
    </row>
    <row x14ac:dyDescent="0.25" r="43" customHeight="1" ht="15.75">
      <c r="A43" s="13" t="s">
        <v>91</v>
      </c>
      <c r="B43" s="13" t="s">
        <v>101</v>
      </c>
      <c r="C43" s="26" t="s">
        <v>29</v>
      </c>
      <c r="D43" s="26" t="s">
        <v>29</v>
      </c>
      <c r="E43" s="26" t="s">
        <v>31</v>
      </c>
      <c r="F43" s="26" t="s">
        <v>29</v>
      </c>
      <c r="G43" s="26" t="s">
        <v>29</v>
      </c>
      <c r="H43" s="26" t="s">
        <v>29</v>
      </c>
      <c r="I43" s="26" t="s">
        <v>29</v>
      </c>
      <c r="J43" s="26" t="s">
        <v>29</v>
      </c>
    </row>
    <row x14ac:dyDescent="0.25" r="44" customHeight="1" ht="15.75">
      <c r="A44" s="13" t="s">
        <v>91</v>
      </c>
      <c r="B44" s="13" t="s">
        <v>102</v>
      </c>
      <c r="C44" s="26" t="s">
        <v>29</v>
      </c>
      <c r="D44" s="26" t="s">
        <v>52</v>
      </c>
      <c r="E44" s="26" t="s">
        <v>37</v>
      </c>
      <c r="F44" s="26" t="s">
        <v>29</v>
      </c>
      <c r="G44" s="26" t="s">
        <v>29</v>
      </c>
      <c r="H44" s="26" t="s">
        <v>29</v>
      </c>
      <c r="I44" s="26" t="s">
        <v>29</v>
      </c>
      <c r="J44" s="26" t="s">
        <v>29</v>
      </c>
    </row>
    <row x14ac:dyDescent="0.25" r="45" customHeight="1" ht="15.75">
      <c r="A45" s="13" t="s">
        <v>103</v>
      </c>
      <c r="B45" s="13" t="s">
        <v>104</v>
      </c>
      <c r="C45" s="26" t="s">
        <v>29</v>
      </c>
      <c r="D45" s="26" t="s">
        <v>105</v>
      </c>
      <c r="E45" s="26" t="s">
        <v>31</v>
      </c>
      <c r="F45" s="26" t="s">
        <v>29</v>
      </c>
      <c r="G45" s="26" t="s">
        <v>29</v>
      </c>
      <c r="H45" s="26" t="s">
        <v>29</v>
      </c>
      <c r="I45" s="26" t="s">
        <v>29</v>
      </c>
      <c r="J45" s="26" t="s">
        <v>29</v>
      </c>
    </row>
    <row x14ac:dyDescent="0.25" r="46" customHeight="1" ht="15.75">
      <c r="A46" s="13" t="s">
        <v>103</v>
      </c>
      <c r="B46" s="13" t="s">
        <v>106</v>
      </c>
      <c r="C46" s="26" t="s">
        <v>29</v>
      </c>
      <c r="D46" s="26" t="s">
        <v>29</v>
      </c>
      <c r="E46" s="26" t="s">
        <v>43</v>
      </c>
      <c r="F46" s="26" t="s">
        <v>29</v>
      </c>
      <c r="G46" s="26" t="s">
        <v>29</v>
      </c>
      <c r="H46" s="26" t="s">
        <v>29</v>
      </c>
      <c r="I46" s="26" t="s">
        <v>29</v>
      </c>
      <c r="J46" s="26" t="s">
        <v>29</v>
      </c>
    </row>
    <row x14ac:dyDescent="0.25" r="47" customHeight="1" ht="15.75">
      <c r="A47" s="13" t="s">
        <v>103</v>
      </c>
      <c r="B47" s="13" t="s">
        <v>107</v>
      </c>
      <c r="C47" s="26" t="s">
        <v>29</v>
      </c>
      <c r="D47" s="26" t="s">
        <v>29</v>
      </c>
      <c r="E47" s="26" t="s">
        <v>37</v>
      </c>
      <c r="F47" s="26" t="s">
        <v>29</v>
      </c>
      <c r="G47" s="26" t="s">
        <v>29</v>
      </c>
      <c r="H47" s="26" t="s">
        <v>29</v>
      </c>
      <c r="I47" s="26" t="s">
        <v>29</v>
      </c>
      <c r="J47" s="26" t="s">
        <v>29</v>
      </c>
    </row>
    <row x14ac:dyDescent="0.25" r="48" customHeight="1" ht="15.75">
      <c r="A48" s="13" t="s">
        <v>103</v>
      </c>
      <c r="B48" s="13" t="s">
        <v>108</v>
      </c>
      <c r="C48" s="26" t="s">
        <v>29</v>
      </c>
      <c r="D48" s="26" t="s">
        <v>54</v>
      </c>
      <c r="E48" s="26" t="s">
        <v>37</v>
      </c>
      <c r="F48" s="26" t="s">
        <v>29</v>
      </c>
      <c r="G48" s="26" t="s">
        <v>29</v>
      </c>
      <c r="H48" s="26" t="s">
        <v>29</v>
      </c>
      <c r="I48" s="26" t="s">
        <v>29</v>
      </c>
      <c r="J48" s="26" t="s">
        <v>29</v>
      </c>
    </row>
    <row x14ac:dyDescent="0.25" r="49" customHeight="1" ht="15.75">
      <c r="A49" s="13" t="s">
        <v>109</v>
      </c>
      <c r="B49" s="13" t="s">
        <v>110</v>
      </c>
      <c r="C49" s="26" t="s">
        <v>29</v>
      </c>
      <c r="D49" s="26" t="s">
        <v>111</v>
      </c>
      <c r="E49" s="26" t="s">
        <v>81</v>
      </c>
      <c r="F49" s="26" t="s">
        <v>29</v>
      </c>
      <c r="G49" s="26" t="s">
        <v>29</v>
      </c>
      <c r="H49" s="26" t="s">
        <v>29</v>
      </c>
      <c r="I49" s="26" t="s">
        <v>29</v>
      </c>
      <c r="J49" s="26" t="s">
        <v>29</v>
      </c>
    </row>
    <row x14ac:dyDescent="0.25" r="50" customHeight="1" ht="15.75">
      <c r="A50" s="13" t="s">
        <v>109</v>
      </c>
      <c r="B50" s="13" t="s">
        <v>112</v>
      </c>
      <c r="C50" s="26" t="s">
        <v>29</v>
      </c>
      <c r="D50" s="26" t="s">
        <v>50</v>
      </c>
      <c r="E50" s="26" t="s">
        <v>34</v>
      </c>
      <c r="F50" s="26" t="s">
        <v>29</v>
      </c>
      <c r="G50" s="26" t="s">
        <v>29</v>
      </c>
      <c r="H50" s="26" t="s">
        <v>29</v>
      </c>
      <c r="I50" s="26" t="s">
        <v>29</v>
      </c>
      <c r="J50" s="26" t="s">
        <v>29</v>
      </c>
    </row>
    <row x14ac:dyDescent="0.25" r="51" customHeight="1" ht="15.75">
      <c r="A51" s="13" t="s">
        <v>109</v>
      </c>
      <c r="B51" s="13" t="s">
        <v>113</v>
      </c>
      <c r="C51" s="26" t="s">
        <v>29</v>
      </c>
      <c r="D51" s="26" t="s">
        <v>50</v>
      </c>
      <c r="E51" s="26" t="s">
        <v>37</v>
      </c>
      <c r="F51" s="26" t="s">
        <v>29</v>
      </c>
      <c r="G51" s="26" t="s">
        <v>29</v>
      </c>
      <c r="H51" s="26" t="s">
        <v>29</v>
      </c>
      <c r="I51" s="26" t="s">
        <v>29</v>
      </c>
      <c r="J51" s="26" t="s">
        <v>29</v>
      </c>
    </row>
    <row x14ac:dyDescent="0.25" r="52" customHeight="1" ht="15.75">
      <c r="A52" s="13" t="s">
        <v>109</v>
      </c>
      <c r="B52" s="13" t="s">
        <v>114</v>
      </c>
      <c r="C52" s="26" t="s">
        <v>29</v>
      </c>
      <c r="D52" s="26" t="s">
        <v>87</v>
      </c>
      <c r="E52" s="26" t="s">
        <v>115</v>
      </c>
      <c r="F52" s="26" t="s">
        <v>29</v>
      </c>
      <c r="G52" s="26" t="s">
        <v>29</v>
      </c>
      <c r="H52" s="26" t="s">
        <v>29</v>
      </c>
      <c r="I52" s="26" t="s">
        <v>29</v>
      </c>
      <c r="J52" s="26" t="s">
        <v>29</v>
      </c>
    </row>
    <row x14ac:dyDescent="0.25" r="53" customHeight="1" ht="15.75">
      <c r="A53" s="13" t="s">
        <v>116</v>
      </c>
      <c r="B53" s="13" t="s">
        <v>117</v>
      </c>
      <c r="C53" s="26" t="s">
        <v>29</v>
      </c>
      <c r="D53" s="26" t="s">
        <v>118</v>
      </c>
      <c r="E53" s="26" t="s">
        <v>34</v>
      </c>
      <c r="F53" s="26" t="s">
        <v>29</v>
      </c>
      <c r="G53" s="26" t="s">
        <v>29</v>
      </c>
      <c r="H53" s="26" t="s">
        <v>29</v>
      </c>
      <c r="I53" s="26" t="s">
        <v>29</v>
      </c>
      <c r="J53" s="26" t="s">
        <v>29</v>
      </c>
    </row>
    <row x14ac:dyDescent="0.25" r="54" customHeight="1" ht="15.75">
      <c r="A54" s="13" t="s">
        <v>116</v>
      </c>
      <c r="B54" s="13" t="s">
        <v>119</v>
      </c>
      <c r="C54" s="26" t="s">
        <v>29</v>
      </c>
      <c r="D54" s="26" t="s">
        <v>29</v>
      </c>
      <c r="E54" s="26" t="s">
        <v>88</v>
      </c>
      <c r="F54" s="26" t="s">
        <v>29</v>
      </c>
      <c r="G54" s="26" t="s">
        <v>29</v>
      </c>
      <c r="H54" s="26" t="s">
        <v>29</v>
      </c>
      <c r="I54" s="26" t="s">
        <v>29</v>
      </c>
      <c r="J54" s="26" t="s">
        <v>29</v>
      </c>
    </row>
    <row x14ac:dyDescent="0.25" r="55" customHeight="1" ht="15.75">
      <c r="A55" s="13" t="s">
        <v>103</v>
      </c>
      <c r="B55" s="13" t="s">
        <v>120</v>
      </c>
      <c r="C55" s="26" t="s">
        <v>121</v>
      </c>
      <c r="D55" s="26" t="s">
        <v>52</v>
      </c>
      <c r="E55" s="26" t="s">
        <v>122</v>
      </c>
      <c r="F55" s="26" t="s">
        <v>74</v>
      </c>
      <c r="G55" s="26" t="s">
        <v>29</v>
      </c>
      <c r="H55" s="26" t="s">
        <v>29</v>
      </c>
      <c r="I55" s="26" t="s">
        <v>29</v>
      </c>
      <c r="J55" s="26" t="s">
        <v>29</v>
      </c>
    </row>
    <row x14ac:dyDescent="0.25" r="56" customHeight="1" ht="15.75">
      <c r="A56" s="13" t="s">
        <v>69</v>
      </c>
      <c r="B56" s="13" t="s">
        <v>123</v>
      </c>
      <c r="C56" s="26" t="s">
        <v>124</v>
      </c>
      <c r="D56" s="26" t="s">
        <v>125</v>
      </c>
      <c r="E56" s="26" t="s">
        <v>34</v>
      </c>
      <c r="F56" s="26" t="s">
        <v>29</v>
      </c>
      <c r="G56" s="26" t="s">
        <v>29</v>
      </c>
      <c r="H56" s="26" t="s">
        <v>29</v>
      </c>
      <c r="I56" s="26" t="s">
        <v>29</v>
      </c>
      <c r="J56" s="26" t="s">
        <v>29</v>
      </c>
    </row>
    <row x14ac:dyDescent="0.25" r="57" customHeight="1" ht="15.75">
      <c r="A57" s="13" t="s">
        <v>126</v>
      </c>
      <c r="B57" s="13" t="s">
        <v>127</v>
      </c>
      <c r="C57" s="26" t="s">
        <v>128</v>
      </c>
      <c r="D57" s="26" t="s">
        <v>77</v>
      </c>
      <c r="E57" s="26" t="s">
        <v>57</v>
      </c>
      <c r="F57" s="26" t="s">
        <v>29</v>
      </c>
      <c r="G57" s="26" t="s">
        <v>34</v>
      </c>
      <c r="H57" s="26" t="s">
        <v>29</v>
      </c>
      <c r="I57" s="26" t="s">
        <v>29</v>
      </c>
      <c r="J57" s="26" t="s">
        <v>29</v>
      </c>
    </row>
    <row x14ac:dyDescent="0.25" r="58" customHeight="1" ht="15.75">
      <c r="A58" s="13" t="s">
        <v>129</v>
      </c>
      <c r="B58" s="13" t="s">
        <v>130</v>
      </c>
      <c r="C58" s="26" t="s">
        <v>131</v>
      </c>
      <c r="D58" s="26" t="s">
        <v>132</v>
      </c>
      <c r="E58" s="26" t="s">
        <v>115</v>
      </c>
      <c r="F58" s="26" t="s">
        <v>29</v>
      </c>
      <c r="G58" s="26" t="s">
        <v>29</v>
      </c>
      <c r="H58" s="26" t="s">
        <v>29</v>
      </c>
      <c r="I58" s="26" t="s">
        <v>29</v>
      </c>
      <c r="J58" s="26" t="s">
        <v>29</v>
      </c>
    </row>
    <row x14ac:dyDescent="0.25" r="59" customHeight="1" ht="15.75">
      <c r="A59" s="13" t="s">
        <v>91</v>
      </c>
      <c r="B59" s="13" t="s">
        <v>133</v>
      </c>
      <c r="C59" s="26" t="s">
        <v>134</v>
      </c>
      <c r="D59" s="26" t="s">
        <v>135</v>
      </c>
      <c r="E59" s="26" t="s">
        <v>31</v>
      </c>
      <c r="F59" s="26" t="s">
        <v>34</v>
      </c>
      <c r="G59" s="26" t="s">
        <v>29</v>
      </c>
      <c r="H59" s="26" t="s">
        <v>29</v>
      </c>
      <c r="I59" s="26" t="s">
        <v>29</v>
      </c>
      <c r="J59" s="26" t="s">
        <v>29</v>
      </c>
    </row>
    <row x14ac:dyDescent="0.25" r="60" customHeight="1" ht="15.75">
      <c r="A60" s="13" t="s">
        <v>91</v>
      </c>
      <c r="B60" s="13" t="s">
        <v>136</v>
      </c>
      <c r="C60" s="26" t="s">
        <v>137</v>
      </c>
      <c r="D60" s="26" t="s">
        <v>29</v>
      </c>
      <c r="E60" s="26" t="s">
        <v>78</v>
      </c>
      <c r="F60" s="26" t="s">
        <v>74</v>
      </c>
      <c r="G60" s="26" t="s">
        <v>29</v>
      </c>
      <c r="H60" s="26" t="s">
        <v>29</v>
      </c>
      <c r="I60" s="26" t="s">
        <v>29</v>
      </c>
      <c r="J60" s="26" t="s">
        <v>29</v>
      </c>
    </row>
    <row x14ac:dyDescent="0.25" r="61" customHeight="1" ht="15.75">
      <c r="A61" s="13" t="s">
        <v>69</v>
      </c>
      <c r="B61" s="13" t="s">
        <v>138</v>
      </c>
      <c r="C61" s="26" t="s">
        <v>139</v>
      </c>
      <c r="D61" s="26" t="s">
        <v>31</v>
      </c>
      <c r="E61" s="26" t="s">
        <v>57</v>
      </c>
      <c r="F61" s="26" t="s">
        <v>29</v>
      </c>
      <c r="G61" s="26" t="s">
        <v>29</v>
      </c>
      <c r="H61" s="26" t="s">
        <v>29</v>
      </c>
      <c r="I61" s="26" t="s">
        <v>29</v>
      </c>
      <c r="J61" s="26" t="s">
        <v>29</v>
      </c>
    </row>
    <row x14ac:dyDescent="0.25" r="62" customHeight="1" ht="15.75">
      <c r="A62" s="13" t="s">
        <v>91</v>
      </c>
      <c r="B62" s="13" t="s">
        <v>140</v>
      </c>
      <c r="C62" s="26" t="s">
        <v>141</v>
      </c>
      <c r="D62" s="26" t="s">
        <v>142</v>
      </c>
      <c r="E62" s="26" t="s">
        <v>78</v>
      </c>
      <c r="F62" s="26" t="s">
        <v>143</v>
      </c>
      <c r="G62" s="26" t="s">
        <v>29</v>
      </c>
      <c r="H62" s="26" t="s">
        <v>29</v>
      </c>
      <c r="I62" s="26" t="s">
        <v>29</v>
      </c>
      <c r="J62" s="26" t="s">
        <v>29</v>
      </c>
    </row>
    <row x14ac:dyDescent="0.25" r="63" customHeight="1" ht="15.75">
      <c r="A63" s="13" t="s">
        <v>103</v>
      </c>
      <c r="B63" s="13" t="s">
        <v>144</v>
      </c>
      <c r="C63" s="26" t="s">
        <v>145</v>
      </c>
      <c r="D63" s="26" t="s">
        <v>77</v>
      </c>
      <c r="E63" s="26" t="s">
        <v>43</v>
      </c>
      <c r="F63" s="26" t="s">
        <v>29</v>
      </c>
      <c r="G63" s="26" t="s">
        <v>29</v>
      </c>
      <c r="H63" s="26" t="s">
        <v>29</v>
      </c>
      <c r="I63" s="26" t="s">
        <v>29</v>
      </c>
      <c r="J63" s="26" t="s">
        <v>29</v>
      </c>
    </row>
    <row x14ac:dyDescent="0.25" r="64" customHeight="1" ht="15.75">
      <c r="A64" s="13" t="s">
        <v>69</v>
      </c>
      <c r="B64" s="13" t="s">
        <v>146</v>
      </c>
      <c r="C64" s="26" t="s">
        <v>147</v>
      </c>
      <c r="D64" s="26" t="s">
        <v>29</v>
      </c>
      <c r="E64" s="26" t="s">
        <v>43</v>
      </c>
      <c r="F64" s="26" t="s">
        <v>29</v>
      </c>
      <c r="G64" s="26" t="s">
        <v>29</v>
      </c>
      <c r="H64" s="26" t="s">
        <v>29</v>
      </c>
      <c r="I64" s="26" t="s">
        <v>74</v>
      </c>
      <c r="J64" s="26" t="s">
        <v>29</v>
      </c>
    </row>
    <row x14ac:dyDescent="0.25" r="65" customHeight="1" ht="15.75">
      <c r="A65" s="13" t="s">
        <v>103</v>
      </c>
      <c r="B65" s="13" t="s">
        <v>148</v>
      </c>
      <c r="C65" s="26" t="s">
        <v>149</v>
      </c>
      <c r="D65" s="26" t="s">
        <v>150</v>
      </c>
      <c r="E65" s="26" t="s">
        <v>31</v>
      </c>
      <c r="F65" s="26" t="s">
        <v>29</v>
      </c>
      <c r="G65" s="26" t="s">
        <v>29</v>
      </c>
      <c r="H65" s="26" t="s">
        <v>29</v>
      </c>
      <c r="I65" s="26" t="s">
        <v>29</v>
      </c>
      <c r="J65" s="26" t="s">
        <v>29</v>
      </c>
    </row>
    <row x14ac:dyDescent="0.25" r="66" customHeight="1" ht="15.75">
      <c r="A66" s="13" t="s">
        <v>116</v>
      </c>
      <c r="B66" s="13" t="s">
        <v>151</v>
      </c>
      <c r="C66" s="26" t="s">
        <v>149</v>
      </c>
      <c r="D66" s="26" t="s">
        <v>29</v>
      </c>
      <c r="E66" s="26" t="s">
        <v>122</v>
      </c>
      <c r="F66" s="26" t="s">
        <v>29</v>
      </c>
      <c r="G66" s="26" t="s">
        <v>29</v>
      </c>
      <c r="H66" s="26" t="s">
        <v>29</v>
      </c>
      <c r="I66" s="26" t="s">
        <v>29</v>
      </c>
      <c r="J66" s="26" t="s">
        <v>29</v>
      </c>
    </row>
    <row x14ac:dyDescent="0.25" r="67" customHeight="1" ht="15.75">
      <c r="A67" s="13" t="s">
        <v>91</v>
      </c>
      <c r="B67" s="13" t="s">
        <v>152</v>
      </c>
      <c r="C67" s="26" t="s">
        <v>153</v>
      </c>
      <c r="D67" s="26" t="s">
        <v>154</v>
      </c>
      <c r="E67" s="26" t="s">
        <v>78</v>
      </c>
      <c r="F67" s="26" t="s">
        <v>34</v>
      </c>
      <c r="G67" s="26" t="s">
        <v>29</v>
      </c>
      <c r="H67" s="26" t="s">
        <v>29</v>
      </c>
      <c r="I67" s="26" t="s">
        <v>29</v>
      </c>
      <c r="J67" s="26" t="s">
        <v>29</v>
      </c>
    </row>
    <row x14ac:dyDescent="0.25" r="68" customHeight="1" ht="15.75">
      <c r="A68" s="13" t="s">
        <v>91</v>
      </c>
      <c r="B68" s="13" t="s">
        <v>155</v>
      </c>
      <c r="C68" s="26" t="s">
        <v>156</v>
      </c>
      <c r="D68" s="26" t="s">
        <v>154</v>
      </c>
      <c r="E68" s="26" t="s">
        <v>78</v>
      </c>
      <c r="F68" s="26" t="s">
        <v>29</v>
      </c>
      <c r="G68" s="26" t="s">
        <v>29</v>
      </c>
      <c r="H68" s="26" t="s">
        <v>29</v>
      </c>
      <c r="I68" s="26" t="s">
        <v>29</v>
      </c>
      <c r="J68" s="26" t="s">
        <v>29</v>
      </c>
    </row>
    <row x14ac:dyDescent="0.25" r="69" customHeight="1" ht="15.75">
      <c r="A69" s="13" t="s">
        <v>103</v>
      </c>
      <c r="B69" s="13" t="s">
        <v>157</v>
      </c>
      <c r="C69" s="26" t="s">
        <v>158</v>
      </c>
      <c r="D69" s="26" t="s">
        <v>29</v>
      </c>
      <c r="E69" s="26" t="s">
        <v>143</v>
      </c>
      <c r="F69" s="26" t="s">
        <v>29</v>
      </c>
      <c r="G69" s="26" t="s">
        <v>29</v>
      </c>
      <c r="H69" s="26" t="s">
        <v>29</v>
      </c>
      <c r="I69" s="26" t="s">
        <v>29</v>
      </c>
      <c r="J69" s="26" t="s">
        <v>29</v>
      </c>
    </row>
    <row x14ac:dyDescent="0.25" r="70" customHeight="1" ht="15.75">
      <c r="A70" s="13" t="s">
        <v>103</v>
      </c>
      <c r="B70" s="13" t="s">
        <v>159</v>
      </c>
      <c r="C70" s="26" t="s">
        <v>160</v>
      </c>
      <c r="D70" s="26" t="s">
        <v>29</v>
      </c>
      <c r="E70" s="26" t="s">
        <v>93</v>
      </c>
      <c r="F70" s="26" t="s">
        <v>29</v>
      </c>
      <c r="G70" s="26" t="s">
        <v>74</v>
      </c>
      <c r="H70" s="26" t="s">
        <v>29</v>
      </c>
      <c r="I70" s="26" t="s">
        <v>29</v>
      </c>
      <c r="J70" s="26" t="s">
        <v>29</v>
      </c>
    </row>
    <row x14ac:dyDescent="0.25" r="71" customHeight="1" ht="15.75">
      <c r="A71" s="13" t="s">
        <v>91</v>
      </c>
      <c r="B71" s="13" t="s">
        <v>161</v>
      </c>
      <c r="C71" s="26" t="s">
        <v>162</v>
      </c>
      <c r="D71" s="26" t="s">
        <v>87</v>
      </c>
      <c r="E71" s="26" t="s">
        <v>34</v>
      </c>
      <c r="F71" s="26" t="s">
        <v>29</v>
      </c>
      <c r="G71" s="26" t="s">
        <v>29</v>
      </c>
      <c r="H71" s="26" t="s">
        <v>29</v>
      </c>
      <c r="I71" s="26" t="s">
        <v>74</v>
      </c>
      <c r="J71" s="26" t="s">
        <v>29</v>
      </c>
    </row>
    <row x14ac:dyDescent="0.25" r="72" customHeight="1" ht="15.75">
      <c r="A72" s="13" t="s">
        <v>103</v>
      </c>
      <c r="B72" s="13" t="s">
        <v>163</v>
      </c>
      <c r="C72" s="26" t="s">
        <v>162</v>
      </c>
      <c r="D72" s="26" t="s">
        <v>29</v>
      </c>
      <c r="E72" s="26" t="s">
        <v>34</v>
      </c>
      <c r="F72" s="26" t="s">
        <v>29</v>
      </c>
      <c r="G72" s="26" t="s">
        <v>29</v>
      </c>
      <c r="H72" s="26" t="s">
        <v>29</v>
      </c>
      <c r="I72" s="26" t="s">
        <v>34</v>
      </c>
      <c r="J72" s="26" t="s">
        <v>29</v>
      </c>
    </row>
    <row x14ac:dyDescent="0.25" r="73" customHeight="1" ht="15.75">
      <c r="A73" s="13" t="s">
        <v>129</v>
      </c>
      <c r="B73" s="13" t="s">
        <v>164</v>
      </c>
      <c r="C73" s="26" t="s">
        <v>165</v>
      </c>
      <c r="D73" s="26" t="s">
        <v>166</v>
      </c>
      <c r="E73" s="26" t="s">
        <v>57</v>
      </c>
      <c r="F73" s="26" t="s">
        <v>29</v>
      </c>
      <c r="G73" s="26" t="s">
        <v>29</v>
      </c>
      <c r="H73" s="26" t="s">
        <v>29</v>
      </c>
      <c r="I73" s="26" t="s">
        <v>29</v>
      </c>
      <c r="J73" s="26" t="s">
        <v>29</v>
      </c>
    </row>
    <row x14ac:dyDescent="0.25" r="74" customHeight="1" ht="15.75">
      <c r="A74" s="13" t="s">
        <v>91</v>
      </c>
      <c r="B74" s="13" t="s">
        <v>167</v>
      </c>
      <c r="C74" s="26" t="s">
        <v>168</v>
      </c>
      <c r="D74" s="26" t="s">
        <v>29</v>
      </c>
      <c r="E74" s="26" t="s">
        <v>81</v>
      </c>
      <c r="F74" s="26" t="s">
        <v>29</v>
      </c>
      <c r="G74" s="26" t="s">
        <v>29</v>
      </c>
      <c r="H74" s="26" t="s">
        <v>29</v>
      </c>
      <c r="I74" s="26" t="s">
        <v>29</v>
      </c>
      <c r="J74" s="26" t="s">
        <v>29</v>
      </c>
    </row>
    <row x14ac:dyDescent="0.25" r="75" customHeight="1" ht="15.75">
      <c r="A75" s="13" t="s">
        <v>91</v>
      </c>
      <c r="B75" s="13" t="s">
        <v>169</v>
      </c>
      <c r="C75" s="26" t="s">
        <v>170</v>
      </c>
      <c r="D75" s="26" t="s">
        <v>29</v>
      </c>
      <c r="E75" s="26" t="s">
        <v>78</v>
      </c>
      <c r="F75" s="26" t="s">
        <v>29</v>
      </c>
      <c r="G75" s="26" t="s">
        <v>29</v>
      </c>
      <c r="H75" s="26" t="s">
        <v>29</v>
      </c>
      <c r="I75" s="26" t="s">
        <v>29</v>
      </c>
      <c r="J75" s="26" t="s">
        <v>29</v>
      </c>
    </row>
    <row x14ac:dyDescent="0.25" r="76" customHeight="1" ht="15.75">
      <c r="A76" s="13" t="s">
        <v>69</v>
      </c>
      <c r="B76" s="13" t="s">
        <v>171</v>
      </c>
      <c r="C76" s="26" t="s">
        <v>172</v>
      </c>
      <c r="D76" s="26" t="s">
        <v>31</v>
      </c>
      <c r="E76" s="26" t="s">
        <v>31</v>
      </c>
      <c r="F76" s="26" t="s">
        <v>29</v>
      </c>
      <c r="G76" s="26" t="s">
        <v>29</v>
      </c>
      <c r="H76" s="26" t="s">
        <v>29</v>
      </c>
      <c r="I76" s="26" t="s">
        <v>29</v>
      </c>
      <c r="J76" s="26" t="s">
        <v>29</v>
      </c>
    </row>
    <row x14ac:dyDescent="0.25" r="77" customHeight="1" ht="15.75">
      <c r="A77" s="13" t="s">
        <v>91</v>
      </c>
      <c r="B77" s="13" t="s">
        <v>173</v>
      </c>
      <c r="C77" s="26" t="s">
        <v>172</v>
      </c>
      <c r="D77" s="26" t="s">
        <v>31</v>
      </c>
      <c r="E77" s="26" t="s">
        <v>31</v>
      </c>
      <c r="F77" s="26" t="s">
        <v>29</v>
      </c>
      <c r="G77" s="26" t="s">
        <v>29</v>
      </c>
      <c r="H77" s="26" t="s">
        <v>29</v>
      </c>
      <c r="I77" s="26" t="s">
        <v>29</v>
      </c>
      <c r="J77" s="26" t="s">
        <v>29</v>
      </c>
    </row>
    <row x14ac:dyDescent="0.25" r="78" customHeight="1" ht="15.75">
      <c r="A78" s="13" t="s">
        <v>103</v>
      </c>
      <c r="B78" s="13" t="s">
        <v>174</v>
      </c>
      <c r="C78" s="26" t="s">
        <v>175</v>
      </c>
      <c r="D78" s="26" t="s">
        <v>176</v>
      </c>
      <c r="E78" s="26" t="s">
        <v>88</v>
      </c>
      <c r="F78" s="26" t="s">
        <v>29</v>
      </c>
      <c r="G78" s="26" t="s">
        <v>37</v>
      </c>
      <c r="H78" s="26" t="s">
        <v>29</v>
      </c>
      <c r="I78" s="26" t="s">
        <v>37</v>
      </c>
      <c r="J78" s="26" t="s">
        <v>29</v>
      </c>
    </row>
    <row x14ac:dyDescent="0.25" r="79" customHeight="1" ht="15.75">
      <c r="A79" s="13" t="s">
        <v>91</v>
      </c>
      <c r="B79" s="13" t="s">
        <v>177</v>
      </c>
      <c r="C79" s="26" t="s">
        <v>178</v>
      </c>
      <c r="D79" s="26" t="s">
        <v>179</v>
      </c>
      <c r="E79" s="26" t="s">
        <v>43</v>
      </c>
      <c r="F79" s="26" t="s">
        <v>29</v>
      </c>
      <c r="G79" s="26" t="s">
        <v>34</v>
      </c>
      <c r="H79" s="26" t="s">
        <v>29</v>
      </c>
      <c r="I79" s="26" t="s">
        <v>29</v>
      </c>
      <c r="J79" s="26" t="s">
        <v>29</v>
      </c>
    </row>
    <row x14ac:dyDescent="0.25" r="80" customHeight="1" ht="15.75">
      <c r="A80" s="13" t="s">
        <v>91</v>
      </c>
      <c r="B80" s="13" t="s">
        <v>180</v>
      </c>
      <c r="C80" s="26" t="s">
        <v>181</v>
      </c>
      <c r="D80" s="26" t="s">
        <v>29</v>
      </c>
      <c r="E80" s="26" t="s">
        <v>78</v>
      </c>
      <c r="F80" s="26" t="s">
        <v>29</v>
      </c>
      <c r="G80" s="26" t="s">
        <v>29</v>
      </c>
      <c r="H80" s="26" t="s">
        <v>29</v>
      </c>
      <c r="I80" s="26" t="s">
        <v>29</v>
      </c>
      <c r="J80" s="26" t="s">
        <v>29</v>
      </c>
    </row>
    <row x14ac:dyDescent="0.25" r="81" customHeight="1" ht="15.75">
      <c r="A81" s="13" t="s">
        <v>103</v>
      </c>
      <c r="B81" s="13" t="s">
        <v>182</v>
      </c>
      <c r="C81" s="26" t="s">
        <v>183</v>
      </c>
      <c r="D81" s="26" t="s">
        <v>80</v>
      </c>
      <c r="E81" s="26" t="s">
        <v>88</v>
      </c>
      <c r="F81" s="26" t="s">
        <v>37</v>
      </c>
      <c r="G81" s="26" t="s">
        <v>29</v>
      </c>
      <c r="H81" s="26" t="s">
        <v>29</v>
      </c>
      <c r="I81" s="26" t="s">
        <v>29</v>
      </c>
      <c r="J81" s="26" t="s">
        <v>29</v>
      </c>
    </row>
    <row x14ac:dyDescent="0.25" r="82" customHeight="1" ht="15.75">
      <c r="A82" s="13" t="s">
        <v>184</v>
      </c>
      <c r="B82" s="13" t="s">
        <v>185</v>
      </c>
      <c r="C82" s="26" t="s">
        <v>186</v>
      </c>
      <c r="D82" s="26" t="s">
        <v>105</v>
      </c>
      <c r="E82" s="26" t="s">
        <v>74</v>
      </c>
      <c r="F82" s="26" t="s">
        <v>29</v>
      </c>
      <c r="G82" s="26" t="s">
        <v>29</v>
      </c>
      <c r="H82" s="26" t="s">
        <v>29</v>
      </c>
      <c r="I82" s="26" t="s">
        <v>29</v>
      </c>
      <c r="J82" s="26" t="s">
        <v>29</v>
      </c>
    </row>
    <row x14ac:dyDescent="0.25" r="83" customHeight="1" ht="15.75">
      <c r="A83" s="13" t="s">
        <v>69</v>
      </c>
      <c r="B83" s="13" t="s">
        <v>187</v>
      </c>
      <c r="C83" s="26" t="s">
        <v>188</v>
      </c>
      <c r="D83" s="26" t="s">
        <v>135</v>
      </c>
      <c r="E83" s="26" t="s">
        <v>78</v>
      </c>
      <c r="F83" s="26" t="s">
        <v>29</v>
      </c>
      <c r="G83" s="26" t="s">
        <v>43</v>
      </c>
      <c r="H83" s="26" t="s">
        <v>43</v>
      </c>
      <c r="I83" s="26" t="s">
        <v>29</v>
      </c>
      <c r="J83" s="26" t="s">
        <v>29</v>
      </c>
    </row>
    <row x14ac:dyDescent="0.25" r="84" customHeight="1" ht="15.75">
      <c r="A84" s="13" t="s">
        <v>129</v>
      </c>
      <c r="B84" s="13" t="s">
        <v>189</v>
      </c>
      <c r="C84" s="26" t="s">
        <v>190</v>
      </c>
      <c r="D84" s="26" t="s">
        <v>191</v>
      </c>
      <c r="E84" s="26" t="s">
        <v>57</v>
      </c>
      <c r="F84" s="26" t="s">
        <v>29</v>
      </c>
      <c r="G84" s="26" t="s">
        <v>29</v>
      </c>
      <c r="H84" s="26" t="s">
        <v>29</v>
      </c>
      <c r="I84" s="26" t="s">
        <v>29</v>
      </c>
      <c r="J84" s="26" t="s">
        <v>29</v>
      </c>
    </row>
    <row x14ac:dyDescent="0.25" r="85" customHeight="1" ht="15.75">
      <c r="A85" s="13" t="s">
        <v>184</v>
      </c>
      <c r="B85" s="13" t="s">
        <v>192</v>
      </c>
      <c r="C85" s="26" t="s">
        <v>193</v>
      </c>
      <c r="D85" s="26" t="s">
        <v>194</v>
      </c>
      <c r="E85" s="26" t="s">
        <v>37</v>
      </c>
      <c r="F85" s="26" t="s">
        <v>37</v>
      </c>
      <c r="G85" s="26" t="s">
        <v>29</v>
      </c>
      <c r="H85" s="26" t="s">
        <v>29</v>
      </c>
      <c r="I85" s="26" t="s">
        <v>29</v>
      </c>
      <c r="J85" s="26" t="s">
        <v>29</v>
      </c>
    </row>
    <row x14ac:dyDescent="0.25" r="86" customHeight="1" ht="15.75">
      <c r="A86" s="13" t="s">
        <v>116</v>
      </c>
      <c r="B86" s="13" t="s">
        <v>195</v>
      </c>
      <c r="C86" s="26" t="s">
        <v>193</v>
      </c>
      <c r="D86" s="26" t="s">
        <v>150</v>
      </c>
      <c r="E86" s="26" t="s">
        <v>57</v>
      </c>
      <c r="F86" s="26" t="s">
        <v>29</v>
      </c>
      <c r="G86" s="26" t="s">
        <v>29</v>
      </c>
      <c r="H86" s="26" t="s">
        <v>29</v>
      </c>
      <c r="I86" s="26" t="s">
        <v>29</v>
      </c>
      <c r="J86" s="26" t="s">
        <v>29</v>
      </c>
    </row>
    <row x14ac:dyDescent="0.25" r="87" customHeight="1" ht="15.75">
      <c r="A87" s="13" t="s">
        <v>126</v>
      </c>
      <c r="B87" s="13" t="s">
        <v>196</v>
      </c>
      <c r="C87" s="26" t="s">
        <v>197</v>
      </c>
      <c r="D87" s="26" t="s">
        <v>50</v>
      </c>
      <c r="E87" s="26" t="s">
        <v>122</v>
      </c>
      <c r="F87" s="26" t="s">
        <v>34</v>
      </c>
      <c r="G87" s="26" t="s">
        <v>29</v>
      </c>
      <c r="H87" s="26" t="s">
        <v>29</v>
      </c>
      <c r="I87" s="26" t="s">
        <v>29</v>
      </c>
      <c r="J87" s="26" t="s">
        <v>29</v>
      </c>
    </row>
    <row x14ac:dyDescent="0.25" r="88" customHeight="1" ht="15.75">
      <c r="A88" s="13" t="s">
        <v>198</v>
      </c>
      <c r="B88" s="13" t="s">
        <v>199</v>
      </c>
      <c r="C88" s="26" t="s">
        <v>200</v>
      </c>
      <c r="D88" s="26" t="s">
        <v>201</v>
      </c>
      <c r="E88" s="26" t="s">
        <v>122</v>
      </c>
      <c r="F88" s="26" t="s">
        <v>29</v>
      </c>
      <c r="G88" s="26" t="s">
        <v>29</v>
      </c>
      <c r="H88" s="26" t="s">
        <v>29</v>
      </c>
      <c r="I88" s="26" t="s">
        <v>29</v>
      </c>
      <c r="J88" s="26" t="s">
        <v>29</v>
      </c>
    </row>
    <row x14ac:dyDescent="0.25" r="89" customHeight="1" ht="15.75">
      <c r="A89" s="13" t="s">
        <v>69</v>
      </c>
      <c r="B89" s="13" t="s">
        <v>202</v>
      </c>
      <c r="C89" s="26" t="s">
        <v>203</v>
      </c>
      <c r="D89" s="26" t="s">
        <v>204</v>
      </c>
      <c r="E89" s="26" t="s">
        <v>37</v>
      </c>
      <c r="F89" s="26" t="s">
        <v>29</v>
      </c>
      <c r="G89" s="26" t="s">
        <v>29</v>
      </c>
      <c r="H89" s="26" t="s">
        <v>29</v>
      </c>
      <c r="I89" s="26" t="s">
        <v>29</v>
      </c>
      <c r="J89" s="26" t="s">
        <v>29</v>
      </c>
    </row>
    <row x14ac:dyDescent="0.25" r="90" customHeight="1" ht="15.75">
      <c r="A90" s="13" t="s">
        <v>129</v>
      </c>
      <c r="B90" s="13" t="s">
        <v>205</v>
      </c>
      <c r="C90" s="26" t="s">
        <v>206</v>
      </c>
      <c r="D90" s="26" t="s">
        <v>204</v>
      </c>
      <c r="E90" s="26" t="s">
        <v>43</v>
      </c>
      <c r="F90" s="26" t="s">
        <v>37</v>
      </c>
      <c r="G90" s="26" t="s">
        <v>29</v>
      </c>
      <c r="H90" s="26" t="s">
        <v>29</v>
      </c>
      <c r="I90" s="26" t="s">
        <v>29</v>
      </c>
      <c r="J90" s="26" t="s">
        <v>29</v>
      </c>
    </row>
    <row x14ac:dyDescent="0.25" r="91" customHeight="1" ht="15.75">
      <c r="A91" s="13" t="s">
        <v>69</v>
      </c>
      <c r="B91" s="13" t="s">
        <v>207</v>
      </c>
      <c r="C91" s="26" t="s">
        <v>208</v>
      </c>
      <c r="D91" s="26" t="s">
        <v>29</v>
      </c>
      <c r="E91" s="26" t="s">
        <v>88</v>
      </c>
      <c r="F91" s="26" t="s">
        <v>29</v>
      </c>
      <c r="G91" s="26" t="s">
        <v>29</v>
      </c>
      <c r="H91" s="26" t="s">
        <v>29</v>
      </c>
      <c r="I91" s="26" t="s">
        <v>29</v>
      </c>
      <c r="J91" s="26" t="s">
        <v>29</v>
      </c>
    </row>
    <row x14ac:dyDescent="0.25" r="92" customHeight="1" ht="15.75">
      <c r="A92" s="13" t="s">
        <v>91</v>
      </c>
      <c r="B92" s="13" t="s">
        <v>209</v>
      </c>
      <c r="C92" s="26" t="s">
        <v>208</v>
      </c>
      <c r="D92" s="26" t="s">
        <v>210</v>
      </c>
      <c r="E92" s="26" t="s">
        <v>34</v>
      </c>
      <c r="F92" s="26" t="s">
        <v>29</v>
      </c>
      <c r="G92" s="26" t="s">
        <v>29</v>
      </c>
      <c r="H92" s="26" t="s">
        <v>29</v>
      </c>
      <c r="I92" s="26" t="s">
        <v>29</v>
      </c>
      <c r="J92" s="26" t="s">
        <v>29</v>
      </c>
    </row>
    <row x14ac:dyDescent="0.25" r="93" customHeight="1" ht="15.75">
      <c r="A93" s="13" t="s">
        <v>103</v>
      </c>
      <c r="B93" s="13" t="s">
        <v>211</v>
      </c>
      <c r="C93" s="26" t="s">
        <v>208</v>
      </c>
      <c r="D93" s="26" t="s">
        <v>29</v>
      </c>
      <c r="E93" s="26" t="s">
        <v>43</v>
      </c>
      <c r="F93" s="26" t="s">
        <v>29</v>
      </c>
      <c r="G93" s="26" t="s">
        <v>29</v>
      </c>
      <c r="H93" s="26" t="s">
        <v>29</v>
      </c>
      <c r="I93" s="26" t="s">
        <v>29</v>
      </c>
      <c r="J93" s="26" t="s">
        <v>29</v>
      </c>
    </row>
    <row x14ac:dyDescent="0.25" r="94" customHeight="1" ht="15.75">
      <c r="A94" s="13" t="s">
        <v>103</v>
      </c>
      <c r="B94" s="13" t="s">
        <v>212</v>
      </c>
      <c r="C94" s="26" t="s">
        <v>213</v>
      </c>
      <c r="D94" s="26" t="s">
        <v>179</v>
      </c>
      <c r="E94" s="26" t="s">
        <v>57</v>
      </c>
      <c r="F94" s="26" t="s">
        <v>29</v>
      </c>
      <c r="G94" s="26" t="s">
        <v>29</v>
      </c>
      <c r="H94" s="26" t="s">
        <v>29</v>
      </c>
      <c r="I94" s="26" t="s">
        <v>29</v>
      </c>
      <c r="J94" s="26" t="s">
        <v>29</v>
      </c>
    </row>
    <row x14ac:dyDescent="0.25" r="95" customHeight="1" ht="15.75">
      <c r="A95" s="13" t="s">
        <v>69</v>
      </c>
      <c r="B95" s="13" t="s">
        <v>214</v>
      </c>
      <c r="C95" s="26" t="s">
        <v>215</v>
      </c>
      <c r="D95" s="26" t="s">
        <v>216</v>
      </c>
      <c r="E95" s="26" t="s">
        <v>78</v>
      </c>
      <c r="F95" s="26" t="s">
        <v>29</v>
      </c>
      <c r="G95" s="26" t="s">
        <v>29</v>
      </c>
      <c r="H95" s="26" t="s">
        <v>29</v>
      </c>
      <c r="I95" s="26" t="s">
        <v>29</v>
      </c>
      <c r="J95" s="26" t="s">
        <v>29</v>
      </c>
    </row>
    <row x14ac:dyDescent="0.25" r="96" customHeight="1" ht="15.75">
      <c r="A96" s="13" t="s">
        <v>126</v>
      </c>
      <c r="B96" s="13" t="s">
        <v>217</v>
      </c>
      <c r="C96" s="26" t="s">
        <v>218</v>
      </c>
      <c r="D96" s="26" t="s">
        <v>29</v>
      </c>
      <c r="E96" s="26" t="s">
        <v>34</v>
      </c>
      <c r="F96" s="26" t="s">
        <v>29</v>
      </c>
      <c r="G96" s="26" t="s">
        <v>29</v>
      </c>
      <c r="H96" s="26" t="s">
        <v>29</v>
      </c>
      <c r="I96" s="26" t="s">
        <v>29</v>
      </c>
      <c r="J96" s="26" t="s">
        <v>29</v>
      </c>
    </row>
    <row x14ac:dyDescent="0.25" r="97" customHeight="1" ht="15.75">
      <c r="A97" s="13" t="s">
        <v>91</v>
      </c>
      <c r="B97" s="13" t="s">
        <v>219</v>
      </c>
      <c r="C97" s="26" t="s">
        <v>220</v>
      </c>
      <c r="D97" s="26" t="s">
        <v>29</v>
      </c>
      <c r="E97" s="26" t="s">
        <v>31</v>
      </c>
      <c r="F97" s="26" t="s">
        <v>29</v>
      </c>
      <c r="G97" s="26" t="s">
        <v>29</v>
      </c>
      <c r="H97" s="26" t="s">
        <v>29</v>
      </c>
      <c r="I97" s="26" t="s">
        <v>29</v>
      </c>
      <c r="J97" s="26" t="s">
        <v>29</v>
      </c>
    </row>
    <row x14ac:dyDescent="0.25" r="98" customHeight="1" ht="15.75">
      <c r="A98" s="13" t="s">
        <v>91</v>
      </c>
      <c r="B98" s="13" t="s">
        <v>221</v>
      </c>
      <c r="C98" s="26" t="s">
        <v>222</v>
      </c>
      <c r="D98" s="26" t="s">
        <v>43</v>
      </c>
      <c r="E98" s="26" t="s">
        <v>34</v>
      </c>
      <c r="F98" s="26" t="s">
        <v>29</v>
      </c>
      <c r="G98" s="26" t="s">
        <v>29</v>
      </c>
      <c r="H98" s="26" t="s">
        <v>29</v>
      </c>
      <c r="I98" s="26" t="s">
        <v>29</v>
      </c>
      <c r="J98" s="26" t="s">
        <v>29</v>
      </c>
    </row>
    <row x14ac:dyDescent="0.25" r="99" customHeight="1" ht="15.75">
      <c r="A99" s="13" t="s">
        <v>69</v>
      </c>
      <c r="B99" s="13" t="s">
        <v>223</v>
      </c>
      <c r="C99" s="26" t="s">
        <v>224</v>
      </c>
      <c r="D99" s="26" t="s">
        <v>95</v>
      </c>
      <c r="E99" s="26" t="s">
        <v>37</v>
      </c>
      <c r="F99" s="26" t="s">
        <v>29</v>
      </c>
      <c r="G99" s="26" t="s">
        <v>29</v>
      </c>
      <c r="H99" s="26" t="s">
        <v>29</v>
      </c>
      <c r="I99" s="26" t="s">
        <v>29</v>
      </c>
      <c r="J99" s="26" t="s">
        <v>29</v>
      </c>
    </row>
    <row x14ac:dyDescent="0.25" r="100" customHeight="1" ht="15.75">
      <c r="A100" s="13" t="s">
        <v>69</v>
      </c>
      <c r="B100" s="13" t="s">
        <v>225</v>
      </c>
      <c r="C100" s="26" t="s">
        <v>226</v>
      </c>
      <c r="D100" s="26" t="s">
        <v>97</v>
      </c>
      <c r="E100" s="26" t="s">
        <v>57</v>
      </c>
      <c r="F100" s="26" t="s">
        <v>29</v>
      </c>
      <c r="G100" s="26" t="s">
        <v>29</v>
      </c>
      <c r="H100" s="26" t="s">
        <v>29</v>
      </c>
      <c r="I100" s="26" t="s">
        <v>29</v>
      </c>
      <c r="J100" s="26" t="s">
        <v>29</v>
      </c>
    </row>
    <row x14ac:dyDescent="0.25" r="101" customHeight="1" ht="15.75">
      <c r="A101" s="13" t="s">
        <v>227</v>
      </c>
      <c r="B101" s="13" t="s">
        <v>228</v>
      </c>
      <c r="C101" s="26" t="s">
        <v>229</v>
      </c>
      <c r="D101" s="26" t="s">
        <v>201</v>
      </c>
      <c r="E101" s="26" t="s">
        <v>115</v>
      </c>
      <c r="F101" s="26" t="s">
        <v>29</v>
      </c>
      <c r="G101" s="26" t="s">
        <v>29</v>
      </c>
      <c r="H101" s="26" t="s">
        <v>29</v>
      </c>
      <c r="I101" s="26" t="s">
        <v>29</v>
      </c>
      <c r="J101" s="26" t="s">
        <v>29</v>
      </c>
    </row>
    <row x14ac:dyDescent="0.25" r="102" customHeight="1" ht="15.75">
      <c r="A102" s="13" t="s">
        <v>69</v>
      </c>
      <c r="B102" s="13" t="s">
        <v>230</v>
      </c>
      <c r="C102" s="26" t="s">
        <v>231</v>
      </c>
      <c r="D102" s="26" t="s">
        <v>201</v>
      </c>
      <c r="E102" s="26" t="s">
        <v>57</v>
      </c>
      <c r="F102" s="26" t="s">
        <v>29</v>
      </c>
      <c r="G102" s="26" t="s">
        <v>29</v>
      </c>
      <c r="H102" s="26" t="s">
        <v>29</v>
      </c>
      <c r="I102" s="26" t="s">
        <v>29</v>
      </c>
      <c r="J102" s="26" t="s">
        <v>29</v>
      </c>
    </row>
    <row x14ac:dyDescent="0.25" r="103" customHeight="1" ht="15.75">
      <c r="A103" s="13" t="s">
        <v>27</v>
      </c>
      <c r="B103" s="13" t="s">
        <v>232</v>
      </c>
      <c r="C103" s="26" t="s">
        <v>233</v>
      </c>
      <c r="D103" s="26" t="s">
        <v>95</v>
      </c>
      <c r="E103" s="26" t="s">
        <v>234</v>
      </c>
      <c r="F103" s="26" t="s">
        <v>43</v>
      </c>
      <c r="G103" s="26" t="s">
        <v>29</v>
      </c>
      <c r="H103" s="26" t="s">
        <v>29</v>
      </c>
      <c r="I103" s="26" t="s">
        <v>29</v>
      </c>
      <c r="J103" s="26" t="s">
        <v>29</v>
      </c>
    </row>
    <row x14ac:dyDescent="0.25" r="104" customHeight="1" ht="15.75">
      <c r="A104" s="13" t="s">
        <v>184</v>
      </c>
      <c r="B104" s="13" t="s">
        <v>235</v>
      </c>
      <c r="C104" s="26" t="s">
        <v>233</v>
      </c>
      <c r="D104" s="26" t="s">
        <v>122</v>
      </c>
      <c r="E104" s="26" t="s">
        <v>57</v>
      </c>
      <c r="F104" s="26" t="s">
        <v>29</v>
      </c>
      <c r="G104" s="26" t="s">
        <v>29</v>
      </c>
      <c r="H104" s="26" t="s">
        <v>29</v>
      </c>
      <c r="I104" s="26" t="s">
        <v>29</v>
      </c>
      <c r="J104" s="26" t="s">
        <v>29</v>
      </c>
    </row>
    <row x14ac:dyDescent="0.25" r="105" customHeight="1" ht="15.75">
      <c r="A105" s="13" t="s">
        <v>103</v>
      </c>
      <c r="B105" s="13" t="s">
        <v>236</v>
      </c>
      <c r="C105" s="26" t="s">
        <v>237</v>
      </c>
      <c r="D105" s="26" t="s">
        <v>191</v>
      </c>
      <c r="E105" s="26" t="s">
        <v>57</v>
      </c>
      <c r="F105" s="26" t="s">
        <v>29</v>
      </c>
      <c r="G105" s="26" t="s">
        <v>29</v>
      </c>
      <c r="H105" s="26" t="s">
        <v>29</v>
      </c>
      <c r="I105" s="26" t="s">
        <v>29</v>
      </c>
      <c r="J105" s="26" t="s">
        <v>29</v>
      </c>
    </row>
    <row x14ac:dyDescent="0.25" r="106" customHeight="1" ht="15.75">
      <c r="A106" s="13" t="s">
        <v>91</v>
      </c>
      <c r="B106" s="13" t="s">
        <v>238</v>
      </c>
      <c r="C106" s="26" t="s">
        <v>239</v>
      </c>
      <c r="D106" s="26" t="s">
        <v>240</v>
      </c>
      <c r="E106" s="26" t="s">
        <v>78</v>
      </c>
      <c r="F106" s="26" t="s">
        <v>143</v>
      </c>
      <c r="G106" s="26" t="s">
        <v>93</v>
      </c>
      <c r="H106" s="26" t="s">
        <v>29</v>
      </c>
      <c r="I106" s="26" t="s">
        <v>93</v>
      </c>
      <c r="J106" s="26" t="s">
        <v>29</v>
      </c>
    </row>
    <row x14ac:dyDescent="0.25" r="107" customHeight="1" ht="15.75">
      <c r="A107" s="13" t="s">
        <v>69</v>
      </c>
      <c r="B107" s="13" t="s">
        <v>241</v>
      </c>
      <c r="C107" s="26" t="s">
        <v>242</v>
      </c>
      <c r="D107" s="26" t="s">
        <v>47</v>
      </c>
      <c r="E107" s="26" t="s">
        <v>78</v>
      </c>
      <c r="F107" s="26" t="s">
        <v>29</v>
      </c>
      <c r="G107" s="26" t="s">
        <v>31</v>
      </c>
      <c r="H107" s="26" t="s">
        <v>29</v>
      </c>
      <c r="I107" s="26" t="s">
        <v>29</v>
      </c>
      <c r="J107" s="26" t="s">
        <v>29</v>
      </c>
    </row>
    <row x14ac:dyDescent="0.25" r="108" customHeight="1" ht="15.75">
      <c r="A108" s="13" t="s">
        <v>69</v>
      </c>
      <c r="B108" s="13" t="s">
        <v>243</v>
      </c>
      <c r="C108" s="26" t="s">
        <v>244</v>
      </c>
      <c r="D108" s="26" t="s">
        <v>201</v>
      </c>
      <c r="E108" s="26" t="s">
        <v>88</v>
      </c>
      <c r="F108" s="26" t="s">
        <v>29</v>
      </c>
      <c r="G108" s="26" t="s">
        <v>29</v>
      </c>
      <c r="H108" s="26" t="s">
        <v>29</v>
      </c>
      <c r="I108" s="26" t="s">
        <v>29</v>
      </c>
      <c r="J108" s="26" t="s">
        <v>29</v>
      </c>
    </row>
    <row x14ac:dyDescent="0.25" r="109" customHeight="1" ht="15.75">
      <c r="A109" s="13" t="s">
        <v>227</v>
      </c>
      <c r="B109" s="13" t="s">
        <v>245</v>
      </c>
      <c r="C109" s="26" t="s">
        <v>246</v>
      </c>
      <c r="D109" s="26" t="s">
        <v>247</v>
      </c>
      <c r="E109" s="26" t="s">
        <v>43</v>
      </c>
      <c r="F109" s="26" t="s">
        <v>29</v>
      </c>
      <c r="G109" s="26" t="s">
        <v>29</v>
      </c>
      <c r="H109" s="26" t="s">
        <v>29</v>
      </c>
      <c r="I109" s="26" t="s">
        <v>93</v>
      </c>
      <c r="J109" s="26" t="s">
        <v>29</v>
      </c>
    </row>
    <row x14ac:dyDescent="0.25" r="110" customHeight="1" ht="15.75">
      <c r="A110" s="13" t="s">
        <v>69</v>
      </c>
      <c r="B110" s="13" t="s">
        <v>248</v>
      </c>
      <c r="C110" s="26" t="s">
        <v>249</v>
      </c>
      <c r="D110" s="26" t="s">
        <v>250</v>
      </c>
      <c r="E110" s="26" t="s">
        <v>81</v>
      </c>
      <c r="F110" s="26" t="s">
        <v>29</v>
      </c>
      <c r="G110" s="26" t="s">
        <v>29</v>
      </c>
      <c r="H110" s="26" t="s">
        <v>29</v>
      </c>
      <c r="I110" s="26" t="s">
        <v>29</v>
      </c>
      <c r="J110" s="26" t="s">
        <v>29</v>
      </c>
    </row>
    <row x14ac:dyDescent="0.25" r="111" customHeight="1" ht="15.75">
      <c r="A111" s="13" t="s">
        <v>69</v>
      </c>
      <c r="B111" s="13" t="s">
        <v>251</v>
      </c>
      <c r="C111" s="26" t="s">
        <v>252</v>
      </c>
      <c r="D111" s="26" t="s">
        <v>93</v>
      </c>
      <c r="E111" s="26" t="s">
        <v>88</v>
      </c>
      <c r="F111" s="26" t="s">
        <v>29</v>
      </c>
      <c r="G111" s="26" t="s">
        <v>29</v>
      </c>
      <c r="H111" s="26" t="s">
        <v>29</v>
      </c>
      <c r="I111" s="26" t="s">
        <v>29</v>
      </c>
      <c r="J111" s="26" t="s">
        <v>29</v>
      </c>
    </row>
    <row x14ac:dyDescent="0.25" r="112" customHeight="1" ht="15.75">
      <c r="A112" s="13" t="s">
        <v>91</v>
      </c>
      <c r="B112" s="13" t="s">
        <v>253</v>
      </c>
      <c r="C112" s="26" t="s">
        <v>254</v>
      </c>
      <c r="D112" s="26" t="s">
        <v>29</v>
      </c>
      <c r="E112" s="26" t="s">
        <v>57</v>
      </c>
      <c r="F112" s="26" t="s">
        <v>43</v>
      </c>
      <c r="G112" s="26" t="s">
        <v>29</v>
      </c>
      <c r="H112" s="26" t="s">
        <v>29</v>
      </c>
      <c r="I112" s="26" t="s">
        <v>29</v>
      </c>
      <c r="J112" s="26" t="s">
        <v>29</v>
      </c>
    </row>
    <row x14ac:dyDescent="0.25" r="113" customHeight="1" ht="15.75">
      <c r="A113" s="13" t="s">
        <v>69</v>
      </c>
      <c r="B113" s="13" t="s">
        <v>255</v>
      </c>
      <c r="C113" s="26" t="s">
        <v>256</v>
      </c>
      <c r="D113" s="26" t="s">
        <v>87</v>
      </c>
      <c r="E113" s="26" t="s">
        <v>201</v>
      </c>
      <c r="F113" s="26" t="s">
        <v>29</v>
      </c>
      <c r="G113" s="26" t="s">
        <v>29</v>
      </c>
      <c r="H113" s="26" t="s">
        <v>29</v>
      </c>
      <c r="I113" s="26" t="s">
        <v>29</v>
      </c>
      <c r="J113" s="26" t="s">
        <v>29</v>
      </c>
    </row>
    <row x14ac:dyDescent="0.25" r="114" customHeight="1" ht="15.75">
      <c r="A114" s="13" t="s">
        <v>27</v>
      </c>
      <c r="B114" s="13" t="s">
        <v>257</v>
      </c>
      <c r="C114" s="26" t="s">
        <v>258</v>
      </c>
      <c r="D114" s="26" t="s">
        <v>259</v>
      </c>
      <c r="E114" s="26" t="s">
        <v>78</v>
      </c>
      <c r="F114" s="26" t="s">
        <v>29</v>
      </c>
      <c r="G114" s="26" t="s">
        <v>29</v>
      </c>
      <c r="H114" s="26" t="s">
        <v>29</v>
      </c>
      <c r="I114" s="26" t="s">
        <v>29</v>
      </c>
      <c r="J114" s="26" t="s">
        <v>29</v>
      </c>
    </row>
    <row x14ac:dyDescent="0.25" r="115" customHeight="1" ht="15.75">
      <c r="A115" s="13" t="s">
        <v>91</v>
      </c>
      <c r="B115" s="13" t="s">
        <v>260</v>
      </c>
      <c r="C115" s="26" t="s">
        <v>261</v>
      </c>
      <c r="D115" s="26" t="s">
        <v>78</v>
      </c>
      <c r="E115" s="26" t="s">
        <v>63</v>
      </c>
      <c r="F115" s="26" t="s">
        <v>29</v>
      </c>
      <c r="G115" s="26" t="s">
        <v>29</v>
      </c>
      <c r="H115" s="26" t="s">
        <v>29</v>
      </c>
      <c r="I115" s="26" t="s">
        <v>29</v>
      </c>
      <c r="J115" s="26" t="s">
        <v>29</v>
      </c>
    </row>
    <row x14ac:dyDescent="0.25" r="116" customHeight="1" ht="15.75">
      <c r="A116" s="13" t="s">
        <v>69</v>
      </c>
      <c r="B116" s="13" t="s">
        <v>262</v>
      </c>
      <c r="C116" s="26" t="s">
        <v>263</v>
      </c>
      <c r="D116" s="26" t="s">
        <v>29</v>
      </c>
      <c r="E116" s="26" t="s">
        <v>34</v>
      </c>
      <c r="F116" s="26" t="s">
        <v>29</v>
      </c>
      <c r="G116" s="26" t="s">
        <v>29</v>
      </c>
      <c r="H116" s="26" t="s">
        <v>29</v>
      </c>
      <c r="I116" s="26" t="s">
        <v>29</v>
      </c>
      <c r="J116" s="26" t="s">
        <v>29</v>
      </c>
    </row>
    <row x14ac:dyDescent="0.25" r="117" customHeight="1" ht="15.75">
      <c r="A117" s="13" t="s">
        <v>69</v>
      </c>
      <c r="B117" s="13" t="s">
        <v>264</v>
      </c>
      <c r="C117" s="26" t="s">
        <v>265</v>
      </c>
      <c r="D117" s="26" t="s">
        <v>29</v>
      </c>
      <c r="E117" s="26" t="s">
        <v>34</v>
      </c>
      <c r="F117" s="26" t="s">
        <v>29</v>
      </c>
      <c r="G117" s="26" t="s">
        <v>29</v>
      </c>
      <c r="H117" s="26" t="s">
        <v>29</v>
      </c>
      <c r="I117" s="26" t="s">
        <v>29</v>
      </c>
      <c r="J117" s="26" t="s">
        <v>29</v>
      </c>
    </row>
    <row x14ac:dyDescent="0.25" r="118" customHeight="1" ht="15.75">
      <c r="A118" s="13" t="s">
        <v>69</v>
      </c>
      <c r="B118" s="13" t="s">
        <v>266</v>
      </c>
      <c r="C118" s="26" t="s">
        <v>265</v>
      </c>
      <c r="D118" s="26" t="s">
        <v>47</v>
      </c>
      <c r="E118" s="26" t="s">
        <v>31</v>
      </c>
      <c r="F118" s="26" t="s">
        <v>29</v>
      </c>
      <c r="G118" s="26" t="s">
        <v>29</v>
      </c>
      <c r="H118" s="26" t="s">
        <v>29</v>
      </c>
      <c r="I118" s="26" t="s">
        <v>29</v>
      </c>
      <c r="J118" s="26" t="s">
        <v>29</v>
      </c>
    </row>
    <row x14ac:dyDescent="0.25" r="119" customHeight="1" ht="15.75">
      <c r="A119" s="13" t="s">
        <v>129</v>
      </c>
      <c r="B119" s="13" t="s">
        <v>267</v>
      </c>
      <c r="C119" s="26" t="s">
        <v>268</v>
      </c>
      <c r="D119" s="26" t="s">
        <v>204</v>
      </c>
      <c r="E119" s="26" t="s">
        <v>31</v>
      </c>
      <c r="F119" s="26" t="s">
        <v>37</v>
      </c>
      <c r="G119" s="26" t="s">
        <v>37</v>
      </c>
      <c r="H119" s="26" t="s">
        <v>37</v>
      </c>
      <c r="I119" s="26" t="s">
        <v>29</v>
      </c>
      <c r="J119" s="26" t="s">
        <v>29</v>
      </c>
    </row>
    <row x14ac:dyDescent="0.25" r="120" customHeight="1" ht="15.75">
      <c r="A120" s="13" t="s">
        <v>91</v>
      </c>
      <c r="B120" s="13" t="s">
        <v>269</v>
      </c>
      <c r="C120" s="26" t="s">
        <v>268</v>
      </c>
      <c r="D120" s="26" t="s">
        <v>29</v>
      </c>
      <c r="E120" s="26" t="s">
        <v>57</v>
      </c>
      <c r="F120" s="26" t="s">
        <v>29</v>
      </c>
      <c r="G120" s="26" t="s">
        <v>29</v>
      </c>
      <c r="H120" s="26" t="s">
        <v>29</v>
      </c>
      <c r="I120" s="26" t="s">
        <v>29</v>
      </c>
      <c r="J120" s="26" t="s">
        <v>29</v>
      </c>
    </row>
    <row x14ac:dyDescent="0.25" r="121" customHeight="1" ht="15.75">
      <c r="A121" s="13" t="s">
        <v>184</v>
      </c>
      <c r="B121" s="13" t="s">
        <v>270</v>
      </c>
      <c r="C121" s="26" t="s">
        <v>271</v>
      </c>
      <c r="D121" s="26" t="s">
        <v>179</v>
      </c>
      <c r="E121" s="26" t="s">
        <v>34</v>
      </c>
      <c r="F121" s="26" t="s">
        <v>29</v>
      </c>
      <c r="G121" s="26" t="s">
        <v>29</v>
      </c>
      <c r="H121" s="26" t="s">
        <v>29</v>
      </c>
      <c r="I121" s="26" t="s">
        <v>29</v>
      </c>
      <c r="J121" s="26" t="s">
        <v>29</v>
      </c>
    </row>
    <row x14ac:dyDescent="0.25" r="122" customHeight="1" ht="15.75">
      <c r="A122" s="13" t="s">
        <v>27</v>
      </c>
      <c r="B122" s="13" t="s">
        <v>272</v>
      </c>
      <c r="C122" s="26" t="s">
        <v>273</v>
      </c>
      <c r="D122" s="26" t="s">
        <v>179</v>
      </c>
      <c r="E122" s="26" t="s">
        <v>122</v>
      </c>
      <c r="F122" s="26" t="s">
        <v>29</v>
      </c>
      <c r="G122" s="26" t="s">
        <v>29</v>
      </c>
      <c r="H122" s="26" t="s">
        <v>29</v>
      </c>
      <c r="I122" s="26" t="s">
        <v>29</v>
      </c>
      <c r="J122" s="26" t="s">
        <v>29</v>
      </c>
    </row>
    <row x14ac:dyDescent="0.25" r="123" customHeight="1" ht="15.75">
      <c r="A123" s="13" t="s">
        <v>103</v>
      </c>
      <c r="B123" s="13" t="s">
        <v>274</v>
      </c>
      <c r="C123" s="26" t="s">
        <v>275</v>
      </c>
      <c r="D123" s="26" t="s">
        <v>29</v>
      </c>
      <c r="E123" s="26" t="s">
        <v>37</v>
      </c>
      <c r="F123" s="26" t="s">
        <v>29</v>
      </c>
      <c r="G123" s="26" t="s">
        <v>29</v>
      </c>
      <c r="H123" s="26" t="s">
        <v>29</v>
      </c>
      <c r="I123" s="26" t="s">
        <v>29</v>
      </c>
      <c r="J123" s="26" t="s">
        <v>29</v>
      </c>
    </row>
    <row x14ac:dyDescent="0.25" r="124" customHeight="1" ht="15.75">
      <c r="A124" s="13" t="s">
        <v>91</v>
      </c>
      <c r="B124" s="13" t="s">
        <v>276</v>
      </c>
      <c r="C124" s="26" t="s">
        <v>277</v>
      </c>
      <c r="D124" s="26" t="s">
        <v>278</v>
      </c>
      <c r="E124" s="26" t="s">
        <v>57</v>
      </c>
      <c r="F124" s="26" t="s">
        <v>31</v>
      </c>
      <c r="G124" s="26" t="s">
        <v>31</v>
      </c>
      <c r="H124" s="26" t="s">
        <v>31</v>
      </c>
      <c r="I124" s="26" t="s">
        <v>29</v>
      </c>
      <c r="J124" s="26" t="s">
        <v>29</v>
      </c>
    </row>
    <row x14ac:dyDescent="0.25" r="125" customHeight="1" ht="15.75">
      <c r="A125" s="13" t="s">
        <v>103</v>
      </c>
      <c r="B125" s="13" t="s">
        <v>279</v>
      </c>
      <c r="C125" s="26" t="s">
        <v>280</v>
      </c>
      <c r="D125" s="26" t="s">
        <v>204</v>
      </c>
      <c r="E125" s="26" t="s">
        <v>57</v>
      </c>
      <c r="F125" s="26" t="s">
        <v>29</v>
      </c>
      <c r="G125" s="26" t="s">
        <v>29</v>
      </c>
      <c r="H125" s="26" t="s">
        <v>29</v>
      </c>
      <c r="I125" s="26" t="s">
        <v>29</v>
      </c>
      <c r="J125" s="26" t="s">
        <v>29</v>
      </c>
    </row>
    <row x14ac:dyDescent="0.25" r="126" customHeight="1" ht="15.75">
      <c r="A126" s="13" t="s">
        <v>69</v>
      </c>
      <c r="B126" s="13" t="s">
        <v>281</v>
      </c>
      <c r="C126" s="26" t="s">
        <v>282</v>
      </c>
      <c r="D126" s="26" t="s">
        <v>283</v>
      </c>
      <c r="E126" s="26" t="s">
        <v>57</v>
      </c>
      <c r="F126" s="26" t="s">
        <v>54</v>
      </c>
      <c r="G126" s="26" t="s">
        <v>42</v>
      </c>
      <c r="H126" s="26" t="s">
        <v>42</v>
      </c>
      <c r="I126" s="26" t="s">
        <v>29</v>
      </c>
      <c r="J126" s="26" t="s">
        <v>29</v>
      </c>
    </row>
    <row x14ac:dyDescent="0.25" r="127" customHeight="1" ht="15.75">
      <c r="A127" s="13" t="s">
        <v>227</v>
      </c>
      <c r="B127" s="13" t="s">
        <v>284</v>
      </c>
      <c r="C127" s="26" t="s">
        <v>285</v>
      </c>
      <c r="D127" s="26" t="s">
        <v>50</v>
      </c>
      <c r="E127" s="26" t="s">
        <v>57</v>
      </c>
      <c r="F127" s="26" t="s">
        <v>29</v>
      </c>
      <c r="G127" s="26" t="s">
        <v>29</v>
      </c>
      <c r="H127" s="26" t="s">
        <v>29</v>
      </c>
      <c r="I127" s="26" t="s">
        <v>29</v>
      </c>
      <c r="J127" s="26" t="s">
        <v>29</v>
      </c>
    </row>
    <row x14ac:dyDescent="0.25" r="128" customHeight="1" ht="15.75">
      <c r="A128" s="13" t="s">
        <v>69</v>
      </c>
      <c r="B128" s="13" t="s">
        <v>286</v>
      </c>
      <c r="C128" s="26" t="s">
        <v>287</v>
      </c>
      <c r="D128" s="26" t="s">
        <v>143</v>
      </c>
      <c r="E128" s="26" t="s">
        <v>37</v>
      </c>
      <c r="F128" s="26" t="s">
        <v>154</v>
      </c>
      <c r="G128" s="26" t="s">
        <v>278</v>
      </c>
      <c r="H128" s="26" t="s">
        <v>29</v>
      </c>
      <c r="I128" s="26" t="s">
        <v>288</v>
      </c>
      <c r="J128" s="26" t="s">
        <v>29</v>
      </c>
    </row>
    <row x14ac:dyDescent="0.25" r="129" customHeight="1" ht="15.75">
      <c r="A129" s="13" t="s">
        <v>27</v>
      </c>
      <c r="B129" s="13" t="s">
        <v>289</v>
      </c>
      <c r="C129" s="26" t="s">
        <v>290</v>
      </c>
      <c r="D129" s="26" t="s">
        <v>29</v>
      </c>
      <c r="E129" s="26" t="s">
        <v>34</v>
      </c>
      <c r="F129" s="26" t="s">
        <v>29</v>
      </c>
      <c r="G129" s="26" t="s">
        <v>29</v>
      </c>
      <c r="H129" s="26" t="s">
        <v>29</v>
      </c>
      <c r="I129" s="26" t="s">
        <v>31</v>
      </c>
      <c r="J129" s="26" t="s">
        <v>29</v>
      </c>
    </row>
    <row x14ac:dyDescent="0.25" r="130" customHeight="1" ht="15.75">
      <c r="A130" s="13" t="s">
        <v>227</v>
      </c>
      <c r="B130" s="13" t="s">
        <v>291</v>
      </c>
      <c r="C130" s="26" t="s">
        <v>292</v>
      </c>
      <c r="D130" s="26" t="s">
        <v>293</v>
      </c>
      <c r="E130" s="26" t="s">
        <v>93</v>
      </c>
      <c r="F130" s="26" t="s">
        <v>294</v>
      </c>
      <c r="G130" s="26" t="s">
        <v>295</v>
      </c>
      <c r="H130" s="26" t="s">
        <v>29</v>
      </c>
      <c r="I130" s="26" t="s">
        <v>54</v>
      </c>
      <c r="J130" s="26" t="s">
        <v>29</v>
      </c>
    </row>
    <row x14ac:dyDescent="0.25" r="131" customHeight="1" ht="15.75">
      <c r="A131" s="13" t="s">
        <v>69</v>
      </c>
      <c r="B131" s="13" t="s">
        <v>296</v>
      </c>
      <c r="C131" s="26" t="s">
        <v>297</v>
      </c>
      <c r="D131" s="26" t="s">
        <v>29</v>
      </c>
      <c r="E131" s="26" t="s">
        <v>37</v>
      </c>
      <c r="F131" s="26" t="s">
        <v>29</v>
      </c>
      <c r="G131" s="26" t="s">
        <v>29</v>
      </c>
      <c r="H131" s="26" t="s">
        <v>29</v>
      </c>
      <c r="I131" s="26" t="s">
        <v>29</v>
      </c>
      <c r="J131" s="26" t="s">
        <v>29</v>
      </c>
    </row>
    <row x14ac:dyDescent="0.25" r="132" customHeight="1" ht="15.75">
      <c r="A132" s="13" t="s">
        <v>69</v>
      </c>
      <c r="B132" s="13" t="s">
        <v>298</v>
      </c>
      <c r="C132" s="26" t="s">
        <v>297</v>
      </c>
      <c r="D132" s="26" t="s">
        <v>179</v>
      </c>
      <c r="E132" s="26" t="s">
        <v>31</v>
      </c>
      <c r="F132" s="26" t="s">
        <v>29</v>
      </c>
      <c r="G132" s="26" t="s">
        <v>29</v>
      </c>
      <c r="H132" s="26" t="s">
        <v>29</v>
      </c>
      <c r="I132" s="26" t="s">
        <v>29</v>
      </c>
      <c r="J132" s="26" t="s">
        <v>29</v>
      </c>
    </row>
    <row x14ac:dyDescent="0.25" r="133" customHeight="1" ht="15.75">
      <c r="A133" s="13" t="s">
        <v>103</v>
      </c>
      <c r="B133" s="13" t="s">
        <v>299</v>
      </c>
      <c r="C133" s="26" t="s">
        <v>300</v>
      </c>
      <c r="D133" s="26" t="s">
        <v>204</v>
      </c>
      <c r="E133" s="26" t="s">
        <v>37</v>
      </c>
      <c r="F133" s="26" t="s">
        <v>29</v>
      </c>
      <c r="G133" s="26" t="s">
        <v>201</v>
      </c>
      <c r="H133" s="26" t="s">
        <v>29</v>
      </c>
      <c r="I133" s="26" t="s">
        <v>201</v>
      </c>
      <c r="J133" s="26" t="s">
        <v>29</v>
      </c>
    </row>
    <row x14ac:dyDescent="0.25" r="134" customHeight="1" ht="15.75">
      <c r="A134" s="13" t="s">
        <v>184</v>
      </c>
      <c r="B134" s="13" t="s">
        <v>301</v>
      </c>
      <c r="C134" s="26" t="s">
        <v>300</v>
      </c>
      <c r="D134" s="26" t="s">
        <v>302</v>
      </c>
      <c r="E134" s="26" t="s">
        <v>37</v>
      </c>
      <c r="F134" s="26" t="s">
        <v>303</v>
      </c>
      <c r="G134" s="26" t="s">
        <v>250</v>
      </c>
      <c r="H134" s="26" t="s">
        <v>29</v>
      </c>
      <c r="I134" s="26" t="s">
        <v>50</v>
      </c>
      <c r="J134" s="26" t="s">
        <v>29</v>
      </c>
    </row>
    <row x14ac:dyDescent="0.25" r="135" customHeight="1" ht="15.75">
      <c r="A135" s="13" t="s">
        <v>103</v>
      </c>
      <c r="B135" s="13" t="s">
        <v>304</v>
      </c>
      <c r="C135" s="26" t="s">
        <v>305</v>
      </c>
      <c r="D135" s="26" t="s">
        <v>240</v>
      </c>
      <c r="E135" s="26" t="s">
        <v>37</v>
      </c>
      <c r="F135" s="26" t="s">
        <v>43</v>
      </c>
      <c r="G135" s="26" t="s">
        <v>29</v>
      </c>
      <c r="H135" s="26" t="s">
        <v>29</v>
      </c>
      <c r="I135" s="26" t="s">
        <v>29</v>
      </c>
      <c r="J135" s="26" t="s">
        <v>29</v>
      </c>
    </row>
    <row x14ac:dyDescent="0.25" r="136" customHeight="1" ht="15.75">
      <c r="A136" s="13" t="s">
        <v>27</v>
      </c>
      <c r="B136" s="13" t="s">
        <v>306</v>
      </c>
      <c r="C136" s="26" t="s">
        <v>307</v>
      </c>
      <c r="D136" s="26" t="s">
        <v>308</v>
      </c>
      <c r="E136" s="26" t="s">
        <v>57</v>
      </c>
      <c r="F136" s="26" t="s">
        <v>29</v>
      </c>
      <c r="G136" s="26" t="s">
        <v>43</v>
      </c>
      <c r="H136" s="26" t="s">
        <v>29</v>
      </c>
      <c r="I136" s="26" t="s">
        <v>29</v>
      </c>
      <c r="J136" s="26" t="s">
        <v>29</v>
      </c>
    </row>
    <row x14ac:dyDescent="0.25" r="137" customHeight="1" ht="15.75">
      <c r="A137" s="13" t="s">
        <v>69</v>
      </c>
      <c r="B137" s="13" t="s">
        <v>309</v>
      </c>
      <c r="C137" s="26" t="s">
        <v>307</v>
      </c>
      <c r="D137" s="26" t="s">
        <v>78</v>
      </c>
      <c r="E137" s="26" t="s">
        <v>43</v>
      </c>
      <c r="F137" s="26" t="s">
        <v>34</v>
      </c>
      <c r="G137" s="26" t="s">
        <v>29</v>
      </c>
      <c r="H137" s="26" t="s">
        <v>29</v>
      </c>
      <c r="I137" s="26" t="s">
        <v>29</v>
      </c>
      <c r="J137" s="26" t="s">
        <v>29</v>
      </c>
    </row>
    <row x14ac:dyDescent="0.25" r="138" customHeight="1" ht="15.75">
      <c r="A138" s="13" t="s">
        <v>69</v>
      </c>
      <c r="B138" s="13" t="s">
        <v>310</v>
      </c>
      <c r="C138" s="26" t="s">
        <v>311</v>
      </c>
      <c r="D138" s="26" t="s">
        <v>29</v>
      </c>
      <c r="E138" s="26" t="s">
        <v>122</v>
      </c>
      <c r="F138" s="26" t="s">
        <v>93</v>
      </c>
      <c r="G138" s="26" t="s">
        <v>29</v>
      </c>
      <c r="H138" s="26" t="s">
        <v>29</v>
      </c>
      <c r="I138" s="26" t="s">
        <v>29</v>
      </c>
      <c r="J138" s="26" t="s">
        <v>29</v>
      </c>
    </row>
    <row x14ac:dyDescent="0.25" r="139" customHeight="1" ht="15.75">
      <c r="A139" s="13" t="s">
        <v>103</v>
      </c>
      <c r="B139" s="13" t="s">
        <v>312</v>
      </c>
      <c r="C139" s="26" t="s">
        <v>311</v>
      </c>
      <c r="D139" s="26" t="s">
        <v>54</v>
      </c>
      <c r="E139" s="26" t="s">
        <v>43</v>
      </c>
      <c r="F139" s="26" t="s">
        <v>74</v>
      </c>
      <c r="G139" s="26" t="s">
        <v>29</v>
      </c>
      <c r="H139" s="26" t="s">
        <v>29</v>
      </c>
      <c r="I139" s="26" t="s">
        <v>29</v>
      </c>
      <c r="J139" s="26" t="s">
        <v>29</v>
      </c>
    </row>
    <row x14ac:dyDescent="0.25" r="140" customHeight="1" ht="15.75">
      <c r="A140" s="13" t="s">
        <v>103</v>
      </c>
      <c r="B140" s="13" t="s">
        <v>313</v>
      </c>
      <c r="C140" s="26" t="s">
        <v>314</v>
      </c>
      <c r="D140" s="26" t="s">
        <v>29</v>
      </c>
      <c r="E140" s="26" t="s">
        <v>78</v>
      </c>
      <c r="F140" s="26" t="s">
        <v>31</v>
      </c>
      <c r="G140" s="26" t="s">
        <v>31</v>
      </c>
      <c r="H140" s="26" t="s">
        <v>29</v>
      </c>
      <c r="I140" s="26" t="s">
        <v>31</v>
      </c>
      <c r="J140" s="26" t="s">
        <v>29</v>
      </c>
    </row>
    <row x14ac:dyDescent="0.25" r="141" customHeight="1" ht="15.75">
      <c r="A141" s="13" t="s">
        <v>69</v>
      </c>
      <c r="B141" s="13" t="s">
        <v>315</v>
      </c>
      <c r="C141" s="26" t="s">
        <v>316</v>
      </c>
      <c r="D141" s="26" t="s">
        <v>84</v>
      </c>
      <c r="E141" s="26" t="s">
        <v>81</v>
      </c>
      <c r="F141" s="26" t="s">
        <v>29</v>
      </c>
      <c r="G141" s="26" t="s">
        <v>29</v>
      </c>
      <c r="H141" s="26" t="s">
        <v>29</v>
      </c>
      <c r="I141" s="26" t="s">
        <v>34</v>
      </c>
      <c r="J141" s="26" t="s">
        <v>29</v>
      </c>
    </row>
    <row x14ac:dyDescent="0.25" r="142" customHeight="1" ht="15.75">
      <c r="A142" s="13" t="s">
        <v>69</v>
      </c>
      <c r="B142" s="13" t="s">
        <v>317</v>
      </c>
      <c r="C142" s="26" t="s">
        <v>318</v>
      </c>
      <c r="D142" s="26" t="s">
        <v>319</v>
      </c>
      <c r="E142" s="26" t="s">
        <v>143</v>
      </c>
      <c r="F142" s="26" t="s">
        <v>31</v>
      </c>
      <c r="G142" s="26" t="s">
        <v>29</v>
      </c>
      <c r="H142" s="26" t="s">
        <v>29</v>
      </c>
      <c r="I142" s="26" t="s">
        <v>105</v>
      </c>
      <c r="J142" s="26" t="s">
        <v>29</v>
      </c>
    </row>
    <row x14ac:dyDescent="0.25" r="143" customHeight="1" ht="15.75">
      <c r="A143" s="13" t="s">
        <v>91</v>
      </c>
      <c r="B143" s="13" t="s">
        <v>320</v>
      </c>
      <c r="C143" s="26" t="s">
        <v>318</v>
      </c>
      <c r="D143" s="26" t="s">
        <v>29</v>
      </c>
      <c r="E143" s="26" t="s">
        <v>88</v>
      </c>
      <c r="F143" s="26" t="s">
        <v>78</v>
      </c>
      <c r="G143" s="26" t="s">
        <v>29</v>
      </c>
      <c r="H143" s="26" t="s">
        <v>29</v>
      </c>
      <c r="I143" s="26" t="s">
        <v>29</v>
      </c>
      <c r="J143" s="26" t="s">
        <v>29</v>
      </c>
    </row>
    <row x14ac:dyDescent="0.25" r="144" customHeight="1" ht="15.75">
      <c r="A144" s="13" t="s">
        <v>227</v>
      </c>
      <c r="B144" s="13" t="s">
        <v>321</v>
      </c>
      <c r="C144" s="26" t="s">
        <v>318</v>
      </c>
      <c r="D144" s="26" t="s">
        <v>201</v>
      </c>
      <c r="E144" s="26" t="s">
        <v>81</v>
      </c>
      <c r="F144" s="26" t="s">
        <v>74</v>
      </c>
      <c r="G144" s="26" t="s">
        <v>29</v>
      </c>
      <c r="H144" s="26" t="s">
        <v>29</v>
      </c>
      <c r="I144" s="26" t="s">
        <v>29</v>
      </c>
      <c r="J144" s="26" t="s">
        <v>29</v>
      </c>
    </row>
    <row x14ac:dyDescent="0.25" r="145" customHeight="1" ht="15.75">
      <c r="A145" s="13" t="s">
        <v>198</v>
      </c>
      <c r="B145" s="13" t="s">
        <v>322</v>
      </c>
      <c r="C145" s="26" t="s">
        <v>323</v>
      </c>
      <c r="D145" s="26" t="s">
        <v>36</v>
      </c>
      <c r="E145" s="26" t="s">
        <v>37</v>
      </c>
      <c r="F145" s="26" t="s">
        <v>29</v>
      </c>
      <c r="G145" s="26" t="s">
        <v>29</v>
      </c>
      <c r="H145" s="26" t="s">
        <v>29</v>
      </c>
      <c r="I145" s="26" t="s">
        <v>29</v>
      </c>
      <c r="J145" s="26" t="s">
        <v>29</v>
      </c>
    </row>
    <row x14ac:dyDescent="0.25" r="146" customHeight="1" ht="15.75">
      <c r="A146" s="13" t="s">
        <v>198</v>
      </c>
      <c r="B146" s="13" t="s">
        <v>324</v>
      </c>
      <c r="C146" s="26" t="s">
        <v>325</v>
      </c>
      <c r="D146" s="26" t="s">
        <v>78</v>
      </c>
      <c r="E146" s="26" t="s">
        <v>57</v>
      </c>
      <c r="F146" s="26" t="s">
        <v>29</v>
      </c>
      <c r="G146" s="26" t="s">
        <v>29</v>
      </c>
      <c r="H146" s="26" t="s">
        <v>29</v>
      </c>
      <c r="I146" s="26" t="s">
        <v>29</v>
      </c>
      <c r="J146" s="26" t="s">
        <v>29</v>
      </c>
    </row>
    <row x14ac:dyDescent="0.25" r="147" customHeight="1" ht="15.75">
      <c r="A147" s="13" t="s">
        <v>198</v>
      </c>
      <c r="B147" s="13" t="s">
        <v>326</v>
      </c>
      <c r="C147" s="26" t="s">
        <v>327</v>
      </c>
      <c r="D147" s="26" t="s">
        <v>43</v>
      </c>
      <c r="E147" s="26" t="s">
        <v>81</v>
      </c>
      <c r="F147" s="26" t="s">
        <v>34</v>
      </c>
      <c r="G147" s="26" t="s">
        <v>29</v>
      </c>
      <c r="H147" s="26" t="s">
        <v>29</v>
      </c>
      <c r="I147" s="26" t="s">
        <v>29</v>
      </c>
      <c r="J147" s="26" t="s">
        <v>29</v>
      </c>
    </row>
    <row x14ac:dyDescent="0.25" r="148" customHeight="1" ht="15.75">
      <c r="A148" s="13" t="s">
        <v>126</v>
      </c>
      <c r="B148" s="13" t="s">
        <v>328</v>
      </c>
      <c r="C148" s="26" t="s">
        <v>329</v>
      </c>
      <c r="D148" s="26" t="s">
        <v>50</v>
      </c>
      <c r="E148" s="26" t="s">
        <v>57</v>
      </c>
      <c r="F148" s="26" t="s">
        <v>29</v>
      </c>
      <c r="G148" s="26" t="s">
        <v>37</v>
      </c>
      <c r="H148" s="26" t="s">
        <v>29</v>
      </c>
      <c r="I148" s="26" t="s">
        <v>29</v>
      </c>
      <c r="J148" s="26" t="s">
        <v>29</v>
      </c>
    </row>
    <row x14ac:dyDescent="0.25" r="149" customHeight="1" ht="15.75">
      <c r="A149" s="13" t="s">
        <v>103</v>
      </c>
      <c r="B149" s="13" t="s">
        <v>330</v>
      </c>
      <c r="C149" s="26" t="s">
        <v>329</v>
      </c>
      <c r="D149" s="26" t="s">
        <v>52</v>
      </c>
      <c r="E149" s="26" t="s">
        <v>63</v>
      </c>
      <c r="F149" s="26" t="s">
        <v>331</v>
      </c>
      <c r="G149" s="26" t="s">
        <v>29</v>
      </c>
      <c r="H149" s="26" t="s">
        <v>29</v>
      </c>
      <c r="I149" s="26" t="s">
        <v>332</v>
      </c>
      <c r="J149" s="26" t="s">
        <v>29</v>
      </c>
    </row>
    <row x14ac:dyDescent="0.25" r="150" customHeight="1" ht="15.75">
      <c r="A150" s="13" t="s">
        <v>103</v>
      </c>
      <c r="B150" s="13" t="s">
        <v>333</v>
      </c>
      <c r="C150" s="26" t="s">
        <v>334</v>
      </c>
      <c r="D150" s="26" t="s">
        <v>29</v>
      </c>
      <c r="E150" s="26" t="s">
        <v>88</v>
      </c>
      <c r="F150" s="26" t="s">
        <v>34</v>
      </c>
      <c r="G150" s="26" t="s">
        <v>29</v>
      </c>
      <c r="H150" s="26" t="s">
        <v>29</v>
      </c>
      <c r="I150" s="26" t="s">
        <v>29</v>
      </c>
      <c r="J150" s="26" t="s">
        <v>29</v>
      </c>
    </row>
    <row x14ac:dyDescent="0.25" r="151" customHeight="1" ht="15.75">
      <c r="A151" s="13" t="s">
        <v>227</v>
      </c>
      <c r="B151" s="13" t="s">
        <v>335</v>
      </c>
      <c r="C151" s="26" t="s">
        <v>334</v>
      </c>
      <c r="D151" s="26" t="s">
        <v>36</v>
      </c>
      <c r="E151" s="26" t="s">
        <v>88</v>
      </c>
      <c r="F151" s="26" t="s">
        <v>29</v>
      </c>
      <c r="G151" s="26" t="s">
        <v>29</v>
      </c>
      <c r="H151" s="26" t="s">
        <v>29</v>
      </c>
      <c r="I151" s="26" t="s">
        <v>29</v>
      </c>
      <c r="J151" s="26" t="s">
        <v>29</v>
      </c>
    </row>
    <row x14ac:dyDescent="0.25" r="152" customHeight="1" ht="15.75">
      <c r="A152" s="13" t="s">
        <v>69</v>
      </c>
      <c r="B152" s="13" t="s">
        <v>336</v>
      </c>
      <c r="C152" s="26" t="s">
        <v>337</v>
      </c>
      <c r="D152" s="26" t="s">
        <v>97</v>
      </c>
      <c r="E152" s="26" t="s">
        <v>57</v>
      </c>
      <c r="F152" s="26" t="s">
        <v>43</v>
      </c>
      <c r="G152" s="26" t="s">
        <v>29</v>
      </c>
      <c r="H152" s="26" t="s">
        <v>29</v>
      </c>
      <c r="I152" s="26" t="s">
        <v>29</v>
      </c>
      <c r="J152" s="26" t="s">
        <v>29</v>
      </c>
    </row>
    <row x14ac:dyDescent="0.25" r="153" customHeight="1" ht="15.75">
      <c r="A153" s="13" t="s">
        <v>103</v>
      </c>
      <c r="B153" s="13" t="s">
        <v>338</v>
      </c>
      <c r="C153" s="26" t="s">
        <v>339</v>
      </c>
      <c r="D153" s="26" t="s">
        <v>29</v>
      </c>
      <c r="E153" s="26" t="s">
        <v>78</v>
      </c>
      <c r="F153" s="26" t="s">
        <v>34</v>
      </c>
      <c r="G153" s="26" t="s">
        <v>78</v>
      </c>
      <c r="H153" s="26" t="s">
        <v>29</v>
      </c>
      <c r="I153" s="26" t="s">
        <v>78</v>
      </c>
      <c r="J153" s="26" t="s">
        <v>29</v>
      </c>
    </row>
    <row x14ac:dyDescent="0.25" r="154" customHeight="1" ht="15.75">
      <c r="A154" s="13" t="s">
        <v>227</v>
      </c>
      <c r="B154" s="13" t="s">
        <v>340</v>
      </c>
      <c r="C154" s="26" t="s">
        <v>341</v>
      </c>
      <c r="D154" s="26" t="s">
        <v>278</v>
      </c>
      <c r="E154" s="26" t="s">
        <v>122</v>
      </c>
      <c r="F154" s="26" t="s">
        <v>29</v>
      </c>
      <c r="G154" s="26" t="s">
        <v>29</v>
      </c>
      <c r="H154" s="26" t="s">
        <v>29</v>
      </c>
      <c r="I154" s="26" t="s">
        <v>29</v>
      </c>
      <c r="J154" s="26" t="s">
        <v>29</v>
      </c>
    </row>
    <row x14ac:dyDescent="0.25" r="155" customHeight="1" ht="15.75">
      <c r="A155" s="13" t="s">
        <v>27</v>
      </c>
      <c r="B155" s="13" t="s">
        <v>342</v>
      </c>
      <c r="C155" s="26" t="s">
        <v>343</v>
      </c>
      <c r="D155" s="26" t="s">
        <v>344</v>
      </c>
      <c r="E155" s="26" t="s">
        <v>57</v>
      </c>
      <c r="F155" s="26" t="s">
        <v>34</v>
      </c>
      <c r="G155" s="26" t="s">
        <v>29</v>
      </c>
      <c r="H155" s="26" t="s">
        <v>29</v>
      </c>
      <c r="I155" s="26" t="s">
        <v>43</v>
      </c>
      <c r="J155" s="26" t="s">
        <v>29</v>
      </c>
    </row>
    <row x14ac:dyDescent="0.25" r="156" customHeight="1" ht="15.75">
      <c r="A156" s="13" t="s">
        <v>129</v>
      </c>
      <c r="B156" s="13" t="s">
        <v>345</v>
      </c>
      <c r="C156" s="26" t="s">
        <v>346</v>
      </c>
      <c r="D156" s="26" t="s">
        <v>347</v>
      </c>
      <c r="E156" s="26" t="s">
        <v>43</v>
      </c>
      <c r="F156" s="26" t="s">
        <v>36</v>
      </c>
      <c r="G156" s="26" t="s">
        <v>29</v>
      </c>
      <c r="H156" s="26" t="s">
        <v>29</v>
      </c>
      <c r="I156" s="26" t="s">
        <v>36</v>
      </c>
      <c r="J156" s="26" t="s">
        <v>29</v>
      </c>
    </row>
    <row x14ac:dyDescent="0.25" r="157" customHeight="1" ht="15.75">
      <c r="A157" s="13" t="s">
        <v>103</v>
      </c>
      <c r="B157" s="13" t="s">
        <v>348</v>
      </c>
      <c r="C157" s="26" t="s">
        <v>349</v>
      </c>
      <c r="D157" s="26" t="s">
        <v>29</v>
      </c>
      <c r="E157" s="26" t="s">
        <v>350</v>
      </c>
      <c r="F157" s="26" t="s">
        <v>43</v>
      </c>
      <c r="G157" s="26" t="s">
        <v>29</v>
      </c>
      <c r="H157" s="26" t="s">
        <v>29</v>
      </c>
      <c r="I157" s="26" t="s">
        <v>43</v>
      </c>
      <c r="J157" s="26" t="s">
        <v>29</v>
      </c>
    </row>
    <row x14ac:dyDescent="0.25" r="158" customHeight="1" ht="15.75">
      <c r="A158" s="13" t="s">
        <v>69</v>
      </c>
      <c r="B158" s="13" t="s">
        <v>351</v>
      </c>
      <c r="C158" s="26" t="s">
        <v>352</v>
      </c>
      <c r="D158" s="26" t="s">
        <v>52</v>
      </c>
      <c r="E158" s="26" t="s">
        <v>81</v>
      </c>
      <c r="F158" s="26" t="s">
        <v>29</v>
      </c>
      <c r="G158" s="26" t="s">
        <v>29</v>
      </c>
      <c r="H158" s="26" t="s">
        <v>29</v>
      </c>
      <c r="I158" s="26" t="s">
        <v>29</v>
      </c>
      <c r="J158" s="26" t="s">
        <v>29</v>
      </c>
    </row>
    <row x14ac:dyDescent="0.25" r="159" customHeight="1" ht="15.75">
      <c r="A159" s="13" t="s">
        <v>227</v>
      </c>
      <c r="B159" s="13" t="s">
        <v>353</v>
      </c>
      <c r="C159" s="26" t="s">
        <v>354</v>
      </c>
      <c r="D159" s="26" t="s">
        <v>34</v>
      </c>
      <c r="E159" s="26" t="s">
        <v>122</v>
      </c>
      <c r="F159" s="26" t="s">
        <v>29</v>
      </c>
      <c r="G159" s="26" t="s">
        <v>29</v>
      </c>
      <c r="H159" s="26" t="s">
        <v>29</v>
      </c>
      <c r="I159" s="26" t="s">
        <v>29</v>
      </c>
      <c r="J159" s="26" t="s">
        <v>29</v>
      </c>
    </row>
    <row x14ac:dyDescent="0.25" r="160" customHeight="1" ht="15.75">
      <c r="A160" s="13" t="s">
        <v>69</v>
      </c>
      <c r="B160" s="13" t="s">
        <v>355</v>
      </c>
      <c r="C160" s="26" t="s">
        <v>135</v>
      </c>
      <c r="D160" s="26" t="s">
        <v>191</v>
      </c>
      <c r="E160" s="26" t="s">
        <v>57</v>
      </c>
      <c r="F160" s="26" t="s">
        <v>57</v>
      </c>
      <c r="G160" s="26" t="s">
        <v>31</v>
      </c>
      <c r="H160" s="26" t="s">
        <v>29</v>
      </c>
      <c r="I160" s="26" t="s">
        <v>29</v>
      </c>
      <c r="J160" s="26" t="s">
        <v>29</v>
      </c>
    </row>
    <row x14ac:dyDescent="0.25" r="161" customHeight="1" ht="15.75">
      <c r="A161" s="13" t="s">
        <v>129</v>
      </c>
      <c r="B161" s="13" t="s">
        <v>356</v>
      </c>
      <c r="C161" s="26" t="s">
        <v>135</v>
      </c>
      <c r="D161" s="26" t="s">
        <v>34</v>
      </c>
      <c r="E161" s="26" t="s">
        <v>34</v>
      </c>
      <c r="F161" s="26" t="s">
        <v>29</v>
      </c>
      <c r="G161" s="26" t="s">
        <v>29</v>
      </c>
      <c r="H161" s="26" t="s">
        <v>29</v>
      </c>
      <c r="I161" s="26" t="s">
        <v>29</v>
      </c>
      <c r="J161" s="26" t="s">
        <v>29</v>
      </c>
    </row>
    <row x14ac:dyDescent="0.25" r="162" customHeight="1" ht="15.75">
      <c r="A162" s="13" t="s">
        <v>227</v>
      </c>
      <c r="B162" s="13" t="s">
        <v>357</v>
      </c>
      <c r="C162" s="26" t="s">
        <v>358</v>
      </c>
      <c r="D162" s="26" t="s">
        <v>78</v>
      </c>
      <c r="E162" s="26" t="s">
        <v>34</v>
      </c>
      <c r="F162" s="26" t="s">
        <v>29</v>
      </c>
      <c r="G162" s="26" t="s">
        <v>29</v>
      </c>
      <c r="H162" s="26" t="s">
        <v>29</v>
      </c>
      <c r="I162" s="26" t="s">
        <v>29</v>
      </c>
      <c r="J162" s="26" t="s">
        <v>29</v>
      </c>
    </row>
    <row x14ac:dyDescent="0.25" r="163" customHeight="1" ht="15.75">
      <c r="A163" s="13" t="s">
        <v>69</v>
      </c>
      <c r="B163" s="13" t="s">
        <v>359</v>
      </c>
      <c r="C163" s="26" t="s">
        <v>360</v>
      </c>
      <c r="D163" s="26" t="s">
        <v>361</v>
      </c>
      <c r="E163" s="26" t="s">
        <v>88</v>
      </c>
      <c r="F163" s="26" t="s">
        <v>37</v>
      </c>
      <c r="G163" s="26" t="s">
        <v>29</v>
      </c>
      <c r="H163" s="26" t="s">
        <v>29</v>
      </c>
      <c r="I163" s="26" t="s">
        <v>37</v>
      </c>
      <c r="J163" s="26" t="s">
        <v>29</v>
      </c>
    </row>
    <row x14ac:dyDescent="0.25" r="164" customHeight="1" ht="15.75">
      <c r="A164" s="13" t="s">
        <v>103</v>
      </c>
      <c r="B164" s="13" t="s">
        <v>362</v>
      </c>
      <c r="C164" s="26" t="s">
        <v>319</v>
      </c>
      <c r="D164" s="26" t="s">
        <v>29</v>
      </c>
      <c r="E164" s="26" t="s">
        <v>115</v>
      </c>
      <c r="F164" s="26" t="s">
        <v>36</v>
      </c>
      <c r="G164" s="26" t="s">
        <v>29</v>
      </c>
      <c r="H164" s="26" t="s">
        <v>29</v>
      </c>
      <c r="I164" s="26" t="s">
        <v>29</v>
      </c>
      <c r="J164" s="26" t="s">
        <v>29</v>
      </c>
    </row>
    <row x14ac:dyDescent="0.25" r="165" customHeight="1" ht="15.75">
      <c r="A165" s="13" t="s">
        <v>227</v>
      </c>
      <c r="B165" s="13" t="s">
        <v>363</v>
      </c>
      <c r="C165" s="26" t="s">
        <v>319</v>
      </c>
      <c r="D165" s="26" t="s">
        <v>78</v>
      </c>
      <c r="E165" s="26" t="s">
        <v>57</v>
      </c>
      <c r="F165" s="26" t="s">
        <v>29</v>
      </c>
      <c r="G165" s="26" t="s">
        <v>29</v>
      </c>
      <c r="H165" s="26" t="s">
        <v>29</v>
      </c>
      <c r="I165" s="26" t="s">
        <v>29</v>
      </c>
      <c r="J165" s="26" t="s">
        <v>29</v>
      </c>
    </row>
    <row x14ac:dyDescent="0.25" r="166" customHeight="1" ht="15.75">
      <c r="A166" s="13" t="s">
        <v>116</v>
      </c>
      <c r="B166" s="13" t="s">
        <v>364</v>
      </c>
      <c r="C166" s="26" t="s">
        <v>319</v>
      </c>
      <c r="D166" s="26" t="s">
        <v>105</v>
      </c>
      <c r="E166" s="26" t="s">
        <v>37</v>
      </c>
      <c r="F166" s="26" t="s">
        <v>29</v>
      </c>
      <c r="G166" s="26" t="s">
        <v>29</v>
      </c>
      <c r="H166" s="26" t="s">
        <v>29</v>
      </c>
      <c r="I166" s="26" t="s">
        <v>29</v>
      </c>
      <c r="J166" s="26" t="s">
        <v>29</v>
      </c>
    </row>
    <row x14ac:dyDescent="0.25" r="167" customHeight="1" ht="15.75">
      <c r="A167" s="13" t="s">
        <v>129</v>
      </c>
      <c r="B167" s="13" t="s">
        <v>365</v>
      </c>
      <c r="C167" s="26" t="s">
        <v>366</v>
      </c>
      <c r="D167" s="26" t="s">
        <v>105</v>
      </c>
      <c r="E167" s="26" t="s">
        <v>34</v>
      </c>
      <c r="F167" s="26" t="s">
        <v>78</v>
      </c>
      <c r="G167" s="26" t="s">
        <v>29</v>
      </c>
      <c r="H167" s="26" t="s">
        <v>29</v>
      </c>
      <c r="I167" s="26" t="s">
        <v>29</v>
      </c>
      <c r="J167" s="26" t="s">
        <v>29</v>
      </c>
    </row>
    <row x14ac:dyDescent="0.25" r="168" customHeight="1" ht="15.75">
      <c r="A168" s="13" t="s">
        <v>69</v>
      </c>
      <c r="B168" s="13" t="s">
        <v>367</v>
      </c>
      <c r="C168" s="26" t="s">
        <v>368</v>
      </c>
      <c r="D168" s="26" t="s">
        <v>369</v>
      </c>
      <c r="E168" s="26" t="s">
        <v>34</v>
      </c>
      <c r="F168" s="26" t="s">
        <v>29</v>
      </c>
      <c r="G168" s="26" t="s">
        <v>29</v>
      </c>
      <c r="H168" s="26" t="s">
        <v>29</v>
      </c>
      <c r="I168" s="26" t="s">
        <v>29</v>
      </c>
      <c r="J168" s="26" t="s">
        <v>29</v>
      </c>
    </row>
    <row x14ac:dyDescent="0.25" r="169" customHeight="1" ht="15.75">
      <c r="A169" s="13" t="s">
        <v>69</v>
      </c>
      <c r="B169" s="13" t="s">
        <v>370</v>
      </c>
      <c r="C169" s="26" t="s">
        <v>371</v>
      </c>
      <c r="D169" s="26" t="s">
        <v>341</v>
      </c>
      <c r="E169" s="26" t="s">
        <v>37</v>
      </c>
      <c r="F169" s="26" t="s">
        <v>29</v>
      </c>
      <c r="G169" s="26" t="s">
        <v>29</v>
      </c>
      <c r="H169" s="26" t="s">
        <v>29</v>
      </c>
      <c r="I169" s="26" t="s">
        <v>29</v>
      </c>
      <c r="J169" s="26" t="s">
        <v>29</v>
      </c>
    </row>
    <row x14ac:dyDescent="0.25" r="170" customHeight="1" ht="15.75">
      <c r="A170" s="13" t="s">
        <v>27</v>
      </c>
      <c r="B170" s="13" t="s">
        <v>372</v>
      </c>
      <c r="C170" s="26" t="s">
        <v>373</v>
      </c>
      <c r="D170" s="26" t="s">
        <v>43</v>
      </c>
      <c r="E170" s="26" t="s">
        <v>31</v>
      </c>
      <c r="F170" s="26" t="s">
        <v>29</v>
      </c>
      <c r="G170" s="26" t="s">
        <v>29</v>
      </c>
      <c r="H170" s="26" t="s">
        <v>29</v>
      </c>
      <c r="I170" s="26" t="s">
        <v>29</v>
      </c>
      <c r="J170" s="26" t="s">
        <v>29</v>
      </c>
    </row>
    <row x14ac:dyDescent="0.25" r="171" customHeight="1" ht="15.75">
      <c r="A171" s="13" t="s">
        <v>129</v>
      </c>
      <c r="B171" s="13" t="s">
        <v>374</v>
      </c>
      <c r="C171" s="26" t="s">
        <v>375</v>
      </c>
      <c r="D171" s="26" t="s">
        <v>29</v>
      </c>
      <c r="E171" s="26" t="s">
        <v>31</v>
      </c>
      <c r="F171" s="26" t="s">
        <v>31</v>
      </c>
      <c r="G171" s="26" t="s">
        <v>29</v>
      </c>
      <c r="H171" s="26" t="s">
        <v>29</v>
      </c>
      <c r="I171" s="26" t="s">
        <v>29</v>
      </c>
      <c r="J171" s="26" t="s">
        <v>29</v>
      </c>
    </row>
    <row x14ac:dyDescent="0.25" r="172" customHeight="1" ht="15.75">
      <c r="A172" s="13" t="s">
        <v>227</v>
      </c>
      <c r="B172" s="13" t="s">
        <v>376</v>
      </c>
      <c r="C172" s="26" t="s">
        <v>377</v>
      </c>
      <c r="D172" s="26" t="s">
        <v>93</v>
      </c>
      <c r="E172" s="26" t="s">
        <v>88</v>
      </c>
      <c r="F172" s="26" t="s">
        <v>29</v>
      </c>
      <c r="G172" s="26" t="s">
        <v>29</v>
      </c>
      <c r="H172" s="26" t="s">
        <v>29</v>
      </c>
      <c r="I172" s="26" t="s">
        <v>29</v>
      </c>
      <c r="J172" s="26" t="s">
        <v>29</v>
      </c>
    </row>
    <row x14ac:dyDescent="0.25" r="173" customHeight="1" ht="15.75">
      <c r="A173" s="13" t="s">
        <v>91</v>
      </c>
      <c r="B173" s="13" t="s">
        <v>378</v>
      </c>
      <c r="C173" s="26" t="s">
        <v>379</v>
      </c>
      <c r="D173" s="26" t="s">
        <v>380</v>
      </c>
      <c r="E173" s="26" t="s">
        <v>34</v>
      </c>
      <c r="F173" s="26" t="s">
        <v>63</v>
      </c>
      <c r="G173" s="26" t="s">
        <v>29</v>
      </c>
      <c r="H173" s="26" t="s">
        <v>29</v>
      </c>
      <c r="I173" s="26" t="s">
        <v>36</v>
      </c>
      <c r="J173" s="26" t="s">
        <v>29</v>
      </c>
    </row>
    <row x14ac:dyDescent="0.25" r="174" customHeight="1" ht="15.75">
      <c r="A174" s="13" t="s">
        <v>103</v>
      </c>
      <c r="B174" s="13" t="s">
        <v>381</v>
      </c>
      <c r="C174" s="26" t="s">
        <v>382</v>
      </c>
      <c r="D174" s="26" t="s">
        <v>50</v>
      </c>
      <c r="E174" s="26" t="s">
        <v>37</v>
      </c>
      <c r="F174" s="26" t="s">
        <v>63</v>
      </c>
      <c r="G174" s="26" t="s">
        <v>63</v>
      </c>
      <c r="H174" s="26" t="s">
        <v>29</v>
      </c>
      <c r="I174" s="26" t="s">
        <v>36</v>
      </c>
      <c r="J174" s="26" t="s">
        <v>29</v>
      </c>
    </row>
    <row x14ac:dyDescent="0.25" r="175" customHeight="1" ht="15.75">
      <c r="A175" s="13" t="s">
        <v>184</v>
      </c>
      <c r="B175" s="13" t="s">
        <v>383</v>
      </c>
      <c r="C175" s="26" t="s">
        <v>384</v>
      </c>
      <c r="D175" s="26" t="s">
        <v>47</v>
      </c>
      <c r="E175" s="26" t="s">
        <v>31</v>
      </c>
      <c r="F175" s="26" t="s">
        <v>36</v>
      </c>
      <c r="G175" s="26" t="s">
        <v>29</v>
      </c>
      <c r="H175" s="26" t="s">
        <v>29</v>
      </c>
      <c r="I175" s="26" t="s">
        <v>36</v>
      </c>
      <c r="J175" s="26" t="s">
        <v>29</v>
      </c>
    </row>
    <row x14ac:dyDescent="0.25" r="176" customHeight="1" ht="15.75">
      <c r="A176" s="13" t="s">
        <v>91</v>
      </c>
      <c r="B176" s="13" t="s">
        <v>385</v>
      </c>
      <c r="C176" s="26" t="s">
        <v>386</v>
      </c>
      <c r="D176" s="26" t="s">
        <v>387</v>
      </c>
      <c r="E176" s="26" t="s">
        <v>143</v>
      </c>
      <c r="F176" s="26" t="s">
        <v>388</v>
      </c>
      <c r="G176" s="26" t="s">
        <v>388</v>
      </c>
      <c r="H176" s="26" t="s">
        <v>29</v>
      </c>
      <c r="I176" s="26" t="s">
        <v>29</v>
      </c>
      <c r="J176" s="26" t="s">
        <v>29</v>
      </c>
    </row>
    <row x14ac:dyDescent="0.25" r="177" customHeight="1" ht="15.75">
      <c r="A177" s="13" t="s">
        <v>69</v>
      </c>
      <c r="B177" s="13" t="s">
        <v>389</v>
      </c>
      <c r="C177" s="26" t="s">
        <v>390</v>
      </c>
      <c r="D177" s="26" t="s">
        <v>50</v>
      </c>
      <c r="E177" s="26" t="s">
        <v>57</v>
      </c>
      <c r="F177" s="26" t="s">
        <v>29</v>
      </c>
      <c r="G177" s="26" t="s">
        <v>29</v>
      </c>
      <c r="H177" s="26" t="s">
        <v>29</v>
      </c>
      <c r="I177" s="26" t="s">
        <v>36</v>
      </c>
      <c r="J177" s="26" t="s">
        <v>29</v>
      </c>
    </row>
    <row x14ac:dyDescent="0.25" r="178" customHeight="1" ht="15.75">
      <c r="A178" s="13" t="s">
        <v>391</v>
      </c>
      <c r="B178" s="13" t="s">
        <v>392</v>
      </c>
      <c r="C178" s="26" t="s">
        <v>393</v>
      </c>
      <c r="D178" s="26" t="s">
        <v>93</v>
      </c>
      <c r="E178" s="26" t="s">
        <v>37</v>
      </c>
      <c r="F178" s="26" t="s">
        <v>34</v>
      </c>
      <c r="G178" s="26" t="s">
        <v>34</v>
      </c>
      <c r="H178" s="26" t="s">
        <v>29</v>
      </c>
      <c r="I178" s="26" t="s">
        <v>29</v>
      </c>
      <c r="J178" s="26" t="s">
        <v>29</v>
      </c>
    </row>
    <row x14ac:dyDescent="0.25" r="179" customHeight="1" ht="15.75">
      <c r="A179" s="13" t="s">
        <v>184</v>
      </c>
      <c r="B179" s="13" t="s">
        <v>394</v>
      </c>
      <c r="C179" s="26" t="s">
        <v>395</v>
      </c>
      <c r="D179" s="26" t="s">
        <v>210</v>
      </c>
      <c r="E179" s="26" t="s">
        <v>57</v>
      </c>
      <c r="F179" s="26" t="s">
        <v>63</v>
      </c>
      <c r="G179" s="26" t="s">
        <v>36</v>
      </c>
      <c r="H179" s="26" t="s">
        <v>29</v>
      </c>
      <c r="I179" s="26" t="s">
        <v>29</v>
      </c>
      <c r="J179" s="26" t="s">
        <v>29</v>
      </c>
    </row>
    <row x14ac:dyDescent="0.25" r="180" customHeight="1" ht="15.75">
      <c r="A180" s="13" t="s">
        <v>66</v>
      </c>
      <c r="B180" s="13" t="s">
        <v>396</v>
      </c>
      <c r="C180" s="26" t="s">
        <v>150</v>
      </c>
      <c r="D180" s="26" t="s">
        <v>99</v>
      </c>
      <c r="E180" s="26" t="s">
        <v>88</v>
      </c>
      <c r="F180" s="26" t="s">
        <v>54</v>
      </c>
      <c r="G180" s="26" t="s">
        <v>29</v>
      </c>
      <c r="H180" s="26" t="s">
        <v>29</v>
      </c>
      <c r="I180" s="26" t="s">
        <v>54</v>
      </c>
      <c r="J180" s="26" t="s">
        <v>29</v>
      </c>
    </row>
    <row x14ac:dyDescent="0.25" r="181" customHeight="1" ht="15.75">
      <c r="A181" s="13" t="s">
        <v>69</v>
      </c>
      <c r="B181" s="13" t="s">
        <v>397</v>
      </c>
      <c r="C181" s="26" t="s">
        <v>150</v>
      </c>
      <c r="D181" s="26" t="s">
        <v>250</v>
      </c>
      <c r="E181" s="26" t="s">
        <v>57</v>
      </c>
      <c r="F181" s="26" t="s">
        <v>29</v>
      </c>
      <c r="G181" s="26" t="s">
        <v>29</v>
      </c>
      <c r="H181" s="26" t="s">
        <v>29</v>
      </c>
      <c r="I181" s="26" t="s">
        <v>29</v>
      </c>
      <c r="J181" s="26" t="s">
        <v>29</v>
      </c>
    </row>
    <row x14ac:dyDescent="0.25" r="182" customHeight="1" ht="15.75">
      <c r="A182" s="13" t="s">
        <v>27</v>
      </c>
      <c r="B182" s="13" t="s">
        <v>398</v>
      </c>
      <c r="C182" s="26" t="s">
        <v>399</v>
      </c>
      <c r="D182" s="26" t="s">
        <v>400</v>
      </c>
      <c r="E182" s="26" t="s">
        <v>37</v>
      </c>
      <c r="F182" s="26" t="s">
        <v>43</v>
      </c>
      <c r="G182" s="26" t="s">
        <v>43</v>
      </c>
      <c r="H182" s="26" t="s">
        <v>29</v>
      </c>
      <c r="I182" s="26" t="s">
        <v>29</v>
      </c>
      <c r="J182" s="26" t="s">
        <v>29</v>
      </c>
    </row>
    <row x14ac:dyDescent="0.25" r="183" customHeight="1" ht="15.75">
      <c r="A183" s="13" t="s">
        <v>91</v>
      </c>
      <c r="B183" s="13" t="s">
        <v>401</v>
      </c>
      <c r="C183" s="26" t="s">
        <v>399</v>
      </c>
      <c r="D183" s="26" t="s">
        <v>29</v>
      </c>
      <c r="E183" s="26" t="s">
        <v>37</v>
      </c>
      <c r="F183" s="26" t="s">
        <v>201</v>
      </c>
      <c r="G183" s="26" t="s">
        <v>29</v>
      </c>
      <c r="H183" s="26" t="s">
        <v>29</v>
      </c>
      <c r="I183" s="26" t="s">
        <v>29</v>
      </c>
      <c r="J183" s="26" t="s">
        <v>201</v>
      </c>
    </row>
    <row x14ac:dyDescent="0.25" r="184" customHeight="1" ht="15.75">
      <c r="A184" s="13" t="s">
        <v>126</v>
      </c>
      <c r="B184" s="13" t="s">
        <v>402</v>
      </c>
      <c r="C184" s="26" t="s">
        <v>403</v>
      </c>
      <c r="D184" s="26" t="s">
        <v>404</v>
      </c>
      <c r="E184" s="26" t="s">
        <v>88</v>
      </c>
      <c r="F184" s="26" t="s">
        <v>29</v>
      </c>
      <c r="G184" s="26" t="s">
        <v>29</v>
      </c>
      <c r="H184" s="26" t="s">
        <v>29</v>
      </c>
      <c r="I184" s="26" t="s">
        <v>50</v>
      </c>
      <c r="J184" s="26" t="s">
        <v>29</v>
      </c>
    </row>
    <row x14ac:dyDescent="0.25" r="185" customHeight="1" ht="15.75">
      <c r="A185" s="13" t="s">
        <v>391</v>
      </c>
      <c r="B185" s="13" t="s">
        <v>405</v>
      </c>
      <c r="C185" s="26" t="s">
        <v>406</v>
      </c>
      <c r="D185" s="26" t="s">
        <v>87</v>
      </c>
      <c r="E185" s="26" t="s">
        <v>81</v>
      </c>
      <c r="F185" s="26" t="s">
        <v>43</v>
      </c>
      <c r="G185" s="26" t="s">
        <v>29</v>
      </c>
      <c r="H185" s="26" t="s">
        <v>29</v>
      </c>
      <c r="I185" s="26" t="s">
        <v>29</v>
      </c>
      <c r="J185" s="26" t="s">
        <v>29</v>
      </c>
    </row>
    <row x14ac:dyDescent="0.25" r="186" customHeight="1" ht="15.75">
      <c r="A186" s="13" t="s">
        <v>126</v>
      </c>
      <c r="B186" s="13" t="s">
        <v>407</v>
      </c>
      <c r="C186" s="26" t="s">
        <v>332</v>
      </c>
      <c r="D186" s="26" t="s">
        <v>50</v>
      </c>
      <c r="E186" s="26" t="s">
        <v>88</v>
      </c>
      <c r="F186" s="26" t="s">
        <v>93</v>
      </c>
      <c r="G186" s="26" t="s">
        <v>29</v>
      </c>
      <c r="H186" s="26" t="s">
        <v>29</v>
      </c>
      <c r="I186" s="26" t="s">
        <v>29</v>
      </c>
      <c r="J186" s="26" t="s">
        <v>29</v>
      </c>
    </row>
    <row x14ac:dyDescent="0.25" r="187" customHeight="1" ht="15.75">
      <c r="A187" s="13" t="s">
        <v>391</v>
      </c>
      <c r="B187" s="13" t="s">
        <v>408</v>
      </c>
      <c r="C187" s="26" t="s">
        <v>332</v>
      </c>
      <c r="D187" s="26" t="s">
        <v>409</v>
      </c>
      <c r="E187" s="26" t="s">
        <v>88</v>
      </c>
      <c r="F187" s="26" t="s">
        <v>29</v>
      </c>
      <c r="G187" s="26" t="s">
        <v>29</v>
      </c>
      <c r="H187" s="26" t="s">
        <v>29</v>
      </c>
      <c r="I187" s="26" t="s">
        <v>29</v>
      </c>
      <c r="J187" s="26" t="s">
        <v>29</v>
      </c>
    </row>
    <row x14ac:dyDescent="0.25" r="188" customHeight="1" ht="15.75">
      <c r="A188" s="13" t="s">
        <v>69</v>
      </c>
      <c r="B188" s="13" t="s">
        <v>410</v>
      </c>
      <c r="C188" s="26" t="s">
        <v>411</v>
      </c>
      <c r="D188" s="26" t="s">
        <v>409</v>
      </c>
      <c r="E188" s="26" t="s">
        <v>31</v>
      </c>
      <c r="F188" s="26" t="s">
        <v>43</v>
      </c>
      <c r="G188" s="26" t="s">
        <v>29</v>
      </c>
      <c r="H188" s="26" t="s">
        <v>29</v>
      </c>
      <c r="I188" s="26" t="s">
        <v>29</v>
      </c>
      <c r="J188" s="26" t="s">
        <v>29</v>
      </c>
    </row>
    <row x14ac:dyDescent="0.25" r="189" customHeight="1" ht="15.75">
      <c r="A189" s="13" t="s">
        <v>66</v>
      </c>
      <c r="B189" s="13" t="s">
        <v>412</v>
      </c>
      <c r="C189" s="26" t="s">
        <v>413</v>
      </c>
      <c r="D189" s="26" t="s">
        <v>52</v>
      </c>
      <c r="E189" s="26" t="s">
        <v>122</v>
      </c>
      <c r="F189" s="26" t="s">
        <v>43</v>
      </c>
      <c r="G189" s="26" t="s">
        <v>201</v>
      </c>
      <c r="H189" s="26" t="s">
        <v>201</v>
      </c>
      <c r="I189" s="26" t="s">
        <v>29</v>
      </c>
      <c r="J189" s="26" t="s">
        <v>29</v>
      </c>
    </row>
    <row x14ac:dyDescent="0.25" r="190" customHeight="1" ht="15.75">
      <c r="A190" s="13" t="s">
        <v>27</v>
      </c>
      <c r="B190" s="13" t="s">
        <v>414</v>
      </c>
      <c r="C190" s="26" t="s">
        <v>415</v>
      </c>
      <c r="D190" s="26" t="s">
        <v>42</v>
      </c>
      <c r="E190" s="26" t="s">
        <v>43</v>
      </c>
      <c r="F190" s="26" t="s">
        <v>29</v>
      </c>
      <c r="G190" s="26" t="s">
        <v>201</v>
      </c>
      <c r="H190" s="26" t="s">
        <v>29</v>
      </c>
      <c r="I190" s="26" t="s">
        <v>29</v>
      </c>
      <c r="J190" s="26" t="s">
        <v>29</v>
      </c>
    </row>
    <row x14ac:dyDescent="0.25" r="191" customHeight="1" ht="15.75">
      <c r="A191" s="13" t="s">
        <v>129</v>
      </c>
      <c r="B191" s="13" t="s">
        <v>416</v>
      </c>
      <c r="C191" s="26" t="s">
        <v>417</v>
      </c>
      <c r="D191" s="26" t="s">
        <v>347</v>
      </c>
      <c r="E191" s="26" t="s">
        <v>234</v>
      </c>
      <c r="F191" s="26" t="s">
        <v>36</v>
      </c>
      <c r="G191" s="26" t="s">
        <v>191</v>
      </c>
      <c r="H191" s="26" t="s">
        <v>191</v>
      </c>
      <c r="I191" s="26" t="s">
        <v>29</v>
      </c>
      <c r="J191" s="26" t="s">
        <v>29</v>
      </c>
    </row>
    <row x14ac:dyDescent="0.25" r="192" customHeight="1" ht="15.75">
      <c r="A192" s="13" t="s">
        <v>91</v>
      </c>
      <c r="B192" s="13" t="s">
        <v>418</v>
      </c>
      <c r="C192" s="26" t="s">
        <v>419</v>
      </c>
      <c r="D192" s="26" t="s">
        <v>36</v>
      </c>
      <c r="E192" s="26" t="s">
        <v>37</v>
      </c>
      <c r="F192" s="26" t="s">
        <v>43</v>
      </c>
      <c r="G192" s="26" t="s">
        <v>43</v>
      </c>
      <c r="H192" s="26" t="s">
        <v>43</v>
      </c>
      <c r="I192" s="26" t="s">
        <v>29</v>
      </c>
      <c r="J192" s="26" t="s">
        <v>29</v>
      </c>
    </row>
    <row x14ac:dyDescent="0.25" r="193" customHeight="1" ht="15.75">
      <c r="A193" s="13" t="s">
        <v>27</v>
      </c>
      <c r="B193" s="13" t="s">
        <v>420</v>
      </c>
      <c r="C193" s="26" t="s">
        <v>421</v>
      </c>
      <c r="D193" s="26" t="s">
        <v>294</v>
      </c>
      <c r="E193" s="26" t="s">
        <v>78</v>
      </c>
      <c r="F193" s="26" t="s">
        <v>29</v>
      </c>
      <c r="G193" s="26" t="s">
        <v>93</v>
      </c>
      <c r="H193" s="26" t="s">
        <v>29</v>
      </c>
      <c r="I193" s="26" t="s">
        <v>93</v>
      </c>
      <c r="J193" s="26" t="s">
        <v>29</v>
      </c>
    </row>
    <row x14ac:dyDescent="0.25" r="194" customHeight="1" ht="15.75">
      <c r="A194" s="13" t="s">
        <v>103</v>
      </c>
      <c r="B194" s="13" t="s">
        <v>422</v>
      </c>
      <c r="C194" s="26" t="s">
        <v>423</v>
      </c>
      <c r="D194" s="26" t="s">
        <v>388</v>
      </c>
      <c r="E194" s="26" t="s">
        <v>78</v>
      </c>
      <c r="F194" s="26" t="s">
        <v>31</v>
      </c>
      <c r="G194" s="26" t="s">
        <v>29</v>
      </c>
      <c r="H194" s="26" t="s">
        <v>29</v>
      </c>
      <c r="I194" s="26" t="s">
        <v>29</v>
      </c>
      <c r="J194" s="26" t="s">
        <v>29</v>
      </c>
    </row>
    <row x14ac:dyDescent="0.25" r="195" customHeight="1" ht="15.75">
      <c r="A195" s="13" t="s">
        <v>129</v>
      </c>
      <c r="B195" s="13" t="s">
        <v>424</v>
      </c>
      <c r="C195" s="26" t="s">
        <v>423</v>
      </c>
      <c r="D195" s="26" t="s">
        <v>57</v>
      </c>
      <c r="E195" s="26" t="s">
        <v>31</v>
      </c>
      <c r="F195" s="26" t="s">
        <v>204</v>
      </c>
      <c r="G195" s="26" t="s">
        <v>29</v>
      </c>
      <c r="H195" s="26" t="s">
        <v>29</v>
      </c>
      <c r="I195" s="26" t="s">
        <v>204</v>
      </c>
      <c r="J195" s="26" t="s">
        <v>29</v>
      </c>
    </row>
    <row x14ac:dyDescent="0.25" r="196" customHeight="1" ht="15.75">
      <c r="A196" s="13" t="s">
        <v>129</v>
      </c>
      <c r="B196" s="13" t="s">
        <v>425</v>
      </c>
      <c r="C196" s="26" t="s">
        <v>426</v>
      </c>
      <c r="D196" s="26" t="s">
        <v>31</v>
      </c>
      <c r="E196" s="26" t="s">
        <v>37</v>
      </c>
      <c r="F196" s="26" t="s">
        <v>93</v>
      </c>
      <c r="G196" s="26" t="s">
        <v>29</v>
      </c>
      <c r="H196" s="26" t="s">
        <v>29</v>
      </c>
      <c r="I196" s="26" t="s">
        <v>143</v>
      </c>
      <c r="J196" s="26" t="s">
        <v>29</v>
      </c>
    </row>
    <row x14ac:dyDescent="0.25" r="197" customHeight="1" ht="15.75">
      <c r="A197" s="13" t="s">
        <v>126</v>
      </c>
      <c r="B197" s="13" t="s">
        <v>427</v>
      </c>
      <c r="C197" s="26" t="s">
        <v>428</v>
      </c>
      <c r="D197" s="26" t="s">
        <v>33</v>
      </c>
      <c r="E197" s="26" t="s">
        <v>37</v>
      </c>
      <c r="F197" s="26" t="s">
        <v>78</v>
      </c>
      <c r="G197" s="26" t="s">
        <v>29</v>
      </c>
      <c r="H197" s="26" t="s">
        <v>29</v>
      </c>
      <c r="I197" s="26" t="s">
        <v>29</v>
      </c>
      <c r="J197" s="26" t="s">
        <v>29</v>
      </c>
    </row>
    <row x14ac:dyDescent="0.25" r="198" customHeight="1" ht="15.75">
      <c r="A198" s="13" t="s">
        <v>184</v>
      </c>
      <c r="B198" s="13" t="s">
        <v>429</v>
      </c>
      <c r="C198" s="26" t="s">
        <v>430</v>
      </c>
      <c r="D198" s="26" t="s">
        <v>33</v>
      </c>
      <c r="E198" s="26" t="s">
        <v>115</v>
      </c>
      <c r="F198" s="26" t="s">
        <v>29</v>
      </c>
      <c r="G198" s="26" t="s">
        <v>84</v>
      </c>
      <c r="H198" s="26" t="s">
        <v>84</v>
      </c>
      <c r="I198" s="26" t="s">
        <v>84</v>
      </c>
      <c r="J198" s="26" t="s">
        <v>29</v>
      </c>
    </row>
    <row x14ac:dyDescent="0.25" r="199" customHeight="1" ht="15.75">
      <c r="A199" s="13" t="s">
        <v>103</v>
      </c>
      <c r="B199" s="13" t="s">
        <v>431</v>
      </c>
      <c r="C199" s="26" t="s">
        <v>432</v>
      </c>
      <c r="D199" s="26" t="s">
        <v>433</v>
      </c>
      <c r="E199" s="26" t="s">
        <v>31</v>
      </c>
      <c r="F199" s="26" t="s">
        <v>78</v>
      </c>
      <c r="G199" s="26" t="s">
        <v>29</v>
      </c>
      <c r="H199" s="26" t="s">
        <v>29</v>
      </c>
      <c r="I199" s="26" t="s">
        <v>52</v>
      </c>
      <c r="J199" s="26" t="s">
        <v>29</v>
      </c>
    </row>
    <row x14ac:dyDescent="0.25" r="200" customHeight="1" ht="15.75">
      <c r="A200" s="13" t="s">
        <v>227</v>
      </c>
      <c r="B200" s="13" t="s">
        <v>434</v>
      </c>
      <c r="C200" s="26" t="s">
        <v>435</v>
      </c>
      <c r="D200" s="26" t="s">
        <v>194</v>
      </c>
      <c r="E200" s="26" t="s">
        <v>34</v>
      </c>
      <c r="F200" s="26" t="s">
        <v>29</v>
      </c>
      <c r="G200" s="26" t="s">
        <v>29</v>
      </c>
      <c r="H200" s="26" t="s">
        <v>29</v>
      </c>
      <c r="I200" s="26" t="s">
        <v>29</v>
      </c>
      <c r="J200" s="26" t="s">
        <v>29</v>
      </c>
    </row>
    <row x14ac:dyDescent="0.25" r="201" customHeight="1" ht="15.75">
      <c r="A201" s="13" t="s">
        <v>91</v>
      </c>
      <c r="B201" s="13" t="s">
        <v>436</v>
      </c>
      <c r="C201" s="26" t="s">
        <v>437</v>
      </c>
      <c r="D201" s="26" t="s">
        <v>29</v>
      </c>
      <c r="E201" s="26" t="s">
        <v>57</v>
      </c>
      <c r="F201" s="26" t="s">
        <v>29</v>
      </c>
      <c r="G201" s="26" t="s">
        <v>29</v>
      </c>
      <c r="H201" s="26" t="s">
        <v>29</v>
      </c>
      <c r="I201" s="26" t="s">
        <v>29</v>
      </c>
      <c r="J201" s="26" t="s">
        <v>29</v>
      </c>
    </row>
    <row x14ac:dyDescent="0.25" r="202" customHeight="1" ht="15.75">
      <c r="A202" s="13" t="s">
        <v>69</v>
      </c>
      <c r="B202" s="13" t="s">
        <v>438</v>
      </c>
      <c r="C202" s="26" t="s">
        <v>439</v>
      </c>
      <c r="D202" s="26" t="s">
        <v>78</v>
      </c>
      <c r="E202" s="26" t="s">
        <v>31</v>
      </c>
      <c r="F202" s="26" t="s">
        <v>29</v>
      </c>
      <c r="G202" s="26" t="s">
        <v>29</v>
      </c>
      <c r="H202" s="26" t="s">
        <v>29</v>
      </c>
      <c r="I202" s="26" t="s">
        <v>29</v>
      </c>
      <c r="J202" s="26" t="s">
        <v>29</v>
      </c>
    </row>
    <row x14ac:dyDescent="0.25" r="203" customHeight="1" ht="15.75">
      <c r="A203" s="13" t="s">
        <v>69</v>
      </c>
      <c r="B203" s="13" t="s">
        <v>440</v>
      </c>
      <c r="C203" s="26" t="s">
        <v>441</v>
      </c>
      <c r="D203" s="26" t="s">
        <v>29</v>
      </c>
      <c r="E203" s="26" t="s">
        <v>37</v>
      </c>
      <c r="F203" s="26" t="s">
        <v>29</v>
      </c>
      <c r="G203" s="26" t="s">
        <v>31</v>
      </c>
      <c r="H203" s="26" t="s">
        <v>29</v>
      </c>
      <c r="I203" s="26" t="s">
        <v>29</v>
      </c>
      <c r="J203" s="26" t="s">
        <v>29</v>
      </c>
    </row>
    <row x14ac:dyDescent="0.25" r="204" customHeight="1" ht="15.75">
      <c r="A204" s="13" t="s">
        <v>69</v>
      </c>
      <c r="B204" s="13" t="s">
        <v>442</v>
      </c>
      <c r="C204" s="26" t="s">
        <v>388</v>
      </c>
      <c r="D204" s="26" t="s">
        <v>84</v>
      </c>
      <c r="E204" s="26" t="s">
        <v>34</v>
      </c>
      <c r="F204" s="26" t="s">
        <v>443</v>
      </c>
      <c r="G204" s="26" t="s">
        <v>29</v>
      </c>
      <c r="H204" s="26" t="s">
        <v>29</v>
      </c>
      <c r="I204" s="26" t="s">
        <v>29</v>
      </c>
      <c r="J204" s="26" t="s">
        <v>29</v>
      </c>
    </row>
    <row x14ac:dyDescent="0.25" r="205" customHeight="1" ht="15.75">
      <c r="A205" s="13" t="s">
        <v>91</v>
      </c>
      <c r="B205" s="13" t="s">
        <v>444</v>
      </c>
      <c r="C205" s="26" t="s">
        <v>388</v>
      </c>
      <c r="D205" s="26" t="s">
        <v>201</v>
      </c>
      <c r="E205" s="26" t="s">
        <v>34</v>
      </c>
      <c r="F205" s="26" t="s">
        <v>37</v>
      </c>
      <c r="G205" s="26" t="s">
        <v>37</v>
      </c>
      <c r="H205" s="26" t="s">
        <v>29</v>
      </c>
      <c r="I205" s="26" t="s">
        <v>37</v>
      </c>
      <c r="J205" s="26" t="s">
        <v>29</v>
      </c>
    </row>
    <row x14ac:dyDescent="0.25" r="206" customHeight="1" ht="15.75">
      <c r="A206" s="13" t="s">
        <v>129</v>
      </c>
      <c r="B206" s="13" t="s">
        <v>445</v>
      </c>
      <c r="C206" s="26" t="s">
        <v>388</v>
      </c>
      <c r="D206" s="26" t="s">
        <v>250</v>
      </c>
      <c r="E206" s="26" t="s">
        <v>78</v>
      </c>
      <c r="F206" s="26" t="s">
        <v>37</v>
      </c>
      <c r="G206" s="26" t="s">
        <v>29</v>
      </c>
      <c r="H206" s="26" t="s">
        <v>29</v>
      </c>
      <c r="I206" s="26" t="s">
        <v>63</v>
      </c>
      <c r="J206" s="26" t="s">
        <v>29</v>
      </c>
    </row>
    <row x14ac:dyDescent="0.25" r="207" customHeight="1" ht="15.75">
      <c r="A207" s="13" t="s">
        <v>109</v>
      </c>
      <c r="B207" s="13" t="s">
        <v>446</v>
      </c>
      <c r="C207" s="26" t="s">
        <v>388</v>
      </c>
      <c r="D207" s="26" t="s">
        <v>447</v>
      </c>
      <c r="E207" s="26" t="s">
        <v>34</v>
      </c>
      <c r="F207" s="26" t="s">
        <v>29</v>
      </c>
      <c r="G207" s="26" t="s">
        <v>29</v>
      </c>
      <c r="H207" s="26" t="s">
        <v>29</v>
      </c>
      <c r="I207" s="26" t="s">
        <v>29</v>
      </c>
      <c r="J207" s="26" t="s">
        <v>29</v>
      </c>
    </row>
    <row x14ac:dyDescent="0.25" r="208" customHeight="1" ht="15.75">
      <c r="A208" s="13" t="s">
        <v>116</v>
      </c>
      <c r="B208" s="13" t="s">
        <v>448</v>
      </c>
      <c r="C208" s="26" t="s">
        <v>388</v>
      </c>
      <c r="D208" s="26" t="s">
        <v>278</v>
      </c>
      <c r="E208" s="26" t="s">
        <v>37</v>
      </c>
      <c r="F208" s="26" t="s">
        <v>29</v>
      </c>
      <c r="G208" s="26" t="s">
        <v>29</v>
      </c>
      <c r="H208" s="26" t="s">
        <v>29</v>
      </c>
      <c r="I208" s="26" t="s">
        <v>29</v>
      </c>
      <c r="J208" s="26" t="s">
        <v>29</v>
      </c>
    </row>
    <row x14ac:dyDescent="0.25" r="209" customHeight="1" ht="15.75">
      <c r="A209" s="13" t="s">
        <v>91</v>
      </c>
      <c r="B209" s="13" t="s">
        <v>449</v>
      </c>
      <c r="C209" s="26" t="s">
        <v>450</v>
      </c>
      <c r="D209" s="26" t="s">
        <v>451</v>
      </c>
      <c r="E209" s="26" t="s">
        <v>31</v>
      </c>
      <c r="F209" s="26" t="s">
        <v>201</v>
      </c>
      <c r="G209" s="26" t="s">
        <v>29</v>
      </c>
      <c r="H209" s="26" t="s">
        <v>29</v>
      </c>
      <c r="I209" s="26" t="s">
        <v>452</v>
      </c>
      <c r="J209" s="26" t="s">
        <v>29</v>
      </c>
    </row>
    <row x14ac:dyDescent="0.25" r="210" customHeight="1" ht="15.75">
      <c r="A210" s="13" t="s">
        <v>69</v>
      </c>
      <c r="B210" s="13" t="s">
        <v>453</v>
      </c>
      <c r="C210" s="26" t="s">
        <v>450</v>
      </c>
      <c r="D210" s="26" t="s">
        <v>454</v>
      </c>
      <c r="E210" s="26" t="s">
        <v>88</v>
      </c>
      <c r="F210" s="26" t="s">
        <v>29</v>
      </c>
      <c r="G210" s="26" t="s">
        <v>29</v>
      </c>
      <c r="H210" s="26" t="s">
        <v>29</v>
      </c>
      <c r="I210" s="26" t="s">
        <v>29</v>
      </c>
      <c r="J210" s="26" t="s">
        <v>29</v>
      </c>
    </row>
    <row x14ac:dyDescent="0.25" r="211" customHeight="1" ht="15.75">
      <c r="A211" s="13" t="s">
        <v>227</v>
      </c>
      <c r="B211" s="13" t="s">
        <v>455</v>
      </c>
      <c r="C211" s="26" t="s">
        <v>456</v>
      </c>
      <c r="D211" s="26" t="s">
        <v>443</v>
      </c>
      <c r="E211" s="26" t="s">
        <v>78</v>
      </c>
      <c r="F211" s="26" t="s">
        <v>37</v>
      </c>
      <c r="G211" s="26" t="s">
        <v>29</v>
      </c>
      <c r="H211" s="26" t="s">
        <v>29</v>
      </c>
      <c r="I211" s="26" t="s">
        <v>37</v>
      </c>
      <c r="J211" s="26" t="s">
        <v>29</v>
      </c>
    </row>
    <row x14ac:dyDescent="0.25" r="212" customHeight="1" ht="15.75">
      <c r="A212" s="13" t="s">
        <v>69</v>
      </c>
      <c r="B212" s="13" t="s">
        <v>457</v>
      </c>
      <c r="C212" s="26" t="s">
        <v>458</v>
      </c>
      <c r="D212" s="26" t="s">
        <v>278</v>
      </c>
      <c r="E212" s="26" t="s">
        <v>78</v>
      </c>
      <c r="F212" s="26" t="s">
        <v>29</v>
      </c>
      <c r="G212" s="26" t="s">
        <v>29</v>
      </c>
      <c r="H212" s="26" t="s">
        <v>29</v>
      </c>
      <c r="I212" s="26" t="s">
        <v>29</v>
      </c>
      <c r="J212" s="26" t="s">
        <v>29</v>
      </c>
    </row>
    <row x14ac:dyDescent="0.25" r="213" customHeight="1" ht="15.75">
      <c r="A213" s="13" t="s">
        <v>27</v>
      </c>
      <c r="B213" s="13" t="s">
        <v>459</v>
      </c>
      <c r="C213" s="26" t="s">
        <v>460</v>
      </c>
      <c r="D213" s="26" t="s">
        <v>29</v>
      </c>
      <c r="E213" s="26" t="s">
        <v>31</v>
      </c>
      <c r="F213" s="26" t="s">
        <v>29</v>
      </c>
      <c r="G213" s="26" t="s">
        <v>29</v>
      </c>
      <c r="H213" s="26" t="s">
        <v>29</v>
      </c>
      <c r="I213" s="26" t="s">
        <v>29</v>
      </c>
      <c r="J213" s="26" t="s">
        <v>29</v>
      </c>
    </row>
    <row x14ac:dyDescent="0.25" r="214" customHeight="1" ht="15.75">
      <c r="A214" s="13" t="s">
        <v>27</v>
      </c>
      <c r="B214" s="13" t="s">
        <v>461</v>
      </c>
      <c r="C214" s="26" t="s">
        <v>462</v>
      </c>
      <c r="D214" s="26" t="s">
        <v>463</v>
      </c>
      <c r="E214" s="26" t="s">
        <v>37</v>
      </c>
      <c r="F214" s="26" t="s">
        <v>464</v>
      </c>
      <c r="G214" s="26" t="s">
        <v>456</v>
      </c>
      <c r="H214" s="26" t="s">
        <v>29</v>
      </c>
      <c r="I214" s="26" t="s">
        <v>465</v>
      </c>
      <c r="J214" s="26" t="s">
        <v>29</v>
      </c>
    </row>
    <row x14ac:dyDescent="0.25" r="215" customHeight="1" ht="15.75">
      <c r="A215" s="13" t="s">
        <v>129</v>
      </c>
      <c r="B215" s="13" t="s">
        <v>466</v>
      </c>
      <c r="C215" s="26" t="s">
        <v>467</v>
      </c>
      <c r="D215" s="26" t="s">
        <v>77</v>
      </c>
      <c r="E215" s="26" t="s">
        <v>31</v>
      </c>
      <c r="F215" s="26" t="s">
        <v>468</v>
      </c>
      <c r="G215" s="26" t="s">
        <v>99</v>
      </c>
      <c r="H215" s="26" t="s">
        <v>29</v>
      </c>
      <c r="I215" s="26" t="s">
        <v>99</v>
      </c>
      <c r="J215" s="26" t="s">
        <v>29</v>
      </c>
    </row>
    <row x14ac:dyDescent="0.25" r="216" customHeight="1" ht="15.75">
      <c r="A216" s="13" t="s">
        <v>227</v>
      </c>
      <c r="B216" s="13" t="s">
        <v>469</v>
      </c>
      <c r="C216" s="26" t="s">
        <v>470</v>
      </c>
      <c r="D216" s="26" t="s">
        <v>78</v>
      </c>
      <c r="E216" s="26" t="s">
        <v>34</v>
      </c>
      <c r="F216" s="26" t="s">
        <v>29</v>
      </c>
      <c r="G216" s="26" t="s">
        <v>29</v>
      </c>
      <c r="H216" s="26" t="s">
        <v>29</v>
      </c>
      <c r="I216" s="26" t="s">
        <v>29</v>
      </c>
      <c r="J216" s="26" t="s">
        <v>29</v>
      </c>
    </row>
    <row x14ac:dyDescent="0.25" r="217" customHeight="1" ht="15.75">
      <c r="A217" s="13" t="s">
        <v>66</v>
      </c>
      <c r="B217" s="13" t="s">
        <v>471</v>
      </c>
      <c r="C217" s="26" t="s">
        <v>472</v>
      </c>
      <c r="D217" s="26" t="s">
        <v>42</v>
      </c>
      <c r="E217" s="26" t="s">
        <v>31</v>
      </c>
      <c r="F217" s="26" t="s">
        <v>29</v>
      </c>
      <c r="G217" s="26" t="s">
        <v>29</v>
      </c>
      <c r="H217" s="26" t="s">
        <v>29</v>
      </c>
      <c r="I217" s="26" t="s">
        <v>29</v>
      </c>
      <c r="J217" s="26" t="s">
        <v>29</v>
      </c>
    </row>
    <row x14ac:dyDescent="0.25" r="218" customHeight="1" ht="15.75">
      <c r="A218" s="13" t="s">
        <v>184</v>
      </c>
      <c r="B218" s="13" t="s">
        <v>473</v>
      </c>
      <c r="C218" s="26" t="s">
        <v>472</v>
      </c>
      <c r="D218" s="26" t="s">
        <v>278</v>
      </c>
      <c r="E218" s="26" t="s">
        <v>34</v>
      </c>
      <c r="F218" s="26" t="s">
        <v>409</v>
      </c>
      <c r="G218" s="26" t="s">
        <v>93</v>
      </c>
      <c r="H218" s="26" t="s">
        <v>179</v>
      </c>
      <c r="I218" s="26" t="s">
        <v>179</v>
      </c>
      <c r="J218" s="26" t="s">
        <v>29</v>
      </c>
    </row>
    <row x14ac:dyDescent="0.25" r="219" customHeight="1" ht="15.75">
      <c r="A219" s="13" t="s">
        <v>103</v>
      </c>
      <c r="B219" s="13" t="s">
        <v>474</v>
      </c>
      <c r="C219" s="26" t="s">
        <v>472</v>
      </c>
      <c r="D219" s="26" t="s">
        <v>84</v>
      </c>
      <c r="E219" s="26" t="s">
        <v>34</v>
      </c>
      <c r="F219" s="26" t="s">
        <v>29</v>
      </c>
      <c r="G219" s="26" t="s">
        <v>84</v>
      </c>
      <c r="H219" s="26" t="s">
        <v>29</v>
      </c>
      <c r="I219" s="26" t="s">
        <v>29</v>
      </c>
      <c r="J219" s="26" t="s">
        <v>29</v>
      </c>
    </row>
    <row x14ac:dyDescent="0.25" r="220" customHeight="1" ht="15.75">
      <c r="A220" s="13" t="s">
        <v>91</v>
      </c>
      <c r="B220" s="13" t="s">
        <v>475</v>
      </c>
      <c r="C220" s="26" t="s">
        <v>476</v>
      </c>
      <c r="D220" s="26" t="s">
        <v>111</v>
      </c>
      <c r="E220" s="26" t="s">
        <v>81</v>
      </c>
      <c r="F220" s="26" t="s">
        <v>143</v>
      </c>
      <c r="G220" s="26" t="s">
        <v>93</v>
      </c>
      <c r="H220" s="26" t="s">
        <v>29</v>
      </c>
      <c r="I220" s="26" t="s">
        <v>29</v>
      </c>
      <c r="J220" s="26" t="s">
        <v>29</v>
      </c>
    </row>
    <row x14ac:dyDescent="0.25" r="221" customHeight="1" ht="15.75">
      <c r="A221" s="13" t="s">
        <v>69</v>
      </c>
      <c r="B221" s="13" t="s">
        <v>477</v>
      </c>
      <c r="C221" s="26" t="s">
        <v>191</v>
      </c>
      <c r="D221" s="26" t="s">
        <v>234</v>
      </c>
      <c r="E221" s="26" t="s">
        <v>43</v>
      </c>
      <c r="F221" s="26" t="s">
        <v>37</v>
      </c>
      <c r="G221" s="26" t="s">
        <v>29</v>
      </c>
      <c r="H221" s="26" t="s">
        <v>29</v>
      </c>
      <c r="I221" s="26" t="s">
        <v>29</v>
      </c>
      <c r="J221" s="26" t="s">
        <v>29</v>
      </c>
    </row>
    <row x14ac:dyDescent="0.25" r="222" customHeight="1" ht="15.75">
      <c r="A222" s="13" t="s">
        <v>103</v>
      </c>
      <c r="B222" s="13" t="s">
        <v>478</v>
      </c>
      <c r="C222" s="26" t="s">
        <v>479</v>
      </c>
      <c r="D222" s="26" t="s">
        <v>247</v>
      </c>
      <c r="E222" s="26" t="s">
        <v>93</v>
      </c>
      <c r="F222" s="26" t="s">
        <v>42</v>
      </c>
      <c r="G222" s="26" t="s">
        <v>29</v>
      </c>
      <c r="H222" s="26" t="s">
        <v>29</v>
      </c>
      <c r="I222" s="26" t="s">
        <v>29</v>
      </c>
      <c r="J222" s="26" t="s">
        <v>29</v>
      </c>
    </row>
    <row x14ac:dyDescent="0.25" r="223" customHeight="1" ht="15.75">
      <c r="A223" s="13" t="s">
        <v>126</v>
      </c>
      <c r="B223" s="13" t="s">
        <v>480</v>
      </c>
      <c r="C223" s="26" t="s">
        <v>481</v>
      </c>
      <c r="D223" s="26" t="s">
        <v>37</v>
      </c>
      <c r="E223" s="26" t="s">
        <v>34</v>
      </c>
      <c r="F223" s="26" t="s">
        <v>31</v>
      </c>
      <c r="G223" s="26" t="s">
        <v>29</v>
      </c>
      <c r="H223" s="26" t="s">
        <v>29</v>
      </c>
      <c r="I223" s="26" t="s">
        <v>29</v>
      </c>
      <c r="J223" s="26" t="s">
        <v>29</v>
      </c>
    </row>
    <row x14ac:dyDescent="0.25" r="224" customHeight="1" ht="15.75">
      <c r="A224" s="13" t="s">
        <v>66</v>
      </c>
      <c r="B224" s="13" t="s">
        <v>482</v>
      </c>
      <c r="C224" s="26" t="s">
        <v>483</v>
      </c>
      <c r="D224" s="26" t="s">
        <v>42</v>
      </c>
      <c r="E224" s="26" t="s">
        <v>63</v>
      </c>
      <c r="F224" s="26" t="s">
        <v>31</v>
      </c>
      <c r="G224" s="26" t="s">
        <v>303</v>
      </c>
      <c r="H224" s="26" t="s">
        <v>29</v>
      </c>
      <c r="I224" s="26" t="s">
        <v>31</v>
      </c>
      <c r="J224" s="26" t="s">
        <v>29</v>
      </c>
    </row>
    <row x14ac:dyDescent="0.25" r="225" customHeight="1" ht="15.75">
      <c r="A225" s="13" t="s">
        <v>109</v>
      </c>
      <c r="B225" s="13" t="s">
        <v>484</v>
      </c>
      <c r="C225" s="26" t="s">
        <v>142</v>
      </c>
      <c r="D225" s="26" t="s">
        <v>485</v>
      </c>
      <c r="E225" s="26" t="s">
        <v>81</v>
      </c>
      <c r="F225" s="26" t="s">
        <v>29</v>
      </c>
      <c r="G225" s="26" t="s">
        <v>29</v>
      </c>
      <c r="H225" s="26" t="s">
        <v>29</v>
      </c>
      <c r="I225" s="26" t="s">
        <v>29</v>
      </c>
      <c r="J225" s="26" t="s">
        <v>29</v>
      </c>
    </row>
    <row x14ac:dyDescent="0.25" r="226" customHeight="1" ht="15.75">
      <c r="A226" s="13" t="s">
        <v>227</v>
      </c>
      <c r="B226" s="13" t="s">
        <v>486</v>
      </c>
      <c r="C226" s="26" t="s">
        <v>487</v>
      </c>
      <c r="D226" s="26" t="s">
        <v>87</v>
      </c>
      <c r="E226" s="26" t="s">
        <v>57</v>
      </c>
      <c r="F226" s="26" t="s">
        <v>29</v>
      </c>
      <c r="G226" s="26" t="s">
        <v>29</v>
      </c>
      <c r="H226" s="26" t="s">
        <v>29</v>
      </c>
      <c r="I226" s="26" t="s">
        <v>29</v>
      </c>
      <c r="J226" s="26" t="s">
        <v>29</v>
      </c>
    </row>
    <row x14ac:dyDescent="0.25" r="227" customHeight="1" ht="15.75">
      <c r="A227" s="13" t="s">
        <v>91</v>
      </c>
      <c r="B227" s="13" t="s">
        <v>488</v>
      </c>
      <c r="C227" s="26" t="s">
        <v>489</v>
      </c>
      <c r="D227" s="26" t="s">
        <v>490</v>
      </c>
      <c r="E227" s="26" t="s">
        <v>31</v>
      </c>
      <c r="F227" s="26" t="s">
        <v>95</v>
      </c>
      <c r="G227" s="26" t="s">
        <v>388</v>
      </c>
      <c r="H227" s="26" t="s">
        <v>29</v>
      </c>
      <c r="I227" s="26" t="s">
        <v>388</v>
      </c>
      <c r="J227" s="26" t="s">
        <v>29</v>
      </c>
    </row>
    <row x14ac:dyDescent="0.25" r="228" customHeight="1" ht="15.75">
      <c r="A228" s="13" t="s">
        <v>103</v>
      </c>
      <c r="B228" s="13" t="s">
        <v>491</v>
      </c>
      <c r="C228" s="26" t="s">
        <v>492</v>
      </c>
      <c r="D228" s="26" t="s">
        <v>95</v>
      </c>
      <c r="E228" s="26" t="s">
        <v>63</v>
      </c>
      <c r="F228" s="26" t="s">
        <v>99</v>
      </c>
      <c r="G228" s="26" t="s">
        <v>99</v>
      </c>
      <c r="H228" s="26" t="s">
        <v>311</v>
      </c>
      <c r="I228" s="26" t="s">
        <v>311</v>
      </c>
      <c r="J228" s="26" t="s">
        <v>29</v>
      </c>
    </row>
    <row x14ac:dyDescent="0.25" r="229" customHeight="1" ht="15.75">
      <c r="A229" s="13" t="s">
        <v>66</v>
      </c>
      <c r="B229" s="13" t="s">
        <v>493</v>
      </c>
      <c r="C229" s="26" t="s">
        <v>492</v>
      </c>
      <c r="D229" s="26" t="s">
        <v>204</v>
      </c>
      <c r="E229" s="26" t="s">
        <v>78</v>
      </c>
      <c r="F229" s="26" t="s">
        <v>93</v>
      </c>
      <c r="G229" s="26" t="s">
        <v>29</v>
      </c>
      <c r="H229" s="26" t="s">
        <v>29</v>
      </c>
      <c r="I229" s="26" t="s">
        <v>143</v>
      </c>
      <c r="J229" s="26" t="s">
        <v>29</v>
      </c>
    </row>
    <row x14ac:dyDescent="0.25" r="230" customHeight="1" ht="15.75">
      <c r="A230" s="13" t="s">
        <v>227</v>
      </c>
      <c r="B230" s="13" t="s">
        <v>494</v>
      </c>
      <c r="C230" s="26" t="s">
        <v>492</v>
      </c>
      <c r="D230" s="26" t="s">
        <v>179</v>
      </c>
      <c r="E230" s="26" t="s">
        <v>143</v>
      </c>
      <c r="F230" s="26" t="s">
        <v>143</v>
      </c>
      <c r="G230" s="26" t="s">
        <v>179</v>
      </c>
      <c r="H230" s="26" t="s">
        <v>29</v>
      </c>
      <c r="I230" s="26" t="s">
        <v>179</v>
      </c>
      <c r="J230" s="26" t="s">
        <v>29</v>
      </c>
    </row>
    <row x14ac:dyDescent="0.25" r="231" customHeight="1" ht="15.75">
      <c r="A231" s="13" t="s">
        <v>66</v>
      </c>
      <c r="B231" s="13" t="s">
        <v>495</v>
      </c>
      <c r="C231" s="26" t="s">
        <v>496</v>
      </c>
      <c r="D231" s="26" t="s">
        <v>99</v>
      </c>
      <c r="E231" s="26" t="s">
        <v>34</v>
      </c>
      <c r="F231" s="26" t="s">
        <v>37</v>
      </c>
      <c r="G231" s="26" t="s">
        <v>29</v>
      </c>
      <c r="H231" s="26" t="s">
        <v>29</v>
      </c>
      <c r="I231" s="26" t="s">
        <v>29</v>
      </c>
      <c r="J231" s="26" t="s">
        <v>29</v>
      </c>
    </row>
    <row x14ac:dyDescent="0.25" r="232" customHeight="1" ht="15.75">
      <c r="A232" s="13" t="s">
        <v>69</v>
      </c>
      <c r="B232" s="13" t="s">
        <v>497</v>
      </c>
      <c r="C232" s="26" t="s">
        <v>496</v>
      </c>
      <c r="D232" s="26" t="s">
        <v>498</v>
      </c>
      <c r="E232" s="26" t="s">
        <v>81</v>
      </c>
      <c r="F232" s="26" t="s">
        <v>37</v>
      </c>
      <c r="G232" s="26" t="s">
        <v>29</v>
      </c>
      <c r="H232" s="26" t="s">
        <v>29</v>
      </c>
      <c r="I232" s="26" t="s">
        <v>37</v>
      </c>
      <c r="J232" s="26" t="s">
        <v>37</v>
      </c>
    </row>
    <row x14ac:dyDescent="0.25" r="233" customHeight="1" ht="15.75">
      <c r="A233" s="13" t="s">
        <v>184</v>
      </c>
      <c r="B233" s="13" t="s">
        <v>499</v>
      </c>
      <c r="C233" s="26" t="s">
        <v>500</v>
      </c>
      <c r="D233" s="26" t="s">
        <v>308</v>
      </c>
      <c r="E233" s="26" t="s">
        <v>37</v>
      </c>
      <c r="F233" s="26" t="s">
        <v>93</v>
      </c>
      <c r="G233" s="26" t="s">
        <v>29</v>
      </c>
      <c r="H233" s="26" t="s">
        <v>29</v>
      </c>
      <c r="I233" s="26" t="s">
        <v>29</v>
      </c>
      <c r="J233" s="26" t="s">
        <v>29</v>
      </c>
    </row>
    <row x14ac:dyDescent="0.25" r="234" customHeight="1" ht="15.75">
      <c r="A234" s="13" t="s">
        <v>27</v>
      </c>
      <c r="B234" s="13" t="s">
        <v>501</v>
      </c>
      <c r="C234" s="26" t="s">
        <v>502</v>
      </c>
      <c r="D234" s="26" t="s">
        <v>503</v>
      </c>
      <c r="E234" s="26" t="s">
        <v>37</v>
      </c>
      <c r="F234" s="26" t="s">
        <v>29</v>
      </c>
      <c r="G234" s="26" t="s">
        <v>250</v>
      </c>
      <c r="H234" s="26" t="s">
        <v>250</v>
      </c>
      <c r="I234" s="26" t="s">
        <v>250</v>
      </c>
      <c r="J234" s="26" t="s">
        <v>29</v>
      </c>
    </row>
    <row x14ac:dyDescent="0.25" r="235" customHeight="1" ht="15.75">
      <c r="A235" s="13" t="s">
        <v>69</v>
      </c>
      <c r="B235" s="13" t="s">
        <v>504</v>
      </c>
      <c r="C235" s="26" t="s">
        <v>505</v>
      </c>
      <c r="D235" s="26" t="s">
        <v>506</v>
      </c>
      <c r="E235" s="26" t="s">
        <v>115</v>
      </c>
      <c r="F235" s="26" t="s">
        <v>507</v>
      </c>
      <c r="G235" s="26" t="s">
        <v>507</v>
      </c>
      <c r="H235" s="26" t="s">
        <v>29</v>
      </c>
      <c r="I235" s="26" t="s">
        <v>191</v>
      </c>
      <c r="J235" s="26" t="s">
        <v>29</v>
      </c>
    </row>
    <row x14ac:dyDescent="0.25" r="236" customHeight="1" ht="15.75">
      <c r="A236" s="13" t="s">
        <v>27</v>
      </c>
      <c r="B236" s="13" t="s">
        <v>508</v>
      </c>
      <c r="C236" s="26" t="s">
        <v>99</v>
      </c>
      <c r="D236" s="26" t="s">
        <v>36</v>
      </c>
      <c r="E236" s="26" t="s">
        <v>57</v>
      </c>
      <c r="F236" s="26" t="s">
        <v>29</v>
      </c>
      <c r="G236" s="26" t="s">
        <v>29</v>
      </c>
      <c r="H236" s="26" t="s">
        <v>29</v>
      </c>
      <c r="I236" s="26" t="s">
        <v>29</v>
      </c>
      <c r="J236" s="26" t="s">
        <v>29</v>
      </c>
    </row>
    <row x14ac:dyDescent="0.25" r="237" customHeight="1" ht="15.75">
      <c r="A237" s="13" t="s">
        <v>27</v>
      </c>
      <c r="B237" s="13" t="s">
        <v>509</v>
      </c>
      <c r="C237" s="26" t="s">
        <v>99</v>
      </c>
      <c r="D237" s="26" t="s">
        <v>36</v>
      </c>
      <c r="E237" s="26" t="s">
        <v>510</v>
      </c>
      <c r="F237" s="26" t="s">
        <v>154</v>
      </c>
      <c r="G237" s="26" t="s">
        <v>29</v>
      </c>
      <c r="H237" s="26" t="s">
        <v>29</v>
      </c>
      <c r="I237" s="26" t="s">
        <v>29</v>
      </c>
      <c r="J237" s="26" t="s">
        <v>29</v>
      </c>
    </row>
    <row x14ac:dyDescent="0.25" r="238" customHeight="1" ht="15.75">
      <c r="A238" s="13" t="s">
        <v>227</v>
      </c>
      <c r="B238" s="13" t="s">
        <v>511</v>
      </c>
      <c r="C238" s="26" t="s">
        <v>99</v>
      </c>
      <c r="D238" s="26" t="s">
        <v>308</v>
      </c>
      <c r="E238" s="26" t="s">
        <v>34</v>
      </c>
      <c r="F238" s="26" t="s">
        <v>34</v>
      </c>
      <c r="G238" s="26" t="s">
        <v>29</v>
      </c>
      <c r="H238" s="26" t="s">
        <v>29</v>
      </c>
      <c r="I238" s="26" t="s">
        <v>29</v>
      </c>
      <c r="J238" s="26" t="s">
        <v>29</v>
      </c>
    </row>
    <row x14ac:dyDescent="0.25" r="239" customHeight="1" ht="15.75">
      <c r="A239" s="13" t="s">
        <v>512</v>
      </c>
      <c r="B239" s="13" t="s">
        <v>513</v>
      </c>
      <c r="C239" s="26" t="s">
        <v>514</v>
      </c>
      <c r="D239" s="26" t="s">
        <v>111</v>
      </c>
      <c r="E239" s="26" t="s">
        <v>122</v>
      </c>
      <c r="F239" s="26" t="s">
        <v>29</v>
      </c>
      <c r="G239" s="26" t="s">
        <v>97</v>
      </c>
      <c r="H239" s="26" t="s">
        <v>97</v>
      </c>
      <c r="I239" s="26" t="s">
        <v>29</v>
      </c>
      <c r="J239" s="26" t="s">
        <v>29</v>
      </c>
    </row>
    <row x14ac:dyDescent="0.25" r="240" customHeight="1" ht="15.75">
      <c r="A240" s="13" t="s">
        <v>91</v>
      </c>
      <c r="B240" s="13" t="s">
        <v>515</v>
      </c>
      <c r="C240" s="26" t="s">
        <v>516</v>
      </c>
      <c r="D240" s="26" t="s">
        <v>517</v>
      </c>
      <c r="E240" s="26" t="s">
        <v>37</v>
      </c>
      <c r="F240" s="26" t="s">
        <v>29</v>
      </c>
      <c r="G240" s="26" t="s">
        <v>36</v>
      </c>
      <c r="H240" s="26" t="s">
        <v>507</v>
      </c>
      <c r="I240" s="26" t="s">
        <v>507</v>
      </c>
      <c r="J240" s="26" t="s">
        <v>29</v>
      </c>
    </row>
    <row x14ac:dyDescent="0.25" r="241" customHeight="1" ht="15.75">
      <c r="A241" s="13" t="s">
        <v>129</v>
      </c>
      <c r="B241" s="13" t="s">
        <v>518</v>
      </c>
      <c r="C241" s="26" t="s">
        <v>519</v>
      </c>
      <c r="D241" s="26" t="s">
        <v>520</v>
      </c>
      <c r="E241" s="26" t="s">
        <v>143</v>
      </c>
      <c r="F241" s="26" t="s">
        <v>29</v>
      </c>
      <c r="G241" s="26" t="s">
        <v>29</v>
      </c>
      <c r="H241" s="26" t="s">
        <v>29</v>
      </c>
      <c r="I241" s="26" t="s">
        <v>29</v>
      </c>
      <c r="J241" s="26" t="s">
        <v>29</v>
      </c>
    </row>
    <row x14ac:dyDescent="0.25" r="242" customHeight="1" ht="15.75">
      <c r="A242" s="13" t="s">
        <v>66</v>
      </c>
      <c r="B242" s="13" t="s">
        <v>521</v>
      </c>
      <c r="C242" s="26" t="s">
        <v>522</v>
      </c>
      <c r="D242" s="26" t="s">
        <v>409</v>
      </c>
      <c r="E242" s="26" t="s">
        <v>37</v>
      </c>
      <c r="F242" s="26" t="s">
        <v>29</v>
      </c>
      <c r="G242" s="26" t="s">
        <v>29</v>
      </c>
      <c r="H242" s="26" t="s">
        <v>29</v>
      </c>
      <c r="I242" s="26" t="s">
        <v>29</v>
      </c>
      <c r="J242" s="26" t="s">
        <v>29</v>
      </c>
    </row>
    <row x14ac:dyDescent="0.25" r="243" customHeight="1" ht="15.75">
      <c r="A243" s="13" t="s">
        <v>91</v>
      </c>
      <c r="B243" s="13" t="s">
        <v>523</v>
      </c>
      <c r="C243" s="26" t="s">
        <v>524</v>
      </c>
      <c r="D243" s="26" t="s">
        <v>510</v>
      </c>
      <c r="E243" s="26" t="s">
        <v>37</v>
      </c>
      <c r="F243" s="26" t="s">
        <v>204</v>
      </c>
      <c r="G243" s="26" t="s">
        <v>29</v>
      </c>
      <c r="H243" s="26" t="s">
        <v>29</v>
      </c>
      <c r="I243" s="26" t="s">
        <v>29</v>
      </c>
      <c r="J243" s="26" t="s">
        <v>29</v>
      </c>
    </row>
    <row x14ac:dyDescent="0.25" r="244" customHeight="1" ht="15.75">
      <c r="A244" s="13" t="s">
        <v>198</v>
      </c>
      <c r="B244" s="13" t="s">
        <v>525</v>
      </c>
      <c r="C244" s="26" t="s">
        <v>294</v>
      </c>
      <c r="D244" s="26" t="s">
        <v>194</v>
      </c>
      <c r="E244" s="26" t="s">
        <v>34</v>
      </c>
      <c r="F244" s="26" t="s">
        <v>29</v>
      </c>
      <c r="G244" s="26" t="s">
        <v>29</v>
      </c>
      <c r="H244" s="26" t="s">
        <v>29</v>
      </c>
      <c r="I244" s="26" t="s">
        <v>29</v>
      </c>
      <c r="J244" s="26" t="s">
        <v>29</v>
      </c>
    </row>
    <row x14ac:dyDescent="0.25" r="245" customHeight="1" ht="15.75">
      <c r="A245" s="13" t="s">
        <v>27</v>
      </c>
      <c r="B245" s="13" t="s">
        <v>526</v>
      </c>
      <c r="C245" s="26" t="s">
        <v>527</v>
      </c>
      <c r="D245" s="26" t="s">
        <v>29</v>
      </c>
      <c r="E245" s="26" t="s">
        <v>37</v>
      </c>
      <c r="F245" s="26" t="s">
        <v>29</v>
      </c>
      <c r="G245" s="26" t="s">
        <v>29</v>
      </c>
      <c r="H245" s="26" t="s">
        <v>29</v>
      </c>
      <c r="I245" s="26" t="s">
        <v>29</v>
      </c>
      <c r="J245" s="26" t="s">
        <v>29</v>
      </c>
    </row>
    <row x14ac:dyDescent="0.25" r="246" customHeight="1" ht="15.75">
      <c r="A246" s="13" t="s">
        <v>66</v>
      </c>
      <c r="B246" s="13" t="s">
        <v>528</v>
      </c>
      <c r="C246" s="26" t="s">
        <v>529</v>
      </c>
      <c r="D246" s="26" t="s">
        <v>433</v>
      </c>
      <c r="E246" s="26" t="s">
        <v>37</v>
      </c>
      <c r="F246" s="26" t="s">
        <v>87</v>
      </c>
      <c r="G246" s="26" t="s">
        <v>29</v>
      </c>
      <c r="H246" s="26" t="s">
        <v>29</v>
      </c>
      <c r="I246" s="26" t="s">
        <v>84</v>
      </c>
      <c r="J246" s="26" t="s">
        <v>29</v>
      </c>
    </row>
    <row x14ac:dyDescent="0.25" r="247" customHeight="1" ht="15.75">
      <c r="A247" s="13" t="s">
        <v>184</v>
      </c>
      <c r="B247" s="13" t="s">
        <v>530</v>
      </c>
      <c r="C247" s="26" t="s">
        <v>531</v>
      </c>
      <c r="D247" s="26" t="s">
        <v>201</v>
      </c>
      <c r="E247" s="26" t="s">
        <v>37</v>
      </c>
      <c r="F247" s="26" t="s">
        <v>37</v>
      </c>
      <c r="G247" s="26" t="s">
        <v>29</v>
      </c>
      <c r="H247" s="26" t="s">
        <v>29</v>
      </c>
      <c r="I247" s="26" t="s">
        <v>37</v>
      </c>
      <c r="J247" s="26" t="s">
        <v>29</v>
      </c>
    </row>
    <row x14ac:dyDescent="0.25" r="248" customHeight="1" ht="15.75">
      <c r="A248" s="13" t="s">
        <v>27</v>
      </c>
      <c r="B248" s="13" t="s">
        <v>532</v>
      </c>
      <c r="C248" s="26" t="s">
        <v>533</v>
      </c>
      <c r="D248" s="26" t="s">
        <v>210</v>
      </c>
      <c r="E248" s="26" t="s">
        <v>43</v>
      </c>
      <c r="F248" s="26" t="s">
        <v>29</v>
      </c>
      <c r="G248" s="26" t="s">
        <v>29</v>
      </c>
      <c r="H248" s="26" t="s">
        <v>29</v>
      </c>
      <c r="I248" s="26" t="s">
        <v>29</v>
      </c>
      <c r="J248" s="26" t="s">
        <v>29</v>
      </c>
    </row>
    <row x14ac:dyDescent="0.25" r="249" customHeight="1" ht="15.75">
      <c r="A249" s="13" t="s">
        <v>391</v>
      </c>
      <c r="B249" s="13" t="s">
        <v>534</v>
      </c>
      <c r="C249" s="26" t="s">
        <v>97</v>
      </c>
      <c r="D249" s="26" t="s">
        <v>29</v>
      </c>
      <c r="E249" s="26" t="s">
        <v>122</v>
      </c>
      <c r="F249" s="26" t="s">
        <v>29</v>
      </c>
      <c r="G249" s="26" t="s">
        <v>29</v>
      </c>
      <c r="H249" s="26" t="s">
        <v>29</v>
      </c>
      <c r="I249" s="26" t="s">
        <v>29</v>
      </c>
      <c r="J249" s="26" t="s">
        <v>29</v>
      </c>
    </row>
    <row x14ac:dyDescent="0.25" r="250" customHeight="1" ht="15.75">
      <c r="A250" s="13" t="s">
        <v>91</v>
      </c>
      <c r="B250" s="13" t="s">
        <v>535</v>
      </c>
      <c r="C250" s="26" t="s">
        <v>536</v>
      </c>
      <c r="D250" s="26" t="s">
        <v>537</v>
      </c>
      <c r="E250" s="26" t="s">
        <v>143</v>
      </c>
      <c r="F250" s="26" t="s">
        <v>538</v>
      </c>
      <c r="G250" s="26" t="s">
        <v>539</v>
      </c>
      <c r="H250" s="26" t="s">
        <v>29</v>
      </c>
      <c r="I250" s="26" t="s">
        <v>29</v>
      </c>
      <c r="J250" s="26" t="s">
        <v>29</v>
      </c>
    </row>
    <row x14ac:dyDescent="0.25" r="251" customHeight="1" ht="15.75">
      <c r="A251" s="13" t="s">
        <v>109</v>
      </c>
      <c r="B251" s="13" t="s">
        <v>540</v>
      </c>
      <c r="C251" s="26" t="s">
        <v>541</v>
      </c>
      <c r="D251" s="26" t="s">
        <v>93</v>
      </c>
      <c r="E251" s="26" t="s">
        <v>34</v>
      </c>
      <c r="F251" s="26" t="s">
        <v>43</v>
      </c>
      <c r="G251" s="26" t="s">
        <v>201</v>
      </c>
      <c r="H251" s="26" t="s">
        <v>29</v>
      </c>
      <c r="I251" s="26" t="s">
        <v>43</v>
      </c>
      <c r="J251" s="26" t="s">
        <v>29</v>
      </c>
    </row>
    <row x14ac:dyDescent="0.25" r="252" customHeight="1" ht="15.75">
      <c r="A252" s="13" t="s">
        <v>126</v>
      </c>
      <c r="B252" s="13" t="s">
        <v>542</v>
      </c>
      <c r="C252" s="26" t="s">
        <v>543</v>
      </c>
      <c r="D252" s="26" t="s">
        <v>460</v>
      </c>
      <c r="E252" s="26" t="s">
        <v>143</v>
      </c>
      <c r="F252" s="26" t="s">
        <v>201</v>
      </c>
      <c r="G252" s="26" t="s">
        <v>150</v>
      </c>
      <c r="H252" s="26" t="s">
        <v>29</v>
      </c>
      <c r="I252" s="26" t="s">
        <v>29</v>
      </c>
      <c r="J252" s="26" t="s">
        <v>29</v>
      </c>
    </row>
    <row x14ac:dyDescent="0.25" r="253" customHeight="1" ht="15.75">
      <c r="A253" s="13" t="s">
        <v>227</v>
      </c>
      <c r="B253" s="13" t="s">
        <v>544</v>
      </c>
      <c r="C253" s="26" t="s">
        <v>545</v>
      </c>
      <c r="D253" s="26" t="s">
        <v>179</v>
      </c>
      <c r="E253" s="26" t="s">
        <v>88</v>
      </c>
      <c r="F253" s="26" t="s">
        <v>78</v>
      </c>
      <c r="G253" s="26" t="s">
        <v>29</v>
      </c>
      <c r="H253" s="26" t="s">
        <v>29</v>
      </c>
      <c r="I253" s="26" t="s">
        <v>29</v>
      </c>
      <c r="J253" s="26" t="s">
        <v>29</v>
      </c>
    </row>
    <row x14ac:dyDescent="0.25" r="254" customHeight="1" ht="15.75">
      <c r="A254" s="13" t="s">
        <v>198</v>
      </c>
      <c r="B254" s="13" t="s">
        <v>546</v>
      </c>
      <c r="C254" s="26" t="s">
        <v>547</v>
      </c>
      <c r="D254" s="26" t="s">
        <v>548</v>
      </c>
      <c r="E254" s="26" t="s">
        <v>36</v>
      </c>
      <c r="F254" s="26" t="s">
        <v>388</v>
      </c>
      <c r="G254" s="26" t="s">
        <v>29</v>
      </c>
      <c r="H254" s="26" t="s">
        <v>29</v>
      </c>
      <c r="I254" s="26" t="s">
        <v>549</v>
      </c>
      <c r="J254" s="26" t="s">
        <v>29</v>
      </c>
    </row>
    <row x14ac:dyDescent="0.25" r="255" customHeight="1" ht="15.75">
      <c r="A255" s="13" t="s">
        <v>184</v>
      </c>
      <c r="B255" s="13" t="s">
        <v>550</v>
      </c>
      <c r="C255" s="26" t="s">
        <v>551</v>
      </c>
      <c r="D255" s="26" t="s">
        <v>87</v>
      </c>
      <c r="E255" s="26" t="s">
        <v>57</v>
      </c>
      <c r="F255" s="26" t="s">
        <v>97</v>
      </c>
      <c r="G255" s="26" t="s">
        <v>318</v>
      </c>
      <c r="H255" s="26" t="s">
        <v>29</v>
      </c>
      <c r="I255" s="26" t="s">
        <v>29</v>
      </c>
      <c r="J255" s="26" t="s">
        <v>29</v>
      </c>
    </row>
    <row x14ac:dyDescent="0.25" r="256" customHeight="1" ht="15.75">
      <c r="A256" s="13" t="s">
        <v>129</v>
      </c>
      <c r="B256" s="13" t="s">
        <v>552</v>
      </c>
      <c r="C256" s="26" t="s">
        <v>553</v>
      </c>
      <c r="D256" s="26" t="s">
        <v>554</v>
      </c>
      <c r="E256" s="26" t="s">
        <v>57</v>
      </c>
      <c r="F256" s="26" t="s">
        <v>29</v>
      </c>
      <c r="G256" s="26" t="s">
        <v>52</v>
      </c>
      <c r="H256" s="26" t="s">
        <v>29</v>
      </c>
      <c r="I256" s="26" t="s">
        <v>78</v>
      </c>
      <c r="J256" s="26" t="s">
        <v>29</v>
      </c>
    </row>
    <row x14ac:dyDescent="0.25" r="257" customHeight="1" ht="15.75">
      <c r="A257" s="13" t="s">
        <v>69</v>
      </c>
      <c r="B257" s="13" t="s">
        <v>555</v>
      </c>
      <c r="C257" s="26" t="s">
        <v>556</v>
      </c>
      <c r="D257" s="26" t="s">
        <v>557</v>
      </c>
      <c r="E257" s="26" t="s">
        <v>143</v>
      </c>
      <c r="F257" s="26" t="s">
        <v>558</v>
      </c>
      <c r="G257" s="26" t="s">
        <v>533</v>
      </c>
      <c r="H257" s="26" t="s">
        <v>316</v>
      </c>
      <c r="I257" s="26" t="s">
        <v>533</v>
      </c>
      <c r="J257" s="26" t="s">
        <v>29</v>
      </c>
    </row>
    <row x14ac:dyDescent="0.25" r="258" customHeight="1" ht="15.75">
      <c r="A258" s="13" t="s">
        <v>512</v>
      </c>
      <c r="B258" s="13" t="s">
        <v>559</v>
      </c>
      <c r="C258" s="26" t="s">
        <v>204</v>
      </c>
      <c r="D258" s="26" t="s">
        <v>43</v>
      </c>
      <c r="E258" s="26" t="s">
        <v>37</v>
      </c>
      <c r="F258" s="26" t="s">
        <v>29</v>
      </c>
      <c r="G258" s="26" t="s">
        <v>29</v>
      </c>
      <c r="H258" s="26" t="s">
        <v>29</v>
      </c>
      <c r="I258" s="26" t="s">
        <v>29</v>
      </c>
      <c r="J258" s="26" t="s">
        <v>29</v>
      </c>
    </row>
    <row x14ac:dyDescent="0.25" r="259" customHeight="1" ht="15.75">
      <c r="A259" s="13" t="s">
        <v>66</v>
      </c>
      <c r="B259" s="13" t="s">
        <v>560</v>
      </c>
      <c r="C259" s="26" t="s">
        <v>204</v>
      </c>
      <c r="D259" s="26" t="s">
        <v>36</v>
      </c>
      <c r="E259" s="26" t="s">
        <v>37</v>
      </c>
      <c r="F259" s="26" t="s">
        <v>37</v>
      </c>
      <c r="G259" s="26" t="s">
        <v>29</v>
      </c>
      <c r="H259" s="26" t="s">
        <v>29</v>
      </c>
      <c r="I259" s="26" t="s">
        <v>29</v>
      </c>
      <c r="J259" s="26" t="s">
        <v>29</v>
      </c>
    </row>
    <row x14ac:dyDescent="0.25" r="260" customHeight="1" ht="15.75">
      <c r="A260" s="13" t="s">
        <v>69</v>
      </c>
      <c r="B260" s="13" t="s">
        <v>561</v>
      </c>
      <c r="C260" s="26" t="s">
        <v>204</v>
      </c>
      <c r="D260" s="26" t="s">
        <v>204</v>
      </c>
      <c r="E260" s="26" t="s">
        <v>31</v>
      </c>
      <c r="F260" s="26" t="s">
        <v>29</v>
      </c>
      <c r="G260" s="26" t="s">
        <v>29</v>
      </c>
      <c r="H260" s="26" t="s">
        <v>29</v>
      </c>
      <c r="I260" s="26" t="s">
        <v>29</v>
      </c>
      <c r="J260" s="26" t="s">
        <v>29</v>
      </c>
    </row>
    <row x14ac:dyDescent="0.25" r="261" customHeight="1" ht="15.75">
      <c r="A261" s="13" t="s">
        <v>227</v>
      </c>
      <c r="B261" s="13" t="s">
        <v>562</v>
      </c>
      <c r="C261" s="26" t="s">
        <v>204</v>
      </c>
      <c r="D261" s="26" t="s">
        <v>33</v>
      </c>
      <c r="E261" s="26" t="s">
        <v>37</v>
      </c>
      <c r="F261" s="26" t="s">
        <v>84</v>
      </c>
      <c r="G261" s="26" t="s">
        <v>84</v>
      </c>
      <c r="H261" s="26" t="s">
        <v>29</v>
      </c>
      <c r="I261" s="26" t="s">
        <v>87</v>
      </c>
      <c r="J261" s="26" t="s">
        <v>29</v>
      </c>
    </row>
    <row x14ac:dyDescent="0.25" r="262" customHeight="1" ht="15.75">
      <c r="A262" s="13" t="s">
        <v>69</v>
      </c>
      <c r="B262" s="13" t="s">
        <v>563</v>
      </c>
      <c r="C262" s="26" t="s">
        <v>564</v>
      </c>
      <c r="D262" s="26" t="s">
        <v>179</v>
      </c>
      <c r="E262" s="26" t="s">
        <v>34</v>
      </c>
      <c r="F262" s="26" t="s">
        <v>29</v>
      </c>
      <c r="G262" s="26" t="s">
        <v>29</v>
      </c>
      <c r="H262" s="26" t="s">
        <v>29</v>
      </c>
      <c r="I262" s="26" t="s">
        <v>29</v>
      </c>
      <c r="J262" s="26" t="s">
        <v>29</v>
      </c>
    </row>
    <row x14ac:dyDescent="0.25" r="263" customHeight="1" ht="15.75">
      <c r="A263" s="13" t="s">
        <v>103</v>
      </c>
      <c r="B263" s="13" t="s">
        <v>565</v>
      </c>
      <c r="C263" s="26" t="s">
        <v>566</v>
      </c>
      <c r="D263" s="26" t="s">
        <v>467</v>
      </c>
      <c r="E263" s="26" t="s">
        <v>36</v>
      </c>
      <c r="F263" s="26" t="s">
        <v>567</v>
      </c>
      <c r="G263" s="26" t="s">
        <v>29</v>
      </c>
      <c r="H263" s="26" t="s">
        <v>29</v>
      </c>
      <c r="I263" s="26" t="s">
        <v>567</v>
      </c>
      <c r="J263" s="26" t="s">
        <v>29</v>
      </c>
    </row>
    <row x14ac:dyDescent="0.25" r="264" customHeight="1" ht="15.75">
      <c r="A264" s="13" t="s">
        <v>129</v>
      </c>
      <c r="B264" s="13" t="s">
        <v>568</v>
      </c>
      <c r="C264" s="26" t="s">
        <v>566</v>
      </c>
      <c r="D264" s="26" t="s">
        <v>95</v>
      </c>
      <c r="E264" s="26" t="s">
        <v>37</v>
      </c>
      <c r="F264" s="26" t="s">
        <v>54</v>
      </c>
      <c r="G264" s="26" t="s">
        <v>29</v>
      </c>
      <c r="H264" s="26" t="s">
        <v>29</v>
      </c>
      <c r="I264" s="26" t="s">
        <v>29</v>
      </c>
      <c r="J264" s="26" t="s">
        <v>29</v>
      </c>
    </row>
    <row x14ac:dyDescent="0.25" r="265" customHeight="1" ht="15.75">
      <c r="A265" s="13" t="s">
        <v>91</v>
      </c>
      <c r="B265" s="13" t="s">
        <v>569</v>
      </c>
      <c r="C265" s="26" t="s">
        <v>570</v>
      </c>
      <c r="D265" s="26" t="s">
        <v>571</v>
      </c>
      <c r="E265" s="26" t="s">
        <v>115</v>
      </c>
      <c r="F265" s="26" t="s">
        <v>31</v>
      </c>
      <c r="G265" s="26" t="s">
        <v>29</v>
      </c>
      <c r="H265" s="26" t="s">
        <v>29</v>
      </c>
      <c r="I265" s="26" t="s">
        <v>341</v>
      </c>
      <c r="J265" s="26" t="s">
        <v>29</v>
      </c>
    </row>
    <row x14ac:dyDescent="0.25" r="266" customHeight="1" ht="15.75">
      <c r="A266" s="13" t="s">
        <v>129</v>
      </c>
      <c r="B266" s="13" t="s">
        <v>572</v>
      </c>
      <c r="C266" s="26" t="s">
        <v>548</v>
      </c>
      <c r="D266" s="26" t="s">
        <v>573</v>
      </c>
      <c r="E266" s="26" t="s">
        <v>57</v>
      </c>
      <c r="F266" s="26" t="s">
        <v>201</v>
      </c>
      <c r="G266" s="26" t="s">
        <v>29</v>
      </c>
      <c r="H266" s="26" t="s">
        <v>29</v>
      </c>
      <c r="I266" s="26" t="s">
        <v>43</v>
      </c>
      <c r="J266" s="26" t="s">
        <v>29</v>
      </c>
    </row>
    <row x14ac:dyDescent="0.25" r="267" customHeight="1" ht="15.75">
      <c r="A267" s="13" t="s">
        <v>66</v>
      </c>
      <c r="B267" s="13" t="s">
        <v>574</v>
      </c>
      <c r="C267" s="26" t="s">
        <v>179</v>
      </c>
      <c r="D267" s="26" t="s">
        <v>29</v>
      </c>
      <c r="E267" s="26" t="s">
        <v>31</v>
      </c>
      <c r="F267" s="26" t="s">
        <v>78</v>
      </c>
      <c r="G267" s="26" t="s">
        <v>29</v>
      </c>
      <c r="H267" s="26" t="s">
        <v>29</v>
      </c>
      <c r="I267" s="26" t="s">
        <v>29</v>
      </c>
      <c r="J267" s="26" t="s">
        <v>29</v>
      </c>
    </row>
    <row x14ac:dyDescent="0.25" r="268" customHeight="1" ht="15.75">
      <c r="A268" s="13" t="s">
        <v>126</v>
      </c>
      <c r="B268" s="13" t="s">
        <v>575</v>
      </c>
      <c r="C268" s="26" t="s">
        <v>179</v>
      </c>
      <c r="D268" s="26" t="s">
        <v>250</v>
      </c>
      <c r="E268" s="26" t="s">
        <v>122</v>
      </c>
      <c r="F268" s="26" t="s">
        <v>42</v>
      </c>
      <c r="G268" s="26" t="s">
        <v>29</v>
      </c>
      <c r="H268" s="26" t="s">
        <v>29</v>
      </c>
      <c r="I268" s="26" t="s">
        <v>29</v>
      </c>
      <c r="J268" s="26" t="s">
        <v>29</v>
      </c>
    </row>
    <row x14ac:dyDescent="0.25" r="269" customHeight="1" ht="15.75">
      <c r="A269" s="13" t="s">
        <v>91</v>
      </c>
      <c r="B269" s="13" t="s">
        <v>576</v>
      </c>
      <c r="C269" s="26" t="s">
        <v>577</v>
      </c>
      <c r="D269" s="26" t="s">
        <v>578</v>
      </c>
      <c r="E269" s="26" t="s">
        <v>63</v>
      </c>
      <c r="F269" s="26" t="s">
        <v>294</v>
      </c>
      <c r="G269" s="26" t="s">
        <v>193</v>
      </c>
      <c r="H269" s="26" t="s">
        <v>193</v>
      </c>
      <c r="I269" s="26" t="s">
        <v>294</v>
      </c>
      <c r="J269" s="26" t="s">
        <v>193</v>
      </c>
    </row>
    <row x14ac:dyDescent="0.25" r="270" customHeight="1" ht="15.75">
      <c r="A270" s="13" t="s">
        <v>27</v>
      </c>
      <c r="B270" s="13" t="s">
        <v>579</v>
      </c>
      <c r="C270" s="26" t="s">
        <v>580</v>
      </c>
      <c r="D270" s="26" t="s">
        <v>347</v>
      </c>
      <c r="E270" s="26" t="s">
        <v>510</v>
      </c>
      <c r="F270" s="26" t="s">
        <v>433</v>
      </c>
      <c r="G270" s="26" t="s">
        <v>581</v>
      </c>
      <c r="H270" s="26" t="s">
        <v>29</v>
      </c>
      <c r="I270" s="26" t="s">
        <v>47</v>
      </c>
      <c r="J270" s="26" t="s">
        <v>29</v>
      </c>
    </row>
    <row x14ac:dyDescent="0.25" r="271" customHeight="1" ht="15.75">
      <c r="A271" s="13" t="s">
        <v>27</v>
      </c>
      <c r="B271" s="13" t="s">
        <v>582</v>
      </c>
      <c r="C271" s="26" t="s">
        <v>583</v>
      </c>
      <c r="D271" s="26" t="s">
        <v>584</v>
      </c>
      <c r="E271" s="26" t="s">
        <v>78</v>
      </c>
      <c r="F271" s="26" t="s">
        <v>77</v>
      </c>
      <c r="G271" s="26" t="s">
        <v>77</v>
      </c>
      <c r="H271" s="26" t="s">
        <v>29</v>
      </c>
      <c r="I271" s="26" t="s">
        <v>29</v>
      </c>
      <c r="J271" s="26" t="s">
        <v>29</v>
      </c>
    </row>
    <row x14ac:dyDescent="0.25" r="272" customHeight="1" ht="15.75">
      <c r="A272" s="13" t="s">
        <v>184</v>
      </c>
      <c r="B272" s="13" t="s">
        <v>585</v>
      </c>
      <c r="C272" s="26" t="s">
        <v>586</v>
      </c>
      <c r="D272" s="26" t="s">
        <v>587</v>
      </c>
      <c r="E272" s="26" t="s">
        <v>34</v>
      </c>
      <c r="F272" s="26" t="s">
        <v>201</v>
      </c>
      <c r="G272" s="26" t="s">
        <v>588</v>
      </c>
      <c r="H272" s="26" t="s">
        <v>29</v>
      </c>
      <c r="I272" s="26" t="s">
        <v>29</v>
      </c>
      <c r="J272" s="26" t="s">
        <v>29</v>
      </c>
    </row>
    <row x14ac:dyDescent="0.25" r="273" customHeight="1" ht="15.75">
      <c r="A273" s="13" t="s">
        <v>227</v>
      </c>
      <c r="B273" s="13" t="s">
        <v>589</v>
      </c>
      <c r="C273" s="26" t="s">
        <v>590</v>
      </c>
      <c r="D273" s="26" t="s">
        <v>125</v>
      </c>
      <c r="E273" s="26" t="s">
        <v>34</v>
      </c>
      <c r="F273" s="26" t="s">
        <v>37</v>
      </c>
      <c r="G273" s="26" t="s">
        <v>29</v>
      </c>
      <c r="H273" s="26" t="s">
        <v>29</v>
      </c>
      <c r="I273" s="26" t="s">
        <v>78</v>
      </c>
      <c r="J273" s="26" t="s">
        <v>29</v>
      </c>
    </row>
    <row x14ac:dyDescent="0.25" r="274" customHeight="1" ht="15.75">
      <c r="A274" s="13" t="s">
        <v>116</v>
      </c>
      <c r="B274" s="13" t="s">
        <v>591</v>
      </c>
      <c r="C274" s="26" t="s">
        <v>590</v>
      </c>
      <c r="D274" s="26" t="s">
        <v>29</v>
      </c>
      <c r="E274" s="26" t="s">
        <v>57</v>
      </c>
      <c r="F274" s="26" t="s">
        <v>37</v>
      </c>
      <c r="G274" s="26" t="s">
        <v>37</v>
      </c>
      <c r="H274" s="26" t="s">
        <v>29</v>
      </c>
      <c r="I274" s="26" t="s">
        <v>37</v>
      </c>
      <c r="J274" s="26" t="s">
        <v>29</v>
      </c>
    </row>
    <row x14ac:dyDescent="0.25" r="275" customHeight="1" ht="15.75">
      <c r="A275" s="13" t="s">
        <v>126</v>
      </c>
      <c r="B275" s="13" t="s">
        <v>592</v>
      </c>
      <c r="C275" s="26" t="s">
        <v>593</v>
      </c>
      <c r="D275" s="26" t="s">
        <v>216</v>
      </c>
      <c r="E275" s="26" t="s">
        <v>57</v>
      </c>
      <c r="F275" s="26" t="s">
        <v>99</v>
      </c>
      <c r="G275" s="26" t="s">
        <v>29</v>
      </c>
      <c r="H275" s="26" t="s">
        <v>29</v>
      </c>
      <c r="I275" s="26" t="s">
        <v>99</v>
      </c>
      <c r="J275" s="26" t="s">
        <v>29</v>
      </c>
    </row>
    <row x14ac:dyDescent="0.25" r="276" customHeight="1" ht="15.75">
      <c r="A276" s="13" t="s">
        <v>198</v>
      </c>
      <c r="B276" s="13" t="s">
        <v>594</v>
      </c>
      <c r="C276" s="26" t="s">
        <v>595</v>
      </c>
      <c r="D276" s="26" t="s">
        <v>78</v>
      </c>
      <c r="E276" s="26" t="s">
        <v>78</v>
      </c>
      <c r="F276" s="26" t="s">
        <v>29</v>
      </c>
      <c r="G276" s="26" t="s">
        <v>29</v>
      </c>
      <c r="H276" s="26" t="s">
        <v>29</v>
      </c>
      <c r="I276" s="26" t="s">
        <v>43</v>
      </c>
      <c r="J276" s="26" t="s">
        <v>29</v>
      </c>
    </row>
    <row x14ac:dyDescent="0.25" r="277" customHeight="1" ht="15.75">
      <c r="A277" s="13" t="s">
        <v>91</v>
      </c>
      <c r="B277" s="13" t="s">
        <v>596</v>
      </c>
      <c r="C277" s="26" t="s">
        <v>597</v>
      </c>
      <c r="D277" s="26" t="s">
        <v>84</v>
      </c>
      <c r="E277" s="26" t="s">
        <v>78</v>
      </c>
      <c r="F277" s="26" t="s">
        <v>105</v>
      </c>
      <c r="G277" s="26" t="s">
        <v>29</v>
      </c>
      <c r="H277" s="26" t="s">
        <v>29</v>
      </c>
      <c r="I277" s="26" t="s">
        <v>29</v>
      </c>
      <c r="J277" s="26" t="s">
        <v>204</v>
      </c>
    </row>
    <row x14ac:dyDescent="0.25" r="278" customHeight="1" ht="15.75">
      <c r="A278" s="13" t="s">
        <v>69</v>
      </c>
      <c r="B278" s="13" t="s">
        <v>598</v>
      </c>
      <c r="C278" s="26" t="s">
        <v>599</v>
      </c>
      <c r="D278" s="26" t="s">
        <v>600</v>
      </c>
      <c r="E278" s="26" t="s">
        <v>36</v>
      </c>
      <c r="F278" s="26" t="s">
        <v>201</v>
      </c>
      <c r="G278" s="26" t="s">
        <v>29</v>
      </c>
      <c r="H278" s="26" t="s">
        <v>29</v>
      </c>
      <c r="I278" s="26" t="s">
        <v>52</v>
      </c>
      <c r="J278" s="26" t="s">
        <v>29</v>
      </c>
    </row>
    <row x14ac:dyDescent="0.25" r="279" customHeight="1" ht="15.75">
      <c r="A279" s="13" t="s">
        <v>126</v>
      </c>
      <c r="B279" s="13" t="s">
        <v>601</v>
      </c>
      <c r="C279" s="26" t="s">
        <v>602</v>
      </c>
      <c r="D279" s="26" t="s">
        <v>433</v>
      </c>
      <c r="E279" s="26" t="s">
        <v>34</v>
      </c>
      <c r="F279" s="26" t="s">
        <v>191</v>
      </c>
      <c r="G279" s="26" t="s">
        <v>191</v>
      </c>
      <c r="H279" s="26" t="s">
        <v>191</v>
      </c>
      <c r="I279" s="26" t="s">
        <v>36</v>
      </c>
      <c r="J279" s="26" t="s">
        <v>29</v>
      </c>
    </row>
    <row x14ac:dyDescent="0.25" r="280" customHeight="1" ht="15.75">
      <c r="A280" s="13" t="s">
        <v>227</v>
      </c>
      <c r="B280" s="13" t="s">
        <v>603</v>
      </c>
      <c r="C280" s="26" t="s">
        <v>604</v>
      </c>
      <c r="D280" s="26" t="s">
        <v>605</v>
      </c>
      <c r="E280" s="26" t="s">
        <v>37</v>
      </c>
      <c r="F280" s="26" t="s">
        <v>265</v>
      </c>
      <c r="G280" s="26" t="s">
        <v>29</v>
      </c>
      <c r="H280" s="26" t="s">
        <v>29</v>
      </c>
      <c r="I280" s="26" t="s">
        <v>29</v>
      </c>
      <c r="J280" s="26" t="s">
        <v>29</v>
      </c>
    </row>
    <row x14ac:dyDescent="0.25" r="281" customHeight="1" ht="15.75">
      <c r="A281" s="13" t="s">
        <v>91</v>
      </c>
      <c r="B281" s="13" t="s">
        <v>606</v>
      </c>
      <c r="C281" s="26" t="s">
        <v>607</v>
      </c>
      <c r="D281" s="26" t="s">
        <v>36</v>
      </c>
      <c r="E281" s="26" t="s">
        <v>143</v>
      </c>
      <c r="F281" s="26" t="s">
        <v>608</v>
      </c>
      <c r="G281" s="26" t="s">
        <v>609</v>
      </c>
      <c r="H281" s="26" t="s">
        <v>610</v>
      </c>
      <c r="I281" s="26" t="s">
        <v>97</v>
      </c>
      <c r="J281" s="26" t="s">
        <v>29</v>
      </c>
    </row>
    <row x14ac:dyDescent="0.25" r="282" customHeight="1" ht="15.75">
      <c r="A282" s="13" t="s">
        <v>391</v>
      </c>
      <c r="B282" s="13" t="s">
        <v>611</v>
      </c>
      <c r="C282" s="26" t="s">
        <v>612</v>
      </c>
      <c r="D282" s="26" t="s">
        <v>93</v>
      </c>
      <c r="E282" s="26" t="s">
        <v>34</v>
      </c>
      <c r="F282" s="26" t="s">
        <v>29</v>
      </c>
      <c r="G282" s="26" t="s">
        <v>29</v>
      </c>
      <c r="H282" s="26" t="s">
        <v>29</v>
      </c>
      <c r="I282" s="26" t="s">
        <v>29</v>
      </c>
      <c r="J282" s="26" t="s">
        <v>29</v>
      </c>
    </row>
    <row x14ac:dyDescent="0.25" r="283" customHeight="1" ht="15.75">
      <c r="A283" s="13" t="s">
        <v>227</v>
      </c>
      <c r="B283" s="13" t="s">
        <v>613</v>
      </c>
      <c r="C283" s="26" t="s">
        <v>614</v>
      </c>
      <c r="D283" s="26" t="s">
        <v>557</v>
      </c>
      <c r="E283" s="26" t="s">
        <v>34</v>
      </c>
      <c r="F283" s="26" t="s">
        <v>615</v>
      </c>
      <c r="G283" s="26" t="s">
        <v>612</v>
      </c>
      <c r="H283" s="26" t="s">
        <v>29</v>
      </c>
      <c r="I283" s="26" t="s">
        <v>29</v>
      </c>
      <c r="J283" s="26" t="s">
        <v>29</v>
      </c>
    </row>
    <row x14ac:dyDescent="0.25" r="284" customHeight="1" ht="15.75">
      <c r="A284" s="13" t="s">
        <v>69</v>
      </c>
      <c r="B284" s="13" t="s">
        <v>616</v>
      </c>
      <c r="C284" s="26" t="s">
        <v>617</v>
      </c>
      <c r="D284" s="26" t="s">
        <v>29</v>
      </c>
      <c r="E284" s="26" t="s">
        <v>88</v>
      </c>
      <c r="F284" s="26" t="s">
        <v>88</v>
      </c>
      <c r="G284" s="26" t="s">
        <v>31</v>
      </c>
      <c r="H284" s="26" t="s">
        <v>29</v>
      </c>
      <c r="I284" s="26" t="s">
        <v>57</v>
      </c>
      <c r="J284" s="26" t="s">
        <v>29</v>
      </c>
    </row>
    <row x14ac:dyDescent="0.25" r="285" customHeight="1" ht="15.75">
      <c r="A285" s="13" t="s">
        <v>66</v>
      </c>
      <c r="B285" s="13" t="s">
        <v>618</v>
      </c>
      <c r="C285" s="26" t="s">
        <v>400</v>
      </c>
      <c r="D285" s="26" t="s">
        <v>619</v>
      </c>
      <c r="E285" s="26" t="s">
        <v>37</v>
      </c>
      <c r="F285" s="26" t="s">
        <v>29</v>
      </c>
      <c r="G285" s="26" t="s">
        <v>204</v>
      </c>
      <c r="H285" s="26" t="s">
        <v>204</v>
      </c>
      <c r="I285" s="26" t="s">
        <v>29</v>
      </c>
      <c r="J285" s="26" t="s">
        <v>29</v>
      </c>
    </row>
    <row x14ac:dyDescent="0.25" r="286" customHeight="1" ht="15.75">
      <c r="A286" s="13" t="s">
        <v>116</v>
      </c>
      <c r="B286" s="13" t="s">
        <v>620</v>
      </c>
      <c r="C286" s="26" t="s">
        <v>621</v>
      </c>
      <c r="D286" s="26" t="s">
        <v>288</v>
      </c>
      <c r="E286" s="26" t="s">
        <v>88</v>
      </c>
      <c r="F286" s="26" t="s">
        <v>93</v>
      </c>
      <c r="G286" s="26" t="s">
        <v>29</v>
      </c>
      <c r="H286" s="26" t="s">
        <v>29</v>
      </c>
      <c r="I286" s="26" t="s">
        <v>93</v>
      </c>
      <c r="J286" s="26" t="s">
        <v>29</v>
      </c>
    </row>
    <row x14ac:dyDescent="0.25" r="287" customHeight="1" ht="15.75">
      <c r="A287" s="13" t="s">
        <v>126</v>
      </c>
      <c r="B287" s="13" t="s">
        <v>622</v>
      </c>
      <c r="C287" s="26" t="s">
        <v>623</v>
      </c>
      <c r="D287" s="26" t="s">
        <v>50</v>
      </c>
      <c r="E287" s="26" t="s">
        <v>88</v>
      </c>
      <c r="F287" s="26" t="s">
        <v>29</v>
      </c>
      <c r="G287" s="26" t="s">
        <v>29</v>
      </c>
      <c r="H287" s="26" t="s">
        <v>29</v>
      </c>
      <c r="I287" s="26" t="s">
        <v>52</v>
      </c>
      <c r="J287" s="26" t="s">
        <v>29</v>
      </c>
    </row>
    <row x14ac:dyDescent="0.25" r="288" customHeight="1" ht="15.75">
      <c r="A288" s="13" t="s">
        <v>126</v>
      </c>
      <c r="B288" s="13" t="s">
        <v>624</v>
      </c>
      <c r="C288" s="26" t="s">
        <v>625</v>
      </c>
      <c r="D288" s="26" t="s">
        <v>626</v>
      </c>
      <c r="E288" s="26" t="s">
        <v>510</v>
      </c>
      <c r="F288" s="26" t="s">
        <v>78</v>
      </c>
      <c r="G288" s="26" t="s">
        <v>627</v>
      </c>
      <c r="H288" s="26" t="s">
        <v>29</v>
      </c>
      <c r="I288" s="26" t="s">
        <v>201</v>
      </c>
      <c r="J288" s="26" t="s">
        <v>29</v>
      </c>
    </row>
    <row x14ac:dyDescent="0.25" r="289" customHeight="1" ht="15.75">
      <c r="A289" s="13" t="s">
        <v>116</v>
      </c>
      <c r="B289" s="13" t="s">
        <v>628</v>
      </c>
      <c r="C289" s="26" t="s">
        <v>629</v>
      </c>
      <c r="D289" s="26" t="s">
        <v>612</v>
      </c>
      <c r="E289" s="26" t="s">
        <v>31</v>
      </c>
      <c r="F289" s="26" t="s">
        <v>630</v>
      </c>
      <c r="G289" s="26" t="s">
        <v>29</v>
      </c>
      <c r="H289" s="26" t="s">
        <v>29</v>
      </c>
      <c r="I289" s="26" t="s">
        <v>393</v>
      </c>
      <c r="J289" s="26" t="s">
        <v>29</v>
      </c>
    </row>
    <row x14ac:dyDescent="0.25" r="290" customHeight="1" ht="15.75">
      <c r="A290" s="13" t="s">
        <v>129</v>
      </c>
      <c r="B290" s="13" t="s">
        <v>631</v>
      </c>
      <c r="C290" s="26" t="s">
        <v>632</v>
      </c>
      <c r="D290" s="26" t="s">
        <v>78</v>
      </c>
      <c r="E290" s="26" t="s">
        <v>34</v>
      </c>
      <c r="F290" s="26" t="s">
        <v>50</v>
      </c>
      <c r="G290" s="26" t="s">
        <v>29</v>
      </c>
      <c r="H290" s="26" t="s">
        <v>29</v>
      </c>
      <c r="I290" s="26" t="s">
        <v>29</v>
      </c>
      <c r="J290" s="26" t="s">
        <v>29</v>
      </c>
    </row>
    <row x14ac:dyDescent="0.25" r="291" customHeight="1" ht="15.75">
      <c r="A291" s="13" t="s">
        <v>103</v>
      </c>
      <c r="B291" s="13" t="s">
        <v>633</v>
      </c>
      <c r="C291" s="26" t="s">
        <v>549</v>
      </c>
      <c r="D291" s="26" t="s">
        <v>361</v>
      </c>
      <c r="E291" s="26" t="s">
        <v>34</v>
      </c>
      <c r="F291" s="26" t="s">
        <v>204</v>
      </c>
      <c r="G291" s="26" t="s">
        <v>204</v>
      </c>
      <c r="H291" s="26" t="s">
        <v>204</v>
      </c>
      <c r="I291" s="26" t="s">
        <v>29</v>
      </c>
      <c r="J291" s="26" t="s">
        <v>29</v>
      </c>
    </row>
    <row x14ac:dyDescent="0.25" r="292" customHeight="1" ht="15.75">
      <c r="A292" s="13" t="s">
        <v>27</v>
      </c>
      <c r="B292" s="13" t="s">
        <v>634</v>
      </c>
      <c r="C292" s="26" t="s">
        <v>635</v>
      </c>
      <c r="D292" s="26" t="s">
        <v>404</v>
      </c>
      <c r="E292" s="26" t="s">
        <v>78</v>
      </c>
      <c r="F292" s="26" t="s">
        <v>77</v>
      </c>
      <c r="G292" s="26" t="s">
        <v>352</v>
      </c>
      <c r="H292" s="26" t="s">
        <v>29</v>
      </c>
      <c r="I292" s="26" t="s">
        <v>352</v>
      </c>
      <c r="J292" s="26" t="s">
        <v>29</v>
      </c>
    </row>
    <row x14ac:dyDescent="0.25" r="293" customHeight="1" ht="15.75">
      <c r="A293" s="13" t="s">
        <v>69</v>
      </c>
      <c r="B293" s="13" t="s">
        <v>636</v>
      </c>
      <c r="C293" s="26" t="s">
        <v>637</v>
      </c>
      <c r="D293" s="26" t="s">
        <v>638</v>
      </c>
      <c r="E293" s="26" t="s">
        <v>122</v>
      </c>
      <c r="F293" s="26" t="s">
        <v>334</v>
      </c>
      <c r="G293" s="26" t="s">
        <v>29</v>
      </c>
      <c r="H293" s="26" t="s">
        <v>29</v>
      </c>
      <c r="I293" s="26" t="s">
        <v>520</v>
      </c>
      <c r="J293" s="26" t="s">
        <v>29</v>
      </c>
    </row>
    <row x14ac:dyDescent="0.25" r="294" customHeight="1" ht="15.75">
      <c r="A294" s="13" t="s">
        <v>129</v>
      </c>
      <c r="B294" s="13" t="s">
        <v>639</v>
      </c>
      <c r="C294" s="26" t="s">
        <v>640</v>
      </c>
      <c r="D294" s="26" t="s">
        <v>641</v>
      </c>
      <c r="E294" s="26" t="s">
        <v>122</v>
      </c>
      <c r="F294" s="26" t="s">
        <v>87</v>
      </c>
      <c r="G294" s="26" t="s">
        <v>84</v>
      </c>
      <c r="H294" s="26" t="s">
        <v>176</v>
      </c>
      <c r="I294" s="26" t="s">
        <v>84</v>
      </c>
      <c r="J294" s="26" t="s">
        <v>176</v>
      </c>
    </row>
    <row x14ac:dyDescent="0.25" r="295" customHeight="1" ht="15.75">
      <c r="A295" s="13" t="s">
        <v>27</v>
      </c>
      <c r="B295" s="13" t="s">
        <v>642</v>
      </c>
      <c r="C295" s="26" t="s">
        <v>643</v>
      </c>
      <c r="D295" s="26" t="s">
        <v>204</v>
      </c>
      <c r="E295" s="26" t="s">
        <v>78</v>
      </c>
      <c r="F295" s="26" t="s">
        <v>33</v>
      </c>
      <c r="G295" s="26" t="s">
        <v>29</v>
      </c>
      <c r="H295" s="26" t="s">
        <v>29</v>
      </c>
      <c r="I295" s="26" t="s">
        <v>33</v>
      </c>
      <c r="J295" s="26" t="s">
        <v>29</v>
      </c>
    </row>
    <row x14ac:dyDescent="0.25" r="296" customHeight="1" ht="15.75">
      <c r="A296" s="13" t="s">
        <v>129</v>
      </c>
      <c r="B296" s="13" t="s">
        <v>644</v>
      </c>
      <c r="C296" s="26" t="s">
        <v>645</v>
      </c>
      <c r="D296" s="26" t="s">
        <v>78</v>
      </c>
      <c r="E296" s="26" t="s">
        <v>37</v>
      </c>
      <c r="F296" s="26" t="s">
        <v>638</v>
      </c>
      <c r="G296" s="26" t="s">
        <v>42</v>
      </c>
      <c r="H296" s="26" t="s">
        <v>29</v>
      </c>
      <c r="I296" s="26" t="s">
        <v>294</v>
      </c>
      <c r="J296" s="26" t="s">
        <v>29</v>
      </c>
    </row>
    <row x14ac:dyDescent="0.25" r="297" customHeight="1" ht="15.75">
      <c r="A297" s="13" t="s">
        <v>184</v>
      </c>
      <c r="B297" s="13" t="s">
        <v>646</v>
      </c>
      <c r="C297" s="26" t="s">
        <v>645</v>
      </c>
      <c r="D297" s="26" t="s">
        <v>210</v>
      </c>
      <c r="E297" s="26" t="s">
        <v>88</v>
      </c>
      <c r="F297" s="26" t="s">
        <v>388</v>
      </c>
      <c r="G297" s="26" t="s">
        <v>388</v>
      </c>
      <c r="H297" s="26" t="s">
        <v>29</v>
      </c>
      <c r="I297" s="26" t="s">
        <v>388</v>
      </c>
      <c r="J297" s="26" t="s">
        <v>29</v>
      </c>
    </row>
    <row x14ac:dyDescent="0.25" r="298" customHeight="1" ht="15.75">
      <c r="A298" s="13" t="s">
        <v>27</v>
      </c>
      <c r="B298" s="13" t="s">
        <v>647</v>
      </c>
      <c r="C298" s="26" t="s">
        <v>648</v>
      </c>
      <c r="D298" s="26" t="s">
        <v>649</v>
      </c>
      <c r="E298" s="26" t="s">
        <v>37</v>
      </c>
      <c r="F298" s="26" t="s">
        <v>240</v>
      </c>
      <c r="G298" s="26" t="s">
        <v>650</v>
      </c>
      <c r="H298" s="26" t="s">
        <v>29</v>
      </c>
      <c r="I298" s="26" t="s">
        <v>650</v>
      </c>
      <c r="J298" s="26" t="s">
        <v>29</v>
      </c>
    </row>
    <row x14ac:dyDescent="0.25" r="299" customHeight="1" ht="15.75">
      <c r="A299" s="13" t="s">
        <v>91</v>
      </c>
      <c r="B299" s="13" t="s">
        <v>651</v>
      </c>
      <c r="C299" s="26" t="s">
        <v>652</v>
      </c>
      <c r="D299" s="26" t="s">
        <v>33</v>
      </c>
      <c r="E299" s="26" t="s">
        <v>31</v>
      </c>
      <c r="F299" s="26" t="s">
        <v>52</v>
      </c>
      <c r="G299" s="26" t="s">
        <v>29</v>
      </c>
      <c r="H299" s="26" t="s">
        <v>29</v>
      </c>
      <c r="I299" s="26" t="s">
        <v>29</v>
      </c>
      <c r="J299" s="26" t="s">
        <v>52</v>
      </c>
    </row>
    <row x14ac:dyDescent="0.25" r="300" customHeight="1" ht="15.75">
      <c r="A300" s="13" t="s">
        <v>129</v>
      </c>
      <c r="B300" s="13" t="s">
        <v>653</v>
      </c>
      <c r="C300" s="26" t="s">
        <v>652</v>
      </c>
      <c r="D300" s="26" t="s">
        <v>78</v>
      </c>
      <c r="E300" s="26" t="s">
        <v>78</v>
      </c>
      <c r="F300" s="26" t="s">
        <v>52</v>
      </c>
      <c r="G300" s="26" t="s">
        <v>29</v>
      </c>
      <c r="H300" s="26" t="s">
        <v>29</v>
      </c>
      <c r="I300" s="26" t="s">
        <v>52</v>
      </c>
      <c r="J300" s="26" t="s">
        <v>29</v>
      </c>
    </row>
    <row x14ac:dyDescent="0.25" r="301" customHeight="1" ht="15.75">
      <c r="A301" s="13" t="s">
        <v>184</v>
      </c>
      <c r="B301" s="13" t="s">
        <v>654</v>
      </c>
      <c r="C301" s="26" t="s">
        <v>655</v>
      </c>
      <c r="D301" s="26" t="s">
        <v>318</v>
      </c>
      <c r="E301" s="26" t="s">
        <v>143</v>
      </c>
      <c r="F301" s="26" t="s">
        <v>240</v>
      </c>
      <c r="G301" s="26" t="s">
        <v>29</v>
      </c>
      <c r="H301" s="26" t="s">
        <v>29</v>
      </c>
      <c r="I301" s="26" t="s">
        <v>656</v>
      </c>
      <c r="J301" s="26" t="s">
        <v>29</v>
      </c>
    </row>
    <row x14ac:dyDescent="0.25" r="302" customHeight="1" ht="15.75">
      <c r="A302" s="13" t="s">
        <v>227</v>
      </c>
      <c r="B302" s="13" t="s">
        <v>657</v>
      </c>
      <c r="C302" s="26" t="s">
        <v>52</v>
      </c>
      <c r="D302" s="26" t="s">
        <v>84</v>
      </c>
      <c r="E302" s="26" t="s">
        <v>37</v>
      </c>
      <c r="F302" s="26" t="s">
        <v>31</v>
      </c>
      <c r="G302" s="26" t="s">
        <v>29</v>
      </c>
      <c r="H302" s="26" t="s">
        <v>29</v>
      </c>
      <c r="I302" s="26" t="s">
        <v>29</v>
      </c>
      <c r="J302" s="26" t="s">
        <v>29</v>
      </c>
    </row>
    <row x14ac:dyDescent="0.25" r="303" customHeight="1" ht="15.75">
      <c r="A303" s="13" t="s">
        <v>91</v>
      </c>
      <c r="B303" s="13" t="s">
        <v>658</v>
      </c>
      <c r="C303" s="26" t="s">
        <v>659</v>
      </c>
      <c r="D303" s="26" t="s">
        <v>641</v>
      </c>
      <c r="E303" s="26" t="s">
        <v>81</v>
      </c>
      <c r="F303" s="26" t="s">
        <v>288</v>
      </c>
      <c r="G303" s="26" t="s">
        <v>29</v>
      </c>
      <c r="H303" s="26" t="s">
        <v>29</v>
      </c>
      <c r="I303" s="26" t="s">
        <v>154</v>
      </c>
      <c r="J303" s="26" t="s">
        <v>29</v>
      </c>
    </row>
    <row x14ac:dyDescent="0.25" r="304" customHeight="1" ht="15.75">
      <c r="A304" s="13" t="s">
        <v>391</v>
      </c>
      <c r="B304" s="13" t="s">
        <v>660</v>
      </c>
      <c r="C304" s="26" t="s">
        <v>659</v>
      </c>
      <c r="D304" s="26" t="s">
        <v>84</v>
      </c>
      <c r="E304" s="26" t="s">
        <v>81</v>
      </c>
      <c r="F304" s="26" t="s">
        <v>29</v>
      </c>
      <c r="G304" s="26" t="s">
        <v>29</v>
      </c>
      <c r="H304" s="26" t="s">
        <v>29</v>
      </c>
      <c r="I304" s="26" t="s">
        <v>29</v>
      </c>
      <c r="J304" s="26" t="s">
        <v>29</v>
      </c>
    </row>
    <row x14ac:dyDescent="0.25" r="305" customHeight="1" ht="15.75">
      <c r="A305" s="13" t="s">
        <v>116</v>
      </c>
      <c r="B305" s="13" t="s">
        <v>661</v>
      </c>
      <c r="C305" s="26" t="s">
        <v>662</v>
      </c>
      <c r="D305" s="26" t="s">
        <v>210</v>
      </c>
      <c r="E305" s="26" t="s">
        <v>34</v>
      </c>
      <c r="F305" s="26" t="s">
        <v>29</v>
      </c>
      <c r="G305" s="26" t="s">
        <v>29</v>
      </c>
      <c r="H305" s="26" t="s">
        <v>29</v>
      </c>
      <c r="I305" s="26" t="s">
        <v>154</v>
      </c>
      <c r="J305" s="26" t="s">
        <v>29</v>
      </c>
    </row>
    <row x14ac:dyDescent="0.25" r="306" customHeight="1" ht="15.75">
      <c r="A306" s="13" t="s">
        <v>66</v>
      </c>
      <c r="B306" s="13" t="s">
        <v>663</v>
      </c>
      <c r="C306" s="26" t="s">
        <v>662</v>
      </c>
      <c r="D306" s="26" t="s">
        <v>433</v>
      </c>
      <c r="E306" s="26" t="s">
        <v>57</v>
      </c>
      <c r="F306" s="26" t="s">
        <v>36</v>
      </c>
      <c r="G306" s="26" t="s">
        <v>191</v>
      </c>
      <c r="H306" s="26" t="s">
        <v>507</v>
      </c>
      <c r="I306" s="26" t="s">
        <v>78</v>
      </c>
      <c r="J306" s="26" t="s">
        <v>29</v>
      </c>
    </row>
    <row x14ac:dyDescent="0.25" r="307" customHeight="1" ht="15.75">
      <c r="A307" s="13" t="s">
        <v>103</v>
      </c>
      <c r="B307" s="13" t="s">
        <v>664</v>
      </c>
      <c r="C307" s="26" t="s">
        <v>665</v>
      </c>
      <c r="D307" s="26" t="s">
        <v>93</v>
      </c>
      <c r="E307" s="26" t="s">
        <v>43</v>
      </c>
      <c r="F307" s="26" t="s">
        <v>36</v>
      </c>
      <c r="G307" s="26" t="s">
        <v>191</v>
      </c>
      <c r="H307" s="26" t="s">
        <v>29</v>
      </c>
      <c r="I307" s="26" t="s">
        <v>29</v>
      </c>
      <c r="J307" s="26" t="s">
        <v>29</v>
      </c>
    </row>
    <row x14ac:dyDescent="0.25" r="308" customHeight="1" ht="15.75">
      <c r="A308" s="13" t="s">
        <v>184</v>
      </c>
      <c r="B308" s="13" t="s">
        <v>666</v>
      </c>
      <c r="C308" s="26" t="s">
        <v>667</v>
      </c>
      <c r="D308" s="26" t="s">
        <v>668</v>
      </c>
      <c r="E308" s="26" t="s">
        <v>37</v>
      </c>
      <c r="F308" s="26" t="s">
        <v>210</v>
      </c>
      <c r="G308" s="26" t="s">
        <v>176</v>
      </c>
      <c r="H308" s="26" t="s">
        <v>29</v>
      </c>
      <c r="I308" s="26" t="s">
        <v>29</v>
      </c>
      <c r="J308" s="26" t="s">
        <v>29</v>
      </c>
    </row>
    <row x14ac:dyDescent="0.25" r="309" customHeight="1" ht="15.75">
      <c r="A309" s="13" t="s">
        <v>91</v>
      </c>
      <c r="B309" s="13" t="s">
        <v>669</v>
      </c>
      <c r="C309" s="26" t="s">
        <v>670</v>
      </c>
      <c r="D309" s="26" t="s">
        <v>84</v>
      </c>
      <c r="E309" s="26" t="s">
        <v>57</v>
      </c>
      <c r="F309" s="26" t="s">
        <v>31</v>
      </c>
      <c r="G309" s="26" t="s">
        <v>50</v>
      </c>
      <c r="H309" s="26" t="s">
        <v>29</v>
      </c>
      <c r="I309" s="26" t="s">
        <v>50</v>
      </c>
      <c r="J309" s="26" t="s">
        <v>29</v>
      </c>
    </row>
    <row x14ac:dyDescent="0.25" r="310" customHeight="1" ht="15.75">
      <c r="A310" s="13" t="s">
        <v>129</v>
      </c>
      <c r="B310" s="13" t="s">
        <v>671</v>
      </c>
      <c r="C310" s="26" t="s">
        <v>672</v>
      </c>
      <c r="D310" s="26" t="s">
        <v>43</v>
      </c>
      <c r="E310" s="26" t="s">
        <v>43</v>
      </c>
      <c r="F310" s="26" t="s">
        <v>537</v>
      </c>
      <c r="G310" s="26" t="s">
        <v>29</v>
      </c>
      <c r="H310" s="26" t="s">
        <v>29</v>
      </c>
      <c r="I310" s="26" t="s">
        <v>29</v>
      </c>
      <c r="J310" s="26" t="s">
        <v>29</v>
      </c>
    </row>
    <row x14ac:dyDescent="0.25" r="311" customHeight="1" ht="15.75">
      <c r="A311" s="13" t="s">
        <v>109</v>
      </c>
      <c r="B311" s="13" t="s">
        <v>673</v>
      </c>
      <c r="C311" s="26" t="s">
        <v>674</v>
      </c>
      <c r="D311" s="26" t="s">
        <v>78</v>
      </c>
      <c r="E311" s="26" t="s">
        <v>34</v>
      </c>
      <c r="F311" s="26" t="s">
        <v>31</v>
      </c>
      <c r="G311" s="26" t="s">
        <v>29</v>
      </c>
      <c r="H311" s="26" t="s">
        <v>29</v>
      </c>
      <c r="I311" s="26" t="s">
        <v>31</v>
      </c>
      <c r="J311" s="26" t="s">
        <v>29</v>
      </c>
    </row>
    <row x14ac:dyDescent="0.25" r="312" customHeight="1" ht="15.75">
      <c r="A312" s="13" t="s">
        <v>126</v>
      </c>
      <c r="B312" s="13" t="s">
        <v>675</v>
      </c>
      <c r="C312" s="26" t="s">
        <v>676</v>
      </c>
      <c r="D312" s="26" t="s">
        <v>278</v>
      </c>
      <c r="E312" s="26" t="s">
        <v>122</v>
      </c>
      <c r="F312" s="26" t="s">
        <v>166</v>
      </c>
      <c r="G312" s="26" t="s">
        <v>191</v>
      </c>
      <c r="H312" s="26" t="s">
        <v>29</v>
      </c>
      <c r="I312" s="26" t="s">
        <v>78</v>
      </c>
      <c r="J312" s="26" t="s">
        <v>29</v>
      </c>
    </row>
    <row x14ac:dyDescent="0.25" r="313" customHeight="1" ht="15.75">
      <c r="A313" s="13" t="s">
        <v>103</v>
      </c>
      <c r="B313" s="13" t="s">
        <v>677</v>
      </c>
      <c r="C313" s="26" t="s">
        <v>678</v>
      </c>
      <c r="D313" s="26" t="s">
        <v>679</v>
      </c>
      <c r="E313" s="26" t="s">
        <v>143</v>
      </c>
      <c r="F313" s="26" t="s">
        <v>52</v>
      </c>
      <c r="G313" s="26" t="s">
        <v>452</v>
      </c>
      <c r="H313" s="26" t="s">
        <v>29</v>
      </c>
      <c r="I313" s="26" t="s">
        <v>97</v>
      </c>
      <c r="J313" s="26" t="s">
        <v>29</v>
      </c>
    </row>
    <row x14ac:dyDescent="0.25" r="314" customHeight="1" ht="15.75">
      <c r="A314" s="13" t="s">
        <v>66</v>
      </c>
      <c r="B314" s="13" t="s">
        <v>680</v>
      </c>
      <c r="C314" s="26" t="s">
        <v>681</v>
      </c>
      <c r="D314" s="26" t="s">
        <v>84</v>
      </c>
      <c r="E314" s="26" t="s">
        <v>37</v>
      </c>
      <c r="F314" s="26" t="s">
        <v>352</v>
      </c>
      <c r="G314" s="26" t="s">
        <v>29</v>
      </c>
      <c r="H314" s="26" t="s">
        <v>29</v>
      </c>
      <c r="I314" s="26" t="s">
        <v>29</v>
      </c>
      <c r="J314" s="26" t="s">
        <v>29</v>
      </c>
    </row>
    <row x14ac:dyDescent="0.25" r="315" customHeight="1" ht="15.75">
      <c r="A315" s="13" t="s">
        <v>27</v>
      </c>
      <c r="B315" s="13" t="s">
        <v>682</v>
      </c>
      <c r="C315" s="26" t="s">
        <v>683</v>
      </c>
      <c r="D315" s="26" t="s">
        <v>201</v>
      </c>
      <c r="E315" s="26" t="s">
        <v>37</v>
      </c>
      <c r="F315" s="26" t="s">
        <v>240</v>
      </c>
      <c r="G315" s="26" t="s">
        <v>332</v>
      </c>
      <c r="H315" s="26" t="s">
        <v>29</v>
      </c>
      <c r="I315" s="26" t="s">
        <v>332</v>
      </c>
      <c r="J315" s="26" t="s">
        <v>29</v>
      </c>
    </row>
    <row x14ac:dyDescent="0.25" r="316" customHeight="1" ht="15.75">
      <c r="A316" s="13" t="s">
        <v>512</v>
      </c>
      <c r="B316" s="13" t="s">
        <v>684</v>
      </c>
      <c r="C316" s="26" t="s">
        <v>649</v>
      </c>
      <c r="D316" s="26" t="s">
        <v>685</v>
      </c>
      <c r="E316" s="26" t="s">
        <v>57</v>
      </c>
      <c r="F316" s="26" t="s">
        <v>29</v>
      </c>
      <c r="G316" s="26" t="s">
        <v>29</v>
      </c>
      <c r="H316" s="26" t="s">
        <v>29</v>
      </c>
      <c r="I316" s="26" t="s">
        <v>52</v>
      </c>
      <c r="J316" s="26" t="s">
        <v>29</v>
      </c>
    </row>
    <row x14ac:dyDescent="0.25" r="317" customHeight="1" ht="15.75">
      <c r="A317" s="13" t="s">
        <v>184</v>
      </c>
      <c r="B317" s="13" t="s">
        <v>686</v>
      </c>
      <c r="C317" s="26" t="s">
        <v>687</v>
      </c>
      <c r="D317" s="26" t="s">
        <v>135</v>
      </c>
      <c r="E317" s="26" t="s">
        <v>31</v>
      </c>
      <c r="F317" s="26" t="s">
        <v>688</v>
      </c>
      <c r="G317" s="26" t="s">
        <v>29</v>
      </c>
      <c r="H317" s="26" t="s">
        <v>29</v>
      </c>
      <c r="I317" s="26" t="s">
        <v>688</v>
      </c>
      <c r="J317" s="26" t="s">
        <v>29</v>
      </c>
    </row>
    <row x14ac:dyDescent="0.25" r="318" customHeight="1" ht="15.75">
      <c r="A318" s="13" t="s">
        <v>27</v>
      </c>
      <c r="B318" s="13" t="s">
        <v>689</v>
      </c>
      <c r="C318" s="26" t="s">
        <v>690</v>
      </c>
      <c r="D318" s="26" t="s">
        <v>539</v>
      </c>
      <c r="E318" s="26" t="s">
        <v>93</v>
      </c>
      <c r="F318" s="26" t="s">
        <v>332</v>
      </c>
      <c r="G318" s="26" t="s">
        <v>29</v>
      </c>
      <c r="H318" s="26" t="s">
        <v>29</v>
      </c>
      <c r="I318" s="26" t="s">
        <v>332</v>
      </c>
      <c r="J318" s="26" t="s">
        <v>29</v>
      </c>
    </row>
    <row x14ac:dyDescent="0.25" r="319" customHeight="1" ht="15.75">
      <c r="A319" s="13" t="s">
        <v>227</v>
      </c>
      <c r="B319" s="13" t="s">
        <v>691</v>
      </c>
      <c r="C319" s="26" t="s">
        <v>387</v>
      </c>
      <c r="D319" s="26" t="s">
        <v>154</v>
      </c>
      <c r="E319" s="26" t="s">
        <v>37</v>
      </c>
      <c r="F319" s="26" t="s">
        <v>29</v>
      </c>
      <c r="G319" s="26" t="s">
        <v>29</v>
      </c>
      <c r="H319" s="26" t="s">
        <v>29</v>
      </c>
      <c r="I319" s="26" t="s">
        <v>29</v>
      </c>
      <c r="J319" s="26" t="s">
        <v>29</v>
      </c>
    </row>
    <row x14ac:dyDescent="0.25" r="320" customHeight="1" ht="15.75">
      <c r="A320" s="13" t="s">
        <v>69</v>
      </c>
      <c r="B320" s="13" t="s">
        <v>692</v>
      </c>
      <c r="C320" s="26" t="s">
        <v>693</v>
      </c>
      <c r="D320" s="26" t="s">
        <v>318</v>
      </c>
      <c r="E320" s="26" t="s">
        <v>510</v>
      </c>
      <c r="F320" s="26" t="s">
        <v>694</v>
      </c>
      <c r="G320" s="26" t="s">
        <v>29</v>
      </c>
      <c r="H320" s="26" t="s">
        <v>29</v>
      </c>
      <c r="I320" s="26" t="s">
        <v>581</v>
      </c>
      <c r="J320" s="26" t="s">
        <v>29</v>
      </c>
    </row>
    <row x14ac:dyDescent="0.25" r="321" customHeight="1" ht="15.75">
      <c r="A321" s="13" t="s">
        <v>126</v>
      </c>
      <c r="B321" s="13" t="s">
        <v>695</v>
      </c>
      <c r="C321" s="26" t="s">
        <v>42</v>
      </c>
      <c r="D321" s="26" t="s">
        <v>63</v>
      </c>
      <c r="E321" s="26" t="s">
        <v>696</v>
      </c>
      <c r="F321" s="26" t="s">
        <v>36</v>
      </c>
      <c r="G321" s="26" t="s">
        <v>29</v>
      </c>
      <c r="H321" s="26" t="s">
        <v>29</v>
      </c>
      <c r="I321" s="26" t="s">
        <v>29</v>
      </c>
      <c r="J321" s="26" t="s">
        <v>29</v>
      </c>
    </row>
    <row x14ac:dyDescent="0.25" r="322" customHeight="1" ht="15.75">
      <c r="A322" s="13" t="s">
        <v>129</v>
      </c>
      <c r="B322" s="13" t="s">
        <v>697</v>
      </c>
      <c r="C322" s="26" t="s">
        <v>42</v>
      </c>
      <c r="D322" s="26" t="s">
        <v>303</v>
      </c>
      <c r="E322" s="26" t="s">
        <v>57</v>
      </c>
      <c r="F322" s="26" t="s">
        <v>143</v>
      </c>
      <c r="G322" s="26" t="s">
        <v>93</v>
      </c>
      <c r="H322" s="26" t="s">
        <v>29</v>
      </c>
      <c r="I322" s="26" t="s">
        <v>93</v>
      </c>
      <c r="J322" s="26" t="s">
        <v>29</v>
      </c>
    </row>
    <row x14ac:dyDescent="0.25" r="323" customHeight="1" ht="15.75">
      <c r="A323" s="13" t="s">
        <v>109</v>
      </c>
      <c r="B323" s="13" t="s">
        <v>698</v>
      </c>
      <c r="C323" s="26" t="s">
        <v>42</v>
      </c>
      <c r="D323" s="26" t="s">
        <v>699</v>
      </c>
      <c r="E323" s="26" t="s">
        <v>88</v>
      </c>
      <c r="F323" s="26" t="s">
        <v>29</v>
      </c>
      <c r="G323" s="26" t="s">
        <v>29</v>
      </c>
      <c r="H323" s="26" t="s">
        <v>29</v>
      </c>
      <c r="I323" s="26" t="s">
        <v>37</v>
      </c>
      <c r="J323" s="26" t="s">
        <v>29</v>
      </c>
    </row>
    <row x14ac:dyDescent="0.25" r="324" customHeight="1" ht="15.75">
      <c r="A324" s="13" t="s">
        <v>103</v>
      </c>
      <c r="B324" s="13" t="s">
        <v>700</v>
      </c>
      <c r="C324" s="26" t="s">
        <v>701</v>
      </c>
      <c r="D324" s="26" t="s">
        <v>433</v>
      </c>
      <c r="E324" s="26" t="s">
        <v>37</v>
      </c>
      <c r="F324" s="26" t="s">
        <v>47</v>
      </c>
      <c r="G324" s="26" t="s">
        <v>29</v>
      </c>
      <c r="H324" s="26" t="s">
        <v>29</v>
      </c>
      <c r="I324" s="26" t="s">
        <v>433</v>
      </c>
      <c r="J324" s="26" t="s">
        <v>29</v>
      </c>
    </row>
    <row x14ac:dyDescent="0.25" r="325" customHeight="1" ht="15.75">
      <c r="A325" s="13" t="s">
        <v>129</v>
      </c>
      <c r="B325" s="13" t="s">
        <v>702</v>
      </c>
      <c r="C325" s="26" t="s">
        <v>703</v>
      </c>
      <c r="D325" s="26" t="s">
        <v>704</v>
      </c>
      <c r="E325" s="26" t="s">
        <v>34</v>
      </c>
      <c r="F325" s="26" t="s">
        <v>705</v>
      </c>
      <c r="G325" s="26" t="s">
        <v>403</v>
      </c>
      <c r="H325" s="26" t="s">
        <v>403</v>
      </c>
      <c r="I325" s="26" t="s">
        <v>403</v>
      </c>
      <c r="J325" s="26" t="s">
        <v>29</v>
      </c>
    </row>
    <row x14ac:dyDescent="0.25" r="326" customHeight="1" ht="15.75">
      <c r="A326" s="13" t="s">
        <v>129</v>
      </c>
      <c r="B326" s="13" t="s">
        <v>706</v>
      </c>
      <c r="C326" s="26" t="s">
        <v>707</v>
      </c>
      <c r="D326" s="26" t="s">
        <v>29</v>
      </c>
      <c r="E326" s="26" t="s">
        <v>57</v>
      </c>
      <c r="F326" s="26" t="s">
        <v>29</v>
      </c>
      <c r="G326" s="26" t="s">
        <v>29</v>
      </c>
      <c r="H326" s="26" t="s">
        <v>29</v>
      </c>
      <c r="I326" s="26" t="s">
        <v>29</v>
      </c>
      <c r="J326" s="26" t="s">
        <v>29</v>
      </c>
    </row>
    <row x14ac:dyDescent="0.25" r="327" customHeight="1" ht="15.75">
      <c r="A327" s="13" t="s">
        <v>103</v>
      </c>
      <c r="B327" s="13" t="s">
        <v>708</v>
      </c>
      <c r="C327" s="26" t="s">
        <v>709</v>
      </c>
      <c r="D327" s="26" t="s">
        <v>302</v>
      </c>
      <c r="E327" s="26" t="s">
        <v>43</v>
      </c>
      <c r="F327" s="26" t="s">
        <v>29</v>
      </c>
      <c r="G327" s="26" t="s">
        <v>29</v>
      </c>
      <c r="H327" s="26" t="s">
        <v>29</v>
      </c>
      <c r="I327" s="26" t="s">
        <v>710</v>
      </c>
      <c r="J327" s="26" t="s">
        <v>29</v>
      </c>
    </row>
    <row x14ac:dyDescent="0.25" r="328" customHeight="1" ht="15.75">
      <c r="A328" s="13" t="s">
        <v>116</v>
      </c>
      <c r="B328" s="13" t="s">
        <v>711</v>
      </c>
      <c r="C328" s="26" t="s">
        <v>712</v>
      </c>
      <c r="D328" s="26" t="s">
        <v>704</v>
      </c>
      <c r="E328" s="26" t="s">
        <v>43</v>
      </c>
      <c r="F328" s="26" t="s">
        <v>204</v>
      </c>
      <c r="G328" s="26" t="s">
        <v>341</v>
      </c>
      <c r="H328" s="26" t="s">
        <v>29</v>
      </c>
      <c r="I328" s="26" t="s">
        <v>341</v>
      </c>
      <c r="J328" s="26" t="s">
        <v>29</v>
      </c>
    </row>
    <row x14ac:dyDescent="0.25" r="329" customHeight="1" ht="15.75">
      <c r="A329" s="13" t="s">
        <v>184</v>
      </c>
      <c r="B329" s="13" t="s">
        <v>713</v>
      </c>
      <c r="C329" s="26" t="s">
        <v>714</v>
      </c>
      <c r="D329" s="26" t="s">
        <v>93</v>
      </c>
      <c r="E329" s="26" t="s">
        <v>34</v>
      </c>
      <c r="F329" s="26" t="s">
        <v>332</v>
      </c>
      <c r="G329" s="26" t="s">
        <v>29</v>
      </c>
      <c r="H329" s="26" t="s">
        <v>29</v>
      </c>
      <c r="I329" s="26" t="s">
        <v>29</v>
      </c>
      <c r="J329" s="26" t="s">
        <v>29</v>
      </c>
    </row>
    <row x14ac:dyDescent="0.25" r="330" customHeight="1" ht="15.75">
      <c r="A330" s="13" t="s">
        <v>129</v>
      </c>
      <c r="B330" s="13" t="s">
        <v>715</v>
      </c>
      <c r="C330" s="26" t="s">
        <v>716</v>
      </c>
      <c r="D330" s="26" t="s">
        <v>717</v>
      </c>
      <c r="E330" s="26" t="s">
        <v>78</v>
      </c>
      <c r="F330" s="26" t="s">
        <v>125</v>
      </c>
      <c r="G330" s="26" t="s">
        <v>275</v>
      </c>
      <c r="H330" s="26" t="s">
        <v>275</v>
      </c>
      <c r="I330" s="26" t="s">
        <v>250</v>
      </c>
      <c r="J330" s="26" t="s">
        <v>29</v>
      </c>
    </row>
    <row x14ac:dyDescent="0.25" r="331" customHeight="1" ht="15.75">
      <c r="A331" s="13" t="s">
        <v>69</v>
      </c>
      <c r="B331" s="13" t="s">
        <v>718</v>
      </c>
      <c r="C331" s="26" t="s">
        <v>539</v>
      </c>
      <c r="D331" s="26" t="s">
        <v>179</v>
      </c>
      <c r="E331" s="26" t="s">
        <v>43</v>
      </c>
      <c r="F331" s="26" t="s">
        <v>37</v>
      </c>
      <c r="G331" s="26" t="s">
        <v>78</v>
      </c>
      <c r="H331" s="26" t="s">
        <v>29</v>
      </c>
      <c r="I331" s="26" t="s">
        <v>37</v>
      </c>
      <c r="J331" s="26" t="s">
        <v>29</v>
      </c>
    </row>
    <row x14ac:dyDescent="0.25" r="332" customHeight="1" ht="15.75">
      <c r="A332" s="13" t="s">
        <v>129</v>
      </c>
      <c r="B332" s="13" t="s">
        <v>719</v>
      </c>
      <c r="C332" s="26" t="s">
        <v>539</v>
      </c>
      <c r="D332" s="26" t="s">
        <v>37</v>
      </c>
      <c r="E332" s="26" t="s">
        <v>43</v>
      </c>
      <c r="F332" s="26" t="s">
        <v>78</v>
      </c>
      <c r="G332" s="26" t="s">
        <v>150</v>
      </c>
      <c r="H332" s="26" t="s">
        <v>150</v>
      </c>
      <c r="I332" s="26" t="s">
        <v>52</v>
      </c>
      <c r="J332" s="26" t="s">
        <v>29</v>
      </c>
    </row>
    <row x14ac:dyDescent="0.25" r="333" customHeight="1" ht="15.75">
      <c r="A333" s="13" t="s">
        <v>126</v>
      </c>
      <c r="B333" s="13" t="s">
        <v>720</v>
      </c>
      <c r="C333" s="26" t="s">
        <v>721</v>
      </c>
      <c r="D333" s="26" t="s">
        <v>99</v>
      </c>
      <c r="E333" s="26" t="s">
        <v>350</v>
      </c>
      <c r="F333" s="26" t="s">
        <v>29</v>
      </c>
      <c r="G333" s="26" t="s">
        <v>84</v>
      </c>
      <c r="H333" s="26" t="s">
        <v>29</v>
      </c>
      <c r="I333" s="26" t="s">
        <v>29</v>
      </c>
      <c r="J333" s="26" t="s">
        <v>29</v>
      </c>
    </row>
    <row x14ac:dyDescent="0.25" r="334" customHeight="1" ht="15.75">
      <c r="A334" s="13" t="s">
        <v>91</v>
      </c>
      <c r="B334" s="13" t="s">
        <v>722</v>
      </c>
      <c r="C334" s="26" t="s">
        <v>723</v>
      </c>
      <c r="D334" s="26" t="s">
        <v>724</v>
      </c>
      <c r="E334" s="26" t="s">
        <v>37</v>
      </c>
      <c r="F334" s="26" t="s">
        <v>725</v>
      </c>
      <c r="G334" s="26" t="s">
        <v>726</v>
      </c>
      <c r="H334" s="26" t="s">
        <v>727</v>
      </c>
      <c r="I334" s="26" t="s">
        <v>728</v>
      </c>
      <c r="J334" s="26" t="s">
        <v>149</v>
      </c>
    </row>
    <row x14ac:dyDescent="0.25" r="335" customHeight="1" ht="15.75">
      <c r="A335" s="13" t="s">
        <v>129</v>
      </c>
      <c r="B335" s="13" t="s">
        <v>729</v>
      </c>
      <c r="C335" s="26" t="s">
        <v>578</v>
      </c>
      <c r="D335" s="26" t="s">
        <v>361</v>
      </c>
      <c r="E335" s="26" t="s">
        <v>34</v>
      </c>
      <c r="F335" s="26" t="s">
        <v>29</v>
      </c>
      <c r="G335" s="26" t="s">
        <v>29</v>
      </c>
      <c r="H335" s="26" t="s">
        <v>29</v>
      </c>
      <c r="I335" s="26" t="s">
        <v>31</v>
      </c>
      <c r="J335" s="26" t="s">
        <v>29</v>
      </c>
    </row>
    <row x14ac:dyDescent="0.25" r="336" customHeight="1" ht="15.75">
      <c r="A336" s="13" t="s">
        <v>91</v>
      </c>
      <c r="B336" s="13" t="s">
        <v>730</v>
      </c>
      <c r="C336" s="26" t="s">
        <v>731</v>
      </c>
      <c r="D336" s="26" t="s">
        <v>34</v>
      </c>
      <c r="E336" s="26" t="s">
        <v>34</v>
      </c>
      <c r="F336" s="26" t="s">
        <v>43</v>
      </c>
      <c r="G336" s="26" t="s">
        <v>201</v>
      </c>
      <c r="H336" s="26" t="s">
        <v>29</v>
      </c>
      <c r="I336" s="26" t="s">
        <v>201</v>
      </c>
      <c r="J336" s="26" t="s">
        <v>29</v>
      </c>
    </row>
    <row x14ac:dyDescent="0.25" r="337" customHeight="1" ht="15.75">
      <c r="A337" s="13" t="s">
        <v>391</v>
      </c>
      <c r="B337" s="13" t="s">
        <v>732</v>
      </c>
      <c r="C337" s="26" t="s">
        <v>733</v>
      </c>
      <c r="D337" s="26" t="s">
        <v>587</v>
      </c>
      <c r="E337" s="26" t="s">
        <v>37</v>
      </c>
      <c r="F337" s="26" t="s">
        <v>734</v>
      </c>
      <c r="G337" s="26" t="s">
        <v>311</v>
      </c>
      <c r="H337" s="26" t="s">
        <v>311</v>
      </c>
      <c r="I337" s="26" t="s">
        <v>649</v>
      </c>
      <c r="J337" s="26" t="s">
        <v>29</v>
      </c>
    </row>
    <row x14ac:dyDescent="0.25" r="338" customHeight="1" ht="15.75">
      <c r="A338" s="13" t="s">
        <v>103</v>
      </c>
      <c r="B338" s="13" t="s">
        <v>735</v>
      </c>
      <c r="C338" s="26" t="s">
        <v>736</v>
      </c>
      <c r="D338" s="26" t="s">
        <v>737</v>
      </c>
      <c r="E338" s="26" t="s">
        <v>510</v>
      </c>
      <c r="F338" s="26" t="s">
        <v>679</v>
      </c>
      <c r="G338" s="26" t="s">
        <v>29</v>
      </c>
      <c r="H338" s="26" t="s">
        <v>29</v>
      </c>
      <c r="I338" s="26" t="s">
        <v>522</v>
      </c>
      <c r="J338" s="26" t="s">
        <v>29</v>
      </c>
    </row>
    <row x14ac:dyDescent="0.25" r="339" customHeight="1" ht="15.75">
      <c r="A339" s="13" t="s">
        <v>91</v>
      </c>
      <c r="B339" s="13" t="s">
        <v>738</v>
      </c>
      <c r="C339" s="26" t="s">
        <v>739</v>
      </c>
      <c r="D339" s="26" t="s">
        <v>740</v>
      </c>
      <c r="E339" s="26" t="s">
        <v>201</v>
      </c>
      <c r="F339" s="26" t="s">
        <v>734</v>
      </c>
      <c r="G339" s="26" t="s">
        <v>311</v>
      </c>
      <c r="H339" s="26" t="s">
        <v>188</v>
      </c>
      <c r="I339" s="26" t="s">
        <v>99</v>
      </c>
      <c r="J339" s="26" t="s">
        <v>188</v>
      </c>
    </row>
    <row x14ac:dyDescent="0.25" r="340" customHeight="1" ht="15.75">
      <c r="A340" s="13" t="s">
        <v>103</v>
      </c>
      <c r="B340" s="13" t="s">
        <v>741</v>
      </c>
      <c r="C340" s="26" t="s">
        <v>742</v>
      </c>
      <c r="D340" s="26" t="s">
        <v>42</v>
      </c>
      <c r="E340" s="26" t="s">
        <v>57</v>
      </c>
      <c r="F340" s="26" t="s">
        <v>29</v>
      </c>
      <c r="G340" s="26" t="s">
        <v>29</v>
      </c>
      <c r="H340" s="26" t="s">
        <v>29</v>
      </c>
      <c r="I340" s="26" t="s">
        <v>29</v>
      </c>
      <c r="J340" s="26" t="s">
        <v>29</v>
      </c>
    </row>
    <row x14ac:dyDescent="0.25" r="341" customHeight="1" ht="15.75">
      <c r="A341" s="13" t="s">
        <v>129</v>
      </c>
      <c r="B341" s="13" t="s">
        <v>743</v>
      </c>
      <c r="C341" s="26" t="s">
        <v>742</v>
      </c>
      <c r="D341" s="26" t="s">
        <v>54</v>
      </c>
      <c r="E341" s="26" t="s">
        <v>57</v>
      </c>
      <c r="F341" s="26" t="s">
        <v>43</v>
      </c>
      <c r="G341" s="26" t="s">
        <v>78</v>
      </c>
      <c r="H341" s="26" t="s">
        <v>29</v>
      </c>
      <c r="I341" s="26" t="s">
        <v>52</v>
      </c>
      <c r="J341" s="26" t="s">
        <v>29</v>
      </c>
    </row>
    <row x14ac:dyDescent="0.25" r="342" customHeight="1" ht="15.75">
      <c r="A342" s="13" t="s">
        <v>69</v>
      </c>
      <c r="B342" s="13" t="s">
        <v>744</v>
      </c>
      <c r="C342" s="26" t="s">
        <v>745</v>
      </c>
      <c r="D342" s="26" t="s">
        <v>327</v>
      </c>
      <c r="E342" s="26" t="s">
        <v>510</v>
      </c>
      <c r="F342" s="26" t="s">
        <v>746</v>
      </c>
      <c r="G342" s="26" t="s">
        <v>747</v>
      </c>
      <c r="H342" s="26" t="s">
        <v>29</v>
      </c>
      <c r="I342" s="26" t="s">
        <v>297</v>
      </c>
      <c r="J342" s="26" t="s">
        <v>29</v>
      </c>
    </row>
    <row x14ac:dyDescent="0.25" r="343" customHeight="1" ht="15.75">
      <c r="A343" s="13" t="s">
        <v>91</v>
      </c>
      <c r="B343" s="13" t="s">
        <v>748</v>
      </c>
      <c r="C343" s="26" t="s">
        <v>749</v>
      </c>
      <c r="D343" s="26" t="s">
        <v>750</v>
      </c>
      <c r="E343" s="26" t="s">
        <v>37</v>
      </c>
      <c r="F343" s="26" t="s">
        <v>297</v>
      </c>
      <c r="G343" s="26" t="s">
        <v>29</v>
      </c>
      <c r="H343" s="26" t="s">
        <v>29</v>
      </c>
      <c r="I343" s="26" t="s">
        <v>297</v>
      </c>
      <c r="J343" s="26" t="s">
        <v>29</v>
      </c>
    </row>
    <row x14ac:dyDescent="0.25" r="344" customHeight="1" ht="15.75">
      <c r="A344" s="13" t="s">
        <v>69</v>
      </c>
      <c r="B344" s="13" t="s">
        <v>751</v>
      </c>
      <c r="C344" s="26" t="s">
        <v>749</v>
      </c>
      <c r="D344" s="26" t="s">
        <v>752</v>
      </c>
      <c r="E344" s="26" t="s">
        <v>36</v>
      </c>
      <c r="F344" s="26" t="s">
        <v>753</v>
      </c>
      <c r="G344" s="26" t="s">
        <v>29</v>
      </c>
      <c r="H344" s="26" t="s">
        <v>29</v>
      </c>
      <c r="I344" s="26" t="s">
        <v>754</v>
      </c>
      <c r="J344" s="26" t="s">
        <v>29</v>
      </c>
    </row>
    <row x14ac:dyDescent="0.25" r="345" customHeight="1" ht="15.75">
      <c r="A345" s="13" t="s">
        <v>184</v>
      </c>
      <c r="B345" s="13" t="s">
        <v>755</v>
      </c>
      <c r="C345" s="26" t="s">
        <v>50</v>
      </c>
      <c r="D345" s="26" t="s">
        <v>97</v>
      </c>
      <c r="E345" s="26" t="s">
        <v>78</v>
      </c>
      <c r="F345" s="26" t="s">
        <v>95</v>
      </c>
      <c r="G345" s="26" t="s">
        <v>29</v>
      </c>
      <c r="H345" s="26" t="s">
        <v>29</v>
      </c>
      <c r="I345" s="26" t="s">
        <v>80</v>
      </c>
      <c r="J345" s="26" t="s">
        <v>29</v>
      </c>
    </row>
    <row x14ac:dyDescent="0.25" r="346" customHeight="1" ht="15.75">
      <c r="A346" s="13" t="s">
        <v>116</v>
      </c>
      <c r="B346" s="13" t="s">
        <v>756</v>
      </c>
      <c r="C346" s="26" t="s">
        <v>757</v>
      </c>
      <c r="D346" s="26" t="s">
        <v>758</v>
      </c>
      <c r="E346" s="26" t="s">
        <v>57</v>
      </c>
      <c r="F346" s="26" t="s">
        <v>29</v>
      </c>
      <c r="G346" s="26" t="s">
        <v>29</v>
      </c>
      <c r="H346" s="26" t="s">
        <v>29</v>
      </c>
      <c r="I346" s="26" t="s">
        <v>29</v>
      </c>
      <c r="J346" s="26" t="s">
        <v>29</v>
      </c>
    </row>
    <row x14ac:dyDescent="0.25" r="347" customHeight="1" ht="15.75">
      <c r="A347" s="13" t="s">
        <v>91</v>
      </c>
      <c r="B347" s="13" t="s">
        <v>759</v>
      </c>
      <c r="C347" s="26" t="s">
        <v>760</v>
      </c>
      <c r="D347" s="26" t="s">
        <v>656</v>
      </c>
      <c r="E347" s="26" t="s">
        <v>88</v>
      </c>
      <c r="F347" s="26" t="s">
        <v>439</v>
      </c>
      <c r="G347" s="26" t="s">
        <v>29</v>
      </c>
      <c r="H347" s="26" t="s">
        <v>29</v>
      </c>
      <c r="I347" s="26" t="s">
        <v>84</v>
      </c>
      <c r="J347" s="26" t="s">
        <v>29</v>
      </c>
    </row>
    <row x14ac:dyDescent="0.25" r="348" customHeight="1" ht="15.75">
      <c r="A348" s="13" t="s">
        <v>66</v>
      </c>
      <c r="B348" s="13" t="s">
        <v>761</v>
      </c>
      <c r="C348" s="26" t="s">
        <v>762</v>
      </c>
      <c r="D348" s="26" t="s">
        <v>539</v>
      </c>
      <c r="E348" s="26" t="s">
        <v>37</v>
      </c>
      <c r="F348" s="26" t="s">
        <v>404</v>
      </c>
      <c r="G348" s="26" t="s">
        <v>404</v>
      </c>
      <c r="H348" s="26" t="s">
        <v>433</v>
      </c>
      <c r="I348" s="26" t="s">
        <v>404</v>
      </c>
      <c r="J348" s="26" t="s">
        <v>433</v>
      </c>
    </row>
    <row x14ac:dyDescent="0.25" r="349" customHeight="1" ht="15.75">
      <c r="A349" s="13" t="s">
        <v>129</v>
      </c>
      <c r="B349" s="13" t="s">
        <v>763</v>
      </c>
      <c r="C349" s="26" t="s">
        <v>764</v>
      </c>
      <c r="D349" s="26" t="s">
        <v>93</v>
      </c>
      <c r="E349" s="26" t="s">
        <v>43</v>
      </c>
      <c r="F349" s="26" t="s">
        <v>95</v>
      </c>
      <c r="G349" s="26" t="s">
        <v>29</v>
      </c>
      <c r="H349" s="26" t="s">
        <v>29</v>
      </c>
      <c r="I349" s="26" t="s">
        <v>29</v>
      </c>
      <c r="J349" s="26" t="s">
        <v>29</v>
      </c>
    </row>
    <row x14ac:dyDescent="0.25" r="350" customHeight="1" ht="15.75">
      <c r="A350" s="13" t="s">
        <v>91</v>
      </c>
      <c r="B350" s="13" t="s">
        <v>765</v>
      </c>
      <c r="C350" s="26" t="s">
        <v>766</v>
      </c>
      <c r="D350" s="26" t="s">
        <v>373</v>
      </c>
      <c r="E350" s="26" t="s">
        <v>50</v>
      </c>
      <c r="F350" s="26" t="s">
        <v>767</v>
      </c>
      <c r="G350" s="26" t="s">
        <v>134</v>
      </c>
      <c r="H350" s="26" t="s">
        <v>134</v>
      </c>
      <c r="I350" s="26" t="s">
        <v>768</v>
      </c>
      <c r="J350" s="26" t="s">
        <v>29</v>
      </c>
    </row>
    <row x14ac:dyDescent="0.25" r="351" customHeight="1" ht="15.75">
      <c r="A351" s="13" t="s">
        <v>91</v>
      </c>
      <c r="B351" s="13" t="s">
        <v>769</v>
      </c>
      <c r="C351" s="26" t="s">
        <v>770</v>
      </c>
      <c r="D351" s="26" t="s">
        <v>771</v>
      </c>
      <c r="E351" s="26" t="s">
        <v>34</v>
      </c>
      <c r="F351" s="26" t="s">
        <v>772</v>
      </c>
      <c r="G351" s="26" t="s">
        <v>773</v>
      </c>
      <c r="H351" s="26" t="s">
        <v>29</v>
      </c>
      <c r="I351" s="26" t="s">
        <v>774</v>
      </c>
      <c r="J351" s="26" t="s">
        <v>29</v>
      </c>
    </row>
    <row x14ac:dyDescent="0.25" r="352" customHeight="1" ht="15.75">
      <c r="A352" s="13" t="s">
        <v>227</v>
      </c>
      <c r="B352" s="13" t="s">
        <v>775</v>
      </c>
      <c r="C352" s="26" t="s">
        <v>776</v>
      </c>
      <c r="D352" s="26" t="s">
        <v>777</v>
      </c>
      <c r="E352" s="26" t="s">
        <v>510</v>
      </c>
      <c r="F352" s="26" t="s">
        <v>210</v>
      </c>
      <c r="G352" s="26" t="s">
        <v>84</v>
      </c>
      <c r="H352" s="26" t="s">
        <v>29</v>
      </c>
      <c r="I352" s="26" t="s">
        <v>87</v>
      </c>
      <c r="J352" s="26" t="s">
        <v>29</v>
      </c>
    </row>
    <row x14ac:dyDescent="0.25" r="353" customHeight="1" ht="15.75">
      <c r="A353" s="13" t="s">
        <v>227</v>
      </c>
      <c r="B353" s="13" t="s">
        <v>778</v>
      </c>
      <c r="C353" s="26" t="s">
        <v>95</v>
      </c>
      <c r="D353" s="26" t="s">
        <v>37</v>
      </c>
      <c r="E353" s="26" t="s">
        <v>81</v>
      </c>
      <c r="F353" s="26" t="s">
        <v>29</v>
      </c>
      <c r="G353" s="26" t="s">
        <v>29</v>
      </c>
      <c r="H353" s="26" t="s">
        <v>29</v>
      </c>
      <c r="I353" s="26" t="s">
        <v>43</v>
      </c>
      <c r="J353" s="26" t="s">
        <v>29</v>
      </c>
    </row>
    <row x14ac:dyDescent="0.25" r="354" customHeight="1" ht="15.75">
      <c r="A354" s="13" t="s">
        <v>129</v>
      </c>
      <c r="B354" s="13" t="s">
        <v>779</v>
      </c>
      <c r="C354" s="26" t="s">
        <v>780</v>
      </c>
      <c r="D354" s="26" t="s">
        <v>33</v>
      </c>
      <c r="E354" s="26" t="s">
        <v>93</v>
      </c>
      <c r="F354" s="26" t="s">
        <v>520</v>
      </c>
      <c r="G354" s="26" t="s">
        <v>334</v>
      </c>
      <c r="H354" s="26" t="s">
        <v>29</v>
      </c>
      <c r="I354" s="26" t="s">
        <v>334</v>
      </c>
      <c r="J354" s="26" t="s">
        <v>29</v>
      </c>
    </row>
    <row x14ac:dyDescent="0.25" r="355" customHeight="1" ht="15.75">
      <c r="A355" s="13" t="s">
        <v>27</v>
      </c>
      <c r="B355" s="13" t="s">
        <v>781</v>
      </c>
      <c r="C355" s="26" t="s">
        <v>782</v>
      </c>
      <c r="D355" s="26" t="s">
        <v>783</v>
      </c>
      <c r="E355" s="26" t="s">
        <v>34</v>
      </c>
      <c r="F355" s="26" t="s">
        <v>674</v>
      </c>
      <c r="G355" s="26" t="s">
        <v>218</v>
      </c>
      <c r="H355" s="26" t="s">
        <v>29</v>
      </c>
      <c r="I355" s="26" t="s">
        <v>352</v>
      </c>
      <c r="J355" s="26" t="s">
        <v>29</v>
      </c>
    </row>
    <row x14ac:dyDescent="0.25" r="356" customHeight="1" ht="15.75">
      <c r="A356" s="13" t="s">
        <v>91</v>
      </c>
      <c r="B356" s="13" t="s">
        <v>784</v>
      </c>
      <c r="C356" s="26" t="s">
        <v>785</v>
      </c>
      <c r="D356" s="26" t="s">
        <v>78</v>
      </c>
      <c r="E356" s="26" t="s">
        <v>63</v>
      </c>
      <c r="F356" s="26" t="s">
        <v>786</v>
      </c>
      <c r="G356" s="26" t="s">
        <v>648</v>
      </c>
      <c r="H356" s="26" t="s">
        <v>787</v>
      </c>
      <c r="I356" s="26" t="s">
        <v>595</v>
      </c>
      <c r="J356" s="26" t="s">
        <v>147</v>
      </c>
    </row>
    <row x14ac:dyDescent="0.25" r="357" customHeight="1" ht="15.75">
      <c r="A357" s="13" t="s">
        <v>116</v>
      </c>
      <c r="B357" s="13" t="s">
        <v>788</v>
      </c>
      <c r="C357" s="26" t="s">
        <v>789</v>
      </c>
      <c r="D357" s="26" t="s">
        <v>63</v>
      </c>
      <c r="E357" s="26" t="s">
        <v>81</v>
      </c>
      <c r="F357" s="26" t="s">
        <v>99</v>
      </c>
      <c r="G357" s="26" t="s">
        <v>344</v>
      </c>
      <c r="H357" s="26" t="s">
        <v>99</v>
      </c>
      <c r="I357" s="26" t="s">
        <v>99</v>
      </c>
      <c r="J357" s="26" t="s">
        <v>29</v>
      </c>
    </row>
    <row x14ac:dyDescent="0.25" r="358" customHeight="1" ht="15.75">
      <c r="A358" s="13" t="s">
        <v>198</v>
      </c>
      <c r="B358" s="13" t="s">
        <v>790</v>
      </c>
      <c r="C358" s="26" t="s">
        <v>791</v>
      </c>
      <c r="D358" s="26" t="s">
        <v>78</v>
      </c>
      <c r="E358" s="26" t="s">
        <v>34</v>
      </c>
      <c r="F358" s="26" t="s">
        <v>29</v>
      </c>
      <c r="G358" s="26" t="s">
        <v>29</v>
      </c>
      <c r="H358" s="26" t="s">
        <v>29</v>
      </c>
      <c r="I358" s="26" t="s">
        <v>29</v>
      </c>
      <c r="J358" s="26" t="s">
        <v>29</v>
      </c>
    </row>
    <row x14ac:dyDescent="0.25" r="359" customHeight="1" ht="15.75">
      <c r="A359" s="13" t="s">
        <v>184</v>
      </c>
      <c r="B359" s="13" t="s">
        <v>792</v>
      </c>
      <c r="C359" s="26" t="s">
        <v>793</v>
      </c>
      <c r="D359" s="26" t="s">
        <v>331</v>
      </c>
      <c r="E359" s="26" t="s">
        <v>510</v>
      </c>
      <c r="F359" s="26" t="s">
        <v>794</v>
      </c>
      <c r="G359" s="26" t="s">
        <v>261</v>
      </c>
      <c r="H359" s="26" t="s">
        <v>261</v>
      </c>
      <c r="I359" s="26" t="s">
        <v>261</v>
      </c>
      <c r="J359" s="26" t="s">
        <v>29</v>
      </c>
    </row>
    <row x14ac:dyDescent="0.25" r="360" customHeight="1" ht="15.75">
      <c r="A360" s="13" t="s">
        <v>91</v>
      </c>
      <c r="B360" s="13" t="s">
        <v>795</v>
      </c>
      <c r="C360" s="26" t="s">
        <v>796</v>
      </c>
      <c r="D360" s="26" t="s">
        <v>797</v>
      </c>
      <c r="E360" s="26" t="s">
        <v>34</v>
      </c>
      <c r="F360" s="26" t="s">
        <v>798</v>
      </c>
      <c r="G360" s="26" t="s">
        <v>131</v>
      </c>
      <c r="H360" s="26" t="s">
        <v>29</v>
      </c>
      <c r="I360" s="26" t="s">
        <v>403</v>
      </c>
      <c r="J360" s="26" t="s">
        <v>29</v>
      </c>
    </row>
    <row x14ac:dyDescent="0.25" r="361" customHeight="1" ht="15.75">
      <c r="A361" s="13" t="s">
        <v>66</v>
      </c>
      <c r="B361" s="13" t="s">
        <v>799</v>
      </c>
      <c r="C361" s="26" t="s">
        <v>800</v>
      </c>
      <c r="D361" s="26" t="s">
        <v>31</v>
      </c>
      <c r="E361" s="26" t="s">
        <v>81</v>
      </c>
      <c r="F361" s="26" t="s">
        <v>143</v>
      </c>
      <c r="G361" s="26" t="s">
        <v>93</v>
      </c>
      <c r="H361" s="26" t="s">
        <v>29</v>
      </c>
      <c r="I361" s="26" t="s">
        <v>93</v>
      </c>
      <c r="J361" s="26" t="s">
        <v>29</v>
      </c>
    </row>
    <row x14ac:dyDescent="0.25" r="362" customHeight="1" ht="15.75">
      <c r="A362" s="13" t="s">
        <v>391</v>
      </c>
      <c r="B362" s="13" t="s">
        <v>801</v>
      </c>
      <c r="C362" s="26" t="s">
        <v>800</v>
      </c>
      <c r="D362" s="26" t="s">
        <v>344</v>
      </c>
      <c r="E362" s="26" t="s">
        <v>43</v>
      </c>
      <c r="F362" s="26" t="s">
        <v>179</v>
      </c>
      <c r="G362" s="26" t="s">
        <v>29</v>
      </c>
      <c r="H362" s="26" t="s">
        <v>29</v>
      </c>
      <c r="I362" s="26" t="s">
        <v>93</v>
      </c>
      <c r="J362" s="26" t="s">
        <v>29</v>
      </c>
    </row>
    <row x14ac:dyDescent="0.25" r="363" customHeight="1" ht="15.75">
      <c r="A363" s="13" t="s">
        <v>69</v>
      </c>
      <c r="B363" s="13" t="s">
        <v>802</v>
      </c>
      <c r="C363" s="26" t="s">
        <v>803</v>
      </c>
      <c r="D363" s="26" t="s">
        <v>31</v>
      </c>
      <c r="E363" s="26" t="s">
        <v>31</v>
      </c>
      <c r="F363" s="26" t="s">
        <v>29</v>
      </c>
      <c r="G363" s="26" t="s">
        <v>36</v>
      </c>
      <c r="H363" s="26" t="s">
        <v>29</v>
      </c>
      <c r="I363" s="26" t="s">
        <v>63</v>
      </c>
      <c r="J363" s="26" t="s">
        <v>29</v>
      </c>
    </row>
    <row x14ac:dyDescent="0.25" r="364" customHeight="1" ht="15.75">
      <c r="A364" s="13" t="s">
        <v>103</v>
      </c>
      <c r="B364" s="13" t="s">
        <v>804</v>
      </c>
      <c r="C364" s="26" t="s">
        <v>805</v>
      </c>
      <c r="D364" s="26" t="s">
        <v>105</v>
      </c>
      <c r="E364" s="26" t="s">
        <v>88</v>
      </c>
      <c r="F364" s="26" t="s">
        <v>57</v>
      </c>
      <c r="G364" s="26" t="s">
        <v>50</v>
      </c>
      <c r="H364" s="26" t="s">
        <v>29</v>
      </c>
      <c r="I364" s="26" t="s">
        <v>29</v>
      </c>
      <c r="J364" s="26" t="s">
        <v>29</v>
      </c>
    </row>
    <row x14ac:dyDescent="0.25" r="365" customHeight="1" ht="15.75">
      <c r="A365" s="13" t="s">
        <v>184</v>
      </c>
      <c r="B365" s="13" t="s">
        <v>806</v>
      </c>
      <c r="C365" s="26" t="s">
        <v>36</v>
      </c>
      <c r="D365" s="26" t="s">
        <v>510</v>
      </c>
      <c r="E365" s="26" t="s">
        <v>696</v>
      </c>
      <c r="F365" s="26" t="s">
        <v>29</v>
      </c>
      <c r="G365" s="26" t="s">
        <v>29</v>
      </c>
      <c r="H365" s="26" t="s">
        <v>29</v>
      </c>
      <c r="I365" s="26" t="s">
        <v>29</v>
      </c>
      <c r="J365" s="26" t="s">
        <v>29</v>
      </c>
    </row>
    <row x14ac:dyDescent="0.25" r="366" customHeight="1" ht="15.75">
      <c r="A366" s="13" t="s">
        <v>129</v>
      </c>
      <c r="B366" s="13" t="s">
        <v>807</v>
      </c>
      <c r="C366" s="26" t="s">
        <v>36</v>
      </c>
      <c r="D366" s="26" t="s">
        <v>115</v>
      </c>
      <c r="E366" s="26" t="s">
        <v>34</v>
      </c>
      <c r="F366" s="26" t="s">
        <v>29</v>
      </c>
      <c r="G366" s="26" t="s">
        <v>29</v>
      </c>
      <c r="H366" s="26" t="s">
        <v>29</v>
      </c>
      <c r="I366" s="26" t="s">
        <v>29</v>
      </c>
      <c r="J366" s="26" t="s">
        <v>29</v>
      </c>
    </row>
    <row x14ac:dyDescent="0.25" r="367" customHeight="1" ht="15.75">
      <c r="A367" s="13" t="s">
        <v>109</v>
      </c>
      <c r="B367" s="13" t="s">
        <v>808</v>
      </c>
      <c r="C367" s="26" t="s">
        <v>36</v>
      </c>
      <c r="D367" s="26" t="s">
        <v>809</v>
      </c>
      <c r="E367" s="26" t="s">
        <v>34</v>
      </c>
      <c r="F367" s="26" t="s">
        <v>43</v>
      </c>
      <c r="G367" s="26" t="s">
        <v>29</v>
      </c>
      <c r="H367" s="26" t="s">
        <v>29</v>
      </c>
      <c r="I367" s="26" t="s">
        <v>810</v>
      </c>
      <c r="J367" s="26" t="s">
        <v>29</v>
      </c>
    </row>
    <row x14ac:dyDescent="0.25" r="368" customHeight="1" ht="15.75">
      <c r="A368" s="13" t="s">
        <v>103</v>
      </c>
      <c r="B368" s="13" t="s">
        <v>811</v>
      </c>
      <c r="C368" s="26" t="s">
        <v>812</v>
      </c>
      <c r="D368" s="26" t="s">
        <v>29</v>
      </c>
      <c r="E368" s="26" t="s">
        <v>81</v>
      </c>
      <c r="F368" s="26" t="s">
        <v>29</v>
      </c>
      <c r="G368" s="26" t="s">
        <v>29</v>
      </c>
      <c r="H368" s="26" t="s">
        <v>29</v>
      </c>
      <c r="I368" s="26" t="s">
        <v>29</v>
      </c>
      <c r="J368" s="26" t="s">
        <v>29</v>
      </c>
    </row>
    <row x14ac:dyDescent="0.25" r="369" customHeight="1" ht="15.75">
      <c r="A369" s="13" t="s">
        <v>227</v>
      </c>
      <c r="B369" s="13" t="s">
        <v>813</v>
      </c>
      <c r="C369" s="26" t="s">
        <v>814</v>
      </c>
      <c r="D369" s="26" t="s">
        <v>118</v>
      </c>
      <c r="E369" s="26" t="s">
        <v>34</v>
      </c>
      <c r="F369" s="26" t="s">
        <v>81</v>
      </c>
      <c r="G369" s="26" t="s">
        <v>29</v>
      </c>
      <c r="H369" s="26" t="s">
        <v>29</v>
      </c>
      <c r="I369" s="26" t="s">
        <v>29</v>
      </c>
      <c r="J369" s="26" t="s">
        <v>29</v>
      </c>
    </row>
    <row x14ac:dyDescent="0.25" r="370" customHeight="1" ht="15.75">
      <c r="A370" s="13" t="s">
        <v>27</v>
      </c>
      <c r="B370" s="13" t="s">
        <v>815</v>
      </c>
      <c r="C370" s="26" t="s">
        <v>816</v>
      </c>
      <c r="D370" s="26" t="s">
        <v>487</v>
      </c>
      <c r="E370" s="26" t="s">
        <v>34</v>
      </c>
      <c r="F370" s="26" t="s">
        <v>99</v>
      </c>
      <c r="G370" s="26" t="s">
        <v>29</v>
      </c>
      <c r="H370" s="26" t="s">
        <v>29</v>
      </c>
      <c r="I370" s="26" t="s">
        <v>344</v>
      </c>
      <c r="J370" s="26" t="s">
        <v>29</v>
      </c>
    </row>
    <row x14ac:dyDescent="0.25" r="371" customHeight="1" ht="15.75">
      <c r="A371" s="13" t="s">
        <v>184</v>
      </c>
      <c r="B371" s="13" t="s">
        <v>817</v>
      </c>
      <c r="C371" s="26" t="s">
        <v>818</v>
      </c>
      <c r="D371" s="26" t="s">
        <v>179</v>
      </c>
      <c r="E371" s="26" t="s">
        <v>34</v>
      </c>
      <c r="F371" s="26" t="s">
        <v>649</v>
      </c>
      <c r="G371" s="26" t="s">
        <v>649</v>
      </c>
      <c r="H371" s="26" t="s">
        <v>311</v>
      </c>
      <c r="I371" s="26" t="s">
        <v>734</v>
      </c>
      <c r="J371" s="26" t="s">
        <v>29</v>
      </c>
    </row>
    <row x14ac:dyDescent="0.25" r="372" customHeight="1" ht="15.75">
      <c r="A372" s="13" t="s">
        <v>129</v>
      </c>
      <c r="B372" s="13" t="s">
        <v>819</v>
      </c>
      <c r="C372" s="26" t="s">
        <v>820</v>
      </c>
      <c r="D372" s="26" t="s">
        <v>638</v>
      </c>
      <c r="E372" s="26" t="s">
        <v>37</v>
      </c>
      <c r="F372" s="26" t="s">
        <v>821</v>
      </c>
      <c r="G372" s="26" t="s">
        <v>545</v>
      </c>
      <c r="H372" s="26" t="s">
        <v>798</v>
      </c>
      <c r="I372" s="26" t="s">
        <v>822</v>
      </c>
      <c r="J372" s="26" t="s">
        <v>29</v>
      </c>
    </row>
    <row x14ac:dyDescent="0.25" r="373" customHeight="1" ht="15.75">
      <c r="A373" s="13" t="s">
        <v>198</v>
      </c>
      <c r="B373" s="13" t="s">
        <v>823</v>
      </c>
      <c r="C373" s="26" t="s">
        <v>824</v>
      </c>
      <c r="D373" s="26" t="s">
        <v>490</v>
      </c>
      <c r="E373" s="26" t="s">
        <v>34</v>
      </c>
      <c r="F373" s="26" t="s">
        <v>204</v>
      </c>
      <c r="G373" s="26" t="s">
        <v>249</v>
      </c>
      <c r="H373" s="26" t="s">
        <v>249</v>
      </c>
      <c r="I373" s="26" t="s">
        <v>413</v>
      </c>
      <c r="J373" s="26" t="s">
        <v>29</v>
      </c>
    </row>
    <row x14ac:dyDescent="0.25" r="374" customHeight="1" ht="15.75">
      <c r="A374" s="13" t="s">
        <v>129</v>
      </c>
      <c r="B374" s="13" t="s">
        <v>825</v>
      </c>
      <c r="C374" s="26" t="s">
        <v>826</v>
      </c>
      <c r="D374" s="26" t="s">
        <v>742</v>
      </c>
      <c r="E374" s="26" t="s">
        <v>510</v>
      </c>
      <c r="F374" s="26" t="s">
        <v>50</v>
      </c>
      <c r="G374" s="26" t="s">
        <v>29</v>
      </c>
      <c r="H374" s="26" t="s">
        <v>29</v>
      </c>
      <c r="I374" s="26" t="s">
        <v>204</v>
      </c>
      <c r="J374" s="26" t="s">
        <v>341</v>
      </c>
    </row>
    <row x14ac:dyDescent="0.25" r="375" customHeight="1" ht="15.75">
      <c r="A375" s="13" t="s">
        <v>69</v>
      </c>
      <c r="B375" s="13" t="s">
        <v>827</v>
      </c>
      <c r="C375" s="26" t="s">
        <v>216</v>
      </c>
      <c r="D375" s="26" t="s">
        <v>50</v>
      </c>
      <c r="E375" s="26" t="s">
        <v>43</v>
      </c>
      <c r="F375" s="26" t="s">
        <v>78</v>
      </c>
      <c r="G375" s="26" t="s">
        <v>29</v>
      </c>
      <c r="H375" s="26" t="s">
        <v>29</v>
      </c>
      <c r="I375" s="26" t="s">
        <v>78</v>
      </c>
      <c r="J375" s="26" t="s">
        <v>29</v>
      </c>
    </row>
    <row x14ac:dyDescent="0.25" r="376" customHeight="1" ht="15.75">
      <c r="A376" s="13" t="s">
        <v>184</v>
      </c>
      <c r="B376" s="13" t="s">
        <v>828</v>
      </c>
      <c r="C376" s="26" t="s">
        <v>829</v>
      </c>
      <c r="D376" s="26" t="s">
        <v>150</v>
      </c>
      <c r="E376" s="26" t="s">
        <v>143</v>
      </c>
      <c r="F376" s="26" t="s">
        <v>830</v>
      </c>
      <c r="G376" s="26" t="s">
        <v>247</v>
      </c>
      <c r="H376" s="26" t="s">
        <v>334</v>
      </c>
      <c r="I376" s="26" t="s">
        <v>247</v>
      </c>
      <c r="J376" s="26" t="s">
        <v>29</v>
      </c>
    </row>
    <row x14ac:dyDescent="0.25" r="377" customHeight="1" ht="15.75">
      <c r="A377" s="13" t="s">
        <v>184</v>
      </c>
      <c r="B377" s="13" t="s">
        <v>831</v>
      </c>
      <c r="C377" s="26" t="s">
        <v>832</v>
      </c>
      <c r="D377" s="26" t="s">
        <v>303</v>
      </c>
      <c r="E377" s="26" t="s">
        <v>78</v>
      </c>
      <c r="F377" s="26" t="s">
        <v>250</v>
      </c>
      <c r="G377" s="26" t="s">
        <v>250</v>
      </c>
      <c r="H377" s="26" t="s">
        <v>29</v>
      </c>
      <c r="I377" s="26" t="s">
        <v>29</v>
      </c>
      <c r="J377" s="26" t="s">
        <v>29</v>
      </c>
    </row>
    <row x14ac:dyDescent="0.25" r="378" customHeight="1" ht="15.75">
      <c r="A378" s="13" t="s">
        <v>69</v>
      </c>
      <c r="B378" s="13" t="s">
        <v>833</v>
      </c>
      <c r="C378" s="26" t="s">
        <v>832</v>
      </c>
      <c r="D378" s="26" t="s">
        <v>115</v>
      </c>
      <c r="E378" s="26" t="s">
        <v>34</v>
      </c>
      <c r="F378" s="26" t="s">
        <v>29</v>
      </c>
      <c r="G378" s="26" t="s">
        <v>29</v>
      </c>
      <c r="H378" s="26" t="s">
        <v>29</v>
      </c>
      <c r="I378" s="26" t="s">
        <v>29</v>
      </c>
      <c r="J378" s="26" t="s">
        <v>29</v>
      </c>
    </row>
    <row x14ac:dyDescent="0.25" r="379" customHeight="1" ht="15.75">
      <c r="A379" s="13" t="s">
        <v>69</v>
      </c>
      <c r="B379" s="13" t="s">
        <v>834</v>
      </c>
      <c r="C379" s="26" t="s">
        <v>835</v>
      </c>
      <c r="D379" s="26" t="s">
        <v>836</v>
      </c>
      <c r="E379" s="26" t="s">
        <v>57</v>
      </c>
      <c r="F379" s="26" t="s">
        <v>334</v>
      </c>
      <c r="G379" s="26" t="s">
        <v>29</v>
      </c>
      <c r="H379" s="26" t="s">
        <v>29</v>
      </c>
      <c r="I379" s="26" t="s">
        <v>334</v>
      </c>
      <c r="J379" s="26" t="s">
        <v>29</v>
      </c>
    </row>
    <row x14ac:dyDescent="0.25" r="380" customHeight="1" ht="15.75">
      <c r="A380" s="13" t="s">
        <v>27</v>
      </c>
      <c r="B380" s="13" t="s">
        <v>837</v>
      </c>
      <c r="C380" s="26" t="s">
        <v>838</v>
      </c>
      <c r="D380" s="26" t="s">
        <v>78</v>
      </c>
      <c r="E380" s="26" t="s">
        <v>57</v>
      </c>
      <c r="F380" s="26" t="s">
        <v>52</v>
      </c>
      <c r="G380" s="26" t="s">
        <v>507</v>
      </c>
      <c r="H380" s="26" t="s">
        <v>29</v>
      </c>
      <c r="I380" s="26" t="s">
        <v>36</v>
      </c>
      <c r="J380" s="26" t="s">
        <v>29</v>
      </c>
    </row>
    <row x14ac:dyDescent="0.25" r="381" customHeight="1" ht="15.75">
      <c r="A381" s="13" t="s">
        <v>184</v>
      </c>
      <c r="B381" s="13" t="s">
        <v>839</v>
      </c>
      <c r="C381" s="26" t="s">
        <v>840</v>
      </c>
      <c r="D381" s="26" t="s">
        <v>97</v>
      </c>
      <c r="E381" s="26" t="s">
        <v>78</v>
      </c>
      <c r="F381" s="26" t="s">
        <v>42</v>
      </c>
      <c r="G381" s="26" t="s">
        <v>29</v>
      </c>
      <c r="H381" s="26" t="s">
        <v>29</v>
      </c>
      <c r="I381" s="26" t="s">
        <v>33</v>
      </c>
      <c r="J381" s="26" t="s">
        <v>29</v>
      </c>
    </row>
    <row x14ac:dyDescent="0.25" r="382" customHeight="1" ht="15.75">
      <c r="A382" s="13" t="s">
        <v>27</v>
      </c>
      <c r="B382" s="13" t="s">
        <v>841</v>
      </c>
      <c r="C382" s="26" t="s">
        <v>344</v>
      </c>
      <c r="D382" s="26" t="s">
        <v>605</v>
      </c>
      <c r="E382" s="26" t="s">
        <v>78</v>
      </c>
      <c r="F382" s="26" t="s">
        <v>201</v>
      </c>
      <c r="G382" s="26" t="s">
        <v>318</v>
      </c>
      <c r="H382" s="26" t="s">
        <v>29</v>
      </c>
      <c r="I382" s="26" t="s">
        <v>118</v>
      </c>
      <c r="J382" s="26" t="s">
        <v>318</v>
      </c>
    </row>
    <row x14ac:dyDescent="0.25" r="383" customHeight="1" ht="15.75">
      <c r="A383" s="13" t="s">
        <v>66</v>
      </c>
      <c r="B383" s="13" t="s">
        <v>842</v>
      </c>
      <c r="C383" s="26" t="s">
        <v>344</v>
      </c>
      <c r="D383" s="26" t="s">
        <v>783</v>
      </c>
      <c r="E383" s="26" t="s">
        <v>510</v>
      </c>
      <c r="F383" s="26" t="s">
        <v>191</v>
      </c>
      <c r="G383" s="26" t="s">
        <v>29</v>
      </c>
      <c r="H383" s="26" t="s">
        <v>29</v>
      </c>
      <c r="I383" s="26" t="s">
        <v>191</v>
      </c>
      <c r="J383" s="26" t="s">
        <v>29</v>
      </c>
    </row>
    <row x14ac:dyDescent="0.25" r="384" customHeight="1" ht="15.75">
      <c r="A384" s="13" t="s">
        <v>66</v>
      </c>
      <c r="B384" s="13" t="s">
        <v>843</v>
      </c>
      <c r="C384" s="26" t="s">
        <v>344</v>
      </c>
      <c r="D384" s="26" t="s">
        <v>78</v>
      </c>
      <c r="E384" s="26" t="s">
        <v>34</v>
      </c>
      <c r="F384" s="26" t="s">
        <v>29</v>
      </c>
      <c r="G384" s="26" t="s">
        <v>43</v>
      </c>
      <c r="H384" s="26" t="s">
        <v>29</v>
      </c>
      <c r="I384" s="26" t="s">
        <v>29</v>
      </c>
      <c r="J384" s="26" t="s">
        <v>29</v>
      </c>
    </row>
    <row x14ac:dyDescent="0.25" r="385" customHeight="1" ht="15.75">
      <c r="A385" s="13" t="s">
        <v>27</v>
      </c>
      <c r="B385" s="13" t="s">
        <v>844</v>
      </c>
      <c r="C385" s="26" t="s">
        <v>845</v>
      </c>
      <c r="D385" s="26" t="s">
        <v>30</v>
      </c>
      <c r="E385" s="26" t="s">
        <v>57</v>
      </c>
      <c r="F385" s="26" t="s">
        <v>846</v>
      </c>
      <c r="G385" s="26" t="s">
        <v>750</v>
      </c>
      <c r="H385" s="26" t="s">
        <v>29</v>
      </c>
      <c r="I385" s="26" t="s">
        <v>29</v>
      </c>
      <c r="J385" s="26" t="s">
        <v>29</v>
      </c>
    </row>
    <row x14ac:dyDescent="0.25" r="386" customHeight="1" ht="15.75">
      <c r="A386" s="13" t="s">
        <v>184</v>
      </c>
      <c r="B386" s="13" t="s">
        <v>847</v>
      </c>
      <c r="C386" s="26" t="s">
        <v>845</v>
      </c>
      <c r="D386" s="26" t="s">
        <v>194</v>
      </c>
      <c r="E386" s="26" t="s">
        <v>34</v>
      </c>
      <c r="F386" s="26" t="s">
        <v>848</v>
      </c>
      <c r="G386" s="26" t="s">
        <v>849</v>
      </c>
      <c r="H386" s="26" t="s">
        <v>849</v>
      </c>
      <c r="I386" s="26" t="s">
        <v>99</v>
      </c>
      <c r="J386" s="26" t="s">
        <v>29</v>
      </c>
    </row>
    <row x14ac:dyDescent="0.25" r="387" customHeight="1" ht="15.75">
      <c r="A387" s="13" t="s">
        <v>103</v>
      </c>
      <c r="B387" s="13" t="s">
        <v>850</v>
      </c>
      <c r="C387" s="26" t="s">
        <v>851</v>
      </c>
      <c r="D387" s="26" t="s">
        <v>564</v>
      </c>
      <c r="E387" s="26" t="s">
        <v>37</v>
      </c>
      <c r="F387" s="26" t="s">
        <v>154</v>
      </c>
      <c r="G387" s="26" t="s">
        <v>29</v>
      </c>
      <c r="H387" s="26" t="s">
        <v>29</v>
      </c>
      <c r="I387" s="26" t="s">
        <v>168</v>
      </c>
      <c r="J387" s="26" t="s">
        <v>29</v>
      </c>
    </row>
    <row x14ac:dyDescent="0.25" r="388" customHeight="1" ht="15.75">
      <c r="A388" s="13" t="s">
        <v>103</v>
      </c>
      <c r="B388" s="13" t="s">
        <v>852</v>
      </c>
      <c r="C388" s="26" t="s">
        <v>853</v>
      </c>
      <c r="D388" s="26" t="s">
        <v>760</v>
      </c>
      <c r="E388" s="26" t="s">
        <v>63</v>
      </c>
      <c r="F388" s="26" t="s">
        <v>694</v>
      </c>
      <c r="G388" s="26" t="s">
        <v>581</v>
      </c>
      <c r="H388" s="26" t="s">
        <v>29</v>
      </c>
      <c r="I388" s="26" t="s">
        <v>581</v>
      </c>
      <c r="J388" s="26" t="s">
        <v>854</v>
      </c>
    </row>
    <row x14ac:dyDescent="0.25" r="389" customHeight="1" ht="15.75">
      <c r="A389" s="13" t="s">
        <v>184</v>
      </c>
      <c r="B389" s="13" t="s">
        <v>855</v>
      </c>
      <c r="C389" s="26" t="s">
        <v>856</v>
      </c>
      <c r="D389" s="26" t="s">
        <v>573</v>
      </c>
      <c r="E389" s="26" t="s">
        <v>143</v>
      </c>
      <c r="F389" s="26" t="s">
        <v>857</v>
      </c>
      <c r="G389" s="26" t="s">
        <v>176</v>
      </c>
      <c r="H389" s="26" t="s">
        <v>29</v>
      </c>
      <c r="I389" s="26" t="s">
        <v>578</v>
      </c>
      <c r="J389" s="26" t="s">
        <v>29</v>
      </c>
    </row>
    <row x14ac:dyDescent="0.25" r="390" customHeight="1" ht="15.75">
      <c r="A390" s="13" t="s">
        <v>103</v>
      </c>
      <c r="B390" s="13" t="s">
        <v>858</v>
      </c>
      <c r="C390" s="26" t="s">
        <v>859</v>
      </c>
      <c r="D390" s="26" t="s">
        <v>84</v>
      </c>
      <c r="E390" s="26" t="s">
        <v>57</v>
      </c>
      <c r="F390" s="26" t="s">
        <v>29</v>
      </c>
      <c r="G390" s="26" t="s">
        <v>29</v>
      </c>
      <c r="H390" s="26" t="s">
        <v>29</v>
      </c>
      <c r="I390" s="26" t="s">
        <v>29</v>
      </c>
      <c r="J390" s="26" t="s">
        <v>29</v>
      </c>
    </row>
    <row x14ac:dyDescent="0.25" r="391" customHeight="1" ht="15.75">
      <c r="A391" s="13" t="s">
        <v>69</v>
      </c>
      <c r="B391" s="13" t="s">
        <v>860</v>
      </c>
      <c r="C391" s="26" t="s">
        <v>641</v>
      </c>
      <c r="D391" s="26" t="s">
        <v>179</v>
      </c>
      <c r="E391" s="26" t="s">
        <v>57</v>
      </c>
      <c r="F391" s="26" t="s">
        <v>63</v>
      </c>
      <c r="G391" s="26" t="s">
        <v>36</v>
      </c>
      <c r="H391" s="26" t="s">
        <v>29</v>
      </c>
      <c r="I391" s="26" t="s">
        <v>63</v>
      </c>
      <c r="J391" s="26" t="s">
        <v>29</v>
      </c>
    </row>
    <row x14ac:dyDescent="0.25" r="392" customHeight="1" ht="15.75">
      <c r="A392" s="13" t="s">
        <v>116</v>
      </c>
      <c r="B392" s="13" t="s">
        <v>861</v>
      </c>
      <c r="C392" s="26" t="s">
        <v>641</v>
      </c>
      <c r="D392" s="26" t="s">
        <v>43</v>
      </c>
      <c r="E392" s="26" t="s">
        <v>37</v>
      </c>
      <c r="F392" s="26" t="s">
        <v>29</v>
      </c>
      <c r="G392" s="26" t="s">
        <v>341</v>
      </c>
      <c r="H392" s="26" t="s">
        <v>341</v>
      </c>
      <c r="I392" s="26" t="s">
        <v>341</v>
      </c>
      <c r="J392" s="26" t="s">
        <v>29</v>
      </c>
    </row>
    <row x14ac:dyDescent="0.25" r="393" customHeight="1" ht="15.75">
      <c r="A393" s="13" t="s">
        <v>184</v>
      </c>
      <c r="B393" s="13" t="s">
        <v>862</v>
      </c>
      <c r="C393" s="26" t="s">
        <v>638</v>
      </c>
      <c r="D393" s="26" t="s">
        <v>111</v>
      </c>
      <c r="E393" s="26" t="s">
        <v>143</v>
      </c>
      <c r="F393" s="26" t="s">
        <v>539</v>
      </c>
      <c r="G393" s="26" t="s">
        <v>318</v>
      </c>
      <c r="H393" s="26" t="s">
        <v>610</v>
      </c>
      <c r="I393" s="26" t="s">
        <v>800</v>
      </c>
      <c r="J393" s="26" t="s">
        <v>29</v>
      </c>
    </row>
    <row x14ac:dyDescent="0.25" r="394" customHeight="1" ht="15.75">
      <c r="A394" s="13" t="s">
        <v>109</v>
      </c>
      <c r="B394" s="13" t="s">
        <v>863</v>
      </c>
      <c r="C394" s="26" t="s">
        <v>864</v>
      </c>
      <c r="D394" s="26" t="s">
        <v>344</v>
      </c>
      <c r="E394" s="26" t="s">
        <v>37</v>
      </c>
      <c r="F394" s="26" t="s">
        <v>29</v>
      </c>
      <c r="G394" s="26" t="s">
        <v>29</v>
      </c>
      <c r="H394" s="26" t="s">
        <v>29</v>
      </c>
      <c r="I394" s="26" t="s">
        <v>29</v>
      </c>
      <c r="J394" s="26" t="s">
        <v>29</v>
      </c>
    </row>
    <row x14ac:dyDescent="0.25" r="395" customHeight="1" ht="15.75">
      <c r="A395" s="13" t="s">
        <v>184</v>
      </c>
      <c r="B395" s="13" t="s">
        <v>865</v>
      </c>
      <c r="C395" s="26" t="s">
        <v>866</v>
      </c>
      <c r="D395" s="26" t="s">
        <v>63</v>
      </c>
      <c r="E395" s="26" t="s">
        <v>510</v>
      </c>
      <c r="F395" s="26" t="s">
        <v>278</v>
      </c>
      <c r="G395" s="26" t="s">
        <v>154</v>
      </c>
      <c r="H395" s="26" t="s">
        <v>29</v>
      </c>
      <c r="I395" s="26" t="s">
        <v>154</v>
      </c>
      <c r="J395" s="26" t="s">
        <v>29</v>
      </c>
    </row>
    <row x14ac:dyDescent="0.25" r="396" customHeight="1" ht="15.75">
      <c r="A396" s="13" t="s">
        <v>129</v>
      </c>
      <c r="B396" s="13" t="s">
        <v>867</v>
      </c>
      <c r="C396" s="26" t="s">
        <v>866</v>
      </c>
      <c r="D396" s="26" t="s">
        <v>118</v>
      </c>
      <c r="E396" s="26" t="s">
        <v>34</v>
      </c>
      <c r="F396" s="26" t="s">
        <v>143</v>
      </c>
      <c r="G396" s="26" t="s">
        <v>29</v>
      </c>
      <c r="H396" s="26" t="s">
        <v>29</v>
      </c>
      <c r="I396" s="26" t="s">
        <v>154</v>
      </c>
      <c r="J396" s="26" t="s">
        <v>29</v>
      </c>
    </row>
    <row x14ac:dyDescent="0.25" r="397" customHeight="1" ht="15.75">
      <c r="A397" s="13" t="s">
        <v>184</v>
      </c>
      <c r="B397" s="13" t="s">
        <v>868</v>
      </c>
      <c r="C397" s="26" t="s">
        <v>869</v>
      </c>
      <c r="D397" s="26" t="s">
        <v>37</v>
      </c>
      <c r="E397" s="26" t="s">
        <v>143</v>
      </c>
      <c r="F397" s="26" t="s">
        <v>42</v>
      </c>
      <c r="G397" s="26" t="s">
        <v>29</v>
      </c>
      <c r="H397" s="26" t="s">
        <v>29</v>
      </c>
      <c r="I397" s="26" t="s">
        <v>870</v>
      </c>
      <c r="J397" s="26" t="s">
        <v>29</v>
      </c>
    </row>
    <row x14ac:dyDescent="0.25" r="398" customHeight="1" ht="15.75">
      <c r="A398" s="13" t="s">
        <v>184</v>
      </c>
      <c r="B398" s="13" t="s">
        <v>871</v>
      </c>
      <c r="C398" s="26" t="s">
        <v>872</v>
      </c>
      <c r="D398" s="26" t="s">
        <v>194</v>
      </c>
      <c r="E398" s="26" t="s">
        <v>31</v>
      </c>
      <c r="F398" s="26" t="s">
        <v>29</v>
      </c>
      <c r="G398" s="26" t="s">
        <v>52</v>
      </c>
      <c r="H398" s="26" t="s">
        <v>29</v>
      </c>
      <c r="I398" s="26" t="s">
        <v>78</v>
      </c>
      <c r="J398" s="26" t="s">
        <v>29</v>
      </c>
    </row>
    <row x14ac:dyDescent="0.25" r="399" customHeight="1" ht="15.75">
      <c r="A399" s="13" t="s">
        <v>126</v>
      </c>
      <c r="B399" s="13" t="s">
        <v>873</v>
      </c>
      <c r="C399" s="26" t="s">
        <v>874</v>
      </c>
      <c r="D399" s="26" t="s">
        <v>278</v>
      </c>
      <c r="E399" s="26" t="s">
        <v>81</v>
      </c>
      <c r="F399" s="26" t="s">
        <v>50</v>
      </c>
      <c r="G399" s="26" t="s">
        <v>250</v>
      </c>
      <c r="H399" s="26" t="s">
        <v>29</v>
      </c>
      <c r="I399" s="26" t="s">
        <v>250</v>
      </c>
      <c r="J399" s="26" t="s">
        <v>29</v>
      </c>
    </row>
    <row x14ac:dyDescent="0.25" r="400" customHeight="1" ht="15.75">
      <c r="A400" s="13" t="s">
        <v>227</v>
      </c>
      <c r="B400" s="13" t="s">
        <v>875</v>
      </c>
      <c r="C400" s="26" t="s">
        <v>876</v>
      </c>
      <c r="D400" s="26" t="s">
        <v>77</v>
      </c>
      <c r="E400" s="26" t="s">
        <v>37</v>
      </c>
      <c r="F400" s="26" t="s">
        <v>877</v>
      </c>
      <c r="G400" s="26" t="s">
        <v>878</v>
      </c>
      <c r="H400" s="26" t="s">
        <v>879</v>
      </c>
      <c r="I400" s="26" t="s">
        <v>880</v>
      </c>
      <c r="J400" s="26" t="s">
        <v>29</v>
      </c>
    </row>
    <row x14ac:dyDescent="0.25" r="401" customHeight="1" ht="15.75">
      <c r="A401" s="13" t="s">
        <v>91</v>
      </c>
      <c r="B401" s="13" t="s">
        <v>881</v>
      </c>
      <c r="C401" s="26" t="s">
        <v>876</v>
      </c>
      <c r="D401" s="26" t="s">
        <v>882</v>
      </c>
      <c r="E401" s="26" t="s">
        <v>201</v>
      </c>
      <c r="F401" s="26" t="s">
        <v>42</v>
      </c>
      <c r="G401" s="26" t="s">
        <v>295</v>
      </c>
      <c r="H401" s="26" t="s">
        <v>193</v>
      </c>
      <c r="I401" s="26" t="s">
        <v>638</v>
      </c>
      <c r="J401" s="26" t="s">
        <v>193</v>
      </c>
    </row>
    <row x14ac:dyDescent="0.25" r="402" customHeight="1" ht="15.75">
      <c r="A402" s="13" t="s">
        <v>227</v>
      </c>
      <c r="B402" s="13" t="s">
        <v>883</v>
      </c>
      <c r="C402" s="26" t="s">
        <v>884</v>
      </c>
      <c r="D402" s="26" t="s">
        <v>885</v>
      </c>
      <c r="E402" s="26" t="s">
        <v>81</v>
      </c>
      <c r="F402" s="26" t="s">
        <v>656</v>
      </c>
      <c r="G402" s="26" t="s">
        <v>240</v>
      </c>
      <c r="H402" s="26" t="s">
        <v>886</v>
      </c>
      <c r="I402" s="26" t="s">
        <v>332</v>
      </c>
      <c r="J402" s="26" t="s">
        <v>29</v>
      </c>
    </row>
    <row x14ac:dyDescent="0.25" r="403" customHeight="1" ht="15.75">
      <c r="A403" s="13" t="s">
        <v>66</v>
      </c>
      <c r="B403" s="13" t="s">
        <v>887</v>
      </c>
      <c r="C403" s="26" t="s">
        <v>888</v>
      </c>
      <c r="D403" s="26" t="s">
        <v>717</v>
      </c>
      <c r="E403" s="26" t="s">
        <v>510</v>
      </c>
      <c r="F403" s="26" t="s">
        <v>344</v>
      </c>
      <c r="G403" s="26" t="s">
        <v>849</v>
      </c>
      <c r="H403" s="26" t="s">
        <v>29</v>
      </c>
      <c r="I403" s="26" t="s">
        <v>889</v>
      </c>
      <c r="J403" s="26" t="s">
        <v>29</v>
      </c>
    </row>
    <row x14ac:dyDescent="0.25" r="404" customHeight="1" ht="15.75">
      <c r="A404" s="13" t="s">
        <v>129</v>
      </c>
      <c r="B404" s="13" t="s">
        <v>890</v>
      </c>
      <c r="C404" s="26" t="s">
        <v>891</v>
      </c>
      <c r="D404" s="26" t="s">
        <v>118</v>
      </c>
      <c r="E404" s="26" t="s">
        <v>37</v>
      </c>
      <c r="F404" s="26" t="s">
        <v>892</v>
      </c>
      <c r="G404" s="26" t="s">
        <v>29</v>
      </c>
      <c r="H404" s="26" t="s">
        <v>29</v>
      </c>
      <c r="I404" s="26" t="s">
        <v>352</v>
      </c>
      <c r="J404" s="26" t="s">
        <v>29</v>
      </c>
    </row>
    <row x14ac:dyDescent="0.25" r="405" customHeight="1" ht="15.75">
      <c r="A405" s="13" t="s">
        <v>69</v>
      </c>
      <c r="B405" s="13" t="s">
        <v>893</v>
      </c>
      <c r="C405" s="26" t="s">
        <v>894</v>
      </c>
      <c r="D405" s="26" t="s">
        <v>30</v>
      </c>
      <c r="E405" s="26" t="s">
        <v>37</v>
      </c>
      <c r="F405" s="26" t="s">
        <v>36</v>
      </c>
      <c r="G405" s="26" t="s">
        <v>29</v>
      </c>
      <c r="H405" s="26" t="s">
        <v>29</v>
      </c>
      <c r="I405" s="26" t="s">
        <v>615</v>
      </c>
      <c r="J405" s="26" t="s">
        <v>29</v>
      </c>
    </row>
    <row x14ac:dyDescent="0.25" r="406" customHeight="1" ht="15.75">
      <c r="A406" s="13" t="s">
        <v>227</v>
      </c>
      <c r="B406" s="13" t="s">
        <v>895</v>
      </c>
      <c r="C406" s="26" t="s">
        <v>896</v>
      </c>
      <c r="D406" s="26" t="s">
        <v>311</v>
      </c>
      <c r="E406" s="26" t="s">
        <v>143</v>
      </c>
      <c r="F406" s="26" t="s">
        <v>897</v>
      </c>
      <c r="G406" s="26" t="s">
        <v>186</v>
      </c>
      <c r="H406" s="26" t="s">
        <v>186</v>
      </c>
      <c r="I406" s="26" t="s">
        <v>307</v>
      </c>
      <c r="J406" s="26" t="s">
        <v>29</v>
      </c>
    </row>
    <row x14ac:dyDescent="0.25" r="407" customHeight="1" ht="15.75">
      <c r="A407" s="13" t="s">
        <v>66</v>
      </c>
      <c r="B407" s="13" t="s">
        <v>898</v>
      </c>
      <c r="C407" s="26" t="s">
        <v>899</v>
      </c>
      <c r="D407" s="26" t="s">
        <v>50</v>
      </c>
      <c r="E407" s="26" t="s">
        <v>34</v>
      </c>
      <c r="F407" s="26" t="s">
        <v>166</v>
      </c>
      <c r="G407" s="26" t="s">
        <v>191</v>
      </c>
      <c r="H407" s="26" t="s">
        <v>191</v>
      </c>
      <c r="I407" s="26" t="s">
        <v>29</v>
      </c>
      <c r="J407" s="26" t="s">
        <v>29</v>
      </c>
    </row>
    <row x14ac:dyDescent="0.25" r="408" customHeight="1" ht="15.75">
      <c r="A408" s="13" t="s">
        <v>126</v>
      </c>
      <c r="B408" s="13" t="s">
        <v>900</v>
      </c>
      <c r="C408" s="26" t="s">
        <v>901</v>
      </c>
      <c r="D408" s="26" t="s">
        <v>409</v>
      </c>
      <c r="E408" s="26" t="s">
        <v>510</v>
      </c>
      <c r="F408" s="26" t="s">
        <v>295</v>
      </c>
      <c r="G408" s="26" t="s">
        <v>295</v>
      </c>
      <c r="H408" s="26" t="s">
        <v>29</v>
      </c>
      <c r="I408" s="26" t="s">
        <v>295</v>
      </c>
      <c r="J408" s="26" t="s">
        <v>29</v>
      </c>
    </row>
    <row x14ac:dyDescent="0.25" r="409" customHeight="1" ht="15.75">
      <c r="A409" s="13" t="s">
        <v>126</v>
      </c>
      <c r="B409" s="13" t="s">
        <v>902</v>
      </c>
      <c r="C409" s="26" t="s">
        <v>903</v>
      </c>
      <c r="D409" s="26" t="s">
        <v>33</v>
      </c>
      <c r="E409" s="26" t="s">
        <v>74</v>
      </c>
      <c r="F409" s="26" t="s">
        <v>334</v>
      </c>
      <c r="G409" s="26" t="s">
        <v>247</v>
      </c>
      <c r="H409" s="26" t="s">
        <v>29</v>
      </c>
      <c r="I409" s="26" t="s">
        <v>247</v>
      </c>
      <c r="J409" s="26" t="s">
        <v>29</v>
      </c>
    </row>
    <row x14ac:dyDescent="0.25" r="410" customHeight="1" ht="15.75">
      <c r="A410" s="13" t="s">
        <v>103</v>
      </c>
      <c r="B410" s="13" t="s">
        <v>904</v>
      </c>
      <c r="C410" s="26" t="s">
        <v>905</v>
      </c>
      <c r="D410" s="26" t="s">
        <v>344</v>
      </c>
      <c r="E410" s="26" t="s">
        <v>34</v>
      </c>
      <c r="F410" s="26" t="s">
        <v>93</v>
      </c>
      <c r="G410" s="26" t="s">
        <v>93</v>
      </c>
      <c r="H410" s="26" t="s">
        <v>29</v>
      </c>
      <c r="I410" s="26" t="s">
        <v>179</v>
      </c>
      <c r="J410" s="26" t="s">
        <v>29</v>
      </c>
    </row>
    <row x14ac:dyDescent="0.25" r="411" customHeight="1" ht="15.75">
      <c r="A411" s="13" t="s">
        <v>27</v>
      </c>
      <c r="B411" s="13" t="s">
        <v>906</v>
      </c>
      <c r="C411" s="26" t="s">
        <v>907</v>
      </c>
      <c r="D411" s="26" t="s">
        <v>908</v>
      </c>
      <c r="E411" s="26" t="s">
        <v>43</v>
      </c>
      <c r="F411" s="26" t="s">
        <v>909</v>
      </c>
      <c r="G411" s="26" t="s">
        <v>710</v>
      </c>
      <c r="H411" s="26" t="s">
        <v>710</v>
      </c>
      <c r="I411" s="26" t="s">
        <v>29</v>
      </c>
      <c r="J411" s="26" t="s">
        <v>29</v>
      </c>
    </row>
    <row x14ac:dyDescent="0.25" r="412" customHeight="1" ht="15.75">
      <c r="A412" s="13" t="s">
        <v>66</v>
      </c>
      <c r="B412" s="13" t="s">
        <v>910</v>
      </c>
      <c r="C412" s="26" t="s">
        <v>911</v>
      </c>
      <c r="D412" s="26" t="s">
        <v>331</v>
      </c>
      <c r="E412" s="26" t="s">
        <v>81</v>
      </c>
      <c r="F412" s="26" t="s">
        <v>487</v>
      </c>
      <c r="G412" s="26" t="s">
        <v>297</v>
      </c>
      <c r="H412" s="26" t="s">
        <v>297</v>
      </c>
      <c r="I412" s="26" t="s">
        <v>297</v>
      </c>
      <c r="J412" s="26" t="s">
        <v>29</v>
      </c>
    </row>
    <row x14ac:dyDescent="0.25" r="413" customHeight="1" ht="15.75">
      <c r="A413" s="13" t="s">
        <v>27</v>
      </c>
      <c r="B413" s="13" t="s">
        <v>912</v>
      </c>
      <c r="C413" s="26" t="s">
        <v>885</v>
      </c>
      <c r="D413" s="26" t="s">
        <v>204</v>
      </c>
      <c r="E413" s="26" t="s">
        <v>57</v>
      </c>
      <c r="F413" s="26" t="s">
        <v>52</v>
      </c>
      <c r="G413" s="26" t="s">
        <v>29</v>
      </c>
      <c r="H413" s="26" t="s">
        <v>29</v>
      </c>
      <c r="I413" s="26" t="s">
        <v>29</v>
      </c>
      <c r="J413" s="26" t="s">
        <v>29</v>
      </c>
    </row>
    <row x14ac:dyDescent="0.25" r="414" customHeight="1" ht="15.75">
      <c r="A414" s="13" t="s">
        <v>184</v>
      </c>
      <c r="B414" s="13" t="s">
        <v>913</v>
      </c>
      <c r="C414" s="26" t="s">
        <v>656</v>
      </c>
      <c r="D414" s="26" t="s">
        <v>809</v>
      </c>
      <c r="E414" s="26" t="s">
        <v>63</v>
      </c>
      <c r="F414" s="26" t="s">
        <v>914</v>
      </c>
      <c r="G414" s="26" t="s">
        <v>29</v>
      </c>
      <c r="H414" s="26" t="s">
        <v>29</v>
      </c>
      <c r="I414" s="26" t="s">
        <v>439</v>
      </c>
      <c r="J414" s="26" t="s">
        <v>29</v>
      </c>
    </row>
    <row x14ac:dyDescent="0.25" r="415" customHeight="1" ht="15.75">
      <c r="A415" s="13" t="s">
        <v>66</v>
      </c>
      <c r="B415" s="13" t="s">
        <v>915</v>
      </c>
      <c r="C415" s="26" t="s">
        <v>656</v>
      </c>
      <c r="D415" s="26" t="s">
        <v>204</v>
      </c>
      <c r="E415" s="26" t="s">
        <v>34</v>
      </c>
      <c r="F415" s="26" t="s">
        <v>29</v>
      </c>
      <c r="G415" s="26" t="s">
        <v>78</v>
      </c>
      <c r="H415" s="26" t="s">
        <v>29</v>
      </c>
      <c r="I415" s="26" t="s">
        <v>29</v>
      </c>
      <c r="J415" s="26" t="s">
        <v>29</v>
      </c>
    </row>
    <row x14ac:dyDescent="0.25" r="416" customHeight="1" ht="15.75">
      <c r="A416" s="13" t="s">
        <v>91</v>
      </c>
      <c r="B416" s="13" t="s">
        <v>916</v>
      </c>
      <c r="C416" s="26" t="s">
        <v>917</v>
      </c>
      <c r="D416" s="26" t="s">
        <v>63</v>
      </c>
      <c r="E416" s="26" t="s">
        <v>57</v>
      </c>
      <c r="F416" s="26" t="s">
        <v>413</v>
      </c>
      <c r="G416" s="26" t="s">
        <v>29</v>
      </c>
      <c r="H416" s="26" t="s">
        <v>29</v>
      </c>
      <c r="I416" s="26" t="s">
        <v>29</v>
      </c>
      <c r="J416" s="26" t="s">
        <v>29</v>
      </c>
    </row>
    <row x14ac:dyDescent="0.25" r="417" customHeight="1" ht="15.75">
      <c r="A417" s="13" t="s">
        <v>66</v>
      </c>
      <c r="B417" s="13" t="s">
        <v>918</v>
      </c>
      <c r="C417" s="26" t="s">
        <v>919</v>
      </c>
      <c r="D417" s="26" t="s">
        <v>503</v>
      </c>
      <c r="E417" s="26" t="s">
        <v>34</v>
      </c>
      <c r="F417" s="26" t="s">
        <v>29</v>
      </c>
      <c r="G417" s="26" t="s">
        <v>29</v>
      </c>
      <c r="H417" s="26" t="s">
        <v>29</v>
      </c>
      <c r="I417" s="26" t="s">
        <v>29</v>
      </c>
      <c r="J417" s="26" t="s">
        <v>29</v>
      </c>
    </row>
    <row x14ac:dyDescent="0.25" r="418" customHeight="1" ht="15.75">
      <c r="A418" s="13" t="s">
        <v>103</v>
      </c>
      <c r="B418" s="13" t="s">
        <v>920</v>
      </c>
      <c r="C418" s="26" t="s">
        <v>921</v>
      </c>
      <c r="D418" s="26" t="s">
        <v>288</v>
      </c>
      <c r="E418" s="26" t="s">
        <v>31</v>
      </c>
      <c r="F418" s="26" t="s">
        <v>135</v>
      </c>
      <c r="G418" s="26" t="s">
        <v>135</v>
      </c>
      <c r="H418" s="26" t="s">
        <v>135</v>
      </c>
      <c r="I418" s="26" t="s">
        <v>29</v>
      </c>
      <c r="J418" s="26" t="s">
        <v>29</v>
      </c>
    </row>
    <row x14ac:dyDescent="0.25" r="419" customHeight="1" ht="15.75">
      <c r="A419" s="13" t="s">
        <v>512</v>
      </c>
      <c r="B419" s="13" t="s">
        <v>922</v>
      </c>
      <c r="C419" s="26" t="s">
        <v>923</v>
      </c>
      <c r="D419" s="26" t="s">
        <v>924</v>
      </c>
      <c r="E419" s="26" t="s">
        <v>34</v>
      </c>
      <c r="F419" s="26" t="s">
        <v>29</v>
      </c>
      <c r="G419" s="26" t="s">
        <v>29</v>
      </c>
      <c r="H419" s="26" t="s">
        <v>29</v>
      </c>
      <c r="I419" s="26" t="s">
        <v>352</v>
      </c>
      <c r="J419" s="26" t="s">
        <v>29</v>
      </c>
    </row>
    <row x14ac:dyDescent="0.25" r="420" customHeight="1" ht="15.75">
      <c r="A420" s="13" t="s">
        <v>27</v>
      </c>
      <c r="B420" s="13" t="s">
        <v>925</v>
      </c>
      <c r="C420" s="26" t="s">
        <v>926</v>
      </c>
      <c r="D420" s="26" t="s">
        <v>927</v>
      </c>
      <c r="E420" s="26" t="s">
        <v>234</v>
      </c>
      <c r="F420" s="26" t="s">
        <v>928</v>
      </c>
      <c r="G420" s="26" t="s">
        <v>244</v>
      </c>
      <c r="H420" s="26" t="s">
        <v>29</v>
      </c>
      <c r="I420" s="26" t="s">
        <v>872</v>
      </c>
      <c r="J420" s="26" t="s">
        <v>29</v>
      </c>
    </row>
    <row x14ac:dyDescent="0.25" r="421" customHeight="1" ht="15.75">
      <c r="A421" s="13" t="s">
        <v>27</v>
      </c>
      <c r="B421" s="13" t="s">
        <v>929</v>
      </c>
      <c r="C421" s="26" t="s">
        <v>105</v>
      </c>
      <c r="D421" s="26" t="s">
        <v>54</v>
      </c>
      <c r="E421" s="26" t="s">
        <v>57</v>
      </c>
      <c r="F421" s="26" t="s">
        <v>29</v>
      </c>
      <c r="G421" s="26" t="s">
        <v>29</v>
      </c>
      <c r="H421" s="26" t="s">
        <v>29</v>
      </c>
      <c r="I421" s="26" t="s">
        <v>29</v>
      </c>
      <c r="J421" s="26" t="s">
        <v>29</v>
      </c>
    </row>
    <row x14ac:dyDescent="0.25" r="422" customHeight="1" ht="15.75">
      <c r="A422" s="13" t="s">
        <v>227</v>
      </c>
      <c r="B422" s="13" t="s">
        <v>930</v>
      </c>
      <c r="C422" s="26" t="s">
        <v>931</v>
      </c>
      <c r="D422" s="26" t="s">
        <v>361</v>
      </c>
      <c r="E422" s="26" t="s">
        <v>37</v>
      </c>
      <c r="F422" s="26" t="s">
        <v>194</v>
      </c>
      <c r="G422" s="26" t="s">
        <v>277</v>
      </c>
      <c r="H422" s="26" t="s">
        <v>277</v>
      </c>
      <c r="I422" s="26" t="s">
        <v>80</v>
      </c>
      <c r="J422" s="26" t="s">
        <v>29</v>
      </c>
    </row>
    <row x14ac:dyDescent="0.25" r="423" customHeight="1" ht="15.75">
      <c r="A423" s="13" t="s">
        <v>126</v>
      </c>
      <c r="B423" s="13" t="s">
        <v>932</v>
      </c>
      <c r="C423" s="26" t="s">
        <v>931</v>
      </c>
      <c r="D423" s="26" t="s">
        <v>125</v>
      </c>
      <c r="E423" s="26" t="s">
        <v>88</v>
      </c>
      <c r="F423" s="26" t="s">
        <v>93</v>
      </c>
      <c r="G423" s="26" t="s">
        <v>93</v>
      </c>
      <c r="H423" s="26" t="s">
        <v>154</v>
      </c>
      <c r="I423" s="26" t="s">
        <v>278</v>
      </c>
      <c r="J423" s="26" t="s">
        <v>29</v>
      </c>
    </row>
    <row x14ac:dyDescent="0.25" r="424" customHeight="1" ht="15.75">
      <c r="A424" s="13" t="s">
        <v>27</v>
      </c>
      <c r="B424" s="13" t="s">
        <v>933</v>
      </c>
      <c r="C424" s="26" t="s">
        <v>934</v>
      </c>
      <c r="D424" s="26" t="s">
        <v>935</v>
      </c>
      <c r="E424" s="26" t="s">
        <v>510</v>
      </c>
      <c r="F424" s="26" t="s">
        <v>936</v>
      </c>
      <c r="G424" s="26" t="s">
        <v>327</v>
      </c>
      <c r="H424" s="26" t="s">
        <v>137</v>
      </c>
      <c r="I424" s="26" t="s">
        <v>191</v>
      </c>
      <c r="J424" s="26" t="s">
        <v>137</v>
      </c>
    </row>
    <row x14ac:dyDescent="0.25" r="425" customHeight="1" ht="15.75">
      <c r="A425" s="13" t="s">
        <v>109</v>
      </c>
      <c r="B425" s="13" t="s">
        <v>937</v>
      </c>
      <c r="C425" s="26" t="s">
        <v>938</v>
      </c>
      <c r="D425" s="26" t="s">
        <v>154</v>
      </c>
      <c r="E425" s="26" t="s">
        <v>34</v>
      </c>
      <c r="F425" s="26" t="s">
        <v>42</v>
      </c>
      <c r="G425" s="26" t="s">
        <v>29</v>
      </c>
      <c r="H425" s="26" t="s">
        <v>29</v>
      </c>
      <c r="I425" s="26" t="s">
        <v>29</v>
      </c>
      <c r="J425" s="26" t="s">
        <v>29</v>
      </c>
    </row>
    <row x14ac:dyDescent="0.25" r="426" customHeight="1" ht="15.75">
      <c r="A426" s="13" t="s">
        <v>103</v>
      </c>
      <c r="B426" s="13" t="s">
        <v>939</v>
      </c>
      <c r="C426" s="26" t="s">
        <v>940</v>
      </c>
      <c r="D426" s="26" t="s">
        <v>941</v>
      </c>
      <c r="E426" s="26" t="s">
        <v>31</v>
      </c>
      <c r="F426" s="26" t="s">
        <v>393</v>
      </c>
      <c r="G426" s="26" t="s">
        <v>942</v>
      </c>
      <c r="H426" s="26" t="s">
        <v>943</v>
      </c>
      <c r="I426" s="26" t="s">
        <v>944</v>
      </c>
      <c r="J426" s="26" t="s">
        <v>943</v>
      </c>
    </row>
    <row x14ac:dyDescent="0.25" r="427" customHeight="1" ht="15.75">
      <c r="A427" s="13" t="s">
        <v>184</v>
      </c>
      <c r="B427" s="13" t="s">
        <v>945</v>
      </c>
      <c r="C427" s="26" t="s">
        <v>946</v>
      </c>
      <c r="D427" s="26" t="s">
        <v>947</v>
      </c>
      <c r="E427" s="26" t="s">
        <v>31</v>
      </c>
      <c r="F427" s="26" t="s">
        <v>204</v>
      </c>
      <c r="G427" s="26" t="s">
        <v>341</v>
      </c>
      <c r="H427" s="26" t="s">
        <v>29</v>
      </c>
      <c r="I427" s="26" t="s">
        <v>50</v>
      </c>
      <c r="J427" s="26" t="s">
        <v>341</v>
      </c>
    </row>
    <row x14ac:dyDescent="0.25" r="428" customHeight="1" ht="15.75">
      <c r="A428" s="13" t="s">
        <v>69</v>
      </c>
      <c r="B428" s="13" t="s">
        <v>948</v>
      </c>
      <c r="C428" s="26" t="s">
        <v>949</v>
      </c>
      <c r="D428" s="26" t="s">
        <v>950</v>
      </c>
      <c r="E428" s="26" t="s">
        <v>951</v>
      </c>
      <c r="F428" s="26" t="s">
        <v>643</v>
      </c>
      <c r="G428" s="26" t="s">
        <v>29</v>
      </c>
      <c r="H428" s="26" t="s">
        <v>29</v>
      </c>
      <c r="I428" s="26" t="s">
        <v>952</v>
      </c>
      <c r="J428" s="26" t="s">
        <v>953</v>
      </c>
    </row>
    <row x14ac:dyDescent="0.25" r="429" customHeight="1" ht="15.75">
      <c r="A429" s="13" t="s">
        <v>66</v>
      </c>
      <c r="B429" s="13" t="s">
        <v>954</v>
      </c>
      <c r="C429" s="26" t="s">
        <v>587</v>
      </c>
      <c r="D429" s="26" t="s">
        <v>344</v>
      </c>
      <c r="E429" s="26" t="s">
        <v>34</v>
      </c>
      <c r="F429" s="26" t="s">
        <v>105</v>
      </c>
      <c r="G429" s="26" t="s">
        <v>29</v>
      </c>
      <c r="H429" s="26" t="s">
        <v>29</v>
      </c>
      <c r="I429" s="26" t="s">
        <v>29</v>
      </c>
      <c r="J429" s="26" t="s">
        <v>29</v>
      </c>
    </row>
    <row x14ac:dyDescent="0.25" r="430" customHeight="1" ht="15.75">
      <c r="A430" s="13" t="s">
        <v>116</v>
      </c>
      <c r="B430" s="13" t="s">
        <v>955</v>
      </c>
      <c r="C430" s="26" t="s">
        <v>587</v>
      </c>
      <c r="D430" s="26" t="s">
        <v>63</v>
      </c>
      <c r="E430" s="26" t="s">
        <v>122</v>
      </c>
      <c r="F430" s="26" t="s">
        <v>31</v>
      </c>
      <c r="G430" s="26" t="s">
        <v>31</v>
      </c>
      <c r="H430" s="26" t="s">
        <v>31</v>
      </c>
      <c r="I430" s="26" t="s">
        <v>31</v>
      </c>
      <c r="J430" s="26" t="s">
        <v>29</v>
      </c>
    </row>
    <row x14ac:dyDescent="0.25" r="431" customHeight="1" ht="15.75">
      <c r="A431" s="13" t="s">
        <v>27</v>
      </c>
      <c r="B431" s="13" t="s">
        <v>956</v>
      </c>
      <c r="C431" s="26" t="s">
        <v>957</v>
      </c>
      <c r="D431" s="26" t="s">
        <v>154</v>
      </c>
      <c r="E431" s="26" t="s">
        <v>31</v>
      </c>
      <c r="F431" s="26" t="s">
        <v>294</v>
      </c>
      <c r="G431" s="26" t="s">
        <v>29</v>
      </c>
      <c r="H431" s="26" t="s">
        <v>29</v>
      </c>
      <c r="I431" s="26" t="s">
        <v>29</v>
      </c>
      <c r="J431" s="26" t="s">
        <v>29</v>
      </c>
    </row>
    <row x14ac:dyDescent="0.25" r="432" customHeight="1" ht="15.75">
      <c r="A432" s="13" t="s">
        <v>69</v>
      </c>
      <c r="B432" s="13" t="s">
        <v>958</v>
      </c>
      <c r="C432" s="26" t="s">
        <v>959</v>
      </c>
      <c r="D432" s="26" t="s">
        <v>80</v>
      </c>
      <c r="E432" s="26" t="s">
        <v>34</v>
      </c>
      <c r="F432" s="26" t="s">
        <v>332</v>
      </c>
      <c r="G432" s="26" t="s">
        <v>332</v>
      </c>
      <c r="H432" s="26" t="s">
        <v>29</v>
      </c>
      <c r="I432" s="26" t="s">
        <v>29</v>
      </c>
      <c r="J432" s="26" t="s">
        <v>29</v>
      </c>
    </row>
    <row x14ac:dyDescent="0.25" r="433" customHeight="1" ht="15.75">
      <c r="A433" s="13" t="s">
        <v>227</v>
      </c>
      <c r="B433" s="13" t="s">
        <v>960</v>
      </c>
      <c r="C433" s="26" t="s">
        <v>961</v>
      </c>
      <c r="D433" s="26" t="s">
        <v>234</v>
      </c>
      <c r="E433" s="26" t="s">
        <v>57</v>
      </c>
      <c r="F433" s="26" t="s">
        <v>573</v>
      </c>
      <c r="G433" s="26" t="s">
        <v>176</v>
      </c>
      <c r="H433" s="26" t="s">
        <v>29</v>
      </c>
      <c r="I433" s="26" t="s">
        <v>573</v>
      </c>
      <c r="J433" s="26" t="s">
        <v>29</v>
      </c>
    </row>
    <row x14ac:dyDescent="0.25" r="434" customHeight="1" ht="15.75">
      <c r="A434" s="13" t="s">
        <v>91</v>
      </c>
      <c r="B434" s="13" t="s">
        <v>962</v>
      </c>
      <c r="C434" s="26" t="s">
        <v>963</v>
      </c>
      <c r="D434" s="26" t="s">
        <v>430</v>
      </c>
      <c r="E434" s="26" t="s">
        <v>50</v>
      </c>
      <c r="F434" s="26" t="s">
        <v>42</v>
      </c>
      <c r="G434" s="26" t="s">
        <v>319</v>
      </c>
      <c r="H434" s="26" t="s">
        <v>145</v>
      </c>
      <c r="I434" s="26" t="s">
        <v>870</v>
      </c>
      <c r="J434" s="26" t="s">
        <v>145</v>
      </c>
    </row>
    <row x14ac:dyDescent="0.25" r="435" customHeight="1" ht="15.75">
      <c r="A435" s="13" t="s">
        <v>91</v>
      </c>
      <c r="B435" s="13" t="s">
        <v>964</v>
      </c>
      <c r="C435" s="26" t="s">
        <v>33</v>
      </c>
      <c r="D435" s="26" t="s">
        <v>965</v>
      </c>
      <c r="E435" s="26" t="s">
        <v>696</v>
      </c>
      <c r="F435" s="26" t="s">
        <v>966</v>
      </c>
      <c r="G435" s="26" t="s">
        <v>237</v>
      </c>
      <c r="H435" s="26" t="s">
        <v>29</v>
      </c>
      <c r="I435" s="26" t="s">
        <v>966</v>
      </c>
      <c r="J435" s="26" t="s">
        <v>29</v>
      </c>
    </row>
    <row x14ac:dyDescent="0.25" r="436" customHeight="1" ht="15.75">
      <c r="A436" s="13" t="s">
        <v>66</v>
      </c>
      <c r="B436" s="13" t="s">
        <v>967</v>
      </c>
      <c r="C436" s="26" t="s">
        <v>968</v>
      </c>
      <c r="D436" s="26" t="s">
        <v>63</v>
      </c>
      <c r="E436" s="26" t="s">
        <v>57</v>
      </c>
      <c r="F436" s="26" t="s">
        <v>90</v>
      </c>
      <c r="G436" s="26" t="s">
        <v>388</v>
      </c>
      <c r="H436" s="26" t="s">
        <v>388</v>
      </c>
      <c r="I436" s="26" t="s">
        <v>388</v>
      </c>
      <c r="J436" s="26" t="s">
        <v>29</v>
      </c>
    </row>
    <row x14ac:dyDescent="0.25" r="437" customHeight="1" ht="15.75">
      <c r="A437" s="13" t="s">
        <v>66</v>
      </c>
      <c r="B437" s="13" t="s">
        <v>969</v>
      </c>
      <c r="C437" s="26" t="s">
        <v>970</v>
      </c>
      <c r="D437" s="26" t="s">
        <v>311</v>
      </c>
      <c r="E437" s="26" t="s">
        <v>234</v>
      </c>
      <c r="F437" s="26" t="s">
        <v>135</v>
      </c>
      <c r="G437" s="26" t="s">
        <v>29</v>
      </c>
      <c r="H437" s="26" t="s">
        <v>29</v>
      </c>
      <c r="I437" s="26" t="s">
        <v>29</v>
      </c>
      <c r="J437" s="26" t="s">
        <v>29</v>
      </c>
    </row>
    <row x14ac:dyDescent="0.25" r="438" customHeight="1" ht="15.75">
      <c r="A438" s="13" t="s">
        <v>103</v>
      </c>
      <c r="B438" s="13" t="s">
        <v>971</v>
      </c>
      <c r="C438" s="26" t="s">
        <v>972</v>
      </c>
      <c r="D438" s="26" t="s">
        <v>923</v>
      </c>
      <c r="E438" s="26" t="s">
        <v>143</v>
      </c>
      <c r="F438" s="26" t="s">
        <v>612</v>
      </c>
      <c r="G438" s="26" t="s">
        <v>172</v>
      </c>
      <c r="H438" s="26" t="s">
        <v>29</v>
      </c>
      <c r="I438" s="26" t="s">
        <v>973</v>
      </c>
      <c r="J438" s="26" t="s">
        <v>172</v>
      </c>
    </row>
    <row x14ac:dyDescent="0.25" r="439" customHeight="1" ht="15.75">
      <c r="A439" s="13" t="s">
        <v>129</v>
      </c>
      <c r="B439" s="13" t="s">
        <v>974</v>
      </c>
      <c r="C439" s="26" t="s">
        <v>975</v>
      </c>
      <c r="D439" s="26" t="s">
        <v>29</v>
      </c>
      <c r="E439" s="26" t="s">
        <v>34</v>
      </c>
      <c r="F439" s="26" t="s">
        <v>288</v>
      </c>
      <c r="G439" s="26" t="s">
        <v>154</v>
      </c>
      <c r="H439" s="26" t="s">
        <v>265</v>
      </c>
      <c r="I439" s="26" t="s">
        <v>154</v>
      </c>
      <c r="J439" s="26" t="s">
        <v>29</v>
      </c>
    </row>
    <row x14ac:dyDescent="0.25" r="440" customHeight="1" ht="15.75">
      <c r="A440" s="13" t="s">
        <v>91</v>
      </c>
      <c r="B440" s="13" t="s">
        <v>976</v>
      </c>
      <c r="C440" s="26" t="s">
        <v>977</v>
      </c>
      <c r="D440" s="26" t="s">
        <v>31</v>
      </c>
      <c r="E440" s="26" t="s">
        <v>31</v>
      </c>
      <c r="F440" s="26" t="s">
        <v>84</v>
      </c>
      <c r="G440" s="26" t="s">
        <v>84</v>
      </c>
      <c r="H440" s="26" t="s">
        <v>29</v>
      </c>
      <c r="I440" s="26" t="s">
        <v>210</v>
      </c>
      <c r="J440" s="26" t="s">
        <v>29</v>
      </c>
    </row>
    <row x14ac:dyDescent="0.25" r="441" customHeight="1" ht="15.75">
      <c r="A441" s="13" t="s">
        <v>126</v>
      </c>
      <c r="B441" s="13" t="s">
        <v>978</v>
      </c>
      <c r="C441" s="26" t="s">
        <v>979</v>
      </c>
      <c r="D441" s="26" t="s">
        <v>980</v>
      </c>
      <c r="E441" s="26" t="s">
        <v>510</v>
      </c>
      <c r="F441" s="26" t="s">
        <v>463</v>
      </c>
      <c r="G441" s="26" t="s">
        <v>203</v>
      </c>
      <c r="H441" s="26" t="s">
        <v>203</v>
      </c>
      <c r="I441" s="26" t="s">
        <v>203</v>
      </c>
      <c r="J441" s="26" t="s">
        <v>29</v>
      </c>
    </row>
    <row x14ac:dyDescent="0.25" r="442" customHeight="1" ht="15.75">
      <c r="A442" s="13" t="s">
        <v>227</v>
      </c>
      <c r="B442" s="13" t="s">
        <v>981</v>
      </c>
      <c r="C442" s="26" t="s">
        <v>797</v>
      </c>
      <c r="D442" s="26" t="s">
        <v>111</v>
      </c>
      <c r="E442" s="26" t="s">
        <v>43</v>
      </c>
      <c r="F442" s="26" t="s">
        <v>29</v>
      </c>
      <c r="G442" s="26" t="s">
        <v>29</v>
      </c>
      <c r="H442" s="26" t="s">
        <v>29</v>
      </c>
      <c r="I442" s="26" t="s">
        <v>29</v>
      </c>
      <c r="J442" s="26" t="s">
        <v>29</v>
      </c>
    </row>
    <row x14ac:dyDescent="0.25" r="443" customHeight="1" ht="15.75">
      <c r="A443" s="13" t="s">
        <v>126</v>
      </c>
      <c r="B443" s="13" t="s">
        <v>982</v>
      </c>
      <c r="C443" s="26" t="s">
        <v>983</v>
      </c>
      <c r="D443" s="26" t="s">
        <v>97</v>
      </c>
      <c r="E443" s="26" t="s">
        <v>37</v>
      </c>
      <c r="F443" s="26" t="s">
        <v>111</v>
      </c>
      <c r="G443" s="26" t="s">
        <v>870</v>
      </c>
      <c r="H443" s="26" t="s">
        <v>710</v>
      </c>
      <c r="I443" s="26" t="s">
        <v>33</v>
      </c>
      <c r="J443" s="26" t="s">
        <v>29</v>
      </c>
    </row>
    <row x14ac:dyDescent="0.25" r="444" customHeight="1" ht="15.75">
      <c r="A444" s="13" t="s">
        <v>27</v>
      </c>
      <c r="B444" s="13" t="s">
        <v>984</v>
      </c>
      <c r="C444" s="26" t="s">
        <v>985</v>
      </c>
      <c r="D444" s="26" t="s">
        <v>84</v>
      </c>
      <c r="E444" s="26" t="s">
        <v>34</v>
      </c>
      <c r="F444" s="26" t="s">
        <v>143</v>
      </c>
      <c r="G444" s="26" t="s">
        <v>93</v>
      </c>
      <c r="H444" s="26" t="s">
        <v>93</v>
      </c>
      <c r="I444" s="26" t="s">
        <v>29</v>
      </c>
      <c r="J444" s="26" t="s">
        <v>29</v>
      </c>
    </row>
    <row x14ac:dyDescent="0.25" r="445" customHeight="1" ht="15.75">
      <c r="A445" s="13" t="s">
        <v>184</v>
      </c>
      <c r="B445" s="13" t="s">
        <v>986</v>
      </c>
      <c r="C445" s="26" t="s">
        <v>987</v>
      </c>
      <c r="D445" s="26" t="s">
        <v>150</v>
      </c>
      <c r="E445" s="26" t="s">
        <v>37</v>
      </c>
      <c r="F445" s="26" t="s">
        <v>988</v>
      </c>
      <c r="G445" s="26" t="s">
        <v>989</v>
      </c>
      <c r="H445" s="26" t="s">
        <v>794</v>
      </c>
      <c r="I445" s="26" t="s">
        <v>832</v>
      </c>
      <c r="J445" s="26" t="s">
        <v>29</v>
      </c>
    </row>
    <row x14ac:dyDescent="0.25" r="446" customHeight="1" ht="15.75">
      <c r="A446" s="13" t="s">
        <v>91</v>
      </c>
      <c r="B446" s="13" t="s">
        <v>990</v>
      </c>
      <c r="C446" s="26" t="s">
        <v>991</v>
      </c>
      <c r="D446" s="26" t="s">
        <v>992</v>
      </c>
      <c r="E446" s="26" t="s">
        <v>303</v>
      </c>
      <c r="F446" s="26" t="s">
        <v>470</v>
      </c>
      <c r="G446" s="26" t="s">
        <v>993</v>
      </c>
      <c r="H446" s="26" t="s">
        <v>145</v>
      </c>
      <c r="I446" s="26" t="s">
        <v>319</v>
      </c>
      <c r="J446" s="26" t="s">
        <v>29</v>
      </c>
    </row>
    <row x14ac:dyDescent="0.25" r="447" customHeight="1" ht="15.75">
      <c r="A447" s="13" t="s">
        <v>129</v>
      </c>
      <c r="B447" s="13" t="s">
        <v>994</v>
      </c>
      <c r="C447" s="26" t="s">
        <v>995</v>
      </c>
      <c r="D447" s="26" t="s">
        <v>996</v>
      </c>
      <c r="E447" s="26" t="s">
        <v>88</v>
      </c>
      <c r="F447" s="26" t="s">
        <v>37</v>
      </c>
      <c r="G447" s="26" t="s">
        <v>29</v>
      </c>
      <c r="H447" s="26" t="s">
        <v>29</v>
      </c>
      <c r="I447" s="26" t="s">
        <v>615</v>
      </c>
      <c r="J447" s="26" t="s">
        <v>29</v>
      </c>
    </row>
    <row x14ac:dyDescent="0.25" r="448" customHeight="1" ht="15.75">
      <c r="A448" s="13" t="s">
        <v>109</v>
      </c>
      <c r="B448" s="13" t="s">
        <v>997</v>
      </c>
      <c r="C448" s="26" t="s">
        <v>998</v>
      </c>
      <c r="D448" s="26" t="s">
        <v>999</v>
      </c>
      <c r="E448" s="26" t="s">
        <v>37</v>
      </c>
      <c r="F448" s="26" t="s">
        <v>191</v>
      </c>
      <c r="G448" s="26" t="s">
        <v>29</v>
      </c>
      <c r="H448" s="26" t="s">
        <v>29</v>
      </c>
      <c r="I448" s="26" t="s">
        <v>63</v>
      </c>
      <c r="J448" s="26" t="s">
        <v>29</v>
      </c>
    </row>
    <row x14ac:dyDescent="0.25" r="449" customHeight="1" ht="15.75">
      <c r="A449" s="13" t="s">
        <v>66</v>
      </c>
      <c r="B449" s="13" t="s">
        <v>1000</v>
      </c>
      <c r="C449" s="26" t="s">
        <v>1001</v>
      </c>
      <c r="D449" s="26" t="s">
        <v>29</v>
      </c>
      <c r="E449" s="26" t="s">
        <v>36</v>
      </c>
      <c r="F449" s="26" t="s">
        <v>204</v>
      </c>
      <c r="G449" s="26" t="s">
        <v>341</v>
      </c>
      <c r="H449" s="26" t="s">
        <v>29</v>
      </c>
      <c r="I449" s="26" t="s">
        <v>204</v>
      </c>
      <c r="J449" s="26" t="s">
        <v>29</v>
      </c>
    </row>
    <row x14ac:dyDescent="0.25" r="450" customHeight="1" ht="15.75">
      <c r="A450" s="13" t="s">
        <v>129</v>
      </c>
      <c r="B450" s="13" t="s">
        <v>1002</v>
      </c>
      <c r="C450" s="26" t="s">
        <v>1003</v>
      </c>
      <c r="D450" s="26" t="s">
        <v>201</v>
      </c>
      <c r="E450" s="26" t="s">
        <v>510</v>
      </c>
      <c r="F450" s="26" t="s">
        <v>1004</v>
      </c>
      <c r="G450" s="26" t="s">
        <v>52</v>
      </c>
      <c r="H450" s="26" t="s">
        <v>452</v>
      </c>
      <c r="I450" s="26" t="s">
        <v>1004</v>
      </c>
      <c r="J450" s="26" t="s">
        <v>29</v>
      </c>
    </row>
    <row x14ac:dyDescent="0.25" r="451" customHeight="1" ht="15.75">
      <c r="A451" s="13" t="s">
        <v>184</v>
      </c>
      <c r="B451" s="13" t="s">
        <v>1005</v>
      </c>
      <c r="C451" s="26" t="s">
        <v>1006</v>
      </c>
      <c r="D451" s="26" t="s">
        <v>1007</v>
      </c>
      <c r="E451" s="26" t="s">
        <v>78</v>
      </c>
      <c r="F451" s="26" t="s">
        <v>753</v>
      </c>
      <c r="G451" s="26" t="s">
        <v>754</v>
      </c>
      <c r="H451" s="26" t="s">
        <v>754</v>
      </c>
      <c r="I451" s="26" t="s">
        <v>1008</v>
      </c>
      <c r="J451" s="26" t="s">
        <v>200</v>
      </c>
    </row>
    <row x14ac:dyDescent="0.25" r="452" customHeight="1" ht="15.75">
      <c r="A452" s="13" t="s">
        <v>27</v>
      </c>
      <c r="B452" s="13" t="s">
        <v>1009</v>
      </c>
      <c r="C452" s="26" t="s">
        <v>93</v>
      </c>
      <c r="D452" s="26" t="s">
        <v>308</v>
      </c>
      <c r="E452" s="26" t="s">
        <v>37</v>
      </c>
      <c r="F452" s="26" t="s">
        <v>87</v>
      </c>
      <c r="G452" s="26" t="s">
        <v>84</v>
      </c>
      <c r="H452" s="26" t="s">
        <v>176</v>
      </c>
      <c r="I452" s="26" t="s">
        <v>176</v>
      </c>
      <c r="J452" s="26" t="s">
        <v>29</v>
      </c>
    </row>
    <row x14ac:dyDescent="0.25" r="453" customHeight="1" ht="15.75">
      <c r="A453" s="13" t="s">
        <v>184</v>
      </c>
      <c r="B453" s="13" t="s">
        <v>1010</v>
      </c>
      <c r="C453" s="26" t="s">
        <v>93</v>
      </c>
      <c r="D453" s="26" t="s">
        <v>627</v>
      </c>
      <c r="E453" s="26" t="s">
        <v>34</v>
      </c>
      <c r="F453" s="26" t="s">
        <v>36</v>
      </c>
      <c r="G453" s="26" t="s">
        <v>29</v>
      </c>
      <c r="H453" s="26" t="s">
        <v>29</v>
      </c>
      <c r="I453" s="26" t="s">
        <v>191</v>
      </c>
      <c r="J453" s="26" t="s">
        <v>29</v>
      </c>
    </row>
    <row x14ac:dyDescent="0.25" r="454" customHeight="1" ht="15.75">
      <c r="A454" s="13" t="s">
        <v>91</v>
      </c>
      <c r="B454" s="13" t="s">
        <v>1011</v>
      </c>
      <c r="C454" s="26" t="s">
        <v>1012</v>
      </c>
      <c r="D454" s="26" t="s">
        <v>1013</v>
      </c>
      <c r="E454" s="26" t="s">
        <v>234</v>
      </c>
      <c r="F454" s="26" t="s">
        <v>665</v>
      </c>
      <c r="G454" s="26" t="s">
        <v>226</v>
      </c>
      <c r="H454" s="26" t="s">
        <v>29</v>
      </c>
      <c r="I454" s="26" t="s">
        <v>1014</v>
      </c>
      <c r="J454" s="26" t="s">
        <v>29</v>
      </c>
    </row>
    <row x14ac:dyDescent="0.25" r="455" customHeight="1" ht="15.75">
      <c r="A455" s="13" t="s">
        <v>227</v>
      </c>
      <c r="B455" s="13" t="s">
        <v>1015</v>
      </c>
      <c r="C455" s="26" t="s">
        <v>1016</v>
      </c>
      <c r="D455" s="26" t="s">
        <v>1017</v>
      </c>
      <c r="E455" s="26" t="s">
        <v>234</v>
      </c>
      <c r="F455" s="26" t="s">
        <v>578</v>
      </c>
      <c r="G455" s="26" t="s">
        <v>176</v>
      </c>
      <c r="H455" s="26" t="s">
        <v>233</v>
      </c>
      <c r="I455" s="26" t="s">
        <v>84</v>
      </c>
      <c r="J455" s="26" t="s">
        <v>29</v>
      </c>
    </row>
    <row x14ac:dyDescent="0.25" r="456" customHeight="1" ht="15.75">
      <c r="A456" s="13" t="s">
        <v>27</v>
      </c>
      <c r="B456" s="13" t="s">
        <v>1018</v>
      </c>
      <c r="C456" s="26" t="s">
        <v>1019</v>
      </c>
      <c r="D456" s="26" t="s">
        <v>1020</v>
      </c>
      <c r="E456" s="26" t="s">
        <v>43</v>
      </c>
      <c r="F456" s="26" t="s">
        <v>1021</v>
      </c>
      <c r="G456" s="26" t="s">
        <v>1022</v>
      </c>
      <c r="H456" s="26" t="s">
        <v>29</v>
      </c>
      <c r="I456" s="26" t="s">
        <v>545</v>
      </c>
      <c r="J456" s="26" t="s">
        <v>29</v>
      </c>
    </row>
    <row x14ac:dyDescent="0.25" r="457" customHeight="1" ht="15.75">
      <c r="A457" s="13" t="s">
        <v>184</v>
      </c>
      <c r="B457" s="13" t="s">
        <v>1023</v>
      </c>
      <c r="C457" s="26" t="s">
        <v>1024</v>
      </c>
      <c r="D457" s="26" t="s">
        <v>93</v>
      </c>
      <c r="E457" s="26" t="s">
        <v>78</v>
      </c>
      <c r="F457" s="26" t="s">
        <v>201</v>
      </c>
      <c r="G457" s="26" t="s">
        <v>52</v>
      </c>
      <c r="H457" s="26" t="s">
        <v>29</v>
      </c>
      <c r="I457" s="26" t="s">
        <v>150</v>
      </c>
      <c r="J457" s="26" t="s">
        <v>29</v>
      </c>
    </row>
    <row x14ac:dyDescent="0.25" r="458" customHeight="1" ht="15.75">
      <c r="A458" s="13" t="s">
        <v>69</v>
      </c>
      <c r="B458" s="13" t="s">
        <v>1025</v>
      </c>
      <c r="C458" s="26" t="s">
        <v>1024</v>
      </c>
      <c r="D458" s="26" t="s">
        <v>43</v>
      </c>
      <c r="E458" s="26" t="s">
        <v>78</v>
      </c>
      <c r="F458" s="26" t="s">
        <v>36</v>
      </c>
      <c r="G458" s="26" t="s">
        <v>1026</v>
      </c>
      <c r="H458" s="26" t="s">
        <v>150</v>
      </c>
      <c r="I458" s="26" t="s">
        <v>191</v>
      </c>
      <c r="J458" s="26" t="s">
        <v>29</v>
      </c>
    </row>
    <row x14ac:dyDescent="0.25" r="459" customHeight="1" ht="15.75">
      <c r="A459" s="13" t="s">
        <v>69</v>
      </c>
      <c r="B459" s="13" t="s">
        <v>1027</v>
      </c>
      <c r="C459" s="26" t="s">
        <v>1028</v>
      </c>
      <c r="D459" s="26" t="s">
        <v>125</v>
      </c>
      <c r="E459" s="26" t="s">
        <v>37</v>
      </c>
      <c r="F459" s="26" t="s">
        <v>42</v>
      </c>
      <c r="G459" s="26" t="s">
        <v>1029</v>
      </c>
      <c r="H459" s="26" t="s">
        <v>1030</v>
      </c>
      <c r="I459" s="26" t="s">
        <v>1031</v>
      </c>
      <c r="J459" s="26" t="s">
        <v>29</v>
      </c>
    </row>
    <row x14ac:dyDescent="0.25" r="460" customHeight="1" ht="15.75">
      <c r="A460" s="13" t="s">
        <v>103</v>
      </c>
      <c r="B460" s="13" t="s">
        <v>1032</v>
      </c>
      <c r="C460" s="26" t="s">
        <v>1033</v>
      </c>
      <c r="D460" s="26" t="s">
        <v>150</v>
      </c>
      <c r="E460" s="26" t="s">
        <v>31</v>
      </c>
      <c r="F460" s="26" t="s">
        <v>1034</v>
      </c>
      <c r="G460" s="26" t="s">
        <v>1035</v>
      </c>
      <c r="H460" s="26" t="s">
        <v>1036</v>
      </c>
      <c r="I460" s="26" t="s">
        <v>1037</v>
      </c>
      <c r="J460" s="26" t="s">
        <v>29</v>
      </c>
    </row>
    <row x14ac:dyDescent="0.25" r="461" customHeight="1" ht="15.75">
      <c r="A461" s="13" t="s">
        <v>184</v>
      </c>
      <c r="B461" s="13" t="s">
        <v>1038</v>
      </c>
      <c r="C461" s="26" t="s">
        <v>1039</v>
      </c>
      <c r="D461" s="26" t="s">
        <v>539</v>
      </c>
      <c r="E461" s="26" t="s">
        <v>122</v>
      </c>
      <c r="F461" s="26" t="s">
        <v>293</v>
      </c>
      <c r="G461" s="26" t="s">
        <v>1040</v>
      </c>
      <c r="H461" s="26" t="s">
        <v>1041</v>
      </c>
      <c r="I461" s="26" t="s">
        <v>533</v>
      </c>
      <c r="J461" s="26" t="s">
        <v>29</v>
      </c>
    </row>
    <row x14ac:dyDescent="0.25" r="462" customHeight="1" ht="15.75">
      <c r="A462" s="13" t="s">
        <v>184</v>
      </c>
      <c r="B462" s="13" t="s">
        <v>1042</v>
      </c>
      <c r="C462" s="26" t="s">
        <v>1043</v>
      </c>
      <c r="D462" s="26" t="s">
        <v>84</v>
      </c>
      <c r="E462" s="26" t="s">
        <v>115</v>
      </c>
      <c r="F462" s="26" t="s">
        <v>29</v>
      </c>
      <c r="G462" s="26" t="s">
        <v>29</v>
      </c>
      <c r="H462" s="26" t="s">
        <v>29</v>
      </c>
      <c r="I462" s="26" t="s">
        <v>78</v>
      </c>
      <c r="J462" s="26" t="s">
        <v>29</v>
      </c>
    </row>
    <row x14ac:dyDescent="0.25" r="463" customHeight="1" ht="15.75">
      <c r="A463" s="13" t="s">
        <v>129</v>
      </c>
      <c r="B463" s="13" t="s">
        <v>1044</v>
      </c>
      <c r="C463" s="26" t="s">
        <v>1043</v>
      </c>
      <c r="D463" s="26" t="s">
        <v>538</v>
      </c>
      <c r="E463" s="26" t="s">
        <v>34</v>
      </c>
      <c r="F463" s="26" t="s">
        <v>278</v>
      </c>
      <c r="G463" s="26" t="s">
        <v>265</v>
      </c>
      <c r="H463" s="26" t="s">
        <v>265</v>
      </c>
      <c r="I463" s="26" t="s">
        <v>265</v>
      </c>
      <c r="J463" s="26" t="s">
        <v>29</v>
      </c>
    </row>
    <row x14ac:dyDescent="0.25" r="464" customHeight="1" ht="15.75">
      <c r="A464" s="13" t="s">
        <v>512</v>
      </c>
      <c r="B464" s="13" t="s">
        <v>1045</v>
      </c>
      <c r="C464" s="26" t="s">
        <v>1046</v>
      </c>
      <c r="D464" s="26" t="s">
        <v>1047</v>
      </c>
      <c r="E464" s="26" t="s">
        <v>37</v>
      </c>
      <c r="F464" s="26" t="s">
        <v>84</v>
      </c>
      <c r="G464" s="26" t="s">
        <v>176</v>
      </c>
      <c r="H464" s="26" t="s">
        <v>176</v>
      </c>
      <c r="I464" s="26" t="s">
        <v>176</v>
      </c>
      <c r="J464" s="26" t="s">
        <v>176</v>
      </c>
    </row>
    <row x14ac:dyDescent="0.25" r="465" customHeight="1" ht="15.75">
      <c r="A465" s="13" t="s">
        <v>69</v>
      </c>
      <c r="B465" s="13" t="s">
        <v>1048</v>
      </c>
      <c r="C465" s="26" t="s">
        <v>734</v>
      </c>
      <c r="D465" s="26" t="s">
        <v>50</v>
      </c>
      <c r="E465" s="26" t="s">
        <v>31</v>
      </c>
      <c r="F465" s="26" t="s">
        <v>50</v>
      </c>
      <c r="G465" s="26" t="s">
        <v>204</v>
      </c>
      <c r="H465" s="26" t="s">
        <v>341</v>
      </c>
      <c r="I465" s="26" t="s">
        <v>341</v>
      </c>
      <c r="J465" s="26" t="s">
        <v>29</v>
      </c>
    </row>
    <row x14ac:dyDescent="0.25" r="466" customHeight="1" ht="15.75">
      <c r="A466" s="13" t="s">
        <v>227</v>
      </c>
      <c r="B466" s="13" t="s">
        <v>1049</v>
      </c>
      <c r="C466" s="26" t="s">
        <v>1050</v>
      </c>
      <c r="D466" s="26" t="s">
        <v>29</v>
      </c>
      <c r="E466" s="26" t="s">
        <v>57</v>
      </c>
      <c r="F466" s="26" t="s">
        <v>84</v>
      </c>
      <c r="G466" s="26" t="s">
        <v>29</v>
      </c>
      <c r="H466" s="26" t="s">
        <v>29</v>
      </c>
      <c r="I466" s="26" t="s">
        <v>84</v>
      </c>
      <c r="J466" s="26" t="s">
        <v>29</v>
      </c>
    </row>
    <row x14ac:dyDescent="0.25" r="467" customHeight="1" ht="15.75">
      <c r="A467" s="13" t="s">
        <v>103</v>
      </c>
      <c r="B467" s="13" t="s">
        <v>1051</v>
      </c>
      <c r="C467" s="26" t="s">
        <v>1052</v>
      </c>
      <c r="D467" s="26" t="s">
        <v>1053</v>
      </c>
      <c r="E467" s="26" t="s">
        <v>88</v>
      </c>
      <c r="F467" s="26" t="s">
        <v>734</v>
      </c>
      <c r="G467" s="26" t="s">
        <v>1054</v>
      </c>
      <c r="H467" s="26" t="s">
        <v>29</v>
      </c>
      <c r="I467" s="26" t="s">
        <v>311</v>
      </c>
      <c r="J467" s="26" t="s">
        <v>29</v>
      </c>
    </row>
    <row x14ac:dyDescent="0.25" r="468" customHeight="1" ht="15.75">
      <c r="A468" s="13" t="s">
        <v>69</v>
      </c>
      <c r="B468" s="13" t="s">
        <v>1055</v>
      </c>
      <c r="C468" s="26" t="s">
        <v>380</v>
      </c>
      <c r="D468" s="26" t="s">
        <v>1056</v>
      </c>
      <c r="E468" s="26" t="s">
        <v>63</v>
      </c>
      <c r="F468" s="26" t="s">
        <v>1057</v>
      </c>
      <c r="G468" s="26" t="s">
        <v>218</v>
      </c>
      <c r="H468" s="26" t="s">
        <v>1058</v>
      </c>
      <c r="I468" s="26" t="s">
        <v>1057</v>
      </c>
      <c r="J468" s="26" t="s">
        <v>29</v>
      </c>
    </row>
    <row x14ac:dyDescent="0.25" r="469" customHeight="1" ht="15.75">
      <c r="A469" s="13" t="s">
        <v>126</v>
      </c>
      <c r="B469" s="13" t="s">
        <v>1059</v>
      </c>
      <c r="C469" s="26" t="s">
        <v>380</v>
      </c>
      <c r="D469" s="26" t="s">
        <v>90</v>
      </c>
      <c r="E469" s="26" t="s">
        <v>115</v>
      </c>
      <c r="F469" s="26" t="s">
        <v>908</v>
      </c>
      <c r="G469" s="26" t="s">
        <v>1060</v>
      </c>
      <c r="H469" s="26" t="s">
        <v>29</v>
      </c>
      <c r="I469" s="26" t="s">
        <v>548</v>
      </c>
      <c r="J469" s="26" t="s">
        <v>29</v>
      </c>
    </row>
    <row x14ac:dyDescent="0.25" r="470" customHeight="1" ht="15.75">
      <c r="A470" s="13" t="s">
        <v>129</v>
      </c>
      <c r="B470" s="13" t="s">
        <v>1061</v>
      </c>
      <c r="C470" s="26" t="s">
        <v>1062</v>
      </c>
      <c r="D470" s="26" t="s">
        <v>95</v>
      </c>
      <c r="E470" s="26" t="s">
        <v>122</v>
      </c>
      <c r="F470" s="26" t="s">
        <v>31</v>
      </c>
      <c r="G470" s="26" t="s">
        <v>433</v>
      </c>
      <c r="H470" s="26" t="s">
        <v>29</v>
      </c>
      <c r="I470" s="26" t="s">
        <v>641</v>
      </c>
      <c r="J470" s="26" t="s">
        <v>29</v>
      </c>
    </row>
    <row x14ac:dyDescent="0.25" r="471" customHeight="1" ht="15.75">
      <c r="A471" s="13" t="s">
        <v>27</v>
      </c>
      <c r="B471" s="13" t="s">
        <v>1063</v>
      </c>
      <c r="C471" s="26" t="s">
        <v>1064</v>
      </c>
      <c r="D471" s="26" t="s">
        <v>331</v>
      </c>
      <c r="E471" s="26" t="s">
        <v>88</v>
      </c>
      <c r="F471" s="26" t="s">
        <v>1065</v>
      </c>
      <c r="G471" s="26" t="s">
        <v>352</v>
      </c>
      <c r="H471" s="26" t="s">
        <v>29</v>
      </c>
      <c r="I471" s="26" t="s">
        <v>1065</v>
      </c>
      <c r="J471" s="26" t="s">
        <v>352</v>
      </c>
    </row>
    <row x14ac:dyDescent="0.25" r="472" customHeight="1" ht="15.75">
      <c r="A472" s="13" t="s">
        <v>91</v>
      </c>
      <c r="B472" s="13" t="s">
        <v>1066</v>
      </c>
      <c r="C472" s="26" t="s">
        <v>1067</v>
      </c>
      <c r="D472" s="26" t="s">
        <v>696</v>
      </c>
      <c r="E472" s="26" t="s">
        <v>78</v>
      </c>
      <c r="F472" s="26" t="s">
        <v>57</v>
      </c>
      <c r="G472" s="26" t="s">
        <v>31</v>
      </c>
      <c r="H472" s="26" t="s">
        <v>50</v>
      </c>
      <c r="I472" s="26" t="s">
        <v>50</v>
      </c>
      <c r="J472" s="26" t="s">
        <v>29</v>
      </c>
    </row>
    <row x14ac:dyDescent="0.25" r="473" customHeight="1" ht="15.75">
      <c r="A473" s="13" t="s">
        <v>184</v>
      </c>
      <c r="B473" s="13" t="s">
        <v>1068</v>
      </c>
      <c r="C473" s="26" t="s">
        <v>1069</v>
      </c>
      <c r="D473" s="26" t="s">
        <v>204</v>
      </c>
      <c r="E473" s="26" t="s">
        <v>37</v>
      </c>
      <c r="F473" s="26" t="s">
        <v>1070</v>
      </c>
      <c r="G473" s="26" t="s">
        <v>1030</v>
      </c>
      <c r="H473" s="26" t="s">
        <v>29</v>
      </c>
      <c r="I473" s="26" t="s">
        <v>1070</v>
      </c>
      <c r="J473" s="26" t="s">
        <v>29</v>
      </c>
    </row>
    <row x14ac:dyDescent="0.25" r="474" customHeight="1" ht="15.75">
      <c r="A474" s="13" t="s">
        <v>184</v>
      </c>
      <c r="B474" s="13" t="s">
        <v>1071</v>
      </c>
      <c r="C474" s="26" t="s">
        <v>1072</v>
      </c>
      <c r="D474" s="26" t="s">
        <v>33</v>
      </c>
      <c r="E474" s="26" t="s">
        <v>37</v>
      </c>
      <c r="F474" s="26" t="s">
        <v>797</v>
      </c>
      <c r="G474" s="26" t="s">
        <v>794</v>
      </c>
      <c r="H474" s="26" t="s">
        <v>29</v>
      </c>
      <c r="I474" s="26" t="s">
        <v>989</v>
      </c>
      <c r="J474" s="26" t="s">
        <v>29</v>
      </c>
    </row>
    <row x14ac:dyDescent="0.25" r="475" customHeight="1" ht="15.75">
      <c r="A475" s="13" t="s">
        <v>184</v>
      </c>
      <c r="B475" s="13" t="s">
        <v>1073</v>
      </c>
      <c r="C475" s="26" t="s">
        <v>1074</v>
      </c>
      <c r="D475" s="26" t="s">
        <v>201</v>
      </c>
      <c r="E475" s="26" t="s">
        <v>37</v>
      </c>
      <c r="F475" s="26" t="s">
        <v>201</v>
      </c>
      <c r="G475" s="26" t="s">
        <v>150</v>
      </c>
      <c r="H475" s="26" t="s">
        <v>29</v>
      </c>
      <c r="I475" s="26" t="s">
        <v>150</v>
      </c>
      <c r="J475" s="26" t="s">
        <v>29</v>
      </c>
    </row>
    <row x14ac:dyDescent="0.25" r="476" customHeight="1" ht="15.75">
      <c r="A476" s="13" t="s">
        <v>184</v>
      </c>
      <c r="B476" s="13" t="s">
        <v>1075</v>
      </c>
      <c r="C476" s="26" t="s">
        <v>1076</v>
      </c>
      <c r="D476" s="26" t="s">
        <v>30</v>
      </c>
      <c r="E476" s="26" t="s">
        <v>57</v>
      </c>
      <c r="F476" s="26" t="s">
        <v>216</v>
      </c>
      <c r="G476" s="26" t="s">
        <v>233</v>
      </c>
      <c r="H476" s="26" t="s">
        <v>29</v>
      </c>
      <c r="I476" s="26" t="s">
        <v>496</v>
      </c>
      <c r="J476" s="26" t="s">
        <v>29</v>
      </c>
    </row>
    <row x14ac:dyDescent="0.25" r="477" customHeight="1" ht="15.75">
      <c r="A477" s="13" t="s">
        <v>227</v>
      </c>
      <c r="B477" s="13" t="s">
        <v>1077</v>
      </c>
      <c r="C477" s="26" t="s">
        <v>1076</v>
      </c>
      <c r="D477" s="26" t="s">
        <v>656</v>
      </c>
      <c r="E477" s="26" t="s">
        <v>510</v>
      </c>
      <c r="F477" s="26" t="s">
        <v>520</v>
      </c>
      <c r="G477" s="26" t="s">
        <v>247</v>
      </c>
      <c r="H477" s="26" t="s">
        <v>29</v>
      </c>
      <c r="I477" s="26" t="s">
        <v>247</v>
      </c>
      <c r="J477" s="26" t="s">
        <v>29</v>
      </c>
    </row>
    <row x14ac:dyDescent="0.25" r="478" customHeight="1" ht="15.75">
      <c r="A478" s="13" t="s">
        <v>69</v>
      </c>
      <c r="B478" s="13" t="s">
        <v>1078</v>
      </c>
      <c r="C478" s="26" t="s">
        <v>1079</v>
      </c>
      <c r="D478" s="26" t="s">
        <v>608</v>
      </c>
      <c r="E478" s="26" t="s">
        <v>143</v>
      </c>
      <c r="F478" s="26" t="s">
        <v>564</v>
      </c>
      <c r="G478" s="26" t="s">
        <v>349</v>
      </c>
      <c r="H478" s="26" t="s">
        <v>349</v>
      </c>
      <c r="I478" s="26" t="s">
        <v>1080</v>
      </c>
      <c r="J478" s="26" t="s">
        <v>1081</v>
      </c>
    </row>
    <row x14ac:dyDescent="0.25" r="479" customHeight="1" ht="15.75">
      <c r="A479" s="13" t="s">
        <v>126</v>
      </c>
      <c r="B479" s="13" t="s">
        <v>1082</v>
      </c>
      <c r="C479" s="26" t="s">
        <v>1083</v>
      </c>
      <c r="D479" s="26" t="s">
        <v>31</v>
      </c>
      <c r="E479" s="26" t="s">
        <v>122</v>
      </c>
      <c r="F479" s="26" t="s">
        <v>29</v>
      </c>
      <c r="G479" s="26" t="s">
        <v>29</v>
      </c>
      <c r="H479" s="26" t="s">
        <v>29</v>
      </c>
      <c r="I479" s="26" t="s">
        <v>29</v>
      </c>
      <c r="J479" s="26" t="s">
        <v>29</v>
      </c>
    </row>
    <row x14ac:dyDescent="0.25" r="480" customHeight="1" ht="15.75">
      <c r="A480" s="13" t="s">
        <v>69</v>
      </c>
      <c r="B480" s="13" t="s">
        <v>1084</v>
      </c>
      <c r="C480" s="26" t="s">
        <v>1085</v>
      </c>
      <c r="D480" s="26" t="s">
        <v>125</v>
      </c>
      <c r="E480" s="26" t="s">
        <v>31</v>
      </c>
      <c r="F480" s="26" t="s">
        <v>150</v>
      </c>
      <c r="G480" s="26" t="s">
        <v>29</v>
      </c>
      <c r="H480" s="26" t="s">
        <v>29</v>
      </c>
      <c r="I480" s="26" t="s">
        <v>52</v>
      </c>
      <c r="J480" s="26" t="s">
        <v>150</v>
      </c>
    </row>
    <row x14ac:dyDescent="0.25" r="481" customHeight="1" ht="15.75">
      <c r="A481" s="13" t="s">
        <v>184</v>
      </c>
      <c r="B481" s="13" t="s">
        <v>1086</v>
      </c>
      <c r="C481" s="26" t="s">
        <v>1087</v>
      </c>
      <c r="D481" s="26" t="s">
        <v>93</v>
      </c>
      <c r="E481" s="26" t="s">
        <v>34</v>
      </c>
      <c r="F481" s="26" t="s">
        <v>794</v>
      </c>
      <c r="G481" s="26" t="s">
        <v>261</v>
      </c>
      <c r="H481" s="26" t="s">
        <v>261</v>
      </c>
      <c r="I481" s="26" t="s">
        <v>989</v>
      </c>
      <c r="J481" s="26" t="s">
        <v>29</v>
      </c>
    </row>
    <row x14ac:dyDescent="0.25" r="482" customHeight="1" ht="15.75">
      <c r="A482" s="13" t="s">
        <v>69</v>
      </c>
      <c r="B482" s="13" t="s">
        <v>1088</v>
      </c>
      <c r="C482" s="26" t="s">
        <v>1089</v>
      </c>
      <c r="D482" s="26" t="s">
        <v>43</v>
      </c>
      <c r="E482" s="26" t="s">
        <v>81</v>
      </c>
      <c r="F482" s="26" t="s">
        <v>605</v>
      </c>
      <c r="G482" s="26" t="s">
        <v>467</v>
      </c>
      <c r="H482" s="26" t="s">
        <v>650</v>
      </c>
      <c r="I482" s="26" t="s">
        <v>467</v>
      </c>
      <c r="J482" s="26" t="s">
        <v>29</v>
      </c>
    </row>
    <row x14ac:dyDescent="0.25" r="483" customHeight="1" ht="15.75">
      <c r="A483" s="13" t="s">
        <v>116</v>
      </c>
      <c r="B483" s="13" t="s">
        <v>1090</v>
      </c>
      <c r="C483" s="26" t="s">
        <v>1091</v>
      </c>
      <c r="D483" s="26" t="s">
        <v>656</v>
      </c>
      <c r="E483" s="26" t="s">
        <v>74</v>
      </c>
      <c r="F483" s="26" t="s">
        <v>490</v>
      </c>
      <c r="G483" s="26" t="s">
        <v>29</v>
      </c>
      <c r="H483" s="26" t="s">
        <v>29</v>
      </c>
      <c r="I483" s="26" t="s">
        <v>42</v>
      </c>
      <c r="J483" s="26" t="s">
        <v>29</v>
      </c>
    </row>
    <row x14ac:dyDescent="0.25" r="484" customHeight="1" ht="15.75">
      <c r="A484" s="13" t="s">
        <v>126</v>
      </c>
      <c r="B484" s="13" t="s">
        <v>1092</v>
      </c>
      <c r="C484" s="26" t="s">
        <v>1093</v>
      </c>
      <c r="D484" s="26" t="s">
        <v>288</v>
      </c>
      <c r="E484" s="26" t="s">
        <v>37</v>
      </c>
      <c r="F484" s="26" t="s">
        <v>135</v>
      </c>
      <c r="G484" s="26" t="s">
        <v>29</v>
      </c>
      <c r="H484" s="26" t="s">
        <v>29</v>
      </c>
      <c r="I484" s="26" t="s">
        <v>179</v>
      </c>
      <c r="J484" s="26" t="s">
        <v>29</v>
      </c>
    </row>
    <row x14ac:dyDescent="0.25" r="485" customHeight="1" ht="15.75">
      <c r="A485" s="13" t="s">
        <v>69</v>
      </c>
      <c r="B485" s="13" t="s">
        <v>1094</v>
      </c>
      <c r="C485" s="26" t="s">
        <v>80</v>
      </c>
      <c r="D485" s="26" t="s">
        <v>1095</v>
      </c>
      <c r="E485" s="26" t="s">
        <v>143</v>
      </c>
      <c r="F485" s="26" t="s">
        <v>216</v>
      </c>
      <c r="G485" s="26" t="s">
        <v>1096</v>
      </c>
      <c r="H485" s="26" t="s">
        <v>29</v>
      </c>
      <c r="I485" s="26" t="s">
        <v>216</v>
      </c>
      <c r="J485" s="26" t="s">
        <v>29</v>
      </c>
    </row>
    <row x14ac:dyDescent="0.25" r="486" customHeight="1" ht="15.75">
      <c r="A486" s="13" t="s">
        <v>227</v>
      </c>
      <c r="B486" s="13" t="s">
        <v>1097</v>
      </c>
      <c r="C486" s="26" t="s">
        <v>1098</v>
      </c>
      <c r="D486" s="26" t="s">
        <v>1099</v>
      </c>
      <c r="E486" s="26" t="s">
        <v>34</v>
      </c>
      <c r="F486" s="26" t="s">
        <v>433</v>
      </c>
      <c r="G486" s="26" t="s">
        <v>433</v>
      </c>
      <c r="H486" s="26" t="s">
        <v>29</v>
      </c>
      <c r="I486" s="26" t="s">
        <v>31</v>
      </c>
      <c r="J486" s="26" t="s">
        <v>29</v>
      </c>
    </row>
    <row x14ac:dyDescent="0.25" r="487" customHeight="1" ht="15.75">
      <c r="A487" s="13" t="s">
        <v>129</v>
      </c>
      <c r="B487" s="13" t="s">
        <v>1100</v>
      </c>
      <c r="C487" s="26" t="s">
        <v>1101</v>
      </c>
      <c r="D487" s="26" t="s">
        <v>36</v>
      </c>
      <c r="E487" s="26" t="s">
        <v>34</v>
      </c>
      <c r="F487" s="26" t="s">
        <v>179</v>
      </c>
      <c r="G487" s="26" t="s">
        <v>179</v>
      </c>
      <c r="H487" s="26" t="s">
        <v>29</v>
      </c>
      <c r="I487" s="26" t="s">
        <v>179</v>
      </c>
      <c r="J487" s="26" t="s">
        <v>29</v>
      </c>
    </row>
    <row x14ac:dyDescent="0.25" r="488" customHeight="1" ht="15.75">
      <c r="A488" s="13" t="s">
        <v>129</v>
      </c>
      <c r="B488" s="13" t="s">
        <v>1102</v>
      </c>
      <c r="C488" s="26" t="s">
        <v>1103</v>
      </c>
      <c r="D488" s="26" t="s">
        <v>800</v>
      </c>
      <c r="E488" s="26" t="s">
        <v>37</v>
      </c>
      <c r="F488" s="26" t="s">
        <v>1104</v>
      </c>
      <c r="G488" s="26" t="s">
        <v>1105</v>
      </c>
      <c r="H488" s="26" t="s">
        <v>1106</v>
      </c>
      <c r="I488" s="26" t="s">
        <v>1107</v>
      </c>
      <c r="J488" s="26" t="s">
        <v>29</v>
      </c>
    </row>
    <row x14ac:dyDescent="0.25" r="489" customHeight="1" ht="15.75">
      <c r="A489" s="13" t="s">
        <v>103</v>
      </c>
      <c r="B489" s="13" t="s">
        <v>1108</v>
      </c>
      <c r="C489" s="26" t="s">
        <v>1109</v>
      </c>
      <c r="D489" s="26" t="s">
        <v>226</v>
      </c>
      <c r="E489" s="26" t="s">
        <v>37</v>
      </c>
      <c r="F489" s="26" t="s">
        <v>1110</v>
      </c>
      <c r="G489" s="26" t="s">
        <v>1111</v>
      </c>
      <c r="H489" s="26" t="s">
        <v>29</v>
      </c>
      <c r="I489" s="26" t="s">
        <v>1112</v>
      </c>
      <c r="J489" s="26" t="s">
        <v>29</v>
      </c>
    </row>
    <row x14ac:dyDescent="0.25" r="490" customHeight="1" ht="15.75">
      <c r="A490" s="13" t="s">
        <v>91</v>
      </c>
      <c r="B490" s="13" t="s">
        <v>1113</v>
      </c>
      <c r="C490" s="26" t="s">
        <v>1114</v>
      </c>
      <c r="D490" s="26" t="s">
        <v>404</v>
      </c>
      <c r="E490" s="26" t="s">
        <v>37</v>
      </c>
      <c r="F490" s="26" t="s">
        <v>619</v>
      </c>
      <c r="G490" s="26" t="s">
        <v>247</v>
      </c>
      <c r="H490" s="26" t="s">
        <v>247</v>
      </c>
      <c r="I490" s="26" t="s">
        <v>885</v>
      </c>
      <c r="J490" s="26" t="s">
        <v>334</v>
      </c>
    </row>
    <row x14ac:dyDescent="0.25" r="491" customHeight="1" ht="15.75">
      <c r="A491" s="13" t="s">
        <v>69</v>
      </c>
      <c r="B491" s="13" t="s">
        <v>1115</v>
      </c>
      <c r="C491" s="26" t="s">
        <v>404</v>
      </c>
      <c r="D491" s="26" t="s">
        <v>210</v>
      </c>
      <c r="E491" s="26" t="s">
        <v>43</v>
      </c>
      <c r="F491" s="26" t="s">
        <v>29</v>
      </c>
      <c r="G491" s="26" t="s">
        <v>29</v>
      </c>
      <c r="H491" s="26" t="s">
        <v>29</v>
      </c>
      <c r="I491" s="26" t="s">
        <v>52</v>
      </c>
      <c r="J491" s="26" t="s">
        <v>29</v>
      </c>
    </row>
    <row x14ac:dyDescent="0.25" r="492" customHeight="1" ht="15.75">
      <c r="A492" s="13" t="s">
        <v>391</v>
      </c>
      <c r="B492" s="13" t="s">
        <v>1116</v>
      </c>
      <c r="C492" s="26" t="s">
        <v>404</v>
      </c>
      <c r="D492" s="26" t="s">
        <v>54</v>
      </c>
      <c r="E492" s="26" t="s">
        <v>37</v>
      </c>
      <c r="F492" s="26" t="s">
        <v>29</v>
      </c>
      <c r="G492" s="26" t="s">
        <v>29</v>
      </c>
      <c r="H492" s="26" t="s">
        <v>29</v>
      </c>
      <c r="I492" s="26" t="s">
        <v>29</v>
      </c>
      <c r="J492" s="26" t="s">
        <v>29</v>
      </c>
    </row>
    <row x14ac:dyDescent="0.25" r="493" customHeight="1" ht="15.75">
      <c r="A493" s="13" t="s">
        <v>391</v>
      </c>
      <c r="B493" s="13" t="s">
        <v>1117</v>
      </c>
      <c r="C493" s="26" t="s">
        <v>465</v>
      </c>
      <c r="D493" s="26" t="s">
        <v>52</v>
      </c>
      <c r="E493" s="26" t="s">
        <v>57</v>
      </c>
      <c r="F493" s="26" t="s">
        <v>615</v>
      </c>
      <c r="G493" s="26" t="s">
        <v>29</v>
      </c>
      <c r="H493" s="26" t="s">
        <v>29</v>
      </c>
      <c r="I493" s="26" t="s">
        <v>615</v>
      </c>
      <c r="J493" s="26" t="s">
        <v>29</v>
      </c>
    </row>
    <row x14ac:dyDescent="0.25" r="494" customHeight="1" ht="15.75">
      <c r="A494" s="13" t="s">
        <v>227</v>
      </c>
      <c r="B494" s="13" t="s">
        <v>1118</v>
      </c>
      <c r="C494" s="26" t="s">
        <v>1119</v>
      </c>
      <c r="D494" s="26" t="s">
        <v>42</v>
      </c>
      <c r="E494" s="26" t="s">
        <v>81</v>
      </c>
      <c r="F494" s="26" t="s">
        <v>1120</v>
      </c>
      <c r="G494" s="26" t="s">
        <v>747</v>
      </c>
      <c r="H494" s="26" t="s">
        <v>29</v>
      </c>
      <c r="I494" s="26" t="s">
        <v>1121</v>
      </c>
      <c r="J494" s="26" t="s">
        <v>29</v>
      </c>
    </row>
    <row x14ac:dyDescent="0.25" r="495" customHeight="1" ht="15.75">
      <c r="A495" s="13" t="s">
        <v>198</v>
      </c>
      <c r="B495" s="13" t="s">
        <v>1122</v>
      </c>
      <c r="C495" s="26" t="s">
        <v>1119</v>
      </c>
      <c r="D495" s="26" t="s">
        <v>87</v>
      </c>
      <c r="E495" s="26" t="s">
        <v>510</v>
      </c>
      <c r="F495" s="26" t="s">
        <v>90</v>
      </c>
      <c r="G495" s="26" t="s">
        <v>388</v>
      </c>
      <c r="H495" s="26" t="s">
        <v>388</v>
      </c>
      <c r="I495" s="26" t="s">
        <v>95</v>
      </c>
      <c r="J495" s="26" t="s">
        <v>29</v>
      </c>
    </row>
    <row x14ac:dyDescent="0.25" r="496" customHeight="1" ht="15.75">
      <c r="A496" s="13" t="s">
        <v>91</v>
      </c>
      <c r="B496" s="13" t="s">
        <v>1123</v>
      </c>
      <c r="C496" s="26" t="s">
        <v>1124</v>
      </c>
      <c r="D496" s="26" t="s">
        <v>34</v>
      </c>
      <c r="E496" s="26" t="s">
        <v>34</v>
      </c>
      <c r="F496" s="26" t="s">
        <v>989</v>
      </c>
      <c r="G496" s="26" t="s">
        <v>162</v>
      </c>
      <c r="H496" s="26" t="s">
        <v>162</v>
      </c>
      <c r="I496" s="26" t="s">
        <v>1125</v>
      </c>
      <c r="J496" s="26" t="s">
        <v>29</v>
      </c>
    </row>
    <row x14ac:dyDescent="0.25" r="497" customHeight="1" ht="15.75">
      <c r="A497" s="13" t="s">
        <v>126</v>
      </c>
      <c r="B497" s="13" t="s">
        <v>1126</v>
      </c>
      <c r="C497" s="26" t="s">
        <v>1124</v>
      </c>
      <c r="D497" s="26" t="s">
        <v>409</v>
      </c>
      <c r="E497" s="26" t="s">
        <v>34</v>
      </c>
      <c r="F497" s="26" t="s">
        <v>638</v>
      </c>
      <c r="G497" s="26" t="s">
        <v>294</v>
      </c>
      <c r="H497" s="26" t="s">
        <v>29</v>
      </c>
      <c r="I497" s="26" t="s">
        <v>490</v>
      </c>
      <c r="J497" s="26" t="s">
        <v>29</v>
      </c>
    </row>
    <row x14ac:dyDescent="0.25" r="498" customHeight="1" ht="15.75">
      <c r="A498" s="13" t="s">
        <v>184</v>
      </c>
      <c r="B498" s="13" t="s">
        <v>1127</v>
      </c>
      <c r="C498" s="26" t="s">
        <v>1128</v>
      </c>
      <c r="D498" s="26" t="s">
        <v>36</v>
      </c>
      <c r="E498" s="26" t="s">
        <v>34</v>
      </c>
      <c r="F498" s="26" t="s">
        <v>717</v>
      </c>
      <c r="G498" s="26" t="s">
        <v>29</v>
      </c>
      <c r="H498" s="26" t="s">
        <v>29</v>
      </c>
      <c r="I498" s="26" t="s">
        <v>271</v>
      </c>
      <c r="J498" s="26" t="s">
        <v>29</v>
      </c>
    </row>
    <row x14ac:dyDescent="0.25" r="499" customHeight="1" ht="15.75">
      <c r="A499" s="13" t="s">
        <v>227</v>
      </c>
      <c r="B499" s="13" t="s">
        <v>1129</v>
      </c>
      <c r="C499" s="26" t="s">
        <v>1130</v>
      </c>
      <c r="D499" s="26" t="s">
        <v>454</v>
      </c>
      <c r="E499" s="26" t="s">
        <v>34</v>
      </c>
      <c r="F499" s="26" t="s">
        <v>29</v>
      </c>
      <c r="G499" s="26" t="s">
        <v>50</v>
      </c>
      <c r="H499" s="26" t="s">
        <v>29</v>
      </c>
      <c r="I499" s="26" t="s">
        <v>50</v>
      </c>
      <c r="J499" s="26" t="s">
        <v>29</v>
      </c>
    </row>
    <row x14ac:dyDescent="0.25" r="500" customHeight="1" ht="15.75">
      <c r="A500" s="13" t="s">
        <v>129</v>
      </c>
      <c r="B500" s="13" t="s">
        <v>1131</v>
      </c>
      <c r="C500" s="26" t="s">
        <v>1132</v>
      </c>
      <c r="D500" s="26" t="s">
        <v>1133</v>
      </c>
      <c r="E500" s="26" t="s">
        <v>111</v>
      </c>
      <c r="F500" s="26" t="s">
        <v>1134</v>
      </c>
      <c r="G500" s="26" t="s">
        <v>224</v>
      </c>
      <c r="H500" s="26" t="s">
        <v>29</v>
      </c>
      <c r="I500" s="26" t="s">
        <v>1135</v>
      </c>
      <c r="J500" s="26" t="s">
        <v>29</v>
      </c>
    </row>
    <row x14ac:dyDescent="0.25" r="501" customHeight="1" ht="15.75">
      <c r="A501" s="13" t="s">
        <v>116</v>
      </c>
      <c r="B501" s="13" t="s">
        <v>1136</v>
      </c>
      <c r="C501" s="26" t="s">
        <v>1132</v>
      </c>
      <c r="D501" s="26" t="s">
        <v>31</v>
      </c>
      <c r="E501" s="26" t="s">
        <v>43</v>
      </c>
      <c r="F501" s="26" t="s">
        <v>1137</v>
      </c>
      <c r="G501" s="26" t="s">
        <v>29</v>
      </c>
      <c r="H501" s="26" t="s">
        <v>29</v>
      </c>
      <c r="I501" s="26" t="s">
        <v>1014</v>
      </c>
      <c r="J501" s="26" t="s">
        <v>29</v>
      </c>
    </row>
    <row x14ac:dyDescent="0.25" r="502" customHeight="1" ht="15.75">
      <c r="A502" s="13" t="s">
        <v>91</v>
      </c>
      <c r="B502" s="13" t="s">
        <v>1138</v>
      </c>
      <c r="C502" s="26" t="s">
        <v>1132</v>
      </c>
      <c r="D502" s="26" t="s">
        <v>1139</v>
      </c>
      <c r="E502" s="26" t="s">
        <v>31</v>
      </c>
      <c r="F502" s="26" t="s">
        <v>772</v>
      </c>
      <c r="G502" s="26" t="s">
        <v>325</v>
      </c>
      <c r="H502" s="26" t="s">
        <v>774</v>
      </c>
      <c r="I502" s="26" t="s">
        <v>1140</v>
      </c>
      <c r="J502" s="26" t="s">
        <v>29</v>
      </c>
    </row>
    <row x14ac:dyDescent="0.25" r="503" customHeight="1" ht="15.75">
      <c r="A503" s="13" t="s">
        <v>66</v>
      </c>
      <c r="B503" s="13" t="s">
        <v>1141</v>
      </c>
      <c r="C503" s="26" t="s">
        <v>1142</v>
      </c>
      <c r="D503" s="26" t="s">
        <v>361</v>
      </c>
      <c r="E503" s="26" t="s">
        <v>1143</v>
      </c>
      <c r="F503" s="26" t="s">
        <v>630</v>
      </c>
      <c r="G503" s="26" t="s">
        <v>244</v>
      </c>
      <c r="H503" s="26" t="s">
        <v>244</v>
      </c>
      <c r="I503" s="26" t="s">
        <v>872</v>
      </c>
      <c r="J503" s="26" t="s">
        <v>29</v>
      </c>
    </row>
    <row x14ac:dyDescent="0.25" r="504" customHeight="1" ht="15.75">
      <c r="A504" s="13" t="s">
        <v>69</v>
      </c>
      <c r="B504" s="13" t="s">
        <v>1144</v>
      </c>
      <c r="C504" s="26" t="s">
        <v>1145</v>
      </c>
      <c r="D504" s="26" t="s">
        <v>179</v>
      </c>
      <c r="E504" s="26" t="s">
        <v>122</v>
      </c>
      <c r="F504" s="26" t="s">
        <v>247</v>
      </c>
      <c r="G504" s="26" t="s">
        <v>29</v>
      </c>
      <c r="H504" s="26" t="s">
        <v>29</v>
      </c>
      <c r="I504" s="26" t="s">
        <v>334</v>
      </c>
      <c r="J504" s="26" t="s">
        <v>29</v>
      </c>
    </row>
    <row x14ac:dyDescent="0.25" r="505" customHeight="1" ht="15.75">
      <c r="A505" s="13" t="s">
        <v>126</v>
      </c>
      <c r="B505" s="13" t="s">
        <v>1146</v>
      </c>
      <c r="C505" s="26" t="s">
        <v>1147</v>
      </c>
      <c r="D505" s="26" t="s">
        <v>43</v>
      </c>
      <c r="E505" s="26" t="s">
        <v>34</v>
      </c>
      <c r="F505" s="26" t="s">
        <v>1148</v>
      </c>
      <c r="G505" s="26" t="s">
        <v>271</v>
      </c>
      <c r="H505" s="26" t="s">
        <v>29</v>
      </c>
      <c r="I505" s="26" t="s">
        <v>803</v>
      </c>
      <c r="J505" s="26" t="s">
        <v>29</v>
      </c>
    </row>
    <row x14ac:dyDescent="0.25" r="506" customHeight="1" ht="15.75">
      <c r="A506" s="13" t="s">
        <v>512</v>
      </c>
      <c r="B506" s="13" t="s">
        <v>1149</v>
      </c>
      <c r="C506" s="26" t="s">
        <v>78</v>
      </c>
      <c r="D506" s="26" t="s">
        <v>443</v>
      </c>
      <c r="E506" s="26" t="s">
        <v>34</v>
      </c>
      <c r="F506" s="26" t="s">
        <v>29</v>
      </c>
      <c r="G506" s="26" t="s">
        <v>201</v>
      </c>
      <c r="H506" s="26" t="s">
        <v>29</v>
      </c>
      <c r="I506" s="26" t="s">
        <v>201</v>
      </c>
      <c r="J506" s="26" t="s">
        <v>29</v>
      </c>
    </row>
    <row x14ac:dyDescent="0.25" r="507" customHeight="1" ht="15.75">
      <c r="A507" s="13" t="s">
        <v>126</v>
      </c>
      <c r="B507" s="13" t="s">
        <v>1150</v>
      </c>
      <c r="C507" s="26" t="s">
        <v>78</v>
      </c>
      <c r="D507" s="26" t="s">
        <v>1151</v>
      </c>
      <c r="E507" s="26" t="s">
        <v>234</v>
      </c>
      <c r="F507" s="26" t="s">
        <v>93</v>
      </c>
      <c r="G507" s="26" t="s">
        <v>143</v>
      </c>
      <c r="H507" s="26" t="s">
        <v>143</v>
      </c>
      <c r="I507" s="26" t="s">
        <v>115</v>
      </c>
      <c r="J507" s="26" t="s">
        <v>29</v>
      </c>
    </row>
    <row x14ac:dyDescent="0.25" r="508" customHeight="1" ht="15.75">
      <c r="A508" s="13" t="s">
        <v>129</v>
      </c>
      <c r="B508" s="13" t="s">
        <v>1152</v>
      </c>
      <c r="C508" s="26" t="s">
        <v>78</v>
      </c>
      <c r="D508" s="26" t="s">
        <v>1153</v>
      </c>
      <c r="E508" s="26" t="s">
        <v>78</v>
      </c>
      <c r="F508" s="26" t="s">
        <v>84</v>
      </c>
      <c r="G508" s="26" t="s">
        <v>210</v>
      </c>
      <c r="H508" s="26" t="s">
        <v>29</v>
      </c>
      <c r="I508" s="26" t="s">
        <v>29</v>
      </c>
      <c r="J508" s="26" t="s">
        <v>29</v>
      </c>
    </row>
    <row x14ac:dyDescent="0.25" r="509" customHeight="1" ht="15.75">
      <c r="A509" s="13" t="s">
        <v>116</v>
      </c>
      <c r="B509" s="13" t="s">
        <v>1154</v>
      </c>
      <c r="C509" s="26" t="s">
        <v>78</v>
      </c>
      <c r="D509" s="26" t="s">
        <v>88</v>
      </c>
      <c r="E509" s="26" t="s">
        <v>57</v>
      </c>
      <c r="F509" s="26" t="s">
        <v>29</v>
      </c>
      <c r="G509" s="26" t="s">
        <v>870</v>
      </c>
      <c r="H509" s="26" t="s">
        <v>29</v>
      </c>
      <c r="I509" s="26" t="s">
        <v>29</v>
      </c>
      <c r="J509" s="26" t="s">
        <v>29</v>
      </c>
    </row>
    <row x14ac:dyDescent="0.25" r="510" customHeight="1" ht="15.75">
      <c r="A510" s="13" t="s">
        <v>198</v>
      </c>
      <c r="B510" s="13" t="s">
        <v>1155</v>
      </c>
      <c r="C510" s="26" t="s">
        <v>1156</v>
      </c>
      <c r="D510" s="26" t="s">
        <v>832</v>
      </c>
      <c r="E510" s="26" t="s">
        <v>37</v>
      </c>
      <c r="F510" s="26" t="s">
        <v>600</v>
      </c>
      <c r="G510" s="26" t="s">
        <v>870</v>
      </c>
      <c r="H510" s="26" t="s">
        <v>29</v>
      </c>
      <c r="I510" s="26" t="s">
        <v>1157</v>
      </c>
      <c r="J510" s="26" t="s">
        <v>29</v>
      </c>
    </row>
    <row x14ac:dyDescent="0.25" r="511" customHeight="1" ht="15.75">
      <c r="A511" s="13" t="s">
        <v>66</v>
      </c>
      <c r="B511" s="13" t="s">
        <v>1158</v>
      </c>
      <c r="C511" s="26" t="s">
        <v>1159</v>
      </c>
      <c r="D511" s="26" t="s">
        <v>409</v>
      </c>
      <c r="E511" s="26" t="s">
        <v>57</v>
      </c>
      <c r="F511" s="26" t="s">
        <v>105</v>
      </c>
      <c r="G511" s="26" t="s">
        <v>29</v>
      </c>
      <c r="H511" s="26" t="s">
        <v>29</v>
      </c>
      <c r="I511" s="26" t="s">
        <v>341</v>
      </c>
      <c r="J511" s="26" t="s">
        <v>29</v>
      </c>
    </row>
    <row x14ac:dyDescent="0.25" r="512" customHeight="1" ht="15.75">
      <c r="A512" s="13" t="s">
        <v>227</v>
      </c>
      <c r="B512" s="13" t="s">
        <v>1160</v>
      </c>
      <c r="C512" s="26" t="s">
        <v>1161</v>
      </c>
      <c r="D512" s="26" t="s">
        <v>37</v>
      </c>
      <c r="E512" s="26" t="s">
        <v>37</v>
      </c>
      <c r="F512" s="26" t="s">
        <v>503</v>
      </c>
      <c r="G512" s="26" t="s">
        <v>29</v>
      </c>
      <c r="H512" s="26" t="s">
        <v>29</v>
      </c>
      <c r="I512" s="26" t="s">
        <v>204</v>
      </c>
      <c r="J512" s="26" t="s">
        <v>29</v>
      </c>
    </row>
    <row x14ac:dyDescent="0.25" r="513" customHeight="1" ht="15.75">
      <c r="A513" s="13" t="s">
        <v>27</v>
      </c>
      <c r="B513" s="13" t="s">
        <v>1162</v>
      </c>
      <c r="C513" s="26" t="s">
        <v>1163</v>
      </c>
      <c r="D513" s="26" t="s">
        <v>294</v>
      </c>
      <c r="E513" s="26" t="s">
        <v>37</v>
      </c>
      <c r="F513" s="26" t="s">
        <v>388</v>
      </c>
      <c r="G513" s="26" t="s">
        <v>29</v>
      </c>
      <c r="H513" s="26" t="s">
        <v>29</v>
      </c>
      <c r="I513" s="26" t="s">
        <v>388</v>
      </c>
      <c r="J513" s="26" t="s">
        <v>29</v>
      </c>
    </row>
    <row x14ac:dyDescent="0.25" r="514" customHeight="1" ht="15.75">
      <c r="A514" s="13" t="s">
        <v>227</v>
      </c>
      <c r="B514" s="13" t="s">
        <v>1164</v>
      </c>
      <c r="C514" s="26" t="s">
        <v>1165</v>
      </c>
      <c r="D514" s="26" t="s">
        <v>832</v>
      </c>
      <c r="E514" s="26" t="s">
        <v>63</v>
      </c>
      <c r="F514" s="26" t="s">
        <v>609</v>
      </c>
      <c r="G514" s="26" t="s">
        <v>318</v>
      </c>
      <c r="H514" s="26" t="s">
        <v>610</v>
      </c>
      <c r="I514" s="26" t="s">
        <v>632</v>
      </c>
      <c r="J514" s="26" t="s">
        <v>29</v>
      </c>
    </row>
    <row x14ac:dyDescent="0.25" r="515" customHeight="1" ht="15.75">
      <c r="A515" s="13" t="s">
        <v>91</v>
      </c>
      <c r="B515" s="13" t="s">
        <v>1166</v>
      </c>
      <c r="C515" s="26" t="s">
        <v>1167</v>
      </c>
      <c r="D515" s="26" t="s">
        <v>656</v>
      </c>
      <c r="E515" s="26" t="s">
        <v>63</v>
      </c>
      <c r="F515" s="26" t="s">
        <v>413</v>
      </c>
      <c r="G515" s="26" t="s">
        <v>1168</v>
      </c>
      <c r="H515" s="26" t="s">
        <v>1169</v>
      </c>
      <c r="I515" s="26" t="s">
        <v>341</v>
      </c>
      <c r="J515" s="26" t="s">
        <v>29</v>
      </c>
    </row>
    <row x14ac:dyDescent="0.25" r="516" customHeight="1" ht="15.75">
      <c r="A516" s="13" t="s">
        <v>91</v>
      </c>
      <c r="B516" s="13" t="s">
        <v>1170</v>
      </c>
      <c r="C516" s="26" t="s">
        <v>1171</v>
      </c>
      <c r="D516" s="26" t="s">
        <v>237</v>
      </c>
      <c r="E516" s="26" t="s">
        <v>115</v>
      </c>
      <c r="F516" s="26" t="s">
        <v>179</v>
      </c>
      <c r="G516" s="26" t="s">
        <v>1172</v>
      </c>
      <c r="H516" s="26" t="s">
        <v>29</v>
      </c>
      <c r="I516" s="26" t="s">
        <v>1172</v>
      </c>
      <c r="J516" s="26" t="s">
        <v>1173</v>
      </c>
    </row>
    <row x14ac:dyDescent="0.25" r="517" customHeight="1" ht="15.75">
      <c r="A517" s="13" t="s">
        <v>512</v>
      </c>
      <c r="B517" s="13" t="s">
        <v>1174</v>
      </c>
      <c r="C517" s="26" t="s">
        <v>1175</v>
      </c>
      <c r="D517" s="26" t="s">
        <v>303</v>
      </c>
      <c r="E517" s="26" t="s">
        <v>34</v>
      </c>
      <c r="F517" s="26" t="s">
        <v>29</v>
      </c>
      <c r="G517" s="26" t="s">
        <v>29</v>
      </c>
      <c r="H517" s="26" t="s">
        <v>29</v>
      </c>
      <c r="I517" s="26" t="s">
        <v>78</v>
      </c>
      <c r="J517" s="26" t="s">
        <v>29</v>
      </c>
    </row>
    <row x14ac:dyDescent="0.25" r="518" customHeight="1" ht="15.75">
      <c r="A518" s="13" t="s">
        <v>69</v>
      </c>
      <c r="B518" s="13" t="s">
        <v>1176</v>
      </c>
      <c r="C518" s="26" t="s">
        <v>1177</v>
      </c>
      <c r="D518" s="26" t="s">
        <v>1178</v>
      </c>
      <c r="E518" s="26" t="s">
        <v>63</v>
      </c>
      <c r="F518" s="26" t="s">
        <v>694</v>
      </c>
      <c r="G518" s="26" t="s">
        <v>1179</v>
      </c>
      <c r="H518" s="26" t="s">
        <v>29</v>
      </c>
      <c r="I518" s="26" t="s">
        <v>204</v>
      </c>
      <c r="J518" s="26" t="s">
        <v>29</v>
      </c>
    </row>
    <row x14ac:dyDescent="0.25" r="519" customHeight="1" ht="15.75">
      <c r="A519" s="13" t="s">
        <v>198</v>
      </c>
      <c r="B519" s="13" t="s">
        <v>1180</v>
      </c>
      <c r="C519" s="26" t="s">
        <v>1181</v>
      </c>
      <c r="D519" s="26" t="s">
        <v>143</v>
      </c>
      <c r="E519" s="26" t="s">
        <v>37</v>
      </c>
      <c r="F519" s="26" t="s">
        <v>319</v>
      </c>
      <c r="G519" s="26" t="s">
        <v>319</v>
      </c>
      <c r="H519" s="26" t="s">
        <v>29</v>
      </c>
      <c r="I519" s="26" t="s">
        <v>319</v>
      </c>
      <c r="J519" s="26" t="s">
        <v>29</v>
      </c>
    </row>
    <row x14ac:dyDescent="0.25" r="520" customHeight="1" ht="15.75">
      <c r="A520" s="13" t="s">
        <v>198</v>
      </c>
      <c r="B520" s="13" t="s">
        <v>1182</v>
      </c>
      <c r="C520" s="26" t="s">
        <v>1183</v>
      </c>
      <c r="D520" s="26" t="s">
        <v>43</v>
      </c>
      <c r="E520" s="26" t="s">
        <v>37</v>
      </c>
      <c r="F520" s="26" t="s">
        <v>80</v>
      </c>
      <c r="G520" s="26" t="s">
        <v>548</v>
      </c>
      <c r="H520" s="26" t="s">
        <v>29</v>
      </c>
      <c r="I520" s="26" t="s">
        <v>908</v>
      </c>
      <c r="J520" s="26" t="s">
        <v>29</v>
      </c>
    </row>
    <row x14ac:dyDescent="0.25" r="521" customHeight="1" ht="15.75">
      <c r="A521" s="13" t="s">
        <v>103</v>
      </c>
      <c r="B521" s="13" t="s">
        <v>1184</v>
      </c>
      <c r="C521" s="26" t="s">
        <v>1183</v>
      </c>
      <c r="D521" s="26" t="s">
        <v>201</v>
      </c>
      <c r="E521" s="26" t="s">
        <v>37</v>
      </c>
      <c r="F521" s="26" t="s">
        <v>176</v>
      </c>
      <c r="G521" s="26" t="s">
        <v>176</v>
      </c>
      <c r="H521" s="26" t="s">
        <v>176</v>
      </c>
      <c r="I521" s="26" t="s">
        <v>176</v>
      </c>
      <c r="J521" s="26" t="s">
        <v>29</v>
      </c>
    </row>
    <row x14ac:dyDescent="0.25" r="522" customHeight="1" ht="15.75">
      <c r="A522" s="13" t="s">
        <v>184</v>
      </c>
      <c r="B522" s="13" t="s">
        <v>1185</v>
      </c>
      <c r="C522" s="26" t="s">
        <v>1186</v>
      </c>
      <c r="D522" s="26" t="s">
        <v>1187</v>
      </c>
      <c r="E522" s="26" t="s">
        <v>43</v>
      </c>
      <c r="F522" s="26" t="s">
        <v>1188</v>
      </c>
      <c r="G522" s="26" t="s">
        <v>1189</v>
      </c>
      <c r="H522" s="26" t="s">
        <v>360</v>
      </c>
      <c r="I522" s="26" t="s">
        <v>662</v>
      </c>
      <c r="J522" s="26" t="s">
        <v>170</v>
      </c>
    </row>
    <row x14ac:dyDescent="0.25" r="523" customHeight="1" ht="15.75">
      <c r="A523" s="13" t="s">
        <v>512</v>
      </c>
      <c r="B523" s="13" t="s">
        <v>1190</v>
      </c>
      <c r="C523" s="26" t="s">
        <v>1191</v>
      </c>
      <c r="D523" s="26" t="s">
        <v>34</v>
      </c>
      <c r="E523" s="26" t="s">
        <v>31</v>
      </c>
      <c r="F523" s="26" t="s">
        <v>95</v>
      </c>
      <c r="G523" s="26" t="s">
        <v>29</v>
      </c>
      <c r="H523" s="26" t="s">
        <v>29</v>
      </c>
      <c r="I523" s="26" t="s">
        <v>388</v>
      </c>
      <c r="J523" s="26" t="s">
        <v>29</v>
      </c>
    </row>
    <row x14ac:dyDescent="0.25" r="524" customHeight="1" ht="15.75">
      <c r="A524" s="13" t="s">
        <v>227</v>
      </c>
      <c r="B524" s="13" t="s">
        <v>1192</v>
      </c>
      <c r="C524" s="26" t="s">
        <v>1193</v>
      </c>
      <c r="D524" s="26" t="s">
        <v>510</v>
      </c>
      <c r="E524" s="26" t="s">
        <v>57</v>
      </c>
      <c r="F524" s="26" t="s">
        <v>1194</v>
      </c>
      <c r="G524" s="26" t="s">
        <v>750</v>
      </c>
      <c r="H524" s="26" t="s">
        <v>29</v>
      </c>
      <c r="I524" s="26" t="s">
        <v>846</v>
      </c>
      <c r="J524" s="26" t="s">
        <v>29</v>
      </c>
    </row>
    <row x14ac:dyDescent="0.25" r="525" customHeight="1" ht="15.75">
      <c r="A525" s="13" t="s">
        <v>126</v>
      </c>
      <c r="B525" s="13" t="s">
        <v>1195</v>
      </c>
      <c r="C525" s="26" t="s">
        <v>1196</v>
      </c>
      <c r="D525" s="26" t="s">
        <v>240</v>
      </c>
      <c r="E525" s="26" t="s">
        <v>37</v>
      </c>
      <c r="F525" s="26" t="s">
        <v>1197</v>
      </c>
      <c r="G525" s="26" t="s">
        <v>337</v>
      </c>
      <c r="H525" s="26" t="s">
        <v>29</v>
      </c>
      <c r="I525" s="26" t="s">
        <v>1198</v>
      </c>
      <c r="J525" s="26" t="s">
        <v>1199</v>
      </c>
    </row>
    <row x14ac:dyDescent="0.25" r="526" customHeight="1" ht="15.75">
      <c r="A526" s="13" t="s">
        <v>91</v>
      </c>
      <c r="B526" s="13" t="s">
        <v>1200</v>
      </c>
      <c r="C526" s="26" t="s">
        <v>1201</v>
      </c>
      <c r="D526" s="26" t="s">
        <v>36</v>
      </c>
      <c r="E526" s="26" t="s">
        <v>34</v>
      </c>
      <c r="F526" s="26" t="s">
        <v>1202</v>
      </c>
      <c r="G526" s="26" t="s">
        <v>1203</v>
      </c>
      <c r="H526" s="26" t="s">
        <v>261</v>
      </c>
      <c r="I526" s="26" t="s">
        <v>832</v>
      </c>
      <c r="J526" s="26" t="s">
        <v>261</v>
      </c>
    </row>
    <row x14ac:dyDescent="0.25" r="527" customHeight="1" ht="15.75">
      <c r="A527" s="13" t="s">
        <v>27</v>
      </c>
      <c r="B527" s="13" t="s">
        <v>1204</v>
      </c>
      <c r="C527" s="26" t="s">
        <v>1201</v>
      </c>
      <c r="D527" s="26" t="s">
        <v>1205</v>
      </c>
      <c r="E527" s="26" t="s">
        <v>34</v>
      </c>
      <c r="F527" s="26" t="s">
        <v>179</v>
      </c>
      <c r="G527" s="26" t="s">
        <v>135</v>
      </c>
      <c r="H527" s="26" t="s">
        <v>29</v>
      </c>
      <c r="I527" s="26" t="s">
        <v>456</v>
      </c>
      <c r="J527" s="26" t="s">
        <v>588</v>
      </c>
    </row>
    <row x14ac:dyDescent="0.25" r="528" customHeight="1" ht="15.75">
      <c r="A528" s="13" t="s">
        <v>126</v>
      </c>
      <c r="B528" s="13" t="s">
        <v>1206</v>
      </c>
      <c r="C528" s="26" t="s">
        <v>1207</v>
      </c>
      <c r="D528" s="26" t="s">
        <v>734</v>
      </c>
      <c r="E528" s="26" t="s">
        <v>57</v>
      </c>
      <c r="F528" s="26" t="s">
        <v>988</v>
      </c>
      <c r="G528" s="26" t="s">
        <v>794</v>
      </c>
      <c r="H528" s="26" t="s">
        <v>261</v>
      </c>
      <c r="I528" s="26" t="s">
        <v>1203</v>
      </c>
      <c r="J528" s="26" t="s">
        <v>29</v>
      </c>
    </row>
    <row x14ac:dyDescent="0.25" r="529" customHeight="1" ht="15.75">
      <c r="A529" s="13" t="s">
        <v>66</v>
      </c>
      <c r="B529" s="13" t="s">
        <v>1208</v>
      </c>
      <c r="C529" s="26" t="s">
        <v>1207</v>
      </c>
      <c r="D529" s="26" t="s">
        <v>201</v>
      </c>
      <c r="E529" s="26" t="s">
        <v>34</v>
      </c>
      <c r="F529" s="26" t="s">
        <v>191</v>
      </c>
      <c r="G529" s="26" t="s">
        <v>29</v>
      </c>
      <c r="H529" s="26" t="s">
        <v>29</v>
      </c>
      <c r="I529" s="26" t="s">
        <v>29</v>
      </c>
      <c r="J529" s="26" t="s">
        <v>29</v>
      </c>
    </row>
    <row x14ac:dyDescent="0.25" r="530" customHeight="1" ht="15.75">
      <c r="A530" s="13" t="s">
        <v>116</v>
      </c>
      <c r="B530" s="13" t="s">
        <v>1209</v>
      </c>
      <c r="C530" s="26" t="s">
        <v>1210</v>
      </c>
      <c r="D530" s="26" t="s">
        <v>1211</v>
      </c>
      <c r="E530" s="26" t="s">
        <v>37</v>
      </c>
      <c r="F530" s="26" t="s">
        <v>886</v>
      </c>
      <c r="G530" s="26" t="s">
        <v>1212</v>
      </c>
      <c r="H530" s="26" t="s">
        <v>29</v>
      </c>
      <c r="I530" s="26" t="s">
        <v>332</v>
      </c>
      <c r="J530" s="26" t="s">
        <v>29</v>
      </c>
    </row>
    <row x14ac:dyDescent="0.25" r="531" customHeight="1" ht="15.75">
      <c r="A531" s="13" t="s">
        <v>126</v>
      </c>
      <c r="B531" s="13" t="s">
        <v>1213</v>
      </c>
      <c r="C531" s="26" t="s">
        <v>1214</v>
      </c>
      <c r="D531" s="26" t="s">
        <v>468</v>
      </c>
      <c r="E531" s="26" t="s">
        <v>34</v>
      </c>
      <c r="F531" s="26" t="s">
        <v>179</v>
      </c>
      <c r="G531" s="26" t="s">
        <v>179</v>
      </c>
      <c r="H531" s="26" t="s">
        <v>29</v>
      </c>
      <c r="I531" s="26" t="s">
        <v>179</v>
      </c>
      <c r="J531" s="26" t="s">
        <v>29</v>
      </c>
    </row>
    <row x14ac:dyDescent="0.25" r="532" customHeight="1" ht="15.75">
      <c r="A532" s="13" t="s">
        <v>391</v>
      </c>
      <c r="B532" s="13" t="s">
        <v>1215</v>
      </c>
      <c r="C532" s="26" t="s">
        <v>1214</v>
      </c>
      <c r="D532" s="26" t="s">
        <v>125</v>
      </c>
      <c r="E532" s="26" t="s">
        <v>43</v>
      </c>
      <c r="F532" s="26" t="s">
        <v>629</v>
      </c>
      <c r="G532" s="26" t="s">
        <v>1031</v>
      </c>
      <c r="H532" s="26" t="s">
        <v>1031</v>
      </c>
      <c r="I532" s="26" t="s">
        <v>1216</v>
      </c>
      <c r="J532" s="26" t="s">
        <v>1030</v>
      </c>
    </row>
    <row x14ac:dyDescent="0.25" r="533" customHeight="1" ht="15.75">
      <c r="A533" s="13" t="s">
        <v>109</v>
      </c>
      <c r="B533" s="13" t="s">
        <v>1217</v>
      </c>
      <c r="C533" s="26" t="s">
        <v>1218</v>
      </c>
      <c r="D533" s="26" t="s">
        <v>37</v>
      </c>
      <c r="E533" s="26" t="s">
        <v>37</v>
      </c>
      <c r="F533" s="26" t="s">
        <v>57</v>
      </c>
      <c r="G533" s="26" t="s">
        <v>50</v>
      </c>
      <c r="H533" s="26" t="s">
        <v>29</v>
      </c>
      <c r="I533" s="26" t="s">
        <v>31</v>
      </c>
      <c r="J533" s="26" t="s">
        <v>29</v>
      </c>
    </row>
    <row x14ac:dyDescent="0.25" r="534" customHeight="1" ht="15.75">
      <c r="A534" s="13" t="s">
        <v>129</v>
      </c>
      <c r="B534" s="13" t="s">
        <v>1219</v>
      </c>
      <c r="C534" s="26" t="s">
        <v>1220</v>
      </c>
      <c r="D534" s="26" t="s">
        <v>43</v>
      </c>
      <c r="E534" s="26" t="s">
        <v>81</v>
      </c>
      <c r="F534" s="26" t="s">
        <v>29</v>
      </c>
      <c r="G534" s="26" t="s">
        <v>29</v>
      </c>
      <c r="H534" s="26" t="s">
        <v>29</v>
      </c>
      <c r="I534" s="26" t="s">
        <v>870</v>
      </c>
      <c r="J534" s="26" t="s">
        <v>29</v>
      </c>
    </row>
    <row x14ac:dyDescent="0.25" r="535" customHeight="1" ht="15.75">
      <c r="A535" s="13" t="s">
        <v>116</v>
      </c>
      <c r="B535" s="13" t="s">
        <v>1221</v>
      </c>
      <c r="C535" s="26" t="s">
        <v>1222</v>
      </c>
      <c r="D535" s="26" t="s">
        <v>1151</v>
      </c>
      <c r="E535" s="26" t="s">
        <v>81</v>
      </c>
      <c r="F535" s="26" t="s">
        <v>334</v>
      </c>
      <c r="G535" s="26" t="s">
        <v>334</v>
      </c>
      <c r="H535" s="26" t="s">
        <v>334</v>
      </c>
      <c r="I535" s="26" t="s">
        <v>334</v>
      </c>
      <c r="J535" s="26" t="s">
        <v>29</v>
      </c>
    </row>
    <row x14ac:dyDescent="0.25" r="536" customHeight="1" ht="15.75">
      <c r="A536" s="13" t="s">
        <v>27</v>
      </c>
      <c r="B536" s="13" t="s">
        <v>1223</v>
      </c>
      <c r="C536" s="26" t="s">
        <v>361</v>
      </c>
      <c r="D536" s="26" t="s">
        <v>36</v>
      </c>
      <c r="E536" s="26" t="s">
        <v>78</v>
      </c>
      <c r="F536" s="26" t="s">
        <v>29</v>
      </c>
      <c r="G536" s="26" t="s">
        <v>29</v>
      </c>
      <c r="H536" s="26" t="s">
        <v>29</v>
      </c>
      <c r="I536" s="26" t="s">
        <v>29</v>
      </c>
      <c r="J536" s="26" t="s">
        <v>29</v>
      </c>
    </row>
    <row x14ac:dyDescent="0.25" r="537" customHeight="1" ht="15.75">
      <c r="A537" s="13" t="s">
        <v>198</v>
      </c>
      <c r="B537" s="13" t="s">
        <v>1224</v>
      </c>
      <c r="C537" s="26" t="s">
        <v>361</v>
      </c>
      <c r="D537" s="26" t="s">
        <v>43</v>
      </c>
      <c r="E537" s="26" t="s">
        <v>34</v>
      </c>
      <c r="F537" s="26" t="s">
        <v>29</v>
      </c>
      <c r="G537" s="26" t="s">
        <v>29</v>
      </c>
      <c r="H537" s="26" t="s">
        <v>29</v>
      </c>
      <c r="I537" s="26" t="s">
        <v>29</v>
      </c>
      <c r="J537" s="26" t="s">
        <v>29</v>
      </c>
    </row>
    <row x14ac:dyDescent="0.25" r="538" customHeight="1" ht="15.75">
      <c r="A538" s="13" t="s">
        <v>227</v>
      </c>
      <c r="B538" s="13" t="s">
        <v>1225</v>
      </c>
      <c r="C538" s="26" t="s">
        <v>1226</v>
      </c>
      <c r="D538" s="26" t="s">
        <v>1227</v>
      </c>
      <c r="E538" s="26" t="s">
        <v>34</v>
      </c>
      <c r="F538" s="26" t="s">
        <v>176</v>
      </c>
      <c r="G538" s="26" t="s">
        <v>29</v>
      </c>
      <c r="H538" s="26" t="s">
        <v>29</v>
      </c>
      <c r="I538" s="26" t="s">
        <v>87</v>
      </c>
      <c r="J538" s="26" t="s">
        <v>29</v>
      </c>
    </row>
    <row x14ac:dyDescent="0.25" r="539" customHeight="1" ht="15.75">
      <c r="A539" s="13" t="s">
        <v>184</v>
      </c>
      <c r="B539" s="13" t="s">
        <v>1228</v>
      </c>
      <c r="C539" s="26" t="s">
        <v>1229</v>
      </c>
      <c r="D539" s="26" t="s">
        <v>1230</v>
      </c>
      <c r="E539" s="26" t="s">
        <v>31</v>
      </c>
      <c r="F539" s="26" t="s">
        <v>734</v>
      </c>
      <c r="G539" s="26" t="s">
        <v>311</v>
      </c>
      <c r="H539" s="26" t="s">
        <v>29</v>
      </c>
      <c r="I539" s="26" t="s">
        <v>311</v>
      </c>
      <c r="J539" s="26" t="s">
        <v>29</v>
      </c>
    </row>
    <row x14ac:dyDescent="0.25" r="540" customHeight="1" ht="15.75">
      <c r="A540" s="13" t="s">
        <v>69</v>
      </c>
      <c r="B540" s="13" t="s">
        <v>1231</v>
      </c>
      <c r="C540" s="26" t="s">
        <v>1232</v>
      </c>
      <c r="D540" s="26" t="s">
        <v>150</v>
      </c>
      <c r="E540" s="26" t="s">
        <v>31</v>
      </c>
      <c r="F540" s="26" t="s">
        <v>1021</v>
      </c>
      <c r="G540" s="26" t="s">
        <v>29</v>
      </c>
      <c r="H540" s="26" t="s">
        <v>29</v>
      </c>
      <c r="I540" s="26" t="s">
        <v>1022</v>
      </c>
      <c r="J540" s="26" t="s">
        <v>29</v>
      </c>
    </row>
    <row x14ac:dyDescent="0.25" r="541" customHeight="1" ht="15.75">
      <c r="A541" s="13" t="s">
        <v>126</v>
      </c>
      <c r="B541" s="13" t="s">
        <v>1233</v>
      </c>
      <c r="C541" s="26" t="s">
        <v>1234</v>
      </c>
      <c r="D541" s="26" t="s">
        <v>1230</v>
      </c>
      <c r="E541" s="26" t="s">
        <v>88</v>
      </c>
      <c r="F541" s="26" t="s">
        <v>923</v>
      </c>
      <c r="G541" s="26" t="s">
        <v>1235</v>
      </c>
      <c r="H541" s="26" t="s">
        <v>188</v>
      </c>
      <c r="I541" s="26" t="s">
        <v>99</v>
      </c>
      <c r="J541" s="26" t="s">
        <v>29</v>
      </c>
    </row>
    <row x14ac:dyDescent="0.25" r="542" customHeight="1" ht="15.75">
      <c r="A542" s="13" t="s">
        <v>69</v>
      </c>
      <c r="B542" s="13" t="s">
        <v>1236</v>
      </c>
      <c r="C542" s="26" t="s">
        <v>1237</v>
      </c>
      <c r="D542" s="26" t="s">
        <v>766</v>
      </c>
      <c r="E542" s="26" t="s">
        <v>1143</v>
      </c>
      <c r="F542" s="26" t="s">
        <v>1238</v>
      </c>
      <c r="G542" s="26" t="s">
        <v>307</v>
      </c>
      <c r="H542" s="26" t="s">
        <v>29</v>
      </c>
      <c r="I542" s="26" t="s">
        <v>1239</v>
      </c>
      <c r="J542" s="26" t="s">
        <v>29</v>
      </c>
    </row>
    <row x14ac:dyDescent="0.25" r="543" customHeight="1" ht="15.75">
      <c r="A543" s="13" t="s">
        <v>184</v>
      </c>
      <c r="B543" s="13" t="s">
        <v>1240</v>
      </c>
      <c r="C543" s="26" t="s">
        <v>1241</v>
      </c>
      <c r="D543" s="26" t="s">
        <v>29</v>
      </c>
      <c r="E543" s="26" t="s">
        <v>57</v>
      </c>
      <c r="F543" s="26" t="s">
        <v>250</v>
      </c>
      <c r="G543" s="26" t="s">
        <v>29</v>
      </c>
      <c r="H543" s="26" t="s">
        <v>29</v>
      </c>
      <c r="I543" s="26" t="s">
        <v>29</v>
      </c>
      <c r="J543" s="26" t="s">
        <v>29</v>
      </c>
    </row>
    <row x14ac:dyDescent="0.25" r="544" customHeight="1" ht="15.75">
      <c r="A544" s="13" t="s">
        <v>129</v>
      </c>
      <c r="B544" s="13" t="s">
        <v>1242</v>
      </c>
      <c r="C544" s="26" t="s">
        <v>1241</v>
      </c>
      <c r="D544" s="26" t="s">
        <v>361</v>
      </c>
      <c r="E544" s="26" t="s">
        <v>31</v>
      </c>
      <c r="F544" s="26" t="s">
        <v>50</v>
      </c>
      <c r="G544" s="26" t="s">
        <v>50</v>
      </c>
      <c r="H544" s="26" t="s">
        <v>50</v>
      </c>
      <c r="I544" s="26" t="s">
        <v>31</v>
      </c>
      <c r="J544" s="26" t="s">
        <v>29</v>
      </c>
    </row>
    <row x14ac:dyDescent="0.25" r="545" customHeight="1" ht="15.75">
      <c r="A545" s="13" t="s">
        <v>91</v>
      </c>
      <c r="B545" s="13" t="s">
        <v>1243</v>
      </c>
      <c r="C545" s="26" t="s">
        <v>1244</v>
      </c>
      <c r="D545" s="26" t="s">
        <v>80</v>
      </c>
      <c r="E545" s="26" t="s">
        <v>350</v>
      </c>
      <c r="F545" s="26" t="s">
        <v>84</v>
      </c>
      <c r="G545" s="26" t="s">
        <v>29</v>
      </c>
      <c r="H545" s="26" t="s">
        <v>29</v>
      </c>
      <c r="I545" s="26" t="s">
        <v>84</v>
      </c>
      <c r="J545" s="26" t="s">
        <v>29</v>
      </c>
    </row>
    <row x14ac:dyDescent="0.25" r="546" customHeight="1" ht="15.75">
      <c r="A546" s="13" t="s">
        <v>198</v>
      </c>
      <c r="B546" s="13" t="s">
        <v>1245</v>
      </c>
      <c r="C546" s="26" t="s">
        <v>1244</v>
      </c>
      <c r="D546" s="26" t="s">
        <v>1246</v>
      </c>
      <c r="E546" s="26" t="s">
        <v>143</v>
      </c>
      <c r="F546" s="26" t="s">
        <v>294</v>
      </c>
      <c r="G546" s="26" t="s">
        <v>193</v>
      </c>
      <c r="H546" s="26" t="s">
        <v>29</v>
      </c>
      <c r="I546" s="26" t="s">
        <v>1247</v>
      </c>
      <c r="J546" s="26" t="s">
        <v>29</v>
      </c>
    </row>
    <row x14ac:dyDescent="0.25" r="547" customHeight="1" ht="15.75">
      <c r="A547" s="13" t="s">
        <v>129</v>
      </c>
      <c r="B547" s="13" t="s">
        <v>1248</v>
      </c>
      <c r="C547" s="26" t="s">
        <v>1249</v>
      </c>
      <c r="D547" s="26" t="s">
        <v>81</v>
      </c>
      <c r="E547" s="26" t="s">
        <v>78</v>
      </c>
      <c r="F547" s="26" t="s">
        <v>1218</v>
      </c>
      <c r="G547" s="26" t="s">
        <v>548</v>
      </c>
      <c r="H547" s="26" t="s">
        <v>1250</v>
      </c>
      <c r="I547" s="26" t="s">
        <v>1251</v>
      </c>
      <c r="J547" s="26" t="s">
        <v>1250</v>
      </c>
    </row>
    <row x14ac:dyDescent="0.25" r="548" customHeight="1" ht="15.75">
      <c r="A548" s="13" t="s">
        <v>27</v>
      </c>
      <c r="B548" s="13" t="s">
        <v>1252</v>
      </c>
      <c r="C548" s="26" t="s">
        <v>1017</v>
      </c>
      <c r="D548" s="26" t="s">
        <v>549</v>
      </c>
      <c r="E548" s="26" t="s">
        <v>37</v>
      </c>
      <c r="F548" s="26" t="s">
        <v>393</v>
      </c>
      <c r="G548" s="26" t="s">
        <v>393</v>
      </c>
      <c r="H548" s="26" t="s">
        <v>244</v>
      </c>
      <c r="I548" s="26" t="s">
        <v>393</v>
      </c>
      <c r="J548" s="26" t="s">
        <v>29</v>
      </c>
    </row>
    <row x14ac:dyDescent="0.25" r="549" customHeight="1" ht="15.75">
      <c r="A549" s="13" t="s">
        <v>66</v>
      </c>
      <c r="B549" s="13" t="s">
        <v>1253</v>
      </c>
      <c r="C549" s="26" t="s">
        <v>1254</v>
      </c>
      <c r="D549" s="26" t="s">
        <v>80</v>
      </c>
      <c r="E549" s="26" t="s">
        <v>57</v>
      </c>
      <c r="F549" s="26" t="s">
        <v>201</v>
      </c>
      <c r="G549" s="26" t="s">
        <v>29</v>
      </c>
      <c r="H549" s="26" t="s">
        <v>29</v>
      </c>
      <c r="I549" s="26" t="s">
        <v>97</v>
      </c>
      <c r="J549" s="26" t="s">
        <v>29</v>
      </c>
    </row>
    <row x14ac:dyDescent="0.25" r="550" customHeight="1" ht="15.75">
      <c r="A550" s="13" t="s">
        <v>66</v>
      </c>
      <c r="B550" s="13" t="s">
        <v>1255</v>
      </c>
      <c r="C550" s="26" t="s">
        <v>1256</v>
      </c>
      <c r="D550" s="26" t="s">
        <v>344</v>
      </c>
      <c r="E550" s="26" t="s">
        <v>78</v>
      </c>
      <c r="F550" s="26" t="s">
        <v>36</v>
      </c>
      <c r="G550" s="26" t="s">
        <v>29</v>
      </c>
      <c r="H550" s="26" t="s">
        <v>29</v>
      </c>
      <c r="I550" s="26" t="s">
        <v>29</v>
      </c>
      <c r="J550" s="26" t="s">
        <v>29</v>
      </c>
    </row>
    <row x14ac:dyDescent="0.25" r="551" customHeight="1" ht="15.75">
      <c r="A551" s="13" t="s">
        <v>66</v>
      </c>
      <c r="B551" s="13" t="s">
        <v>1257</v>
      </c>
      <c r="C551" s="26" t="s">
        <v>1258</v>
      </c>
      <c r="D551" s="26" t="s">
        <v>31</v>
      </c>
      <c r="E551" s="26" t="s">
        <v>36</v>
      </c>
      <c r="F551" s="26" t="s">
        <v>240</v>
      </c>
      <c r="G551" s="26" t="s">
        <v>332</v>
      </c>
      <c r="H551" s="26" t="s">
        <v>332</v>
      </c>
      <c r="I551" s="26" t="s">
        <v>240</v>
      </c>
      <c r="J551" s="26" t="s">
        <v>29</v>
      </c>
    </row>
    <row x14ac:dyDescent="0.25" r="552" customHeight="1" ht="15.75">
      <c r="A552" s="13" t="s">
        <v>198</v>
      </c>
      <c r="B552" s="13" t="s">
        <v>1259</v>
      </c>
      <c r="C552" s="26" t="s">
        <v>1260</v>
      </c>
      <c r="D552" s="26" t="s">
        <v>42</v>
      </c>
      <c r="E552" s="26" t="s">
        <v>31</v>
      </c>
      <c r="F552" s="26" t="s">
        <v>52</v>
      </c>
      <c r="G552" s="26" t="s">
        <v>150</v>
      </c>
      <c r="H552" s="26" t="s">
        <v>150</v>
      </c>
      <c r="I552" s="26" t="s">
        <v>627</v>
      </c>
      <c r="J552" s="26" t="s">
        <v>29</v>
      </c>
    </row>
    <row x14ac:dyDescent="0.25" r="553" customHeight="1" ht="15.75">
      <c r="A553" s="13" t="s">
        <v>116</v>
      </c>
      <c r="B553" s="13" t="s">
        <v>1261</v>
      </c>
      <c r="C553" s="26" t="s">
        <v>1262</v>
      </c>
      <c r="D553" s="26" t="s">
        <v>54</v>
      </c>
      <c r="E553" s="26" t="s">
        <v>57</v>
      </c>
      <c r="F553" s="26" t="s">
        <v>710</v>
      </c>
      <c r="G553" s="26" t="s">
        <v>29</v>
      </c>
      <c r="H553" s="26" t="s">
        <v>29</v>
      </c>
      <c r="I553" s="26" t="s">
        <v>42</v>
      </c>
      <c r="J553" s="26" t="s">
        <v>29</v>
      </c>
    </row>
    <row x14ac:dyDescent="0.25" r="554" customHeight="1" ht="15.75">
      <c r="A554" s="13" t="s">
        <v>198</v>
      </c>
      <c r="B554" s="13" t="s">
        <v>1263</v>
      </c>
      <c r="C554" s="26" t="s">
        <v>54</v>
      </c>
      <c r="D554" s="26" t="s">
        <v>179</v>
      </c>
      <c r="E554" s="26" t="s">
        <v>81</v>
      </c>
      <c r="F554" s="26" t="s">
        <v>250</v>
      </c>
      <c r="G554" s="26" t="s">
        <v>50</v>
      </c>
      <c r="H554" s="26" t="s">
        <v>250</v>
      </c>
      <c r="I554" s="26" t="s">
        <v>125</v>
      </c>
      <c r="J554" s="26" t="s">
        <v>29</v>
      </c>
    </row>
    <row x14ac:dyDescent="0.25" r="555" customHeight="1" ht="15.75">
      <c r="A555" s="13" t="s">
        <v>184</v>
      </c>
      <c r="B555" s="13" t="s">
        <v>1264</v>
      </c>
      <c r="C555" s="26" t="s">
        <v>1265</v>
      </c>
      <c r="D555" s="26" t="s">
        <v>37</v>
      </c>
      <c r="E555" s="26" t="s">
        <v>34</v>
      </c>
      <c r="F555" s="26" t="s">
        <v>1266</v>
      </c>
      <c r="G555" s="26" t="s">
        <v>203</v>
      </c>
      <c r="H555" s="26" t="s">
        <v>203</v>
      </c>
      <c r="I555" s="26" t="s">
        <v>432</v>
      </c>
      <c r="J555" s="26" t="s">
        <v>29</v>
      </c>
    </row>
    <row x14ac:dyDescent="0.25" r="556" customHeight="1" ht="15.75">
      <c r="A556" s="13" t="s">
        <v>66</v>
      </c>
      <c r="B556" s="13" t="s">
        <v>1267</v>
      </c>
      <c r="C556" s="26" t="s">
        <v>1268</v>
      </c>
      <c r="D556" s="26" t="s">
        <v>1269</v>
      </c>
      <c r="E556" s="26" t="s">
        <v>696</v>
      </c>
      <c r="F556" s="26" t="s">
        <v>1270</v>
      </c>
      <c r="G556" s="26" t="s">
        <v>1271</v>
      </c>
      <c r="H556" s="26" t="s">
        <v>1272</v>
      </c>
      <c r="I556" s="26" t="s">
        <v>433</v>
      </c>
      <c r="J556" s="26" t="s">
        <v>1273</v>
      </c>
    </row>
    <row x14ac:dyDescent="0.25" r="557" customHeight="1" ht="15.75">
      <c r="A557" s="13" t="s">
        <v>91</v>
      </c>
      <c r="B557" s="13" t="s">
        <v>1274</v>
      </c>
      <c r="C557" s="26" t="s">
        <v>1275</v>
      </c>
      <c r="D557" s="26" t="s">
        <v>93</v>
      </c>
      <c r="E557" s="26" t="s">
        <v>37</v>
      </c>
      <c r="F557" s="26" t="s">
        <v>1232</v>
      </c>
      <c r="G557" s="26" t="s">
        <v>754</v>
      </c>
      <c r="H557" s="26" t="s">
        <v>200</v>
      </c>
      <c r="I557" s="26" t="s">
        <v>1232</v>
      </c>
      <c r="J557" s="26" t="s">
        <v>29</v>
      </c>
    </row>
    <row x14ac:dyDescent="0.25" r="558" customHeight="1" ht="15.75">
      <c r="A558" s="13" t="s">
        <v>126</v>
      </c>
      <c r="B558" s="13" t="s">
        <v>1276</v>
      </c>
      <c r="C558" s="26" t="s">
        <v>1277</v>
      </c>
      <c r="D558" s="26" t="s">
        <v>201</v>
      </c>
      <c r="E558" s="26" t="s">
        <v>143</v>
      </c>
      <c r="F558" s="26" t="s">
        <v>439</v>
      </c>
      <c r="G558" s="26" t="s">
        <v>439</v>
      </c>
      <c r="H558" s="26" t="s">
        <v>1278</v>
      </c>
      <c r="I558" s="26" t="s">
        <v>1279</v>
      </c>
      <c r="J558" s="26" t="s">
        <v>29</v>
      </c>
    </row>
    <row x14ac:dyDescent="0.25" r="559" customHeight="1" ht="15.75">
      <c r="A559" s="13" t="s">
        <v>27</v>
      </c>
      <c r="B559" s="13" t="s">
        <v>1280</v>
      </c>
      <c r="C559" s="26" t="s">
        <v>1281</v>
      </c>
      <c r="D559" s="26" t="s">
        <v>97</v>
      </c>
      <c r="E559" s="26" t="s">
        <v>37</v>
      </c>
      <c r="F559" s="26" t="s">
        <v>595</v>
      </c>
      <c r="G559" s="26" t="s">
        <v>1282</v>
      </c>
      <c r="H559" s="26" t="s">
        <v>147</v>
      </c>
      <c r="I559" s="26" t="s">
        <v>1283</v>
      </c>
      <c r="J559" s="26" t="s">
        <v>29</v>
      </c>
    </row>
    <row x14ac:dyDescent="0.25" r="560" customHeight="1" ht="15.75">
      <c r="A560" s="13" t="s">
        <v>66</v>
      </c>
      <c r="B560" s="13" t="s">
        <v>1284</v>
      </c>
      <c r="C560" s="26" t="s">
        <v>1285</v>
      </c>
      <c r="D560" s="26" t="s">
        <v>93</v>
      </c>
      <c r="E560" s="26" t="s">
        <v>57</v>
      </c>
      <c r="F560" s="26" t="s">
        <v>93</v>
      </c>
      <c r="G560" s="26" t="s">
        <v>29</v>
      </c>
      <c r="H560" s="26" t="s">
        <v>29</v>
      </c>
      <c r="I560" s="26" t="s">
        <v>29</v>
      </c>
      <c r="J560" s="26" t="s">
        <v>29</v>
      </c>
    </row>
    <row x14ac:dyDescent="0.25" r="561" customHeight="1" ht="15.75">
      <c r="A561" s="13" t="s">
        <v>69</v>
      </c>
      <c r="B561" s="13" t="s">
        <v>1286</v>
      </c>
      <c r="C561" s="26" t="s">
        <v>1287</v>
      </c>
      <c r="D561" s="26" t="s">
        <v>1288</v>
      </c>
      <c r="E561" s="26" t="s">
        <v>696</v>
      </c>
      <c r="F561" s="26" t="s">
        <v>240</v>
      </c>
      <c r="G561" s="26" t="s">
        <v>1289</v>
      </c>
      <c r="H561" s="26" t="s">
        <v>29</v>
      </c>
      <c r="I561" s="26" t="s">
        <v>354</v>
      </c>
      <c r="J561" s="26" t="s">
        <v>29</v>
      </c>
    </row>
    <row x14ac:dyDescent="0.25" r="562" customHeight="1" ht="15.75">
      <c r="A562" s="13" t="s">
        <v>66</v>
      </c>
      <c r="B562" s="13" t="s">
        <v>1290</v>
      </c>
      <c r="C562" s="26" t="s">
        <v>1291</v>
      </c>
      <c r="D562" s="26" t="s">
        <v>54</v>
      </c>
      <c r="E562" s="26" t="s">
        <v>350</v>
      </c>
      <c r="F562" s="26" t="s">
        <v>318</v>
      </c>
      <c r="G562" s="26" t="s">
        <v>318</v>
      </c>
      <c r="H562" s="26" t="s">
        <v>318</v>
      </c>
      <c r="I562" s="26" t="s">
        <v>29</v>
      </c>
      <c r="J562" s="26" t="s">
        <v>29</v>
      </c>
    </row>
    <row x14ac:dyDescent="0.25" r="563" customHeight="1" ht="15.75">
      <c r="A563" s="13" t="s">
        <v>129</v>
      </c>
      <c r="B563" s="13" t="s">
        <v>1292</v>
      </c>
      <c r="C563" s="26" t="s">
        <v>1293</v>
      </c>
      <c r="D563" s="26" t="s">
        <v>1294</v>
      </c>
      <c r="E563" s="26" t="s">
        <v>57</v>
      </c>
      <c r="F563" s="26" t="s">
        <v>1295</v>
      </c>
      <c r="G563" s="26" t="s">
        <v>1296</v>
      </c>
      <c r="H563" s="26" t="s">
        <v>197</v>
      </c>
      <c r="I563" s="26" t="s">
        <v>426</v>
      </c>
      <c r="J563" s="26" t="s">
        <v>29</v>
      </c>
    </row>
    <row x14ac:dyDescent="0.25" r="564" customHeight="1" ht="15.75">
      <c r="A564" s="13" t="s">
        <v>198</v>
      </c>
      <c r="B564" s="13" t="s">
        <v>1297</v>
      </c>
      <c r="C564" s="26" t="s">
        <v>1298</v>
      </c>
      <c r="D564" s="26" t="s">
        <v>1151</v>
      </c>
      <c r="E564" s="26" t="s">
        <v>78</v>
      </c>
      <c r="F564" s="26" t="s">
        <v>590</v>
      </c>
      <c r="G564" s="26" t="s">
        <v>29</v>
      </c>
      <c r="H564" s="26" t="s">
        <v>29</v>
      </c>
      <c r="I564" s="26" t="s">
        <v>717</v>
      </c>
      <c r="J564" s="26" t="s">
        <v>29</v>
      </c>
    </row>
    <row x14ac:dyDescent="0.25" r="565" customHeight="1" ht="15.75">
      <c r="A565" s="13" t="s">
        <v>129</v>
      </c>
      <c r="B565" s="13" t="s">
        <v>1299</v>
      </c>
      <c r="C565" s="26" t="s">
        <v>1298</v>
      </c>
      <c r="D565" s="26" t="s">
        <v>361</v>
      </c>
      <c r="E565" s="26" t="s">
        <v>37</v>
      </c>
      <c r="F565" s="26" t="s">
        <v>656</v>
      </c>
      <c r="G565" s="26" t="s">
        <v>240</v>
      </c>
      <c r="H565" s="26" t="s">
        <v>29</v>
      </c>
      <c r="I565" s="26" t="s">
        <v>332</v>
      </c>
      <c r="J565" s="26" t="s">
        <v>332</v>
      </c>
    </row>
    <row x14ac:dyDescent="0.25" r="566" customHeight="1" ht="15.75">
      <c r="A566" s="13" t="s">
        <v>116</v>
      </c>
      <c r="B566" s="13" t="s">
        <v>1300</v>
      </c>
      <c r="C566" s="26" t="s">
        <v>1301</v>
      </c>
      <c r="D566" s="26" t="s">
        <v>999</v>
      </c>
      <c r="E566" s="26" t="s">
        <v>57</v>
      </c>
      <c r="F566" s="26" t="s">
        <v>191</v>
      </c>
      <c r="G566" s="26" t="s">
        <v>29</v>
      </c>
      <c r="H566" s="26" t="s">
        <v>29</v>
      </c>
      <c r="I566" s="26" t="s">
        <v>191</v>
      </c>
      <c r="J566" s="26" t="s">
        <v>29</v>
      </c>
    </row>
    <row x14ac:dyDescent="0.25" r="567" customHeight="1" ht="15.75">
      <c r="A567" s="13" t="s">
        <v>66</v>
      </c>
      <c r="B567" s="13" t="s">
        <v>1302</v>
      </c>
      <c r="C567" s="26" t="s">
        <v>1202</v>
      </c>
      <c r="D567" s="26" t="s">
        <v>344</v>
      </c>
      <c r="E567" s="26" t="s">
        <v>88</v>
      </c>
      <c r="F567" s="26" t="s">
        <v>29</v>
      </c>
      <c r="G567" s="26" t="s">
        <v>29</v>
      </c>
      <c r="H567" s="26" t="s">
        <v>29</v>
      </c>
      <c r="I567" s="26" t="s">
        <v>29</v>
      </c>
      <c r="J567" s="26" t="s">
        <v>29</v>
      </c>
    </row>
    <row x14ac:dyDescent="0.25" r="568" customHeight="1" ht="15.75">
      <c r="A568" s="13" t="s">
        <v>126</v>
      </c>
      <c r="B568" s="13" t="s">
        <v>1303</v>
      </c>
      <c r="C568" s="26" t="s">
        <v>1202</v>
      </c>
      <c r="D568" s="26" t="s">
        <v>52</v>
      </c>
      <c r="E568" s="26" t="s">
        <v>57</v>
      </c>
      <c r="F568" s="26" t="s">
        <v>97</v>
      </c>
      <c r="G568" s="26" t="s">
        <v>29</v>
      </c>
      <c r="H568" s="26" t="s">
        <v>29</v>
      </c>
      <c r="I568" s="26" t="s">
        <v>29</v>
      </c>
      <c r="J568" s="26" t="s">
        <v>29</v>
      </c>
    </row>
    <row x14ac:dyDescent="0.25" r="569" customHeight="1" ht="15.75">
      <c r="A569" s="13" t="s">
        <v>227</v>
      </c>
      <c r="B569" s="13" t="s">
        <v>1304</v>
      </c>
      <c r="C569" s="26" t="s">
        <v>1305</v>
      </c>
      <c r="D569" s="26" t="s">
        <v>308</v>
      </c>
      <c r="E569" s="26" t="s">
        <v>57</v>
      </c>
      <c r="F569" s="26" t="s">
        <v>1306</v>
      </c>
      <c r="G569" s="26" t="s">
        <v>1307</v>
      </c>
      <c r="H569" s="26" t="s">
        <v>200</v>
      </c>
      <c r="I569" s="26" t="s">
        <v>483</v>
      </c>
      <c r="J569" s="26" t="s">
        <v>29</v>
      </c>
    </row>
    <row x14ac:dyDescent="0.25" r="570" customHeight="1" ht="15.75">
      <c r="A570" s="13" t="s">
        <v>91</v>
      </c>
      <c r="B570" s="13" t="s">
        <v>1308</v>
      </c>
      <c r="C570" s="26" t="s">
        <v>1309</v>
      </c>
      <c r="D570" s="26" t="s">
        <v>1310</v>
      </c>
      <c r="E570" s="26" t="s">
        <v>37</v>
      </c>
      <c r="F570" s="26" t="s">
        <v>1310</v>
      </c>
      <c r="G570" s="26" t="s">
        <v>1311</v>
      </c>
      <c r="H570" s="26" t="s">
        <v>1311</v>
      </c>
      <c r="I570" s="26" t="s">
        <v>492</v>
      </c>
      <c r="J570" s="26" t="s">
        <v>29</v>
      </c>
    </row>
    <row x14ac:dyDescent="0.25" r="571" customHeight="1" ht="15.75">
      <c r="A571" s="13" t="s">
        <v>391</v>
      </c>
      <c r="B571" s="13" t="s">
        <v>1312</v>
      </c>
      <c r="C571" s="26" t="s">
        <v>927</v>
      </c>
      <c r="D571" s="26" t="s">
        <v>498</v>
      </c>
      <c r="E571" s="26" t="s">
        <v>122</v>
      </c>
      <c r="F571" s="26" t="s">
        <v>29</v>
      </c>
      <c r="G571" s="26" t="s">
        <v>29</v>
      </c>
      <c r="H571" s="26" t="s">
        <v>29</v>
      </c>
      <c r="I571" s="26" t="s">
        <v>42</v>
      </c>
      <c r="J571" s="26" t="s">
        <v>29</v>
      </c>
    </row>
    <row x14ac:dyDescent="0.25" r="572" customHeight="1" ht="15.75">
      <c r="A572" s="13" t="s">
        <v>116</v>
      </c>
      <c r="B572" s="13" t="s">
        <v>1313</v>
      </c>
      <c r="C572" s="26" t="s">
        <v>1314</v>
      </c>
      <c r="D572" s="26" t="s">
        <v>573</v>
      </c>
      <c r="E572" s="26" t="s">
        <v>88</v>
      </c>
      <c r="F572" s="26" t="s">
        <v>47</v>
      </c>
      <c r="G572" s="26" t="s">
        <v>694</v>
      </c>
      <c r="H572" s="26" t="s">
        <v>581</v>
      </c>
      <c r="I572" s="26" t="s">
        <v>433</v>
      </c>
      <c r="J572" s="26" t="s">
        <v>29</v>
      </c>
    </row>
    <row x14ac:dyDescent="0.25" r="573" customHeight="1" ht="15.75">
      <c r="A573" s="13" t="s">
        <v>103</v>
      </c>
      <c r="B573" s="13" t="s">
        <v>1315</v>
      </c>
      <c r="C573" s="26" t="s">
        <v>1316</v>
      </c>
      <c r="D573" s="26" t="s">
        <v>1317</v>
      </c>
      <c r="E573" s="26" t="s">
        <v>31</v>
      </c>
      <c r="F573" s="26" t="s">
        <v>1318</v>
      </c>
      <c r="G573" s="26" t="s">
        <v>1319</v>
      </c>
      <c r="H573" s="26" t="s">
        <v>1320</v>
      </c>
      <c r="I573" s="26" t="s">
        <v>1321</v>
      </c>
      <c r="J573" s="26" t="s">
        <v>1320</v>
      </c>
    </row>
    <row x14ac:dyDescent="0.25" r="574" customHeight="1" ht="15.75">
      <c r="A574" s="13" t="s">
        <v>129</v>
      </c>
      <c r="B574" s="13" t="s">
        <v>1322</v>
      </c>
      <c r="C574" s="26" t="s">
        <v>1323</v>
      </c>
      <c r="D574" s="26" t="s">
        <v>87</v>
      </c>
      <c r="E574" s="26" t="s">
        <v>57</v>
      </c>
      <c r="F574" s="26" t="s">
        <v>311</v>
      </c>
      <c r="G574" s="26" t="s">
        <v>29</v>
      </c>
      <c r="H574" s="26" t="s">
        <v>29</v>
      </c>
      <c r="I574" s="26" t="s">
        <v>311</v>
      </c>
      <c r="J574" s="26" t="s">
        <v>29</v>
      </c>
    </row>
    <row x14ac:dyDescent="0.25" r="575" customHeight="1" ht="15.75">
      <c r="A575" s="13" t="s">
        <v>184</v>
      </c>
      <c r="B575" s="13" t="s">
        <v>1324</v>
      </c>
      <c r="C575" s="26" t="s">
        <v>1325</v>
      </c>
      <c r="D575" s="26" t="s">
        <v>210</v>
      </c>
      <c r="E575" s="26" t="s">
        <v>88</v>
      </c>
      <c r="F575" s="26" t="s">
        <v>1326</v>
      </c>
      <c r="G575" s="26" t="s">
        <v>1278</v>
      </c>
      <c r="H575" s="26" t="s">
        <v>29</v>
      </c>
      <c r="I575" s="26" t="s">
        <v>439</v>
      </c>
      <c r="J575" s="26" t="s">
        <v>29</v>
      </c>
    </row>
    <row x14ac:dyDescent="0.25" r="576" customHeight="1" ht="15.75">
      <c r="A576" s="13" t="s">
        <v>66</v>
      </c>
      <c r="B576" s="13" t="s">
        <v>1327</v>
      </c>
      <c r="C576" s="26" t="s">
        <v>1325</v>
      </c>
      <c r="D576" s="26" t="s">
        <v>1328</v>
      </c>
      <c r="E576" s="26" t="s">
        <v>57</v>
      </c>
      <c r="F576" s="26" t="s">
        <v>1329</v>
      </c>
      <c r="G576" s="26" t="s">
        <v>1329</v>
      </c>
      <c r="H576" s="26" t="s">
        <v>1330</v>
      </c>
      <c r="I576" s="26" t="s">
        <v>1331</v>
      </c>
      <c r="J576" s="26" t="s">
        <v>1330</v>
      </c>
    </row>
    <row x14ac:dyDescent="0.25" r="577" customHeight="1" ht="15.75">
      <c r="A577" s="13" t="s">
        <v>116</v>
      </c>
      <c r="B577" s="13" t="s">
        <v>1332</v>
      </c>
      <c r="C577" s="26" t="s">
        <v>1333</v>
      </c>
      <c r="D577" s="26" t="s">
        <v>1153</v>
      </c>
      <c r="E577" s="26" t="s">
        <v>34</v>
      </c>
      <c r="F577" s="26" t="s">
        <v>29</v>
      </c>
      <c r="G577" s="26" t="s">
        <v>29</v>
      </c>
      <c r="H577" s="26" t="s">
        <v>29</v>
      </c>
      <c r="I577" s="26" t="s">
        <v>99</v>
      </c>
      <c r="J577" s="26" t="s">
        <v>29</v>
      </c>
    </row>
    <row x14ac:dyDescent="0.25" r="578" customHeight="1" ht="15.75">
      <c r="A578" s="13" t="s">
        <v>27</v>
      </c>
      <c r="B578" s="13" t="s">
        <v>1334</v>
      </c>
      <c r="C578" s="26" t="s">
        <v>1335</v>
      </c>
      <c r="D578" s="26" t="s">
        <v>857</v>
      </c>
      <c r="E578" s="26" t="s">
        <v>350</v>
      </c>
      <c r="F578" s="26" t="s">
        <v>84</v>
      </c>
      <c r="G578" s="26" t="s">
        <v>176</v>
      </c>
      <c r="H578" s="26" t="s">
        <v>29</v>
      </c>
      <c r="I578" s="26" t="s">
        <v>216</v>
      </c>
      <c r="J578" s="26" t="s">
        <v>29</v>
      </c>
    </row>
    <row x14ac:dyDescent="0.25" r="579" customHeight="1" ht="15.75">
      <c r="A579" s="13" t="s">
        <v>227</v>
      </c>
      <c r="B579" s="13" t="s">
        <v>1336</v>
      </c>
      <c r="C579" s="26" t="s">
        <v>1337</v>
      </c>
      <c r="D579" s="26" t="s">
        <v>143</v>
      </c>
      <c r="E579" s="26" t="s">
        <v>34</v>
      </c>
      <c r="F579" s="26" t="s">
        <v>259</v>
      </c>
      <c r="G579" s="26" t="s">
        <v>612</v>
      </c>
      <c r="H579" s="26" t="s">
        <v>615</v>
      </c>
      <c r="I579" s="26" t="s">
        <v>259</v>
      </c>
      <c r="J579" s="26" t="s">
        <v>29</v>
      </c>
    </row>
    <row x14ac:dyDescent="0.25" r="580" customHeight="1" ht="15.75">
      <c r="A580" s="13" t="s">
        <v>227</v>
      </c>
      <c r="B580" s="13" t="s">
        <v>1338</v>
      </c>
      <c r="C580" s="26" t="s">
        <v>1339</v>
      </c>
      <c r="D580" s="26" t="s">
        <v>809</v>
      </c>
      <c r="E580" s="26" t="s">
        <v>57</v>
      </c>
      <c r="F580" s="26" t="s">
        <v>490</v>
      </c>
      <c r="G580" s="26" t="s">
        <v>42</v>
      </c>
      <c r="H580" s="26" t="s">
        <v>295</v>
      </c>
      <c r="I580" s="26" t="s">
        <v>490</v>
      </c>
      <c r="J580" s="26" t="s">
        <v>29</v>
      </c>
    </row>
    <row x14ac:dyDescent="0.25" r="581" customHeight="1" ht="15.75">
      <c r="A581" s="13" t="s">
        <v>227</v>
      </c>
      <c r="B581" s="13" t="s">
        <v>1340</v>
      </c>
      <c r="C581" s="26" t="s">
        <v>1341</v>
      </c>
      <c r="D581" s="26" t="s">
        <v>999</v>
      </c>
      <c r="E581" s="26" t="s">
        <v>37</v>
      </c>
      <c r="F581" s="26" t="s">
        <v>1342</v>
      </c>
      <c r="G581" s="26" t="s">
        <v>341</v>
      </c>
      <c r="H581" s="26" t="s">
        <v>29</v>
      </c>
      <c r="I581" s="26" t="s">
        <v>29</v>
      </c>
      <c r="J581" s="26" t="s">
        <v>29</v>
      </c>
    </row>
    <row x14ac:dyDescent="0.25" r="582" customHeight="1" ht="15.75">
      <c r="A582" s="13" t="s">
        <v>66</v>
      </c>
      <c r="B582" s="13" t="s">
        <v>1343</v>
      </c>
      <c r="C582" s="26" t="s">
        <v>1344</v>
      </c>
      <c r="D582" s="26" t="s">
        <v>1345</v>
      </c>
      <c r="E582" s="26" t="s">
        <v>37</v>
      </c>
      <c r="F582" s="26" t="s">
        <v>29</v>
      </c>
      <c r="G582" s="26" t="s">
        <v>29</v>
      </c>
      <c r="H582" s="26" t="s">
        <v>29</v>
      </c>
      <c r="I582" s="26" t="s">
        <v>403</v>
      </c>
      <c r="J582" s="26" t="s">
        <v>29</v>
      </c>
    </row>
    <row x14ac:dyDescent="0.25" r="583" customHeight="1" ht="15.75">
      <c r="A583" s="13" t="s">
        <v>129</v>
      </c>
      <c r="B583" s="13" t="s">
        <v>1346</v>
      </c>
      <c r="C583" s="26" t="s">
        <v>573</v>
      </c>
      <c r="D583" s="26" t="s">
        <v>1347</v>
      </c>
      <c r="E583" s="26" t="s">
        <v>1348</v>
      </c>
      <c r="F583" s="26" t="s">
        <v>37</v>
      </c>
      <c r="G583" s="26" t="s">
        <v>50</v>
      </c>
      <c r="H583" s="26" t="s">
        <v>341</v>
      </c>
      <c r="I583" s="26" t="s">
        <v>1349</v>
      </c>
      <c r="J583" s="26" t="s">
        <v>29</v>
      </c>
    </row>
    <row x14ac:dyDescent="0.25" r="584" customHeight="1" ht="15.75">
      <c r="A584" s="13" t="s">
        <v>66</v>
      </c>
      <c r="B584" s="13" t="s">
        <v>1350</v>
      </c>
      <c r="C584" s="26" t="s">
        <v>1351</v>
      </c>
      <c r="D584" s="26" t="s">
        <v>897</v>
      </c>
      <c r="E584" s="26" t="s">
        <v>57</v>
      </c>
      <c r="F584" s="26" t="s">
        <v>1352</v>
      </c>
      <c r="G584" s="26" t="s">
        <v>1105</v>
      </c>
      <c r="H584" s="26" t="s">
        <v>1353</v>
      </c>
      <c r="I584" s="26" t="s">
        <v>1354</v>
      </c>
      <c r="J584" s="26" t="s">
        <v>29</v>
      </c>
    </row>
    <row x14ac:dyDescent="0.25" r="585" customHeight="1" ht="15.75">
      <c r="A585" s="13" t="s">
        <v>69</v>
      </c>
      <c r="B585" s="13" t="s">
        <v>1355</v>
      </c>
      <c r="C585" s="26" t="s">
        <v>1356</v>
      </c>
      <c r="D585" s="26" t="s">
        <v>897</v>
      </c>
      <c r="E585" s="26" t="s">
        <v>201</v>
      </c>
      <c r="F585" s="26" t="s">
        <v>1354</v>
      </c>
      <c r="G585" s="26" t="s">
        <v>1106</v>
      </c>
      <c r="H585" s="26" t="s">
        <v>1357</v>
      </c>
      <c r="I585" s="26" t="s">
        <v>421</v>
      </c>
      <c r="J585" s="26" t="s">
        <v>1357</v>
      </c>
    </row>
    <row x14ac:dyDescent="0.25" r="586" customHeight="1" ht="15.75">
      <c r="A586" s="13" t="s">
        <v>184</v>
      </c>
      <c r="B586" s="13" t="s">
        <v>1358</v>
      </c>
      <c r="C586" s="26" t="s">
        <v>1359</v>
      </c>
      <c r="D586" s="26" t="s">
        <v>1218</v>
      </c>
      <c r="E586" s="26" t="s">
        <v>122</v>
      </c>
      <c r="F586" s="26" t="s">
        <v>1251</v>
      </c>
      <c r="G586" s="26" t="s">
        <v>1360</v>
      </c>
      <c r="H586" s="26" t="s">
        <v>29</v>
      </c>
      <c r="I586" s="26" t="s">
        <v>1250</v>
      </c>
      <c r="J586" s="26" t="s">
        <v>29</v>
      </c>
    </row>
    <row x14ac:dyDescent="0.25" r="587" customHeight="1" ht="15.75">
      <c r="A587" s="13" t="s">
        <v>27</v>
      </c>
      <c r="B587" s="13" t="s">
        <v>1361</v>
      </c>
      <c r="C587" s="26" t="s">
        <v>1008</v>
      </c>
      <c r="D587" s="26" t="s">
        <v>302</v>
      </c>
      <c r="E587" s="26" t="s">
        <v>510</v>
      </c>
      <c r="F587" s="26" t="s">
        <v>838</v>
      </c>
      <c r="G587" s="26" t="s">
        <v>1362</v>
      </c>
      <c r="H587" s="26" t="s">
        <v>29</v>
      </c>
      <c r="I587" s="26" t="s">
        <v>1030</v>
      </c>
      <c r="J587" s="26" t="s">
        <v>1030</v>
      </c>
    </row>
    <row x14ac:dyDescent="0.25" r="588" customHeight="1" ht="15.75">
      <c r="A588" s="13" t="s">
        <v>66</v>
      </c>
      <c r="B588" s="13" t="s">
        <v>1363</v>
      </c>
      <c r="C588" s="26" t="s">
        <v>1212</v>
      </c>
      <c r="D588" s="26" t="s">
        <v>685</v>
      </c>
      <c r="E588" s="26" t="s">
        <v>37</v>
      </c>
      <c r="F588" s="26" t="s">
        <v>612</v>
      </c>
      <c r="G588" s="26" t="s">
        <v>191</v>
      </c>
      <c r="H588" s="26" t="s">
        <v>1364</v>
      </c>
      <c r="I588" s="26" t="s">
        <v>1365</v>
      </c>
      <c r="J588" s="26" t="s">
        <v>29</v>
      </c>
    </row>
    <row x14ac:dyDescent="0.25" r="589" customHeight="1" ht="15.75">
      <c r="A589" s="13" t="s">
        <v>69</v>
      </c>
      <c r="B589" s="13" t="s">
        <v>1366</v>
      </c>
      <c r="C589" s="26" t="s">
        <v>1367</v>
      </c>
      <c r="D589" s="26" t="s">
        <v>37</v>
      </c>
      <c r="E589" s="26" t="s">
        <v>57</v>
      </c>
      <c r="F589" s="26" t="s">
        <v>135</v>
      </c>
      <c r="G589" s="26" t="s">
        <v>29</v>
      </c>
      <c r="H589" s="26" t="s">
        <v>29</v>
      </c>
      <c r="I589" s="26" t="s">
        <v>29</v>
      </c>
      <c r="J589" s="26" t="s">
        <v>29</v>
      </c>
    </row>
    <row x14ac:dyDescent="0.25" r="590" customHeight="1" ht="15.75">
      <c r="A590" s="13" t="s">
        <v>69</v>
      </c>
      <c r="B590" s="13" t="s">
        <v>1368</v>
      </c>
      <c r="C590" s="26" t="s">
        <v>1369</v>
      </c>
      <c r="D590" s="26" t="s">
        <v>204</v>
      </c>
      <c r="E590" s="26" t="s">
        <v>201</v>
      </c>
      <c r="F590" s="26" t="s">
        <v>674</v>
      </c>
      <c r="G590" s="26" t="s">
        <v>29</v>
      </c>
      <c r="H590" s="26" t="s">
        <v>29</v>
      </c>
      <c r="I590" s="26" t="s">
        <v>29</v>
      </c>
      <c r="J590" s="26" t="s">
        <v>29</v>
      </c>
    </row>
    <row x14ac:dyDescent="0.25" r="591" customHeight="1" ht="15.75">
      <c r="A591" s="13" t="s">
        <v>103</v>
      </c>
      <c r="B591" s="13" t="s">
        <v>1370</v>
      </c>
      <c r="C591" s="26" t="s">
        <v>1371</v>
      </c>
      <c r="D591" s="26" t="s">
        <v>29</v>
      </c>
      <c r="E591" s="26" t="s">
        <v>122</v>
      </c>
      <c r="F591" s="26" t="s">
        <v>201</v>
      </c>
      <c r="G591" s="26" t="s">
        <v>29</v>
      </c>
      <c r="H591" s="26" t="s">
        <v>29</v>
      </c>
      <c r="I591" s="26" t="s">
        <v>150</v>
      </c>
      <c r="J591" s="26" t="s">
        <v>29</v>
      </c>
    </row>
    <row x14ac:dyDescent="0.25" r="592" customHeight="1" ht="15.75">
      <c r="A592" s="13" t="s">
        <v>129</v>
      </c>
      <c r="B592" s="13" t="s">
        <v>1372</v>
      </c>
      <c r="C592" s="26" t="s">
        <v>1373</v>
      </c>
      <c r="D592" s="26" t="s">
        <v>93</v>
      </c>
      <c r="E592" s="26" t="s">
        <v>31</v>
      </c>
      <c r="F592" s="26" t="s">
        <v>47</v>
      </c>
      <c r="G592" s="26" t="s">
        <v>433</v>
      </c>
      <c r="H592" s="26" t="s">
        <v>1374</v>
      </c>
      <c r="I592" s="26" t="s">
        <v>50</v>
      </c>
      <c r="J592" s="26" t="s">
        <v>29</v>
      </c>
    </row>
    <row x14ac:dyDescent="0.25" r="593" customHeight="1" ht="15.75">
      <c r="A593" s="13" t="s">
        <v>109</v>
      </c>
      <c r="B593" s="13" t="s">
        <v>1375</v>
      </c>
      <c r="C593" s="26" t="s">
        <v>1376</v>
      </c>
      <c r="D593" s="26" t="s">
        <v>331</v>
      </c>
      <c r="E593" s="26" t="s">
        <v>37</v>
      </c>
      <c r="F593" s="26" t="s">
        <v>308</v>
      </c>
      <c r="G593" s="26" t="s">
        <v>99</v>
      </c>
      <c r="H593" s="26" t="s">
        <v>29</v>
      </c>
      <c r="I593" s="26" t="s">
        <v>308</v>
      </c>
      <c r="J593" s="26" t="s">
        <v>29</v>
      </c>
    </row>
    <row x14ac:dyDescent="0.25" r="594" customHeight="1" ht="15.75">
      <c r="A594" s="13" t="s">
        <v>129</v>
      </c>
      <c r="B594" s="13" t="s">
        <v>1377</v>
      </c>
      <c r="C594" s="26" t="s">
        <v>1378</v>
      </c>
      <c r="D594" s="26" t="s">
        <v>201</v>
      </c>
      <c r="E594" s="26" t="s">
        <v>93</v>
      </c>
      <c r="F594" s="26" t="s">
        <v>1379</v>
      </c>
      <c r="G594" s="26" t="s">
        <v>360</v>
      </c>
      <c r="H594" s="26" t="s">
        <v>170</v>
      </c>
      <c r="I594" s="26" t="s">
        <v>731</v>
      </c>
      <c r="J594" s="26" t="s">
        <v>170</v>
      </c>
    </row>
    <row x14ac:dyDescent="0.25" r="595" customHeight="1" ht="15.75">
      <c r="A595" s="13" t="s">
        <v>116</v>
      </c>
      <c r="B595" s="13" t="s">
        <v>1380</v>
      </c>
      <c r="C595" s="26" t="s">
        <v>1381</v>
      </c>
      <c r="D595" s="26" t="s">
        <v>361</v>
      </c>
      <c r="E595" s="26" t="s">
        <v>88</v>
      </c>
      <c r="F595" s="26" t="s">
        <v>93</v>
      </c>
      <c r="G595" s="26" t="s">
        <v>135</v>
      </c>
      <c r="H595" s="26" t="s">
        <v>135</v>
      </c>
      <c r="I595" s="26" t="s">
        <v>1241</v>
      </c>
      <c r="J595" s="26" t="s">
        <v>29</v>
      </c>
    </row>
    <row x14ac:dyDescent="0.25" r="596" customHeight="1" ht="15.75">
      <c r="A596" s="13" t="s">
        <v>227</v>
      </c>
      <c r="B596" s="13" t="s">
        <v>1382</v>
      </c>
      <c r="C596" s="26" t="s">
        <v>31</v>
      </c>
      <c r="D596" s="26" t="s">
        <v>166</v>
      </c>
      <c r="E596" s="26" t="s">
        <v>34</v>
      </c>
      <c r="F596" s="26" t="s">
        <v>641</v>
      </c>
      <c r="G596" s="26" t="s">
        <v>433</v>
      </c>
      <c r="H596" s="26" t="s">
        <v>29</v>
      </c>
      <c r="I596" s="26" t="s">
        <v>29</v>
      </c>
      <c r="J596" s="26" t="s">
        <v>29</v>
      </c>
    </row>
    <row x14ac:dyDescent="0.25" r="597" customHeight="1" ht="15.75">
      <c r="A597" s="13" t="s">
        <v>391</v>
      </c>
      <c r="B597" s="13" t="s">
        <v>1383</v>
      </c>
      <c r="C597" s="26" t="s">
        <v>31</v>
      </c>
      <c r="D597" s="26" t="s">
        <v>81</v>
      </c>
      <c r="E597" s="26" t="s">
        <v>34</v>
      </c>
      <c r="F597" s="26" t="s">
        <v>29</v>
      </c>
      <c r="G597" s="26" t="s">
        <v>34</v>
      </c>
      <c r="H597" s="26" t="s">
        <v>29</v>
      </c>
      <c r="I597" s="26" t="s">
        <v>29</v>
      </c>
      <c r="J597" s="26" t="s">
        <v>29</v>
      </c>
    </row>
    <row x14ac:dyDescent="0.25" r="598" customHeight="1" ht="15.75">
      <c r="A598" s="13" t="s">
        <v>66</v>
      </c>
      <c r="B598" s="13" t="s">
        <v>1384</v>
      </c>
      <c r="C598" s="26" t="s">
        <v>1385</v>
      </c>
      <c r="D598" s="26" t="s">
        <v>656</v>
      </c>
      <c r="E598" s="26" t="s">
        <v>37</v>
      </c>
      <c r="F598" s="26" t="s">
        <v>244</v>
      </c>
      <c r="G598" s="26" t="s">
        <v>29</v>
      </c>
      <c r="H598" s="26" t="s">
        <v>29</v>
      </c>
      <c r="I598" s="26" t="s">
        <v>244</v>
      </c>
      <c r="J598" s="26" t="s">
        <v>29</v>
      </c>
    </row>
    <row x14ac:dyDescent="0.25" r="599" customHeight="1" ht="15.75">
      <c r="A599" s="13" t="s">
        <v>184</v>
      </c>
      <c r="B599" s="13" t="s">
        <v>1386</v>
      </c>
      <c r="C599" s="26" t="s">
        <v>1387</v>
      </c>
      <c r="D599" s="26" t="s">
        <v>36</v>
      </c>
      <c r="E599" s="26" t="s">
        <v>43</v>
      </c>
      <c r="F599" s="26" t="s">
        <v>1020</v>
      </c>
      <c r="G599" s="26" t="s">
        <v>191</v>
      </c>
      <c r="H599" s="26" t="s">
        <v>507</v>
      </c>
      <c r="I599" s="26" t="s">
        <v>52</v>
      </c>
      <c r="J599" s="26" t="s">
        <v>29</v>
      </c>
    </row>
    <row x14ac:dyDescent="0.25" r="600" customHeight="1" ht="15.75">
      <c r="A600" s="13" t="s">
        <v>184</v>
      </c>
      <c r="B600" s="13" t="s">
        <v>1388</v>
      </c>
      <c r="C600" s="26" t="s">
        <v>1389</v>
      </c>
      <c r="D600" s="26" t="s">
        <v>1390</v>
      </c>
      <c r="E600" s="26" t="s">
        <v>37</v>
      </c>
      <c r="F600" s="26" t="s">
        <v>1085</v>
      </c>
      <c r="G600" s="26" t="s">
        <v>1391</v>
      </c>
      <c r="H600" s="26" t="s">
        <v>1036</v>
      </c>
      <c r="I600" s="26" t="s">
        <v>1112</v>
      </c>
      <c r="J600" s="26" t="s">
        <v>29</v>
      </c>
    </row>
    <row x14ac:dyDescent="0.25" r="601" customHeight="1" ht="15.75">
      <c r="A601" s="13" t="s">
        <v>103</v>
      </c>
      <c r="B601" s="13" t="s">
        <v>1392</v>
      </c>
      <c r="C601" s="26" t="s">
        <v>1393</v>
      </c>
      <c r="D601" s="26" t="s">
        <v>29</v>
      </c>
      <c r="E601" s="26" t="s">
        <v>34</v>
      </c>
      <c r="F601" s="26" t="s">
        <v>308</v>
      </c>
      <c r="G601" s="26" t="s">
        <v>99</v>
      </c>
      <c r="H601" s="26" t="s">
        <v>29</v>
      </c>
      <c r="I601" s="26" t="s">
        <v>99</v>
      </c>
      <c r="J601" s="26" t="s">
        <v>29</v>
      </c>
    </row>
    <row x14ac:dyDescent="0.25" r="602" customHeight="1" ht="15.75">
      <c r="A602" s="13" t="s">
        <v>116</v>
      </c>
      <c r="B602" s="13" t="s">
        <v>1394</v>
      </c>
      <c r="C602" s="26" t="s">
        <v>1395</v>
      </c>
      <c r="D602" s="26" t="s">
        <v>498</v>
      </c>
      <c r="E602" s="26" t="s">
        <v>34</v>
      </c>
      <c r="F602" s="26" t="s">
        <v>150</v>
      </c>
      <c r="G602" s="26" t="s">
        <v>29</v>
      </c>
      <c r="H602" s="26" t="s">
        <v>29</v>
      </c>
      <c r="I602" s="26" t="s">
        <v>29</v>
      </c>
      <c r="J602" s="26" t="s">
        <v>29</v>
      </c>
    </row>
    <row x14ac:dyDescent="0.25" r="603" customHeight="1" ht="15.75">
      <c r="A603" s="13" t="s">
        <v>116</v>
      </c>
      <c r="B603" s="13" t="s">
        <v>1396</v>
      </c>
      <c r="C603" s="26" t="s">
        <v>1395</v>
      </c>
      <c r="D603" s="26" t="s">
        <v>468</v>
      </c>
      <c r="E603" s="26" t="s">
        <v>88</v>
      </c>
      <c r="F603" s="26" t="s">
        <v>201</v>
      </c>
      <c r="G603" s="26" t="s">
        <v>97</v>
      </c>
      <c r="H603" s="26" t="s">
        <v>29</v>
      </c>
      <c r="I603" s="26" t="s">
        <v>29</v>
      </c>
      <c r="J603" s="26" t="s">
        <v>29</v>
      </c>
    </row>
    <row x14ac:dyDescent="0.25" r="604" customHeight="1" ht="15.75">
      <c r="A604" s="13" t="s">
        <v>91</v>
      </c>
      <c r="B604" s="13" t="s">
        <v>1397</v>
      </c>
      <c r="C604" s="26" t="s">
        <v>1398</v>
      </c>
      <c r="D604" s="26" t="s">
        <v>1399</v>
      </c>
      <c r="E604" s="26" t="s">
        <v>34</v>
      </c>
      <c r="F604" s="26" t="s">
        <v>204</v>
      </c>
      <c r="G604" s="26" t="s">
        <v>387</v>
      </c>
      <c r="H604" s="26" t="s">
        <v>29</v>
      </c>
      <c r="I604" s="26" t="s">
        <v>191</v>
      </c>
      <c r="J604" s="26" t="s">
        <v>29</v>
      </c>
    </row>
    <row x14ac:dyDescent="0.25" r="605" customHeight="1" ht="15.75">
      <c r="A605" s="13" t="s">
        <v>391</v>
      </c>
      <c r="B605" s="13" t="s">
        <v>1400</v>
      </c>
      <c r="C605" s="26" t="s">
        <v>1401</v>
      </c>
      <c r="D605" s="26" t="s">
        <v>143</v>
      </c>
      <c r="E605" s="26" t="s">
        <v>34</v>
      </c>
      <c r="F605" s="26" t="s">
        <v>29</v>
      </c>
      <c r="G605" s="26" t="s">
        <v>29</v>
      </c>
      <c r="H605" s="26" t="s">
        <v>29</v>
      </c>
      <c r="I605" s="26" t="s">
        <v>42</v>
      </c>
      <c r="J605" s="26" t="s">
        <v>29</v>
      </c>
    </row>
    <row x14ac:dyDescent="0.25" r="606" customHeight="1" ht="15.75">
      <c r="A606" s="13" t="s">
        <v>27</v>
      </c>
      <c r="B606" s="13" t="s">
        <v>1402</v>
      </c>
      <c r="C606" s="26" t="s">
        <v>1403</v>
      </c>
      <c r="D606" s="26" t="s">
        <v>460</v>
      </c>
      <c r="E606" s="26" t="s">
        <v>350</v>
      </c>
      <c r="F606" s="26" t="s">
        <v>204</v>
      </c>
      <c r="G606" s="26" t="s">
        <v>208</v>
      </c>
      <c r="H606" s="26" t="s">
        <v>29</v>
      </c>
      <c r="I606" s="26" t="s">
        <v>208</v>
      </c>
      <c r="J606" s="26" t="s">
        <v>29</v>
      </c>
    </row>
    <row x14ac:dyDescent="0.25" r="607" customHeight="1" ht="15.75">
      <c r="A607" s="13" t="s">
        <v>66</v>
      </c>
      <c r="B607" s="13" t="s">
        <v>1404</v>
      </c>
      <c r="C607" s="26" t="s">
        <v>1403</v>
      </c>
      <c r="D607" s="26" t="s">
        <v>29</v>
      </c>
      <c r="E607" s="26" t="s">
        <v>34</v>
      </c>
      <c r="F607" s="26" t="s">
        <v>29</v>
      </c>
      <c r="G607" s="26" t="s">
        <v>29</v>
      </c>
      <c r="H607" s="26" t="s">
        <v>29</v>
      </c>
      <c r="I607" s="26" t="s">
        <v>31</v>
      </c>
      <c r="J607" s="26" t="s">
        <v>29</v>
      </c>
    </row>
    <row x14ac:dyDescent="0.25" r="608" customHeight="1" ht="15.75">
      <c r="A608" s="13" t="s">
        <v>129</v>
      </c>
      <c r="B608" s="13" t="s">
        <v>1405</v>
      </c>
      <c r="C608" s="26" t="s">
        <v>1403</v>
      </c>
      <c r="D608" s="26" t="s">
        <v>331</v>
      </c>
      <c r="E608" s="26" t="s">
        <v>57</v>
      </c>
      <c r="F608" s="26" t="s">
        <v>125</v>
      </c>
      <c r="G608" s="26" t="s">
        <v>29</v>
      </c>
      <c r="H608" s="26" t="s">
        <v>29</v>
      </c>
      <c r="I608" s="26" t="s">
        <v>50</v>
      </c>
      <c r="J608" s="26" t="s">
        <v>250</v>
      </c>
    </row>
    <row x14ac:dyDescent="0.25" r="609" customHeight="1" ht="15.75">
      <c r="A609" s="13" t="s">
        <v>126</v>
      </c>
      <c r="B609" s="13" t="s">
        <v>1406</v>
      </c>
      <c r="C609" s="26" t="s">
        <v>1407</v>
      </c>
      <c r="D609" s="26" t="s">
        <v>50</v>
      </c>
      <c r="E609" s="26" t="s">
        <v>34</v>
      </c>
      <c r="F609" s="26" t="s">
        <v>191</v>
      </c>
      <c r="G609" s="26" t="s">
        <v>29</v>
      </c>
      <c r="H609" s="26" t="s">
        <v>29</v>
      </c>
      <c r="I609" s="26" t="s">
        <v>29</v>
      </c>
      <c r="J609" s="26" t="s">
        <v>29</v>
      </c>
    </row>
    <row x14ac:dyDescent="0.25" r="610" customHeight="1" ht="15.75">
      <c r="A610" s="13" t="s">
        <v>391</v>
      </c>
      <c r="B610" s="13" t="s">
        <v>1408</v>
      </c>
      <c r="C610" s="26" t="s">
        <v>1407</v>
      </c>
      <c r="D610" s="26" t="s">
        <v>503</v>
      </c>
      <c r="E610" s="26" t="s">
        <v>81</v>
      </c>
      <c r="F610" s="26" t="s">
        <v>191</v>
      </c>
      <c r="G610" s="26" t="s">
        <v>29</v>
      </c>
      <c r="H610" s="26" t="s">
        <v>29</v>
      </c>
      <c r="I610" s="26" t="s">
        <v>78</v>
      </c>
      <c r="J610" s="26" t="s">
        <v>29</v>
      </c>
    </row>
    <row x14ac:dyDescent="0.25" r="611" customHeight="1" ht="15.75">
      <c r="A611" s="13" t="s">
        <v>27</v>
      </c>
      <c r="B611" s="13" t="s">
        <v>1409</v>
      </c>
      <c r="C611" s="26" t="s">
        <v>1410</v>
      </c>
      <c r="D611" s="26" t="s">
        <v>259</v>
      </c>
      <c r="E611" s="26" t="s">
        <v>37</v>
      </c>
      <c r="F611" s="26" t="s">
        <v>1310</v>
      </c>
      <c r="G611" s="26" t="s">
        <v>203</v>
      </c>
      <c r="H611" s="26" t="s">
        <v>203</v>
      </c>
      <c r="I611" s="26" t="s">
        <v>203</v>
      </c>
      <c r="J611" s="26" t="s">
        <v>29</v>
      </c>
    </row>
    <row x14ac:dyDescent="0.25" r="612" customHeight="1" ht="15.75">
      <c r="A612" s="13" t="s">
        <v>512</v>
      </c>
      <c r="B612" s="13" t="s">
        <v>1411</v>
      </c>
      <c r="C612" s="26" t="s">
        <v>914</v>
      </c>
      <c r="D612" s="26" t="s">
        <v>443</v>
      </c>
      <c r="E612" s="26" t="s">
        <v>122</v>
      </c>
      <c r="F612" s="26" t="s">
        <v>97</v>
      </c>
      <c r="G612" s="26" t="s">
        <v>97</v>
      </c>
      <c r="H612" s="26" t="s">
        <v>29</v>
      </c>
      <c r="I612" s="26" t="s">
        <v>118</v>
      </c>
      <c r="J612" s="26" t="s">
        <v>29</v>
      </c>
    </row>
    <row x14ac:dyDescent="0.25" r="613" customHeight="1" ht="15.75">
      <c r="A613" s="13" t="s">
        <v>66</v>
      </c>
      <c r="B613" s="13" t="s">
        <v>1412</v>
      </c>
      <c r="C613" s="26" t="s">
        <v>1413</v>
      </c>
      <c r="D613" s="26" t="s">
        <v>1241</v>
      </c>
      <c r="E613" s="26" t="s">
        <v>78</v>
      </c>
      <c r="F613" s="26" t="s">
        <v>754</v>
      </c>
      <c r="G613" s="26" t="s">
        <v>29</v>
      </c>
      <c r="H613" s="26" t="s">
        <v>29</v>
      </c>
      <c r="I613" s="26" t="s">
        <v>29</v>
      </c>
      <c r="J613" s="26" t="s">
        <v>29</v>
      </c>
    </row>
    <row x14ac:dyDescent="0.25" r="614" customHeight="1" ht="15.75">
      <c r="A614" s="13" t="s">
        <v>184</v>
      </c>
      <c r="B614" s="13" t="s">
        <v>1414</v>
      </c>
      <c r="C614" s="26" t="s">
        <v>1415</v>
      </c>
      <c r="D614" s="26" t="s">
        <v>1416</v>
      </c>
      <c r="E614" s="26" t="s">
        <v>31</v>
      </c>
      <c r="F614" s="26" t="s">
        <v>29</v>
      </c>
      <c r="G614" s="26" t="s">
        <v>892</v>
      </c>
      <c r="H614" s="26" t="s">
        <v>29</v>
      </c>
      <c r="I614" s="26" t="s">
        <v>29</v>
      </c>
      <c r="J614" s="26" t="s">
        <v>29</v>
      </c>
    </row>
    <row x14ac:dyDescent="0.25" r="615" customHeight="1" ht="15.75">
      <c r="A615" s="13" t="s">
        <v>91</v>
      </c>
      <c r="B615" s="13" t="s">
        <v>1417</v>
      </c>
      <c r="C615" s="26" t="s">
        <v>1418</v>
      </c>
      <c r="D615" s="26" t="s">
        <v>293</v>
      </c>
      <c r="E615" s="26" t="s">
        <v>1419</v>
      </c>
      <c r="F615" s="26" t="s">
        <v>1140</v>
      </c>
      <c r="G615" s="26" t="s">
        <v>1420</v>
      </c>
      <c r="H615" s="26" t="s">
        <v>218</v>
      </c>
      <c r="I615" s="26" t="s">
        <v>1421</v>
      </c>
      <c r="J615" s="26" t="s">
        <v>29</v>
      </c>
    </row>
    <row x14ac:dyDescent="0.25" r="616" customHeight="1" ht="15.75">
      <c r="A616" s="13" t="s">
        <v>91</v>
      </c>
      <c r="B616" s="13" t="s">
        <v>1422</v>
      </c>
      <c r="C616" s="26" t="s">
        <v>892</v>
      </c>
      <c r="D616" s="26" t="s">
        <v>1423</v>
      </c>
      <c r="E616" s="26" t="s">
        <v>63</v>
      </c>
      <c r="F616" s="26" t="s">
        <v>1424</v>
      </c>
      <c r="G616" s="26" t="s">
        <v>1425</v>
      </c>
      <c r="H616" s="26" t="s">
        <v>1426</v>
      </c>
      <c r="I616" s="26" t="s">
        <v>1427</v>
      </c>
      <c r="J616" s="26" t="s">
        <v>29</v>
      </c>
    </row>
    <row x14ac:dyDescent="0.25" r="617" customHeight="1" ht="15.75">
      <c r="A617" s="13" t="s">
        <v>391</v>
      </c>
      <c r="B617" s="13" t="s">
        <v>1428</v>
      </c>
      <c r="C617" s="26" t="s">
        <v>1429</v>
      </c>
      <c r="D617" s="26" t="s">
        <v>615</v>
      </c>
      <c r="E617" s="26" t="s">
        <v>37</v>
      </c>
      <c r="F617" s="26" t="s">
        <v>176</v>
      </c>
      <c r="G617" s="26" t="s">
        <v>29</v>
      </c>
      <c r="H617" s="26" t="s">
        <v>29</v>
      </c>
      <c r="I617" s="26" t="s">
        <v>216</v>
      </c>
      <c r="J617" s="26" t="s">
        <v>29</v>
      </c>
    </row>
    <row x14ac:dyDescent="0.25" r="618" customHeight="1" ht="15.75">
      <c r="A618" s="13" t="s">
        <v>69</v>
      </c>
      <c r="B618" s="13" t="s">
        <v>1430</v>
      </c>
      <c r="C618" s="26" t="s">
        <v>1431</v>
      </c>
      <c r="D618" s="26" t="s">
        <v>1432</v>
      </c>
      <c r="E618" s="26" t="s">
        <v>37</v>
      </c>
      <c r="F618" s="26" t="s">
        <v>577</v>
      </c>
      <c r="G618" s="26" t="s">
        <v>1433</v>
      </c>
      <c r="H618" s="26" t="s">
        <v>1434</v>
      </c>
      <c r="I618" s="26" t="s">
        <v>1435</v>
      </c>
      <c r="J618" s="26" t="s">
        <v>29</v>
      </c>
    </row>
    <row x14ac:dyDescent="0.25" r="619" customHeight="1" ht="15.75">
      <c r="A619" s="13" t="s">
        <v>184</v>
      </c>
      <c r="B619" s="13" t="s">
        <v>1436</v>
      </c>
      <c r="C619" s="26" t="s">
        <v>1437</v>
      </c>
      <c r="D619" s="26" t="s">
        <v>1202</v>
      </c>
      <c r="E619" s="26" t="s">
        <v>43</v>
      </c>
      <c r="F619" s="26" t="s">
        <v>527</v>
      </c>
      <c r="G619" s="26" t="s">
        <v>1289</v>
      </c>
      <c r="H619" s="26" t="s">
        <v>1289</v>
      </c>
      <c r="I619" s="26" t="s">
        <v>1438</v>
      </c>
      <c r="J619" s="26" t="s">
        <v>29</v>
      </c>
    </row>
    <row x14ac:dyDescent="0.25" r="620" customHeight="1" ht="15.75">
      <c r="A620" s="13" t="s">
        <v>184</v>
      </c>
      <c r="B620" s="13" t="s">
        <v>1439</v>
      </c>
      <c r="C620" s="26" t="s">
        <v>194</v>
      </c>
      <c r="D620" s="26" t="s">
        <v>42</v>
      </c>
      <c r="E620" s="26" t="s">
        <v>115</v>
      </c>
      <c r="F620" s="26" t="s">
        <v>600</v>
      </c>
      <c r="G620" s="26" t="s">
        <v>710</v>
      </c>
      <c r="H620" s="26" t="s">
        <v>29</v>
      </c>
      <c r="I620" s="26" t="s">
        <v>600</v>
      </c>
      <c r="J620" s="26" t="s">
        <v>29</v>
      </c>
    </row>
    <row x14ac:dyDescent="0.25" r="621" customHeight="1" ht="15.75">
      <c r="A621" s="13" t="s">
        <v>66</v>
      </c>
      <c r="B621" s="13" t="s">
        <v>1440</v>
      </c>
      <c r="C621" s="26" t="s">
        <v>1441</v>
      </c>
      <c r="D621" s="26" t="s">
        <v>240</v>
      </c>
      <c r="E621" s="26" t="s">
        <v>88</v>
      </c>
      <c r="F621" s="26" t="s">
        <v>581</v>
      </c>
      <c r="G621" s="26" t="s">
        <v>29</v>
      </c>
      <c r="H621" s="26" t="s">
        <v>29</v>
      </c>
      <c r="I621" s="26" t="s">
        <v>1442</v>
      </c>
      <c r="J621" s="26" t="s">
        <v>29</v>
      </c>
    </row>
    <row x14ac:dyDescent="0.25" r="622" customHeight="1" ht="15.75">
      <c r="A622" s="13" t="s">
        <v>66</v>
      </c>
      <c r="B622" s="13" t="s">
        <v>1443</v>
      </c>
      <c r="C622" s="26" t="s">
        <v>1444</v>
      </c>
      <c r="D622" s="26" t="s">
        <v>63</v>
      </c>
      <c r="E622" s="26" t="s">
        <v>37</v>
      </c>
      <c r="F622" s="26" t="s">
        <v>99</v>
      </c>
      <c r="G622" s="26" t="s">
        <v>29</v>
      </c>
      <c r="H622" s="26" t="s">
        <v>29</v>
      </c>
      <c r="I622" s="26" t="s">
        <v>344</v>
      </c>
      <c r="J622" s="26" t="s">
        <v>29</v>
      </c>
    </row>
    <row x14ac:dyDescent="0.25" r="623" customHeight="1" ht="15.75">
      <c r="A623" s="13" t="s">
        <v>184</v>
      </c>
      <c r="B623" s="13" t="s">
        <v>1445</v>
      </c>
      <c r="C623" s="26" t="s">
        <v>1446</v>
      </c>
      <c r="D623" s="26" t="s">
        <v>1151</v>
      </c>
      <c r="E623" s="26" t="s">
        <v>81</v>
      </c>
      <c r="F623" s="26" t="s">
        <v>742</v>
      </c>
      <c r="G623" s="26" t="s">
        <v>29</v>
      </c>
      <c r="H623" s="26" t="s">
        <v>29</v>
      </c>
      <c r="I623" s="26" t="s">
        <v>590</v>
      </c>
      <c r="J623" s="26" t="s">
        <v>29</v>
      </c>
    </row>
    <row x14ac:dyDescent="0.25" r="624" customHeight="1" ht="15.75">
      <c r="A624" s="13" t="s">
        <v>129</v>
      </c>
      <c r="B624" s="13" t="s">
        <v>1447</v>
      </c>
      <c r="C624" s="26" t="s">
        <v>1448</v>
      </c>
      <c r="D624" s="26" t="s">
        <v>1449</v>
      </c>
      <c r="E624" s="26" t="s">
        <v>696</v>
      </c>
      <c r="F624" s="26" t="s">
        <v>1450</v>
      </c>
      <c r="G624" s="26" t="s">
        <v>437</v>
      </c>
      <c r="H624" s="26" t="s">
        <v>1172</v>
      </c>
      <c r="I624" s="26" t="s">
        <v>393</v>
      </c>
      <c r="J624" s="26" t="s">
        <v>29</v>
      </c>
    </row>
    <row x14ac:dyDescent="0.25" r="625" customHeight="1" ht="15.75">
      <c r="A625" s="13" t="s">
        <v>184</v>
      </c>
      <c r="B625" s="13" t="s">
        <v>1451</v>
      </c>
      <c r="C625" s="26" t="s">
        <v>1452</v>
      </c>
      <c r="D625" s="26" t="s">
        <v>118</v>
      </c>
      <c r="E625" s="26" t="s">
        <v>34</v>
      </c>
      <c r="F625" s="26" t="s">
        <v>99</v>
      </c>
      <c r="G625" s="26" t="s">
        <v>29</v>
      </c>
      <c r="H625" s="26" t="s">
        <v>29</v>
      </c>
      <c r="I625" s="26" t="s">
        <v>344</v>
      </c>
      <c r="J625" s="26" t="s">
        <v>29</v>
      </c>
    </row>
    <row x14ac:dyDescent="0.25" r="626" customHeight="1" ht="15.75">
      <c r="A626" s="13" t="s">
        <v>129</v>
      </c>
      <c r="B626" s="13" t="s">
        <v>1453</v>
      </c>
      <c r="C626" s="26" t="s">
        <v>1454</v>
      </c>
      <c r="D626" s="26" t="s">
        <v>29</v>
      </c>
      <c r="E626" s="26" t="s">
        <v>43</v>
      </c>
      <c r="F626" s="26" t="s">
        <v>1455</v>
      </c>
      <c r="G626" s="26" t="s">
        <v>615</v>
      </c>
      <c r="H626" s="26" t="s">
        <v>29</v>
      </c>
      <c r="I626" s="26" t="s">
        <v>29</v>
      </c>
      <c r="J626" s="26" t="s">
        <v>29</v>
      </c>
    </row>
    <row x14ac:dyDescent="0.25" r="627" customHeight="1" ht="15.75">
      <c r="A627" s="13" t="s">
        <v>116</v>
      </c>
      <c r="B627" s="13" t="s">
        <v>1456</v>
      </c>
      <c r="C627" s="26" t="s">
        <v>1457</v>
      </c>
      <c r="D627" s="26" t="s">
        <v>54</v>
      </c>
      <c r="E627" s="26" t="s">
        <v>122</v>
      </c>
      <c r="F627" s="26" t="s">
        <v>84</v>
      </c>
      <c r="G627" s="26" t="s">
        <v>29</v>
      </c>
      <c r="H627" s="26" t="s">
        <v>29</v>
      </c>
      <c r="I627" s="26" t="s">
        <v>29</v>
      </c>
      <c r="J627" s="26" t="s">
        <v>29</v>
      </c>
    </row>
    <row x14ac:dyDescent="0.25" r="628" customHeight="1" ht="15.75">
      <c r="A628" s="13" t="s">
        <v>27</v>
      </c>
      <c r="B628" s="13" t="s">
        <v>1458</v>
      </c>
      <c r="C628" s="26" t="s">
        <v>1459</v>
      </c>
      <c r="D628" s="26" t="s">
        <v>1460</v>
      </c>
      <c r="E628" s="26" t="s">
        <v>34</v>
      </c>
      <c r="F628" s="26" t="s">
        <v>332</v>
      </c>
      <c r="G628" s="26" t="s">
        <v>307</v>
      </c>
      <c r="H628" s="26" t="s">
        <v>29</v>
      </c>
      <c r="I628" s="26" t="s">
        <v>897</v>
      </c>
      <c r="J628" s="26" t="s">
        <v>29</v>
      </c>
    </row>
    <row x14ac:dyDescent="0.25" r="629" customHeight="1" ht="15.75">
      <c r="A629" s="13" t="s">
        <v>512</v>
      </c>
      <c r="B629" s="13" t="s">
        <v>1461</v>
      </c>
      <c r="C629" s="26" t="s">
        <v>1462</v>
      </c>
      <c r="D629" s="26" t="s">
        <v>1463</v>
      </c>
      <c r="E629" s="26" t="s">
        <v>43</v>
      </c>
      <c r="F629" s="26" t="s">
        <v>886</v>
      </c>
      <c r="G629" s="26" t="s">
        <v>332</v>
      </c>
      <c r="H629" s="26" t="s">
        <v>650</v>
      </c>
      <c r="I629" s="26" t="s">
        <v>656</v>
      </c>
      <c r="J629" s="26" t="s">
        <v>29</v>
      </c>
    </row>
    <row x14ac:dyDescent="0.25" r="630" customHeight="1" ht="15.75">
      <c r="A630" s="13" t="s">
        <v>103</v>
      </c>
      <c r="B630" s="13" t="s">
        <v>1464</v>
      </c>
      <c r="C630" s="26" t="s">
        <v>1465</v>
      </c>
      <c r="D630" s="26" t="s">
        <v>465</v>
      </c>
      <c r="E630" s="26" t="s">
        <v>115</v>
      </c>
      <c r="F630" s="26" t="s">
        <v>1466</v>
      </c>
      <c r="G630" s="26" t="s">
        <v>1106</v>
      </c>
      <c r="H630" s="26" t="s">
        <v>1467</v>
      </c>
      <c r="I630" s="26" t="s">
        <v>1468</v>
      </c>
      <c r="J630" s="26" t="s">
        <v>29</v>
      </c>
    </row>
    <row x14ac:dyDescent="0.25" r="631" customHeight="1" ht="15.75">
      <c r="A631" s="13" t="s">
        <v>184</v>
      </c>
      <c r="B631" s="13" t="s">
        <v>1469</v>
      </c>
      <c r="C631" s="26" t="s">
        <v>1470</v>
      </c>
      <c r="D631" s="26" t="s">
        <v>454</v>
      </c>
      <c r="E631" s="26" t="s">
        <v>78</v>
      </c>
      <c r="F631" s="26" t="s">
        <v>430</v>
      </c>
      <c r="G631" s="26" t="s">
        <v>1471</v>
      </c>
      <c r="H631" s="26" t="s">
        <v>156</v>
      </c>
      <c r="I631" s="26" t="s">
        <v>1472</v>
      </c>
      <c r="J631" s="26" t="s">
        <v>29</v>
      </c>
    </row>
    <row x14ac:dyDescent="0.25" r="632" customHeight="1" ht="15.75">
      <c r="A632" s="13" t="s">
        <v>66</v>
      </c>
      <c r="B632" s="13" t="s">
        <v>1473</v>
      </c>
      <c r="C632" s="26" t="s">
        <v>1474</v>
      </c>
      <c r="D632" s="26" t="s">
        <v>54</v>
      </c>
      <c r="E632" s="26" t="s">
        <v>88</v>
      </c>
      <c r="F632" s="26" t="s">
        <v>388</v>
      </c>
      <c r="G632" s="26" t="s">
        <v>388</v>
      </c>
      <c r="H632" s="26" t="s">
        <v>29</v>
      </c>
      <c r="I632" s="26" t="s">
        <v>388</v>
      </c>
      <c r="J632" s="26" t="s">
        <v>388</v>
      </c>
    </row>
    <row x14ac:dyDescent="0.25" r="633" customHeight="1" ht="15.75">
      <c r="A633" s="13" t="s">
        <v>103</v>
      </c>
      <c r="B633" s="13" t="s">
        <v>1475</v>
      </c>
      <c r="C633" s="26" t="s">
        <v>1476</v>
      </c>
      <c r="D633" s="26" t="s">
        <v>1285</v>
      </c>
      <c r="E633" s="26" t="s">
        <v>143</v>
      </c>
      <c r="F633" s="26" t="s">
        <v>1270</v>
      </c>
      <c r="G633" s="26" t="s">
        <v>29</v>
      </c>
      <c r="H633" s="26" t="s">
        <v>29</v>
      </c>
      <c r="I633" s="26" t="s">
        <v>1270</v>
      </c>
      <c r="J633" s="26" t="s">
        <v>29</v>
      </c>
    </row>
    <row x14ac:dyDescent="0.25" r="634" customHeight="1" ht="15.75">
      <c r="A634" s="13" t="s">
        <v>91</v>
      </c>
      <c r="B634" s="13" t="s">
        <v>1477</v>
      </c>
      <c r="C634" s="26" t="s">
        <v>1478</v>
      </c>
      <c r="D634" s="26" t="s">
        <v>1479</v>
      </c>
      <c r="E634" s="26" t="s">
        <v>50</v>
      </c>
      <c r="F634" s="26" t="s">
        <v>1480</v>
      </c>
      <c r="G634" s="26" t="s">
        <v>1481</v>
      </c>
      <c r="H634" s="26" t="s">
        <v>29</v>
      </c>
      <c r="I634" s="26" t="s">
        <v>1480</v>
      </c>
      <c r="J634" s="26" t="s">
        <v>29</v>
      </c>
    </row>
    <row x14ac:dyDescent="0.25" r="635" customHeight="1" ht="15.75">
      <c r="A635" s="13" t="s">
        <v>69</v>
      </c>
      <c r="B635" s="13" t="s">
        <v>1482</v>
      </c>
      <c r="C635" s="26" t="s">
        <v>1483</v>
      </c>
      <c r="D635" s="26" t="s">
        <v>111</v>
      </c>
      <c r="E635" s="26" t="s">
        <v>31</v>
      </c>
      <c r="F635" s="26" t="s">
        <v>191</v>
      </c>
      <c r="G635" s="26" t="s">
        <v>29</v>
      </c>
      <c r="H635" s="26" t="s">
        <v>29</v>
      </c>
      <c r="I635" s="26" t="s">
        <v>507</v>
      </c>
      <c r="J635" s="26" t="s">
        <v>29</v>
      </c>
    </row>
    <row x14ac:dyDescent="0.25" r="636" customHeight="1" ht="15.75">
      <c r="A636" s="13" t="s">
        <v>66</v>
      </c>
      <c r="B636" s="13" t="s">
        <v>1484</v>
      </c>
      <c r="C636" s="26" t="s">
        <v>1485</v>
      </c>
      <c r="D636" s="26" t="s">
        <v>1211</v>
      </c>
      <c r="E636" s="26" t="s">
        <v>122</v>
      </c>
      <c r="F636" s="26" t="s">
        <v>393</v>
      </c>
      <c r="G636" s="26" t="s">
        <v>393</v>
      </c>
      <c r="H636" s="26" t="s">
        <v>244</v>
      </c>
      <c r="I636" s="26" t="s">
        <v>393</v>
      </c>
      <c r="J636" s="26" t="s">
        <v>29</v>
      </c>
    </row>
    <row x14ac:dyDescent="0.25" r="637" customHeight="1" ht="15.75">
      <c r="A637" s="13" t="s">
        <v>69</v>
      </c>
      <c r="B637" s="13" t="s">
        <v>1486</v>
      </c>
      <c r="C637" s="26" t="s">
        <v>1487</v>
      </c>
      <c r="D637" s="26" t="s">
        <v>132</v>
      </c>
      <c r="E637" s="26" t="s">
        <v>143</v>
      </c>
      <c r="F637" s="26" t="s">
        <v>1488</v>
      </c>
      <c r="G637" s="26" t="s">
        <v>768</v>
      </c>
      <c r="H637" s="26" t="s">
        <v>29</v>
      </c>
      <c r="I637" s="26" t="s">
        <v>617</v>
      </c>
      <c r="J637" s="26" t="s">
        <v>29</v>
      </c>
    </row>
    <row x14ac:dyDescent="0.25" r="638" customHeight="1" ht="15.75">
      <c r="A638" s="13" t="s">
        <v>91</v>
      </c>
      <c r="B638" s="13" t="s">
        <v>1489</v>
      </c>
      <c r="C638" s="26" t="s">
        <v>1490</v>
      </c>
      <c r="D638" s="26" t="s">
        <v>404</v>
      </c>
      <c r="E638" s="26" t="s">
        <v>78</v>
      </c>
      <c r="F638" s="26" t="s">
        <v>172</v>
      </c>
      <c r="G638" s="26" t="s">
        <v>29</v>
      </c>
      <c r="H638" s="26" t="s">
        <v>29</v>
      </c>
      <c r="I638" s="26" t="s">
        <v>172</v>
      </c>
      <c r="J638" s="26" t="s">
        <v>29</v>
      </c>
    </row>
    <row x14ac:dyDescent="0.25" r="639" customHeight="1" ht="15.75">
      <c r="A639" s="13" t="s">
        <v>91</v>
      </c>
      <c r="B639" s="13" t="s">
        <v>1491</v>
      </c>
      <c r="C639" s="26" t="s">
        <v>1492</v>
      </c>
      <c r="D639" s="26" t="s">
        <v>999</v>
      </c>
      <c r="E639" s="26" t="s">
        <v>88</v>
      </c>
      <c r="F639" s="26" t="s">
        <v>204</v>
      </c>
      <c r="G639" s="26" t="s">
        <v>204</v>
      </c>
      <c r="H639" s="26" t="s">
        <v>204</v>
      </c>
      <c r="I639" s="26" t="s">
        <v>29</v>
      </c>
      <c r="J639" s="26" t="s">
        <v>29</v>
      </c>
    </row>
    <row x14ac:dyDescent="0.25" r="640" customHeight="1" ht="15.75">
      <c r="A640" s="13" t="s">
        <v>129</v>
      </c>
      <c r="B640" s="13" t="s">
        <v>1493</v>
      </c>
      <c r="C640" s="26" t="s">
        <v>1492</v>
      </c>
      <c r="D640" s="26" t="s">
        <v>1494</v>
      </c>
      <c r="E640" s="26" t="s">
        <v>37</v>
      </c>
      <c r="F640" s="26" t="s">
        <v>1495</v>
      </c>
      <c r="G640" s="26" t="s">
        <v>208</v>
      </c>
      <c r="H640" s="26" t="s">
        <v>208</v>
      </c>
      <c r="I640" s="26" t="s">
        <v>31</v>
      </c>
      <c r="J640" s="26" t="s">
        <v>208</v>
      </c>
    </row>
    <row x14ac:dyDescent="0.25" r="641" customHeight="1" ht="15.75">
      <c r="A641" s="13" t="s">
        <v>184</v>
      </c>
      <c r="B641" s="13" t="s">
        <v>1496</v>
      </c>
      <c r="C641" s="26" t="s">
        <v>1497</v>
      </c>
      <c r="D641" s="26" t="s">
        <v>216</v>
      </c>
      <c r="E641" s="26" t="s">
        <v>81</v>
      </c>
      <c r="F641" s="26" t="s">
        <v>1498</v>
      </c>
      <c r="G641" s="26" t="s">
        <v>261</v>
      </c>
      <c r="H641" s="26" t="s">
        <v>220</v>
      </c>
      <c r="I641" s="26" t="s">
        <v>1499</v>
      </c>
      <c r="J641" s="26" t="s">
        <v>29</v>
      </c>
    </row>
    <row x14ac:dyDescent="0.25" r="642" customHeight="1" ht="15.75">
      <c r="A642" s="13" t="s">
        <v>227</v>
      </c>
      <c r="B642" s="13" t="s">
        <v>1500</v>
      </c>
      <c r="C642" s="26" t="s">
        <v>1501</v>
      </c>
      <c r="D642" s="26" t="s">
        <v>1502</v>
      </c>
      <c r="E642" s="26" t="s">
        <v>57</v>
      </c>
      <c r="F642" s="26" t="s">
        <v>52</v>
      </c>
      <c r="G642" s="26" t="s">
        <v>375</v>
      </c>
      <c r="H642" s="26" t="s">
        <v>29</v>
      </c>
      <c r="I642" s="26" t="s">
        <v>1503</v>
      </c>
      <c r="J642" s="26" t="s">
        <v>29</v>
      </c>
    </row>
    <row x14ac:dyDescent="0.25" r="643" customHeight="1" ht="15.75">
      <c r="A643" s="13" t="s">
        <v>198</v>
      </c>
      <c r="B643" s="13" t="s">
        <v>1504</v>
      </c>
      <c r="C643" s="26" t="s">
        <v>1501</v>
      </c>
      <c r="D643" s="26" t="s">
        <v>1505</v>
      </c>
      <c r="E643" s="26" t="s">
        <v>34</v>
      </c>
      <c r="F643" s="26" t="s">
        <v>1043</v>
      </c>
      <c r="G643" s="26" t="s">
        <v>271</v>
      </c>
      <c r="H643" s="26" t="s">
        <v>29</v>
      </c>
      <c r="I643" s="26" t="s">
        <v>864</v>
      </c>
      <c r="J643" s="26" t="s">
        <v>29</v>
      </c>
    </row>
    <row x14ac:dyDescent="0.25" r="644" customHeight="1" ht="15.75">
      <c r="A644" s="13" t="s">
        <v>116</v>
      </c>
      <c r="B644" s="13" t="s">
        <v>1506</v>
      </c>
      <c r="C644" s="26" t="s">
        <v>517</v>
      </c>
      <c r="D644" s="26" t="s">
        <v>1507</v>
      </c>
      <c r="E644" s="26" t="s">
        <v>81</v>
      </c>
      <c r="F644" s="26" t="s">
        <v>52</v>
      </c>
      <c r="G644" s="26" t="s">
        <v>507</v>
      </c>
      <c r="H644" s="26" t="s">
        <v>29</v>
      </c>
      <c r="I644" s="26" t="s">
        <v>52</v>
      </c>
      <c r="J644" s="26" t="s">
        <v>29</v>
      </c>
    </row>
    <row x14ac:dyDescent="0.25" r="645" customHeight="1" ht="15.75">
      <c r="A645" s="13" t="s">
        <v>69</v>
      </c>
      <c r="B645" s="13" t="s">
        <v>1508</v>
      </c>
      <c r="C645" s="26" t="s">
        <v>1509</v>
      </c>
      <c r="D645" s="26" t="s">
        <v>1008</v>
      </c>
      <c r="E645" s="26" t="s">
        <v>31</v>
      </c>
      <c r="F645" s="26" t="s">
        <v>545</v>
      </c>
      <c r="G645" s="26" t="s">
        <v>29</v>
      </c>
      <c r="H645" s="26" t="s">
        <v>29</v>
      </c>
      <c r="I645" s="26" t="s">
        <v>545</v>
      </c>
      <c r="J645" s="26" t="s">
        <v>29</v>
      </c>
    </row>
    <row x14ac:dyDescent="0.25" r="646" customHeight="1" ht="15.75">
      <c r="A646" s="13" t="s">
        <v>126</v>
      </c>
      <c r="B646" s="13" t="s">
        <v>1510</v>
      </c>
      <c r="C646" s="26" t="s">
        <v>1511</v>
      </c>
      <c r="D646" s="26" t="s">
        <v>590</v>
      </c>
      <c r="E646" s="26" t="s">
        <v>115</v>
      </c>
      <c r="F646" s="26" t="s">
        <v>1512</v>
      </c>
      <c r="G646" s="26" t="s">
        <v>319</v>
      </c>
      <c r="H646" s="26" t="s">
        <v>145</v>
      </c>
      <c r="I646" s="26" t="s">
        <v>319</v>
      </c>
      <c r="J646" s="26" t="s">
        <v>145</v>
      </c>
    </row>
    <row x14ac:dyDescent="0.25" r="647" customHeight="1" ht="15.75">
      <c r="A647" s="13" t="s">
        <v>129</v>
      </c>
      <c r="B647" s="13" t="s">
        <v>1513</v>
      </c>
      <c r="C647" s="26" t="s">
        <v>1514</v>
      </c>
      <c r="D647" s="26" t="s">
        <v>864</v>
      </c>
      <c r="E647" s="26" t="s">
        <v>31</v>
      </c>
      <c r="F647" s="26" t="s">
        <v>97</v>
      </c>
      <c r="G647" s="26" t="s">
        <v>588</v>
      </c>
      <c r="H647" s="26" t="s">
        <v>29</v>
      </c>
      <c r="I647" s="26" t="s">
        <v>1515</v>
      </c>
      <c r="J647" s="26" t="s">
        <v>29</v>
      </c>
    </row>
    <row x14ac:dyDescent="0.25" r="648" customHeight="1" ht="15.75">
      <c r="A648" s="13" t="s">
        <v>126</v>
      </c>
      <c r="B648" s="13" t="s">
        <v>1516</v>
      </c>
      <c r="C648" s="26" t="s">
        <v>1517</v>
      </c>
      <c r="D648" s="26" t="s">
        <v>344</v>
      </c>
      <c r="E648" s="26" t="s">
        <v>34</v>
      </c>
      <c r="F648" s="26" t="s">
        <v>294</v>
      </c>
      <c r="G648" s="26" t="s">
        <v>295</v>
      </c>
      <c r="H648" s="26" t="s">
        <v>29</v>
      </c>
      <c r="I648" s="26" t="s">
        <v>29</v>
      </c>
      <c r="J648" s="26" t="s">
        <v>29</v>
      </c>
    </row>
    <row x14ac:dyDescent="0.25" r="649" customHeight="1" ht="15.75">
      <c r="A649" s="13" t="s">
        <v>184</v>
      </c>
      <c r="B649" s="13" t="s">
        <v>1518</v>
      </c>
      <c r="C649" s="26" t="s">
        <v>63</v>
      </c>
      <c r="D649" s="26" t="s">
        <v>605</v>
      </c>
      <c r="E649" s="26" t="s">
        <v>57</v>
      </c>
      <c r="F649" s="26" t="s">
        <v>318</v>
      </c>
      <c r="G649" s="26" t="s">
        <v>29</v>
      </c>
      <c r="H649" s="26" t="s">
        <v>29</v>
      </c>
      <c r="I649" s="26" t="s">
        <v>29</v>
      </c>
      <c r="J649" s="26" t="s">
        <v>29</v>
      </c>
    </row>
    <row x14ac:dyDescent="0.25" r="650" customHeight="1" ht="15.75">
      <c r="A650" s="13" t="s">
        <v>512</v>
      </c>
      <c r="B650" s="13" t="s">
        <v>1519</v>
      </c>
      <c r="C650" s="26" t="s">
        <v>1520</v>
      </c>
      <c r="D650" s="26" t="s">
        <v>1521</v>
      </c>
      <c r="E650" s="26" t="s">
        <v>37</v>
      </c>
      <c r="F650" s="26" t="s">
        <v>848</v>
      </c>
      <c r="G650" s="26" t="s">
        <v>966</v>
      </c>
      <c r="H650" s="26" t="s">
        <v>99</v>
      </c>
      <c r="I650" s="26" t="s">
        <v>848</v>
      </c>
      <c r="J650" s="26" t="s">
        <v>237</v>
      </c>
    </row>
    <row x14ac:dyDescent="0.25" r="651" customHeight="1" ht="15.75">
      <c r="A651" s="13" t="s">
        <v>116</v>
      </c>
      <c r="B651" s="13" t="s">
        <v>1522</v>
      </c>
      <c r="C651" s="26" t="s">
        <v>1520</v>
      </c>
      <c r="D651" s="26" t="s">
        <v>490</v>
      </c>
      <c r="E651" s="26" t="s">
        <v>81</v>
      </c>
      <c r="F651" s="26" t="s">
        <v>237</v>
      </c>
      <c r="G651" s="26" t="s">
        <v>237</v>
      </c>
      <c r="H651" s="26" t="s">
        <v>29</v>
      </c>
      <c r="I651" s="26" t="s">
        <v>99</v>
      </c>
      <c r="J651" s="26" t="s">
        <v>29</v>
      </c>
    </row>
    <row x14ac:dyDescent="0.25" r="652" customHeight="1" ht="15.75">
      <c r="A652" s="13" t="s">
        <v>91</v>
      </c>
      <c r="B652" s="13" t="s">
        <v>1523</v>
      </c>
      <c r="C652" s="26" t="s">
        <v>1524</v>
      </c>
      <c r="D652" s="26" t="s">
        <v>1525</v>
      </c>
      <c r="E652" s="26" t="s">
        <v>34</v>
      </c>
      <c r="F652" s="26" t="s">
        <v>1526</v>
      </c>
      <c r="G652" s="26" t="s">
        <v>231</v>
      </c>
      <c r="H652" s="26" t="s">
        <v>29</v>
      </c>
      <c r="I652" s="26" t="s">
        <v>1527</v>
      </c>
      <c r="J652" s="26" t="s">
        <v>1528</v>
      </c>
    </row>
    <row x14ac:dyDescent="0.25" r="653" customHeight="1" ht="15.75">
      <c r="A653" s="13" t="s">
        <v>116</v>
      </c>
      <c r="B653" s="13" t="s">
        <v>1529</v>
      </c>
      <c r="C653" s="26" t="s">
        <v>1530</v>
      </c>
      <c r="D653" s="26" t="s">
        <v>52</v>
      </c>
      <c r="E653" s="26" t="s">
        <v>57</v>
      </c>
      <c r="F653" s="26" t="s">
        <v>1531</v>
      </c>
      <c r="G653" s="26" t="s">
        <v>186</v>
      </c>
      <c r="H653" s="26" t="s">
        <v>186</v>
      </c>
      <c r="I653" s="26" t="s">
        <v>307</v>
      </c>
      <c r="J653" s="26" t="s">
        <v>29</v>
      </c>
    </row>
    <row x14ac:dyDescent="0.25" r="654" customHeight="1" ht="15.75">
      <c r="A654" s="13" t="s">
        <v>91</v>
      </c>
      <c r="B654" s="13" t="s">
        <v>1532</v>
      </c>
      <c r="C654" s="26" t="s">
        <v>1533</v>
      </c>
      <c r="D654" s="26" t="s">
        <v>84</v>
      </c>
      <c r="E654" s="26" t="s">
        <v>81</v>
      </c>
      <c r="F654" s="26" t="s">
        <v>135</v>
      </c>
      <c r="G654" s="26" t="s">
        <v>29</v>
      </c>
      <c r="H654" s="26" t="s">
        <v>29</v>
      </c>
      <c r="I654" s="26" t="s">
        <v>34</v>
      </c>
      <c r="J654" s="26" t="s">
        <v>29</v>
      </c>
    </row>
    <row x14ac:dyDescent="0.25" r="655" customHeight="1" ht="15.75">
      <c r="A655" s="13" t="s">
        <v>66</v>
      </c>
      <c r="B655" s="13" t="s">
        <v>1534</v>
      </c>
      <c r="C655" s="26" t="s">
        <v>1535</v>
      </c>
      <c r="D655" s="26" t="s">
        <v>1536</v>
      </c>
      <c r="E655" s="26" t="s">
        <v>201</v>
      </c>
      <c r="F655" s="26" t="s">
        <v>318</v>
      </c>
      <c r="G655" s="26" t="s">
        <v>610</v>
      </c>
      <c r="H655" s="26" t="s">
        <v>29</v>
      </c>
      <c r="I655" s="26" t="s">
        <v>1537</v>
      </c>
      <c r="J655" s="26" t="s">
        <v>29</v>
      </c>
    </row>
    <row x14ac:dyDescent="0.25" r="656" customHeight="1" ht="15.75">
      <c r="A656" s="13" t="s">
        <v>227</v>
      </c>
      <c r="B656" s="13" t="s">
        <v>1538</v>
      </c>
      <c r="C656" s="26" t="s">
        <v>1539</v>
      </c>
      <c r="D656" s="26" t="s">
        <v>288</v>
      </c>
      <c r="E656" s="26" t="s">
        <v>34</v>
      </c>
      <c r="F656" s="26" t="s">
        <v>399</v>
      </c>
      <c r="G656" s="26" t="s">
        <v>1540</v>
      </c>
      <c r="H656" s="26" t="s">
        <v>1540</v>
      </c>
      <c r="I656" s="26" t="s">
        <v>1540</v>
      </c>
      <c r="J656" s="26" t="s">
        <v>29</v>
      </c>
    </row>
    <row x14ac:dyDescent="0.25" r="657" customHeight="1" ht="15.75">
      <c r="A657" s="13" t="s">
        <v>116</v>
      </c>
      <c r="B657" s="13" t="s">
        <v>1541</v>
      </c>
      <c r="C657" s="26" t="s">
        <v>1542</v>
      </c>
      <c r="D657" s="26" t="s">
        <v>1543</v>
      </c>
      <c r="E657" s="26" t="s">
        <v>234</v>
      </c>
      <c r="F657" s="26" t="s">
        <v>423</v>
      </c>
      <c r="G657" s="26" t="s">
        <v>226</v>
      </c>
      <c r="H657" s="26" t="s">
        <v>1544</v>
      </c>
      <c r="I657" s="26" t="s">
        <v>423</v>
      </c>
      <c r="J657" s="26" t="s">
        <v>29</v>
      </c>
    </row>
    <row x14ac:dyDescent="0.25" r="658" customHeight="1" ht="15.75">
      <c r="A658" s="13" t="s">
        <v>184</v>
      </c>
      <c r="B658" s="13" t="s">
        <v>1545</v>
      </c>
      <c r="C658" s="26" t="s">
        <v>1542</v>
      </c>
      <c r="D658" s="26" t="s">
        <v>573</v>
      </c>
      <c r="E658" s="26" t="s">
        <v>34</v>
      </c>
      <c r="F658" s="26" t="s">
        <v>886</v>
      </c>
      <c r="G658" s="26" t="s">
        <v>332</v>
      </c>
      <c r="H658" s="26" t="s">
        <v>29</v>
      </c>
      <c r="I658" s="26" t="s">
        <v>29</v>
      </c>
      <c r="J658" s="26" t="s">
        <v>29</v>
      </c>
    </row>
    <row x14ac:dyDescent="0.25" r="659" customHeight="1" ht="15.75">
      <c r="A659" s="13" t="s">
        <v>91</v>
      </c>
      <c r="B659" s="13" t="s">
        <v>1546</v>
      </c>
      <c r="C659" s="26" t="s">
        <v>1547</v>
      </c>
      <c r="D659" s="26" t="s">
        <v>1548</v>
      </c>
      <c r="E659" s="26" t="s">
        <v>37</v>
      </c>
      <c r="F659" s="26" t="s">
        <v>341</v>
      </c>
      <c r="G659" s="26" t="s">
        <v>29</v>
      </c>
      <c r="H659" s="26" t="s">
        <v>29</v>
      </c>
      <c r="I659" s="26" t="s">
        <v>50</v>
      </c>
      <c r="J659" s="26" t="s">
        <v>29</v>
      </c>
    </row>
    <row x14ac:dyDescent="0.25" r="660" customHeight="1" ht="15.75">
      <c r="A660" s="13" t="s">
        <v>391</v>
      </c>
      <c r="B660" s="13" t="s">
        <v>1549</v>
      </c>
      <c r="C660" s="26" t="s">
        <v>1547</v>
      </c>
      <c r="D660" s="26" t="s">
        <v>43</v>
      </c>
      <c r="E660" s="26" t="s">
        <v>31</v>
      </c>
      <c r="F660" s="26" t="s">
        <v>29</v>
      </c>
      <c r="G660" s="26" t="s">
        <v>29</v>
      </c>
      <c r="H660" s="26" t="s">
        <v>29</v>
      </c>
      <c r="I660" s="26" t="s">
        <v>29</v>
      </c>
      <c r="J660" s="26" t="s">
        <v>29</v>
      </c>
    </row>
    <row x14ac:dyDescent="0.25" r="661" customHeight="1" ht="15.75">
      <c r="A661" s="13" t="s">
        <v>129</v>
      </c>
      <c r="B661" s="13" t="s">
        <v>1550</v>
      </c>
      <c r="C661" s="26" t="s">
        <v>1551</v>
      </c>
      <c r="D661" s="26" t="s">
        <v>498</v>
      </c>
      <c r="E661" s="26" t="s">
        <v>57</v>
      </c>
      <c r="F661" s="26" t="s">
        <v>29</v>
      </c>
      <c r="G661" s="26" t="s">
        <v>29</v>
      </c>
      <c r="H661" s="26" t="s">
        <v>29</v>
      </c>
      <c r="I661" s="26" t="s">
        <v>332</v>
      </c>
      <c r="J661" s="26" t="s">
        <v>29</v>
      </c>
    </row>
    <row x14ac:dyDescent="0.25" r="662" customHeight="1" ht="15.75">
      <c r="A662" s="13" t="s">
        <v>66</v>
      </c>
      <c r="B662" s="13" t="s">
        <v>1552</v>
      </c>
      <c r="C662" s="26" t="s">
        <v>1553</v>
      </c>
      <c r="D662" s="26" t="s">
        <v>99</v>
      </c>
      <c r="E662" s="26" t="s">
        <v>34</v>
      </c>
      <c r="F662" s="26" t="s">
        <v>191</v>
      </c>
      <c r="G662" s="26" t="s">
        <v>78</v>
      </c>
      <c r="H662" s="26" t="s">
        <v>36</v>
      </c>
      <c r="I662" s="26" t="s">
        <v>166</v>
      </c>
      <c r="J662" s="26" t="s">
        <v>29</v>
      </c>
    </row>
    <row x14ac:dyDescent="0.25" r="663" customHeight="1" ht="15.75">
      <c r="A663" s="13" t="s">
        <v>129</v>
      </c>
      <c r="B663" s="13" t="s">
        <v>1554</v>
      </c>
      <c r="C663" s="26" t="s">
        <v>1555</v>
      </c>
      <c r="D663" s="26" t="s">
        <v>1556</v>
      </c>
      <c r="E663" s="26" t="s">
        <v>37</v>
      </c>
      <c r="F663" s="26" t="s">
        <v>1557</v>
      </c>
      <c r="G663" s="26" t="s">
        <v>1540</v>
      </c>
      <c r="H663" s="26" t="s">
        <v>29</v>
      </c>
      <c r="I663" s="26" t="s">
        <v>1557</v>
      </c>
      <c r="J663" s="26" t="s">
        <v>29</v>
      </c>
    </row>
    <row x14ac:dyDescent="0.25" r="664" customHeight="1" ht="15.75">
      <c r="A664" s="13" t="s">
        <v>129</v>
      </c>
      <c r="B664" s="13" t="s">
        <v>1558</v>
      </c>
      <c r="C664" s="26" t="s">
        <v>1559</v>
      </c>
      <c r="D664" s="26" t="s">
        <v>143</v>
      </c>
      <c r="E664" s="26" t="s">
        <v>37</v>
      </c>
      <c r="F664" s="26" t="s">
        <v>380</v>
      </c>
      <c r="G664" s="26" t="s">
        <v>612</v>
      </c>
      <c r="H664" s="26" t="s">
        <v>29</v>
      </c>
      <c r="I664" s="26" t="s">
        <v>380</v>
      </c>
      <c r="J664" s="26" t="s">
        <v>29</v>
      </c>
    </row>
    <row x14ac:dyDescent="0.25" r="665" customHeight="1" ht="15.75">
      <c r="A665" s="13" t="s">
        <v>126</v>
      </c>
      <c r="B665" s="13" t="s">
        <v>1560</v>
      </c>
      <c r="C665" s="26" t="s">
        <v>210</v>
      </c>
      <c r="D665" s="26" t="s">
        <v>1561</v>
      </c>
      <c r="E665" s="26" t="s">
        <v>57</v>
      </c>
      <c r="F665" s="26" t="s">
        <v>1562</v>
      </c>
      <c r="G665" s="26" t="s">
        <v>29</v>
      </c>
      <c r="H665" s="26" t="s">
        <v>29</v>
      </c>
      <c r="I665" s="26" t="s">
        <v>29</v>
      </c>
      <c r="J665" s="26" t="s">
        <v>29</v>
      </c>
    </row>
    <row x14ac:dyDescent="0.25" r="666" customHeight="1" ht="15.75">
      <c r="A666" s="13" t="s">
        <v>126</v>
      </c>
      <c r="B666" s="13" t="s">
        <v>1563</v>
      </c>
      <c r="C666" s="26" t="s">
        <v>1148</v>
      </c>
      <c r="D666" s="26" t="s">
        <v>210</v>
      </c>
      <c r="E666" s="26" t="s">
        <v>115</v>
      </c>
      <c r="F666" s="26" t="s">
        <v>95</v>
      </c>
      <c r="G666" s="26" t="s">
        <v>388</v>
      </c>
      <c r="H666" s="26" t="s">
        <v>1564</v>
      </c>
      <c r="I666" s="26" t="s">
        <v>277</v>
      </c>
      <c r="J666" s="26" t="s">
        <v>29</v>
      </c>
    </row>
    <row x14ac:dyDescent="0.25" r="667" customHeight="1" ht="15.75">
      <c r="A667" s="13" t="s">
        <v>91</v>
      </c>
      <c r="B667" s="13" t="s">
        <v>1565</v>
      </c>
      <c r="C667" s="26" t="s">
        <v>1525</v>
      </c>
      <c r="D667" s="26" t="s">
        <v>78</v>
      </c>
      <c r="E667" s="26" t="s">
        <v>34</v>
      </c>
      <c r="F667" s="26" t="s">
        <v>870</v>
      </c>
      <c r="G667" s="26" t="s">
        <v>319</v>
      </c>
      <c r="H667" s="26" t="s">
        <v>145</v>
      </c>
      <c r="I667" s="26" t="s">
        <v>470</v>
      </c>
      <c r="J667" s="26" t="s">
        <v>29</v>
      </c>
    </row>
    <row x14ac:dyDescent="0.25" r="668" customHeight="1" ht="15.75">
      <c r="A668" s="13" t="s">
        <v>116</v>
      </c>
      <c r="B668" s="13" t="s">
        <v>1566</v>
      </c>
      <c r="C668" s="26" t="s">
        <v>1567</v>
      </c>
      <c r="D668" s="26" t="s">
        <v>734</v>
      </c>
      <c r="E668" s="26" t="s">
        <v>37</v>
      </c>
      <c r="F668" s="26" t="s">
        <v>1568</v>
      </c>
      <c r="G668" s="26" t="s">
        <v>200</v>
      </c>
      <c r="H668" s="26" t="s">
        <v>29</v>
      </c>
      <c r="I668" s="26" t="s">
        <v>1569</v>
      </c>
      <c r="J668" s="26" t="s">
        <v>29</v>
      </c>
    </row>
    <row x14ac:dyDescent="0.25" r="669" customHeight="1" ht="15.75">
      <c r="A669" s="13" t="s">
        <v>116</v>
      </c>
      <c r="B669" s="13" t="s">
        <v>1570</v>
      </c>
      <c r="C669" s="26" t="s">
        <v>1571</v>
      </c>
      <c r="D669" s="26" t="s">
        <v>999</v>
      </c>
      <c r="E669" s="26" t="s">
        <v>34</v>
      </c>
      <c r="F669" s="26" t="s">
        <v>99</v>
      </c>
      <c r="G669" s="26" t="s">
        <v>99</v>
      </c>
      <c r="H669" s="26" t="s">
        <v>29</v>
      </c>
      <c r="I669" s="26" t="s">
        <v>1572</v>
      </c>
      <c r="J669" s="26" t="s">
        <v>29</v>
      </c>
    </row>
    <row x14ac:dyDescent="0.25" r="670" customHeight="1" ht="15.75">
      <c r="A670" s="13" t="s">
        <v>198</v>
      </c>
      <c r="B670" s="13" t="s">
        <v>1573</v>
      </c>
      <c r="C670" s="26" t="s">
        <v>1574</v>
      </c>
      <c r="D670" s="26" t="s">
        <v>797</v>
      </c>
      <c r="E670" s="26" t="s">
        <v>143</v>
      </c>
      <c r="F670" s="26" t="s">
        <v>694</v>
      </c>
      <c r="G670" s="26" t="s">
        <v>433</v>
      </c>
      <c r="H670" s="26" t="s">
        <v>29</v>
      </c>
      <c r="I670" s="26" t="s">
        <v>433</v>
      </c>
      <c r="J670" s="26" t="s">
        <v>29</v>
      </c>
    </row>
    <row x14ac:dyDescent="0.25" r="671" customHeight="1" ht="15.75">
      <c r="A671" s="13" t="s">
        <v>103</v>
      </c>
      <c r="B671" s="13" t="s">
        <v>1575</v>
      </c>
      <c r="C671" s="26" t="s">
        <v>1576</v>
      </c>
      <c r="D671" s="26" t="s">
        <v>641</v>
      </c>
      <c r="E671" s="26" t="s">
        <v>37</v>
      </c>
      <c r="F671" s="26" t="s">
        <v>1577</v>
      </c>
      <c r="G671" s="26" t="s">
        <v>1288</v>
      </c>
      <c r="H671" s="26" t="s">
        <v>349</v>
      </c>
      <c r="I671" s="26" t="s">
        <v>1080</v>
      </c>
      <c r="J671" s="26" t="s">
        <v>29</v>
      </c>
    </row>
    <row x14ac:dyDescent="0.25" r="672" customHeight="1" ht="15.75">
      <c r="A672" s="13" t="s">
        <v>27</v>
      </c>
      <c r="B672" s="13" t="s">
        <v>1578</v>
      </c>
      <c r="C672" s="26" t="s">
        <v>1579</v>
      </c>
      <c r="D672" s="26" t="s">
        <v>52</v>
      </c>
      <c r="E672" s="26" t="s">
        <v>34</v>
      </c>
      <c r="F672" s="26" t="s">
        <v>717</v>
      </c>
      <c r="G672" s="26" t="s">
        <v>29</v>
      </c>
      <c r="H672" s="26" t="s">
        <v>29</v>
      </c>
      <c r="I672" s="26" t="s">
        <v>29</v>
      </c>
      <c r="J672" s="26" t="s">
        <v>29</v>
      </c>
    </row>
    <row x14ac:dyDescent="0.25" r="673" customHeight="1" ht="15.75">
      <c r="A673" s="13" t="s">
        <v>27</v>
      </c>
      <c r="B673" s="13" t="s">
        <v>1580</v>
      </c>
      <c r="C673" s="26" t="s">
        <v>1581</v>
      </c>
      <c r="D673" s="26" t="s">
        <v>548</v>
      </c>
      <c r="E673" s="26" t="s">
        <v>43</v>
      </c>
      <c r="F673" s="26" t="s">
        <v>1582</v>
      </c>
      <c r="G673" s="26" t="s">
        <v>854</v>
      </c>
      <c r="H673" s="26" t="s">
        <v>1583</v>
      </c>
      <c r="I673" s="26" t="s">
        <v>1353</v>
      </c>
      <c r="J673" s="26" t="s">
        <v>29</v>
      </c>
    </row>
    <row x14ac:dyDescent="0.25" r="674" customHeight="1" ht="15.75">
      <c r="A674" s="13" t="s">
        <v>126</v>
      </c>
      <c r="B674" s="13" t="s">
        <v>1584</v>
      </c>
      <c r="C674" s="26" t="s">
        <v>1585</v>
      </c>
      <c r="D674" s="26" t="s">
        <v>93</v>
      </c>
      <c r="E674" s="26" t="s">
        <v>143</v>
      </c>
      <c r="F674" s="26" t="s">
        <v>1586</v>
      </c>
      <c r="G674" s="26" t="s">
        <v>870</v>
      </c>
      <c r="H674" s="26" t="s">
        <v>710</v>
      </c>
      <c r="I674" s="26" t="s">
        <v>42</v>
      </c>
      <c r="J674" s="26" t="s">
        <v>160</v>
      </c>
    </row>
    <row x14ac:dyDescent="0.25" r="675" customHeight="1" ht="15.75">
      <c r="A675" s="13" t="s">
        <v>227</v>
      </c>
      <c r="B675" s="13" t="s">
        <v>1587</v>
      </c>
      <c r="C675" s="26" t="s">
        <v>1588</v>
      </c>
      <c r="D675" s="26" t="s">
        <v>34</v>
      </c>
      <c r="E675" s="26" t="s">
        <v>81</v>
      </c>
      <c r="F675" s="26" t="s">
        <v>409</v>
      </c>
      <c r="G675" s="26" t="s">
        <v>29</v>
      </c>
      <c r="H675" s="26" t="s">
        <v>29</v>
      </c>
      <c r="I675" s="26" t="s">
        <v>93</v>
      </c>
      <c r="J675" s="26" t="s">
        <v>29</v>
      </c>
    </row>
    <row x14ac:dyDescent="0.25" r="676" customHeight="1" ht="15.75">
      <c r="A676" s="13" t="s">
        <v>391</v>
      </c>
      <c r="B676" s="13" t="s">
        <v>1589</v>
      </c>
      <c r="C676" s="26" t="s">
        <v>1590</v>
      </c>
      <c r="D676" s="26" t="s">
        <v>31</v>
      </c>
      <c r="E676" s="26" t="s">
        <v>34</v>
      </c>
      <c r="F676" s="26" t="s">
        <v>564</v>
      </c>
      <c r="G676" s="26" t="s">
        <v>29</v>
      </c>
      <c r="H676" s="26" t="s">
        <v>29</v>
      </c>
      <c r="I676" s="26" t="s">
        <v>1081</v>
      </c>
      <c r="J676" s="26" t="s">
        <v>29</v>
      </c>
    </row>
    <row x14ac:dyDescent="0.25" r="677" customHeight="1" ht="15.75">
      <c r="A677" s="13" t="s">
        <v>91</v>
      </c>
      <c r="B677" s="13" t="s">
        <v>1591</v>
      </c>
      <c r="C677" s="26" t="s">
        <v>999</v>
      </c>
      <c r="D677" s="26" t="s">
        <v>288</v>
      </c>
      <c r="E677" s="26" t="s">
        <v>510</v>
      </c>
      <c r="F677" s="26" t="s">
        <v>1135</v>
      </c>
      <c r="G677" s="26" t="s">
        <v>183</v>
      </c>
      <c r="H677" s="26" t="s">
        <v>183</v>
      </c>
      <c r="I677" s="26" t="s">
        <v>1037</v>
      </c>
      <c r="J677" s="26" t="s">
        <v>29</v>
      </c>
    </row>
    <row x14ac:dyDescent="0.25" r="678" customHeight="1" ht="15.75">
      <c r="A678" s="13" t="s">
        <v>184</v>
      </c>
      <c r="B678" s="13" t="s">
        <v>1592</v>
      </c>
      <c r="C678" s="26" t="s">
        <v>1593</v>
      </c>
      <c r="D678" s="26" t="s">
        <v>1594</v>
      </c>
      <c r="E678" s="26" t="s">
        <v>57</v>
      </c>
      <c r="F678" s="26" t="s">
        <v>456</v>
      </c>
      <c r="G678" s="26" t="s">
        <v>135</v>
      </c>
      <c r="H678" s="26" t="s">
        <v>29</v>
      </c>
      <c r="I678" s="26" t="s">
        <v>93</v>
      </c>
      <c r="J678" s="26" t="s">
        <v>588</v>
      </c>
    </row>
    <row x14ac:dyDescent="0.25" r="679" customHeight="1" ht="15.75">
      <c r="A679" s="13" t="s">
        <v>27</v>
      </c>
      <c r="B679" s="13" t="s">
        <v>1595</v>
      </c>
      <c r="C679" s="26" t="s">
        <v>1596</v>
      </c>
      <c r="D679" s="26" t="s">
        <v>57</v>
      </c>
      <c r="E679" s="26" t="s">
        <v>37</v>
      </c>
      <c r="F679" s="26" t="s">
        <v>557</v>
      </c>
      <c r="G679" s="26" t="s">
        <v>29</v>
      </c>
      <c r="H679" s="26" t="s">
        <v>29</v>
      </c>
      <c r="I679" s="26" t="s">
        <v>247</v>
      </c>
      <c r="J679" s="26" t="s">
        <v>29</v>
      </c>
    </row>
    <row x14ac:dyDescent="0.25" r="680" customHeight="1" ht="15.75">
      <c r="A680" s="13" t="s">
        <v>227</v>
      </c>
      <c r="B680" s="13" t="s">
        <v>1597</v>
      </c>
      <c r="C680" s="26" t="s">
        <v>1598</v>
      </c>
      <c r="D680" s="26" t="s">
        <v>88</v>
      </c>
      <c r="E680" s="26" t="s">
        <v>81</v>
      </c>
      <c r="F680" s="26" t="s">
        <v>111</v>
      </c>
      <c r="G680" s="26" t="s">
        <v>29</v>
      </c>
      <c r="H680" s="26" t="s">
        <v>29</v>
      </c>
      <c r="I680" s="26" t="s">
        <v>29</v>
      </c>
      <c r="J680" s="26" t="s">
        <v>29</v>
      </c>
    </row>
    <row x14ac:dyDescent="0.25" r="681" customHeight="1" ht="15.75">
      <c r="A681" s="13" t="s">
        <v>512</v>
      </c>
      <c r="B681" s="13" t="s">
        <v>1599</v>
      </c>
      <c r="C681" s="26" t="s">
        <v>1600</v>
      </c>
      <c r="D681" s="26" t="s">
        <v>1601</v>
      </c>
      <c r="E681" s="26" t="s">
        <v>143</v>
      </c>
      <c r="F681" s="26" t="s">
        <v>1137</v>
      </c>
      <c r="G681" s="26" t="s">
        <v>226</v>
      </c>
      <c r="H681" s="26" t="s">
        <v>29</v>
      </c>
      <c r="I681" s="26" t="s">
        <v>29</v>
      </c>
      <c r="J681" s="26" t="s">
        <v>29</v>
      </c>
    </row>
    <row x14ac:dyDescent="0.25" r="682" customHeight="1" ht="15.75">
      <c r="A682" s="13" t="s">
        <v>116</v>
      </c>
      <c r="B682" s="13" t="s">
        <v>1602</v>
      </c>
      <c r="C682" s="26" t="s">
        <v>1603</v>
      </c>
      <c r="D682" s="26" t="s">
        <v>612</v>
      </c>
      <c r="E682" s="26" t="s">
        <v>34</v>
      </c>
      <c r="F682" s="26" t="s">
        <v>52</v>
      </c>
      <c r="G682" s="26" t="s">
        <v>507</v>
      </c>
      <c r="H682" s="26" t="s">
        <v>507</v>
      </c>
      <c r="I682" s="26" t="s">
        <v>29</v>
      </c>
      <c r="J682" s="26" t="s">
        <v>29</v>
      </c>
    </row>
    <row x14ac:dyDescent="0.25" r="683" customHeight="1" ht="15.75">
      <c r="A683" s="13" t="s">
        <v>512</v>
      </c>
      <c r="B683" s="13" t="s">
        <v>1604</v>
      </c>
      <c r="C683" s="26" t="s">
        <v>1605</v>
      </c>
      <c r="D683" s="26" t="s">
        <v>1606</v>
      </c>
      <c r="E683" s="26" t="s">
        <v>37</v>
      </c>
      <c r="F683" s="26" t="s">
        <v>29</v>
      </c>
      <c r="G683" s="26" t="s">
        <v>29</v>
      </c>
      <c r="H683" s="26" t="s">
        <v>29</v>
      </c>
      <c r="I683" s="26" t="s">
        <v>29</v>
      </c>
      <c r="J683" s="26" t="s">
        <v>29</v>
      </c>
    </row>
    <row x14ac:dyDescent="0.25" r="684" customHeight="1" ht="15.75">
      <c r="A684" s="13" t="s">
        <v>27</v>
      </c>
      <c r="B684" s="13" t="s">
        <v>1607</v>
      </c>
      <c r="C684" s="26" t="s">
        <v>1608</v>
      </c>
      <c r="D684" s="26" t="s">
        <v>303</v>
      </c>
      <c r="E684" s="26" t="s">
        <v>31</v>
      </c>
      <c r="F684" s="26" t="s">
        <v>29</v>
      </c>
      <c r="G684" s="26" t="s">
        <v>29</v>
      </c>
      <c r="H684" s="26" t="s">
        <v>29</v>
      </c>
      <c r="I684" s="26" t="s">
        <v>29</v>
      </c>
      <c r="J684" s="26" t="s">
        <v>29</v>
      </c>
    </row>
    <row x14ac:dyDescent="0.25" r="685" customHeight="1" ht="15.75">
      <c r="A685" s="13" t="s">
        <v>126</v>
      </c>
      <c r="B685" s="13" t="s">
        <v>1609</v>
      </c>
      <c r="C685" s="26" t="s">
        <v>1610</v>
      </c>
      <c r="D685" s="26" t="s">
        <v>584</v>
      </c>
      <c r="E685" s="26" t="s">
        <v>143</v>
      </c>
      <c r="F685" s="26" t="s">
        <v>29</v>
      </c>
      <c r="G685" s="26" t="s">
        <v>349</v>
      </c>
      <c r="H685" s="26" t="s">
        <v>1081</v>
      </c>
      <c r="I685" s="26" t="s">
        <v>1611</v>
      </c>
      <c r="J685" s="26" t="s">
        <v>1081</v>
      </c>
    </row>
    <row x14ac:dyDescent="0.25" r="686" customHeight="1" ht="15.75">
      <c r="A686" s="13" t="s">
        <v>116</v>
      </c>
      <c r="B686" s="13" t="s">
        <v>1612</v>
      </c>
      <c r="C686" s="26" t="s">
        <v>1613</v>
      </c>
      <c r="D686" s="26" t="s">
        <v>84</v>
      </c>
      <c r="E686" s="26" t="s">
        <v>57</v>
      </c>
      <c r="F686" s="26" t="s">
        <v>204</v>
      </c>
      <c r="G686" s="26" t="s">
        <v>29</v>
      </c>
      <c r="H686" s="26" t="s">
        <v>29</v>
      </c>
      <c r="I686" s="26" t="s">
        <v>204</v>
      </c>
      <c r="J686" s="26" t="s">
        <v>29</v>
      </c>
    </row>
    <row x14ac:dyDescent="0.25" r="687" customHeight="1" ht="15.75">
      <c r="A687" s="13" t="s">
        <v>103</v>
      </c>
      <c r="B687" s="13" t="s">
        <v>1614</v>
      </c>
      <c r="C687" s="26" t="s">
        <v>1615</v>
      </c>
      <c r="D687" s="26" t="s">
        <v>78</v>
      </c>
      <c r="E687" s="26" t="s">
        <v>57</v>
      </c>
      <c r="F687" s="26" t="s">
        <v>1616</v>
      </c>
      <c r="G687" s="26" t="s">
        <v>1617</v>
      </c>
      <c r="H687" s="26" t="s">
        <v>1618</v>
      </c>
      <c r="I687" s="26" t="s">
        <v>1619</v>
      </c>
      <c r="J687" s="26" t="s">
        <v>1620</v>
      </c>
    </row>
    <row x14ac:dyDescent="0.25" r="688" customHeight="1" ht="15.75">
      <c r="A688" s="13" t="s">
        <v>91</v>
      </c>
      <c r="B688" s="13" t="s">
        <v>1621</v>
      </c>
      <c r="C688" s="26" t="s">
        <v>1622</v>
      </c>
      <c r="D688" s="26" t="s">
        <v>797</v>
      </c>
      <c r="E688" s="26" t="s">
        <v>510</v>
      </c>
      <c r="F688" s="26" t="s">
        <v>1623</v>
      </c>
      <c r="G688" s="26" t="s">
        <v>1624</v>
      </c>
      <c r="H688" s="26" t="s">
        <v>128</v>
      </c>
      <c r="I688" s="26" t="s">
        <v>774</v>
      </c>
      <c r="J688" s="26" t="s">
        <v>29</v>
      </c>
    </row>
    <row x14ac:dyDescent="0.25" r="689" customHeight="1" ht="15.75">
      <c r="A689" s="13" t="s">
        <v>27</v>
      </c>
      <c r="B689" s="13" t="s">
        <v>1625</v>
      </c>
      <c r="C689" s="26" t="s">
        <v>1626</v>
      </c>
      <c r="D689" s="26" t="s">
        <v>1488</v>
      </c>
      <c r="E689" s="26" t="s">
        <v>31</v>
      </c>
      <c r="F689" s="26" t="s">
        <v>1627</v>
      </c>
      <c r="G689" s="26" t="s">
        <v>329</v>
      </c>
      <c r="H689" s="26" t="s">
        <v>1628</v>
      </c>
      <c r="I689" s="26" t="s">
        <v>524</v>
      </c>
      <c r="J689" s="26" t="s">
        <v>1628</v>
      </c>
    </row>
    <row x14ac:dyDescent="0.25" r="690" customHeight="1" ht="15.75">
      <c r="A690" s="13" t="s">
        <v>103</v>
      </c>
      <c r="B690" s="13" t="s">
        <v>1629</v>
      </c>
      <c r="C690" s="26" t="s">
        <v>1630</v>
      </c>
      <c r="D690" s="26" t="s">
        <v>1202</v>
      </c>
      <c r="E690" s="26" t="s">
        <v>143</v>
      </c>
      <c r="F690" s="26" t="s">
        <v>1139</v>
      </c>
      <c r="G690" s="26" t="s">
        <v>1557</v>
      </c>
      <c r="H690" s="26" t="s">
        <v>290</v>
      </c>
      <c r="I690" s="26" t="s">
        <v>1056</v>
      </c>
      <c r="J690" s="26" t="s">
        <v>29</v>
      </c>
    </row>
    <row x14ac:dyDescent="0.25" r="691" customHeight="1" ht="15.75">
      <c r="A691" s="13" t="s">
        <v>66</v>
      </c>
      <c r="B691" s="13" t="s">
        <v>1631</v>
      </c>
      <c r="C691" s="26" t="s">
        <v>1632</v>
      </c>
      <c r="D691" s="26" t="s">
        <v>1633</v>
      </c>
      <c r="E691" s="26" t="s">
        <v>37</v>
      </c>
      <c r="F691" s="26" t="s">
        <v>426</v>
      </c>
      <c r="G691" s="26" t="s">
        <v>329</v>
      </c>
      <c r="H691" s="26" t="s">
        <v>1634</v>
      </c>
      <c r="I691" s="26" t="s">
        <v>450</v>
      </c>
      <c r="J691" s="26" t="s">
        <v>29</v>
      </c>
    </row>
    <row x14ac:dyDescent="0.25" r="692" customHeight="1" ht="15.75">
      <c r="A692" s="13" t="s">
        <v>126</v>
      </c>
      <c r="B692" s="13" t="s">
        <v>1635</v>
      </c>
      <c r="C692" s="26" t="s">
        <v>1636</v>
      </c>
      <c r="D692" s="26" t="s">
        <v>797</v>
      </c>
      <c r="E692" s="26" t="s">
        <v>37</v>
      </c>
      <c r="F692" s="26" t="s">
        <v>1637</v>
      </c>
      <c r="G692" s="26" t="s">
        <v>1172</v>
      </c>
      <c r="H692" s="26" t="s">
        <v>1173</v>
      </c>
      <c r="I692" s="26" t="s">
        <v>1637</v>
      </c>
      <c r="J692" s="26" t="s">
        <v>29</v>
      </c>
    </row>
    <row x14ac:dyDescent="0.25" r="693" customHeight="1" ht="15.75">
      <c r="A693" s="13" t="s">
        <v>126</v>
      </c>
      <c r="B693" s="13" t="s">
        <v>1638</v>
      </c>
      <c r="C693" s="26" t="s">
        <v>1639</v>
      </c>
      <c r="D693" s="26" t="s">
        <v>118</v>
      </c>
      <c r="E693" s="26" t="s">
        <v>34</v>
      </c>
      <c r="F693" s="26" t="s">
        <v>176</v>
      </c>
      <c r="G693" s="26" t="s">
        <v>29</v>
      </c>
      <c r="H693" s="26" t="s">
        <v>29</v>
      </c>
      <c r="I693" s="26" t="s">
        <v>216</v>
      </c>
      <c r="J693" s="26" t="s">
        <v>29</v>
      </c>
    </row>
    <row x14ac:dyDescent="0.25" r="694" customHeight="1" ht="15.75">
      <c r="A694" s="13" t="s">
        <v>116</v>
      </c>
      <c r="B694" s="13" t="s">
        <v>1640</v>
      </c>
      <c r="C694" s="26" t="s">
        <v>1641</v>
      </c>
      <c r="D694" s="26" t="s">
        <v>143</v>
      </c>
      <c r="E694" s="26" t="s">
        <v>57</v>
      </c>
      <c r="F694" s="26" t="s">
        <v>29</v>
      </c>
      <c r="G694" s="26" t="s">
        <v>1642</v>
      </c>
      <c r="H694" s="26" t="s">
        <v>29</v>
      </c>
      <c r="I694" s="26" t="s">
        <v>319</v>
      </c>
      <c r="J694" s="26" t="s">
        <v>29</v>
      </c>
    </row>
    <row x14ac:dyDescent="0.25" r="695" customHeight="1" ht="15.75">
      <c r="A695" s="13" t="s">
        <v>69</v>
      </c>
      <c r="B695" s="13" t="s">
        <v>1643</v>
      </c>
      <c r="C695" s="26" t="s">
        <v>1644</v>
      </c>
      <c r="D695" s="26" t="s">
        <v>334</v>
      </c>
      <c r="E695" s="26" t="s">
        <v>31</v>
      </c>
      <c r="F695" s="26" t="s">
        <v>545</v>
      </c>
      <c r="G695" s="26" t="s">
        <v>1645</v>
      </c>
      <c r="H695" s="26" t="s">
        <v>29</v>
      </c>
      <c r="I695" s="26" t="s">
        <v>403</v>
      </c>
      <c r="J695" s="26" t="s">
        <v>29</v>
      </c>
    </row>
    <row x14ac:dyDescent="0.25" r="696" customHeight="1" ht="15.75">
      <c r="A696" s="13" t="s">
        <v>391</v>
      </c>
      <c r="B696" s="13" t="s">
        <v>1646</v>
      </c>
      <c r="C696" s="26" t="s">
        <v>1647</v>
      </c>
      <c r="D696" s="26" t="s">
        <v>259</v>
      </c>
      <c r="E696" s="26" t="s">
        <v>34</v>
      </c>
      <c r="F696" s="26" t="s">
        <v>638</v>
      </c>
      <c r="G696" s="26" t="s">
        <v>295</v>
      </c>
      <c r="H696" s="26" t="s">
        <v>29</v>
      </c>
      <c r="I696" s="26" t="s">
        <v>638</v>
      </c>
      <c r="J696" s="26" t="s">
        <v>29</v>
      </c>
    </row>
    <row x14ac:dyDescent="0.25" r="697" customHeight="1" ht="15.75">
      <c r="A697" s="13" t="s">
        <v>109</v>
      </c>
      <c r="B697" s="13" t="s">
        <v>1648</v>
      </c>
      <c r="C697" s="26" t="s">
        <v>1649</v>
      </c>
      <c r="D697" s="26" t="s">
        <v>33</v>
      </c>
      <c r="E697" s="26" t="s">
        <v>34</v>
      </c>
      <c r="F697" s="26" t="s">
        <v>413</v>
      </c>
      <c r="G697" s="26" t="s">
        <v>29</v>
      </c>
      <c r="H697" s="26" t="s">
        <v>29</v>
      </c>
      <c r="I697" s="26" t="s">
        <v>1650</v>
      </c>
      <c r="J697" s="26" t="s">
        <v>29</v>
      </c>
    </row>
    <row x14ac:dyDescent="0.25" r="698" customHeight="1" ht="15.75">
      <c r="A698" s="13" t="s">
        <v>512</v>
      </c>
      <c r="B698" s="13" t="s">
        <v>1651</v>
      </c>
      <c r="C698" s="26" t="s">
        <v>43</v>
      </c>
      <c r="D698" s="26" t="s">
        <v>498</v>
      </c>
      <c r="E698" s="26" t="s">
        <v>37</v>
      </c>
      <c r="F698" s="26" t="s">
        <v>487</v>
      </c>
      <c r="G698" s="26" t="s">
        <v>537</v>
      </c>
      <c r="H698" s="26" t="s">
        <v>29</v>
      </c>
      <c r="I698" s="26" t="s">
        <v>487</v>
      </c>
      <c r="J698" s="26" t="s">
        <v>29</v>
      </c>
    </row>
    <row x14ac:dyDescent="0.25" r="699" customHeight="1" ht="15.75">
      <c r="A699" s="13" t="s">
        <v>66</v>
      </c>
      <c r="B699" s="13" t="s">
        <v>1652</v>
      </c>
      <c r="C699" s="26" t="s">
        <v>43</v>
      </c>
      <c r="D699" s="26" t="s">
        <v>29</v>
      </c>
      <c r="E699" s="26" t="s">
        <v>78</v>
      </c>
      <c r="F699" s="26" t="s">
        <v>150</v>
      </c>
      <c r="G699" s="26" t="s">
        <v>52</v>
      </c>
      <c r="H699" s="26" t="s">
        <v>150</v>
      </c>
      <c r="I699" s="26" t="s">
        <v>52</v>
      </c>
      <c r="J699" s="26" t="s">
        <v>29</v>
      </c>
    </row>
    <row x14ac:dyDescent="0.25" r="700" customHeight="1" ht="15.75">
      <c r="A700" s="13" t="s">
        <v>227</v>
      </c>
      <c r="B700" s="13" t="s">
        <v>1653</v>
      </c>
      <c r="C700" s="26" t="s">
        <v>1654</v>
      </c>
      <c r="D700" s="26" t="s">
        <v>125</v>
      </c>
      <c r="E700" s="26" t="s">
        <v>34</v>
      </c>
      <c r="F700" s="26" t="s">
        <v>1655</v>
      </c>
      <c r="G700" s="26" t="s">
        <v>388</v>
      </c>
      <c r="H700" s="26" t="s">
        <v>774</v>
      </c>
      <c r="I700" s="26" t="s">
        <v>1656</v>
      </c>
      <c r="J700" s="26" t="s">
        <v>29</v>
      </c>
    </row>
    <row x14ac:dyDescent="0.25" r="701" customHeight="1" ht="15.75">
      <c r="A701" s="13" t="s">
        <v>227</v>
      </c>
      <c r="B701" s="13" t="s">
        <v>1657</v>
      </c>
      <c r="C701" s="26" t="s">
        <v>1654</v>
      </c>
      <c r="D701" s="26" t="s">
        <v>99</v>
      </c>
      <c r="E701" s="26" t="s">
        <v>57</v>
      </c>
      <c r="F701" s="26" t="s">
        <v>118</v>
      </c>
      <c r="G701" s="26" t="s">
        <v>539</v>
      </c>
      <c r="H701" s="26" t="s">
        <v>29</v>
      </c>
      <c r="I701" s="26" t="s">
        <v>538</v>
      </c>
      <c r="J701" s="26" t="s">
        <v>29</v>
      </c>
    </row>
    <row x14ac:dyDescent="0.25" r="702" customHeight="1" ht="15.75">
      <c r="A702" s="13" t="s">
        <v>66</v>
      </c>
      <c r="B702" s="13" t="s">
        <v>1658</v>
      </c>
      <c r="C702" s="26" t="s">
        <v>1659</v>
      </c>
      <c r="D702" s="26" t="s">
        <v>1203</v>
      </c>
      <c r="E702" s="26" t="s">
        <v>37</v>
      </c>
      <c r="F702" s="26" t="s">
        <v>1660</v>
      </c>
      <c r="G702" s="26" t="s">
        <v>29</v>
      </c>
      <c r="H702" s="26" t="s">
        <v>29</v>
      </c>
      <c r="I702" s="26" t="s">
        <v>186</v>
      </c>
      <c r="J702" s="26" t="s">
        <v>29</v>
      </c>
    </row>
    <row x14ac:dyDescent="0.25" r="703" customHeight="1" ht="15.75">
      <c r="A703" s="13" t="s">
        <v>69</v>
      </c>
      <c r="B703" s="13" t="s">
        <v>1661</v>
      </c>
      <c r="C703" s="26" t="s">
        <v>1662</v>
      </c>
      <c r="D703" s="26" t="s">
        <v>1663</v>
      </c>
      <c r="E703" s="26" t="s">
        <v>63</v>
      </c>
      <c r="F703" s="26" t="s">
        <v>1664</v>
      </c>
      <c r="G703" s="26" t="s">
        <v>29</v>
      </c>
      <c r="H703" s="26" t="s">
        <v>29</v>
      </c>
      <c r="I703" s="26" t="s">
        <v>1665</v>
      </c>
      <c r="J703" s="26" t="s">
        <v>1666</v>
      </c>
    </row>
    <row x14ac:dyDescent="0.25" r="704" customHeight="1" ht="15.75">
      <c r="A704" s="13" t="s">
        <v>126</v>
      </c>
      <c r="B704" s="13" t="s">
        <v>1667</v>
      </c>
      <c r="C704" s="26" t="s">
        <v>1668</v>
      </c>
      <c r="D704" s="26" t="s">
        <v>641</v>
      </c>
      <c r="E704" s="26" t="s">
        <v>81</v>
      </c>
      <c r="F704" s="26" t="s">
        <v>757</v>
      </c>
      <c r="G704" s="26" t="s">
        <v>1081</v>
      </c>
      <c r="H704" s="26" t="s">
        <v>1081</v>
      </c>
      <c r="I704" s="26" t="s">
        <v>349</v>
      </c>
      <c r="J704" s="26" t="s">
        <v>29</v>
      </c>
    </row>
    <row x14ac:dyDescent="0.25" r="705" customHeight="1" ht="15.75">
      <c r="A705" s="13" t="s">
        <v>66</v>
      </c>
      <c r="B705" s="13" t="s">
        <v>1669</v>
      </c>
      <c r="C705" s="26" t="s">
        <v>1668</v>
      </c>
      <c r="D705" s="26" t="s">
        <v>87</v>
      </c>
      <c r="E705" s="26" t="s">
        <v>43</v>
      </c>
      <c r="F705" s="26" t="s">
        <v>250</v>
      </c>
      <c r="G705" s="26" t="s">
        <v>250</v>
      </c>
      <c r="H705" s="26" t="s">
        <v>29</v>
      </c>
      <c r="I705" s="26" t="s">
        <v>275</v>
      </c>
      <c r="J705" s="26" t="s">
        <v>29</v>
      </c>
    </row>
    <row x14ac:dyDescent="0.25" r="706" customHeight="1" ht="15.75">
      <c r="A706" s="13" t="s">
        <v>116</v>
      </c>
      <c r="B706" s="13" t="s">
        <v>1670</v>
      </c>
      <c r="C706" s="26" t="s">
        <v>1671</v>
      </c>
      <c r="D706" s="26" t="s">
        <v>1672</v>
      </c>
      <c r="E706" s="26" t="s">
        <v>143</v>
      </c>
      <c r="F706" s="26" t="s">
        <v>877</v>
      </c>
      <c r="G706" s="26" t="s">
        <v>878</v>
      </c>
      <c r="H706" s="26" t="s">
        <v>879</v>
      </c>
      <c r="I706" s="26" t="s">
        <v>878</v>
      </c>
      <c r="J706" s="26" t="s">
        <v>29</v>
      </c>
    </row>
    <row x14ac:dyDescent="0.25" r="707" customHeight="1" ht="15.75">
      <c r="A707" s="13" t="s">
        <v>227</v>
      </c>
      <c r="B707" s="13" t="s">
        <v>1673</v>
      </c>
      <c r="C707" s="26" t="s">
        <v>1674</v>
      </c>
      <c r="D707" s="26" t="s">
        <v>87</v>
      </c>
      <c r="E707" s="26" t="s">
        <v>43</v>
      </c>
      <c r="F707" s="26" t="s">
        <v>774</v>
      </c>
      <c r="G707" s="26" t="s">
        <v>29</v>
      </c>
      <c r="H707" s="26" t="s">
        <v>29</v>
      </c>
      <c r="I707" s="26" t="s">
        <v>388</v>
      </c>
      <c r="J707" s="26" t="s">
        <v>29</v>
      </c>
    </row>
    <row x14ac:dyDescent="0.25" r="708" customHeight="1" ht="15.75">
      <c r="A708" s="13" t="s">
        <v>116</v>
      </c>
      <c r="B708" s="13" t="s">
        <v>1675</v>
      </c>
      <c r="C708" s="26" t="s">
        <v>1676</v>
      </c>
      <c r="D708" s="26" t="s">
        <v>626</v>
      </c>
      <c r="E708" s="26" t="s">
        <v>143</v>
      </c>
      <c r="F708" s="26" t="s">
        <v>1677</v>
      </c>
      <c r="G708" s="26" t="s">
        <v>1526</v>
      </c>
      <c r="H708" s="26" t="s">
        <v>29</v>
      </c>
      <c r="I708" s="26" t="s">
        <v>435</v>
      </c>
      <c r="J708" s="26" t="s">
        <v>29</v>
      </c>
    </row>
    <row x14ac:dyDescent="0.25" r="709" customHeight="1" ht="15.75">
      <c r="A709" s="13" t="s">
        <v>129</v>
      </c>
      <c r="B709" s="13" t="s">
        <v>1678</v>
      </c>
      <c r="C709" s="26" t="s">
        <v>1679</v>
      </c>
      <c r="D709" s="26" t="s">
        <v>656</v>
      </c>
      <c r="E709" s="26" t="s">
        <v>37</v>
      </c>
      <c r="F709" s="26" t="s">
        <v>463</v>
      </c>
      <c r="G709" s="26" t="s">
        <v>1680</v>
      </c>
      <c r="H709" s="26" t="s">
        <v>1311</v>
      </c>
      <c r="I709" s="26" t="s">
        <v>463</v>
      </c>
      <c r="J709" s="26" t="s">
        <v>29</v>
      </c>
    </row>
    <row x14ac:dyDescent="0.25" r="710" customHeight="1" ht="15.75">
      <c r="A710" s="13" t="s">
        <v>91</v>
      </c>
      <c r="B710" s="13" t="s">
        <v>1681</v>
      </c>
      <c r="C710" s="26" t="s">
        <v>1682</v>
      </c>
      <c r="D710" s="26" t="s">
        <v>95</v>
      </c>
      <c r="E710" s="26" t="s">
        <v>234</v>
      </c>
      <c r="F710" s="26" t="s">
        <v>1112</v>
      </c>
      <c r="G710" s="26" t="s">
        <v>222</v>
      </c>
      <c r="H710" s="26" t="s">
        <v>1036</v>
      </c>
      <c r="I710" s="26" t="s">
        <v>1683</v>
      </c>
      <c r="J710" s="26" t="s">
        <v>29</v>
      </c>
    </row>
    <row x14ac:dyDescent="0.25" r="711" customHeight="1" ht="15.75">
      <c r="A711" s="13" t="s">
        <v>184</v>
      </c>
      <c r="B711" s="13" t="s">
        <v>1684</v>
      </c>
      <c r="C711" s="26" t="s">
        <v>1685</v>
      </c>
      <c r="D711" s="26" t="s">
        <v>1686</v>
      </c>
      <c r="E711" s="26" t="s">
        <v>34</v>
      </c>
      <c r="F711" s="26" t="s">
        <v>1687</v>
      </c>
      <c r="G711" s="26" t="s">
        <v>936</v>
      </c>
      <c r="H711" s="26" t="s">
        <v>327</v>
      </c>
      <c r="I711" s="26" t="s">
        <v>936</v>
      </c>
      <c r="J711" s="26" t="s">
        <v>29</v>
      </c>
    </row>
    <row x14ac:dyDescent="0.25" r="712" customHeight="1" ht="15.75">
      <c r="A712" s="13" t="s">
        <v>116</v>
      </c>
      <c r="B712" s="13" t="s">
        <v>1688</v>
      </c>
      <c r="C712" s="26" t="s">
        <v>1689</v>
      </c>
      <c r="D712" s="26" t="s">
        <v>143</v>
      </c>
      <c r="E712" s="26" t="s">
        <v>88</v>
      </c>
      <c r="F712" s="26" t="s">
        <v>1690</v>
      </c>
      <c r="G712" s="26" t="s">
        <v>1691</v>
      </c>
      <c r="H712" s="26" t="s">
        <v>254</v>
      </c>
      <c r="I712" s="26" t="s">
        <v>1093</v>
      </c>
      <c r="J712" s="26" t="s">
        <v>29</v>
      </c>
    </row>
    <row x14ac:dyDescent="0.25" r="713" customHeight="1" ht="15.75">
      <c r="A713" s="13" t="s">
        <v>126</v>
      </c>
      <c r="B713" s="13" t="s">
        <v>1692</v>
      </c>
      <c r="C713" s="26" t="s">
        <v>1693</v>
      </c>
      <c r="D713" s="26" t="s">
        <v>490</v>
      </c>
      <c r="E713" s="26" t="s">
        <v>34</v>
      </c>
      <c r="F713" s="26" t="s">
        <v>746</v>
      </c>
      <c r="G713" s="26" t="s">
        <v>229</v>
      </c>
      <c r="H713" s="26" t="s">
        <v>1694</v>
      </c>
      <c r="I713" s="26" t="s">
        <v>1695</v>
      </c>
      <c r="J713" s="26" t="s">
        <v>29</v>
      </c>
    </row>
    <row x14ac:dyDescent="0.25" r="714" customHeight="1" ht="15.75">
      <c r="A714" s="13" t="s">
        <v>129</v>
      </c>
      <c r="B714" s="13" t="s">
        <v>1696</v>
      </c>
      <c r="C714" s="26" t="s">
        <v>1697</v>
      </c>
      <c r="D714" s="26" t="s">
        <v>1698</v>
      </c>
      <c r="E714" s="26" t="s">
        <v>43</v>
      </c>
      <c r="F714" s="26" t="s">
        <v>325</v>
      </c>
      <c r="G714" s="26" t="s">
        <v>1526</v>
      </c>
      <c r="H714" s="26" t="s">
        <v>1330</v>
      </c>
      <c r="I714" s="26" t="s">
        <v>325</v>
      </c>
      <c r="J714" s="26" t="s">
        <v>29</v>
      </c>
    </row>
    <row x14ac:dyDescent="0.25" r="715" customHeight="1" ht="15.75">
      <c r="A715" s="13" t="s">
        <v>184</v>
      </c>
      <c r="B715" s="13" t="s">
        <v>1699</v>
      </c>
      <c r="C715" s="26" t="s">
        <v>1700</v>
      </c>
      <c r="D715" s="26" t="s">
        <v>30</v>
      </c>
      <c r="E715" s="26" t="s">
        <v>88</v>
      </c>
      <c r="F715" s="26" t="s">
        <v>1701</v>
      </c>
      <c r="G715" s="26" t="s">
        <v>390</v>
      </c>
      <c r="H715" s="26" t="s">
        <v>29</v>
      </c>
      <c r="I715" s="26" t="s">
        <v>460</v>
      </c>
      <c r="J715" s="26" t="s">
        <v>29</v>
      </c>
    </row>
    <row x14ac:dyDescent="0.25" r="716" customHeight="1" ht="15.75">
      <c r="A716" s="13" t="s">
        <v>27</v>
      </c>
      <c r="B716" s="13" t="s">
        <v>1702</v>
      </c>
      <c r="C716" s="26" t="s">
        <v>1703</v>
      </c>
      <c r="D716" s="26" t="s">
        <v>554</v>
      </c>
      <c r="E716" s="26" t="s">
        <v>88</v>
      </c>
      <c r="F716" s="26" t="s">
        <v>154</v>
      </c>
      <c r="G716" s="26" t="s">
        <v>519</v>
      </c>
      <c r="H716" s="26" t="s">
        <v>168</v>
      </c>
      <c r="I716" s="26" t="s">
        <v>52</v>
      </c>
      <c r="J716" s="26" t="s">
        <v>29</v>
      </c>
    </row>
    <row x14ac:dyDescent="0.25" r="717" customHeight="1" ht="15.75">
      <c r="A717" s="13" t="s">
        <v>69</v>
      </c>
      <c r="B717" s="13" t="s">
        <v>1704</v>
      </c>
      <c r="C717" s="26" t="s">
        <v>1705</v>
      </c>
      <c r="D717" s="26" t="s">
        <v>1706</v>
      </c>
      <c r="E717" s="26" t="s">
        <v>31</v>
      </c>
      <c r="F717" s="26" t="s">
        <v>1707</v>
      </c>
      <c r="G717" s="26" t="s">
        <v>1434</v>
      </c>
      <c r="H717" s="26" t="s">
        <v>1708</v>
      </c>
      <c r="I717" s="26" t="s">
        <v>1709</v>
      </c>
      <c r="J717" s="26" t="s">
        <v>29</v>
      </c>
    </row>
    <row x14ac:dyDescent="0.25" r="718" customHeight="1" ht="15.75">
      <c r="A718" s="13" t="s">
        <v>391</v>
      </c>
      <c r="B718" s="13" t="s">
        <v>1710</v>
      </c>
      <c r="C718" s="26" t="s">
        <v>1711</v>
      </c>
      <c r="D718" s="26" t="s">
        <v>1712</v>
      </c>
      <c r="E718" s="26" t="s">
        <v>510</v>
      </c>
      <c r="F718" s="26" t="s">
        <v>1642</v>
      </c>
      <c r="G718" s="26" t="s">
        <v>319</v>
      </c>
      <c r="H718" s="26" t="s">
        <v>1642</v>
      </c>
      <c r="I718" s="26" t="s">
        <v>1642</v>
      </c>
      <c r="J718" s="26" t="s">
        <v>29</v>
      </c>
    </row>
    <row x14ac:dyDescent="0.25" r="719" customHeight="1" ht="15.75">
      <c r="A719" s="13" t="s">
        <v>116</v>
      </c>
      <c r="B719" s="13" t="s">
        <v>1713</v>
      </c>
      <c r="C719" s="26" t="s">
        <v>111</v>
      </c>
      <c r="D719" s="26" t="s">
        <v>37</v>
      </c>
      <c r="E719" s="26" t="s">
        <v>34</v>
      </c>
      <c r="F719" s="26" t="s">
        <v>63</v>
      </c>
      <c r="G719" s="26" t="s">
        <v>615</v>
      </c>
      <c r="H719" s="26" t="s">
        <v>29</v>
      </c>
      <c r="I719" s="26" t="s">
        <v>615</v>
      </c>
      <c r="J719" s="26" t="s">
        <v>29</v>
      </c>
    </row>
    <row x14ac:dyDescent="0.25" r="720" customHeight="1" ht="15.75">
      <c r="A720" s="13" t="s">
        <v>198</v>
      </c>
      <c r="B720" s="13" t="s">
        <v>1714</v>
      </c>
      <c r="C720" s="26" t="s">
        <v>1715</v>
      </c>
      <c r="D720" s="26" t="s">
        <v>947</v>
      </c>
      <c r="E720" s="26" t="s">
        <v>43</v>
      </c>
      <c r="F720" s="26" t="s">
        <v>329</v>
      </c>
      <c r="G720" s="26" t="s">
        <v>1022</v>
      </c>
      <c r="H720" s="26" t="s">
        <v>1716</v>
      </c>
      <c r="I720" s="26" t="s">
        <v>329</v>
      </c>
      <c r="J720" s="26" t="s">
        <v>1716</v>
      </c>
    </row>
    <row x14ac:dyDescent="0.25" r="721" customHeight="1" ht="15.75">
      <c r="A721" s="13" t="s">
        <v>129</v>
      </c>
      <c r="B721" s="13" t="s">
        <v>1717</v>
      </c>
      <c r="C721" s="26" t="s">
        <v>1718</v>
      </c>
      <c r="D721" s="26" t="s">
        <v>80</v>
      </c>
      <c r="E721" s="26" t="s">
        <v>31</v>
      </c>
      <c r="F721" s="26" t="s">
        <v>649</v>
      </c>
      <c r="G721" s="26" t="s">
        <v>99</v>
      </c>
      <c r="H721" s="26" t="s">
        <v>1235</v>
      </c>
      <c r="I721" s="26" t="s">
        <v>99</v>
      </c>
      <c r="J721" s="26" t="s">
        <v>29</v>
      </c>
    </row>
    <row x14ac:dyDescent="0.25" r="722" customHeight="1" ht="15.75">
      <c r="A722" s="13" t="s">
        <v>391</v>
      </c>
      <c r="B722" s="13" t="s">
        <v>1719</v>
      </c>
      <c r="C722" s="26" t="s">
        <v>1720</v>
      </c>
      <c r="D722" s="26" t="s">
        <v>34</v>
      </c>
      <c r="E722" s="26" t="s">
        <v>31</v>
      </c>
      <c r="F722" s="26" t="s">
        <v>247</v>
      </c>
      <c r="G722" s="26" t="s">
        <v>29</v>
      </c>
      <c r="H722" s="26" t="s">
        <v>29</v>
      </c>
      <c r="I722" s="26" t="s">
        <v>247</v>
      </c>
      <c r="J722" s="26" t="s">
        <v>334</v>
      </c>
    </row>
    <row x14ac:dyDescent="0.25" r="723" customHeight="1" ht="15.75">
      <c r="A723" s="13" t="s">
        <v>91</v>
      </c>
      <c r="B723" s="13" t="s">
        <v>1721</v>
      </c>
      <c r="C723" s="26" t="s">
        <v>1722</v>
      </c>
      <c r="D723" s="26" t="s">
        <v>1723</v>
      </c>
      <c r="E723" s="26" t="s">
        <v>696</v>
      </c>
      <c r="F723" s="26" t="s">
        <v>1724</v>
      </c>
      <c r="G723" s="26" t="s">
        <v>1357</v>
      </c>
      <c r="H723" s="26" t="s">
        <v>1357</v>
      </c>
      <c r="I723" s="26" t="s">
        <v>549</v>
      </c>
      <c r="J723" s="26" t="s">
        <v>29</v>
      </c>
    </row>
    <row x14ac:dyDescent="0.25" r="724" customHeight="1" ht="15.75">
      <c r="A724" s="13" t="s">
        <v>184</v>
      </c>
      <c r="B724" s="13" t="s">
        <v>1725</v>
      </c>
      <c r="C724" s="26" t="s">
        <v>1726</v>
      </c>
      <c r="D724" s="26" t="s">
        <v>31</v>
      </c>
      <c r="E724" s="26" t="s">
        <v>57</v>
      </c>
      <c r="F724" s="26" t="s">
        <v>649</v>
      </c>
      <c r="G724" s="26" t="s">
        <v>29</v>
      </c>
      <c r="H724" s="26" t="s">
        <v>29</v>
      </c>
      <c r="I724" s="26" t="s">
        <v>188</v>
      </c>
      <c r="J724" s="26" t="s">
        <v>29</v>
      </c>
    </row>
    <row x14ac:dyDescent="0.25" r="725" customHeight="1" ht="15.75">
      <c r="A725" s="13" t="s">
        <v>66</v>
      </c>
      <c r="B725" s="13" t="s">
        <v>1727</v>
      </c>
      <c r="C725" s="26" t="s">
        <v>1633</v>
      </c>
      <c r="D725" s="26" t="s">
        <v>344</v>
      </c>
      <c r="E725" s="26" t="s">
        <v>37</v>
      </c>
      <c r="F725" s="26" t="s">
        <v>250</v>
      </c>
      <c r="G725" s="26" t="s">
        <v>250</v>
      </c>
      <c r="H725" s="26" t="s">
        <v>29</v>
      </c>
      <c r="I725" s="26" t="s">
        <v>250</v>
      </c>
      <c r="J725" s="26" t="s">
        <v>29</v>
      </c>
    </row>
    <row x14ac:dyDescent="0.25" r="726" customHeight="1" ht="15.75">
      <c r="A726" s="13" t="s">
        <v>227</v>
      </c>
      <c r="B726" s="13" t="s">
        <v>1728</v>
      </c>
      <c r="C726" s="26" t="s">
        <v>1729</v>
      </c>
      <c r="D726" s="26" t="s">
        <v>210</v>
      </c>
      <c r="E726" s="26" t="s">
        <v>81</v>
      </c>
      <c r="F726" s="26" t="s">
        <v>1730</v>
      </c>
      <c r="G726" s="26" t="s">
        <v>294</v>
      </c>
      <c r="H726" s="26" t="s">
        <v>295</v>
      </c>
      <c r="I726" s="26" t="s">
        <v>490</v>
      </c>
      <c r="J726" s="26" t="s">
        <v>29</v>
      </c>
    </row>
    <row x14ac:dyDescent="0.25" r="727" customHeight="1" ht="15.75">
      <c r="A727" s="13" t="s">
        <v>27</v>
      </c>
      <c r="B727" s="13" t="s">
        <v>1731</v>
      </c>
      <c r="C727" s="26" t="s">
        <v>1732</v>
      </c>
      <c r="D727" s="26" t="s">
        <v>63</v>
      </c>
      <c r="E727" s="26" t="s">
        <v>31</v>
      </c>
      <c r="F727" s="26" t="s">
        <v>1701</v>
      </c>
      <c r="G727" s="26" t="s">
        <v>460</v>
      </c>
      <c r="H727" s="26" t="s">
        <v>750</v>
      </c>
      <c r="I727" s="26" t="s">
        <v>1007</v>
      </c>
      <c r="J727" s="26" t="s">
        <v>29</v>
      </c>
    </row>
    <row x14ac:dyDescent="0.25" r="728" customHeight="1" ht="15.75">
      <c r="A728" s="13" t="s">
        <v>184</v>
      </c>
      <c r="B728" s="13" t="s">
        <v>1733</v>
      </c>
      <c r="C728" s="26" t="s">
        <v>1734</v>
      </c>
      <c r="D728" s="26" t="s">
        <v>1735</v>
      </c>
      <c r="E728" s="26" t="s">
        <v>78</v>
      </c>
      <c r="F728" s="26" t="s">
        <v>1736</v>
      </c>
      <c r="G728" s="26" t="s">
        <v>334</v>
      </c>
      <c r="H728" s="26" t="s">
        <v>29</v>
      </c>
      <c r="I728" s="26" t="s">
        <v>520</v>
      </c>
      <c r="J728" s="26" t="s">
        <v>29</v>
      </c>
    </row>
    <row x14ac:dyDescent="0.25" r="729" customHeight="1" ht="15.75">
      <c r="A729" s="13" t="s">
        <v>66</v>
      </c>
      <c r="B729" s="13" t="s">
        <v>1737</v>
      </c>
      <c r="C729" s="26" t="s">
        <v>1738</v>
      </c>
      <c r="D729" s="26" t="s">
        <v>78</v>
      </c>
      <c r="E729" s="26" t="s">
        <v>88</v>
      </c>
      <c r="F729" s="26" t="s">
        <v>29</v>
      </c>
      <c r="G729" s="26" t="s">
        <v>42</v>
      </c>
      <c r="H729" s="26" t="s">
        <v>29</v>
      </c>
      <c r="I729" s="26" t="s">
        <v>29</v>
      </c>
      <c r="J729" s="26" t="s">
        <v>29</v>
      </c>
    </row>
    <row x14ac:dyDescent="0.25" r="730" customHeight="1" ht="15.75">
      <c r="A730" s="13" t="s">
        <v>116</v>
      </c>
      <c r="B730" s="13" t="s">
        <v>1739</v>
      </c>
      <c r="C730" s="26" t="s">
        <v>1740</v>
      </c>
      <c r="D730" s="26" t="s">
        <v>1345</v>
      </c>
      <c r="E730" s="26" t="s">
        <v>81</v>
      </c>
      <c r="F730" s="26" t="s">
        <v>99</v>
      </c>
      <c r="G730" s="26" t="s">
        <v>99</v>
      </c>
      <c r="H730" s="26" t="s">
        <v>29</v>
      </c>
      <c r="I730" s="26" t="s">
        <v>29</v>
      </c>
      <c r="J730" s="26" t="s">
        <v>29</v>
      </c>
    </row>
    <row x14ac:dyDescent="0.25" r="731" customHeight="1" ht="15.75">
      <c r="A731" s="13" t="s">
        <v>198</v>
      </c>
      <c r="B731" s="13" t="s">
        <v>1741</v>
      </c>
      <c r="C731" s="26" t="s">
        <v>1742</v>
      </c>
      <c r="D731" s="26" t="s">
        <v>777</v>
      </c>
      <c r="E731" s="26" t="s">
        <v>57</v>
      </c>
      <c r="F731" s="26" t="s">
        <v>1743</v>
      </c>
      <c r="G731" s="26" t="s">
        <v>507</v>
      </c>
      <c r="H731" s="26" t="s">
        <v>29</v>
      </c>
      <c r="I731" s="26" t="s">
        <v>29</v>
      </c>
      <c r="J731" s="26" t="s">
        <v>29</v>
      </c>
    </row>
    <row x14ac:dyDescent="0.25" r="732" customHeight="1" ht="15.75">
      <c r="A732" s="13" t="s">
        <v>184</v>
      </c>
      <c r="B732" s="13" t="s">
        <v>1744</v>
      </c>
      <c r="C732" s="26" t="s">
        <v>1745</v>
      </c>
      <c r="D732" s="26" t="s">
        <v>699</v>
      </c>
      <c r="E732" s="26" t="s">
        <v>81</v>
      </c>
      <c r="F732" s="26" t="s">
        <v>985</v>
      </c>
      <c r="G732" s="26" t="s">
        <v>29</v>
      </c>
      <c r="H732" s="26" t="s">
        <v>29</v>
      </c>
      <c r="I732" s="26" t="s">
        <v>581</v>
      </c>
      <c r="J732" s="26" t="s">
        <v>29</v>
      </c>
    </row>
    <row x14ac:dyDescent="0.25" r="733" customHeight="1" ht="15.75">
      <c r="A733" s="13" t="s">
        <v>129</v>
      </c>
      <c r="B733" s="13" t="s">
        <v>1746</v>
      </c>
      <c r="C733" s="26" t="s">
        <v>1747</v>
      </c>
      <c r="D733" s="26" t="s">
        <v>503</v>
      </c>
      <c r="E733" s="26" t="s">
        <v>34</v>
      </c>
      <c r="F733" s="26" t="s">
        <v>80</v>
      </c>
      <c r="G733" s="26" t="s">
        <v>388</v>
      </c>
      <c r="H733" s="26" t="s">
        <v>774</v>
      </c>
      <c r="I733" s="26" t="s">
        <v>772</v>
      </c>
      <c r="J733" s="26" t="s">
        <v>29</v>
      </c>
    </row>
    <row x14ac:dyDescent="0.25" r="734" customHeight="1" ht="15.75">
      <c r="A734" s="13" t="s">
        <v>109</v>
      </c>
      <c r="B734" s="13" t="s">
        <v>1748</v>
      </c>
      <c r="C734" s="26" t="s">
        <v>1747</v>
      </c>
      <c r="D734" s="26" t="s">
        <v>33</v>
      </c>
      <c r="E734" s="26" t="s">
        <v>88</v>
      </c>
      <c r="F734" s="26" t="s">
        <v>388</v>
      </c>
      <c r="G734" s="26" t="s">
        <v>29</v>
      </c>
      <c r="H734" s="26" t="s">
        <v>29</v>
      </c>
      <c r="I734" s="26" t="s">
        <v>29</v>
      </c>
      <c r="J734" s="26" t="s">
        <v>29</v>
      </c>
    </row>
    <row x14ac:dyDescent="0.25" r="735" customHeight="1" ht="15.75">
      <c r="A735" s="13" t="s">
        <v>27</v>
      </c>
      <c r="B735" s="13" t="s">
        <v>1749</v>
      </c>
      <c r="C735" s="26" t="s">
        <v>1750</v>
      </c>
      <c r="D735" s="26" t="s">
        <v>619</v>
      </c>
      <c r="E735" s="26" t="s">
        <v>88</v>
      </c>
      <c r="F735" s="26" t="s">
        <v>1751</v>
      </c>
      <c r="G735" s="26" t="s">
        <v>750</v>
      </c>
      <c r="H735" s="26" t="s">
        <v>1752</v>
      </c>
      <c r="I735" s="26" t="s">
        <v>1751</v>
      </c>
      <c r="J735" s="26" t="s">
        <v>29</v>
      </c>
    </row>
    <row x14ac:dyDescent="0.25" r="736" customHeight="1" ht="15.75">
      <c r="A736" s="13" t="s">
        <v>391</v>
      </c>
      <c r="B736" s="13" t="s">
        <v>1753</v>
      </c>
      <c r="C736" s="26" t="s">
        <v>1754</v>
      </c>
      <c r="D736" s="26" t="s">
        <v>1755</v>
      </c>
      <c r="E736" s="26" t="s">
        <v>57</v>
      </c>
      <c r="F736" s="26" t="s">
        <v>84</v>
      </c>
      <c r="G736" s="26" t="s">
        <v>1278</v>
      </c>
      <c r="H736" s="26" t="s">
        <v>29</v>
      </c>
      <c r="I736" s="26" t="s">
        <v>1279</v>
      </c>
      <c r="J736" s="26" t="s">
        <v>29</v>
      </c>
    </row>
    <row x14ac:dyDescent="0.25" r="737" customHeight="1" ht="15.75">
      <c r="A737" s="13" t="s">
        <v>66</v>
      </c>
      <c r="B737" s="13" t="s">
        <v>1756</v>
      </c>
      <c r="C737" s="26" t="s">
        <v>1757</v>
      </c>
      <c r="D737" s="26" t="s">
        <v>1686</v>
      </c>
      <c r="E737" s="26" t="s">
        <v>78</v>
      </c>
      <c r="F737" s="26" t="s">
        <v>118</v>
      </c>
      <c r="G737" s="26" t="s">
        <v>29</v>
      </c>
      <c r="H737" s="26" t="s">
        <v>29</v>
      </c>
      <c r="I737" s="26" t="s">
        <v>122</v>
      </c>
      <c r="J737" s="26" t="s">
        <v>29</v>
      </c>
    </row>
    <row x14ac:dyDescent="0.25" r="738" customHeight="1" ht="15.75">
      <c r="A738" s="13" t="s">
        <v>116</v>
      </c>
      <c r="B738" s="13" t="s">
        <v>1758</v>
      </c>
      <c r="C738" s="26" t="s">
        <v>1759</v>
      </c>
      <c r="D738" s="26" t="s">
        <v>283</v>
      </c>
      <c r="E738" s="26" t="s">
        <v>81</v>
      </c>
      <c r="F738" s="26" t="s">
        <v>346</v>
      </c>
      <c r="G738" s="26" t="s">
        <v>1760</v>
      </c>
      <c r="H738" s="26" t="s">
        <v>29</v>
      </c>
      <c r="I738" s="26" t="s">
        <v>346</v>
      </c>
      <c r="J738" s="26" t="s">
        <v>29</v>
      </c>
    </row>
    <row x14ac:dyDescent="0.25" r="739" customHeight="1" ht="15.75">
      <c r="A739" s="13" t="s">
        <v>69</v>
      </c>
      <c r="B739" s="13" t="s">
        <v>1761</v>
      </c>
      <c r="C739" s="26" t="s">
        <v>1762</v>
      </c>
      <c r="D739" s="26" t="s">
        <v>1230</v>
      </c>
      <c r="E739" s="26" t="s">
        <v>34</v>
      </c>
      <c r="F739" s="26" t="s">
        <v>1029</v>
      </c>
      <c r="G739" s="26" t="s">
        <v>29</v>
      </c>
      <c r="H739" s="26" t="s">
        <v>29</v>
      </c>
      <c r="I739" s="26" t="s">
        <v>1030</v>
      </c>
      <c r="J739" s="26" t="s">
        <v>29</v>
      </c>
    </row>
    <row x14ac:dyDescent="0.25" r="740" customHeight="1" ht="15.75">
      <c r="A740" s="13" t="s">
        <v>66</v>
      </c>
      <c r="B740" s="13" t="s">
        <v>1763</v>
      </c>
      <c r="C740" s="26" t="s">
        <v>1390</v>
      </c>
      <c r="D740" s="26" t="s">
        <v>63</v>
      </c>
      <c r="E740" s="26" t="s">
        <v>122</v>
      </c>
      <c r="F740" s="26" t="s">
        <v>29</v>
      </c>
      <c r="G740" s="26" t="s">
        <v>29</v>
      </c>
      <c r="H740" s="26" t="s">
        <v>29</v>
      </c>
      <c r="I740" s="26" t="s">
        <v>29</v>
      </c>
      <c r="J740" s="26" t="s">
        <v>29</v>
      </c>
    </row>
    <row x14ac:dyDescent="0.25" r="741" customHeight="1" ht="15.75">
      <c r="A741" s="13" t="s">
        <v>391</v>
      </c>
      <c r="B741" s="13" t="s">
        <v>1764</v>
      </c>
      <c r="C741" s="26" t="s">
        <v>1765</v>
      </c>
      <c r="D741" s="26" t="s">
        <v>1606</v>
      </c>
      <c r="E741" s="26" t="s">
        <v>122</v>
      </c>
      <c r="F741" s="26" t="s">
        <v>97</v>
      </c>
      <c r="G741" s="26" t="s">
        <v>609</v>
      </c>
      <c r="H741" s="26" t="s">
        <v>610</v>
      </c>
      <c r="I741" s="26" t="s">
        <v>97</v>
      </c>
      <c r="J741" s="26" t="s">
        <v>29</v>
      </c>
    </row>
    <row x14ac:dyDescent="0.25" r="742" customHeight="1" ht="15.75">
      <c r="A742" s="13" t="s">
        <v>103</v>
      </c>
      <c r="B742" s="13" t="s">
        <v>1766</v>
      </c>
      <c r="C742" s="26" t="s">
        <v>1767</v>
      </c>
      <c r="D742" s="26" t="s">
        <v>42</v>
      </c>
      <c r="E742" s="26" t="s">
        <v>81</v>
      </c>
      <c r="F742" s="26" t="s">
        <v>1216</v>
      </c>
      <c r="G742" s="26" t="s">
        <v>29</v>
      </c>
      <c r="H742" s="26" t="s">
        <v>29</v>
      </c>
      <c r="I742" s="26" t="s">
        <v>1031</v>
      </c>
      <c r="J742" s="26" t="s">
        <v>29</v>
      </c>
    </row>
    <row x14ac:dyDescent="0.25" r="743" customHeight="1" ht="15.75">
      <c r="A743" s="13" t="s">
        <v>126</v>
      </c>
      <c r="B743" s="13" t="s">
        <v>1768</v>
      </c>
      <c r="C743" s="26" t="s">
        <v>1769</v>
      </c>
      <c r="D743" s="26" t="s">
        <v>1770</v>
      </c>
      <c r="E743" s="26" t="s">
        <v>122</v>
      </c>
      <c r="F743" s="26" t="s">
        <v>1771</v>
      </c>
      <c r="G743" s="26" t="s">
        <v>1772</v>
      </c>
      <c r="H743" s="26" t="s">
        <v>1773</v>
      </c>
      <c r="I743" s="26" t="s">
        <v>1772</v>
      </c>
      <c r="J743" s="26" t="s">
        <v>29</v>
      </c>
    </row>
    <row x14ac:dyDescent="0.25" r="744" customHeight="1" ht="15.75">
      <c r="A744" s="13" t="s">
        <v>116</v>
      </c>
      <c r="B744" s="13" t="s">
        <v>1774</v>
      </c>
      <c r="C744" s="26" t="s">
        <v>1775</v>
      </c>
      <c r="D744" s="26" t="s">
        <v>87</v>
      </c>
      <c r="E744" s="26" t="s">
        <v>510</v>
      </c>
      <c r="F744" s="26" t="s">
        <v>1776</v>
      </c>
      <c r="G744" s="26" t="s">
        <v>141</v>
      </c>
      <c r="H744" s="26" t="s">
        <v>29</v>
      </c>
      <c r="I744" s="26" t="s">
        <v>1278</v>
      </c>
      <c r="J744" s="26" t="s">
        <v>141</v>
      </c>
    </row>
    <row x14ac:dyDescent="0.25" r="745" customHeight="1" ht="15.75">
      <c r="A745" s="13" t="s">
        <v>198</v>
      </c>
      <c r="B745" s="13" t="s">
        <v>1777</v>
      </c>
      <c r="C745" s="26" t="s">
        <v>1778</v>
      </c>
      <c r="D745" s="26" t="s">
        <v>627</v>
      </c>
      <c r="E745" s="26" t="s">
        <v>81</v>
      </c>
      <c r="F745" s="26" t="s">
        <v>1143</v>
      </c>
      <c r="G745" s="26" t="s">
        <v>612</v>
      </c>
      <c r="H745" s="26" t="s">
        <v>615</v>
      </c>
      <c r="I745" s="26" t="s">
        <v>612</v>
      </c>
      <c r="J745" s="26" t="s">
        <v>29</v>
      </c>
    </row>
    <row x14ac:dyDescent="0.25" r="746" customHeight="1" ht="15.75">
      <c r="A746" s="13" t="s">
        <v>391</v>
      </c>
      <c r="B746" s="13" t="s">
        <v>1779</v>
      </c>
      <c r="C746" s="26" t="s">
        <v>1780</v>
      </c>
      <c r="D746" s="26" t="s">
        <v>1494</v>
      </c>
      <c r="E746" s="26" t="s">
        <v>63</v>
      </c>
      <c r="F746" s="26" t="s">
        <v>917</v>
      </c>
      <c r="G746" s="26" t="s">
        <v>379</v>
      </c>
      <c r="H746" s="26" t="s">
        <v>1564</v>
      </c>
      <c r="I746" s="26" t="s">
        <v>1781</v>
      </c>
      <c r="J746" s="26" t="s">
        <v>29</v>
      </c>
    </row>
    <row x14ac:dyDescent="0.25" r="747" customHeight="1" ht="15.75">
      <c r="A747" s="13" t="s">
        <v>227</v>
      </c>
      <c r="B747" s="13" t="s">
        <v>1782</v>
      </c>
      <c r="C747" s="26" t="s">
        <v>143</v>
      </c>
      <c r="D747" s="26" t="s">
        <v>99</v>
      </c>
      <c r="E747" s="26" t="s">
        <v>57</v>
      </c>
      <c r="F747" s="26" t="s">
        <v>179</v>
      </c>
      <c r="G747" s="26" t="s">
        <v>29</v>
      </c>
      <c r="H747" s="26" t="s">
        <v>29</v>
      </c>
      <c r="I747" s="26" t="s">
        <v>179</v>
      </c>
      <c r="J747" s="26" t="s">
        <v>29</v>
      </c>
    </row>
    <row x14ac:dyDescent="0.25" r="748" customHeight="1" ht="15.75">
      <c r="A748" s="13" t="s">
        <v>198</v>
      </c>
      <c r="B748" s="13" t="s">
        <v>1783</v>
      </c>
      <c r="C748" s="26" t="s">
        <v>1784</v>
      </c>
      <c r="D748" s="26" t="s">
        <v>1455</v>
      </c>
      <c r="E748" s="26" t="s">
        <v>93</v>
      </c>
      <c r="F748" s="26" t="s">
        <v>1785</v>
      </c>
      <c r="G748" s="26" t="s">
        <v>1786</v>
      </c>
      <c r="H748" s="26" t="s">
        <v>1199</v>
      </c>
      <c r="I748" s="26" t="s">
        <v>714</v>
      </c>
      <c r="J748" s="26" t="s">
        <v>29</v>
      </c>
    </row>
    <row x14ac:dyDescent="0.25" r="749" customHeight="1" ht="15.75">
      <c r="A749" s="13" t="s">
        <v>27</v>
      </c>
      <c r="B749" s="13" t="s">
        <v>1787</v>
      </c>
      <c r="C749" s="26" t="s">
        <v>1788</v>
      </c>
      <c r="D749" s="26" t="s">
        <v>361</v>
      </c>
      <c r="E749" s="26" t="s">
        <v>510</v>
      </c>
      <c r="F749" s="26" t="s">
        <v>522</v>
      </c>
      <c r="G749" s="26" t="s">
        <v>522</v>
      </c>
      <c r="H749" s="26" t="s">
        <v>29</v>
      </c>
      <c r="I749" s="26" t="s">
        <v>1423</v>
      </c>
      <c r="J749" s="26" t="s">
        <v>190</v>
      </c>
    </row>
    <row x14ac:dyDescent="0.25" r="750" customHeight="1" ht="15.75">
      <c r="A750" s="13" t="s">
        <v>391</v>
      </c>
      <c r="B750" s="13" t="s">
        <v>1789</v>
      </c>
      <c r="C750" s="26" t="s">
        <v>1790</v>
      </c>
      <c r="D750" s="26" t="s">
        <v>63</v>
      </c>
      <c r="E750" s="26" t="s">
        <v>143</v>
      </c>
      <c r="F750" s="26" t="s">
        <v>1791</v>
      </c>
      <c r="G750" s="26" t="s">
        <v>29</v>
      </c>
      <c r="H750" s="26" t="s">
        <v>29</v>
      </c>
      <c r="I750" s="26" t="s">
        <v>388</v>
      </c>
      <c r="J750" s="26" t="s">
        <v>29</v>
      </c>
    </row>
    <row x14ac:dyDescent="0.25" r="751" customHeight="1" ht="15.75">
      <c r="A751" s="13" t="s">
        <v>91</v>
      </c>
      <c r="B751" s="13" t="s">
        <v>1792</v>
      </c>
      <c r="C751" s="26" t="s">
        <v>1793</v>
      </c>
      <c r="D751" s="26" t="s">
        <v>605</v>
      </c>
      <c r="E751" s="26" t="s">
        <v>34</v>
      </c>
      <c r="F751" s="26" t="s">
        <v>393</v>
      </c>
      <c r="G751" s="26" t="s">
        <v>393</v>
      </c>
      <c r="H751" s="26" t="s">
        <v>244</v>
      </c>
      <c r="I751" s="26" t="s">
        <v>393</v>
      </c>
      <c r="J751" s="26" t="s">
        <v>29</v>
      </c>
    </row>
    <row x14ac:dyDescent="0.25" r="752" customHeight="1" ht="15.75">
      <c r="A752" s="13" t="s">
        <v>227</v>
      </c>
      <c r="B752" s="13" t="s">
        <v>1794</v>
      </c>
      <c r="C752" s="26" t="s">
        <v>1795</v>
      </c>
      <c r="D752" s="26" t="s">
        <v>97</v>
      </c>
      <c r="E752" s="26" t="s">
        <v>510</v>
      </c>
      <c r="F752" s="26" t="s">
        <v>593</v>
      </c>
      <c r="G752" s="26" t="s">
        <v>1273</v>
      </c>
      <c r="H752" s="26" t="s">
        <v>29</v>
      </c>
      <c r="I752" s="26" t="s">
        <v>47</v>
      </c>
      <c r="J752" s="26" t="s">
        <v>29</v>
      </c>
    </row>
    <row x14ac:dyDescent="0.25" r="753" customHeight="1" ht="15.75">
      <c r="A753" s="13" t="s">
        <v>116</v>
      </c>
      <c r="B753" s="13" t="s">
        <v>1796</v>
      </c>
      <c r="C753" s="26" t="s">
        <v>1797</v>
      </c>
      <c r="D753" s="26" t="s">
        <v>78</v>
      </c>
      <c r="E753" s="26" t="s">
        <v>34</v>
      </c>
      <c r="F753" s="26" t="s">
        <v>1194</v>
      </c>
      <c r="G753" s="26" t="s">
        <v>29</v>
      </c>
      <c r="H753" s="26" t="s">
        <v>29</v>
      </c>
      <c r="I753" s="26" t="s">
        <v>750</v>
      </c>
      <c r="J753" s="26" t="s">
        <v>29</v>
      </c>
    </row>
    <row x14ac:dyDescent="0.25" r="754" customHeight="1" ht="15.75">
      <c r="A754" s="13" t="s">
        <v>227</v>
      </c>
      <c r="B754" s="13" t="s">
        <v>1798</v>
      </c>
      <c r="C754" s="26" t="s">
        <v>1799</v>
      </c>
      <c r="D754" s="26" t="s">
        <v>84</v>
      </c>
      <c r="E754" s="26" t="s">
        <v>57</v>
      </c>
      <c r="F754" s="26" t="s">
        <v>1800</v>
      </c>
      <c r="G754" s="26" t="s">
        <v>870</v>
      </c>
      <c r="H754" s="26" t="s">
        <v>29</v>
      </c>
      <c r="I754" s="26" t="s">
        <v>870</v>
      </c>
      <c r="J754" s="26" t="s">
        <v>29</v>
      </c>
    </row>
    <row x14ac:dyDescent="0.25" r="755" customHeight="1" ht="15.75">
      <c r="A755" s="13" t="s">
        <v>184</v>
      </c>
      <c r="B755" s="13" t="s">
        <v>1801</v>
      </c>
      <c r="C755" s="26" t="s">
        <v>947</v>
      </c>
      <c r="D755" s="26" t="s">
        <v>143</v>
      </c>
      <c r="E755" s="26" t="s">
        <v>31</v>
      </c>
      <c r="F755" s="26" t="s">
        <v>1802</v>
      </c>
      <c r="G755" s="26" t="s">
        <v>273</v>
      </c>
      <c r="H755" s="26" t="s">
        <v>29</v>
      </c>
      <c r="I755" s="26" t="s">
        <v>273</v>
      </c>
      <c r="J755" s="26" t="s">
        <v>29</v>
      </c>
    </row>
    <row x14ac:dyDescent="0.25" r="756" customHeight="1" ht="15.75">
      <c r="A756" s="13" t="s">
        <v>91</v>
      </c>
      <c r="B756" s="13" t="s">
        <v>1803</v>
      </c>
      <c r="C756" s="26" t="s">
        <v>1804</v>
      </c>
      <c r="D756" s="26" t="s">
        <v>93</v>
      </c>
      <c r="E756" s="26" t="s">
        <v>57</v>
      </c>
      <c r="F756" s="26" t="s">
        <v>649</v>
      </c>
      <c r="G756" s="26" t="s">
        <v>29</v>
      </c>
      <c r="H756" s="26" t="s">
        <v>29</v>
      </c>
      <c r="I756" s="26" t="s">
        <v>99</v>
      </c>
      <c r="J756" s="26" t="s">
        <v>29</v>
      </c>
    </row>
    <row x14ac:dyDescent="0.25" r="757" customHeight="1" ht="15.75">
      <c r="A757" s="13" t="s">
        <v>126</v>
      </c>
      <c r="B757" s="13" t="s">
        <v>1805</v>
      </c>
      <c r="C757" s="26" t="s">
        <v>1806</v>
      </c>
      <c r="D757" s="26" t="s">
        <v>605</v>
      </c>
      <c r="E757" s="26" t="s">
        <v>37</v>
      </c>
      <c r="F757" s="26" t="s">
        <v>908</v>
      </c>
      <c r="G757" s="26" t="s">
        <v>388</v>
      </c>
      <c r="H757" s="26" t="s">
        <v>29</v>
      </c>
      <c r="I757" s="26" t="s">
        <v>1791</v>
      </c>
      <c r="J757" s="26" t="s">
        <v>29</v>
      </c>
    </row>
    <row x14ac:dyDescent="0.25" r="758" customHeight="1" ht="15.75">
      <c r="A758" s="13" t="s">
        <v>116</v>
      </c>
      <c r="B758" s="13" t="s">
        <v>1807</v>
      </c>
      <c r="C758" s="26" t="s">
        <v>1808</v>
      </c>
      <c r="D758" s="26" t="s">
        <v>80</v>
      </c>
      <c r="E758" s="26" t="s">
        <v>37</v>
      </c>
      <c r="F758" s="26" t="s">
        <v>239</v>
      </c>
      <c r="G758" s="26" t="s">
        <v>1809</v>
      </c>
      <c r="H758" s="26" t="s">
        <v>1809</v>
      </c>
      <c r="I758" s="26" t="s">
        <v>290</v>
      </c>
      <c r="J758" s="26" t="s">
        <v>29</v>
      </c>
    </row>
    <row x14ac:dyDescent="0.25" r="759" customHeight="1" ht="15.75">
      <c r="A759" s="13" t="s">
        <v>27</v>
      </c>
      <c r="B759" s="13" t="s">
        <v>1810</v>
      </c>
      <c r="C759" s="26" t="s">
        <v>1811</v>
      </c>
      <c r="D759" s="26" t="s">
        <v>311</v>
      </c>
      <c r="E759" s="26" t="s">
        <v>34</v>
      </c>
      <c r="F759" s="26" t="s">
        <v>1172</v>
      </c>
      <c r="G759" s="26" t="s">
        <v>1173</v>
      </c>
      <c r="H759" s="26" t="s">
        <v>1173</v>
      </c>
      <c r="I759" s="26" t="s">
        <v>437</v>
      </c>
      <c r="J759" s="26" t="s">
        <v>29</v>
      </c>
    </row>
    <row x14ac:dyDescent="0.25" r="760" customHeight="1" ht="15.75">
      <c r="A760" s="13" t="s">
        <v>129</v>
      </c>
      <c r="B760" s="13" t="s">
        <v>1812</v>
      </c>
      <c r="C760" s="26" t="s">
        <v>468</v>
      </c>
      <c r="D760" s="26" t="s">
        <v>54</v>
      </c>
      <c r="E760" s="26" t="s">
        <v>43</v>
      </c>
      <c r="F760" s="26" t="s">
        <v>503</v>
      </c>
      <c r="G760" s="26" t="s">
        <v>29</v>
      </c>
      <c r="H760" s="26" t="s">
        <v>29</v>
      </c>
      <c r="I760" s="26" t="s">
        <v>31</v>
      </c>
      <c r="J760" s="26" t="s">
        <v>29</v>
      </c>
    </row>
    <row x14ac:dyDescent="0.25" r="761" customHeight="1" ht="15.75">
      <c r="A761" s="13" t="s">
        <v>116</v>
      </c>
      <c r="B761" s="13" t="s">
        <v>1813</v>
      </c>
      <c r="C761" s="26" t="s">
        <v>1814</v>
      </c>
      <c r="D761" s="26" t="s">
        <v>361</v>
      </c>
      <c r="E761" s="26" t="s">
        <v>43</v>
      </c>
      <c r="F761" s="26" t="s">
        <v>1815</v>
      </c>
      <c r="G761" s="26" t="s">
        <v>360</v>
      </c>
      <c r="H761" s="26" t="s">
        <v>170</v>
      </c>
      <c r="I761" s="26" t="s">
        <v>1189</v>
      </c>
      <c r="J761" s="26" t="s">
        <v>29</v>
      </c>
    </row>
    <row x14ac:dyDescent="0.25" r="762" customHeight="1" ht="15.75">
      <c r="A762" s="13" t="s">
        <v>116</v>
      </c>
      <c r="B762" s="13" t="s">
        <v>1816</v>
      </c>
      <c r="C762" s="26" t="s">
        <v>1817</v>
      </c>
      <c r="D762" s="26" t="s">
        <v>179</v>
      </c>
      <c r="E762" s="26" t="s">
        <v>88</v>
      </c>
      <c r="F762" s="26" t="s">
        <v>1818</v>
      </c>
      <c r="G762" s="26" t="s">
        <v>1819</v>
      </c>
      <c r="H762" s="26" t="s">
        <v>226</v>
      </c>
      <c r="I762" s="26" t="s">
        <v>142</v>
      </c>
      <c r="J762" s="26" t="s">
        <v>29</v>
      </c>
    </row>
    <row x14ac:dyDescent="0.25" r="763" customHeight="1" ht="15.75">
      <c r="A763" s="13" t="s">
        <v>109</v>
      </c>
      <c r="B763" s="13" t="s">
        <v>1820</v>
      </c>
      <c r="C763" s="26" t="s">
        <v>1821</v>
      </c>
      <c r="D763" s="26" t="s">
        <v>1822</v>
      </c>
      <c r="E763" s="26" t="s">
        <v>81</v>
      </c>
      <c r="F763" s="26" t="s">
        <v>240</v>
      </c>
      <c r="G763" s="26" t="s">
        <v>29</v>
      </c>
      <c r="H763" s="26" t="s">
        <v>29</v>
      </c>
      <c r="I763" s="26" t="s">
        <v>605</v>
      </c>
      <c r="J763" s="26" t="s">
        <v>29</v>
      </c>
    </row>
    <row x14ac:dyDescent="0.25" r="764" customHeight="1" ht="15.75">
      <c r="A764" s="13" t="s">
        <v>198</v>
      </c>
      <c r="B764" s="13" t="s">
        <v>1823</v>
      </c>
      <c r="C764" s="26" t="s">
        <v>1824</v>
      </c>
      <c r="D764" s="26" t="s">
        <v>43</v>
      </c>
      <c r="E764" s="26" t="s">
        <v>34</v>
      </c>
      <c r="F764" s="26" t="s">
        <v>752</v>
      </c>
      <c r="G764" s="26" t="s">
        <v>29</v>
      </c>
      <c r="H764" s="26" t="s">
        <v>29</v>
      </c>
      <c r="I764" s="26" t="s">
        <v>1247</v>
      </c>
      <c r="J764" s="26" t="s">
        <v>29</v>
      </c>
    </row>
    <row x14ac:dyDescent="0.25" r="765" customHeight="1" ht="15.75">
      <c r="A765" s="13" t="s">
        <v>27</v>
      </c>
      <c r="B765" s="13" t="s">
        <v>1825</v>
      </c>
      <c r="C765" s="26" t="s">
        <v>924</v>
      </c>
      <c r="D765" s="26" t="s">
        <v>1419</v>
      </c>
      <c r="E765" s="26" t="s">
        <v>1826</v>
      </c>
      <c r="F765" s="26" t="s">
        <v>97</v>
      </c>
      <c r="G765" s="26" t="s">
        <v>150</v>
      </c>
      <c r="H765" s="26" t="s">
        <v>29</v>
      </c>
      <c r="I765" s="26" t="s">
        <v>118</v>
      </c>
      <c r="J765" s="26" t="s">
        <v>29</v>
      </c>
    </row>
    <row x14ac:dyDescent="0.25" r="766" customHeight="1" ht="15.75">
      <c r="A766" s="13" t="s">
        <v>66</v>
      </c>
      <c r="B766" s="13" t="s">
        <v>1827</v>
      </c>
      <c r="C766" s="26" t="s">
        <v>1828</v>
      </c>
      <c r="D766" s="26" t="s">
        <v>194</v>
      </c>
      <c r="E766" s="26" t="s">
        <v>57</v>
      </c>
      <c r="F766" s="26" t="s">
        <v>734</v>
      </c>
      <c r="G766" s="26" t="s">
        <v>29</v>
      </c>
      <c r="H766" s="26" t="s">
        <v>29</v>
      </c>
      <c r="I766" s="26" t="s">
        <v>361</v>
      </c>
      <c r="J766" s="26" t="s">
        <v>29</v>
      </c>
    </row>
    <row x14ac:dyDescent="0.25" r="767" customHeight="1" ht="15.75">
      <c r="A767" s="13" t="s">
        <v>227</v>
      </c>
      <c r="B767" s="13" t="s">
        <v>1829</v>
      </c>
      <c r="C767" s="26" t="s">
        <v>1830</v>
      </c>
      <c r="D767" s="26" t="s">
        <v>1831</v>
      </c>
      <c r="E767" s="26" t="s">
        <v>63</v>
      </c>
      <c r="F767" s="26" t="s">
        <v>578</v>
      </c>
      <c r="G767" s="26" t="s">
        <v>233</v>
      </c>
      <c r="H767" s="26" t="s">
        <v>29</v>
      </c>
      <c r="I767" s="26" t="s">
        <v>84</v>
      </c>
      <c r="J767" s="26" t="s">
        <v>29</v>
      </c>
    </row>
    <row x14ac:dyDescent="0.25" r="768" customHeight="1" ht="15.75">
      <c r="A768" s="13" t="s">
        <v>512</v>
      </c>
      <c r="B768" s="13" t="s">
        <v>1832</v>
      </c>
      <c r="C768" s="26" t="s">
        <v>1833</v>
      </c>
      <c r="D768" s="26" t="s">
        <v>57</v>
      </c>
      <c r="E768" s="26" t="s">
        <v>34</v>
      </c>
      <c r="F768" s="26" t="s">
        <v>318</v>
      </c>
      <c r="G768" s="26" t="s">
        <v>318</v>
      </c>
      <c r="H768" s="26" t="s">
        <v>29</v>
      </c>
      <c r="I768" s="26" t="s">
        <v>201</v>
      </c>
      <c r="J768" s="26" t="s">
        <v>29</v>
      </c>
    </row>
    <row x14ac:dyDescent="0.25" r="769" customHeight="1" ht="15.75">
      <c r="A769" s="13" t="s">
        <v>103</v>
      </c>
      <c r="B769" s="13" t="s">
        <v>1834</v>
      </c>
      <c r="C769" s="26" t="s">
        <v>303</v>
      </c>
      <c r="D769" s="26" t="s">
        <v>57</v>
      </c>
      <c r="E769" s="26" t="s">
        <v>88</v>
      </c>
      <c r="F769" s="26" t="s">
        <v>78</v>
      </c>
      <c r="G769" s="26" t="s">
        <v>29</v>
      </c>
      <c r="H769" s="26" t="s">
        <v>29</v>
      </c>
      <c r="I769" s="26" t="s">
        <v>52</v>
      </c>
      <c r="J769" s="26" t="s">
        <v>52</v>
      </c>
    </row>
    <row x14ac:dyDescent="0.25" r="770" customHeight="1" ht="15.75">
      <c r="A770" s="13" t="s">
        <v>184</v>
      </c>
      <c r="B770" s="13" t="s">
        <v>1835</v>
      </c>
      <c r="C770" s="26" t="s">
        <v>1836</v>
      </c>
      <c r="D770" s="26" t="s">
        <v>118</v>
      </c>
      <c r="E770" s="26" t="s">
        <v>57</v>
      </c>
      <c r="F770" s="26" t="s">
        <v>352</v>
      </c>
      <c r="G770" s="26" t="s">
        <v>77</v>
      </c>
      <c r="H770" s="26" t="s">
        <v>77</v>
      </c>
      <c r="I770" s="26" t="s">
        <v>352</v>
      </c>
      <c r="J770" s="26" t="s">
        <v>29</v>
      </c>
    </row>
    <row x14ac:dyDescent="0.25" r="771" customHeight="1" ht="15.75">
      <c r="A771" s="13" t="s">
        <v>27</v>
      </c>
      <c r="B771" s="13" t="s">
        <v>1837</v>
      </c>
      <c r="C771" s="26" t="s">
        <v>1838</v>
      </c>
      <c r="D771" s="26" t="s">
        <v>498</v>
      </c>
      <c r="E771" s="26" t="s">
        <v>88</v>
      </c>
      <c r="F771" s="26" t="s">
        <v>914</v>
      </c>
      <c r="G771" s="26" t="s">
        <v>439</v>
      </c>
      <c r="H771" s="26" t="s">
        <v>29</v>
      </c>
      <c r="I771" s="26" t="s">
        <v>1279</v>
      </c>
      <c r="J771" s="26" t="s">
        <v>29</v>
      </c>
    </row>
    <row x14ac:dyDescent="0.25" r="772" customHeight="1" ht="15.75">
      <c r="A772" s="13" t="s">
        <v>126</v>
      </c>
      <c r="B772" s="13" t="s">
        <v>1839</v>
      </c>
      <c r="C772" s="26" t="s">
        <v>1840</v>
      </c>
      <c r="D772" s="26" t="s">
        <v>1326</v>
      </c>
      <c r="E772" s="26" t="s">
        <v>81</v>
      </c>
      <c r="F772" s="26" t="s">
        <v>135</v>
      </c>
      <c r="G772" s="26" t="s">
        <v>1841</v>
      </c>
      <c r="H772" s="26" t="s">
        <v>588</v>
      </c>
      <c r="I772" s="26" t="s">
        <v>97</v>
      </c>
      <c r="J772" s="26" t="s">
        <v>29</v>
      </c>
    </row>
    <row x14ac:dyDescent="0.25" r="773" customHeight="1" ht="15.75">
      <c r="A773" s="13" t="s">
        <v>27</v>
      </c>
      <c r="B773" s="13" t="s">
        <v>1842</v>
      </c>
      <c r="C773" s="26" t="s">
        <v>1843</v>
      </c>
      <c r="D773" s="26" t="s">
        <v>308</v>
      </c>
      <c r="E773" s="26" t="s">
        <v>810</v>
      </c>
      <c r="F773" s="26" t="s">
        <v>1844</v>
      </c>
      <c r="G773" s="26" t="s">
        <v>1845</v>
      </c>
      <c r="H773" s="26" t="s">
        <v>220</v>
      </c>
      <c r="I773" s="26" t="s">
        <v>1203</v>
      </c>
      <c r="J773" s="26" t="s">
        <v>1846</v>
      </c>
    </row>
    <row x14ac:dyDescent="0.25" r="774" customHeight="1" ht="15.75">
      <c r="A774" s="13" t="s">
        <v>126</v>
      </c>
      <c r="B774" s="13" t="s">
        <v>1847</v>
      </c>
      <c r="C774" s="26" t="s">
        <v>1848</v>
      </c>
      <c r="D774" s="26" t="s">
        <v>1849</v>
      </c>
      <c r="E774" s="26" t="s">
        <v>81</v>
      </c>
      <c r="F774" s="26" t="s">
        <v>1850</v>
      </c>
      <c r="G774" s="26" t="s">
        <v>237</v>
      </c>
      <c r="H774" s="26" t="s">
        <v>29</v>
      </c>
      <c r="I774" s="26" t="s">
        <v>849</v>
      </c>
      <c r="J774" s="26" t="s">
        <v>29</v>
      </c>
    </row>
    <row x14ac:dyDescent="0.25" r="775" customHeight="1" ht="15.75">
      <c r="A775" s="13" t="s">
        <v>227</v>
      </c>
      <c r="B775" s="13" t="s">
        <v>1851</v>
      </c>
      <c r="C775" s="26" t="s">
        <v>1852</v>
      </c>
      <c r="D775" s="26" t="s">
        <v>1547</v>
      </c>
      <c r="E775" s="26" t="s">
        <v>34</v>
      </c>
      <c r="F775" s="26" t="s">
        <v>36</v>
      </c>
      <c r="G775" s="26" t="s">
        <v>150</v>
      </c>
      <c r="H775" s="26" t="s">
        <v>507</v>
      </c>
      <c r="I775" s="26" t="s">
        <v>507</v>
      </c>
      <c r="J775" s="26" t="s">
        <v>29</v>
      </c>
    </row>
    <row x14ac:dyDescent="0.25" r="776" customHeight="1" ht="15.75">
      <c r="A776" s="13" t="s">
        <v>184</v>
      </c>
      <c r="B776" s="13" t="s">
        <v>1853</v>
      </c>
      <c r="C776" s="26" t="s">
        <v>1854</v>
      </c>
      <c r="D776" s="26" t="s">
        <v>36</v>
      </c>
      <c r="E776" s="26" t="s">
        <v>31</v>
      </c>
      <c r="F776" s="26" t="s">
        <v>360</v>
      </c>
      <c r="G776" s="26" t="s">
        <v>1815</v>
      </c>
      <c r="H776" s="26" t="s">
        <v>170</v>
      </c>
      <c r="I776" s="26" t="s">
        <v>1189</v>
      </c>
      <c r="J776" s="26" t="s">
        <v>170</v>
      </c>
    </row>
    <row x14ac:dyDescent="0.25" r="777" customHeight="1" ht="15.75">
      <c r="A777" s="13" t="s">
        <v>116</v>
      </c>
      <c r="B777" s="13" t="s">
        <v>1855</v>
      </c>
      <c r="C777" s="26" t="s">
        <v>1856</v>
      </c>
      <c r="D777" s="26" t="s">
        <v>1857</v>
      </c>
      <c r="E777" s="26" t="s">
        <v>88</v>
      </c>
      <c r="F777" s="26" t="s">
        <v>29</v>
      </c>
      <c r="G777" s="26" t="s">
        <v>29</v>
      </c>
      <c r="H777" s="26" t="s">
        <v>29</v>
      </c>
      <c r="I777" s="26" t="s">
        <v>105</v>
      </c>
      <c r="J777" s="26" t="s">
        <v>29</v>
      </c>
    </row>
    <row x14ac:dyDescent="0.25" r="778" customHeight="1" ht="15.75">
      <c r="A778" s="13" t="s">
        <v>129</v>
      </c>
      <c r="B778" s="13" t="s">
        <v>1858</v>
      </c>
      <c r="C778" s="26" t="s">
        <v>1859</v>
      </c>
      <c r="D778" s="26" t="s">
        <v>1860</v>
      </c>
      <c r="E778" s="26" t="s">
        <v>34</v>
      </c>
      <c r="F778" s="26" t="s">
        <v>388</v>
      </c>
      <c r="G778" s="26" t="s">
        <v>1467</v>
      </c>
      <c r="H778" s="26" t="s">
        <v>29</v>
      </c>
      <c r="I778" s="26" t="s">
        <v>1861</v>
      </c>
      <c r="J778" s="26" t="s">
        <v>29</v>
      </c>
    </row>
    <row x14ac:dyDescent="0.25" r="779" customHeight="1" ht="15.75">
      <c r="A779" s="13" t="s">
        <v>91</v>
      </c>
      <c r="B779" s="13" t="s">
        <v>1862</v>
      </c>
      <c r="C779" s="26" t="s">
        <v>1863</v>
      </c>
      <c r="D779" s="26" t="s">
        <v>210</v>
      </c>
      <c r="E779" s="26" t="s">
        <v>34</v>
      </c>
      <c r="F779" s="26" t="s">
        <v>1139</v>
      </c>
      <c r="G779" s="26" t="s">
        <v>1540</v>
      </c>
      <c r="H779" s="26" t="s">
        <v>29</v>
      </c>
      <c r="I779" s="26" t="s">
        <v>29</v>
      </c>
      <c r="J779" s="26" t="s">
        <v>29</v>
      </c>
    </row>
    <row x14ac:dyDescent="0.25" r="780" customHeight="1" ht="15.75">
      <c r="A780" s="13" t="s">
        <v>91</v>
      </c>
      <c r="B780" s="13" t="s">
        <v>1864</v>
      </c>
      <c r="C780" s="26" t="s">
        <v>1865</v>
      </c>
      <c r="D780" s="26" t="s">
        <v>31</v>
      </c>
      <c r="E780" s="26" t="s">
        <v>63</v>
      </c>
      <c r="F780" s="26" t="s">
        <v>1866</v>
      </c>
      <c r="G780" s="26" t="s">
        <v>371</v>
      </c>
      <c r="H780" s="26" t="s">
        <v>1716</v>
      </c>
      <c r="I780" s="26" t="s">
        <v>371</v>
      </c>
      <c r="J780" s="26" t="s">
        <v>1634</v>
      </c>
    </row>
    <row x14ac:dyDescent="0.25" r="781" customHeight="1" ht="15.75">
      <c r="A781" s="13" t="s">
        <v>198</v>
      </c>
      <c r="B781" s="13" t="s">
        <v>1867</v>
      </c>
      <c r="C781" s="26" t="s">
        <v>1868</v>
      </c>
      <c r="D781" s="26" t="s">
        <v>1401</v>
      </c>
      <c r="E781" s="26" t="s">
        <v>115</v>
      </c>
      <c r="F781" s="26" t="s">
        <v>1021</v>
      </c>
      <c r="G781" s="26" t="s">
        <v>426</v>
      </c>
      <c r="H781" s="26" t="s">
        <v>197</v>
      </c>
      <c r="I781" s="26" t="s">
        <v>1295</v>
      </c>
      <c r="J781" s="26" t="s">
        <v>1634</v>
      </c>
    </row>
    <row x14ac:dyDescent="0.25" r="782" customHeight="1" ht="15.75">
      <c r="A782" s="13" t="s">
        <v>116</v>
      </c>
      <c r="B782" s="13" t="s">
        <v>1869</v>
      </c>
      <c r="C782" s="26" t="s">
        <v>1870</v>
      </c>
      <c r="D782" s="26" t="s">
        <v>619</v>
      </c>
      <c r="E782" s="26" t="s">
        <v>81</v>
      </c>
      <c r="F782" s="26" t="s">
        <v>1871</v>
      </c>
      <c r="G782" s="26" t="s">
        <v>237</v>
      </c>
      <c r="H782" s="26" t="s">
        <v>1362</v>
      </c>
      <c r="I782" s="26" t="s">
        <v>1871</v>
      </c>
      <c r="J782" s="26" t="s">
        <v>29</v>
      </c>
    </row>
    <row x14ac:dyDescent="0.25" r="783" customHeight="1" ht="15.75">
      <c r="A783" s="13" t="s">
        <v>227</v>
      </c>
      <c r="B783" s="13" t="s">
        <v>1872</v>
      </c>
      <c r="C783" s="26" t="s">
        <v>1870</v>
      </c>
      <c r="D783" s="26" t="s">
        <v>1873</v>
      </c>
      <c r="E783" s="26" t="s">
        <v>37</v>
      </c>
      <c r="F783" s="26" t="s">
        <v>43</v>
      </c>
      <c r="G783" s="26" t="s">
        <v>452</v>
      </c>
      <c r="H783" s="26" t="s">
        <v>452</v>
      </c>
      <c r="I783" s="26" t="s">
        <v>452</v>
      </c>
      <c r="J783" s="26" t="s">
        <v>29</v>
      </c>
    </row>
    <row x14ac:dyDescent="0.25" r="784" customHeight="1" ht="15.75">
      <c r="A784" s="13" t="s">
        <v>184</v>
      </c>
      <c r="B784" s="13" t="s">
        <v>1874</v>
      </c>
      <c r="C784" s="26" t="s">
        <v>1860</v>
      </c>
      <c r="D784" s="26" t="s">
        <v>1875</v>
      </c>
      <c r="E784" s="26" t="s">
        <v>43</v>
      </c>
      <c r="F784" s="26" t="s">
        <v>1876</v>
      </c>
      <c r="G784" s="26" t="s">
        <v>1877</v>
      </c>
      <c r="H784" s="26" t="s">
        <v>29</v>
      </c>
      <c r="I784" s="26" t="s">
        <v>490</v>
      </c>
      <c r="J784" s="26" t="s">
        <v>29</v>
      </c>
    </row>
    <row x14ac:dyDescent="0.25" r="785" customHeight="1" ht="15.75">
      <c r="A785" s="13" t="s">
        <v>391</v>
      </c>
      <c r="B785" s="13" t="s">
        <v>1878</v>
      </c>
      <c r="C785" s="26" t="s">
        <v>1879</v>
      </c>
      <c r="D785" s="26" t="s">
        <v>118</v>
      </c>
      <c r="E785" s="26" t="s">
        <v>57</v>
      </c>
      <c r="F785" s="26" t="s">
        <v>43</v>
      </c>
      <c r="G785" s="26" t="s">
        <v>29</v>
      </c>
      <c r="H785" s="26" t="s">
        <v>29</v>
      </c>
      <c r="I785" s="26" t="s">
        <v>318</v>
      </c>
      <c r="J785" s="26" t="s">
        <v>29</v>
      </c>
    </row>
    <row x14ac:dyDescent="0.25" r="786" customHeight="1" ht="15.75">
      <c r="A786" s="13" t="s">
        <v>391</v>
      </c>
      <c r="B786" s="13" t="s">
        <v>1880</v>
      </c>
      <c r="C786" s="26" t="s">
        <v>1881</v>
      </c>
      <c r="D786" s="26" t="s">
        <v>1455</v>
      </c>
      <c r="E786" s="26" t="s">
        <v>350</v>
      </c>
      <c r="F786" s="26" t="s">
        <v>487</v>
      </c>
      <c r="G786" s="26" t="s">
        <v>1882</v>
      </c>
      <c r="H786" s="26" t="s">
        <v>29</v>
      </c>
      <c r="I786" s="26" t="s">
        <v>229</v>
      </c>
      <c r="J786" s="26" t="s">
        <v>29</v>
      </c>
    </row>
    <row x14ac:dyDescent="0.25" r="787" customHeight="1" ht="15.75">
      <c r="A787" s="13" t="s">
        <v>27</v>
      </c>
      <c r="B787" s="13" t="s">
        <v>1883</v>
      </c>
      <c r="C787" s="26" t="s">
        <v>1884</v>
      </c>
      <c r="D787" s="26" t="s">
        <v>99</v>
      </c>
      <c r="E787" s="26" t="s">
        <v>350</v>
      </c>
      <c r="F787" s="26" t="s">
        <v>460</v>
      </c>
      <c r="G787" s="26" t="s">
        <v>846</v>
      </c>
      <c r="H787" s="26" t="s">
        <v>29</v>
      </c>
      <c r="I787" s="26" t="s">
        <v>587</v>
      </c>
      <c r="J787" s="26" t="s">
        <v>29</v>
      </c>
    </row>
    <row x14ac:dyDescent="0.25" r="788" customHeight="1" ht="15.75">
      <c r="A788" s="13" t="s">
        <v>27</v>
      </c>
      <c r="B788" s="13" t="s">
        <v>1885</v>
      </c>
      <c r="C788" s="26" t="s">
        <v>1886</v>
      </c>
      <c r="D788" s="26" t="s">
        <v>36</v>
      </c>
      <c r="E788" s="26" t="s">
        <v>88</v>
      </c>
      <c r="F788" s="26" t="s">
        <v>84</v>
      </c>
      <c r="G788" s="26" t="s">
        <v>29</v>
      </c>
      <c r="H788" s="26" t="s">
        <v>29</v>
      </c>
      <c r="I788" s="26" t="s">
        <v>176</v>
      </c>
      <c r="J788" s="26" t="s">
        <v>29</v>
      </c>
    </row>
    <row x14ac:dyDescent="0.25" r="789" customHeight="1" ht="15.75">
      <c r="A789" s="13" t="s">
        <v>227</v>
      </c>
      <c r="B789" s="13" t="s">
        <v>1887</v>
      </c>
      <c r="C789" s="26" t="s">
        <v>1888</v>
      </c>
      <c r="D789" s="26" t="s">
        <v>404</v>
      </c>
      <c r="E789" s="26" t="s">
        <v>34</v>
      </c>
      <c r="F789" s="26" t="s">
        <v>1137</v>
      </c>
      <c r="G789" s="26" t="s">
        <v>29</v>
      </c>
      <c r="H789" s="26" t="s">
        <v>29</v>
      </c>
      <c r="I789" s="26" t="s">
        <v>1137</v>
      </c>
      <c r="J789" s="26" t="s">
        <v>29</v>
      </c>
    </row>
    <row x14ac:dyDescent="0.25" r="790" customHeight="1" ht="15.75">
      <c r="A790" s="13" t="s">
        <v>227</v>
      </c>
      <c r="B790" s="13" t="s">
        <v>1889</v>
      </c>
      <c r="C790" s="26" t="s">
        <v>1151</v>
      </c>
      <c r="D790" s="26" t="s">
        <v>37</v>
      </c>
      <c r="E790" s="26" t="s">
        <v>88</v>
      </c>
      <c r="F790" s="26" t="s">
        <v>93</v>
      </c>
      <c r="G790" s="26" t="s">
        <v>154</v>
      </c>
      <c r="H790" s="26" t="s">
        <v>29</v>
      </c>
      <c r="I790" s="26" t="s">
        <v>29</v>
      </c>
      <c r="J790" s="26" t="s">
        <v>29</v>
      </c>
    </row>
    <row x14ac:dyDescent="0.25" r="791" customHeight="1" ht="15.75">
      <c r="A791" s="13" t="s">
        <v>91</v>
      </c>
      <c r="B791" s="13" t="s">
        <v>1890</v>
      </c>
      <c r="C791" s="26" t="s">
        <v>1891</v>
      </c>
      <c r="D791" s="26" t="s">
        <v>746</v>
      </c>
      <c r="E791" s="26" t="s">
        <v>88</v>
      </c>
      <c r="F791" s="26" t="s">
        <v>545</v>
      </c>
      <c r="G791" s="26" t="s">
        <v>403</v>
      </c>
      <c r="H791" s="26" t="s">
        <v>329</v>
      </c>
      <c r="I791" s="26" t="s">
        <v>403</v>
      </c>
      <c r="J791" s="26" t="s">
        <v>1716</v>
      </c>
    </row>
    <row x14ac:dyDescent="0.25" r="792" customHeight="1" ht="15.75">
      <c r="A792" s="13" t="s">
        <v>126</v>
      </c>
      <c r="B792" s="13" t="s">
        <v>1892</v>
      </c>
      <c r="C792" s="26" t="s">
        <v>1893</v>
      </c>
      <c r="D792" s="26" t="s">
        <v>31</v>
      </c>
      <c r="E792" s="26" t="s">
        <v>34</v>
      </c>
      <c r="F792" s="26" t="s">
        <v>1474</v>
      </c>
      <c r="G792" s="26" t="s">
        <v>160</v>
      </c>
      <c r="H792" s="26" t="s">
        <v>29</v>
      </c>
      <c r="I792" s="26" t="s">
        <v>710</v>
      </c>
      <c r="J792" s="26" t="s">
        <v>29</v>
      </c>
    </row>
    <row x14ac:dyDescent="0.25" r="793" customHeight="1" ht="15.75">
      <c r="A793" s="13" t="s">
        <v>184</v>
      </c>
      <c r="B793" s="13" t="s">
        <v>1894</v>
      </c>
      <c r="C793" s="26" t="s">
        <v>1893</v>
      </c>
      <c r="D793" s="26" t="s">
        <v>1895</v>
      </c>
      <c r="E793" s="26" t="s">
        <v>88</v>
      </c>
      <c r="F793" s="26" t="s">
        <v>344</v>
      </c>
      <c r="G793" s="26" t="s">
        <v>99</v>
      </c>
      <c r="H793" s="26" t="s">
        <v>29</v>
      </c>
      <c r="I793" s="26" t="s">
        <v>237</v>
      </c>
      <c r="J793" s="26" t="s">
        <v>29</v>
      </c>
    </row>
    <row x14ac:dyDescent="0.25" r="794" customHeight="1" ht="15.75">
      <c r="A794" s="13" t="s">
        <v>227</v>
      </c>
      <c r="B794" s="13" t="s">
        <v>1896</v>
      </c>
      <c r="C794" s="26" t="s">
        <v>1897</v>
      </c>
      <c r="D794" s="26" t="s">
        <v>1898</v>
      </c>
      <c r="E794" s="26" t="s">
        <v>34</v>
      </c>
      <c r="F794" s="26" t="s">
        <v>1899</v>
      </c>
      <c r="G794" s="26" t="s">
        <v>1900</v>
      </c>
      <c r="H794" s="26" t="s">
        <v>1421</v>
      </c>
      <c r="I794" s="26" t="s">
        <v>1900</v>
      </c>
      <c r="J794" s="26" t="s">
        <v>29</v>
      </c>
    </row>
    <row x14ac:dyDescent="0.25" r="795" customHeight="1" ht="15.75">
      <c r="A795" s="13" t="s">
        <v>66</v>
      </c>
      <c r="B795" s="13" t="s">
        <v>1901</v>
      </c>
      <c r="C795" s="26" t="s">
        <v>1902</v>
      </c>
      <c r="D795" s="26" t="s">
        <v>194</v>
      </c>
      <c r="E795" s="26" t="s">
        <v>37</v>
      </c>
      <c r="F795" s="26" t="s">
        <v>84</v>
      </c>
      <c r="G795" s="26" t="s">
        <v>29</v>
      </c>
      <c r="H795" s="26" t="s">
        <v>29</v>
      </c>
      <c r="I795" s="26" t="s">
        <v>1903</v>
      </c>
      <c r="J795" s="26" t="s">
        <v>29</v>
      </c>
    </row>
    <row x14ac:dyDescent="0.25" r="796" customHeight="1" ht="15.75">
      <c r="A796" s="13" t="s">
        <v>129</v>
      </c>
      <c r="B796" s="13" t="s">
        <v>1904</v>
      </c>
      <c r="C796" s="26" t="s">
        <v>1905</v>
      </c>
      <c r="D796" s="26" t="s">
        <v>194</v>
      </c>
      <c r="E796" s="26" t="s">
        <v>88</v>
      </c>
      <c r="F796" s="26" t="s">
        <v>549</v>
      </c>
      <c r="G796" s="26" t="s">
        <v>388</v>
      </c>
      <c r="H796" s="26" t="s">
        <v>29</v>
      </c>
      <c r="I796" s="26" t="s">
        <v>29</v>
      </c>
      <c r="J796" s="26" t="s">
        <v>29</v>
      </c>
    </row>
    <row x14ac:dyDescent="0.25" r="797" customHeight="1" ht="15.75">
      <c r="A797" s="13" t="s">
        <v>391</v>
      </c>
      <c r="B797" s="13" t="s">
        <v>1906</v>
      </c>
      <c r="C797" s="26" t="s">
        <v>1907</v>
      </c>
      <c r="D797" s="26" t="s">
        <v>37</v>
      </c>
      <c r="E797" s="26" t="s">
        <v>37</v>
      </c>
      <c r="F797" s="26" t="s">
        <v>42</v>
      </c>
      <c r="G797" s="26" t="s">
        <v>29</v>
      </c>
      <c r="H797" s="26" t="s">
        <v>29</v>
      </c>
      <c r="I797" s="26" t="s">
        <v>29</v>
      </c>
      <c r="J797" s="26" t="s">
        <v>29</v>
      </c>
    </row>
    <row x14ac:dyDescent="0.25" r="798" customHeight="1" ht="15.75">
      <c r="A798" s="13" t="s">
        <v>91</v>
      </c>
      <c r="B798" s="13" t="s">
        <v>1908</v>
      </c>
      <c r="C798" s="26" t="s">
        <v>1909</v>
      </c>
      <c r="D798" s="26" t="s">
        <v>1211</v>
      </c>
      <c r="E798" s="26" t="s">
        <v>88</v>
      </c>
      <c r="F798" s="26" t="s">
        <v>1910</v>
      </c>
      <c r="G798" s="26" t="s">
        <v>1911</v>
      </c>
      <c r="H798" s="26" t="s">
        <v>29</v>
      </c>
      <c r="I798" s="26" t="s">
        <v>1912</v>
      </c>
      <c r="J798" s="26" t="s">
        <v>1911</v>
      </c>
    </row>
    <row x14ac:dyDescent="0.25" r="799" customHeight="1" ht="15.75">
      <c r="A799" s="13" t="s">
        <v>512</v>
      </c>
      <c r="B799" s="13" t="s">
        <v>1913</v>
      </c>
      <c r="C799" s="26" t="s">
        <v>1914</v>
      </c>
      <c r="D799" s="26" t="s">
        <v>63</v>
      </c>
      <c r="E799" s="26" t="s">
        <v>57</v>
      </c>
      <c r="F799" s="26" t="s">
        <v>43</v>
      </c>
      <c r="G799" s="26" t="s">
        <v>29</v>
      </c>
      <c r="H799" s="26" t="s">
        <v>29</v>
      </c>
      <c r="I799" s="26" t="s">
        <v>29</v>
      </c>
      <c r="J799" s="26" t="s">
        <v>29</v>
      </c>
    </row>
    <row x14ac:dyDescent="0.25" r="800" customHeight="1" ht="15.75">
      <c r="A800" s="13" t="s">
        <v>227</v>
      </c>
      <c r="B800" s="13" t="s">
        <v>1915</v>
      </c>
      <c r="C800" s="26" t="s">
        <v>1914</v>
      </c>
      <c r="D800" s="26" t="s">
        <v>234</v>
      </c>
      <c r="E800" s="26" t="s">
        <v>74</v>
      </c>
      <c r="F800" s="26" t="s">
        <v>201</v>
      </c>
      <c r="G800" s="26" t="s">
        <v>150</v>
      </c>
      <c r="H800" s="26" t="s">
        <v>29</v>
      </c>
      <c r="I800" s="26" t="s">
        <v>150</v>
      </c>
      <c r="J800" s="26" t="s">
        <v>29</v>
      </c>
    </row>
    <row x14ac:dyDescent="0.25" r="801" customHeight="1" ht="15.75">
      <c r="A801" s="13" t="s">
        <v>391</v>
      </c>
      <c r="B801" s="13" t="s">
        <v>1916</v>
      </c>
      <c r="C801" s="26" t="s">
        <v>1917</v>
      </c>
      <c r="D801" s="26" t="s">
        <v>520</v>
      </c>
      <c r="E801" s="26" t="s">
        <v>78</v>
      </c>
      <c r="F801" s="26" t="s">
        <v>1918</v>
      </c>
      <c r="G801" s="26" t="s">
        <v>1364</v>
      </c>
      <c r="H801" s="26" t="s">
        <v>29</v>
      </c>
      <c r="I801" s="26" t="s">
        <v>29</v>
      </c>
      <c r="J801" s="26" t="s">
        <v>29</v>
      </c>
    </row>
    <row x14ac:dyDescent="0.25" r="802" customHeight="1" ht="15.75">
      <c r="A802" s="13" t="s">
        <v>109</v>
      </c>
      <c r="B802" s="13" t="s">
        <v>1919</v>
      </c>
      <c r="C802" s="26" t="s">
        <v>1246</v>
      </c>
      <c r="D802" s="26" t="s">
        <v>115</v>
      </c>
      <c r="E802" s="26" t="s">
        <v>81</v>
      </c>
      <c r="F802" s="26" t="s">
        <v>641</v>
      </c>
      <c r="G802" s="26" t="s">
        <v>433</v>
      </c>
      <c r="H802" s="26" t="s">
        <v>29</v>
      </c>
      <c r="I802" s="26" t="s">
        <v>1272</v>
      </c>
      <c r="J802" s="26" t="s">
        <v>1273</v>
      </c>
    </row>
    <row x14ac:dyDescent="0.25" r="803" customHeight="1" ht="15.75">
      <c r="A803" s="13" t="s">
        <v>116</v>
      </c>
      <c r="B803" s="13" t="s">
        <v>1920</v>
      </c>
      <c r="C803" s="26" t="s">
        <v>1921</v>
      </c>
      <c r="D803" s="26" t="s">
        <v>1822</v>
      </c>
      <c r="E803" s="26" t="s">
        <v>88</v>
      </c>
      <c r="F803" s="26" t="s">
        <v>549</v>
      </c>
      <c r="G803" s="26" t="s">
        <v>29</v>
      </c>
      <c r="H803" s="26" t="s">
        <v>29</v>
      </c>
      <c r="I803" s="26" t="s">
        <v>277</v>
      </c>
      <c r="J803" s="26" t="s">
        <v>29</v>
      </c>
    </row>
    <row x14ac:dyDescent="0.25" r="804" customHeight="1" ht="15.75">
      <c r="A804" s="13" t="s">
        <v>66</v>
      </c>
      <c r="B804" s="13" t="s">
        <v>1922</v>
      </c>
      <c r="C804" s="26" t="s">
        <v>1923</v>
      </c>
      <c r="D804" s="26" t="s">
        <v>1924</v>
      </c>
      <c r="E804" s="26" t="s">
        <v>43</v>
      </c>
      <c r="F804" s="26" t="s">
        <v>332</v>
      </c>
      <c r="G804" s="26" t="s">
        <v>186</v>
      </c>
      <c r="H804" s="26" t="s">
        <v>186</v>
      </c>
      <c r="I804" s="26" t="s">
        <v>897</v>
      </c>
      <c r="J804" s="26" t="s">
        <v>29</v>
      </c>
    </row>
    <row x14ac:dyDescent="0.25" r="805" customHeight="1" ht="15.75">
      <c r="A805" s="13" t="s">
        <v>129</v>
      </c>
      <c r="B805" s="13" t="s">
        <v>1925</v>
      </c>
      <c r="C805" s="26" t="s">
        <v>1926</v>
      </c>
      <c r="D805" s="26" t="s">
        <v>870</v>
      </c>
      <c r="E805" s="26" t="s">
        <v>31</v>
      </c>
      <c r="F805" s="26" t="s">
        <v>201</v>
      </c>
      <c r="G805" s="26" t="s">
        <v>150</v>
      </c>
      <c r="H805" s="26" t="s">
        <v>29</v>
      </c>
      <c r="I805" s="26" t="s">
        <v>1004</v>
      </c>
      <c r="J805" s="26" t="s">
        <v>29</v>
      </c>
    </row>
    <row x14ac:dyDescent="0.25" r="806" customHeight="1" ht="15.75">
      <c r="A806" s="13" t="s">
        <v>66</v>
      </c>
      <c r="B806" s="13" t="s">
        <v>1927</v>
      </c>
      <c r="C806" s="26" t="s">
        <v>1928</v>
      </c>
      <c r="D806" s="26" t="s">
        <v>641</v>
      </c>
      <c r="E806" s="26" t="s">
        <v>78</v>
      </c>
      <c r="F806" s="26" t="s">
        <v>318</v>
      </c>
      <c r="G806" s="26" t="s">
        <v>610</v>
      </c>
      <c r="H806" s="26" t="s">
        <v>29</v>
      </c>
      <c r="I806" s="26" t="s">
        <v>610</v>
      </c>
      <c r="J806" s="26" t="s">
        <v>29</v>
      </c>
    </row>
    <row x14ac:dyDescent="0.25" r="807" customHeight="1" ht="15.75">
      <c r="A807" s="13" t="s">
        <v>227</v>
      </c>
      <c r="B807" s="13" t="s">
        <v>1929</v>
      </c>
      <c r="C807" s="26" t="s">
        <v>1930</v>
      </c>
      <c r="D807" s="26" t="s">
        <v>43</v>
      </c>
      <c r="E807" s="26" t="s">
        <v>510</v>
      </c>
      <c r="F807" s="26" t="s">
        <v>1931</v>
      </c>
      <c r="G807" s="26" t="s">
        <v>1932</v>
      </c>
      <c r="H807" s="26" t="s">
        <v>1932</v>
      </c>
      <c r="I807" s="26" t="s">
        <v>621</v>
      </c>
      <c r="J807" s="26" t="s">
        <v>1932</v>
      </c>
    </row>
    <row x14ac:dyDescent="0.25" r="808" customHeight="1" ht="15.75">
      <c r="A808" s="13" t="s">
        <v>129</v>
      </c>
      <c r="B808" s="13" t="s">
        <v>1933</v>
      </c>
      <c r="C808" s="26" t="s">
        <v>1934</v>
      </c>
      <c r="D808" s="26" t="s">
        <v>830</v>
      </c>
      <c r="E808" s="26" t="s">
        <v>81</v>
      </c>
      <c r="F808" s="26" t="s">
        <v>29</v>
      </c>
      <c r="G808" s="26" t="s">
        <v>1030</v>
      </c>
      <c r="H808" s="26" t="s">
        <v>29</v>
      </c>
      <c r="I808" s="26" t="s">
        <v>1216</v>
      </c>
      <c r="J808" s="26" t="s">
        <v>29</v>
      </c>
    </row>
    <row x14ac:dyDescent="0.25" r="809" customHeight="1" ht="15.75">
      <c r="A809" s="13" t="s">
        <v>66</v>
      </c>
      <c r="B809" s="13" t="s">
        <v>1935</v>
      </c>
      <c r="C809" s="26" t="s">
        <v>37</v>
      </c>
      <c r="D809" s="26" t="s">
        <v>34</v>
      </c>
      <c r="E809" s="26" t="s">
        <v>31</v>
      </c>
      <c r="F809" s="26" t="s">
        <v>29</v>
      </c>
      <c r="G809" s="26" t="s">
        <v>29</v>
      </c>
      <c r="H809" s="26" t="s">
        <v>29</v>
      </c>
      <c r="I809" s="26" t="s">
        <v>29</v>
      </c>
      <c r="J809" s="26" t="s">
        <v>29</v>
      </c>
    </row>
    <row x14ac:dyDescent="0.25" r="810" customHeight="1" ht="15.75">
      <c r="A810" s="13" t="s">
        <v>391</v>
      </c>
      <c r="B810" s="13" t="s">
        <v>1936</v>
      </c>
      <c r="C810" s="26" t="s">
        <v>37</v>
      </c>
      <c r="D810" s="26" t="s">
        <v>87</v>
      </c>
      <c r="E810" s="26" t="s">
        <v>88</v>
      </c>
      <c r="F810" s="26" t="s">
        <v>154</v>
      </c>
      <c r="G810" s="26" t="s">
        <v>154</v>
      </c>
      <c r="H810" s="26" t="s">
        <v>29</v>
      </c>
      <c r="I810" s="26" t="s">
        <v>29</v>
      </c>
      <c r="J810" s="26" t="s">
        <v>29</v>
      </c>
    </row>
    <row x14ac:dyDescent="0.25" r="811" customHeight="1" ht="15.75">
      <c r="A811" s="13" t="s">
        <v>27</v>
      </c>
      <c r="B811" s="13" t="s">
        <v>1937</v>
      </c>
      <c r="C811" s="26" t="s">
        <v>1938</v>
      </c>
      <c r="D811" s="26" t="s">
        <v>294</v>
      </c>
      <c r="E811" s="26" t="s">
        <v>34</v>
      </c>
      <c r="F811" s="26" t="s">
        <v>496</v>
      </c>
      <c r="G811" s="26" t="s">
        <v>153</v>
      </c>
      <c r="H811" s="26" t="s">
        <v>29</v>
      </c>
      <c r="I811" s="26" t="s">
        <v>233</v>
      </c>
      <c r="J811" s="26" t="s">
        <v>29</v>
      </c>
    </row>
    <row x14ac:dyDescent="0.25" r="812" customHeight="1" ht="15.75">
      <c r="A812" s="13" t="s">
        <v>27</v>
      </c>
      <c r="B812" s="13" t="s">
        <v>1939</v>
      </c>
      <c r="C812" s="26" t="s">
        <v>1940</v>
      </c>
      <c r="D812" s="26" t="s">
        <v>78</v>
      </c>
      <c r="E812" s="26" t="s">
        <v>234</v>
      </c>
      <c r="F812" s="26" t="s">
        <v>1111</v>
      </c>
      <c r="G812" s="26" t="s">
        <v>1941</v>
      </c>
      <c r="H812" s="26" t="s">
        <v>1618</v>
      </c>
      <c r="I812" s="26" t="s">
        <v>1942</v>
      </c>
      <c r="J812" s="26" t="s">
        <v>1618</v>
      </c>
    </row>
    <row x14ac:dyDescent="0.25" r="813" customHeight="1" ht="15.75">
      <c r="A813" s="13" t="s">
        <v>91</v>
      </c>
      <c r="B813" s="13" t="s">
        <v>1943</v>
      </c>
      <c r="C813" s="26" t="s">
        <v>1944</v>
      </c>
      <c r="D813" s="26" t="s">
        <v>78</v>
      </c>
      <c r="E813" s="26" t="s">
        <v>57</v>
      </c>
      <c r="F813" s="26" t="s">
        <v>29</v>
      </c>
      <c r="G813" s="26" t="s">
        <v>29</v>
      </c>
      <c r="H813" s="26" t="s">
        <v>29</v>
      </c>
      <c r="I813" s="26" t="s">
        <v>42</v>
      </c>
      <c r="J813" s="26" t="s">
        <v>29</v>
      </c>
    </row>
    <row x14ac:dyDescent="0.25" r="814" customHeight="1" ht="15.75">
      <c r="A814" s="13" t="s">
        <v>126</v>
      </c>
      <c r="B814" s="13" t="s">
        <v>1945</v>
      </c>
      <c r="C814" s="26" t="s">
        <v>1944</v>
      </c>
      <c r="D814" s="26" t="s">
        <v>105</v>
      </c>
      <c r="E814" s="26" t="s">
        <v>37</v>
      </c>
      <c r="F814" s="26" t="s">
        <v>295</v>
      </c>
      <c r="G814" s="26" t="s">
        <v>29</v>
      </c>
      <c r="H814" s="26" t="s">
        <v>29</v>
      </c>
      <c r="I814" s="26" t="s">
        <v>29</v>
      </c>
      <c r="J814" s="26" t="s">
        <v>29</v>
      </c>
    </row>
    <row x14ac:dyDescent="0.25" r="815" customHeight="1" ht="15.75">
      <c r="A815" s="13" t="s">
        <v>126</v>
      </c>
      <c r="B815" s="13" t="s">
        <v>1946</v>
      </c>
      <c r="C815" s="26" t="s">
        <v>1947</v>
      </c>
      <c r="D815" s="26" t="s">
        <v>1650</v>
      </c>
      <c r="E815" s="26" t="s">
        <v>510</v>
      </c>
      <c r="F815" s="26" t="s">
        <v>1105</v>
      </c>
      <c r="G815" s="26" t="s">
        <v>29</v>
      </c>
      <c r="H815" s="26" t="s">
        <v>29</v>
      </c>
      <c r="I815" s="26" t="s">
        <v>1353</v>
      </c>
      <c r="J815" s="26" t="s">
        <v>1357</v>
      </c>
    </row>
    <row x14ac:dyDescent="0.25" r="816" customHeight="1" ht="15.75">
      <c r="A816" s="13" t="s">
        <v>91</v>
      </c>
      <c r="B816" s="13" t="s">
        <v>1948</v>
      </c>
      <c r="C816" s="26" t="s">
        <v>1949</v>
      </c>
      <c r="D816" s="26" t="s">
        <v>201</v>
      </c>
      <c r="E816" s="26" t="s">
        <v>31</v>
      </c>
      <c r="F816" s="26" t="s">
        <v>29</v>
      </c>
      <c r="G816" s="26" t="s">
        <v>29</v>
      </c>
      <c r="H816" s="26" t="s">
        <v>29</v>
      </c>
      <c r="I816" s="26" t="s">
        <v>29</v>
      </c>
      <c r="J816" s="26" t="s">
        <v>29</v>
      </c>
    </row>
    <row x14ac:dyDescent="0.25" r="817" customHeight="1" ht="15.75">
      <c r="A817" s="13" t="s">
        <v>69</v>
      </c>
      <c r="B817" s="13" t="s">
        <v>1950</v>
      </c>
      <c r="C817" s="26" t="s">
        <v>1951</v>
      </c>
      <c r="D817" s="26" t="s">
        <v>1686</v>
      </c>
      <c r="E817" s="26" t="s">
        <v>43</v>
      </c>
      <c r="F817" s="26" t="s">
        <v>1952</v>
      </c>
      <c r="G817" s="26" t="s">
        <v>29</v>
      </c>
      <c r="H817" s="26" t="s">
        <v>29</v>
      </c>
      <c r="I817" s="26" t="s">
        <v>97</v>
      </c>
      <c r="J817" s="26" t="s">
        <v>29</v>
      </c>
    </row>
    <row x14ac:dyDescent="0.25" r="818" customHeight="1" ht="15.75">
      <c r="A818" s="13" t="s">
        <v>126</v>
      </c>
      <c r="B818" s="13" t="s">
        <v>1953</v>
      </c>
      <c r="C818" s="26" t="s">
        <v>1954</v>
      </c>
      <c r="D818" s="26" t="s">
        <v>29</v>
      </c>
      <c r="E818" s="26" t="s">
        <v>88</v>
      </c>
      <c r="F818" s="26" t="s">
        <v>794</v>
      </c>
      <c r="G818" s="26" t="s">
        <v>1125</v>
      </c>
      <c r="H818" s="26" t="s">
        <v>29</v>
      </c>
      <c r="I818" s="26" t="s">
        <v>1125</v>
      </c>
      <c r="J818" s="26" t="s">
        <v>29</v>
      </c>
    </row>
    <row x14ac:dyDescent="0.25" r="819" customHeight="1" ht="15.75">
      <c r="A819" s="13" t="s">
        <v>27</v>
      </c>
      <c r="B819" s="13" t="s">
        <v>1955</v>
      </c>
      <c r="C819" s="26" t="s">
        <v>1956</v>
      </c>
      <c r="D819" s="26" t="s">
        <v>80</v>
      </c>
      <c r="E819" s="26" t="s">
        <v>37</v>
      </c>
      <c r="F819" s="26" t="s">
        <v>135</v>
      </c>
      <c r="G819" s="26" t="s">
        <v>179</v>
      </c>
      <c r="H819" s="26" t="s">
        <v>29</v>
      </c>
      <c r="I819" s="26" t="s">
        <v>179</v>
      </c>
      <c r="J819" s="26" t="s">
        <v>29</v>
      </c>
    </row>
    <row x14ac:dyDescent="0.25" r="820" customHeight="1" ht="15.75">
      <c r="A820" s="13" t="s">
        <v>129</v>
      </c>
      <c r="B820" s="13" t="s">
        <v>1957</v>
      </c>
      <c r="C820" s="26" t="s">
        <v>1958</v>
      </c>
      <c r="D820" s="26" t="s">
        <v>344</v>
      </c>
      <c r="E820" s="26" t="s">
        <v>81</v>
      </c>
      <c r="F820" s="26" t="s">
        <v>388</v>
      </c>
      <c r="G820" s="26" t="s">
        <v>29</v>
      </c>
      <c r="H820" s="26" t="s">
        <v>29</v>
      </c>
      <c r="I820" s="26" t="s">
        <v>277</v>
      </c>
      <c r="J820" s="26" t="s">
        <v>29</v>
      </c>
    </row>
    <row x14ac:dyDescent="0.25" r="821" customHeight="1" ht="15.75">
      <c r="A821" s="13" t="s">
        <v>198</v>
      </c>
      <c r="B821" s="13" t="s">
        <v>1959</v>
      </c>
      <c r="C821" s="26" t="s">
        <v>1960</v>
      </c>
      <c r="D821" s="26" t="s">
        <v>1961</v>
      </c>
      <c r="E821" s="26" t="s">
        <v>115</v>
      </c>
      <c r="F821" s="26" t="s">
        <v>1962</v>
      </c>
      <c r="G821" s="26" t="s">
        <v>1963</v>
      </c>
      <c r="H821" s="26" t="s">
        <v>1964</v>
      </c>
      <c r="I821" s="26" t="s">
        <v>1965</v>
      </c>
      <c r="J821" s="26" t="s">
        <v>29</v>
      </c>
    </row>
    <row x14ac:dyDescent="0.25" r="822" customHeight="1" ht="15.75">
      <c r="A822" s="13" t="s">
        <v>126</v>
      </c>
      <c r="B822" s="13" t="s">
        <v>1966</v>
      </c>
      <c r="C822" s="26" t="s">
        <v>1967</v>
      </c>
      <c r="D822" s="26" t="s">
        <v>1271</v>
      </c>
      <c r="E822" s="26" t="s">
        <v>31</v>
      </c>
      <c r="F822" s="26" t="s">
        <v>531</v>
      </c>
      <c r="G822" s="26" t="s">
        <v>297</v>
      </c>
      <c r="H822" s="26" t="s">
        <v>1968</v>
      </c>
      <c r="I822" s="26" t="s">
        <v>393</v>
      </c>
      <c r="J822" s="26" t="s">
        <v>29</v>
      </c>
    </row>
    <row x14ac:dyDescent="0.25" r="823" customHeight="1" ht="15.75">
      <c r="A823" s="13" t="s">
        <v>129</v>
      </c>
      <c r="B823" s="13" t="s">
        <v>1969</v>
      </c>
      <c r="C823" s="26" t="s">
        <v>1970</v>
      </c>
      <c r="D823" s="26" t="s">
        <v>36</v>
      </c>
      <c r="E823" s="26" t="s">
        <v>350</v>
      </c>
      <c r="F823" s="26" t="s">
        <v>1971</v>
      </c>
      <c r="G823" s="26" t="s">
        <v>1677</v>
      </c>
      <c r="H823" s="26" t="s">
        <v>1526</v>
      </c>
      <c r="I823" s="26" t="s">
        <v>1526</v>
      </c>
      <c r="J823" s="26" t="s">
        <v>29</v>
      </c>
    </row>
    <row x14ac:dyDescent="0.25" r="824" customHeight="1" ht="15.75">
      <c r="A824" s="13" t="s">
        <v>391</v>
      </c>
      <c r="B824" s="13" t="s">
        <v>1972</v>
      </c>
      <c r="C824" s="26" t="s">
        <v>1973</v>
      </c>
      <c r="D824" s="26" t="s">
        <v>259</v>
      </c>
      <c r="E824" s="26" t="s">
        <v>88</v>
      </c>
      <c r="F824" s="26" t="s">
        <v>1250</v>
      </c>
      <c r="G824" s="26" t="s">
        <v>1250</v>
      </c>
      <c r="H824" s="26" t="s">
        <v>29</v>
      </c>
      <c r="I824" s="26" t="s">
        <v>1791</v>
      </c>
      <c r="J824" s="26" t="s">
        <v>29</v>
      </c>
    </row>
    <row x14ac:dyDescent="0.25" r="825" customHeight="1" ht="15.75">
      <c r="A825" s="13" t="s">
        <v>184</v>
      </c>
      <c r="B825" s="13" t="s">
        <v>1974</v>
      </c>
      <c r="C825" s="26" t="s">
        <v>554</v>
      </c>
      <c r="D825" s="26" t="s">
        <v>43</v>
      </c>
      <c r="E825" s="26" t="s">
        <v>43</v>
      </c>
      <c r="F825" s="26" t="s">
        <v>29</v>
      </c>
      <c r="G825" s="26" t="s">
        <v>36</v>
      </c>
      <c r="H825" s="26" t="s">
        <v>36</v>
      </c>
      <c r="I825" s="26" t="s">
        <v>29</v>
      </c>
      <c r="J825" s="26" t="s">
        <v>29</v>
      </c>
    </row>
    <row x14ac:dyDescent="0.25" r="826" customHeight="1" ht="15.75">
      <c r="A826" s="13" t="s">
        <v>66</v>
      </c>
      <c r="B826" s="13" t="s">
        <v>1975</v>
      </c>
      <c r="C826" s="26" t="s">
        <v>554</v>
      </c>
      <c r="D826" s="26" t="s">
        <v>210</v>
      </c>
      <c r="E826" s="26" t="s">
        <v>31</v>
      </c>
      <c r="F826" s="26" t="s">
        <v>154</v>
      </c>
      <c r="G826" s="26" t="s">
        <v>327</v>
      </c>
      <c r="H826" s="26" t="s">
        <v>1976</v>
      </c>
      <c r="I826" s="26" t="s">
        <v>154</v>
      </c>
      <c r="J826" s="26" t="s">
        <v>29</v>
      </c>
    </row>
    <row x14ac:dyDescent="0.25" r="827" customHeight="1" ht="15.75">
      <c r="A827" s="13" t="s">
        <v>109</v>
      </c>
      <c r="B827" s="13" t="s">
        <v>1977</v>
      </c>
      <c r="C827" s="26" t="s">
        <v>554</v>
      </c>
      <c r="D827" s="26" t="s">
        <v>93</v>
      </c>
      <c r="E827" s="26" t="s">
        <v>34</v>
      </c>
      <c r="F827" s="26" t="s">
        <v>29</v>
      </c>
      <c r="G827" s="26" t="s">
        <v>191</v>
      </c>
      <c r="H827" s="26" t="s">
        <v>29</v>
      </c>
      <c r="I827" s="26" t="s">
        <v>191</v>
      </c>
      <c r="J827" s="26" t="s">
        <v>29</v>
      </c>
    </row>
    <row x14ac:dyDescent="0.25" r="828" customHeight="1" ht="15.75">
      <c r="A828" s="13" t="s">
        <v>227</v>
      </c>
      <c r="B828" s="13" t="s">
        <v>1978</v>
      </c>
      <c r="C828" s="26" t="s">
        <v>554</v>
      </c>
      <c r="D828" s="26" t="s">
        <v>201</v>
      </c>
      <c r="E828" s="26" t="s">
        <v>37</v>
      </c>
      <c r="F828" s="26" t="s">
        <v>78</v>
      </c>
      <c r="G828" s="26" t="s">
        <v>191</v>
      </c>
      <c r="H828" s="26" t="s">
        <v>29</v>
      </c>
      <c r="I828" s="26" t="s">
        <v>29</v>
      </c>
      <c r="J828" s="26" t="s">
        <v>29</v>
      </c>
    </row>
    <row x14ac:dyDescent="0.25" r="829" customHeight="1" ht="15.75">
      <c r="A829" s="13" t="s">
        <v>198</v>
      </c>
      <c r="B829" s="13" t="s">
        <v>1979</v>
      </c>
      <c r="C829" s="26" t="s">
        <v>1980</v>
      </c>
      <c r="D829" s="26" t="s">
        <v>1606</v>
      </c>
      <c r="E829" s="26" t="s">
        <v>57</v>
      </c>
      <c r="F829" s="26" t="s">
        <v>1175</v>
      </c>
      <c r="G829" s="26" t="s">
        <v>29</v>
      </c>
      <c r="H829" s="26" t="s">
        <v>29</v>
      </c>
      <c r="I829" s="26" t="s">
        <v>179</v>
      </c>
      <c r="J829" s="26" t="s">
        <v>29</v>
      </c>
    </row>
    <row x14ac:dyDescent="0.25" r="830" customHeight="1" ht="15.75">
      <c r="A830" s="13" t="s">
        <v>126</v>
      </c>
      <c r="B830" s="13" t="s">
        <v>1981</v>
      </c>
      <c r="C830" s="26" t="s">
        <v>1982</v>
      </c>
      <c r="D830" s="26" t="s">
        <v>1983</v>
      </c>
      <c r="E830" s="26" t="s">
        <v>115</v>
      </c>
      <c r="F830" s="26" t="s">
        <v>1256</v>
      </c>
      <c r="G830" s="26" t="s">
        <v>1984</v>
      </c>
      <c r="H830" s="26" t="s">
        <v>854</v>
      </c>
      <c r="I830" s="26" t="s">
        <v>400</v>
      </c>
      <c r="J830" s="26" t="s">
        <v>29</v>
      </c>
    </row>
    <row x14ac:dyDescent="0.25" r="831" customHeight="1" ht="15.75">
      <c r="A831" s="13" t="s">
        <v>227</v>
      </c>
      <c r="B831" s="13" t="s">
        <v>1985</v>
      </c>
      <c r="C831" s="26" t="s">
        <v>1986</v>
      </c>
      <c r="D831" s="26" t="s">
        <v>1857</v>
      </c>
      <c r="E831" s="26" t="s">
        <v>34</v>
      </c>
      <c r="F831" s="26" t="s">
        <v>42</v>
      </c>
      <c r="G831" s="26" t="s">
        <v>295</v>
      </c>
      <c r="H831" s="26" t="s">
        <v>29</v>
      </c>
      <c r="I831" s="26" t="s">
        <v>295</v>
      </c>
      <c r="J831" s="26" t="s">
        <v>29</v>
      </c>
    </row>
    <row x14ac:dyDescent="0.25" r="832" customHeight="1" ht="15.75">
      <c r="A832" s="13" t="s">
        <v>512</v>
      </c>
      <c r="B832" s="13" t="s">
        <v>1987</v>
      </c>
      <c r="C832" s="26" t="s">
        <v>777</v>
      </c>
      <c r="D832" s="26" t="s">
        <v>409</v>
      </c>
      <c r="E832" s="26" t="s">
        <v>57</v>
      </c>
      <c r="F832" s="26" t="s">
        <v>52</v>
      </c>
      <c r="G832" s="26" t="s">
        <v>52</v>
      </c>
      <c r="H832" s="26" t="s">
        <v>29</v>
      </c>
      <c r="I832" s="26" t="s">
        <v>29</v>
      </c>
      <c r="J832" s="26" t="s">
        <v>29</v>
      </c>
    </row>
    <row x14ac:dyDescent="0.25" r="833" customHeight="1" ht="15.75">
      <c r="A833" s="13" t="s">
        <v>198</v>
      </c>
      <c r="B833" s="13" t="s">
        <v>1988</v>
      </c>
      <c r="C833" s="26" t="s">
        <v>1989</v>
      </c>
      <c r="D833" s="26" t="s">
        <v>210</v>
      </c>
      <c r="E833" s="26" t="s">
        <v>78</v>
      </c>
      <c r="F833" s="26" t="s">
        <v>1310</v>
      </c>
      <c r="G833" s="26" t="s">
        <v>29</v>
      </c>
      <c r="H833" s="26" t="s">
        <v>29</v>
      </c>
      <c r="I833" s="26" t="s">
        <v>1310</v>
      </c>
      <c r="J833" s="26" t="s">
        <v>203</v>
      </c>
    </row>
    <row x14ac:dyDescent="0.25" r="834" customHeight="1" ht="15.75">
      <c r="A834" s="13" t="s">
        <v>198</v>
      </c>
      <c r="B834" s="13" t="s">
        <v>1990</v>
      </c>
      <c r="C834" s="26" t="s">
        <v>1991</v>
      </c>
      <c r="D834" s="26" t="s">
        <v>1279</v>
      </c>
      <c r="E834" s="26" t="s">
        <v>34</v>
      </c>
      <c r="F834" s="26" t="s">
        <v>1992</v>
      </c>
      <c r="G834" s="26" t="s">
        <v>1992</v>
      </c>
      <c r="H834" s="26" t="s">
        <v>29</v>
      </c>
      <c r="I834" s="26" t="s">
        <v>943</v>
      </c>
      <c r="J834" s="26" t="s">
        <v>29</v>
      </c>
    </row>
    <row x14ac:dyDescent="0.25" r="835" customHeight="1" ht="15.75">
      <c r="A835" s="13" t="s">
        <v>391</v>
      </c>
      <c r="B835" s="13" t="s">
        <v>1993</v>
      </c>
      <c r="C835" s="26" t="s">
        <v>809</v>
      </c>
      <c r="D835" s="26" t="s">
        <v>573</v>
      </c>
      <c r="E835" s="26" t="s">
        <v>1348</v>
      </c>
      <c r="F835" s="26" t="s">
        <v>630</v>
      </c>
      <c r="G835" s="26" t="s">
        <v>244</v>
      </c>
      <c r="H835" s="26" t="s">
        <v>29</v>
      </c>
      <c r="I835" s="26" t="s">
        <v>531</v>
      </c>
      <c r="J835" s="26" t="s">
        <v>29</v>
      </c>
    </row>
    <row x14ac:dyDescent="0.25" r="836" customHeight="1" ht="15.75">
      <c r="A836" s="13" t="s">
        <v>198</v>
      </c>
      <c r="B836" s="13" t="s">
        <v>1994</v>
      </c>
      <c r="C836" s="26" t="s">
        <v>1995</v>
      </c>
      <c r="D836" s="26" t="s">
        <v>166</v>
      </c>
      <c r="E836" s="26" t="s">
        <v>93</v>
      </c>
      <c r="F836" s="26" t="s">
        <v>710</v>
      </c>
      <c r="G836" s="26" t="s">
        <v>1996</v>
      </c>
      <c r="H836" s="26" t="s">
        <v>1997</v>
      </c>
      <c r="I836" s="26" t="s">
        <v>604</v>
      </c>
      <c r="J836" s="26" t="s">
        <v>29</v>
      </c>
    </row>
    <row x14ac:dyDescent="0.25" r="837" customHeight="1" ht="15.75">
      <c r="A837" s="13" t="s">
        <v>227</v>
      </c>
      <c r="B837" s="13" t="s">
        <v>1998</v>
      </c>
      <c r="C837" s="26" t="s">
        <v>1999</v>
      </c>
      <c r="D837" s="26" t="s">
        <v>2000</v>
      </c>
      <c r="E837" s="26" t="s">
        <v>57</v>
      </c>
      <c r="F837" s="26" t="s">
        <v>29</v>
      </c>
      <c r="G837" s="26" t="s">
        <v>29</v>
      </c>
      <c r="H837" s="26" t="s">
        <v>29</v>
      </c>
      <c r="I837" s="26" t="s">
        <v>57</v>
      </c>
      <c r="J837" s="26" t="s">
        <v>29</v>
      </c>
    </row>
    <row x14ac:dyDescent="0.25" r="838" customHeight="1" ht="15.75">
      <c r="A838" s="13" t="s">
        <v>66</v>
      </c>
      <c r="B838" s="13" t="s">
        <v>2001</v>
      </c>
      <c r="C838" s="26" t="s">
        <v>2002</v>
      </c>
      <c r="D838" s="26" t="s">
        <v>42</v>
      </c>
      <c r="E838" s="26" t="s">
        <v>88</v>
      </c>
      <c r="F838" s="26" t="s">
        <v>176</v>
      </c>
      <c r="G838" s="26" t="s">
        <v>29</v>
      </c>
      <c r="H838" s="26" t="s">
        <v>29</v>
      </c>
      <c r="I838" s="26" t="s">
        <v>176</v>
      </c>
      <c r="J838" s="26" t="s">
        <v>29</v>
      </c>
    </row>
    <row x14ac:dyDescent="0.25" r="839" customHeight="1" ht="15.75">
      <c r="A839" s="13" t="s">
        <v>126</v>
      </c>
      <c r="B839" s="13" t="s">
        <v>2003</v>
      </c>
      <c r="C839" s="26" t="s">
        <v>2004</v>
      </c>
      <c r="D839" s="26" t="s">
        <v>63</v>
      </c>
      <c r="E839" s="26" t="s">
        <v>34</v>
      </c>
      <c r="F839" s="26" t="s">
        <v>433</v>
      </c>
      <c r="G839" s="26" t="s">
        <v>1583</v>
      </c>
      <c r="H839" s="26" t="s">
        <v>29</v>
      </c>
      <c r="I839" s="26" t="s">
        <v>2005</v>
      </c>
      <c r="J839" s="26" t="s">
        <v>29</v>
      </c>
    </row>
    <row x14ac:dyDescent="0.25" r="840" customHeight="1" ht="15.75">
      <c r="A840" s="13" t="s">
        <v>198</v>
      </c>
      <c r="B840" s="13" t="s">
        <v>2006</v>
      </c>
      <c r="C840" s="26" t="s">
        <v>2007</v>
      </c>
      <c r="D840" s="26" t="s">
        <v>927</v>
      </c>
      <c r="E840" s="26" t="s">
        <v>43</v>
      </c>
      <c r="F840" s="26" t="s">
        <v>460</v>
      </c>
      <c r="G840" s="26" t="s">
        <v>1932</v>
      </c>
      <c r="H840" s="26" t="s">
        <v>2008</v>
      </c>
      <c r="I840" s="26" t="s">
        <v>2009</v>
      </c>
      <c r="J840" s="26" t="s">
        <v>29</v>
      </c>
    </row>
    <row x14ac:dyDescent="0.25" r="841" customHeight="1" ht="15.75">
      <c r="A841" s="13" t="s">
        <v>109</v>
      </c>
      <c r="B841" s="13" t="s">
        <v>2010</v>
      </c>
      <c r="C841" s="26" t="s">
        <v>2011</v>
      </c>
      <c r="D841" s="26" t="s">
        <v>409</v>
      </c>
      <c r="E841" s="26" t="s">
        <v>37</v>
      </c>
      <c r="F841" s="26" t="s">
        <v>2012</v>
      </c>
      <c r="G841" s="26" t="s">
        <v>886</v>
      </c>
      <c r="H841" s="26" t="s">
        <v>650</v>
      </c>
      <c r="I841" s="26" t="s">
        <v>886</v>
      </c>
      <c r="J841" s="26" t="s">
        <v>29</v>
      </c>
    </row>
    <row x14ac:dyDescent="0.25" r="842" customHeight="1" ht="15.75">
      <c r="A842" s="13" t="s">
        <v>198</v>
      </c>
      <c r="B842" s="13" t="s">
        <v>2013</v>
      </c>
      <c r="C842" s="26" t="s">
        <v>2014</v>
      </c>
      <c r="D842" s="26" t="s">
        <v>63</v>
      </c>
      <c r="E842" s="26" t="s">
        <v>57</v>
      </c>
      <c r="F842" s="26" t="s">
        <v>285</v>
      </c>
      <c r="G842" s="26" t="s">
        <v>181</v>
      </c>
      <c r="H842" s="26" t="s">
        <v>181</v>
      </c>
      <c r="I842" s="26" t="s">
        <v>2015</v>
      </c>
      <c r="J842" s="26" t="s">
        <v>29</v>
      </c>
    </row>
    <row x14ac:dyDescent="0.25" r="843" customHeight="1" ht="15.75">
      <c r="A843" s="13" t="s">
        <v>109</v>
      </c>
      <c r="B843" s="13" t="s">
        <v>2016</v>
      </c>
      <c r="C843" s="26" t="s">
        <v>2017</v>
      </c>
      <c r="D843" s="26" t="s">
        <v>132</v>
      </c>
      <c r="E843" s="26" t="s">
        <v>81</v>
      </c>
      <c r="F843" s="26" t="s">
        <v>37</v>
      </c>
      <c r="G843" s="26" t="s">
        <v>78</v>
      </c>
      <c r="H843" s="26" t="s">
        <v>29</v>
      </c>
      <c r="I843" s="26" t="s">
        <v>29</v>
      </c>
      <c r="J843" s="26" t="s">
        <v>29</v>
      </c>
    </row>
    <row x14ac:dyDescent="0.25" r="844" customHeight="1" ht="15.75">
      <c r="A844" s="13" t="s">
        <v>227</v>
      </c>
      <c r="B844" s="13" t="s">
        <v>2018</v>
      </c>
      <c r="C844" s="26" t="s">
        <v>2019</v>
      </c>
      <c r="D844" s="26" t="s">
        <v>1212</v>
      </c>
      <c r="E844" s="26" t="s">
        <v>510</v>
      </c>
      <c r="F844" s="26" t="s">
        <v>600</v>
      </c>
      <c r="G844" s="26" t="s">
        <v>710</v>
      </c>
      <c r="H844" s="26" t="s">
        <v>193</v>
      </c>
      <c r="I844" s="26" t="s">
        <v>2020</v>
      </c>
      <c r="J844" s="26" t="s">
        <v>29</v>
      </c>
    </row>
    <row x14ac:dyDescent="0.25" r="845" customHeight="1" ht="15.75">
      <c r="A845" s="13" t="s">
        <v>391</v>
      </c>
      <c r="B845" s="13" t="s">
        <v>2021</v>
      </c>
      <c r="C845" s="26" t="s">
        <v>2022</v>
      </c>
      <c r="D845" s="26" t="s">
        <v>758</v>
      </c>
      <c r="E845" s="26" t="s">
        <v>31</v>
      </c>
      <c r="F845" s="26" t="s">
        <v>750</v>
      </c>
      <c r="G845" s="26" t="s">
        <v>460</v>
      </c>
      <c r="H845" s="26" t="s">
        <v>750</v>
      </c>
      <c r="I845" s="26" t="s">
        <v>584</v>
      </c>
      <c r="J845" s="26" t="s">
        <v>29</v>
      </c>
    </row>
    <row x14ac:dyDescent="0.25" r="846" customHeight="1" ht="15.75">
      <c r="A846" s="13" t="s">
        <v>512</v>
      </c>
      <c r="B846" s="13" t="s">
        <v>2023</v>
      </c>
      <c r="C846" s="26" t="s">
        <v>2024</v>
      </c>
      <c r="D846" s="26" t="s">
        <v>1455</v>
      </c>
      <c r="E846" s="26" t="s">
        <v>34</v>
      </c>
      <c r="F846" s="26" t="s">
        <v>240</v>
      </c>
      <c r="G846" s="26" t="s">
        <v>2025</v>
      </c>
      <c r="H846" s="26" t="s">
        <v>186</v>
      </c>
      <c r="I846" s="26" t="s">
        <v>2025</v>
      </c>
      <c r="J846" s="26" t="s">
        <v>29</v>
      </c>
    </row>
    <row x14ac:dyDescent="0.25" r="847" customHeight="1" ht="15.75">
      <c r="A847" s="13" t="s">
        <v>391</v>
      </c>
      <c r="B847" s="13" t="s">
        <v>2026</v>
      </c>
      <c r="C847" s="26" t="s">
        <v>2027</v>
      </c>
      <c r="D847" s="26" t="s">
        <v>1230</v>
      </c>
      <c r="E847" s="26" t="s">
        <v>57</v>
      </c>
      <c r="F847" s="26" t="s">
        <v>52</v>
      </c>
      <c r="G847" s="26" t="s">
        <v>150</v>
      </c>
      <c r="H847" s="26" t="s">
        <v>29</v>
      </c>
      <c r="I847" s="26" t="s">
        <v>30</v>
      </c>
      <c r="J847" s="26" t="s">
        <v>29</v>
      </c>
    </row>
    <row x14ac:dyDescent="0.25" r="848" customHeight="1" ht="15.75">
      <c r="A848" s="13" t="s">
        <v>129</v>
      </c>
      <c r="B848" s="13" t="s">
        <v>2028</v>
      </c>
      <c r="C848" s="26" t="s">
        <v>2029</v>
      </c>
      <c r="D848" s="26" t="s">
        <v>2030</v>
      </c>
      <c r="E848" s="26" t="s">
        <v>234</v>
      </c>
      <c r="F848" s="26" t="s">
        <v>531</v>
      </c>
      <c r="G848" s="26" t="s">
        <v>29</v>
      </c>
      <c r="H848" s="26" t="s">
        <v>29</v>
      </c>
      <c r="I848" s="26" t="s">
        <v>154</v>
      </c>
      <c r="J848" s="26" t="s">
        <v>29</v>
      </c>
    </row>
    <row x14ac:dyDescent="0.25" r="849" customHeight="1" ht="15.75">
      <c r="A849" s="13" t="s">
        <v>184</v>
      </c>
      <c r="B849" s="13" t="s">
        <v>2031</v>
      </c>
      <c r="C849" s="26" t="s">
        <v>2032</v>
      </c>
      <c r="D849" s="26" t="s">
        <v>2033</v>
      </c>
      <c r="E849" s="26" t="s">
        <v>303</v>
      </c>
      <c r="F849" s="26" t="s">
        <v>240</v>
      </c>
      <c r="G849" s="26" t="s">
        <v>1438</v>
      </c>
      <c r="H849" s="26" t="s">
        <v>29</v>
      </c>
      <c r="I849" s="26" t="s">
        <v>2034</v>
      </c>
      <c r="J849" s="26" t="s">
        <v>2035</v>
      </c>
    </row>
    <row x14ac:dyDescent="0.25" r="850" customHeight="1" ht="15.75">
      <c r="A850" s="13" t="s">
        <v>126</v>
      </c>
      <c r="B850" s="13" t="s">
        <v>2036</v>
      </c>
      <c r="C850" s="26" t="s">
        <v>2037</v>
      </c>
      <c r="D850" s="26" t="s">
        <v>259</v>
      </c>
      <c r="E850" s="26" t="s">
        <v>37</v>
      </c>
      <c r="F850" s="26" t="s">
        <v>2038</v>
      </c>
      <c r="G850" s="26" t="s">
        <v>1743</v>
      </c>
      <c r="H850" s="26" t="s">
        <v>29</v>
      </c>
      <c r="I850" s="26" t="s">
        <v>1026</v>
      </c>
      <c r="J850" s="26" t="s">
        <v>29</v>
      </c>
    </row>
    <row x14ac:dyDescent="0.25" r="851" customHeight="1" ht="15.75">
      <c r="A851" s="13" t="s">
        <v>129</v>
      </c>
      <c r="B851" s="13" t="s">
        <v>2039</v>
      </c>
      <c r="C851" s="26" t="s">
        <v>2040</v>
      </c>
      <c r="D851" s="26" t="s">
        <v>294</v>
      </c>
      <c r="E851" s="26" t="s">
        <v>510</v>
      </c>
      <c r="F851" s="26" t="s">
        <v>1163</v>
      </c>
      <c r="G851" s="26" t="s">
        <v>1992</v>
      </c>
      <c r="H851" s="26" t="s">
        <v>750</v>
      </c>
      <c r="I851" s="26" t="s">
        <v>2041</v>
      </c>
      <c r="J851" s="26" t="s">
        <v>29</v>
      </c>
    </row>
    <row x14ac:dyDescent="0.25" r="852" customHeight="1" ht="15.75">
      <c r="A852" s="13" t="s">
        <v>66</v>
      </c>
      <c r="B852" s="13" t="s">
        <v>2042</v>
      </c>
      <c r="C852" s="26" t="s">
        <v>2043</v>
      </c>
      <c r="D852" s="26" t="s">
        <v>80</v>
      </c>
      <c r="E852" s="26" t="s">
        <v>57</v>
      </c>
      <c r="F852" s="26" t="s">
        <v>31</v>
      </c>
      <c r="G852" s="26" t="s">
        <v>275</v>
      </c>
      <c r="H852" s="26" t="s">
        <v>29</v>
      </c>
      <c r="I852" s="26" t="s">
        <v>275</v>
      </c>
      <c r="J852" s="26" t="s">
        <v>29</v>
      </c>
    </row>
    <row x14ac:dyDescent="0.25" r="853" customHeight="1" ht="15.75">
      <c r="A853" s="13" t="s">
        <v>391</v>
      </c>
      <c r="B853" s="13" t="s">
        <v>2044</v>
      </c>
      <c r="C853" s="26" t="s">
        <v>2045</v>
      </c>
      <c r="D853" s="26" t="s">
        <v>80</v>
      </c>
      <c r="E853" s="26" t="s">
        <v>81</v>
      </c>
      <c r="F853" s="26" t="s">
        <v>439</v>
      </c>
      <c r="G853" s="26" t="s">
        <v>1278</v>
      </c>
      <c r="H853" s="26" t="s">
        <v>29</v>
      </c>
      <c r="I853" s="26" t="s">
        <v>1279</v>
      </c>
      <c r="J853" s="26" t="s">
        <v>29</v>
      </c>
    </row>
    <row x14ac:dyDescent="0.25" r="854" customHeight="1" ht="15.75">
      <c r="A854" s="13" t="s">
        <v>512</v>
      </c>
      <c r="B854" s="13" t="s">
        <v>2046</v>
      </c>
      <c r="C854" s="26" t="s">
        <v>498</v>
      </c>
      <c r="D854" s="26" t="s">
        <v>361</v>
      </c>
      <c r="E854" s="26" t="s">
        <v>34</v>
      </c>
      <c r="F854" s="26" t="s">
        <v>93</v>
      </c>
      <c r="G854" s="26" t="s">
        <v>135</v>
      </c>
      <c r="H854" s="26" t="s">
        <v>135</v>
      </c>
      <c r="I854" s="26" t="s">
        <v>179</v>
      </c>
      <c r="J854" s="26" t="s">
        <v>29</v>
      </c>
    </row>
    <row x14ac:dyDescent="0.25" r="855" customHeight="1" ht="15.75">
      <c r="A855" s="13" t="s">
        <v>91</v>
      </c>
      <c r="B855" s="13" t="s">
        <v>2047</v>
      </c>
      <c r="C855" s="26" t="s">
        <v>2048</v>
      </c>
      <c r="D855" s="26" t="s">
        <v>1543</v>
      </c>
      <c r="E855" s="26" t="s">
        <v>43</v>
      </c>
      <c r="F855" s="26" t="s">
        <v>332</v>
      </c>
      <c r="G855" s="26" t="s">
        <v>354</v>
      </c>
      <c r="H855" s="26" t="s">
        <v>29</v>
      </c>
      <c r="I855" s="26" t="s">
        <v>1438</v>
      </c>
      <c r="J855" s="26" t="s">
        <v>1289</v>
      </c>
    </row>
    <row x14ac:dyDescent="0.25" r="856" customHeight="1" ht="15.75">
      <c r="A856" s="13" t="s">
        <v>91</v>
      </c>
      <c r="B856" s="13" t="s">
        <v>2049</v>
      </c>
      <c r="C856" s="26" t="s">
        <v>2050</v>
      </c>
      <c r="D856" s="26" t="s">
        <v>115</v>
      </c>
      <c r="E856" s="26" t="s">
        <v>31</v>
      </c>
      <c r="F856" s="26" t="s">
        <v>498</v>
      </c>
      <c r="G856" s="26" t="s">
        <v>905</v>
      </c>
      <c r="H856" s="26" t="s">
        <v>29</v>
      </c>
      <c r="I856" s="26" t="s">
        <v>796</v>
      </c>
      <c r="J856" s="26" t="s">
        <v>29</v>
      </c>
    </row>
    <row x14ac:dyDescent="0.25" r="857" customHeight="1" ht="15.75">
      <c r="A857" s="13" t="s">
        <v>66</v>
      </c>
      <c r="B857" s="13" t="s">
        <v>2051</v>
      </c>
      <c r="C857" s="26" t="s">
        <v>2052</v>
      </c>
      <c r="D857" s="26" t="s">
        <v>361</v>
      </c>
      <c r="E857" s="26" t="s">
        <v>57</v>
      </c>
      <c r="F857" s="26" t="s">
        <v>520</v>
      </c>
      <c r="G857" s="26" t="s">
        <v>200</v>
      </c>
      <c r="H857" s="26" t="s">
        <v>200</v>
      </c>
      <c r="I857" s="26" t="s">
        <v>520</v>
      </c>
      <c r="J857" s="26" t="s">
        <v>29</v>
      </c>
    </row>
    <row x14ac:dyDescent="0.25" r="858" customHeight="1" ht="15.75">
      <c r="A858" s="13" t="s">
        <v>27</v>
      </c>
      <c r="B858" s="13" t="s">
        <v>2053</v>
      </c>
      <c r="C858" s="26" t="s">
        <v>2054</v>
      </c>
      <c r="D858" s="26" t="s">
        <v>154</v>
      </c>
      <c r="E858" s="26" t="s">
        <v>57</v>
      </c>
      <c r="F858" s="26" t="s">
        <v>36</v>
      </c>
      <c r="G858" s="26" t="s">
        <v>615</v>
      </c>
      <c r="H858" s="26" t="s">
        <v>29</v>
      </c>
      <c r="I858" s="26" t="s">
        <v>36</v>
      </c>
      <c r="J858" s="26" t="s">
        <v>29</v>
      </c>
    </row>
    <row x14ac:dyDescent="0.25" r="859" customHeight="1" ht="15.75">
      <c r="A859" s="13" t="s">
        <v>129</v>
      </c>
      <c r="B859" s="13" t="s">
        <v>2055</v>
      </c>
      <c r="C859" s="26" t="s">
        <v>2056</v>
      </c>
      <c r="D859" s="26" t="s">
        <v>93</v>
      </c>
      <c r="E859" s="26" t="s">
        <v>31</v>
      </c>
      <c r="F859" s="26" t="s">
        <v>2057</v>
      </c>
      <c r="G859" s="26" t="s">
        <v>1557</v>
      </c>
      <c r="H859" s="26" t="s">
        <v>290</v>
      </c>
      <c r="I859" s="26" t="s">
        <v>2033</v>
      </c>
      <c r="J859" s="26" t="s">
        <v>29</v>
      </c>
    </row>
    <row x14ac:dyDescent="0.25" r="860" customHeight="1" ht="15.75">
      <c r="A860" s="13" t="s">
        <v>129</v>
      </c>
      <c r="B860" s="13" t="s">
        <v>2058</v>
      </c>
      <c r="C860" s="26" t="s">
        <v>1349</v>
      </c>
      <c r="D860" s="26" t="s">
        <v>29</v>
      </c>
      <c r="E860" s="26" t="s">
        <v>34</v>
      </c>
      <c r="F860" s="26" t="s">
        <v>54</v>
      </c>
      <c r="G860" s="26" t="s">
        <v>498</v>
      </c>
      <c r="H860" s="26" t="s">
        <v>42</v>
      </c>
      <c r="I860" s="26" t="s">
        <v>111</v>
      </c>
      <c r="J860" s="26" t="s">
        <v>29</v>
      </c>
    </row>
    <row x14ac:dyDescent="0.25" r="861" customHeight="1" ht="15.75">
      <c r="A861" s="13" t="s">
        <v>512</v>
      </c>
      <c r="B861" s="13" t="s">
        <v>2059</v>
      </c>
      <c r="C861" s="26" t="s">
        <v>2060</v>
      </c>
      <c r="D861" s="26" t="s">
        <v>510</v>
      </c>
      <c r="E861" s="26" t="s">
        <v>57</v>
      </c>
      <c r="F861" s="26" t="s">
        <v>1976</v>
      </c>
      <c r="G861" s="26" t="s">
        <v>1976</v>
      </c>
      <c r="H861" s="26" t="s">
        <v>137</v>
      </c>
      <c r="I861" s="26" t="s">
        <v>327</v>
      </c>
      <c r="J861" s="26" t="s">
        <v>29</v>
      </c>
    </row>
    <row x14ac:dyDescent="0.25" r="862" customHeight="1" ht="15.75">
      <c r="A862" s="13" t="s">
        <v>184</v>
      </c>
      <c r="B862" s="13" t="s">
        <v>2061</v>
      </c>
      <c r="C862" s="26" t="s">
        <v>2062</v>
      </c>
      <c r="D862" s="26" t="s">
        <v>699</v>
      </c>
      <c r="E862" s="26" t="s">
        <v>34</v>
      </c>
      <c r="F862" s="26" t="s">
        <v>1536</v>
      </c>
      <c r="G862" s="26" t="s">
        <v>154</v>
      </c>
      <c r="H862" s="26" t="s">
        <v>327</v>
      </c>
      <c r="I862" s="26" t="s">
        <v>278</v>
      </c>
      <c r="J862" s="26" t="s">
        <v>29</v>
      </c>
    </row>
    <row x14ac:dyDescent="0.25" r="863" customHeight="1" ht="15.75">
      <c r="A863" s="13" t="s">
        <v>391</v>
      </c>
      <c r="B863" s="13" t="s">
        <v>2063</v>
      </c>
      <c r="C863" s="26" t="s">
        <v>2064</v>
      </c>
      <c r="D863" s="26" t="s">
        <v>57</v>
      </c>
      <c r="E863" s="26" t="s">
        <v>34</v>
      </c>
      <c r="F863" s="26" t="s">
        <v>1663</v>
      </c>
      <c r="G863" s="26" t="s">
        <v>29</v>
      </c>
      <c r="H863" s="26" t="s">
        <v>29</v>
      </c>
      <c r="I863" s="26" t="s">
        <v>36</v>
      </c>
      <c r="J863" s="26" t="s">
        <v>29</v>
      </c>
    </row>
    <row x14ac:dyDescent="0.25" r="864" customHeight="1" ht="15.75">
      <c r="A864" s="13" t="s">
        <v>198</v>
      </c>
      <c r="B864" s="13" t="s">
        <v>2065</v>
      </c>
      <c r="C864" s="26" t="s">
        <v>2066</v>
      </c>
      <c r="D864" s="26" t="s">
        <v>2067</v>
      </c>
      <c r="E864" s="26" t="s">
        <v>78</v>
      </c>
      <c r="F864" s="26" t="s">
        <v>29</v>
      </c>
      <c r="G864" s="26" t="s">
        <v>1307</v>
      </c>
      <c r="H864" s="26" t="s">
        <v>1199</v>
      </c>
      <c r="I864" s="26" t="s">
        <v>29</v>
      </c>
      <c r="J864" s="26" t="s">
        <v>29</v>
      </c>
    </row>
    <row x14ac:dyDescent="0.25" r="865" customHeight="1" ht="15.75">
      <c r="A865" s="13" t="s">
        <v>109</v>
      </c>
      <c r="B865" s="13" t="s">
        <v>2068</v>
      </c>
      <c r="C865" s="26" t="s">
        <v>2069</v>
      </c>
      <c r="D865" s="26" t="s">
        <v>2070</v>
      </c>
      <c r="E865" s="26" t="s">
        <v>37</v>
      </c>
      <c r="F865" s="26" t="s">
        <v>421</v>
      </c>
      <c r="G865" s="26" t="s">
        <v>1564</v>
      </c>
      <c r="H865" s="26" t="s">
        <v>29</v>
      </c>
      <c r="I865" s="26" t="s">
        <v>2071</v>
      </c>
      <c r="J865" s="26" t="s">
        <v>29</v>
      </c>
    </row>
    <row x14ac:dyDescent="0.25" r="866" customHeight="1" ht="15.75">
      <c r="A866" s="13" t="s">
        <v>391</v>
      </c>
      <c r="B866" s="13" t="s">
        <v>2072</v>
      </c>
      <c r="C866" s="26" t="s">
        <v>2073</v>
      </c>
      <c r="D866" s="26" t="s">
        <v>498</v>
      </c>
      <c r="E866" s="26" t="s">
        <v>34</v>
      </c>
      <c r="F866" s="26" t="s">
        <v>2074</v>
      </c>
      <c r="G866" s="26" t="s">
        <v>1760</v>
      </c>
      <c r="H866" s="26" t="s">
        <v>1760</v>
      </c>
      <c r="I866" s="26" t="s">
        <v>1568</v>
      </c>
      <c r="J866" s="26" t="s">
        <v>29</v>
      </c>
    </row>
    <row x14ac:dyDescent="0.25" r="867" customHeight="1" ht="15.75">
      <c r="A867" s="13" t="s">
        <v>198</v>
      </c>
      <c r="B867" s="13" t="s">
        <v>2075</v>
      </c>
      <c r="C867" s="26" t="s">
        <v>2076</v>
      </c>
      <c r="D867" s="26" t="s">
        <v>115</v>
      </c>
      <c r="E867" s="26" t="s">
        <v>34</v>
      </c>
      <c r="F867" s="26" t="s">
        <v>2077</v>
      </c>
      <c r="G867" s="26" t="s">
        <v>29</v>
      </c>
      <c r="H867" s="26" t="s">
        <v>29</v>
      </c>
      <c r="I867" s="26" t="s">
        <v>229</v>
      </c>
      <c r="J867" s="26" t="s">
        <v>29</v>
      </c>
    </row>
    <row x14ac:dyDescent="0.25" r="868" customHeight="1" ht="15.75">
      <c r="A868" s="13" t="s">
        <v>27</v>
      </c>
      <c r="B868" s="13" t="s">
        <v>2078</v>
      </c>
      <c r="C868" s="26" t="s">
        <v>2079</v>
      </c>
      <c r="D868" s="26" t="s">
        <v>78</v>
      </c>
      <c r="E868" s="26" t="s">
        <v>122</v>
      </c>
      <c r="F868" s="26" t="s">
        <v>77</v>
      </c>
      <c r="G868" s="26" t="s">
        <v>29</v>
      </c>
      <c r="H868" s="26" t="s">
        <v>29</v>
      </c>
      <c r="I868" s="26" t="s">
        <v>77</v>
      </c>
      <c r="J868" s="26" t="s">
        <v>29</v>
      </c>
    </row>
    <row x14ac:dyDescent="0.25" r="869" customHeight="1" ht="15.75">
      <c r="A869" s="13" t="s">
        <v>116</v>
      </c>
      <c r="B869" s="13" t="s">
        <v>2080</v>
      </c>
      <c r="C869" s="26" t="s">
        <v>2081</v>
      </c>
      <c r="D869" s="26" t="s">
        <v>656</v>
      </c>
      <c r="E869" s="26" t="s">
        <v>810</v>
      </c>
      <c r="F869" s="26" t="s">
        <v>311</v>
      </c>
      <c r="G869" s="26" t="s">
        <v>1433</v>
      </c>
      <c r="H869" s="26" t="s">
        <v>188</v>
      </c>
      <c r="I869" s="26" t="s">
        <v>1281</v>
      </c>
      <c r="J869" s="26" t="s">
        <v>29</v>
      </c>
    </row>
    <row x14ac:dyDescent="0.25" r="870" customHeight="1" ht="15.75">
      <c r="A870" s="13" t="s">
        <v>184</v>
      </c>
      <c r="B870" s="13" t="s">
        <v>2082</v>
      </c>
      <c r="C870" s="26" t="s">
        <v>2083</v>
      </c>
      <c r="D870" s="26" t="s">
        <v>50</v>
      </c>
      <c r="E870" s="26" t="s">
        <v>34</v>
      </c>
      <c r="F870" s="26" t="s">
        <v>2084</v>
      </c>
      <c r="G870" s="26" t="s">
        <v>2085</v>
      </c>
      <c r="H870" s="26" t="s">
        <v>2086</v>
      </c>
      <c r="I870" s="26" t="s">
        <v>1069</v>
      </c>
      <c r="J870" s="26" t="s">
        <v>29</v>
      </c>
    </row>
    <row x14ac:dyDescent="0.25" r="871" customHeight="1" ht="15.75">
      <c r="A871" s="13" t="s">
        <v>512</v>
      </c>
      <c r="B871" s="13" t="s">
        <v>2087</v>
      </c>
      <c r="C871" s="26" t="s">
        <v>1831</v>
      </c>
      <c r="D871" s="26" t="s">
        <v>2088</v>
      </c>
      <c r="E871" s="26" t="s">
        <v>43</v>
      </c>
      <c r="F871" s="26" t="s">
        <v>29</v>
      </c>
      <c r="G871" s="26" t="s">
        <v>638</v>
      </c>
      <c r="H871" s="26" t="s">
        <v>294</v>
      </c>
      <c r="I871" s="26" t="s">
        <v>294</v>
      </c>
      <c r="J871" s="26" t="s">
        <v>29</v>
      </c>
    </row>
    <row x14ac:dyDescent="0.25" r="872" customHeight="1" ht="15.75">
      <c r="A872" s="13" t="s">
        <v>198</v>
      </c>
      <c r="B872" s="13" t="s">
        <v>2089</v>
      </c>
      <c r="C872" s="26" t="s">
        <v>2090</v>
      </c>
      <c r="D872" s="26" t="s">
        <v>1961</v>
      </c>
      <c r="E872" s="26" t="s">
        <v>696</v>
      </c>
      <c r="F872" s="26" t="s">
        <v>1271</v>
      </c>
      <c r="G872" s="26" t="s">
        <v>1035</v>
      </c>
      <c r="H872" s="26" t="s">
        <v>29</v>
      </c>
      <c r="I872" s="26" t="s">
        <v>690</v>
      </c>
      <c r="J872" s="26" t="s">
        <v>2091</v>
      </c>
    </row>
    <row x14ac:dyDescent="0.25" r="873" customHeight="1" ht="15.75">
      <c r="A873" s="13" t="s">
        <v>198</v>
      </c>
      <c r="B873" s="13" t="s">
        <v>2092</v>
      </c>
      <c r="C873" s="26" t="s">
        <v>2093</v>
      </c>
      <c r="D873" s="26" t="s">
        <v>37</v>
      </c>
      <c r="E873" s="26" t="s">
        <v>57</v>
      </c>
      <c r="F873" s="26" t="s">
        <v>78</v>
      </c>
      <c r="G873" s="26" t="s">
        <v>150</v>
      </c>
      <c r="H873" s="26" t="s">
        <v>29</v>
      </c>
      <c r="I873" s="26" t="s">
        <v>1004</v>
      </c>
      <c r="J873" s="26" t="s">
        <v>29</v>
      </c>
    </row>
    <row x14ac:dyDescent="0.25" r="874" customHeight="1" ht="15.75">
      <c r="A874" s="13" t="s">
        <v>109</v>
      </c>
      <c r="B874" s="13" t="s">
        <v>2094</v>
      </c>
      <c r="C874" s="26" t="s">
        <v>2095</v>
      </c>
      <c r="D874" s="26" t="s">
        <v>201</v>
      </c>
      <c r="E874" s="26" t="s">
        <v>37</v>
      </c>
      <c r="F874" s="26" t="s">
        <v>885</v>
      </c>
      <c r="G874" s="26" t="s">
        <v>247</v>
      </c>
      <c r="H874" s="26" t="s">
        <v>29</v>
      </c>
      <c r="I874" s="26" t="s">
        <v>247</v>
      </c>
      <c r="J874" s="26" t="s">
        <v>29</v>
      </c>
    </row>
    <row x14ac:dyDescent="0.25" r="875" customHeight="1" ht="15.75">
      <c r="A875" s="13" t="s">
        <v>66</v>
      </c>
      <c r="B875" s="13" t="s">
        <v>2096</v>
      </c>
      <c r="C875" s="26" t="s">
        <v>2097</v>
      </c>
      <c r="D875" s="26" t="s">
        <v>587</v>
      </c>
      <c r="E875" s="26" t="s">
        <v>510</v>
      </c>
      <c r="F875" s="26" t="s">
        <v>1771</v>
      </c>
      <c r="G875" s="26" t="s">
        <v>2098</v>
      </c>
      <c r="H875" s="26" t="s">
        <v>172</v>
      </c>
      <c r="I875" s="26" t="s">
        <v>599</v>
      </c>
      <c r="J875" s="26" t="s">
        <v>29</v>
      </c>
    </row>
    <row x14ac:dyDescent="0.25" r="876" customHeight="1" ht="15.75">
      <c r="A876" s="13" t="s">
        <v>66</v>
      </c>
      <c r="B876" s="13" t="s">
        <v>2099</v>
      </c>
      <c r="C876" s="26" t="s">
        <v>2100</v>
      </c>
      <c r="D876" s="26" t="s">
        <v>1349</v>
      </c>
      <c r="E876" s="26" t="s">
        <v>510</v>
      </c>
      <c r="F876" s="26" t="s">
        <v>142</v>
      </c>
      <c r="G876" s="26" t="s">
        <v>423</v>
      </c>
      <c r="H876" s="26" t="s">
        <v>226</v>
      </c>
      <c r="I876" s="26" t="s">
        <v>567</v>
      </c>
      <c r="J876" s="26" t="s">
        <v>29</v>
      </c>
    </row>
    <row x14ac:dyDescent="0.25" r="877" customHeight="1" ht="15.75">
      <c r="A877" s="13" t="s">
        <v>116</v>
      </c>
      <c r="B877" s="13" t="s">
        <v>2101</v>
      </c>
      <c r="C877" s="26" t="s">
        <v>2102</v>
      </c>
      <c r="D877" s="26" t="s">
        <v>2017</v>
      </c>
      <c r="E877" s="26" t="s">
        <v>81</v>
      </c>
      <c r="F877" s="26" t="s">
        <v>2103</v>
      </c>
      <c r="G877" s="26" t="s">
        <v>610</v>
      </c>
      <c r="H877" s="26" t="s">
        <v>2104</v>
      </c>
      <c r="I877" s="26" t="s">
        <v>2009</v>
      </c>
      <c r="J877" s="26" t="s">
        <v>2104</v>
      </c>
    </row>
    <row x14ac:dyDescent="0.25" r="878" customHeight="1" ht="15.75">
      <c r="A878" s="13" t="s">
        <v>227</v>
      </c>
      <c r="B878" s="13" t="s">
        <v>2105</v>
      </c>
      <c r="C878" s="26" t="s">
        <v>2106</v>
      </c>
      <c r="D878" s="26" t="s">
        <v>554</v>
      </c>
      <c r="E878" s="26" t="s">
        <v>696</v>
      </c>
      <c r="F878" s="26" t="s">
        <v>2107</v>
      </c>
      <c r="G878" s="26" t="s">
        <v>1786</v>
      </c>
      <c r="H878" s="26" t="s">
        <v>29</v>
      </c>
      <c r="I878" s="26" t="s">
        <v>975</v>
      </c>
      <c r="J878" s="26" t="s">
        <v>29</v>
      </c>
    </row>
    <row x14ac:dyDescent="0.25" r="879" customHeight="1" ht="15.75">
      <c r="A879" s="13" t="s">
        <v>198</v>
      </c>
      <c r="B879" s="13" t="s">
        <v>2108</v>
      </c>
      <c r="C879" s="26" t="s">
        <v>2109</v>
      </c>
      <c r="D879" s="26" t="s">
        <v>43</v>
      </c>
      <c r="E879" s="26" t="s">
        <v>115</v>
      </c>
      <c r="F879" s="26" t="s">
        <v>413</v>
      </c>
      <c r="G879" s="26" t="s">
        <v>2110</v>
      </c>
      <c r="H879" s="26" t="s">
        <v>29</v>
      </c>
      <c r="I879" s="26" t="s">
        <v>380</v>
      </c>
      <c r="J879" s="26" t="s">
        <v>29</v>
      </c>
    </row>
    <row x14ac:dyDescent="0.25" r="880" customHeight="1" ht="15.75">
      <c r="A880" s="13" t="s">
        <v>198</v>
      </c>
      <c r="B880" s="13" t="s">
        <v>2111</v>
      </c>
      <c r="C880" s="26" t="s">
        <v>2109</v>
      </c>
      <c r="D880" s="26" t="s">
        <v>2112</v>
      </c>
      <c r="E880" s="26" t="s">
        <v>485</v>
      </c>
      <c r="F880" s="26" t="s">
        <v>1624</v>
      </c>
      <c r="G880" s="26" t="s">
        <v>2113</v>
      </c>
      <c r="H880" s="26" t="s">
        <v>1583</v>
      </c>
      <c r="I880" s="26" t="s">
        <v>2114</v>
      </c>
      <c r="J880" s="26" t="s">
        <v>29</v>
      </c>
    </row>
    <row x14ac:dyDescent="0.25" r="881" customHeight="1" ht="15.75">
      <c r="A881" s="13" t="s">
        <v>27</v>
      </c>
      <c r="B881" s="13" t="s">
        <v>2115</v>
      </c>
      <c r="C881" s="26" t="s">
        <v>2116</v>
      </c>
      <c r="D881" s="26" t="s">
        <v>656</v>
      </c>
      <c r="E881" s="26" t="s">
        <v>57</v>
      </c>
      <c r="F881" s="26" t="s">
        <v>204</v>
      </c>
      <c r="G881" s="26" t="s">
        <v>229</v>
      </c>
      <c r="H881" s="26" t="s">
        <v>29</v>
      </c>
      <c r="I881" s="26" t="s">
        <v>1882</v>
      </c>
      <c r="J881" s="26" t="s">
        <v>29</v>
      </c>
    </row>
    <row x14ac:dyDescent="0.25" r="882" customHeight="1" ht="15.75">
      <c r="A882" s="13" t="s">
        <v>109</v>
      </c>
      <c r="B882" s="13" t="s">
        <v>2117</v>
      </c>
      <c r="C882" s="26" t="s">
        <v>2118</v>
      </c>
      <c r="D882" s="26" t="s">
        <v>87</v>
      </c>
      <c r="E882" s="26" t="s">
        <v>37</v>
      </c>
      <c r="F882" s="26" t="s">
        <v>240</v>
      </c>
      <c r="G882" s="26" t="s">
        <v>650</v>
      </c>
      <c r="H882" s="26" t="s">
        <v>29</v>
      </c>
      <c r="I882" s="26" t="s">
        <v>777</v>
      </c>
      <c r="J882" s="26" t="s">
        <v>332</v>
      </c>
    </row>
    <row x14ac:dyDescent="0.25" r="883" customHeight="1" ht="15.75">
      <c r="A883" s="13" t="s">
        <v>103</v>
      </c>
      <c r="B883" s="13" t="s">
        <v>2119</v>
      </c>
      <c r="C883" s="26" t="s">
        <v>2120</v>
      </c>
      <c r="D883" s="26" t="s">
        <v>549</v>
      </c>
      <c r="E883" s="26" t="s">
        <v>88</v>
      </c>
      <c r="F883" s="26" t="s">
        <v>150</v>
      </c>
      <c r="G883" s="26" t="s">
        <v>452</v>
      </c>
      <c r="H883" s="26" t="s">
        <v>29</v>
      </c>
      <c r="I883" s="26" t="s">
        <v>2121</v>
      </c>
      <c r="J883" s="26" t="s">
        <v>29</v>
      </c>
    </row>
    <row x14ac:dyDescent="0.25" r="884" customHeight="1" ht="15.75">
      <c r="A884" s="13" t="s">
        <v>198</v>
      </c>
      <c r="B884" s="13" t="s">
        <v>2122</v>
      </c>
      <c r="C884" s="26" t="s">
        <v>2123</v>
      </c>
      <c r="D884" s="26" t="s">
        <v>1895</v>
      </c>
      <c r="E884" s="26" t="s">
        <v>34</v>
      </c>
      <c r="F884" s="26" t="s">
        <v>1037</v>
      </c>
      <c r="G884" s="26" t="s">
        <v>2124</v>
      </c>
      <c r="H884" s="26" t="s">
        <v>29</v>
      </c>
      <c r="I884" s="26" t="s">
        <v>2125</v>
      </c>
      <c r="J884" s="26" t="s">
        <v>29</v>
      </c>
    </row>
    <row x14ac:dyDescent="0.25" r="885" customHeight="1" ht="15.75">
      <c r="A885" s="13" t="s">
        <v>129</v>
      </c>
      <c r="B885" s="13" t="s">
        <v>2126</v>
      </c>
      <c r="C885" s="26" t="s">
        <v>2127</v>
      </c>
      <c r="D885" s="26" t="s">
        <v>1857</v>
      </c>
      <c r="E885" s="26" t="s">
        <v>57</v>
      </c>
      <c r="F885" s="26" t="s">
        <v>261</v>
      </c>
      <c r="G885" s="26" t="s">
        <v>261</v>
      </c>
      <c r="H885" s="26" t="s">
        <v>162</v>
      </c>
      <c r="I885" s="26" t="s">
        <v>1125</v>
      </c>
      <c r="J885" s="26" t="s">
        <v>29</v>
      </c>
    </row>
    <row x14ac:dyDescent="0.25" r="886" customHeight="1" ht="15.75">
      <c r="A886" s="13" t="s">
        <v>109</v>
      </c>
      <c r="B886" s="13" t="s">
        <v>2128</v>
      </c>
      <c r="C886" s="26" t="s">
        <v>2129</v>
      </c>
      <c r="D886" s="26" t="s">
        <v>29</v>
      </c>
      <c r="E886" s="26" t="s">
        <v>37</v>
      </c>
      <c r="F886" s="26" t="s">
        <v>319</v>
      </c>
      <c r="G886" s="26" t="s">
        <v>29</v>
      </c>
      <c r="H886" s="26" t="s">
        <v>29</v>
      </c>
      <c r="I886" s="26" t="s">
        <v>319</v>
      </c>
      <c r="J886" s="26" t="s">
        <v>29</v>
      </c>
    </row>
    <row x14ac:dyDescent="0.25" r="887" customHeight="1" ht="15.75">
      <c r="A887" s="13" t="s">
        <v>184</v>
      </c>
      <c r="B887" s="13" t="s">
        <v>2130</v>
      </c>
      <c r="C887" s="26" t="s">
        <v>2131</v>
      </c>
      <c r="D887" s="26" t="s">
        <v>234</v>
      </c>
      <c r="E887" s="26" t="s">
        <v>34</v>
      </c>
      <c r="F887" s="26" t="s">
        <v>1205</v>
      </c>
      <c r="G887" s="26" t="s">
        <v>97</v>
      </c>
      <c r="H887" s="26" t="s">
        <v>29</v>
      </c>
      <c r="I887" s="26" t="s">
        <v>201</v>
      </c>
      <c r="J887" s="26" t="s">
        <v>29</v>
      </c>
    </row>
    <row x14ac:dyDescent="0.25" r="888" customHeight="1" ht="15.75">
      <c r="A888" s="13" t="s">
        <v>109</v>
      </c>
      <c r="B888" s="13" t="s">
        <v>2132</v>
      </c>
      <c r="C888" s="26" t="s">
        <v>1153</v>
      </c>
      <c r="D888" s="26" t="s">
        <v>50</v>
      </c>
      <c r="E888" s="26" t="s">
        <v>88</v>
      </c>
      <c r="F888" s="26" t="s">
        <v>29</v>
      </c>
      <c r="G888" s="26" t="s">
        <v>29</v>
      </c>
      <c r="H888" s="26" t="s">
        <v>29</v>
      </c>
      <c r="I888" s="26" t="s">
        <v>29</v>
      </c>
      <c r="J888" s="26" t="s">
        <v>29</v>
      </c>
    </row>
    <row x14ac:dyDescent="0.25" r="889" customHeight="1" ht="15.75">
      <c r="A889" s="13" t="s">
        <v>391</v>
      </c>
      <c r="B889" s="13" t="s">
        <v>2133</v>
      </c>
      <c r="C889" s="26" t="s">
        <v>1153</v>
      </c>
      <c r="D889" s="26" t="s">
        <v>63</v>
      </c>
      <c r="E889" s="26" t="s">
        <v>57</v>
      </c>
      <c r="F889" s="26" t="s">
        <v>63</v>
      </c>
      <c r="G889" s="26" t="s">
        <v>29</v>
      </c>
      <c r="H889" s="26" t="s">
        <v>29</v>
      </c>
      <c r="I889" s="26" t="s">
        <v>36</v>
      </c>
      <c r="J889" s="26" t="s">
        <v>29</v>
      </c>
    </row>
    <row x14ac:dyDescent="0.25" r="890" customHeight="1" ht="15.75">
      <c r="A890" s="13" t="s">
        <v>126</v>
      </c>
      <c r="B890" s="13" t="s">
        <v>2134</v>
      </c>
      <c r="C890" s="26" t="s">
        <v>2135</v>
      </c>
      <c r="D890" s="26" t="s">
        <v>1924</v>
      </c>
      <c r="E890" s="26" t="s">
        <v>34</v>
      </c>
      <c r="F890" s="26" t="s">
        <v>2136</v>
      </c>
      <c r="G890" s="26" t="s">
        <v>2137</v>
      </c>
      <c r="H890" s="26" t="s">
        <v>128</v>
      </c>
      <c r="I890" s="26" t="s">
        <v>2136</v>
      </c>
      <c r="J890" s="26" t="s">
        <v>128</v>
      </c>
    </row>
    <row x14ac:dyDescent="0.25" r="891" customHeight="1" ht="15.75">
      <c r="A891" s="13" t="s">
        <v>512</v>
      </c>
      <c r="B891" s="13" t="s">
        <v>2138</v>
      </c>
      <c r="C891" s="26" t="s">
        <v>2139</v>
      </c>
      <c r="D891" s="26" t="s">
        <v>2140</v>
      </c>
      <c r="E891" s="26" t="s">
        <v>34</v>
      </c>
      <c r="F891" s="26" t="s">
        <v>29</v>
      </c>
      <c r="G891" s="26" t="s">
        <v>244</v>
      </c>
      <c r="H891" s="26" t="s">
        <v>29</v>
      </c>
      <c r="I891" s="26" t="s">
        <v>872</v>
      </c>
      <c r="J891" s="26" t="s">
        <v>29</v>
      </c>
    </row>
    <row x14ac:dyDescent="0.25" r="892" customHeight="1" ht="15.75">
      <c r="A892" s="13" t="s">
        <v>184</v>
      </c>
      <c r="B892" s="13" t="s">
        <v>2141</v>
      </c>
      <c r="C892" s="26" t="s">
        <v>2142</v>
      </c>
      <c r="D892" s="26" t="s">
        <v>2143</v>
      </c>
      <c r="E892" s="26" t="s">
        <v>81</v>
      </c>
      <c r="F892" s="26" t="s">
        <v>1586</v>
      </c>
      <c r="G892" s="26" t="s">
        <v>870</v>
      </c>
      <c r="H892" s="26" t="s">
        <v>160</v>
      </c>
      <c r="I892" s="26" t="s">
        <v>2144</v>
      </c>
      <c r="J892" s="26" t="s">
        <v>29</v>
      </c>
    </row>
    <row x14ac:dyDescent="0.25" r="893" customHeight="1" ht="15.75">
      <c r="A893" s="13" t="s">
        <v>184</v>
      </c>
      <c r="B893" s="13" t="s">
        <v>2145</v>
      </c>
      <c r="C893" s="26" t="s">
        <v>2146</v>
      </c>
      <c r="D893" s="26" t="s">
        <v>999</v>
      </c>
      <c r="E893" s="26" t="s">
        <v>37</v>
      </c>
      <c r="F893" s="26" t="s">
        <v>2147</v>
      </c>
      <c r="G893" s="26" t="s">
        <v>329</v>
      </c>
      <c r="H893" s="26" t="s">
        <v>29</v>
      </c>
      <c r="I893" s="26" t="s">
        <v>403</v>
      </c>
      <c r="J893" s="26" t="s">
        <v>29</v>
      </c>
    </row>
    <row x14ac:dyDescent="0.25" r="894" customHeight="1" ht="15.75">
      <c r="A894" s="13" t="s">
        <v>184</v>
      </c>
      <c r="B894" s="13" t="s">
        <v>2148</v>
      </c>
      <c r="C894" s="26" t="s">
        <v>2149</v>
      </c>
      <c r="D894" s="26" t="s">
        <v>344</v>
      </c>
      <c r="E894" s="26" t="s">
        <v>31</v>
      </c>
      <c r="F894" s="26" t="s">
        <v>400</v>
      </c>
      <c r="G894" s="26" t="s">
        <v>275</v>
      </c>
      <c r="H894" s="26" t="s">
        <v>275</v>
      </c>
      <c r="I894" s="26" t="s">
        <v>275</v>
      </c>
      <c r="J894" s="26" t="s">
        <v>29</v>
      </c>
    </row>
    <row x14ac:dyDescent="0.25" r="895" customHeight="1" ht="15.75">
      <c r="A895" s="13" t="s">
        <v>391</v>
      </c>
      <c r="B895" s="13" t="s">
        <v>2150</v>
      </c>
      <c r="C895" s="26" t="s">
        <v>2151</v>
      </c>
      <c r="D895" s="26" t="s">
        <v>143</v>
      </c>
      <c r="E895" s="26" t="s">
        <v>122</v>
      </c>
      <c r="F895" s="26" t="s">
        <v>29</v>
      </c>
      <c r="G895" s="26" t="s">
        <v>29</v>
      </c>
      <c r="H895" s="26" t="s">
        <v>29</v>
      </c>
      <c r="I895" s="26" t="s">
        <v>29</v>
      </c>
      <c r="J895" s="26" t="s">
        <v>29</v>
      </c>
    </row>
    <row x14ac:dyDescent="0.25" r="896" customHeight="1" ht="15.75">
      <c r="A896" s="13" t="s">
        <v>126</v>
      </c>
      <c r="B896" s="13" t="s">
        <v>2152</v>
      </c>
      <c r="C896" s="26" t="s">
        <v>57</v>
      </c>
      <c r="D896" s="26" t="s">
        <v>288</v>
      </c>
      <c r="E896" s="26" t="s">
        <v>34</v>
      </c>
      <c r="F896" s="26" t="s">
        <v>191</v>
      </c>
      <c r="G896" s="26" t="s">
        <v>191</v>
      </c>
      <c r="H896" s="26" t="s">
        <v>1364</v>
      </c>
      <c r="I896" s="26" t="s">
        <v>1364</v>
      </c>
      <c r="J896" s="26" t="s">
        <v>29</v>
      </c>
    </row>
    <row x14ac:dyDescent="0.25" r="897" customHeight="1" ht="15.75">
      <c r="A897" s="13" t="s">
        <v>126</v>
      </c>
      <c r="B897" s="13" t="s">
        <v>2153</v>
      </c>
      <c r="C897" s="26" t="s">
        <v>57</v>
      </c>
      <c r="D897" s="26" t="s">
        <v>1603</v>
      </c>
      <c r="E897" s="26" t="s">
        <v>37</v>
      </c>
      <c r="F897" s="26" t="s">
        <v>319</v>
      </c>
      <c r="G897" s="26" t="s">
        <v>1642</v>
      </c>
      <c r="H897" s="26" t="s">
        <v>1642</v>
      </c>
      <c r="I897" s="26" t="s">
        <v>319</v>
      </c>
      <c r="J897" s="26" t="s">
        <v>29</v>
      </c>
    </row>
    <row x14ac:dyDescent="0.25" r="898" customHeight="1" ht="15.75">
      <c r="A898" s="13" t="s">
        <v>198</v>
      </c>
      <c r="B898" s="13" t="s">
        <v>2154</v>
      </c>
      <c r="C898" s="26" t="s">
        <v>57</v>
      </c>
      <c r="D898" s="26" t="s">
        <v>97</v>
      </c>
      <c r="E898" s="26" t="s">
        <v>88</v>
      </c>
      <c r="F898" s="26" t="s">
        <v>318</v>
      </c>
      <c r="G898" s="26" t="s">
        <v>29</v>
      </c>
      <c r="H898" s="26" t="s">
        <v>29</v>
      </c>
      <c r="I898" s="26" t="s">
        <v>29</v>
      </c>
      <c r="J898" s="26" t="s">
        <v>29</v>
      </c>
    </row>
    <row x14ac:dyDescent="0.25" r="899" customHeight="1" ht="15.75">
      <c r="A899" s="13" t="s">
        <v>512</v>
      </c>
      <c r="B899" s="13" t="s">
        <v>2155</v>
      </c>
      <c r="C899" s="26" t="s">
        <v>2156</v>
      </c>
      <c r="D899" s="26" t="s">
        <v>2157</v>
      </c>
      <c r="E899" s="26" t="s">
        <v>37</v>
      </c>
      <c r="F899" s="26" t="s">
        <v>1882</v>
      </c>
      <c r="G899" s="26" t="s">
        <v>487</v>
      </c>
      <c r="H899" s="26" t="s">
        <v>29</v>
      </c>
      <c r="I899" s="26" t="s">
        <v>776</v>
      </c>
      <c r="J899" s="26" t="s">
        <v>29</v>
      </c>
    </row>
    <row x14ac:dyDescent="0.25" r="900" customHeight="1" ht="15.75">
      <c r="A900" s="13" t="s">
        <v>198</v>
      </c>
      <c r="B900" s="13" t="s">
        <v>2158</v>
      </c>
      <c r="C900" s="26" t="s">
        <v>2159</v>
      </c>
      <c r="D900" s="26" t="s">
        <v>78</v>
      </c>
      <c r="E900" s="26" t="s">
        <v>78</v>
      </c>
      <c r="F900" s="26" t="s">
        <v>1216</v>
      </c>
      <c r="G900" s="26" t="s">
        <v>1216</v>
      </c>
      <c r="H900" s="26" t="s">
        <v>1030</v>
      </c>
      <c r="I900" s="26" t="s">
        <v>629</v>
      </c>
      <c r="J900" s="26" t="s">
        <v>29</v>
      </c>
    </row>
    <row x14ac:dyDescent="0.25" r="901" customHeight="1" ht="15.75">
      <c r="A901" s="13" t="s">
        <v>27</v>
      </c>
      <c r="B901" s="13" t="s">
        <v>2160</v>
      </c>
      <c r="C901" s="26" t="s">
        <v>2161</v>
      </c>
      <c r="D901" s="26" t="s">
        <v>78</v>
      </c>
      <c r="E901" s="26" t="s">
        <v>34</v>
      </c>
      <c r="F901" s="26" t="s">
        <v>93</v>
      </c>
      <c r="G901" s="26" t="s">
        <v>327</v>
      </c>
      <c r="H901" s="26" t="s">
        <v>1976</v>
      </c>
      <c r="I901" s="26" t="s">
        <v>36</v>
      </c>
      <c r="J901" s="26" t="s">
        <v>29</v>
      </c>
    </row>
    <row x14ac:dyDescent="0.25" r="902" customHeight="1" ht="15.75">
      <c r="A902" s="13" t="s">
        <v>126</v>
      </c>
      <c r="B902" s="13" t="s">
        <v>2162</v>
      </c>
      <c r="C902" s="26" t="s">
        <v>2163</v>
      </c>
      <c r="D902" s="26" t="s">
        <v>37</v>
      </c>
      <c r="E902" s="26" t="s">
        <v>696</v>
      </c>
      <c r="F902" s="26" t="s">
        <v>50</v>
      </c>
      <c r="G902" s="26" t="s">
        <v>29</v>
      </c>
      <c r="H902" s="26" t="s">
        <v>29</v>
      </c>
      <c r="I902" s="26" t="s">
        <v>1666</v>
      </c>
      <c r="J902" s="26" t="s">
        <v>29</v>
      </c>
    </row>
    <row x14ac:dyDescent="0.25" r="903" customHeight="1" ht="15.75">
      <c r="A903" s="13" t="s">
        <v>27</v>
      </c>
      <c r="B903" s="13" t="s">
        <v>2164</v>
      </c>
      <c r="C903" s="26" t="s">
        <v>2165</v>
      </c>
      <c r="D903" s="26" t="s">
        <v>1594</v>
      </c>
      <c r="E903" s="26" t="s">
        <v>37</v>
      </c>
      <c r="F903" s="26" t="s">
        <v>390</v>
      </c>
      <c r="G903" s="26" t="s">
        <v>750</v>
      </c>
      <c r="H903" s="26" t="s">
        <v>750</v>
      </c>
      <c r="I903" s="26" t="s">
        <v>2166</v>
      </c>
      <c r="J903" s="26" t="s">
        <v>29</v>
      </c>
    </row>
    <row x14ac:dyDescent="0.25" r="904" customHeight="1" ht="15.75">
      <c r="A904" s="13" t="s">
        <v>66</v>
      </c>
      <c r="B904" s="13" t="s">
        <v>2167</v>
      </c>
      <c r="C904" s="26" t="s">
        <v>2168</v>
      </c>
      <c r="D904" s="26" t="s">
        <v>288</v>
      </c>
      <c r="E904" s="26" t="s">
        <v>143</v>
      </c>
      <c r="F904" s="26" t="s">
        <v>1139</v>
      </c>
      <c r="G904" s="26" t="s">
        <v>29</v>
      </c>
      <c r="H904" s="26" t="s">
        <v>29</v>
      </c>
      <c r="I904" s="26" t="s">
        <v>2057</v>
      </c>
      <c r="J904" s="26" t="s">
        <v>29</v>
      </c>
    </row>
    <row x14ac:dyDescent="0.25" r="905" customHeight="1" ht="15.75">
      <c r="A905" s="13" t="s">
        <v>227</v>
      </c>
      <c r="B905" s="13" t="s">
        <v>2169</v>
      </c>
      <c r="C905" s="26" t="s">
        <v>2170</v>
      </c>
      <c r="D905" s="26" t="s">
        <v>1416</v>
      </c>
      <c r="E905" s="26" t="s">
        <v>34</v>
      </c>
      <c r="F905" s="26" t="s">
        <v>216</v>
      </c>
      <c r="G905" s="26" t="s">
        <v>87</v>
      </c>
      <c r="H905" s="26" t="s">
        <v>29</v>
      </c>
      <c r="I905" s="26" t="s">
        <v>1399</v>
      </c>
      <c r="J905" s="26" t="s">
        <v>176</v>
      </c>
    </row>
    <row x14ac:dyDescent="0.25" r="906" customHeight="1" ht="15.75">
      <c r="A906" s="13" t="s">
        <v>391</v>
      </c>
      <c r="B906" s="13" t="s">
        <v>2171</v>
      </c>
      <c r="C906" s="26" t="s">
        <v>2172</v>
      </c>
      <c r="D906" s="26" t="s">
        <v>2088</v>
      </c>
      <c r="E906" s="26" t="s">
        <v>37</v>
      </c>
      <c r="F906" s="26" t="s">
        <v>29</v>
      </c>
      <c r="G906" s="26" t="s">
        <v>29</v>
      </c>
      <c r="H906" s="26" t="s">
        <v>29</v>
      </c>
      <c r="I906" s="26" t="s">
        <v>42</v>
      </c>
      <c r="J906" s="26" t="s">
        <v>29</v>
      </c>
    </row>
    <row x14ac:dyDescent="0.25" r="907" customHeight="1" ht="15.75">
      <c r="A907" s="13" t="s">
        <v>66</v>
      </c>
      <c r="B907" s="13" t="s">
        <v>2173</v>
      </c>
      <c r="C907" s="26" t="s">
        <v>1822</v>
      </c>
      <c r="D907" s="26" t="s">
        <v>143</v>
      </c>
      <c r="E907" s="26" t="s">
        <v>57</v>
      </c>
      <c r="F907" s="26" t="s">
        <v>63</v>
      </c>
      <c r="G907" s="26" t="s">
        <v>29</v>
      </c>
      <c r="H907" s="26" t="s">
        <v>29</v>
      </c>
      <c r="I907" s="26" t="s">
        <v>29</v>
      </c>
      <c r="J907" s="26" t="s">
        <v>29</v>
      </c>
    </row>
    <row x14ac:dyDescent="0.25" r="908" customHeight="1" ht="15.75">
      <c r="A908" s="13" t="s">
        <v>512</v>
      </c>
      <c r="B908" s="13" t="s">
        <v>2174</v>
      </c>
      <c r="C908" s="26" t="s">
        <v>2175</v>
      </c>
      <c r="D908" s="26" t="s">
        <v>143</v>
      </c>
      <c r="E908" s="26" t="s">
        <v>57</v>
      </c>
      <c r="F908" s="26" t="s">
        <v>2176</v>
      </c>
      <c r="G908" s="26" t="s">
        <v>1656</v>
      </c>
      <c r="H908" s="26" t="s">
        <v>2177</v>
      </c>
      <c r="I908" s="26" t="s">
        <v>2178</v>
      </c>
      <c r="J908" s="26" t="s">
        <v>774</v>
      </c>
    </row>
    <row x14ac:dyDescent="0.25" r="909" customHeight="1" ht="15.75">
      <c r="A909" s="13" t="s">
        <v>66</v>
      </c>
      <c r="B909" s="13" t="s">
        <v>2179</v>
      </c>
      <c r="C909" s="26" t="s">
        <v>2175</v>
      </c>
      <c r="D909" s="26" t="s">
        <v>31</v>
      </c>
      <c r="E909" s="26" t="s">
        <v>201</v>
      </c>
      <c r="F909" s="26" t="s">
        <v>95</v>
      </c>
      <c r="G909" s="26" t="s">
        <v>1250</v>
      </c>
      <c r="H909" s="26" t="s">
        <v>2180</v>
      </c>
      <c r="I909" s="26" t="s">
        <v>1781</v>
      </c>
      <c r="J909" s="26" t="s">
        <v>29</v>
      </c>
    </row>
    <row x14ac:dyDescent="0.25" r="910" customHeight="1" ht="15.75">
      <c r="A910" s="13" t="s">
        <v>126</v>
      </c>
      <c r="B910" s="13" t="s">
        <v>2181</v>
      </c>
      <c r="C910" s="26" t="s">
        <v>443</v>
      </c>
      <c r="D910" s="26" t="s">
        <v>2017</v>
      </c>
      <c r="E910" s="26" t="s">
        <v>57</v>
      </c>
      <c r="F910" s="26" t="s">
        <v>50</v>
      </c>
      <c r="G910" s="26" t="s">
        <v>29</v>
      </c>
      <c r="H910" s="26" t="s">
        <v>29</v>
      </c>
      <c r="I910" s="26" t="s">
        <v>208</v>
      </c>
      <c r="J910" s="26" t="s">
        <v>208</v>
      </c>
    </row>
    <row x14ac:dyDescent="0.25" r="911" customHeight="1" ht="15.75">
      <c r="A911" s="13" t="s">
        <v>116</v>
      </c>
      <c r="B911" s="13" t="s">
        <v>2182</v>
      </c>
      <c r="C911" s="26" t="s">
        <v>443</v>
      </c>
      <c r="D911" s="26" t="s">
        <v>699</v>
      </c>
      <c r="E911" s="26" t="s">
        <v>81</v>
      </c>
      <c r="F911" s="26" t="s">
        <v>433</v>
      </c>
      <c r="G911" s="26" t="s">
        <v>29</v>
      </c>
      <c r="H911" s="26" t="s">
        <v>29</v>
      </c>
      <c r="I911" s="26" t="s">
        <v>641</v>
      </c>
      <c r="J911" s="26" t="s">
        <v>29</v>
      </c>
    </row>
    <row x14ac:dyDescent="0.25" r="912" customHeight="1" ht="15.75">
      <c r="A912" s="13" t="s">
        <v>198</v>
      </c>
      <c r="B912" s="13" t="s">
        <v>2183</v>
      </c>
      <c r="C912" s="26" t="s">
        <v>2184</v>
      </c>
      <c r="D912" s="26" t="s">
        <v>31</v>
      </c>
      <c r="E912" s="26" t="s">
        <v>81</v>
      </c>
      <c r="F912" s="26" t="s">
        <v>29</v>
      </c>
      <c r="G912" s="26" t="s">
        <v>29</v>
      </c>
      <c r="H912" s="26" t="s">
        <v>29</v>
      </c>
      <c r="I912" s="26" t="s">
        <v>191</v>
      </c>
      <c r="J912" s="26" t="s">
        <v>29</v>
      </c>
    </row>
    <row x14ac:dyDescent="0.25" r="913" customHeight="1" ht="15.75">
      <c r="A913" s="13" t="s">
        <v>391</v>
      </c>
      <c r="B913" s="13" t="s">
        <v>2185</v>
      </c>
      <c r="C913" s="26" t="s">
        <v>1735</v>
      </c>
      <c r="D913" s="26" t="s">
        <v>31</v>
      </c>
      <c r="E913" s="26" t="s">
        <v>88</v>
      </c>
      <c r="F913" s="26" t="s">
        <v>2186</v>
      </c>
      <c r="G913" s="26" t="s">
        <v>29</v>
      </c>
      <c r="H913" s="26" t="s">
        <v>29</v>
      </c>
      <c r="I913" s="26" t="s">
        <v>118</v>
      </c>
      <c r="J913" s="26" t="s">
        <v>29</v>
      </c>
    </row>
    <row x14ac:dyDescent="0.25" r="914" customHeight="1" ht="15.75">
      <c r="A914" s="13" t="s">
        <v>184</v>
      </c>
      <c r="B914" s="13" t="s">
        <v>2187</v>
      </c>
      <c r="C914" s="26" t="s">
        <v>2188</v>
      </c>
      <c r="D914" s="26" t="s">
        <v>87</v>
      </c>
      <c r="E914" s="26" t="s">
        <v>37</v>
      </c>
      <c r="F914" s="26" t="s">
        <v>870</v>
      </c>
      <c r="G914" s="26" t="s">
        <v>29</v>
      </c>
      <c r="H914" s="26" t="s">
        <v>29</v>
      </c>
      <c r="I914" s="26" t="s">
        <v>295</v>
      </c>
      <c r="J914" s="26" t="s">
        <v>29</v>
      </c>
    </row>
    <row x14ac:dyDescent="0.25" r="915" customHeight="1" ht="15.75">
      <c r="A915" s="13" t="s">
        <v>391</v>
      </c>
      <c r="B915" s="13" t="s">
        <v>2189</v>
      </c>
      <c r="C915" s="26" t="s">
        <v>2190</v>
      </c>
      <c r="D915" s="26" t="s">
        <v>50</v>
      </c>
      <c r="E915" s="26" t="s">
        <v>43</v>
      </c>
      <c r="F915" s="26" t="s">
        <v>404</v>
      </c>
      <c r="G915" s="26" t="s">
        <v>433</v>
      </c>
      <c r="H915" s="26" t="s">
        <v>29</v>
      </c>
      <c r="I915" s="26" t="s">
        <v>1603</v>
      </c>
      <c r="J915" s="26" t="s">
        <v>29</v>
      </c>
    </row>
    <row x14ac:dyDescent="0.25" r="916" customHeight="1" ht="15.75">
      <c r="A916" s="13" t="s">
        <v>69</v>
      </c>
      <c r="B916" s="13" t="s">
        <v>2191</v>
      </c>
      <c r="C916" s="26" t="s">
        <v>2192</v>
      </c>
      <c r="D916" s="26" t="s">
        <v>619</v>
      </c>
      <c r="E916" s="26" t="s">
        <v>93</v>
      </c>
      <c r="F916" s="26" t="s">
        <v>460</v>
      </c>
      <c r="G916" s="26" t="s">
        <v>390</v>
      </c>
      <c r="H916" s="26" t="s">
        <v>29</v>
      </c>
      <c r="I916" s="26" t="s">
        <v>451</v>
      </c>
      <c r="J916" s="26" t="s">
        <v>29</v>
      </c>
    </row>
    <row x14ac:dyDescent="0.25" r="917" customHeight="1" ht="15.75">
      <c r="A917" s="13" t="s">
        <v>103</v>
      </c>
      <c r="B917" s="13" t="s">
        <v>2193</v>
      </c>
      <c r="C917" s="26" t="s">
        <v>2194</v>
      </c>
      <c r="D917" s="26" t="s">
        <v>2195</v>
      </c>
      <c r="E917" s="26" t="s">
        <v>303</v>
      </c>
      <c r="F917" s="26" t="s">
        <v>254</v>
      </c>
      <c r="G917" s="26" t="s">
        <v>2121</v>
      </c>
      <c r="H917" s="26" t="s">
        <v>2196</v>
      </c>
      <c r="I917" s="26" t="s">
        <v>1773</v>
      </c>
      <c r="J917" s="26" t="s">
        <v>29</v>
      </c>
    </row>
    <row x14ac:dyDescent="0.25" r="918" customHeight="1" ht="15.75">
      <c r="A918" s="13" t="s">
        <v>66</v>
      </c>
      <c r="B918" s="13" t="s">
        <v>2197</v>
      </c>
      <c r="C918" s="26" t="s">
        <v>2198</v>
      </c>
      <c r="D918" s="26" t="s">
        <v>656</v>
      </c>
      <c r="E918" s="26" t="s">
        <v>34</v>
      </c>
      <c r="F918" s="26" t="s">
        <v>78</v>
      </c>
      <c r="G918" s="26" t="s">
        <v>176</v>
      </c>
      <c r="H918" s="26" t="s">
        <v>1096</v>
      </c>
      <c r="I918" s="26" t="s">
        <v>2199</v>
      </c>
      <c r="J918" s="26" t="s">
        <v>29</v>
      </c>
    </row>
    <row x14ac:dyDescent="0.25" r="919" customHeight="1" ht="15.75">
      <c r="A919" s="13" t="s">
        <v>129</v>
      </c>
      <c r="B919" s="13" t="s">
        <v>2200</v>
      </c>
      <c r="C919" s="26" t="s">
        <v>2198</v>
      </c>
      <c r="D919" s="26" t="s">
        <v>111</v>
      </c>
      <c r="E919" s="26" t="s">
        <v>88</v>
      </c>
      <c r="F919" s="26" t="s">
        <v>29</v>
      </c>
      <c r="G919" s="26" t="s">
        <v>29</v>
      </c>
      <c r="H919" s="26" t="s">
        <v>29</v>
      </c>
      <c r="I919" s="26" t="s">
        <v>29</v>
      </c>
      <c r="J919" s="26" t="s">
        <v>29</v>
      </c>
    </row>
    <row x14ac:dyDescent="0.25" r="920" customHeight="1" ht="15.75">
      <c r="A920" s="13" t="s">
        <v>27</v>
      </c>
      <c r="B920" s="13" t="s">
        <v>2201</v>
      </c>
      <c r="C920" s="26" t="s">
        <v>2202</v>
      </c>
      <c r="D920" s="26" t="s">
        <v>36</v>
      </c>
      <c r="E920" s="26" t="s">
        <v>74</v>
      </c>
      <c r="F920" s="26" t="s">
        <v>710</v>
      </c>
      <c r="G920" s="26" t="s">
        <v>710</v>
      </c>
      <c r="H920" s="26" t="s">
        <v>710</v>
      </c>
      <c r="I920" s="26" t="s">
        <v>29</v>
      </c>
      <c r="J920" s="26" t="s">
        <v>29</v>
      </c>
    </row>
    <row x14ac:dyDescent="0.25" r="921" customHeight="1" ht="15.75">
      <c r="A921" s="13" t="s">
        <v>129</v>
      </c>
      <c r="B921" s="13" t="s">
        <v>2203</v>
      </c>
      <c r="C921" s="26" t="s">
        <v>115</v>
      </c>
      <c r="D921" s="26" t="s">
        <v>88</v>
      </c>
      <c r="E921" s="26" t="s">
        <v>88</v>
      </c>
      <c r="F921" s="26" t="s">
        <v>204</v>
      </c>
      <c r="G921" s="26" t="s">
        <v>105</v>
      </c>
      <c r="H921" s="26" t="s">
        <v>29</v>
      </c>
      <c r="I921" s="26" t="s">
        <v>204</v>
      </c>
      <c r="J921" s="26" t="s">
        <v>29</v>
      </c>
    </row>
    <row x14ac:dyDescent="0.25" r="922" customHeight="1" ht="15.75">
      <c r="A922" s="13" t="s">
        <v>184</v>
      </c>
      <c r="B922" s="13" t="s">
        <v>2204</v>
      </c>
      <c r="C922" s="26" t="s">
        <v>1347</v>
      </c>
      <c r="D922" s="26" t="s">
        <v>1672</v>
      </c>
      <c r="E922" s="26" t="s">
        <v>34</v>
      </c>
      <c r="F922" s="26" t="s">
        <v>74</v>
      </c>
      <c r="G922" s="26" t="s">
        <v>29</v>
      </c>
      <c r="H922" s="26" t="s">
        <v>29</v>
      </c>
      <c r="I922" s="26" t="s">
        <v>29</v>
      </c>
      <c r="J922" s="26" t="s">
        <v>29</v>
      </c>
    </row>
    <row x14ac:dyDescent="0.25" r="923" customHeight="1" ht="15.75">
      <c r="A923" s="13" t="s">
        <v>116</v>
      </c>
      <c r="B923" s="13" t="s">
        <v>2205</v>
      </c>
      <c r="C923" s="26" t="s">
        <v>2206</v>
      </c>
      <c r="D923" s="26" t="s">
        <v>1460</v>
      </c>
      <c r="E923" s="26" t="s">
        <v>510</v>
      </c>
      <c r="F923" s="26" t="s">
        <v>1106</v>
      </c>
      <c r="G923" s="26" t="s">
        <v>1357</v>
      </c>
      <c r="H923" s="26" t="s">
        <v>1357</v>
      </c>
      <c r="I923" s="26" t="s">
        <v>2207</v>
      </c>
      <c r="J923" s="26" t="s">
        <v>29</v>
      </c>
    </row>
    <row x14ac:dyDescent="0.25" r="924" customHeight="1" ht="15.75">
      <c r="A924" s="13" t="s">
        <v>227</v>
      </c>
      <c r="B924" s="13" t="s">
        <v>2208</v>
      </c>
      <c r="C924" s="26" t="s">
        <v>2209</v>
      </c>
      <c r="D924" s="26" t="s">
        <v>699</v>
      </c>
      <c r="E924" s="26" t="s">
        <v>37</v>
      </c>
      <c r="F924" s="26" t="s">
        <v>349</v>
      </c>
      <c r="G924" s="26" t="s">
        <v>29</v>
      </c>
      <c r="H924" s="26" t="s">
        <v>29</v>
      </c>
      <c r="I924" s="26" t="s">
        <v>1081</v>
      </c>
      <c r="J924" s="26" t="s">
        <v>29</v>
      </c>
    </row>
    <row x14ac:dyDescent="0.25" r="925" customHeight="1" ht="15.75">
      <c r="A925" s="13" t="s">
        <v>66</v>
      </c>
      <c r="B925" s="13" t="s">
        <v>2210</v>
      </c>
      <c r="C925" s="26" t="s">
        <v>2211</v>
      </c>
      <c r="D925" s="26" t="s">
        <v>1712</v>
      </c>
      <c r="E925" s="26" t="s">
        <v>34</v>
      </c>
      <c r="F925" s="26" t="s">
        <v>2212</v>
      </c>
      <c r="G925" s="26" t="s">
        <v>2213</v>
      </c>
      <c r="H925" s="26" t="s">
        <v>131</v>
      </c>
      <c r="I925" s="26" t="s">
        <v>821</v>
      </c>
      <c r="J925" s="26" t="s">
        <v>29</v>
      </c>
    </row>
    <row x14ac:dyDescent="0.25" r="926" customHeight="1" ht="15.75">
      <c r="A926" s="13" t="s">
        <v>512</v>
      </c>
      <c r="B926" s="13" t="s">
        <v>2214</v>
      </c>
      <c r="C926" s="26" t="s">
        <v>2215</v>
      </c>
      <c r="D926" s="26" t="s">
        <v>1755</v>
      </c>
      <c r="E926" s="26" t="s">
        <v>88</v>
      </c>
      <c r="F926" s="26" t="s">
        <v>754</v>
      </c>
      <c r="G926" s="26" t="s">
        <v>200</v>
      </c>
      <c r="H926" s="26" t="s">
        <v>29</v>
      </c>
      <c r="I926" s="26" t="s">
        <v>619</v>
      </c>
      <c r="J926" s="26" t="s">
        <v>29</v>
      </c>
    </row>
    <row x14ac:dyDescent="0.25" r="927" customHeight="1" ht="15.75">
      <c r="A927" s="13" t="s">
        <v>184</v>
      </c>
      <c r="B927" s="13" t="s">
        <v>2216</v>
      </c>
      <c r="C927" s="26" t="s">
        <v>2217</v>
      </c>
      <c r="D927" s="26" t="s">
        <v>93</v>
      </c>
      <c r="E927" s="26" t="s">
        <v>37</v>
      </c>
      <c r="F927" s="26" t="s">
        <v>2218</v>
      </c>
      <c r="G927" s="26" t="s">
        <v>246</v>
      </c>
      <c r="H927" s="26" t="s">
        <v>2219</v>
      </c>
      <c r="I927" s="26" t="s">
        <v>2220</v>
      </c>
      <c r="J927" s="26" t="s">
        <v>29</v>
      </c>
    </row>
    <row x14ac:dyDescent="0.25" r="928" customHeight="1" ht="15.75">
      <c r="A928" s="13" t="s">
        <v>227</v>
      </c>
      <c r="B928" s="13" t="s">
        <v>2221</v>
      </c>
      <c r="C928" s="26" t="s">
        <v>2222</v>
      </c>
      <c r="D928" s="26" t="s">
        <v>2223</v>
      </c>
      <c r="E928" s="26" t="s">
        <v>88</v>
      </c>
      <c r="F928" s="26" t="s">
        <v>570</v>
      </c>
      <c r="G928" s="26" t="s">
        <v>332</v>
      </c>
      <c r="H928" s="26" t="s">
        <v>2224</v>
      </c>
      <c r="I928" s="26" t="s">
        <v>2225</v>
      </c>
      <c r="J928" s="26" t="s">
        <v>29</v>
      </c>
    </row>
    <row x14ac:dyDescent="0.25" r="929" customHeight="1" ht="15.75">
      <c r="A929" s="13" t="s">
        <v>198</v>
      </c>
      <c r="B929" s="13" t="s">
        <v>2226</v>
      </c>
      <c r="C929" s="26" t="s">
        <v>2227</v>
      </c>
      <c r="D929" s="26" t="s">
        <v>696</v>
      </c>
      <c r="E929" s="26" t="s">
        <v>34</v>
      </c>
      <c r="F929" s="26" t="s">
        <v>503</v>
      </c>
      <c r="G929" s="26" t="s">
        <v>29</v>
      </c>
      <c r="H929" s="26" t="s">
        <v>29</v>
      </c>
      <c r="I929" s="26" t="s">
        <v>105</v>
      </c>
      <c r="J929" s="26" t="s">
        <v>29</v>
      </c>
    </row>
    <row x14ac:dyDescent="0.25" r="930" customHeight="1" ht="15.75">
      <c r="A930" s="13" t="s">
        <v>27</v>
      </c>
      <c r="B930" s="13" t="s">
        <v>2228</v>
      </c>
      <c r="C930" s="26" t="s">
        <v>2229</v>
      </c>
      <c r="D930" s="26" t="s">
        <v>29</v>
      </c>
      <c r="E930" s="26" t="s">
        <v>37</v>
      </c>
      <c r="F930" s="26" t="s">
        <v>615</v>
      </c>
      <c r="G930" s="26" t="s">
        <v>1364</v>
      </c>
      <c r="H930" s="26" t="s">
        <v>1364</v>
      </c>
      <c r="I930" s="26" t="s">
        <v>2230</v>
      </c>
      <c r="J930" s="26" t="s">
        <v>1364</v>
      </c>
    </row>
    <row x14ac:dyDescent="0.25" r="931" customHeight="1" ht="15.75">
      <c r="A931" s="13" t="s">
        <v>184</v>
      </c>
      <c r="B931" s="13" t="s">
        <v>2231</v>
      </c>
      <c r="C931" s="26" t="s">
        <v>2232</v>
      </c>
      <c r="D931" s="26" t="s">
        <v>259</v>
      </c>
      <c r="E931" s="26" t="s">
        <v>34</v>
      </c>
      <c r="F931" s="26" t="s">
        <v>105</v>
      </c>
      <c r="G931" s="26" t="s">
        <v>341</v>
      </c>
      <c r="H931" s="26" t="s">
        <v>1168</v>
      </c>
      <c r="I931" s="26" t="s">
        <v>50</v>
      </c>
      <c r="J931" s="26" t="s">
        <v>29</v>
      </c>
    </row>
    <row x14ac:dyDescent="0.25" r="932" customHeight="1" ht="15.75">
      <c r="A932" s="13" t="s">
        <v>116</v>
      </c>
      <c r="B932" s="13" t="s">
        <v>2233</v>
      </c>
      <c r="C932" s="26" t="s">
        <v>2234</v>
      </c>
      <c r="D932" s="26" t="s">
        <v>2235</v>
      </c>
      <c r="E932" s="26" t="s">
        <v>1143</v>
      </c>
      <c r="F932" s="26" t="s">
        <v>2236</v>
      </c>
      <c r="G932" s="26" t="s">
        <v>231</v>
      </c>
      <c r="H932" s="26" t="s">
        <v>2020</v>
      </c>
      <c r="I932" s="26" t="s">
        <v>2237</v>
      </c>
      <c r="J932" s="26" t="s">
        <v>29</v>
      </c>
    </row>
    <row x14ac:dyDescent="0.25" r="933" customHeight="1" ht="15.75">
      <c r="A933" s="13" t="s">
        <v>66</v>
      </c>
      <c r="B933" s="13" t="s">
        <v>2238</v>
      </c>
      <c r="C933" s="26" t="s">
        <v>2239</v>
      </c>
      <c r="D933" s="26" t="s">
        <v>409</v>
      </c>
      <c r="E933" s="26" t="s">
        <v>37</v>
      </c>
      <c r="F933" s="26" t="s">
        <v>2240</v>
      </c>
      <c r="G933" s="26" t="s">
        <v>2241</v>
      </c>
      <c r="H933" s="26" t="s">
        <v>186</v>
      </c>
      <c r="I933" s="26" t="s">
        <v>2242</v>
      </c>
      <c r="J933" s="26" t="s">
        <v>29</v>
      </c>
    </row>
    <row x14ac:dyDescent="0.25" r="934" customHeight="1" ht="15.75">
      <c r="A934" s="13" t="s">
        <v>109</v>
      </c>
      <c r="B934" s="13" t="s">
        <v>2243</v>
      </c>
      <c r="C934" s="26" t="s">
        <v>2244</v>
      </c>
      <c r="D934" s="26" t="s">
        <v>63</v>
      </c>
      <c r="E934" s="26" t="s">
        <v>88</v>
      </c>
      <c r="F934" s="26" t="s">
        <v>93</v>
      </c>
      <c r="G934" s="26" t="s">
        <v>154</v>
      </c>
      <c r="H934" s="26" t="s">
        <v>154</v>
      </c>
      <c r="I934" s="26" t="s">
        <v>154</v>
      </c>
      <c r="J934" s="26" t="s">
        <v>29</v>
      </c>
    </row>
    <row x14ac:dyDescent="0.25" r="935" customHeight="1" ht="15.75">
      <c r="A935" s="13" t="s">
        <v>109</v>
      </c>
      <c r="B935" s="13" t="s">
        <v>2245</v>
      </c>
      <c r="C935" s="26" t="s">
        <v>2246</v>
      </c>
      <c r="D935" s="26" t="s">
        <v>696</v>
      </c>
      <c r="E935" s="26" t="s">
        <v>37</v>
      </c>
      <c r="F935" s="26" t="s">
        <v>870</v>
      </c>
      <c r="G935" s="26" t="s">
        <v>870</v>
      </c>
      <c r="H935" s="26" t="s">
        <v>870</v>
      </c>
      <c r="I935" s="26" t="s">
        <v>54</v>
      </c>
      <c r="J935" s="26" t="s">
        <v>29</v>
      </c>
    </row>
    <row x14ac:dyDescent="0.25" r="936" customHeight="1" ht="15.75">
      <c r="A936" s="13" t="s">
        <v>109</v>
      </c>
      <c r="B936" s="13" t="s">
        <v>2247</v>
      </c>
      <c r="C936" s="26" t="s">
        <v>1665</v>
      </c>
      <c r="D936" s="26" t="s">
        <v>154</v>
      </c>
      <c r="E936" s="26" t="s">
        <v>37</v>
      </c>
      <c r="F936" s="26" t="s">
        <v>52</v>
      </c>
      <c r="G936" s="26" t="s">
        <v>29</v>
      </c>
      <c r="H936" s="26" t="s">
        <v>29</v>
      </c>
      <c r="I936" s="26" t="s">
        <v>150</v>
      </c>
      <c r="J936" s="26" t="s">
        <v>29</v>
      </c>
    </row>
    <row x14ac:dyDescent="0.25" r="937" customHeight="1" ht="15.75">
      <c r="A937" s="13" t="s">
        <v>198</v>
      </c>
      <c r="B937" s="13" t="s">
        <v>2248</v>
      </c>
      <c r="C937" s="26" t="s">
        <v>2249</v>
      </c>
      <c r="D937" s="26" t="s">
        <v>2244</v>
      </c>
      <c r="E937" s="26" t="s">
        <v>37</v>
      </c>
      <c r="F937" s="26" t="s">
        <v>2250</v>
      </c>
      <c r="G937" s="26" t="s">
        <v>218</v>
      </c>
      <c r="H937" s="26" t="s">
        <v>1997</v>
      </c>
      <c r="I937" s="26" t="s">
        <v>1188</v>
      </c>
      <c r="J937" s="26" t="s">
        <v>29</v>
      </c>
    </row>
    <row x14ac:dyDescent="0.25" r="938" customHeight="1" ht="15.75">
      <c r="A938" s="13" t="s">
        <v>198</v>
      </c>
      <c r="B938" s="13" t="s">
        <v>2251</v>
      </c>
      <c r="C938" s="26" t="s">
        <v>2252</v>
      </c>
      <c r="D938" s="26" t="s">
        <v>37</v>
      </c>
      <c r="E938" s="26" t="s">
        <v>1348</v>
      </c>
      <c r="F938" s="26" t="s">
        <v>460</v>
      </c>
      <c r="G938" s="26" t="s">
        <v>390</v>
      </c>
      <c r="H938" s="26" t="s">
        <v>178</v>
      </c>
      <c r="I938" s="26" t="s">
        <v>2253</v>
      </c>
      <c r="J938" s="26" t="s">
        <v>29</v>
      </c>
    </row>
    <row x14ac:dyDescent="0.25" r="939" customHeight="1" ht="15.75">
      <c r="A939" s="13" t="s">
        <v>91</v>
      </c>
      <c r="B939" s="13" t="s">
        <v>2254</v>
      </c>
      <c r="C939" s="26" t="s">
        <v>2255</v>
      </c>
      <c r="D939" s="26" t="s">
        <v>704</v>
      </c>
      <c r="E939" s="26" t="s">
        <v>510</v>
      </c>
      <c r="F939" s="26" t="s">
        <v>95</v>
      </c>
      <c r="G939" s="26" t="s">
        <v>2256</v>
      </c>
      <c r="H939" s="26" t="s">
        <v>314</v>
      </c>
      <c r="I939" s="26" t="s">
        <v>194</v>
      </c>
      <c r="J939" s="26" t="s">
        <v>139</v>
      </c>
    </row>
    <row x14ac:dyDescent="0.25" r="940" customHeight="1" ht="15.75">
      <c r="A940" s="13" t="s">
        <v>227</v>
      </c>
      <c r="B940" s="13" t="s">
        <v>2257</v>
      </c>
      <c r="C940" s="26" t="s">
        <v>1561</v>
      </c>
      <c r="D940" s="26" t="s">
        <v>36</v>
      </c>
      <c r="E940" s="26" t="s">
        <v>57</v>
      </c>
      <c r="F940" s="26" t="s">
        <v>50</v>
      </c>
      <c r="G940" s="26" t="s">
        <v>29</v>
      </c>
      <c r="H940" s="26" t="s">
        <v>29</v>
      </c>
      <c r="I940" s="26" t="s">
        <v>50</v>
      </c>
      <c r="J940" s="26" t="s">
        <v>29</v>
      </c>
    </row>
    <row x14ac:dyDescent="0.25" r="941" customHeight="1" ht="15.75">
      <c r="A941" s="13" t="s">
        <v>69</v>
      </c>
      <c r="B941" s="13" t="s">
        <v>2258</v>
      </c>
      <c r="C941" s="26" t="s">
        <v>2259</v>
      </c>
      <c r="D941" s="26" t="s">
        <v>2093</v>
      </c>
      <c r="E941" s="26" t="s">
        <v>88</v>
      </c>
      <c r="F941" s="26" t="s">
        <v>334</v>
      </c>
      <c r="G941" s="26" t="s">
        <v>29</v>
      </c>
      <c r="H941" s="26" t="s">
        <v>29</v>
      </c>
      <c r="I941" s="26" t="s">
        <v>247</v>
      </c>
      <c r="J941" s="26" t="s">
        <v>29</v>
      </c>
    </row>
    <row x14ac:dyDescent="0.25" r="942" customHeight="1" ht="15.75">
      <c r="A942" s="13" t="s">
        <v>91</v>
      </c>
      <c r="B942" s="13" t="s">
        <v>2260</v>
      </c>
      <c r="C942" s="26" t="s">
        <v>2261</v>
      </c>
      <c r="D942" s="26" t="s">
        <v>240</v>
      </c>
      <c r="E942" s="26" t="s">
        <v>57</v>
      </c>
      <c r="F942" s="26" t="s">
        <v>1329</v>
      </c>
      <c r="G942" s="26" t="s">
        <v>29</v>
      </c>
      <c r="H942" s="26" t="s">
        <v>29</v>
      </c>
      <c r="I942" s="26" t="s">
        <v>343</v>
      </c>
      <c r="J942" s="26" t="s">
        <v>29</v>
      </c>
    </row>
    <row x14ac:dyDescent="0.25" r="943" customHeight="1" ht="15.75">
      <c r="A943" s="13" t="s">
        <v>227</v>
      </c>
      <c r="B943" s="13" t="s">
        <v>2262</v>
      </c>
      <c r="C943" s="26" t="s">
        <v>2263</v>
      </c>
      <c r="D943" s="26" t="s">
        <v>2264</v>
      </c>
      <c r="E943" s="26" t="s">
        <v>37</v>
      </c>
      <c r="F943" s="26" t="s">
        <v>1107</v>
      </c>
      <c r="G943" s="26" t="s">
        <v>2265</v>
      </c>
      <c r="H943" s="26" t="s">
        <v>2266</v>
      </c>
      <c r="I943" s="26" t="s">
        <v>43</v>
      </c>
      <c r="J943" s="26" t="s">
        <v>29</v>
      </c>
    </row>
    <row x14ac:dyDescent="0.25" r="944" customHeight="1" ht="15.75">
      <c r="A944" s="13" t="s">
        <v>512</v>
      </c>
      <c r="B944" s="13" t="s">
        <v>2267</v>
      </c>
      <c r="C944" s="26" t="s">
        <v>1345</v>
      </c>
      <c r="D944" s="26" t="s">
        <v>37</v>
      </c>
      <c r="E944" s="26" t="s">
        <v>37</v>
      </c>
      <c r="F944" s="26" t="s">
        <v>29</v>
      </c>
      <c r="G944" s="26" t="s">
        <v>29</v>
      </c>
      <c r="H944" s="26" t="s">
        <v>29</v>
      </c>
      <c r="I944" s="26" t="s">
        <v>30</v>
      </c>
      <c r="J944" s="26" t="s">
        <v>29</v>
      </c>
    </row>
    <row x14ac:dyDescent="0.25" r="945" customHeight="1" ht="15.75">
      <c r="A945" s="13" t="s">
        <v>103</v>
      </c>
      <c r="B945" s="13" t="s">
        <v>2268</v>
      </c>
      <c r="C945" s="26" t="s">
        <v>2269</v>
      </c>
      <c r="D945" s="26" t="s">
        <v>43</v>
      </c>
      <c r="E945" s="26" t="s">
        <v>31</v>
      </c>
      <c r="F945" s="26" t="s">
        <v>261</v>
      </c>
      <c r="G945" s="26" t="s">
        <v>261</v>
      </c>
      <c r="H945" s="26" t="s">
        <v>261</v>
      </c>
      <c r="I945" s="26" t="s">
        <v>794</v>
      </c>
      <c r="J945" s="26" t="s">
        <v>29</v>
      </c>
    </row>
    <row x14ac:dyDescent="0.25" r="946" customHeight="1" ht="15.75">
      <c r="A946" s="13" t="s">
        <v>512</v>
      </c>
      <c r="B946" s="13" t="s">
        <v>2270</v>
      </c>
      <c r="C946" s="26" t="s">
        <v>1849</v>
      </c>
      <c r="D946" s="26" t="s">
        <v>498</v>
      </c>
      <c r="E946" s="26" t="s">
        <v>43</v>
      </c>
      <c r="F946" s="26" t="s">
        <v>176</v>
      </c>
      <c r="G946" s="26" t="s">
        <v>233</v>
      </c>
      <c r="H946" s="26" t="s">
        <v>29</v>
      </c>
      <c r="I946" s="26" t="s">
        <v>29</v>
      </c>
      <c r="J946" s="26" t="s">
        <v>29</v>
      </c>
    </row>
    <row x14ac:dyDescent="0.25" r="947" customHeight="1" ht="15.75">
      <c r="A947" s="13" t="s">
        <v>116</v>
      </c>
      <c r="B947" s="13" t="s">
        <v>2271</v>
      </c>
      <c r="C947" s="26" t="s">
        <v>2272</v>
      </c>
      <c r="D947" s="26" t="s">
        <v>31</v>
      </c>
      <c r="E947" s="26" t="s">
        <v>37</v>
      </c>
      <c r="F947" s="26" t="s">
        <v>849</v>
      </c>
      <c r="G947" s="26" t="s">
        <v>2273</v>
      </c>
      <c r="H947" s="26" t="s">
        <v>1054</v>
      </c>
      <c r="I947" s="26" t="s">
        <v>2274</v>
      </c>
      <c r="J947" s="26" t="s">
        <v>29</v>
      </c>
    </row>
    <row x14ac:dyDescent="0.25" r="948" customHeight="1" ht="15.75">
      <c r="A948" s="13" t="s">
        <v>391</v>
      </c>
      <c r="B948" s="13" t="s">
        <v>2275</v>
      </c>
      <c r="C948" s="26" t="s">
        <v>2276</v>
      </c>
      <c r="D948" s="26" t="s">
        <v>43</v>
      </c>
      <c r="E948" s="26" t="s">
        <v>81</v>
      </c>
      <c r="F948" s="26" t="s">
        <v>29</v>
      </c>
      <c r="G948" s="26" t="s">
        <v>29</v>
      </c>
      <c r="H948" s="26" t="s">
        <v>29</v>
      </c>
      <c r="I948" s="26" t="s">
        <v>278</v>
      </c>
      <c r="J948" s="26" t="s">
        <v>29</v>
      </c>
    </row>
    <row x14ac:dyDescent="0.25" r="949" customHeight="1" ht="15.75">
      <c r="A949" s="13" t="s">
        <v>391</v>
      </c>
      <c r="B949" s="13" t="s">
        <v>2277</v>
      </c>
      <c r="C949" s="26" t="s">
        <v>2278</v>
      </c>
      <c r="D949" s="26" t="s">
        <v>50</v>
      </c>
      <c r="E949" s="26" t="s">
        <v>78</v>
      </c>
      <c r="F949" s="26" t="s">
        <v>1021</v>
      </c>
      <c r="G949" s="26" t="s">
        <v>1716</v>
      </c>
      <c r="H949" s="26" t="s">
        <v>29</v>
      </c>
      <c r="I949" s="26" t="s">
        <v>2147</v>
      </c>
      <c r="J949" s="26" t="s">
        <v>29</v>
      </c>
    </row>
    <row x14ac:dyDescent="0.25" r="950" customHeight="1" ht="15.75">
      <c r="A950" s="13" t="s">
        <v>69</v>
      </c>
      <c r="B950" s="13" t="s">
        <v>2279</v>
      </c>
      <c r="C950" s="26" t="s">
        <v>2280</v>
      </c>
      <c r="D950" s="26" t="s">
        <v>31</v>
      </c>
      <c r="E950" s="26" t="s">
        <v>43</v>
      </c>
      <c r="F950" s="26" t="s">
        <v>2281</v>
      </c>
      <c r="G950" s="26" t="s">
        <v>1941</v>
      </c>
      <c r="H950" s="26" t="s">
        <v>29</v>
      </c>
      <c r="I950" s="26" t="s">
        <v>423</v>
      </c>
      <c r="J950" s="26" t="s">
        <v>137</v>
      </c>
    </row>
    <row x14ac:dyDescent="0.25" r="951" customHeight="1" ht="15.75">
      <c r="A951" s="13" t="s">
        <v>391</v>
      </c>
      <c r="B951" s="13" t="s">
        <v>2282</v>
      </c>
      <c r="C951" s="26" t="s">
        <v>1572</v>
      </c>
      <c r="D951" s="26" t="s">
        <v>361</v>
      </c>
      <c r="E951" s="26" t="s">
        <v>34</v>
      </c>
      <c r="F951" s="26" t="s">
        <v>50</v>
      </c>
      <c r="G951" s="26" t="s">
        <v>275</v>
      </c>
      <c r="H951" s="26" t="s">
        <v>29</v>
      </c>
      <c r="I951" s="26" t="s">
        <v>201</v>
      </c>
      <c r="J951" s="26" t="s">
        <v>29</v>
      </c>
    </row>
    <row x14ac:dyDescent="0.25" r="952" customHeight="1" ht="15.75">
      <c r="A952" s="13" t="s">
        <v>109</v>
      </c>
      <c r="B952" s="13" t="s">
        <v>2283</v>
      </c>
      <c r="C952" s="26" t="s">
        <v>2284</v>
      </c>
      <c r="D952" s="26" t="s">
        <v>84</v>
      </c>
      <c r="E952" s="26" t="s">
        <v>57</v>
      </c>
      <c r="F952" s="26" t="s">
        <v>2030</v>
      </c>
      <c r="G952" s="26" t="s">
        <v>590</v>
      </c>
      <c r="H952" s="26" t="s">
        <v>271</v>
      </c>
      <c r="I952" s="26" t="s">
        <v>517</v>
      </c>
      <c r="J952" s="26" t="s">
        <v>29</v>
      </c>
    </row>
    <row x14ac:dyDescent="0.25" r="953" customHeight="1" ht="15.75">
      <c r="A953" s="13" t="s">
        <v>198</v>
      </c>
      <c r="B953" s="13" t="s">
        <v>2285</v>
      </c>
      <c r="C953" s="26" t="s">
        <v>2284</v>
      </c>
      <c r="D953" s="26" t="s">
        <v>1407</v>
      </c>
      <c r="E953" s="26" t="s">
        <v>57</v>
      </c>
      <c r="F953" s="26" t="s">
        <v>2286</v>
      </c>
      <c r="G953" s="26" t="s">
        <v>1296</v>
      </c>
      <c r="H953" s="26" t="s">
        <v>2287</v>
      </c>
      <c r="I953" s="26" t="s">
        <v>341</v>
      </c>
      <c r="J953" s="26" t="s">
        <v>2288</v>
      </c>
    </row>
    <row x14ac:dyDescent="0.25" r="954" customHeight="1" ht="15.75">
      <c r="A954" s="13" t="s">
        <v>66</v>
      </c>
      <c r="B954" s="13" t="s">
        <v>2289</v>
      </c>
      <c r="C954" s="26" t="s">
        <v>2140</v>
      </c>
      <c r="D954" s="26" t="s">
        <v>34</v>
      </c>
      <c r="E954" s="26" t="s">
        <v>34</v>
      </c>
      <c r="F954" s="26" t="s">
        <v>936</v>
      </c>
      <c r="G954" s="26" t="s">
        <v>327</v>
      </c>
      <c r="H954" s="26" t="s">
        <v>1976</v>
      </c>
      <c r="I954" s="26" t="s">
        <v>36</v>
      </c>
      <c r="J954" s="26" t="s">
        <v>29</v>
      </c>
    </row>
    <row x14ac:dyDescent="0.25" r="955" customHeight="1" ht="15.75">
      <c r="A955" s="13" t="s">
        <v>227</v>
      </c>
      <c r="B955" s="13" t="s">
        <v>2290</v>
      </c>
      <c r="C955" s="26" t="s">
        <v>2291</v>
      </c>
      <c r="D955" s="26" t="s">
        <v>143</v>
      </c>
      <c r="E955" s="26" t="s">
        <v>34</v>
      </c>
      <c r="F955" s="26" t="s">
        <v>734</v>
      </c>
      <c r="G955" s="26" t="s">
        <v>188</v>
      </c>
      <c r="H955" s="26" t="s">
        <v>29</v>
      </c>
      <c r="I955" s="26" t="s">
        <v>361</v>
      </c>
      <c r="J955" s="26" t="s">
        <v>29</v>
      </c>
    </row>
    <row x14ac:dyDescent="0.25" r="956" customHeight="1" ht="15.75">
      <c r="A956" s="13" t="s">
        <v>198</v>
      </c>
      <c r="B956" s="13" t="s">
        <v>2292</v>
      </c>
      <c r="C956" s="26" t="s">
        <v>2293</v>
      </c>
      <c r="D956" s="26" t="s">
        <v>520</v>
      </c>
      <c r="E956" s="26" t="s">
        <v>37</v>
      </c>
      <c r="F956" s="26" t="s">
        <v>516</v>
      </c>
      <c r="G956" s="26" t="s">
        <v>141</v>
      </c>
      <c r="H956" s="26" t="s">
        <v>29</v>
      </c>
      <c r="I956" s="26" t="s">
        <v>141</v>
      </c>
      <c r="J956" s="26" t="s">
        <v>141</v>
      </c>
    </row>
    <row x14ac:dyDescent="0.25" r="957" customHeight="1" ht="15.75">
      <c r="A957" s="13" t="s">
        <v>391</v>
      </c>
      <c r="B957" s="13" t="s">
        <v>2294</v>
      </c>
      <c r="C957" s="26" t="s">
        <v>2295</v>
      </c>
      <c r="D957" s="26" t="s">
        <v>605</v>
      </c>
      <c r="E957" s="26" t="s">
        <v>78</v>
      </c>
      <c r="F957" s="26" t="s">
        <v>1526</v>
      </c>
      <c r="G957" s="26" t="s">
        <v>29</v>
      </c>
      <c r="H957" s="26" t="s">
        <v>29</v>
      </c>
      <c r="I957" s="26" t="s">
        <v>2296</v>
      </c>
      <c r="J957" s="26" t="s">
        <v>29</v>
      </c>
    </row>
    <row x14ac:dyDescent="0.25" r="958" customHeight="1" ht="15.75">
      <c r="A958" s="13" t="s">
        <v>129</v>
      </c>
      <c r="B958" s="13" t="s">
        <v>2297</v>
      </c>
      <c r="C958" s="26" t="s">
        <v>2298</v>
      </c>
      <c r="D958" s="26" t="s">
        <v>36</v>
      </c>
      <c r="E958" s="26" t="s">
        <v>57</v>
      </c>
      <c r="F958" s="26" t="s">
        <v>1818</v>
      </c>
      <c r="G958" s="26" t="s">
        <v>1137</v>
      </c>
      <c r="H958" s="26" t="s">
        <v>29</v>
      </c>
      <c r="I958" s="26" t="s">
        <v>142</v>
      </c>
      <c r="J958" s="26" t="s">
        <v>29</v>
      </c>
    </row>
    <row x14ac:dyDescent="0.25" r="959" customHeight="1" ht="15.75">
      <c r="A959" s="13" t="s">
        <v>27</v>
      </c>
      <c r="B959" s="13" t="s">
        <v>2299</v>
      </c>
      <c r="C959" s="26" t="s">
        <v>2300</v>
      </c>
      <c r="D959" s="26" t="s">
        <v>404</v>
      </c>
      <c r="E959" s="26" t="s">
        <v>78</v>
      </c>
      <c r="F959" s="26" t="s">
        <v>2301</v>
      </c>
      <c r="G959" s="26" t="s">
        <v>794</v>
      </c>
      <c r="H959" s="26" t="s">
        <v>29</v>
      </c>
      <c r="I959" s="26" t="s">
        <v>1203</v>
      </c>
      <c r="J959" s="26" t="s">
        <v>29</v>
      </c>
    </row>
    <row x14ac:dyDescent="0.25" r="960" customHeight="1" ht="15.75">
      <c r="A960" s="13" t="s">
        <v>184</v>
      </c>
      <c r="B960" s="13" t="s">
        <v>2302</v>
      </c>
      <c r="C960" s="26" t="s">
        <v>2303</v>
      </c>
      <c r="D960" s="26" t="s">
        <v>179</v>
      </c>
      <c r="E960" s="26" t="s">
        <v>115</v>
      </c>
      <c r="F960" s="26" t="s">
        <v>439</v>
      </c>
      <c r="G960" s="26" t="s">
        <v>1278</v>
      </c>
      <c r="H960" s="26" t="s">
        <v>29</v>
      </c>
      <c r="I960" s="26" t="s">
        <v>1278</v>
      </c>
      <c r="J960" s="26" t="s">
        <v>29</v>
      </c>
    </row>
    <row x14ac:dyDescent="0.25" r="961" customHeight="1" ht="15.75">
      <c r="A961" s="13" t="s">
        <v>126</v>
      </c>
      <c r="B961" s="13" t="s">
        <v>2304</v>
      </c>
      <c r="C961" s="26" t="s">
        <v>2305</v>
      </c>
      <c r="D961" s="26" t="s">
        <v>125</v>
      </c>
      <c r="E961" s="26" t="s">
        <v>34</v>
      </c>
      <c r="F961" s="26" t="s">
        <v>950</v>
      </c>
      <c r="G961" s="26" t="s">
        <v>588</v>
      </c>
      <c r="H961" s="26" t="s">
        <v>588</v>
      </c>
      <c r="I961" s="26" t="s">
        <v>29</v>
      </c>
      <c r="J961" s="26" t="s">
        <v>29</v>
      </c>
    </row>
    <row x14ac:dyDescent="0.25" r="962" customHeight="1" ht="15.75">
      <c r="A962" s="13" t="s">
        <v>116</v>
      </c>
      <c r="B962" s="13" t="s">
        <v>2306</v>
      </c>
      <c r="C962" s="26" t="s">
        <v>2307</v>
      </c>
      <c r="D962" s="26" t="s">
        <v>194</v>
      </c>
      <c r="E962" s="26" t="s">
        <v>350</v>
      </c>
      <c r="F962" s="26" t="s">
        <v>29</v>
      </c>
      <c r="G962" s="26" t="s">
        <v>29</v>
      </c>
      <c r="H962" s="26" t="s">
        <v>29</v>
      </c>
      <c r="I962" s="26" t="s">
        <v>2308</v>
      </c>
      <c r="J962" s="26" t="s">
        <v>29</v>
      </c>
    </row>
    <row x14ac:dyDescent="0.25" r="963" customHeight="1" ht="15.75">
      <c r="A963" s="13" t="s">
        <v>391</v>
      </c>
      <c r="B963" s="13" t="s">
        <v>2309</v>
      </c>
      <c r="C963" s="26" t="s">
        <v>1460</v>
      </c>
      <c r="D963" s="26" t="s">
        <v>503</v>
      </c>
      <c r="E963" s="26" t="s">
        <v>88</v>
      </c>
      <c r="F963" s="26" t="s">
        <v>554</v>
      </c>
      <c r="G963" s="26" t="s">
        <v>29</v>
      </c>
      <c r="H963" s="26" t="s">
        <v>29</v>
      </c>
      <c r="I963" s="26" t="s">
        <v>216</v>
      </c>
      <c r="J963" s="26" t="s">
        <v>176</v>
      </c>
    </row>
    <row x14ac:dyDescent="0.25" r="964" customHeight="1" ht="15.75">
      <c r="A964" s="13" t="s">
        <v>391</v>
      </c>
      <c r="B964" s="13" t="s">
        <v>2310</v>
      </c>
      <c r="C964" s="26" t="s">
        <v>1460</v>
      </c>
      <c r="D964" s="26" t="s">
        <v>54</v>
      </c>
      <c r="E964" s="26" t="s">
        <v>37</v>
      </c>
      <c r="F964" s="26" t="s">
        <v>857</v>
      </c>
      <c r="G964" s="26" t="s">
        <v>84</v>
      </c>
      <c r="H964" s="26" t="s">
        <v>84</v>
      </c>
      <c r="I964" s="26" t="s">
        <v>87</v>
      </c>
      <c r="J964" s="26" t="s">
        <v>29</v>
      </c>
    </row>
    <row x14ac:dyDescent="0.25" r="965" customHeight="1" ht="15.75">
      <c r="A965" s="13" t="s">
        <v>512</v>
      </c>
      <c r="B965" s="13" t="s">
        <v>2311</v>
      </c>
      <c r="C965" s="26" t="s">
        <v>2312</v>
      </c>
      <c r="D965" s="26" t="s">
        <v>2088</v>
      </c>
      <c r="E965" s="26" t="s">
        <v>37</v>
      </c>
      <c r="F965" s="26" t="s">
        <v>1633</v>
      </c>
      <c r="G965" s="26" t="s">
        <v>980</v>
      </c>
      <c r="H965" s="26" t="s">
        <v>77</v>
      </c>
      <c r="I965" s="26" t="s">
        <v>29</v>
      </c>
      <c r="J965" s="26" t="s">
        <v>29</v>
      </c>
    </row>
    <row x14ac:dyDescent="0.25" r="966" customHeight="1" ht="15.75">
      <c r="A966" s="13" t="s">
        <v>391</v>
      </c>
      <c r="B966" s="13" t="s">
        <v>2313</v>
      </c>
      <c r="C966" s="26" t="s">
        <v>2314</v>
      </c>
      <c r="D966" s="26" t="s">
        <v>80</v>
      </c>
      <c r="E966" s="26" t="s">
        <v>81</v>
      </c>
      <c r="F966" s="26" t="s">
        <v>1247</v>
      </c>
      <c r="G966" s="26" t="s">
        <v>193</v>
      </c>
      <c r="H966" s="26" t="s">
        <v>193</v>
      </c>
      <c r="I966" s="26" t="s">
        <v>42</v>
      </c>
      <c r="J966" s="26" t="s">
        <v>29</v>
      </c>
    </row>
    <row x14ac:dyDescent="0.25" r="967" customHeight="1" ht="15.75">
      <c r="A967" s="13" t="s">
        <v>116</v>
      </c>
      <c r="B967" s="13" t="s">
        <v>2315</v>
      </c>
      <c r="C967" s="26" t="s">
        <v>2316</v>
      </c>
      <c r="D967" s="26" t="s">
        <v>1561</v>
      </c>
      <c r="E967" s="26" t="s">
        <v>81</v>
      </c>
      <c r="F967" s="26" t="s">
        <v>2317</v>
      </c>
      <c r="G967" s="26" t="s">
        <v>29</v>
      </c>
      <c r="H967" s="26" t="s">
        <v>29</v>
      </c>
      <c r="I967" s="26" t="s">
        <v>1175</v>
      </c>
      <c r="J967" s="26" t="s">
        <v>29</v>
      </c>
    </row>
    <row x14ac:dyDescent="0.25" r="968" customHeight="1" ht="15.75">
      <c r="A968" s="13" t="s">
        <v>116</v>
      </c>
      <c r="B968" s="13" t="s">
        <v>2318</v>
      </c>
      <c r="C968" s="26" t="s">
        <v>2319</v>
      </c>
      <c r="D968" s="26" t="s">
        <v>143</v>
      </c>
      <c r="E968" s="26" t="s">
        <v>34</v>
      </c>
      <c r="F968" s="26" t="s">
        <v>125</v>
      </c>
      <c r="G968" s="26" t="s">
        <v>50</v>
      </c>
      <c r="H968" s="26" t="s">
        <v>250</v>
      </c>
      <c r="I968" s="26" t="s">
        <v>250</v>
      </c>
      <c r="J968" s="26" t="s">
        <v>29</v>
      </c>
    </row>
    <row x14ac:dyDescent="0.25" r="969" customHeight="1" ht="15.75">
      <c r="A969" s="13" t="s">
        <v>227</v>
      </c>
      <c r="B969" s="13" t="s">
        <v>2320</v>
      </c>
      <c r="C969" s="26" t="s">
        <v>2321</v>
      </c>
      <c r="D969" s="26" t="s">
        <v>57</v>
      </c>
      <c r="E969" s="26" t="s">
        <v>122</v>
      </c>
      <c r="F969" s="26" t="s">
        <v>278</v>
      </c>
      <c r="G969" s="26" t="s">
        <v>29</v>
      </c>
      <c r="H969" s="26" t="s">
        <v>29</v>
      </c>
      <c r="I969" s="26" t="s">
        <v>29</v>
      </c>
      <c r="J969" s="26" t="s">
        <v>29</v>
      </c>
    </row>
    <row x14ac:dyDescent="0.25" r="970" customHeight="1" ht="15.75">
      <c r="A970" s="13" t="s">
        <v>129</v>
      </c>
      <c r="B970" s="13" t="s">
        <v>2322</v>
      </c>
      <c r="C970" s="26" t="s">
        <v>2323</v>
      </c>
      <c r="D970" s="26" t="s">
        <v>1594</v>
      </c>
      <c r="E970" s="26" t="s">
        <v>115</v>
      </c>
      <c r="F970" s="26" t="s">
        <v>1239</v>
      </c>
      <c r="G970" s="26" t="s">
        <v>2324</v>
      </c>
      <c r="H970" s="26" t="s">
        <v>2325</v>
      </c>
      <c r="I970" s="26" t="s">
        <v>2326</v>
      </c>
      <c r="J970" s="26" t="s">
        <v>29</v>
      </c>
    </row>
    <row x14ac:dyDescent="0.25" r="971" customHeight="1" ht="15.75">
      <c r="A971" s="13" t="s">
        <v>66</v>
      </c>
      <c r="B971" s="13" t="s">
        <v>2327</v>
      </c>
      <c r="C971" s="26" t="s">
        <v>2328</v>
      </c>
      <c r="D971" s="26" t="s">
        <v>78</v>
      </c>
      <c r="E971" s="26" t="s">
        <v>37</v>
      </c>
      <c r="F971" s="26" t="s">
        <v>349</v>
      </c>
      <c r="G971" s="26" t="s">
        <v>29</v>
      </c>
      <c r="H971" s="26" t="s">
        <v>29</v>
      </c>
      <c r="I971" s="26" t="s">
        <v>724</v>
      </c>
      <c r="J971" s="26" t="s">
        <v>29</v>
      </c>
    </row>
    <row x14ac:dyDescent="0.25" r="972" customHeight="1" ht="15.75">
      <c r="A972" s="13" t="s">
        <v>184</v>
      </c>
      <c r="B972" s="13" t="s">
        <v>2329</v>
      </c>
      <c r="C972" s="26" t="s">
        <v>2330</v>
      </c>
      <c r="D972" s="26" t="s">
        <v>210</v>
      </c>
      <c r="E972" s="26" t="s">
        <v>143</v>
      </c>
      <c r="F972" s="26" t="s">
        <v>2331</v>
      </c>
      <c r="G972" s="26" t="s">
        <v>149</v>
      </c>
      <c r="H972" s="26" t="s">
        <v>29</v>
      </c>
      <c r="I972" s="26" t="s">
        <v>2332</v>
      </c>
      <c r="J972" s="26" t="s">
        <v>29</v>
      </c>
    </row>
    <row x14ac:dyDescent="0.25" r="973" customHeight="1" ht="15.75">
      <c r="A973" s="13" t="s">
        <v>109</v>
      </c>
      <c r="B973" s="13" t="s">
        <v>2333</v>
      </c>
      <c r="C973" s="26" t="s">
        <v>2334</v>
      </c>
      <c r="D973" s="26" t="s">
        <v>1494</v>
      </c>
      <c r="E973" s="26" t="s">
        <v>37</v>
      </c>
      <c r="F973" s="26" t="s">
        <v>583</v>
      </c>
      <c r="G973" s="26" t="s">
        <v>145</v>
      </c>
      <c r="H973" s="26" t="s">
        <v>29</v>
      </c>
      <c r="I973" s="26" t="s">
        <v>2335</v>
      </c>
      <c r="J973" s="26" t="s">
        <v>145</v>
      </c>
    </row>
    <row x14ac:dyDescent="0.25" r="974" customHeight="1" ht="15.75">
      <c r="A974" s="13" t="s">
        <v>116</v>
      </c>
      <c r="B974" s="13" t="s">
        <v>2336</v>
      </c>
      <c r="C974" s="26" t="s">
        <v>2337</v>
      </c>
      <c r="D974" s="26" t="s">
        <v>132</v>
      </c>
      <c r="E974" s="26" t="s">
        <v>43</v>
      </c>
      <c r="F974" s="26" t="s">
        <v>2265</v>
      </c>
      <c r="G974" s="26" t="s">
        <v>710</v>
      </c>
      <c r="H974" s="26" t="s">
        <v>29</v>
      </c>
      <c r="I974" s="26" t="s">
        <v>2265</v>
      </c>
      <c r="J974" s="26" t="s">
        <v>160</v>
      </c>
    </row>
    <row x14ac:dyDescent="0.25" r="975" customHeight="1" ht="15.75">
      <c r="A975" s="13" t="s">
        <v>116</v>
      </c>
      <c r="B975" s="13" t="s">
        <v>2338</v>
      </c>
      <c r="C975" s="26" t="s">
        <v>2339</v>
      </c>
      <c r="D975" s="26" t="s">
        <v>758</v>
      </c>
      <c r="E975" s="26" t="s">
        <v>122</v>
      </c>
      <c r="F975" s="26" t="s">
        <v>52</v>
      </c>
      <c r="G975" s="26" t="s">
        <v>2340</v>
      </c>
      <c r="H975" s="26" t="s">
        <v>208</v>
      </c>
      <c r="I975" s="26" t="s">
        <v>31</v>
      </c>
      <c r="J975" s="26" t="s">
        <v>29</v>
      </c>
    </row>
    <row x14ac:dyDescent="0.25" r="976" customHeight="1" ht="15.75">
      <c r="A976" s="13" t="s">
        <v>198</v>
      </c>
      <c r="B976" s="13" t="s">
        <v>2341</v>
      </c>
      <c r="C976" s="26" t="s">
        <v>2342</v>
      </c>
      <c r="D976" s="26" t="s">
        <v>90</v>
      </c>
      <c r="E976" s="26" t="s">
        <v>37</v>
      </c>
      <c r="F976" s="26" t="s">
        <v>297</v>
      </c>
      <c r="G976" s="26" t="s">
        <v>29</v>
      </c>
      <c r="H976" s="26" t="s">
        <v>29</v>
      </c>
      <c r="I976" s="26" t="s">
        <v>487</v>
      </c>
      <c r="J976" s="26" t="s">
        <v>29</v>
      </c>
    </row>
    <row x14ac:dyDescent="0.25" r="977" customHeight="1" ht="15.75">
      <c r="A977" s="13" t="s">
        <v>116</v>
      </c>
      <c r="B977" s="13" t="s">
        <v>2343</v>
      </c>
      <c r="C977" s="26" t="s">
        <v>2344</v>
      </c>
      <c r="D977" s="26" t="s">
        <v>498</v>
      </c>
      <c r="E977" s="26" t="s">
        <v>37</v>
      </c>
      <c r="F977" s="26" t="s">
        <v>637</v>
      </c>
      <c r="G977" s="26" t="s">
        <v>368</v>
      </c>
      <c r="H977" s="26" t="s">
        <v>29</v>
      </c>
      <c r="I977" s="26" t="s">
        <v>99</v>
      </c>
      <c r="J977" s="26" t="s">
        <v>29</v>
      </c>
    </row>
    <row x14ac:dyDescent="0.25" r="978" customHeight="1" ht="15.75">
      <c r="A978" s="13" t="s">
        <v>198</v>
      </c>
      <c r="B978" s="13" t="s">
        <v>2345</v>
      </c>
      <c r="C978" s="26" t="s">
        <v>2346</v>
      </c>
      <c r="D978" s="26" t="s">
        <v>2347</v>
      </c>
      <c r="E978" s="26" t="s">
        <v>810</v>
      </c>
      <c r="F978" s="26" t="s">
        <v>1319</v>
      </c>
      <c r="G978" s="26" t="s">
        <v>29</v>
      </c>
      <c r="H978" s="26" t="s">
        <v>29</v>
      </c>
      <c r="I978" s="26" t="s">
        <v>282</v>
      </c>
      <c r="J978" s="26" t="s">
        <v>29</v>
      </c>
    </row>
    <row x14ac:dyDescent="0.25" r="979" customHeight="1" ht="15.75">
      <c r="A979" s="13" t="s">
        <v>126</v>
      </c>
      <c r="B979" s="13" t="s">
        <v>2348</v>
      </c>
      <c r="C979" s="26" t="s">
        <v>34</v>
      </c>
      <c r="D979" s="26" t="s">
        <v>409</v>
      </c>
      <c r="E979" s="26" t="s">
        <v>37</v>
      </c>
      <c r="F979" s="26" t="s">
        <v>47</v>
      </c>
      <c r="G979" s="26" t="s">
        <v>29</v>
      </c>
      <c r="H979" s="26" t="s">
        <v>29</v>
      </c>
      <c r="I979" s="26" t="s">
        <v>50</v>
      </c>
      <c r="J979" s="26" t="s">
        <v>29</v>
      </c>
    </row>
    <row x14ac:dyDescent="0.25" r="980" customHeight="1" ht="15.75">
      <c r="A980" s="13" t="s">
        <v>126</v>
      </c>
      <c r="B980" s="13" t="s">
        <v>2349</v>
      </c>
      <c r="C980" s="26" t="s">
        <v>34</v>
      </c>
      <c r="D980" s="26" t="s">
        <v>54</v>
      </c>
      <c r="E980" s="26" t="s">
        <v>350</v>
      </c>
      <c r="F980" s="26" t="s">
        <v>2350</v>
      </c>
      <c r="G980" s="26" t="s">
        <v>2351</v>
      </c>
      <c r="H980" s="26" t="s">
        <v>231</v>
      </c>
      <c r="I980" s="26" t="s">
        <v>543</v>
      </c>
      <c r="J980" s="26" t="s">
        <v>29</v>
      </c>
    </row>
    <row x14ac:dyDescent="0.25" r="981" customHeight="1" ht="15.75">
      <c r="A981" s="13" t="s">
        <v>129</v>
      </c>
      <c r="B981" s="13" t="s">
        <v>2352</v>
      </c>
      <c r="C981" s="26" t="s">
        <v>34</v>
      </c>
      <c r="D981" s="26" t="s">
        <v>853</v>
      </c>
      <c r="E981" s="26" t="s">
        <v>63</v>
      </c>
      <c r="F981" s="26" t="s">
        <v>1425</v>
      </c>
      <c r="G981" s="26" t="s">
        <v>1426</v>
      </c>
      <c r="H981" s="26" t="s">
        <v>170</v>
      </c>
      <c r="I981" s="26" t="s">
        <v>2353</v>
      </c>
      <c r="J981" s="26" t="s">
        <v>29</v>
      </c>
    </row>
    <row x14ac:dyDescent="0.25" r="982" customHeight="1" ht="15.75">
      <c r="A982" s="13" t="s">
        <v>109</v>
      </c>
      <c r="B982" s="13" t="s">
        <v>2354</v>
      </c>
      <c r="C982" s="26" t="s">
        <v>34</v>
      </c>
      <c r="D982" s="26" t="s">
        <v>1857</v>
      </c>
      <c r="E982" s="26" t="s">
        <v>34</v>
      </c>
      <c r="F982" s="26" t="s">
        <v>857</v>
      </c>
      <c r="G982" s="26" t="s">
        <v>176</v>
      </c>
      <c r="H982" s="26" t="s">
        <v>176</v>
      </c>
      <c r="I982" s="26" t="s">
        <v>87</v>
      </c>
      <c r="J982" s="26" t="s">
        <v>29</v>
      </c>
    </row>
    <row x14ac:dyDescent="0.25" r="983" customHeight="1" ht="15.75">
      <c r="A983" s="13" t="s">
        <v>109</v>
      </c>
      <c r="B983" s="13" t="s">
        <v>2355</v>
      </c>
      <c r="C983" s="26" t="s">
        <v>34</v>
      </c>
      <c r="D983" s="26" t="s">
        <v>1735</v>
      </c>
      <c r="E983" s="26" t="s">
        <v>57</v>
      </c>
      <c r="F983" s="26" t="s">
        <v>278</v>
      </c>
      <c r="G983" s="26" t="s">
        <v>29</v>
      </c>
      <c r="H983" s="26" t="s">
        <v>29</v>
      </c>
      <c r="I983" s="26" t="s">
        <v>143</v>
      </c>
      <c r="J983" s="26" t="s">
        <v>29</v>
      </c>
    </row>
    <row x14ac:dyDescent="0.25" r="984" customHeight="1" ht="15.75">
      <c r="A984" s="13" t="s">
        <v>198</v>
      </c>
      <c r="B984" s="13" t="s">
        <v>2356</v>
      </c>
      <c r="C984" s="26" t="s">
        <v>34</v>
      </c>
      <c r="D984" s="26" t="s">
        <v>454</v>
      </c>
      <c r="E984" s="26" t="s">
        <v>37</v>
      </c>
      <c r="F984" s="26" t="s">
        <v>600</v>
      </c>
      <c r="G984" s="26" t="s">
        <v>710</v>
      </c>
      <c r="H984" s="26" t="s">
        <v>29</v>
      </c>
      <c r="I984" s="26" t="s">
        <v>1407</v>
      </c>
      <c r="J984" s="26" t="s">
        <v>870</v>
      </c>
    </row>
    <row x14ac:dyDescent="0.25" r="985" customHeight="1" ht="15.75">
      <c r="A985" s="13" t="s">
        <v>116</v>
      </c>
      <c r="B985" s="13" t="s">
        <v>2357</v>
      </c>
      <c r="C985" s="26" t="s">
        <v>34</v>
      </c>
      <c r="D985" s="26" t="s">
        <v>34</v>
      </c>
      <c r="E985" s="26" t="s">
        <v>88</v>
      </c>
      <c r="F985" s="26" t="s">
        <v>29</v>
      </c>
      <c r="G985" s="26" t="s">
        <v>29</v>
      </c>
      <c r="H985" s="26" t="s">
        <v>29</v>
      </c>
      <c r="I985" s="26" t="s">
        <v>84</v>
      </c>
      <c r="J985" s="26" t="s">
        <v>29</v>
      </c>
    </row>
    <row x14ac:dyDescent="0.25" r="986" customHeight="1" ht="15.75">
      <c r="A986" s="13" t="s">
        <v>109</v>
      </c>
      <c r="B986" s="13" t="s">
        <v>2358</v>
      </c>
      <c r="C986" s="26" t="s">
        <v>2359</v>
      </c>
      <c r="D986" s="26" t="s">
        <v>520</v>
      </c>
      <c r="E986" s="26" t="s">
        <v>57</v>
      </c>
      <c r="F986" s="26" t="s">
        <v>615</v>
      </c>
      <c r="G986" s="26" t="s">
        <v>172</v>
      </c>
      <c r="H986" s="26" t="s">
        <v>29</v>
      </c>
      <c r="I986" s="26" t="s">
        <v>612</v>
      </c>
      <c r="J986" s="26" t="s">
        <v>29</v>
      </c>
    </row>
    <row x14ac:dyDescent="0.25" r="987" customHeight="1" ht="15.75">
      <c r="A987" s="13" t="s">
        <v>109</v>
      </c>
      <c r="B987" s="13" t="s">
        <v>2360</v>
      </c>
      <c r="C987" s="26" t="s">
        <v>2361</v>
      </c>
      <c r="D987" s="26" t="s">
        <v>1898</v>
      </c>
      <c r="E987" s="26" t="s">
        <v>37</v>
      </c>
      <c r="F987" s="26" t="s">
        <v>870</v>
      </c>
      <c r="G987" s="26" t="s">
        <v>710</v>
      </c>
      <c r="H987" s="26" t="s">
        <v>710</v>
      </c>
      <c r="I987" s="26" t="s">
        <v>2144</v>
      </c>
      <c r="J987" s="26" t="s">
        <v>29</v>
      </c>
    </row>
    <row x14ac:dyDescent="0.25" r="988" customHeight="1" ht="15.75">
      <c r="A988" s="13" t="s">
        <v>184</v>
      </c>
      <c r="B988" s="13" t="s">
        <v>2362</v>
      </c>
      <c r="C988" s="26" t="s">
        <v>2363</v>
      </c>
      <c r="D988" s="26" t="s">
        <v>2364</v>
      </c>
      <c r="E988" s="26" t="s">
        <v>34</v>
      </c>
      <c r="F988" s="26" t="s">
        <v>2365</v>
      </c>
      <c r="G988" s="26" t="s">
        <v>275</v>
      </c>
      <c r="H988" s="26" t="s">
        <v>29</v>
      </c>
      <c r="I988" s="26" t="s">
        <v>250</v>
      </c>
      <c r="J988" s="26" t="s">
        <v>29</v>
      </c>
    </row>
    <row x14ac:dyDescent="0.25" r="989" customHeight="1" ht="15.75">
      <c r="A989" s="13" t="s">
        <v>198</v>
      </c>
      <c r="B989" s="13" t="s">
        <v>2366</v>
      </c>
      <c r="C989" s="26" t="s">
        <v>2367</v>
      </c>
      <c r="D989" s="26" t="s">
        <v>303</v>
      </c>
      <c r="E989" s="26" t="s">
        <v>78</v>
      </c>
      <c r="F989" s="26" t="s">
        <v>846</v>
      </c>
      <c r="G989" s="26" t="s">
        <v>178</v>
      </c>
      <c r="H989" s="26" t="s">
        <v>29</v>
      </c>
      <c r="I989" s="26" t="s">
        <v>2253</v>
      </c>
      <c r="J989" s="26" t="s">
        <v>178</v>
      </c>
    </row>
    <row x14ac:dyDescent="0.25" r="990" customHeight="1" ht="15.75">
      <c r="A990" s="13" t="s">
        <v>103</v>
      </c>
      <c r="B990" s="13" t="s">
        <v>2368</v>
      </c>
      <c r="C990" s="26" t="s">
        <v>2369</v>
      </c>
      <c r="D990" s="26" t="s">
        <v>54</v>
      </c>
      <c r="E990" s="26" t="s">
        <v>34</v>
      </c>
      <c r="F990" s="26" t="s">
        <v>47</v>
      </c>
      <c r="G990" s="26" t="s">
        <v>854</v>
      </c>
      <c r="H990" s="26" t="s">
        <v>854</v>
      </c>
      <c r="I990" s="26" t="s">
        <v>2370</v>
      </c>
      <c r="J990" s="26" t="s">
        <v>29</v>
      </c>
    </row>
    <row x14ac:dyDescent="0.25" r="991" customHeight="1" ht="15.75">
      <c r="A991" s="13" t="s">
        <v>129</v>
      </c>
      <c r="B991" s="13" t="s">
        <v>2371</v>
      </c>
      <c r="C991" s="26" t="s">
        <v>2372</v>
      </c>
      <c r="D991" s="26" t="s">
        <v>1606</v>
      </c>
      <c r="E991" s="26" t="s">
        <v>37</v>
      </c>
      <c r="F991" s="26" t="s">
        <v>2373</v>
      </c>
      <c r="G991" s="26" t="s">
        <v>77</v>
      </c>
      <c r="H991" s="26" t="s">
        <v>300</v>
      </c>
      <c r="I991" s="26" t="s">
        <v>2374</v>
      </c>
      <c r="J991" s="26" t="s">
        <v>29</v>
      </c>
    </row>
    <row x14ac:dyDescent="0.25" r="992" customHeight="1" ht="15.75">
      <c r="A992" s="13" t="s">
        <v>198</v>
      </c>
      <c r="B992" s="13" t="s">
        <v>2375</v>
      </c>
      <c r="C992" s="26" t="s">
        <v>2376</v>
      </c>
      <c r="D992" s="26" t="s">
        <v>2172</v>
      </c>
      <c r="E992" s="26" t="s">
        <v>810</v>
      </c>
      <c r="F992" s="26" t="s">
        <v>2377</v>
      </c>
      <c r="G992" s="26" t="s">
        <v>2378</v>
      </c>
      <c r="H992" s="26" t="s">
        <v>2379</v>
      </c>
      <c r="I992" s="26" t="s">
        <v>2380</v>
      </c>
      <c r="J992" s="26" t="s">
        <v>29</v>
      </c>
    </row>
    <row x14ac:dyDescent="0.25" r="993" customHeight="1" ht="15.75">
      <c r="A993" s="13" t="s">
        <v>227</v>
      </c>
      <c r="B993" s="13" t="s">
        <v>2381</v>
      </c>
      <c r="C993" s="26" t="s">
        <v>2382</v>
      </c>
      <c r="D993" s="26" t="s">
        <v>1561</v>
      </c>
      <c r="E993" s="26" t="s">
        <v>37</v>
      </c>
      <c r="F993" s="26" t="s">
        <v>610</v>
      </c>
      <c r="G993" s="26" t="s">
        <v>610</v>
      </c>
      <c r="H993" s="26" t="s">
        <v>29</v>
      </c>
      <c r="I993" s="26" t="s">
        <v>2383</v>
      </c>
      <c r="J993" s="26" t="s">
        <v>29</v>
      </c>
    </row>
    <row x14ac:dyDescent="0.25" r="994" customHeight="1" ht="15.75">
      <c r="A994" s="13" t="s">
        <v>116</v>
      </c>
      <c r="B994" s="13" t="s">
        <v>2384</v>
      </c>
      <c r="C994" s="26" t="s">
        <v>2385</v>
      </c>
      <c r="D994" s="26" t="s">
        <v>1241</v>
      </c>
      <c r="E994" s="26" t="s">
        <v>34</v>
      </c>
      <c r="F994" s="26" t="s">
        <v>332</v>
      </c>
      <c r="G994" s="26" t="s">
        <v>186</v>
      </c>
      <c r="H994" s="26" t="s">
        <v>29</v>
      </c>
      <c r="I994" s="26" t="s">
        <v>29</v>
      </c>
      <c r="J994" s="26" t="s">
        <v>29</v>
      </c>
    </row>
    <row x14ac:dyDescent="0.25" r="995" customHeight="1" ht="15.75">
      <c r="A995" s="13" t="s">
        <v>227</v>
      </c>
      <c r="B995" s="13" t="s">
        <v>2386</v>
      </c>
      <c r="C995" s="26" t="s">
        <v>2387</v>
      </c>
      <c r="D995" s="26" t="s">
        <v>78</v>
      </c>
      <c r="E995" s="26" t="s">
        <v>34</v>
      </c>
      <c r="F995" s="26" t="s">
        <v>375</v>
      </c>
      <c r="G995" s="26" t="s">
        <v>2020</v>
      </c>
      <c r="H995" s="26" t="s">
        <v>29</v>
      </c>
      <c r="I995" s="26" t="s">
        <v>1247</v>
      </c>
      <c r="J995" s="26" t="s">
        <v>2020</v>
      </c>
    </row>
    <row x14ac:dyDescent="0.25" r="996" customHeight="1" ht="15.75">
      <c r="A996" s="13" t="s">
        <v>227</v>
      </c>
      <c r="B996" s="13" t="s">
        <v>2388</v>
      </c>
      <c r="C996" s="26" t="s">
        <v>2389</v>
      </c>
      <c r="D996" s="26" t="s">
        <v>361</v>
      </c>
      <c r="E996" s="26" t="s">
        <v>34</v>
      </c>
      <c r="F996" s="26" t="s">
        <v>632</v>
      </c>
      <c r="G996" s="26" t="s">
        <v>29</v>
      </c>
      <c r="H996" s="26" t="s">
        <v>29</v>
      </c>
      <c r="I996" s="26" t="s">
        <v>608</v>
      </c>
      <c r="J996" s="26" t="s">
        <v>610</v>
      </c>
    </row>
    <row x14ac:dyDescent="0.25" r="997" customHeight="1" ht="15.75">
      <c r="A997" s="13" t="s">
        <v>391</v>
      </c>
      <c r="B997" s="13" t="s">
        <v>2390</v>
      </c>
      <c r="C997" s="26" t="s">
        <v>2389</v>
      </c>
      <c r="D997" s="26" t="s">
        <v>259</v>
      </c>
      <c r="E997" s="26" t="s">
        <v>34</v>
      </c>
      <c r="F997" s="26" t="s">
        <v>1029</v>
      </c>
      <c r="G997" s="26" t="s">
        <v>29</v>
      </c>
      <c r="H997" s="26" t="s">
        <v>29</v>
      </c>
      <c r="I997" s="26" t="s">
        <v>838</v>
      </c>
      <c r="J997" s="26" t="s">
        <v>29</v>
      </c>
    </row>
    <row x14ac:dyDescent="0.25" r="998" customHeight="1" ht="15.75">
      <c r="A998" s="13" t="s">
        <v>126</v>
      </c>
      <c r="B998" s="13" t="s">
        <v>2391</v>
      </c>
      <c r="C998" s="26" t="s">
        <v>1416</v>
      </c>
      <c r="D998" s="26" t="s">
        <v>331</v>
      </c>
      <c r="E998" s="26" t="s">
        <v>88</v>
      </c>
      <c r="F998" s="26" t="s">
        <v>387</v>
      </c>
      <c r="G998" s="26" t="s">
        <v>249</v>
      </c>
      <c r="H998" s="26" t="s">
        <v>1168</v>
      </c>
      <c r="I998" s="26" t="s">
        <v>204</v>
      </c>
      <c r="J998" s="26" t="s">
        <v>29</v>
      </c>
    </row>
    <row x14ac:dyDescent="0.25" r="999" customHeight="1" ht="15.75">
      <c r="A999" s="13" t="s">
        <v>227</v>
      </c>
      <c r="B999" s="13" t="s">
        <v>2392</v>
      </c>
      <c r="C999" s="26" t="s">
        <v>1416</v>
      </c>
      <c r="D999" s="26" t="s">
        <v>605</v>
      </c>
      <c r="E999" s="26" t="s">
        <v>57</v>
      </c>
      <c r="F999" s="26" t="s">
        <v>29</v>
      </c>
      <c r="G999" s="26" t="s">
        <v>29</v>
      </c>
      <c r="H999" s="26" t="s">
        <v>29</v>
      </c>
      <c r="I999" s="26" t="s">
        <v>204</v>
      </c>
      <c r="J999" s="26" t="s">
        <v>341</v>
      </c>
    </row>
    <row x14ac:dyDescent="0.25" r="1000" customHeight="1" ht="15.75">
      <c r="A1000" s="13" t="s">
        <v>109</v>
      </c>
      <c r="B1000" s="13" t="s">
        <v>2393</v>
      </c>
      <c r="C1000" s="26" t="s">
        <v>2394</v>
      </c>
      <c r="D1000" s="26" t="s">
        <v>259</v>
      </c>
      <c r="E1000" s="26" t="s">
        <v>34</v>
      </c>
      <c r="F1000" s="26" t="s">
        <v>2395</v>
      </c>
      <c r="G1000" s="26" t="s">
        <v>204</v>
      </c>
      <c r="H1000" s="26" t="s">
        <v>297</v>
      </c>
      <c r="I1000" s="26" t="s">
        <v>154</v>
      </c>
      <c r="J1000" s="26" t="s">
        <v>29</v>
      </c>
    </row>
    <row x14ac:dyDescent="0.25" r="1001" customHeight="1" ht="15.75">
      <c r="A1001" s="13" t="s">
        <v>129</v>
      </c>
      <c r="B1001" s="13" t="s">
        <v>2396</v>
      </c>
      <c r="C1001" s="26" t="s">
        <v>2397</v>
      </c>
      <c r="D1001" s="26" t="s">
        <v>90</v>
      </c>
      <c r="E1001" s="26" t="s">
        <v>37</v>
      </c>
      <c r="F1001" s="26" t="s">
        <v>1247</v>
      </c>
      <c r="G1001" s="26" t="s">
        <v>158</v>
      </c>
      <c r="H1001" s="26" t="s">
        <v>158</v>
      </c>
      <c r="I1001" s="26" t="s">
        <v>1877</v>
      </c>
      <c r="J1001" s="26" t="s">
        <v>29</v>
      </c>
    </row>
    <row x14ac:dyDescent="0.25" r="1002" customHeight="1" ht="15.75">
      <c r="A1002" s="13" t="s">
        <v>27</v>
      </c>
      <c r="B1002" s="13" t="s">
        <v>2398</v>
      </c>
      <c r="C1002" s="26" t="s">
        <v>1686</v>
      </c>
      <c r="D1002" s="26" t="s">
        <v>29</v>
      </c>
      <c r="E1002" s="26" t="s">
        <v>88</v>
      </c>
      <c r="F1002" s="26" t="s">
        <v>29</v>
      </c>
      <c r="G1002" s="26" t="s">
        <v>29</v>
      </c>
      <c r="H1002" s="26" t="s">
        <v>29</v>
      </c>
      <c r="I1002" s="26" t="s">
        <v>29</v>
      </c>
      <c r="J1002" s="26" t="s">
        <v>29</v>
      </c>
    </row>
    <row x14ac:dyDescent="0.25" r="1003" customHeight="1" ht="15.75">
      <c r="A1003" s="13" t="s">
        <v>391</v>
      </c>
      <c r="B1003" s="13" t="s">
        <v>2399</v>
      </c>
      <c r="C1003" s="26" t="s">
        <v>1686</v>
      </c>
      <c r="D1003" s="26" t="s">
        <v>132</v>
      </c>
      <c r="E1003" s="26" t="s">
        <v>88</v>
      </c>
      <c r="F1003" s="26" t="s">
        <v>191</v>
      </c>
      <c r="G1003" s="26" t="s">
        <v>52</v>
      </c>
      <c r="H1003" s="26" t="s">
        <v>29</v>
      </c>
      <c r="I1003" s="26" t="s">
        <v>166</v>
      </c>
      <c r="J1003" s="26" t="s">
        <v>29</v>
      </c>
    </row>
    <row x14ac:dyDescent="0.25" r="1004" customHeight="1" ht="15.75">
      <c r="A1004" s="13" t="s">
        <v>129</v>
      </c>
      <c r="B1004" s="13" t="s">
        <v>2400</v>
      </c>
      <c r="C1004" s="26" t="s">
        <v>2401</v>
      </c>
      <c r="D1004" s="26" t="s">
        <v>498</v>
      </c>
      <c r="E1004" s="26" t="s">
        <v>31</v>
      </c>
      <c r="F1004" s="26" t="s">
        <v>29</v>
      </c>
      <c r="G1004" s="26" t="s">
        <v>311</v>
      </c>
      <c r="H1004" s="26" t="s">
        <v>29</v>
      </c>
      <c r="I1004" s="26" t="s">
        <v>29</v>
      </c>
      <c r="J1004" s="26" t="s">
        <v>29</v>
      </c>
    </row>
    <row x14ac:dyDescent="0.25" r="1005" customHeight="1" ht="15.75">
      <c r="A1005" s="13" t="s">
        <v>91</v>
      </c>
      <c r="B1005" s="13" t="s">
        <v>2402</v>
      </c>
      <c r="C1005" s="26" t="s">
        <v>2403</v>
      </c>
      <c r="D1005" s="26" t="s">
        <v>409</v>
      </c>
      <c r="E1005" s="26" t="s">
        <v>31</v>
      </c>
      <c r="F1005" s="26" t="s">
        <v>995</v>
      </c>
      <c r="G1005" s="26" t="s">
        <v>2404</v>
      </c>
      <c r="H1005" s="26" t="s">
        <v>773</v>
      </c>
      <c r="I1005" s="26" t="s">
        <v>2405</v>
      </c>
      <c r="J1005" s="26" t="s">
        <v>29</v>
      </c>
    </row>
    <row x14ac:dyDescent="0.25" r="1006" customHeight="1" ht="15.75">
      <c r="A1006" s="13" t="s">
        <v>116</v>
      </c>
      <c r="B1006" s="13" t="s">
        <v>2406</v>
      </c>
      <c r="C1006" s="26" t="s">
        <v>2407</v>
      </c>
      <c r="D1006" s="26" t="s">
        <v>37</v>
      </c>
      <c r="E1006" s="26" t="s">
        <v>57</v>
      </c>
      <c r="F1006" s="26" t="s">
        <v>352</v>
      </c>
      <c r="G1006" s="26" t="s">
        <v>980</v>
      </c>
      <c r="H1006" s="26" t="s">
        <v>29</v>
      </c>
      <c r="I1006" s="26" t="s">
        <v>352</v>
      </c>
      <c r="J1006" s="26" t="s">
        <v>29</v>
      </c>
    </row>
    <row x14ac:dyDescent="0.25" r="1007" customHeight="1" ht="15.75">
      <c r="A1007" s="13" t="s">
        <v>66</v>
      </c>
      <c r="B1007" s="13" t="s">
        <v>2408</v>
      </c>
      <c r="C1007" s="26" t="s">
        <v>857</v>
      </c>
      <c r="D1007" s="26" t="s">
        <v>87</v>
      </c>
      <c r="E1007" s="26" t="s">
        <v>88</v>
      </c>
      <c r="F1007" s="26" t="s">
        <v>2409</v>
      </c>
      <c r="G1007" s="26" t="s">
        <v>29</v>
      </c>
      <c r="H1007" s="26" t="s">
        <v>29</v>
      </c>
      <c r="I1007" s="26" t="s">
        <v>179</v>
      </c>
      <c r="J1007" s="26" t="s">
        <v>29</v>
      </c>
    </row>
    <row x14ac:dyDescent="0.25" r="1008" customHeight="1" ht="15.75">
      <c r="A1008" s="13" t="s">
        <v>512</v>
      </c>
      <c r="B1008" s="13" t="s">
        <v>2410</v>
      </c>
      <c r="C1008" s="26" t="s">
        <v>2411</v>
      </c>
      <c r="D1008" s="26" t="s">
        <v>201</v>
      </c>
      <c r="E1008" s="26" t="s">
        <v>57</v>
      </c>
      <c r="F1008" s="26" t="s">
        <v>539</v>
      </c>
      <c r="G1008" s="26" t="s">
        <v>318</v>
      </c>
      <c r="H1008" s="26" t="s">
        <v>29</v>
      </c>
      <c r="I1008" s="26" t="s">
        <v>318</v>
      </c>
      <c r="J1008" s="26" t="s">
        <v>29</v>
      </c>
    </row>
    <row x14ac:dyDescent="0.25" r="1009" customHeight="1" ht="15.75">
      <c r="A1009" s="13" t="s">
        <v>391</v>
      </c>
      <c r="B1009" s="13" t="s">
        <v>2412</v>
      </c>
      <c r="C1009" s="26" t="s">
        <v>2413</v>
      </c>
      <c r="D1009" s="26" t="s">
        <v>2414</v>
      </c>
      <c r="E1009" s="26" t="s">
        <v>122</v>
      </c>
      <c r="F1009" s="26" t="s">
        <v>179</v>
      </c>
      <c r="G1009" s="26" t="s">
        <v>135</v>
      </c>
      <c r="H1009" s="26" t="s">
        <v>29</v>
      </c>
      <c r="I1009" s="26" t="s">
        <v>115</v>
      </c>
      <c r="J1009" s="26" t="s">
        <v>29</v>
      </c>
    </row>
    <row x14ac:dyDescent="0.25" r="1010" customHeight="1" ht="15.75">
      <c r="A1010" s="13" t="s">
        <v>227</v>
      </c>
      <c r="B1010" s="13" t="s">
        <v>2415</v>
      </c>
      <c r="C1010" s="26" t="s">
        <v>2416</v>
      </c>
      <c r="D1010" s="26" t="s">
        <v>111</v>
      </c>
      <c r="E1010" s="26" t="s">
        <v>34</v>
      </c>
      <c r="F1010" s="26" t="s">
        <v>29</v>
      </c>
      <c r="G1010" s="26" t="s">
        <v>29</v>
      </c>
      <c r="H1010" s="26" t="s">
        <v>29</v>
      </c>
      <c r="I1010" s="26" t="s">
        <v>404</v>
      </c>
      <c r="J1010" s="26" t="s">
        <v>29</v>
      </c>
    </row>
    <row x14ac:dyDescent="0.25" r="1011" customHeight="1" ht="15.75">
      <c r="A1011" s="13" t="s">
        <v>91</v>
      </c>
      <c r="B1011" s="13" t="s">
        <v>2417</v>
      </c>
      <c r="C1011" s="26" t="s">
        <v>2418</v>
      </c>
      <c r="D1011" s="26" t="s">
        <v>1008</v>
      </c>
      <c r="E1011" s="26" t="s">
        <v>34</v>
      </c>
      <c r="F1011" s="26" t="s">
        <v>973</v>
      </c>
      <c r="G1011" s="26" t="s">
        <v>2419</v>
      </c>
      <c r="H1011" s="26" t="s">
        <v>2420</v>
      </c>
      <c r="I1011" s="26" t="s">
        <v>2421</v>
      </c>
      <c r="J1011" s="26" t="s">
        <v>29</v>
      </c>
    </row>
    <row x14ac:dyDescent="0.25" r="1012" customHeight="1" ht="15.75">
      <c r="A1012" s="13" t="s">
        <v>109</v>
      </c>
      <c r="B1012" s="13" t="s">
        <v>2422</v>
      </c>
      <c r="C1012" s="26" t="s">
        <v>2423</v>
      </c>
      <c r="D1012" s="26" t="s">
        <v>1924</v>
      </c>
      <c r="E1012" s="26" t="s">
        <v>34</v>
      </c>
      <c r="F1012" s="26" t="s">
        <v>2424</v>
      </c>
      <c r="G1012" s="26" t="s">
        <v>2425</v>
      </c>
      <c r="H1012" s="26" t="s">
        <v>206</v>
      </c>
      <c r="I1012" s="26" t="s">
        <v>2213</v>
      </c>
      <c r="J1012" s="26" t="s">
        <v>29</v>
      </c>
    </row>
    <row x14ac:dyDescent="0.25" r="1013" customHeight="1" ht="15.75">
      <c r="A1013" s="13" t="s">
        <v>198</v>
      </c>
      <c r="B1013" s="13" t="s">
        <v>2426</v>
      </c>
      <c r="C1013" s="26" t="s">
        <v>2427</v>
      </c>
      <c r="D1013" s="26" t="s">
        <v>468</v>
      </c>
      <c r="E1013" s="26" t="s">
        <v>115</v>
      </c>
      <c r="F1013" s="26" t="s">
        <v>2428</v>
      </c>
      <c r="G1013" s="26" t="s">
        <v>879</v>
      </c>
      <c r="H1013" s="26" t="s">
        <v>29</v>
      </c>
      <c r="I1013" s="26" t="s">
        <v>2429</v>
      </c>
      <c r="J1013" s="26" t="s">
        <v>29</v>
      </c>
    </row>
    <row x14ac:dyDescent="0.25" r="1014" customHeight="1" ht="15.75">
      <c r="A1014" s="13" t="s">
        <v>109</v>
      </c>
      <c r="B1014" s="13" t="s">
        <v>2430</v>
      </c>
      <c r="C1014" s="26" t="s">
        <v>2431</v>
      </c>
      <c r="D1014" s="26" t="s">
        <v>685</v>
      </c>
      <c r="E1014" s="26" t="s">
        <v>57</v>
      </c>
      <c r="F1014" s="26" t="s">
        <v>277</v>
      </c>
      <c r="G1014" s="26" t="s">
        <v>1564</v>
      </c>
      <c r="H1014" s="26" t="s">
        <v>29</v>
      </c>
      <c r="I1014" s="26" t="s">
        <v>1167</v>
      </c>
      <c r="J1014" s="26" t="s">
        <v>29</v>
      </c>
    </row>
    <row x14ac:dyDescent="0.25" r="1015" customHeight="1" ht="15.75">
      <c r="A1015" s="13" t="s">
        <v>66</v>
      </c>
      <c r="B1015" s="13" t="s">
        <v>2432</v>
      </c>
      <c r="C1015" s="26" t="s">
        <v>2433</v>
      </c>
      <c r="D1015" s="26" t="s">
        <v>2414</v>
      </c>
      <c r="E1015" s="26" t="s">
        <v>37</v>
      </c>
      <c r="F1015" s="26" t="s">
        <v>794</v>
      </c>
      <c r="G1015" s="26" t="s">
        <v>29</v>
      </c>
      <c r="H1015" s="26" t="s">
        <v>29</v>
      </c>
      <c r="I1015" s="26" t="s">
        <v>832</v>
      </c>
      <c r="J1015" s="26" t="s">
        <v>29</v>
      </c>
    </row>
    <row x14ac:dyDescent="0.25" r="1016" customHeight="1" ht="15.75">
      <c r="A1016" s="13" t="s">
        <v>391</v>
      </c>
      <c r="B1016" s="13" t="s">
        <v>2434</v>
      </c>
      <c r="C1016" s="26" t="s">
        <v>2435</v>
      </c>
      <c r="D1016" s="26" t="s">
        <v>344</v>
      </c>
      <c r="E1016" s="26" t="s">
        <v>43</v>
      </c>
      <c r="F1016" s="26" t="s">
        <v>754</v>
      </c>
      <c r="G1016" s="26" t="s">
        <v>200</v>
      </c>
      <c r="H1016" s="26" t="s">
        <v>29</v>
      </c>
      <c r="I1016" s="26" t="s">
        <v>520</v>
      </c>
      <c r="J1016" s="26" t="s">
        <v>29</v>
      </c>
    </row>
    <row x14ac:dyDescent="0.25" r="1017" customHeight="1" ht="15.75">
      <c r="A1017" s="13" t="s">
        <v>391</v>
      </c>
      <c r="B1017" s="13" t="s">
        <v>2436</v>
      </c>
      <c r="C1017" s="26" t="s">
        <v>2437</v>
      </c>
      <c r="D1017" s="26" t="s">
        <v>43</v>
      </c>
      <c r="E1017" s="26" t="s">
        <v>37</v>
      </c>
      <c r="F1017" s="26" t="s">
        <v>388</v>
      </c>
      <c r="G1017" s="26" t="s">
        <v>29</v>
      </c>
      <c r="H1017" s="26" t="s">
        <v>29</v>
      </c>
      <c r="I1017" s="26" t="s">
        <v>29</v>
      </c>
      <c r="J1017" s="26" t="s">
        <v>29</v>
      </c>
    </row>
    <row x14ac:dyDescent="0.25" r="1018" customHeight="1" ht="15.75">
      <c r="A1018" s="13" t="s">
        <v>91</v>
      </c>
      <c r="B1018" s="13" t="s">
        <v>2438</v>
      </c>
      <c r="C1018" s="26" t="s">
        <v>2439</v>
      </c>
      <c r="D1018" s="26" t="s">
        <v>1153</v>
      </c>
      <c r="E1018" s="26" t="s">
        <v>57</v>
      </c>
      <c r="F1018" s="26" t="s">
        <v>2440</v>
      </c>
      <c r="G1018" s="26" t="s">
        <v>1421</v>
      </c>
      <c r="H1018" s="26" t="s">
        <v>29</v>
      </c>
      <c r="I1018" s="26" t="s">
        <v>334</v>
      </c>
      <c r="J1018" s="26" t="s">
        <v>29</v>
      </c>
    </row>
    <row x14ac:dyDescent="0.25" r="1019" customHeight="1" ht="15.75">
      <c r="A1019" s="13" t="s">
        <v>227</v>
      </c>
      <c r="B1019" s="13" t="s">
        <v>2441</v>
      </c>
      <c r="C1019" s="26" t="s">
        <v>1875</v>
      </c>
      <c r="D1019" s="26" t="s">
        <v>1561</v>
      </c>
      <c r="E1019" s="26" t="s">
        <v>122</v>
      </c>
      <c r="F1019" s="26" t="s">
        <v>1241</v>
      </c>
      <c r="G1019" s="26" t="s">
        <v>588</v>
      </c>
      <c r="H1019" s="26" t="s">
        <v>29</v>
      </c>
      <c r="I1019" s="26" t="s">
        <v>179</v>
      </c>
      <c r="J1019" s="26" t="s">
        <v>29</v>
      </c>
    </row>
    <row x14ac:dyDescent="0.25" r="1020" customHeight="1" ht="15.75">
      <c r="A1020" s="13" t="s">
        <v>126</v>
      </c>
      <c r="B1020" s="13" t="s">
        <v>2442</v>
      </c>
      <c r="C1020" s="26" t="s">
        <v>2443</v>
      </c>
      <c r="D1020" s="26" t="s">
        <v>498</v>
      </c>
      <c r="E1020" s="26" t="s">
        <v>34</v>
      </c>
      <c r="F1020" s="26" t="s">
        <v>2444</v>
      </c>
      <c r="G1020" s="26" t="s">
        <v>1282</v>
      </c>
      <c r="H1020" s="26" t="s">
        <v>147</v>
      </c>
      <c r="I1020" s="26" t="s">
        <v>2445</v>
      </c>
      <c r="J1020" s="26" t="s">
        <v>29</v>
      </c>
    </row>
    <row x14ac:dyDescent="0.25" r="1021" customHeight="1" ht="15.75">
      <c r="A1021" s="13" t="s">
        <v>391</v>
      </c>
      <c r="B1021" s="13" t="s">
        <v>2446</v>
      </c>
      <c r="C1021" s="26" t="s">
        <v>2447</v>
      </c>
      <c r="D1021" s="26" t="s">
        <v>2448</v>
      </c>
      <c r="E1021" s="26" t="s">
        <v>88</v>
      </c>
      <c r="F1021" s="26" t="s">
        <v>204</v>
      </c>
      <c r="G1021" s="26" t="s">
        <v>204</v>
      </c>
      <c r="H1021" s="26" t="s">
        <v>341</v>
      </c>
      <c r="I1021" s="26" t="s">
        <v>105</v>
      </c>
      <c r="J1021" s="26" t="s">
        <v>29</v>
      </c>
    </row>
    <row x14ac:dyDescent="0.25" r="1022" customHeight="1" ht="15.75">
      <c r="A1022" s="13" t="s">
        <v>391</v>
      </c>
      <c r="B1022" s="13" t="s">
        <v>2449</v>
      </c>
      <c r="C1022" s="26" t="s">
        <v>2450</v>
      </c>
      <c r="D1022" s="26" t="s">
        <v>1561</v>
      </c>
      <c r="E1022" s="26" t="s">
        <v>88</v>
      </c>
      <c r="F1022" s="26" t="s">
        <v>999</v>
      </c>
      <c r="G1022" s="26" t="s">
        <v>29</v>
      </c>
      <c r="H1022" s="26" t="s">
        <v>29</v>
      </c>
      <c r="I1022" s="26" t="s">
        <v>154</v>
      </c>
      <c r="J1022" s="26" t="s">
        <v>29</v>
      </c>
    </row>
    <row x14ac:dyDescent="0.25" r="1023" customHeight="1" ht="15.75">
      <c r="A1023" s="13" t="s">
        <v>129</v>
      </c>
      <c r="B1023" s="13" t="s">
        <v>2451</v>
      </c>
      <c r="C1023" s="26" t="s">
        <v>696</v>
      </c>
      <c r="D1023" s="26" t="s">
        <v>2088</v>
      </c>
      <c r="E1023" s="26" t="s">
        <v>78</v>
      </c>
      <c r="F1023" s="26" t="s">
        <v>347</v>
      </c>
      <c r="G1023" s="26" t="s">
        <v>135</v>
      </c>
      <c r="H1023" s="26" t="s">
        <v>135</v>
      </c>
      <c r="I1023" s="26" t="s">
        <v>696</v>
      </c>
      <c r="J1023" s="26" t="s">
        <v>29</v>
      </c>
    </row>
    <row x14ac:dyDescent="0.25" r="1024" customHeight="1" ht="15.75">
      <c r="A1024" s="13" t="s">
        <v>116</v>
      </c>
      <c r="B1024" s="13" t="s">
        <v>2452</v>
      </c>
      <c r="C1024" s="26" t="s">
        <v>2453</v>
      </c>
      <c r="D1024" s="26" t="s">
        <v>81</v>
      </c>
      <c r="E1024" s="26" t="s">
        <v>81</v>
      </c>
      <c r="F1024" s="26" t="s">
        <v>334</v>
      </c>
      <c r="G1024" s="26" t="s">
        <v>29</v>
      </c>
      <c r="H1024" s="26" t="s">
        <v>29</v>
      </c>
      <c r="I1024" s="26" t="s">
        <v>334</v>
      </c>
      <c r="J1024" s="26" t="s">
        <v>29</v>
      </c>
    </row>
    <row x14ac:dyDescent="0.25" r="1025" customHeight="1" ht="15.75">
      <c r="A1025" s="13" t="s">
        <v>391</v>
      </c>
      <c r="B1025" s="13" t="s">
        <v>2454</v>
      </c>
      <c r="C1025" s="26" t="s">
        <v>2455</v>
      </c>
      <c r="D1025" s="26" t="s">
        <v>498</v>
      </c>
      <c r="E1025" s="26" t="s">
        <v>57</v>
      </c>
      <c r="F1025" s="26" t="s">
        <v>265</v>
      </c>
      <c r="G1025" s="26" t="s">
        <v>29</v>
      </c>
      <c r="H1025" s="26" t="s">
        <v>29</v>
      </c>
      <c r="I1025" s="26" t="s">
        <v>179</v>
      </c>
      <c r="J1025" s="26" t="s">
        <v>29</v>
      </c>
    </row>
    <row x14ac:dyDescent="0.25" r="1026" customHeight="1" ht="15.75">
      <c r="A1026" s="13" t="s">
        <v>27</v>
      </c>
      <c r="B1026" s="13" t="s">
        <v>2456</v>
      </c>
      <c r="C1026" s="26" t="s">
        <v>2457</v>
      </c>
      <c r="D1026" s="26" t="s">
        <v>2458</v>
      </c>
      <c r="E1026" s="26" t="s">
        <v>57</v>
      </c>
      <c r="F1026" s="26" t="s">
        <v>250</v>
      </c>
      <c r="G1026" s="26" t="s">
        <v>250</v>
      </c>
      <c r="H1026" s="26" t="s">
        <v>275</v>
      </c>
      <c r="I1026" s="26" t="s">
        <v>400</v>
      </c>
      <c r="J1026" s="26" t="s">
        <v>29</v>
      </c>
    </row>
    <row x14ac:dyDescent="0.25" r="1027" customHeight="1" ht="15.75">
      <c r="A1027" s="13" t="s">
        <v>109</v>
      </c>
      <c r="B1027" s="13" t="s">
        <v>2459</v>
      </c>
      <c r="C1027" s="26" t="s">
        <v>2457</v>
      </c>
      <c r="D1027" s="26" t="s">
        <v>2460</v>
      </c>
      <c r="E1027" s="26" t="s">
        <v>74</v>
      </c>
      <c r="F1027" s="26" t="s">
        <v>97</v>
      </c>
      <c r="G1027" s="26" t="s">
        <v>29</v>
      </c>
      <c r="H1027" s="26" t="s">
        <v>29</v>
      </c>
      <c r="I1027" s="26" t="s">
        <v>1214</v>
      </c>
      <c r="J1027" s="26" t="s">
        <v>29</v>
      </c>
    </row>
    <row x14ac:dyDescent="0.25" r="1028" customHeight="1" ht="15.75">
      <c r="A1028" s="13" t="s">
        <v>391</v>
      </c>
      <c r="B1028" s="13" t="s">
        <v>2461</v>
      </c>
      <c r="C1028" s="26" t="s">
        <v>2462</v>
      </c>
      <c r="D1028" s="26" t="s">
        <v>498</v>
      </c>
      <c r="E1028" s="26" t="s">
        <v>88</v>
      </c>
      <c r="F1028" s="26" t="s">
        <v>29</v>
      </c>
      <c r="G1028" s="26" t="s">
        <v>29</v>
      </c>
      <c r="H1028" s="26" t="s">
        <v>29</v>
      </c>
      <c r="I1028" s="26" t="s">
        <v>29</v>
      </c>
      <c r="J1028" s="26" t="s">
        <v>29</v>
      </c>
    </row>
    <row x14ac:dyDescent="0.25" r="1029" customHeight="1" ht="15.75">
      <c r="A1029" s="13" t="s">
        <v>198</v>
      </c>
      <c r="B1029" s="13" t="s">
        <v>2463</v>
      </c>
      <c r="C1029" s="26" t="s">
        <v>2464</v>
      </c>
      <c r="D1029" s="26" t="s">
        <v>2140</v>
      </c>
      <c r="E1029" s="26" t="s">
        <v>57</v>
      </c>
      <c r="F1029" s="26" t="s">
        <v>84</v>
      </c>
      <c r="G1029" s="26" t="s">
        <v>29</v>
      </c>
      <c r="H1029" s="26" t="s">
        <v>29</v>
      </c>
      <c r="I1029" s="26" t="s">
        <v>439</v>
      </c>
      <c r="J1029" s="26" t="s">
        <v>29</v>
      </c>
    </row>
    <row x14ac:dyDescent="0.25" r="1030" customHeight="1" ht="15.75">
      <c r="A1030" s="13" t="s">
        <v>116</v>
      </c>
      <c r="B1030" s="13" t="s">
        <v>2465</v>
      </c>
      <c r="C1030" s="26" t="s">
        <v>2466</v>
      </c>
      <c r="D1030" s="26" t="s">
        <v>90</v>
      </c>
      <c r="E1030" s="26" t="s">
        <v>34</v>
      </c>
      <c r="F1030" s="26" t="s">
        <v>600</v>
      </c>
      <c r="G1030" s="26" t="s">
        <v>160</v>
      </c>
      <c r="H1030" s="26" t="s">
        <v>160</v>
      </c>
      <c r="I1030" s="26" t="s">
        <v>710</v>
      </c>
      <c r="J1030" s="26" t="s">
        <v>29</v>
      </c>
    </row>
    <row x14ac:dyDescent="0.25" r="1031" customHeight="1" ht="15.75">
      <c r="A1031" s="13" t="s">
        <v>184</v>
      </c>
      <c r="B1031" s="13" t="s">
        <v>2467</v>
      </c>
      <c r="C1031" s="26" t="s">
        <v>2468</v>
      </c>
      <c r="D1031" s="26" t="s">
        <v>409</v>
      </c>
      <c r="E1031" s="26" t="s">
        <v>143</v>
      </c>
      <c r="F1031" s="26" t="s">
        <v>1203</v>
      </c>
      <c r="G1031" s="26" t="s">
        <v>261</v>
      </c>
      <c r="H1031" s="26" t="s">
        <v>29</v>
      </c>
      <c r="I1031" s="26" t="s">
        <v>1203</v>
      </c>
      <c r="J1031" s="26" t="s">
        <v>29</v>
      </c>
    </row>
    <row x14ac:dyDescent="0.25" r="1032" customHeight="1" ht="15.75">
      <c r="A1032" s="13" t="s">
        <v>109</v>
      </c>
      <c r="B1032" s="13" t="s">
        <v>2469</v>
      </c>
      <c r="C1032" s="26" t="s">
        <v>2470</v>
      </c>
      <c r="D1032" s="26" t="s">
        <v>2471</v>
      </c>
      <c r="E1032" s="26" t="s">
        <v>36</v>
      </c>
      <c r="F1032" s="26" t="s">
        <v>2472</v>
      </c>
      <c r="G1032" s="26" t="s">
        <v>637</v>
      </c>
      <c r="H1032" s="26" t="s">
        <v>368</v>
      </c>
      <c r="I1032" s="26" t="s">
        <v>649</v>
      </c>
      <c r="J1032" s="26" t="s">
        <v>29</v>
      </c>
    </row>
    <row x14ac:dyDescent="0.25" r="1033" customHeight="1" ht="15.75">
      <c r="A1033" s="13" t="s">
        <v>116</v>
      </c>
      <c r="B1033" s="13" t="s">
        <v>2473</v>
      </c>
      <c r="C1033" s="26" t="s">
        <v>2474</v>
      </c>
      <c r="D1033" s="26" t="s">
        <v>34</v>
      </c>
      <c r="E1033" s="26" t="s">
        <v>88</v>
      </c>
      <c r="F1033" s="26" t="s">
        <v>1310</v>
      </c>
      <c r="G1033" s="26" t="s">
        <v>29</v>
      </c>
      <c r="H1033" s="26" t="s">
        <v>29</v>
      </c>
      <c r="I1033" s="26" t="s">
        <v>2475</v>
      </c>
      <c r="J1033" s="26" t="s">
        <v>203</v>
      </c>
    </row>
    <row x14ac:dyDescent="0.25" r="1034" customHeight="1" ht="15.75">
      <c r="A1034" s="13" t="s">
        <v>391</v>
      </c>
      <c r="B1034" s="13" t="s">
        <v>2476</v>
      </c>
      <c r="C1034" s="26" t="s">
        <v>2477</v>
      </c>
      <c r="D1034" s="26" t="s">
        <v>78</v>
      </c>
      <c r="E1034" s="26" t="s">
        <v>31</v>
      </c>
      <c r="F1034" s="26" t="s">
        <v>870</v>
      </c>
      <c r="G1034" s="26" t="s">
        <v>870</v>
      </c>
      <c r="H1034" s="26" t="s">
        <v>29</v>
      </c>
      <c r="I1034" s="26" t="s">
        <v>42</v>
      </c>
      <c r="J1034" s="26" t="s">
        <v>29</v>
      </c>
    </row>
    <row x14ac:dyDescent="0.25" r="1035" customHeight="1" ht="15.75">
      <c r="A1035" s="13" t="s">
        <v>126</v>
      </c>
      <c r="B1035" s="13" t="s">
        <v>2478</v>
      </c>
      <c r="C1035" s="26" t="s">
        <v>2479</v>
      </c>
      <c r="D1035" s="26" t="s">
        <v>43</v>
      </c>
      <c r="E1035" s="26" t="s">
        <v>57</v>
      </c>
      <c r="F1035" s="26" t="s">
        <v>42</v>
      </c>
      <c r="G1035" s="26" t="s">
        <v>295</v>
      </c>
      <c r="H1035" s="26" t="s">
        <v>158</v>
      </c>
      <c r="I1035" s="26" t="s">
        <v>1730</v>
      </c>
      <c r="J1035" s="26" t="s">
        <v>158</v>
      </c>
    </row>
    <row x14ac:dyDescent="0.25" r="1036" customHeight="1" ht="15.75">
      <c r="A1036" s="13" t="s">
        <v>227</v>
      </c>
      <c r="B1036" s="13" t="s">
        <v>2480</v>
      </c>
      <c r="C1036" s="26" t="s">
        <v>2481</v>
      </c>
      <c r="D1036" s="26" t="s">
        <v>1561</v>
      </c>
      <c r="E1036" s="26" t="s">
        <v>88</v>
      </c>
      <c r="F1036" s="26" t="s">
        <v>393</v>
      </c>
      <c r="G1036" s="26" t="s">
        <v>29</v>
      </c>
      <c r="H1036" s="26" t="s">
        <v>29</v>
      </c>
      <c r="I1036" s="26" t="s">
        <v>244</v>
      </c>
      <c r="J1036" s="26" t="s">
        <v>29</v>
      </c>
    </row>
    <row x14ac:dyDescent="0.25" r="1037" customHeight="1" ht="15.75">
      <c r="A1037" s="13" t="s">
        <v>91</v>
      </c>
      <c r="B1037" s="13" t="s">
        <v>2482</v>
      </c>
      <c r="C1037" s="26" t="s">
        <v>88</v>
      </c>
      <c r="D1037" s="26" t="s">
        <v>2017</v>
      </c>
      <c r="E1037" s="26" t="s">
        <v>34</v>
      </c>
      <c r="F1037" s="26" t="s">
        <v>2483</v>
      </c>
      <c r="G1037" s="26" t="s">
        <v>29</v>
      </c>
      <c r="H1037" s="26" t="s">
        <v>29</v>
      </c>
      <c r="I1037" s="26" t="s">
        <v>176</v>
      </c>
      <c r="J1037" s="26" t="s">
        <v>29</v>
      </c>
    </row>
    <row x14ac:dyDescent="0.25" r="1038" customHeight="1" ht="15.75">
      <c r="A1038" s="13" t="s">
        <v>198</v>
      </c>
      <c r="B1038" s="13" t="s">
        <v>2484</v>
      </c>
      <c r="C1038" s="26" t="s">
        <v>88</v>
      </c>
      <c r="D1038" s="26" t="s">
        <v>88</v>
      </c>
      <c r="E1038" s="26" t="s">
        <v>31</v>
      </c>
      <c r="F1038" s="26" t="s">
        <v>42</v>
      </c>
      <c r="G1038" s="26" t="s">
        <v>29</v>
      </c>
      <c r="H1038" s="26" t="s">
        <v>29</v>
      </c>
      <c r="I1038" s="26" t="s">
        <v>54</v>
      </c>
      <c r="J1038" s="26" t="s">
        <v>29</v>
      </c>
    </row>
    <row x14ac:dyDescent="0.25" r="1039" customHeight="1" ht="15.75">
      <c r="A1039" s="13" t="s">
        <v>116</v>
      </c>
      <c r="B1039" s="13" t="s">
        <v>2485</v>
      </c>
      <c r="C1039" s="26" t="s">
        <v>88</v>
      </c>
      <c r="D1039" s="26" t="s">
        <v>2486</v>
      </c>
      <c r="E1039" s="26" t="s">
        <v>34</v>
      </c>
      <c r="F1039" s="26" t="s">
        <v>2487</v>
      </c>
      <c r="G1039" s="26" t="s">
        <v>953</v>
      </c>
      <c r="H1039" s="26" t="s">
        <v>29</v>
      </c>
      <c r="I1039" s="26" t="s">
        <v>2488</v>
      </c>
      <c r="J1039" s="26" t="s">
        <v>29</v>
      </c>
    </row>
    <row x14ac:dyDescent="0.25" r="1040" customHeight="1" ht="15.75">
      <c r="A1040" s="13" t="s">
        <v>129</v>
      </c>
      <c r="B1040" s="13" t="s">
        <v>2489</v>
      </c>
      <c r="C1040" s="26" t="s">
        <v>2490</v>
      </c>
      <c r="D1040" s="26" t="s">
        <v>80</v>
      </c>
      <c r="E1040" s="26" t="s">
        <v>143</v>
      </c>
      <c r="F1040" s="26" t="s">
        <v>679</v>
      </c>
      <c r="G1040" s="26" t="s">
        <v>252</v>
      </c>
      <c r="H1040" s="26" t="s">
        <v>29</v>
      </c>
      <c r="I1040" s="26" t="s">
        <v>617</v>
      </c>
      <c r="J1040" s="26" t="s">
        <v>134</v>
      </c>
    </row>
    <row x14ac:dyDescent="0.25" r="1041" customHeight="1" ht="15.75">
      <c r="A1041" s="13" t="s">
        <v>512</v>
      </c>
      <c r="B1041" s="13" t="s">
        <v>2491</v>
      </c>
      <c r="C1041" s="26" t="s">
        <v>2492</v>
      </c>
      <c r="D1041" s="26" t="s">
        <v>1227</v>
      </c>
      <c r="E1041" s="26" t="s">
        <v>951</v>
      </c>
      <c r="F1041" s="26" t="s">
        <v>2493</v>
      </c>
      <c r="G1041" s="26" t="s">
        <v>1984</v>
      </c>
      <c r="H1041" s="26" t="s">
        <v>1426</v>
      </c>
      <c r="I1041" s="26" t="s">
        <v>2494</v>
      </c>
      <c r="J1041" s="26" t="s">
        <v>29</v>
      </c>
    </row>
    <row x14ac:dyDescent="0.25" r="1042" customHeight="1" ht="15.75">
      <c r="A1042" s="13" t="s">
        <v>27</v>
      </c>
      <c r="B1042" s="13" t="s">
        <v>2495</v>
      </c>
      <c r="C1042" s="26" t="s">
        <v>2496</v>
      </c>
      <c r="D1042" s="26" t="s">
        <v>201</v>
      </c>
      <c r="E1042" s="26" t="s">
        <v>350</v>
      </c>
      <c r="F1042" s="26" t="s">
        <v>853</v>
      </c>
      <c r="G1042" s="26" t="s">
        <v>179</v>
      </c>
      <c r="H1042" s="26" t="s">
        <v>29</v>
      </c>
      <c r="I1042" s="26" t="s">
        <v>179</v>
      </c>
      <c r="J1042" s="26" t="s">
        <v>29</v>
      </c>
    </row>
    <row x14ac:dyDescent="0.25" r="1043" customHeight="1" ht="15.75">
      <c r="A1043" s="13" t="s">
        <v>103</v>
      </c>
      <c r="B1043" s="13" t="s">
        <v>2497</v>
      </c>
      <c r="C1043" s="26" t="s">
        <v>2498</v>
      </c>
      <c r="D1043" s="26" t="s">
        <v>1594</v>
      </c>
      <c r="E1043" s="26" t="s">
        <v>143</v>
      </c>
      <c r="F1043" s="26" t="s">
        <v>294</v>
      </c>
      <c r="G1043" s="26" t="s">
        <v>1030</v>
      </c>
      <c r="H1043" s="26" t="s">
        <v>2035</v>
      </c>
      <c r="I1043" s="26" t="s">
        <v>2499</v>
      </c>
      <c r="J1043" s="26" t="s">
        <v>29</v>
      </c>
    </row>
    <row x14ac:dyDescent="0.25" r="1044" customHeight="1" ht="15.75">
      <c r="A1044" s="13" t="s">
        <v>27</v>
      </c>
      <c r="B1044" s="13" t="s">
        <v>2500</v>
      </c>
      <c r="C1044" s="26" t="s">
        <v>2501</v>
      </c>
      <c r="D1044" s="26" t="s">
        <v>143</v>
      </c>
      <c r="E1044" s="26" t="s">
        <v>57</v>
      </c>
      <c r="F1044" s="26" t="s">
        <v>1860</v>
      </c>
      <c r="G1044" s="26" t="s">
        <v>2124</v>
      </c>
      <c r="H1044" s="26" t="s">
        <v>29</v>
      </c>
      <c r="I1044" s="26" t="s">
        <v>2502</v>
      </c>
      <c r="J1044" s="26" t="s">
        <v>29</v>
      </c>
    </row>
    <row x14ac:dyDescent="0.25" r="1045" customHeight="1" ht="15.75">
      <c r="A1045" s="13" t="s">
        <v>116</v>
      </c>
      <c r="B1045" s="13" t="s">
        <v>2503</v>
      </c>
      <c r="C1045" s="26" t="s">
        <v>2504</v>
      </c>
      <c r="D1045" s="26" t="s">
        <v>409</v>
      </c>
      <c r="E1045" s="26" t="s">
        <v>74</v>
      </c>
      <c r="F1045" s="26" t="s">
        <v>452</v>
      </c>
      <c r="G1045" s="26" t="s">
        <v>452</v>
      </c>
      <c r="H1045" s="26" t="s">
        <v>29</v>
      </c>
      <c r="I1045" s="26" t="s">
        <v>97</v>
      </c>
      <c r="J1045" s="26" t="s">
        <v>29</v>
      </c>
    </row>
    <row x14ac:dyDescent="0.25" r="1046" customHeight="1" ht="15.75">
      <c r="A1046" s="13" t="s">
        <v>129</v>
      </c>
      <c r="B1046" s="13" t="s">
        <v>2505</v>
      </c>
      <c r="C1046" s="26" t="s">
        <v>810</v>
      </c>
      <c r="D1046" s="26" t="s">
        <v>37</v>
      </c>
      <c r="E1046" s="26" t="s">
        <v>122</v>
      </c>
      <c r="F1046" s="26" t="s">
        <v>31</v>
      </c>
      <c r="G1046" s="26" t="s">
        <v>50</v>
      </c>
      <c r="H1046" s="26" t="s">
        <v>29</v>
      </c>
      <c r="I1046" s="26" t="s">
        <v>50</v>
      </c>
      <c r="J1046" s="26" t="s">
        <v>29</v>
      </c>
    </row>
    <row x14ac:dyDescent="0.25" r="1047" customHeight="1" ht="15.75">
      <c r="A1047" s="13" t="s">
        <v>109</v>
      </c>
      <c r="B1047" s="13" t="s">
        <v>2506</v>
      </c>
      <c r="C1047" s="26" t="s">
        <v>2507</v>
      </c>
      <c r="D1047" s="26" t="s">
        <v>303</v>
      </c>
      <c r="E1047" s="26" t="s">
        <v>37</v>
      </c>
      <c r="F1047" s="26" t="s">
        <v>2508</v>
      </c>
      <c r="G1047" s="26" t="s">
        <v>271</v>
      </c>
      <c r="H1047" s="26" t="s">
        <v>29</v>
      </c>
      <c r="I1047" s="26" t="s">
        <v>717</v>
      </c>
      <c r="J1047" s="26" t="s">
        <v>29</v>
      </c>
    </row>
    <row x14ac:dyDescent="0.25" r="1048" customHeight="1" ht="15.75">
      <c r="A1048" s="13" t="s">
        <v>391</v>
      </c>
      <c r="B1048" s="13" t="s">
        <v>2509</v>
      </c>
      <c r="C1048" s="26" t="s">
        <v>447</v>
      </c>
      <c r="D1048" s="26" t="s">
        <v>409</v>
      </c>
      <c r="E1048" s="26" t="s">
        <v>88</v>
      </c>
      <c r="F1048" s="26" t="s">
        <v>29</v>
      </c>
      <c r="G1048" s="26" t="s">
        <v>150</v>
      </c>
      <c r="H1048" s="26" t="s">
        <v>150</v>
      </c>
      <c r="I1048" s="26" t="s">
        <v>30</v>
      </c>
      <c r="J1048" s="26" t="s">
        <v>29</v>
      </c>
    </row>
    <row x14ac:dyDescent="0.25" r="1049" customHeight="1" ht="15.75">
      <c r="A1049" s="13" t="s">
        <v>109</v>
      </c>
      <c r="B1049" s="13" t="s">
        <v>2510</v>
      </c>
      <c r="C1049" s="26" t="s">
        <v>2511</v>
      </c>
      <c r="D1049" s="26" t="s">
        <v>1230</v>
      </c>
      <c r="E1049" s="26" t="s">
        <v>81</v>
      </c>
      <c r="F1049" s="26" t="s">
        <v>2512</v>
      </c>
      <c r="G1049" s="26" t="s">
        <v>2513</v>
      </c>
      <c r="H1049" s="26" t="s">
        <v>2514</v>
      </c>
      <c r="I1049" s="26" t="s">
        <v>479</v>
      </c>
      <c r="J1049" s="26" t="s">
        <v>149</v>
      </c>
    </row>
    <row x14ac:dyDescent="0.25" r="1050" customHeight="1" ht="15.75">
      <c r="A1050" s="13" t="s">
        <v>109</v>
      </c>
      <c r="B1050" s="13" t="s">
        <v>2515</v>
      </c>
      <c r="C1050" s="26" t="s">
        <v>2516</v>
      </c>
      <c r="D1050" s="26" t="s">
        <v>43</v>
      </c>
      <c r="E1050" s="26" t="s">
        <v>81</v>
      </c>
      <c r="F1050" s="26" t="s">
        <v>332</v>
      </c>
      <c r="G1050" s="26" t="s">
        <v>29</v>
      </c>
      <c r="H1050" s="26" t="s">
        <v>29</v>
      </c>
      <c r="I1050" s="26" t="s">
        <v>29</v>
      </c>
      <c r="J1050" s="26" t="s">
        <v>29</v>
      </c>
    </row>
    <row x14ac:dyDescent="0.25" r="1051" customHeight="1" ht="15.75">
      <c r="A1051" s="13" t="s">
        <v>109</v>
      </c>
      <c r="B1051" s="13" t="s">
        <v>2517</v>
      </c>
      <c r="C1051" s="26" t="s">
        <v>2518</v>
      </c>
      <c r="D1051" s="26" t="s">
        <v>31</v>
      </c>
      <c r="E1051" s="26" t="s">
        <v>57</v>
      </c>
      <c r="F1051" s="26" t="s">
        <v>439</v>
      </c>
      <c r="G1051" s="26" t="s">
        <v>1278</v>
      </c>
      <c r="H1051" s="26" t="s">
        <v>29</v>
      </c>
      <c r="I1051" s="26" t="s">
        <v>2519</v>
      </c>
      <c r="J1051" s="26" t="s">
        <v>29</v>
      </c>
    </row>
    <row x14ac:dyDescent="0.25" r="1052" customHeight="1" ht="15.75">
      <c r="A1052" s="13" t="s">
        <v>184</v>
      </c>
      <c r="B1052" s="13" t="s">
        <v>2520</v>
      </c>
      <c r="C1052" s="26" t="s">
        <v>2521</v>
      </c>
      <c r="D1052" s="26" t="s">
        <v>34</v>
      </c>
      <c r="E1052" s="26" t="s">
        <v>37</v>
      </c>
      <c r="F1052" s="26" t="s">
        <v>2186</v>
      </c>
      <c r="G1052" s="26" t="s">
        <v>318</v>
      </c>
      <c r="H1052" s="26" t="s">
        <v>29</v>
      </c>
      <c r="I1052" s="26" t="s">
        <v>538</v>
      </c>
      <c r="J1052" s="26" t="s">
        <v>29</v>
      </c>
    </row>
    <row x14ac:dyDescent="0.25" r="1053" customHeight="1" ht="15.75">
      <c r="A1053" s="13" t="s">
        <v>512</v>
      </c>
      <c r="B1053" s="13" t="s">
        <v>2522</v>
      </c>
      <c r="C1053" s="26" t="s">
        <v>2523</v>
      </c>
      <c r="D1053" s="26" t="s">
        <v>132</v>
      </c>
      <c r="E1053" s="26" t="s">
        <v>78</v>
      </c>
      <c r="F1053" s="26" t="s">
        <v>1628</v>
      </c>
      <c r="G1053" s="26" t="s">
        <v>268</v>
      </c>
      <c r="H1053" s="26" t="s">
        <v>197</v>
      </c>
      <c r="I1053" s="26" t="s">
        <v>47</v>
      </c>
      <c r="J1053" s="26" t="s">
        <v>29</v>
      </c>
    </row>
    <row x14ac:dyDescent="0.25" r="1054" customHeight="1" ht="15.75">
      <c r="A1054" s="13" t="s">
        <v>27</v>
      </c>
      <c r="B1054" s="13" t="s">
        <v>2524</v>
      </c>
      <c r="C1054" s="26" t="s">
        <v>2525</v>
      </c>
      <c r="D1054" s="26" t="s">
        <v>627</v>
      </c>
      <c r="E1054" s="26" t="s">
        <v>510</v>
      </c>
      <c r="F1054" s="26" t="s">
        <v>332</v>
      </c>
      <c r="G1054" s="26" t="s">
        <v>29</v>
      </c>
      <c r="H1054" s="26" t="s">
        <v>29</v>
      </c>
      <c r="I1054" s="26" t="s">
        <v>2025</v>
      </c>
      <c r="J1054" s="26" t="s">
        <v>29</v>
      </c>
    </row>
    <row x14ac:dyDescent="0.25" r="1055" customHeight="1" ht="15.75">
      <c r="A1055" s="13" t="s">
        <v>66</v>
      </c>
      <c r="B1055" s="13" t="s">
        <v>2526</v>
      </c>
      <c r="C1055" s="26" t="s">
        <v>2527</v>
      </c>
      <c r="D1055" s="26" t="s">
        <v>111</v>
      </c>
      <c r="E1055" s="26" t="s">
        <v>31</v>
      </c>
      <c r="F1055" s="26" t="s">
        <v>294</v>
      </c>
      <c r="G1055" s="26" t="s">
        <v>29</v>
      </c>
      <c r="H1055" s="26" t="s">
        <v>29</v>
      </c>
      <c r="I1055" s="26" t="s">
        <v>42</v>
      </c>
      <c r="J1055" s="26" t="s">
        <v>29</v>
      </c>
    </row>
    <row x14ac:dyDescent="0.25" r="1056" customHeight="1" ht="15.75">
      <c r="A1056" s="13" t="s">
        <v>198</v>
      </c>
      <c r="B1056" s="13" t="s">
        <v>2528</v>
      </c>
      <c r="C1056" s="26" t="s">
        <v>2527</v>
      </c>
      <c r="D1056" s="26" t="s">
        <v>331</v>
      </c>
      <c r="E1056" s="26" t="s">
        <v>37</v>
      </c>
      <c r="F1056" s="26" t="s">
        <v>2529</v>
      </c>
      <c r="G1056" s="26" t="s">
        <v>2207</v>
      </c>
      <c r="H1056" s="26" t="s">
        <v>139</v>
      </c>
      <c r="I1056" s="26" t="s">
        <v>2425</v>
      </c>
      <c r="J1056" s="26" t="s">
        <v>29</v>
      </c>
    </row>
    <row x14ac:dyDescent="0.25" r="1057" customHeight="1" ht="15.75">
      <c r="A1057" s="13" t="s">
        <v>116</v>
      </c>
      <c r="B1057" s="13" t="s">
        <v>2530</v>
      </c>
      <c r="C1057" s="26" t="s">
        <v>2531</v>
      </c>
      <c r="D1057" s="26" t="s">
        <v>2532</v>
      </c>
      <c r="E1057" s="26" t="s">
        <v>122</v>
      </c>
      <c r="F1057" s="26" t="s">
        <v>122</v>
      </c>
      <c r="G1057" s="26" t="s">
        <v>1515</v>
      </c>
      <c r="H1057" s="26" t="s">
        <v>1515</v>
      </c>
      <c r="I1057" s="26" t="s">
        <v>1841</v>
      </c>
      <c r="J1057" s="26" t="s">
        <v>29</v>
      </c>
    </row>
    <row x14ac:dyDescent="0.25" r="1058" customHeight="1" ht="15.75">
      <c r="A1058" s="13" t="s">
        <v>391</v>
      </c>
      <c r="B1058" s="13" t="s">
        <v>2533</v>
      </c>
      <c r="C1058" s="26" t="s">
        <v>2534</v>
      </c>
      <c r="D1058" s="26" t="s">
        <v>29</v>
      </c>
      <c r="E1058" s="26" t="s">
        <v>37</v>
      </c>
      <c r="F1058" s="26" t="s">
        <v>1371</v>
      </c>
      <c r="G1058" s="26" t="s">
        <v>2535</v>
      </c>
      <c r="H1058" s="26" t="s">
        <v>29</v>
      </c>
      <c r="I1058" s="26" t="s">
        <v>1266</v>
      </c>
      <c r="J1058" s="26" t="s">
        <v>29</v>
      </c>
    </row>
    <row x14ac:dyDescent="0.25" r="1059" customHeight="1" ht="15.75">
      <c r="A1059" s="13" t="s">
        <v>391</v>
      </c>
      <c r="B1059" s="13" t="s">
        <v>2536</v>
      </c>
      <c r="C1059" s="26" t="s">
        <v>2537</v>
      </c>
      <c r="D1059" s="26" t="s">
        <v>510</v>
      </c>
      <c r="E1059" s="26" t="s">
        <v>37</v>
      </c>
      <c r="F1059" s="26" t="s">
        <v>352</v>
      </c>
      <c r="G1059" s="26" t="s">
        <v>218</v>
      </c>
      <c r="H1059" s="26" t="s">
        <v>29</v>
      </c>
      <c r="I1059" s="26" t="s">
        <v>1065</v>
      </c>
      <c r="J1059" s="26" t="s">
        <v>29</v>
      </c>
    </row>
    <row x14ac:dyDescent="0.25" r="1060" customHeight="1" ht="15.75">
      <c r="A1060" s="13" t="s">
        <v>116</v>
      </c>
      <c r="B1060" s="13" t="s">
        <v>2538</v>
      </c>
      <c r="C1060" s="26" t="s">
        <v>2539</v>
      </c>
      <c r="D1060" s="26" t="s">
        <v>57</v>
      </c>
      <c r="E1060" s="26" t="s">
        <v>350</v>
      </c>
      <c r="F1060" s="26" t="s">
        <v>341</v>
      </c>
      <c r="G1060" s="26" t="s">
        <v>341</v>
      </c>
      <c r="H1060" s="26" t="s">
        <v>581</v>
      </c>
      <c r="I1060" s="26" t="s">
        <v>341</v>
      </c>
      <c r="J1060" s="26" t="s">
        <v>29</v>
      </c>
    </row>
    <row x14ac:dyDescent="0.25" r="1061" customHeight="1" ht="15.75">
      <c r="A1061" s="13" t="s">
        <v>27</v>
      </c>
      <c r="B1061" s="13" t="s">
        <v>2540</v>
      </c>
      <c r="C1061" s="26" t="s">
        <v>2541</v>
      </c>
      <c r="D1061" s="26" t="s">
        <v>57</v>
      </c>
      <c r="E1061" s="26" t="s">
        <v>31</v>
      </c>
      <c r="F1061" s="26" t="s">
        <v>29</v>
      </c>
      <c r="G1061" s="26" t="s">
        <v>1898</v>
      </c>
      <c r="H1061" s="26" t="s">
        <v>29</v>
      </c>
      <c r="I1061" s="26" t="s">
        <v>90</v>
      </c>
      <c r="J1061" s="26" t="s">
        <v>29</v>
      </c>
    </row>
    <row x14ac:dyDescent="0.25" r="1062" customHeight="1" ht="15.75">
      <c r="A1062" s="13" t="s">
        <v>116</v>
      </c>
      <c r="B1062" s="13" t="s">
        <v>2542</v>
      </c>
      <c r="C1062" s="26" t="s">
        <v>2543</v>
      </c>
      <c r="D1062" s="26" t="s">
        <v>2544</v>
      </c>
      <c r="E1062" s="26" t="s">
        <v>234</v>
      </c>
      <c r="F1062" s="26" t="s">
        <v>581</v>
      </c>
      <c r="G1062" s="26" t="s">
        <v>1058</v>
      </c>
      <c r="H1062" s="26" t="s">
        <v>1846</v>
      </c>
      <c r="I1062" s="26" t="s">
        <v>160</v>
      </c>
      <c r="J1062" s="26" t="s">
        <v>29</v>
      </c>
    </row>
    <row x14ac:dyDescent="0.25" r="1063" customHeight="1" ht="15.75">
      <c r="A1063" s="13" t="s">
        <v>512</v>
      </c>
      <c r="B1063" s="13" t="s">
        <v>2545</v>
      </c>
      <c r="C1063" s="26" t="s">
        <v>2546</v>
      </c>
      <c r="D1063" s="26" t="s">
        <v>111</v>
      </c>
      <c r="E1063" s="26" t="s">
        <v>57</v>
      </c>
      <c r="F1063" s="26" t="s">
        <v>1112</v>
      </c>
      <c r="G1063" s="26" t="s">
        <v>1391</v>
      </c>
      <c r="H1063" s="26" t="s">
        <v>29</v>
      </c>
      <c r="I1063" s="26" t="s">
        <v>2547</v>
      </c>
      <c r="J1063" s="26" t="s">
        <v>29</v>
      </c>
    </row>
    <row x14ac:dyDescent="0.25" r="1064" customHeight="1" ht="15.75">
      <c r="A1064" s="13" t="s">
        <v>129</v>
      </c>
      <c r="B1064" s="13" t="s">
        <v>2548</v>
      </c>
      <c r="C1064" s="26" t="s">
        <v>2549</v>
      </c>
      <c r="D1064" s="26" t="s">
        <v>1008</v>
      </c>
      <c r="E1064" s="26" t="s">
        <v>63</v>
      </c>
      <c r="F1064" s="26" t="s">
        <v>2550</v>
      </c>
      <c r="G1064" s="26" t="s">
        <v>1911</v>
      </c>
      <c r="H1064" s="26" t="s">
        <v>29</v>
      </c>
      <c r="I1064" s="26" t="s">
        <v>2551</v>
      </c>
      <c r="J1064" s="26" t="s">
        <v>29</v>
      </c>
    </row>
    <row x14ac:dyDescent="0.25" r="1065" customHeight="1" ht="15.75">
      <c r="A1065" s="13" t="s">
        <v>512</v>
      </c>
      <c r="B1065" s="13" t="s">
        <v>2552</v>
      </c>
      <c r="C1065" s="26" t="s">
        <v>2553</v>
      </c>
      <c r="D1065" s="26" t="s">
        <v>37</v>
      </c>
      <c r="E1065" s="26" t="s">
        <v>34</v>
      </c>
      <c r="F1065" s="26" t="s">
        <v>1022</v>
      </c>
      <c r="G1065" s="26" t="s">
        <v>29</v>
      </c>
      <c r="H1065" s="26" t="s">
        <v>29</v>
      </c>
      <c r="I1065" s="26" t="s">
        <v>2554</v>
      </c>
      <c r="J1065" s="26" t="s">
        <v>29</v>
      </c>
    </row>
    <row x14ac:dyDescent="0.25" r="1066" customHeight="1" ht="15.75">
      <c r="A1066" s="13" t="s">
        <v>126</v>
      </c>
      <c r="B1066" s="13" t="s">
        <v>2555</v>
      </c>
      <c r="C1066" s="26" t="s">
        <v>2556</v>
      </c>
      <c r="D1066" s="26" t="s">
        <v>87</v>
      </c>
      <c r="E1066" s="26" t="s">
        <v>696</v>
      </c>
      <c r="F1066" s="26" t="s">
        <v>2557</v>
      </c>
      <c r="G1066" s="26" t="s">
        <v>29</v>
      </c>
      <c r="H1066" s="26" t="s">
        <v>29</v>
      </c>
      <c r="I1066" s="26" t="s">
        <v>583</v>
      </c>
      <c r="J1066" s="26" t="s">
        <v>29</v>
      </c>
    </row>
    <row x14ac:dyDescent="0.25" r="1067" customHeight="1" ht="15.75">
      <c r="A1067" s="13" t="s">
        <v>116</v>
      </c>
      <c r="B1067" s="13" t="s">
        <v>2558</v>
      </c>
      <c r="C1067" s="26" t="s">
        <v>81</v>
      </c>
      <c r="D1067" s="26" t="s">
        <v>37</v>
      </c>
      <c r="E1067" s="26" t="s">
        <v>88</v>
      </c>
      <c r="F1067" s="26" t="s">
        <v>29</v>
      </c>
      <c r="G1067" s="26" t="s">
        <v>29</v>
      </c>
      <c r="H1067" s="26" t="s">
        <v>29</v>
      </c>
      <c r="I1067" s="26" t="s">
        <v>29</v>
      </c>
      <c r="J1067" s="26" t="s">
        <v>29</v>
      </c>
    </row>
    <row x14ac:dyDescent="0.25" r="1068" customHeight="1" ht="15.75">
      <c r="A1068" s="13" t="s">
        <v>116</v>
      </c>
      <c r="B1068" s="13" t="s">
        <v>2559</v>
      </c>
      <c r="C1068" s="26" t="s">
        <v>2560</v>
      </c>
      <c r="D1068" s="26" t="s">
        <v>409</v>
      </c>
      <c r="E1068" s="26" t="s">
        <v>37</v>
      </c>
      <c r="F1068" s="26" t="s">
        <v>2561</v>
      </c>
      <c r="G1068" s="26" t="s">
        <v>172</v>
      </c>
      <c r="H1068" s="26" t="s">
        <v>2562</v>
      </c>
      <c r="I1068" s="26" t="s">
        <v>368</v>
      </c>
      <c r="J1068" s="26" t="s">
        <v>29</v>
      </c>
    </row>
    <row x14ac:dyDescent="0.25" r="1069" customHeight="1" ht="15.75">
      <c r="A1069" s="13" t="s">
        <v>109</v>
      </c>
      <c r="B1069" s="13" t="s">
        <v>2563</v>
      </c>
      <c r="C1069" s="26" t="s">
        <v>2564</v>
      </c>
      <c r="D1069" s="26" t="s">
        <v>1455</v>
      </c>
      <c r="E1069" s="26" t="s">
        <v>78</v>
      </c>
      <c r="F1069" s="26" t="s">
        <v>1537</v>
      </c>
      <c r="G1069" s="26" t="s">
        <v>318</v>
      </c>
      <c r="H1069" s="26" t="s">
        <v>29</v>
      </c>
      <c r="I1069" s="26" t="s">
        <v>2565</v>
      </c>
      <c r="J1069" s="26" t="s">
        <v>2566</v>
      </c>
    </row>
    <row x14ac:dyDescent="0.25" r="1070" customHeight="1" ht="15.75">
      <c r="A1070" s="13" t="s">
        <v>512</v>
      </c>
      <c r="B1070" s="13" t="s">
        <v>2567</v>
      </c>
      <c r="C1070" s="26" t="s">
        <v>2568</v>
      </c>
      <c r="D1070" s="26" t="s">
        <v>350</v>
      </c>
      <c r="E1070" s="26" t="s">
        <v>34</v>
      </c>
      <c r="F1070" s="26" t="s">
        <v>2569</v>
      </c>
      <c r="G1070" s="26" t="s">
        <v>2570</v>
      </c>
      <c r="H1070" s="26" t="s">
        <v>2571</v>
      </c>
      <c r="I1070" s="26" t="s">
        <v>2565</v>
      </c>
      <c r="J1070" s="26" t="s">
        <v>29</v>
      </c>
    </row>
    <row x14ac:dyDescent="0.25" r="1071" customHeight="1" ht="15.75">
      <c r="A1071" s="13" t="s">
        <v>391</v>
      </c>
      <c r="B1071" s="13" t="s">
        <v>2572</v>
      </c>
      <c r="C1071" s="26" t="s">
        <v>2573</v>
      </c>
      <c r="D1071" s="26" t="s">
        <v>443</v>
      </c>
      <c r="E1071" s="26" t="s">
        <v>37</v>
      </c>
      <c r="F1071" s="26" t="s">
        <v>29</v>
      </c>
      <c r="G1071" s="26" t="s">
        <v>29</v>
      </c>
      <c r="H1071" s="26" t="s">
        <v>29</v>
      </c>
      <c r="I1071" s="26" t="s">
        <v>2574</v>
      </c>
      <c r="J1071" s="26" t="s">
        <v>29</v>
      </c>
    </row>
    <row x14ac:dyDescent="0.25" r="1072" customHeight="1" ht="15.75">
      <c r="A1072" s="13" t="s">
        <v>126</v>
      </c>
      <c r="B1072" s="13" t="s">
        <v>2575</v>
      </c>
      <c r="C1072" s="26" t="s">
        <v>2576</v>
      </c>
      <c r="D1072" s="26" t="s">
        <v>201</v>
      </c>
      <c r="E1072" s="26" t="s">
        <v>57</v>
      </c>
      <c r="F1072" s="26" t="s">
        <v>588</v>
      </c>
      <c r="G1072" s="26" t="s">
        <v>29</v>
      </c>
      <c r="H1072" s="26" t="s">
        <v>29</v>
      </c>
      <c r="I1072" s="26" t="s">
        <v>97</v>
      </c>
      <c r="J1072" s="26" t="s">
        <v>29</v>
      </c>
    </row>
    <row x14ac:dyDescent="0.25" r="1073" customHeight="1" ht="15.75">
      <c r="A1073" s="13" t="s">
        <v>66</v>
      </c>
      <c r="B1073" s="13" t="s">
        <v>2577</v>
      </c>
      <c r="C1073" s="26" t="s">
        <v>2578</v>
      </c>
      <c r="D1073" s="26" t="s">
        <v>84</v>
      </c>
      <c r="E1073" s="26" t="s">
        <v>34</v>
      </c>
      <c r="F1073" s="26" t="s">
        <v>36</v>
      </c>
      <c r="G1073" s="26" t="s">
        <v>29</v>
      </c>
      <c r="H1073" s="26" t="s">
        <v>29</v>
      </c>
      <c r="I1073" s="26" t="s">
        <v>1663</v>
      </c>
      <c r="J1073" s="26" t="s">
        <v>29</v>
      </c>
    </row>
    <row x14ac:dyDescent="0.25" r="1074" customHeight="1" ht="15.75">
      <c r="A1074" s="13" t="s">
        <v>129</v>
      </c>
      <c r="B1074" s="13" t="s">
        <v>2579</v>
      </c>
      <c r="C1074" s="26" t="s">
        <v>2580</v>
      </c>
      <c r="D1074" s="26" t="s">
        <v>93</v>
      </c>
      <c r="E1074" s="26" t="s">
        <v>81</v>
      </c>
      <c r="F1074" s="26" t="s">
        <v>2581</v>
      </c>
      <c r="G1074" s="26" t="s">
        <v>302</v>
      </c>
      <c r="H1074" s="26" t="s">
        <v>29</v>
      </c>
      <c r="I1074" s="26" t="s">
        <v>630</v>
      </c>
      <c r="J1074" s="26" t="s">
        <v>29</v>
      </c>
    </row>
    <row x14ac:dyDescent="0.25" r="1075" customHeight="1" ht="15.75">
      <c r="A1075" s="13" t="s">
        <v>391</v>
      </c>
      <c r="B1075" s="13" t="s">
        <v>2582</v>
      </c>
      <c r="C1075" s="26" t="s">
        <v>2580</v>
      </c>
      <c r="D1075" s="26" t="s">
        <v>857</v>
      </c>
      <c r="E1075" s="26" t="s">
        <v>350</v>
      </c>
      <c r="F1075" s="26" t="s">
        <v>115</v>
      </c>
      <c r="G1075" s="26" t="s">
        <v>302</v>
      </c>
      <c r="H1075" s="26" t="s">
        <v>244</v>
      </c>
      <c r="I1075" s="26" t="s">
        <v>93</v>
      </c>
      <c r="J1075" s="26" t="s">
        <v>29</v>
      </c>
    </row>
    <row x14ac:dyDescent="0.25" r="1076" customHeight="1" ht="15.75">
      <c r="A1076" s="13" t="s">
        <v>109</v>
      </c>
      <c r="B1076" s="13" t="s">
        <v>2583</v>
      </c>
      <c r="C1076" s="26" t="s">
        <v>2584</v>
      </c>
      <c r="D1076" s="26" t="s">
        <v>288</v>
      </c>
      <c r="E1076" s="26" t="s">
        <v>78</v>
      </c>
      <c r="F1076" s="26" t="s">
        <v>377</v>
      </c>
      <c r="G1076" s="26" t="s">
        <v>430</v>
      </c>
      <c r="H1076" s="26" t="s">
        <v>156</v>
      </c>
      <c r="I1076" s="26" t="s">
        <v>2585</v>
      </c>
      <c r="J1076" s="26" t="s">
        <v>156</v>
      </c>
    </row>
    <row x14ac:dyDescent="0.25" r="1077" customHeight="1" ht="15.75">
      <c r="A1077" s="13" t="s">
        <v>129</v>
      </c>
      <c r="B1077" s="13" t="s">
        <v>2586</v>
      </c>
      <c r="C1077" s="26" t="s">
        <v>2587</v>
      </c>
      <c r="D1077" s="26" t="s">
        <v>54</v>
      </c>
      <c r="E1077" s="26" t="s">
        <v>37</v>
      </c>
      <c r="F1077" s="26" t="s">
        <v>2588</v>
      </c>
      <c r="G1077" s="26" t="s">
        <v>1683</v>
      </c>
      <c r="H1077" s="26" t="s">
        <v>263</v>
      </c>
      <c r="I1077" s="26" t="s">
        <v>31</v>
      </c>
      <c r="J1077" s="26" t="s">
        <v>1036</v>
      </c>
    </row>
    <row x14ac:dyDescent="0.25" r="1078" customHeight="1" ht="15.75">
      <c r="A1078" s="13" t="s">
        <v>198</v>
      </c>
      <c r="B1078" s="13" t="s">
        <v>2589</v>
      </c>
      <c r="C1078" s="26" t="s">
        <v>2590</v>
      </c>
      <c r="D1078" s="26" t="s">
        <v>1547</v>
      </c>
      <c r="E1078" s="26" t="s">
        <v>57</v>
      </c>
      <c r="F1078" s="26" t="s">
        <v>263</v>
      </c>
      <c r="G1078" s="26" t="s">
        <v>263</v>
      </c>
      <c r="H1078" s="26" t="s">
        <v>1036</v>
      </c>
      <c r="I1078" s="26" t="s">
        <v>2547</v>
      </c>
      <c r="J1078" s="26" t="s">
        <v>29</v>
      </c>
    </row>
    <row x14ac:dyDescent="0.25" r="1079" customHeight="1" ht="15.75">
      <c r="A1079" s="13" t="s">
        <v>91</v>
      </c>
      <c r="B1079" s="13" t="s">
        <v>2591</v>
      </c>
      <c r="C1079" s="26" t="s">
        <v>2592</v>
      </c>
      <c r="D1079" s="26" t="s">
        <v>194</v>
      </c>
      <c r="E1079" s="26" t="s">
        <v>234</v>
      </c>
      <c r="F1079" s="26" t="s">
        <v>2593</v>
      </c>
      <c r="G1079" s="26" t="s">
        <v>1433</v>
      </c>
      <c r="H1079" s="26" t="s">
        <v>2571</v>
      </c>
      <c r="I1079" s="26" t="s">
        <v>2594</v>
      </c>
      <c r="J1079" s="26" t="s">
        <v>2571</v>
      </c>
    </row>
    <row x14ac:dyDescent="0.25" r="1080" customHeight="1" ht="15.75">
      <c r="A1080" s="13" t="s">
        <v>116</v>
      </c>
      <c r="B1080" s="13" t="s">
        <v>2595</v>
      </c>
      <c r="C1080" s="26" t="s">
        <v>2596</v>
      </c>
      <c r="D1080" s="26" t="s">
        <v>234</v>
      </c>
      <c r="E1080" s="26" t="s">
        <v>34</v>
      </c>
      <c r="F1080" s="26" t="s">
        <v>29</v>
      </c>
      <c r="G1080" s="26" t="s">
        <v>849</v>
      </c>
      <c r="H1080" s="26" t="s">
        <v>29</v>
      </c>
      <c r="I1080" s="26" t="s">
        <v>237</v>
      </c>
      <c r="J1080" s="26" t="s">
        <v>29</v>
      </c>
    </row>
    <row x14ac:dyDescent="0.25" r="1081" customHeight="1" ht="15.75">
      <c r="A1081" s="13" t="s">
        <v>512</v>
      </c>
      <c r="B1081" s="13" t="s">
        <v>2597</v>
      </c>
      <c r="C1081" s="26" t="s">
        <v>2598</v>
      </c>
      <c r="D1081" s="26" t="s">
        <v>2599</v>
      </c>
      <c r="E1081" s="26" t="s">
        <v>122</v>
      </c>
      <c r="F1081" s="26" t="s">
        <v>859</v>
      </c>
      <c r="G1081" s="26" t="s">
        <v>2600</v>
      </c>
      <c r="H1081" s="26" t="s">
        <v>2600</v>
      </c>
      <c r="I1081" s="26" t="s">
        <v>679</v>
      </c>
      <c r="J1081" s="26" t="s">
        <v>29</v>
      </c>
    </row>
    <row x14ac:dyDescent="0.25" r="1082" customHeight="1" ht="15.75">
      <c r="A1082" s="13" t="s">
        <v>512</v>
      </c>
      <c r="B1082" s="13" t="s">
        <v>2601</v>
      </c>
      <c r="C1082" s="26" t="s">
        <v>2602</v>
      </c>
      <c r="D1082" s="26" t="s">
        <v>2603</v>
      </c>
      <c r="E1082" s="26" t="s">
        <v>57</v>
      </c>
      <c r="F1082" s="26" t="s">
        <v>533</v>
      </c>
      <c r="G1082" s="26" t="s">
        <v>2604</v>
      </c>
      <c r="H1082" s="26" t="s">
        <v>29</v>
      </c>
      <c r="I1082" s="26" t="s">
        <v>176</v>
      </c>
      <c r="J1082" s="26" t="s">
        <v>2605</v>
      </c>
    </row>
    <row x14ac:dyDescent="0.25" r="1083" customHeight="1" ht="15.75">
      <c r="A1083" s="13" t="s">
        <v>512</v>
      </c>
      <c r="B1083" s="13" t="s">
        <v>2606</v>
      </c>
      <c r="C1083" s="26" t="s">
        <v>2607</v>
      </c>
      <c r="D1083" s="26" t="s">
        <v>777</v>
      </c>
      <c r="E1083" s="26" t="s">
        <v>57</v>
      </c>
      <c r="F1083" s="26" t="s">
        <v>2608</v>
      </c>
      <c r="G1083" s="26" t="s">
        <v>153</v>
      </c>
      <c r="H1083" s="26" t="s">
        <v>29</v>
      </c>
      <c r="I1083" s="26" t="s">
        <v>201</v>
      </c>
      <c r="J1083" s="26" t="s">
        <v>29</v>
      </c>
    </row>
    <row x14ac:dyDescent="0.25" r="1084" customHeight="1" ht="15.75">
      <c r="A1084" s="13" t="s">
        <v>512</v>
      </c>
      <c r="B1084" s="13" t="s">
        <v>2609</v>
      </c>
      <c r="C1084" s="26" t="s">
        <v>2610</v>
      </c>
      <c r="D1084" s="26" t="s">
        <v>2611</v>
      </c>
      <c r="E1084" s="26" t="s">
        <v>31</v>
      </c>
      <c r="F1084" s="26" t="s">
        <v>218</v>
      </c>
      <c r="G1084" s="26" t="s">
        <v>218</v>
      </c>
      <c r="H1084" s="26" t="s">
        <v>218</v>
      </c>
      <c r="I1084" s="26" t="s">
        <v>218</v>
      </c>
      <c r="J1084" s="26" t="s">
        <v>29</v>
      </c>
    </row>
    <row x14ac:dyDescent="0.25" r="1085" customHeight="1" ht="15.75">
      <c r="A1085" s="13" t="s">
        <v>66</v>
      </c>
      <c r="B1085" s="13" t="s">
        <v>2612</v>
      </c>
      <c r="C1085" s="26" t="s">
        <v>2613</v>
      </c>
      <c r="D1085" s="26" t="s">
        <v>50</v>
      </c>
      <c r="E1085" s="26" t="s">
        <v>43</v>
      </c>
      <c r="F1085" s="26" t="s">
        <v>47</v>
      </c>
      <c r="G1085" s="26" t="s">
        <v>47</v>
      </c>
      <c r="H1085" s="26" t="s">
        <v>29</v>
      </c>
      <c r="I1085" s="26" t="s">
        <v>50</v>
      </c>
      <c r="J1085" s="26" t="s">
        <v>29</v>
      </c>
    </row>
    <row x14ac:dyDescent="0.25" r="1086" customHeight="1" ht="15.75">
      <c r="A1086" s="13" t="s">
        <v>184</v>
      </c>
      <c r="B1086" s="13" t="s">
        <v>2614</v>
      </c>
      <c r="C1086" s="26" t="s">
        <v>2000</v>
      </c>
      <c r="D1086" s="26" t="s">
        <v>115</v>
      </c>
      <c r="E1086" s="26" t="s">
        <v>37</v>
      </c>
      <c r="F1086" s="26" t="s">
        <v>29</v>
      </c>
      <c r="G1086" s="26" t="s">
        <v>29</v>
      </c>
      <c r="H1086" s="26" t="s">
        <v>29</v>
      </c>
      <c r="I1086" s="26" t="s">
        <v>93</v>
      </c>
      <c r="J1086" s="26" t="s">
        <v>29</v>
      </c>
    </row>
    <row x14ac:dyDescent="0.25" r="1087" customHeight="1" ht="15.75">
      <c r="A1087" s="13" t="s">
        <v>512</v>
      </c>
      <c r="B1087" s="13" t="s">
        <v>2615</v>
      </c>
      <c r="C1087" s="26" t="s">
        <v>2616</v>
      </c>
      <c r="D1087" s="26" t="s">
        <v>2458</v>
      </c>
      <c r="E1087" s="26" t="s">
        <v>34</v>
      </c>
      <c r="F1087" s="26" t="s">
        <v>1065</v>
      </c>
      <c r="G1087" s="26" t="s">
        <v>29</v>
      </c>
      <c r="H1087" s="26" t="s">
        <v>29</v>
      </c>
      <c r="I1087" s="26" t="s">
        <v>29</v>
      </c>
      <c r="J1087" s="26" t="s">
        <v>29</v>
      </c>
    </row>
    <row x14ac:dyDescent="0.25" r="1088" customHeight="1" ht="15.75">
      <c r="A1088" s="13" t="s">
        <v>109</v>
      </c>
      <c r="B1088" s="13" t="s">
        <v>2617</v>
      </c>
      <c r="C1088" s="26" t="s">
        <v>2618</v>
      </c>
      <c r="D1088" s="26" t="s">
        <v>409</v>
      </c>
      <c r="E1088" s="26" t="s">
        <v>57</v>
      </c>
      <c r="F1088" s="26" t="s">
        <v>650</v>
      </c>
      <c r="G1088" s="26" t="s">
        <v>29</v>
      </c>
      <c r="H1088" s="26" t="s">
        <v>29</v>
      </c>
      <c r="I1088" s="26" t="s">
        <v>2619</v>
      </c>
      <c r="J1088" s="26" t="s">
        <v>29</v>
      </c>
    </row>
    <row x14ac:dyDescent="0.25" r="1089" customHeight="1" ht="15.75">
      <c r="A1089" s="13" t="s">
        <v>109</v>
      </c>
      <c r="B1089" s="13" t="s">
        <v>2620</v>
      </c>
      <c r="C1089" s="26" t="s">
        <v>951</v>
      </c>
      <c r="D1089" s="26" t="s">
        <v>303</v>
      </c>
      <c r="E1089" s="26" t="s">
        <v>34</v>
      </c>
      <c r="F1089" s="26" t="s">
        <v>57</v>
      </c>
      <c r="G1089" s="26" t="s">
        <v>31</v>
      </c>
      <c r="H1089" s="26" t="s">
        <v>50</v>
      </c>
      <c r="I1089" s="26" t="s">
        <v>31</v>
      </c>
      <c r="J1089" s="26" t="s">
        <v>29</v>
      </c>
    </row>
    <row x14ac:dyDescent="0.25" r="1090" customHeight="1" ht="15.75">
      <c r="A1090" s="13" t="s">
        <v>227</v>
      </c>
      <c r="B1090" s="13" t="s">
        <v>2621</v>
      </c>
      <c r="C1090" s="26" t="s">
        <v>2622</v>
      </c>
      <c r="D1090" s="26" t="s">
        <v>443</v>
      </c>
      <c r="E1090" s="26" t="s">
        <v>88</v>
      </c>
      <c r="F1090" s="26" t="s">
        <v>1799</v>
      </c>
      <c r="G1090" s="26" t="s">
        <v>277</v>
      </c>
      <c r="H1090" s="26" t="s">
        <v>277</v>
      </c>
      <c r="I1090" s="26" t="s">
        <v>2471</v>
      </c>
      <c r="J1090" s="26" t="s">
        <v>29</v>
      </c>
    </row>
    <row x14ac:dyDescent="0.25" r="1091" customHeight="1" ht="15.75">
      <c r="A1091" s="13" t="s">
        <v>27</v>
      </c>
      <c r="B1091" s="13" t="s">
        <v>2623</v>
      </c>
      <c r="C1091" s="26" t="s">
        <v>2611</v>
      </c>
      <c r="D1091" s="26" t="s">
        <v>443</v>
      </c>
      <c r="E1091" s="26" t="s">
        <v>57</v>
      </c>
      <c r="F1091" s="26" t="s">
        <v>496</v>
      </c>
      <c r="G1091" s="26" t="s">
        <v>29</v>
      </c>
      <c r="H1091" s="26" t="s">
        <v>29</v>
      </c>
      <c r="I1091" s="26" t="s">
        <v>176</v>
      </c>
      <c r="J1091" s="26" t="s">
        <v>29</v>
      </c>
    </row>
    <row x14ac:dyDescent="0.25" r="1092" customHeight="1" ht="15.75">
      <c r="A1092" s="13" t="s">
        <v>116</v>
      </c>
      <c r="B1092" s="13" t="s">
        <v>2624</v>
      </c>
      <c r="C1092" s="26" t="s">
        <v>2625</v>
      </c>
      <c r="D1092" s="26" t="s">
        <v>1241</v>
      </c>
      <c r="E1092" s="26" t="s">
        <v>34</v>
      </c>
      <c r="F1092" s="26" t="s">
        <v>2626</v>
      </c>
      <c r="G1092" s="26" t="s">
        <v>29</v>
      </c>
      <c r="H1092" s="26" t="s">
        <v>29</v>
      </c>
      <c r="I1092" s="26" t="s">
        <v>295</v>
      </c>
      <c r="J1092" s="26" t="s">
        <v>29</v>
      </c>
    </row>
    <row x14ac:dyDescent="0.25" r="1093" customHeight="1" ht="15.75">
      <c r="A1093" s="13" t="s">
        <v>129</v>
      </c>
      <c r="B1093" s="13" t="s">
        <v>2627</v>
      </c>
      <c r="C1093" s="26" t="s">
        <v>2628</v>
      </c>
      <c r="D1093" s="26" t="s">
        <v>1151</v>
      </c>
      <c r="E1093" s="26" t="s">
        <v>37</v>
      </c>
      <c r="F1093" s="26" t="s">
        <v>2600</v>
      </c>
      <c r="G1093" s="26" t="s">
        <v>2629</v>
      </c>
      <c r="H1093" s="26" t="s">
        <v>252</v>
      </c>
      <c r="I1093" s="26" t="s">
        <v>2630</v>
      </c>
      <c r="J1093" s="26" t="s">
        <v>29</v>
      </c>
    </row>
    <row x14ac:dyDescent="0.25" r="1094" customHeight="1" ht="15.75">
      <c r="A1094" s="13" t="s">
        <v>91</v>
      </c>
      <c r="B1094" s="13" t="s">
        <v>2631</v>
      </c>
      <c r="C1094" s="26" t="s">
        <v>2632</v>
      </c>
      <c r="D1094" s="26" t="s">
        <v>105</v>
      </c>
      <c r="E1094" s="26" t="s">
        <v>34</v>
      </c>
      <c r="F1094" s="26" t="s">
        <v>750</v>
      </c>
      <c r="G1094" s="26" t="s">
        <v>2633</v>
      </c>
      <c r="H1094" s="26" t="s">
        <v>29</v>
      </c>
      <c r="I1094" s="26" t="s">
        <v>750</v>
      </c>
      <c r="J1094" s="26" t="s">
        <v>29</v>
      </c>
    </row>
    <row x14ac:dyDescent="0.25" r="1095" customHeight="1" ht="15.75">
      <c r="A1095" s="13" t="s">
        <v>126</v>
      </c>
      <c r="B1095" s="13" t="s">
        <v>2634</v>
      </c>
      <c r="C1095" s="26" t="s">
        <v>2635</v>
      </c>
      <c r="D1095" s="26" t="s">
        <v>2636</v>
      </c>
      <c r="E1095" s="26" t="s">
        <v>57</v>
      </c>
      <c r="F1095" s="26" t="s">
        <v>1548</v>
      </c>
      <c r="G1095" s="26" t="s">
        <v>29</v>
      </c>
      <c r="H1095" s="26" t="s">
        <v>29</v>
      </c>
      <c r="I1095" s="26" t="s">
        <v>277</v>
      </c>
      <c r="J1095" s="26" t="s">
        <v>29</v>
      </c>
    </row>
    <row x14ac:dyDescent="0.25" r="1096" customHeight="1" ht="15.75">
      <c r="A1096" s="13" t="s">
        <v>391</v>
      </c>
      <c r="B1096" s="13" t="s">
        <v>2637</v>
      </c>
      <c r="C1096" s="26" t="s">
        <v>2638</v>
      </c>
      <c r="D1096" s="26" t="s">
        <v>1143</v>
      </c>
      <c r="E1096" s="26" t="s">
        <v>34</v>
      </c>
      <c r="F1096" s="26" t="s">
        <v>1022</v>
      </c>
      <c r="G1096" s="26" t="s">
        <v>1716</v>
      </c>
      <c r="H1096" s="26" t="s">
        <v>29</v>
      </c>
      <c r="I1096" s="26" t="s">
        <v>545</v>
      </c>
      <c r="J1096" s="26" t="s">
        <v>1716</v>
      </c>
    </row>
    <row x14ac:dyDescent="0.25" r="1097" customHeight="1" ht="15.75">
      <c r="A1097" s="13" t="s">
        <v>27</v>
      </c>
      <c r="B1097" s="13" t="s">
        <v>2639</v>
      </c>
      <c r="C1097" s="26" t="s">
        <v>122</v>
      </c>
      <c r="D1097" s="26" t="s">
        <v>150</v>
      </c>
      <c r="E1097" s="26" t="s">
        <v>510</v>
      </c>
      <c r="F1097" s="26" t="s">
        <v>2640</v>
      </c>
      <c r="G1097" s="26" t="s">
        <v>99</v>
      </c>
      <c r="H1097" s="26" t="s">
        <v>1054</v>
      </c>
      <c r="I1097" s="26" t="s">
        <v>344</v>
      </c>
      <c r="J1097" s="26" t="s">
        <v>237</v>
      </c>
    </row>
    <row x14ac:dyDescent="0.25" r="1098" customHeight="1" ht="15.75">
      <c r="A1098" s="13" t="s">
        <v>91</v>
      </c>
      <c r="B1098" s="13" t="s">
        <v>2641</v>
      </c>
      <c r="C1098" s="26" t="s">
        <v>122</v>
      </c>
      <c r="D1098" s="26" t="s">
        <v>1999</v>
      </c>
      <c r="E1098" s="26" t="s">
        <v>122</v>
      </c>
      <c r="F1098" s="26" t="s">
        <v>701</v>
      </c>
      <c r="G1098" s="26" t="s">
        <v>323</v>
      </c>
      <c r="H1098" s="26" t="s">
        <v>1199</v>
      </c>
      <c r="I1098" s="26" t="s">
        <v>767</v>
      </c>
      <c r="J1098" s="26" t="s">
        <v>2642</v>
      </c>
    </row>
    <row x14ac:dyDescent="0.25" r="1099" customHeight="1" ht="15.75">
      <c r="A1099" s="13" t="s">
        <v>391</v>
      </c>
      <c r="B1099" s="13" t="s">
        <v>2643</v>
      </c>
      <c r="C1099" s="26" t="s">
        <v>2644</v>
      </c>
      <c r="D1099" s="26" t="s">
        <v>503</v>
      </c>
      <c r="E1099" s="26" t="s">
        <v>122</v>
      </c>
      <c r="F1099" s="26" t="s">
        <v>29</v>
      </c>
      <c r="G1099" s="26" t="s">
        <v>29</v>
      </c>
      <c r="H1099" s="26" t="s">
        <v>29</v>
      </c>
      <c r="I1099" s="26" t="s">
        <v>507</v>
      </c>
      <c r="J1099" s="26" t="s">
        <v>29</v>
      </c>
    </row>
    <row x14ac:dyDescent="0.25" r="1100" customHeight="1" ht="15.75">
      <c r="A1100" s="13" t="s">
        <v>184</v>
      </c>
      <c r="B1100" s="13" t="s">
        <v>2645</v>
      </c>
      <c r="C1100" s="26" t="s">
        <v>2646</v>
      </c>
      <c r="D1100" s="26" t="s">
        <v>443</v>
      </c>
      <c r="E1100" s="26" t="s">
        <v>57</v>
      </c>
      <c r="F1100" s="26" t="s">
        <v>247</v>
      </c>
      <c r="G1100" s="26" t="s">
        <v>754</v>
      </c>
      <c r="H1100" s="26" t="s">
        <v>2647</v>
      </c>
      <c r="I1100" s="26" t="s">
        <v>458</v>
      </c>
      <c r="J1100" s="26" t="s">
        <v>2008</v>
      </c>
    </row>
    <row x14ac:dyDescent="0.25" r="1101" customHeight="1" ht="15.75">
      <c r="A1101" s="13" t="s">
        <v>116</v>
      </c>
      <c r="B1101" s="13" t="s">
        <v>2648</v>
      </c>
      <c r="C1101" s="26" t="s">
        <v>2649</v>
      </c>
      <c r="D1101" s="26" t="s">
        <v>2650</v>
      </c>
      <c r="E1101" s="26" t="s">
        <v>34</v>
      </c>
      <c r="F1101" s="26" t="s">
        <v>989</v>
      </c>
      <c r="G1101" s="26" t="s">
        <v>1617</v>
      </c>
      <c r="H1101" s="26" t="s">
        <v>29</v>
      </c>
      <c r="I1101" s="26" t="s">
        <v>81</v>
      </c>
      <c r="J1101" s="26" t="s">
        <v>29</v>
      </c>
    </row>
    <row x14ac:dyDescent="0.25" r="1102" customHeight="1" ht="15.75">
      <c r="A1102" s="13" t="s">
        <v>103</v>
      </c>
      <c r="B1102" s="13" t="s">
        <v>2651</v>
      </c>
      <c r="C1102" s="26" t="s">
        <v>2652</v>
      </c>
      <c r="D1102" s="26" t="s">
        <v>234</v>
      </c>
      <c r="E1102" s="26" t="s">
        <v>696</v>
      </c>
      <c r="F1102" s="26" t="s">
        <v>2653</v>
      </c>
      <c r="G1102" s="26" t="s">
        <v>1035</v>
      </c>
      <c r="H1102" s="26" t="s">
        <v>1481</v>
      </c>
      <c r="I1102" s="26" t="s">
        <v>2653</v>
      </c>
      <c r="J1102" s="26" t="s">
        <v>2091</v>
      </c>
    </row>
    <row x14ac:dyDescent="0.25" r="1103" customHeight="1" ht="15.75">
      <c r="A1103" s="13" t="s">
        <v>126</v>
      </c>
      <c r="B1103" s="13" t="s">
        <v>2654</v>
      </c>
      <c r="C1103" s="26" t="s">
        <v>2655</v>
      </c>
      <c r="D1103" s="26" t="s">
        <v>2498</v>
      </c>
      <c r="E1103" s="26" t="s">
        <v>115</v>
      </c>
      <c r="F1103" s="26" t="s">
        <v>29</v>
      </c>
      <c r="G1103" s="26" t="s">
        <v>341</v>
      </c>
      <c r="H1103" s="26" t="s">
        <v>29</v>
      </c>
      <c r="I1103" s="26" t="s">
        <v>204</v>
      </c>
      <c r="J1103" s="26" t="s">
        <v>29</v>
      </c>
    </row>
    <row x14ac:dyDescent="0.25" r="1104" customHeight="1" ht="15.75">
      <c r="A1104" s="13" t="s">
        <v>227</v>
      </c>
      <c r="B1104" s="13" t="s">
        <v>2656</v>
      </c>
      <c r="C1104" s="26" t="s">
        <v>2657</v>
      </c>
      <c r="D1104" s="26" t="s">
        <v>1898</v>
      </c>
      <c r="E1104" s="26" t="s">
        <v>34</v>
      </c>
      <c r="F1104" s="26" t="s">
        <v>1465</v>
      </c>
      <c r="G1104" s="26" t="s">
        <v>1965</v>
      </c>
      <c r="H1104" s="26" t="s">
        <v>29</v>
      </c>
      <c r="I1104" s="26" t="s">
        <v>2658</v>
      </c>
      <c r="J1104" s="26" t="s">
        <v>1526</v>
      </c>
    </row>
    <row x14ac:dyDescent="0.25" r="1105" customHeight="1" ht="15.75">
      <c r="A1105" s="13" t="s">
        <v>391</v>
      </c>
      <c r="B1105" s="13" t="s">
        <v>2659</v>
      </c>
      <c r="C1105" s="26" t="s">
        <v>2660</v>
      </c>
      <c r="D1105" s="26" t="s">
        <v>37</v>
      </c>
      <c r="E1105" s="26" t="s">
        <v>37</v>
      </c>
      <c r="F1105" s="26" t="s">
        <v>615</v>
      </c>
      <c r="G1105" s="26" t="s">
        <v>29</v>
      </c>
      <c r="H1105" s="26" t="s">
        <v>29</v>
      </c>
      <c r="I1105" s="26" t="s">
        <v>36</v>
      </c>
      <c r="J1105" s="26" t="s">
        <v>29</v>
      </c>
    </row>
    <row x14ac:dyDescent="0.25" r="1106" customHeight="1" ht="15.75">
      <c r="A1106" s="13" t="s">
        <v>27</v>
      </c>
      <c r="B1106" s="13" t="s">
        <v>2661</v>
      </c>
      <c r="C1106" s="26" t="s">
        <v>350</v>
      </c>
      <c r="D1106" s="26" t="s">
        <v>31</v>
      </c>
      <c r="E1106" s="26" t="s">
        <v>81</v>
      </c>
      <c r="F1106" s="26" t="s">
        <v>52</v>
      </c>
      <c r="G1106" s="26" t="s">
        <v>37</v>
      </c>
      <c r="H1106" s="26" t="s">
        <v>29</v>
      </c>
      <c r="I1106" s="26" t="s">
        <v>37</v>
      </c>
      <c r="J1106" s="26" t="s">
        <v>29</v>
      </c>
    </row>
    <row x14ac:dyDescent="0.25" r="1107" customHeight="1" ht="15.75">
      <c r="A1107" s="13" t="s">
        <v>27</v>
      </c>
      <c r="B1107" s="13" t="s">
        <v>2662</v>
      </c>
      <c r="C1107" s="26" t="s">
        <v>2663</v>
      </c>
      <c r="D1107" s="26" t="s">
        <v>1143</v>
      </c>
      <c r="E1107" s="26" t="s">
        <v>78</v>
      </c>
      <c r="F1107" s="26" t="s">
        <v>529</v>
      </c>
      <c r="G1107" s="26" t="s">
        <v>271</v>
      </c>
      <c r="H1107" s="26" t="s">
        <v>29</v>
      </c>
      <c r="I1107" s="26" t="s">
        <v>2664</v>
      </c>
      <c r="J1107" s="26" t="s">
        <v>29</v>
      </c>
    </row>
    <row x14ac:dyDescent="0.25" r="1108" customHeight="1" ht="15.75">
      <c r="A1108" s="13" t="s">
        <v>391</v>
      </c>
      <c r="B1108" s="13" t="s">
        <v>2665</v>
      </c>
      <c r="C1108" s="26" t="s">
        <v>2666</v>
      </c>
      <c r="D1108" s="26" t="s">
        <v>63</v>
      </c>
      <c r="E1108" s="26" t="s">
        <v>57</v>
      </c>
      <c r="F1108" s="26" t="s">
        <v>996</v>
      </c>
      <c r="G1108" s="26" t="s">
        <v>29</v>
      </c>
      <c r="H1108" s="26" t="s">
        <v>29</v>
      </c>
      <c r="I1108" s="26" t="s">
        <v>1594</v>
      </c>
      <c r="J1108" s="26" t="s">
        <v>29</v>
      </c>
    </row>
    <row x14ac:dyDescent="0.25" r="1109" customHeight="1" ht="15.75">
      <c r="A1109" s="13" t="s">
        <v>184</v>
      </c>
      <c r="B1109" s="13" t="s">
        <v>2667</v>
      </c>
      <c r="C1109" s="26" t="s">
        <v>2668</v>
      </c>
      <c r="D1109" s="26" t="s">
        <v>443</v>
      </c>
      <c r="E1109" s="26" t="s">
        <v>31</v>
      </c>
      <c r="F1109" s="26" t="s">
        <v>870</v>
      </c>
      <c r="G1109" s="26" t="s">
        <v>1507</v>
      </c>
      <c r="H1109" s="26" t="s">
        <v>54</v>
      </c>
      <c r="I1109" s="26" t="s">
        <v>870</v>
      </c>
      <c r="J1109" s="26" t="s">
        <v>870</v>
      </c>
    </row>
    <row x14ac:dyDescent="0.25" r="1110" customHeight="1" ht="15.75">
      <c r="A1110" s="13" t="s">
        <v>116</v>
      </c>
      <c r="B1110" s="13" t="s">
        <v>2669</v>
      </c>
      <c r="C1110" s="26" t="s">
        <v>2670</v>
      </c>
      <c r="D1110" s="26" t="s">
        <v>685</v>
      </c>
      <c r="E1110" s="26" t="s">
        <v>122</v>
      </c>
      <c r="F1110" s="26" t="s">
        <v>2671</v>
      </c>
      <c r="G1110" s="26" t="s">
        <v>2671</v>
      </c>
      <c r="H1110" s="26" t="s">
        <v>1319</v>
      </c>
      <c r="I1110" s="26" t="s">
        <v>2672</v>
      </c>
      <c r="J1110" s="26" t="s">
        <v>2008</v>
      </c>
    </row>
    <row x14ac:dyDescent="0.25" r="1111" customHeight="1" ht="15.75">
      <c r="A1111" s="13" t="s">
        <v>391</v>
      </c>
      <c r="B1111" s="13" t="s">
        <v>2673</v>
      </c>
      <c r="C1111" s="26" t="s">
        <v>2364</v>
      </c>
      <c r="D1111" s="26" t="s">
        <v>54</v>
      </c>
      <c r="E1111" s="26" t="s">
        <v>34</v>
      </c>
      <c r="F1111" s="26" t="s">
        <v>191</v>
      </c>
      <c r="G1111" s="26" t="s">
        <v>29</v>
      </c>
      <c r="H1111" s="26" t="s">
        <v>29</v>
      </c>
      <c r="I1111" s="26" t="s">
        <v>63</v>
      </c>
      <c r="J1111" s="26" t="s">
        <v>29</v>
      </c>
    </row>
    <row x14ac:dyDescent="0.25" r="1112" customHeight="1" ht="15.75">
      <c r="A1112" s="13" t="s">
        <v>109</v>
      </c>
      <c r="B1112" s="13" t="s">
        <v>2674</v>
      </c>
      <c r="C1112" s="26" t="s">
        <v>2675</v>
      </c>
      <c r="D1112" s="26" t="s">
        <v>951</v>
      </c>
      <c r="E1112" s="26" t="s">
        <v>37</v>
      </c>
      <c r="F1112" s="26" t="s">
        <v>29</v>
      </c>
      <c r="G1112" s="26" t="s">
        <v>656</v>
      </c>
      <c r="H1112" s="26" t="s">
        <v>240</v>
      </c>
      <c r="I1112" s="26" t="s">
        <v>656</v>
      </c>
      <c r="J1112" s="26" t="s">
        <v>332</v>
      </c>
    </row>
    <row x14ac:dyDescent="0.25" r="1113" customHeight="1" ht="15.75">
      <c r="A1113" s="13" t="s">
        <v>512</v>
      </c>
      <c r="B1113" s="13" t="s">
        <v>2676</v>
      </c>
      <c r="C1113" s="26" t="s">
        <v>2677</v>
      </c>
      <c r="D1113" s="26" t="s">
        <v>2088</v>
      </c>
      <c r="E1113" s="26" t="s">
        <v>143</v>
      </c>
      <c r="F1113" s="26" t="s">
        <v>2678</v>
      </c>
      <c r="G1113" s="26" t="s">
        <v>533</v>
      </c>
      <c r="H1113" s="26" t="s">
        <v>316</v>
      </c>
      <c r="I1113" s="26" t="s">
        <v>2679</v>
      </c>
      <c r="J1113" s="26" t="s">
        <v>29</v>
      </c>
    </row>
    <row x14ac:dyDescent="0.25" r="1114" customHeight="1" ht="15.75">
      <c r="A1114" s="13" t="s">
        <v>27</v>
      </c>
      <c r="B1114" s="13" t="s">
        <v>2680</v>
      </c>
      <c r="C1114" s="26" t="s">
        <v>2681</v>
      </c>
      <c r="D1114" s="26" t="s">
        <v>43</v>
      </c>
      <c r="E1114" s="26" t="s">
        <v>201</v>
      </c>
      <c r="F1114" s="26" t="s">
        <v>787</v>
      </c>
      <c r="G1114" s="26" t="s">
        <v>1282</v>
      </c>
      <c r="H1114" s="26" t="s">
        <v>147</v>
      </c>
      <c r="I1114" s="26" t="s">
        <v>2682</v>
      </c>
      <c r="J1114" s="26" t="s">
        <v>29</v>
      </c>
    </row>
    <row x14ac:dyDescent="0.25" r="1115" customHeight="1" ht="15.75">
      <c r="A1115" s="13" t="s">
        <v>512</v>
      </c>
      <c r="B1115" s="13" t="s">
        <v>2683</v>
      </c>
      <c r="C1115" s="26" t="s">
        <v>1348</v>
      </c>
      <c r="D1115" s="26" t="s">
        <v>2521</v>
      </c>
      <c r="E1115" s="26" t="s">
        <v>81</v>
      </c>
      <c r="F1115" s="26" t="s">
        <v>1080</v>
      </c>
      <c r="G1115" s="26" t="s">
        <v>29</v>
      </c>
      <c r="H1115" s="26" t="s">
        <v>29</v>
      </c>
      <c r="I1115" s="26" t="s">
        <v>2684</v>
      </c>
      <c r="J1115" s="26" t="s">
        <v>29</v>
      </c>
    </row>
    <row x14ac:dyDescent="0.25" r="1116" customHeight="1" ht="15.75">
      <c r="A1116" s="13" t="s">
        <v>126</v>
      </c>
      <c r="B1116" s="13" t="s">
        <v>2685</v>
      </c>
      <c r="C1116" s="26" t="s">
        <v>1348</v>
      </c>
      <c r="D1116" s="26" t="s">
        <v>34</v>
      </c>
      <c r="E1116" s="26" t="s">
        <v>57</v>
      </c>
      <c r="F1116" s="26" t="s">
        <v>204</v>
      </c>
      <c r="G1116" s="26" t="s">
        <v>29</v>
      </c>
      <c r="H1116" s="26" t="s">
        <v>29</v>
      </c>
      <c r="I1116" s="26" t="s">
        <v>2088</v>
      </c>
      <c r="J1116" s="26" t="s">
        <v>29</v>
      </c>
    </row>
    <row x14ac:dyDescent="0.25" r="1117" customHeight="1" ht="15.75">
      <c r="A1117" s="13" t="s">
        <v>512</v>
      </c>
      <c r="B1117" s="13" t="s">
        <v>2686</v>
      </c>
      <c r="C1117" s="26" t="s">
        <v>2687</v>
      </c>
      <c r="D1117" s="26" t="s">
        <v>2679</v>
      </c>
      <c r="E1117" s="26" t="s">
        <v>81</v>
      </c>
      <c r="F1117" s="26" t="s">
        <v>836</v>
      </c>
      <c r="G1117" s="26" t="s">
        <v>29</v>
      </c>
      <c r="H1117" s="26" t="s">
        <v>29</v>
      </c>
      <c r="I1117" s="26" t="s">
        <v>334</v>
      </c>
      <c r="J1117" s="26" t="s">
        <v>29</v>
      </c>
    </row>
    <row x14ac:dyDescent="0.25" r="1118" customHeight="1" ht="15.75">
      <c r="A1118" s="13" t="s">
        <v>184</v>
      </c>
      <c r="B1118" s="13" t="s">
        <v>2688</v>
      </c>
      <c r="C1118" s="26" t="s">
        <v>2689</v>
      </c>
      <c r="D1118" s="26" t="s">
        <v>2458</v>
      </c>
      <c r="E1118" s="26" t="s">
        <v>43</v>
      </c>
      <c r="F1118" s="26" t="s">
        <v>33</v>
      </c>
      <c r="G1118" s="26" t="s">
        <v>1321</v>
      </c>
      <c r="H1118" s="26" t="s">
        <v>1996</v>
      </c>
      <c r="I1118" s="26" t="s">
        <v>33</v>
      </c>
      <c r="J1118" s="26" t="s">
        <v>29</v>
      </c>
    </row>
    <row x14ac:dyDescent="0.25" r="1119" customHeight="1" ht="15.75">
      <c r="A1119" s="13" t="s">
        <v>512</v>
      </c>
      <c r="B1119" s="13" t="s">
        <v>2690</v>
      </c>
      <c r="C1119" s="26" t="s">
        <v>2691</v>
      </c>
      <c r="D1119" s="26" t="s">
        <v>1562</v>
      </c>
      <c r="E1119" s="26" t="s">
        <v>350</v>
      </c>
      <c r="F1119" s="26" t="s">
        <v>411</v>
      </c>
      <c r="G1119" s="26" t="s">
        <v>2571</v>
      </c>
      <c r="H1119" s="26" t="s">
        <v>29</v>
      </c>
      <c r="I1119" s="26" t="s">
        <v>2692</v>
      </c>
      <c r="J1119" s="26" t="s">
        <v>29</v>
      </c>
    </row>
    <row x14ac:dyDescent="0.25" r="1120" customHeight="1" ht="15.75">
      <c r="A1120" s="13" t="s">
        <v>512</v>
      </c>
      <c r="B1120" s="13" t="s">
        <v>2693</v>
      </c>
      <c r="C1120" s="26" t="s">
        <v>2694</v>
      </c>
      <c r="D1120" s="26" t="s">
        <v>758</v>
      </c>
      <c r="E1120" s="26" t="s">
        <v>31</v>
      </c>
      <c r="F1120" s="26" t="s">
        <v>2695</v>
      </c>
      <c r="G1120" s="26" t="s">
        <v>29</v>
      </c>
      <c r="H1120" s="26" t="s">
        <v>29</v>
      </c>
      <c r="I1120" s="26" t="s">
        <v>29</v>
      </c>
      <c r="J1120" s="26" t="s">
        <v>29</v>
      </c>
    </row>
    <row x14ac:dyDescent="0.25" r="1121" customHeight="1" ht="15.75">
      <c r="A1121" s="13" t="s">
        <v>66</v>
      </c>
      <c r="B1121" s="13" t="s">
        <v>2696</v>
      </c>
      <c r="C1121" s="26" t="s">
        <v>1505</v>
      </c>
      <c r="D1121" s="26" t="s">
        <v>90</v>
      </c>
      <c r="E1121" s="26" t="s">
        <v>303</v>
      </c>
      <c r="F1121" s="26" t="s">
        <v>1031</v>
      </c>
      <c r="G1121" s="26" t="s">
        <v>1216</v>
      </c>
      <c r="H1121" s="26" t="s">
        <v>1030</v>
      </c>
      <c r="I1121" s="26" t="s">
        <v>1070</v>
      </c>
      <c r="J1121" s="26" t="s">
        <v>29</v>
      </c>
    </row>
    <row x14ac:dyDescent="0.25" r="1122" customHeight="1" ht="15.75">
      <c r="A1122" s="13" t="s">
        <v>126</v>
      </c>
      <c r="B1122" s="13" t="s">
        <v>2697</v>
      </c>
      <c r="C1122" s="26" t="s">
        <v>2698</v>
      </c>
      <c r="D1122" s="26" t="s">
        <v>2699</v>
      </c>
      <c r="E1122" s="26" t="s">
        <v>143</v>
      </c>
      <c r="F1122" s="26" t="s">
        <v>2700</v>
      </c>
      <c r="G1122" s="26" t="s">
        <v>2701</v>
      </c>
      <c r="H1122" s="26" t="s">
        <v>2702</v>
      </c>
      <c r="I1122" s="26" t="s">
        <v>2703</v>
      </c>
      <c r="J1122" s="26" t="s">
        <v>2113</v>
      </c>
    </row>
    <row x14ac:dyDescent="0.25" r="1123" customHeight="1" ht="15.75">
      <c r="A1123" s="13" t="s">
        <v>109</v>
      </c>
      <c r="B1123" s="13" t="s">
        <v>2704</v>
      </c>
      <c r="C1123" s="26" t="s">
        <v>2705</v>
      </c>
      <c r="D1123" s="26" t="s">
        <v>1672</v>
      </c>
      <c r="E1123" s="26" t="s">
        <v>57</v>
      </c>
      <c r="F1123" s="26" t="s">
        <v>52</v>
      </c>
      <c r="G1123" s="26" t="s">
        <v>52</v>
      </c>
      <c r="H1123" s="26" t="s">
        <v>29</v>
      </c>
      <c r="I1123" s="26" t="s">
        <v>81</v>
      </c>
      <c r="J1123" s="26" t="s">
        <v>29</v>
      </c>
    </row>
    <row x14ac:dyDescent="0.25" r="1124" customHeight="1" ht="15.75">
      <c r="A1124" s="13" t="s">
        <v>391</v>
      </c>
      <c r="B1124" s="13" t="s">
        <v>2706</v>
      </c>
      <c r="C1124" s="26" t="s">
        <v>2705</v>
      </c>
      <c r="D1124" s="26" t="s">
        <v>50</v>
      </c>
      <c r="E1124" s="26" t="s">
        <v>34</v>
      </c>
      <c r="F1124" s="26" t="s">
        <v>29</v>
      </c>
      <c r="G1124" s="26" t="s">
        <v>29</v>
      </c>
      <c r="H1124" s="26" t="s">
        <v>29</v>
      </c>
      <c r="I1124" s="26" t="s">
        <v>265</v>
      </c>
      <c r="J1124" s="26" t="s">
        <v>29</v>
      </c>
    </row>
    <row x14ac:dyDescent="0.25" r="1125" customHeight="1" ht="15.75">
      <c r="A1125" s="13" t="s">
        <v>66</v>
      </c>
      <c r="B1125" s="13" t="s">
        <v>2707</v>
      </c>
      <c r="C1125" s="26" t="s">
        <v>2708</v>
      </c>
      <c r="D1125" s="26" t="s">
        <v>510</v>
      </c>
      <c r="E1125" s="26" t="s">
        <v>37</v>
      </c>
      <c r="F1125" s="26" t="s">
        <v>2709</v>
      </c>
      <c r="G1125" s="26" t="s">
        <v>1438</v>
      </c>
      <c r="H1125" s="26" t="s">
        <v>1289</v>
      </c>
      <c r="I1125" s="26" t="s">
        <v>2710</v>
      </c>
      <c r="J1125" s="26" t="s">
        <v>29</v>
      </c>
    </row>
    <row x14ac:dyDescent="0.25" r="1126" customHeight="1" ht="15.75">
      <c r="A1126" s="13" t="s">
        <v>66</v>
      </c>
      <c r="B1126" s="13" t="s">
        <v>2711</v>
      </c>
      <c r="C1126" s="26" t="s">
        <v>2712</v>
      </c>
      <c r="D1126" s="26" t="s">
        <v>194</v>
      </c>
      <c r="E1126" s="26" t="s">
        <v>31</v>
      </c>
      <c r="F1126" s="26" t="s">
        <v>252</v>
      </c>
      <c r="G1126" s="26" t="s">
        <v>134</v>
      </c>
      <c r="H1126" s="26" t="s">
        <v>134</v>
      </c>
      <c r="I1126" s="26" t="s">
        <v>252</v>
      </c>
      <c r="J1126" s="26" t="s">
        <v>29</v>
      </c>
    </row>
    <row x14ac:dyDescent="0.25" r="1127" customHeight="1" ht="15.75">
      <c r="A1127" s="13" t="s">
        <v>109</v>
      </c>
      <c r="B1127" s="13" t="s">
        <v>2713</v>
      </c>
      <c r="C1127" s="26" t="s">
        <v>2714</v>
      </c>
      <c r="D1127" s="26" t="s">
        <v>37</v>
      </c>
      <c r="E1127" s="26" t="s">
        <v>350</v>
      </c>
      <c r="F1127" s="26" t="s">
        <v>641</v>
      </c>
      <c r="G1127" s="26" t="s">
        <v>29</v>
      </c>
      <c r="H1127" s="26" t="s">
        <v>29</v>
      </c>
      <c r="I1127" s="26" t="s">
        <v>2458</v>
      </c>
      <c r="J1127" s="26" t="s">
        <v>29</v>
      </c>
    </row>
    <row x14ac:dyDescent="0.25" r="1128" customHeight="1" ht="15.75">
      <c r="A1128" s="13" t="s">
        <v>391</v>
      </c>
      <c r="B1128" s="13" t="s">
        <v>2715</v>
      </c>
      <c r="C1128" s="26" t="s">
        <v>2716</v>
      </c>
      <c r="D1128" s="26" t="s">
        <v>2017</v>
      </c>
      <c r="E1128" s="26" t="s">
        <v>31</v>
      </c>
      <c r="F1128" s="26" t="s">
        <v>538</v>
      </c>
      <c r="G1128" s="26" t="s">
        <v>318</v>
      </c>
      <c r="H1128" s="26" t="s">
        <v>29</v>
      </c>
      <c r="I1128" s="26" t="s">
        <v>2717</v>
      </c>
      <c r="J1128" s="26" t="s">
        <v>29</v>
      </c>
    </row>
    <row x14ac:dyDescent="0.25" r="1129" customHeight="1" ht="15.75">
      <c r="A1129" s="13" t="s">
        <v>109</v>
      </c>
      <c r="B1129" s="13" t="s">
        <v>2718</v>
      </c>
      <c r="C1129" s="26" t="s">
        <v>2719</v>
      </c>
      <c r="D1129" s="26" t="s">
        <v>240</v>
      </c>
      <c r="E1129" s="26" t="s">
        <v>34</v>
      </c>
      <c r="F1129" s="26" t="s">
        <v>2626</v>
      </c>
      <c r="G1129" s="26" t="s">
        <v>158</v>
      </c>
      <c r="H1129" s="26" t="s">
        <v>29</v>
      </c>
      <c r="I1129" s="26" t="s">
        <v>239</v>
      </c>
      <c r="J1129" s="26" t="s">
        <v>29</v>
      </c>
    </row>
    <row x14ac:dyDescent="0.25" r="1130" customHeight="1" ht="15.75">
      <c r="A1130" s="13" t="s">
        <v>109</v>
      </c>
      <c r="B1130" s="13" t="s">
        <v>2720</v>
      </c>
      <c r="C1130" s="26" t="s">
        <v>2721</v>
      </c>
      <c r="D1130" s="26" t="s">
        <v>361</v>
      </c>
      <c r="E1130" s="26" t="s">
        <v>34</v>
      </c>
      <c r="F1130" s="26" t="s">
        <v>1364</v>
      </c>
      <c r="G1130" s="26" t="s">
        <v>191</v>
      </c>
      <c r="H1130" s="26" t="s">
        <v>29</v>
      </c>
      <c r="I1130" s="26" t="s">
        <v>37</v>
      </c>
      <c r="J1130" s="26" t="s">
        <v>29</v>
      </c>
    </row>
    <row x14ac:dyDescent="0.25" r="1131" customHeight="1" ht="15.75">
      <c r="A1131" s="13" t="s">
        <v>227</v>
      </c>
      <c r="B1131" s="13" t="s">
        <v>2722</v>
      </c>
      <c r="C1131" s="26" t="s">
        <v>2723</v>
      </c>
      <c r="D1131" s="26" t="s">
        <v>2599</v>
      </c>
      <c r="E1131" s="26" t="s">
        <v>57</v>
      </c>
      <c r="F1131" s="26" t="s">
        <v>2724</v>
      </c>
      <c r="G1131" s="26" t="s">
        <v>275</v>
      </c>
      <c r="H1131" s="26" t="s">
        <v>29</v>
      </c>
      <c r="I1131" s="26" t="s">
        <v>97</v>
      </c>
      <c r="J1131" s="26" t="s">
        <v>29</v>
      </c>
    </row>
    <row x14ac:dyDescent="0.25" r="1132" customHeight="1" ht="15.75">
      <c r="A1132" s="13" t="s">
        <v>69</v>
      </c>
      <c r="B1132" s="13" t="s">
        <v>2725</v>
      </c>
      <c r="C1132" s="26" t="s">
        <v>2726</v>
      </c>
      <c r="D1132" s="26" t="s">
        <v>54</v>
      </c>
      <c r="E1132" s="26" t="s">
        <v>234</v>
      </c>
      <c r="F1132" s="26" t="s">
        <v>29</v>
      </c>
      <c r="G1132" s="26" t="s">
        <v>1433</v>
      </c>
      <c r="H1132" s="26" t="s">
        <v>1433</v>
      </c>
      <c r="I1132" s="26" t="s">
        <v>29</v>
      </c>
      <c r="J1132" s="26" t="s">
        <v>29</v>
      </c>
    </row>
    <row x14ac:dyDescent="0.25" r="1133" customHeight="1" ht="15.75">
      <c r="A1133" s="13" t="s">
        <v>512</v>
      </c>
      <c r="B1133" s="13" t="s">
        <v>2727</v>
      </c>
      <c r="C1133" s="26" t="s">
        <v>2728</v>
      </c>
      <c r="D1133" s="26" t="s">
        <v>350</v>
      </c>
      <c r="E1133" s="26" t="s">
        <v>34</v>
      </c>
      <c r="F1133" s="26" t="s">
        <v>1203</v>
      </c>
      <c r="G1133" s="26" t="s">
        <v>797</v>
      </c>
      <c r="H1133" s="26" t="s">
        <v>261</v>
      </c>
      <c r="I1133" s="26" t="s">
        <v>1203</v>
      </c>
      <c r="J1133" s="26" t="s">
        <v>29</v>
      </c>
    </row>
    <row x14ac:dyDescent="0.25" r="1134" customHeight="1" ht="15.75">
      <c r="A1134" s="13" t="s">
        <v>198</v>
      </c>
      <c r="B1134" s="13" t="s">
        <v>2729</v>
      </c>
      <c r="C1134" s="26" t="s">
        <v>2730</v>
      </c>
      <c r="D1134" s="26" t="s">
        <v>2088</v>
      </c>
      <c r="E1134" s="26" t="s">
        <v>34</v>
      </c>
      <c r="F1134" s="26" t="s">
        <v>463</v>
      </c>
      <c r="G1134" s="26" t="s">
        <v>29</v>
      </c>
      <c r="H1134" s="26" t="s">
        <v>29</v>
      </c>
      <c r="I1134" s="26" t="s">
        <v>2731</v>
      </c>
      <c r="J1134" s="26" t="s">
        <v>29</v>
      </c>
    </row>
    <row x14ac:dyDescent="0.25" r="1135" customHeight="1" ht="15.75">
      <c r="A1135" s="13" t="s">
        <v>391</v>
      </c>
      <c r="B1135" s="13" t="s">
        <v>2732</v>
      </c>
      <c r="C1135" s="26" t="s">
        <v>2733</v>
      </c>
      <c r="D1135" s="26" t="s">
        <v>303</v>
      </c>
      <c r="E1135" s="26" t="s">
        <v>350</v>
      </c>
      <c r="F1135" s="26" t="s">
        <v>332</v>
      </c>
      <c r="G1135" s="26" t="s">
        <v>650</v>
      </c>
      <c r="H1135" s="26" t="s">
        <v>29</v>
      </c>
      <c r="I1135" s="26" t="s">
        <v>332</v>
      </c>
      <c r="J1135" s="26" t="s">
        <v>29</v>
      </c>
    </row>
    <row x14ac:dyDescent="0.25" r="1136" customHeight="1" ht="15.75">
      <c r="A1136" s="13" t="s">
        <v>512</v>
      </c>
      <c r="B1136" s="13" t="s">
        <v>2734</v>
      </c>
      <c r="C1136" s="26" t="s">
        <v>2735</v>
      </c>
      <c r="D1136" s="26" t="s">
        <v>74</v>
      </c>
      <c r="E1136" s="26" t="s">
        <v>74</v>
      </c>
      <c r="F1136" s="26" t="s">
        <v>1096</v>
      </c>
      <c r="G1136" s="26" t="s">
        <v>1096</v>
      </c>
      <c r="H1136" s="26" t="s">
        <v>29</v>
      </c>
      <c r="I1136" s="26" t="s">
        <v>2736</v>
      </c>
      <c r="J1136" s="26" t="s">
        <v>29</v>
      </c>
    </row>
    <row x14ac:dyDescent="0.25" r="1137" customHeight="1" ht="15.75">
      <c r="A1137" s="13" t="s">
        <v>109</v>
      </c>
      <c r="B1137" s="13" t="s">
        <v>2737</v>
      </c>
      <c r="C1137" s="26" t="s">
        <v>2738</v>
      </c>
      <c r="D1137" s="26" t="s">
        <v>810</v>
      </c>
      <c r="E1137" s="26" t="s">
        <v>122</v>
      </c>
      <c r="F1137" s="26" t="s">
        <v>191</v>
      </c>
      <c r="G1137" s="26" t="s">
        <v>29</v>
      </c>
      <c r="H1137" s="26" t="s">
        <v>29</v>
      </c>
      <c r="I1137" s="26" t="s">
        <v>63</v>
      </c>
      <c r="J1137" s="26" t="s">
        <v>29</v>
      </c>
    </row>
    <row x14ac:dyDescent="0.25" r="1138" customHeight="1" ht="15.75">
      <c r="A1138" s="13" t="s">
        <v>512</v>
      </c>
      <c r="B1138" s="13" t="s">
        <v>2739</v>
      </c>
      <c r="C1138" s="26" t="s">
        <v>2740</v>
      </c>
      <c r="D1138" s="26" t="s">
        <v>57</v>
      </c>
      <c r="E1138" s="26" t="s">
        <v>88</v>
      </c>
      <c r="F1138" s="26" t="s">
        <v>1347</v>
      </c>
      <c r="G1138" s="26" t="s">
        <v>656</v>
      </c>
      <c r="H1138" s="26" t="s">
        <v>650</v>
      </c>
      <c r="I1138" s="26" t="s">
        <v>2242</v>
      </c>
      <c r="J1138" s="26" t="s">
        <v>29</v>
      </c>
    </row>
    <row x14ac:dyDescent="0.25" r="1139" customHeight="1" ht="15.75">
      <c r="A1139" s="13" t="s">
        <v>109</v>
      </c>
      <c r="B1139" s="13" t="s">
        <v>2741</v>
      </c>
      <c r="C1139" s="26" t="s">
        <v>2742</v>
      </c>
      <c r="D1139" s="26" t="s">
        <v>111</v>
      </c>
      <c r="E1139" s="26" t="s">
        <v>88</v>
      </c>
      <c r="F1139" s="26" t="s">
        <v>118</v>
      </c>
      <c r="G1139" s="26" t="s">
        <v>452</v>
      </c>
      <c r="H1139" s="26" t="s">
        <v>29</v>
      </c>
      <c r="I1139" s="26" t="s">
        <v>2743</v>
      </c>
      <c r="J1139" s="26" t="s">
        <v>29</v>
      </c>
    </row>
    <row x14ac:dyDescent="0.25" r="1140" customHeight="1" ht="15.75">
      <c r="A1140" s="13" t="s">
        <v>391</v>
      </c>
      <c r="B1140" s="13" t="s">
        <v>2744</v>
      </c>
      <c r="C1140" s="26" t="s">
        <v>2745</v>
      </c>
      <c r="D1140" s="26" t="s">
        <v>122</v>
      </c>
      <c r="E1140" s="26" t="s">
        <v>81</v>
      </c>
      <c r="F1140" s="26" t="s">
        <v>985</v>
      </c>
      <c r="G1140" s="26" t="s">
        <v>433</v>
      </c>
      <c r="H1140" s="26" t="s">
        <v>29</v>
      </c>
      <c r="I1140" s="26" t="s">
        <v>694</v>
      </c>
      <c r="J1140" s="26" t="s">
        <v>29</v>
      </c>
    </row>
    <row x14ac:dyDescent="0.25" r="1141" customHeight="1" ht="15.75">
      <c r="A1141" s="13" t="s">
        <v>116</v>
      </c>
      <c r="B1141" s="13" t="s">
        <v>2746</v>
      </c>
      <c r="C1141" s="26" t="s">
        <v>2747</v>
      </c>
      <c r="D1141" s="26" t="s">
        <v>37</v>
      </c>
      <c r="E1141" s="26" t="s">
        <v>1143</v>
      </c>
      <c r="F1141" s="26" t="s">
        <v>2748</v>
      </c>
      <c r="G1141" s="26" t="s">
        <v>2749</v>
      </c>
      <c r="H1141" s="26" t="s">
        <v>218</v>
      </c>
      <c r="I1141" s="26" t="s">
        <v>2750</v>
      </c>
      <c r="J1141" s="26" t="s">
        <v>29</v>
      </c>
    </row>
    <row x14ac:dyDescent="0.25" r="1142" customHeight="1" ht="15.75">
      <c r="A1142" s="13" t="s">
        <v>184</v>
      </c>
      <c r="B1142" s="13" t="s">
        <v>2751</v>
      </c>
      <c r="C1142" s="26" t="s">
        <v>74</v>
      </c>
      <c r="D1142" s="26" t="s">
        <v>118</v>
      </c>
      <c r="E1142" s="26" t="s">
        <v>37</v>
      </c>
      <c r="F1142" s="26" t="s">
        <v>2752</v>
      </c>
      <c r="G1142" s="26" t="s">
        <v>1329</v>
      </c>
      <c r="H1142" s="26" t="s">
        <v>2753</v>
      </c>
      <c r="I1142" s="26" t="s">
        <v>2754</v>
      </c>
      <c r="J1142" s="26" t="s">
        <v>29</v>
      </c>
    </row>
    <row x14ac:dyDescent="0.25" r="1143" customHeight="1" ht="15.75">
      <c r="A1143" s="13" t="s">
        <v>109</v>
      </c>
      <c r="B1143" s="13" t="s">
        <v>2755</v>
      </c>
      <c r="C1143" s="26" t="s">
        <v>74</v>
      </c>
      <c r="D1143" s="26" t="s">
        <v>1672</v>
      </c>
      <c r="E1143" s="26" t="s">
        <v>1143</v>
      </c>
      <c r="F1143" s="26" t="s">
        <v>29</v>
      </c>
      <c r="G1143" s="26" t="s">
        <v>29</v>
      </c>
      <c r="H1143" s="26" t="s">
        <v>29</v>
      </c>
      <c r="I1143" s="26" t="s">
        <v>334</v>
      </c>
      <c r="J1143" s="26" t="s">
        <v>29</v>
      </c>
    </row>
    <row x14ac:dyDescent="0.25" r="1144" customHeight="1" ht="15.75">
      <c r="A1144" s="13" t="s">
        <v>198</v>
      </c>
      <c r="B1144" s="13" t="s">
        <v>2756</v>
      </c>
      <c r="C1144" s="26" t="s">
        <v>74</v>
      </c>
      <c r="D1144" s="26" t="s">
        <v>29</v>
      </c>
      <c r="E1144" s="26" t="s">
        <v>57</v>
      </c>
      <c r="F1144" s="26" t="s">
        <v>43</v>
      </c>
      <c r="G1144" s="26" t="s">
        <v>29</v>
      </c>
      <c r="H1144" s="26" t="s">
        <v>29</v>
      </c>
      <c r="I1144" s="26" t="s">
        <v>29</v>
      </c>
      <c r="J1144" s="26" t="s">
        <v>29</v>
      </c>
    </row>
    <row x14ac:dyDescent="0.25" r="1145" customHeight="1" ht="15.75">
      <c r="A1145" s="13" t="s">
        <v>391</v>
      </c>
      <c r="B1145" s="13" t="s">
        <v>2757</v>
      </c>
      <c r="C1145" s="26" t="s">
        <v>74</v>
      </c>
      <c r="D1145" s="26" t="s">
        <v>81</v>
      </c>
      <c r="E1145" s="26" t="s">
        <v>81</v>
      </c>
      <c r="F1145" s="26" t="s">
        <v>122</v>
      </c>
      <c r="G1145" s="26" t="s">
        <v>29</v>
      </c>
      <c r="H1145" s="26" t="s">
        <v>29</v>
      </c>
      <c r="I1145" s="26" t="s">
        <v>250</v>
      </c>
      <c r="J1145" s="26" t="s">
        <v>29</v>
      </c>
    </row>
    <row x14ac:dyDescent="0.25" r="1146" customHeight="1" ht="15.75">
      <c r="A1146" s="27" t="s">
        <v>27</v>
      </c>
      <c r="B1146" s="27" t="s">
        <v>27</v>
      </c>
      <c r="C1146" s="28" t="s">
        <v>2758</v>
      </c>
      <c r="D1146" s="28" t="s">
        <v>1156</v>
      </c>
      <c r="E1146" s="28" t="s">
        <v>2759</v>
      </c>
      <c r="F1146" s="28" t="s">
        <v>2760</v>
      </c>
      <c r="G1146" s="28" t="s">
        <v>2761</v>
      </c>
      <c r="H1146" s="28" t="s">
        <v>2762</v>
      </c>
      <c r="I1146" s="28" t="s">
        <v>2763</v>
      </c>
      <c r="J1146" s="28" t="s">
        <v>2764</v>
      </c>
    </row>
    <row x14ac:dyDescent="0.25" r="1147" customHeight="1" ht="15.75">
      <c r="A1147" s="27" t="s">
        <v>512</v>
      </c>
      <c r="B1147" s="27" t="s">
        <v>512</v>
      </c>
      <c r="C1147" s="28" t="s">
        <v>2765</v>
      </c>
      <c r="D1147" s="28" t="s">
        <v>2766</v>
      </c>
      <c r="E1147" s="28" t="s">
        <v>1665</v>
      </c>
      <c r="F1147" s="28" t="s">
        <v>2767</v>
      </c>
      <c r="G1147" s="28" t="s">
        <v>2768</v>
      </c>
      <c r="H1147" s="28" t="s">
        <v>172</v>
      </c>
      <c r="I1147" s="28" t="s">
        <v>760</v>
      </c>
      <c r="J1147" s="28" t="s">
        <v>2769</v>
      </c>
    </row>
    <row x14ac:dyDescent="0.25" r="1148" customHeight="1" ht="15.75">
      <c r="A1148" s="27" t="s">
        <v>184</v>
      </c>
      <c r="B1148" s="27" t="s">
        <v>184</v>
      </c>
      <c r="C1148" s="28" t="s">
        <v>2770</v>
      </c>
      <c r="D1148" s="28" t="s">
        <v>2771</v>
      </c>
      <c r="E1148" s="28" t="s">
        <v>2772</v>
      </c>
      <c r="F1148" s="28" t="s">
        <v>2773</v>
      </c>
      <c r="G1148" s="28" t="s">
        <v>2774</v>
      </c>
      <c r="H1148" s="28" t="s">
        <v>1968</v>
      </c>
      <c r="I1148" s="28" t="s">
        <v>179</v>
      </c>
      <c r="J1148" s="28" t="s">
        <v>2775</v>
      </c>
    </row>
    <row x14ac:dyDescent="0.25" r="1149" customHeight="1" ht="15.75">
      <c r="A1149" s="27" t="s">
        <v>66</v>
      </c>
      <c r="B1149" s="27" t="s">
        <v>66</v>
      </c>
      <c r="C1149" s="28" t="s">
        <v>2776</v>
      </c>
      <c r="D1149" s="28" t="s">
        <v>2777</v>
      </c>
      <c r="E1149" s="28" t="s">
        <v>2778</v>
      </c>
      <c r="F1149" s="28" t="s">
        <v>1707</v>
      </c>
      <c r="G1149" s="28" t="s">
        <v>2779</v>
      </c>
      <c r="H1149" s="28" t="s">
        <v>773</v>
      </c>
      <c r="I1149" s="28" t="s">
        <v>84</v>
      </c>
      <c r="J1149" s="28" t="s">
        <v>2780</v>
      </c>
    </row>
    <row x14ac:dyDescent="0.25" r="1150" customHeight="1" ht="15.75">
      <c r="A1150" s="27" t="s">
        <v>69</v>
      </c>
      <c r="B1150" s="27" t="s">
        <v>69</v>
      </c>
      <c r="C1150" s="28" t="s">
        <v>2781</v>
      </c>
      <c r="D1150" s="28" t="s">
        <v>2782</v>
      </c>
      <c r="E1150" s="28" t="s">
        <v>2783</v>
      </c>
      <c r="F1150" s="28" t="s">
        <v>652</v>
      </c>
      <c r="G1150" s="28" t="s">
        <v>2570</v>
      </c>
      <c r="H1150" s="28" t="s">
        <v>2008</v>
      </c>
      <c r="I1150" s="28" t="s">
        <v>2784</v>
      </c>
      <c r="J1150" s="28" t="s">
        <v>2785</v>
      </c>
    </row>
    <row x14ac:dyDescent="0.25" r="1151" customHeight="1" ht="15.75">
      <c r="A1151" s="27" t="s">
        <v>91</v>
      </c>
      <c r="B1151" s="27" t="s">
        <v>91</v>
      </c>
      <c r="C1151" s="28" t="s">
        <v>2786</v>
      </c>
      <c r="D1151" s="28" t="s">
        <v>538</v>
      </c>
      <c r="E1151" s="28" t="s">
        <v>2787</v>
      </c>
      <c r="F1151" s="28" t="s">
        <v>812</v>
      </c>
      <c r="G1151" s="28" t="s">
        <v>1882</v>
      </c>
      <c r="H1151" s="28" t="s">
        <v>1760</v>
      </c>
      <c r="I1151" s="28" t="s">
        <v>2788</v>
      </c>
      <c r="J1151" s="28" t="s">
        <v>2789</v>
      </c>
    </row>
    <row x14ac:dyDescent="0.25" r="1152" customHeight="1" ht="15.75">
      <c r="A1152" s="27" t="s">
        <v>126</v>
      </c>
      <c r="B1152" s="27" t="s">
        <v>126</v>
      </c>
      <c r="C1152" s="28" t="s">
        <v>2790</v>
      </c>
      <c r="D1152" s="28" t="s">
        <v>1371</v>
      </c>
      <c r="E1152" s="28" t="s">
        <v>2791</v>
      </c>
      <c r="F1152" s="28" t="s">
        <v>2792</v>
      </c>
      <c r="G1152" s="28" t="s">
        <v>2218</v>
      </c>
      <c r="H1152" s="28" t="s">
        <v>2121</v>
      </c>
      <c r="I1152" s="28" t="s">
        <v>556</v>
      </c>
      <c r="J1152" s="28" t="s">
        <v>2780</v>
      </c>
    </row>
    <row x14ac:dyDescent="0.25" r="1153" customHeight="1" ht="15.75">
      <c r="A1153" s="27" t="s">
        <v>103</v>
      </c>
      <c r="B1153" s="27" t="s">
        <v>103</v>
      </c>
      <c r="C1153" s="28" t="s">
        <v>2793</v>
      </c>
      <c r="D1153" s="28" t="s">
        <v>1707</v>
      </c>
      <c r="E1153" s="28" t="s">
        <v>2794</v>
      </c>
      <c r="F1153" s="28" t="s">
        <v>2795</v>
      </c>
      <c r="G1153" s="28" t="s">
        <v>794</v>
      </c>
      <c r="H1153" s="28" t="s">
        <v>2796</v>
      </c>
      <c r="I1153" s="28" t="s">
        <v>1435</v>
      </c>
      <c r="J1153" s="28" t="s">
        <v>2769</v>
      </c>
    </row>
    <row x14ac:dyDescent="0.25" r="1154" customHeight="1" ht="15.75">
      <c r="A1154" s="27" t="s">
        <v>129</v>
      </c>
      <c r="B1154" s="27" t="s">
        <v>129</v>
      </c>
      <c r="C1154" s="28" t="s">
        <v>2797</v>
      </c>
      <c r="D1154" s="28" t="s">
        <v>2798</v>
      </c>
      <c r="E1154" s="28" t="s">
        <v>2799</v>
      </c>
      <c r="F1154" s="28" t="s">
        <v>903</v>
      </c>
      <c r="G1154" s="28" t="s">
        <v>395</v>
      </c>
      <c r="H1154" s="28" t="s">
        <v>747</v>
      </c>
      <c r="I1154" s="28" t="s">
        <v>2176</v>
      </c>
      <c r="J1154" s="28" t="s">
        <v>1620</v>
      </c>
    </row>
    <row x14ac:dyDescent="0.25" r="1155" customHeight="1" ht="15.75">
      <c r="A1155" s="27" t="s">
        <v>109</v>
      </c>
      <c r="B1155" s="27" t="s">
        <v>109</v>
      </c>
      <c r="C1155" s="28" t="s">
        <v>2800</v>
      </c>
      <c r="D1155" s="28" t="s">
        <v>2801</v>
      </c>
      <c r="E1155" s="28" t="s">
        <v>2802</v>
      </c>
      <c r="F1155" s="28" t="s">
        <v>2803</v>
      </c>
      <c r="G1155" s="28" t="s">
        <v>325</v>
      </c>
      <c r="H1155" s="28" t="s">
        <v>1289</v>
      </c>
      <c r="I1155" s="28" t="s">
        <v>2804</v>
      </c>
      <c r="J1155" s="28" t="s">
        <v>2805</v>
      </c>
    </row>
    <row x14ac:dyDescent="0.25" r="1156" customHeight="1" ht="15.75">
      <c r="A1156" s="27" t="s">
        <v>227</v>
      </c>
      <c r="B1156" s="27" t="s">
        <v>227</v>
      </c>
      <c r="C1156" s="28" t="s">
        <v>2806</v>
      </c>
      <c r="D1156" s="28" t="s">
        <v>2807</v>
      </c>
      <c r="E1156" s="28" t="s">
        <v>2808</v>
      </c>
      <c r="F1156" s="28" t="s">
        <v>2809</v>
      </c>
      <c r="G1156" s="28" t="s">
        <v>275</v>
      </c>
      <c r="H1156" s="28" t="s">
        <v>1618</v>
      </c>
      <c r="I1156" s="28" t="s">
        <v>645</v>
      </c>
      <c r="J1156" s="28" t="s">
        <v>2780</v>
      </c>
    </row>
    <row x14ac:dyDescent="0.25" r="1157" customHeight="1" ht="15.75">
      <c r="A1157" s="27" t="s">
        <v>198</v>
      </c>
      <c r="B1157" s="27" t="s">
        <v>198</v>
      </c>
      <c r="C1157" s="28" t="s">
        <v>2810</v>
      </c>
      <c r="D1157" s="28" t="s">
        <v>1399</v>
      </c>
      <c r="E1157" s="28" t="s">
        <v>2519</v>
      </c>
      <c r="F1157" s="28" t="s">
        <v>724</v>
      </c>
      <c r="G1157" s="28" t="s">
        <v>2811</v>
      </c>
      <c r="H1157" s="28" t="s">
        <v>1528</v>
      </c>
      <c r="I1157" s="28" t="s">
        <v>745</v>
      </c>
      <c r="J1157" s="28" t="s">
        <v>2769</v>
      </c>
    </row>
    <row x14ac:dyDescent="0.25" r="1158" customHeight="1" ht="15.75">
      <c r="A1158" s="27" t="s">
        <v>391</v>
      </c>
      <c r="B1158" s="27" t="s">
        <v>391</v>
      </c>
      <c r="C1158" s="28" t="s">
        <v>2812</v>
      </c>
      <c r="D1158" s="28" t="s">
        <v>2813</v>
      </c>
      <c r="E1158" s="28" t="s">
        <v>2814</v>
      </c>
      <c r="F1158" s="28" t="s">
        <v>1110</v>
      </c>
      <c r="G1158" s="28" t="s">
        <v>316</v>
      </c>
      <c r="H1158" s="28" t="s">
        <v>2789</v>
      </c>
      <c r="I1158" s="28" t="s">
        <v>2815</v>
      </c>
      <c r="J1158" s="28" t="s">
        <v>2780</v>
      </c>
    </row>
    <row x14ac:dyDescent="0.25" r="1159" customHeight="1" ht="15.75">
      <c r="A1159" s="27" t="s">
        <v>116</v>
      </c>
      <c r="B1159" s="27" t="s">
        <v>116</v>
      </c>
      <c r="C1159" s="28" t="s">
        <v>2816</v>
      </c>
      <c r="D1159" s="28" t="s">
        <v>2817</v>
      </c>
      <c r="E1159" s="28" t="s">
        <v>2818</v>
      </c>
      <c r="F1159" s="28" t="s">
        <v>84</v>
      </c>
      <c r="G1159" s="28" t="s">
        <v>337</v>
      </c>
      <c r="H1159" s="28" t="s">
        <v>1752</v>
      </c>
      <c r="I1159" s="28" t="s">
        <v>2819</v>
      </c>
      <c r="J1159" s="28" t="s">
        <v>2820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27"/>
  <sheetViews>
    <sheetView workbookViewId="0"/>
  </sheetViews>
  <sheetFormatPr defaultRowHeight="15" x14ac:dyDescent="0.25"/>
  <cols>
    <col min="1" max="1" style="20" width="20.005" customWidth="1" bestFit="1"/>
    <col min="2" max="2" style="21" width="26.433571428571426" customWidth="1" bestFit="1"/>
    <col min="3" max="3" style="21" width="41.71928571428572" customWidth="1" bestFit="1"/>
    <col min="4" max="4" style="22" width="26.433571428571426" customWidth="1" bestFit="1"/>
    <col min="5" max="5" style="22" width="26.433571428571426" customWidth="1" bestFit="1"/>
    <col min="6" max="6" style="22" width="26.433571428571426" customWidth="1" bestFit="1"/>
    <col min="7" max="7" style="22" width="26.433571428571426" customWidth="1" bestFit="1"/>
  </cols>
  <sheetData>
    <row x14ac:dyDescent="0.25" r="1" customHeight="1" ht="52.5" customFormat="1" s="1">
      <c r="A1" s="2" t="s">
        <v>0</v>
      </c>
      <c r="B1" s="3" t="s">
        <v>1</v>
      </c>
      <c r="C1" s="3" t="s">
        <v>2</v>
      </c>
      <c r="D1" s="4" t="s">
        <v>15</v>
      </c>
      <c r="E1" s="4" t="s">
        <v>16</v>
      </c>
      <c r="F1" s="4" t="s">
        <v>17</v>
      </c>
      <c r="G1" s="4" t="s">
        <v>18</v>
      </c>
    </row>
    <row x14ac:dyDescent="0.25" r="2" customHeight="1" ht="15.75">
      <c r="A2" s="8">
        <f>IFERROR(__xludf.DUMMYFUNCTION("query(Original!A2:U1027, ""SELECT A, B, C, P, Q, R, S WHERE U &gt;=2"", 1)"),"25248")</f>
      </c>
      <c r="B2" s="9">
        <f>IFERROR(__xludf.DUMMYFUNCTION("""COMPUTED_VALUE"""),"BAIXADAS LITORANEAS")</f>
      </c>
      <c r="C2" s="9">
        <f>IFERROR(__xludf.DUMMYFUNCTION("""COMPUTED_VALUE"""),"CE ALMIRANTE FREDERICO VILLAR")</f>
      </c>
      <c r="D2" s="10">
        <f>IFERROR(__xludf.DUMMYFUNCTION("""COMPUTED_VALUE"""),"85,12%")</f>
      </c>
      <c r="E2" s="10">
        <f>IFERROR(__xludf.DUMMYFUNCTION("""COMPUTED_VALUE"""),"17,29%")</f>
      </c>
      <c r="F2" s="10">
        <f>IFERROR(__xludf.DUMMYFUNCTION("""COMPUTED_VALUE"""),"72,02%")</f>
      </c>
      <c r="G2" s="10">
        <f>IFERROR(__xludf.DUMMYFUNCTION("""COMPUTED_VALUE"""),"20,45%")</f>
      </c>
    </row>
    <row x14ac:dyDescent="0.25" r="3" customHeight="1" ht="15.75">
      <c r="A3" s="8">
        <f>IFERROR(__xludf.DUMMYFUNCTION("""COMPUTED_VALUE"""),25314.0)</f>
      </c>
      <c r="B3" s="9">
        <f>IFERROR(__xludf.DUMMYFUNCTION("""COMPUTED_VALUE"""),"BAIXADAS LITORANEAS")</f>
      </c>
      <c r="C3" s="9">
        <f>IFERROR(__xludf.DUMMYFUNCTION("""COMPUTED_VALUE"""),"CE ANTONIO LOPES DE CAMPOS FILHO")</f>
      </c>
      <c r="D3" s="10">
        <f>IFERROR(__xludf.DUMMYFUNCTION("""COMPUTED_VALUE"""),0.9655)</f>
      </c>
      <c r="E3" s="10">
        <f>IFERROR(__xludf.DUMMYFUNCTION("""COMPUTED_VALUE"""),0.2454)</f>
      </c>
      <c r="F3" s="10">
        <f>IFERROR(__xludf.DUMMYFUNCTION("""COMPUTED_VALUE"""),0.8276)</f>
      </c>
      <c r="G3" s="10">
        <f>IFERROR(__xludf.DUMMYFUNCTION("""COMPUTED_VALUE"""),0.215)</f>
      </c>
    </row>
    <row x14ac:dyDescent="0.25" r="4" customHeight="1" ht="15.75">
      <c r="A4" s="8">
        <f>IFERROR(__xludf.DUMMYFUNCTION("""COMPUTED_VALUE"""),25238.0)</f>
      </c>
      <c r="B4" s="9">
        <f>IFERROR(__xludf.DUMMYFUNCTION("""COMPUTED_VALUE"""),"BAIXADAS LITORANEAS")</f>
      </c>
      <c r="C4" s="9">
        <f>IFERROR(__xludf.DUMMYFUNCTION("""COMPUTED_VALUE"""),"CE ANTONIO PINTO DE MORAES")</f>
      </c>
      <c r="D4" s="10">
        <f>IFERROR(__xludf.DUMMYFUNCTION("""COMPUTED_VALUE"""),0.8986)</f>
      </c>
      <c r="E4" s="10">
        <f>IFERROR(__xludf.DUMMYFUNCTION("""COMPUTED_VALUE"""),0.2448)</f>
      </c>
      <c r="F4" s="10">
        <f>IFERROR(__xludf.DUMMYFUNCTION("""COMPUTED_VALUE"""),0.8261)</f>
      </c>
      <c r="G4" s="10">
        <f>IFERROR(__xludf.DUMMYFUNCTION("""COMPUTED_VALUE"""),0.1976)</f>
      </c>
    </row>
    <row x14ac:dyDescent="0.25" r="5" customHeight="1" ht="15.75">
      <c r="A5" s="8">
        <f>IFERROR(__xludf.DUMMYFUNCTION("""COMPUTED_VALUE"""),25274.0)</f>
      </c>
      <c r="B5" s="9">
        <f>IFERROR(__xludf.DUMMYFUNCTION("""COMPUTED_VALUE"""),"BAIXADAS LITORANEAS")</f>
      </c>
      <c r="C5" s="9">
        <f>IFERROR(__xludf.DUMMYFUNCTION("""COMPUTED_VALUE"""),"CE AURELINO LEAL")</f>
      </c>
      <c r="D5" s="10">
        <f>IFERROR(__xludf.DUMMYFUNCTION("""COMPUTED_VALUE"""),0.944)</f>
      </c>
      <c r="E5" s="10">
        <f>IFERROR(__xludf.DUMMYFUNCTION("""COMPUTED_VALUE"""),0.1499)</f>
      </c>
      <c r="F5" s="10">
        <f>IFERROR(__xludf.DUMMYFUNCTION("""COMPUTED_VALUE"""),0.6905)</f>
      </c>
      <c r="G5" s="10">
        <f>IFERROR(__xludf.DUMMYFUNCTION("""COMPUTED_VALUE"""),0.3251)</f>
      </c>
    </row>
    <row x14ac:dyDescent="0.25" r="6" customHeight="1" ht="15.75">
      <c r="A6" s="8">
        <f>IFERROR(__xludf.DUMMYFUNCTION("""COMPUTED_VALUE"""),25275.0)</f>
      </c>
      <c r="B6" s="9">
        <f>IFERROR(__xludf.DUMMYFUNCTION("""COMPUTED_VALUE"""),"BAIXADAS LITORANEAS")</f>
      </c>
      <c r="C6" s="9">
        <f>IFERROR(__xludf.DUMMYFUNCTION("""COMPUTED_VALUE"""),"CE BALTAZAR BERNARDINO")</f>
      </c>
      <c r="D6" s="10">
        <f>IFERROR(__xludf.DUMMYFUNCTION("""COMPUTED_VALUE"""),0.7405)</f>
      </c>
      <c r="E6" s="10">
        <f>IFERROR(__xludf.DUMMYFUNCTION("""COMPUTED_VALUE"""),0.1534)</f>
      </c>
      <c r="F6" s="10">
        <f>IFERROR(__xludf.DUMMYFUNCTION("""COMPUTED_VALUE"""),0.0075)</f>
      </c>
      <c r="G6" s="10">
        <f>IFERROR(__xludf.DUMMYFUNCTION("""COMPUTED_VALUE"""),0.1833)</f>
      </c>
    </row>
    <row x14ac:dyDescent="0.25" r="7" customHeight="1" ht="15.75">
      <c r="A7" s="8">
        <f>IFERROR(__xludf.DUMMYFUNCTION("""COMPUTED_VALUE"""),25315.0)</f>
      </c>
      <c r="B7" s="9">
        <f>IFERROR(__xludf.DUMMYFUNCTION("""COMPUTED_VALUE"""),"BAIXADAS LITORANEAS")</f>
      </c>
      <c r="C7" s="9">
        <f>IFERROR(__xludf.DUMMYFUNCTION("""COMPUTED_VALUE"""),"CE BARAO DO RIO BRANCO")</f>
      </c>
      <c r="D7" s="10">
        <f>IFERROR(__xludf.DUMMYFUNCTION("""COMPUTED_VALUE"""),0.9512)</f>
      </c>
      <c r="E7" s="10">
        <f>IFERROR(__xludf.DUMMYFUNCTION("""COMPUTED_VALUE"""),0.2235)</f>
      </c>
      <c r="F7" s="10">
        <f>IFERROR(__xludf.DUMMYFUNCTION("""COMPUTED_VALUE"""),0.8659)</f>
      </c>
      <c r="G7" s="10">
        <f>IFERROR(__xludf.DUMMYFUNCTION("""COMPUTED_VALUE"""),0.1592)</f>
      </c>
    </row>
    <row x14ac:dyDescent="0.25" r="8" customHeight="1" ht="15.75">
      <c r="A8" s="8">
        <f>IFERROR(__xludf.DUMMYFUNCTION("""COMPUTED_VALUE"""),25316.0)</f>
      </c>
      <c r="B8" s="9">
        <f>IFERROR(__xludf.DUMMYFUNCTION("""COMPUTED_VALUE"""),"BAIXADAS LITORANEAS")</f>
      </c>
      <c r="C8" s="9">
        <f>IFERROR(__xludf.DUMMYFUNCTION("""COMPUTED_VALUE"""),"CE BERNARDINO DA COSTA LOPES")</f>
      </c>
      <c r="D8" s="10">
        <f>IFERROR(__xludf.DUMMYFUNCTION("""COMPUTED_VALUE"""),0.5679)</f>
      </c>
      <c r="E8" s="10">
        <f>IFERROR(__xludf.DUMMYFUNCTION("""COMPUTED_VALUE"""),0.1928)</f>
      </c>
      <c r="F8" s="10">
        <f>IFERROR(__xludf.DUMMYFUNCTION("""COMPUTED_VALUE"""),0.7037)</f>
      </c>
      <c r="G8" s="10">
        <f>IFERROR(__xludf.DUMMYFUNCTION("""COMPUTED_VALUE"""),0.1821)</f>
      </c>
    </row>
    <row x14ac:dyDescent="0.25" r="9" customHeight="1" ht="15.75">
      <c r="A9" s="8">
        <f>IFERROR(__xludf.DUMMYFUNCTION("""COMPUTED_VALUE"""),25276.0)</f>
      </c>
      <c r="B9" s="9">
        <f>IFERROR(__xludf.DUMMYFUNCTION("""COMPUTED_VALUE"""),"BAIXADAS LITORANEAS")</f>
      </c>
      <c r="C9" s="9">
        <f>IFERROR(__xludf.DUMMYFUNCTION("""COMPUTED_VALUE"""),"CE BRIGADEIRO CASTRIOTO - BRASIL-ESPANHA")</f>
      </c>
      <c r="D9" s="10">
        <f>IFERROR(__xludf.DUMMYFUNCTION("""COMPUTED_VALUE"""),0.9695)</f>
      </c>
      <c r="E9" s="10">
        <f>IFERROR(__xludf.DUMMYFUNCTION("""COMPUTED_VALUE"""),0.2004)</f>
      </c>
      <c r="F9" s="10">
        <f>IFERROR(__xludf.DUMMYFUNCTION("""COMPUTED_VALUE"""),0.771)</f>
      </c>
      <c r="G9" s="10">
        <f>IFERROR(__xludf.DUMMYFUNCTION("""COMPUTED_VALUE"""),0.2442)</f>
      </c>
    </row>
    <row x14ac:dyDescent="0.25" r="10" customHeight="1" ht="15.75">
      <c r="A10" s="8">
        <f>IFERROR(__xludf.DUMMYFUNCTION("""COMPUTED_VALUE"""),25317.0)</f>
      </c>
      <c r="B10" s="9">
        <f>IFERROR(__xludf.DUMMYFUNCTION("""COMPUTED_VALUE"""),"BAIXADAS LITORANEAS")</f>
      </c>
      <c r="C10" s="9">
        <f>IFERROR(__xludf.DUMMYFUNCTION("""COMPUTED_VALUE"""),"CE CABO PM RAPHAEL DE OLIVEIRA MONTEIRO")</f>
      </c>
      <c r="D10" s="10">
        <f>IFERROR(__xludf.DUMMYFUNCTION("""COMPUTED_VALUE"""),0.9722)</f>
      </c>
      <c r="E10" s="10">
        <f>IFERROR(__xludf.DUMMYFUNCTION("""COMPUTED_VALUE"""),0.3243)</f>
      </c>
      <c r="F10" s="10">
        <f>IFERROR(__xludf.DUMMYFUNCTION("""COMPUTED_VALUE"""),0.9444)</f>
      </c>
      <c r="G10" s="10">
        <f>IFERROR(__xludf.DUMMYFUNCTION("""COMPUTED_VALUE"""),0.2788)</f>
      </c>
    </row>
    <row x14ac:dyDescent="0.25" r="11" customHeight="1" ht="15.75">
      <c r="A11" s="8">
        <f>IFERROR(__xludf.DUMMYFUNCTION("""COMPUTED_VALUE"""),25263.0)</f>
      </c>
      <c r="B11" s="9">
        <f>IFERROR(__xludf.DUMMYFUNCTION("""COMPUTED_VALUE"""),"BAIXADAS LITORANEAS")</f>
      </c>
      <c r="C11" s="9">
        <f>IFERROR(__xludf.DUMMYFUNCTION("""COMPUTED_VALUE"""),"CE CAIO FRANCISCO DE FIGUEIREDO")</f>
      </c>
      <c r="D11" s="10">
        <f>IFERROR(__xludf.DUMMYFUNCTION("""COMPUTED_VALUE"""),0.7299)</f>
      </c>
      <c r="E11" s="10">
        <f>IFERROR(__xludf.DUMMYFUNCTION("""COMPUTED_VALUE"""),0.2279)</f>
      </c>
      <c r="F11" s="10">
        <f>IFERROR(__xludf.DUMMYFUNCTION("""COMPUTED_VALUE"""),0.6752)</f>
      </c>
      <c r="G11" s="10">
        <f>IFERROR(__xludf.DUMMYFUNCTION("""COMPUTED_VALUE"""),0.1964)</f>
      </c>
    </row>
    <row x14ac:dyDescent="0.25" r="12" customHeight="1" ht="15.75">
      <c r="A12" s="8">
        <f>IFERROR(__xludf.DUMMYFUNCTION("""COMPUTED_VALUE"""),25277.0)</f>
      </c>
      <c r="B12" s="9">
        <f>IFERROR(__xludf.DUMMYFUNCTION("""COMPUTED_VALUE"""),"BAIXADAS LITORANEAS")</f>
      </c>
      <c r="C12" s="9">
        <f>IFERROR(__xludf.DUMMYFUNCTION("""COMPUTED_VALUE"""),"CE CIZINIO SOARES PINTO")</f>
      </c>
      <c r="D12" s="10">
        <f>IFERROR(__xludf.DUMMYFUNCTION("""COMPUTED_VALUE"""),0.6543)</f>
      </c>
      <c r="E12" s="10">
        <f>IFERROR(__xludf.DUMMYFUNCTION("""COMPUTED_VALUE"""),0.2324)</f>
      </c>
      <c r="F12" s="10">
        <f>IFERROR(__xludf.DUMMYFUNCTION("""COMPUTED_VALUE"""),0.5035)</f>
      </c>
      <c r="G12" s="10">
        <f>IFERROR(__xludf.DUMMYFUNCTION("""COMPUTED_VALUE"""),0.1895)</f>
      </c>
    </row>
    <row x14ac:dyDescent="0.25" r="13" customHeight="1" ht="15.75">
      <c r="A13" s="8">
        <f>IFERROR(__xludf.DUMMYFUNCTION("""COMPUTED_VALUE"""),25278.0)</f>
      </c>
      <c r="B13" s="9">
        <f>IFERROR(__xludf.DUMMYFUNCTION("""COMPUTED_VALUE"""),"BAIXADAS LITORANEAS")</f>
      </c>
      <c r="C13" s="9">
        <f>IFERROR(__xludf.DUMMYFUNCTION("""COMPUTED_VALUE"""),"CE CONSELHEIRO JOSINO")</f>
      </c>
      <c r="D13" s="10">
        <f>IFERROR(__xludf.DUMMYFUNCTION("""COMPUTED_VALUE"""),0.5208)</f>
      </c>
      <c r="E13" s="10">
        <f>IFERROR(__xludf.DUMMYFUNCTION("""COMPUTED_VALUE"""),0.2061)</f>
      </c>
      <c r="F13" s="10">
        <f>IFERROR(__xludf.DUMMYFUNCTION("""COMPUTED_VALUE"""),0.5424)</f>
      </c>
      <c r="G13" s="10">
        <f>IFERROR(__xludf.DUMMYFUNCTION("""COMPUTED_VALUE"""),0.2006)</f>
      </c>
    </row>
    <row x14ac:dyDescent="0.25" r="14" customHeight="1" ht="15.75">
      <c r="A14" s="8">
        <f>IFERROR(__xludf.DUMMYFUNCTION("""COMPUTED_VALUE"""),25279.0)</f>
      </c>
      <c r="B14" s="9">
        <f>IFERROR(__xludf.DUMMYFUNCTION("""COMPUTED_VALUE"""),"BAIXADAS LITORANEAS")</f>
      </c>
      <c r="C14" s="9">
        <f>IFERROR(__xludf.DUMMYFUNCTION("""COMPUTED_VALUE"""),"CE CONSELHEIRO MACEDO SOARES")</f>
      </c>
      <c r="D14" s="10">
        <f>IFERROR(__xludf.DUMMYFUNCTION("""COMPUTED_VALUE"""),0.9617)</f>
      </c>
      <c r="E14" s="10">
        <f>IFERROR(__xludf.DUMMYFUNCTION("""COMPUTED_VALUE"""),0.1538)</f>
      </c>
      <c r="F14" s="10">
        <f>IFERROR(__xludf.DUMMYFUNCTION("""COMPUTED_VALUE"""),0.587)</f>
      </c>
      <c r="G14" s="10">
        <f>IFERROR(__xludf.DUMMYFUNCTION("""COMPUTED_VALUE"""),0.2173)</f>
      </c>
    </row>
    <row x14ac:dyDescent="0.25" r="15" customHeight="1" ht="15.75">
      <c r="A15" s="8">
        <f>IFERROR(__xludf.DUMMYFUNCTION("""COMPUTED_VALUE"""),25280.0)</f>
      </c>
      <c r="B15" s="9">
        <f>IFERROR(__xludf.DUMMYFUNCTION("""COMPUTED_VALUE"""),"BAIXADAS LITORANEAS")</f>
      </c>
      <c r="C15" s="9">
        <f>IFERROR(__xludf.DUMMYFUNCTION("""COMPUTED_VALUE"""),"CE DAVID CAPISTRANO")</f>
      </c>
      <c r="D15" s="10">
        <f>IFERROR(__xludf.DUMMYFUNCTION("""COMPUTED_VALUE"""),0.9839)</f>
      </c>
      <c r="E15" s="10">
        <f>IFERROR(__xludf.DUMMYFUNCTION("""COMPUTED_VALUE"""),0.1887)</f>
      </c>
      <c r="F15" s="10">
        <f>IFERROR(__xludf.DUMMYFUNCTION("""COMPUTED_VALUE"""),0.7516)</f>
      </c>
      <c r="G15" s="10">
        <f>IFERROR(__xludf.DUMMYFUNCTION("""COMPUTED_VALUE"""),0.198)</f>
      </c>
    </row>
    <row x14ac:dyDescent="0.25" r="16" customHeight="1" ht="15.75">
      <c r="A16" s="8">
        <f>IFERROR(__xludf.DUMMYFUNCTION("""COMPUTED_VALUE"""),25318.0)</f>
      </c>
      <c r="B16" s="9">
        <f>IFERROR(__xludf.DUMMYFUNCTION("""COMPUTED_VALUE"""),"BAIXADAS LITORANEAS")</f>
      </c>
      <c r="C16" s="9">
        <f>IFERROR(__xludf.DUMMYFUNCTION("""COMPUTED_VALUE"""),"CE DESEMBARGADOR JOSE AUGUSTO COELHO ROCHA JUNIOR")</f>
      </c>
      <c r="D16" s="10">
        <f>IFERROR(__xludf.DUMMYFUNCTION("""COMPUTED_VALUE"""),0.9602)</f>
      </c>
      <c r="E16" s="10">
        <f>IFERROR(__xludf.DUMMYFUNCTION("""COMPUTED_VALUE"""),0.1904)</f>
      </c>
      <c r="F16" s="10">
        <f>IFERROR(__xludf.DUMMYFUNCTION("""COMPUTED_VALUE"""),0.5962)</f>
      </c>
      <c r="G16" s="10">
        <f>IFERROR(__xludf.DUMMYFUNCTION("""COMPUTED_VALUE"""),0.2069)</f>
      </c>
    </row>
    <row x14ac:dyDescent="0.25" r="17" customHeight="1" ht="15.75">
      <c r="A17" s="8">
        <f>IFERROR(__xludf.DUMMYFUNCTION("""COMPUTED_VALUE"""),25264.0)</f>
      </c>
      <c r="B17" s="9">
        <f>IFERROR(__xludf.DUMMYFUNCTION("""COMPUTED_VALUE"""),"BAIXADAS LITORANEAS")</f>
      </c>
      <c r="C17" s="9">
        <f>IFERROR(__xludf.DUMMYFUNCTION("""COMPUTED_VALUE"""),"CE DOMICIO DA GAMA")</f>
      </c>
      <c r="D17" s="10">
        <f>IFERROR(__xludf.DUMMYFUNCTION("""COMPUTED_VALUE"""),0.9467)</f>
      </c>
      <c r="E17" s="10">
        <f>IFERROR(__xludf.DUMMYFUNCTION("""COMPUTED_VALUE"""),0.2129)</f>
      </c>
      <c r="F17" s="10">
        <f>IFERROR(__xludf.DUMMYFUNCTION("""COMPUTED_VALUE"""),0.9918)</f>
      </c>
      <c r="G17" s="10">
        <f>IFERROR(__xludf.DUMMYFUNCTION("""COMPUTED_VALUE"""),0.1251)</f>
      </c>
    </row>
    <row x14ac:dyDescent="0.25" r="18" customHeight="1" ht="15.75">
      <c r="A18" s="8">
        <f>IFERROR(__xludf.DUMMYFUNCTION("""COMPUTED_VALUE"""),25322.0)</f>
      </c>
      <c r="B18" s="9">
        <f>IFERROR(__xludf.DUMMYFUNCTION("""COMPUTED_VALUE"""),"BAIXADAS LITORANEAS")</f>
      </c>
      <c r="C18" s="9">
        <f>IFERROR(__xludf.DUMMYFUNCTION("""COMPUTED_VALUE"""),"CE DOUTOR FELICIANO SODRE")</f>
      </c>
      <c r="D18" s="10">
        <f>IFERROR(__xludf.DUMMYFUNCTION("""COMPUTED_VALUE"""),0.6749)</f>
      </c>
      <c r="E18" s="10">
        <f>IFERROR(__xludf.DUMMYFUNCTION("""COMPUTED_VALUE"""),0.2341)</f>
      </c>
      <c r="F18" s="10">
        <f>IFERROR(__xludf.DUMMYFUNCTION("""COMPUTED_VALUE"""),0.4577)</f>
      </c>
      <c r="G18" s="10">
        <f>IFERROR(__xludf.DUMMYFUNCTION("""COMPUTED_VALUE"""),0.1923)</f>
      </c>
    </row>
    <row x14ac:dyDescent="0.25" r="19" customHeight="1" ht="15.75">
      <c r="A19" s="8">
        <f>IFERROR(__xludf.DUMMYFUNCTION("""COMPUTED_VALUE"""),25261.0)</f>
      </c>
      <c r="B19" s="9">
        <f>IFERROR(__xludf.DUMMYFUNCTION("""COMPUTED_VALUE"""),"BAIXADAS LITORANEAS")</f>
      </c>
      <c r="C19" s="9">
        <f>IFERROR(__xludf.DUMMYFUNCTION("""COMPUTED_VALUE"""),"CE DOUTOR FRANCISCO DE PAULA PARANHOS")</f>
      </c>
      <c r="D19" s="10">
        <f>IFERROR(__xludf.DUMMYFUNCTION("""COMPUTED_VALUE"""),0.5458)</f>
      </c>
      <c r="E19" s="10">
        <f>IFERROR(__xludf.DUMMYFUNCTION("""COMPUTED_VALUE"""),0.2182)</f>
      </c>
      <c r="F19" s="10">
        <f>IFERROR(__xludf.DUMMYFUNCTION("""COMPUTED_VALUE"""),0.5548)</f>
      </c>
      <c r="G19" s="10">
        <f>IFERROR(__xludf.DUMMYFUNCTION("""COMPUTED_VALUE"""),0.2019)</f>
      </c>
    </row>
    <row x14ac:dyDescent="0.25" r="20" customHeight="1" ht="15.75">
      <c r="A20" s="8">
        <f>IFERROR(__xludf.DUMMYFUNCTION("""COMPUTED_VALUE"""),25265.0)</f>
      </c>
      <c r="B20" s="9">
        <f>IFERROR(__xludf.DUMMYFUNCTION("""COMPUTED_VALUE"""),"BAIXADAS LITORANEAS")</f>
      </c>
      <c r="C20" s="9">
        <f>IFERROR(__xludf.DUMMYFUNCTION("""COMPUTED_VALUE"""),"CE DOUTOR JOAO GOMES DE MATTOS SOBRINHO")</f>
      </c>
      <c r="D20" s="10">
        <f>IFERROR(__xludf.DUMMYFUNCTION("""COMPUTED_VALUE"""),0.81)</f>
      </c>
      <c r="E20" s="10">
        <f>IFERROR(__xludf.DUMMYFUNCTION("""COMPUTED_VALUE"""),0.1791)</f>
      </c>
      <c r="F20" s="10">
        <f>IFERROR(__xludf.DUMMYFUNCTION("""COMPUTED_VALUE"""),0.7125)</f>
      </c>
      <c r="G20" s="10">
        <f>IFERROR(__xludf.DUMMYFUNCTION("""COMPUTED_VALUE"""),0.1972)</f>
      </c>
    </row>
    <row x14ac:dyDescent="0.25" r="21" customHeight="1" ht="15.75">
      <c r="A21" s="8">
        <f>IFERROR(__xludf.DUMMYFUNCTION("""COMPUTED_VALUE"""),25281.0)</f>
      </c>
      <c r="B21" s="9">
        <f>IFERROR(__xludf.DUMMYFUNCTION("""COMPUTED_VALUE"""),"BAIXADAS LITORANEAS")</f>
      </c>
      <c r="C21" s="9">
        <f>IFERROR(__xludf.DUMMYFUNCTION("""COMPUTED_VALUE"""),"CE DOUTOR LUCIANO PESTRE")</f>
      </c>
      <c r="D21" s="10">
        <f>IFERROR(__xludf.DUMMYFUNCTION("""COMPUTED_VALUE"""),0.7246)</f>
      </c>
      <c r="E21" s="10">
        <f>IFERROR(__xludf.DUMMYFUNCTION("""COMPUTED_VALUE"""),0.2245)</f>
      </c>
      <c r="F21" s="10">
        <f>IFERROR(__xludf.DUMMYFUNCTION("""COMPUTED_VALUE"""),0.561)</f>
      </c>
      <c r="G21" s="10">
        <f>IFERROR(__xludf.DUMMYFUNCTION("""COMPUTED_VALUE"""),0.1978)</f>
      </c>
    </row>
    <row x14ac:dyDescent="0.25" r="22" customHeight="1" ht="15.75">
      <c r="A22" s="8">
        <f>IFERROR(__xludf.DUMMYFUNCTION("""COMPUTED_VALUE"""),25282.0)</f>
      </c>
      <c r="B22" s="9">
        <f>IFERROR(__xludf.DUMMYFUNCTION("""COMPUTED_VALUE"""),"BAIXADAS LITORANEAS")</f>
      </c>
      <c r="C22" s="9">
        <f>IFERROR(__xludf.DUMMYFUNCTION("""COMPUTED_VALUE"""),"CE DOUTOR SOUZA SOARES")</f>
      </c>
      <c r="D22" s="10">
        <f>IFERROR(__xludf.DUMMYFUNCTION("""COMPUTED_VALUE"""),1.0)</f>
      </c>
      <c r="E22" s="10">
        <f>IFERROR(__xludf.DUMMYFUNCTION("""COMPUTED_VALUE"""),0.2445)</f>
      </c>
      <c r="F22" s="10">
        <f>IFERROR(__xludf.DUMMYFUNCTION("""COMPUTED_VALUE"""),1.0)</f>
      </c>
      <c r="G22" s="10">
        <f>IFERROR(__xludf.DUMMYFUNCTION("""COMPUTED_VALUE"""),0.1807)</f>
      </c>
    </row>
    <row x14ac:dyDescent="0.25" r="23" customHeight="1" ht="15.75">
      <c r="A23" s="8">
        <f>IFERROR(__xludf.DUMMYFUNCTION("""COMPUTED_VALUE"""),25329.0)</f>
      </c>
      <c r="B23" s="9">
        <f>IFERROR(__xludf.DUMMYFUNCTION("""COMPUTED_VALUE"""),"BAIXADAS LITORANEAS")</f>
      </c>
      <c r="C23" s="9">
        <f>IFERROR(__xludf.DUMMYFUNCTION("""COMPUTED_VALUE"""),"CE DUCLER LAUREANO MATOS")</f>
      </c>
      <c r="D23" s="10">
        <f>IFERROR(__xludf.DUMMYFUNCTION("""COMPUTED_VALUE"""),0.9708)</f>
      </c>
      <c r="E23" s="10">
        <f>IFERROR(__xludf.DUMMYFUNCTION("""COMPUTED_VALUE"""),0.1973)</f>
      </c>
      <c r="F23" s="10">
        <f>IFERROR(__xludf.DUMMYFUNCTION("""COMPUTED_VALUE"""),0.6058)</f>
      </c>
      <c r="G23" s="10">
        <f>IFERROR(__xludf.DUMMYFUNCTION("""COMPUTED_VALUE"""),0.2058)</f>
      </c>
    </row>
    <row x14ac:dyDescent="0.25" r="24" customHeight="1" ht="15.75">
      <c r="A24" s="8">
        <f>IFERROR(__xludf.DUMMYFUNCTION("""COMPUTED_VALUE"""),25239.0)</f>
      </c>
      <c r="B24" s="9">
        <f>IFERROR(__xludf.DUMMYFUNCTION("""COMPUTED_VALUE"""),"BAIXADAS LITORANEAS")</f>
      </c>
      <c r="C24" s="9">
        <f>IFERROR(__xludf.DUMMYFUNCTION("""COMPUTED_VALUE"""),"CE EDMUNDO SILVA")</f>
      </c>
      <c r="D24" s="10">
        <f>IFERROR(__xludf.DUMMYFUNCTION("""COMPUTED_VALUE"""),0.6743)</f>
      </c>
      <c r="E24" s="10">
        <f>IFERROR(__xludf.DUMMYFUNCTION("""COMPUTED_VALUE"""),0.2498)</f>
      </c>
      <c r="F24" s="10">
        <f>IFERROR(__xludf.DUMMYFUNCTION("""COMPUTED_VALUE"""),0.3754)</f>
      </c>
      <c r="G24" s="10">
        <f>IFERROR(__xludf.DUMMYFUNCTION("""COMPUTED_VALUE"""),0.1998)</f>
      </c>
    </row>
    <row x14ac:dyDescent="0.25" r="25" customHeight="1" ht="15.75">
      <c r="A25" s="8">
        <f>IFERROR(__xludf.DUMMYFUNCTION("""COMPUTED_VALUE"""),25266.0)</f>
      </c>
      <c r="B25" s="9">
        <f>IFERROR(__xludf.DUMMYFUNCTION("""COMPUTED_VALUE"""),"BAIXADAS LITORANEAS")</f>
      </c>
      <c r="C25" s="9">
        <f>IFERROR(__xludf.DUMMYFUNCTION("""COMPUTED_VALUE"""),"CE ELISIARIO MATTA")</f>
      </c>
      <c r="D25" s="10">
        <f>IFERROR(__xludf.DUMMYFUNCTION("""COMPUTED_VALUE"""),0.2847)</f>
      </c>
      <c r="E25" s="10">
        <f>IFERROR(__xludf.DUMMYFUNCTION("""COMPUTED_VALUE"""),0.2262)</f>
      </c>
      <c r="F25" s="10">
        <f>IFERROR(__xludf.DUMMYFUNCTION("""COMPUTED_VALUE"""),0.2832)</f>
      </c>
      <c r="G25" s="10">
        <f>IFERROR(__xludf.DUMMYFUNCTION("""COMPUTED_VALUE"""),0.1951)</f>
      </c>
    </row>
    <row x14ac:dyDescent="0.25" r="26" customHeight="1" ht="15.75">
      <c r="A26" s="8">
        <f>IFERROR(__xludf.DUMMYFUNCTION("""COMPUTED_VALUE"""),25284.0)</f>
      </c>
      <c r="B26" s="9">
        <f>IFERROR(__xludf.DUMMYFUNCTION("""COMPUTED_VALUE"""),"BAIXADAS LITORANEAS")</f>
      </c>
      <c r="C26" s="9">
        <f>IFERROR(__xludf.DUMMYFUNCTION("""COMPUTED_VALUE"""),"CE EMBAIXADOR RAUL FERNANDES")</f>
      </c>
      <c r="D26" s="10">
        <f>IFERROR(__xludf.DUMMYFUNCTION("""COMPUTED_VALUE"""),0.8333)</f>
      </c>
      <c r="E26" s="10">
        <f>IFERROR(__xludf.DUMMYFUNCTION("""COMPUTED_VALUE"""),0.2907)</f>
      </c>
      <c r="F26" s="10">
        <f>IFERROR(__xludf.DUMMYFUNCTION("""COMPUTED_VALUE"""),0.7)</f>
      </c>
      <c r="G26" s="10">
        <f>IFERROR(__xludf.DUMMYFUNCTION("""COMPUTED_VALUE"""),0.2171)</f>
      </c>
    </row>
    <row x14ac:dyDescent="0.25" r="27" customHeight="1" ht="15.75">
      <c r="A27" s="8">
        <f>IFERROR(__xludf.DUMMYFUNCTION("""COMPUTED_VALUE"""),25267.0)</f>
      </c>
      <c r="B27" s="9">
        <f>IFERROR(__xludf.DUMMYFUNCTION("""COMPUTED_VALUE"""),"BAIXADAS LITORANEAS")</f>
      </c>
      <c r="C27" s="9">
        <f>IFERROR(__xludf.DUMMYFUNCTION("""COMPUTED_VALUE"""),"CE EUCLYDES PAULO DA SILVA")</f>
      </c>
      <c r="D27" s="10">
        <f>IFERROR(__xludf.DUMMYFUNCTION("""COMPUTED_VALUE"""),0.7825)</f>
      </c>
      <c r="E27" s="10">
        <f>IFERROR(__xludf.DUMMYFUNCTION("""COMPUTED_VALUE"""),0.1734)</f>
      </c>
      <c r="F27" s="10">
        <f>IFERROR(__xludf.DUMMYFUNCTION("""COMPUTED_VALUE"""),1.0)</f>
      </c>
      <c r="G27" s="10">
        <f>IFERROR(__xludf.DUMMYFUNCTION("""COMPUTED_VALUE"""),0.1108)</f>
      </c>
    </row>
    <row x14ac:dyDescent="0.25" r="28" customHeight="1" ht="15.75">
      <c r="A28" s="8">
        <f>IFERROR(__xludf.DUMMYFUNCTION("""COMPUTED_VALUE"""),25285.0)</f>
      </c>
      <c r="B28" s="9">
        <f>IFERROR(__xludf.DUMMYFUNCTION("""COMPUTED_VALUE"""),"BAIXADAS LITORANEAS")</f>
      </c>
      <c r="C28" s="9">
        <f>IFERROR(__xludf.DUMMYFUNCTION("""COMPUTED_VALUE"""),"CE FERNANDO MAGALHAES")</f>
      </c>
      <c r="D28" s="10">
        <f>IFERROR(__xludf.DUMMYFUNCTION("""COMPUTED_VALUE"""),0.7767)</f>
      </c>
      <c r="E28" s="10">
        <f>IFERROR(__xludf.DUMMYFUNCTION("""COMPUTED_VALUE"""),0.2317)</f>
      </c>
      <c r="F28" s="10">
        <f>IFERROR(__xludf.DUMMYFUNCTION("""COMPUTED_VALUE"""),0.7864)</f>
      </c>
      <c r="G28" s="10">
        <f>IFERROR(__xludf.DUMMYFUNCTION("""COMPUTED_VALUE"""),0.1914)</f>
      </c>
    </row>
    <row x14ac:dyDescent="0.25" r="29" customHeight="1" ht="15.75">
      <c r="A29" s="8">
        <f>IFERROR(__xludf.DUMMYFUNCTION("""COMPUTED_VALUE"""),25268.0)</f>
      </c>
      <c r="B29" s="9">
        <f>IFERROR(__xludf.DUMMYFUNCTION("""COMPUTED_VALUE"""),"BAIXADAS LITORANEAS")</f>
      </c>
      <c r="C29" s="9">
        <f>IFERROR(__xludf.DUMMYFUNCTION("""COMPUTED_VALUE"""),"CE FRANCISCO JOSE DO NASCIMENTO")</f>
      </c>
      <c r="D29" s="10">
        <f>IFERROR(__xludf.DUMMYFUNCTION("""COMPUTED_VALUE"""),0.8481)</f>
      </c>
      <c r="E29" s="10">
        <f>IFERROR(__xludf.DUMMYFUNCTION("""COMPUTED_VALUE"""),0.1783)</f>
      </c>
      <c r="F29" s="10">
        <f>IFERROR(__xludf.DUMMYFUNCTION("""COMPUTED_VALUE"""),0.7037)</f>
      </c>
      <c r="G29" s="10">
        <f>IFERROR(__xludf.DUMMYFUNCTION("""COMPUTED_VALUE"""),0.2103)</f>
      </c>
    </row>
    <row x14ac:dyDescent="0.25" r="30" customHeight="1" ht="15.75">
      <c r="A30" s="8">
        <f>IFERROR(__xludf.DUMMYFUNCTION("""COMPUTED_VALUE"""),25286.0)</f>
      </c>
      <c r="B30" s="9">
        <f>IFERROR(__xludf.DUMMYFUNCTION("""COMPUTED_VALUE"""),"BAIXADAS LITORANEAS")</f>
      </c>
      <c r="C30" s="9">
        <f>IFERROR(__xludf.DUMMYFUNCTION("""COMPUTED_VALUE"""),"CE GUILHERME BRIGGS - BRASIL-ESPANHA")</f>
      </c>
      <c r="D30" s="10">
        <f>IFERROR(__xludf.DUMMYFUNCTION("""COMPUTED_VALUE"""),0.9844)</f>
      </c>
      <c r="E30" s="10">
        <f>IFERROR(__xludf.DUMMYFUNCTION("""COMPUTED_VALUE"""),0.2081)</f>
      </c>
      <c r="F30" s="10">
        <f>IFERROR(__xludf.DUMMYFUNCTION("""COMPUTED_VALUE"""),0.6748)</f>
      </c>
      <c r="G30" s="10">
        <f>IFERROR(__xludf.DUMMYFUNCTION("""COMPUTED_VALUE"""),0.2211)</f>
      </c>
    </row>
    <row x14ac:dyDescent="0.25" r="31" customHeight="1" ht="15.75">
      <c r="A31" s="8">
        <f>IFERROR(__xludf.DUMMYFUNCTION("""COMPUTED_VALUE"""),25287.0)</f>
      </c>
      <c r="B31" s="9">
        <f>IFERROR(__xludf.DUMMYFUNCTION("""COMPUTED_VALUE"""),"BAIXADAS LITORANEAS")</f>
      </c>
      <c r="C31" s="9">
        <f>IFERROR(__xludf.DUMMYFUNCTION("""COMPUTED_VALUE"""),"CE HILARIO RIBEIRO")</f>
      </c>
      <c r="D31" s="10">
        <f>IFERROR(__xludf.DUMMYFUNCTION("""COMPUTED_VALUE"""),0.7308)</f>
      </c>
      <c r="E31" s="10">
        <f>IFERROR(__xludf.DUMMYFUNCTION("""COMPUTED_VALUE"""),0.2154)</f>
      </c>
      <c r="F31" s="10">
        <f>IFERROR(__xludf.DUMMYFUNCTION("""COMPUTED_VALUE"""),0.5923)</f>
      </c>
      <c r="G31" s="10">
        <f>IFERROR(__xludf.DUMMYFUNCTION("""COMPUTED_VALUE"""),0.1868)</f>
      </c>
    </row>
    <row x14ac:dyDescent="0.25" r="32" customHeight="1" ht="15.75">
      <c r="A32" s="8">
        <f>IFERROR(__xludf.DUMMYFUNCTION("""COMPUTED_VALUE"""),25330.0)</f>
      </c>
      <c r="B32" s="9">
        <f>IFERROR(__xludf.DUMMYFUNCTION("""COMPUTED_VALUE"""),"BAIXADAS LITORANEAS")</f>
      </c>
      <c r="C32" s="9">
        <f>IFERROR(__xludf.DUMMYFUNCTION("""COMPUTED_VALUE"""),"CE ISMENIA DE BARROS BARROSO")</f>
      </c>
      <c r="D32" s="10">
        <f>IFERROR(__xludf.DUMMYFUNCTION("""COMPUTED_VALUE"""),0.9492)</f>
      </c>
      <c r="E32" s="10">
        <f>IFERROR(__xludf.DUMMYFUNCTION("""COMPUTED_VALUE"""),0.1686)</f>
      </c>
      <c r="F32" s="10">
        <f>IFERROR(__xludf.DUMMYFUNCTION("""COMPUTED_VALUE"""),0.6447)</f>
      </c>
      <c r="G32" s="10">
        <f>IFERROR(__xludf.DUMMYFUNCTION("""COMPUTED_VALUE"""),0.2012)</f>
      </c>
    </row>
    <row x14ac:dyDescent="0.25" r="33" customHeight="1" ht="15.75">
      <c r="A33" s="8">
        <f>IFERROR(__xludf.DUMMYFUNCTION("""COMPUTED_VALUE"""),25247.0)</f>
      </c>
      <c r="B33" s="9">
        <f>IFERROR(__xludf.DUMMYFUNCTION("""COMPUTED_VALUE"""),"BAIXADAS LITORANEAS")</f>
      </c>
      <c r="C33" s="9">
        <f>IFERROR(__xludf.DUMMYFUNCTION("""COMPUTED_VALUE"""),"CE JOAO DE OLIVEIRA BOTAS")</f>
      </c>
      <c r="D33" s="10">
        <f>IFERROR(__xludf.DUMMYFUNCTION("""COMPUTED_VALUE"""),0.8907)</f>
      </c>
      <c r="E33" s="10">
        <f>IFERROR(__xludf.DUMMYFUNCTION("""COMPUTED_VALUE"""),0.1157)</f>
      </c>
      <c r="F33" s="10">
        <f>IFERROR(__xludf.DUMMYFUNCTION("""COMPUTED_VALUE"""),0.561)</f>
      </c>
      <c r="G33" s="10">
        <f>IFERROR(__xludf.DUMMYFUNCTION("""COMPUTED_VALUE"""),0.189)</f>
      </c>
    </row>
    <row x14ac:dyDescent="0.25" r="34" customHeight="1" ht="15.75">
      <c r="A34" s="8">
        <f>IFERROR(__xludf.DUMMYFUNCTION("""COMPUTED_VALUE"""),25288.0)</f>
      </c>
      <c r="B34" s="9">
        <f>IFERROR(__xludf.DUMMYFUNCTION("""COMPUTED_VALUE"""),"BAIXADAS LITORANEAS")</f>
      </c>
      <c r="C34" s="9">
        <f>IFERROR(__xludf.DUMMYFUNCTION("""COMPUTED_VALUE"""),"CE JOAQUIM TAVORA")</f>
      </c>
      <c r="D34" s="10">
        <f>IFERROR(__xludf.DUMMYFUNCTION("""COMPUTED_VALUE"""),0.951)</f>
      </c>
      <c r="E34" s="10">
        <f>IFERROR(__xludf.DUMMYFUNCTION("""COMPUTED_VALUE"""),0.1616)</f>
      </c>
      <c r="F34" s="10">
        <f>IFERROR(__xludf.DUMMYFUNCTION("""COMPUTED_VALUE"""),0.476)</f>
      </c>
      <c r="G34" s="10">
        <f>IFERROR(__xludf.DUMMYFUNCTION("""COMPUTED_VALUE"""),0.1725)</f>
      </c>
    </row>
    <row x14ac:dyDescent="0.25" r="35" customHeight="1" ht="15.75">
      <c r="A35" s="8">
        <f>IFERROR(__xludf.DUMMYFUNCTION("""COMPUTED_VALUE"""),25289.0)</f>
      </c>
      <c r="B35" s="9">
        <f>IFERROR(__xludf.DUMMYFUNCTION("""COMPUTED_VALUE"""),"BAIXADAS LITORANEAS")</f>
      </c>
      <c r="C35" s="9">
        <f>IFERROR(__xludf.DUMMYFUNCTION("""COMPUTED_VALUE"""),"CE JOSE BONIFACIO")</f>
      </c>
      <c r="D35" s="10">
        <f>IFERROR(__xludf.DUMMYFUNCTION("""COMPUTED_VALUE"""),0.86)</f>
      </c>
      <c r="E35" s="10">
        <f>IFERROR(__xludf.DUMMYFUNCTION("""COMPUTED_VALUE"""),0.2092)</f>
      </c>
      <c r="F35" s="10">
        <f>IFERROR(__xludf.DUMMYFUNCTION("""COMPUTED_VALUE"""),0.82)</f>
      </c>
      <c r="G35" s="10">
        <f>IFERROR(__xludf.DUMMYFUNCTION("""COMPUTED_VALUE"""),0.2014)</f>
      </c>
    </row>
    <row x14ac:dyDescent="0.25" r="36" customHeight="1" ht="15.75">
      <c r="A36" s="8">
        <f>IFERROR(__xludf.DUMMYFUNCTION("""COMPUTED_VALUE"""),25319.0)</f>
      </c>
      <c r="B36" s="9">
        <f>IFERROR(__xludf.DUMMYFUNCTION("""COMPUTED_VALUE"""),"BAIXADAS LITORANEAS")</f>
      </c>
      <c r="C36" s="9">
        <f>IFERROR(__xludf.DUMMYFUNCTION("""COMPUTED_VALUE"""),"CE JOSE MATOSO MAIA FORTE")</f>
      </c>
      <c r="D36" s="10">
        <f>IFERROR(__xludf.DUMMYFUNCTION("""COMPUTED_VALUE"""),0.961)</f>
      </c>
      <c r="E36" s="10">
        <f>IFERROR(__xludf.DUMMYFUNCTION("""COMPUTED_VALUE"""),0.2252)</f>
      </c>
      <c r="F36" s="10">
        <f>IFERROR(__xludf.DUMMYFUNCTION("""COMPUTED_VALUE"""),1.0)</f>
      </c>
      <c r="G36" s="10">
        <f>IFERROR(__xludf.DUMMYFUNCTION("""COMPUTED_VALUE"""),0.1667)</f>
      </c>
    </row>
    <row x14ac:dyDescent="0.25" r="37" customHeight="1" ht="15.75">
      <c r="A37" s="8">
        <f>IFERROR(__xludf.DUMMYFUNCTION("""COMPUTED_VALUE"""),25323.0)</f>
      </c>
      <c r="B37" s="9">
        <f>IFERROR(__xludf.DUMMYFUNCTION("""COMPUTED_VALUE"""),"BAIXADAS LITORANEAS")</f>
      </c>
      <c r="C37" s="9">
        <f>IFERROR(__xludf.DUMMYFUNCTION("""COMPUTED_VALUE"""),"CE JOSE RASCAO")</f>
      </c>
      <c r="D37" s="10">
        <f>IFERROR(__xludf.DUMMYFUNCTION("""COMPUTED_VALUE"""),0.9459)</f>
      </c>
      <c r="E37" s="10">
        <f>IFERROR(__xludf.DUMMYFUNCTION("""COMPUTED_VALUE"""),0.2126)</f>
      </c>
      <c r="F37" s="10">
        <f>IFERROR(__xludf.DUMMYFUNCTION("""COMPUTED_VALUE"""),0.8758)</f>
      </c>
      <c r="G37" s="10">
        <f>IFERROR(__xludf.DUMMYFUNCTION("""COMPUTED_VALUE"""),0.1163)</f>
      </c>
    </row>
    <row x14ac:dyDescent="0.25" r="38" customHeight="1" ht="15.75">
      <c r="A38" s="8">
        <f>IFERROR(__xludf.DUMMYFUNCTION("""COMPUTED_VALUE"""),25290.0)</f>
      </c>
      <c r="B38" s="9">
        <f>IFERROR(__xludf.DUMMYFUNCTION("""COMPUTED_VALUE"""),"BAIXADAS LITORANEAS")</f>
      </c>
      <c r="C38" s="9">
        <f>IFERROR(__xludf.DUMMYFUNCTION("""COMPUTED_VALUE"""),"CE LEOPOLDO FROES")</f>
      </c>
      <c r="D38" s="10">
        <f>IFERROR(__xludf.DUMMYFUNCTION("""COMPUTED_VALUE"""),0.6198)</f>
      </c>
      <c r="E38" s="10">
        <f>IFERROR(__xludf.DUMMYFUNCTION("""COMPUTED_VALUE"""),0.2281)</f>
      </c>
      <c r="F38" s="10">
        <f>IFERROR(__xludf.DUMMYFUNCTION("""COMPUTED_VALUE"""),0.5714)</f>
      </c>
      <c r="G38" s="10">
        <f>IFERROR(__xludf.DUMMYFUNCTION("""COMPUTED_VALUE"""),0.1681)</f>
      </c>
    </row>
    <row x14ac:dyDescent="0.25" r="39" customHeight="1" ht="15.75">
      <c r="A39" s="8">
        <f>IFERROR(__xludf.DUMMYFUNCTION("""COMPUTED_VALUE"""),25291.0)</f>
      </c>
      <c r="B39" s="9">
        <f>IFERROR(__xludf.DUMMYFUNCTION("""COMPUTED_VALUE"""),"BAIXADAS LITORANEAS")</f>
      </c>
      <c r="C39" s="9">
        <f>IFERROR(__xludf.DUMMYFUNCTION("""COMPUTED_VALUE"""),"CE MACHADO DE ASSIS")</f>
      </c>
      <c r="D39" s="10">
        <f>IFERROR(__xludf.DUMMYFUNCTION("""COMPUTED_VALUE"""),0.5973)</f>
      </c>
      <c r="E39" s="10">
        <f>IFERROR(__xludf.DUMMYFUNCTION("""COMPUTED_VALUE"""),0.2289)</f>
      </c>
      <c r="F39" s="10">
        <f>IFERROR(__xludf.DUMMYFUNCTION("""COMPUTED_VALUE"""),0.4807)</f>
      </c>
      <c r="G39" s="10">
        <f>IFERROR(__xludf.DUMMYFUNCTION("""COMPUTED_VALUE"""),0.1971)</f>
      </c>
    </row>
    <row x14ac:dyDescent="0.25" r="40" customHeight="1" ht="15.75">
      <c r="A40" s="8">
        <f>IFERROR(__xludf.DUMMYFUNCTION("""COMPUTED_VALUE"""),25292.0)</f>
      </c>
      <c r="B40" s="9">
        <f>IFERROR(__xludf.DUMMYFUNCTION("""COMPUTED_VALUE"""),"BAIXADAS LITORANEAS")</f>
      </c>
      <c r="C40" s="9">
        <f>IFERROR(__xludf.DUMMYFUNCTION("""COMPUTED_VALUE"""),"CE MANUEL DE ABREU")</f>
      </c>
      <c r="D40" s="10">
        <f>IFERROR(__xludf.DUMMYFUNCTION("""COMPUTED_VALUE"""),0.7853)</f>
      </c>
      <c r="E40" s="10">
        <f>IFERROR(__xludf.DUMMYFUNCTION("""COMPUTED_VALUE"""),0.2707)</f>
      </c>
      <c r="F40" s="10">
        <f>IFERROR(__xludf.DUMMYFUNCTION("""COMPUTED_VALUE"""),0.6748)</f>
      </c>
      <c r="G40" s="10">
        <f>IFERROR(__xludf.DUMMYFUNCTION("""COMPUTED_VALUE"""),0.201)</f>
      </c>
    </row>
    <row x14ac:dyDescent="0.25" r="41" customHeight="1" ht="15.75">
      <c r="A41" s="8">
        <f>IFERROR(__xludf.DUMMYFUNCTION("""COMPUTED_VALUE"""),25293.0)</f>
      </c>
      <c r="B41" s="9">
        <f>IFERROR(__xludf.DUMMYFUNCTION("""COMPUTED_VALUE"""),"BAIXADAS LITORANEAS")</f>
      </c>
      <c r="C41" s="9">
        <f>IFERROR(__xludf.DUMMYFUNCTION("""COMPUTED_VALUE"""),"CE MARIA PEREIRA DAS NEVES")</f>
      </c>
      <c r="D41" s="10">
        <f>IFERROR(__xludf.DUMMYFUNCTION("""COMPUTED_VALUE"""),0.6333)</f>
      </c>
      <c r="E41" s="10">
        <f>IFERROR(__xludf.DUMMYFUNCTION("""COMPUTED_VALUE"""),0.2069)</f>
      </c>
      <c r="F41" s="10">
        <f>IFERROR(__xludf.DUMMYFUNCTION("""COMPUTED_VALUE"""),0.3134)</f>
      </c>
      <c r="G41" s="10">
        <f>IFERROR(__xludf.DUMMYFUNCTION("""COMPUTED_VALUE"""),0.1861)</f>
      </c>
    </row>
    <row x14ac:dyDescent="0.25" r="42" customHeight="1" ht="15.75">
      <c r="A42" s="8">
        <f>IFERROR(__xludf.DUMMYFUNCTION("""COMPUTED_VALUE"""),25294.0)</f>
      </c>
      <c r="B42" s="9">
        <f>IFERROR(__xludf.DUMMYFUNCTION("""COMPUTED_VALUE"""),"BAIXADAS LITORANEAS")</f>
      </c>
      <c r="C42" s="9">
        <f>IFERROR(__xludf.DUMMYFUNCTION("""COMPUTED_VALUE"""),"CE MATEMATICO JOAQUIM GOMES DE SOUSA - INTER-CULTURAL BRASIL-CHINA")</f>
      </c>
      <c r="D42" s="10">
        <f>IFERROR(__xludf.DUMMYFUNCTION("""COMPUTED_VALUE"""),1.0)</f>
      </c>
      <c r="E42" s="10">
        <f>IFERROR(__xludf.DUMMYFUNCTION("""COMPUTED_VALUE"""),0.3222)</f>
      </c>
      <c r="F42" s="10">
        <f>IFERROR(__xludf.DUMMYFUNCTION("""COMPUTED_VALUE"""),0.7757)</f>
      </c>
      <c r="G42" s="10">
        <f>IFERROR(__xludf.DUMMYFUNCTION("""COMPUTED_VALUE"""),0.2568)</f>
      </c>
    </row>
    <row x14ac:dyDescent="0.25" r="43" customHeight="1" ht="15.75">
      <c r="A43" s="8">
        <f>IFERROR(__xludf.DUMMYFUNCTION("""COMPUTED_VALUE"""),25251.0)</f>
      </c>
      <c r="B43" s="9">
        <f>IFERROR(__xludf.DUMMYFUNCTION("""COMPUTED_VALUE"""),"BAIXADAS LITORANEAS")</f>
      </c>
      <c r="C43" s="9">
        <f>IFERROR(__xludf.DUMMYFUNCTION("""COMPUTED_VALUE"""),"CE MIGUEL COUTO")</f>
      </c>
      <c r="D43" s="10">
        <f>IFERROR(__xludf.DUMMYFUNCTION("""COMPUTED_VALUE"""),0.5929)</f>
      </c>
      <c r="E43" s="10">
        <f>IFERROR(__xludf.DUMMYFUNCTION("""COMPUTED_VALUE"""),0.2288)</f>
      </c>
      <c r="F43" s="10">
        <f>IFERROR(__xludf.DUMMYFUNCTION("""COMPUTED_VALUE"""),0.5037)</f>
      </c>
      <c r="G43" s="10">
        <f>IFERROR(__xludf.DUMMYFUNCTION("""COMPUTED_VALUE"""),0.1885)</f>
      </c>
    </row>
    <row x14ac:dyDescent="0.25" r="44" customHeight="1" ht="15.75">
      <c r="A44" s="8">
        <f>IFERROR(__xludf.DUMMYFUNCTION("""COMPUTED_VALUE"""),25296.0)</f>
      </c>
      <c r="B44" s="9">
        <f>IFERROR(__xludf.DUMMYFUNCTION("""COMPUTED_VALUE"""),"BAIXADAS LITORANEAS")</f>
      </c>
      <c r="C44" s="9">
        <f>IFERROR(__xludf.DUMMYFUNCTION("""COMPUTED_VALUE"""),"CE MULLULO DA VEIGA")</f>
      </c>
      <c r="D44" s="10">
        <f>IFERROR(__xludf.DUMMYFUNCTION("""COMPUTED_VALUE"""),0.7232)</f>
      </c>
      <c r="E44" s="10">
        <f>IFERROR(__xludf.DUMMYFUNCTION("""COMPUTED_VALUE"""),0.1861)</f>
      </c>
      <c r="F44" s="10">
        <f>IFERROR(__xludf.DUMMYFUNCTION("""COMPUTED_VALUE"""),0.5906)</f>
      </c>
      <c r="G44" s="10">
        <f>IFERROR(__xludf.DUMMYFUNCTION("""COMPUTED_VALUE"""),0.1697)</f>
      </c>
    </row>
    <row x14ac:dyDescent="0.25" r="45" customHeight="1" ht="15.75">
      <c r="A45" s="8">
        <f>IFERROR(__xludf.DUMMYFUNCTION("""COMPUTED_VALUE"""),25324.0)</f>
      </c>
      <c r="B45" s="9">
        <f>IFERROR(__xludf.DUMMYFUNCTION("""COMPUTED_VALUE"""),"BAIXADAS LITORANEAS")</f>
      </c>
      <c r="C45" s="9">
        <f>IFERROR(__xludf.DUMMYFUNCTION("""COMPUTED_VALUE"""),"CE NOBU YAMAGATA")</f>
      </c>
      <c r="D45" s="10">
        <f>IFERROR(__xludf.DUMMYFUNCTION("""COMPUTED_VALUE"""),0.8571)</f>
      </c>
      <c r="E45" s="10">
        <f>IFERROR(__xludf.DUMMYFUNCTION("""COMPUTED_VALUE"""),0.2037)</f>
      </c>
      <c r="F45" s="10">
        <f>IFERROR(__xludf.DUMMYFUNCTION("""COMPUTED_VALUE"""),0.6522)</f>
      </c>
      <c r="G45" s="10">
        <f>IFERROR(__xludf.DUMMYFUNCTION("""COMPUTED_VALUE"""),0.1987)</f>
      </c>
    </row>
    <row x14ac:dyDescent="0.25" r="46" customHeight="1" ht="15.75">
      <c r="A46" s="8">
        <f>IFERROR(__xludf.DUMMYFUNCTION("""COMPUTED_VALUE"""),25331.0)</f>
      </c>
      <c r="B46" s="9">
        <f>IFERROR(__xludf.DUMMYFUNCTION("""COMPUTED_VALUE"""),"BAIXADAS LITORANEAS")</f>
      </c>
      <c r="C46" s="9">
        <f>IFERROR(__xludf.DUMMYFUNCTION("""COMPUTED_VALUE"""),"CE OLIVEIRA VIANA")</f>
      </c>
      <c r="D46" s="10">
        <f>IFERROR(__xludf.DUMMYFUNCTION("""COMPUTED_VALUE"""),0.8218)</f>
      </c>
      <c r="E46" s="10">
        <f>IFERROR(__xludf.DUMMYFUNCTION("""COMPUTED_VALUE"""),0.2096)</f>
      </c>
      <c r="F46" s="10">
        <f>IFERROR(__xludf.DUMMYFUNCTION("""COMPUTED_VALUE"""),0.6982)</f>
      </c>
      <c r="G46" s="10">
        <f>IFERROR(__xludf.DUMMYFUNCTION("""COMPUTED_VALUE"""),0.2057)</f>
      </c>
    </row>
    <row x14ac:dyDescent="0.25" r="47" customHeight="1" ht="15.75">
      <c r="A47" s="8">
        <f>IFERROR(__xludf.DUMMYFUNCTION("""COMPUTED_VALUE"""),25332.0)</f>
      </c>
      <c r="B47" s="9">
        <f>IFERROR(__xludf.DUMMYFUNCTION("""COMPUTED_VALUE"""),"BAIXADAS LITORANEAS")</f>
      </c>
      <c r="C47" s="9">
        <f>IFERROR(__xludf.DUMMYFUNCTION("""COMPUTED_VALUE"""),"CE OSCAR DE MACEDO SOARES")</f>
      </c>
      <c r="D47" s="10">
        <f>IFERROR(__xludf.DUMMYFUNCTION("""COMPUTED_VALUE"""),0.7994)</f>
      </c>
      <c r="E47" s="10">
        <f>IFERROR(__xludf.DUMMYFUNCTION("""COMPUTED_VALUE"""),0.2834)</f>
      </c>
      <c r="F47" s="10">
        <f>IFERROR(__xludf.DUMMYFUNCTION("""COMPUTED_VALUE"""),0.6467)</f>
      </c>
      <c r="G47" s="10">
        <f>IFERROR(__xludf.DUMMYFUNCTION("""COMPUTED_VALUE"""),0.2024)</f>
      </c>
    </row>
    <row x14ac:dyDescent="0.25" r="48" customHeight="1" ht="15.75">
      <c r="A48" s="8">
        <f>IFERROR(__xludf.DUMMYFUNCTION("""COMPUTED_VALUE"""),25297.0)</f>
      </c>
      <c r="B48" s="9">
        <f>IFERROR(__xludf.DUMMYFUNCTION("""COMPUTED_VALUE"""),"BAIXADAS LITORANEAS")</f>
      </c>
      <c r="C48" s="9">
        <f>IFERROR(__xludf.DUMMYFUNCTION("""COMPUTED_VALUE"""),"CE PAULO ASSIS RIBEIRO")</f>
      </c>
      <c r="D48" s="10">
        <f>IFERROR(__xludf.DUMMYFUNCTION("""COMPUTED_VALUE"""),0.7119)</f>
      </c>
      <c r="E48" s="10">
        <f>IFERROR(__xludf.DUMMYFUNCTION("""COMPUTED_VALUE"""),0.2272)</f>
      </c>
      <c r="F48" s="10">
        <f>IFERROR(__xludf.DUMMYFUNCTION("""COMPUTED_VALUE"""),0.5)</f>
      </c>
      <c r="G48" s="10">
        <f>IFERROR(__xludf.DUMMYFUNCTION("""COMPUTED_VALUE"""),0.1982)</f>
      </c>
    </row>
    <row x14ac:dyDescent="0.25" r="49" customHeight="1" ht="15.75">
      <c r="A49" s="8">
        <f>IFERROR(__xludf.DUMMYFUNCTION("""COMPUTED_VALUE"""),25298.0)</f>
      </c>
      <c r="B49" s="9">
        <f>IFERROR(__xludf.DUMMYFUNCTION("""COMPUTED_VALUE"""),"BAIXADAS LITORANEAS")</f>
      </c>
      <c r="C49" s="9">
        <f>IFERROR(__xludf.DUMMYFUNCTION("""COMPUTED_VALUE"""),"CE PINTO LIMA")</f>
      </c>
      <c r="D49" s="10">
        <f>IFERROR(__xludf.DUMMYFUNCTION("""COMPUTED_VALUE"""),0.9)</f>
      </c>
      <c r="E49" s="10">
        <f>IFERROR(__xludf.DUMMYFUNCTION("""COMPUTED_VALUE"""),0.2627)</f>
      </c>
      <c r="F49" s="10">
        <f>IFERROR(__xludf.DUMMYFUNCTION("""COMPUTED_VALUE"""),0.6889)</f>
      </c>
      <c r="G49" s="10">
        <f>IFERROR(__xludf.DUMMYFUNCTION("""COMPUTED_VALUE"""),0.2162)</f>
      </c>
    </row>
    <row x14ac:dyDescent="0.25" r="50" customHeight="1" ht="15.75">
      <c r="A50" s="8">
        <f>IFERROR(__xludf.DUMMYFUNCTION("""COMPUTED_VALUE"""),25252.0)</f>
      </c>
      <c r="B50" s="9">
        <f>IFERROR(__xludf.DUMMYFUNCTION("""COMPUTED_VALUE"""),"BAIXADAS LITORANEAS")</f>
      </c>
      <c r="C50" s="9">
        <f>IFERROR(__xludf.DUMMYFUNCTION("""COMPUTED_VALUE"""),"CE PRAIA DO SIQUEIRA")</f>
      </c>
      <c r="D50" s="10">
        <f>IFERROR(__xludf.DUMMYFUNCTION("""COMPUTED_VALUE"""),0.9118)</f>
      </c>
      <c r="E50" s="10">
        <f>IFERROR(__xludf.DUMMYFUNCTION("""COMPUTED_VALUE"""),0.2623)</f>
      </c>
      <c r="F50" s="10">
        <f>IFERROR(__xludf.DUMMYFUNCTION("""COMPUTED_VALUE"""),0.6078)</f>
      </c>
      <c r="G50" s="10">
        <f>IFERROR(__xludf.DUMMYFUNCTION("""COMPUTED_VALUE"""),0.1988)</f>
      </c>
    </row>
    <row x14ac:dyDescent="0.25" r="51" customHeight="1" ht="15.75">
      <c r="A51" s="8">
        <f>IFERROR(__xludf.DUMMYFUNCTION("""COMPUTED_VALUE"""),25253.0)</f>
      </c>
      <c r="B51" s="9">
        <f>IFERROR(__xludf.DUMMYFUNCTION("""COMPUTED_VALUE"""),"BAIXADAS LITORANEAS")</f>
      </c>
      <c r="C51" s="9">
        <f>IFERROR(__xludf.DUMMYFUNCTION("""COMPUTED_VALUE"""),"CE PROFESSOR CORDELINO TEIXEIRA PAULO")</f>
      </c>
      <c r="D51" s="10">
        <f>IFERROR(__xludf.DUMMYFUNCTION("""COMPUTED_VALUE"""),0.8462)</f>
      </c>
      <c r="E51" s="10">
        <f>IFERROR(__xludf.DUMMYFUNCTION("""COMPUTED_VALUE"""),0.2324)</f>
      </c>
      <c r="F51" s="10">
        <f>IFERROR(__xludf.DUMMYFUNCTION("""COMPUTED_VALUE"""),0.5846)</f>
      </c>
      <c r="G51" s="10">
        <f>IFERROR(__xludf.DUMMYFUNCTION("""COMPUTED_VALUE"""),0.1892)</f>
      </c>
    </row>
    <row x14ac:dyDescent="0.25" r="52" customHeight="1" ht="15.75">
      <c r="A52" s="8">
        <f>IFERROR(__xludf.DUMMYFUNCTION("""COMPUTED_VALUE"""),25269.0)</f>
      </c>
      <c r="B52" s="9">
        <f>IFERROR(__xludf.DUMMYFUNCTION("""COMPUTED_VALUE"""),"BAIXADAS LITORANEAS")</f>
      </c>
      <c r="C52" s="9">
        <f>IFERROR(__xludf.DUMMYFUNCTION("""COMPUTED_VALUE"""),"CE PROFESSOR DARCY RIBEIRO")</f>
      </c>
      <c r="D52" s="10">
        <f>IFERROR(__xludf.DUMMYFUNCTION("""COMPUTED_VALUE"""),0.1707)</f>
      </c>
      <c r="E52" s="10">
        <f>IFERROR(__xludf.DUMMYFUNCTION("""COMPUTED_VALUE"""),0.2396)</f>
      </c>
      <c r="F52" s="10">
        <f>IFERROR(__xludf.DUMMYFUNCTION("""COMPUTED_VALUE"""),0.4253)</f>
      </c>
      <c r="G52" s="10">
        <f>IFERROR(__xludf.DUMMYFUNCTION("""COMPUTED_VALUE"""),0.1777)</f>
      </c>
    </row>
    <row x14ac:dyDescent="0.25" r="53" customHeight="1" ht="15.75">
      <c r="A53" s="8">
        <f>IFERROR(__xludf.DUMMYFUNCTION("""COMPUTED_VALUE"""),25320.0)</f>
      </c>
      <c r="B53" s="9">
        <f>IFERROR(__xludf.DUMMYFUNCTION("""COMPUTED_VALUE"""),"BAIXADAS LITORANEAS")</f>
      </c>
      <c r="C53" s="9">
        <f>IFERROR(__xludf.DUMMYFUNCTION("""COMPUTED_VALUE"""),"CE PROFESSOR DYRCEU RODRIGUES DA COSTA")</f>
      </c>
      <c r="D53" s="10">
        <f>IFERROR(__xludf.DUMMYFUNCTION("""COMPUTED_VALUE"""),0.8141)</f>
      </c>
      <c r="E53" s="10">
        <f>IFERROR(__xludf.DUMMYFUNCTION("""COMPUTED_VALUE"""),0.2384)</f>
      </c>
      <c r="F53" s="10">
        <f>IFERROR(__xludf.DUMMYFUNCTION("""COMPUTED_VALUE"""),0.5513)</f>
      </c>
      <c r="G53" s="10">
        <f>IFERROR(__xludf.DUMMYFUNCTION("""COMPUTED_VALUE"""),0.2106)</f>
      </c>
    </row>
    <row x14ac:dyDescent="0.25" r="54" customHeight="1" ht="15.75">
      <c r="A54" s="8">
        <f>IFERROR(__xludf.DUMMYFUNCTION("""COMPUTED_VALUE"""),25240.0)</f>
      </c>
      <c r="B54" s="9">
        <f>IFERROR(__xludf.DUMMYFUNCTION("""COMPUTED_VALUE"""),"BAIXADAS LITORANEAS")</f>
      </c>
      <c r="C54" s="9">
        <f>IFERROR(__xludf.DUMMYFUNCTION("""COMPUTED_VALUE"""),"CE PROFESSOR FONSECA")</f>
      </c>
      <c r="D54" s="10">
        <f>IFERROR(__xludf.DUMMYFUNCTION("""COMPUTED_VALUE"""),0.969)</f>
      </c>
      <c r="E54" s="10">
        <f>IFERROR(__xludf.DUMMYFUNCTION("""COMPUTED_VALUE"""),0.1997)</f>
      </c>
      <c r="F54" s="10">
        <f>IFERROR(__xludf.DUMMYFUNCTION("""COMPUTED_VALUE"""),0.7674)</f>
      </c>
      <c r="G54" s="10">
        <f>IFERROR(__xludf.DUMMYFUNCTION("""COMPUTED_VALUE"""),0.1987)</f>
      </c>
    </row>
    <row x14ac:dyDescent="0.25" r="55" customHeight="1" ht="15.75">
      <c r="A55" s="8">
        <f>IFERROR(__xludf.DUMMYFUNCTION("""COMPUTED_VALUE"""),25254.0)</f>
      </c>
      <c r="B55" s="9">
        <f>IFERROR(__xludf.DUMMYFUNCTION("""COMPUTED_VALUE"""),"BAIXADAS LITORANEAS")</f>
      </c>
      <c r="C55" s="9">
        <f>IFERROR(__xludf.DUMMYFUNCTION("""COMPUTED_VALUE"""),"CE PROFESSOR RENATO AZEVEDO")</f>
      </c>
      <c r="D55" s="10">
        <f>IFERROR(__xludf.DUMMYFUNCTION("""COMPUTED_VALUE"""),0.6462)</f>
      </c>
      <c r="E55" s="10">
        <f>IFERROR(__xludf.DUMMYFUNCTION("""COMPUTED_VALUE"""),0.2353)</f>
      </c>
      <c r="F55" s="10">
        <f>IFERROR(__xludf.DUMMYFUNCTION("""COMPUTED_VALUE"""),0.3968)</f>
      </c>
      <c r="G55" s="10">
        <f>IFERROR(__xludf.DUMMYFUNCTION("""COMPUTED_VALUE"""),0.2183)</f>
      </c>
    </row>
    <row x14ac:dyDescent="0.25" r="56" customHeight="1" ht="15.75">
      <c r="A56" s="8">
        <f>IFERROR(__xludf.DUMMYFUNCTION("""COMPUTED_VALUE"""),25299.0)</f>
      </c>
      <c r="B56" s="9">
        <f>IFERROR(__xludf.DUMMYFUNCTION("""COMPUTED_VALUE"""),"BAIXADAS LITORANEAS")</f>
      </c>
      <c r="C56" s="9">
        <f>IFERROR(__xludf.DUMMYFUNCTION("""COMPUTED_VALUE"""),"CE PROFESSORA ALCINA RODRIGUES DE LIMA")</f>
      </c>
      <c r="D56" s="10">
        <f>IFERROR(__xludf.DUMMYFUNCTION("""COMPUTED_VALUE"""),0.6504)</f>
      </c>
      <c r="E56" s="10">
        <f>IFERROR(__xludf.DUMMYFUNCTION("""COMPUTED_VALUE"""),0.2701)</f>
      </c>
      <c r="F56" s="10">
        <f>IFERROR(__xludf.DUMMYFUNCTION("""COMPUTED_VALUE"""),0.4248)</f>
      </c>
      <c r="G56" s="10">
        <f>IFERROR(__xludf.DUMMYFUNCTION("""COMPUTED_VALUE"""),0.2227)</f>
      </c>
    </row>
    <row x14ac:dyDescent="0.25" r="57" customHeight="1" ht="15.75">
      <c r="A57" s="8">
        <f>IFERROR(__xludf.DUMMYFUNCTION("""COMPUTED_VALUE"""),25270.0)</f>
      </c>
      <c r="B57" s="9">
        <f>IFERROR(__xludf.DUMMYFUNCTION("""COMPUTED_VALUE"""),"BAIXADAS LITORANEAS")</f>
      </c>
      <c r="C57" s="9">
        <f>IFERROR(__xludf.DUMMYFUNCTION("""COMPUTED_VALUE"""),"CE PROFESSORA CACILDA SILVA")</f>
      </c>
      <c r="D57" s="10">
        <f>IFERROR(__xludf.DUMMYFUNCTION("""COMPUTED_VALUE"""),0.925)</f>
      </c>
      <c r="E57" s="10">
        <f>IFERROR(__xludf.DUMMYFUNCTION("""COMPUTED_VALUE"""),0.2711)</f>
      </c>
      <c r="F57" s="10">
        <f>IFERROR(__xludf.DUMMYFUNCTION("""COMPUTED_VALUE"""),0.8125)</f>
      </c>
      <c r="G57" s="10">
        <f>IFERROR(__xludf.DUMMYFUNCTION("""COMPUTED_VALUE"""),0.2212)</f>
      </c>
    </row>
    <row x14ac:dyDescent="0.25" r="58" customHeight="1" ht="15.75">
      <c r="A58" s="8">
        <f>IFERROR(__xludf.DUMMYFUNCTION("""COMPUTED_VALUE"""),25241.0)</f>
      </c>
      <c r="B58" s="9">
        <f>IFERROR(__xludf.DUMMYFUNCTION("""COMPUTED_VALUE"""),"BAIXADAS LITORANEAS")</f>
      </c>
      <c r="C58" s="9">
        <f>IFERROR(__xludf.DUMMYFUNCTION("""COMPUTED_VALUE"""),"CE PROFESSORA CLARICE COELHO MOREIRA CALDAS")</f>
      </c>
      <c r="D58" s="10">
        <f>IFERROR(__xludf.DUMMYFUNCTION("""COMPUTED_VALUE"""),0.9403)</f>
      </c>
      <c r="E58" s="10">
        <f>IFERROR(__xludf.DUMMYFUNCTION("""COMPUTED_VALUE"""),0.1901)</f>
      </c>
      <c r="F58" s="10">
        <f>IFERROR(__xludf.DUMMYFUNCTION("""COMPUTED_VALUE"""),0.8339)</f>
      </c>
      <c r="G58" s="10">
        <f>IFERROR(__xludf.DUMMYFUNCTION("""COMPUTED_VALUE"""),0.2079)</f>
      </c>
    </row>
    <row x14ac:dyDescent="0.25" r="59" customHeight="1" ht="15.75">
      <c r="A59" s="8">
        <f>IFERROR(__xludf.DUMMYFUNCTION("""COMPUTED_VALUE"""),25300.0)</f>
      </c>
      <c r="B59" s="9">
        <f>IFERROR(__xludf.DUMMYFUNCTION("""COMPUTED_VALUE"""),"BAIXADAS LITORANEAS")</f>
      </c>
      <c r="C59" s="9">
        <f>IFERROR(__xludf.DUMMYFUNCTION("""COMPUTED_VALUE"""),"CE RAUL VIDAL")</f>
      </c>
      <c r="D59" s="10">
        <f>IFERROR(__xludf.DUMMYFUNCTION("""COMPUTED_VALUE"""),0.9042)</f>
      </c>
      <c r="E59" s="10">
        <f>IFERROR(__xludf.DUMMYFUNCTION("""COMPUTED_VALUE"""),0.161)</f>
      </c>
      <c r="F59" s="10">
        <f>IFERROR(__xludf.DUMMYFUNCTION("""COMPUTED_VALUE"""),0.4698)</f>
      </c>
      <c r="G59" s="10">
        <f>IFERROR(__xludf.DUMMYFUNCTION("""COMPUTED_VALUE"""),0.2066)</f>
      </c>
    </row>
    <row x14ac:dyDescent="0.25" r="60" customHeight="1" ht="15.75">
      <c r="A60" s="8">
        <f>IFERROR(__xludf.DUMMYFUNCTION("""COMPUTED_VALUE"""),25333.0)</f>
      </c>
      <c r="B60" s="9">
        <f>IFERROR(__xludf.DUMMYFUNCTION("""COMPUTED_VALUE"""),"BAIXADAS LITORANEAS")</f>
      </c>
      <c r="C60" s="9">
        <f>IFERROR(__xludf.DUMMYFUNCTION("""COMPUTED_VALUE"""),"CE RIO DE AREIA")</f>
      </c>
      <c r="D60" s="10">
        <f>IFERROR(__xludf.DUMMYFUNCTION("""COMPUTED_VALUE"""),0.7447)</f>
      </c>
      <c r="E60" s="10">
        <f>IFERROR(__xludf.DUMMYFUNCTION("""COMPUTED_VALUE"""),0.2274)</f>
      </c>
      <c r="F60" s="10">
        <f>IFERROR(__xludf.DUMMYFUNCTION("""COMPUTED_VALUE"""),0.5621)</f>
      </c>
      <c r="G60" s="10">
        <f>IFERROR(__xludf.DUMMYFUNCTION("""COMPUTED_VALUE"""),0.2003)</f>
      </c>
    </row>
    <row x14ac:dyDescent="0.25" r="61" customHeight="1" ht="15.75">
      <c r="A61" s="8">
        <f>IFERROR(__xludf.DUMMYFUNCTION("""COMPUTED_VALUE"""),25242.0)</f>
      </c>
      <c r="B61" s="9">
        <f>IFERROR(__xludf.DUMMYFUNCTION("""COMPUTED_VALUE"""),"BAIXADAS LITORANEAS")</f>
      </c>
      <c r="C61" s="9">
        <f>IFERROR(__xludf.DUMMYFUNCTION("""COMPUTED_VALUE"""),"CE SARGENTO PM ANTONIO CARLOS OLIVEIRA DE MOURA")</f>
      </c>
      <c r="D61" s="10">
        <f>IFERROR(__xludf.DUMMYFUNCTION("""COMPUTED_VALUE"""),0.8376)</f>
      </c>
      <c r="E61" s="10">
        <f>IFERROR(__xludf.DUMMYFUNCTION("""COMPUTED_VALUE"""),0.3164)</f>
      </c>
      <c r="F61" s="10">
        <f>IFERROR(__xludf.DUMMYFUNCTION("""COMPUTED_VALUE"""),0.6923)</f>
      </c>
      <c r="G61" s="10">
        <f>IFERROR(__xludf.DUMMYFUNCTION("""COMPUTED_VALUE"""),0.2283)</f>
      </c>
    </row>
    <row x14ac:dyDescent="0.25" r="62" customHeight="1" ht="15.75">
      <c r="A62" s="8">
        <f>IFERROR(__xludf.DUMMYFUNCTION("""COMPUTED_VALUE"""),25249.0)</f>
      </c>
      <c r="B62" s="9">
        <f>IFERROR(__xludf.DUMMYFUNCTION("""COMPUTED_VALUE"""),"BAIXADAS LITORANEAS")</f>
      </c>
      <c r="C62" s="9">
        <f>IFERROR(__xludf.DUMMYFUNCTION("""COMPUTED_VALUE"""),"CE VINTE DE JULHO")</f>
      </c>
      <c r="D62" s="10">
        <f>IFERROR(__xludf.DUMMYFUNCTION("""COMPUTED_VALUE"""),0.9873)</f>
      </c>
      <c r="E62" s="10">
        <f>IFERROR(__xludf.DUMMYFUNCTION("""COMPUTED_VALUE"""),0.2131)</f>
      </c>
      <c r="F62" s="10">
        <f>IFERROR(__xludf.DUMMYFUNCTION("""COMPUTED_VALUE"""),0.6356)</f>
      </c>
      <c r="G62" s="10">
        <f>IFERROR(__xludf.DUMMYFUNCTION("""COMPUTED_VALUE"""),0.2181)</f>
      </c>
    </row>
    <row x14ac:dyDescent="0.25" r="63" customHeight="1" ht="15.75">
      <c r="A63" s="8">
        <f>IFERROR(__xludf.DUMMYFUNCTION("""COMPUTED_VALUE"""),25301.0)</f>
      </c>
      <c r="B63" s="9">
        <f>IFERROR(__xludf.DUMMYFUNCTION("""COMPUTED_VALUE"""),"BAIXADAS LITORANEAS")</f>
      </c>
      <c r="C63" s="9">
        <f>IFERROR(__xludf.DUMMYFUNCTION("""COMPUTED_VALUE"""),"CE ZULEIKA RAPOSO VALLADARES")</f>
      </c>
      <c r="D63" s="10">
        <f>IFERROR(__xludf.DUMMYFUNCTION("""COMPUTED_VALUE"""),0.871)</f>
      </c>
      <c r="E63" s="10">
        <f>IFERROR(__xludf.DUMMYFUNCTION("""COMPUTED_VALUE"""),0.2385)</f>
      </c>
      <c r="F63" s="10">
        <f>IFERROR(__xludf.DUMMYFUNCTION("""COMPUTED_VALUE"""),0.6129)</f>
      </c>
      <c r="G63" s="10">
        <f>IFERROR(__xludf.DUMMYFUNCTION("""COMPUTED_VALUE"""),0.2029)</f>
      </c>
    </row>
    <row x14ac:dyDescent="0.25" r="64" customHeight="1" ht="15.75">
      <c r="A64" s="8">
        <f>IFERROR(__xludf.DUMMYFUNCTION("""COMPUTED_VALUE"""),25326.0)</f>
      </c>
      <c r="B64" s="9">
        <f>IFERROR(__xludf.DUMMYFUNCTION("""COMPUTED_VALUE"""),"BAIXADAS LITORANEAS")</f>
      </c>
      <c r="C64" s="9">
        <f>IFERROR(__xludf.DUMMYFUNCTION("""COMPUTED_VALUE"""),"CIEP 146 PROFESSOR CORDELINO TEIXEIRA PAULO")</f>
      </c>
      <c r="D64" s="10">
        <f>IFERROR(__xludf.DUMMYFUNCTION("""COMPUTED_VALUE"""),0.6061)</f>
      </c>
      <c r="E64" s="10">
        <f>IFERROR(__xludf.DUMMYFUNCTION("""COMPUTED_VALUE"""),0.2239)</f>
      </c>
      <c r="F64" s="10">
        <f>IFERROR(__xludf.DUMMYFUNCTION("""COMPUTED_VALUE"""),0.6237)</f>
      </c>
      <c r="G64" s="10">
        <f>IFERROR(__xludf.DUMMYFUNCTION("""COMPUTED_VALUE"""),0.2122)</f>
      </c>
    </row>
    <row x14ac:dyDescent="0.25" r="65" customHeight="1" ht="15.75">
      <c r="A65" s="8">
        <f>IFERROR(__xludf.DUMMYFUNCTION("""COMPUTED_VALUE"""),25243.0)</f>
      </c>
      <c r="B65" s="9">
        <f>IFERROR(__xludf.DUMMYFUNCTION("""COMPUTED_VALUE"""),"BAIXADAS LITORANEAS")</f>
      </c>
      <c r="C65" s="9">
        <f>IFERROR(__xludf.DUMMYFUNCTION("""COMPUTED_VALUE"""),"CIEP 148 PROFESSOR CARLOS ELIO VOGAS DA SILVA")</f>
      </c>
      <c r="D65" s="10">
        <f>IFERROR(__xludf.DUMMYFUNCTION("""COMPUTED_VALUE"""),0.8689)</f>
      </c>
      <c r="E65" s="10">
        <f>IFERROR(__xludf.DUMMYFUNCTION("""COMPUTED_VALUE"""),0.2479)</f>
      </c>
      <c r="F65" s="10">
        <f>IFERROR(__xludf.DUMMYFUNCTION("""COMPUTED_VALUE"""),0.8579)</f>
      </c>
      <c r="G65" s="10">
        <f>IFERROR(__xludf.DUMMYFUNCTION("""COMPUTED_VALUE"""),0.2376)</f>
      </c>
    </row>
    <row x14ac:dyDescent="0.25" r="66" customHeight="1" ht="15.75">
      <c r="A66" s="8">
        <f>IFERROR(__xludf.DUMMYFUNCTION("""COMPUTED_VALUE"""),25255.0)</f>
      </c>
      <c r="B66" s="9">
        <f>IFERROR(__xludf.DUMMYFUNCTION("""COMPUTED_VALUE"""),"BAIXADAS LITORANEAS")</f>
      </c>
      <c r="C66" s="9">
        <f>IFERROR(__xludf.DUMMYFUNCTION("""COMPUTED_VALUE"""),"CIEP 193 WILSON MENDES")</f>
      </c>
      <c r="D66" s="10">
        <f>IFERROR(__xludf.DUMMYFUNCTION("""COMPUTED_VALUE"""),0.6909)</f>
      </c>
      <c r="E66" s="10">
        <f>IFERROR(__xludf.DUMMYFUNCTION("""COMPUTED_VALUE"""),0.2809)</f>
      </c>
      <c r="F66" s="10">
        <f>IFERROR(__xludf.DUMMYFUNCTION("""COMPUTED_VALUE"""),0.7333)</f>
      </c>
      <c r="G66" s="10">
        <f>IFERROR(__xludf.DUMMYFUNCTION("""COMPUTED_VALUE"""),0.1975)</f>
      </c>
    </row>
    <row x14ac:dyDescent="0.25" r="67" customHeight="1" ht="15.75">
      <c r="A67" s="8">
        <f>IFERROR(__xludf.DUMMYFUNCTION("""COMPUTED_VALUE"""),25303.0)</f>
      </c>
      <c r="B67" s="9">
        <f>IFERROR(__xludf.DUMMYFUNCTION("""COMPUTED_VALUE"""),"BAIXADAS LITORANEAS")</f>
      </c>
      <c r="C67" s="9">
        <f>IFERROR(__xludf.DUMMYFUNCTION("""COMPUTED_VALUE"""),"CIEP 251 DONA MARIA PORTUGAL - BRASIL-PARAGUAI")</f>
      </c>
      <c r="D67" s="10">
        <f>IFERROR(__xludf.DUMMYFUNCTION("""COMPUTED_VALUE"""),0.8667)</f>
      </c>
      <c r="E67" s="10">
        <f>IFERROR(__xludf.DUMMYFUNCTION("""COMPUTED_VALUE"""),0.2681)</f>
      </c>
      <c r="F67" s="10">
        <f>IFERROR(__xludf.DUMMYFUNCTION("""COMPUTED_VALUE"""),0.5333)</f>
      </c>
      <c r="G67" s="10">
        <f>IFERROR(__xludf.DUMMYFUNCTION("""COMPUTED_VALUE"""),0.2074)</f>
      </c>
    </row>
    <row x14ac:dyDescent="0.25" r="68" customHeight="1" ht="15.75">
      <c r="A68" s="8">
        <f>IFERROR(__xludf.DUMMYFUNCTION("""COMPUTED_VALUE"""),25244.0)</f>
      </c>
      <c r="B68" s="9">
        <f>IFERROR(__xludf.DUMMYFUNCTION("""COMPUTED_VALUE"""),"BAIXADAS LITORANEAS")</f>
      </c>
      <c r="C68" s="9">
        <f>IFERROR(__xludf.DUMMYFUNCTION("""COMPUTED_VALUE"""),"CIEP 253 GUIMARÃES ROSA")</f>
      </c>
      <c r="D68" s="10">
        <f>IFERROR(__xludf.DUMMYFUNCTION("""COMPUTED_VALUE"""),0.9878)</f>
      </c>
      <c r="E68" s="10">
        <f>IFERROR(__xludf.DUMMYFUNCTION("""COMPUTED_VALUE"""),0.2258)</f>
      </c>
      <c r="F68" s="10">
        <f>IFERROR(__xludf.DUMMYFUNCTION("""COMPUTED_VALUE"""),0.7439)</f>
      </c>
      <c r="G68" s="10">
        <f>IFERROR(__xludf.DUMMYFUNCTION("""COMPUTED_VALUE"""),0.2107)</f>
      </c>
    </row>
    <row x14ac:dyDescent="0.25" r="69" customHeight="1" ht="15.75">
      <c r="A69" s="8">
        <f>IFERROR(__xludf.DUMMYFUNCTION("""COMPUTED_VALUE"""),25334.0)</f>
      </c>
      <c r="B69" s="9">
        <f>IFERROR(__xludf.DUMMYFUNCTION("""COMPUTED_VALUE"""),"BAIXADAS LITORANEAS")</f>
      </c>
      <c r="C69" s="9">
        <f>IFERROR(__xludf.DUMMYFUNCTION("""COMPUTED_VALUE"""),"CIEP 258 ASTROGILDO PEREIRA")</f>
      </c>
      <c r="D69" s="10">
        <f>IFERROR(__xludf.DUMMYFUNCTION("""COMPUTED_VALUE"""),0.7027)</f>
      </c>
      <c r="E69" s="10">
        <f>IFERROR(__xludf.DUMMYFUNCTION("""COMPUTED_VALUE"""),0.1908)</f>
      </c>
      <c r="F69" s="10">
        <f>IFERROR(__xludf.DUMMYFUNCTION("""COMPUTED_VALUE"""),0.4736)</f>
      </c>
      <c r="G69" s="10">
        <f>IFERROR(__xludf.DUMMYFUNCTION("""COMPUTED_VALUE"""),0.1834)</f>
      </c>
    </row>
    <row x14ac:dyDescent="0.25" r="70" customHeight="1" ht="15.75">
      <c r="A70" s="8">
        <f>IFERROR(__xludf.DUMMYFUNCTION("""COMPUTED_VALUE"""),25271.0)</f>
      </c>
      <c r="B70" s="9">
        <f>IFERROR(__xludf.DUMMYFUNCTION("""COMPUTED_VALUE"""),"BAIXADAS LITORANEAS")</f>
      </c>
      <c r="C70" s="9">
        <f>IFERROR(__xludf.DUMMYFUNCTION("""COMPUTED_VALUE"""),"CIEP 259 PROFESSORA MARIA DO AMPARO RANGEL DE SOUZA")</f>
      </c>
      <c r="D70" s="10">
        <f>IFERROR(__xludf.DUMMYFUNCTION("""COMPUTED_VALUE"""),0.8036)</f>
      </c>
      <c r="E70" s="10">
        <f>IFERROR(__xludf.DUMMYFUNCTION("""COMPUTED_VALUE"""),0.1785)</f>
      </c>
      <c r="F70" s="10">
        <f>IFERROR(__xludf.DUMMYFUNCTION("""COMPUTED_VALUE"""),0.6533)</f>
      </c>
      <c r="G70" s="10">
        <f>IFERROR(__xludf.DUMMYFUNCTION("""COMPUTED_VALUE"""),0.2012)</f>
      </c>
    </row>
    <row x14ac:dyDescent="0.25" r="71" customHeight="1" ht="15.75">
      <c r="A71" s="8">
        <f>IFERROR(__xludf.DUMMYFUNCTION("""COMPUTED_VALUE"""),25327.0)</f>
      </c>
      <c r="B71" s="9">
        <f>IFERROR(__xludf.DUMMYFUNCTION("""COMPUTED_VALUE"""),"BAIXADAS LITORANEAS")</f>
      </c>
      <c r="C71" s="9">
        <f>IFERROR(__xludf.DUMMYFUNCTION("""COMPUTED_VALUE"""),"CIEP 262 CURVELINA DIAS CURVELLO")</f>
      </c>
      <c r="D71" s="10">
        <f>IFERROR(__xludf.DUMMYFUNCTION("""COMPUTED_VALUE"""),0.7077)</f>
      </c>
      <c r="E71" s="10">
        <f>IFERROR(__xludf.DUMMYFUNCTION("""COMPUTED_VALUE"""),0.151)</f>
      </c>
      <c r="F71" s="10">
        <f>IFERROR(__xludf.DUMMYFUNCTION("""COMPUTED_VALUE"""),0.5085)</f>
      </c>
      <c r="G71" s="10">
        <f>IFERROR(__xludf.DUMMYFUNCTION("""COMPUTED_VALUE"""),0.1391)</f>
      </c>
    </row>
    <row x14ac:dyDescent="0.25" r="72" customHeight="1" ht="15.75">
      <c r="A72" s="8">
        <f>IFERROR(__xludf.DUMMYFUNCTION("""COMPUTED_VALUE"""),25328.0)</f>
      </c>
      <c r="B72" s="9">
        <f>IFERROR(__xludf.DUMMYFUNCTION("""COMPUTED_VALUE"""),"BAIXADAS LITORANEAS")</f>
      </c>
      <c r="C72" s="9">
        <f>IFERROR(__xludf.DUMMYFUNCTION("""COMPUTED_VALUE"""),"CIEP 272 GABRIEL JOAQUIM DOS SANTOS")</f>
      </c>
      <c r="D72" s="10">
        <f>IFERROR(__xludf.DUMMYFUNCTION("""COMPUTED_VALUE"""),0.8868)</f>
      </c>
      <c r="E72" s="10">
        <f>IFERROR(__xludf.DUMMYFUNCTION("""COMPUTED_VALUE"""),0.1437)</f>
      </c>
      <c r="F72" s="10">
        <f>IFERROR(__xludf.DUMMYFUNCTION("""COMPUTED_VALUE"""),0.6087)</f>
      </c>
      <c r="G72" s="10">
        <f>IFERROR(__xludf.DUMMYFUNCTION("""COMPUTED_VALUE"""),0.1819)</f>
      </c>
    </row>
    <row x14ac:dyDescent="0.25" r="73" customHeight="1" ht="15.75">
      <c r="A73" s="8">
        <f>IFERROR(__xludf.DUMMYFUNCTION("""COMPUTED_VALUE"""),25304.0)</f>
      </c>
      <c r="B73" s="9">
        <f>IFERROR(__xludf.DUMMYFUNCTION("""COMPUTED_VALUE"""),"BAIXADAS LITORANEAS")</f>
      </c>
      <c r="C73" s="9">
        <f>IFERROR(__xludf.DUMMYFUNCTION("""COMPUTED_VALUE"""),"CIEP 307 DJANIRA")</f>
      </c>
      <c r="D73" s="10">
        <f>IFERROR(__xludf.DUMMYFUNCTION("""COMPUTED_VALUE"""),0.7842)</f>
      </c>
      <c r="E73" s="10">
        <f>IFERROR(__xludf.DUMMYFUNCTION("""COMPUTED_VALUE"""),0.256)</f>
      </c>
      <c r="F73" s="10">
        <f>IFERROR(__xludf.DUMMYFUNCTION("""COMPUTED_VALUE"""),0.7626)</f>
      </c>
      <c r="G73" s="10">
        <f>IFERROR(__xludf.DUMMYFUNCTION("""COMPUTED_VALUE"""),0.2137)</f>
      </c>
    </row>
    <row x14ac:dyDescent="0.25" r="74" customHeight="1" ht="15.75">
      <c r="A74" s="8">
        <f>IFERROR(__xludf.DUMMYFUNCTION("""COMPUTED_VALUE"""),25256.0)</f>
      </c>
      <c r="B74" s="9">
        <f>IFERROR(__xludf.DUMMYFUNCTION("""COMPUTED_VALUE"""),"BAIXADAS LITORANEAS")</f>
      </c>
      <c r="C74" s="9">
        <f>IFERROR(__xludf.DUMMYFUNCTION("""COMPUTED_VALUE"""),"CIEP 331 LYSIA BERNARDES")</f>
      </c>
      <c r="D74" s="10">
        <f>IFERROR(__xludf.DUMMYFUNCTION("""COMPUTED_VALUE"""),0.7475)</f>
      </c>
      <c r="E74" s="10">
        <f>IFERROR(__xludf.DUMMYFUNCTION("""COMPUTED_VALUE"""),0.1507)</f>
      </c>
      <c r="F74" s="10">
        <f>IFERROR(__xludf.DUMMYFUNCTION("""COMPUTED_VALUE"""),0.4442)</f>
      </c>
      <c r="G74" s="10">
        <f>IFERROR(__xludf.DUMMYFUNCTION("""COMPUTED_VALUE"""),0.1911)</f>
      </c>
    </row>
    <row x14ac:dyDescent="0.25" r="75" customHeight="1" ht="15.75">
      <c r="A75" s="8">
        <f>IFERROR(__xludf.DUMMYFUNCTION("""COMPUTED_VALUE"""),25257.0)</f>
      </c>
      <c r="B75" s="9">
        <f>IFERROR(__xludf.DUMMYFUNCTION("""COMPUTED_VALUE"""),"BAIXADAS LITORANEAS")</f>
      </c>
      <c r="C75" s="9">
        <f>IFERROR(__xludf.DUMMYFUNCTION("""COMPUTED_VALUE"""),"CIEP 357 JOSE DE DOME")</f>
      </c>
      <c r="D75" s="10">
        <f>IFERROR(__xludf.DUMMYFUNCTION("""COMPUTED_VALUE"""),0.4815)</f>
      </c>
      <c r="E75" s="10">
        <f>IFERROR(__xludf.DUMMYFUNCTION("""COMPUTED_VALUE"""),0.2017)</f>
      </c>
      <c r="F75" s="10">
        <f>IFERROR(__xludf.DUMMYFUNCTION("""COMPUTED_VALUE"""),0.4667)</f>
      </c>
      <c r="G75" s="10">
        <f>IFERROR(__xludf.DUMMYFUNCTION("""COMPUTED_VALUE"""),0.1894)</f>
      </c>
    </row>
    <row x14ac:dyDescent="0.25" r="76" customHeight="1" ht="15.75">
      <c r="A76" s="8">
        <f>IFERROR(__xludf.DUMMYFUNCTION("""COMPUTED_VALUE"""),25245.0)</f>
      </c>
      <c r="B76" s="9">
        <f>IFERROR(__xludf.DUMMYFUNCTION("""COMPUTED_VALUE"""),"BAIXADAS LITORANEAS")</f>
      </c>
      <c r="C76" s="9">
        <f>IFERROR(__xludf.DUMMYFUNCTION("""COMPUTED_VALUE"""),"CIEP 384 GONCALVES DIAS")</f>
      </c>
      <c r="D76" s="10">
        <f>IFERROR(__xludf.DUMMYFUNCTION("""COMPUTED_VALUE"""),0.7374)</f>
      </c>
      <c r="E76" s="10">
        <f>IFERROR(__xludf.DUMMYFUNCTION("""COMPUTED_VALUE"""),0.2328)</f>
      </c>
      <c r="F76" s="10">
        <f>IFERROR(__xludf.DUMMYFUNCTION("""COMPUTED_VALUE"""),0.7246)</f>
      </c>
      <c r="G76" s="10">
        <f>IFERROR(__xludf.DUMMYFUNCTION("""COMPUTED_VALUE"""),0.2037)</f>
      </c>
    </row>
    <row x14ac:dyDescent="0.25" r="77" customHeight="1" ht="15.75">
      <c r="A77" s="8">
        <f>IFERROR(__xludf.DUMMYFUNCTION("""COMPUTED_VALUE"""),25272.0)</f>
      </c>
      <c r="B77" s="9">
        <f>IFERROR(__xludf.DUMMYFUNCTION("""COMPUTED_VALUE"""),"BAIXADAS LITORANEAS")</f>
      </c>
      <c r="C77" s="9">
        <f>IFERROR(__xludf.DUMMYFUNCTION("""COMPUTED_VALUE"""),"CIEP 391 PROFESSOR ROBSON MENDONCA LOU")</f>
      </c>
      <c r="D77" s="10">
        <f>IFERROR(__xludf.DUMMYFUNCTION("""COMPUTED_VALUE"""),0.7194)</f>
      </c>
      <c r="E77" s="10">
        <f>IFERROR(__xludf.DUMMYFUNCTION("""COMPUTED_VALUE"""),0.1687)</f>
      </c>
      <c r="F77" s="10">
        <f>IFERROR(__xludf.DUMMYFUNCTION("""COMPUTED_VALUE"""),0.5943)</f>
      </c>
      <c r="G77" s="10">
        <f>IFERROR(__xludf.DUMMYFUNCTION("""COMPUTED_VALUE"""),0.1973)</f>
      </c>
    </row>
    <row x14ac:dyDescent="0.25" r="78" customHeight="1" ht="15.75">
      <c r="A78" s="8">
        <f>IFERROR(__xludf.DUMMYFUNCTION("""COMPUTED_VALUE"""),25305.0)</f>
      </c>
      <c r="B78" s="9">
        <f>IFERROR(__xludf.DUMMYFUNCTION("""COMPUTED_VALUE"""),"BAIXADAS LITORANEAS")</f>
      </c>
      <c r="C78" s="9">
        <f>IFERROR(__xludf.DUMMYFUNCTION("""COMPUTED_VALUE"""),"CIEP 448 RUY FRAZAO SOARES")</f>
      </c>
      <c r="D78" s="10">
        <f>IFERROR(__xludf.DUMMYFUNCTION("""COMPUTED_VALUE"""),0.5324)</f>
      </c>
      <c r="E78" s="10">
        <f>IFERROR(__xludf.DUMMYFUNCTION("""COMPUTED_VALUE"""),0.2285)</f>
      </c>
      <c r="F78" s="10">
        <f>IFERROR(__xludf.DUMMYFUNCTION("""COMPUTED_VALUE"""),0.6637)</f>
      </c>
      <c r="G78" s="10">
        <f>IFERROR(__xludf.DUMMYFUNCTION("""COMPUTED_VALUE"""),0.2048)</f>
      </c>
    </row>
    <row x14ac:dyDescent="0.25" r="79" customHeight="1" ht="15.75">
      <c r="A79" s="8">
        <f>IFERROR(__xludf.DUMMYFUNCTION("""COMPUTED_VALUE"""),25306.0)</f>
      </c>
      <c r="B79" s="9">
        <f>IFERROR(__xludf.DUMMYFUNCTION("""COMPUTED_VALUE"""),"BAIXADAS LITORANEAS")</f>
      </c>
      <c r="C79" s="9">
        <f>IFERROR(__xludf.DUMMYFUNCTION("""COMPUTED_VALUE"""),"CIEP 449 GOVERNADOR LEONEL DE MOURA BRIZOLA BRASIL FRANCA")</f>
      </c>
      <c r="D79" s="10">
        <f>IFERROR(__xludf.DUMMYFUNCTION("""COMPUTED_VALUE"""),1.0)</f>
      </c>
      <c r="E79" s="10">
        <f>IFERROR(__xludf.DUMMYFUNCTION("""COMPUTED_VALUE"""),0.3114)</f>
      </c>
      <c r="F79" s="10">
        <f>IFERROR(__xludf.DUMMYFUNCTION("""COMPUTED_VALUE"""),0.6765)</f>
      </c>
      <c r="G79" s="10">
        <f>IFERROR(__xludf.DUMMYFUNCTION("""COMPUTED_VALUE"""),0.2179)</f>
      </c>
    </row>
    <row x14ac:dyDescent="0.25" r="80" customHeight="1" ht="15.75">
      <c r="A80" s="8">
        <f>IFERROR(__xludf.DUMMYFUNCTION("""COMPUTED_VALUE"""),25262.0)</f>
      </c>
      <c r="B80" s="9">
        <f>IFERROR(__xludf.DUMMYFUNCTION("""COMPUTED_VALUE"""),"BAIXADAS LITORANEAS")</f>
      </c>
      <c r="C80" s="9">
        <f>IFERROR(__xludf.DUMMYFUNCTION("""COMPUTED_VALUE"""),"CIEP 457 DOUTOR JOSÉ ELIAS MELLO DOS SANTOS")</f>
      </c>
      <c r="D80" s="10">
        <f>IFERROR(__xludf.DUMMYFUNCTION("""COMPUTED_VALUE"""),0.8163)</f>
      </c>
      <c r="E80" s="10">
        <f>IFERROR(__xludf.DUMMYFUNCTION("""COMPUTED_VALUE"""),0.2447)</f>
      </c>
      <c r="F80" s="10">
        <f>IFERROR(__xludf.DUMMYFUNCTION("""COMPUTED_VALUE"""),0.7517)</f>
      </c>
      <c r="G80" s="10">
        <f>IFERROR(__xludf.DUMMYFUNCTION("""COMPUTED_VALUE"""),0.2712)</f>
      </c>
    </row>
    <row x14ac:dyDescent="0.25" r="81" customHeight="1" ht="15.75">
      <c r="A81" s="8">
        <f>IFERROR(__xludf.DUMMYFUNCTION("""COMPUTED_VALUE"""),25258.0)</f>
      </c>
      <c r="B81" s="9">
        <f>IFERROR(__xludf.DUMMYFUNCTION("""COMPUTED_VALUE"""),"BAIXADAS LITORANEAS")</f>
      </c>
      <c r="C81" s="9">
        <f>IFERROR(__xludf.DUMMYFUNCTION("""COMPUTED_VALUE"""),"CIEP 458 HERMES BARCELOS")</f>
      </c>
      <c r="D81" s="10">
        <f>IFERROR(__xludf.DUMMYFUNCTION("""COMPUTED_VALUE"""),0.7766)</f>
      </c>
      <c r="E81" s="10">
        <f>IFERROR(__xludf.DUMMYFUNCTION("""COMPUTED_VALUE"""),0.1459)</f>
      </c>
      <c r="F81" s="10">
        <f>IFERROR(__xludf.DUMMYFUNCTION("""COMPUTED_VALUE"""),0.1871)</f>
      </c>
      <c r="G81" s="10">
        <f>IFERROR(__xludf.DUMMYFUNCTION("""COMPUTED_VALUE"""),0.1951)</f>
      </c>
    </row>
    <row x14ac:dyDescent="0.25" r="82" customHeight="1" ht="15.75">
      <c r="A82" s="8">
        <f>IFERROR(__xludf.DUMMYFUNCTION("""COMPUTED_VALUE"""),25246.0)</f>
      </c>
      <c r="B82" s="9">
        <f>IFERROR(__xludf.DUMMYFUNCTION("""COMPUTED_VALUE"""),"BAIXADAS LITORANEAS")</f>
      </c>
      <c r="C82" s="9">
        <f>IFERROR(__xludf.DUMMYFUNCTION("""COMPUTED_VALUE"""),"CIEP 460 THIOPHYLA BRAGANCA")</f>
      </c>
      <c r="D82" s="10">
        <f>IFERROR(__xludf.DUMMYFUNCTION("""COMPUTED_VALUE"""),0.7521)</f>
      </c>
      <c r="E82" s="10">
        <f>IFERROR(__xludf.DUMMYFUNCTION("""COMPUTED_VALUE"""),0.2204)</f>
      </c>
      <c r="F82" s="10">
        <f>IFERROR(__xludf.DUMMYFUNCTION("""COMPUTED_VALUE"""),0.5385)</f>
      </c>
      <c r="G82" s="10">
        <f>IFERROR(__xludf.DUMMYFUNCTION("""COMPUTED_VALUE"""),0.1991)</f>
      </c>
    </row>
    <row x14ac:dyDescent="0.25" r="83" customHeight="1" ht="15.75">
      <c r="A83" s="8">
        <f>IFERROR(__xludf.DUMMYFUNCTION("""COMPUTED_VALUE"""),25312.0)</f>
      </c>
      <c r="B83" s="9">
        <f>IFERROR(__xludf.DUMMYFUNCTION("""COMPUTED_VALUE"""),"BAIXADAS LITORANEAS")</f>
      </c>
      <c r="C83" s="9">
        <f>IFERROR(__xludf.DUMMYFUNCTION("""COMPUTED_VALUE"""),"IE PROFESSOR ISMAEL COUTINHO")</f>
      </c>
      <c r="D83" s="10">
        <f>IFERROR(__xludf.DUMMYFUNCTION("""COMPUTED_VALUE"""),0.6803)</f>
      </c>
      <c r="E83" s="10">
        <f>IFERROR(__xludf.DUMMYFUNCTION("""COMPUTED_VALUE"""),0.2677)</f>
      </c>
      <c r="F83" s="10">
        <f>IFERROR(__xludf.DUMMYFUNCTION("""COMPUTED_VALUE"""),0.8361)</f>
      </c>
      <c r="G83" s="10">
        <f>IFERROR(__xludf.DUMMYFUNCTION("""COMPUTED_VALUE"""),0.2143)</f>
      </c>
    </row>
    <row x14ac:dyDescent="0.25" r="84" customHeight="1" ht="15.75">
      <c r="A84" s="8">
        <f>IFERROR(__xludf.DUMMYFUNCTION("""COMPUTED_VALUE"""),25260.0)</f>
      </c>
      <c r="B84" s="9">
        <f>IFERROR(__xludf.DUMMYFUNCTION("""COMPUTED_VALUE"""),"BAIXADAS LITORANEAS")</f>
      </c>
      <c r="C84" s="9">
        <f>IFERROR(__xludf.DUMMYFUNCTION("""COMPUTED_VALUE"""),"IE PROFESSORA ISMAR GOMES DE AZEVEDO")</f>
      </c>
      <c r="D84" s="10">
        <f>IFERROR(__xludf.DUMMYFUNCTION("""COMPUTED_VALUE"""),0.6633)</f>
      </c>
      <c r="E84" s="10">
        <f>IFERROR(__xludf.DUMMYFUNCTION("""COMPUTED_VALUE"""),0.2458)</f>
      </c>
      <c r="F84" s="10">
        <f>IFERROR(__xludf.DUMMYFUNCTION("""COMPUTED_VALUE"""),0.585)</f>
      </c>
      <c r="G84" s="10">
        <f>IFERROR(__xludf.DUMMYFUNCTION("""COMPUTED_VALUE"""),0.2028)</f>
      </c>
    </row>
    <row x14ac:dyDescent="0.25" r="85" customHeight="1" ht="15.75">
      <c r="A85" s="8">
        <f>IFERROR(__xludf.DUMMYFUNCTION("""COMPUTED_VALUE"""),25313.0)</f>
      </c>
      <c r="B85" s="9">
        <f>IFERROR(__xludf.DUMMYFUNCTION("""COMPUTED_VALUE"""),"BAIXADAS LITORANEAS")</f>
      </c>
      <c r="C85" s="9">
        <f>IFERROR(__xludf.DUMMYFUNCTION("""COMPUTED_VALUE"""),"LICEU NILO PECANHA")</f>
      </c>
      <c r="D85" s="10">
        <f>IFERROR(__xludf.DUMMYFUNCTION("""COMPUTED_VALUE"""),0.9519)</f>
      </c>
      <c r="E85" s="10">
        <f>IFERROR(__xludf.DUMMYFUNCTION("""COMPUTED_VALUE"""),0.1918)</f>
      </c>
      <c r="F85" s="10">
        <f>IFERROR(__xludf.DUMMYFUNCTION("""COMPUTED_VALUE"""),0.4361)</f>
      </c>
      <c r="G85" s="10">
        <f>IFERROR(__xludf.DUMMYFUNCTION("""COMPUTED_VALUE"""),0.2114)</f>
      </c>
    </row>
    <row x14ac:dyDescent="0.25" r="86" customHeight="1" ht="15.75">
      <c r="A86" s="8">
        <f>IFERROR(__xludf.DUMMYFUNCTION("""COMPUTED_VALUE"""),26131.0)</f>
      </c>
      <c r="B86" s="9">
        <f>IFERROR(__xludf.DUMMYFUNCTION("""COMPUTED_VALUE"""),"CENTRO SUL")</f>
      </c>
      <c r="C86" s="9">
        <f>IFERROR(__xludf.DUMMYFUNCTION("""COMPUTED_VALUE"""),"CE ALFREDO GOMES")</f>
      </c>
      <c r="D86" s="10">
        <f>IFERROR(__xludf.DUMMYFUNCTION("""COMPUTED_VALUE"""),0.8554)</f>
      </c>
      <c r="E86" s="10">
        <f>IFERROR(__xludf.DUMMYFUNCTION("""COMPUTED_VALUE"""),0.2662)</f>
      </c>
      <c r="F86" s="10">
        <f>IFERROR(__xludf.DUMMYFUNCTION("""COMPUTED_VALUE"""),0.8193)</f>
      </c>
      <c r="G86" s="10">
        <f>IFERROR(__xludf.DUMMYFUNCTION("""COMPUTED_VALUE"""),0.2272)</f>
      </c>
    </row>
    <row x14ac:dyDescent="0.25" r="87" customHeight="1" ht="15.75">
      <c r="A87" s="8">
        <f>IFERROR(__xludf.DUMMYFUNCTION("""COMPUTED_VALUE"""),26132.0)</f>
      </c>
      <c r="B87" s="9">
        <f>IFERROR(__xludf.DUMMYFUNCTION("""COMPUTED_VALUE"""),"CENTRO SUL")</f>
      </c>
      <c r="C87" s="9">
        <f>IFERROR(__xludf.DUMMYFUNCTION("""COMPUTED_VALUE"""),"CE ALMIRANTE RODRIGUES SILVA")</f>
      </c>
      <c r="D87" s="10">
        <f>IFERROR(__xludf.DUMMYFUNCTION("""COMPUTED_VALUE"""),0.9718)</f>
      </c>
      <c r="E87" s="10">
        <f>IFERROR(__xludf.DUMMYFUNCTION("""COMPUTED_VALUE"""),0.3023)</f>
      </c>
      <c r="F87" s="10">
        <f>IFERROR(__xludf.DUMMYFUNCTION("""COMPUTED_VALUE"""),0.9437)</f>
      </c>
      <c r="G87" s="10">
        <f>IFERROR(__xludf.DUMMYFUNCTION("""COMPUTED_VALUE"""),0.2477)</f>
      </c>
    </row>
    <row x14ac:dyDescent="0.25" r="88" customHeight="1" ht="15.75">
      <c r="A88" s="8">
        <f>IFERROR(__xludf.DUMMYFUNCTION("""COMPUTED_VALUE"""),26113.0)</f>
      </c>
      <c r="B88" s="9">
        <f>IFERROR(__xludf.DUMMYFUNCTION("""COMPUTED_VALUE"""),"CENTRO SUL")</f>
      </c>
      <c r="C88" s="9">
        <f>IFERROR(__xludf.DUMMYFUNCTION("""COMPUTED_VALUE"""),"CE ALVARO ALVIM")</f>
      </c>
      <c r="D88" s="10">
        <f>IFERROR(__xludf.DUMMYFUNCTION("""COMPUTED_VALUE"""),1.0)</f>
      </c>
      <c r="E88" s="10">
        <f>IFERROR(__xludf.DUMMYFUNCTION("""COMPUTED_VALUE"""),0.2081)</f>
      </c>
      <c r="F88" s="10">
        <f>IFERROR(__xludf.DUMMYFUNCTION("""COMPUTED_VALUE"""),0.8425)</f>
      </c>
      <c r="G88" s="10">
        <f>IFERROR(__xludf.DUMMYFUNCTION("""COMPUTED_VALUE"""),0.223)</f>
      </c>
    </row>
    <row x14ac:dyDescent="0.25" r="89" customHeight="1" ht="15.75">
      <c r="A89" s="8">
        <f>IFERROR(__xludf.DUMMYFUNCTION("""COMPUTED_VALUE"""),26143.0)</f>
      </c>
      <c r="B89" s="9">
        <f>IFERROR(__xludf.DUMMYFUNCTION("""COMPUTED_VALUE"""),"CENTRO SUL")</f>
      </c>
      <c r="C89" s="9">
        <f>IFERROR(__xludf.DUMMYFUNCTION("""COMPUTED_VALUE"""),"CE ANTÔNIO DE JESUS GOMES - BRASIL-MÉXICO")</f>
      </c>
      <c r="D89" s="10">
        <f>IFERROR(__xludf.DUMMYFUNCTION("""COMPUTED_VALUE"""),0.9787)</f>
      </c>
      <c r="E89" s="10">
        <f>IFERROR(__xludf.DUMMYFUNCTION("""COMPUTED_VALUE"""),0.2774)</f>
      </c>
      <c r="F89" s="10">
        <f>IFERROR(__xludf.DUMMYFUNCTION("""COMPUTED_VALUE"""),0.8936)</f>
      </c>
      <c r="G89" s="10">
        <f>IFERROR(__xludf.DUMMYFUNCTION("""COMPUTED_VALUE"""),0.2451)</f>
      </c>
    </row>
    <row x14ac:dyDescent="0.25" r="90" customHeight="1" ht="15.75">
      <c r="A90" s="8">
        <f>IFERROR(__xludf.DUMMYFUNCTION("""COMPUTED_VALUE"""),26133.0)</f>
      </c>
      <c r="B90" s="9">
        <f>IFERROR(__xludf.DUMMYFUNCTION("""COMPUTED_VALUE"""),"CENTRO SUL")</f>
      </c>
      <c r="C90" s="9">
        <f>IFERROR(__xludf.DUMMYFUNCTION("""COMPUTED_VALUE"""),"CE ARNOR SILVESTRE VIEIRA")</f>
      </c>
      <c r="D90" s="10">
        <f>IFERROR(__xludf.DUMMYFUNCTION("""COMPUTED_VALUE"""),0.8833)</f>
      </c>
      <c r="E90" s="10">
        <f>IFERROR(__xludf.DUMMYFUNCTION("""COMPUTED_VALUE"""),0.333)</f>
      </c>
      <c r="F90" s="10">
        <f>IFERROR(__xludf.DUMMYFUNCTION("""COMPUTED_VALUE"""),0.7833)</f>
      </c>
      <c r="G90" s="10">
        <f>IFERROR(__xludf.DUMMYFUNCTION("""COMPUTED_VALUE"""),0.227)</f>
      </c>
    </row>
    <row x14ac:dyDescent="0.25" r="91" customHeight="1" ht="15.75">
      <c r="A91" s="8">
        <f>IFERROR(__xludf.DUMMYFUNCTION("""COMPUTED_VALUE"""),26134.0)</f>
      </c>
      <c r="B91" s="9">
        <f>IFERROR(__xludf.DUMMYFUNCTION("""COMPUTED_VALUE"""),"CENTRO SUL")</f>
      </c>
      <c r="C91" s="9">
        <f>IFERROR(__xludf.DUMMYFUNCTION("""COMPUTED_VALUE"""),"CE BARAO DE JUPARANA")</f>
      </c>
      <c r="D91" s="10">
        <f>IFERROR(__xludf.DUMMYFUNCTION("""COMPUTED_VALUE"""),0.8462)</f>
      </c>
      <c r="E91" s="10">
        <f>IFERROR(__xludf.DUMMYFUNCTION("""COMPUTED_VALUE"""),0.282)</f>
      </c>
      <c r="F91" s="10">
        <f>IFERROR(__xludf.DUMMYFUNCTION("""COMPUTED_VALUE"""),0.6923)</f>
      </c>
      <c r="G91" s="10">
        <f>IFERROR(__xludf.DUMMYFUNCTION("""COMPUTED_VALUE"""),0.2077)</f>
      </c>
    </row>
    <row x14ac:dyDescent="0.25" r="92" customHeight="1" ht="15.75">
      <c r="A92" s="8">
        <f>IFERROR(__xludf.DUMMYFUNCTION("""COMPUTED_VALUE"""),26121.0)</f>
      </c>
      <c r="B92" s="9">
        <f>IFERROR(__xludf.DUMMYFUNCTION("""COMPUTED_VALUE"""),"CENTRO SUL")</f>
      </c>
      <c r="C92" s="9">
        <f>IFERROR(__xludf.DUMMYFUNCTION("""COMPUTED_VALUE"""),"CE BARAO DE PALMEIRAS")</f>
      </c>
      <c r="D92" s="10">
        <f>IFERROR(__xludf.DUMMYFUNCTION("""COMPUTED_VALUE"""),0.9926)</f>
      </c>
      <c r="E92" s="10">
        <f>IFERROR(__xludf.DUMMYFUNCTION("""COMPUTED_VALUE"""),0.2424)</f>
      </c>
      <c r="F92" s="10">
        <f>IFERROR(__xludf.DUMMYFUNCTION("""COMPUTED_VALUE"""),0.8444)</f>
      </c>
      <c r="G92" s="10">
        <f>IFERROR(__xludf.DUMMYFUNCTION("""COMPUTED_VALUE"""),0.2278)</f>
      </c>
    </row>
    <row x14ac:dyDescent="0.25" r="93" customHeight="1" ht="15.75">
      <c r="A93" s="8">
        <f>IFERROR(__xludf.DUMMYFUNCTION("""COMPUTED_VALUE"""),26098.0)</f>
      </c>
      <c r="B93" s="9">
        <f>IFERROR(__xludf.DUMMYFUNCTION("""COMPUTED_VALUE"""),"CENTRO SUL")</f>
      </c>
      <c r="C93" s="9">
        <f>IFERROR(__xludf.DUMMYFUNCTION("""COMPUTED_VALUE"""),"CE BARAO DO RIO BONITO")</f>
      </c>
      <c r="D93" s="10">
        <f>IFERROR(__xludf.DUMMYFUNCTION("""COMPUTED_VALUE"""),0.6026)</f>
      </c>
      <c r="E93" s="10">
        <f>IFERROR(__xludf.DUMMYFUNCTION("""COMPUTED_VALUE"""),0.2654)</f>
      </c>
      <c r="F93" s="10">
        <f>IFERROR(__xludf.DUMMYFUNCTION("""COMPUTED_VALUE"""),0.5852)</f>
      </c>
      <c r="G93" s="10">
        <f>IFERROR(__xludf.DUMMYFUNCTION("""COMPUTED_VALUE"""),0.2485)</f>
      </c>
    </row>
    <row x14ac:dyDescent="0.25" r="94" customHeight="1" ht="15.75">
      <c r="A94" s="8">
        <f>IFERROR(__xludf.DUMMYFUNCTION("""COMPUTED_VALUE"""),26122.0)</f>
      </c>
      <c r="B94" s="9">
        <f>IFERROR(__xludf.DUMMYFUNCTION("""COMPUTED_VALUE"""),"CENTRO SUL")</f>
      </c>
      <c r="C94" s="9">
        <f>IFERROR(__xludf.DUMMYFUNCTION("""COMPUTED_VALUE"""),"CE BEZERRA DE MENEZES")</f>
      </c>
      <c r="D94" s="10">
        <f>IFERROR(__xludf.DUMMYFUNCTION("""COMPUTED_VALUE"""),0.6809)</f>
      </c>
      <c r="E94" s="10">
        <f>IFERROR(__xludf.DUMMYFUNCTION("""COMPUTED_VALUE"""),0.2646)</f>
      </c>
      <c r="F94" s="10">
        <f>IFERROR(__xludf.DUMMYFUNCTION("""COMPUTED_VALUE"""),0.7943)</f>
      </c>
      <c r="G94" s="10">
        <f>IFERROR(__xludf.DUMMYFUNCTION("""COMPUTED_VALUE"""),0.2351)</f>
      </c>
    </row>
    <row x14ac:dyDescent="0.25" r="95" customHeight="1" ht="15.75">
      <c r="A95" s="8">
        <f>IFERROR(__xludf.DUMMYFUNCTION("""COMPUTED_VALUE"""),26114.0)</f>
      </c>
      <c r="B95" s="9">
        <f>IFERROR(__xludf.DUMMYFUNCTION("""COMPUTED_VALUE"""),"CENTRO SUL")</f>
      </c>
      <c r="C95" s="9">
        <f>IFERROR(__xludf.DUMMYFUNCTION("""COMPUTED_VALUE"""),"CE CARMEM DE LUCA ANDREIOLO")</f>
      </c>
      <c r="D95" s="10">
        <f>IFERROR(__xludf.DUMMYFUNCTION("""COMPUTED_VALUE"""),0.8286)</f>
      </c>
      <c r="E95" s="10">
        <f>IFERROR(__xludf.DUMMYFUNCTION("""COMPUTED_VALUE"""),0.2351)</f>
      </c>
      <c r="F95" s="10">
        <f>IFERROR(__xludf.DUMMYFUNCTION("""COMPUTED_VALUE"""),0.8286)</f>
      </c>
      <c r="G95" s="10">
        <f>IFERROR(__xludf.DUMMYFUNCTION("""COMPUTED_VALUE"""),0.1947)</f>
      </c>
    </row>
    <row x14ac:dyDescent="0.25" r="96" customHeight="1" ht="15.75">
      <c r="A96" s="8">
        <f>IFERROR(__xludf.DUMMYFUNCTION("""COMPUTED_VALUE"""),26144.0)</f>
      </c>
      <c r="B96" s="9">
        <f>IFERROR(__xludf.DUMMYFUNCTION("""COMPUTED_VALUE"""),"CENTRO SUL")</f>
      </c>
      <c r="C96" s="9">
        <f>IFERROR(__xludf.DUMMYFUNCTION("""COMPUTED_VALUE"""),"CE CENTENARIO")</f>
      </c>
      <c r="D96" s="10">
        <f>IFERROR(__xludf.DUMMYFUNCTION("""COMPUTED_VALUE"""),0.8986)</f>
      </c>
      <c r="E96" s="10">
        <f>IFERROR(__xludf.DUMMYFUNCTION("""COMPUTED_VALUE"""),0.2595)</f>
      </c>
      <c r="F96" s="10">
        <f>IFERROR(__xludf.DUMMYFUNCTION("""COMPUTED_VALUE"""),0.7971)</f>
      </c>
      <c r="G96" s="10">
        <f>IFERROR(__xludf.DUMMYFUNCTION("""COMPUTED_VALUE"""),0.2195)</f>
      </c>
    </row>
    <row x14ac:dyDescent="0.25" r="97" customHeight="1" ht="15.75">
      <c r="A97" s="8">
        <f>IFERROR(__xludf.DUMMYFUNCTION("""COMPUTED_VALUE"""),26135.0)</f>
      </c>
      <c r="B97" s="9">
        <f>IFERROR(__xludf.DUMMYFUNCTION("""COMPUTED_VALUE"""),"CENTRO SUL")</f>
      </c>
      <c r="C97" s="9">
        <f>IFERROR(__xludf.DUMMYFUNCTION("""COMPUTED_VALUE"""),"CE CORONEL BENJAMIN GUIMARAES")</f>
      </c>
      <c r="D97" s="10">
        <f>IFERROR(__xludf.DUMMYFUNCTION("""COMPUTED_VALUE"""),0.9815)</f>
      </c>
      <c r="E97" s="10">
        <f>IFERROR(__xludf.DUMMYFUNCTION("""COMPUTED_VALUE"""),0.2386)</f>
      </c>
      <c r="F97" s="10">
        <f>IFERROR(__xludf.DUMMYFUNCTION("""COMPUTED_VALUE"""),1.0)</f>
      </c>
      <c r="G97" s="10">
        <f>IFERROR(__xludf.DUMMYFUNCTION("""COMPUTED_VALUE"""),0.1936)</f>
      </c>
    </row>
    <row x14ac:dyDescent="0.25" r="98" customHeight="1" ht="15.75">
      <c r="A98" s="8">
        <f>IFERROR(__xludf.DUMMYFUNCTION("""COMPUTED_VALUE"""),26099.0)</f>
      </c>
      <c r="B98" s="9">
        <f>IFERROR(__xludf.DUMMYFUNCTION("""COMPUTED_VALUE"""),"CENTRO SUL")</f>
      </c>
      <c r="C98" s="9">
        <f>IFERROR(__xludf.DUMMYFUNCTION("""COMPUTED_VALUE"""),"CE DOUTOR ALVARO ROCHA")</f>
      </c>
      <c r="D98" s="10">
        <f>IFERROR(__xludf.DUMMYFUNCTION("""COMPUTED_VALUE"""),0.8621)</f>
      </c>
      <c r="E98" s="10">
        <f>IFERROR(__xludf.DUMMYFUNCTION("""COMPUTED_VALUE"""),0.2734)</f>
      </c>
      <c r="F98" s="10">
        <f>IFERROR(__xludf.DUMMYFUNCTION("""COMPUTED_VALUE"""),0.6897)</f>
      </c>
      <c r="G98" s="10">
        <f>IFERROR(__xludf.DUMMYFUNCTION("""COMPUTED_VALUE"""),0.2157)</f>
      </c>
    </row>
    <row x14ac:dyDescent="0.25" r="99" customHeight="1" ht="15.75">
      <c r="A99" s="8">
        <f>IFERROR(__xludf.DUMMYFUNCTION("""COMPUTED_VALUE"""),26115.0)</f>
      </c>
      <c r="B99" s="9">
        <f>IFERROR(__xludf.DUMMYFUNCTION("""COMPUTED_VALUE"""),"CENTRO SUL")</f>
      </c>
      <c r="C99" s="9">
        <f>IFERROR(__xludf.DUMMYFUNCTION("""COMPUTED_VALUE"""),"CE DOUTOR ANTONIO FERNANDES")</f>
      </c>
      <c r="D99" s="10">
        <f>IFERROR(__xludf.DUMMYFUNCTION("""COMPUTED_VALUE"""),0.9795)</f>
      </c>
      <c r="E99" s="10">
        <f>IFERROR(__xludf.DUMMYFUNCTION("""COMPUTED_VALUE"""),0.202)</f>
      </c>
      <c r="F99" s="10">
        <f>IFERROR(__xludf.DUMMYFUNCTION("""COMPUTED_VALUE"""),0.4667)</f>
      </c>
      <c r="G99" s="10">
        <f>IFERROR(__xludf.DUMMYFUNCTION("""COMPUTED_VALUE"""),0.2062)</f>
      </c>
    </row>
    <row x14ac:dyDescent="0.25" r="100" customHeight="1" ht="15.75">
      <c r="A100" s="8">
        <f>IFERROR(__xludf.DUMMYFUNCTION("""COMPUTED_VALUE"""),26136.0)</f>
      </c>
      <c r="B100" s="9">
        <f>IFERROR(__xludf.DUMMYFUNCTION("""COMPUTED_VALUE"""),"CENTRO SUL")</f>
      </c>
      <c r="C100" s="9">
        <f>IFERROR(__xludf.DUMMYFUNCTION("""COMPUTED_VALUE"""),"CE DOUTOR GUILHERME MILWARD")</f>
      </c>
      <c r="D100" s="10">
        <f>IFERROR(__xludf.DUMMYFUNCTION("""COMPUTED_VALUE"""),0.8833)</f>
      </c>
      <c r="E100" s="10">
        <f>IFERROR(__xludf.DUMMYFUNCTION("""COMPUTED_VALUE"""),0.1823)</f>
      </c>
      <c r="F100" s="10">
        <f>IFERROR(__xludf.DUMMYFUNCTION("""COMPUTED_VALUE"""),0.6833)</f>
      </c>
      <c r="G100" s="10">
        <f>IFERROR(__xludf.DUMMYFUNCTION("""COMPUTED_VALUE"""),0.2577)</f>
      </c>
    </row>
    <row x14ac:dyDescent="0.25" r="101" customHeight="1" ht="15.75">
      <c r="A101" s="8">
        <f>IFERROR(__xludf.DUMMYFUNCTION("""COMPUTED_VALUE"""),26111.0)</f>
      </c>
      <c r="B101" s="9">
        <f>IFERROR(__xludf.DUMMYFUNCTION("""COMPUTED_VALUE"""),"CENTRO SUL")</f>
      </c>
      <c r="C101" s="9">
        <f>IFERROR(__xludf.DUMMYFUNCTION("""COMPUTED_VALUE"""),"CE DOUTOR JOAO NERY")</f>
      </c>
      <c r="D101" s="10">
        <f>IFERROR(__xludf.DUMMYFUNCTION("""COMPUTED_VALUE"""),0.8243)</f>
      </c>
      <c r="E101" s="10">
        <f>IFERROR(__xludf.DUMMYFUNCTION("""COMPUTED_VALUE"""),0.2717)</f>
      </c>
      <c r="F101" s="10">
        <f>IFERROR(__xludf.DUMMYFUNCTION("""COMPUTED_VALUE"""),0.8592)</f>
      </c>
      <c r="G101" s="10">
        <f>IFERROR(__xludf.DUMMYFUNCTION("""COMPUTED_VALUE"""),0.2147)</f>
      </c>
    </row>
    <row x14ac:dyDescent="0.25" r="102" customHeight="1" ht="15.75">
      <c r="A102" s="8">
        <f>IFERROR(__xludf.DUMMYFUNCTION("""COMPUTED_VALUE"""),26137.0)</f>
      </c>
      <c r="B102" s="9">
        <f>IFERROR(__xludf.DUMMYFUNCTION("""COMPUTED_VALUE"""),"CENTRO SUL")</f>
      </c>
      <c r="C102" s="9">
        <f>IFERROR(__xludf.DUMMYFUNCTION("""COMPUTED_VALUE"""),"CE DOUTOR OSWALDO TERRA")</f>
      </c>
      <c r="D102" s="10">
        <f>IFERROR(__xludf.DUMMYFUNCTION("""COMPUTED_VALUE"""),0.9423)</f>
      </c>
      <c r="E102" s="10">
        <f>IFERROR(__xludf.DUMMYFUNCTION("""COMPUTED_VALUE"""),0.2764)</f>
      </c>
      <c r="F102" s="10">
        <f>IFERROR(__xludf.DUMMYFUNCTION("""COMPUTED_VALUE"""),0.952)</f>
      </c>
      <c r="G102" s="10">
        <f>IFERROR(__xludf.DUMMYFUNCTION("""COMPUTED_VALUE"""),0.2915)</f>
      </c>
    </row>
    <row x14ac:dyDescent="0.25" r="103" customHeight="1" ht="15.75">
      <c r="A103" s="8">
        <f>IFERROR(__xludf.DUMMYFUNCTION("""COMPUTED_VALUE"""),26126.0)</f>
      </c>
      <c r="B103" s="9">
        <f>IFERROR(__xludf.DUMMYFUNCTION("""COMPUTED_VALUE"""),"CENTRO SUL")</f>
      </c>
      <c r="C103" s="9">
        <f>IFERROR(__xludf.DUMMYFUNCTION("""COMPUTED_VALUE"""),"CE EDMUNDO PERALTA BERNARDES")</f>
      </c>
      <c r="D103" s="10">
        <f>IFERROR(__xludf.DUMMYFUNCTION("""COMPUTED_VALUE"""),0.8969)</f>
      </c>
      <c r="E103" s="10">
        <f>IFERROR(__xludf.DUMMYFUNCTION("""COMPUTED_VALUE"""),0.2814)</f>
      </c>
      <c r="F103" s="10">
        <f>IFERROR(__xludf.DUMMYFUNCTION("""COMPUTED_VALUE"""),0.8299)</f>
      </c>
      <c r="G103" s="10">
        <f>IFERROR(__xludf.DUMMYFUNCTION("""COMPUTED_VALUE"""),0.2498)</f>
      </c>
    </row>
    <row x14ac:dyDescent="0.25" r="104" customHeight="1" ht="15.75">
      <c r="A104" s="8">
        <f>IFERROR(__xludf.DUMMYFUNCTION("""COMPUTED_VALUE"""),26109.0)</f>
      </c>
      <c r="B104" s="9">
        <f>IFERROR(__xludf.DUMMYFUNCTION("""COMPUTED_VALUE"""),"CENTRO SUL")</f>
      </c>
      <c r="C104" s="9">
        <f>IFERROR(__xludf.DUMMYFUNCTION("""COMPUTED_VALUE"""),"CE JOAO KOPKE")</f>
      </c>
      <c r="D104" s="10">
        <f>IFERROR(__xludf.DUMMYFUNCTION("""COMPUTED_VALUE"""),0.9859)</f>
      </c>
      <c r="E104" s="10">
        <f>IFERROR(__xludf.DUMMYFUNCTION("""COMPUTED_VALUE"""),0.3061)</f>
      </c>
      <c r="F104" s="10">
        <f>IFERROR(__xludf.DUMMYFUNCTION("""COMPUTED_VALUE"""),0.9939)</f>
      </c>
      <c r="G104" s="10">
        <f>IFERROR(__xludf.DUMMYFUNCTION("""COMPUTED_VALUE"""),0.3102)</f>
      </c>
    </row>
    <row x14ac:dyDescent="0.25" r="105" customHeight="1" ht="15.75">
      <c r="A105" s="8">
        <f>IFERROR(__xludf.DUMMYFUNCTION("""COMPUTED_VALUE"""),26100.0)</f>
      </c>
      <c r="B105" s="9">
        <f>IFERROR(__xludf.DUMMYFUNCTION("""COMPUTED_VALUE"""),"CENTRO SUL")</f>
      </c>
      <c r="C105" s="9">
        <f>IFERROR(__xludf.DUMMYFUNCTION("""COMPUTED_VALUE"""),"CE JOAQUIM DE MACEDO")</f>
      </c>
      <c r="D105" s="10">
        <f>IFERROR(__xludf.DUMMYFUNCTION("""COMPUTED_VALUE"""),0.7119)</f>
      </c>
      <c r="E105" s="10">
        <f>IFERROR(__xludf.DUMMYFUNCTION("""COMPUTED_VALUE"""),0.2399)</f>
      </c>
      <c r="F105" s="10">
        <f>IFERROR(__xludf.DUMMYFUNCTION("""COMPUTED_VALUE"""),0.5188)</f>
      </c>
      <c r="G105" s="10">
        <f>IFERROR(__xludf.DUMMYFUNCTION("""COMPUTED_VALUE"""),0.2054)</f>
      </c>
    </row>
    <row x14ac:dyDescent="0.25" r="106" customHeight="1" ht="15.75">
      <c r="A106" s="8">
        <f>IFERROR(__xludf.DUMMYFUNCTION("""COMPUTED_VALUE"""),26138.0)</f>
      </c>
      <c r="B106" s="9">
        <f>IFERROR(__xludf.DUMMYFUNCTION("""COMPUTED_VALUE"""),"CENTRO SUL")</f>
      </c>
      <c r="C106" s="9">
        <f>IFERROR(__xludf.DUMMYFUNCTION("""COMPUTED_VALUE"""),"CE JOSE FONSECA")</f>
      </c>
      <c r="D106" s="10">
        <f>IFERROR(__xludf.DUMMYFUNCTION("""COMPUTED_VALUE"""),0.7627)</f>
      </c>
      <c r="E106" s="10">
        <f>IFERROR(__xludf.DUMMYFUNCTION("""COMPUTED_VALUE"""),0.2586)</f>
      </c>
      <c r="F106" s="10">
        <f>IFERROR(__xludf.DUMMYFUNCTION("""COMPUTED_VALUE"""),0.6613)</f>
      </c>
      <c r="G106" s="10">
        <f>IFERROR(__xludf.DUMMYFUNCTION("""COMPUTED_VALUE"""),0.378)</f>
      </c>
    </row>
    <row x14ac:dyDescent="0.25" r="107" customHeight="1" ht="15.75">
      <c r="A107" s="8">
        <f>IFERROR(__xludf.DUMMYFUNCTION("""COMPUTED_VALUE"""),26123.0)</f>
      </c>
      <c r="B107" s="9">
        <f>IFERROR(__xludf.DUMMYFUNCTION("""COMPUTED_VALUE"""),"CENTRO SUL")</f>
      </c>
      <c r="C107" s="9">
        <f>IFERROR(__xludf.DUMMYFUNCTION("""COMPUTED_VALUE"""),"CE LIONS CLUBE DE PARAIBA DO SUL")</f>
      </c>
      <c r="D107" s="10">
        <f>IFERROR(__xludf.DUMMYFUNCTION("""COMPUTED_VALUE"""),0.6012)</f>
      </c>
      <c r="E107" s="10">
        <f>IFERROR(__xludf.DUMMYFUNCTION("""COMPUTED_VALUE"""),0.1644)</f>
      </c>
      <c r="F107" s="10">
        <f>IFERROR(__xludf.DUMMYFUNCTION("""COMPUTED_VALUE"""),0.608)</f>
      </c>
      <c r="G107" s="10">
        <f>IFERROR(__xludf.DUMMYFUNCTION("""COMPUTED_VALUE"""),0.2172)</f>
      </c>
    </row>
    <row x14ac:dyDescent="0.25" r="108" customHeight="1" ht="15.75">
      <c r="A108" s="8">
        <f>IFERROR(__xludf.DUMMYFUNCTION("""COMPUTED_VALUE"""),26124.0)</f>
      </c>
      <c r="B108" s="9">
        <f>IFERROR(__xludf.DUMMYFUNCTION("""COMPUTED_VALUE"""),"CENTRO SUL")</f>
      </c>
      <c r="C108" s="9">
        <f>IFERROR(__xludf.DUMMYFUNCTION("""COMPUTED_VALUE"""),"CE MARIA ZULMIRA TORRES")</f>
      </c>
      <c r="D108" s="10">
        <f>IFERROR(__xludf.DUMMYFUNCTION("""COMPUTED_VALUE"""),0.8348)</f>
      </c>
      <c r="E108" s="10">
        <f>IFERROR(__xludf.DUMMYFUNCTION("""COMPUTED_VALUE"""),0.2553)</f>
      </c>
      <c r="F108" s="10">
        <f>IFERROR(__xludf.DUMMYFUNCTION("""COMPUTED_VALUE"""),0.8043)</f>
      </c>
      <c r="G108" s="10">
        <f>IFERROR(__xludf.DUMMYFUNCTION("""COMPUTED_VALUE"""),0.2196)</f>
      </c>
    </row>
    <row x14ac:dyDescent="0.25" r="109" customHeight="1" ht="15.75">
      <c r="A109" s="8">
        <f>IFERROR(__xludf.DUMMYFUNCTION("""COMPUTED_VALUE"""),26145.0)</f>
      </c>
      <c r="B109" s="9">
        <f>IFERROR(__xludf.DUMMYFUNCTION("""COMPUTED_VALUE"""),"CENTRO SUL")</f>
      </c>
      <c r="C109" s="9">
        <f>IFERROR(__xludf.DUMMYFUNCTION("""COMPUTED_VALUE"""),"CE MINISTRO RAUL FERNANDES")</f>
      </c>
      <c r="D109" s="10">
        <f>IFERROR(__xludf.DUMMYFUNCTION("""COMPUTED_VALUE"""),0.7581)</f>
      </c>
      <c r="E109" s="10">
        <f>IFERROR(__xludf.DUMMYFUNCTION("""COMPUTED_VALUE"""),0.2304)</f>
      </c>
      <c r="F109" s="10">
        <f>IFERROR(__xludf.DUMMYFUNCTION("""COMPUTED_VALUE"""),0.6602)</f>
      </c>
      <c r="G109" s="10">
        <f>IFERROR(__xludf.DUMMYFUNCTION("""COMPUTED_VALUE"""),0.2351)</f>
      </c>
    </row>
    <row x14ac:dyDescent="0.25" r="110" customHeight="1" ht="15.75">
      <c r="A110" s="8">
        <f>IFERROR(__xludf.DUMMYFUNCTION("""COMPUTED_VALUE"""),26125.0)</f>
      </c>
      <c r="B110" s="9">
        <f>IFERROR(__xludf.DUMMYFUNCTION("""COMPUTED_VALUE"""),"CENTRO SUL")</f>
      </c>
      <c r="C110" s="9">
        <f>IFERROR(__xludf.DUMMYFUNCTION("""COMPUTED_VALUE"""),"CE MONSENHOR FRANCISCO")</f>
      </c>
      <c r="D110" s="10">
        <f>IFERROR(__xludf.DUMMYFUNCTION("""COMPUTED_VALUE"""),0.6481)</f>
      </c>
      <c r="E110" s="10">
        <f>IFERROR(__xludf.DUMMYFUNCTION("""COMPUTED_VALUE"""),0.115)</f>
      </c>
      <c r="F110" s="10">
        <f>IFERROR(__xludf.DUMMYFUNCTION("""COMPUTED_VALUE"""),0.7218)</f>
      </c>
      <c r="G110" s="10">
        <f>IFERROR(__xludf.DUMMYFUNCTION("""COMPUTED_VALUE"""),0.2324)</f>
      </c>
    </row>
    <row x14ac:dyDescent="0.25" r="111" customHeight="1" ht="15.75">
      <c r="A111" s="8">
        <f>IFERROR(__xludf.DUMMYFUNCTION("""COMPUTED_VALUE"""),26129.0)</f>
      </c>
      <c r="B111" s="9">
        <f>IFERROR(__xludf.DUMMYFUNCTION("""COMPUTED_VALUE"""),"CENTRO SUL")</f>
      </c>
      <c r="C111" s="9">
        <f>IFERROR(__xludf.DUMMYFUNCTION("""COMPUTED_VALUE"""),"CE NEPHTALINA CARVALHO AVILA")</f>
      </c>
      <c r="D111" s="10">
        <f>IFERROR(__xludf.DUMMYFUNCTION("""COMPUTED_VALUE"""),1.0)</f>
      </c>
      <c r="E111" s="10">
        <f>IFERROR(__xludf.DUMMYFUNCTION("""COMPUTED_VALUE"""),0.2959)</f>
      </c>
      <c r="F111" s="10">
        <f>IFERROR(__xludf.DUMMYFUNCTION("""COMPUTED_VALUE"""),0.8454)</f>
      </c>
      <c r="G111" s="10">
        <f>IFERROR(__xludf.DUMMYFUNCTION("""COMPUTED_VALUE"""),0.2363)</f>
      </c>
    </row>
    <row x14ac:dyDescent="0.25" r="112" customHeight="1" ht="15.75">
      <c r="A112" s="8">
        <f>IFERROR(__xludf.DUMMYFUNCTION("""COMPUTED_VALUE"""),26101.0)</f>
      </c>
      <c r="B112" s="9">
        <f>IFERROR(__xludf.DUMMYFUNCTION("""COMPUTED_VALUE"""),"CENTRO SUL")</f>
      </c>
      <c r="C112" s="9">
        <f>IFERROR(__xludf.DUMMYFUNCTION("""COMPUTED_VALUE"""),"CE NILO PECANHA")</f>
      </c>
      <c r="D112" s="10">
        <f>IFERROR(__xludf.DUMMYFUNCTION("""COMPUTED_VALUE"""),0.7853)</f>
      </c>
      <c r="E112" s="10">
        <f>IFERROR(__xludf.DUMMYFUNCTION("""COMPUTED_VALUE"""),0.2401)</f>
      </c>
      <c r="F112" s="10">
        <f>IFERROR(__xludf.DUMMYFUNCTION("""COMPUTED_VALUE"""),0.5537)</f>
      </c>
      <c r="G112" s="10">
        <f>IFERROR(__xludf.DUMMYFUNCTION("""COMPUTED_VALUE"""),0.2066)</f>
      </c>
    </row>
    <row x14ac:dyDescent="0.25" r="113" customHeight="1" ht="15.75">
      <c r="A113" s="8">
        <f>IFERROR(__xludf.DUMMYFUNCTION("""COMPUTED_VALUE"""),26139.0)</f>
      </c>
      <c r="B113" s="9">
        <f>IFERROR(__xludf.DUMMYFUNCTION("""COMPUTED_VALUE"""),"CENTRO SUL")</f>
      </c>
      <c r="C113" s="9">
        <f>IFERROR(__xludf.DUMMYFUNCTION("""COMPUTED_VALUE"""),"CE PADRE SEBASTIAO DA SILVA PEREIRA")</f>
      </c>
      <c r="D113" s="10">
        <f>IFERROR(__xludf.DUMMYFUNCTION("""COMPUTED_VALUE"""),0.9946)</f>
      </c>
      <c r="E113" s="10">
        <f>IFERROR(__xludf.DUMMYFUNCTION("""COMPUTED_VALUE"""),0.2372)</f>
      </c>
      <c r="F113" s="10">
        <f>IFERROR(__xludf.DUMMYFUNCTION("""COMPUTED_VALUE"""),0.7826)</f>
      </c>
      <c r="G113" s="10">
        <f>IFERROR(__xludf.DUMMYFUNCTION("""COMPUTED_VALUE"""),0.2275)</f>
      </c>
    </row>
    <row x14ac:dyDescent="0.25" r="114" customHeight="1" ht="15.75">
      <c r="A114" s="8">
        <f>IFERROR(__xludf.DUMMYFUNCTION("""COMPUTED_VALUE"""),26118.0)</f>
      </c>
      <c r="B114" s="9">
        <f>IFERROR(__xludf.DUMMYFUNCTION("""COMPUTED_VALUE"""),"CENTRO SUL")</f>
      </c>
      <c r="C114" s="9">
        <f>IFERROR(__xludf.DUMMYFUNCTION("""COMPUTED_VALUE"""),"CE PRESIDENTE RODRIGUES ALVES")</f>
      </c>
      <c r="D114" s="10">
        <f>IFERROR(__xludf.DUMMYFUNCTION("""COMPUTED_VALUE"""),0.9849)</f>
      </c>
      <c r="E114" s="10">
        <f>IFERROR(__xludf.DUMMYFUNCTION("""COMPUTED_VALUE"""),0.1709)</f>
      </c>
      <c r="F114" s="10">
        <f>IFERROR(__xludf.DUMMYFUNCTION("""COMPUTED_VALUE"""),0.6548)</f>
      </c>
      <c r="G114" s="10">
        <f>IFERROR(__xludf.DUMMYFUNCTION("""COMPUTED_VALUE"""),0.2043)</f>
      </c>
    </row>
    <row x14ac:dyDescent="0.25" r="115" customHeight="1" ht="15.75">
      <c r="A115" s="8">
        <f>IFERROR(__xludf.DUMMYFUNCTION("""COMPUTED_VALUE"""),26102.0)</f>
      </c>
      <c r="B115" s="9">
        <f>IFERROR(__xludf.DUMMYFUNCTION("""COMPUTED_VALUE"""),"CENTRO SUL")</f>
      </c>
      <c r="C115" s="9">
        <f>IFERROR(__xludf.DUMMYFUNCTION("""COMPUTED_VALUE"""),"CE PROFESSOR ADELINO TERRA")</f>
      </c>
      <c r="D115" s="10">
        <f>IFERROR(__xludf.DUMMYFUNCTION("""COMPUTED_VALUE"""),0.8)</f>
      </c>
      <c r="E115" s="10">
        <f>IFERROR(__xludf.DUMMYFUNCTION("""COMPUTED_VALUE"""),0.2347)</f>
      </c>
      <c r="F115" s="10">
        <f>IFERROR(__xludf.DUMMYFUNCTION("""COMPUTED_VALUE"""),0.6667)</f>
      </c>
      <c r="G115" s="10">
        <f>IFERROR(__xludf.DUMMYFUNCTION("""COMPUTED_VALUE"""),0.2097)</f>
      </c>
    </row>
    <row x14ac:dyDescent="0.25" r="116" customHeight="1" ht="15.75">
      <c r="A116" s="8">
        <f>IFERROR(__xludf.DUMMYFUNCTION("""COMPUTED_VALUE"""),26112.0)</f>
      </c>
      <c r="B116" s="9">
        <f>IFERROR(__xludf.DUMMYFUNCTION("""COMPUTED_VALUE"""),"CENTRO SUL")</f>
      </c>
      <c r="C116" s="9">
        <f>IFERROR(__xludf.DUMMYFUNCTION("""COMPUTED_VALUE"""),"CE PROFESSOR ARAGAO GOMES")</f>
      </c>
      <c r="D116" s="10">
        <f>IFERROR(__xludf.DUMMYFUNCTION("""COMPUTED_VALUE"""),0.7132)</f>
      </c>
      <c r="E116" s="10">
        <f>IFERROR(__xludf.DUMMYFUNCTION("""COMPUTED_VALUE"""),0.2451)</f>
      </c>
      <c r="F116" s="10">
        <f>IFERROR(__xludf.DUMMYFUNCTION("""COMPUTED_VALUE"""),0.6176)</f>
      </c>
      <c r="G116" s="10">
        <f>IFERROR(__xludf.DUMMYFUNCTION("""COMPUTED_VALUE"""),0.2077)</f>
      </c>
    </row>
    <row x14ac:dyDescent="0.25" r="117" customHeight="1" ht="15.75">
      <c r="A117" s="8">
        <f>IFERROR(__xludf.DUMMYFUNCTION("""COMPUTED_VALUE"""),26103.0)</f>
      </c>
      <c r="B117" s="9">
        <f>IFERROR(__xludf.DUMMYFUNCTION("""COMPUTED_VALUE"""),"CENTRO SUL")</f>
      </c>
      <c r="C117" s="9">
        <f>IFERROR(__xludf.DUMMYFUNCTION("""COMPUTED_VALUE"""),"CE PROFESSOR JOSE ANTONIO MAIA VINAGRE")</f>
      </c>
      <c r="D117" s="10">
        <f>IFERROR(__xludf.DUMMYFUNCTION("""COMPUTED_VALUE"""),1.0)</f>
      </c>
      <c r="E117" s="10">
        <f>IFERROR(__xludf.DUMMYFUNCTION("""COMPUTED_VALUE"""),0.2058)</f>
      </c>
      <c r="F117" s="10">
        <f>IFERROR(__xludf.DUMMYFUNCTION("""COMPUTED_VALUE"""),0.7143)</f>
      </c>
      <c r="G117" s="10">
        <f>IFERROR(__xludf.DUMMYFUNCTION("""COMPUTED_VALUE"""),0.2266)</f>
      </c>
    </row>
    <row x14ac:dyDescent="0.25" r="118" customHeight="1" ht="15.75">
      <c r="A118" s="8">
        <f>IFERROR(__xludf.DUMMYFUNCTION("""COMPUTED_VALUE"""),26127.0)</f>
      </c>
      <c r="B118" s="9">
        <f>IFERROR(__xludf.DUMMYFUNCTION("""COMPUTED_VALUE"""),"CENTRO SUL")</f>
      </c>
      <c r="C118" s="9">
        <f>IFERROR(__xludf.DUMMYFUNCTION("""COMPUTED_VALUE"""),"CE RIBEIRO DE AVELAR")</f>
      </c>
      <c r="D118" s="10">
        <f>IFERROR(__xludf.DUMMYFUNCTION("""COMPUTED_VALUE"""),0.9485)</f>
      </c>
      <c r="E118" s="10">
        <f>IFERROR(__xludf.DUMMYFUNCTION("""COMPUTED_VALUE"""),0.2615)</f>
      </c>
      <c r="F118" s="10">
        <f>IFERROR(__xludf.DUMMYFUNCTION("""COMPUTED_VALUE"""),0.7778)</f>
      </c>
      <c r="G118" s="10">
        <f>IFERROR(__xludf.DUMMYFUNCTION("""COMPUTED_VALUE"""),0.2279)</f>
      </c>
    </row>
    <row x14ac:dyDescent="0.25" r="119" customHeight="1" ht="15.75">
      <c r="A119" s="8">
        <f>IFERROR(__xludf.DUMMYFUNCTION("""COMPUTED_VALUE"""),26110.0)</f>
      </c>
      <c r="B119" s="9">
        <f>IFERROR(__xludf.DUMMYFUNCTION("""COMPUTED_VALUE"""),"CENTRO SUL")</f>
      </c>
      <c r="C119" s="9">
        <f>IFERROR(__xludf.DUMMYFUNCTION("""COMPUTED_VALUE"""),"CE SACRA FAMILIA DO TINGUA")</f>
      </c>
      <c r="D119" s="10">
        <f>IFERROR(__xludf.DUMMYFUNCTION("""COMPUTED_VALUE"""),0.7308)</f>
      </c>
      <c r="E119" s="10">
        <f>IFERROR(__xludf.DUMMYFUNCTION("""COMPUTED_VALUE"""),0.2292)</f>
      </c>
      <c r="F119" s="10">
        <f>IFERROR(__xludf.DUMMYFUNCTION("""COMPUTED_VALUE"""),0.8718)</f>
      </c>
      <c r="G119" s="10">
        <f>IFERROR(__xludf.DUMMYFUNCTION("""COMPUTED_VALUE"""),0.3048)</f>
      </c>
    </row>
    <row x14ac:dyDescent="0.25" r="120" customHeight="1" ht="15.75">
      <c r="A120" s="8">
        <f>IFERROR(__xludf.DUMMYFUNCTION("""COMPUTED_VALUE"""),26104.0)</f>
      </c>
      <c r="B120" s="9">
        <f>IFERROR(__xludf.DUMMYFUNCTION("""COMPUTED_VALUE"""),"CENTRO SUL")</f>
      </c>
      <c r="C120" s="9">
        <f>IFERROR(__xludf.DUMMYFUNCTION("""COMPUTED_VALUE"""),"CE SENADOR PAULO FERNANDES")</f>
      </c>
      <c r="D120" s="10">
        <f>IFERROR(__xludf.DUMMYFUNCTION("""COMPUTED_VALUE"""),0.8065)</f>
      </c>
      <c r="E120" s="10">
        <f>IFERROR(__xludf.DUMMYFUNCTION("""COMPUTED_VALUE"""),0.2294)</f>
      </c>
      <c r="F120" s="10">
        <f>IFERROR(__xludf.DUMMYFUNCTION("""COMPUTED_VALUE"""),0.2034)</f>
      </c>
      <c r="G120" s="10">
        <f>IFERROR(__xludf.DUMMYFUNCTION("""COMPUTED_VALUE"""),0.2128)</f>
      </c>
    </row>
    <row x14ac:dyDescent="0.25" r="121" customHeight="1" ht="15.75">
      <c r="A121" s="8">
        <f>IFERROR(__xludf.DUMMYFUNCTION("""COMPUTED_VALUE"""),26140.0)</f>
      </c>
      <c r="B121" s="9">
        <f>IFERROR(__xludf.DUMMYFUNCTION("""COMPUTED_VALUE"""),"CENTRO SUL")</f>
      </c>
      <c r="C121" s="9">
        <f>IFERROR(__xludf.DUMMYFUNCTION("""COMPUTED_VALUE"""),"CE THEODORICO FONSECA")</f>
      </c>
      <c r="D121" s="10">
        <f>IFERROR(__xludf.DUMMYFUNCTION("""COMPUTED_VALUE"""),0.9894)</f>
      </c>
      <c r="E121" s="10">
        <f>IFERROR(__xludf.DUMMYFUNCTION("""COMPUTED_VALUE"""),0.2828)</f>
      </c>
      <c r="F121" s="10">
        <f>IFERROR(__xludf.DUMMYFUNCTION("""COMPUTED_VALUE"""),0.7819)</f>
      </c>
      <c r="G121" s="10">
        <f>IFERROR(__xludf.DUMMYFUNCTION("""COMPUTED_VALUE"""),0.2281)</f>
      </c>
    </row>
    <row x14ac:dyDescent="0.25" r="122" customHeight="1" ht="15.75">
      <c r="A122" s="8">
        <f>IFERROR(__xludf.DUMMYFUNCTION("""COMPUTED_VALUE"""),26116.0)</f>
      </c>
      <c r="B122" s="9">
        <f>IFERROR(__xludf.DUMMYFUNCTION("""COMPUTED_VALUE"""),"CENTRO SUL")</f>
      </c>
      <c r="C122" s="9">
        <f>IFERROR(__xludf.DUMMYFUNCTION("""COMPUTED_VALUE"""),"CE VERA CRUZ")</f>
      </c>
      <c r="D122" s="10">
        <f>IFERROR(__xludf.DUMMYFUNCTION("""COMPUTED_VALUE"""),0.9459)</f>
      </c>
      <c r="E122" s="10">
        <f>IFERROR(__xludf.DUMMYFUNCTION("""COMPUTED_VALUE"""),0.2234)</f>
      </c>
      <c r="F122" s="10">
        <f>IFERROR(__xludf.DUMMYFUNCTION("""COMPUTED_VALUE"""),0.8108)</f>
      </c>
      <c r="G122" s="10">
        <f>IFERROR(__xludf.DUMMYFUNCTION("""COMPUTED_VALUE"""),0.2289)</f>
      </c>
    </row>
    <row x14ac:dyDescent="0.25" r="123" customHeight="1" ht="15.75">
      <c r="A123" s="8">
        <f>IFERROR(__xludf.DUMMYFUNCTION("""COMPUTED_VALUE"""),26142.0)</f>
      </c>
      <c r="B123" s="9">
        <f>IFERROR(__xludf.DUMMYFUNCTION("""COMPUTED_VALUE"""),"CENTRO SUL")</f>
      </c>
      <c r="C123" s="9">
        <f>IFERROR(__xludf.DUMMYFUNCTION("""COMPUTED_VALUE"""),"CIA MONSENHOR TOMÁS TEJERINA DE PRADO")</f>
      </c>
      <c r="D123" s="10">
        <f>IFERROR(__xludf.DUMMYFUNCTION("""COMPUTED_VALUE"""),0.9792)</f>
      </c>
      <c r="E123" s="10">
        <f>IFERROR(__xludf.DUMMYFUNCTION("""COMPUTED_VALUE"""),0.2661)</f>
      </c>
      <c r="F123" s="10">
        <f>IFERROR(__xludf.DUMMYFUNCTION("""COMPUTED_VALUE"""),0.9167)</f>
      </c>
      <c r="G123" s="10">
        <f>IFERROR(__xludf.DUMMYFUNCTION("""COMPUTED_VALUE"""),0.2234)</f>
      </c>
    </row>
    <row x14ac:dyDescent="0.25" r="124" customHeight="1" ht="15.75">
      <c r="A124" s="8">
        <f>IFERROR(__xludf.DUMMYFUNCTION("""COMPUTED_VALUE"""),26119.0)</f>
      </c>
      <c r="B124" s="9">
        <f>IFERROR(__xludf.DUMMYFUNCTION("""COMPUTED_VALUE"""),"CENTRO SUL")</f>
      </c>
      <c r="C124" s="9">
        <f>IFERROR(__xludf.DUMMYFUNCTION("""COMPUTED_VALUE"""),"CIEP 152 GARRINCHA ALEGRIA DO POVO")</f>
      </c>
      <c r="D124" s="10">
        <f>IFERROR(__xludf.DUMMYFUNCTION("""COMPUTED_VALUE"""),0.7756)</f>
      </c>
      <c r="E124" s="10">
        <f>IFERROR(__xludf.DUMMYFUNCTION("""COMPUTED_VALUE"""),0.2261)</f>
      </c>
      <c r="F124" s="10">
        <f>IFERROR(__xludf.DUMMYFUNCTION("""COMPUTED_VALUE"""),0.6814)</f>
      </c>
      <c r="G124" s="10">
        <f>IFERROR(__xludf.DUMMYFUNCTION("""COMPUTED_VALUE"""),0.2119)</f>
      </c>
    </row>
    <row x14ac:dyDescent="0.25" r="125" customHeight="1" ht="15.75">
      <c r="A125" s="8">
        <f>IFERROR(__xludf.DUMMYFUNCTION("""COMPUTED_VALUE"""),26128.0)</f>
      </c>
      <c r="B125" s="9">
        <f>IFERROR(__xludf.DUMMYFUNCTION("""COMPUTED_VALUE"""),"CENTRO SUL")</f>
      </c>
      <c r="C125" s="9">
        <f>IFERROR(__xludf.DUMMYFUNCTION("""COMPUTED_VALUE"""),"CIEP 278  JOAQUIM OSORIO DUQUE ESTRADA")</f>
      </c>
      <c r="D125" s="10">
        <f>IFERROR(__xludf.DUMMYFUNCTION("""COMPUTED_VALUE"""),0.6964)</f>
      </c>
      <c r="E125" s="10">
        <f>IFERROR(__xludf.DUMMYFUNCTION("""COMPUTED_VALUE"""),0.2719)</f>
      </c>
      <c r="F125" s="10">
        <f>IFERROR(__xludf.DUMMYFUNCTION("""COMPUTED_VALUE"""),0.5984)</f>
      </c>
      <c r="G125" s="10">
        <f>IFERROR(__xludf.DUMMYFUNCTION("""COMPUTED_VALUE"""),0.2276)</f>
      </c>
    </row>
    <row x14ac:dyDescent="0.25" r="126" customHeight="1" ht="15.75">
      <c r="A126" s="8">
        <f>IFERROR(__xludf.DUMMYFUNCTION("""COMPUTED_VALUE"""),26105.0)</f>
      </c>
      <c r="B126" s="9">
        <f>IFERROR(__xludf.DUMMYFUNCTION("""COMPUTED_VALUE"""),"CENTRO SUL")</f>
      </c>
      <c r="C126" s="9">
        <f>IFERROR(__xludf.DUMMYFUNCTION("""COMPUTED_VALUE"""),"CIEP 286 MURILO PORTUGAL")</f>
      </c>
      <c r="D126" s="10">
        <f>IFERROR(__xludf.DUMMYFUNCTION("""COMPUTED_VALUE"""),0.7391)</f>
      </c>
      <c r="E126" s="10">
        <f>IFERROR(__xludf.DUMMYFUNCTION("""COMPUTED_VALUE"""),0.2302)</f>
      </c>
      <c r="F126" s="10">
        <f>IFERROR(__xludf.DUMMYFUNCTION("""COMPUTED_VALUE"""),0.74)</f>
      </c>
      <c r="G126" s="10">
        <f>IFERROR(__xludf.DUMMYFUNCTION("""COMPUTED_VALUE"""),0.2246)</f>
      </c>
    </row>
    <row x14ac:dyDescent="0.25" r="127" customHeight="1" ht="15.75">
      <c r="A127" s="8">
        <f>IFERROR(__xludf.DUMMYFUNCTION("""COMPUTED_VALUE"""),26106.0)</f>
      </c>
      <c r="B127" s="9">
        <f>IFERROR(__xludf.DUMMYFUNCTION("""COMPUTED_VALUE"""),"CENTRO SUL")</f>
      </c>
      <c r="C127" s="9">
        <f>IFERROR(__xludf.DUMMYFUNCTION("""COMPUTED_VALUE"""),"CIEP 287 ANGELINA TEIXEIRA NETTO SYM")</f>
      </c>
      <c r="D127" s="10">
        <f>IFERROR(__xludf.DUMMYFUNCTION("""COMPUTED_VALUE"""),0.9583)</f>
      </c>
      <c r="E127" s="10">
        <f>IFERROR(__xludf.DUMMYFUNCTION("""COMPUTED_VALUE"""),0.2361)</f>
      </c>
      <c r="F127" s="10">
        <f>IFERROR(__xludf.DUMMYFUNCTION("""COMPUTED_VALUE"""),0.75)</f>
      </c>
      <c r="G127" s="10">
        <f>IFERROR(__xludf.DUMMYFUNCTION("""COMPUTED_VALUE"""),0.2087)</f>
      </c>
    </row>
    <row x14ac:dyDescent="0.25" r="128" customHeight="1" ht="15.75">
      <c r="A128" s="8">
        <f>IFERROR(__xludf.DUMMYFUNCTION("""COMPUTED_VALUE"""),26146.0)</f>
      </c>
      <c r="B128" s="9">
        <f>IFERROR(__xludf.DUMMYFUNCTION("""COMPUTED_VALUE"""),"CENTRO SUL")</f>
      </c>
      <c r="C128" s="9">
        <f>IFERROR(__xludf.DUMMYFUNCTION("""COMPUTED_VALUE"""),"CIEP 297 PADRE SALESIO SCHIMID")</f>
      </c>
      <c r="D128" s="10">
        <f>IFERROR(__xludf.DUMMYFUNCTION("""COMPUTED_VALUE"""),0.8225)</f>
      </c>
      <c r="E128" s="10">
        <f>IFERROR(__xludf.DUMMYFUNCTION("""COMPUTED_VALUE"""),0.2663)</f>
      </c>
      <c r="F128" s="10">
        <f>IFERROR(__xludf.DUMMYFUNCTION("""COMPUTED_VALUE"""),0.863)</f>
      </c>
      <c r="G128" s="10">
        <f>IFERROR(__xludf.DUMMYFUNCTION("""COMPUTED_VALUE"""),0.3675)</f>
      </c>
    </row>
    <row x14ac:dyDescent="0.25" r="129" customHeight="1" ht="15.75">
      <c r="A129" s="8">
        <f>IFERROR(__xludf.DUMMYFUNCTION("""COMPUTED_VALUE"""),26130.0)</f>
      </c>
      <c r="B129" s="9">
        <f>IFERROR(__xludf.DUMMYFUNCTION("""COMPUTED_VALUE"""),"CENTRO SUL")</f>
      </c>
      <c r="C129" s="9">
        <f>IFERROR(__xludf.DUMMYFUNCTION("""COMPUTED_VALUE"""),"CIEP 298 MANUEL DUARTE")</f>
      </c>
      <c r="D129" s="10">
        <f>IFERROR(__xludf.DUMMYFUNCTION("""COMPUTED_VALUE"""),0.7895)</f>
      </c>
      <c r="E129" s="10">
        <f>IFERROR(__xludf.DUMMYFUNCTION("""COMPUTED_VALUE"""),0.2763)</f>
      </c>
      <c r="F129" s="10">
        <f>IFERROR(__xludf.DUMMYFUNCTION("""COMPUTED_VALUE"""),0.6535)</f>
      </c>
      <c r="G129" s="10">
        <f>IFERROR(__xludf.DUMMYFUNCTION("""COMPUTED_VALUE"""),0.271)</f>
      </c>
    </row>
    <row x14ac:dyDescent="0.25" r="130" customHeight="1" ht="15.75">
      <c r="A130" s="8">
        <f>IFERROR(__xludf.DUMMYFUNCTION("""COMPUTED_VALUE"""),26107.0)</f>
      </c>
      <c r="B130" s="9">
        <f>IFERROR(__xludf.DUMMYFUNCTION("""COMPUTED_VALUE"""),"CENTRO SUL")</f>
      </c>
      <c r="C130" s="9">
        <f>IFERROR(__xludf.DUMMYFUNCTION("""COMPUTED_VALUE"""),"CIEP 310 PROFESSORA ALICE AIEX")</f>
      </c>
      <c r="D130" s="10">
        <f>IFERROR(__xludf.DUMMYFUNCTION("""COMPUTED_VALUE"""),0.5135)</f>
      </c>
      <c r="E130" s="10">
        <f>IFERROR(__xludf.DUMMYFUNCTION("""COMPUTED_VALUE"""),0.2209)</f>
      </c>
      <c r="F130" s="10">
        <f>IFERROR(__xludf.DUMMYFUNCTION("""COMPUTED_VALUE"""),0.8649)</f>
      </c>
      <c r="G130" s="10">
        <f>IFERROR(__xludf.DUMMYFUNCTION("""COMPUTED_VALUE"""),0.206)</f>
      </c>
    </row>
    <row x14ac:dyDescent="0.25" r="131" customHeight="1" ht="15.75">
      <c r="A131" s="8">
        <f>IFERROR(__xludf.DUMMYFUNCTION("""COMPUTED_VALUE"""),26117.0)</f>
      </c>
      <c r="B131" s="9">
        <f>IFERROR(__xludf.DUMMYFUNCTION("""COMPUTED_VALUE"""),"CENTRO SUL")</f>
      </c>
      <c r="C131" s="9">
        <f>IFERROR(__xludf.DUMMYFUNCTION("""COMPUTED_VALUE"""),"CIEP 494 ALEXANDRE CARVALHO CÍVICO MILITAR")</f>
      </c>
      <c r="D131" s="10">
        <f>IFERROR(__xludf.DUMMYFUNCTION("""COMPUTED_VALUE"""),1.0)</f>
      </c>
      <c r="E131" s="10">
        <f>IFERROR(__xludf.DUMMYFUNCTION("""COMPUTED_VALUE"""),0.3232)</f>
      </c>
      <c r="F131" s="10">
        <f>IFERROR(__xludf.DUMMYFUNCTION("""COMPUTED_VALUE"""),0.963)</f>
      </c>
      <c r="G131" s="10">
        <f>IFERROR(__xludf.DUMMYFUNCTION("""COMPUTED_VALUE"""),0.2586)</f>
      </c>
    </row>
    <row x14ac:dyDescent="0.25" r="132" customHeight="1" ht="15.75">
      <c r="A132" s="8">
        <f>IFERROR(__xludf.DUMMYFUNCTION("""COMPUTED_VALUE"""),26120.0)</f>
      </c>
      <c r="B132" s="9">
        <f>IFERROR(__xludf.DUMMYFUNCTION("""COMPUTED_VALUE"""),"CENTRO SUL")</f>
      </c>
      <c r="C132" s="9">
        <f>IFERROR(__xludf.DUMMYFUNCTION("""COMPUTED_VALUE"""),"CIEP 500 ANTONIO BOTELHO")</f>
      </c>
      <c r="D132" s="10">
        <f>IFERROR(__xludf.DUMMYFUNCTION("""COMPUTED_VALUE"""),0.962)</f>
      </c>
      <c r="E132" s="10">
        <f>IFERROR(__xludf.DUMMYFUNCTION("""COMPUTED_VALUE"""),0.2546)</f>
      </c>
      <c r="F132" s="10">
        <f>IFERROR(__xludf.DUMMYFUNCTION("""COMPUTED_VALUE"""),0.9114)</f>
      </c>
      <c r="G132" s="10">
        <f>IFERROR(__xludf.DUMMYFUNCTION("""COMPUTED_VALUE"""),0.2127)</f>
      </c>
    </row>
    <row x14ac:dyDescent="0.25" r="133" customHeight="1" ht="15.75">
      <c r="A133" s="8">
        <f>IFERROR(__xludf.DUMMYFUNCTION("""COMPUTED_VALUE"""),26005.0)</f>
      </c>
      <c r="B133" s="9">
        <f>IFERROR(__xludf.DUMMYFUNCTION("""COMPUTED_VALUE"""),"METROPOLITANA I")</f>
      </c>
      <c r="C133" s="9">
        <f>IFERROR(__xludf.DUMMYFUNCTION("""COMPUTED_VALUE"""),"CE ABDIAS NASCIMENTO")</f>
      </c>
      <c r="D133" s="10">
        <f>IFERROR(__xludf.DUMMYFUNCTION("""COMPUTED_VALUE"""),0.9375)</f>
      </c>
      <c r="E133" s="10">
        <f>IFERROR(__xludf.DUMMYFUNCTION("""COMPUTED_VALUE"""),0.173)</f>
      </c>
      <c r="F133" s="10">
        <f>IFERROR(__xludf.DUMMYFUNCTION("""COMPUTED_VALUE"""),0.6111)</f>
      </c>
      <c r="G133" s="10">
        <f>IFERROR(__xludf.DUMMYFUNCTION("""COMPUTED_VALUE"""),0.2029)</f>
      </c>
    </row>
    <row x14ac:dyDescent="0.25" r="134" customHeight="1" ht="15.75">
      <c r="A134" s="8">
        <f>IFERROR(__xludf.DUMMYFUNCTION("""COMPUTED_VALUE"""),26006.0)</f>
      </c>
      <c r="B134" s="9">
        <f>IFERROR(__xludf.DUMMYFUNCTION("""COMPUTED_VALUE"""),"METROPOLITANA I")</f>
      </c>
      <c r="C134" s="9">
        <f>IFERROR(__xludf.DUMMYFUNCTION("""COMPUTED_VALUE"""),"CE ALFREDO NEVES")</f>
      </c>
      <c r="D134" s="10">
        <f>IFERROR(__xludf.DUMMYFUNCTION("""COMPUTED_VALUE"""),1.0)</f>
      </c>
      <c r="E134" s="10">
        <f>IFERROR(__xludf.DUMMYFUNCTION("""COMPUTED_VALUE"""),0.2359)</f>
      </c>
      <c r="F134" s="10">
        <f>IFERROR(__xludf.DUMMYFUNCTION("""COMPUTED_VALUE"""),0.916)</f>
      </c>
      <c r="G134" s="10">
        <f>IFERROR(__xludf.DUMMYFUNCTION("""COMPUTED_VALUE"""),0.2269)</f>
      </c>
    </row>
    <row x14ac:dyDescent="0.25" r="135" customHeight="1" ht="15.75">
      <c r="A135" s="8">
        <f>IFERROR(__xludf.DUMMYFUNCTION("""COMPUTED_VALUE"""),25997.0)</f>
      </c>
      <c r="B135" s="9">
        <f>IFERROR(__xludf.DUMMYFUNCTION("""COMPUTED_VALUE"""),"METROPOLITANA I")</f>
      </c>
      <c r="C135" s="9">
        <f>IFERROR(__xludf.DUMMYFUNCTION("""COMPUTED_VALUE"""),"CE ALMIRANTE TAMANDARE")</f>
      </c>
      <c r="D135" s="10">
        <f>IFERROR(__xludf.DUMMYFUNCTION("""COMPUTED_VALUE"""),0.9816)</f>
      </c>
      <c r="E135" s="10">
        <f>IFERROR(__xludf.DUMMYFUNCTION("""COMPUTED_VALUE"""),0.2134)</f>
      </c>
      <c r="F135" s="10">
        <f>IFERROR(__xludf.DUMMYFUNCTION("""COMPUTED_VALUE"""),1.0)</f>
      </c>
      <c r="G135" s="10">
        <f>IFERROR(__xludf.DUMMYFUNCTION("""COMPUTED_VALUE"""),0.151)</f>
      </c>
    </row>
    <row x14ac:dyDescent="0.25" r="136" customHeight="1" ht="15.75">
      <c r="A136" s="8">
        <f>IFERROR(__xludf.DUMMYFUNCTION("""COMPUTED_VALUE"""),26007.0)</f>
      </c>
      <c r="B136" s="9">
        <f>IFERROR(__xludf.DUMMYFUNCTION("""COMPUTED_VALUE"""),"METROPOLITANA I")</f>
      </c>
      <c r="C136" s="9">
        <f>IFERROR(__xludf.DUMMYFUNCTION("""COMPUTED_VALUE"""),"CE AMBAÍ")</f>
      </c>
      <c r="D136" s="10">
        <f>IFERROR(__xludf.DUMMYFUNCTION("""COMPUTED_VALUE"""),0.8182)</f>
      </c>
      <c r="E136" s="10">
        <f>IFERROR(__xludf.DUMMYFUNCTION("""COMPUTED_VALUE"""),0.2193)</f>
      </c>
      <c r="F136" s="10">
        <f>IFERROR(__xludf.DUMMYFUNCTION("""COMPUTED_VALUE"""),0.9773)</f>
      </c>
      <c r="G136" s="10">
        <f>IFERROR(__xludf.DUMMYFUNCTION("""COMPUTED_VALUE"""),0.1967)</f>
      </c>
    </row>
    <row x14ac:dyDescent="0.25" r="137" customHeight="1" ht="15.75">
      <c r="A137" s="8">
        <f>IFERROR(__xludf.DUMMYFUNCTION("""COMPUTED_VALUE"""),26008.0)</f>
      </c>
      <c r="B137" s="9">
        <f>IFERROR(__xludf.DUMMYFUNCTION("""COMPUTED_VALUE"""),"METROPOLITANA I")</f>
      </c>
      <c r="C137" s="9">
        <f>IFERROR(__xludf.DUMMYFUNCTION("""COMPUTED_VALUE"""),"CE ANTONIO DA SILVA")</f>
      </c>
      <c r="D137" s="10">
        <f>IFERROR(__xludf.DUMMYFUNCTION("""COMPUTED_VALUE"""),0.6513)</f>
      </c>
      <c r="E137" s="10">
        <f>IFERROR(__xludf.DUMMYFUNCTION("""COMPUTED_VALUE"""),0.2326)</f>
      </c>
      <c r="F137" s="10">
        <f>IFERROR(__xludf.DUMMYFUNCTION("""COMPUTED_VALUE"""),0.3095)</f>
      </c>
      <c r="G137" s="10">
        <f>IFERROR(__xludf.DUMMYFUNCTION("""COMPUTED_VALUE"""),0.2008)</f>
      </c>
    </row>
    <row x14ac:dyDescent="0.25" r="138" customHeight="1" ht="15.75">
      <c r="A138" s="8">
        <f>IFERROR(__xludf.DUMMYFUNCTION("""COMPUTED_VALUE"""),25998.0)</f>
      </c>
      <c r="B138" s="9">
        <f>IFERROR(__xludf.DUMMYFUNCTION("""COMPUTED_VALUE"""),"METROPOLITANA I")</f>
      </c>
      <c r="C138" s="9">
        <f>IFERROR(__xludf.DUMMYFUNCTION("""COMPUTED_VALUE"""),"CE ARMANDO DIAS - BRASIL-ARGENTINA")</f>
      </c>
      <c r="D138" s="10">
        <f>IFERROR(__xludf.DUMMYFUNCTION("""COMPUTED_VALUE"""),0.9565)</f>
      </c>
      <c r="E138" s="10">
        <f>IFERROR(__xludf.DUMMYFUNCTION("""COMPUTED_VALUE"""),0.2596)</f>
      </c>
      <c r="F138" s="10">
        <f>IFERROR(__xludf.DUMMYFUNCTION("""COMPUTED_VALUE"""),0.913)</f>
      </c>
      <c r="G138" s="10">
        <f>IFERROR(__xludf.DUMMYFUNCTION("""COMPUTED_VALUE"""),0.2165)</f>
      </c>
    </row>
    <row x14ac:dyDescent="0.25" r="139" customHeight="1" ht="15.75">
      <c r="A139" s="8">
        <f>IFERROR(__xludf.DUMMYFUNCTION("""COMPUTED_VALUE"""),26009.0)</f>
      </c>
      <c r="B139" s="9">
        <f>IFERROR(__xludf.DUMMYFUNCTION("""COMPUTED_VALUE"""),"METROPOLITANA I")</f>
      </c>
      <c r="C139" s="9">
        <f>IFERROR(__xludf.DUMMYFUNCTION("""COMPUTED_VALUE"""),"CE ARRUDA NEGREIROS")</f>
      </c>
      <c r="D139" s="10">
        <f>IFERROR(__xludf.DUMMYFUNCTION("""COMPUTED_VALUE"""),0.8475)</f>
      </c>
      <c r="E139" s="10">
        <f>IFERROR(__xludf.DUMMYFUNCTION("""COMPUTED_VALUE"""),0.2586)</f>
      </c>
      <c r="F139" s="10">
        <f>IFERROR(__xludf.DUMMYFUNCTION("""COMPUTED_VALUE"""),0.574)</f>
      </c>
      <c r="G139" s="10">
        <f>IFERROR(__xludf.DUMMYFUNCTION("""COMPUTED_VALUE"""),0.2057)</f>
      </c>
    </row>
    <row x14ac:dyDescent="0.25" r="140" customHeight="1" ht="15.75">
      <c r="A140" s="8">
        <f>IFERROR(__xludf.DUMMYFUNCTION("""COMPUTED_VALUE"""),26010.0)</f>
      </c>
      <c r="B140" s="9">
        <f>IFERROR(__xludf.DUMMYFUNCTION("""COMPUTED_VALUE"""),"METROPOLITANA I")</f>
      </c>
      <c r="C140" s="9">
        <f>IFERROR(__xludf.DUMMYFUNCTION("""COMPUTED_VALUE"""),"CE BARAO DE TINGUA")</f>
      </c>
      <c r="D140" s="10">
        <f>IFERROR(__xludf.DUMMYFUNCTION("""COMPUTED_VALUE"""),0.8816)</f>
      </c>
      <c r="E140" s="10">
        <f>IFERROR(__xludf.DUMMYFUNCTION("""COMPUTED_VALUE"""),0.156)</f>
      </c>
      <c r="F140" s="10">
        <f>IFERROR(__xludf.DUMMYFUNCTION("""COMPUTED_VALUE"""),0.6396)</f>
      </c>
      <c r="G140" s="10">
        <f>IFERROR(__xludf.DUMMYFUNCTION("""COMPUTED_VALUE"""),0.2041)</f>
      </c>
    </row>
    <row x14ac:dyDescent="0.25" r="141" customHeight="1" ht="15.75">
      <c r="A141" s="8">
        <f>IFERROR(__xludf.DUMMYFUNCTION("""COMPUTED_VALUE"""),25999.0)</f>
      </c>
      <c r="B141" s="9">
        <f>IFERROR(__xludf.DUMMYFUNCTION("""COMPUTED_VALUE"""),"METROPOLITANA I")</f>
      </c>
      <c r="C141" s="9">
        <f>IFERROR(__xludf.DUMMYFUNCTION("""COMPUTED_VALUE"""),"CE BARÃO DO RIO BRANCO")</f>
      </c>
      <c r="D141" s="10">
        <f>IFERROR(__xludf.DUMMYFUNCTION("""COMPUTED_VALUE"""),0.8074)</f>
      </c>
      <c r="E141" s="10">
        <f>IFERROR(__xludf.DUMMYFUNCTION("""COMPUTED_VALUE"""),0.227)</f>
      </c>
      <c r="F141" s="10">
        <f>IFERROR(__xludf.DUMMYFUNCTION("""COMPUTED_VALUE"""),0.6189)</f>
      </c>
      <c r="G141" s="10">
        <f>IFERROR(__xludf.DUMMYFUNCTION("""COMPUTED_VALUE"""),0.1992)</f>
      </c>
    </row>
    <row x14ac:dyDescent="0.25" r="142" customHeight="1" ht="15.75">
      <c r="A142" s="8">
        <f>IFERROR(__xludf.DUMMYFUNCTION("""COMPUTED_VALUE"""),26011.0)</f>
      </c>
      <c r="B142" s="9">
        <f>IFERROR(__xludf.DUMMYFUNCTION("""COMPUTED_VALUE"""),"METROPOLITANA I")</f>
      </c>
      <c r="C142" s="9">
        <f>IFERROR(__xludf.DUMMYFUNCTION("""COMPUTED_VALUE"""),"CE BERNARDINO MELO JUNIOR")</f>
      </c>
      <c r="D142" s="10">
        <f>IFERROR(__xludf.DUMMYFUNCTION("""COMPUTED_VALUE"""),0.8165)</f>
      </c>
      <c r="E142" s="10">
        <f>IFERROR(__xludf.DUMMYFUNCTION("""COMPUTED_VALUE"""),0.2841)</f>
      </c>
      <c r="F142" s="10">
        <f>IFERROR(__xludf.DUMMYFUNCTION("""COMPUTED_VALUE"""),0.8449)</f>
      </c>
      <c r="G142" s="10">
        <f>IFERROR(__xludf.DUMMYFUNCTION("""COMPUTED_VALUE"""),0.2176)</f>
      </c>
    </row>
    <row x14ac:dyDescent="0.25" r="143" customHeight="1" ht="15.75">
      <c r="A143" s="8">
        <f>IFERROR(__xludf.DUMMYFUNCTION("""COMPUTED_VALUE"""),26012.0)</f>
      </c>
      <c r="B143" s="9">
        <f>IFERROR(__xludf.DUMMYFUNCTION("""COMPUTED_VALUE"""),"METROPOLITANA I")</f>
      </c>
      <c r="C143" s="9">
        <f>IFERROR(__xludf.DUMMYFUNCTION("""COMPUTED_VALUE"""),"CE CALIFÓRNIA")</f>
      </c>
      <c r="D143" s="10">
        <f>IFERROR(__xludf.DUMMYFUNCTION("""COMPUTED_VALUE"""),0.7071)</f>
      </c>
      <c r="E143" s="10">
        <f>IFERROR(__xludf.DUMMYFUNCTION("""COMPUTED_VALUE"""),0.2458)</f>
      </c>
      <c r="F143" s="10">
        <f>IFERROR(__xludf.DUMMYFUNCTION("""COMPUTED_VALUE"""),0.6607)</f>
      </c>
      <c r="G143" s="10">
        <f>IFERROR(__xludf.DUMMYFUNCTION("""COMPUTED_VALUE"""),0.197)</f>
      </c>
    </row>
    <row x14ac:dyDescent="0.25" r="144" customHeight="1" ht="15.75">
      <c r="A144" s="8">
        <f>IFERROR(__xludf.DUMMYFUNCTION("""COMPUTED_VALUE"""),26013.0)</f>
      </c>
      <c r="B144" s="9">
        <f>IFERROR(__xludf.DUMMYFUNCTION("""COMPUTED_VALUE"""),"METROPOLITANA I")</f>
      </c>
      <c r="C144" s="9">
        <f>IFERROR(__xludf.DUMMYFUNCTION("""COMPUTED_VALUE"""),"CE CAPITAO JOAQUIM QUARESMA DE OLIVEIRA")</f>
      </c>
      <c r="D144" s="10">
        <f>IFERROR(__xludf.DUMMYFUNCTION("""COMPUTED_VALUE"""),0.75)</f>
      </c>
      <c r="E144" s="10">
        <f>IFERROR(__xludf.DUMMYFUNCTION("""COMPUTED_VALUE"""),0.217)</f>
      </c>
      <c r="F144" s="10">
        <f>IFERROR(__xludf.DUMMYFUNCTION("""COMPUTED_VALUE"""),0.4574)</f>
      </c>
      <c r="G144" s="10">
        <f>IFERROR(__xludf.DUMMYFUNCTION("""COMPUTED_VALUE"""),0.2005)</f>
      </c>
    </row>
    <row x14ac:dyDescent="0.25" r="145" customHeight="1" ht="15.75">
      <c r="A145" s="8">
        <f>IFERROR(__xludf.DUMMYFUNCTION("""COMPUTED_VALUE"""),26014.0)</f>
      </c>
      <c r="B145" s="9">
        <f>IFERROR(__xludf.DUMMYFUNCTION("""COMPUTED_VALUE"""),"METROPOLITANA I")</f>
      </c>
      <c r="C145" s="9">
        <f>IFERROR(__xludf.DUMMYFUNCTION("""COMPUTED_VALUE"""),"CE COMENDADOR SOARES")</f>
      </c>
      <c r="D145" s="10">
        <f>IFERROR(__xludf.DUMMYFUNCTION("""COMPUTED_VALUE"""),0.7717)</f>
      </c>
      <c r="E145" s="10">
        <f>IFERROR(__xludf.DUMMYFUNCTION("""COMPUTED_VALUE"""),0.2068)</f>
      </c>
      <c r="F145" s="10">
        <f>IFERROR(__xludf.DUMMYFUNCTION("""COMPUTED_VALUE"""),0.5114)</f>
      </c>
      <c r="G145" s="10">
        <f>IFERROR(__xludf.DUMMYFUNCTION("""COMPUTED_VALUE"""),0.2012)</f>
      </c>
    </row>
    <row x14ac:dyDescent="0.25" r="146" customHeight="1" ht="15.75">
      <c r="A146" s="8">
        <f>IFERROR(__xludf.DUMMYFUNCTION("""COMPUTED_VALUE"""),26015.0)</f>
      </c>
      <c r="B146" s="9">
        <f>IFERROR(__xludf.DUMMYFUNCTION("""COMPUTED_VALUE"""),"METROPOLITANA I")</f>
      </c>
      <c r="C146" s="9">
        <f>IFERROR(__xludf.DUMMYFUNCTION("""COMPUTED_VALUE"""),"CE DOM ADRIANO HIPÓLITO")</f>
      </c>
      <c r="D146" s="10">
        <f>IFERROR(__xludf.DUMMYFUNCTION("""COMPUTED_VALUE"""),0.5458)</f>
      </c>
      <c r="E146" s="10">
        <f>IFERROR(__xludf.DUMMYFUNCTION("""COMPUTED_VALUE"""),0.2583)</f>
      </c>
      <c r="F146" s="10">
        <f>IFERROR(__xludf.DUMMYFUNCTION("""COMPUTED_VALUE"""),0.769)</f>
      </c>
      <c r="G146" s="10">
        <f>IFERROR(__xludf.DUMMYFUNCTION("""COMPUTED_VALUE"""),0.2011)</f>
      </c>
    </row>
    <row x14ac:dyDescent="0.25" r="147" customHeight="1" ht="15.75">
      <c r="A147" s="8">
        <f>IFERROR(__xludf.DUMMYFUNCTION("""COMPUTED_VALUE"""),26086.0)</f>
      </c>
      <c r="B147" s="9">
        <f>IFERROR(__xludf.DUMMYFUNCTION("""COMPUTED_VALUE"""),"METROPOLITANA I")</f>
      </c>
      <c r="C147" s="9">
        <f>IFERROR(__xludf.DUMMYFUNCTION("""COMPUTED_VALUE"""),"CE DOM BOSCO")</f>
      </c>
      <c r="D147" s="10">
        <f>IFERROR(__xludf.DUMMYFUNCTION("""COMPUTED_VALUE"""),0.8229)</f>
      </c>
      <c r="E147" s="10">
        <f>IFERROR(__xludf.DUMMYFUNCTION("""COMPUTED_VALUE"""),0.2279)</f>
      </c>
      <c r="F147" s="10">
        <f>IFERROR(__xludf.DUMMYFUNCTION("""COMPUTED_VALUE"""),0.9167)</f>
      </c>
      <c r="G147" s="10">
        <f>IFERROR(__xludf.DUMMYFUNCTION("""COMPUTED_VALUE"""),0.2003)</f>
      </c>
    </row>
    <row x14ac:dyDescent="0.25" r="148" customHeight="1" ht="15.75">
      <c r="A148" s="8">
        <f>IFERROR(__xludf.DUMMYFUNCTION("""COMPUTED_VALUE"""),26087.0)</f>
      </c>
      <c r="B148" s="9">
        <f>IFERROR(__xludf.DUMMYFUNCTION("""COMPUTED_VALUE"""),"METROPOLITANA I")</f>
      </c>
      <c r="C148" s="9">
        <f>IFERROR(__xludf.DUMMYFUNCTION("""COMPUTED_VALUE"""),"CE DOM JOÃO VI")</f>
      </c>
      <c r="D148" s="10">
        <f>IFERROR(__xludf.DUMMYFUNCTION("""COMPUTED_VALUE"""),0.654)</f>
      </c>
      <c r="E148" s="10">
        <f>IFERROR(__xludf.DUMMYFUNCTION("""COMPUTED_VALUE"""),0.2427)</f>
      </c>
      <c r="F148" s="10">
        <f>IFERROR(__xludf.DUMMYFUNCTION("""COMPUTED_VALUE"""),0.6645)</f>
      </c>
      <c r="G148" s="10">
        <f>IFERROR(__xludf.DUMMYFUNCTION("""COMPUTED_VALUE"""),0.2025)</f>
      </c>
    </row>
    <row x14ac:dyDescent="0.25" r="149" customHeight="1" ht="15.75">
      <c r="A149" s="8">
        <f>IFERROR(__xludf.DUMMYFUNCTION("""COMPUTED_VALUE"""),26016.0)</f>
      </c>
      <c r="B149" s="9">
        <f>IFERROR(__xludf.DUMMYFUNCTION("""COMPUTED_VALUE"""),"METROPOLITANA I")</f>
      </c>
      <c r="C149" s="9">
        <f>IFERROR(__xludf.DUMMYFUNCTION("""COMPUTED_VALUE"""),"CE DOM WALMOR")</f>
      </c>
      <c r="D149" s="10">
        <f>IFERROR(__xludf.DUMMYFUNCTION("""COMPUTED_VALUE"""),0.6229)</f>
      </c>
      <c r="E149" s="10">
        <f>IFERROR(__xludf.DUMMYFUNCTION("""COMPUTED_VALUE"""),0.2418)</f>
      </c>
      <c r="F149" s="10">
        <f>IFERROR(__xludf.DUMMYFUNCTION("""COMPUTED_VALUE"""),0.4534)</f>
      </c>
      <c r="G149" s="10">
        <f>IFERROR(__xludf.DUMMYFUNCTION("""COMPUTED_VALUE"""),0.188)</f>
      </c>
    </row>
    <row x14ac:dyDescent="0.25" r="150" customHeight="1" ht="15.75">
      <c r="A150" s="8">
        <f>IFERROR(__xludf.DUMMYFUNCTION("""COMPUTED_VALUE"""),26017.0)</f>
      </c>
      <c r="B150" s="9">
        <f>IFERROR(__xludf.DUMMYFUNCTION("""COMPUTED_VALUE"""),"METROPOLITANA I")</f>
      </c>
      <c r="C150" s="9">
        <f>IFERROR(__xludf.DUMMYFUNCTION("""COMPUTED_VALUE"""),"CE DOS LÍRIOS")</f>
      </c>
      <c r="D150" s="10">
        <f>IFERROR(__xludf.DUMMYFUNCTION("""COMPUTED_VALUE"""),0.8089)</f>
      </c>
      <c r="E150" s="10">
        <f>IFERROR(__xludf.DUMMYFUNCTION("""COMPUTED_VALUE"""),0.2395)</f>
      </c>
      <c r="F150" s="10">
        <f>IFERROR(__xludf.DUMMYFUNCTION("""COMPUTED_VALUE"""),0.7261)</f>
      </c>
      <c r="G150" s="10">
        <f>IFERROR(__xludf.DUMMYFUNCTION("""COMPUTED_VALUE"""),0.2116)</f>
      </c>
    </row>
    <row x14ac:dyDescent="0.25" r="151" customHeight="1" ht="15.75">
      <c r="A151" s="8">
        <f>IFERROR(__xludf.DUMMYFUNCTION("""COMPUTED_VALUE"""),26018.0)</f>
      </c>
      <c r="B151" s="9">
        <f>IFERROR(__xludf.DUMMYFUNCTION("""COMPUTED_VALUE"""),"METROPOLITANA I")</f>
      </c>
      <c r="C151" s="9">
        <f>IFERROR(__xludf.DUMMYFUNCTION("""COMPUTED_VALUE"""),"CE DOUTOR MÁRIO GUIMARÃES")</f>
      </c>
      <c r="D151" s="10">
        <f>IFERROR(__xludf.DUMMYFUNCTION("""COMPUTED_VALUE"""),0.8958)</f>
      </c>
      <c r="E151" s="10">
        <f>IFERROR(__xludf.DUMMYFUNCTION("""COMPUTED_VALUE"""),0.2396)</f>
      </c>
      <c r="F151" s="10">
        <f>IFERROR(__xludf.DUMMYFUNCTION("""COMPUTED_VALUE"""),0.8906)</f>
      </c>
      <c r="G151" s="10">
        <f>IFERROR(__xludf.DUMMYFUNCTION("""COMPUTED_VALUE"""),0.2033)</f>
      </c>
    </row>
    <row x14ac:dyDescent="0.25" r="152" customHeight="1" ht="15.75">
      <c r="A152" s="8">
        <f>IFERROR(__xludf.DUMMYFUNCTION("""COMPUTED_VALUE"""),26019.0)</f>
      </c>
      <c r="B152" s="9">
        <f>IFERROR(__xludf.DUMMYFUNCTION("""COMPUTED_VALUE"""),"METROPOLITANA I")</f>
      </c>
      <c r="C152" s="9">
        <f>IFERROR(__xludf.DUMMYFUNCTION("""COMPUTED_VALUE"""),"CE ENGENHEIRO AREA LEAO")</f>
      </c>
      <c r="D152" s="10">
        <f>IFERROR(__xludf.DUMMYFUNCTION("""COMPUTED_VALUE"""),0.9186)</f>
      </c>
      <c r="E152" s="10">
        <f>IFERROR(__xludf.DUMMYFUNCTION("""COMPUTED_VALUE"""),0.1836)</f>
      </c>
      <c r="F152" s="10">
        <f>IFERROR(__xludf.DUMMYFUNCTION("""COMPUTED_VALUE"""),0.7119)</f>
      </c>
      <c r="G152" s="10">
        <f>IFERROR(__xludf.DUMMYFUNCTION("""COMPUTED_VALUE"""),0.1602)</f>
      </c>
    </row>
    <row x14ac:dyDescent="0.25" r="153" customHeight="1" ht="15.75">
      <c r="A153" s="8">
        <f>IFERROR(__xludf.DUMMYFUNCTION("""COMPUTED_VALUE"""),26000.0)</f>
      </c>
      <c r="B153" s="9">
        <f>IFERROR(__xludf.DUMMYFUNCTION("""COMPUTED_VALUE"""),"METROPOLITANA I")</f>
      </c>
      <c r="C153" s="9">
        <f>IFERROR(__xludf.DUMMYFUNCTION("""COMPUTED_VALUE"""),"CE ENGENHEIRO PEDREIRA")</f>
      </c>
      <c r="D153" s="10">
        <f>IFERROR(__xludf.DUMMYFUNCTION("""COMPUTED_VALUE"""),0.7968)</f>
      </c>
      <c r="E153" s="10">
        <f>IFERROR(__xludf.DUMMYFUNCTION("""COMPUTED_VALUE"""),0.2306)</f>
      </c>
      <c r="F153" s="10">
        <f>IFERROR(__xludf.DUMMYFUNCTION("""COMPUTED_VALUE"""),0.6054)</f>
      </c>
      <c r="G153" s="10">
        <f>IFERROR(__xludf.DUMMYFUNCTION("""COMPUTED_VALUE"""),0.2012)</f>
      </c>
    </row>
    <row x14ac:dyDescent="0.25" r="154" customHeight="1" ht="15.75">
      <c r="A154" s="8">
        <f>IFERROR(__xludf.DUMMYFUNCTION("""COMPUTED_VALUE"""),26020.0)</f>
      </c>
      <c r="B154" s="9">
        <f>IFERROR(__xludf.DUMMYFUNCTION("""COMPUTED_VALUE"""),"METROPOLITANA I")</f>
      </c>
      <c r="C154" s="9">
        <f>IFERROR(__xludf.DUMMYFUNCTION("""COMPUTED_VALUE"""),"CE FIGUEIRA")</f>
      </c>
      <c r="D154" s="10">
        <f>IFERROR(__xludf.DUMMYFUNCTION("""COMPUTED_VALUE"""),0.8795)</f>
      </c>
      <c r="E154" s="10">
        <f>IFERROR(__xludf.DUMMYFUNCTION("""COMPUTED_VALUE"""),0.2561)</f>
      </c>
      <c r="F154" s="10">
        <f>IFERROR(__xludf.DUMMYFUNCTION("""COMPUTED_VALUE"""),0.741)</f>
      </c>
      <c r="G154" s="10">
        <f>IFERROR(__xludf.DUMMYFUNCTION("""COMPUTED_VALUE"""),0.2066)</f>
      </c>
    </row>
    <row x14ac:dyDescent="0.25" r="155" customHeight="1" ht="15.75">
      <c r="A155" s="8">
        <f>IFERROR(__xludf.DUMMYFUNCTION("""COMPUTED_VALUE"""),26021.0)</f>
      </c>
      <c r="B155" s="9">
        <f>IFERROR(__xludf.DUMMYFUNCTION("""COMPUTED_VALUE"""),"METROPOLITANA I")</f>
      </c>
      <c r="C155" s="9">
        <f>IFERROR(__xludf.DUMMYFUNCTION("""COMPUTED_VALUE"""),"CE FRANCISCO ASSUMPÇÃO")</f>
      </c>
      <c r="D155" s="10">
        <f>IFERROR(__xludf.DUMMYFUNCTION("""COMPUTED_VALUE"""),0.3277)</f>
      </c>
      <c r="E155" s="10">
        <f>IFERROR(__xludf.DUMMYFUNCTION("""COMPUTED_VALUE"""),0.2282)</f>
      </c>
      <c r="F155" s="10">
        <f>IFERROR(__xludf.DUMMYFUNCTION("""COMPUTED_VALUE"""),0.6819)</f>
      </c>
      <c r="G155" s="10">
        <f>IFERROR(__xludf.DUMMYFUNCTION("""COMPUTED_VALUE"""),0.2038)</f>
      </c>
    </row>
    <row x14ac:dyDescent="0.25" r="156" customHeight="1" ht="15.75">
      <c r="A156" s="8">
        <f>IFERROR(__xludf.DUMMYFUNCTION("""COMPUTED_VALUE"""),26022.0)</f>
      </c>
      <c r="B156" s="9">
        <f>IFERROR(__xludf.DUMMYFUNCTION("""COMPUTED_VALUE"""),"METROPOLITANA I")</f>
      </c>
      <c r="C156" s="9">
        <f>IFERROR(__xludf.DUMMYFUNCTION("""COMPUTED_VALUE"""),"CE JARDIM ALVORADA")</f>
      </c>
      <c r="D156" s="10">
        <f>IFERROR(__xludf.DUMMYFUNCTION("""COMPUTED_VALUE"""),0.7155)</f>
      </c>
      <c r="E156" s="10">
        <f>IFERROR(__xludf.DUMMYFUNCTION("""COMPUTED_VALUE"""),0.2414)</f>
      </c>
      <c r="F156" s="10">
        <f>IFERROR(__xludf.DUMMYFUNCTION("""COMPUTED_VALUE"""),0.5431)</f>
      </c>
      <c r="G156" s="10">
        <f>IFERROR(__xludf.DUMMYFUNCTION("""COMPUTED_VALUE"""),0.2047)</f>
      </c>
    </row>
    <row x14ac:dyDescent="0.25" r="157" customHeight="1" ht="15.75">
      <c r="A157" s="8">
        <f>IFERROR(__xludf.DUMMYFUNCTION("""COMPUTED_VALUE"""),26023.0)</f>
      </c>
      <c r="B157" s="9">
        <f>IFERROR(__xludf.DUMMYFUNCTION("""COMPUTED_VALUE"""),"METROPOLITANA I")</f>
      </c>
      <c r="C157" s="9">
        <f>IFERROR(__xludf.DUMMYFUNCTION("""COMPUTED_VALUE"""),"CE JARDIM MARILICE - BRASIL-URUGUAI")</f>
      </c>
      <c r="D157" s="10">
        <f>IFERROR(__xludf.DUMMYFUNCTION("""COMPUTED_VALUE"""),1.0)</f>
      </c>
      <c r="E157" s="10">
        <f>IFERROR(__xludf.DUMMYFUNCTION("""COMPUTED_VALUE"""),0.2733)</f>
      </c>
      <c r="F157" s="10">
        <f>IFERROR(__xludf.DUMMYFUNCTION("""COMPUTED_VALUE"""),0.8904)</f>
      </c>
      <c r="G157" s="10">
        <f>IFERROR(__xludf.DUMMYFUNCTION("""COMPUTED_VALUE"""),0.2123)</f>
      </c>
    </row>
    <row x14ac:dyDescent="0.25" r="158" customHeight="1" ht="15.75">
      <c r="A158" s="8">
        <f>IFERROR(__xludf.DUMMYFUNCTION("""COMPUTED_VALUE"""),26001.0)</f>
      </c>
      <c r="B158" s="9">
        <f>IFERROR(__xludf.DUMMYFUNCTION("""COMPUTED_VALUE"""),"METROPOLITANA I")</f>
      </c>
      <c r="C158" s="9">
        <f>IFERROR(__xludf.DUMMYFUNCTION("""COMPUTED_VALUE"""),"CE JOAO SANTOS SOUTO")</f>
      </c>
      <c r="D158" s="10">
        <f>IFERROR(__xludf.DUMMYFUNCTION("""COMPUTED_VALUE"""),0.7679)</f>
      </c>
      <c r="E158" s="10">
        <f>IFERROR(__xludf.DUMMYFUNCTION("""COMPUTED_VALUE"""),0.2457)</f>
      </c>
      <c r="F158" s="10">
        <f>IFERROR(__xludf.DUMMYFUNCTION("""COMPUTED_VALUE"""),0.6563)</f>
      </c>
      <c r="G158" s="10">
        <f>IFERROR(__xludf.DUMMYFUNCTION("""COMPUTED_VALUE"""),0.216)</f>
      </c>
    </row>
    <row x14ac:dyDescent="0.25" r="159" customHeight="1" ht="15.75">
      <c r="A159" s="8">
        <f>IFERROR(__xludf.DUMMYFUNCTION("""COMPUTED_VALUE"""),26024.0)</f>
      </c>
      <c r="B159" s="9">
        <f>IFERROR(__xludf.DUMMYFUNCTION("""COMPUTED_VALUE"""),"METROPOLITANA I")</f>
      </c>
      <c r="C159" s="9">
        <f>IFERROR(__xludf.DUMMYFUNCTION("""COMPUTED_VALUE"""),"CE JOSÉ BONIFÁCIO")</f>
      </c>
      <c r="D159" s="10">
        <f>IFERROR(__xludf.DUMMYFUNCTION("""COMPUTED_VALUE"""),0.8775)</f>
      </c>
      <c r="E159" s="10">
        <f>IFERROR(__xludf.DUMMYFUNCTION("""COMPUTED_VALUE"""),0.2157)</f>
      </c>
      <c r="F159" s="10">
        <f>IFERROR(__xludf.DUMMYFUNCTION("""COMPUTED_VALUE"""),0.5931)</f>
      </c>
      <c r="G159" s="10">
        <f>IFERROR(__xludf.DUMMYFUNCTION("""COMPUTED_VALUE"""),0.1969)</f>
      </c>
    </row>
    <row x14ac:dyDescent="0.25" r="160" customHeight="1" ht="15.75">
      <c r="A160" s="8">
        <f>IFERROR(__xludf.DUMMYFUNCTION("""COMPUTED_VALUE"""),26025.0)</f>
      </c>
      <c r="B160" s="9">
        <f>IFERROR(__xludf.DUMMYFUNCTION("""COMPUTED_VALUE"""),"METROPOLITANA I")</f>
      </c>
      <c r="C160" s="9">
        <f>IFERROR(__xludf.DUMMYFUNCTION("""COMPUTED_VALUE"""),"CE LEOPOLDO MACHADO")</f>
      </c>
      <c r="D160" s="10">
        <f>IFERROR(__xludf.DUMMYFUNCTION("""COMPUTED_VALUE"""),0.9471)</f>
      </c>
      <c r="E160" s="10">
        <f>IFERROR(__xludf.DUMMYFUNCTION("""COMPUTED_VALUE"""),0.2344)</f>
      </c>
      <c r="F160" s="10">
        <f>IFERROR(__xludf.DUMMYFUNCTION("""COMPUTED_VALUE"""),0.6412)</f>
      </c>
      <c r="G160" s="10">
        <f>IFERROR(__xludf.DUMMYFUNCTION("""COMPUTED_VALUE"""),0.2122)</f>
      </c>
    </row>
    <row x14ac:dyDescent="0.25" r="161" customHeight="1" ht="15.75">
      <c r="A161" s="8">
        <f>IFERROR(__xludf.DUMMYFUNCTION("""COMPUTED_VALUE"""),26026.0)</f>
      </c>
      <c r="B161" s="9">
        <f>IFERROR(__xludf.DUMMYFUNCTION("""COMPUTED_VALUE"""),"METROPOLITANA I")</f>
      </c>
      <c r="C161" s="9">
        <f>IFERROR(__xludf.DUMMYFUNCTION("""COMPUTED_VALUE"""),"CE MARECHAL JUAREZ TAVORA")</f>
      </c>
      <c r="D161" s="10">
        <f>IFERROR(__xludf.DUMMYFUNCTION("""COMPUTED_VALUE"""),0.8438)</f>
      </c>
      <c r="E161" s="10">
        <f>IFERROR(__xludf.DUMMYFUNCTION("""COMPUTED_VALUE"""),0.2174)</f>
      </c>
      <c r="F161" s="10">
        <f>IFERROR(__xludf.DUMMYFUNCTION("""COMPUTED_VALUE"""),0.6375)</f>
      </c>
      <c r="G161" s="10">
        <f>IFERROR(__xludf.DUMMYFUNCTION("""COMPUTED_VALUE"""),0.2068)</f>
      </c>
    </row>
    <row x14ac:dyDescent="0.25" r="162" customHeight="1" ht="15.75">
      <c r="A162" s="8">
        <f>IFERROR(__xludf.DUMMYFUNCTION("""COMPUTED_VALUE"""),26027.0)</f>
      </c>
      <c r="B162" s="9">
        <f>IFERROR(__xludf.DUMMYFUNCTION("""COMPUTED_VALUE"""),"METROPOLITANA I")</f>
      </c>
      <c r="C162" s="9">
        <f>IFERROR(__xludf.DUMMYFUNCTION("""COMPUTED_VALUE"""),"CE MARIA EMÍLIA AMARAL FONTOURA")</f>
      </c>
      <c r="D162" s="10">
        <f>IFERROR(__xludf.DUMMYFUNCTION("""COMPUTED_VALUE"""),0.9243)</f>
      </c>
      <c r="E162" s="10">
        <f>IFERROR(__xludf.DUMMYFUNCTION("""COMPUTED_VALUE"""),0.2262)</f>
      </c>
      <c r="F162" s="10">
        <f>IFERROR(__xludf.DUMMYFUNCTION("""COMPUTED_VALUE"""),0.8638)</f>
      </c>
      <c r="G162" s="10">
        <f>IFERROR(__xludf.DUMMYFUNCTION("""COMPUTED_VALUE"""),0.1873)</f>
      </c>
    </row>
    <row x14ac:dyDescent="0.25" r="163" customHeight="1" ht="15.75">
      <c r="A163" s="8">
        <f>IFERROR(__xludf.DUMMYFUNCTION("""COMPUTED_VALUE"""),26028.0)</f>
      </c>
      <c r="B163" s="9">
        <f>IFERROR(__xludf.DUMMYFUNCTION("""COMPUTED_VALUE"""),"METROPOLITANA I")</f>
      </c>
      <c r="C163" s="9">
        <f>IFERROR(__xludf.DUMMYFUNCTION("""COMPUTED_VALUE"""),"CE MARIA JUSTINIANO FERNANDES")</f>
      </c>
      <c r="D163" s="10">
        <f>IFERROR(__xludf.DUMMYFUNCTION("""COMPUTED_VALUE"""),0.9919)</f>
      </c>
      <c r="E163" s="10">
        <f>IFERROR(__xludf.DUMMYFUNCTION("""COMPUTED_VALUE"""),0.2281)</f>
      </c>
      <c r="F163" s="10">
        <f>IFERROR(__xludf.DUMMYFUNCTION("""COMPUTED_VALUE"""),1.0)</f>
      </c>
      <c r="G163" s="10">
        <f>IFERROR(__xludf.DUMMYFUNCTION("""COMPUTED_VALUE"""),0.1278)</f>
      </c>
    </row>
    <row x14ac:dyDescent="0.25" r="164" customHeight="1" ht="15.75">
      <c r="A164" s="8">
        <f>IFERROR(__xludf.DUMMYFUNCTION("""COMPUTED_VALUE"""),26029.0)</f>
      </c>
      <c r="B164" s="9">
        <f>IFERROR(__xludf.DUMMYFUNCTION("""COMPUTED_VALUE"""),"METROPOLITANA I")</f>
      </c>
      <c r="C164" s="9">
        <f>IFERROR(__xludf.DUMMYFUNCTION("""COMPUTED_VALUE"""),"CE MILTON CAMPOS")</f>
      </c>
      <c r="D164" s="10">
        <f>IFERROR(__xludf.DUMMYFUNCTION("""COMPUTED_VALUE"""),0.7685)</f>
      </c>
      <c r="E164" s="10">
        <f>IFERROR(__xludf.DUMMYFUNCTION("""COMPUTED_VALUE"""),0.2546)</f>
      </c>
      <c r="F164" s="10">
        <f>IFERROR(__xludf.DUMMYFUNCTION("""COMPUTED_VALUE"""),0.67)</f>
      </c>
      <c r="G164" s="10">
        <f>IFERROR(__xludf.DUMMYFUNCTION("""COMPUTED_VALUE"""),0.2214)</f>
      </c>
    </row>
    <row x14ac:dyDescent="0.25" r="165" customHeight="1" ht="15.75">
      <c r="A165" s="8">
        <f>IFERROR(__xludf.DUMMYFUNCTION("""COMPUTED_VALUE"""),26030.0)</f>
      </c>
      <c r="B165" s="9">
        <f>IFERROR(__xludf.DUMMYFUNCTION("""COMPUTED_VALUE"""),"METROPOLITANA I")</f>
      </c>
      <c r="C165" s="9">
        <f>IFERROR(__xludf.DUMMYFUNCTION("""COMPUTED_VALUE"""),"CE NATIVIDADE PATRICIO ANTUNES")</f>
      </c>
      <c r="D165" s="10">
        <f>IFERROR(__xludf.DUMMYFUNCTION("""COMPUTED_VALUE"""),0.9605)</f>
      </c>
      <c r="E165" s="10">
        <f>IFERROR(__xludf.DUMMYFUNCTION("""COMPUTED_VALUE"""),0.1971)</f>
      </c>
      <c r="F165" s="10">
        <f>IFERROR(__xludf.DUMMYFUNCTION("""COMPUTED_VALUE"""),0.6632)</f>
      </c>
      <c r="G165" s="10">
        <f>IFERROR(__xludf.DUMMYFUNCTION("""COMPUTED_VALUE"""),0.2088)</f>
      </c>
    </row>
    <row x14ac:dyDescent="0.25" r="166" customHeight="1" ht="15.75">
      <c r="A166" s="8">
        <f>IFERROR(__xludf.DUMMYFUNCTION("""COMPUTED_VALUE"""),26088.0)</f>
      </c>
      <c r="B166" s="9">
        <f>IFERROR(__xludf.DUMMYFUNCTION("""COMPUTED_VALUE"""),"METROPOLITANA I")</f>
      </c>
      <c r="C166" s="9">
        <f>IFERROR(__xludf.DUMMYFUNCTION("""COMPUTED_VALUE"""),"CE PREFEITO LUIZ GUIMARÃES")</f>
      </c>
      <c r="D166" s="10">
        <f>IFERROR(__xludf.DUMMYFUNCTION("""COMPUTED_VALUE"""),0.7103)</f>
      </c>
      <c r="E166" s="10">
        <f>IFERROR(__xludf.DUMMYFUNCTION("""COMPUTED_VALUE"""),0.2145)</f>
      </c>
      <c r="F166" s="10">
        <f>IFERROR(__xludf.DUMMYFUNCTION("""COMPUTED_VALUE"""),0.5332)</f>
      </c>
      <c r="G166" s="10">
        <f>IFERROR(__xludf.DUMMYFUNCTION("""COMPUTED_VALUE"""),0.2031)</f>
      </c>
    </row>
    <row x14ac:dyDescent="0.25" r="167" customHeight="1" ht="15.75">
      <c r="A167" s="8">
        <f>IFERROR(__xludf.DUMMYFUNCTION("""COMPUTED_VALUE"""),26031.0)</f>
      </c>
      <c r="B167" s="9">
        <f>IFERROR(__xludf.DUMMYFUNCTION("""COMPUTED_VALUE"""),"METROPOLITANA I")</f>
      </c>
      <c r="C167" s="9">
        <f>IFERROR(__xludf.DUMMYFUNCTION("""COMPUTED_VALUE"""),"CE PROFESSOR AMAZOR VIEIRA BORGES")</f>
      </c>
      <c r="D167" s="10">
        <f>IFERROR(__xludf.DUMMYFUNCTION("""COMPUTED_VALUE"""),0.9217)</f>
      </c>
      <c r="E167" s="10">
        <f>IFERROR(__xludf.DUMMYFUNCTION("""COMPUTED_VALUE"""),0.2159)</f>
      </c>
      <c r="F167" s="10">
        <f>IFERROR(__xludf.DUMMYFUNCTION("""COMPUTED_VALUE"""),0.8327)</f>
      </c>
      <c r="G167" s="10">
        <f>IFERROR(__xludf.DUMMYFUNCTION("""COMPUTED_VALUE"""),0.2292)</f>
      </c>
    </row>
    <row x14ac:dyDescent="0.25" r="168" customHeight="1" ht="15.75">
      <c r="A168" s="8">
        <f>IFERROR(__xludf.DUMMYFUNCTION("""COMPUTED_VALUE"""),26032.0)</f>
      </c>
      <c r="B168" s="9">
        <f>IFERROR(__xludf.DUMMYFUNCTION("""COMPUTED_VALUE"""),"METROPOLITANA I")</f>
      </c>
      <c r="C168" s="9">
        <f>IFERROR(__xludf.DUMMYFUNCTION("""COMPUTED_VALUE"""),"CE PROFESSORA EVANGELINA SOARES DE MOURA")</f>
      </c>
      <c r="D168" s="10">
        <f>IFERROR(__xludf.DUMMYFUNCTION("""COMPUTED_VALUE"""),0.8)</f>
      </c>
      <c r="E168" s="10">
        <f>IFERROR(__xludf.DUMMYFUNCTION("""COMPUTED_VALUE"""),0.2347)</f>
      </c>
      <c r="F168" s="10">
        <f>IFERROR(__xludf.DUMMYFUNCTION("""COMPUTED_VALUE"""),0.575)</f>
      </c>
      <c r="G168" s="10">
        <f>IFERROR(__xludf.DUMMYFUNCTION("""COMPUTED_VALUE"""),0.2057)</f>
      </c>
    </row>
    <row x14ac:dyDescent="0.25" r="169" customHeight="1" ht="15.75">
      <c r="A169" s="8">
        <f>IFERROR(__xludf.DUMMYFUNCTION("""COMPUTED_VALUE"""),26033.0)</f>
      </c>
      <c r="B169" s="9">
        <f>IFERROR(__xludf.DUMMYFUNCTION("""COMPUTED_VALUE"""),"METROPOLITANA I")</f>
      </c>
      <c r="C169" s="9">
        <f>IFERROR(__xludf.DUMMYFUNCTION("""COMPUTED_VALUE"""),"CE PROFESSORA MARIA HELENA AMARAL ALARCÃO")</f>
      </c>
      <c r="D169" s="10">
        <f>IFERROR(__xludf.DUMMYFUNCTION("""COMPUTED_VALUE"""),0.7778)</f>
      </c>
      <c r="E169" s="10">
        <f>IFERROR(__xludf.DUMMYFUNCTION("""COMPUTED_VALUE"""),0.2441)</f>
      </c>
      <c r="F169" s="10">
        <f>IFERROR(__xludf.DUMMYFUNCTION("""COMPUTED_VALUE"""),0.8519)</f>
      </c>
      <c r="G169" s="10">
        <f>IFERROR(__xludf.DUMMYFUNCTION("""COMPUTED_VALUE"""),0.2172)</f>
      </c>
    </row>
    <row x14ac:dyDescent="0.25" r="170" customHeight="1" ht="15.75">
      <c r="A170" s="8">
        <f>IFERROR(__xludf.DUMMYFUNCTION("""COMPUTED_VALUE"""),26034.0)</f>
      </c>
      <c r="B170" s="9">
        <f>IFERROR(__xludf.DUMMYFUNCTION("""COMPUTED_VALUE"""),"METROPOLITANA I")</f>
      </c>
      <c r="C170" s="9">
        <f>IFERROR(__xludf.DUMMYFUNCTION("""COMPUTED_VALUE"""),"CE PROFESSORA MARIA JOSÉ RAUNHEITTI DUCCINI")</f>
      </c>
      <c r="D170" s="10">
        <f>IFERROR(__xludf.DUMMYFUNCTION("""COMPUTED_VALUE"""),0.9653)</f>
      </c>
      <c r="E170" s="10">
        <f>IFERROR(__xludf.DUMMYFUNCTION("""COMPUTED_VALUE"""),0.2185)</f>
      </c>
      <c r="F170" s="10">
        <f>IFERROR(__xludf.DUMMYFUNCTION("""COMPUTED_VALUE"""),0.6456)</f>
      </c>
      <c r="G170" s="10">
        <f>IFERROR(__xludf.DUMMYFUNCTION("""COMPUTED_VALUE"""),0.1992)</f>
      </c>
    </row>
    <row x14ac:dyDescent="0.25" r="171" customHeight="1" ht="15.75">
      <c r="A171" s="8">
        <f>IFERROR(__xludf.DUMMYFUNCTION("""COMPUTED_VALUE"""),26035.0)</f>
      </c>
      <c r="B171" s="9">
        <f>IFERROR(__xludf.DUMMYFUNCTION("""COMPUTED_VALUE"""),"METROPOLITANA I")</f>
      </c>
      <c r="C171" s="9">
        <f>IFERROR(__xludf.DUMMYFUNCTION("""COMPUTED_VALUE"""),"CE PROFESSORA MARINA BENTO")</f>
      </c>
      <c r="D171" s="10">
        <f>IFERROR(__xludf.DUMMYFUNCTION("""COMPUTED_VALUE"""),0.7465)</f>
      </c>
      <c r="E171" s="10">
        <f>IFERROR(__xludf.DUMMYFUNCTION("""COMPUTED_VALUE"""),0.2279)</f>
      </c>
      <c r="F171" s="10">
        <f>IFERROR(__xludf.DUMMYFUNCTION("""COMPUTED_VALUE"""),0.6232)</f>
      </c>
      <c r="G171" s="10">
        <f>IFERROR(__xludf.DUMMYFUNCTION("""COMPUTED_VALUE"""),0.1975)</f>
      </c>
    </row>
    <row x14ac:dyDescent="0.25" r="172" customHeight="1" ht="15.75">
      <c r="A172" s="8">
        <f>IFERROR(__xludf.DUMMYFUNCTION("""COMPUTED_VALUE"""),26036.0)</f>
      </c>
      <c r="B172" s="9">
        <f>IFERROR(__xludf.DUMMYFUNCTION("""COMPUTED_VALUE"""),"METROPOLITANA I")</f>
      </c>
      <c r="C172" s="9">
        <f>IFERROR(__xludf.DUMMYFUNCTION("""COMPUTED_VALUE"""),"CE PROFESSORA VENINA CORREA TORRES")</f>
      </c>
      <c r="D172" s="10">
        <f>IFERROR(__xludf.DUMMYFUNCTION("""COMPUTED_VALUE"""),0.9918)</f>
      </c>
      <c r="E172" s="10">
        <f>IFERROR(__xludf.DUMMYFUNCTION("""COMPUTED_VALUE"""),0.2738)</f>
      </c>
      <c r="F172" s="10">
        <f>IFERROR(__xludf.DUMMYFUNCTION("""COMPUTED_VALUE"""),0.9631)</f>
      </c>
      <c r="G172" s="10">
        <f>IFERROR(__xludf.DUMMYFUNCTION("""COMPUTED_VALUE"""),0.2132)</f>
      </c>
    </row>
    <row x14ac:dyDescent="0.25" r="173" customHeight="1" ht="15.75">
      <c r="A173" s="8">
        <f>IFERROR(__xludf.DUMMYFUNCTION("""COMPUTED_VALUE"""),26089.0)</f>
      </c>
      <c r="B173" s="9">
        <f>IFERROR(__xludf.DUMMYFUNCTION("""COMPUTED_VALUE"""),"METROPOLITANA I")</f>
      </c>
      <c r="C173" s="9">
        <f>IFERROR(__xludf.DUMMYFUNCTION("""COMPUTED_VALUE"""),"CE RAYMUNDO CORRÊA")</f>
      </c>
      <c r="D173" s="10">
        <f>IFERROR(__xludf.DUMMYFUNCTION("""COMPUTED_VALUE"""),0.7316)</f>
      </c>
      <c r="E173" s="10">
        <f>IFERROR(__xludf.DUMMYFUNCTION("""COMPUTED_VALUE"""),0.2377)</f>
      </c>
      <c r="F173" s="10">
        <f>IFERROR(__xludf.DUMMYFUNCTION("""COMPUTED_VALUE"""),0.7031)</f>
      </c>
      <c r="G173" s="10">
        <f>IFERROR(__xludf.DUMMYFUNCTION("""COMPUTED_VALUE"""),0.2341)</f>
      </c>
    </row>
    <row x14ac:dyDescent="0.25" r="174" customHeight="1" ht="15.75">
      <c r="A174" s="8">
        <f>IFERROR(__xludf.DUMMYFUNCTION("""COMPUTED_VALUE"""),26037.0)</f>
      </c>
      <c r="B174" s="9">
        <f>IFERROR(__xludf.DUMMYFUNCTION("""COMPUTED_VALUE"""),"METROPOLITANA I")</f>
      </c>
      <c r="C174" s="9">
        <f>IFERROR(__xludf.DUMMYFUNCTION("""COMPUTED_VALUE"""),"CE SANTA RITA DE CÁSSIA")</f>
      </c>
      <c r="D174" s="10">
        <f>IFERROR(__xludf.DUMMYFUNCTION("""COMPUTED_VALUE"""),0.7889)</f>
      </c>
      <c r="E174" s="10">
        <f>IFERROR(__xludf.DUMMYFUNCTION("""COMPUTED_VALUE"""),0.2291)</f>
      </c>
      <c r="F174" s="10">
        <f>IFERROR(__xludf.DUMMYFUNCTION("""COMPUTED_VALUE"""),0.6701)</f>
      </c>
      <c r="G174" s="10">
        <f>IFERROR(__xludf.DUMMYFUNCTION("""COMPUTED_VALUE"""),0.1959)</f>
      </c>
    </row>
    <row x14ac:dyDescent="0.25" r="175" customHeight="1" ht="15.75">
      <c r="A175" s="8">
        <f>IFERROR(__xludf.DUMMYFUNCTION("""COMPUTED_VALUE"""),26038.0)</f>
      </c>
      <c r="B175" s="9">
        <f>IFERROR(__xludf.DUMMYFUNCTION("""COMPUTED_VALUE"""),"METROPOLITANA I")</f>
      </c>
      <c r="C175" s="9">
        <f>IFERROR(__xludf.DUMMYFUNCTION("""COMPUTED_VALUE"""),"CE SANTO ANTONIO DE PÁDUA")</f>
      </c>
      <c r="D175" s="10">
        <f>IFERROR(__xludf.DUMMYFUNCTION("""COMPUTED_VALUE"""),0.5843)</f>
      </c>
      <c r="E175" s="10">
        <f>IFERROR(__xludf.DUMMYFUNCTION("""COMPUTED_VALUE"""),0.2364)</f>
      </c>
      <c r="F175" s="10">
        <f>IFERROR(__xludf.DUMMYFUNCTION("""COMPUTED_VALUE"""),0.4118)</f>
      </c>
      <c r="G175" s="10">
        <f>IFERROR(__xludf.DUMMYFUNCTION("""COMPUTED_VALUE"""),0.2133)</f>
      </c>
    </row>
    <row x14ac:dyDescent="0.25" r="176" customHeight="1" ht="15.75">
      <c r="A176" s="8">
        <f>IFERROR(__xludf.DUMMYFUNCTION("""COMPUTED_VALUE"""),26090.0)</f>
      </c>
      <c r="B176" s="9">
        <f>IFERROR(__xludf.DUMMYFUNCTION("""COMPUTED_VALUE"""),"METROPOLITANA I")</f>
      </c>
      <c r="C176" s="9">
        <f>IFERROR(__xludf.DUMMYFUNCTION("""COMPUTED_VALUE"""),"CE SÃO CRISTÓVÃO")</f>
      </c>
      <c r="D176" s="10">
        <f>IFERROR(__xludf.DUMMYFUNCTION("""COMPUTED_VALUE"""),0.9602)</f>
      </c>
      <c r="E176" s="10">
        <f>IFERROR(__xludf.DUMMYFUNCTION("""COMPUTED_VALUE"""),0.1808)</f>
      </c>
      <c r="F176" s="10">
        <f>IFERROR(__xludf.DUMMYFUNCTION("""COMPUTED_VALUE"""),0.8712)</f>
      </c>
      <c r="G176" s="10">
        <f>IFERROR(__xludf.DUMMYFUNCTION("""COMPUTED_VALUE"""),0.1652)</f>
      </c>
    </row>
    <row x14ac:dyDescent="0.25" r="177" customHeight="1" ht="15.75">
      <c r="A177" s="8">
        <f>IFERROR(__xludf.DUMMYFUNCTION("""COMPUTED_VALUE"""),26039.0)</f>
      </c>
      <c r="B177" s="9">
        <f>IFERROR(__xludf.DUMMYFUNCTION("""COMPUTED_VALUE"""),"METROPOLITANA I")</f>
      </c>
      <c r="C177" s="9">
        <f>IFERROR(__xludf.DUMMYFUNCTION("""COMPUTED_VALUE"""),"CE SÃO FRANCISCO DE PAULA")</f>
      </c>
      <c r="D177" s="10">
        <f>IFERROR(__xludf.DUMMYFUNCTION("""COMPUTED_VALUE"""),0.7511)</f>
      </c>
      <c r="E177" s="10">
        <f>IFERROR(__xludf.DUMMYFUNCTION("""COMPUTED_VALUE"""),0.2239)</f>
      </c>
      <c r="F177" s="10">
        <f>IFERROR(__xludf.DUMMYFUNCTION("""COMPUTED_VALUE"""),0.6)</f>
      </c>
      <c r="G177" s="10">
        <f>IFERROR(__xludf.DUMMYFUNCTION("""COMPUTED_VALUE"""),0.1889)</f>
      </c>
    </row>
    <row x14ac:dyDescent="0.25" r="178" customHeight="1" ht="15.75">
      <c r="A178" s="8">
        <f>IFERROR(__xludf.DUMMYFUNCTION("""COMPUTED_VALUE"""),26091.0)</f>
      </c>
      <c r="B178" s="9">
        <f>IFERROR(__xludf.DUMMYFUNCTION("""COMPUTED_VALUE"""),"METROPOLITANA I")</f>
      </c>
      <c r="C178" s="9">
        <f>IFERROR(__xludf.DUMMYFUNCTION("""COMPUTED_VALUE"""),"CE SAO JOAO")</f>
      </c>
      <c r="D178" s="10">
        <f>IFERROR(__xludf.DUMMYFUNCTION("""COMPUTED_VALUE"""),0.893)</f>
      </c>
      <c r="E178" s="10">
        <f>IFERROR(__xludf.DUMMYFUNCTION("""COMPUTED_VALUE"""),0.2385)</f>
      </c>
      <c r="F178" s="10">
        <f>IFERROR(__xludf.DUMMYFUNCTION("""COMPUTED_VALUE"""),0.6886)</f>
      </c>
      <c r="G178" s="10">
        <f>IFERROR(__xludf.DUMMYFUNCTION("""COMPUTED_VALUE"""),0.2005)</f>
      </c>
    </row>
    <row x14ac:dyDescent="0.25" r="179" customHeight="1" ht="15.75">
      <c r="A179" s="8">
        <f>IFERROR(__xludf.DUMMYFUNCTION("""COMPUTED_VALUE"""),26040.0)</f>
      </c>
      <c r="B179" s="9">
        <f>IFERROR(__xludf.DUMMYFUNCTION("""COMPUTED_VALUE"""),"METROPOLITANA I")</f>
      </c>
      <c r="C179" s="9">
        <f>IFERROR(__xludf.DUMMYFUNCTION("""COMPUTED_VALUE"""),"CE SÃO JORGE")</f>
      </c>
      <c r="D179" s="10">
        <f>IFERROR(__xludf.DUMMYFUNCTION("""COMPUTED_VALUE"""),0.9247)</f>
      </c>
      <c r="E179" s="10">
        <f>IFERROR(__xludf.DUMMYFUNCTION("""COMPUTED_VALUE"""),0.2126)</f>
      </c>
      <c r="F179" s="10">
        <f>IFERROR(__xludf.DUMMYFUNCTION("""COMPUTED_VALUE"""),0.5607)</f>
      </c>
      <c r="G179" s="10">
        <f>IFERROR(__xludf.DUMMYFUNCTION("""COMPUTED_VALUE"""),0.2069)</f>
      </c>
    </row>
    <row x14ac:dyDescent="0.25" r="180" customHeight="1" ht="15.75">
      <c r="A180" s="8">
        <f>IFERROR(__xludf.DUMMYFUNCTION("""COMPUTED_VALUE"""),26041.0)</f>
      </c>
      <c r="B180" s="9">
        <f>IFERROR(__xludf.DUMMYFUNCTION("""COMPUTED_VALUE"""),"METROPOLITANA I")</f>
      </c>
      <c r="C180" s="9">
        <f>IFERROR(__xludf.DUMMYFUNCTION("""COMPUTED_VALUE"""),"CE SÃO JUDAS TADEU")</f>
      </c>
      <c r="D180" s="10">
        <f>IFERROR(__xludf.DUMMYFUNCTION("""COMPUTED_VALUE"""),0.9)</f>
      </c>
      <c r="E180" s="10">
        <f>IFERROR(__xludf.DUMMYFUNCTION("""COMPUTED_VALUE"""),0.2306)</f>
      </c>
      <c r="F180" s="10">
        <f>IFERROR(__xludf.DUMMYFUNCTION("""COMPUTED_VALUE"""),0.6684)</f>
      </c>
      <c r="G180" s="10">
        <f>IFERROR(__xludf.DUMMYFUNCTION("""COMPUTED_VALUE"""),0.2011)</f>
      </c>
    </row>
    <row x14ac:dyDescent="0.25" r="181" customHeight="1" ht="15.75">
      <c r="A181" s="8">
        <f>IFERROR(__xludf.DUMMYFUNCTION("""COMPUTED_VALUE"""),26042.0)</f>
      </c>
      <c r="B181" s="9">
        <f>IFERROR(__xludf.DUMMYFUNCTION("""COMPUTED_VALUE"""),"METROPOLITANA I")</f>
      </c>
      <c r="C181" s="9">
        <f>IFERROR(__xludf.DUMMYFUNCTION("""COMPUTED_VALUE"""),"CE SARGENTO ANTÔNIO ERNESTO")</f>
      </c>
      <c r="D181" s="10">
        <f>IFERROR(__xludf.DUMMYFUNCTION("""COMPUTED_VALUE"""),0.8117)</f>
      </c>
      <c r="E181" s="10">
        <f>IFERROR(__xludf.DUMMYFUNCTION("""COMPUTED_VALUE"""),0.2383)</f>
      </c>
      <c r="F181" s="10">
        <f>IFERROR(__xludf.DUMMYFUNCTION("""COMPUTED_VALUE"""),0.7008)</f>
      </c>
      <c r="G181" s="10">
        <f>IFERROR(__xludf.DUMMYFUNCTION("""COMPUTED_VALUE"""),0.2032)</f>
      </c>
    </row>
    <row x14ac:dyDescent="0.25" r="182" customHeight="1" ht="15.75">
      <c r="A182" s="8">
        <f>IFERROR(__xludf.DUMMYFUNCTION("""COMPUTED_VALUE"""),26043.0)</f>
      </c>
      <c r="B182" s="9">
        <f>IFERROR(__xludf.DUMMYFUNCTION("""COMPUTED_VALUE"""),"METROPOLITANA I")</f>
      </c>
      <c r="C182" s="9">
        <f>IFERROR(__xludf.DUMMYFUNCTION("""COMPUTED_VALUE"""),"CE VEREADOR PERCY BATISTA CRISPIN")</f>
      </c>
      <c r="D182" s="10">
        <f>IFERROR(__xludf.DUMMYFUNCTION("""COMPUTED_VALUE"""),0.7864)</f>
      </c>
      <c r="E182" s="10">
        <f>IFERROR(__xludf.DUMMYFUNCTION("""COMPUTED_VALUE"""),0.1984)</f>
      </c>
      <c r="F182" s="10">
        <f>IFERROR(__xludf.DUMMYFUNCTION("""COMPUTED_VALUE"""),0.664)</f>
      </c>
      <c r="G182" s="10">
        <f>IFERROR(__xludf.DUMMYFUNCTION("""COMPUTED_VALUE"""),0.2067)</f>
      </c>
    </row>
    <row x14ac:dyDescent="0.25" r="183" customHeight="1" ht="15.75">
      <c r="A183" s="8">
        <f>IFERROR(__xludf.DUMMYFUNCTION("""COMPUTED_VALUE"""),26044.0)</f>
      </c>
      <c r="B183" s="9">
        <f>IFERROR(__xludf.DUMMYFUNCTION("""COMPUTED_VALUE"""),"METROPOLITANA I")</f>
      </c>
      <c r="C183" s="9">
        <f>IFERROR(__xludf.DUMMYFUNCTION("""COMPUTED_VALUE"""),"CE VICENTINA GOULART")</f>
      </c>
      <c r="D183" s="10">
        <f>IFERROR(__xludf.DUMMYFUNCTION("""COMPUTED_VALUE"""),0.7682)</f>
      </c>
      <c r="E183" s="10">
        <f>IFERROR(__xludf.DUMMYFUNCTION("""COMPUTED_VALUE"""),0.2411)</f>
      </c>
      <c r="F183" s="10">
        <f>IFERROR(__xludf.DUMMYFUNCTION("""COMPUTED_VALUE"""),0.6153)</f>
      </c>
      <c r="G183" s="10">
        <f>IFERROR(__xludf.DUMMYFUNCTION("""COMPUTED_VALUE"""),0.2031)</f>
      </c>
    </row>
    <row x14ac:dyDescent="0.25" r="184" customHeight="1" ht="15.75">
      <c r="A184" s="8">
        <f>IFERROR(__xludf.DUMMYFUNCTION("""COMPUTED_VALUE"""),26045.0)</f>
      </c>
      <c r="B184" s="9">
        <f>IFERROR(__xludf.DUMMYFUNCTION("""COMPUTED_VALUE"""),"METROPOLITANA I")</f>
      </c>
      <c r="C184" s="9">
        <f>IFERROR(__xludf.DUMMYFUNCTION("""COMPUTED_VALUE"""),"CE YONNE MARIA SIQUEIRA DE ANDRADE")</f>
      </c>
      <c r="D184" s="10">
        <f>IFERROR(__xludf.DUMMYFUNCTION("""COMPUTED_VALUE"""),0.9494)</f>
      </c>
      <c r="E184" s="10">
        <f>IFERROR(__xludf.DUMMYFUNCTION("""COMPUTED_VALUE"""),0.2016)</f>
      </c>
      <c r="F184" s="10">
        <f>IFERROR(__xludf.DUMMYFUNCTION("""COMPUTED_VALUE"""),0.9493)</f>
      </c>
      <c r="G184" s="10">
        <f>IFERROR(__xludf.DUMMYFUNCTION("""COMPUTED_VALUE"""),0.194)</f>
      </c>
    </row>
    <row x14ac:dyDescent="0.25" r="185" customHeight="1" ht="15.75">
      <c r="A185" s="8">
        <f>IFERROR(__xludf.DUMMYFUNCTION("""COMPUTED_VALUE"""),26046.0)</f>
      </c>
      <c r="B185" s="9">
        <f>IFERROR(__xludf.DUMMYFUNCTION("""COMPUTED_VALUE"""),"METROPOLITANA I")</f>
      </c>
      <c r="C185" s="9">
        <f>IFERROR(__xludf.DUMMYFUNCTION("""COMPUTED_VALUE"""),"CIEP 021 GENERAL OSÓRIO")</f>
      </c>
      <c r="D185" s="10">
        <f>IFERROR(__xludf.DUMMYFUNCTION("""COMPUTED_VALUE"""),0.9535)</f>
      </c>
      <c r="E185" s="10">
        <f>IFERROR(__xludf.DUMMYFUNCTION("""COMPUTED_VALUE"""),0.2044)</f>
      </c>
      <c r="F185" s="10">
        <f>IFERROR(__xludf.DUMMYFUNCTION("""COMPUTED_VALUE"""),0.7209)</f>
      </c>
      <c r="G185" s="10">
        <f>IFERROR(__xludf.DUMMYFUNCTION("""COMPUTED_VALUE"""),0.2042)</f>
      </c>
    </row>
    <row x14ac:dyDescent="0.25" r="186" customHeight="1" ht="15.75">
      <c r="A186" s="8">
        <f>IFERROR(__xludf.DUMMYFUNCTION("""COMPUTED_VALUE"""),26047.0)</f>
      </c>
      <c r="B186" s="9">
        <f>IFERROR(__xludf.DUMMYFUNCTION("""COMPUTED_VALUE"""),"METROPOLITANA I")</f>
      </c>
      <c r="C186" s="9">
        <f>IFERROR(__xludf.DUMMYFUNCTION("""COMPUTED_VALUE"""),"CIEP 025 GETULIO SALES RODRIGUES")</f>
      </c>
      <c r="D186" s="10">
        <f>IFERROR(__xludf.DUMMYFUNCTION("""COMPUTED_VALUE"""),0.4231)</f>
      </c>
      <c r="E186" s="10">
        <f>IFERROR(__xludf.DUMMYFUNCTION("""COMPUTED_VALUE"""),0.203)</f>
      </c>
      <c r="F186" s="10">
        <f>IFERROR(__xludf.DUMMYFUNCTION("""COMPUTED_VALUE"""),0.5769)</f>
      </c>
      <c r="G186" s="10">
        <f>IFERROR(__xludf.DUMMYFUNCTION("""COMPUTED_VALUE"""),0.1923)</f>
      </c>
    </row>
    <row x14ac:dyDescent="0.25" r="187" customHeight="1" ht="15.75">
      <c r="A187" s="8">
        <f>IFERROR(__xludf.DUMMYFUNCTION("""COMPUTED_VALUE"""),26048.0)</f>
      </c>
      <c r="B187" s="9">
        <f>IFERROR(__xludf.DUMMYFUNCTION("""COMPUTED_VALUE"""),"METROPOLITANA I")</f>
      </c>
      <c r="C187" s="9">
        <f>IFERROR(__xludf.DUMMYFUNCTION("""COMPUTED_VALUE"""),"CIEP 026 SAO VICENTE DE PAULA - BRASIL-SUECIA")</f>
      </c>
      <c r="D187" s="10">
        <f>IFERROR(__xludf.DUMMYFUNCTION("""COMPUTED_VALUE"""),0.9109)</f>
      </c>
      <c r="E187" s="10">
        <f>IFERROR(__xludf.DUMMYFUNCTION("""COMPUTED_VALUE"""),0.2132)</f>
      </c>
      <c r="F187" s="10">
        <f>IFERROR(__xludf.DUMMYFUNCTION("""COMPUTED_VALUE"""),0.4356)</f>
      </c>
      <c r="G187" s="10">
        <f>IFERROR(__xludf.DUMMYFUNCTION("""COMPUTED_VALUE"""),0.1643)</f>
      </c>
    </row>
    <row x14ac:dyDescent="0.25" r="188" customHeight="1" ht="15.75">
      <c r="A188" s="8">
        <f>IFERROR(__xludf.DUMMYFUNCTION("""COMPUTED_VALUE"""),26049.0)</f>
      </c>
      <c r="B188" s="9">
        <f>IFERROR(__xludf.DUMMYFUNCTION("""COMPUTED_VALUE"""),"METROPOLITANA I")</f>
      </c>
      <c r="C188" s="9">
        <f>IFERROR(__xludf.DUMMYFUNCTION("""COMPUTED_VALUE"""),"CIEP 075 JARDIM CABUÇU")</f>
      </c>
      <c r="D188" s="10">
        <f>IFERROR(__xludf.DUMMYFUNCTION("""COMPUTED_VALUE"""),0.771)</f>
      </c>
      <c r="E188" s="10">
        <f>IFERROR(__xludf.DUMMYFUNCTION("""COMPUTED_VALUE"""),0.207)</f>
      </c>
      <c r="F188" s="10">
        <f>IFERROR(__xludf.DUMMYFUNCTION("""COMPUTED_VALUE"""),0.5915)</f>
      </c>
      <c r="G188" s="10">
        <f>IFERROR(__xludf.DUMMYFUNCTION("""COMPUTED_VALUE"""),0.1956)</f>
      </c>
    </row>
    <row x14ac:dyDescent="0.25" r="189" customHeight="1" ht="15.75">
      <c r="A189" s="8">
        <f>IFERROR(__xludf.DUMMYFUNCTION("""COMPUTED_VALUE"""),26050.0)</f>
      </c>
      <c r="B189" s="9">
        <f>IFERROR(__xludf.DUMMYFUNCTION("""COMPUTED_VALUE"""),"METROPOLITANA I")</f>
      </c>
      <c r="C189" s="9">
        <f>IFERROR(__xludf.DUMMYFUNCTION("""COMPUTED_VALUE"""),"CIEP 113 PROFESSOR WALDICK PEREIRA")</f>
      </c>
      <c r="D189" s="10">
        <f>IFERROR(__xludf.DUMMYFUNCTION("""COMPUTED_VALUE"""),0.8673)</f>
      </c>
      <c r="E189" s="10">
        <f>IFERROR(__xludf.DUMMYFUNCTION("""COMPUTED_VALUE"""),0.2248)</f>
      </c>
      <c r="F189" s="10">
        <f>IFERROR(__xludf.DUMMYFUNCTION("""COMPUTED_VALUE"""),0.6633)</f>
      </c>
      <c r="G189" s="10">
        <f>IFERROR(__xludf.DUMMYFUNCTION("""COMPUTED_VALUE"""),0.2028)</f>
      </c>
    </row>
    <row x14ac:dyDescent="0.25" r="190" customHeight="1" ht="15.75">
      <c r="A190" s="8">
        <f>IFERROR(__xludf.DUMMYFUNCTION("""COMPUTED_VALUE"""),26051.0)</f>
      </c>
      <c r="B190" s="9">
        <f>IFERROR(__xludf.DUMMYFUNCTION("""COMPUTED_VALUE"""),"METROPOLITANA I")</f>
      </c>
      <c r="C190" s="9">
        <f>IFERROR(__xludf.DUMMYFUNCTION("""COMPUTED_VALUE"""),"CIEP 117 CARLOS DRUMMOND DE ANDRADE BRASIL ESTADOS UNIDOS")</f>
      </c>
      <c r="D190" s="10">
        <f>IFERROR(__xludf.DUMMYFUNCTION("""COMPUTED_VALUE"""),0.9665)</f>
      </c>
      <c r="E190" s="10">
        <f>IFERROR(__xludf.DUMMYFUNCTION("""COMPUTED_VALUE"""),0.3267)</f>
      </c>
      <c r="F190" s="10">
        <f>IFERROR(__xludf.DUMMYFUNCTION("""COMPUTED_VALUE"""),0.9522)</f>
      </c>
      <c r="G190" s="10">
        <f>IFERROR(__xludf.DUMMYFUNCTION("""COMPUTED_VALUE"""),0.2263)</f>
      </c>
    </row>
    <row x14ac:dyDescent="0.25" r="191" customHeight="1" ht="15.75">
      <c r="A191" s="8">
        <f>IFERROR(__xludf.DUMMYFUNCTION("""COMPUTED_VALUE"""),26052.0)</f>
      </c>
      <c r="B191" s="9">
        <f>IFERROR(__xludf.DUMMYFUNCTION("""COMPUTED_VALUE"""),"METROPOLITANA I")</f>
      </c>
      <c r="C191" s="9">
        <f>IFERROR(__xludf.DUMMYFUNCTION("""COMPUTED_VALUE"""),"CIEP 119 AUSTIN")</f>
      </c>
      <c r="D191" s="10">
        <f>IFERROR(__xludf.DUMMYFUNCTION("""COMPUTED_VALUE"""),0.2973)</f>
      </c>
      <c r="E191" s="10">
        <f>IFERROR(__xludf.DUMMYFUNCTION("""COMPUTED_VALUE"""),0.2196)</f>
      </c>
      <c r="F191" s="10">
        <f>IFERROR(__xludf.DUMMYFUNCTION("""COMPUTED_VALUE"""),0.0902)</f>
      </c>
      <c r="G191" s="10">
        <f>IFERROR(__xludf.DUMMYFUNCTION("""COMPUTED_VALUE"""),0.1919)</f>
      </c>
    </row>
    <row x14ac:dyDescent="0.25" r="192" customHeight="1" ht="15.75">
      <c r="A192" s="8">
        <f>IFERROR(__xludf.DUMMYFUNCTION("""COMPUTED_VALUE"""),26053.0)</f>
      </c>
      <c r="B192" s="9">
        <f>IFERROR(__xludf.DUMMYFUNCTION("""COMPUTED_VALUE"""),"METROPOLITANA I")</f>
      </c>
      <c r="C192" s="9">
        <f>IFERROR(__xludf.DUMMYFUNCTION("""COMPUTED_VALUE"""),"CIEP 134 VEREADOR JOSÉ LOPES DE ARAÚJO")</f>
      </c>
      <c r="D192" s="10">
        <f>IFERROR(__xludf.DUMMYFUNCTION("""COMPUTED_VALUE"""),0.9013)</f>
      </c>
      <c r="E192" s="10">
        <f>IFERROR(__xludf.DUMMYFUNCTION("""COMPUTED_VALUE"""),0.1124)</f>
      </c>
      <c r="F192" s="10">
        <f>IFERROR(__xludf.DUMMYFUNCTION("""COMPUTED_VALUE"""),0.4078)</f>
      </c>
      <c r="G192" s="10">
        <f>IFERROR(__xludf.DUMMYFUNCTION("""COMPUTED_VALUE"""),0.1822)</f>
      </c>
    </row>
    <row x14ac:dyDescent="0.25" r="193" customHeight="1" ht="15.75">
      <c r="A193" s="8">
        <f>IFERROR(__xludf.DUMMYFUNCTION("""COMPUTED_VALUE"""),26054.0)</f>
      </c>
      <c r="B193" s="9">
        <f>IFERROR(__xludf.DUMMYFUNCTION("""COMPUTED_VALUE"""),"METROPOLITANA I")</f>
      </c>
      <c r="C193" s="9">
        <f>IFERROR(__xludf.DUMMYFUNCTION("""COMPUTED_VALUE"""),"CIEP 166 ABILIO AUGUSTO TAVORA")</f>
      </c>
      <c r="D193" s="10">
        <f>IFERROR(__xludf.DUMMYFUNCTION("""COMPUTED_VALUE"""),0.63)</f>
      </c>
      <c r="E193" s="10">
        <f>IFERROR(__xludf.DUMMYFUNCTION("""COMPUTED_VALUE"""),0.224)</f>
      </c>
      <c r="F193" s="10">
        <f>IFERROR(__xludf.DUMMYFUNCTION("""COMPUTED_VALUE"""),0.6024)</f>
      </c>
      <c r="G193" s="10">
        <f>IFERROR(__xludf.DUMMYFUNCTION("""COMPUTED_VALUE"""),0.2025)</f>
      </c>
    </row>
    <row x14ac:dyDescent="0.25" r="194" customHeight="1" ht="15.75">
      <c r="A194" s="8">
        <f>IFERROR(__xludf.DUMMYFUNCTION("""COMPUTED_VALUE"""),26055.0)</f>
      </c>
      <c r="B194" s="9">
        <f>IFERROR(__xludf.DUMMYFUNCTION("""COMPUTED_VALUE"""),"METROPOLITANA I")</f>
      </c>
      <c r="C194" s="9">
        <f>IFERROR(__xludf.DUMMYFUNCTION("""COMPUTED_VALUE"""),"CIEP 167 JARDIM PARAÍSO")</f>
      </c>
      <c r="D194" s="10">
        <f>IFERROR(__xludf.DUMMYFUNCTION("""COMPUTED_VALUE"""),0.5267)</f>
      </c>
      <c r="E194" s="10">
        <f>IFERROR(__xludf.DUMMYFUNCTION("""COMPUTED_VALUE"""),0.2168)</f>
      </c>
      <c r="F194" s="10">
        <f>IFERROR(__xludf.DUMMYFUNCTION("""COMPUTED_VALUE"""),0.5854)</f>
      </c>
      <c r="G194" s="10">
        <f>IFERROR(__xludf.DUMMYFUNCTION("""COMPUTED_VALUE"""),0.1933)</f>
      </c>
    </row>
    <row x14ac:dyDescent="0.25" r="195" customHeight="1" ht="15.75">
      <c r="A195" s="8">
        <f>IFERROR(__xludf.DUMMYFUNCTION("""COMPUTED_VALUE"""),26056.0)</f>
      </c>
      <c r="B195" s="9">
        <f>IFERROR(__xludf.DUMMYFUNCTION("""COMPUTED_VALUE"""),"METROPOLITANA I")</f>
      </c>
      <c r="C195" s="9">
        <f>IFERROR(__xludf.DUMMYFUNCTION("""COMPUTED_VALUE"""),"CIEP 168 HILDA SILVEIRA RODRIGUES")</f>
      </c>
      <c r="D195" s="10">
        <f>IFERROR(__xludf.DUMMYFUNCTION("""COMPUTED_VALUE"""),0.9831)</f>
      </c>
      <c r="E195" s="10">
        <f>IFERROR(__xludf.DUMMYFUNCTION("""COMPUTED_VALUE"""),0.1962)</f>
      </c>
      <c r="F195" s="10">
        <f>IFERROR(__xludf.DUMMYFUNCTION("""COMPUTED_VALUE"""),0.6755)</f>
      </c>
      <c r="G195" s="10">
        <f>IFERROR(__xludf.DUMMYFUNCTION("""COMPUTED_VALUE"""),0.202)</f>
      </c>
    </row>
    <row x14ac:dyDescent="0.25" r="196" customHeight="1" ht="15.75">
      <c r="A196" s="8">
        <f>IFERROR(__xludf.DUMMYFUNCTION("""COMPUTED_VALUE"""),26057.0)</f>
      </c>
      <c r="B196" s="9">
        <f>IFERROR(__xludf.DUMMYFUNCTION("""COMPUTED_VALUE"""),"METROPOLITANA I")</f>
      </c>
      <c r="C196" s="9">
        <f>IFERROR(__xludf.DUMMYFUNCTION("""COMPUTED_VALUE"""),"CIEP 172 NELSON RODRIGUES")</f>
      </c>
      <c r="D196" s="10">
        <f>IFERROR(__xludf.DUMMYFUNCTION("""COMPUTED_VALUE"""),0.7722)</f>
      </c>
      <c r="E196" s="10">
        <f>IFERROR(__xludf.DUMMYFUNCTION("""COMPUTED_VALUE"""),0.2403)</f>
      </c>
      <c r="F196" s="10">
        <f>IFERROR(__xludf.DUMMYFUNCTION("""COMPUTED_VALUE"""),0.5722)</f>
      </c>
      <c r="G196" s="10">
        <f>IFERROR(__xludf.DUMMYFUNCTION("""COMPUTED_VALUE"""),0.2018)</f>
      </c>
    </row>
    <row x14ac:dyDescent="0.25" r="197" customHeight="1" ht="15.75">
      <c r="A197" s="8">
        <f>IFERROR(__xludf.DUMMYFUNCTION("""COMPUTED_VALUE"""),26058.0)</f>
      </c>
      <c r="B197" s="9">
        <f>IFERROR(__xludf.DUMMYFUNCTION("""COMPUTED_VALUE"""),"METROPOLITANA I")</f>
      </c>
      <c r="C197" s="9">
        <f>IFERROR(__xludf.DUMMYFUNCTION("""COMPUTED_VALUE"""),"CIEP 188 MARIANO FLOR CAVALCANTE")</f>
      </c>
      <c r="D197" s="10">
        <f>IFERROR(__xludf.DUMMYFUNCTION("""COMPUTED_VALUE"""),0.9)</f>
      </c>
      <c r="E197" s="10">
        <f>IFERROR(__xludf.DUMMYFUNCTION("""COMPUTED_VALUE"""),0.2546)</f>
      </c>
      <c r="F197" s="10">
        <f>IFERROR(__xludf.DUMMYFUNCTION("""COMPUTED_VALUE"""),0.84)</f>
      </c>
      <c r="G197" s="10">
        <f>IFERROR(__xludf.DUMMYFUNCTION("""COMPUTED_VALUE"""),0.2088)</f>
      </c>
    </row>
    <row x14ac:dyDescent="0.25" r="198" customHeight="1" ht="15.75">
      <c r="A198" s="8">
        <f>IFERROR(__xludf.DUMMYFUNCTION("""COMPUTED_VALUE"""),26059.0)</f>
      </c>
      <c r="B198" s="9">
        <f>IFERROR(__xludf.DUMMYFUNCTION("""COMPUTED_VALUE"""),"METROPOLITANA I")</f>
      </c>
      <c r="C198" s="9">
        <f>IFERROR(__xludf.DUMMYFUNCTION("""COMPUTED_VALUE"""),"CIEP 196 SÃO TEODORO")</f>
      </c>
      <c r="D198" s="10">
        <f>IFERROR(__xludf.DUMMYFUNCTION("""COMPUTED_VALUE"""),0.8902)</f>
      </c>
      <c r="E198" s="10">
        <f>IFERROR(__xludf.DUMMYFUNCTION("""COMPUTED_VALUE"""),0.2364)</f>
      </c>
      <c r="F198" s="10">
        <f>IFERROR(__xludf.DUMMYFUNCTION("""COMPUTED_VALUE"""),0.9483)</f>
      </c>
      <c r="G198" s="10">
        <f>IFERROR(__xludf.DUMMYFUNCTION("""COMPUTED_VALUE"""),0.2068)</f>
      </c>
    </row>
    <row x14ac:dyDescent="0.25" r="199" customHeight="1" ht="15.75">
      <c r="A199" s="8">
        <f>IFERROR(__xludf.DUMMYFUNCTION("""COMPUTED_VALUE"""),26060.0)</f>
      </c>
      <c r="B199" s="9">
        <f>IFERROR(__xludf.DUMMYFUNCTION("""COMPUTED_VALUE"""),"METROPOLITANA I")</f>
      </c>
      <c r="C199" s="9">
        <f>IFERROR(__xludf.DUMMYFUNCTION("""COMPUTED_VALUE"""),"CIEP 200 PROFESSOR TERLI FIORAVANTE DA ROCHA")</f>
      </c>
      <c r="D199" s="10">
        <f>IFERROR(__xludf.DUMMYFUNCTION("""COMPUTED_VALUE"""),0.8452)</f>
      </c>
      <c r="E199" s="10">
        <f>IFERROR(__xludf.DUMMYFUNCTION("""COMPUTED_VALUE"""),0.2468)</f>
      </c>
      <c r="F199" s="10">
        <f>IFERROR(__xludf.DUMMYFUNCTION("""COMPUTED_VALUE"""),0.5675)</f>
      </c>
      <c r="G199" s="10">
        <f>IFERROR(__xludf.DUMMYFUNCTION("""COMPUTED_VALUE"""),0.2056)</f>
      </c>
    </row>
    <row x14ac:dyDescent="0.25" r="200" customHeight="1" ht="15.75">
      <c r="A200" s="8">
        <f>IFERROR(__xludf.DUMMYFUNCTION("""COMPUTED_VALUE"""),26002.0)</f>
      </c>
      <c r="B200" s="9">
        <f>IFERROR(__xludf.DUMMYFUNCTION("""COMPUTED_VALUE"""),"METROPOLITANA I")</f>
      </c>
      <c r="C200" s="9">
        <f>IFERROR(__xludf.DUMMYFUNCTION("""COMPUTED_VALUE"""),"CIEP 206 PROFESSORA CYRENE MORAES COSTA")</f>
      </c>
      <c r="D200" s="10">
        <f>IFERROR(__xludf.DUMMYFUNCTION("""COMPUTED_VALUE"""),0.617)</f>
      </c>
      <c r="E200" s="10">
        <f>IFERROR(__xludf.DUMMYFUNCTION("""COMPUTED_VALUE"""),0.2077)</f>
      </c>
      <c r="F200" s="10">
        <f>IFERROR(__xludf.DUMMYFUNCTION("""COMPUTED_VALUE"""),0.65)</f>
      </c>
      <c r="G200" s="10">
        <f>IFERROR(__xludf.DUMMYFUNCTION("""COMPUTED_VALUE"""),0.1897)</f>
      </c>
    </row>
    <row x14ac:dyDescent="0.25" r="201" customHeight="1" ht="15.75">
      <c r="A201" s="8">
        <f>IFERROR(__xludf.DUMMYFUNCTION("""COMPUTED_VALUE"""),26003.0)</f>
      </c>
      <c r="B201" s="9">
        <f>IFERROR(__xludf.DUMMYFUNCTION("""COMPUTED_VALUE"""),"METROPOLITANA I")</f>
      </c>
      <c r="C201" s="9">
        <f>IFERROR(__xludf.DUMMYFUNCTION("""COMPUTED_VALUE"""),"CIEP 207 GILSON AMADO")</f>
      </c>
      <c r="D201" s="10">
        <f>IFERROR(__xludf.DUMMYFUNCTION("""COMPUTED_VALUE"""),0.7854)</f>
      </c>
      <c r="E201" s="10">
        <f>IFERROR(__xludf.DUMMYFUNCTION("""COMPUTED_VALUE"""),0.1116)</f>
      </c>
      <c r="F201" s="10">
        <f>IFERROR(__xludf.DUMMYFUNCTION("""COMPUTED_VALUE"""),0.8704)</f>
      </c>
      <c r="G201" s="10">
        <f>IFERROR(__xludf.DUMMYFUNCTION("""COMPUTED_VALUE"""),0.101)</f>
      </c>
    </row>
    <row x14ac:dyDescent="0.25" r="202" customHeight="1" ht="15.75">
      <c r="A202" s="8">
        <f>IFERROR(__xludf.DUMMYFUNCTION("""COMPUTED_VALUE"""),26061.0)</f>
      </c>
      <c r="B202" s="9">
        <f>IFERROR(__xludf.DUMMYFUNCTION("""COMPUTED_VALUE"""),"METROPOLITANA I")</f>
      </c>
      <c r="C202" s="9">
        <f>IFERROR(__xludf.DUMMYFUNCTION("""COMPUTED_VALUE"""),"CIEP 216 PREFEITO JUAREZ ANTUNES")</f>
      </c>
      <c r="D202" s="10">
        <f>IFERROR(__xludf.DUMMYFUNCTION("""COMPUTED_VALUE"""),0.7607)</f>
      </c>
      <c r="E202" s="10">
        <f>IFERROR(__xludf.DUMMYFUNCTION("""COMPUTED_VALUE"""),0.2024)</f>
      </c>
      <c r="F202" s="10">
        <f>IFERROR(__xludf.DUMMYFUNCTION("""COMPUTED_VALUE"""),0.3704)</f>
      </c>
      <c r="G202" s="10">
        <f>IFERROR(__xludf.DUMMYFUNCTION("""COMPUTED_VALUE"""),0.1944)</f>
      </c>
    </row>
    <row x14ac:dyDescent="0.25" r="203" customHeight="1" ht="15.75">
      <c r="A203" s="8">
        <f>IFERROR(__xludf.DUMMYFUNCTION("""COMPUTED_VALUE"""),26062.0)</f>
      </c>
      <c r="B203" s="9">
        <f>IFERROR(__xludf.DUMMYFUNCTION("""COMPUTED_VALUE"""),"METROPOLITANA I")</f>
      </c>
      <c r="C203" s="9">
        <f>IFERROR(__xludf.DUMMYFUNCTION("""COMPUTED_VALUE"""),"CIEP 317 AURELIO BUARQUE DE HOLANDA")</f>
      </c>
      <c r="D203" s="10">
        <f>IFERROR(__xludf.DUMMYFUNCTION("""COMPUTED_VALUE"""),0.8232)</f>
      </c>
      <c r="E203" s="10">
        <f>IFERROR(__xludf.DUMMYFUNCTION("""COMPUTED_VALUE"""),0.2279)</f>
      </c>
      <c r="F203" s="10">
        <f>IFERROR(__xludf.DUMMYFUNCTION("""COMPUTED_VALUE"""),0.7364)</f>
      </c>
      <c r="G203" s="10">
        <f>IFERROR(__xludf.DUMMYFUNCTION("""COMPUTED_VALUE"""),0.2042)</f>
      </c>
    </row>
    <row x14ac:dyDescent="0.25" r="204" customHeight="1" ht="15.75">
      <c r="A204" s="8">
        <f>IFERROR(__xludf.DUMMYFUNCTION("""COMPUTED_VALUE"""),26063.0)</f>
      </c>
      <c r="B204" s="9">
        <f>IFERROR(__xludf.DUMMYFUNCTION("""COMPUTED_VALUE"""),"METROPOLITANA I")</f>
      </c>
      <c r="C204" s="9">
        <f>IFERROR(__xludf.DUMMYFUNCTION("""COMPUTED_VALUE"""),"CIEP 324 MAHATMA GANDHI")</f>
      </c>
      <c r="D204" s="10">
        <f>IFERROR(__xludf.DUMMYFUNCTION("""COMPUTED_VALUE"""),0.8507)</f>
      </c>
      <c r="E204" s="10">
        <f>IFERROR(__xludf.DUMMYFUNCTION("""COMPUTED_VALUE"""),0.1595)</f>
      </c>
      <c r="F204" s="10">
        <f>IFERROR(__xludf.DUMMYFUNCTION("""COMPUTED_VALUE"""),1.0)</f>
      </c>
      <c r="G204" s="10">
        <f>IFERROR(__xludf.DUMMYFUNCTION("""COMPUTED_VALUE"""),0.1336)</f>
      </c>
    </row>
    <row x14ac:dyDescent="0.25" r="205" customHeight="1" ht="15.75">
      <c r="A205" s="8">
        <f>IFERROR(__xludf.DUMMYFUNCTION("""COMPUTED_VALUE"""),26064.0)</f>
      </c>
      <c r="B205" s="9">
        <f>IFERROR(__xludf.DUMMYFUNCTION("""COMPUTED_VALUE"""),"METROPOLITANA I")</f>
      </c>
      <c r="C205" s="9">
        <f>IFERROR(__xludf.DUMMYFUNCTION("""COMPUTED_VALUE"""),"CIEP 333 CACILDA BECKER")</f>
      </c>
      <c r="D205" s="10">
        <f>IFERROR(__xludf.DUMMYFUNCTION("""COMPUTED_VALUE"""),0.5437)</f>
      </c>
      <c r="E205" s="10">
        <f>IFERROR(__xludf.DUMMYFUNCTION("""COMPUTED_VALUE"""),0.1924)</f>
      </c>
      <c r="F205" s="10">
        <f>IFERROR(__xludf.DUMMYFUNCTION("""COMPUTED_VALUE"""),0.5286)</f>
      </c>
      <c r="G205" s="10">
        <f>IFERROR(__xludf.DUMMYFUNCTION("""COMPUTED_VALUE"""),0.2)</f>
      </c>
    </row>
    <row x14ac:dyDescent="0.25" r="206" customHeight="1" ht="15.75">
      <c r="A206" s="8">
        <f>IFERROR(__xludf.DUMMYFUNCTION("""COMPUTED_VALUE"""),26065.0)</f>
      </c>
      <c r="B206" s="9">
        <f>IFERROR(__xludf.DUMMYFUNCTION("""COMPUTED_VALUE"""),"METROPOLITANA I")</f>
      </c>
      <c r="C206" s="9">
        <f>IFERROR(__xludf.DUMMYFUNCTION("""COMPUTED_VALUE"""),"CIEP 334 MOACYR JOSE PEREIRA GERK")</f>
      </c>
      <c r="D206" s="10">
        <f>IFERROR(__xludf.DUMMYFUNCTION("""COMPUTED_VALUE"""),0.7778)</f>
      </c>
      <c r="E206" s="10">
        <f>IFERROR(__xludf.DUMMYFUNCTION("""COMPUTED_VALUE"""),0.235)</f>
      </c>
      <c r="F206" s="10">
        <f>IFERROR(__xludf.DUMMYFUNCTION("""COMPUTED_VALUE"""),0.6667)</f>
      </c>
      <c r="G206" s="10">
        <f>IFERROR(__xludf.DUMMYFUNCTION("""COMPUTED_VALUE"""),0.2062)</f>
      </c>
    </row>
    <row x14ac:dyDescent="0.25" r="207" customHeight="1" ht="15.75">
      <c r="A207" s="8">
        <f>IFERROR(__xludf.DUMMYFUNCTION("""COMPUTED_VALUE"""),26092.0)</f>
      </c>
      <c r="B207" s="9">
        <f>IFERROR(__xludf.DUMMYFUNCTION("""COMPUTED_VALUE"""),"METROPOLITANA I")</f>
      </c>
      <c r="C207" s="9">
        <f>IFERROR(__xludf.DUMMYFUNCTION("""COMPUTED_VALUE"""),"CIEP 335 PROFESSOR JOAQUIM DE FREITAS")</f>
      </c>
      <c r="D207" s="10">
        <f>IFERROR(__xludf.DUMMYFUNCTION("""COMPUTED_VALUE"""),1.0)</f>
      </c>
      <c r="E207" s="10">
        <f>IFERROR(__xludf.DUMMYFUNCTION("""COMPUTED_VALUE"""),0.2097)</f>
      </c>
      <c r="F207" s="10">
        <f>IFERROR(__xludf.DUMMYFUNCTION("""COMPUTED_VALUE"""),0.8101)</f>
      </c>
      <c r="G207" s="10">
        <f>IFERROR(__xludf.DUMMYFUNCTION("""COMPUTED_VALUE"""),0.2028)</f>
      </c>
    </row>
    <row x14ac:dyDescent="0.25" r="208" customHeight="1" ht="15.75">
      <c r="A208" s="8">
        <f>IFERROR(__xludf.DUMMYFUNCTION("""COMPUTED_VALUE"""),26093.0)</f>
      </c>
      <c r="B208" s="9">
        <f>IFERROR(__xludf.DUMMYFUNCTION("""COMPUTED_VALUE"""),"METROPOLITANA I")</f>
      </c>
      <c r="C208" s="9">
        <f>IFERROR(__xludf.DUMMYFUNCTION("""COMPUTED_VALUE"""),"CIEP 341 SEBASTIÃO PEREIRA PORTES")</f>
      </c>
      <c r="D208" s="10">
        <f>IFERROR(__xludf.DUMMYFUNCTION("""COMPUTED_VALUE"""),0.9202)</f>
      </c>
      <c r="E208" s="10">
        <f>IFERROR(__xludf.DUMMYFUNCTION("""COMPUTED_VALUE"""),0.23)</f>
      </c>
      <c r="F208" s="10">
        <f>IFERROR(__xludf.DUMMYFUNCTION("""COMPUTED_VALUE"""),0.9018)</f>
      </c>
      <c r="G208" s="10">
        <f>IFERROR(__xludf.DUMMYFUNCTION("""COMPUTED_VALUE"""),0.2154)</f>
      </c>
    </row>
    <row x14ac:dyDescent="0.25" r="209" customHeight="1" ht="15.75">
      <c r="A209" s="8">
        <f>IFERROR(__xludf.DUMMYFUNCTION("""COMPUTED_VALUE"""),26094.0)</f>
      </c>
      <c r="B209" s="9">
        <f>IFERROR(__xludf.DUMMYFUNCTION("""COMPUTED_VALUE"""),"METROPOLITANA I")</f>
      </c>
      <c r="C209" s="9">
        <f>IFERROR(__xludf.DUMMYFUNCTION("""COMPUTED_VALUE"""),"CIEP 344 ADONIRAN BARBOSA")</f>
      </c>
      <c r="D209" s="10">
        <f>IFERROR(__xludf.DUMMYFUNCTION("""COMPUTED_VALUE"""),0.6829)</f>
      </c>
      <c r="E209" s="10">
        <f>IFERROR(__xludf.DUMMYFUNCTION("""COMPUTED_VALUE"""),0.2069)</f>
      </c>
      <c r="F209" s="10">
        <f>IFERROR(__xludf.DUMMYFUNCTION("""COMPUTED_VALUE"""),0.6951)</f>
      </c>
      <c r="G209" s="10">
        <f>IFERROR(__xludf.DUMMYFUNCTION("""COMPUTED_VALUE"""),0.192)</f>
      </c>
    </row>
    <row x14ac:dyDescent="0.25" r="210" customHeight="1" ht="15.75">
      <c r="A210" s="8">
        <f>IFERROR(__xludf.DUMMYFUNCTION("""COMPUTED_VALUE"""),26066.0)</f>
      </c>
      <c r="B210" s="9">
        <f>IFERROR(__xludf.DUMMYFUNCTION("""COMPUTED_VALUE"""),"METROPOLITANA I")</f>
      </c>
      <c r="C210" s="9">
        <f>IFERROR(__xludf.DUMMYFUNCTION("""COMPUTED_VALUE"""),"CIEP 345 Y-JUCA PIRAMA - BRASIL-SUECIA")</f>
      </c>
      <c r="D210" s="10">
        <f>IFERROR(__xludf.DUMMYFUNCTION("""COMPUTED_VALUE"""),1.0)</f>
      </c>
      <c r="E210" s="10">
        <f>IFERROR(__xludf.DUMMYFUNCTION("""COMPUTED_VALUE"""),0.2704)</f>
      </c>
      <c r="F210" s="10">
        <f>IFERROR(__xludf.DUMMYFUNCTION("""COMPUTED_VALUE"""),1.0)</f>
      </c>
      <c r="G210" s="10">
        <f>IFERROR(__xludf.DUMMYFUNCTION("""COMPUTED_VALUE"""),0.2261)</f>
      </c>
    </row>
    <row x14ac:dyDescent="0.25" r="211" customHeight="1" ht="15.75">
      <c r="A211" s="8">
        <f>IFERROR(__xludf.DUMMYFUNCTION("""COMPUTED_VALUE"""),26095.0)</f>
      </c>
      <c r="B211" s="9">
        <f>IFERROR(__xludf.DUMMYFUNCTION("""COMPUTED_VALUE"""),"METROPOLITANA I")</f>
      </c>
      <c r="C211" s="9">
        <f>IFERROR(__xludf.DUMMYFUNCTION("""COMPUTED_VALUE"""),"CIEP 346 BELARMINO ALFREDO DOS SANTOS")</f>
      </c>
      <c r="D211" s="10">
        <f>IFERROR(__xludf.DUMMYFUNCTION("""COMPUTED_VALUE"""),0.6933)</f>
      </c>
      <c r="E211" s="10">
        <f>IFERROR(__xludf.DUMMYFUNCTION("""COMPUTED_VALUE"""),0.2104)</f>
      </c>
      <c r="F211" s="10">
        <f>IFERROR(__xludf.DUMMYFUNCTION("""COMPUTED_VALUE"""),0.3693)</f>
      </c>
      <c r="G211" s="10">
        <f>IFERROR(__xludf.DUMMYFUNCTION("""COMPUTED_VALUE"""),0.2434)</f>
      </c>
    </row>
    <row x14ac:dyDescent="0.25" r="212" customHeight="1" ht="15.75">
      <c r="A212" s="8">
        <f>IFERROR(__xludf.DUMMYFUNCTION("""COMPUTED_VALUE"""),26067.0)</f>
      </c>
      <c r="B212" s="9">
        <f>IFERROR(__xludf.DUMMYFUNCTION("""COMPUTED_VALUE"""),"METROPOLITANA I")</f>
      </c>
      <c r="C212" s="9">
        <f>IFERROR(__xludf.DUMMYFUNCTION("""COMPUTED_VALUE"""),"CIEP 351 MINISTRO SALGADO FILHO")</f>
      </c>
      <c r="D212" s="10">
        <f>IFERROR(__xludf.DUMMYFUNCTION("""COMPUTED_VALUE"""),0.5)</f>
      </c>
      <c r="E212" s="10">
        <f>IFERROR(__xludf.DUMMYFUNCTION("""COMPUTED_VALUE"""),0.1285)</f>
      </c>
      <c r="F212" s="10">
        <f>IFERROR(__xludf.DUMMYFUNCTION("""COMPUTED_VALUE"""),0.8099)</f>
      </c>
      <c r="G212" s="10">
        <f>IFERROR(__xludf.DUMMYFUNCTION("""COMPUTED_VALUE"""),0.2019)</f>
      </c>
    </row>
    <row x14ac:dyDescent="0.25" r="213" customHeight="1" ht="15.75">
      <c r="A213" s="8">
        <f>IFERROR(__xludf.DUMMYFUNCTION("""COMPUTED_VALUE"""),26068.0)</f>
      </c>
      <c r="B213" s="9">
        <f>IFERROR(__xludf.DUMMYFUNCTION("""COMPUTED_VALUE"""),"METROPOLITANA I")</f>
      </c>
      <c r="C213" s="9">
        <f>IFERROR(__xludf.DUMMYFUNCTION("""COMPUTED_VALUE"""),"CIEP 352 SENADOR SEVERO GOMES")</f>
      </c>
      <c r="D213" s="10">
        <f>IFERROR(__xludf.DUMMYFUNCTION("""COMPUTED_VALUE"""),0.8761)</f>
      </c>
      <c r="E213" s="10">
        <f>IFERROR(__xludf.DUMMYFUNCTION("""COMPUTED_VALUE"""),0.1407)</f>
      </c>
      <c r="F213" s="10">
        <f>IFERROR(__xludf.DUMMYFUNCTION("""COMPUTED_VALUE"""),0.4956)</f>
      </c>
      <c r="G213" s="10">
        <f>IFERROR(__xludf.DUMMYFUNCTION("""COMPUTED_VALUE"""),0.2003)</f>
      </c>
    </row>
    <row x14ac:dyDescent="0.25" r="214" customHeight="1" ht="15.75">
      <c r="A214" s="8">
        <f>IFERROR(__xludf.DUMMYFUNCTION("""COMPUTED_VALUE"""),26069.0)</f>
      </c>
      <c r="B214" s="9">
        <f>IFERROR(__xludf.DUMMYFUNCTION("""COMPUTED_VALUE"""),"METROPOLITANA I")</f>
      </c>
      <c r="C214" s="9">
        <f>IFERROR(__xludf.DUMMYFUNCTION("""COMPUTED_VALUE"""),"CIEP 354 MARTINS PENA")</f>
      </c>
      <c r="D214" s="10">
        <f>IFERROR(__xludf.DUMMYFUNCTION("""COMPUTED_VALUE"""),0.6856)</f>
      </c>
      <c r="E214" s="10">
        <f>IFERROR(__xludf.DUMMYFUNCTION("""COMPUTED_VALUE"""),0.2227)</f>
      </c>
      <c r="F214" s="10">
        <f>IFERROR(__xludf.DUMMYFUNCTION("""COMPUTED_VALUE"""),0.5719)</f>
      </c>
      <c r="G214" s="10">
        <f>IFERROR(__xludf.DUMMYFUNCTION("""COMPUTED_VALUE"""),0.214)</f>
      </c>
    </row>
    <row x14ac:dyDescent="0.25" r="215" customHeight="1" ht="15.75">
      <c r="A215" s="8">
        <f>IFERROR(__xludf.DUMMYFUNCTION("""COMPUTED_VALUE"""),26096.0)</f>
      </c>
      <c r="B215" s="9">
        <f>IFERROR(__xludf.DUMMYFUNCTION("""COMPUTED_VALUE"""),"METROPOLITANA I")</f>
      </c>
      <c r="C215" s="9">
        <f>IFERROR(__xludf.DUMMYFUNCTION("""COMPUTED_VALUE"""),"CIEP 355 ROQUETE PINTO")</f>
      </c>
      <c r="D215" s="10">
        <f>IFERROR(__xludf.DUMMYFUNCTION("""COMPUTED_VALUE"""),0.971)</f>
      </c>
      <c r="E215" s="10">
        <f>IFERROR(__xludf.DUMMYFUNCTION("""COMPUTED_VALUE"""),0.1803)</f>
      </c>
      <c r="F215" s="10">
        <f>IFERROR(__xludf.DUMMYFUNCTION("""COMPUTED_VALUE"""),0.8557)</f>
      </c>
      <c r="G215" s="10">
        <f>IFERROR(__xludf.DUMMYFUNCTION("""COMPUTED_VALUE"""),0.2048)</f>
      </c>
    </row>
    <row x14ac:dyDescent="0.25" r="216" customHeight="1" ht="15.75">
      <c r="A216" s="8">
        <f>IFERROR(__xludf.DUMMYFUNCTION("""COMPUTED_VALUE"""),26070.0)</f>
      </c>
      <c r="B216" s="9">
        <f>IFERROR(__xludf.DUMMYFUNCTION("""COMPUTED_VALUE"""),"METROPOLITANA I")</f>
      </c>
      <c r="C216" s="9">
        <f>IFERROR(__xludf.DUMMYFUNCTION("""COMPUTED_VALUE"""),"CIEP 356 AUGUSTO RUSCHI")</f>
      </c>
      <c r="D216" s="10">
        <f>IFERROR(__xludf.DUMMYFUNCTION("""COMPUTED_VALUE"""),0.6853)</f>
      </c>
      <c r="E216" s="10">
        <f>IFERROR(__xludf.DUMMYFUNCTION("""COMPUTED_VALUE"""),0.228)</f>
      </c>
      <c r="F216" s="10">
        <f>IFERROR(__xludf.DUMMYFUNCTION("""COMPUTED_VALUE"""),0.6244)</f>
      </c>
      <c r="G216" s="10">
        <f>IFERROR(__xludf.DUMMYFUNCTION("""COMPUTED_VALUE"""),0.1966)</f>
      </c>
    </row>
    <row x14ac:dyDescent="0.25" r="217" customHeight="1" ht="15.75">
      <c r="A217" s="8">
        <f>IFERROR(__xludf.DUMMYFUNCTION("""COMPUTED_VALUE"""),26071.0)</f>
      </c>
      <c r="B217" s="9">
        <f>IFERROR(__xludf.DUMMYFUNCTION("""COMPUTED_VALUE"""),"METROPOLITANA I")</f>
      </c>
      <c r="C217" s="9">
        <f>IFERROR(__xludf.DUMMYFUNCTION("""COMPUTED_VALUE"""),"CIEP 358 ALBERTO PASQUALINI")</f>
      </c>
      <c r="D217" s="10">
        <f>IFERROR(__xludf.DUMMYFUNCTION("""COMPUTED_VALUE"""),0.8565)</f>
      </c>
      <c r="E217" s="10">
        <f>IFERROR(__xludf.DUMMYFUNCTION("""COMPUTED_VALUE"""),0.2483)</f>
      </c>
      <c r="F217" s="10">
        <f>IFERROR(__xludf.DUMMYFUNCTION("""COMPUTED_VALUE"""),0.6938)</f>
      </c>
      <c r="G217" s="10">
        <f>IFERROR(__xludf.DUMMYFUNCTION("""COMPUTED_VALUE"""),0.2097)</f>
      </c>
    </row>
    <row x14ac:dyDescent="0.25" r="218" customHeight="1" ht="15.75">
      <c r="A218" s="8">
        <f>IFERROR(__xludf.DUMMYFUNCTION("""COMPUTED_VALUE"""),26072.0)</f>
      </c>
      <c r="B218" s="9">
        <f>IFERROR(__xludf.DUMMYFUNCTION("""COMPUTED_VALUE"""),"METROPOLITANA I")</f>
      </c>
      <c r="C218" s="9">
        <f>IFERROR(__xludf.DUMMYFUNCTION("""COMPUTED_VALUE"""),"CIEP 359 CHARLES PERRAULT")</f>
      </c>
      <c r="D218" s="10">
        <f>IFERROR(__xludf.DUMMYFUNCTION("""COMPUTED_VALUE"""),0.4581)</f>
      </c>
      <c r="E218" s="10">
        <f>IFERROR(__xludf.DUMMYFUNCTION("""COMPUTED_VALUE"""),0.2225)</f>
      </c>
      <c r="F218" s="10">
        <f>IFERROR(__xludf.DUMMYFUNCTION("""COMPUTED_VALUE"""),0.7318)</f>
      </c>
      <c r="G218" s="10">
        <f>IFERROR(__xludf.DUMMYFUNCTION("""COMPUTED_VALUE"""),0.2032)</f>
      </c>
    </row>
    <row x14ac:dyDescent="0.25" r="219" customHeight="1" ht="15.75">
      <c r="A219" s="8">
        <f>IFERROR(__xludf.DUMMYFUNCTION("""COMPUTED_VALUE"""),26073.0)</f>
      </c>
      <c r="B219" s="9">
        <f>IFERROR(__xludf.DUMMYFUNCTION("""COMPUTED_VALUE"""),"METROPOLITANA I")</f>
      </c>
      <c r="C219" s="9">
        <f>IFERROR(__xludf.DUMMYFUNCTION("""COMPUTED_VALUE"""),"CIEP 365 ASA BRANCA")</f>
      </c>
      <c r="D219" s="10">
        <f>IFERROR(__xludf.DUMMYFUNCTION("""COMPUTED_VALUE"""),0.6538)</f>
      </c>
      <c r="E219" s="10">
        <f>IFERROR(__xludf.DUMMYFUNCTION("""COMPUTED_VALUE"""),0.2354)</f>
      </c>
      <c r="F219" s="10">
        <f>IFERROR(__xludf.DUMMYFUNCTION("""COMPUTED_VALUE"""),0.6538)</f>
      </c>
      <c r="G219" s="10">
        <f>IFERROR(__xludf.DUMMYFUNCTION("""COMPUTED_VALUE"""),0.1892)</f>
      </c>
    </row>
    <row x14ac:dyDescent="0.25" r="220" customHeight="1" ht="15.75">
      <c r="A220" s="8">
        <f>IFERROR(__xludf.DUMMYFUNCTION("""COMPUTED_VALUE"""),26074.0)</f>
      </c>
      <c r="B220" s="9">
        <f>IFERROR(__xludf.DUMMYFUNCTION("""COMPUTED_VALUE"""),"METROPOLITANA I")</f>
      </c>
      <c r="C220" s="9">
        <f>IFERROR(__xludf.DUMMYFUNCTION("""COMPUTED_VALUE"""),"CIEP 383 MAXIMO GORKI")</f>
      </c>
      <c r="D220" s="10">
        <f>IFERROR(__xludf.DUMMYFUNCTION("""COMPUTED_VALUE"""),0.6857)</f>
      </c>
      <c r="E220" s="10">
        <f>IFERROR(__xludf.DUMMYFUNCTION("""COMPUTED_VALUE"""),0.202)</f>
      </c>
      <c r="F220" s="10">
        <f>IFERROR(__xludf.DUMMYFUNCTION("""COMPUTED_VALUE"""),0.1324)</f>
      </c>
      <c r="G220" s="10">
        <f>IFERROR(__xludf.DUMMYFUNCTION("""COMPUTED_VALUE"""),0.1981)</f>
      </c>
    </row>
    <row x14ac:dyDescent="0.25" r="221" customHeight="1" ht="15.75">
      <c r="A221" s="8">
        <f>IFERROR(__xludf.DUMMYFUNCTION("""COMPUTED_VALUE"""),26075.0)</f>
      </c>
      <c r="B221" s="9">
        <f>IFERROR(__xludf.DUMMYFUNCTION("""COMPUTED_VALUE"""),"METROPOLITANA I")</f>
      </c>
      <c r="C221" s="9">
        <f>IFERROR(__xludf.DUMMYFUNCTION("""COMPUTED_VALUE"""),"CIEP 387 HANS CRISTIAN ANDERSEN")</f>
      </c>
      <c r="D221" s="10">
        <f>IFERROR(__xludf.DUMMYFUNCTION("""COMPUTED_VALUE"""),0.6545)</f>
      </c>
      <c r="E221" s="10">
        <f>IFERROR(__xludf.DUMMYFUNCTION("""COMPUTED_VALUE"""),0.2148)</f>
      </c>
      <c r="F221" s="10">
        <f>IFERROR(__xludf.DUMMYFUNCTION("""COMPUTED_VALUE"""),0.7442)</f>
      </c>
      <c r="G221" s="10">
        <f>IFERROR(__xludf.DUMMYFUNCTION("""COMPUTED_VALUE"""),0.2065)</f>
      </c>
    </row>
    <row x14ac:dyDescent="0.25" r="222" customHeight="1" ht="15.75">
      <c r="A222" s="8">
        <f>IFERROR(__xludf.DUMMYFUNCTION("""COMPUTED_VALUE"""),26076.0)</f>
      </c>
      <c r="B222" s="9">
        <f>IFERROR(__xludf.DUMMYFUNCTION("""COMPUTED_VALUE"""),"METROPOLITANA I")</f>
      </c>
      <c r="C222" s="9">
        <f>IFERROR(__xludf.DUMMYFUNCTION("""COMPUTED_VALUE"""),"CIEP 390 CHAO DE ESTRELAS")</f>
      </c>
      <c r="D222" s="10">
        <f>IFERROR(__xludf.DUMMYFUNCTION("""COMPUTED_VALUE"""),0.9318)</f>
      </c>
      <c r="E222" s="10">
        <f>IFERROR(__xludf.DUMMYFUNCTION("""COMPUTED_VALUE"""),0.1829)</f>
      </c>
      <c r="F222" s="10">
        <f>IFERROR(__xludf.DUMMYFUNCTION("""COMPUTED_VALUE"""),0.9903)</f>
      </c>
      <c r="G222" s="10">
        <f>IFERROR(__xludf.DUMMYFUNCTION("""COMPUTED_VALUE"""),0.1174)</f>
      </c>
    </row>
    <row x14ac:dyDescent="0.25" r="223" customHeight="1" ht="15.75">
      <c r="A223" s="8">
        <f>IFERROR(__xludf.DUMMYFUNCTION("""COMPUTED_VALUE"""),26077.0)</f>
      </c>
      <c r="B223" s="9">
        <f>IFERROR(__xludf.DUMMYFUNCTION("""COMPUTED_VALUE"""),"METROPOLITANA I")</f>
      </c>
      <c r="C223" s="9">
        <f>IFERROR(__xludf.DUMMYFUNCTION("""COMPUTED_VALUE"""),"CIEP 394 VEREADOR CÂNDIDO AUGUSTO RIBEIRO NETO")</f>
      </c>
      <c r="D223" s="10">
        <f>IFERROR(__xludf.DUMMYFUNCTION("""COMPUTED_VALUE"""),0.7651)</f>
      </c>
      <c r="E223" s="10">
        <f>IFERROR(__xludf.DUMMYFUNCTION("""COMPUTED_VALUE"""),0.199)</f>
      </c>
      <c r="F223" s="10">
        <f>IFERROR(__xludf.DUMMYFUNCTION("""COMPUTED_VALUE"""),0.6261)</f>
      </c>
      <c r="G223" s="10">
        <f>IFERROR(__xludf.DUMMYFUNCTION("""COMPUTED_VALUE"""),0.1874)</f>
      </c>
    </row>
    <row x14ac:dyDescent="0.25" r="224" customHeight="1" ht="15.75">
      <c r="A224" s="8">
        <f>IFERROR(__xludf.DUMMYFUNCTION("""COMPUTED_VALUE"""),26078.0)</f>
      </c>
      <c r="B224" s="9">
        <f>IFERROR(__xludf.DUMMYFUNCTION("""COMPUTED_VALUE"""),"METROPOLITANA I")</f>
      </c>
      <c r="C224" s="9">
        <f>IFERROR(__xludf.DUMMYFUNCTION("""COMPUTED_VALUE"""),"CIEP 395 LUIZ HENRIQUE REZENDE NOVAES")</f>
      </c>
      <c r="D224" s="10">
        <f>IFERROR(__xludf.DUMMYFUNCTION("""COMPUTED_VALUE"""),1.0)</f>
      </c>
      <c r="E224" s="10">
        <f>IFERROR(__xludf.DUMMYFUNCTION("""COMPUTED_VALUE"""),0.1519)</f>
      </c>
      <c r="F224" s="10">
        <f>IFERROR(__xludf.DUMMYFUNCTION("""COMPUTED_VALUE"""),0.878)</f>
      </c>
      <c r="G224" s="10">
        <f>IFERROR(__xludf.DUMMYFUNCTION("""COMPUTED_VALUE"""),0.1882)</f>
      </c>
    </row>
    <row x14ac:dyDescent="0.25" r="225" customHeight="1" ht="15.75">
      <c r="A225" s="8">
        <f>IFERROR(__xludf.DUMMYFUNCTION("""COMPUTED_VALUE"""),26097.0)</f>
      </c>
      <c r="B225" s="9">
        <f>IFERROR(__xludf.DUMMYFUNCTION("""COMPUTED_VALUE"""),"METROPOLITANA I")</f>
      </c>
      <c r="C225" s="9">
        <f>IFERROR(__xludf.DUMMYFUNCTION("""COMPUTED_VALUE"""),"CIEP 396 LUIZ PEIXOTO")</f>
      </c>
      <c r="D225" s="10">
        <f>IFERROR(__xludf.DUMMYFUNCTION("""COMPUTED_VALUE"""),0.8547)</f>
      </c>
      <c r="E225" s="10">
        <f>IFERROR(__xludf.DUMMYFUNCTION("""COMPUTED_VALUE"""),0.1713)</f>
      </c>
      <c r="F225" s="10">
        <f>IFERROR(__xludf.DUMMYFUNCTION("""COMPUTED_VALUE"""),0.6927)</f>
      </c>
      <c r="G225" s="10">
        <f>IFERROR(__xludf.DUMMYFUNCTION("""COMPUTED_VALUE"""),0.1965)</f>
      </c>
    </row>
    <row x14ac:dyDescent="0.25" r="226" customHeight="1" ht="15.75">
      <c r="A226" s="8">
        <f>IFERROR(__xludf.DUMMYFUNCTION("""COMPUTED_VALUE"""),26004.0)</f>
      </c>
      <c r="B226" s="9">
        <f>IFERROR(__xludf.DUMMYFUNCTION("""COMPUTED_VALUE"""),"METROPOLITANA I")</f>
      </c>
      <c r="C226" s="9">
        <f>IFERROR(__xludf.DUMMYFUNCTION("""COMPUTED_VALUE"""),"CIEP 402 APARICIO TORELLI")</f>
      </c>
      <c r="D226" s="10">
        <f>IFERROR(__xludf.DUMMYFUNCTION("""COMPUTED_VALUE"""),0.9695)</f>
      </c>
      <c r="E226" s="10">
        <f>IFERROR(__xludf.DUMMYFUNCTION("""COMPUTED_VALUE"""),0.1343)</f>
      </c>
      <c r="F226" s="10">
        <f>IFERROR(__xludf.DUMMYFUNCTION("""COMPUTED_VALUE"""),0.8988)</f>
      </c>
      <c r="G226" s="10">
        <f>IFERROR(__xludf.DUMMYFUNCTION("""COMPUTED_VALUE"""),0.0635)</f>
      </c>
    </row>
    <row x14ac:dyDescent="0.25" r="227" customHeight="1" ht="15.75">
      <c r="A227" s="8">
        <f>IFERROR(__xludf.DUMMYFUNCTION("""COMPUTED_VALUE"""),26085.0)</f>
      </c>
      <c r="B227" s="9">
        <f>IFERROR(__xludf.DUMMYFUNCTION("""COMPUTED_VALUE"""),"METROPOLITANA I")</f>
      </c>
      <c r="C227" s="9">
        <f>IFERROR(__xludf.DUMMYFUNCTION("""COMPUTED_VALUE"""),"IE RANGEL PESTANA")</f>
      </c>
      <c r="D227" s="10">
        <f>IFERROR(__xludf.DUMMYFUNCTION("""COMPUTED_VALUE"""),0.7862)</f>
      </c>
      <c r="E227" s="10">
        <f>IFERROR(__xludf.DUMMYFUNCTION("""COMPUTED_VALUE"""),0.2628)</f>
      </c>
      <c r="F227" s="10">
        <f>IFERROR(__xludf.DUMMYFUNCTION("""COMPUTED_VALUE"""),0.6277)</f>
      </c>
      <c r="G227" s="10">
        <f>IFERROR(__xludf.DUMMYFUNCTION("""COMPUTED_VALUE"""),0.1945)</f>
      </c>
    </row>
    <row x14ac:dyDescent="0.25" r="228" customHeight="1" ht="15.75">
      <c r="A228" s="8">
        <f>IFERROR(__xludf.DUMMYFUNCTION("""COMPUTED_VALUE"""),25698.0)</f>
      </c>
      <c r="B228" s="9">
        <f>IFERROR(__xludf.DUMMYFUNCTION("""COMPUTED_VALUE"""),"METROPOLITANA II")</f>
      </c>
      <c r="C228" s="9">
        <f>IFERROR(__xludf.DUMMYFUNCTION("""COMPUTED_VALUE"""),"CE PROFESSORA ABIGAIL CARDOSO")</f>
      </c>
      <c r="D228" s="10">
        <f>IFERROR(__xludf.DUMMYFUNCTION("""COMPUTED_VALUE"""),0.6)</f>
      </c>
      <c r="E228" s="10">
        <f>IFERROR(__xludf.DUMMYFUNCTION("""COMPUTED_VALUE"""),0.2134)</f>
      </c>
      <c r="F228" s="10">
        <f>IFERROR(__xludf.DUMMYFUNCTION("""COMPUTED_VALUE"""),0.8)</f>
      </c>
      <c r="G228" s="10">
        <f>IFERROR(__xludf.DUMMYFUNCTION("""COMPUTED_VALUE"""),0.1833)</f>
      </c>
    </row>
    <row x14ac:dyDescent="0.25" r="229" customHeight="1" ht="15.75">
      <c r="A229" s="8">
        <f>IFERROR(__xludf.DUMMYFUNCTION("""COMPUTED_VALUE"""),25702.0)</f>
      </c>
      <c r="B229" s="9">
        <f>IFERROR(__xludf.DUMMYFUNCTION("""COMPUTED_VALUE"""),"METROPOLITANA II")</f>
      </c>
      <c r="C229" s="9">
        <f>IFERROR(__xludf.DUMMYFUNCTION("""COMPUTED_VALUE"""),"CE PROFESSORA LUIZA HONORIA DO PRADO")</f>
      </c>
      <c r="D229" s="10">
        <f>IFERROR(__xludf.DUMMYFUNCTION("""COMPUTED_VALUE"""),0.8182)</f>
      </c>
      <c r="E229" s="10">
        <f>IFERROR(__xludf.DUMMYFUNCTION("""COMPUTED_VALUE"""),0.2094)</f>
      </c>
      <c r="F229" s="10">
        <f>IFERROR(__xludf.DUMMYFUNCTION("""COMPUTED_VALUE"""),0.7407)</f>
      </c>
      <c r="G229" s="10">
        <f>IFERROR(__xludf.DUMMYFUNCTION("""COMPUTED_VALUE"""),0.1917)</f>
      </c>
    </row>
    <row x14ac:dyDescent="0.25" r="230" customHeight="1" ht="15.75">
      <c r="A230" s="8">
        <f>IFERROR(__xludf.DUMMYFUNCTION("""COMPUTED_VALUE"""),25437.0)</f>
      </c>
      <c r="B230" s="9">
        <f>IFERROR(__xludf.DUMMYFUNCTION("""COMPUTED_VALUE"""),"METROPOLITANA III")</f>
      </c>
      <c r="C230" s="9">
        <f>IFERROR(__xludf.DUMMYFUNCTION("""COMPUTED_VALUE"""),"CAIC THEOPHILO DE SOUZA PINTO")</f>
      </c>
      <c r="D230" s="10">
        <f>IFERROR(__xludf.DUMMYFUNCTION("""COMPUTED_VALUE"""),0.7114)</f>
      </c>
      <c r="E230" s="10">
        <f>IFERROR(__xludf.DUMMYFUNCTION("""COMPUTED_VALUE"""),0.2299)</f>
      </c>
      <c r="F230" s="10">
        <f>IFERROR(__xludf.DUMMYFUNCTION("""COMPUTED_VALUE"""),0.6355)</f>
      </c>
      <c r="G230" s="10">
        <f>IFERROR(__xludf.DUMMYFUNCTION("""COMPUTED_VALUE"""),0.1809)</f>
      </c>
    </row>
    <row x14ac:dyDescent="0.25" r="231" customHeight="1" ht="15.75">
      <c r="A231" s="8">
        <f>IFERROR(__xludf.DUMMYFUNCTION("""COMPUTED_VALUE"""),25438.0)</f>
      </c>
      <c r="B231" s="9">
        <f>IFERROR(__xludf.DUMMYFUNCTION("""COMPUTED_VALUE"""),"METROPOLITANA III")</f>
      </c>
      <c r="C231" s="9">
        <f>IFERROR(__xludf.DUMMYFUNCTION("""COMPUTED_VALUE"""),"CE ACARI")</f>
      </c>
      <c r="D231" s="10">
        <f>IFERROR(__xludf.DUMMYFUNCTION("""COMPUTED_VALUE"""),0.6538)</f>
      </c>
      <c r="E231" s="10">
        <f>IFERROR(__xludf.DUMMYFUNCTION("""COMPUTED_VALUE"""),0.2114)</f>
      </c>
      <c r="F231" s="10">
        <f>IFERROR(__xludf.DUMMYFUNCTION("""COMPUTED_VALUE"""),0.7308)</f>
      </c>
      <c r="G231" s="10">
        <f>IFERROR(__xludf.DUMMYFUNCTION("""COMPUTED_VALUE"""),0.1959)</f>
      </c>
    </row>
    <row x14ac:dyDescent="0.25" r="232" customHeight="1" ht="15.75">
      <c r="A232" s="8">
        <f>IFERROR(__xludf.DUMMYFUNCTION("""COMPUTED_VALUE"""),25439.0)</f>
      </c>
      <c r="B232" s="9">
        <f>IFERROR(__xludf.DUMMYFUNCTION("""COMPUTED_VALUE"""),"METROPOLITANA III")</f>
      </c>
      <c r="C232" s="9">
        <f>IFERROR(__xludf.DUMMYFUNCTION("""COMPUTED_VALUE"""),"CE ADLAI STEVENSON")</f>
      </c>
      <c r="D232" s="10">
        <f>IFERROR(__xludf.DUMMYFUNCTION("""COMPUTED_VALUE"""),0.5769)</f>
      </c>
      <c r="E232" s="10">
        <f>IFERROR(__xludf.DUMMYFUNCTION("""COMPUTED_VALUE"""),0.2459)</f>
      </c>
      <c r="F232" s="10">
        <f>IFERROR(__xludf.DUMMYFUNCTION("""COMPUTED_VALUE"""),0.6154)</f>
      </c>
      <c r="G232" s="10">
        <f>IFERROR(__xludf.DUMMYFUNCTION("""COMPUTED_VALUE"""),0.1982)</f>
      </c>
    </row>
    <row x14ac:dyDescent="0.25" r="233" customHeight="1" ht="15.75">
      <c r="A233" s="8">
        <f>IFERROR(__xludf.DUMMYFUNCTION("""COMPUTED_VALUE"""),25440.0)</f>
      </c>
      <c r="B233" s="9">
        <f>IFERROR(__xludf.DUMMYFUNCTION("""COMPUTED_VALUE"""),"METROPOLITANA III")</f>
      </c>
      <c r="C233" s="9">
        <f>IFERROR(__xludf.DUMMYFUNCTION("""COMPUTED_VALUE"""),"CE AGRIPINO GRIECO")</f>
      </c>
      <c r="D233" s="10">
        <f>IFERROR(__xludf.DUMMYFUNCTION("""COMPUTED_VALUE"""),0.8984)</f>
      </c>
      <c r="E233" s="10">
        <f>IFERROR(__xludf.DUMMYFUNCTION("""COMPUTED_VALUE"""),0.141)</f>
      </c>
      <c r="F233" s="10">
        <f>IFERROR(__xludf.DUMMYFUNCTION("""COMPUTED_VALUE"""),0.6096)</f>
      </c>
      <c r="G233" s="10">
        <f>IFERROR(__xludf.DUMMYFUNCTION("""COMPUTED_VALUE"""),0.168)</f>
      </c>
    </row>
    <row x14ac:dyDescent="0.25" r="234" customHeight="1" ht="15.75">
      <c r="A234" s="8">
        <f>IFERROR(__xludf.DUMMYFUNCTION("""COMPUTED_VALUE"""),25441.0)</f>
      </c>
      <c r="B234" s="9">
        <f>IFERROR(__xludf.DUMMYFUNCTION("""COMPUTED_VALUE"""),"METROPOLITANA III")</f>
      </c>
      <c r="C234" s="9">
        <f>IFERROR(__xludf.DUMMYFUNCTION("""COMPUTED_VALUE"""),"CE AMAPA")</f>
      </c>
      <c r="D234" s="10">
        <f>IFERROR(__xludf.DUMMYFUNCTION("""COMPUTED_VALUE"""),0.6351)</f>
      </c>
      <c r="E234" s="10">
        <f>IFERROR(__xludf.DUMMYFUNCTION("""COMPUTED_VALUE"""),0.2185)</f>
      </c>
      <c r="F234" s="10">
        <f>IFERROR(__xludf.DUMMYFUNCTION("""COMPUTED_VALUE"""),0.7895)</f>
      </c>
      <c r="G234" s="10">
        <f>IFERROR(__xludf.DUMMYFUNCTION("""COMPUTED_VALUE"""),0.2006)</f>
      </c>
    </row>
    <row x14ac:dyDescent="0.25" r="235" customHeight="1" ht="15.75">
      <c r="A235" s="8">
        <f>IFERROR(__xludf.DUMMYFUNCTION("""COMPUTED_VALUE"""),25442.0)</f>
      </c>
      <c r="B235" s="9">
        <f>IFERROR(__xludf.DUMMYFUNCTION("""COMPUTED_VALUE"""),"METROPOLITANA III")</f>
      </c>
      <c r="C235" s="9">
        <f>IFERROR(__xludf.DUMMYFUNCTION("""COMPUTED_VALUE"""),"CE ANITA GARIBALDI")</f>
      </c>
      <c r="D235" s="10">
        <f>IFERROR(__xludf.DUMMYFUNCTION("""COMPUTED_VALUE"""),0.7783)</f>
      </c>
      <c r="E235" s="10">
        <f>IFERROR(__xludf.DUMMYFUNCTION("""COMPUTED_VALUE"""),0.2217)</f>
      </c>
      <c r="F235" s="10">
        <f>IFERROR(__xludf.DUMMYFUNCTION("""COMPUTED_VALUE"""),0.6268)</f>
      </c>
      <c r="G235" s="10">
        <f>IFERROR(__xludf.DUMMYFUNCTION("""COMPUTED_VALUE"""),0.1958)</f>
      </c>
    </row>
    <row x14ac:dyDescent="0.25" r="236" customHeight="1" ht="15.75">
      <c r="A236" s="8">
        <f>IFERROR(__xludf.DUMMYFUNCTION("""COMPUTED_VALUE"""),25443.0)</f>
      </c>
      <c r="B236" s="9">
        <f>IFERROR(__xludf.DUMMYFUNCTION("""COMPUTED_VALUE"""),"METROPOLITANA III")</f>
      </c>
      <c r="C236" s="9">
        <f>IFERROR(__xludf.DUMMYFUNCTION("""COMPUTED_VALUE"""),"CE ANTÔNIO HOUAISS")</f>
      </c>
      <c r="D236" s="10">
        <f>IFERROR(__xludf.DUMMYFUNCTION("""COMPUTED_VALUE"""),0.6148)</f>
      </c>
      <c r="E236" s="10">
        <f>IFERROR(__xludf.DUMMYFUNCTION("""COMPUTED_VALUE"""),0.2089)</f>
      </c>
      <c r="F236" s="10">
        <f>IFERROR(__xludf.DUMMYFUNCTION("""COMPUTED_VALUE"""),0.5461)</f>
      </c>
      <c r="G236" s="10">
        <f>IFERROR(__xludf.DUMMYFUNCTION("""COMPUTED_VALUE"""),0.1966)</f>
      </c>
    </row>
    <row x14ac:dyDescent="0.25" r="237" customHeight="1" ht="15.75">
      <c r="A237" s="8">
        <f>IFERROR(__xludf.DUMMYFUNCTION("""COMPUTED_VALUE"""),25444.0)</f>
      </c>
      <c r="B237" s="9">
        <f>IFERROR(__xludf.DUMMYFUNCTION("""COMPUTED_VALUE"""),"METROPOLITANA III")</f>
      </c>
      <c r="C237" s="9">
        <f>IFERROR(__xludf.DUMMYFUNCTION("""COMPUTED_VALUE"""),"CE BAHIA")</f>
      </c>
      <c r="D237" s="10">
        <f>IFERROR(__xludf.DUMMYFUNCTION("""COMPUTED_VALUE"""),0.7039)</f>
      </c>
      <c r="E237" s="10">
        <f>IFERROR(__xludf.DUMMYFUNCTION("""COMPUTED_VALUE"""),0.157)</f>
      </c>
      <c r="F237" s="10">
        <f>IFERROR(__xludf.DUMMYFUNCTION("""COMPUTED_VALUE"""),0.5605)</f>
      </c>
      <c r="G237" s="10">
        <f>IFERROR(__xludf.DUMMYFUNCTION("""COMPUTED_VALUE"""),0.1949)</f>
      </c>
    </row>
    <row x14ac:dyDescent="0.25" r="238" customHeight="1" ht="15.75">
      <c r="A238" s="8">
        <f>IFERROR(__xludf.DUMMYFUNCTION("""COMPUTED_VALUE"""),25445.0)</f>
      </c>
      <c r="B238" s="9">
        <f>IFERROR(__xludf.DUMMYFUNCTION("""COMPUTED_VALUE"""),"METROPOLITANA III")</f>
      </c>
      <c r="C238" s="9">
        <f>IFERROR(__xludf.DUMMYFUNCTION("""COMPUTED_VALUE"""),"CE BARAO DE MACAUBAS")</f>
      </c>
      <c r="D238" s="10">
        <f>IFERROR(__xludf.DUMMYFUNCTION("""COMPUTED_VALUE"""),0.2514)</f>
      </c>
      <c r="E238" s="10">
        <f>IFERROR(__xludf.DUMMYFUNCTION("""COMPUTED_VALUE"""),0.1982)</f>
      </c>
      <c r="F238" s="10">
        <f>IFERROR(__xludf.DUMMYFUNCTION("""COMPUTED_VALUE"""),0.7059)</f>
      </c>
      <c r="G238" s="10">
        <f>IFERROR(__xludf.DUMMYFUNCTION("""COMPUTED_VALUE"""),0.1879)</f>
      </c>
    </row>
    <row x14ac:dyDescent="0.25" r="239" customHeight="1" ht="15.75">
      <c r="A239" s="8">
        <f>IFERROR(__xludf.DUMMYFUNCTION("""COMPUTED_VALUE"""),25446.0)</f>
      </c>
      <c r="B239" s="9">
        <f>IFERROR(__xludf.DUMMYFUNCTION("""COMPUTED_VALUE"""),"METROPOLITANA III")</f>
      </c>
      <c r="C239" s="9">
        <f>IFERROR(__xludf.DUMMYFUNCTION("""COMPUTED_VALUE"""),"CE BELGICA")</f>
      </c>
      <c r="D239" s="10">
        <f>IFERROR(__xludf.DUMMYFUNCTION("""COMPUTED_VALUE"""),0.6639)</f>
      </c>
      <c r="E239" s="10">
        <f>IFERROR(__xludf.DUMMYFUNCTION("""COMPUTED_VALUE"""),0.2138)</f>
      </c>
      <c r="F239" s="10">
        <f>IFERROR(__xludf.DUMMYFUNCTION("""COMPUTED_VALUE"""),0.5672)</f>
      </c>
      <c r="G239" s="10">
        <f>IFERROR(__xludf.DUMMYFUNCTION("""COMPUTED_VALUE"""),0.1988)</f>
      </c>
    </row>
    <row x14ac:dyDescent="0.25" r="240" customHeight="1" ht="15.75">
      <c r="A240" s="8">
        <f>IFERROR(__xludf.DUMMYFUNCTION("""COMPUTED_VALUE"""),25447.0)</f>
      </c>
      <c r="B240" s="9">
        <f>IFERROR(__xludf.DUMMYFUNCTION("""COMPUTED_VALUE"""),"METROPOLITANA III")</f>
      </c>
      <c r="C240" s="9">
        <f>IFERROR(__xludf.DUMMYFUNCTION("""COMPUTED_VALUE"""),"CE BERNARDO DE VASCONCELOS")</f>
      </c>
      <c r="D240" s="10">
        <f>IFERROR(__xludf.DUMMYFUNCTION("""COMPUTED_VALUE"""),0.6647)</f>
      </c>
      <c r="E240" s="10">
        <f>IFERROR(__xludf.DUMMYFUNCTION("""COMPUTED_VALUE"""),0.179)</f>
      </c>
      <c r="F240" s="10">
        <f>IFERROR(__xludf.DUMMYFUNCTION("""COMPUTED_VALUE"""),0.6243)</f>
      </c>
      <c r="G240" s="10">
        <f>IFERROR(__xludf.DUMMYFUNCTION("""COMPUTED_VALUE"""),0.1964)</f>
      </c>
    </row>
    <row x14ac:dyDescent="0.25" r="241" customHeight="1" ht="15.75">
      <c r="A241" s="8">
        <f>IFERROR(__xludf.DUMMYFUNCTION("""COMPUTED_VALUE"""),25448.0)</f>
      </c>
      <c r="B241" s="9">
        <f>IFERROR(__xludf.DUMMYFUNCTION("""COMPUTED_VALUE"""),"METROPOLITANA III")</f>
      </c>
      <c r="C241" s="9">
        <f>IFERROR(__xludf.DUMMYFUNCTION("""COMPUTED_VALUE"""),"CE BOLIVAR")</f>
      </c>
      <c r="D241" s="10">
        <f>IFERROR(__xludf.DUMMYFUNCTION("""COMPUTED_VALUE"""),0.6429)</f>
      </c>
      <c r="E241" s="10">
        <f>IFERROR(__xludf.DUMMYFUNCTION("""COMPUTED_VALUE"""),0.2128)</f>
      </c>
      <c r="F241" s="10">
        <f>IFERROR(__xludf.DUMMYFUNCTION("""COMPUTED_VALUE"""),0.7381)</f>
      </c>
      <c r="G241" s="10">
        <f>IFERROR(__xludf.DUMMYFUNCTION("""COMPUTED_VALUE"""),0.1939)</f>
      </c>
    </row>
    <row x14ac:dyDescent="0.25" r="242" customHeight="1" ht="15.75">
      <c r="A242" s="8">
        <f>IFERROR(__xludf.DUMMYFUNCTION("""COMPUTED_VALUE"""),25449.0)</f>
      </c>
      <c r="B242" s="9">
        <f>IFERROR(__xludf.DUMMYFUNCTION("""COMPUTED_VALUE"""),"METROPOLITANA III")</f>
      </c>
      <c r="C242" s="9">
        <f>IFERROR(__xludf.DUMMYFUNCTION("""COMPUTED_VALUE"""),"CE BRANT HORTA")</f>
      </c>
      <c r="D242" s="10">
        <f>IFERROR(__xludf.DUMMYFUNCTION("""COMPUTED_VALUE"""),0.9552)</f>
      </c>
      <c r="E242" s="10">
        <f>IFERROR(__xludf.DUMMYFUNCTION("""COMPUTED_VALUE"""),0.1349)</f>
      </c>
      <c r="F242" s="10">
        <f>IFERROR(__xludf.DUMMYFUNCTION("""COMPUTED_VALUE"""),0.9394)</f>
      </c>
      <c r="G242" s="10">
        <f>IFERROR(__xludf.DUMMYFUNCTION("""COMPUTED_VALUE"""),0.1634)</f>
      </c>
    </row>
    <row x14ac:dyDescent="0.25" r="243" customHeight="1" ht="15.75">
      <c r="A243" s="8">
        <f>IFERROR(__xludf.DUMMYFUNCTION("""COMPUTED_VALUE"""),25450.0)</f>
      </c>
      <c r="B243" s="9">
        <f>IFERROR(__xludf.DUMMYFUNCTION("""COMPUTED_VALUE"""),"METROPOLITANA III")</f>
      </c>
      <c r="C243" s="9">
        <f>IFERROR(__xludf.DUMMYFUNCTION("""COMPUTED_VALUE"""),"CE CARDEAL ARCOVERDE")</f>
      </c>
      <c r="D243" s="10">
        <f>IFERROR(__xludf.DUMMYFUNCTION("""COMPUTED_VALUE"""),0.7)</f>
      </c>
      <c r="E243" s="10">
        <f>IFERROR(__xludf.DUMMYFUNCTION("""COMPUTED_VALUE"""),0.2172)</f>
      </c>
      <c r="F243" s="10">
        <f>IFERROR(__xludf.DUMMYFUNCTION("""COMPUTED_VALUE"""),0.5889)</f>
      </c>
      <c r="G243" s="10">
        <f>IFERROR(__xludf.DUMMYFUNCTION("""COMPUTED_VALUE"""),0.2015)</f>
      </c>
    </row>
    <row x14ac:dyDescent="0.25" r="244" customHeight="1" ht="15.75">
      <c r="A244" s="8">
        <f>IFERROR(__xludf.DUMMYFUNCTION("""COMPUTED_VALUE"""),25451.0)</f>
      </c>
      <c r="B244" s="9">
        <f>IFERROR(__xludf.DUMMYFUNCTION("""COMPUTED_VALUE"""),"METROPOLITANA III")</f>
      </c>
      <c r="C244" s="9">
        <f>IFERROR(__xludf.DUMMYFUNCTION("""COMPUTED_VALUE"""),"CE CENTRAL DO BRASIL")</f>
      </c>
      <c r="D244" s="10">
        <f>IFERROR(__xludf.DUMMYFUNCTION("""COMPUTED_VALUE"""),0.4201)</f>
      </c>
      <c r="E244" s="10">
        <f>IFERROR(__xludf.DUMMYFUNCTION("""COMPUTED_VALUE"""),0.2459)</f>
      </c>
      <c r="F244" s="10">
        <f>IFERROR(__xludf.DUMMYFUNCTION("""COMPUTED_VALUE"""),0.0103)</f>
      </c>
      <c r="G244" s="10">
        <f>IFERROR(__xludf.DUMMYFUNCTION("""COMPUTED_VALUE"""),0.223)</f>
      </c>
    </row>
    <row x14ac:dyDescent="0.25" r="245" customHeight="1" ht="15.75">
      <c r="A245" s="8">
        <f>IFERROR(__xludf.DUMMYFUNCTION("""COMPUTED_VALUE"""),25452.0)</f>
      </c>
      <c r="B245" s="9">
        <f>IFERROR(__xludf.DUMMYFUNCTION("""COMPUTED_VALUE"""),"METROPOLITANA III")</f>
      </c>
      <c r="C245" s="9">
        <f>IFERROR(__xludf.DUMMYFUNCTION("""COMPUTED_VALUE"""),"CE CHARLES CHAPLIN")</f>
      </c>
      <c r="D245" s="10">
        <f>IFERROR(__xludf.DUMMYFUNCTION("""COMPUTED_VALUE"""),0.4545)</f>
      </c>
      <c r="E245" s="10">
        <f>IFERROR(__xludf.DUMMYFUNCTION("""COMPUTED_VALUE"""),0.198)</f>
      </c>
      <c r="F245" s="10">
        <f>IFERROR(__xludf.DUMMYFUNCTION("""COMPUTED_VALUE"""),0.4318)</f>
      </c>
      <c r="G245" s="10">
        <f>IFERROR(__xludf.DUMMYFUNCTION("""COMPUTED_VALUE"""),0.2006)</f>
      </c>
    </row>
    <row x14ac:dyDescent="0.25" r="246" customHeight="1" ht="15.75">
      <c r="A246" s="8">
        <f>IFERROR(__xludf.DUMMYFUNCTION("""COMPUTED_VALUE"""),25453.0)</f>
      </c>
      <c r="B246" s="9">
        <f>IFERROR(__xludf.DUMMYFUNCTION("""COMPUTED_VALUE"""),"METROPOLITANA III")</f>
      </c>
      <c r="C246" s="9">
        <f>IFERROR(__xludf.DUMMYFUNCTION("""COMPUTED_VALUE"""),"CE CHILE")</f>
      </c>
      <c r="D246" s="10">
        <f>IFERROR(__xludf.DUMMYFUNCTION("""COMPUTED_VALUE"""),0.6688)</f>
      </c>
      <c r="E246" s="10">
        <f>IFERROR(__xludf.DUMMYFUNCTION("""COMPUTED_VALUE"""),0.2017)</f>
      </c>
      <c r="F246" s="10">
        <f>IFERROR(__xludf.DUMMYFUNCTION("""COMPUTED_VALUE"""),0.6624)</f>
      </c>
      <c r="G246" s="10">
        <f>IFERROR(__xludf.DUMMYFUNCTION("""COMPUTED_VALUE"""),0.1951)</f>
      </c>
    </row>
    <row x14ac:dyDescent="0.25" r="247" customHeight="1" ht="15.75">
      <c r="A247" s="8">
        <f>IFERROR(__xludf.DUMMYFUNCTION("""COMPUTED_VALUE"""),25454.0)</f>
      </c>
      <c r="B247" s="9">
        <f>IFERROR(__xludf.DUMMYFUNCTION("""COMPUTED_VALUE"""),"METROPOLITANA III")</f>
      </c>
      <c r="C247" s="9">
        <f>IFERROR(__xludf.DUMMYFUNCTION("""COMPUTED_VALUE"""),"CE CIDADE DE LISBOA")</f>
      </c>
      <c r="D247" s="10">
        <f>IFERROR(__xludf.DUMMYFUNCTION("""COMPUTED_VALUE"""),0.7431)</f>
      </c>
      <c r="E247" s="10">
        <f>IFERROR(__xludf.DUMMYFUNCTION("""COMPUTED_VALUE"""),0.1989)</f>
      </c>
      <c r="F247" s="10">
        <f>IFERROR(__xludf.DUMMYFUNCTION("""COMPUTED_VALUE"""),0.7222)</f>
      </c>
      <c r="G247" s="10">
        <f>IFERROR(__xludf.DUMMYFUNCTION("""COMPUTED_VALUE"""),0.1953)</f>
      </c>
    </row>
    <row x14ac:dyDescent="0.25" r="248" customHeight="1" ht="15.75">
      <c r="A248" s="8">
        <f>IFERROR(__xludf.DUMMYFUNCTION("""COMPUTED_VALUE"""),25455.0)</f>
      </c>
      <c r="B248" s="9">
        <f>IFERROR(__xludf.DUMMYFUNCTION("""COMPUTED_VALUE"""),"METROPOLITANA III")</f>
      </c>
      <c r="C248" s="9">
        <f>IFERROR(__xludf.DUMMYFUNCTION("""COMPUTED_VALUE"""),"CE COMPOSITOR MANACEIA JOSE DE ANDRADE")</f>
      </c>
      <c r="D248" s="10">
        <f>IFERROR(__xludf.DUMMYFUNCTION("""COMPUTED_VALUE"""),0.922)</f>
      </c>
      <c r="E248" s="10">
        <f>IFERROR(__xludf.DUMMYFUNCTION("""COMPUTED_VALUE"""),0.1516)</f>
      </c>
      <c r="F248" s="10">
        <f>IFERROR(__xludf.DUMMYFUNCTION("""COMPUTED_VALUE"""),0.9967)</f>
      </c>
      <c r="G248" s="10">
        <f>IFERROR(__xludf.DUMMYFUNCTION("""COMPUTED_VALUE"""),0.1225)</f>
      </c>
    </row>
    <row x14ac:dyDescent="0.25" r="249" customHeight="1" ht="15.75">
      <c r="A249" s="8">
        <f>IFERROR(__xludf.DUMMYFUNCTION("""COMPUTED_VALUE"""),25456.0)</f>
      </c>
      <c r="B249" s="9">
        <f>IFERROR(__xludf.DUMMYFUNCTION("""COMPUTED_VALUE"""),"METROPOLITANA III")</f>
      </c>
      <c r="C249" s="9">
        <f>IFERROR(__xludf.DUMMYFUNCTION("""COMPUTED_VALUE"""),"CE CONDE AFONSO CELSO")</f>
      </c>
      <c r="D249" s="10">
        <f>IFERROR(__xludf.DUMMYFUNCTION("""COMPUTED_VALUE"""),0.7317)</f>
      </c>
      <c r="E249" s="10">
        <f>IFERROR(__xludf.DUMMYFUNCTION("""COMPUTED_VALUE"""),0.1971)</f>
      </c>
      <c r="F249" s="10">
        <f>IFERROR(__xludf.DUMMYFUNCTION("""COMPUTED_VALUE"""),0.6707)</f>
      </c>
      <c r="G249" s="10">
        <f>IFERROR(__xludf.DUMMYFUNCTION("""COMPUTED_VALUE"""),0.1949)</f>
      </c>
    </row>
    <row x14ac:dyDescent="0.25" r="250" customHeight="1" ht="15.75">
      <c r="A250" s="8">
        <f>IFERROR(__xludf.DUMMYFUNCTION("""COMPUTED_VALUE"""),25457.0)</f>
      </c>
      <c r="B250" s="9">
        <f>IFERROR(__xludf.DUMMYFUNCTION("""COMPUTED_VALUE"""),"METROPOLITANA III")</f>
      </c>
      <c r="C250" s="9">
        <f>IFERROR(__xludf.DUMMYFUNCTION("""COMPUTED_VALUE"""),"CE CONDE DE AGROLONGO")</f>
      </c>
      <c r="D250" s="10">
        <f>IFERROR(__xludf.DUMMYFUNCTION("""COMPUTED_VALUE"""),0.5556)</f>
      </c>
      <c r="E250" s="10">
        <f>IFERROR(__xludf.DUMMYFUNCTION("""COMPUTED_VALUE"""),0.2089)</f>
      </c>
      <c r="F250" s="10">
        <f>IFERROR(__xludf.DUMMYFUNCTION("""COMPUTED_VALUE"""),0.5921)</f>
      </c>
      <c r="G250" s="10">
        <f>IFERROR(__xludf.DUMMYFUNCTION("""COMPUTED_VALUE"""),0.1843)</f>
      </c>
    </row>
    <row x14ac:dyDescent="0.25" r="251" customHeight="1" ht="15.75">
      <c r="A251" s="8">
        <f>IFERROR(__xludf.DUMMYFUNCTION("""COMPUTED_VALUE"""),25458.0)</f>
      </c>
      <c r="B251" s="9">
        <f>IFERROR(__xludf.DUMMYFUNCTION("""COMPUTED_VALUE"""),"METROPOLITANA III")</f>
      </c>
      <c r="C251" s="9">
        <f>IFERROR(__xludf.DUMMYFUNCTION("""COMPUTED_VALUE"""),"CE CONDE PEREIRA CARNEIRO")</f>
      </c>
      <c r="D251" s="10">
        <f>IFERROR(__xludf.DUMMYFUNCTION("""COMPUTED_VALUE"""),0.4309)</f>
      </c>
      <c r="E251" s="10">
        <f>IFERROR(__xludf.DUMMYFUNCTION("""COMPUTED_VALUE"""),0.2094)</f>
      </c>
      <c r="F251" s="10">
        <f>IFERROR(__xludf.DUMMYFUNCTION("""COMPUTED_VALUE"""),0.5691)</f>
      </c>
      <c r="G251" s="10">
        <f>IFERROR(__xludf.DUMMYFUNCTION("""COMPUTED_VALUE"""),0.1912)</f>
      </c>
    </row>
    <row x14ac:dyDescent="0.25" r="252" customHeight="1" ht="15.75">
      <c r="A252" s="8">
        <f>IFERROR(__xludf.DUMMYFUNCTION("""COMPUTED_VALUE"""),25459.0)</f>
      </c>
      <c r="B252" s="9">
        <f>IFERROR(__xludf.DUMMYFUNCTION("""COMPUTED_VALUE"""),"METROPOLITANA III")</f>
      </c>
      <c r="C252" s="9">
        <f>IFERROR(__xludf.DUMMYFUNCTION("""COMPUTED_VALUE"""),"CE CUBA")</f>
      </c>
      <c r="D252" s="10">
        <f>IFERROR(__xludf.DUMMYFUNCTION("""COMPUTED_VALUE"""),0.7761)</f>
      </c>
      <c r="E252" s="10">
        <f>IFERROR(__xludf.DUMMYFUNCTION("""COMPUTED_VALUE"""),0.2271)</f>
      </c>
      <c r="F252" s="10">
        <f>IFERROR(__xludf.DUMMYFUNCTION("""COMPUTED_VALUE"""),0.6866)</f>
      </c>
      <c r="G252" s="10">
        <f>IFERROR(__xludf.DUMMYFUNCTION("""COMPUTED_VALUE"""),0.2267)</f>
      </c>
    </row>
    <row x14ac:dyDescent="0.25" r="253" customHeight="1" ht="15.75">
      <c r="A253" s="8">
        <f>IFERROR(__xludf.DUMMYFUNCTION("""COMPUTED_VALUE"""),25460.0)</f>
      </c>
      <c r="B253" s="9">
        <f>IFERROR(__xludf.DUMMYFUNCTION("""COMPUTED_VALUE"""),"METROPOLITANA III")</f>
      </c>
      <c r="C253" s="9">
        <f>IFERROR(__xludf.DUMMYFUNCTION("""COMPUTED_VALUE"""),"CE CYRO MONTEIRO")</f>
      </c>
      <c r="D253" s="10">
        <f>IFERROR(__xludf.DUMMYFUNCTION("""COMPUTED_VALUE"""),0.1951)</f>
      </c>
      <c r="E253" s="10">
        <f>IFERROR(__xludf.DUMMYFUNCTION("""COMPUTED_VALUE"""),0.1814)</f>
      </c>
      <c r="F253" s="10">
        <f>IFERROR(__xludf.DUMMYFUNCTION("""COMPUTED_VALUE"""),0.4356)</f>
      </c>
      <c r="G253" s="10">
        <f>IFERROR(__xludf.DUMMYFUNCTION("""COMPUTED_VALUE"""),0.2024)</f>
      </c>
    </row>
    <row x14ac:dyDescent="0.25" r="254" customHeight="1" ht="15.75">
      <c r="A254" s="8">
        <f>IFERROR(__xludf.DUMMYFUNCTION("""COMPUTED_VALUE"""),25461.0)</f>
      </c>
      <c r="B254" s="9">
        <f>IFERROR(__xludf.DUMMYFUNCTION("""COMPUTED_VALUE"""),"METROPOLITANA III")</f>
      </c>
      <c r="C254" s="9">
        <f>IFERROR(__xludf.DUMMYFUNCTION("""COMPUTED_VALUE"""),"CE DEPUTADO PEDRO FERNANDES")</f>
      </c>
      <c r="D254" s="10">
        <f>IFERROR(__xludf.DUMMYFUNCTION("""COMPUTED_VALUE"""),0.9273)</f>
      </c>
      <c r="E254" s="10">
        <f>IFERROR(__xludf.DUMMYFUNCTION("""COMPUTED_VALUE"""),0.1566)</f>
      </c>
      <c r="F254" s="10">
        <f>IFERROR(__xludf.DUMMYFUNCTION("""COMPUTED_VALUE"""),0.5804)</f>
      </c>
      <c r="G254" s="10">
        <f>IFERROR(__xludf.DUMMYFUNCTION("""COMPUTED_VALUE"""),0.1993)</f>
      </c>
    </row>
    <row x14ac:dyDescent="0.25" r="255" customHeight="1" ht="15.75">
      <c r="A255" s="8">
        <f>IFERROR(__xludf.DUMMYFUNCTION("""COMPUTED_VALUE"""),25462.0)</f>
      </c>
      <c r="B255" s="9">
        <f>IFERROR(__xludf.DUMMYFUNCTION("""COMPUTED_VALUE"""),"METROPOLITANA III")</f>
      </c>
      <c r="C255" s="9">
        <f>IFERROR(__xludf.DUMMYFUNCTION("""COMPUTED_VALUE"""),"CE DOM HELDER CAMARA")</f>
      </c>
      <c r="D255" s="10">
        <f>IFERROR(__xludf.DUMMYFUNCTION("""COMPUTED_VALUE"""),0.5753)</f>
      </c>
      <c r="E255" s="10">
        <f>IFERROR(__xludf.DUMMYFUNCTION("""COMPUTED_VALUE"""),0.2271)</f>
      </c>
      <c r="F255" s="10">
        <f>IFERROR(__xludf.DUMMYFUNCTION("""COMPUTED_VALUE"""),0.5701)</f>
      </c>
      <c r="G255" s="10">
        <f>IFERROR(__xludf.DUMMYFUNCTION("""COMPUTED_VALUE"""),0.199)</f>
      </c>
    </row>
    <row x14ac:dyDescent="0.25" r="256" customHeight="1" ht="15.75">
      <c r="A256" s="8">
        <f>IFERROR(__xludf.DUMMYFUNCTION("""COMPUTED_VALUE"""),25463.0)</f>
      </c>
      <c r="B256" s="9">
        <f>IFERROR(__xludf.DUMMYFUNCTION("""COMPUTED_VALUE"""),"METROPOLITANA III")</f>
      </c>
      <c r="C256" s="9">
        <f>IFERROR(__xludf.DUMMYFUNCTION("""COMPUTED_VALUE"""),"CE DUNSHEE DE ABRANCHES")</f>
      </c>
      <c r="D256" s="10">
        <f>IFERROR(__xludf.DUMMYFUNCTION("""COMPUTED_VALUE"""),0.7071)</f>
      </c>
      <c r="E256" s="10">
        <f>IFERROR(__xludf.DUMMYFUNCTION("""COMPUTED_VALUE"""),0.2184)</f>
      </c>
      <c r="F256" s="10">
        <f>IFERROR(__xludf.DUMMYFUNCTION("""COMPUTED_VALUE"""),0.6786)</f>
      </c>
      <c r="G256" s="10">
        <f>IFERROR(__xludf.DUMMYFUNCTION("""COMPUTED_VALUE"""),0.1766)</f>
      </c>
    </row>
    <row x14ac:dyDescent="0.25" r="257" customHeight="1" ht="15.75">
      <c r="A257" s="8">
        <f>IFERROR(__xludf.DUMMYFUNCTION("""COMPUTED_VALUE"""),25464.0)</f>
      </c>
      <c r="B257" s="9">
        <f>IFERROR(__xludf.DUMMYFUNCTION("""COMPUTED_VALUE"""),"METROPOLITANA III")</f>
      </c>
      <c r="C257" s="9">
        <f>IFERROR(__xludf.DUMMYFUNCTION("""COMPUTED_VALUE"""),"CE EMBAIXADOR BARROS HURTADO")</f>
      </c>
      <c r="D257" s="10">
        <f>IFERROR(__xludf.DUMMYFUNCTION("""COMPUTED_VALUE"""),0.625)</f>
      </c>
      <c r="E257" s="10">
        <f>IFERROR(__xludf.DUMMYFUNCTION("""COMPUTED_VALUE"""),0.2255)</f>
      </c>
      <c r="F257" s="10">
        <f>IFERROR(__xludf.DUMMYFUNCTION("""COMPUTED_VALUE"""),0.619)</f>
      </c>
      <c r="G257" s="10">
        <f>IFERROR(__xludf.DUMMYFUNCTION("""COMPUTED_VALUE"""),0.2043)</f>
      </c>
    </row>
    <row x14ac:dyDescent="0.25" r="258" customHeight="1" ht="15.75">
      <c r="A258" s="8">
        <f>IFERROR(__xludf.DUMMYFUNCTION("""COMPUTED_VALUE"""),25465.0)</f>
      </c>
      <c r="B258" s="9">
        <f>IFERROR(__xludf.DUMMYFUNCTION("""COMPUTED_VALUE"""),"METROPOLITANA III")</f>
      </c>
      <c r="C258" s="9">
        <f>IFERROR(__xludf.DUMMYFUNCTION("""COMPUTED_VALUE"""),"CE FRANCISCO JOBIM")</f>
      </c>
      <c r="D258" s="10">
        <f>IFERROR(__xludf.DUMMYFUNCTION("""COMPUTED_VALUE"""),0.5238)</f>
      </c>
      <c r="E258" s="10">
        <f>IFERROR(__xludf.DUMMYFUNCTION("""COMPUTED_VALUE"""),0.2288)</f>
      </c>
      <c r="F258" s="10">
        <f>IFERROR(__xludf.DUMMYFUNCTION("""COMPUTED_VALUE"""),0.5128)</f>
      </c>
      <c r="G258" s="10">
        <f>IFERROR(__xludf.DUMMYFUNCTION("""COMPUTED_VALUE"""),0.1992)</f>
      </c>
    </row>
    <row x14ac:dyDescent="0.25" r="259" customHeight="1" ht="15.75">
      <c r="A259" s="8">
        <f>IFERROR(__xludf.DUMMYFUNCTION("""COMPUTED_VALUE"""),25466.0)</f>
      </c>
      <c r="B259" s="9">
        <f>IFERROR(__xludf.DUMMYFUNCTION("""COMPUTED_VALUE"""),"METROPOLITANA III")</f>
      </c>
      <c r="C259" s="9">
        <f>IFERROR(__xludf.DUMMYFUNCTION("""COMPUTED_VALUE"""),"CE FRANCISCO PALHETA")</f>
      </c>
      <c r="D259" s="10">
        <f>IFERROR(__xludf.DUMMYFUNCTION("""COMPUTED_VALUE"""),0.6061)</f>
      </c>
      <c r="E259" s="10">
        <f>IFERROR(__xludf.DUMMYFUNCTION("""COMPUTED_VALUE"""),0.2384)</f>
      </c>
      <c r="F259" s="10">
        <f>IFERROR(__xludf.DUMMYFUNCTION("""COMPUTED_VALUE"""),0.6162)</f>
      </c>
      <c r="G259" s="10">
        <f>IFERROR(__xludf.DUMMYFUNCTION("""COMPUTED_VALUE"""),0.1972)</f>
      </c>
    </row>
    <row x14ac:dyDescent="0.25" r="260" customHeight="1" ht="15.75">
      <c r="A260" s="8">
        <f>IFERROR(__xludf.DUMMYFUNCTION("""COMPUTED_VALUE"""),25467.0)</f>
      </c>
      <c r="B260" s="9">
        <f>IFERROR(__xludf.DUMMYFUNCTION("""COMPUTED_VALUE"""),"METROPOLITANA III")</f>
      </c>
      <c r="C260" s="9">
        <f>IFERROR(__xludf.DUMMYFUNCTION("""COMPUTED_VALUE"""),"CE GENERAL OSORIO")</f>
      </c>
      <c r="D260" s="10">
        <f>IFERROR(__xludf.DUMMYFUNCTION("""COMPUTED_VALUE"""),0.5)</f>
      </c>
      <c r="E260" s="10">
        <f>IFERROR(__xludf.DUMMYFUNCTION("""COMPUTED_VALUE"""),0.1893)</f>
      </c>
      <c r="F260" s="10">
        <f>IFERROR(__xludf.DUMMYFUNCTION("""COMPUTED_VALUE"""),0.5)</f>
      </c>
      <c r="G260" s="10">
        <f>IFERROR(__xludf.DUMMYFUNCTION("""COMPUTED_VALUE"""),0.1723)</f>
      </c>
    </row>
    <row x14ac:dyDescent="0.25" r="261" customHeight="1" ht="15.75">
      <c r="A261" s="8">
        <f>IFERROR(__xludf.DUMMYFUNCTION("""COMPUTED_VALUE"""),25468.0)</f>
      </c>
      <c r="B261" s="9">
        <f>IFERROR(__xludf.DUMMYFUNCTION("""COMPUTED_VALUE"""),"METROPOLITANA III")</f>
      </c>
      <c r="C261" s="9">
        <f>IFERROR(__xludf.DUMMYFUNCTION("""COMPUTED_VALUE"""),"CE GOMES FREIRE DE ANDRADE")</f>
      </c>
      <c r="D261" s="10">
        <f>IFERROR(__xludf.DUMMYFUNCTION("""COMPUTED_VALUE"""),0.7179)</f>
      </c>
      <c r="E261" s="10">
        <f>IFERROR(__xludf.DUMMYFUNCTION("""COMPUTED_VALUE"""),0.2306)</f>
      </c>
      <c r="F261" s="10">
        <f>IFERROR(__xludf.DUMMYFUNCTION("""COMPUTED_VALUE"""),0.6784)</f>
      </c>
      <c r="G261" s="10">
        <f>IFERROR(__xludf.DUMMYFUNCTION("""COMPUTED_VALUE"""),0.1991)</f>
      </c>
    </row>
    <row x14ac:dyDescent="0.25" r="262" customHeight="1" ht="15.75">
      <c r="A262" s="8">
        <f>IFERROR(__xludf.DUMMYFUNCTION("""COMPUTED_VALUE"""),25469.0)</f>
      </c>
      <c r="B262" s="9">
        <f>IFERROR(__xludf.DUMMYFUNCTION("""COMPUTED_VALUE"""),"METROPOLITANA III")</f>
      </c>
      <c r="C262" s="9">
        <f>IFERROR(__xludf.DUMMYFUNCTION("""COMPUTED_VALUE"""),"CE GRACILIANO RAMOS")</f>
      </c>
      <c r="D262" s="10">
        <f>IFERROR(__xludf.DUMMYFUNCTION("""COMPUTED_VALUE"""),0.46)</f>
      </c>
      <c r="E262" s="10">
        <f>IFERROR(__xludf.DUMMYFUNCTION("""COMPUTED_VALUE"""),0.2119)</f>
      </c>
      <c r="F262" s="10">
        <f>IFERROR(__xludf.DUMMYFUNCTION("""COMPUTED_VALUE"""),0.5085)</f>
      </c>
      <c r="G262" s="10">
        <f>IFERROR(__xludf.DUMMYFUNCTION("""COMPUTED_VALUE"""),0.1996)</f>
      </c>
    </row>
    <row x14ac:dyDescent="0.25" r="263" customHeight="1" ht="15.75">
      <c r="A263" s="8">
        <f>IFERROR(__xludf.DUMMYFUNCTION("""COMPUTED_VALUE"""),25470.0)</f>
      </c>
      <c r="B263" s="9">
        <f>IFERROR(__xludf.DUMMYFUNCTION("""COMPUTED_VALUE"""),"METROPOLITANA III")</f>
      </c>
      <c r="C263" s="9">
        <f>IFERROR(__xludf.DUMMYFUNCTION("""COMPUTED_VALUE"""),"CE GUADALUPE")</f>
      </c>
      <c r="D263" s="10">
        <f>IFERROR(__xludf.DUMMYFUNCTION("""COMPUTED_VALUE"""),0.6286)</f>
      </c>
      <c r="E263" s="10">
        <f>IFERROR(__xludf.DUMMYFUNCTION("""COMPUTED_VALUE"""),0.2068)</f>
      </c>
      <c r="F263" s="10">
        <f>IFERROR(__xludf.DUMMYFUNCTION("""COMPUTED_VALUE"""),0.4938)</f>
      </c>
      <c r="G263" s="10">
        <f>IFERROR(__xludf.DUMMYFUNCTION("""COMPUTED_VALUE"""),0.1963)</f>
      </c>
    </row>
    <row x14ac:dyDescent="0.25" r="264" customHeight="1" ht="15.75">
      <c r="A264" s="8">
        <f>IFERROR(__xludf.DUMMYFUNCTION("""COMPUTED_VALUE"""),25471.0)</f>
      </c>
      <c r="B264" s="9">
        <f>IFERROR(__xludf.DUMMYFUNCTION("""COMPUTED_VALUE"""),"METROPOLITANA III")</f>
      </c>
      <c r="C264" s="9">
        <f>IFERROR(__xludf.DUMMYFUNCTION("""COMPUTED_VALUE"""),"CE HEITOR LIRA")</f>
      </c>
      <c r="D264" s="10">
        <f>IFERROR(__xludf.DUMMYFUNCTION("""COMPUTED_VALUE"""),0.6811)</f>
      </c>
      <c r="E264" s="10">
        <f>IFERROR(__xludf.DUMMYFUNCTION("""COMPUTED_VALUE"""),0.2489)</f>
      </c>
      <c r="F264" s="10">
        <f>IFERROR(__xludf.DUMMYFUNCTION("""COMPUTED_VALUE"""),0.7893)</f>
      </c>
      <c r="G264" s="10">
        <f>IFERROR(__xludf.DUMMYFUNCTION("""COMPUTED_VALUE"""),0.1991)</f>
      </c>
    </row>
    <row x14ac:dyDescent="0.25" r="265" customHeight="1" ht="15.75">
      <c r="A265" s="8">
        <f>IFERROR(__xludf.DUMMYFUNCTION("""COMPUTED_VALUE"""),25472.0)</f>
      </c>
      <c r="B265" s="9">
        <f>IFERROR(__xludf.DUMMYFUNCTION("""COMPUTED_VALUE"""),"METROPOLITANA III")</f>
      </c>
      <c r="C265" s="9">
        <f>IFERROR(__xludf.DUMMYFUNCTION("""COMPUTED_VALUE"""),"CE HISPANO BRASILEIRO JOAO CABRAL DE MELO NETO")</f>
      </c>
      <c r="D265" s="10">
        <f>IFERROR(__xludf.DUMMYFUNCTION("""COMPUTED_VALUE"""),0.9253)</f>
      </c>
      <c r="E265" s="10">
        <f>IFERROR(__xludf.DUMMYFUNCTION("""COMPUTED_VALUE"""),0.2812)</f>
      </c>
      <c r="F265" s="10">
        <f>IFERROR(__xludf.DUMMYFUNCTION("""COMPUTED_VALUE"""),0.8908)</f>
      </c>
      <c r="G265" s="10">
        <f>IFERROR(__xludf.DUMMYFUNCTION("""COMPUTED_VALUE"""),0.2082)</f>
      </c>
    </row>
    <row x14ac:dyDescent="0.25" r="266" customHeight="1" ht="15.75">
      <c r="A266" s="8">
        <f>IFERROR(__xludf.DUMMYFUNCTION("""COMPUTED_VALUE"""),25473.0)</f>
      </c>
      <c r="B266" s="9">
        <f>IFERROR(__xludf.DUMMYFUNCTION("""COMPUTED_VALUE"""),"METROPOLITANA III")</f>
      </c>
      <c r="C266" s="9">
        <f>IFERROR(__xludf.DUMMYFUNCTION("""COMPUTED_VALUE"""),"CE ITALIA")</f>
      </c>
      <c r="D266" s="10">
        <f>IFERROR(__xludf.DUMMYFUNCTION("""COMPUTED_VALUE"""),0.5828)</f>
      </c>
      <c r="E266" s="10">
        <f>IFERROR(__xludf.DUMMYFUNCTION("""COMPUTED_VALUE"""),0.1918)</f>
      </c>
      <c r="F266" s="10">
        <f>IFERROR(__xludf.DUMMYFUNCTION("""COMPUTED_VALUE"""),0.5337)</f>
      </c>
      <c r="G266" s="10">
        <f>IFERROR(__xludf.DUMMYFUNCTION("""COMPUTED_VALUE"""),0.2236)</f>
      </c>
    </row>
    <row x14ac:dyDescent="0.25" r="267" customHeight="1" ht="15.75">
      <c r="A267" s="8">
        <f>IFERROR(__xludf.DUMMYFUNCTION("""COMPUTED_VALUE"""),25474.0)</f>
      </c>
      <c r="B267" s="9">
        <f>IFERROR(__xludf.DUMMYFUNCTION("""COMPUTED_VALUE"""),"METROPOLITANA III")</f>
      </c>
      <c r="C267" s="9">
        <f>IFERROR(__xludf.DUMMYFUNCTION("""COMPUTED_VALUE"""),"CE JOAO KOPKE")</f>
      </c>
      <c r="D267" s="10">
        <f>IFERROR(__xludf.DUMMYFUNCTION("""COMPUTED_VALUE"""),0.6731)</f>
      </c>
      <c r="E267" s="10">
        <f>IFERROR(__xludf.DUMMYFUNCTION("""COMPUTED_VALUE"""),0.1977)</f>
      </c>
      <c r="F267" s="10">
        <f>IFERROR(__xludf.DUMMYFUNCTION("""COMPUTED_VALUE"""),0.5789)</f>
      </c>
      <c r="G267" s="10">
        <f>IFERROR(__xludf.DUMMYFUNCTION("""COMPUTED_VALUE"""),0.1829)</f>
      </c>
    </row>
    <row x14ac:dyDescent="0.25" r="268" customHeight="1" ht="15.75">
      <c r="A268" s="8">
        <f>IFERROR(__xludf.DUMMYFUNCTION("""COMPUTED_VALUE"""),25475.0)</f>
      </c>
      <c r="B268" s="9">
        <f>IFERROR(__xludf.DUMMYFUNCTION("""COMPUTED_VALUE"""),"METROPOLITANA III")</f>
      </c>
      <c r="C268" s="9">
        <f>IFERROR(__xludf.DUMMYFUNCTION("""COMPUTED_VALUE"""),"CE JOAO MARQUES DOS REIS")</f>
      </c>
      <c r="D268" s="10">
        <f>IFERROR(__xludf.DUMMYFUNCTION("""COMPUTED_VALUE"""),0.4048)</f>
      </c>
      <c r="E268" s="10">
        <f>IFERROR(__xludf.DUMMYFUNCTION("""COMPUTED_VALUE"""),0.2033)</f>
      </c>
      <c r="F268" s="10">
        <f>IFERROR(__xludf.DUMMYFUNCTION("""COMPUTED_VALUE"""),0.6588)</f>
      </c>
      <c r="G268" s="10">
        <f>IFERROR(__xludf.DUMMYFUNCTION("""COMPUTED_VALUE"""),0.2053)</f>
      </c>
    </row>
    <row x14ac:dyDescent="0.25" r="269" customHeight="1" ht="15.75">
      <c r="A269" s="8">
        <f>IFERROR(__xludf.DUMMYFUNCTION("""COMPUTED_VALUE"""),25476.0)</f>
      </c>
      <c r="B269" s="9">
        <f>IFERROR(__xludf.DUMMYFUNCTION("""COMPUTED_VALUE"""),"METROPOLITANA III")</f>
      </c>
      <c r="C269" s="9">
        <f>IFERROR(__xludf.DUMMYFUNCTION("""COMPUTED_VALUE"""),"CE JORNALISTA RODOLFO FERNANDES")</f>
      </c>
      <c r="D269" s="10">
        <f>IFERROR(__xludf.DUMMYFUNCTION("""COMPUTED_VALUE"""),0.9037)</f>
      </c>
      <c r="E269" s="10">
        <f>IFERROR(__xludf.DUMMYFUNCTION("""COMPUTED_VALUE"""),0.1363)</f>
      </c>
      <c r="F269" s="10">
        <f>IFERROR(__xludf.DUMMYFUNCTION("""COMPUTED_VALUE"""),0.4155)</f>
      </c>
      <c r="G269" s="10">
        <f>IFERROR(__xludf.DUMMYFUNCTION("""COMPUTED_VALUE"""),0.2097)</f>
      </c>
    </row>
    <row x14ac:dyDescent="0.25" r="270" customHeight="1" ht="15.75">
      <c r="A270" s="8">
        <f>IFERROR(__xludf.DUMMYFUNCTION("""COMPUTED_VALUE"""),25477.0)</f>
      </c>
      <c r="B270" s="9">
        <f>IFERROR(__xludf.DUMMYFUNCTION("""COMPUTED_VALUE"""),"METROPOLITANA III")</f>
      </c>
      <c r="C270" s="9">
        <f>IFERROR(__xludf.DUMMYFUNCTION("""COMPUTED_VALUE"""),"CE JORNALISTA TIM LOPES")</f>
      </c>
      <c r="D270" s="10">
        <f>IFERROR(__xludf.DUMMYFUNCTION("""COMPUTED_VALUE"""),0.6894)</f>
      </c>
      <c r="E270" s="10">
        <f>IFERROR(__xludf.DUMMYFUNCTION("""COMPUTED_VALUE"""),0.2432)</f>
      </c>
      <c r="F270" s="10">
        <f>IFERROR(__xludf.DUMMYFUNCTION("""COMPUTED_VALUE"""),0.4688)</f>
      </c>
      <c r="G270" s="10">
        <f>IFERROR(__xludf.DUMMYFUNCTION("""COMPUTED_VALUE"""),0.2035)</f>
      </c>
    </row>
    <row x14ac:dyDescent="0.25" r="271" customHeight="1" ht="15.75">
      <c r="A271" s="8">
        <f>IFERROR(__xludf.DUMMYFUNCTION("""COMPUTED_VALUE"""),25478.0)</f>
      </c>
      <c r="B271" s="9">
        <f>IFERROR(__xludf.DUMMYFUNCTION("""COMPUTED_VALUE"""),"METROPOLITANA III")</f>
      </c>
      <c r="C271" s="9">
        <f>IFERROR(__xludf.DUMMYFUNCTION("""COMPUTED_VALUE"""),"CE JOSE EDUARDO DE MACEDO SOARES")</f>
      </c>
      <c r="D271" s="10">
        <f>IFERROR(__xludf.DUMMYFUNCTION("""COMPUTED_VALUE"""),0.9151)</f>
      </c>
      <c r="E271" s="10">
        <f>IFERROR(__xludf.DUMMYFUNCTION("""COMPUTED_VALUE"""),0.1668)</f>
      </c>
      <c r="F271" s="10">
        <f>IFERROR(__xludf.DUMMYFUNCTION("""COMPUTED_VALUE"""),0.6321)</f>
      </c>
      <c r="G271" s="10">
        <f>IFERROR(__xludf.DUMMYFUNCTION("""COMPUTED_VALUE"""),0.1976)</f>
      </c>
    </row>
    <row x14ac:dyDescent="0.25" r="272" customHeight="1" ht="15.75">
      <c r="A272" s="8">
        <f>IFERROR(__xludf.DUMMYFUNCTION("""COMPUTED_VALUE"""),25479.0)</f>
      </c>
      <c r="B272" s="9">
        <f>IFERROR(__xludf.DUMMYFUNCTION("""COMPUTED_VALUE"""),"METROPOLITANA III")</f>
      </c>
      <c r="C272" s="9">
        <f>IFERROR(__xludf.DUMMYFUNCTION("""COMPUTED_VALUE"""),"CE JOSE MARTI")</f>
      </c>
      <c r="D272" s="10">
        <f>IFERROR(__xludf.DUMMYFUNCTION("""COMPUTED_VALUE"""),0.5057)</f>
      </c>
      <c r="E272" s="10">
        <f>IFERROR(__xludf.DUMMYFUNCTION("""COMPUTED_VALUE"""),0.2092)</f>
      </c>
      <c r="F272" s="10">
        <f>IFERROR(__xludf.DUMMYFUNCTION("""COMPUTED_VALUE"""),0.4713)</f>
      </c>
      <c r="G272" s="10">
        <f>IFERROR(__xludf.DUMMYFUNCTION("""COMPUTED_VALUE"""),0.19)</f>
      </c>
    </row>
    <row x14ac:dyDescent="0.25" r="273" customHeight="1" ht="15.75">
      <c r="A273" s="8">
        <f>IFERROR(__xludf.DUMMYFUNCTION("""COMPUTED_VALUE"""),25480.0)</f>
      </c>
      <c r="B273" s="9">
        <f>IFERROR(__xludf.DUMMYFUNCTION("""COMPUTED_VALUE"""),"METROPOLITANA III")</f>
      </c>
      <c r="C273" s="9">
        <f>IFERROR(__xludf.DUMMYFUNCTION("""COMPUTED_VALUE"""),"CE JOSUE DE CASTRO")</f>
      </c>
      <c r="D273" s="10">
        <f>IFERROR(__xludf.DUMMYFUNCTION("""COMPUTED_VALUE"""),0.4926)</f>
      </c>
      <c r="E273" s="10">
        <f>IFERROR(__xludf.DUMMYFUNCTION("""COMPUTED_VALUE"""),0.2054)</f>
      </c>
      <c r="F273" s="10">
        <f>IFERROR(__xludf.DUMMYFUNCTION("""COMPUTED_VALUE"""),0.3382)</f>
      </c>
      <c r="G273" s="10">
        <f>IFERROR(__xludf.DUMMYFUNCTION("""COMPUTED_VALUE"""),0.1919)</f>
      </c>
    </row>
    <row x14ac:dyDescent="0.25" r="274" customHeight="1" ht="15.75">
      <c r="A274" s="8">
        <f>IFERROR(__xludf.DUMMYFUNCTION("""COMPUTED_VALUE"""),25481.0)</f>
      </c>
      <c r="B274" s="9">
        <f>IFERROR(__xludf.DUMMYFUNCTION("""COMPUTED_VALUE"""),"METROPOLITANA III")</f>
      </c>
      <c r="C274" s="9">
        <f>IFERROR(__xludf.DUMMYFUNCTION("""COMPUTED_VALUE"""),"CE LAURO SODRE")</f>
      </c>
      <c r="D274" s="10">
        <f>IFERROR(__xludf.DUMMYFUNCTION("""COMPUTED_VALUE"""),0.7843)</f>
      </c>
      <c r="E274" s="10">
        <f>IFERROR(__xludf.DUMMYFUNCTION("""COMPUTED_VALUE"""),0.2034)</f>
      </c>
      <c r="F274" s="10">
        <f>IFERROR(__xludf.DUMMYFUNCTION("""COMPUTED_VALUE"""),0.746)</f>
      </c>
      <c r="G274" s="10">
        <f>IFERROR(__xludf.DUMMYFUNCTION("""COMPUTED_VALUE"""),0.1906)</f>
      </c>
    </row>
    <row x14ac:dyDescent="0.25" r="275" customHeight="1" ht="15.75">
      <c r="A275" s="8">
        <f>IFERROR(__xludf.DUMMYFUNCTION("""COMPUTED_VALUE"""),25482.0)</f>
      </c>
      <c r="B275" s="9">
        <f>IFERROR(__xludf.DUMMYFUNCTION("""COMPUTED_VALUE"""),"METROPOLITANA III")</f>
      </c>
      <c r="C275" s="9">
        <f>IFERROR(__xludf.DUMMYFUNCTION("""COMPUTED_VALUE"""),"CE LEONEL AZEVEDO")</f>
      </c>
      <c r="D275" s="10">
        <f>IFERROR(__xludf.DUMMYFUNCTION("""COMPUTED_VALUE"""),0.6643)</f>
      </c>
      <c r="E275" s="10">
        <f>IFERROR(__xludf.DUMMYFUNCTION("""COMPUTED_VALUE"""),0.137)</f>
      </c>
      <c r="F275" s="10">
        <f>IFERROR(__xludf.DUMMYFUNCTION("""COMPUTED_VALUE"""),0.2103)</f>
      </c>
      <c r="G275" s="10">
        <f>IFERROR(__xludf.DUMMYFUNCTION("""COMPUTED_VALUE"""),0.1998)</f>
      </c>
    </row>
    <row x14ac:dyDescent="0.25" r="276" customHeight="1" ht="15.75">
      <c r="A276" s="8">
        <f>IFERROR(__xludf.DUMMYFUNCTION("""COMPUTED_VALUE"""),25483.0)</f>
      </c>
      <c r="B276" s="9">
        <f>IFERROR(__xludf.DUMMYFUNCTION("""COMPUTED_VALUE"""),"METROPOLITANA III")</f>
      </c>
      <c r="C276" s="9">
        <f>IFERROR(__xludf.DUMMYFUNCTION("""COMPUTED_VALUE"""),"CE LUIZ DE CAMOES")</f>
      </c>
      <c r="D276" s="10">
        <f>IFERROR(__xludf.DUMMYFUNCTION("""COMPUTED_VALUE"""),0.7481)</f>
      </c>
      <c r="E276" s="10">
        <f>IFERROR(__xludf.DUMMYFUNCTION("""COMPUTED_VALUE"""),0.2218)</f>
      </c>
      <c r="F276" s="10">
        <f>IFERROR(__xludf.DUMMYFUNCTION("""COMPUTED_VALUE"""),0.6947)</f>
      </c>
      <c r="G276" s="10">
        <f>IFERROR(__xludf.DUMMYFUNCTION("""COMPUTED_VALUE"""),0.2023)</f>
      </c>
    </row>
    <row x14ac:dyDescent="0.25" r="277" customHeight="1" ht="15.75">
      <c r="A277" s="8">
        <f>IFERROR(__xludf.DUMMYFUNCTION("""COMPUTED_VALUE"""),25484.0)</f>
      </c>
      <c r="B277" s="9">
        <f>IFERROR(__xludf.DUMMYFUNCTION("""COMPUTED_VALUE"""),"METROPOLITANA III")</f>
      </c>
      <c r="C277" s="9">
        <f>IFERROR(__xludf.DUMMYFUNCTION("""COMPUTED_VALUE"""),"CE MARANHAO")</f>
      </c>
      <c r="D277" s="10">
        <f>IFERROR(__xludf.DUMMYFUNCTION("""COMPUTED_VALUE"""),0.686)</f>
      </c>
      <c r="E277" s="10">
        <f>IFERROR(__xludf.DUMMYFUNCTION("""COMPUTED_VALUE"""),0.1973)</f>
      </c>
      <c r="F277" s="10">
        <f>IFERROR(__xludf.DUMMYFUNCTION("""COMPUTED_VALUE"""),0.6942)</f>
      </c>
      <c r="G277" s="10">
        <f>IFERROR(__xludf.DUMMYFUNCTION("""COMPUTED_VALUE"""),0.1969)</f>
      </c>
    </row>
    <row x14ac:dyDescent="0.25" r="278" customHeight="1" ht="15.75">
      <c r="A278" s="8">
        <f>IFERROR(__xludf.DUMMYFUNCTION("""COMPUTED_VALUE"""),25485.0)</f>
      </c>
      <c r="B278" s="9">
        <f>IFERROR(__xludf.DUMMYFUNCTION("""COMPUTED_VALUE"""),"METROPOLITANA III")</f>
      </c>
      <c r="C278" s="9">
        <f>IFERROR(__xludf.DUMMYFUNCTION("""COMPUTED_VALUE"""),"CE MARECHAL JOAO BAPTISTA DE MATTOS")</f>
      </c>
      <c r="D278" s="10">
        <f>IFERROR(__xludf.DUMMYFUNCTION("""COMPUTED_VALUE"""),0.012)</f>
      </c>
      <c r="E278" s="10">
        <f>IFERROR(__xludf.DUMMYFUNCTION("""COMPUTED_VALUE"""),0.1051)</f>
      </c>
      <c r="F278" s="10">
        <f>IFERROR(__xludf.DUMMYFUNCTION("""COMPUTED_VALUE"""),0.638)</f>
      </c>
      <c r="G278" s="10">
        <f>IFERROR(__xludf.DUMMYFUNCTION("""COMPUTED_VALUE"""),0.1905)</f>
      </c>
    </row>
    <row x14ac:dyDescent="0.25" r="279" customHeight="1" ht="15.75">
      <c r="A279" s="8">
        <f>IFERROR(__xludf.DUMMYFUNCTION("""COMPUTED_VALUE"""),25486.0)</f>
      </c>
      <c r="B279" s="9">
        <f>IFERROR(__xludf.DUMMYFUNCTION("""COMPUTED_VALUE"""),"METROPOLITANA III")</f>
      </c>
      <c r="C279" s="9">
        <f>IFERROR(__xludf.DUMMYFUNCTION("""COMPUTED_VALUE"""),"CE MARQUES REBELO")</f>
      </c>
      <c r="D279" s="10">
        <f>IFERROR(__xludf.DUMMYFUNCTION("""COMPUTED_VALUE"""),0.6574)</f>
      </c>
      <c r="E279" s="10">
        <f>IFERROR(__xludf.DUMMYFUNCTION("""COMPUTED_VALUE"""),0.0)</f>
      </c>
      <c r="F279" s="10">
        <f>IFERROR(__xludf.DUMMYFUNCTION("""COMPUTED_VALUE"""),0.6379)</f>
      </c>
      <c r="G279" s="10">
        <f>IFERROR(__xludf.DUMMYFUNCTION("""COMPUTED_VALUE"""),0.1943)</f>
      </c>
    </row>
    <row x14ac:dyDescent="0.25" r="280" customHeight="1" ht="15.75">
      <c r="A280" s="8">
        <f>IFERROR(__xludf.DUMMYFUNCTION("""COMPUTED_VALUE"""),25487.0)</f>
      </c>
      <c r="B280" s="9">
        <f>IFERROR(__xludf.DUMMYFUNCTION("""COMPUTED_VALUE"""),"METROPOLITANA III")</f>
      </c>
      <c r="C280" s="9">
        <f>IFERROR(__xludf.DUMMYFUNCTION("""COMPUTED_VALUE"""),"CE MATO GROSSO")</f>
      </c>
      <c r="D280" s="10">
        <f>IFERROR(__xludf.DUMMYFUNCTION("""COMPUTED_VALUE"""),0.6967)</f>
      </c>
      <c r="E280" s="10">
        <f>IFERROR(__xludf.DUMMYFUNCTION("""COMPUTED_VALUE"""),0.2367)</f>
      </c>
      <c r="F280" s="10">
        <f>IFERROR(__xludf.DUMMYFUNCTION("""COMPUTED_VALUE"""),0.7273)</f>
      </c>
      <c r="G280" s="10">
        <f>IFERROR(__xludf.DUMMYFUNCTION("""COMPUTED_VALUE"""),0.1993)</f>
      </c>
    </row>
    <row x14ac:dyDescent="0.25" r="281" customHeight="1" ht="15.75">
      <c r="A281" s="8">
        <f>IFERROR(__xludf.DUMMYFUNCTION("""COMPUTED_VALUE"""),25488.0)</f>
      </c>
      <c r="B281" s="9">
        <f>IFERROR(__xludf.DUMMYFUNCTION("""COMPUTED_VALUE"""),"METROPOLITANA III")</f>
      </c>
      <c r="C281" s="9">
        <f>IFERROR(__xludf.DUMMYFUNCTION("""COMPUTED_VALUE"""),"CE MAX FLEIUSS")</f>
      </c>
      <c r="D281" s="10">
        <f>IFERROR(__xludf.DUMMYFUNCTION("""COMPUTED_VALUE"""),0.5942)</f>
      </c>
      <c r="E281" s="10">
        <f>IFERROR(__xludf.DUMMYFUNCTION("""COMPUTED_VALUE"""),0.2079)</f>
      </c>
      <c r="F281" s="10">
        <f>IFERROR(__xludf.DUMMYFUNCTION("""COMPUTED_VALUE"""),0.3913)</f>
      </c>
      <c r="G281" s="10">
        <f>IFERROR(__xludf.DUMMYFUNCTION("""COMPUTED_VALUE"""),0.2028)</f>
      </c>
    </row>
    <row x14ac:dyDescent="0.25" r="282" customHeight="1" ht="15.75">
      <c r="A282" s="8">
        <f>IFERROR(__xludf.DUMMYFUNCTION("""COMPUTED_VALUE"""),25489.0)</f>
      </c>
      <c r="B282" s="9">
        <f>IFERROR(__xludf.DUMMYFUNCTION("""COMPUTED_VALUE"""),"METROPOLITANA III")</f>
      </c>
      <c r="C282" s="9">
        <f>IFERROR(__xludf.DUMMYFUNCTION("""COMPUTED_VALUE"""),"CE MINISTRO OROZIMBO NONATO")</f>
      </c>
      <c r="D282" s="10">
        <f>IFERROR(__xludf.DUMMYFUNCTION("""COMPUTED_VALUE"""),0.4359)</f>
      </c>
      <c r="E282" s="10">
        <f>IFERROR(__xludf.DUMMYFUNCTION("""COMPUTED_VALUE"""),0.2521)</f>
      </c>
      <c r="F282" s="10">
        <f>IFERROR(__xludf.DUMMYFUNCTION("""COMPUTED_VALUE"""),0.5897)</f>
      </c>
      <c r="G282" s="10">
        <f>IFERROR(__xludf.DUMMYFUNCTION("""COMPUTED_VALUE"""),0.1841)</f>
      </c>
    </row>
    <row x14ac:dyDescent="0.25" r="283" customHeight="1" ht="15.75">
      <c r="A283" s="8">
        <f>IFERROR(__xludf.DUMMYFUNCTION("""COMPUTED_VALUE"""),25490.0)</f>
      </c>
      <c r="B283" s="9">
        <f>IFERROR(__xludf.DUMMYFUNCTION("""COMPUTED_VALUE"""),"METROPOLITANA III")</f>
      </c>
      <c r="C283" s="9">
        <f>IFERROR(__xludf.DUMMYFUNCTION("""COMPUTED_VALUE"""),"CE NUNO ALVARES PEREIRA")</f>
      </c>
      <c r="D283" s="10">
        <f>IFERROR(__xludf.DUMMYFUNCTION("""COMPUTED_VALUE"""),0.6933)</f>
      </c>
      <c r="E283" s="10">
        <f>IFERROR(__xludf.DUMMYFUNCTION("""COMPUTED_VALUE"""),0.205)</f>
      </c>
      <c r="F283" s="10">
        <f>IFERROR(__xludf.DUMMYFUNCTION("""COMPUTED_VALUE"""),0.4933)</f>
      </c>
      <c r="G283" s="10">
        <f>IFERROR(__xludf.DUMMYFUNCTION("""COMPUTED_VALUE"""),0.2023)</f>
      </c>
    </row>
    <row x14ac:dyDescent="0.25" r="284" customHeight="1" ht="15.75">
      <c r="A284" s="8">
        <f>IFERROR(__xludf.DUMMYFUNCTION("""COMPUTED_VALUE"""),25491.0)</f>
      </c>
      <c r="B284" s="9">
        <f>IFERROR(__xludf.DUMMYFUNCTION("""COMPUTED_VALUE"""),"METROPOLITANA III")</f>
      </c>
      <c r="C284" s="9">
        <f>IFERROR(__xludf.DUMMYFUNCTION("""COMPUTED_VALUE"""),"CE OLAVO JOSINO DE SALLES")</f>
      </c>
      <c r="D284" s="10">
        <f>IFERROR(__xludf.DUMMYFUNCTION("""COMPUTED_VALUE"""),0.6743)</f>
      </c>
      <c r="E284" s="10">
        <f>IFERROR(__xludf.DUMMYFUNCTION("""COMPUTED_VALUE"""),0.215)</f>
      </c>
      <c r="F284" s="10">
        <f>IFERROR(__xludf.DUMMYFUNCTION("""COMPUTED_VALUE"""),0.7543)</f>
      </c>
      <c r="G284" s="10">
        <f>IFERROR(__xludf.DUMMYFUNCTION("""COMPUTED_VALUE"""),0.1989)</f>
      </c>
    </row>
    <row x14ac:dyDescent="0.25" r="285" customHeight="1" ht="15.75">
      <c r="A285" s="8">
        <f>IFERROR(__xludf.DUMMYFUNCTION("""COMPUTED_VALUE"""),25492.0)</f>
      </c>
      <c r="B285" s="9">
        <f>IFERROR(__xludf.DUMMYFUNCTION("""COMPUTED_VALUE"""),"METROPOLITANA III")</f>
      </c>
      <c r="C285" s="9">
        <f>IFERROR(__xludf.DUMMYFUNCTION("""COMPUTED_VALUE"""),"CE OLEGARIO MARIANO")</f>
      </c>
      <c r="D285" s="10">
        <f>IFERROR(__xludf.DUMMYFUNCTION("""COMPUTED_VALUE"""),0.5857)</f>
      </c>
      <c r="E285" s="10">
        <f>IFERROR(__xludf.DUMMYFUNCTION("""COMPUTED_VALUE"""),0.1997)</f>
      </c>
      <c r="F285" s="10">
        <f>IFERROR(__xludf.DUMMYFUNCTION("""COMPUTED_VALUE"""),0.5625)</f>
      </c>
      <c r="G285" s="10">
        <f>IFERROR(__xludf.DUMMYFUNCTION("""COMPUTED_VALUE"""),0.1983)</f>
      </c>
    </row>
    <row x14ac:dyDescent="0.25" r="286" customHeight="1" ht="15.75">
      <c r="A286" s="8">
        <f>IFERROR(__xludf.DUMMYFUNCTION("""COMPUTED_VALUE"""),25493.0)</f>
      </c>
      <c r="B286" s="9">
        <f>IFERROR(__xludf.DUMMYFUNCTION("""COMPUTED_VALUE"""),"METROPOLITANA III")</f>
      </c>
      <c r="C286" s="9">
        <f>IFERROR(__xludf.DUMMYFUNCTION("""COMPUTED_VALUE"""),"CE OLGA BENARIO PRESTES")</f>
      </c>
      <c r="D286" s="10">
        <f>IFERROR(__xludf.DUMMYFUNCTION("""COMPUTED_VALUE"""),0.791)</f>
      </c>
      <c r="E286" s="10">
        <f>IFERROR(__xludf.DUMMYFUNCTION("""COMPUTED_VALUE"""),0.228)</f>
      </c>
      <c r="F286" s="10">
        <f>IFERROR(__xludf.DUMMYFUNCTION("""COMPUTED_VALUE"""),0.6987)</f>
      </c>
      <c r="G286" s="10">
        <f>IFERROR(__xludf.DUMMYFUNCTION("""COMPUTED_VALUE"""),0.2055)</f>
      </c>
    </row>
    <row x14ac:dyDescent="0.25" r="287" customHeight="1" ht="15.75">
      <c r="A287" s="8">
        <f>IFERROR(__xludf.DUMMYFUNCTION("""COMPUTED_VALUE"""),25494.0)</f>
      </c>
      <c r="B287" s="9">
        <f>IFERROR(__xludf.DUMMYFUNCTION("""COMPUTED_VALUE"""),"METROPOLITANA III")</f>
      </c>
      <c r="C287" s="9">
        <f>IFERROR(__xludf.DUMMYFUNCTION("""COMPUTED_VALUE"""),"CE OLIMPIA DO COUTO")</f>
      </c>
      <c r="D287" s="10">
        <f>IFERROR(__xludf.DUMMYFUNCTION("""COMPUTED_VALUE"""),0.6717)</f>
      </c>
      <c r="E287" s="10">
        <f>IFERROR(__xludf.DUMMYFUNCTION("""COMPUTED_VALUE"""),0.2063)</f>
      </c>
      <c r="F287" s="10">
        <f>IFERROR(__xludf.DUMMYFUNCTION("""COMPUTED_VALUE"""),0.7509)</f>
      </c>
      <c r="G287" s="10">
        <f>IFERROR(__xludf.DUMMYFUNCTION("""COMPUTED_VALUE"""),0.1926)</f>
      </c>
    </row>
    <row x14ac:dyDescent="0.25" r="288" customHeight="1" ht="15.75">
      <c r="A288" s="8">
        <f>IFERROR(__xludf.DUMMYFUNCTION("""COMPUTED_VALUE"""),25495.0)</f>
      </c>
      <c r="B288" s="9">
        <f>IFERROR(__xludf.DUMMYFUNCTION("""COMPUTED_VALUE"""),"METROPOLITANA III")</f>
      </c>
      <c r="C288" s="9">
        <f>IFERROR(__xludf.DUMMYFUNCTION("""COMPUTED_VALUE"""),"CE OLINTO DA GAMA BOTELHO")</f>
      </c>
      <c r="D288" s="10">
        <f>IFERROR(__xludf.DUMMYFUNCTION("""COMPUTED_VALUE"""),0.6446)</f>
      </c>
      <c r="E288" s="10">
        <f>IFERROR(__xludf.DUMMYFUNCTION("""COMPUTED_VALUE"""),0.2464)</f>
      </c>
      <c r="F288" s="10">
        <f>IFERROR(__xludf.DUMMYFUNCTION("""COMPUTED_VALUE"""),0.5823)</f>
      </c>
      <c r="G288" s="10">
        <f>IFERROR(__xludf.DUMMYFUNCTION("""COMPUTED_VALUE"""),0.2088)</f>
      </c>
    </row>
    <row x14ac:dyDescent="0.25" r="289" customHeight="1" ht="15.75">
      <c r="A289" s="8">
        <f>IFERROR(__xludf.DUMMYFUNCTION("""COMPUTED_VALUE"""),25496.0)</f>
      </c>
      <c r="B289" s="9">
        <f>IFERROR(__xludf.DUMMYFUNCTION("""COMPUTED_VALUE"""),"METROPOLITANA III")</f>
      </c>
      <c r="C289" s="9">
        <f>IFERROR(__xludf.DUMMYFUNCTION("""COMPUTED_VALUE"""),"CE OSWALDO TEIXEIRA")</f>
      </c>
      <c r="D289" s="10">
        <f>IFERROR(__xludf.DUMMYFUNCTION("""COMPUTED_VALUE"""),0.4021)</f>
      </c>
      <c r="E289" s="10">
        <f>IFERROR(__xludf.DUMMYFUNCTION("""COMPUTED_VALUE"""),0.2294)</f>
      </c>
      <c r="F289" s="10">
        <f>IFERROR(__xludf.DUMMYFUNCTION("""COMPUTED_VALUE"""),0.6813)</f>
      </c>
      <c r="G289" s="10">
        <f>IFERROR(__xludf.DUMMYFUNCTION("""COMPUTED_VALUE"""),0.193)</f>
      </c>
    </row>
    <row x14ac:dyDescent="0.25" r="290" customHeight="1" ht="15.75">
      <c r="A290" s="8">
        <f>IFERROR(__xludf.DUMMYFUNCTION("""COMPUTED_VALUE"""),25497.0)</f>
      </c>
      <c r="B290" s="9">
        <f>IFERROR(__xludf.DUMMYFUNCTION("""COMPUTED_VALUE"""),"METROPOLITANA III")</f>
      </c>
      <c r="C290" s="9">
        <f>IFERROR(__xludf.DUMMYFUNCTION("""COMPUTED_VALUE"""),"CE PARAIBA")</f>
      </c>
      <c r="D290" s="10">
        <f>IFERROR(__xludf.DUMMYFUNCTION("""COMPUTED_VALUE"""),0.5581)</f>
      </c>
      <c r="E290" s="10">
        <f>IFERROR(__xludf.DUMMYFUNCTION("""COMPUTED_VALUE"""),0.209)</f>
      </c>
      <c r="F290" s="10">
        <f>IFERROR(__xludf.DUMMYFUNCTION("""COMPUTED_VALUE"""),0.5349)</f>
      </c>
      <c r="G290" s="10">
        <f>IFERROR(__xludf.DUMMYFUNCTION("""COMPUTED_VALUE"""),0.1997)</f>
      </c>
    </row>
    <row x14ac:dyDescent="0.25" r="291" customHeight="1" ht="15.75">
      <c r="A291" s="8">
        <f>IFERROR(__xludf.DUMMYFUNCTION("""COMPUTED_VALUE"""),25498.0)</f>
      </c>
      <c r="B291" s="9">
        <f>IFERROR(__xludf.DUMMYFUNCTION("""COMPUTED_VALUE"""),"METROPOLITANA III")</f>
      </c>
      <c r="C291" s="9">
        <f>IFERROR(__xludf.DUMMYFUNCTION("""COMPUTED_VALUE"""),"CE PARANA")</f>
      </c>
      <c r="D291" s="10">
        <f>IFERROR(__xludf.DUMMYFUNCTION("""COMPUTED_VALUE"""),0.5682)</f>
      </c>
      <c r="E291" s="10">
        <f>IFERROR(__xludf.DUMMYFUNCTION("""COMPUTED_VALUE"""),0.2051)</f>
      </c>
      <c r="F291" s="10">
        <f>IFERROR(__xludf.DUMMYFUNCTION("""COMPUTED_VALUE"""),0.6136)</f>
      </c>
      <c r="G291" s="10">
        <f>IFERROR(__xludf.DUMMYFUNCTION("""COMPUTED_VALUE"""),0.1771)</f>
      </c>
    </row>
    <row x14ac:dyDescent="0.25" r="292" customHeight="1" ht="15.75">
      <c r="A292" s="8">
        <f>IFERROR(__xludf.DUMMYFUNCTION("""COMPUTED_VALUE"""),25499.0)</f>
      </c>
      <c r="B292" s="9">
        <f>IFERROR(__xludf.DUMMYFUNCTION("""COMPUTED_VALUE"""),"METROPOLITANA III")</f>
      </c>
      <c r="C292" s="9">
        <f>IFERROR(__xludf.DUMMYFUNCTION("""COMPUTED_VALUE"""),"CE PASTOR MIRANDA PINTO")</f>
      </c>
      <c r="D292" s="10">
        <f>IFERROR(__xludf.DUMMYFUNCTION("""COMPUTED_VALUE"""),0.5833)</f>
      </c>
      <c r="E292" s="10">
        <f>IFERROR(__xludf.DUMMYFUNCTION("""COMPUTED_VALUE"""),0.2228)</f>
      </c>
      <c r="F292" s="10">
        <f>IFERROR(__xludf.DUMMYFUNCTION("""COMPUTED_VALUE"""),0.5098)</f>
      </c>
      <c r="G292" s="10">
        <f>IFERROR(__xludf.DUMMYFUNCTION("""COMPUTED_VALUE"""),0.2061)</f>
      </c>
    </row>
    <row x14ac:dyDescent="0.25" r="293" customHeight="1" ht="15.75">
      <c r="A293" s="8">
        <f>IFERROR(__xludf.DUMMYFUNCTION("""COMPUTED_VALUE"""),25500.0)</f>
      </c>
      <c r="B293" s="9">
        <f>IFERROR(__xludf.DUMMYFUNCTION("""COMPUTED_VALUE"""),"METROPOLITANA III")</f>
      </c>
      <c r="C293" s="9">
        <f>IFERROR(__xludf.DUMMYFUNCTION("""COMPUTED_VALUE"""),"CE PAULO FREIRE")</f>
      </c>
      <c r="D293" s="10">
        <f>IFERROR(__xludf.DUMMYFUNCTION("""COMPUTED_VALUE"""),0.7591)</f>
      </c>
      <c r="E293" s="10">
        <f>IFERROR(__xludf.DUMMYFUNCTION("""COMPUTED_VALUE"""),0.2346)</f>
      </c>
      <c r="F293" s="10">
        <f>IFERROR(__xludf.DUMMYFUNCTION("""COMPUTED_VALUE"""),0.7007)</f>
      </c>
      <c r="G293" s="10">
        <f>IFERROR(__xludf.DUMMYFUNCTION("""COMPUTED_VALUE"""),0.1862)</f>
      </c>
    </row>
    <row x14ac:dyDescent="0.25" r="294" customHeight="1" ht="15.75">
      <c r="A294" s="8">
        <f>IFERROR(__xludf.DUMMYFUNCTION("""COMPUTED_VALUE"""),25501.0)</f>
      </c>
      <c r="B294" s="9">
        <f>IFERROR(__xludf.DUMMYFUNCTION("""COMPUTED_VALUE"""),"METROPOLITANA III")</f>
      </c>
      <c r="C294" s="9">
        <f>IFERROR(__xludf.DUMMYFUNCTION("""COMPUTED_VALUE"""),"CE PERNAMBUCO")</f>
      </c>
      <c r="D294" s="10">
        <f>IFERROR(__xludf.DUMMYFUNCTION("""COMPUTED_VALUE"""),0.6196)</f>
      </c>
      <c r="E294" s="10">
        <f>IFERROR(__xludf.DUMMYFUNCTION("""COMPUTED_VALUE"""),0.204)</f>
      </c>
      <c r="F294" s="10">
        <f>IFERROR(__xludf.DUMMYFUNCTION("""COMPUTED_VALUE"""),0.6034)</f>
      </c>
      <c r="G294" s="10">
        <f>IFERROR(__xludf.DUMMYFUNCTION("""COMPUTED_VALUE"""),0.1911)</f>
      </c>
    </row>
    <row x14ac:dyDescent="0.25" r="295" customHeight="1" ht="15.75">
      <c r="A295" s="8">
        <f>IFERROR(__xludf.DUMMYFUNCTION("""COMPUTED_VALUE"""),25502.0)</f>
      </c>
      <c r="B295" s="9">
        <f>IFERROR(__xludf.DUMMYFUNCTION("""COMPUTED_VALUE"""),"METROPOLITANA III")</f>
      </c>
      <c r="C295" s="9">
        <f>IFERROR(__xludf.DUMMYFUNCTION("""COMPUTED_VALUE"""),"CE PREFEITO MENDES DE MORAES")</f>
      </c>
      <c r="D295" s="10">
        <f>IFERROR(__xludf.DUMMYFUNCTION("""COMPUTED_VALUE"""),0.6862)</f>
      </c>
      <c r="E295" s="10">
        <f>IFERROR(__xludf.DUMMYFUNCTION("""COMPUTED_VALUE"""),0.2541)</f>
      </c>
      <c r="F295" s="10">
        <f>IFERROR(__xludf.DUMMYFUNCTION("""COMPUTED_VALUE"""),0.3469)</f>
      </c>
      <c r="G295" s="10">
        <f>IFERROR(__xludf.DUMMYFUNCTION("""COMPUTED_VALUE"""),0.1937)</f>
      </c>
    </row>
    <row x14ac:dyDescent="0.25" r="296" customHeight="1" ht="15.75">
      <c r="A296" s="8">
        <f>IFERROR(__xludf.DUMMYFUNCTION("""COMPUTED_VALUE"""),25503.0)</f>
      </c>
      <c r="B296" s="9">
        <f>IFERROR(__xludf.DUMMYFUNCTION("""COMPUTED_VALUE"""),"METROPOLITANA III")</f>
      </c>
      <c r="C296" s="9">
        <f>IFERROR(__xludf.DUMMYFUNCTION("""COMPUTED_VALUE"""),"CE PROFESSOR AUGUSTO MOTTA")</f>
      </c>
      <c r="D296" s="10">
        <f>IFERROR(__xludf.DUMMYFUNCTION("""COMPUTED_VALUE"""),0.3692)</f>
      </c>
      <c r="E296" s="10">
        <f>IFERROR(__xludf.DUMMYFUNCTION("""COMPUTED_VALUE"""),0.2152)</f>
      </c>
      <c r="F296" s="10">
        <f>IFERROR(__xludf.DUMMYFUNCTION("""COMPUTED_VALUE"""),0.3538)</f>
      </c>
      <c r="G296" s="10">
        <f>IFERROR(__xludf.DUMMYFUNCTION("""COMPUTED_VALUE"""),0.187)</f>
      </c>
    </row>
    <row x14ac:dyDescent="0.25" r="297" customHeight="1" ht="15.75">
      <c r="A297" s="8">
        <f>IFERROR(__xludf.DUMMYFUNCTION("""COMPUTED_VALUE"""),25504.0)</f>
      </c>
      <c r="B297" s="9">
        <f>IFERROR(__xludf.DUMMYFUNCTION("""COMPUTED_VALUE"""),"METROPOLITANA III")</f>
      </c>
      <c r="C297" s="9">
        <f>IFERROR(__xludf.DUMMYFUNCTION("""COMPUTED_VALUE"""),"CE PROFESSOR CLOVIS MONTEIRO")</f>
      </c>
      <c r="D297" s="10">
        <f>IFERROR(__xludf.DUMMYFUNCTION("""COMPUTED_VALUE"""),0.6058)</f>
      </c>
      <c r="E297" s="10">
        <f>IFERROR(__xludf.DUMMYFUNCTION("""COMPUTED_VALUE"""),0.2349)</f>
      </c>
      <c r="F297" s="10">
        <f>IFERROR(__xludf.DUMMYFUNCTION("""COMPUTED_VALUE"""),0.5247)</f>
      </c>
      <c r="G297" s="10">
        <f>IFERROR(__xludf.DUMMYFUNCTION("""COMPUTED_VALUE"""),0.2052)</f>
      </c>
    </row>
    <row x14ac:dyDescent="0.25" r="298" customHeight="1" ht="15.75">
      <c r="A298" s="8">
        <f>IFERROR(__xludf.DUMMYFUNCTION("""COMPUTED_VALUE"""),25505.0)</f>
      </c>
      <c r="B298" s="9">
        <f>IFERROR(__xludf.DUMMYFUNCTION("""COMPUTED_VALUE"""),"METROPOLITANA III")</f>
      </c>
      <c r="C298" s="9">
        <f>IFERROR(__xludf.DUMMYFUNCTION("""COMPUTED_VALUE"""),"CE PROFESSOR HORACIO MACEDO")</f>
      </c>
      <c r="D298" s="10">
        <f>IFERROR(__xludf.DUMMYFUNCTION("""COMPUTED_VALUE"""),0.8824)</f>
      </c>
      <c r="E298" s="10">
        <f>IFERROR(__xludf.DUMMYFUNCTION("""COMPUTED_VALUE"""),0.3013)</f>
      </c>
      <c r="F298" s="10">
        <f>IFERROR(__xludf.DUMMYFUNCTION("""COMPUTED_VALUE"""),0.7574)</f>
      </c>
      <c r="G298" s="10">
        <f>IFERROR(__xludf.DUMMYFUNCTION("""COMPUTED_VALUE"""),0.2173)</f>
      </c>
    </row>
    <row x14ac:dyDescent="0.25" r="299" customHeight="1" ht="15.75">
      <c r="A299" s="8">
        <f>IFERROR(__xludf.DUMMYFUNCTION("""COMPUTED_VALUE"""),25506.0)</f>
      </c>
      <c r="B299" s="9">
        <f>IFERROR(__xludf.DUMMYFUNCTION("""COMPUTED_VALUE"""),"METROPOLITANA III")</f>
      </c>
      <c r="C299" s="9">
        <f>IFERROR(__xludf.DUMMYFUNCTION("""COMPUTED_VALUE"""),"CE PROFESSOR JOAO BORGES DE MORAES")</f>
      </c>
      <c r="D299" s="10">
        <f>IFERROR(__xludf.DUMMYFUNCTION("""COMPUTED_VALUE"""),0.9627)</f>
      </c>
      <c r="E299" s="10">
        <f>IFERROR(__xludf.DUMMYFUNCTION("""COMPUTED_VALUE"""),0.1675)</f>
      </c>
      <c r="F299" s="10">
        <f>IFERROR(__xludf.DUMMYFUNCTION("""COMPUTED_VALUE"""),0.2547)</f>
      </c>
      <c r="G299" s="10">
        <f>IFERROR(__xludf.DUMMYFUNCTION("""COMPUTED_VALUE"""),0.1815)</f>
      </c>
    </row>
    <row x14ac:dyDescent="0.25" r="300" customHeight="1" ht="15.75">
      <c r="A300" s="8">
        <f>IFERROR(__xludf.DUMMYFUNCTION("""COMPUTED_VALUE"""),25507.0)</f>
      </c>
      <c r="B300" s="9">
        <f>IFERROR(__xludf.DUMMYFUNCTION("""COMPUTED_VALUE"""),"METROPOLITANA III")</f>
      </c>
      <c r="C300" s="9">
        <f>IFERROR(__xludf.DUMMYFUNCTION("""COMPUTED_VALUE"""),"CE PROFESSOR JOEL DE OLIVEIRA")</f>
      </c>
      <c r="D300" s="10">
        <f>IFERROR(__xludf.DUMMYFUNCTION("""COMPUTED_VALUE"""),0.9297)</f>
      </c>
      <c r="E300" s="10">
        <f>IFERROR(__xludf.DUMMYFUNCTION("""COMPUTED_VALUE"""),0.1694)</f>
      </c>
      <c r="F300" s="10">
        <f>IFERROR(__xludf.DUMMYFUNCTION("""COMPUTED_VALUE"""),0.5807)</f>
      </c>
      <c r="G300" s="10">
        <f>IFERROR(__xludf.DUMMYFUNCTION("""COMPUTED_VALUE"""),0.2047)</f>
      </c>
    </row>
    <row x14ac:dyDescent="0.25" r="301" customHeight="1" ht="15.75">
      <c r="A301" s="8">
        <f>IFERROR(__xludf.DUMMYFUNCTION("""COMPUTED_VALUE"""),25508.0)</f>
      </c>
      <c r="B301" s="9">
        <f>IFERROR(__xludf.DUMMYFUNCTION("""COMPUTED_VALUE"""),"METROPOLITANA III")</f>
      </c>
      <c r="C301" s="9">
        <f>IFERROR(__xludf.DUMMYFUNCTION("""COMPUTED_VALUE"""),"CE PROFESSOR JOSE ACCIOLI")</f>
      </c>
      <c r="D301" s="10">
        <f>IFERROR(__xludf.DUMMYFUNCTION("""COMPUTED_VALUE"""),0.9963)</f>
      </c>
      <c r="E301" s="10">
        <f>IFERROR(__xludf.DUMMYFUNCTION("""COMPUTED_VALUE"""),0.2207)</f>
      </c>
      <c r="F301" s="10">
        <f>IFERROR(__xludf.DUMMYFUNCTION("""COMPUTED_VALUE"""),0.6889)</f>
      </c>
      <c r="G301" s="10">
        <f>IFERROR(__xludf.DUMMYFUNCTION("""COMPUTED_VALUE"""),0.2163)</f>
      </c>
    </row>
    <row x14ac:dyDescent="0.25" r="302" customHeight="1" ht="15.75">
      <c r="A302" s="8">
        <f>IFERROR(__xludf.DUMMYFUNCTION("""COMPUTED_VALUE"""),25509.0)</f>
      </c>
      <c r="B302" s="9">
        <f>IFERROR(__xludf.DUMMYFUNCTION("""COMPUTED_VALUE"""),"METROPOLITANA III")</f>
      </c>
      <c r="C302" s="9">
        <f>IFERROR(__xludf.DUMMYFUNCTION("""COMPUTED_VALUE"""),"CE PROFESSOR JOSE DE SOUZA MARQUES")</f>
      </c>
      <c r="D302" s="10">
        <f>IFERROR(__xludf.DUMMYFUNCTION("""COMPUTED_VALUE"""),0.7147)</f>
      </c>
      <c r="E302" s="10">
        <f>IFERROR(__xludf.DUMMYFUNCTION("""COMPUTED_VALUE"""),0.2336)</f>
      </c>
      <c r="F302" s="10">
        <f>IFERROR(__xludf.DUMMYFUNCTION("""COMPUTED_VALUE"""),0.7339)</f>
      </c>
      <c r="G302" s="10">
        <f>IFERROR(__xludf.DUMMYFUNCTION("""COMPUTED_VALUE"""),0.197)</f>
      </c>
    </row>
    <row x14ac:dyDescent="0.25" r="303" customHeight="1" ht="15.75">
      <c r="A303" s="8">
        <f>IFERROR(__xludf.DUMMYFUNCTION("""COMPUTED_VALUE"""),25510.0)</f>
      </c>
      <c r="B303" s="9">
        <f>IFERROR(__xludf.DUMMYFUNCTION("""COMPUTED_VALUE"""),"METROPOLITANA III")</f>
      </c>
      <c r="C303" s="9">
        <f>IFERROR(__xludf.DUMMYFUNCTION("""COMPUTED_VALUE"""),"CE PROFESSOR MANUEL MAURICIO DE ALBUQUERQUE")</f>
      </c>
      <c r="D303" s="10">
        <f>IFERROR(__xludf.DUMMYFUNCTION("""COMPUTED_VALUE"""),0.5348)</f>
      </c>
      <c r="E303" s="10">
        <f>IFERROR(__xludf.DUMMYFUNCTION("""COMPUTED_VALUE"""),0.1946)</f>
      </c>
      <c r="F303" s="10">
        <f>IFERROR(__xludf.DUMMYFUNCTION("""COMPUTED_VALUE"""),0.2198)</f>
      </c>
      <c r="G303" s="10">
        <f>IFERROR(__xludf.DUMMYFUNCTION("""COMPUTED_VALUE"""),0.1916)</f>
      </c>
    </row>
    <row x14ac:dyDescent="0.25" r="304" customHeight="1" ht="15.75">
      <c r="A304" s="8">
        <f>IFERROR(__xludf.DUMMYFUNCTION("""COMPUTED_VALUE"""),25511.0)</f>
      </c>
      <c r="B304" s="9">
        <f>IFERROR(__xludf.DUMMYFUNCTION("""COMPUTED_VALUE"""),"METROPOLITANA III")</f>
      </c>
      <c r="C304" s="9">
        <f>IFERROR(__xludf.DUMMYFUNCTION("""COMPUTED_VALUE"""),"CE PROFESSOR SOUSA DA SILVEIRA")</f>
      </c>
      <c r="D304" s="10">
        <f>IFERROR(__xludf.DUMMYFUNCTION("""COMPUTED_VALUE"""),0.5714)</f>
      </c>
      <c r="E304" s="10">
        <f>IFERROR(__xludf.DUMMYFUNCTION("""COMPUTED_VALUE"""),0.2337)</f>
      </c>
      <c r="F304" s="10">
        <f>IFERROR(__xludf.DUMMYFUNCTION("""COMPUTED_VALUE"""),0.5143)</f>
      </c>
      <c r="G304" s="10">
        <f>IFERROR(__xludf.DUMMYFUNCTION("""COMPUTED_VALUE"""),0.2049)</f>
      </c>
    </row>
    <row x14ac:dyDescent="0.25" r="305" customHeight="1" ht="15.75">
      <c r="A305" s="8">
        <f>IFERROR(__xludf.DUMMYFUNCTION("""COMPUTED_VALUE"""),25512.0)</f>
      </c>
      <c r="B305" s="9">
        <f>IFERROR(__xludf.DUMMYFUNCTION("""COMPUTED_VALUE"""),"METROPOLITANA III")</f>
      </c>
      <c r="C305" s="9">
        <f>IFERROR(__xludf.DUMMYFUNCTION("""COMPUTED_VALUE"""),"CE PROFESSORA DIUMA MADEIRA SALLES DE SOUZA")</f>
      </c>
      <c r="D305" s="10">
        <f>IFERROR(__xludf.DUMMYFUNCTION("""COMPUTED_VALUE"""),0.5775)</f>
      </c>
      <c r="E305" s="10">
        <f>IFERROR(__xludf.DUMMYFUNCTION("""COMPUTED_VALUE"""),0.2117)</f>
      </c>
      <c r="F305" s="10">
        <f>IFERROR(__xludf.DUMMYFUNCTION("""COMPUTED_VALUE"""),0.5506)</f>
      </c>
      <c r="G305" s="10">
        <f>IFERROR(__xludf.DUMMYFUNCTION("""COMPUTED_VALUE"""),0.1913)</f>
      </c>
    </row>
    <row x14ac:dyDescent="0.25" r="306" customHeight="1" ht="15.75">
      <c r="A306" s="8">
        <f>IFERROR(__xludf.DUMMYFUNCTION("""COMPUTED_VALUE"""),25513.0)</f>
      </c>
      <c r="B306" s="9">
        <f>IFERROR(__xludf.DUMMYFUNCTION("""COMPUTED_VALUE"""),"METROPOLITANA III")</f>
      </c>
      <c r="C306" s="9">
        <f>IFERROR(__xludf.DUMMYFUNCTION("""COMPUTED_VALUE"""),"CE PROFESSORA ELIANE MARTINS DANTAS BRASIL ALEMANHA")</f>
      </c>
      <c r="D306" s="10">
        <f>IFERROR(__xludf.DUMMYFUNCTION("""COMPUTED_VALUE"""),0.86)</f>
      </c>
      <c r="E306" s="10">
        <f>IFERROR(__xludf.DUMMYFUNCTION("""COMPUTED_VALUE"""),0.2744)</f>
      </c>
      <c r="F306" s="10">
        <f>IFERROR(__xludf.DUMMYFUNCTION("""COMPUTED_VALUE"""),0.8933)</f>
      </c>
      <c r="G306" s="10">
        <f>IFERROR(__xludf.DUMMYFUNCTION("""COMPUTED_VALUE"""),0.2204)</f>
      </c>
    </row>
    <row x14ac:dyDescent="0.25" r="307" customHeight="1" ht="15.75">
      <c r="A307" s="8">
        <f>IFERROR(__xludf.DUMMYFUNCTION("""COMPUTED_VALUE"""),25514.0)</f>
      </c>
      <c r="B307" s="9">
        <f>IFERROR(__xludf.DUMMYFUNCTION("""COMPUTED_VALUE"""),"METROPOLITANA III")</f>
      </c>
      <c r="C307" s="9">
        <f>IFERROR(__xludf.DUMMYFUNCTION("""COMPUTED_VALUE"""),"CE PROFESSORA LUIZA MARINHO")</f>
      </c>
      <c r="D307" s="10">
        <f>IFERROR(__xludf.DUMMYFUNCTION("""COMPUTED_VALUE"""),0.7396)</f>
      </c>
      <c r="E307" s="10">
        <f>IFERROR(__xludf.DUMMYFUNCTION("""COMPUTED_VALUE"""),0.2268)</f>
      </c>
      <c r="F307" s="10">
        <f>IFERROR(__xludf.DUMMYFUNCTION("""COMPUTED_VALUE"""),0.6456)</f>
      </c>
      <c r="G307" s="10">
        <f>IFERROR(__xludf.DUMMYFUNCTION("""COMPUTED_VALUE"""),0.1934)</f>
      </c>
    </row>
    <row x14ac:dyDescent="0.25" r="308" customHeight="1" ht="15.75">
      <c r="A308" s="8">
        <f>IFERROR(__xludf.DUMMYFUNCTION("""COMPUTED_VALUE"""),25515.0)</f>
      </c>
      <c r="B308" s="9">
        <f>IFERROR(__xludf.DUMMYFUNCTION("""COMPUTED_VALUE"""),"METROPOLITANA III")</f>
      </c>
      <c r="C308" s="9">
        <f>IFERROR(__xludf.DUMMYFUNCTION("""COMPUTED_VALUE"""),"CE PROFESSORA MARIA DE LOURDES DE OLIVEIRA LAVOR - TIA LAVOR")</f>
      </c>
      <c r="D308" s="10">
        <f>IFERROR(__xludf.DUMMYFUNCTION("""COMPUTED_VALUE"""),0.6549)</f>
      </c>
      <c r="E308" s="10">
        <f>IFERROR(__xludf.DUMMYFUNCTION("""COMPUTED_VALUE"""),0.2309)</f>
      </c>
      <c r="F308" s="10">
        <f>IFERROR(__xludf.DUMMYFUNCTION("""COMPUTED_VALUE"""),0.5314)</f>
      </c>
      <c r="G308" s="10">
        <f>IFERROR(__xludf.DUMMYFUNCTION("""COMPUTED_VALUE"""),0.2065)</f>
      </c>
    </row>
    <row x14ac:dyDescent="0.25" r="309" customHeight="1" ht="15.75">
      <c r="A309" s="8">
        <f>IFERROR(__xludf.DUMMYFUNCTION("""COMPUTED_VALUE"""),25516.0)</f>
      </c>
      <c r="B309" s="9">
        <f>IFERROR(__xludf.DUMMYFUNCTION("""COMPUTED_VALUE"""),"METROPOLITANA III")</f>
      </c>
      <c r="C309" s="9">
        <f>IFERROR(__xludf.DUMMYFUNCTION("""COMPUTED_VALUE"""),"CE PROFESSORA MARIA NAZARETH CAVALCANTI SILVA")</f>
      </c>
      <c r="D309" s="10">
        <f>IFERROR(__xludf.DUMMYFUNCTION("""COMPUTED_VALUE"""),0.6253)</f>
      </c>
      <c r="E309" s="10">
        <f>IFERROR(__xludf.DUMMYFUNCTION("""COMPUTED_VALUE"""),0.2121)</f>
      </c>
      <c r="F309" s="10">
        <f>IFERROR(__xludf.DUMMYFUNCTION("""COMPUTED_VALUE"""),0.5151)</f>
      </c>
      <c r="G309" s="10">
        <f>IFERROR(__xludf.DUMMYFUNCTION("""COMPUTED_VALUE"""),0.199)</f>
      </c>
    </row>
    <row x14ac:dyDescent="0.25" r="310" customHeight="1" ht="15.75">
      <c r="A310" s="8">
        <f>IFERROR(__xludf.DUMMYFUNCTION("""COMPUTED_VALUE"""),25517.0)</f>
      </c>
      <c r="B310" s="9">
        <f>IFERROR(__xludf.DUMMYFUNCTION("""COMPUTED_VALUE"""),"METROPOLITANA III")</f>
      </c>
      <c r="C310" s="9">
        <f>IFERROR(__xludf.DUMMYFUNCTION("""COMPUTED_VALUE"""),"CE PROFESSORA SONIA REGINA SCUDESE DESSIMONI PINTO")</f>
      </c>
      <c r="D310" s="10">
        <f>IFERROR(__xludf.DUMMYFUNCTION("""COMPUTED_VALUE"""),0.757)</f>
      </c>
      <c r="E310" s="10">
        <f>IFERROR(__xludf.DUMMYFUNCTION("""COMPUTED_VALUE"""),0.228)</f>
      </c>
      <c r="F310" s="10">
        <f>IFERROR(__xludf.DUMMYFUNCTION("""COMPUTED_VALUE"""),0.6589)</f>
      </c>
      <c r="G310" s="10">
        <f>IFERROR(__xludf.DUMMYFUNCTION("""COMPUTED_VALUE"""),0.21)</f>
      </c>
    </row>
    <row x14ac:dyDescent="0.25" r="311" customHeight="1" ht="15.75">
      <c r="A311" s="8">
        <f>IFERROR(__xludf.DUMMYFUNCTION("""COMPUTED_VALUE"""),25518.0)</f>
      </c>
      <c r="B311" s="9">
        <f>IFERROR(__xludf.DUMMYFUNCTION("""COMPUTED_VALUE"""),"METROPOLITANA III")</f>
      </c>
      <c r="C311" s="9">
        <f>IFERROR(__xludf.DUMMYFUNCTION("""COMPUTED_VALUE"""),"CE REPUBLICA DE ANGOLA")</f>
      </c>
      <c r="D311" s="10">
        <f>IFERROR(__xludf.DUMMYFUNCTION("""COMPUTED_VALUE"""),0.4189)</f>
      </c>
      <c r="E311" s="10">
        <f>IFERROR(__xludf.DUMMYFUNCTION("""COMPUTED_VALUE"""),0.2171)</f>
      </c>
      <c r="F311" s="10">
        <f>IFERROR(__xludf.DUMMYFUNCTION("""COMPUTED_VALUE"""),0.619)</f>
      </c>
      <c r="G311" s="10">
        <f>IFERROR(__xludf.DUMMYFUNCTION("""COMPUTED_VALUE"""),0.2001)</f>
      </c>
    </row>
    <row x14ac:dyDescent="0.25" r="312" customHeight="1" ht="15.75">
      <c r="A312" s="8">
        <f>IFERROR(__xludf.DUMMYFUNCTION("""COMPUTED_VALUE"""),25519.0)</f>
      </c>
      <c r="B312" s="9">
        <f>IFERROR(__xludf.DUMMYFUNCTION("""COMPUTED_VALUE"""),"METROPOLITANA III")</f>
      </c>
      <c r="C312" s="9">
        <f>IFERROR(__xludf.DUMMYFUNCTION("""COMPUTED_VALUE"""),"CE REPUBLICA DE GUINE BISSAU")</f>
      </c>
      <c r="D312" s="10">
        <f>IFERROR(__xludf.DUMMYFUNCTION("""COMPUTED_VALUE"""),0.9541)</f>
      </c>
      <c r="E312" s="10">
        <f>IFERROR(__xludf.DUMMYFUNCTION("""COMPUTED_VALUE"""),0.1406)</f>
      </c>
      <c r="F312" s="10">
        <f>IFERROR(__xludf.DUMMYFUNCTION("""COMPUTED_VALUE"""),0.65)</f>
      </c>
      <c r="G312" s="10">
        <f>IFERROR(__xludf.DUMMYFUNCTION("""COMPUTED_VALUE"""),0.1948)</f>
      </c>
    </row>
    <row x14ac:dyDescent="0.25" r="313" customHeight="1" ht="15.75">
      <c r="A313" s="8">
        <f>IFERROR(__xludf.DUMMYFUNCTION("""COMPUTED_VALUE"""),25520.0)</f>
      </c>
      <c r="B313" s="9">
        <f>IFERROR(__xludf.DUMMYFUNCTION("""COMPUTED_VALUE"""),"METROPOLITANA III")</f>
      </c>
      <c r="C313" s="9">
        <f>IFERROR(__xludf.DUMMYFUNCTION("""COMPUTED_VALUE"""),"CE REPUBLICA DO PERU")</f>
      </c>
      <c r="D313" s="10">
        <f>IFERROR(__xludf.DUMMYFUNCTION("""COMPUTED_VALUE"""),0.4762)</f>
      </c>
      <c r="E313" s="10">
        <f>IFERROR(__xludf.DUMMYFUNCTION("""COMPUTED_VALUE"""),0.1938)</f>
      </c>
      <c r="F313" s="10">
        <f>IFERROR(__xludf.DUMMYFUNCTION("""COMPUTED_VALUE"""),0.4857)</f>
      </c>
      <c r="G313" s="10">
        <f>IFERROR(__xludf.DUMMYFUNCTION("""COMPUTED_VALUE"""),0.1927)</f>
      </c>
    </row>
    <row x14ac:dyDescent="0.25" r="314" customHeight="1" ht="15.75">
      <c r="A314" s="8">
        <f>IFERROR(__xludf.DUMMYFUNCTION("""COMPUTED_VALUE"""),25521.0)</f>
      </c>
      <c r="B314" s="9">
        <f>IFERROR(__xludf.DUMMYFUNCTION("""COMPUTED_VALUE"""),"METROPOLITANA III")</f>
      </c>
      <c r="C314" s="9">
        <f>IFERROR(__xludf.DUMMYFUNCTION("""COMPUTED_VALUE"""),"CE RODRIGO OTÁVIO FILHO")</f>
      </c>
      <c r="D314" s="10">
        <f>IFERROR(__xludf.DUMMYFUNCTION("""COMPUTED_VALUE"""),0.4907)</f>
      </c>
      <c r="E314" s="10">
        <f>IFERROR(__xludf.DUMMYFUNCTION("""COMPUTED_VALUE"""),0.1611)</f>
      </c>
      <c r="F314" s="10">
        <f>IFERROR(__xludf.DUMMYFUNCTION("""COMPUTED_VALUE"""),0.6712)</f>
      </c>
      <c r="G314" s="10">
        <f>IFERROR(__xludf.DUMMYFUNCTION("""COMPUTED_VALUE"""),0.2032)</f>
      </c>
    </row>
    <row x14ac:dyDescent="0.25" r="315" customHeight="1" ht="15.75">
      <c r="A315" s="8">
        <f>IFERROR(__xludf.DUMMYFUNCTION("""COMPUTED_VALUE"""),25522.0)</f>
      </c>
      <c r="B315" s="9">
        <f>IFERROR(__xludf.DUMMYFUNCTION("""COMPUTED_VALUE"""),"METROPOLITANA III")</f>
      </c>
      <c r="C315" s="9">
        <f>IFERROR(__xludf.DUMMYFUNCTION("""COMPUTED_VALUE"""),"CE ROSA LUXEMBURGO")</f>
      </c>
      <c r="D315" s="10">
        <f>IFERROR(__xludf.DUMMYFUNCTION("""COMPUTED_VALUE"""),0.6506)</f>
      </c>
      <c r="E315" s="10">
        <f>IFERROR(__xludf.DUMMYFUNCTION("""COMPUTED_VALUE"""),0.2191)</f>
      </c>
      <c r="F315" s="10">
        <f>IFERROR(__xludf.DUMMYFUNCTION("""COMPUTED_VALUE"""),0.4091)</f>
      </c>
      <c r="G315" s="10">
        <f>IFERROR(__xludf.DUMMYFUNCTION("""COMPUTED_VALUE"""),0.1765)</f>
      </c>
    </row>
    <row x14ac:dyDescent="0.25" r="316" customHeight="1" ht="15.75">
      <c r="A316" s="8">
        <f>IFERROR(__xludf.DUMMYFUNCTION("""COMPUTED_VALUE"""),25524.0)</f>
      </c>
      <c r="B316" s="9">
        <f>IFERROR(__xludf.DUMMYFUNCTION("""COMPUTED_VALUE"""),"METROPOLITANA III")</f>
      </c>
      <c r="C316" s="9">
        <f>IFERROR(__xludf.DUMMYFUNCTION("""COMPUTED_VALUE"""),"CE RUY BARBOSA")</f>
      </c>
      <c r="D316" s="10">
        <f>IFERROR(__xludf.DUMMYFUNCTION("""COMPUTED_VALUE"""),0.9467)</f>
      </c>
      <c r="E316" s="10">
        <f>IFERROR(__xludf.DUMMYFUNCTION("""COMPUTED_VALUE"""),0.1713)</f>
      </c>
      <c r="F316" s="10">
        <f>IFERROR(__xludf.DUMMYFUNCTION("""COMPUTED_VALUE"""),0.7304)</f>
      </c>
      <c r="G316" s="10">
        <f>IFERROR(__xludf.DUMMYFUNCTION("""COMPUTED_VALUE"""),0.2044)</f>
      </c>
    </row>
    <row x14ac:dyDescent="0.25" r="317" customHeight="1" ht="15.75">
      <c r="A317" s="8">
        <f>IFERROR(__xludf.DUMMYFUNCTION("""COMPUTED_VALUE"""),25525.0)</f>
      </c>
      <c r="B317" s="9">
        <f>IFERROR(__xludf.DUMMYFUNCTION("""COMPUTED_VALUE"""),"METROPOLITANA III")</f>
      </c>
      <c r="C317" s="9">
        <f>IFERROR(__xludf.DUMMYFUNCTION("""COMPUTED_VALUE"""),"CE SANTOS DUMONT")</f>
      </c>
      <c r="D317" s="10">
        <f>IFERROR(__xludf.DUMMYFUNCTION("""COMPUTED_VALUE"""),0.732)</f>
      </c>
      <c r="E317" s="10">
        <f>IFERROR(__xludf.DUMMYFUNCTION("""COMPUTED_VALUE"""),0.2135)</f>
      </c>
      <c r="F317" s="10">
        <f>IFERROR(__xludf.DUMMYFUNCTION("""COMPUTED_VALUE"""),0.6392)</f>
      </c>
      <c r="G317" s="10">
        <f>IFERROR(__xludf.DUMMYFUNCTION("""COMPUTED_VALUE"""),0.1938)</f>
      </c>
    </row>
    <row x14ac:dyDescent="0.25" r="318" customHeight="1" ht="15.75">
      <c r="A318" s="8">
        <f>IFERROR(__xludf.DUMMYFUNCTION("""COMPUTED_VALUE"""),25526.0)</f>
      </c>
      <c r="B318" s="9">
        <f>IFERROR(__xludf.DUMMYFUNCTION("""COMPUTED_VALUE"""),"METROPOLITANA III")</f>
      </c>
      <c r="C318" s="9">
        <f>IFERROR(__xludf.DUMMYFUNCTION("""COMPUTED_VALUE"""),"CE SAO JOAO BATISTA")</f>
      </c>
      <c r="D318" s="10">
        <f>IFERROR(__xludf.DUMMYFUNCTION("""COMPUTED_VALUE"""),0.2963)</f>
      </c>
      <c r="E318" s="10">
        <f>IFERROR(__xludf.DUMMYFUNCTION("""COMPUTED_VALUE"""),0.2015)</f>
      </c>
      <c r="F318" s="10">
        <f>IFERROR(__xludf.DUMMYFUNCTION("""COMPUTED_VALUE"""),0.6667)</f>
      </c>
      <c r="G318" s="10">
        <f>IFERROR(__xludf.DUMMYFUNCTION("""COMPUTED_VALUE"""),0.1885)</f>
      </c>
    </row>
    <row x14ac:dyDescent="0.25" r="319" customHeight="1" ht="15.75">
      <c r="A319" s="8">
        <f>IFERROR(__xludf.DUMMYFUNCTION("""COMPUTED_VALUE"""),25527.0)</f>
      </c>
      <c r="B319" s="9">
        <f>IFERROR(__xludf.DUMMYFUNCTION("""COMPUTED_VALUE"""),"METROPOLITANA III")</f>
      </c>
      <c r="C319" s="9">
        <f>IFERROR(__xludf.DUMMYFUNCTION("""COMPUTED_VALUE"""),"CE SENADOR FRANCISCO GALLOTTI")</f>
      </c>
      <c r="D319" s="10">
        <f>IFERROR(__xludf.DUMMYFUNCTION("""COMPUTED_VALUE"""),0.4444)</f>
      </c>
      <c r="E319" s="10">
        <f>IFERROR(__xludf.DUMMYFUNCTION("""COMPUTED_VALUE"""),0.24)</f>
      </c>
      <c r="F319" s="10">
        <f>IFERROR(__xludf.DUMMYFUNCTION("""COMPUTED_VALUE"""),0.25)</f>
      </c>
      <c r="G319" s="10">
        <f>IFERROR(__xludf.DUMMYFUNCTION("""COMPUTED_VALUE"""),0.1778)</f>
      </c>
    </row>
    <row x14ac:dyDescent="0.25" r="320" customHeight="1" ht="15.75">
      <c r="A320" s="8">
        <f>IFERROR(__xludf.DUMMYFUNCTION("""COMPUTED_VALUE"""),25528.0)</f>
      </c>
      <c r="B320" s="9">
        <f>IFERROR(__xludf.DUMMYFUNCTION("""COMPUTED_VALUE"""),"METROPOLITANA III")</f>
      </c>
      <c r="C320" s="9">
        <f>IFERROR(__xludf.DUMMYFUNCTION("""COMPUTED_VALUE"""),"CE TENENTE GENERAL NAPION")</f>
      </c>
      <c r="D320" s="10">
        <f>IFERROR(__xludf.DUMMYFUNCTION("""COMPUTED_VALUE"""),0.9804)</f>
      </c>
      <c r="E320" s="10">
        <f>IFERROR(__xludf.DUMMYFUNCTION("""COMPUTED_VALUE"""),0.1736)</f>
      </c>
      <c r="F320" s="10">
        <f>IFERROR(__xludf.DUMMYFUNCTION("""COMPUTED_VALUE"""),0.701)</f>
      </c>
      <c r="G320" s="10">
        <f>IFERROR(__xludf.DUMMYFUNCTION("""COMPUTED_VALUE"""),0.2098)</f>
      </c>
    </row>
    <row x14ac:dyDescent="0.25" r="321" customHeight="1" ht="15.75">
      <c r="A321" s="8">
        <f>IFERROR(__xludf.DUMMYFUNCTION("""COMPUTED_VALUE"""),25529.0)</f>
      </c>
      <c r="B321" s="9">
        <f>IFERROR(__xludf.DUMMYFUNCTION("""COMPUTED_VALUE"""),"METROPOLITANA III")</f>
      </c>
      <c r="C321" s="9">
        <f>IFERROR(__xludf.DUMMYFUNCTION("""COMPUTED_VALUE"""),"CE TERESA CRISTINA")</f>
      </c>
      <c r="D321" s="10">
        <f>IFERROR(__xludf.DUMMYFUNCTION("""COMPUTED_VALUE"""),0.7647)</f>
      </c>
      <c r="E321" s="10">
        <f>IFERROR(__xludf.DUMMYFUNCTION("""COMPUTED_VALUE"""),0.2178)</f>
      </c>
      <c r="F321" s="10">
        <f>IFERROR(__xludf.DUMMYFUNCTION("""COMPUTED_VALUE"""),0.7432)</f>
      </c>
      <c r="G321" s="10">
        <f>IFERROR(__xludf.DUMMYFUNCTION("""COMPUTED_VALUE"""),0.2107)</f>
      </c>
    </row>
    <row x14ac:dyDescent="0.25" r="322" customHeight="1" ht="15.75">
      <c r="A322" s="8">
        <f>IFERROR(__xludf.DUMMYFUNCTION("""COMPUTED_VALUE"""),25530.0)</f>
      </c>
      <c r="B322" s="9">
        <f>IFERROR(__xludf.DUMMYFUNCTION("""COMPUTED_VALUE"""),"METROPOLITANA III")</f>
      </c>
      <c r="C322" s="9">
        <f>IFERROR(__xludf.DUMMYFUNCTION("""COMPUTED_VALUE"""),"CE VIRGILIO DE MELO FRANCO")</f>
      </c>
      <c r="D322" s="10">
        <f>IFERROR(__xludf.DUMMYFUNCTION("""COMPUTED_VALUE"""),0.811)</f>
      </c>
      <c r="E322" s="10">
        <f>IFERROR(__xludf.DUMMYFUNCTION("""COMPUTED_VALUE"""),0.2306)</f>
      </c>
      <c r="F322" s="10">
        <f>IFERROR(__xludf.DUMMYFUNCTION("""COMPUTED_VALUE"""),0.7323)</f>
      </c>
      <c r="G322" s="10">
        <f>IFERROR(__xludf.DUMMYFUNCTION("""COMPUTED_VALUE"""),0.21)</f>
      </c>
    </row>
    <row x14ac:dyDescent="0.25" r="323" customHeight="1" ht="15.75">
      <c r="A323" s="8">
        <f>IFERROR(__xludf.DUMMYFUNCTION("""COMPUTED_VALUE"""),25531.0)</f>
      </c>
      <c r="B323" s="9">
        <f>IFERROR(__xludf.DUMMYFUNCTION("""COMPUTED_VALUE"""),"METROPOLITANA III")</f>
      </c>
      <c r="C323" s="9">
        <f>IFERROR(__xludf.DUMMYFUNCTION("""COMPUTED_VALUE"""),"CE VISCONDE DE CAIRU")</f>
      </c>
      <c r="D323" s="10">
        <f>IFERROR(__xludf.DUMMYFUNCTION("""COMPUTED_VALUE"""),0.5898)</f>
      </c>
      <c r="E323" s="10">
        <f>IFERROR(__xludf.DUMMYFUNCTION("""COMPUTED_VALUE"""),0.2526)</f>
      </c>
      <c r="F323" s="10">
        <f>IFERROR(__xludf.DUMMYFUNCTION("""COMPUTED_VALUE"""),0.6271)</f>
      </c>
      <c r="G323" s="10">
        <f>IFERROR(__xludf.DUMMYFUNCTION("""COMPUTED_VALUE"""),0.1731)</f>
      </c>
    </row>
    <row x14ac:dyDescent="0.25" r="324" customHeight="1" ht="15.75">
      <c r="A324" s="8">
        <f>IFERROR(__xludf.DUMMYFUNCTION("""COMPUTED_VALUE"""),25532.0)</f>
      </c>
      <c r="B324" s="9">
        <f>IFERROR(__xludf.DUMMYFUNCTION("""COMPUTED_VALUE"""),"METROPOLITANA III")</f>
      </c>
      <c r="C324" s="9">
        <f>IFERROR(__xludf.DUMMYFUNCTION("""COMPUTED_VALUE"""),"CE WALDEMIRO POTSCH")</f>
      </c>
      <c r="D324" s="10">
        <f>IFERROR(__xludf.DUMMYFUNCTION("""COMPUTED_VALUE"""),0.2373)</f>
      </c>
      <c r="E324" s="10">
        <f>IFERROR(__xludf.DUMMYFUNCTION("""COMPUTED_VALUE"""),0.2011)</f>
      </c>
      <c r="F324" s="10">
        <f>IFERROR(__xludf.DUMMYFUNCTION("""COMPUTED_VALUE"""),0.3898)</f>
      </c>
      <c r="G324" s="10">
        <f>IFERROR(__xludf.DUMMYFUNCTION("""COMPUTED_VALUE"""),0.2033)</f>
      </c>
    </row>
    <row x14ac:dyDescent="0.25" r="325" customHeight="1" ht="15.75">
      <c r="A325" s="8">
        <f>IFERROR(__xludf.DUMMYFUNCTION("""COMPUTED_VALUE"""),25536.0)</f>
      </c>
      <c r="B325" s="9">
        <f>IFERROR(__xludf.DUMMYFUNCTION("""COMPUTED_VALUE"""),"METROPOLITANA III")</f>
      </c>
      <c r="C325" s="9">
        <f>IFERROR(__xludf.DUMMYFUNCTION("""COMPUTED_VALUE"""),"CIEP 092 FEDERICO FELLINI")</f>
      </c>
      <c r="D325" s="10">
        <f>IFERROR(__xludf.DUMMYFUNCTION("""COMPUTED_VALUE"""),0.5065)</f>
      </c>
      <c r="E325" s="10">
        <f>IFERROR(__xludf.DUMMYFUNCTION("""COMPUTED_VALUE"""),0.2298)</f>
      </c>
      <c r="F325" s="10">
        <f>IFERROR(__xludf.DUMMYFUNCTION("""COMPUTED_VALUE"""),0.6375)</f>
      </c>
      <c r="G325" s="10">
        <f>IFERROR(__xludf.DUMMYFUNCTION("""COMPUTED_VALUE"""),0.1991)</f>
      </c>
    </row>
    <row x14ac:dyDescent="0.25" r="326" customHeight="1" ht="15.75">
      <c r="A326" s="8">
        <f>IFERROR(__xludf.DUMMYFUNCTION("""COMPUTED_VALUE"""),25537.0)</f>
      </c>
      <c r="B326" s="9">
        <f>IFERROR(__xludf.DUMMYFUNCTION("""COMPUTED_VALUE"""),"METROPOLITANA III")</f>
      </c>
      <c r="C326" s="9">
        <f>IFERROR(__xludf.DUMMYFUNCTION("""COMPUTED_VALUE"""),"CIEP 173 RAINHA NZINGA DE ANGOLA")</f>
      </c>
      <c r="D326" s="10">
        <f>IFERROR(__xludf.DUMMYFUNCTION("""COMPUTED_VALUE"""),0.2286)</f>
      </c>
      <c r="E326" s="10">
        <f>IFERROR(__xludf.DUMMYFUNCTION("""COMPUTED_VALUE"""),0.2072)</f>
      </c>
      <c r="F326" s="10">
        <f>IFERROR(__xludf.DUMMYFUNCTION("""COMPUTED_VALUE"""),0.4571)</f>
      </c>
      <c r="G326" s="10">
        <f>IFERROR(__xludf.DUMMYFUNCTION("""COMPUTED_VALUE"""),0.1954)</f>
      </c>
    </row>
    <row x14ac:dyDescent="0.25" r="327" customHeight="1" ht="15.75">
      <c r="A327" s="8">
        <f>IFERROR(__xludf.DUMMYFUNCTION("""COMPUTED_VALUE"""),25538.0)</f>
      </c>
      <c r="B327" s="9">
        <f>IFERROR(__xludf.DUMMYFUNCTION("""COMPUTED_VALUE"""),"METROPOLITANA III")</f>
      </c>
      <c r="C327" s="9">
        <f>IFERROR(__xludf.DUMMYFUNCTION("""COMPUTED_VALUE"""),"CIEP 195 ANIBAL MACHADO")</f>
      </c>
      <c r="D327" s="10">
        <f>IFERROR(__xludf.DUMMYFUNCTION("""COMPUTED_VALUE"""),0.88)</f>
      </c>
      <c r="E327" s="10">
        <f>IFERROR(__xludf.DUMMYFUNCTION("""COMPUTED_VALUE"""),0.2207)</f>
      </c>
      <c r="F327" s="10">
        <f>IFERROR(__xludf.DUMMYFUNCTION("""COMPUTED_VALUE"""),0.775)</f>
      </c>
      <c r="G327" s="10">
        <f>IFERROR(__xludf.DUMMYFUNCTION("""COMPUTED_VALUE"""),0.1933)</f>
      </c>
    </row>
    <row x14ac:dyDescent="0.25" r="328" customHeight="1" ht="15.75">
      <c r="A328" s="8">
        <f>IFERROR(__xludf.DUMMYFUNCTION("""COMPUTED_VALUE"""),25539.0)</f>
      </c>
      <c r="B328" s="9">
        <f>IFERROR(__xludf.DUMMYFUNCTION("""COMPUTED_VALUE"""),"METROPOLITANA III")</f>
      </c>
      <c r="C328" s="9">
        <f>IFERROR(__xludf.DUMMYFUNCTION("""COMPUTED_VALUE"""),"CIEP 323 MARIA WERNECK DE CASTRO")</f>
      </c>
      <c r="D328" s="10">
        <f>IFERROR(__xludf.DUMMYFUNCTION("""COMPUTED_VALUE"""),0.6202)</f>
      </c>
      <c r="E328" s="10">
        <f>IFERROR(__xludf.DUMMYFUNCTION("""COMPUTED_VALUE"""),0.2344)</f>
      </c>
      <c r="F328" s="10">
        <f>IFERROR(__xludf.DUMMYFUNCTION("""COMPUTED_VALUE"""),0.6245)</f>
      </c>
      <c r="G328" s="10">
        <f>IFERROR(__xludf.DUMMYFUNCTION("""COMPUTED_VALUE"""),0.204)</f>
      </c>
    </row>
    <row x14ac:dyDescent="0.25" r="329" customHeight="1" ht="15.75">
      <c r="A329" s="8">
        <f>IFERROR(__xludf.DUMMYFUNCTION("""COMPUTED_VALUE"""),25540.0)</f>
      </c>
      <c r="B329" s="9">
        <f>IFERROR(__xludf.DUMMYFUNCTION("""COMPUTED_VALUE"""),"METROPOLITANA III")</f>
      </c>
      <c r="C329" s="9">
        <f>IFERROR(__xludf.DUMMYFUNCTION("""COMPUTED_VALUE"""),"CIEP 326 PROFESSOR CESAR PERNETTA")</f>
      </c>
      <c r="D329" s="10">
        <f>IFERROR(__xludf.DUMMYFUNCTION("""COMPUTED_VALUE"""),0.6519)</f>
      </c>
      <c r="E329" s="10">
        <f>IFERROR(__xludf.DUMMYFUNCTION("""COMPUTED_VALUE"""),0.2037)</f>
      </c>
      <c r="F329" s="10">
        <f>IFERROR(__xludf.DUMMYFUNCTION("""COMPUTED_VALUE"""),0.9951)</f>
      </c>
      <c r="G329" s="10">
        <f>IFERROR(__xludf.DUMMYFUNCTION("""COMPUTED_VALUE"""),0.1028)</f>
      </c>
    </row>
    <row x14ac:dyDescent="0.25" r="330" customHeight="1" ht="15.75">
      <c r="A330" s="8">
        <f>IFERROR(__xludf.DUMMYFUNCTION("""COMPUTED_VALUE"""),25541.0)</f>
      </c>
      <c r="B330" s="9">
        <f>IFERROR(__xludf.DUMMYFUNCTION("""COMPUTED_VALUE"""),"METROPOLITANA III")</f>
      </c>
      <c r="C330" s="9">
        <f>IFERROR(__xludf.DUMMYFUNCTION("""COMPUTED_VALUE"""),"CIEP 339 MARIO TAMBORINDEGUY")</f>
      </c>
      <c r="D330" s="10">
        <f>IFERROR(__xludf.DUMMYFUNCTION("""COMPUTED_VALUE"""),0.7232)</f>
      </c>
      <c r="E330" s="10">
        <f>IFERROR(__xludf.DUMMYFUNCTION("""COMPUTED_VALUE"""),0.2234)</f>
      </c>
      <c r="F330" s="10">
        <f>IFERROR(__xludf.DUMMYFUNCTION("""COMPUTED_VALUE"""),0.5725)</f>
      </c>
      <c r="G330" s="10">
        <f>IFERROR(__xludf.DUMMYFUNCTION("""COMPUTED_VALUE"""),0.2054)</f>
      </c>
    </row>
    <row x14ac:dyDescent="0.25" r="331" customHeight="1" ht="15.75">
      <c r="A331" s="8">
        <f>IFERROR(__xludf.DUMMYFUNCTION("""COMPUTED_VALUE"""),25542.0)</f>
      </c>
      <c r="B331" s="9">
        <f>IFERROR(__xludf.DUMMYFUNCTION("""COMPUTED_VALUE"""),"METROPOLITANA III")</f>
      </c>
      <c r="C331" s="9">
        <f>IFERROR(__xludf.DUMMYFUNCTION("""COMPUTED_VALUE"""),"CIEP 379 RAUL SEIXAS")</f>
      </c>
      <c r="D331" s="10">
        <f>IFERROR(__xludf.DUMMYFUNCTION("""COMPUTED_VALUE"""),0.7133)</f>
      </c>
      <c r="E331" s="10">
        <f>IFERROR(__xludf.DUMMYFUNCTION("""COMPUTED_VALUE"""),0.2072)</f>
      </c>
      <c r="F331" s="10">
        <f>IFERROR(__xludf.DUMMYFUNCTION("""COMPUTED_VALUE"""),0.3105)</f>
      </c>
      <c r="G331" s="10">
        <f>IFERROR(__xludf.DUMMYFUNCTION("""COMPUTED_VALUE"""),0.191)</f>
      </c>
    </row>
    <row x14ac:dyDescent="0.25" r="332" customHeight="1" ht="15.75">
      <c r="A332" s="8">
        <f>IFERROR(__xludf.DUMMYFUNCTION("""COMPUTED_VALUE"""),25543.0)</f>
      </c>
      <c r="B332" s="9">
        <f>IFERROR(__xludf.DUMMYFUNCTION("""COMPUTED_VALUE"""),"METROPOLITANA III")</f>
      </c>
      <c r="C332" s="9">
        <f>IFERROR(__xludf.DUMMYFUNCTION("""COMPUTED_VALUE"""),"IE CARMELA DUTRA")</f>
      </c>
      <c r="D332" s="10">
        <f>IFERROR(__xludf.DUMMYFUNCTION("""COMPUTED_VALUE"""),0.6218)</f>
      </c>
      <c r="E332" s="10">
        <f>IFERROR(__xludf.DUMMYFUNCTION("""COMPUTED_VALUE"""),0.2534)</f>
      </c>
      <c r="F332" s="10">
        <f>IFERROR(__xludf.DUMMYFUNCTION("""COMPUTED_VALUE"""),0.4717)</f>
      </c>
      <c r="G332" s="10">
        <f>IFERROR(__xludf.DUMMYFUNCTION("""COMPUTED_VALUE"""),0.2019)</f>
      </c>
    </row>
    <row x14ac:dyDescent="0.25" r="333" customHeight="1" ht="15.75">
      <c r="A333" s="8">
        <f>IFERROR(__xludf.DUMMYFUNCTION("""COMPUTED_VALUE"""),25555.0)</f>
      </c>
      <c r="B333" s="9">
        <f>IFERROR(__xludf.DUMMYFUNCTION("""COMPUTED_VALUE"""),"METROPOLITANA IV")</f>
      </c>
      <c r="C333" s="9">
        <f>IFERROR(__xludf.DUMMYFUNCTION("""COMPUTED_VALUE"""),"CAIC NACOES UNIDAS")</f>
      </c>
      <c r="D333" s="10">
        <f>IFERROR(__xludf.DUMMYFUNCTION("""COMPUTED_VALUE"""),0.5668)</f>
      </c>
      <c r="E333" s="10">
        <f>IFERROR(__xludf.DUMMYFUNCTION("""COMPUTED_VALUE"""),0.2252)</f>
      </c>
      <c r="F333" s="10">
        <f>IFERROR(__xludf.DUMMYFUNCTION("""COMPUTED_VALUE"""),0.0053)</f>
      </c>
      <c r="G333" s="10">
        <f>IFERROR(__xludf.DUMMYFUNCTION("""COMPUTED_VALUE"""),0.1796)</f>
      </c>
    </row>
    <row x14ac:dyDescent="0.25" r="334" customHeight="1" ht="15.75">
      <c r="A334" s="8">
        <f>IFERROR(__xludf.DUMMYFUNCTION("""COMPUTED_VALUE"""),25556.0)</f>
      </c>
      <c r="B334" s="9">
        <f>IFERROR(__xludf.DUMMYFUNCTION("""COMPUTED_VALUE"""),"METROPOLITANA IV")</f>
      </c>
      <c r="C334" s="9">
        <f>IFERROR(__xludf.DUMMYFUNCTION("""COMPUTED_VALUE"""),"CE AGOSTINHO NETO")</f>
      </c>
      <c r="D334" s="10">
        <f>IFERROR(__xludf.DUMMYFUNCTION("""COMPUTED_VALUE"""),0.6387)</f>
      </c>
      <c r="E334" s="10">
        <f>IFERROR(__xludf.DUMMYFUNCTION("""COMPUTED_VALUE"""),0.194)</f>
      </c>
      <c r="F334" s="10">
        <f>IFERROR(__xludf.DUMMYFUNCTION("""COMPUTED_VALUE"""),0.5556)</f>
      </c>
      <c r="G334" s="10">
        <f>IFERROR(__xludf.DUMMYFUNCTION("""COMPUTED_VALUE"""),0.2013)</f>
      </c>
    </row>
    <row x14ac:dyDescent="0.25" r="335" customHeight="1" ht="15.75">
      <c r="A335" s="8">
        <f>IFERROR(__xludf.DUMMYFUNCTION("""COMPUTED_VALUE"""),25557.0)</f>
      </c>
      <c r="B335" s="9">
        <f>IFERROR(__xludf.DUMMYFUNCTION("""COMPUTED_VALUE"""),"METROPOLITANA IV")</f>
      </c>
      <c r="C335" s="9">
        <f>IFERROR(__xludf.DUMMYFUNCTION("""COMPUTED_VALUE"""),"CE ALDEBARA")</f>
      </c>
      <c r="D335" s="10">
        <f>IFERROR(__xludf.DUMMYFUNCTION("""COMPUTED_VALUE"""),0.8448)</f>
      </c>
      <c r="E335" s="10">
        <f>IFERROR(__xludf.DUMMYFUNCTION("""COMPUTED_VALUE"""),0.1678)</f>
      </c>
      <c r="F335" s="10">
        <f>IFERROR(__xludf.DUMMYFUNCTION("""COMPUTED_VALUE"""),0.7232)</f>
      </c>
      <c r="G335" s="10">
        <f>IFERROR(__xludf.DUMMYFUNCTION("""COMPUTED_VALUE"""),0.1989)</f>
      </c>
    </row>
    <row x14ac:dyDescent="0.25" r="336" customHeight="1" ht="15.75">
      <c r="A336" s="8">
        <f>IFERROR(__xludf.DUMMYFUNCTION("""COMPUTED_VALUE"""),25641.0)</f>
      </c>
      <c r="B336" s="9">
        <f>IFERROR(__xludf.DUMMYFUNCTION("""COMPUTED_VALUE"""),"METROPOLITANA IV")</f>
      </c>
      <c r="C336" s="9">
        <f>IFERROR(__xludf.DUMMYFUNCTION("""COMPUTED_VALUE"""),"CE ALICE DE SOUZA BRUNO")</f>
      </c>
      <c r="D336" s="10">
        <f>IFERROR(__xludf.DUMMYFUNCTION("""COMPUTED_VALUE"""),0.8519)</f>
      </c>
      <c r="E336" s="10">
        <f>IFERROR(__xludf.DUMMYFUNCTION("""COMPUTED_VALUE"""),0.2449)</f>
      </c>
      <c r="F336" s="10">
        <f>IFERROR(__xludf.DUMMYFUNCTION("""COMPUTED_VALUE"""),0.8889)</f>
      </c>
      <c r="G336" s="10">
        <f>IFERROR(__xludf.DUMMYFUNCTION("""COMPUTED_VALUE"""),0.1791)</f>
      </c>
    </row>
    <row x14ac:dyDescent="0.25" r="337" customHeight="1" ht="15.75">
      <c r="A337" s="8">
        <f>IFERROR(__xludf.DUMMYFUNCTION("""COMPUTED_VALUE"""),25558.0)</f>
      </c>
      <c r="B337" s="9">
        <f>IFERROR(__xludf.DUMMYFUNCTION("""COMPUTED_VALUE"""),"METROPOLITANA IV")</f>
      </c>
      <c r="C337" s="9">
        <f>IFERROR(__xludf.DUMMYFUNCTION("""COMPUTED_VALUE"""),"CE ALMIRANTE FRONTIN")</f>
      </c>
      <c r="D337" s="10">
        <f>IFERROR(__xludf.DUMMYFUNCTION("""COMPUTED_VALUE"""),0.5818)</f>
      </c>
      <c r="E337" s="10">
        <f>IFERROR(__xludf.DUMMYFUNCTION("""COMPUTED_VALUE"""),0.2186)</f>
      </c>
      <c r="F337" s="10">
        <f>IFERROR(__xludf.DUMMYFUNCTION("""COMPUTED_VALUE"""),0.5948)</f>
      </c>
      <c r="G337" s="10">
        <f>IFERROR(__xludf.DUMMYFUNCTION("""COMPUTED_VALUE"""),0.2454)</f>
      </c>
    </row>
    <row x14ac:dyDescent="0.25" r="338" customHeight="1" ht="15.75">
      <c r="A338" s="8">
        <f>IFERROR(__xludf.DUMMYFUNCTION("""COMPUTED_VALUE"""),25642.0)</f>
      </c>
      <c r="B338" s="9">
        <f>IFERROR(__xludf.DUMMYFUNCTION("""COMPUTED_VALUE"""),"METROPOLITANA IV")</f>
      </c>
      <c r="C338" s="9">
        <f>IFERROR(__xludf.DUMMYFUNCTION("""COMPUTED_VALUE"""),"CE ALVARINA DE CARVALHO JANOTTI")</f>
      </c>
      <c r="D338" s="10">
        <f>IFERROR(__xludf.DUMMYFUNCTION("""COMPUTED_VALUE"""),0.8851)</f>
      </c>
      <c r="E338" s="10">
        <f>IFERROR(__xludf.DUMMYFUNCTION("""COMPUTED_VALUE"""),0.1725)</f>
      </c>
      <c r="F338" s="10">
        <f>IFERROR(__xludf.DUMMYFUNCTION("""COMPUTED_VALUE"""),0.8235)</f>
      </c>
      <c r="G338" s="10">
        <f>IFERROR(__xludf.DUMMYFUNCTION("""COMPUTED_VALUE"""),0.2002)</f>
      </c>
    </row>
    <row x14ac:dyDescent="0.25" r="339" customHeight="1" ht="15.75">
      <c r="A339" s="8">
        <f>IFERROR(__xludf.DUMMYFUNCTION("""COMPUTED_VALUE"""),25559.0)</f>
      </c>
      <c r="B339" s="9">
        <f>IFERROR(__xludf.DUMMYFUNCTION("""COMPUTED_VALUE"""),"METROPOLITANA IV")</f>
      </c>
      <c r="C339" s="9">
        <f>IFERROR(__xludf.DUMMYFUNCTION("""COMPUTED_VALUE"""),"CE AMAZONAS")</f>
      </c>
      <c r="D339" s="10">
        <f>IFERROR(__xludf.DUMMYFUNCTION("""COMPUTED_VALUE"""),0.9547)</f>
      </c>
      <c r="E339" s="10">
        <f>IFERROR(__xludf.DUMMYFUNCTION("""COMPUTED_VALUE"""),0.1771)</f>
      </c>
      <c r="F339" s="10">
        <f>IFERROR(__xludf.DUMMYFUNCTION("""COMPUTED_VALUE"""),0.5694)</f>
      </c>
      <c r="G339" s="10">
        <f>IFERROR(__xludf.DUMMYFUNCTION("""COMPUTED_VALUE"""),0.2027)</f>
      </c>
    </row>
    <row x14ac:dyDescent="0.25" r="340" customHeight="1" ht="15.75">
      <c r="A340" s="8">
        <f>IFERROR(__xludf.DUMMYFUNCTION("""COMPUTED_VALUE"""),25643.0)</f>
      </c>
      <c r="B340" s="9">
        <f>IFERROR(__xludf.DUMMYFUNCTION("""COMPUTED_VALUE"""),"METROPOLITANA IV")</f>
      </c>
      <c r="C340" s="9">
        <f>IFERROR(__xludf.DUMMYFUNCTION("""COMPUTED_VALUE"""),"CE BANANAL")</f>
      </c>
      <c r="D340" s="10">
        <f>IFERROR(__xludf.DUMMYFUNCTION("""COMPUTED_VALUE"""),0.8947)</f>
      </c>
      <c r="E340" s="10">
        <f>IFERROR(__xludf.DUMMYFUNCTION("""COMPUTED_VALUE"""),0.1902)</f>
      </c>
      <c r="F340" s="10">
        <f>IFERROR(__xludf.DUMMYFUNCTION("""COMPUTED_VALUE"""),0.7368)</f>
      </c>
      <c r="G340" s="10">
        <f>IFERROR(__xludf.DUMMYFUNCTION("""COMPUTED_VALUE"""),0.2246)</f>
      </c>
    </row>
    <row x14ac:dyDescent="0.25" r="341" customHeight="1" ht="15.75">
      <c r="A341" s="8">
        <f>IFERROR(__xludf.DUMMYFUNCTION("""COMPUTED_VALUE"""),25560.0)</f>
      </c>
      <c r="B341" s="9">
        <f>IFERROR(__xludf.DUMMYFUNCTION("""COMPUTED_VALUE"""),"METROPOLITANA IV")</f>
      </c>
      <c r="C341" s="9">
        <f>IFERROR(__xludf.DUMMYFUNCTION("""COMPUTED_VALUE"""),"CE BANGU")</f>
      </c>
      <c r="D341" s="10">
        <f>IFERROR(__xludf.DUMMYFUNCTION("""COMPUTED_VALUE"""),0.4848)</f>
      </c>
      <c r="E341" s="10">
        <f>IFERROR(__xludf.DUMMYFUNCTION("""COMPUTED_VALUE"""),0.2178)</f>
      </c>
      <c r="F341" s="10">
        <f>IFERROR(__xludf.DUMMYFUNCTION("""COMPUTED_VALUE"""),0.4712)</f>
      </c>
      <c r="G341" s="10">
        <f>IFERROR(__xludf.DUMMYFUNCTION("""COMPUTED_VALUE"""),0.201)</f>
      </c>
    </row>
    <row x14ac:dyDescent="0.25" r="342" customHeight="1" ht="15.75">
      <c r="A342" s="8">
        <f>IFERROR(__xludf.DUMMYFUNCTION("""COMPUTED_VALUE"""),25561.0)</f>
      </c>
      <c r="B342" s="9">
        <f>IFERROR(__xludf.DUMMYFUNCTION("""COMPUTED_VALUE"""),"METROPOLITANA IV")</f>
      </c>
      <c r="C342" s="9">
        <f>IFERROR(__xludf.DUMMYFUNCTION("""COMPUTED_VALUE"""),"CE BARÃO DE ITARARÉ")</f>
      </c>
      <c r="D342" s="10">
        <f>IFERROR(__xludf.DUMMYFUNCTION("""COMPUTED_VALUE"""),0.6053)</f>
      </c>
      <c r="E342" s="10">
        <f>IFERROR(__xludf.DUMMYFUNCTION("""COMPUTED_VALUE"""),0.1718)</f>
      </c>
      <c r="F342" s="10">
        <f>IFERROR(__xludf.DUMMYFUNCTION("""COMPUTED_VALUE"""),0.8889)</f>
      </c>
      <c r="G342" s="10">
        <f>IFERROR(__xludf.DUMMYFUNCTION("""COMPUTED_VALUE"""),0.1791)</f>
      </c>
    </row>
    <row x14ac:dyDescent="0.25" r="343" customHeight="1" ht="15.75">
      <c r="A343" s="8">
        <f>IFERROR(__xludf.DUMMYFUNCTION("""COMPUTED_VALUE"""),25562.0)</f>
      </c>
      <c r="B343" s="9">
        <f>IFERROR(__xludf.DUMMYFUNCTION("""COMPUTED_VALUE"""),"METROPOLITANA IV")</f>
      </c>
      <c r="C343" s="9">
        <f>IFERROR(__xludf.DUMMYFUNCTION("""COMPUTED_VALUE"""),"CE BARÃO DE SANTA MARGARIDA")</f>
      </c>
      <c r="D343" s="10">
        <f>IFERROR(__xludf.DUMMYFUNCTION("""COMPUTED_VALUE"""),0.4)</f>
      </c>
      <c r="E343" s="10">
        <f>IFERROR(__xludf.DUMMYFUNCTION("""COMPUTED_VALUE"""),0.1984)</f>
      </c>
      <c r="F343" s="10">
        <f>IFERROR(__xludf.DUMMYFUNCTION("""COMPUTED_VALUE"""),0.3222)</f>
      </c>
      <c r="G343" s="10">
        <f>IFERROR(__xludf.DUMMYFUNCTION("""COMPUTED_VALUE"""),0.1828)</f>
      </c>
    </row>
    <row x14ac:dyDescent="0.25" r="344" customHeight="1" ht="15.75">
      <c r="A344" s="8">
        <f>IFERROR(__xludf.DUMMYFUNCTION("""COMPUTED_VALUE"""),25644.0)</f>
      </c>
      <c r="B344" s="9">
        <f>IFERROR(__xludf.DUMMYFUNCTION("""COMPUTED_VALUE"""),"METROPOLITANA IV")</f>
      </c>
      <c r="C344" s="9">
        <f>IFERROR(__xludf.DUMMYFUNCTION("""COMPUTED_VALUE"""),"CE BARAO DE TEFE")</f>
      </c>
      <c r="D344" s="10">
        <f>IFERROR(__xludf.DUMMYFUNCTION("""COMPUTED_VALUE"""),0.8143)</f>
      </c>
      <c r="E344" s="10">
        <f>IFERROR(__xludf.DUMMYFUNCTION("""COMPUTED_VALUE"""),0.2618)</f>
      </c>
      <c r="F344" s="10">
        <f>IFERROR(__xludf.DUMMYFUNCTION("""COMPUTED_VALUE"""),0.7619)</f>
      </c>
      <c r="G344" s="10">
        <f>IFERROR(__xludf.DUMMYFUNCTION("""COMPUTED_VALUE"""),0.209)</f>
      </c>
    </row>
    <row x14ac:dyDescent="0.25" r="345" customHeight="1" ht="15.75">
      <c r="A345" s="8">
        <f>IFERROR(__xludf.DUMMYFUNCTION("""COMPUTED_VALUE"""),25563.0)</f>
      </c>
      <c r="B345" s="9">
        <f>IFERROR(__xludf.DUMMYFUNCTION("""COMPUTED_VALUE"""),"METROPOLITANA IV")</f>
      </c>
      <c r="C345" s="9">
        <f>IFERROR(__xludf.DUMMYFUNCTION("""COMPUTED_VALUE"""),"CE BARAO DO RIO BRANCO")</f>
      </c>
      <c r="D345" s="10">
        <f>IFERROR(__xludf.DUMMYFUNCTION("""COMPUTED_VALUE"""),0.8831)</f>
      </c>
      <c r="E345" s="10">
        <f>IFERROR(__xludf.DUMMYFUNCTION("""COMPUTED_VALUE"""),0.1902)</f>
      </c>
      <c r="F345" s="10">
        <f>IFERROR(__xludf.DUMMYFUNCTION("""COMPUTED_VALUE"""),0.6254)</f>
      </c>
      <c r="G345" s="10">
        <f>IFERROR(__xludf.DUMMYFUNCTION("""COMPUTED_VALUE"""),0.2096)</f>
      </c>
    </row>
    <row x14ac:dyDescent="0.25" r="346" customHeight="1" ht="15.75">
      <c r="A346" s="8">
        <f>IFERROR(__xludf.DUMMYFUNCTION("""COMPUTED_VALUE"""),25564.0)</f>
      </c>
      <c r="B346" s="9">
        <f>IFERROR(__xludf.DUMMYFUNCTION("""COMPUTED_VALUE"""),"METROPOLITANA IV")</f>
      </c>
      <c r="C346" s="9">
        <f>IFERROR(__xludf.DUMMYFUNCTION("""COMPUTED_VALUE"""),"CE BARONESA DE SAAVEDRA")</f>
      </c>
      <c r="D346" s="10">
        <f>IFERROR(__xludf.DUMMYFUNCTION("""COMPUTED_VALUE"""),0.8475)</f>
      </c>
      <c r="E346" s="10">
        <f>IFERROR(__xludf.DUMMYFUNCTION("""COMPUTED_VALUE"""),0.1152)</f>
      </c>
      <c r="F346" s="10">
        <f>IFERROR(__xludf.DUMMYFUNCTION("""COMPUTED_VALUE"""),0.7051)</f>
      </c>
      <c r="G346" s="10">
        <f>IFERROR(__xludf.DUMMYFUNCTION("""COMPUTED_VALUE"""),0.1746)</f>
      </c>
    </row>
    <row x14ac:dyDescent="0.25" r="347" customHeight="1" ht="15.75">
      <c r="A347" s="8">
        <f>IFERROR(__xludf.DUMMYFUNCTION("""COMPUTED_VALUE"""),25565.0)</f>
      </c>
      <c r="B347" s="9">
        <f>IFERROR(__xludf.DUMMYFUNCTION("""COMPUTED_VALUE"""),"METROPOLITANA IV")</f>
      </c>
      <c r="C347" s="9">
        <f>IFERROR(__xludf.DUMMYFUNCTION("""COMPUTED_VALUE"""),"CE CARLOS ARNOLDO ABRUZZINI DA FONSECA")</f>
      </c>
      <c r="D347" s="10">
        <f>IFERROR(__xludf.DUMMYFUNCTION("""COMPUTED_VALUE"""),0.6141)</f>
      </c>
      <c r="E347" s="10">
        <f>IFERROR(__xludf.DUMMYFUNCTION("""COMPUTED_VALUE"""),0.2153)</f>
      </c>
      <c r="F347" s="10">
        <f>IFERROR(__xludf.DUMMYFUNCTION("""COMPUTED_VALUE"""),0.3836)</f>
      </c>
      <c r="G347" s="10">
        <f>IFERROR(__xludf.DUMMYFUNCTION("""COMPUTED_VALUE"""),0.1921)</f>
      </c>
    </row>
    <row x14ac:dyDescent="0.25" r="348" customHeight="1" ht="15.75">
      <c r="A348" s="8">
        <f>IFERROR(__xludf.DUMMYFUNCTION("""COMPUTED_VALUE"""),25566.0)</f>
      </c>
      <c r="B348" s="9">
        <f>IFERROR(__xludf.DUMMYFUNCTION("""COMPUTED_VALUE"""),"METROPOLITANA IV")</f>
      </c>
      <c r="C348" s="9">
        <f>IFERROR(__xludf.DUMMYFUNCTION("""COMPUTED_VALUE"""),"CE CARLOS MAGNO NAZARETH CERQUEIRA")</f>
      </c>
      <c r="D348" s="10">
        <f>IFERROR(__xludf.DUMMYFUNCTION("""COMPUTED_VALUE"""),0.9525)</f>
      </c>
      <c r="E348" s="10">
        <f>IFERROR(__xludf.DUMMYFUNCTION("""COMPUTED_VALUE"""),0.144)</f>
      </c>
      <c r="F348" s="10">
        <f>IFERROR(__xludf.DUMMYFUNCTION("""COMPUTED_VALUE"""),0.4644)</f>
      </c>
      <c r="G348" s="10">
        <f>IFERROR(__xludf.DUMMYFUNCTION("""COMPUTED_VALUE"""),0.1956)</f>
      </c>
    </row>
    <row x14ac:dyDescent="0.25" r="349" customHeight="1" ht="15.75">
      <c r="A349" s="8">
        <f>IFERROR(__xludf.DUMMYFUNCTION("""COMPUTED_VALUE"""),25567.0)</f>
      </c>
      <c r="B349" s="9">
        <f>IFERROR(__xludf.DUMMYFUNCTION("""COMPUTED_VALUE"""),"METROPOLITANA IV")</f>
      </c>
      <c r="C349" s="9">
        <f>IFERROR(__xludf.DUMMYFUNCTION("""COMPUTED_VALUE"""),"CE CHARLES DICKENS")</f>
      </c>
      <c r="D349" s="10">
        <f>IFERROR(__xludf.DUMMYFUNCTION("""COMPUTED_VALUE"""),0.5135)</f>
      </c>
      <c r="E349" s="10">
        <f>IFERROR(__xludf.DUMMYFUNCTION("""COMPUTED_VALUE"""),0.2354)</f>
      </c>
      <c r="F349" s="10">
        <f>IFERROR(__xludf.DUMMYFUNCTION("""COMPUTED_VALUE"""),0.68)</f>
      </c>
      <c r="G349" s="10">
        <f>IFERROR(__xludf.DUMMYFUNCTION("""COMPUTED_VALUE"""),0.22)</f>
      </c>
    </row>
    <row x14ac:dyDescent="0.25" r="350" customHeight="1" ht="15.75">
      <c r="A350" s="8">
        <f>IFERROR(__xludf.DUMMYFUNCTION("""COMPUTED_VALUE"""),25544.0)</f>
      </c>
      <c r="B350" s="9">
        <f>IFERROR(__xludf.DUMMYFUNCTION("""COMPUTED_VALUE"""),"METROPOLITANA IV")</f>
      </c>
      <c r="C350" s="9">
        <f>IFERROR(__xludf.DUMMYFUNCTION("""COMPUTED_VALUE"""),"CE CLODOMIRO VASCONCELOS")</f>
      </c>
      <c r="D350" s="10">
        <f>IFERROR(__xludf.DUMMYFUNCTION("""COMPUTED_VALUE"""),0.7844)</f>
      </c>
      <c r="E350" s="10">
        <f>IFERROR(__xludf.DUMMYFUNCTION("""COMPUTED_VALUE"""),0.2415)</f>
      </c>
      <c r="F350" s="10">
        <f>IFERROR(__xludf.DUMMYFUNCTION("""COMPUTED_VALUE"""),0.6034)</f>
      </c>
      <c r="G350" s="10">
        <f>IFERROR(__xludf.DUMMYFUNCTION("""COMPUTED_VALUE"""),0.2012)</f>
      </c>
    </row>
    <row x14ac:dyDescent="0.25" r="351" customHeight="1" ht="15.75">
      <c r="A351" s="8">
        <f>IFERROR(__xludf.DUMMYFUNCTION("""COMPUTED_VALUE"""),25568.0)</f>
      </c>
      <c r="B351" s="9">
        <f>IFERROR(__xludf.DUMMYFUNCTION("""COMPUTED_VALUE"""),"METROPOLITANA IV")</f>
      </c>
      <c r="C351" s="9">
        <f>IFERROR(__xludf.DUMMYFUNCTION("""COMPUTED_VALUE"""),"CE COELHO NETO")</f>
      </c>
      <c r="D351" s="10">
        <f>IFERROR(__xludf.DUMMYFUNCTION("""COMPUTED_VALUE"""),0.75)</f>
      </c>
      <c r="E351" s="10">
        <f>IFERROR(__xludf.DUMMYFUNCTION("""COMPUTED_VALUE"""),0.214)</f>
      </c>
      <c r="F351" s="10">
        <f>IFERROR(__xludf.DUMMYFUNCTION("""COMPUTED_VALUE"""),0.631)</f>
      </c>
      <c r="G351" s="10">
        <f>IFERROR(__xludf.DUMMYFUNCTION("""COMPUTED_VALUE"""),0.2416)</f>
      </c>
    </row>
    <row x14ac:dyDescent="0.25" r="352" customHeight="1" ht="15.75">
      <c r="A352" s="8">
        <f>IFERROR(__xludf.DUMMYFUNCTION("""COMPUTED_VALUE"""),25569.0)</f>
      </c>
      <c r="B352" s="9">
        <f>IFERROR(__xludf.DUMMYFUNCTION("""COMPUTED_VALUE"""),"METROPOLITANA IV")</f>
      </c>
      <c r="C352" s="9">
        <f>IFERROR(__xludf.DUMMYFUNCTION("""COMPUTED_VALUE"""),"CE COLLECCHIO")</f>
      </c>
      <c r="D352" s="10">
        <f>IFERROR(__xludf.DUMMYFUNCTION("""COMPUTED_VALUE"""),0.6482)</f>
      </c>
      <c r="E352" s="10">
        <f>IFERROR(__xludf.DUMMYFUNCTION("""COMPUTED_VALUE"""),0.2122)</f>
      </c>
      <c r="F352" s="10">
        <f>IFERROR(__xludf.DUMMYFUNCTION("""COMPUTED_VALUE"""),0.3674)</f>
      </c>
      <c r="G352" s="10">
        <f>IFERROR(__xludf.DUMMYFUNCTION("""COMPUTED_VALUE"""),0.2053)</f>
      </c>
    </row>
    <row x14ac:dyDescent="0.25" r="353" customHeight="1" ht="15.75">
      <c r="A353" s="8">
        <f>IFERROR(__xludf.DUMMYFUNCTION("""COMPUTED_VALUE"""),25570.0)</f>
      </c>
      <c r="B353" s="9">
        <f>IFERROR(__xludf.DUMMYFUNCTION("""COMPUTED_VALUE"""),"METROPOLITANA IV")</f>
      </c>
      <c r="C353" s="9">
        <f>IFERROR(__xludf.DUMMYFUNCTION("""COMPUTED_VALUE"""),"CE CORA CORALINA")</f>
      </c>
      <c r="D353" s="10">
        <f>IFERROR(__xludf.DUMMYFUNCTION("""COMPUTED_VALUE"""),0.5667)</f>
      </c>
      <c r="E353" s="10">
        <f>IFERROR(__xludf.DUMMYFUNCTION("""COMPUTED_VALUE"""),0.2005)</f>
      </c>
      <c r="F353" s="10">
        <f>IFERROR(__xludf.DUMMYFUNCTION("""COMPUTED_VALUE"""),0.3583)</f>
      </c>
      <c r="G353" s="10">
        <f>IFERROR(__xludf.DUMMYFUNCTION("""COMPUTED_VALUE"""),0.1961)</f>
      </c>
    </row>
    <row x14ac:dyDescent="0.25" r="354" customHeight="1" ht="15.75">
      <c r="A354" s="8">
        <f>IFERROR(__xludf.DUMMYFUNCTION("""COMPUTED_VALUE"""),25571.0)</f>
      </c>
      <c r="B354" s="9">
        <f>IFERROR(__xludf.DUMMYFUNCTION("""COMPUTED_VALUE"""),"METROPOLITANA IV")</f>
      </c>
      <c r="C354" s="9">
        <f>IFERROR(__xludf.DUMMYFUNCTION("""COMPUTED_VALUE"""),"CE CRISTOVAO COLOMBO")</f>
      </c>
      <c r="D354" s="10">
        <f>IFERROR(__xludf.DUMMYFUNCTION("""COMPUTED_VALUE"""),0.3846)</f>
      </c>
      <c r="E354" s="10">
        <f>IFERROR(__xludf.DUMMYFUNCTION("""COMPUTED_VALUE"""),0.206)</f>
      </c>
      <c r="F354" s="10">
        <f>IFERROR(__xludf.DUMMYFUNCTION("""COMPUTED_VALUE"""),0.3333)</f>
      </c>
      <c r="G354" s="10">
        <f>IFERROR(__xludf.DUMMYFUNCTION("""COMPUTED_VALUE"""),0.1809)</f>
      </c>
    </row>
    <row x14ac:dyDescent="0.25" r="355" customHeight="1" ht="15.75">
      <c r="A355" s="8">
        <f>IFERROR(__xludf.DUMMYFUNCTION("""COMPUTED_VALUE"""),25572.0)</f>
      </c>
      <c r="B355" s="9">
        <f>IFERROR(__xludf.DUMMYFUNCTION("""COMPUTED_VALUE"""),"METROPOLITANA IV")</f>
      </c>
      <c r="C355" s="9">
        <f>IFERROR(__xludf.DUMMYFUNCTION("""COMPUTED_VALUE"""),"CE DALVA DE OLIVEIRA")</f>
      </c>
      <c r="D355" s="10">
        <f>IFERROR(__xludf.DUMMYFUNCTION("""COMPUTED_VALUE"""),0.7053)</f>
      </c>
      <c r="E355" s="10">
        <f>IFERROR(__xludf.DUMMYFUNCTION("""COMPUTED_VALUE"""),0.2074)</f>
      </c>
      <c r="F355" s="10">
        <f>IFERROR(__xludf.DUMMYFUNCTION("""COMPUTED_VALUE"""),0.5128)</f>
      </c>
      <c r="G355" s="10">
        <f>IFERROR(__xludf.DUMMYFUNCTION("""COMPUTED_VALUE"""),0.1922)</f>
      </c>
    </row>
    <row x14ac:dyDescent="0.25" r="356" customHeight="1" ht="15.75">
      <c r="A356" s="8">
        <f>IFERROR(__xludf.DUMMYFUNCTION("""COMPUTED_VALUE"""),25573.0)</f>
      </c>
      <c r="B356" s="9">
        <f>IFERROR(__xludf.DUMMYFUNCTION("""COMPUTED_VALUE"""),"METROPOLITANA IV")</f>
      </c>
      <c r="C356" s="9">
        <f>IFERROR(__xludf.DUMMYFUNCTION("""COMPUTED_VALUE"""),"CE DEBORAH MENDES DE MORAES")</f>
      </c>
      <c r="D356" s="10">
        <f>IFERROR(__xludf.DUMMYFUNCTION("""COMPUTED_VALUE"""),0.8258)</f>
      </c>
      <c r="E356" s="10">
        <f>IFERROR(__xludf.DUMMYFUNCTION("""COMPUTED_VALUE"""),0.2024)</f>
      </c>
      <c r="F356" s="10">
        <f>IFERROR(__xludf.DUMMYFUNCTION("""COMPUTED_VALUE"""),0.7047)</f>
      </c>
      <c r="G356" s="10">
        <f>IFERROR(__xludf.DUMMYFUNCTION("""COMPUTED_VALUE"""),0.2046)</f>
      </c>
    </row>
    <row x14ac:dyDescent="0.25" r="357" customHeight="1" ht="15.75">
      <c r="A357" s="8">
        <f>IFERROR(__xludf.DUMMYFUNCTION("""COMPUTED_VALUE"""),25574.0)</f>
      </c>
      <c r="B357" s="9">
        <f>IFERROR(__xludf.DUMMYFUNCTION("""COMPUTED_VALUE"""),"METROPOLITANA IV")</f>
      </c>
      <c r="C357" s="9">
        <f>IFERROR(__xludf.DUMMYFUNCTION("""COMPUTED_VALUE"""),"CE DOUTOR ALBERT SABIN")</f>
      </c>
      <c r="D357" s="10">
        <f>IFERROR(__xludf.DUMMYFUNCTION("""COMPUTED_VALUE"""),0.6363)</f>
      </c>
      <c r="E357" s="10">
        <f>IFERROR(__xludf.DUMMYFUNCTION("""COMPUTED_VALUE"""),0.2547)</f>
      </c>
      <c r="F357" s="10">
        <f>IFERROR(__xludf.DUMMYFUNCTION("""COMPUTED_VALUE"""),0.467)</f>
      </c>
      <c r="G357" s="10">
        <f>IFERROR(__xludf.DUMMYFUNCTION("""COMPUTED_VALUE"""),0.2117)</f>
      </c>
    </row>
    <row x14ac:dyDescent="0.25" r="358" customHeight="1" ht="15.75">
      <c r="A358" s="8">
        <f>IFERROR(__xludf.DUMMYFUNCTION("""COMPUTED_VALUE"""),25575.0)</f>
      </c>
      <c r="B358" s="9">
        <f>IFERROR(__xludf.DUMMYFUNCTION("""COMPUTED_VALUE"""),"METROPOLITANA IV")</f>
      </c>
      <c r="C358" s="9">
        <f>IFERROR(__xludf.DUMMYFUNCTION("""COMPUTED_VALUE"""),"CE ENGENHEIRO JOAO THOME")</f>
      </c>
      <c r="D358" s="10">
        <f>IFERROR(__xludf.DUMMYFUNCTION("""COMPUTED_VALUE"""),0.6054)</f>
      </c>
      <c r="E358" s="10">
        <f>IFERROR(__xludf.DUMMYFUNCTION("""COMPUTED_VALUE"""),0.2067)</f>
      </c>
      <c r="F358" s="10">
        <f>IFERROR(__xludf.DUMMYFUNCTION("""COMPUTED_VALUE"""),0.4148)</f>
      </c>
      <c r="G358" s="10">
        <f>IFERROR(__xludf.DUMMYFUNCTION("""COMPUTED_VALUE"""),0.2068)</f>
      </c>
    </row>
    <row x14ac:dyDescent="0.25" r="359" customHeight="1" ht="15.75">
      <c r="A359" s="8">
        <f>IFERROR(__xludf.DUMMYFUNCTION("""COMPUTED_VALUE"""),25576.0)</f>
      </c>
      <c r="B359" s="9">
        <f>IFERROR(__xludf.DUMMYFUNCTION("""COMPUTED_VALUE"""),"METROPOLITANA IV")</f>
      </c>
      <c r="C359" s="9">
        <f>IFERROR(__xludf.DUMMYFUNCTION("""COMPUTED_VALUE"""),"CE ERICH WALTER HEINE")</f>
      </c>
      <c r="D359" s="10">
        <f>IFERROR(__xludf.DUMMYFUNCTION("""COMPUTED_VALUE"""),0.45)</f>
      </c>
      <c r="E359" s="10">
        <f>IFERROR(__xludf.DUMMYFUNCTION("""COMPUTED_VALUE"""),0.278)</f>
      </c>
      <c r="F359" s="10">
        <f>IFERROR(__xludf.DUMMYFUNCTION("""COMPUTED_VALUE"""),0.7444)</f>
      </c>
      <c r="G359" s="10">
        <f>IFERROR(__xludf.DUMMYFUNCTION("""COMPUTED_VALUE"""),0.2159)</f>
      </c>
    </row>
    <row x14ac:dyDescent="0.25" r="360" customHeight="1" ht="15.75">
      <c r="A360" s="8">
        <f>IFERROR(__xludf.DUMMYFUNCTION("""COMPUTED_VALUE"""),25578.0)</f>
      </c>
      <c r="B360" s="9">
        <f>IFERROR(__xludf.DUMMYFUNCTION("""COMPUTED_VALUE"""),"METROPOLITANA IV")</f>
      </c>
      <c r="C360" s="9">
        <f>IFERROR(__xludf.DUMMYFUNCTION("""COMPUTED_VALUE"""),"CE FRANCISCO CALDEIRA DE ALVARENGA")</f>
      </c>
      <c r="D360" s="10">
        <f>IFERROR(__xludf.DUMMYFUNCTION("""COMPUTED_VALUE"""),0.9292)</f>
      </c>
      <c r="E360" s="10">
        <f>IFERROR(__xludf.DUMMYFUNCTION("""COMPUTED_VALUE"""),0.1489)</f>
      </c>
      <c r="F360" s="10">
        <f>IFERROR(__xludf.DUMMYFUNCTION("""COMPUTED_VALUE"""),0.5898)</f>
      </c>
      <c r="G360" s="10">
        <f>IFERROR(__xludf.DUMMYFUNCTION("""COMPUTED_VALUE"""),0.2033)</f>
      </c>
    </row>
    <row x14ac:dyDescent="0.25" r="361" customHeight="1" ht="15.75">
      <c r="A361" s="8">
        <f>IFERROR(__xludf.DUMMYFUNCTION("""COMPUTED_VALUE"""),25579.0)</f>
      </c>
      <c r="B361" s="9">
        <f>IFERROR(__xludf.DUMMYFUNCTION("""COMPUTED_VALUE"""),"METROPOLITANA IV")</f>
      </c>
      <c r="C361" s="9">
        <f>IFERROR(__xludf.DUMMYFUNCTION("""COMPUTED_VALUE"""),"CE FREIRE ALLEMAO")</f>
      </c>
      <c r="D361" s="10">
        <f>IFERROR(__xludf.DUMMYFUNCTION("""COMPUTED_VALUE"""),0.5)</f>
      </c>
      <c r="E361" s="10">
        <f>IFERROR(__xludf.DUMMYFUNCTION("""COMPUTED_VALUE"""),0.224)</f>
      </c>
      <c r="F361" s="10">
        <f>IFERROR(__xludf.DUMMYFUNCTION("""COMPUTED_VALUE"""),0.4432)</f>
      </c>
      <c r="G361" s="10">
        <f>IFERROR(__xludf.DUMMYFUNCTION("""COMPUTED_VALUE"""),0.1899)</f>
      </c>
    </row>
    <row x14ac:dyDescent="0.25" r="362" customHeight="1" ht="15.75">
      <c r="A362" s="8">
        <f>IFERROR(__xludf.DUMMYFUNCTION("""COMPUTED_VALUE"""),25580.0)</f>
      </c>
      <c r="B362" s="9">
        <f>IFERROR(__xludf.DUMMYFUNCTION("""COMPUTED_VALUE"""),"METROPOLITANA IV")</f>
      </c>
      <c r="C362" s="9">
        <f>IFERROR(__xludf.DUMMYFUNCTION("""COMPUTED_VALUE"""),"CE GANDHI")</f>
      </c>
      <c r="D362" s="10">
        <f>IFERROR(__xludf.DUMMYFUNCTION("""COMPUTED_VALUE"""),0.7703)</f>
      </c>
      <c r="E362" s="10">
        <f>IFERROR(__xludf.DUMMYFUNCTION("""COMPUTED_VALUE"""),0.2075)</f>
      </c>
      <c r="F362" s="10">
        <f>IFERROR(__xludf.DUMMYFUNCTION("""COMPUTED_VALUE"""),0.605)</f>
      </c>
      <c r="G362" s="10">
        <f>IFERROR(__xludf.DUMMYFUNCTION("""COMPUTED_VALUE"""),0.1952)</f>
      </c>
    </row>
    <row x14ac:dyDescent="0.25" r="363" customHeight="1" ht="15.75">
      <c r="A363" s="8">
        <f>IFERROR(__xludf.DUMMYFUNCTION("""COMPUTED_VALUE"""),25581.0)</f>
      </c>
      <c r="B363" s="9">
        <f>IFERROR(__xludf.DUMMYFUNCTION("""COMPUTED_VALUE"""),"METROPOLITANA IV")</f>
      </c>
      <c r="C363" s="9">
        <f>IFERROR(__xludf.DUMMYFUNCTION("""COMPUTED_VALUE"""),"CE GEORGE WASHINGTON")</f>
      </c>
      <c r="D363" s="10">
        <f>IFERROR(__xludf.DUMMYFUNCTION("""COMPUTED_VALUE"""),0.6415)</f>
      </c>
      <c r="E363" s="10">
        <f>IFERROR(__xludf.DUMMYFUNCTION("""COMPUTED_VALUE"""),0.2018)</f>
      </c>
      <c r="F363" s="10">
        <f>IFERROR(__xludf.DUMMYFUNCTION("""COMPUTED_VALUE"""),0.6226)</f>
      </c>
      <c r="G363" s="10">
        <f>IFERROR(__xludf.DUMMYFUNCTION("""COMPUTED_VALUE"""),0.2015)</f>
      </c>
    </row>
    <row x14ac:dyDescent="0.25" r="364" customHeight="1" ht="15.75">
      <c r="A364" s="8">
        <f>IFERROR(__xludf.DUMMYFUNCTION("""COMPUTED_VALUE"""),25582.0)</f>
      </c>
      <c r="B364" s="9">
        <f>IFERROR(__xludf.DUMMYFUNCTION("""COMPUTED_VALUE"""),"METROPOLITANA IV")</f>
      </c>
      <c r="C364" s="9">
        <f>IFERROR(__xludf.DUMMYFUNCTION("""COMPUTED_VALUE"""),"CE HEBE CAMARGO")</f>
      </c>
      <c r="D364" s="10">
        <f>IFERROR(__xludf.DUMMYFUNCTION("""COMPUTED_VALUE"""),0.947)</f>
      </c>
      <c r="E364" s="10">
        <f>IFERROR(__xludf.DUMMYFUNCTION("""COMPUTED_VALUE"""),0.2365)</f>
      </c>
      <c r="F364" s="10">
        <f>IFERROR(__xludf.DUMMYFUNCTION("""COMPUTED_VALUE"""),0.9356)</f>
      </c>
      <c r="G364" s="10">
        <f>IFERROR(__xludf.DUMMYFUNCTION("""COMPUTED_VALUE"""),0.2323)</f>
      </c>
    </row>
    <row x14ac:dyDescent="0.25" r="365" customHeight="1" ht="15.75">
      <c r="A365" s="8">
        <f>IFERROR(__xludf.DUMMYFUNCTION("""COMPUTED_VALUE"""),25583.0)</f>
      </c>
      <c r="B365" s="9">
        <f>IFERROR(__xludf.DUMMYFUNCTION("""COMPUTED_VALUE"""),"METROPOLITANA IV")</f>
      </c>
      <c r="C365" s="9">
        <f>IFERROR(__xludf.DUMMYFUNCTION("""COMPUTED_VALUE"""),"CE IRINEU JOSE FERREIRA")</f>
      </c>
      <c r="D365" s="10">
        <f>IFERROR(__xludf.DUMMYFUNCTION("""COMPUTED_VALUE"""),0.6836)</f>
      </c>
      <c r="E365" s="10">
        <f>IFERROR(__xludf.DUMMYFUNCTION("""COMPUTED_VALUE"""),0.2329)</f>
      </c>
      <c r="F365" s="10">
        <f>IFERROR(__xludf.DUMMYFUNCTION("""COMPUTED_VALUE"""),0.6626)</f>
      </c>
      <c r="G365" s="10">
        <f>IFERROR(__xludf.DUMMYFUNCTION("""COMPUTED_VALUE"""),0.2059)</f>
      </c>
    </row>
    <row x14ac:dyDescent="0.25" r="366" customHeight="1" ht="15.75">
      <c r="A366" s="8">
        <f>IFERROR(__xludf.DUMMYFUNCTION("""COMPUTED_VALUE"""),25584.0)</f>
      </c>
      <c r="B366" s="9">
        <f>IFERROR(__xludf.DUMMYFUNCTION("""COMPUTED_VALUE"""),"METROPOLITANA IV")</f>
      </c>
      <c r="C366" s="9">
        <f>IFERROR(__xludf.DUMMYFUNCTION("""COMPUTED_VALUE"""),"CE JOAO PROENCA")</f>
      </c>
      <c r="D366" s="10">
        <f>IFERROR(__xludf.DUMMYFUNCTION("""COMPUTED_VALUE"""),0.521)</f>
      </c>
      <c r="E366" s="10">
        <f>IFERROR(__xludf.DUMMYFUNCTION("""COMPUTED_VALUE"""),0.2087)</f>
      </c>
      <c r="F366" s="10">
        <f>IFERROR(__xludf.DUMMYFUNCTION("""COMPUTED_VALUE"""),0.497)</f>
      </c>
      <c r="G366" s="10">
        <f>IFERROR(__xludf.DUMMYFUNCTION("""COMPUTED_VALUE"""),0.2008)</f>
      </c>
    </row>
    <row x14ac:dyDescent="0.25" r="367" customHeight="1" ht="15.75">
      <c r="A367" s="8">
        <f>IFERROR(__xludf.DUMMYFUNCTION("""COMPUTED_VALUE"""),25585.0)</f>
      </c>
      <c r="B367" s="9">
        <f>IFERROR(__xludf.DUMMYFUNCTION("""COMPUTED_VALUE"""),"METROPOLITANA IV")</f>
      </c>
      <c r="C367" s="9">
        <f>IFERROR(__xludf.DUMMYFUNCTION("""COMPUTED_VALUE"""),"CE JOAO SALIM MIGUEL")</f>
      </c>
      <c r="D367" s="10">
        <f>IFERROR(__xludf.DUMMYFUNCTION("""COMPUTED_VALUE"""),0.9858)</f>
      </c>
      <c r="E367" s="10">
        <f>IFERROR(__xludf.DUMMYFUNCTION("""COMPUTED_VALUE"""),0.1929)</f>
      </c>
      <c r="F367" s="10">
        <f>IFERROR(__xludf.DUMMYFUNCTION("""COMPUTED_VALUE"""),0.7423)</f>
      </c>
      <c r="G367" s="10">
        <f>IFERROR(__xludf.DUMMYFUNCTION("""COMPUTED_VALUE"""),0.2161)</f>
      </c>
    </row>
    <row x14ac:dyDescent="0.25" r="368" customHeight="1" ht="15.75">
      <c r="A368" s="8">
        <f>IFERROR(__xludf.DUMMYFUNCTION("""COMPUTED_VALUE"""),25586.0)</f>
      </c>
      <c r="B368" s="9">
        <f>IFERROR(__xludf.DUMMYFUNCTION("""COMPUTED_VALUE"""),"METROPOLITANA IV")</f>
      </c>
      <c r="C368" s="9">
        <f>IFERROR(__xludf.DUMMYFUNCTION("""COMPUTED_VALUE"""),"CE JORGE ZARUR")</f>
      </c>
      <c r="D368" s="10">
        <f>IFERROR(__xludf.DUMMYFUNCTION("""COMPUTED_VALUE"""),0.8301)</f>
      </c>
      <c r="E368" s="10">
        <f>IFERROR(__xludf.DUMMYFUNCTION("""COMPUTED_VALUE"""),0.1804)</f>
      </c>
      <c r="F368" s="10">
        <f>IFERROR(__xludf.DUMMYFUNCTION("""COMPUTED_VALUE"""),0.6453)</f>
      </c>
      <c r="G368" s="10">
        <f>IFERROR(__xludf.DUMMYFUNCTION("""COMPUTED_VALUE"""),0.2033)</f>
      </c>
    </row>
    <row x14ac:dyDescent="0.25" r="369" customHeight="1" ht="15.75">
      <c r="A369" s="8">
        <f>IFERROR(__xludf.DUMMYFUNCTION("""COMPUTED_VALUE"""),25587.0)</f>
      </c>
      <c r="B369" s="9">
        <f>IFERROR(__xludf.DUMMYFUNCTION("""COMPUTED_VALUE"""),"METROPOLITANA IV")</f>
      </c>
      <c r="C369" s="9">
        <f>IFERROR(__xludf.DUMMYFUNCTION("""COMPUTED_VALUE"""),"CE JORNALISTA ARTUR DA TAVOLA")</f>
      </c>
      <c r="D369" s="10">
        <f>IFERROR(__xludf.DUMMYFUNCTION("""COMPUTED_VALUE"""),0.7975)</f>
      </c>
      <c r="E369" s="10">
        <f>IFERROR(__xludf.DUMMYFUNCTION("""COMPUTED_VALUE"""),0.2301)</f>
      </c>
      <c r="F369" s="10">
        <f>IFERROR(__xludf.DUMMYFUNCTION("""COMPUTED_VALUE"""),0.742)</f>
      </c>
      <c r="G369" s="10">
        <f>IFERROR(__xludf.DUMMYFUNCTION("""COMPUTED_VALUE"""),0.2057)</f>
      </c>
    </row>
    <row x14ac:dyDescent="0.25" r="370" customHeight="1" ht="15.75">
      <c r="A370" s="8">
        <f>IFERROR(__xludf.DUMMYFUNCTION("""COMPUTED_VALUE"""),25545.0)</f>
      </c>
      <c r="B370" s="9">
        <f>IFERROR(__xludf.DUMMYFUNCTION("""COMPUTED_VALUE"""),"METROPOLITANA IV")</f>
      </c>
      <c r="C370" s="9">
        <f>IFERROR(__xludf.DUMMYFUNCTION("""COMPUTED_VALUE"""),"CE JOSE MARIA DE BRITO BRASIL JAPAO")</f>
      </c>
      <c r="D370" s="10">
        <f>IFERROR(__xludf.DUMMYFUNCTION("""COMPUTED_VALUE"""),0.6538)</f>
      </c>
      <c r="E370" s="10">
        <f>IFERROR(__xludf.DUMMYFUNCTION("""COMPUTED_VALUE"""),0.2482)</f>
      </c>
      <c r="F370" s="10">
        <f>IFERROR(__xludf.DUMMYFUNCTION("""COMPUTED_VALUE"""),0.6923)</f>
      </c>
      <c r="G370" s="10">
        <f>IFERROR(__xludf.DUMMYFUNCTION("""COMPUTED_VALUE"""),0.2068)</f>
      </c>
    </row>
    <row x14ac:dyDescent="0.25" r="371" customHeight="1" ht="15.75">
      <c r="A371" s="8">
        <f>IFERROR(__xludf.DUMMYFUNCTION("""COMPUTED_VALUE"""),25588.0)</f>
      </c>
      <c r="B371" s="9">
        <f>IFERROR(__xludf.DUMMYFUNCTION("""COMPUTED_VALUE"""),"METROPOLITANA IV")</f>
      </c>
      <c r="C371" s="9">
        <f>IFERROR(__xludf.DUMMYFUNCTION("""COMPUTED_VALUE"""),"CE JUREMA PECANHA GIRAUD")</f>
      </c>
      <c r="D371" s="10">
        <f>IFERROR(__xludf.DUMMYFUNCTION("""COMPUTED_VALUE"""),0.5568)</f>
      </c>
      <c r="E371" s="10">
        <f>IFERROR(__xludf.DUMMYFUNCTION("""COMPUTED_VALUE"""),0.2202)</f>
      </c>
      <c r="F371" s="10">
        <f>IFERROR(__xludf.DUMMYFUNCTION("""COMPUTED_VALUE"""),0.4365)</f>
      </c>
      <c r="G371" s="10">
        <f>IFERROR(__xludf.DUMMYFUNCTION("""COMPUTED_VALUE"""),0.1802)</f>
      </c>
    </row>
    <row x14ac:dyDescent="0.25" r="372" customHeight="1" ht="15.75">
      <c r="A372" s="8">
        <f>IFERROR(__xludf.DUMMYFUNCTION("""COMPUTED_VALUE"""),25589.0)</f>
      </c>
      <c r="B372" s="9">
        <f>IFERROR(__xludf.DUMMYFUNCTION("""COMPUTED_VALUE"""),"METROPOLITANA IV")</f>
      </c>
      <c r="C372" s="9">
        <f>IFERROR(__xludf.DUMMYFUNCTION("""COMPUTED_VALUE"""),"CE LEOPOLDINA DA SILVEIRA")</f>
      </c>
      <c r="D372" s="10">
        <f>IFERROR(__xludf.DUMMYFUNCTION("""COMPUTED_VALUE"""),0.9363)</f>
      </c>
      <c r="E372" s="10">
        <f>IFERROR(__xludf.DUMMYFUNCTION("""COMPUTED_VALUE"""),0.1627)</f>
      </c>
      <c r="F372" s="10">
        <f>IFERROR(__xludf.DUMMYFUNCTION("""COMPUTED_VALUE"""),0.8897)</f>
      </c>
      <c r="G372" s="10">
        <f>IFERROR(__xludf.DUMMYFUNCTION("""COMPUTED_VALUE"""),0.1241)</f>
      </c>
    </row>
    <row x14ac:dyDescent="0.25" r="373" customHeight="1" ht="15.75">
      <c r="A373" s="8">
        <f>IFERROR(__xludf.DUMMYFUNCTION("""COMPUTED_VALUE"""),25590.0)</f>
      </c>
      <c r="B373" s="9">
        <f>IFERROR(__xludf.DUMMYFUNCTION("""COMPUTED_VALUE"""),"METROPOLITANA IV")</f>
      </c>
      <c r="C373" s="9">
        <f>IFERROR(__xludf.DUMMYFUNCTION("""COMPUTED_VALUE"""),"CE LIBERDADE")</f>
      </c>
      <c r="D373" s="10">
        <f>IFERROR(__xludf.DUMMYFUNCTION("""COMPUTED_VALUE"""),0.6868)</f>
      </c>
      <c r="E373" s="10">
        <f>IFERROR(__xludf.DUMMYFUNCTION("""COMPUTED_VALUE"""),0.1946)</f>
      </c>
      <c r="F373" s="10">
        <f>IFERROR(__xludf.DUMMYFUNCTION("""COMPUTED_VALUE"""),0.4339)</f>
      </c>
      <c r="G373" s="10">
        <f>IFERROR(__xludf.DUMMYFUNCTION("""COMPUTED_VALUE"""),0.1966)</f>
      </c>
    </row>
    <row x14ac:dyDescent="0.25" r="374" customHeight="1" ht="15.75">
      <c r="A374" s="8">
        <f>IFERROR(__xludf.DUMMYFUNCTION("""COMPUTED_VALUE"""),25591.0)</f>
      </c>
      <c r="B374" s="9">
        <f>IFERROR(__xludf.DUMMYFUNCTION("""COMPUTED_VALUE"""),"METROPOLITANA IV")</f>
      </c>
      <c r="C374" s="9">
        <f>IFERROR(__xludf.DUMMYFUNCTION("""COMPUTED_VALUE"""),"CE MADRE TERESA DE CALCUTA")</f>
      </c>
      <c r="D374" s="10">
        <f>IFERROR(__xludf.DUMMYFUNCTION("""COMPUTED_VALUE"""),0.9685)</f>
      </c>
      <c r="E374" s="10">
        <f>IFERROR(__xludf.DUMMYFUNCTION("""COMPUTED_VALUE"""),0.1571)</f>
      </c>
      <c r="F374" s="10">
        <f>IFERROR(__xludf.DUMMYFUNCTION("""COMPUTED_VALUE"""),0.6705)</f>
      </c>
      <c r="G374" s="10">
        <f>IFERROR(__xludf.DUMMYFUNCTION("""COMPUTED_VALUE"""),0.1953)</f>
      </c>
    </row>
    <row x14ac:dyDescent="0.25" r="375" customHeight="1" ht="15.75">
      <c r="A375" s="8">
        <f>IFERROR(__xludf.DUMMYFUNCTION("""COMPUTED_VALUE"""),25592.0)</f>
      </c>
      <c r="B375" s="9">
        <f>IFERROR(__xludf.DUMMYFUNCTION("""COMPUTED_VALUE"""),"METROPOLITANA IV")</f>
      </c>
      <c r="C375" s="9">
        <f>IFERROR(__xludf.DUMMYFUNCTION("""COMPUTED_VALUE"""),"CE MARECHAL RONDON")</f>
      </c>
      <c r="D375" s="10">
        <f>IFERROR(__xludf.DUMMYFUNCTION("""COMPUTED_VALUE"""),0.5567)</f>
      </c>
      <c r="E375" s="10">
        <f>IFERROR(__xludf.DUMMYFUNCTION("""COMPUTED_VALUE"""),0.202)</f>
      </c>
      <c r="F375" s="10">
        <f>IFERROR(__xludf.DUMMYFUNCTION("""COMPUTED_VALUE"""),0.5816)</f>
      </c>
      <c r="G375" s="10">
        <f>IFERROR(__xludf.DUMMYFUNCTION("""COMPUTED_VALUE"""),0.1959)</f>
      </c>
    </row>
    <row x14ac:dyDescent="0.25" r="376" customHeight="1" ht="15.75">
      <c r="A376" s="8">
        <f>IFERROR(__xludf.DUMMYFUNCTION("""COMPUTED_VALUE"""),25593.0)</f>
      </c>
      <c r="B376" s="9">
        <f>IFERROR(__xludf.DUMMYFUNCTION("""COMPUTED_VALUE"""),"METROPOLITANA IV")</f>
      </c>
      <c r="C376" s="9">
        <f>IFERROR(__xludf.DUMMYFUNCTION("""COMPUTED_VALUE"""),"CE MARIETA CUNHA DA SILVA")</f>
      </c>
      <c r="D376" s="10">
        <f>IFERROR(__xludf.DUMMYFUNCTION("""COMPUTED_VALUE"""),0.6988)</f>
      </c>
      <c r="E376" s="10">
        <f>IFERROR(__xludf.DUMMYFUNCTION("""COMPUTED_VALUE"""),0.1983)</f>
      </c>
      <c r="F376" s="10">
        <f>IFERROR(__xludf.DUMMYFUNCTION("""COMPUTED_VALUE"""),0.5843)</f>
      </c>
      <c r="G376" s="10">
        <f>IFERROR(__xludf.DUMMYFUNCTION("""COMPUTED_VALUE"""),0.1894)</f>
      </c>
    </row>
    <row x14ac:dyDescent="0.25" r="377" customHeight="1" ht="15.75">
      <c r="A377" s="8">
        <f>IFERROR(__xludf.DUMMYFUNCTION("""COMPUTED_VALUE"""),25594.0)</f>
      </c>
      <c r="B377" s="9">
        <f>IFERROR(__xludf.DUMMYFUNCTION("""COMPUTED_VALUE"""),"METROPOLITANA IV")</f>
      </c>
      <c r="C377" s="9">
        <f>IFERROR(__xludf.DUMMYFUNCTION("""COMPUTED_VALUE"""),"CE MILTON CAMPOS")</f>
      </c>
      <c r="D377" s="10">
        <f>IFERROR(__xludf.DUMMYFUNCTION("""COMPUTED_VALUE"""),0.5524)</f>
      </c>
      <c r="E377" s="10">
        <f>IFERROR(__xludf.DUMMYFUNCTION("""COMPUTED_VALUE"""),0.2171)</f>
      </c>
      <c r="F377" s="10">
        <f>IFERROR(__xludf.DUMMYFUNCTION("""COMPUTED_VALUE"""),0.3243)</f>
      </c>
      <c r="G377" s="10">
        <f>IFERROR(__xludf.DUMMYFUNCTION("""COMPUTED_VALUE"""),0.1918)</f>
      </c>
    </row>
    <row x14ac:dyDescent="0.25" r="378" customHeight="1" ht="15.75">
      <c r="A378" s="8">
        <f>IFERROR(__xludf.DUMMYFUNCTION("""COMPUTED_VALUE"""),25595.0)</f>
      </c>
      <c r="B378" s="9">
        <f>IFERROR(__xludf.DUMMYFUNCTION("""COMPUTED_VALUE"""),"METROPOLITANA IV")</f>
      </c>
      <c r="C378" s="9">
        <f>IFERROR(__xludf.DUMMYFUNCTION("""COMPUTED_VALUE"""),"CE MINISTRO MARCOS FREIRE")</f>
      </c>
      <c r="D378" s="10">
        <f>IFERROR(__xludf.DUMMYFUNCTION("""COMPUTED_VALUE"""),0.5281)</f>
      </c>
      <c r="E378" s="10">
        <f>IFERROR(__xludf.DUMMYFUNCTION("""COMPUTED_VALUE"""),0.1962)</f>
      </c>
      <c r="F378" s="10">
        <f>IFERROR(__xludf.DUMMYFUNCTION("""COMPUTED_VALUE"""),0.3421)</f>
      </c>
      <c r="G378" s="10">
        <f>IFERROR(__xludf.DUMMYFUNCTION("""COMPUTED_VALUE"""),0.1975)</f>
      </c>
    </row>
    <row x14ac:dyDescent="0.25" r="379" customHeight="1" ht="15.75">
      <c r="A379" s="8">
        <f>IFERROR(__xludf.DUMMYFUNCTION("""COMPUTED_VALUE"""),25596.0)</f>
      </c>
      <c r="B379" s="9">
        <f>IFERROR(__xludf.DUMMYFUNCTION("""COMPUTED_VALUE"""),"METROPOLITANA IV")</f>
      </c>
      <c r="C379" s="9">
        <f>IFERROR(__xludf.DUMMYFUNCTION("""COMPUTED_VALUE"""),"CE MISSIONÁRIO MÁRIO WAY")</f>
      </c>
      <c r="D379" s="10">
        <f>IFERROR(__xludf.DUMMYFUNCTION("""COMPUTED_VALUE"""),0.8327)</f>
      </c>
      <c r="E379" s="10">
        <f>IFERROR(__xludf.DUMMYFUNCTION("""COMPUTED_VALUE"""),0.1815)</f>
      </c>
      <c r="F379" s="10">
        <f>IFERROR(__xludf.DUMMYFUNCTION("""COMPUTED_VALUE"""),0.5617)</f>
      </c>
      <c r="G379" s="10">
        <f>IFERROR(__xludf.DUMMYFUNCTION("""COMPUTED_VALUE"""),0.2115)</f>
      </c>
    </row>
    <row x14ac:dyDescent="0.25" r="380" customHeight="1" ht="15.75">
      <c r="A380" s="8">
        <f>IFERROR(__xludf.DUMMYFUNCTION("""COMPUTED_VALUE"""),25597.0)</f>
      </c>
      <c r="B380" s="9">
        <f>IFERROR(__xludf.DUMMYFUNCTION("""COMPUTED_VALUE"""),"METROPOLITANA IV")</f>
      </c>
      <c r="C380" s="9">
        <f>IFERROR(__xludf.DUMMYFUNCTION("""COMPUTED_VALUE"""),"CE MOACYR PADILHA")</f>
      </c>
      <c r="D380" s="10">
        <f>IFERROR(__xludf.DUMMYFUNCTION("""COMPUTED_VALUE"""),0.3304)</f>
      </c>
      <c r="E380" s="10">
        <f>IFERROR(__xludf.DUMMYFUNCTION("""COMPUTED_VALUE"""),0.2288)</f>
      </c>
      <c r="F380" s="10">
        <f>IFERROR(__xludf.DUMMYFUNCTION("""COMPUTED_VALUE"""),0.4957)</f>
      </c>
      <c r="G380" s="10">
        <f>IFERROR(__xludf.DUMMYFUNCTION("""COMPUTED_VALUE"""),0.197)</f>
      </c>
    </row>
    <row x14ac:dyDescent="0.25" r="381" customHeight="1" ht="15.75">
      <c r="A381" s="8">
        <f>IFERROR(__xludf.DUMMYFUNCTION("""COMPUTED_VALUE"""),25598.0)</f>
      </c>
      <c r="B381" s="9">
        <f>IFERROR(__xludf.DUMMYFUNCTION("""COMPUTED_VALUE"""),"METROPOLITANA IV")</f>
      </c>
      <c r="C381" s="9">
        <f>IFERROR(__xludf.DUMMYFUNCTION("""COMPUTED_VALUE"""),"CE MONSENHOR MIGUEL DE SANTA MARIA MOCHON")</f>
      </c>
      <c r="D381" s="10">
        <f>IFERROR(__xludf.DUMMYFUNCTION("""COMPUTED_VALUE"""),0.6959)</f>
      </c>
      <c r="E381" s="10">
        <f>IFERROR(__xludf.DUMMYFUNCTION("""COMPUTED_VALUE"""),0.2714)</f>
      </c>
      <c r="F381" s="10">
        <f>IFERROR(__xludf.DUMMYFUNCTION("""COMPUTED_VALUE"""),0.731)</f>
      </c>
      <c r="G381" s="10">
        <f>IFERROR(__xludf.DUMMYFUNCTION("""COMPUTED_VALUE"""),0.2321)</f>
      </c>
    </row>
    <row x14ac:dyDescent="0.25" r="382" customHeight="1" ht="15.75">
      <c r="A382" s="8">
        <f>IFERROR(__xludf.DUMMYFUNCTION("""COMPUTED_VALUE"""),25599.0)</f>
      </c>
      <c r="B382" s="9">
        <f>IFERROR(__xludf.DUMMYFUNCTION("""COMPUTED_VALUE"""),"METROPOLITANA IV")</f>
      </c>
      <c r="C382" s="9">
        <f>IFERROR(__xludf.DUMMYFUNCTION("""COMPUTED_VALUE"""),"CE MONTEIRO LOBATO")</f>
      </c>
      <c r="D382" s="10">
        <f>IFERROR(__xludf.DUMMYFUNCTION("""COMPUTED_VALUE"""),0.2034)</f>
      </c>
      <c r="E382" s="10">
        <f>IFERROR(__xludf.DUMMYFUNCTION("""COMPUTED_VALUE"""),0.2224)</f>
      </c>
      <c r="F382" s="10">
        <f>IFERROR(__xludf.DUMMYFUNCTION("""COMPUTED_VALUE"""),0.6471)</f>
      </c>
      <c r="G382" s="10">
        <f>IFERROR(__xludf.DUMMYFUNCTION("""COMPUTED_VALUE"""),0.1978)</f>
      </c>
    </row>
    <row x14ac:dyDescent="0.25" r="383" customHeight="1" ht="15.75">
      <c r="A383" s="8">
        <f>IFERROR(__xludf.DUMMYFUNCTION("""COMPUTED_VALUE"""),25600.0)</f>
      </c>
      <c r="B383" s="9">
        <f>IFERROR(__xludf.DUMMYFUNCTION("""COMPUTED_VALUE"""),"METROPOLITANA IV")</f>
      </c>
      <c r="C383" s="9">
        <f>IFERROR(__xludf.DUMMYFUNCTION("""COMPUTED_VALUE"""),"CE NICARAGUA")</f>
      </c>
      <c r="D383" s="10">
        <f>IFERROR(__xludf.DUMMYFUNCTION("""COMPUTED_VALUE"""),0.5615)</f>
      </c>
      <c r="E383" s="10">
        <f>IFERROR(__xludf.DUMMYFUNCTION("""COMPUTED_VALUE"""),0.1986)</f>
      </c>
      <c r="F383" s="10">
        <f>IFERROR(__xludf.DUMMYFUNCTION("""COMPUTED_VALUE"""),0.4077)</f>
      </c>
      <c r="G383" s="10">
        <f>IFERROR(__xludf.DUMMYFUNCTION("""COMPUTED_VALUE"""),0.2)</f>
      </c>
    </row>
    <row x14ac:dyDescent="0.25" r="384" customHeight="1" ht="15.75">
      <c r="A384" s="8">
        <f>IFERROR(__xludf.DUMMYFUNCTION("""COMPUTED_VALUE"""),25601.0)</f>
      </c>
      <c r="B384" s="9">
        <f>IFERROR(__xludf.DUMMYFUNCTION("""COMPUTED_VALUE"""),"METROPOLITANA IV")</f>
      </c>
      <c r="C384" s="9">
        <f>IFERROR(__xludf.DUMMYFUNCTION("""COMPUTED_VALUE"""),"CE PESTALOZZI")</f>
      </c>
      <c r="D384" s="10">
        <f>IFERROR(__xludf.DUMMYFUNCTION("""COMPUTED_VALUE"""),0.6493)</f>
      </c>
      <c r="E384" s="10">
        <f>IFERROR(__xludf.DUMMYFUNCTION("""COMPUTED_VALUE"""),0.1961)</f>
      </c>
      <c r="F384" s="10">
        <f>IFERROR(__xludf.DUMMYFUNCTION("""COMPUTED_VALUE"""),0.2985)</f>
      </c>
      <c r="G384" s="10">
        <f>IFERROR(__xludf.DUMMYFUNCTION("""COMPUTED_VALUE"""),0.1767)</f>
      </c>
    </row>
    <row x14ac:dyDescent="0.25" r="385" customHeight="1" ht="15.75">
      <c r="A385" s="8">
        <f>IFERROR(__xludf.DUMMYFUNCTION("""COMPUTED_VALUE"""),25645.0)</f>
      </c>
      <c r="B385" s="9">
        <f>IFERROR(__xludf.DUMMYFUNCTION("""COMPUTED_VALUE"""),"METROPOLITANA IV")</f>
      </c>
      <c r="C385" s="9">
        <f>IFERROR(__xludf.DUMMYFUNCTION("""COMPUTED_VALUE"""),"CE PIRANEMA")</f>
      </c>
      <c r="D385" s="10">
        <f>IFERROR(__xludf.DUMMYFUNCTION("""COMPUTED_VALUE"""),0.9464)</f>
      </c>
      <c r="E385" s="10">
        <f>IFERROR(__xludf.DUMMYFUNCTION("""COMPUTED_VALUE"""),0.2282)</f>
      </c>
      <c r="F385" s="10">
        <f>IFERROR(__xludf.DUMMYFUNCTION("""COMPUTED_VALUE"""),0.8611)</f>
      </c>
      <c r="G385" s="10">
        <f>IFERROR(__xludf.DUMMYFUNCTION("""COMPUTED_VALUE"""),0.209)</f>
      </c>
    </row>
    <row x14ac:dyDescent="0.25" r="386" customHeight="1" ht="15.75">
      <c r="A386" s="8">
        <f>IFERROR(__xludf.DUMMYFUNCTION("""COMPUTED_VALUE"""),25602.0)</f>
      </c>
      <c r="B386" s="9">
        <f>IFERROR(__xludf.DUMMYFUNCTION("""COMPUTED_VALUE"""),"METROPOLITANA IV")</f>
      </c>
      <c r="C386" s="9">
        <f>IFERROR(__xludf.DUMMYFUNCTION("""COMPUTED_VALUE"""),"CE PRESIDENTE ANTONIO CARLOS")</f>
      </c>
      <c r="D386" s="10">
        <f>IFERROR(__xludf.DUMMYFUNCTION("""COMPUTED_VALUE"""),0.5946)</f>
      </c>
      <c r="E386" s="10">
        <f>IFERROR(__xludf.DUMMYFUNCTION("""COMPUTED_VALUE"""),0.2286)</f>
      </c>
      <c r="F386" s="10">
        <f>IFERROR(__xludf.DUMMYFUNCTION("""COMPUTED_VALUE"""),0.4662)</f>
      </c>
      <c r="G386" s="10">
        <f>IFERROR(__xludf.DUMMYFUNCTION("""COMPUTED_VALUE"""),0.1946)</f>
      </c>
    </row>
    <row x14ac:dyDescent="0.25" r="387" customHeight="1" ht="15.75">
      <c r="A387" s="8">
        <f>IFERROR(__xludf.DUMMYFUNCTION("""COMPUTED_VALUE"""),25646.0)</f>
      </c>
      <c r="B387" s="9">
        <f>IFERROR(__xludf.DUMMYFUNCTION("""COMPUTED_VALUE"""),"METROPOLITANA IV")</f>
      </c>
      <c r="C387" s="9">
        <f>IFERROR(__xludf.DUMMYFUNCTION("""COMPUTED_VALUE"""),"CE PRESIDENTE DUTRA")</f>
      </c>
      <c r="D387" s="10">
        <f>IFERROR(__xludf.DUMMYFUNCTION("""COMPUTED_VALUE"""),0.9617)</f>
      </c>
      <c r="E387" s="10">
        <f>IFERROR(__xludf.DUMMYFUNCTION("""COMPUTED_VALUE"""),0.1671)</f>
      </c>
      <c r="F387" s="10">
        <f>IFERROR(__xludf.DUMMYFUNCTION("""COMPUTED_VALUE"""),0.5133)</f>
      </c>
      <c r="G387" s="10">
        <f>IFERROR(__xludf.DUMMYFUNCTION("""COMPUTED_VALUE"""),0.2123)</f>
      </c>
    </row>
    <row x14ac:dyDescent="0.25" r="388" customHeight="1" ht="15.75">
      <c r="A388" s="8">
        <f>IFERROR(__xludf.DUMMYFUNCTION("""COMPUTED_VALUE"""),25603.0)</f>
      </c>
      <c r="B388" s="9">
        <f>IFERROR(__xludf.DUMMYFUNCTION("""COMPUTED_VALUE"""),"METROPOLITANA IV")</f>
      </c>
      <c r="C388" s="9">
        <f>IFERROR(__xludf.DUMMYFUNCTION("""COMPUTED_VALUE"""),"CE PROFESSOR DALTRO SANTOS")</f>
      </c>
      <c r="D388" s="10">
        <f>IFERROR(__xludf.DUMMYFUNCTION("""COMPUTED_VALUE"""),0.6356)</f>
      </c>
      <c r="E388" s="10">
        <f>IFERROR(__xludf.DUMMYFUNCTION("""COMPUTED_VALUE"""),0.1943)</f>
      </c>
      <c r="F388" s="10">
        <f>IFERROR(__xludf.DUMMYFUNCTION("""COMPUTED_VALUE"""),0.5254)</f>
      </c>
      <c r="G388" s="10">
        <f>IFERROR(__xludf.DUMMYFUNCTION("""COMPUTED_VALUE"""),0.1961)</f>
      </c>
    </row>
    <row x14ac:dyDescent="0.25" r="389" customHeight="1" ht="15.75">
      <c r="A389" s="8">
        <f>IFERROR(__xludf.DUMMYFUNCTION("""COMPUTED_VALUE"""),25604.0)</f>
      </c>
      <c r="B389" s="9">
        <f>IFERROR(__xludf.DUMMYFUNCTION("""COMPUTED_VALUE"""),"METROPOLITANA IV")</f>
      </c>
      <c r="C389" s="9">
        <f>IFERROR(__xludf.DUMMYFUNCTION("""COMPUTED_VALUE"""),"CE PROFESSOR FERNANDO ANTONIO RAJA GABAGLIA")</f>
      </c>
      <c r="D389" s="10">
        <f>IFERROR(__xludf.DUMMYFUNCTION("""COMPUTED_VALUE"""),0.9437)</f>
      </c>
      <c r="E389" s="10">
        <f>IFERROR(__xludf.DUMMYFUNCTION("""COMPUTED_VALUE"""),0.1581)</f>
      </c>
      <c r="F389" s="10">
        <f>IFERROR(__xludf.DUMMYFUNCTION("""COMPUTED_VALUE"""),0.6709)</f>
      </c>
      <c r="G389" s="10">
        <f>IFERROR(__xludf.DUMMYFUNCTION("""COMPUTED_VALUE"""),0.2176)</f>
      </c>
    </row>
    <row x14ac:dyDescent="0.25" r="390" customHeight="1" ht="15.75">
      <c r="A390" s="8">
        <f>IFERROR(__xludf.DUMMYFUNCTION("""COMPUTED_VALUE"""),25605.0)</f>
      </c>
      <c r="B390" s="9">
        <f>IFERROR(__xludf.DUMMYFUNCTION("""COMPUTED_VALUE"""),"METROPOLITANA IV")</f>
      </c>
      <c r="C390" s="9">
        <f>IFERROR(__xludf.DUMMYFUNCTION("""COMPUTED_VALUE"""),"CE PROFESSOR GONCALVES")</f>
      </c>
      <c r="D390" s="10">
        <f>IFERROR(__xludf.DUMMYFUNCTION("""COMPUTED_VALUE"""),0.439)</f>
      </c>
      <c r="E390" s="10">
        <f>IFERROR(__xludf.DUMMYFUNCTION("""COMPUTED_VALUE"""),0.1836)</f>
      </c>
      <c r="F390" s="10">
        <f>IFERROR(__xludf.DUMMYFUNCTION("""COMPUTED_VALUE"""),0.5238)</f>
      </c>
      <c r="G390" s="10">
        <f>IFERROR(__xludf.DUMMYFUNCTION("""COMPUTED_VALUE"""),0.1734)</f>
      </c>
    </row>
    <row x14ac:dyDescent="0.25" r="391" customHeight="1" ht="15.75">
      <c r="A391" s="8">
        <f>IFERROR(__xludf.DUMMYFUNCTION("""COMPUTED_VALUE"""),25546.0)</f>
      </c>
      <c r="B391" s="9">
        <f>IFERROR(__xludf.DUMMYFUNCTION("""COMPUTED_VALUE"""),"METROPOLITANA IV")</f>
      </c>
      <c r="C391" s="9">
        <f>IFERROR(__xludf.DUMMYFUNCTION("""COMPUTED_VALUE"""),"CE PROFESSOR NEY CIDADE PALMEIRO")</f>
      </c>
      <c r="D391" s="10">
        <f>IFERROR(__xludf.DUMMYFUNCTION("""COMPUTED_VALUE"""),0.8664)</f>
      </c>
      <c r="E391" s="10">
        <f>IFERROR(__xludf.DUMMYFUNCTION("""COMPUTED_VALUE"""),0.2601)</f>
      </c>
      <c r="F391" s="10">
        <f>IFERROR(__xludf.DUMMYFUNCTION("""COMPUTED_VALUE"""),0.7762)</f>
      </c>
      <c r="G391" s="10">
        <f>IFERROR(__xludf.DUMMYFUNCTION("""COMPUTED_VALUE"""),0.2045)</f>
      </c>
    </row>
    <row x14ac:dyDescent="0.25" r="392" customHeight="1" ht="15.75">
      <c r="A392" s="8">
        <f>IFERROR(__xludf.DUMMYFUNCTION("""COMPUTED_VALUE"""),25606.0)</f>
      </c>
      <c r="B392" s="9">
        <f>IFERROR(__xludf.DUMMYFUNCTION("""COMPUTED_VALUE"""),"METROPOLITANA IV")</f>
      </c>
      <c r="C392" s="9">
        <f>IFERROR(__xludf.DUMMYFUNCTION("""COMPUTED_VALUE"""),"CE PROFESSOR OZEAS GOMES LARANGEIRAS")</f>
      </c>
      <c r="D392" s="10">
        <f>IFERROR(__xludf.DUMMYFUNCTION("""COMPUTED_VALUE"""),0.6257)</f>
      </c>
      <c r="E392" s="10">
        <f>IFERROR(__xludf.DUMMYFUNCTION("""COMPUTED_VALUE"""),0.1791)</f>
      </c>
      <c r="F392" s="10">
        <f>IFERROR(__xludf.DUMMYFUNCTION("""COMPUTED_VALUE"""),0.6871)</f>
      </c>
      <c r="G392" s="10">
        <f>IFERROR(__xludf.DUMMYFUNCTION("""COMPUTED_VALUE"""),0.1963)</f>
      </c>
    </row>
    <row x14ac:dyDescent="0.25" r="393" customHeight="1" ht="15.75">
      <c r="A393" s="8">
        <f>IFERROR(__xludf.DUMMYFUNCTION("""COMPUTED_VALUE"""),25647.0)</f>
      </c>
      <c r="B393" s="9">
        <f>IFERROR(__xludf.DUMMYFUNCTION("""COMPUTED_VALUE"""),"METROPOLITANA IV")</f>
      </c>
      <c r="C393" s="9">
        <f>IFERROR(__xludf.DUMMYFUNCTION("""COMPUTED_VALUE"""),"CE PROFESSOR ROBERTO LYRA")</f>
      </c>
      <c r="D393" s="10">
        <f>IFERROR(__xludf.DUMMYFUNCTION("""COMPUTED_VALUE"""),0.7027)</f>
      </c>
      <c r="E393" s="10">
        <f>IFERROR(__xludf.DUMMYFUNCTION("""COMPUTED_VALUE"""),0.2113)</f>
      </c>
      <c r="F393" s="10">
        <f>IFERROR(__xludf.DUMMYFUNCTION("""COMPUTED_VALUE"""),0.6602)</f>
      </c>
      <c r="G393" s="10">
        <f>IFERROR(__xludf.DUMMYFUNCTION("""COMPUTED_VALUE"""),0.2017)</f>
      </c>
    </row>
    <row x14ac:dyDescent="0.25" r="394" customHeight="1" ht="15.75">
      <c r="A394" s="8">
        <f>IFERROR(__xludf.DUMMYFUNCTION("""COMPUTED_VALUE"""),25607.0)</f>
      </c>
      <c r="B394" s="9">
        <f>IFERROR(__xludf.DUMMYFUNCTION("""COMPUTED_VALUE"""),"METROPOLITANA IV")</f>
      </c>
      <c r="C394" s="9">
        <f>IFERROR(__xludf.DUMMYFUNCTION("""COMPUTED_VALUE"""),"CE PROFESSOR VIEIRA FAZENDA")</f>
      </c>
      <c r="D394" s="10">
        <f>IFERROR(__xludf.DUMMYFUNCTION("""COMPUTED_VALUE"""),0.8182)</f>
      </c>
      <c r="E394" s="10">
        <f>IFERROR(__xludf.DUMMYFUNCTION("""COMPUTED_VALUE"""),0.216)</f>
      </c>
      <c r="F394" s="10">
        <f>IFERROR(__xludf.DUMMYFUNCTION("""COMPUTED_VALUE"""),0.7348)</f>
      </c>
      <c r="G394" s="10">
        <f>IFERROR(__xludf.DUMMYFUNCTION("""COMPUTED_VALUE"""),0.1991)</f>
      </c>
    </row>
    <row x14ac:dyDescent="0.25" r="395" customHeight="1" ht="15.75">
      <c r="A395" s="8">
        <f>IFERROR(__xludf.DUMMYFUNCTION("""COMPUTED_VALUE"""),25648.0)</f>
      </c>
      <c r="B395" s="9">
        <f>IFERROR(__xludf.DUMMYFUNCTION("""COMPUTED_VALUE"""),"METROPOLITANA IV")</f>
      </c>
      <c r="C395" s="9">
        <f>IFERROR(__xludf.DUMMYFUNCTION("""COMPUTED_VALUE"""),"CE PROFESSOR WALDEMAR RAYTHE")</f>
      </c>
      <c r="D395" s="10">
        <f>IFERROR(__xludf.DUMMYFUNCTION("""COMPUTED_VALUE"""),0.7389)</f>
      </c>
      <c r="E395" s="10">
        <f>IFERROR(__xludf.DUMMYFUNCTION("""COMPUTED_VALUE"""),0.2033)</f>
      </c>
      <c r="F395" s="10">
        <f>IFERROR(__xludf.DUMMYFUNCTION("""COMPUTED_VALUE"""),0.4904)</f>
      </c>
      <c r="G395" s="10">
        <f>IFERROR(__xludf.DUMMYFUNCTION("""COMPUTED_VALUE"""),0.1975)</f>
      </c>
    </row>
    <row x14ac:dyDescent="0.25" r="396" customHeight="1" ht="15.75">
      <c r="A396" s="8">
        <f>IFERROR(__xludf.DUMMYFUNCTION("""COMPUTED_VALUE"""),25608.0)</f>
      </c>
      <c r="B396" s="9">
        <f>IFERROR(__xludf.DUMMYFUNCTION("""COMPUTED_VALUE"""),"METROPOLITANA IV")</f>
      </c>
      <c r="C396" s="9">
        <f>IFERROR(__xludf.DUMMYFUNCTION("""COMPUTED_VALUE"""),"CE PROFESSORA ALBA CANIZARES DO NASCIMENTO")</f>
      </c>
      <c r="D396" s="10">
        <f>IFERROR(__xludf.DUMMYFUNCTION("""COMPUTED_VALUE"""),0.1857)</f>
      </c>
      <c r="E396" s="10">
        <f>IFERROR(__xludf.DUMMYFUNCTION("""COMPUTED_VALUE"""),0.1769)</f>
      </c>
      <c r="F396" s="10">
        <f>IFERROR(__xludf.DUMMYFUNCTION("""COMPUTED_VALUE"""),0.2357)</f>
      </c>
      <c r="G396" s="10">
        <f>IFERROR(__xludf.DUMMYFUNCTION("""COMPUTED_VALUE"""),0.1749)</f>
      </c>
    </row>
    <row x14ac:dyDescent="0.25" r="397" customHeight="1" ht="15.75">
      <c r="A397" s="8">
        <f>IFERROR(__xludf.DUMMYFUNCTION("""COMPUTED_VALUE"""),25547.0)</f>
      </c>
      <c r="B397" s="9">
        <f>IFERROR(__xludf.DUMMYFUNCTION("""COMPUTED_VALUE"""),"METROPOLITANA IV")</f>
      </c>
      <c r="C397" s="9">
        <f>IFERROR(__xludf.DUMMYFUNCTION("""COMPUTED_VALUE"""),"CE PROFESSORA ELIANA DE ALMEIDA SANTOS")</f>
      </c>
      <c r="D397" s="10">
        <f>IFERROR(__xludf.DUMMYFUNCTION("""COMPUTED_VALUE"""),0.7898)</f>
      </c>
      <c r="E397" s="10">
        <f>IFERROR(__xludf.DUMMYFUNCTION("""COMPUTED_VALUE"""),0.2247)</f>
      </c>
      <c r="F397" s="10">
        <f>IFERROR(__xludf.DUMMYFUNCTION("""COMPUTED_VALUE"""),0.8012)</f>
      </c>
      <c r="G397" s="10">
        <f>IFERROR(__xludf.DUMMYFUNCTION("""COMPUTED_VALUE"""),0.1999)</f>
      </c>
    </row>
    <row x14ac:dyDescent="0.25" r="398" customHeight="1" ht="15.75">
      <c r="A398" s="8">
        <f>IFERROR(__xludf.DUMMYFUNCTION("""COMPUTED_VALUE"""),25609.0)</f>
      </c>
      <c r="B398" s="9">
        <f>IFERROR(__xludf.DUMMYFUNCTION("""COMPUTED_VALUE"""),"METROPOLITANA IV")</f>
      </c>
      <c r="C398" s="9">
        <f>IFERROR(__xludf.DUMMYFUNCTION("""COMPUTED_VALUE"""),"CE PROFESSORA JEANNETTE DE SOUZA COELHO MANNARINO")</f>
      </c>
      <c r="D398" s="10">
        <f>IFERROR(__xludf.DUMMYFUNCTION("""COMPUTED_VALUE"""),0.856)</f>
      </c>
      <c r="E398" s="10">
        <f>IFERROR(__xludf.DUMMYFUNCTION("""COMPUTED_VALUE"""),0.1528)</f>
      </c>
      <c r="F398" s="10">
        <f>IFERROR(__xludf.DUMMYFUNCTION("""COMPUTED_VALUE"""),0.253)</f>
      </c>
      <c r="G398" s="10">
        <f>IFERROR(__xludf.DUMMYFUNCTION("""COMPUTED_VALUE"""),0.2011)</f>
      </c>
    </row>
    <row x14ac:dyDescent="0.25" r="399" customHeight="1" ht="15.75">
      <c r="A399" s="8">
        <f>IFERROR(__xludf.DUMMYFUNCTION("""COMPUTED_VALUE"""),25548.0)</f>
      </c>
      <c r="B399" s="9">
        <f>IFERROR(__xludf.DUMMYFUNCTION("""COMPUTED_VALUE"""),"METROPOLITANA IV")</f>
      </c>
      <c r="C399" s="9">
        <f>IFERROR(__xludf.DUMMYFUNCTION("""COMPUTED_VALUE"""),"CE PROFESSORA MARIA IZABEL DO COUTO BRANDAO")</f>
      </c>
      <c r="D399" s="10">
        <f>IFERROR(__xludf.DUMMYFUNCTION("""COMPUTED_VALUE"""),0.6949)</f>
      </c>
      <c r="E399" s="10">
        <f>IFERROR(__xludf.DUMMYFUNCTION("""COMPUTED_VALUE"""),0.2363)</f>
      </c>
      <c r="F399" s="10">
        <f>IFERROR(__xludf.DUMMYFUNCTION("""COMPUTED_VALUE"""),0.6444)</f>
      </c>
      <c r="G399" s="10">
        <f>IFERROR(__xludf.DUMMYFUNCTION("""COMPUTED_VALUE"""),0.1943)</f>
      </c>
    </row>
    <row x14ac:dyDescent="0.25" r="400" customHeight="1" ht="15.75">
      <c r="A400" s="8">
        <f>IFERROR(__xludf.DUMMYFUNCTION("""COMPUTED_VALUE"""),25610.0)</f>
      </c>
      <c r="B400" s="9">
        <f>IFERROR(__xludf.DUMMYFUNCTION("""COMPUTED_VALUE"""),"METROPOLITANA IV")</f>
      </c>
      <c r="C400" s="9">
        <f>IFERROR(__xludf.DUMMYFUNCTION("""COMPUTED_VALUE"""),"CE PROFESSORA VANIA DO AMARAL MATIAS EDDE")</f>
      </c>
      <c r="D400" s="10">
        <f>IFERROR(__xludf.DUMMYFUNCTION("""COMPUTED_VALUE"""),0.7279)</f>
      </c>
      <c r="E400" s="10">
        <f>IFERROR(__xludf.DUMMYFUNCTION("""COMPUTED_VALUE"""),0.2336)</f>
      </c>
      <c r="F400" s="10">
        <f>IFERROR(__xludf.DUMMYFUNCTION("""COMPUTED_VALUE"""),0.5705)</f>
      </c>
      <c r="G400" s="10">
        <f>IFERROR(__xludf.DUMMYFUNCTION("""COMPUTED_VALUE"""),0.2045)</f>
      </c>
    </row>
    <row x14ac:dyDescent="0.25" r="401" customHeight="1" ht="15.75">
      <c r="A401" s="8">
        <f>IFERROR(__xludf.DUMMYFUNCTION("""COMPUTED_VALUE"""),25611.0)</f>
      </c>
      <c r="B401" s="9">
        <f>IFERROR(__xludf.DUMMYFUNCTION("""COMPUTED_VALUE"""),"METROPOLITANA IV")</f>
      </c>
      <c r="C401" s="9">
        <f>IFERROR(__xludf.DUMMYFUNCTION("""COMPUTED_VALUE"""),"CE PROFESSORA VILMA ATANAZIO")</f>
      </c>
      <c r="D401" s="10">
        <f>IFERROR(__xludf.DUMMYFUNCTION("""COMPUTED_VALUE"""),0.9389)</f>
      </c>
      <c r="E401" s="10">
        <f>IFERROR(__xludf.DUMMYFUNCTION("""COMPUTED_VALUE"""),0.1928)</f>
      </c>
      <c r="F401" s="10">
        <f>IFERROR(__xludf.DUMMYFUNCTION("""COMPUTED_VALUE"""),0.5498)</f>
      </c>
      <c r="G401" s="10">
        <f>IFERROR(__xludf.DUMMYFUNCTION("""COMPUTED_VALUE"""),0.2049)</f>
      </c>
    </row>
    <row x14ac:dyDescent="0.25" r="402" customHeight="1" ht="15.75">
      <c r="A402" s="8">
        <f>IFERROR(__xludf.DUMMYFUNCTION("""COMPUTED_VALUE"""),25612.0)</f>
      </c>
      <c r="B402" s="9">
        <f>IFERROR(__xludf.DUMMYFUNCTION("""COMPUTED_VALUE"""),"METROPOLITANA IV")</f>
      </c>
      <c r="C402" s="9">
        <f>IFERROR(__xludf.DUMMYFUNCTION("""COMPUTED_VALUE"""),"CE RAINHA VITORIA")</f>
      </c>
      <c r="D402" s="10">
        <f>IFERROR(__xludf.DUMMYFUNCTION("""COMPUTED_VALUE"""),0.7931)</f>
      </c>
      <c r="E402" s="10">
        <f>IFERROR(__xludf.DUMMYFUNCTION("""COMPUTED_VALUE"""),0.1274)</f>
      </c>
      <c r="F402" s="10">
        <f>IFERROR(__xludf.DUMMYFUNCTION("""COMPUTED_VALUE"""),0.4655)</f>
      </c>
      <c r="G402" s="10">
        <f>IFERROR(__xludf.DUMMYFUNCTION("""COMPUTED_VALUE"""),0.1991)</f>
      </c>
    </row>
    <row x14ac:dyDescent="0.25" r="403" customHeight="1" ht="15.75">
      <c r="A403" s="8">
        <f>IFERROR(__xludf.DUMMYFUNCTION("""COMPUTED_VALUE"""),25613.0)</f>
      </c>
      <c r="B403" s="9">
        <f>IFERROR(__xludf.DUMMYFUNCTION("""COMPUTED_VALUE"""),"METROPOLITANA IV")</f>
      </c>
      <c r="C403" s="9">
        <f>IFERROR(__xludf.DUMMYFUNCTION("""COMPUTED_VALUE"""),"CE RAMIZ GALVAO")</f>
      </c>
      <c r="D403" s="10">
        <f>IFERROR(__xludf.DUMMYFUNCTION("""COMPUTED_VALUE"""),0.488)</f>
      </c>
      <c r="E403" s="10">
        <f>IFERROR(__xludf.DUMMYFUNCTION("""COMPUTED_VALUE"""),0.2144)</f>
      </c>
      <c r="F403" s="10">
        <f>IFERROR(__xludf.DUMMYFUNCTION("""COMPUTED_VALUE"""),0.424)</f>
      </c>
      <c r="G403" s="10">
        <f>IFERROR(__xludf.DUMMYFUNCTION("""COMPUTED_VALUE"""),0.2179)</f>
      </c>
    </row>
    <row x14ac:dyDescent="0.25" r="404" customHeight="1" ht="15.75">
      <c r="A404" s="8">
        <f>IFERROR(__xludf.DUMMYFUNCTION("""COMPUTED_VALUE"""),25614.0)</f>
      </c>
      <c r="B404" s="9">
        <f>IFERROR(__xludf.DUMMYFUNCTION("""COMPUTED_VALUE"""),"METROPOLITANA IV")</f>
      </c>
      <c r="C404" s="9">
        <f>IFERROR(__xludf.DUMMYFUNCTION("""COMPUTED_VALUE"""),"CE RAYMUNDO CORRÊA")</f>
      </c>
      <c r="D404" s="10">
        <f>IFERROR(__xludf.DUMMYFUNCTION("""COMPUTED_VALUE"""),0.4894)</f>
      </c>
      <c r="E404" s="10">
        <f>IFERROR(__xludf.DUMMYFUNCTION("""COMPUTED_VALUE"""),0.2064)</f>
      </c>
      <c r="F404" s="10">
        <f>IFERROR(__xludf.DUMMYFUNCTION("""COMPUTED_VALUE"""),0.5696)</f>
      </c>
      <c r="G404" s="10">
        <f>IFERROR(__xludf.DUMMYFUNCTION("""COMPUTED_VALUE"""),0.1925)</f>
      </c>
    </row>
    <row x14ac:dyDescent="0.25" r="405" customHeight="1" ht="15.75">
      <c r="A405" s="8">
        <f>IFERROR(__xludf.DUMMYFUNCTION("""COMPUTED_VALUE"""),25615.0)</f>
      </c>
      <c r="B405" s="9">
        <f>IFERROR(__xludf.DUMMYFUNCTION("""COMPUTED_VALUE"""),"METROPOLITANA IV")</f>
      </c>
      <c r="C405" s="9">
        <f>IFERROR(__xludf.DUMMYFUNCTION("""COMPUTED_VALUE"""),"CE REPUBLICA DE MOCAMBIQUE")</f>
      </c>
      <c r="D405" s="10">
        <f>IFERROR(__xludf.DUMMYFUNCTION("""COMPUTED_VALUE"""),0.709)</f>
      </c>
      <c r="E405" s="10">
        <f>IFERROR(__xludf.DUMMYFUNCTION("""COMPUTED_VALUE"""),0.2058)</f>
      </c>
      <c r="F405" s="10">
        <f>IFERROR(__xludf.DUMMYFUNCTION("""COMPUTED_VALUE"""),0.5379)</f>
      </c>
      <c r="G405" s="10">
        <f>IFERROR(__xludf.DUMMYFUNCTION("""COMPUTED_VALUE"""),0.1939)</f>
      </c>
    </row>
    <row x14ac:dyDescent="0.25" r="406" customHeight="1" ht="15.75">
      <c r="A406" s="8">
        <f>IFERROR(__xludf.DUMMYFUNCTION("""COMPUTED_VALUE"""),25616.0)</f>
      </c>
      <c r="B406" s="9">
        <f>IFERROR(__xludf.DUMMYFUNCTION("""COMPUTED_VALUE"""),"METROPOLITANA IV")</f>
      </c>
      <c r="C406" s="9">
        <f>IFERROR(__xludf.DUMMYFUNCTION("""COMPUTED_VALUE"""),"CE ROSARIA TROTTA")</f>
      </c>
      <c r="D406" s="10">
        <f>IFERROR(__xludf.DUMMYFUNCTION("""COMPUTED_VALUE"""),0.4459)</f>
      </c>
      <c r="E406" s="10">
        <f>IFERROR(__xludf.DUMMYFUNCTION("""COMPUTED_VALUE"""),0.2027)</f>
      </c>
      <c r="F406" s="10">
        <f>IFERROR(__xludf.DUMMYFUNCTION("""COMPUTED_VALUE"""),0.3243)</f>
      </c>
      <c r="G406" s="10">
        <f>IFERROR(__xludf.DUMMYFUNCTION("""COMPUTED_VALUE"""),0.1965)</f>
      </c>
    </row>
    <row x14ac:dyDescent="0.25" r="407" customHeight="1" ht="15.75">
      <c r="A407" s="8">
        <f>IFERROR(__xludf.DUMMYFUNCTION("""COMPUTED_VALUE"""),25549.0)</f>
      </c>
      <c r="B407" s="9">
        <f>IFERROR(__xludf.DUMMYFUNCTION("""COMPUTED_VALUE"""),"METROPOLITANA IV")</f>
      </c>
      <c r="C407" s="9">
        <f>IFERROR(__xludf.DUMMYFUNCTION("""COMPUTED_VALUE"""),"CE SANDRA ROLDAN BARBOZA")</f>
      </c>
      <c r="D407" s="10">
        <f>IFERROR(__xludf.DUMMYFUNCTION("""COMPUTED_VALUE"""),0.6299)</f>
      </c>
      <c r="E407" s="10">
        <f>IFERROR(__xludf.DUMMYFUNCTION("""COMPUTED_VALUE"""),0.2449)</f>
      </c>
      <c r="F407" s="10">
        <f>IFERROR(__xludf.DUMMYFUNCTION("""COMPUTED_VALUE"""),0.5591)</f>
      </c>
      <c r="G407" s="10">
        <f>IFERROR(__xludf.DUMMYFUNCTION("""COMPUTED_VALUE"""),0.2128)</f>
      </c>
    </row>
    <row x14ac:dyDescent="0.25" r="408" customHeight="1" ht="15.75">
      <c r="A408" s="8">
        <f>IFERROR(__xludf.DUMMYFUNCTION("""COMPUTED_VALUE"""),25617.0)</f>
      </c>
      <c r="B408" s="9">
        <f>IFERROR(__xludf.DUMMYFUNCTION("""COMPUTED_VALUE"""),"METROPOLITANA IV")</f>
      </c>
      <c r="C408" s="9">
        <f>IFERROR(__xludf.DUMMYFUNCTION("""COMPUTED_VALUE"""),"CE STUART EDGAR ANGEL JONES")</f>
      </c>
      <c r="D408" s="10">
        <f>IFERROR(__xludf.DUMMYFUNCTION("""COMPUTED_VALUE"""),0.7084)</f>
      </c>
      <c r="E408" s="10">
        <f>IFERROR(__xludf.DUMMYFUNCTION("""COMPUTED_VALUE"""),0.2328)</f>
      </c>
      <c r="F408" s="10">
        <f>IFERROR(__xludf.DUMMYFUNCTION("""COMPUTED_VALUE"""),0.4701)</f>
      </c>
      <c r="G408" s="10">
        <f>IFERROR(__xludf.DUMMYFUNCTION("""COMPUTED_VALUE"""),0.206)</f>
      </c>
    </row>
    <row x14ac:dyDescent="0.25" r="409" customHeight="1" ht="15.75">
      <c r="A409" s="8">
        <f>IFERROR(__xludf.DUMMYFUNCTION("""COMPUTED_VALUE"""),25618.0)</f>
      </c>
      <c r="B409" s="9">
        <f>IFERROR(__xludf.DUMMYFUNCTION("""COMPUTED_VALUE"""),"METROPOLITANA IV")</f>
      </c>
      <c r="C409" s="9">
        <f>IFERROR(__xludf.DUMMYFUNCTION("""COMPUTED_VALUE"""),"CE VIRIATO CORREA")</f>
      </c>
      <c r="D409" s="10">
        <f>IFERROR(__xludf.DUMMYFUNCTION("""COMPUTED_VALUE"""),0.8557)</f>
      </c>
      <c r="E409" s="10">
        <f>IFERROR(__xludf.DUMMYFUNCTION("""COMPUTED_VALUE"""),0.1588)</f>
      </c>
      <c r="F409" s="10">
        <f>IFERROR(__xludf.DUMMYFUNCTION("""COMPUTED_VALUE"""),0.3491)</f>
      </c>
      <c r="G409" s="10">
        <f>IFERROR(__xludf.DUMMYFUNCTION("""COMPUTED_VALUE"""),0.217)</f>
      </c>
    </row>
    <row x14ac:dyDescent="0.25" r="410" customHeight="1" ht="15.75">
      <c r="A410" s="8">
        <f>IFERROR(__xludf.DUMMYFUNCTION("""COMPUTED_VALUE"""),25620.0)</f>
      </c>
      <c r="B410" s="9">
        <f>IFERROR(__xludf.DUMMYFUNCTION("""COMPUTED_VALUE"""),"METROPOLITANA IV")</f>
      </c>
      <c r="C410" s="9">
        <f>IFERROR(__xludf.DUMMYFUNCTION("""COMPUTED_VALUE"""),"CIE MIECIMO DA SILVA")</f>
      </c>
      <c r="D410" s="10">
        <f>IFERROR(__xludf.DUMMYFUNCTION("""COMPUTED_VALUE"""),0.9469)</f>
      </c>
      <c r="E410" s="10">
        <f>IFERROR(__xludf.DUMMYFUNCTION("""COMPUTED_VALUE"""),0.28)</f>
      </c>
      <c r="F410" s="10">
        <f>IFERROR(__xludf.DUMMYFUNCTION("""COMPUTED_VALUE"""),0.8696)</f>
      </c>
      <c r="G410" s="10">
        <f>IFERROR(__xludf.DUMMYFUNCTION("""COMPUTED_VALUE"""),0.2226)</f>
      </c>
    </row>
    <row x14ac:dyDescent="0.25" r="411" customHeight="1" ht="15.75">
      <c r="A411" s="8">
        <f>IFERROR(__xludf.DUMMYFUNCTION("""COMPUTED_VALUE"""),25551.0)</f>
      </c>
      <c r="B411" s="9">
        <f>IFERROR(__xludf.DUMMYFUNCTION("""COMPUTED_VALUE"""),"METROPOLITANA IV")</f>
      </c>
      <c r="C411" s="9">
        <f>IFERROR(__xludf.DUMMYFUNCTION("""COMPUTED_VALUE"""),"CIEP 048 DJALMA MARANHAO")</f>
      </c>
      <c r="D411" s="10">
        <f>IFERROR(__xludf.DUMMYFUNCTION("""COMPUTED_VALUE"""),0.6769)</f>
      </c>
      <c r="E411" s="10">
        <f>IFERROR(__xludf.DUMMYFUNCTION("""COMPUTED_VALUE"""),0.222)</f>
      </c>
      <c r="F411" s="10">
        <f>IFERROR(__xludf.DUMMYFUNCTION("""COMPUTED_VALUE"""),0.5263)</f>
      </c>
      <c r="G411" s="10">
        <f>IFERROR(__xludf.DUMMYFUNCTION("""COMPUTED_VALUE"""),0.2011)</f>
      </c>
    </row>
    <row x14ac:dyDescent="0.25" r="412" customHeight="1" ht="15.75">
      <c r="A412" s="8">
        <f>IFERROR(__xludf.DUMMYFUNCTION("""COMPUTED_VALUE"""),25649.0)</f>
      </c>
      <c r="B412" s="9">
        <f>IFERROR(__xludf.DUMMYFUNCTION("""COMPUTED_VALUE"""),"METROPOLITANA IV")</f>
      </c>
      <c r="C412" s="9">
        <f>IFERROR(__xludf.DUMMYFUNCTION("""COMPUTED_VALUE"""),"CIEP 155 MARIA JOAQUINA DE OLIVEIRA")</f>
      </c>
      <c r="D412" s="10">
        <f>IFERROR(__xludf.DUMMYFUNCTION("""COMPUTED_VALUE"""),0.9776)</f>
      </c>
      <c r="E412" s="10">
        <f>IFERROR(__xludf.DUMMYFUNCTION("""COMPUTED_VALUE"""),0.1479)</f>
      </c>
      <c r="F412" s="10">
        <f>IFERROR(__xludf.DUMMYFUNCTION("""COMPUTED_VALUE"""),0.5269)</f>
      </c>
      <c r="G412" s="10">
        <f>IFERROR(__xludf.DUMMYFUNCTION("""COMPUTED_VALUE"""),0.1958)</f>
      </c>
    </row>
    <row x14ac:dyDescent="0.25" r="413" customHeight="1" ht="15.75">
      <c r="A413" s="8">
        <f>IFERROR(__xludf.DUMMYFUNCTION("""COMPUTED_VALUE"""),25650.0)</f>
      </c>
      <c r="B413" s="9">
        <f>IFERROR(__xludf.DUMMYFUNCTION("""COMPUTED_VALUE"""),"METROPOLITANA IV")</f>
      </c>
      <c r="C413" s="9">
        <f>IFERROR(__xludf.DUMMYFUNCTION("""COMPUTED_VALUE"""),"CIEP 156 DOUTOR ALBERT SABIN")</f>
      </c>
      <c r="D413" s="10">
        <f>IFERROR(__xludf.DUMMYFUNCTION("""COMPUTED_VALUE"""),0.6237)</f>
      </c>
      <c r="E413" s="10">
        <f>IFERROR(__xludf.DUMMYFUNCTION("""COMPUTED_VALUE"""),0.2639)</f>
      </c>
      <c r="F413" s="10">
        <f>IFERROR(__xludf.DUMMYFUNCTION("""COMPUTED_VALUE"""),0.4678)</f>
      </c>
      <c r="G413" s="10">
        <f>IFERROR(__xludf.DUMMYFUNCTION("""COMPUTED_VALUE"""),0.2162)</f>
      </c>
    </row>
    <row x14ac:dyDescent="0.25" r="414" customHeight="1" ht="15.75">
      <c r="A414" s="8">
        <f>IFERROR(__xludf.DUMMYFUNCTION("""COMPUTED_VALUE"""),25621.0)</f>
      </c>
      <c r="B414" s="9">
        <f>IFERROR(__xludf.DUMMYFUNCTION("""COMPUTED_VALUE"""),"METROPOLITANA IV")</f>
      </c>
      <c r="C414" s="9">
        <f>IFERROR(__xludf.DUMMYFUNCTION("""COMPUTED_VALUE"""),"CIEP 165 BRIGADEIRO SERGIO CARVALHO")</f>
      </c>
      <c r="D414" s="10">
        <f>IFERROR(__xludf.DUMMYFUNCTION("""COMPUTED_VALUE"""),0.4556)</f>
      </c>
      <c r="E414" s="10">
        <f>IFERROR(__xludf.DUMMYFUNCTION("""COMPUTED_VALUE"""),0.2301)</f>
      </c>
      <c r="F414" s="10">
        <f>IFERROR(__xludf.DUMMYFUNCTION("""COMPUTED_VALUE"""),0.5402)</f>
      </c>
      <c r="G414" s="10">
        <f>IFERROR(__xludf.DUMMYFUNCTION("""COMPUTED_VALUE"""),0.206)</f>
      </c>
    </row>
    <row x14ac:dyDescent="0.25" r="415" customHeight="1" ht="15.75">
      <c r="A415" s="8">
        <f>IFERROR(__xludf.DUMMYFUNCTION("""COMPUTED_VALUE"""),25622.0)</f>
      </c>
      <c r="B415" s="9">
        <f>IFERROR(__xludf.DUMMYFUNCTION("""COMPUTED_VALUE"""),"METROPOLITANA IV")</f>
      </c>
      <c r="C415" s="9">
        <f>IFERROR(__xludf.DUMMYFUNCTION("""COMPUTED_VALUE"""),"CIEP 183 JOÃO VITTA")</f>
      </c>
      <c r="D415" s="10">
        <f>IFERROR(__xludf.DUMMYFUNCTION("""COMPUTED_VALUE"""),0.6475)</f>
      </c>
      <c r="E415" s="10">
        <f>IFERROR(__xludf.DUMMYFUNCTION("""COMPUTED_VALUE"""),0.2115)</f>
      </c>
      <c r="F415" s="10">
        <f>IFERROR(__xludf.DUMMYFUNCTION("""COMPUTED_VALUE"""),0.4797)</f>
      </c>
      <c r="G415" s="10">
        <f>IFERROR(__xludf.DUMMYFUNCTION("""COMPUTED_VALUE"""),0.1972)</f>
      </c>
    </row>
    <row x14ac:dyDescent="0.25" r="416" customHeight="1" ht="15.75">
      <c r="A416" s="8">
        <f>IFERROR(__xludf.DUMMYFUNCTION("""COMPUTED_VALUE"""),25623.0)</f>
      </c>
      <c r="B416" s="9">
        <f>IFERROR(__xludf.DUMMYFUNCTION("""COMPUTED_VALUE"""),"METROPOLITANA IV")</f>
      </c>
      <c r="C416" s="9">
        <f>IFERROR(__xludf.DUMMYFUNCTION("""COMPUTED_VALUE"""),"CIEP 223 OLYMPIO MARQUES DOS SANTOS")</f>
      </c>
      <c r="D416" s="10">
        <f>IFERROR(__xludf.DUMMYFUNCTION("""COMPUTED_VALUE"""),0.6918)</f>
      </c>
      <c r="E416" s="10">
        <f>IFERROR(__xludf.DUMMYFUNCTION("""COMPUTED_VALUE"""),0.2425)</f>
      </c>
      <c r="F416" s="10">
        <f>IFERROR(__xludf.DUMMYFUNCTION("""COMPUTED_VALUE"""),0.4556)</f>
      </c>
      <c r="G416" s="10">
        <f>IFERROR(__xludf.DUMMYFUNCTION("""COMPUTED_VALUE"""),0.2071)</f>
      </c>
    </row>
    <row x14ac:dyDescent="0.25" r="417" customHeight="1" ht="15.75">
      <c r="A417" s="8">
        <f>IFERROR(__xludf.DUMMYFUNCTION("""COMPUTED_VALUE"""),25624.0)</f>
      </c>
      <c r="B417" s="9">
        <f>IFERROR(__xludf.DUMMYFUNCTION("""COMPUTED_VALUE"""),"METROPOLITANA IV")</f>
      </c>
      <c r="C417" s="9">
        <f>IFERROR(__xludf.DUMMYFUNCTION("""COMPUTED_VALUE"""),"CIEP 224 TARSO DE CASTRO")</f>
      </c>
      <c r="D417" s="10">
        <f>IFERROR(__xludf.DUMMYFUNCTION("""COMPUTED_VALUE"""),0.4862)</f>
      </c>
      <c r="E417" s="10">
        <f>IFERROR(__xludf.DUMMYFUNCTION("""COMPUTED_VALUE"""),0.2126)</f>
      </c>
      <c r="F417" s="10">
        <f>IFERROR(__xludf.DUMMYFUNCTION("""COMPUTED_VALUE"""),0.6154)</f>
      </c>
      <c r="G417" s="10">
        <f>IFERROR(__xludf.DUMMYFUNCTION("""COMPUTED_VALUE"""),0.2017)</f>
      </c>
    </row>
    <row x14ac:dyDescent="0.25" r="418" customHeight="1" ht="15.75">
      <c r="A418" s="8">
        <f>IFERROR(__xludf.DUMMYFUNCTION("""COMPUTED_VALUE"""),25625.0)</f>
      </c>
      <c r="B418" s="9">
        <f>IFERROR(__xludf.DUMMYFUNCTION("""COMPUTED_VALUE"""),"METROPOLITANA IV")</f>
      </c>
      <c r="C418" s="9">
        <f>IFERROR(__xludf.DUMMYFUNCTION("""COMPUTED_VALUE"""),"CIEP 225 MARIO QUINTANA")</f>
      </c>
      <c r="D418" s="10">
        <f>IFERROR(__xludf.DUMMYFUNCTION("""COMPUTED_VALUE"""),0.751)</f>
      </c>
      <c r="E418" s="10">
        <f>IFERROR(__xludf.DUMMYFUNCTION("""COMPUTED_VALUE"""),0.2445)</f>
      </c>
      <c r="F418" s="10">
        <f>IFERROR(__xludf.DUMMYFUNCTION("""COMPUTED_VALUE"""),0.6978)</f>
      </c>
      <c r="G418" s="10">
        <f>IFERROR(__xludf.DUMMYFUNCTION("""COMPUTED_VALUE"""),0.1405)</f>
      </c>
    </row>
    <row x14ac:dyDescent="0.25" r="419" customHeight="1" ht="15.75">
      <c r="A419" s="8">
        <f>IFERROR(__xludf.DUMMYFUNCTION("""COMPUTED_VALUE"""),25626.0)</f>
      </c>
      <c r="B419" s="9">
        <f>IFERROR(__xludf.DUMMYFUNCTION("""COMPUTED_VALUE"""),"METROPOLITANA IV")</f>
      </c>
      <c r="C419" s="9">
        <f>IFERROR(__xludf.DUMMYFUNCTION("""COMPUTED_VALUE"""),"CIEP 244 OSWALDO ARANHA")</f>
      </c>
      <c r="D419" s="10">
        <f>IFERROR(__xludf.DUMMYFUNCTION("""COMPUTED_VALUE"""),0.6093)</f>
      </c>
      <c r="E419" s="10">
        <f>IFERROR(__xludf.DUMMYFUNCTION("""COMPUTED_VALUE"""),0.229)</f>
      </c>
      <c r="F419" s="10">
        <f>IFERROR(__xludf.DUMMYFUNCTION("""COMPUTED_VALUE"""),0.487)</f>
      </c>
      <c r="G419" s="10">
        <f>IFERROR(__xludf.DUMMYFUNCTION("""COMPUTED_VALUE"""),0.1976)</f>
      </c>
    </row>
    <row x14ac:dyDescent="0.25" r="420" customHeight="1" ht="15.75">
      <c r="A420" s="8">
        <f>IFERROR(__xludf.DUMMYFUNCTION("""COMPUTED_VALUE"""),25627.0)</f>
      </c>
      <c r="B420" s="9">
        <f>IFERROR(__xludf.DUMMYFUNCTION("""COMPUTED_VALUE"""),"METROPOLITANA IV")</f>
      </c>
      <c r="C420" s="9">
        <f>IFERROR(__xludf.DUMMYFUNCTION("""COMPUTED_VALUE"""),"CIEP 305 HEITOR DOS PRAZERES")</f>
      </c>
      <c r="D420" s="10">
        <f>IFERROR(__xludf.DUMMYFUNCTION("""COMPUTED_VALUE"""),0.589)</f>
      </c>
      <c r="E420" s="10">
        <f>IFERROR(__xludf.DUMMYFUNCTION("""COMPUTED_VALUE"""),0.2306)</f>
      </c>
      <c r="F420" s="10">
        <f>IFERROR(__xludf.DUMMYFUNCTION("""COMPUTED_VALUE"""),0.4878)</f>
      </c>
      <c r="G420" s="10">
        <f>IFERROR(__xludf.DUMMYFUNCTION("""COMPUTED_VALUE"""),0.202)</f>
      </c>
    </row>
    <row x14ac:dyDescent="0.25" r="421" customHeight="1" ht="15.75">
      <c r="A421" s="8">
        <f>IFERROR(__xludf.DUMMYFUNCTION("""COMPUTED_VALUE"""),25628.0)</f>
      </c>
      <c r="B421" s="9">
        <f>IFERROR(__xludf.DUMMYFUNCTION("""COMPUTED_VALUE"""),"METROPOLITANA IV")</f>
      </c>
      <c r="C421" s="9">
        <f>IFERROR(__xludf.DUMMYFUNCTION("""COMPUTED_VALUE"""),"CIEP 311 DEPUTADO BOCAYUVA CUNHA")</f>
      </c>
      <c r="D421" s="10">
        <f>IFERROR(__xludf.DUMMYFUNCTION("""COMPUTED_VALUE"""),0.6311)</f>
      </c>
      <c r="E421" s="10">
        <f>IFERROR(__xludf.DUMMYFUNCTION("""COMPUTED_VALUE"""),0.2183)</f>
      </c>
      <c r="F421" s="10">
        <f>IFERROR(__xludf.DUMMYFUNCTION("""COMPUTED_VALUE"""),0.5027)</f>
      </c>
      <c r="G421" s="10">
        <f>IFERROR(__xludf.DUMMYFUNCTION("""COMPUTED_VALUE"""),0.2052)</f>
      </c>
    </row>
    <row x14ac:dyDescent="0.25" r="422" customHeight="1" ht="15.75">
      <c r="A422" s="8">
        <f>IFERROR(__xludf.DUMMYFUNCTION("""COMPUTED_VALUE"""),25629.0)</f>
      </c>
      <c r="B422" s="9">
        <f>IFERROR(__xludf.DUMMYFUNCTION("""COMPUTED_VALUE"""),"METROPOLITANA IV")</f>
      </c>
      <c r="C422" s="9">
        <f>IFERROR(__xludf.DUMMYFUNCTION("""COMPUTED_VALUE"""),"CIEP 312 RAUL RYFF")</f>
      </c>
      <c r="D422" s="10">
        <f>IFERROR(__xludf.DUMMYFUNCTION("""COMPUTED_VALUE"""),0.6655)</f>
      </c>
      <c r="E422" s="10">
        <f>IFERROR(__xludf.DUMMYFUNCTION("""COMPUTED_VALUE"""),0.2431)</f>
      </c>
      <c r="F422" s="10">
        <f>IFERROR(__xludf.DUMMYFUNCTION("""COMPUTED_VALUE"""),0.5402)</f>
      </c>
      <c r="G422" s="10">
        <f>IFERROR(__xludf.DUMMYFUNCTION("""COMPUTED_VALUE"""),0.2062)</f>
      </c>
    </row>
    <row x14ac:dyDescent="0.25" r="423" customHeight="1" ht="15.75">
      <c r="A423" s="8">
        <f>IFERROR(__xludf.DUMMYFUNCTION("""COMPUTED_VALUE"""),25630.0)</f>
      </c>
      <c r="B423" s="9">
        <f>IFERROR(__xludf.DUMMYFUNCTION("""COMPUTED_VALUE"""),"METROPOLITANA IV")</f>
      </c>
      <c r="C423" s="9">
        <f>IFERROR(__xludf.DUMMYFUNCTION("""COMPUTED_VALUE"""),"CIEP 313 RUBEM BRAGA")</f>
      </c>
      <c r="D423" s="10">
        <f>IFERROR(__xludf.DUMMYFUNCTION("""COMPUTED_VALUE"""),0.5467)</f>
      </c>
      <c r="E423" s="10">
        <f>IFERROR(__xludf.DUMMYFUNCTION("""COMPUTED_VALUE"""),0.2315)</f>
      </c>
      <c r="F423" s="10">
        <f>IFERROR(__xludf.DUMMYFUNCTION("""COMPUTED_VALUE"""),0.2878)</f>
      </c>
      <c r="G423" s="10">
        <f>IFERROR(__xludf.DUMMYFUNCTION("""COMPUTED_VALUE"""),0.2035)</f>
      </c>
    </row>
    <row x14ac:dyDescent="0.25" r="424" customHeight="1" ht="15.75">
      <c r="A424" s="8">
        <f>IFERROR(__xludf.DUMMYFUNCTION("""COMPUTED_VALUE"""),25552.0)</f>
      </c>
      <c r="B424" s="9">
        <f>IFERROR(__xludf.DUMMYFUNCTION("""COMPUTED_VALUE"""),"METROPOLITANA IV")</f>
      </c>
      <c r="C424" s="9">
        <f>IFERROR(__xludf.DUMMYFUNCTION("""COMPUTED_VALUE"""),"CIEP 329 JUAN MARTINHO CARRASCO")</f>
      </c>
      <c r="D424" s="10">
        <f>IFERROR(__xludf.DUMMYFUNCTION("""COMPUTED_VALUE"""),0.7752)</f>
      </c>
      <c r="E424" s="10">
        <f>IFERROR(__xludf.DUMMYFUNCTION("""COMPUTED_VALUE"""),0.2439)</f>
      </c>
      <c r="F424" s="10">
        <f>IFERROR(__xludf.DUMMYFUNCTION("""COMPUTED_VALUE"""),0.578)</f>
      </c>
      <c r="G424" s="10">
        <f>IFERROR(__xludf.DUMMYFUNCTION("""COMPUTED_VALUE"""),0.1952)</f>
      </c>
    </row>
    <row x14ac:dyDescent="0.25" r="425" customHeight="1" ht="15.75">
      <c r="A425" s="8">
        <f>IFERROR(__xludf.DUMMYFUNCTION("""COMPUTED_VALUE"""),25631.0)</f>
      </c>
      <c r="B425" s="9">
        <f>IFERROR(__xludf.DUMMYFUNCTION("""COMPUTED_VALUE"""),"METROPOLITANA IV")</f>
      </c>
      <c r="C425" s="9">
        <f>IFERROR(__xludf.DUMMYFUNCTION("""COMPUTED_VALUE"""),"CIEP 336 OCTAVIO MALTA")</f>
      </c>
      <c r="D425" s="10">
        <f>IFERROR(__xludf.DUMMYFUNCTION("""COMPUTED_VALUE"""),0.5924)</f>
      </c>
      <c r="E425" s="10">
        <f>IFERROR(__xludf.DUMMYFUNCTION("""COMPUTED_VALUE"""),0.2173)</f>
      </c>
      <c r="F425" s="10">
        <f>IFERROR(__xludf.DUMMYFUNCTION("""COMPUTED_VALUE"""),0.5612)</f>
      </c>
      <c r="G425" s="10">
        <f>IFERROR(__xludf.DUMMYFUNCTION("""COMPUTED_VALUE"""),0.1981)</f>
      </c>
    </row>
    <row x14ac:dyDescent="0.25" r="426" customHeight="1" ht="15.75">
      <c r="A426" s="8">
        <f>IFERROR(__xludf.DUMMYFUNCTION("""COMPUTED_VALUE"""),25632.0)</f>
      </c>
      <c r="B426" s="9">
        <f>IFERROR(__xludf.DUMMYFUNCTION("""COMPUTED_VALUE"""),"METROPOLITANA IV")</f>
      </c>
      <c r="C426" s="9">
        <f>IFERROR(__xludf.DUMMYFUNCTION("""COMPUTED_VALUE"""),"CIEP 362 ROBERTO BURLE MARX")</f>
      </c>
      <c r="D426" s="10">
        <f>IFERROR(__xludf.DUMMYFUNCTION("""COMPUTED_VALUE"""),0.6603)</f>
      </c>
      <c r="E426" s="10">
        <f>IFERROR(__xludf.DUMMYFUNCTION("""COMPUTED_VALUE"""),0.2373)</f>
      </c>
      <c r="F426" s="10">
        <f>IFERROR(__xludf.DUMMYFUNCTION("""COMPUTED_VALUE"""),0.5422)</f>
      </c>
      <c r="G426" s="10">
        <f>IFERROR(__xludf.DUMMYFUNCTION("""COMPUTED_VALUE"""),0.2006)</f>
      </c>
    </row>
    <row x14ac:dyDescent="0.25" r="427" customHeight="1" ht="15.75">
      <c r="A427" s="8">
        <f>IFERROR(__xludf.DUMMYFUNCTION("""COMPUTED_VALUE"""),25553.0)</f>
      </c>
      <c r="B427" s="9">
        <f>IFERROR(__xludf.DUMMYFUNCTION("""COMPUTED_VALUE"""),"METROPOLITANA IV")</f>
      </c>
      <c r="C427" s="9">
        <f>IFERROR(__xludf.DUMMYFUNCTION("""COMPUTED_VALUE"""),"CIEP 368 JOAO CONCEICAO CANUTO")</f>
      </c>
      <c r="D427" s="10">
        <f>IFERROR(__xludf.DUMMYFUNCTION("""COMPUTED_VALUE"""),0.8286)</f>
      </c>
      <c r="E427" s="10">
        <f>IFERROR(__xludf.DUMMYFUNCTION("""COMPUTED_VALUE"""),0.2454)</f>
      </c>
      <c r="F427" s="10">
        <f>IFERROR(__xludf.DUMMYFUNCTION("""COMPUTED_VALUE"""),0.6407)</f>
      </c>
      <c r="G427" s="10">
        <f>IFERROR(__xludf.DUMMYFUNCTION("""COMPUTED_VALUE"""),0.2128)</f>
      </c>
    </row>
    <row x14ac:dyDescent="0.25" r="428" customHeight="1" ht="15.75">
      <c r="A428" s="8">
        <f>IFERROR(__xludf.DUMMYFUNCTION("""COMPUTED_VALUE"""),25633.0)</f>
      </c>
      <c r="B428" s="9">
        <f>IFERROR(__xludf.DUMMYFUNCTION("""COMPUTED_VALUE"""),"METROPOLITANA IV")</f>
      </c>
      <c r="C428" s="9">
        <f>IFERROR(__xludf.DUMMYFUNCTION("""COMPUTED_VALUE"""),"CIEP 382 ASPIRANTE FRANCISCO MEGA")</f>
      </c>
      <c r="D428" s="10">
        <f>IFERROR(__xludf.DUMMYFUNCTION("""COMPUTED_VALUE"""),0.6826)</f>
      </c>
      <c r="E428" s="10">
        <f>IFERROR(__xludf.DUMMYFUNCTION("""COMPUTED_VALUE"""),0.2419)</f>
      </c>
      <c r="F428" s="10">
        <f>IFERROR(__xludf.DUMMYFUNCTION("""COMPUTED_VALUE"""),0.5581)</f>
      </c>
      <c r="G428" s="10">
        <f>IFERROR(__xludf.DUMMYFUNCTION("""COMPUTED_VALUE"""),0.1967)</f>
      </c>
    </row>
    <row x14ac:dyDescent="0.25" r="429" customHeight="1" ht="15.75">
      <c r="A429" s="8">
        <f>IFERROR(__xludf.DUMMYFUNCTION("""COMPUTED_VALUE"""),25634.0)</f>
      </c>
      <c r="B429" s="9">
        <f>IFERROR(__xludf.DUMMYFUNCTION("""COMPUTED_VALUE"""),"METROPOLITANA IV")</f>
      </c>
      <c r="C429" s="9">
        <f>IFERROR(__xludf.DUMMYFUNCTION("""COMPUTED_VALUE"""),"CIEP 386 GUILHERME DA SILVEIRA FILHO")</f>
      </c>
      <c r="D429" s="10">
        <f>IFERROR(__xludf.DUMMYFUNCTION("""COMPUTED_VALUE"""),0.6943)</f>
      </c>
      <c r="E429" s="10">
        <f>IFERROR(__xludf.DUMMYFUNCTION("""COMPUTED_VALUE"""),0.2253)</f>
      </c>
      <c r="F429" s="10">
        <f>IFERROR(__xludf.DUMMYFUNCTION("""COMPUTED_VALUE"""),0.5566)</f>
      </c>
      <c r="G429" s="10">
        <f>IFERROR(__xludf.DUMMYFUNCTION("""COMPUTED_VALUE"""),0.1985)</f>
      </c>
    </row>
    <row x14ac:dyDescent="0.25" r="430" customHeight="1" ht="15.75">
      <c r="A430" s="8">
        <f>IFERROR(__xludf.DUMMYFUNCTION("""COMPUTED_VALUE"""),25635.0)</f>
      </c>
      <c r="B430" s="9">
        <f>IFERROR(__xludf.DUMMYFUNCTION("""COMPUTED_VALUE"""),"METROPOLITANA IV")</f>
      </c>
      <c r="C430" s="9">
        <f>IFERROR(__xludf.DUMMYFUNCTION("""COMPUTED_VALUE"""),"CIEP 392 MARIO DE ANDRADE")</f>
      </c>
      <c r="D430" s="10">
        <f>IFERROR(__xludf.DUMMYFUNCTION("""COMPUTED_VALUE"""),0.7333)</f>
      </c>
      <c r="E430" s="10">
        <f>IFERROR(__xludf.DUMMYFUNCTION("""COMPUTED_VALUE"""),0.2264)</f>
      </c>
      <c r="F430" s="10">
        <f>IFERROR(__xludf.DUMMYFUNCTION("""COMPUTED_VALUE"""),0.5907)</f>
      </c>
      <c r="G430" s="10">
        <f>IFERROR(__xludf.DUMMYFUNCTION("""COMPUTED_VALUE"""),0.2011)</f>
      </c>
    </row>
    <row x14ac:dyDescent="0.25" r="431" customHeight="1" ht="15.75">
      <c r="A431" s="8">
        <f>IFERROR(__xludf.DUMMYFUNCTION("""COMPUTED_VALUE"""),25636.0)</f>
      </c>
      <c r="B431" s="9">
        <f>IFERROR(__xludf.DUMMYFUNCTION("""COMPUTED_VALUE"""),"METROPOLITANA IV")</f>
      </c>
      <c r="C431" s="9">
        <f>IFERROR(__xludf.DUMMYFUNCTION("""COMPUTED_VALUE"""),"CIEP 418 ANTONIO CARLOS BERNARDES - MUSSUM")</f>
      </c>
      <c r="D431" s="10">
        <f>IFERROR(__xludf.DUMMYFUNCTION("""COMPUTED_VALUE"""),0.6667)</f>
      </c>
      <c r="E431" s="10">
        <f>IFERROR(__xludf.DUMMYFUNCTION("""COMPUTED_VALUE"""),0.2376)</f>
      </c>
      <c r="F431" s="10">
        <f>IFERROR(__xludf.DUMMYFUNCTION("""COMPUTED_VALUE"""),0.6027)</f>
      </c>
      <c r="G431" s="10">
        <f>IFERROR(__xludf.DUMMYFUNCTION("""COMPUTED_VALUE"""),0.2454)</f>
      </c>
    </row>
    <row x14ac:dyDescent="0.25" r="432" customHeight="1" ht="15.75">
      <c r="A432" s="8">
        <f>IFERROR(__xludf.DUMMYFUNCTION("""COMPUTED_VALUE"""),25637.0)</f>
      </c>
      <c r="B432" s="9">
        <f>IFERROR(__xludf.DUMMYFUNCTION("""COMPUTED_VALUE"""),"METROPOLITANA IV")</f>
      </c>
      <c r="C432" s="9">
        <f>IFERROR(__xludf.DUMMYFUNCTION("""COMPUTED_VALUE"""),"CIEP 432 ALBERTO CAVALCANTI")</f>
      </c>
      <c r="D432" s="10">
        <f>IFERROR(__xludf.DUMMYFUNCTION("""COMPUTED_VALUE"""),0.7302)</f>
      </c>
      <c r="E432" s="10">
        <f>IFERROR(__xludf.DUMMYFUNCTION("""COMPUTED_VALUE"""),0.2204)</f>
      </c>
      <c r="F432" s="10">
        <f>IFERROR(__xludf.DUMMYFUNCTION("""COMPUTED_VALUE"""),0.4603)</f>
      </c>
      <c r="G432" s="10">
        <f>IFERROR(__xludf.DUMMYFUNCTION("""COMPUTED_VALUE"""),0.203)</f>
      </c>
    </row>
    <row x14ac:dyDescent="0.25" r="433" customHeight="1" ht="15.75">
      <c r="A433" s="8">
        <f>IFERROR(__xludf.DUMMYFUNCTION("""COMPUTED_VALUE"""),25638.0)</f>
      </c>
      <c r="B433" s="9">
        <f>IFERROR(__xludf.DUMMYFUNCTION("""COMPUTED_VALUE"""),"METROPOLITANA IV")</f>
      </c>
      <c r="C433" s="9">
        <f>IFERROR(__xludf.DUMMYFUNCTION("""COMPUTED_VALUE"""),"CIEP 433 TOGO RENAN SOARES KANELA")</f>
      </c>
      <c r="D433" s="10">
        <f>IFERROR(__xludf.DUMMYFUNCTION("""COMPUTED_VALUE"""),0.5701)</f>
      </c>
      <c r="E433" s="10">
        <f>IFERROR(__xludf.DUMMYFUNCTION("""COMPUTED_VALUE"""),0.2416)</f>
      </c>
      <c r="F433" s="10">
        <f>IFERROR(__xludf.DUMMYFUNCTION("""COMPUTED_VALUE"""),0.4852)</f>
      </c>
      <c r="G433" s="10">
        <f>IFERROR(__xludf.DUMMYFUNCTION("""COMPUTED_VALUE"""),0.2016)</f>
      </c>
    </row>
    <row x14ac:dyDescent="0.25" r="434" customHeight="1" ht="15.75">
      <c r="A434" s="8">
        <f>IFERROR(__xludf.DUMMYFUNCTION("""COMPUTED_VALUE"""),25639.0)</f>
      </c>
      <c r="B434" s="9">
        <f>IFERROR(__xludf.DUMMYFUNCTION("""COMPUTED_VALUE"""),"METROPOLITANA IV")</f>
      </c>
      <c r="C434" s="9">
        <f>IFERROR(__xludf.DUMMYFUNCTION("""COMPUTED_VALUE"""),"CIEP 435 HELIO PELLEGRINO")</f>
      </c>
      <c r="D434" s="10">
        <f>IFERROR(__xludf.DUMMYFUNCTION("""COMPUTED_VALUE"""),0.7649)</f>
      </c>
      <c r="E434" s="10">
        <f>IFERROR(__xludf.DUMMYFUNCTION("""COMPUTED_VALUE"""),0.2342)</f>
      </c>
      <c r="F434" s="10">
        <f>IFERROR(__xludf.DUMMYFUNCTION("""COMPUTED_VALUE"""),0.6672)</f>
      </c>
      <c r="G434" s="10">
        <f>IFERROR(__xludf.DUMMYFUNCTION("""COMPUTED_VALUE"""),0.2014)</f>
      </c>
    </row>
    <row x14ac:dyDescent="0.25" r="435" customHeight="1" ht="15.75">
      <c r="A435" s="8">
        <f>IFERROR(__xludf.DUMMYFUNCTION("""COMPUTED_VALUE"""),25554.0)</f>
      </c>
      <c r="B435" s="9">
        <f>IFERROR(__xludf.DUMMYFUNCTION("""COMPUTED_VALUE"""),"METROPOLITANA IV")</f>
      </c>
      <c r="C435" s="9">
        <f>IFERROR(__xludf.DUMMYFUNCTION("""COMPUTED_VALUE"""),"CIEP 498 IRMÃ DULCE")</f>
      </c>
      <c r="D435" s="10">
        <f>IFERROR(__xludf.DUMMYFUNCTION("""COMPUTED_VALUE"""),0.6781)</f>
      </c>
      <c r="E435" s="10">
        <f>IFERROR(__xludf.DUMMYFUNCTION("""COMPUTED_VALUE"""),0.2078)</f>
      </c>
      <c r="F435" s="10">
        <f>IFERROR(__xludf.DUMMYFUNCTION("""COMPUTED_VALUE"""),0.5103)</f>
      </c>
      <c r="G435" s="10">
        <f>IFERROR(__xludf.DUMMYFUNCTION("""COMPUTED_VALUE"""),0.2021)</f>
      </c>
    </row>
    <row x14ac:dyDescent="0.25" r="436" customHeight="1" ht="15.75">
      <c r="A436" s="8">
        <f>IFERROR(__xludf.DUMMYFUNCTION("""COMPUTED_VALUE"""),25640.0)</f>
      </c>
      <c r="B436" s="9">
        <f>IFERROR(__xludf.DUMMYFUNCTION("""COMPUTED_VALUE"""),"METROPOLITANA IV")</f>
      </c>
      <c r="C436" s="9">
        <f>IFERROR(__xludf.DUMMYFUNCTION("""COMPUTED_VALUE"""),"IE SARAH KUBITSCHEK")</f>
      </c>
      <c r="D436" s="10">
        <f>IFERROR(__xludf.DUMMYFUNCTION("""COMPUTED_VALUE"""),0.9033)</f>
      </c>
      <c r="E436" s="10">
        <f>IFERROR(__xludf.DUMMYFUNCTION("""COMPUTED_VALUE"""),0.2876)</f>
      </c>
      <c r="F436" s="10">
        <f>IFERROR(__xludf.DUMMYFUNCTION("""COMPUTED_VALUE"""),0.7925)</f>
      </c>
      <c r="G436" s="10">
        <f>IFERROR(__xludf.DUMMYFUNCTION("""COMPUTED_VALUE"""),0.2256)</f>
      </c>
    </row>
    <row x14ac:dyDescent="0.25" r="437" customHeight="1" ht="15.75">
      <c r="A437" s="8">
        <f>IFERROR(__xludf.DUMMYFUNCTION("""COMPUTED_VALUE"""),25809.0)</f>
      </c>
      <c r="B437" s="9">
        <f>IFERROR(__xludf.DUMMYFUNCTION("""COMPUTED_VALUE"""),"METROPOLITANA V")</f>
      </c>
      <c r="C437" s="9">
        <f>IFERROR(__xludf.DUMMYFUNCTION("""COMPUTED_VALUE"""),"CE ABDALA CHAMA")</f>
      </c>
      <c r="D437" s="10">
        <f>IFERROR(__xludf.DUMMYFUNCTION("""COMPUTED_VALUE"""),0.7712)</f>
      </c>
      <c r="E437" s="10">
        <f>IFERROR(__xludf.DUMMYFUNCTION("""COMPUTED_VALUE"""),0.2713)</f>
      </c>
      <c r="F437" s="10">
        <f>IFERROR(__xludf.DUMMYFUNCTION("""COMPUTED_VALUE"""),0.5155)</f>
      </c>
      <c r="G437" s="10">
        <f>IFERROR(__xludf.DUMMYFUNCTION("""COMPUTED_VALUE"""),0.2113)</f>
      </c>
    </row>
    <row x14ac:dyDescent="0.25" r="438" customHeight="1" ht="15.75">
      <c r="A438" s="8">
        <f>IFERROR(__xludf.DUMMYFUNCTION("""COMPUTED_VALUE"""),25810.0)</f>
      </c>
      <c r="B438" s="9">
        <f>IFERROR(__xludf.DUMMYFUNCTION("""COMPUTED_VALUE"""),"METROPOLITANA V")</f>
      </c>
      <c r="C438" s="9">
        <f>IFERROR(__xludf.DUMMYFUNCTION("""COMPUTED_VALUE"""),"CE ADELINA CASTRO")</f>
      </c>
      <c r="D438" s="10">
        <f>IFERROR(__xludf.DUMMYFUNCTION("""COMPUTED_VALUE"""),0.785)</f>
      </c>
      <c r="E438" s="10">
        <f>IFERROR(__xludf.DUMMYFUNCTION("""COMPUTED_VALUE"""),0.2471)</f>
      </c>
      <c r="F438" s="10">
        <f>IFERROR(__xludf.DUMMYFUNCTION("""COMPUTED_VALUE"""),0.645)</f>
      </c>
      <c r="G438" s="10">
        <f>IFERROR(__xludf.DUMMYFUNCTION("""COMPUTED_VALUE"""),0.2103)</f>
      </c>
    </row>
    <row x14ac:dyDescent="0.25" r="439" customHeight="1" ht="15.75">
      <c r="A439" s="8">
        <f>IFERROR(__xludf.DUMMYFUNCTION("""COMPUTED_VALUE"""),25811.0)</f>
      </c>
      <c r="B439" s="9">
        <f>IFERROR(__xludf.DUMMYFUNCTION("""COMPUTED_VALUE"""),"METROPOLITANA V")</f>
      </c>
      <c r="C439" s="9">
        <f>IFERROR(__xludf.DUMMYFUNCTION("""COMPUTED_VALUE"""),"CE ALEMY TAVARES DA SILVA")</f>
      </c>
      <c r="D439" s="10">
        <f>IFERROR(__xludf.DUMMYFUNCTION("""COMPUTED_VALUE"""),0.816)</f>
      </c>
      <c r="E439" s="10">
        <f>IFERROR(__xludf.DUMMYFUNCTION("""COMPUTED_VALUE"""),0.2313)</f>
      </c>
      <c r="F439" s="10">
        <f>IFERROR(__xludf.DUMMYFUNCTION("""COMPUTED_VALUE"""),0.688)</f>
      </c>
      <c r="G439" s="10">
        <f>IFERROR(__xludf.DUMMYFUNCTION("""COMPUTED_VALUE"""),0.1901)</f>
      </c>
    </row>
    <row x14ac:dyDescent="0.25" r="440" customHeight="1" ht="15.75">
      <c r="A440" s="8">
        <f>IFERROR(__xludf.DUMMYFUNCTION("""COMPUTED_VALUE"""),25812.0)</f>
      </c>
      <c r="B440" s="9">
        <f>IFERROR(__xludf.DUMMYFUNCTION("""COMPUTED_VALUE"""),"METROPOLITANA V")</f>
      </c>
      <c r="C440" s="9">
        <f>IFERROR(__xludf.DUMMYFUNCTION("""COMPUTED_VALUE"""),"CE ALEXANDER GRAHAM BELL")</f>
      </c>
      <c r="D440" s="10">
        <f>IFERROR(__xludf.DUMMYFUNCTION("""COMPUTED_VALUE"""),0.6858)</f>
      </c>
      <c r="E440" s="10">
        <f>IFERROR(__xludf.DUMMYFUNCTION("""COMPUTED_VALUE"""),0.2214)</f>
      </c>
      <c r="F440" s="10">
        <f>IFERROR(__xludf.DUMMYFUNCTION("""COMPUTED_VALUE"""),0.2101)</f>
      </c>
      <c r="G440" s="10">
        <f>IFERROR(__xludf.DUMMYFUNCTION("""COMPUTED_VALUE"""),0.204)</f>
      </c>
    </row>
    <row x14ac:dyDescent="0.25" r="441" customHeight="1" ht="15.75">
      <c r="A441" s="8">
        <f>IFERROR(__xludf.DUMMYFUNCTION("""COMPUTED_VALUE"""),25813.0)</f>
      </c>
      <c r="B441" s="9">
        <f>IFERROR(__xludf.DUMMYFUNCTION("""COMPUTED_VALUE"""),"METROPOLITANA V")</f>
      </c>
      <c r="C441" s="9">
        <f>IFERROR(__xludf.DUMMYFUNCTION("""COMPUTED_VALUE"""),"CE ALVARO NEGROMONTE")</f>
      </c>
      <c r="D441" s="10">
        <f>IFERROR(__xludf.DUMMYFUNCTION("""COMPUTED_VALUE"""),0.5469)</f>
      </c>
      <c r="E441" s="10">
        <f>IFERROR(__xludf.DUMMYFUNCTION("""COMPUTED_VALUE"""),0.2523)</f>
      </c>
      <c r="F441" s="10">
        <f>IFERROR(__xludf.DUMMYFUNCTION("""COMPUTED_VALUE"""),0.5755)</f>
      </c>
      <c r="G441" s="10">
        <f>IFERROR(__xludf.DUMMYFUNCTION("""COMPUTED_VALUE"""),0.1943)</f>
      </c>
    </row>
    <row x14ac:dyDescent="0.25" r="442" customHeight="1" ht="15.75">
      <c r="A442" s="8">
        <f>IFERROR(__xludf.DUMMYFUNCTION("""COMPUTED_VALUE"""),25814.0)</f>
      </c>
      <c r="B442" s="9">
        <f>IFERROR(__xludf.DUMMYFUNCTION("""COMPUTED_VALUE"""),"METROPOLITANA V")</f>
      </c>
      <c r="C442" s="9">
        <f>IFERROR(__xludf.DUMMYFUNCTION("""COMPUTED_VALUE"""),"CE AURA BARRETO")</f>
      </c>
      <c r="D442" s="10">
        <f>IFERROR(__xludf.DUMMYFUNCTION("""COMPUTED_VALUE"""),0.9825)</f>
      </c>
      <c r="E442" s="10">
        <f>IFERROR(__xludf.DUMMYFUNCTION("""COMPUTED_VALUE"""),0.2095)</f>
      </c>
      <c r="F442" s="10">
        <f>IFERROR(__xludf.DUMMYFUNCTION("""COMPUTED_VALUE"""),0.7368)</f>
      </c>
      <c r="G442" s="10">
        <f>IFERROR(__xludf.DUMMYFUNCTION("""COMPUTED_VALUE"""),0.2211)</f>
      </c>
    </row>
    <row x14ac:dyDescent="0.25" r="443" customHeight="1" ht="15.75">
      <c r="A443" s="8">
        <f>IFERROR(__xludf.DUMMYFUNCTION("""COMPUTED_VALUE"""),25815.0)</f>
      </c>
      <c r="B443" s="9">
        <f>IFERROR(__xludf.DUMMYFUNCTION("""COMPUTED_VALUE"""),"METROPOLITANA V")</f>
      </c>
      <c r="C443" s="9">
        <f>IFERROR(__xludf.DUMMYFUNCTION("""COMPUTED_VALUE"""),"CE BARAO DE MAUA")</f>
      </c>
      <c r="D443" s="10">
        <f>IFERROR(__xludf.DUMMYFUNCTION("""COMPUTED_VALUE"""),0.866)</f>
      </c>
      <c r="E443" s="10">
        <f>IFERROR(__xludf.DUMMYFUNCTION("""COMPUTED_VALUE"""),0.1989)</f>
      </c>
      <c r="F443" s="10">
        <f>IFERROR(__xludf.DUMMYFUNCTION("""COMPUTED_VALUE"""),0.6408)</f>
      </c>
      <c r="G443" s="10">
        <f>IFERROR(__xludf.DUMMYFUNCTION("""COMPUTED_VALUE"""),0.2012)</f>
      </c>
    </row>
    <row x14ac:dyDescent="0.25" r="444" customHeight="1" ht="15.75">
      <c r="A444" s="8">
        <f>IFERROR(__xludf.DUMMYFUNCTION("""COMPUTED_VALUE"""),25816.0)</f>
      </c>
      <c r="B444" s="9">
        <f>IFERROR(__xludf.DUMMYFUNCTION("""COMPUTED_VALUE"""),"METROPOLITANA V")</f>
      </c>
      <c r="C444" s="9">
        <f>IFERROR(__xludf.DUMMYFUNCTION("""COMPUTED_VALUE"""),"CE CIRCULO OPERARIO")</f>
      </c>
      <c r="D444" s="10">
        <f>IFERROR(__xludf.DUMMYFUNCTION("""COMPUTED_VALUE"""),0.7135)</f>
      </c>
      <c r="E444" s="10">
        <f>IFERROR(__xludf.DUMMYFUNCTION("""COMPUTED_VALUE"""),0.2627)</f>
      </c>
      <c r="F444" s="10">
        <f>IFERROR(__xludf.DUMMYFUNCTION("""COMPUTED_VALUE"""),0.5079)</f>
      </c>
      <c r="G444" s="10">
        <f>IFERROR(__xludf.DUMMYFUNCTION("""COMPUTED_VALUE"""),0.2146)</f>
      </c>
    </row>
    <row x14ac:dyDescent="0.25" r="445" customHeight="1" ht="15.75">
      <c r="A445" s="8">
        <f>IFERROR(__xludf.DUMMYFUNCTION("""COMPUTED_VALUE"""),25817.0)</f>
      </c>
      <c r="B445" s="9">
        <f>IFERROR(__xludf.DUMMYFUNCTION("""COMPUTED_VALUE"""),"METROPOLITANA V")</f>
      </c>
      <c r="C445" s="9">
        <f>IFERROR(__xludf.DUMMYFUNCTION("""COMPUTED_VALUE"""),"CE DOUTOR ALFREDO BACKER")</f>
      </c>
      <c r="D445" s="10">
        <f>IFERROR(__xludf.DUMMYFUNCTION("""COMPUTED_VALUE"""),0.8904)</f>
      </c>
      <c r="E445" s="10">
        <f>IFERROR(__xludf.DUMMYFUNCTION("""COMPUTED_VALUE"""),0.2808)</f>
      </c>
      <c r="F445" s="10">
        <f>IFERROR(__xludf.DUMMYFUNCTION("""COMPUTED_VALUE"""),0.7014)</f>
      </c>
      <c r="G445" s="10">
        <f>IFERROR(__xludf.DUMMYFUNCTION("""COMPUTED_VALUE"""),0.2058)</f>
      </c>
    </row>
    <row x14ac:dyDescent="0.25" r="446" customHeight="1" ht="15.75">
      <c r="A446" s="8">
        <f>IFERROR(__xludf.DUMMYFUNCTION("""COMPUTED_VALUE"""),25818.0)</f>
      </c>
      <c r="B446" s="9">
        <f>IFERROR(__xludf.DUMMYFUNCTION("""COMPUTED_VALUE"""),"METROPOLITANA V")</f>
      </c>
      <c r="C446" s="9">
        <f>IFERROR(__xludf.DUMMYFUNCTION("""COMPUTED_VALUE"""),"CE DOUTOR IGNACIO BEZERRA DE MENEZES")</f>
      </c>
      <c r="D446" s="10">
        <f>IFERROR(__xludf.DUMMYFUNCTION("""COMPUTED_VALUE"""),0.7809)</f>
      </c>
      <c r="E446" s="10">
        <f>IFERROR(__xludf.DUMMYFUNCTION("""COMPUTED_VALUE"""),0.2224)</f>
      </c>
      <c r="F446" s="10">
        <f>IFERROR(__xludf.DUMMYFUNCTION("""COMPUTED_VALUE"""),0.5787)</f>
      </c>
      <c r="G446" s="10">
        <f>IFERROR(__xludf.DUMMYFUNCTION("""COMPUTED_VALUE"""),0.2167)</f>
      </c>
    </row>
    <row x14ac:dyDescent="0.25" r="447" customHeight="1" ht="15.75">
      <c r="A447" s="8">
        <f>IFERROR(__xludf.DUMMYFUNCTION("""COMPUTED_VALUE"""),25819.0)</f>
      </c>
      <c r="B447" s="9">
        <f>IFERROR(__xludf.DUMMYFUNCTION("""COMPUTED_VALUE"""),"METROPOLITANA V")</f>
      </c>
      <c r="C447" s="9">
        <f>IFERROR(__xludf.DUMMYFUNCTION("""COMPUTED_VALUE"""),"CE DULCE PETRI")</f>
      </c>
      <c r="D447" s="10">
        <f>IFERROR(__xludf.DUMMYFUNCTION("""COMPUTED_VALUE"""),0.8265)</f>
      </c>
      <c r="E447" s="10">
        <f>IFERROR(__xludf.DUMMYFUNCTION("""COMPUTED_VALUE"""),0.2969)</f>
      </c>
      <c r="F447" s="10">
        <f>IFERROR(__xludf.DUMMYFUNCTION("""COMPUTED_VALUE"""),0.6531)</f>
      </c>
      <c r="G447" s="10">
        <f>IFERROR(__xludf.DUMMYFUNCTION("""COMPUTED_VALUE"""),0.1995)</f>
      </c>
    </row>
    <row x14ac:dyDescent="0.25" r="448" customHeight="1" ht="15.75">
      <c r="A448" s="8">
        <f>IFERROR(__xludf.DUMMYFUNCTION("""COMPUTED_VALUE"""),25820.0)</f>
      </c>
      <c r="B448" s="9">
        <f>IFERROR(__xludf.DUMMYFUNCTION("""COMPUTED_VALUE"""),"METROPOLITANA V")</f>
      </c>
      <c r="C448" s="9">
        <f>IFERROR(__xludf.DUMMYFUNCTION("""COMPUTED_VALUE"""),"CE DUQUE DE CAXIAS")</f>
      </c>
      <c r="D448" s="10">
        <f>IFERROR(__xludf.DUMMYFUNCTION("""COMPUTED_VALUE"""),0.7735)</f>
      </c>
      <c r="E448" s="10">
        <f>IFERROR(__xludf.DUMMYFUNCTION("""COMPUTED_VALUE"""),0.2424)</f>
      </c>
      <c r="F448" s="10">
        <f>IFERROR(__xludf.DUMMYFUNCTION("""COMPUTED_VALUE"""),0.7435)</f>
      </c>
      <c r="G448" s="10">
        <f>IFERROR(__xludf.DUMMYFUNCTION("""COMPUTED_VALUE"""),0.2059)</f>
      </c>
    </row>
    <row x14ac:dyDescent="0.25" r="449" customHeight="1" ht="15.75">
      <c r="A449" s="8">
        <f>IFERROR(__xludf.DUMMYFUNCTION("""COMPUTED_VALUE"""),25821.0)</f>
      </c>
      <c r="B449" s="9">
        <f>IFERROR(__xludf.DUMMYFUNCTION("""COMPUTED_VALUE"""),"METROPOLITANA V")</f>
      </c>
      <c r="C449" s="9">
        <f>IFERROR(__xludf.DUMMYFUNCTION("""COMPUTED_VALUE"""),"CE EMBAIXADOR RAUL FERNANDES")</f>
      </c>
      <c r="D449" s="10">
        <f>IFERROR(__xludf.DUMMYFUNCTION("""COMPUTED_VALUE"""),0.7987)</f>
      </c>
      <c r="E449" s="10">
        <f>IFERROR(__xludf.DUMMYFUNCTION("""COMPUTED_VALUE"""),0.2341)</f>
      </c>
      <c r="F449" s="10">
        <f>IFERROR(__xludf.DUMMYFUNCTION("""COMPUTED_VALUE"""),0.7181)</f>
      </c>
      <c r="G449" s="10">
        <f>IFERROR(__xludf.DUMMYFUNCTION("""COMPUTED_VALUE"""),0.2114)</f>
      </c>
    </row>
    <row x14ac:dyDescent="0.25" r="450" customHeight="1" ht="15.75">
      <c r="A450" s="8">
        <f>IFERROR(__xludf.DUMMYFUNCTION("""COMPUTED_VALUE"""),25823.0)</f>
      </c>
      <c r="B450" s="9">
        <f>IFERROR(__xludf.DUMMYFUNCTION("""COMPUTED_VALUE"""),"METROPOLITANA V")</f>
      </c>
      <c r="C450" s="9">
        <f>IFERROR(__xludf.DUMMYFUNCTION("""COMPUTED_VALUE"""),"CE EVANGELINA PORTO DA MOTTA")</f>
      </c>
      <c r="D450" s="10">
        <f>IFERROR(__xludf.DUMMYFUNCTION("""COMPUTED_VALUE"""),0.735)</f>
      </c>
      <c r="E450" s="10">
        <f>IFERROR(__xludf.DUMMYFUNCTION("""COMPUTED_VALUE"""),0.2331)</f>
      </c>
      <c r="F450" s="10">
        <f>IFERROR(__xludf.DUMMYFUNCTION("""COMPUTED_VALUE"""),0.6795)</f>
      </c>
      <c r="G450" s="10">
        <f>IFERROR(__xludf.DUMMYFUNCTION("""COMPUTED_VALUE"""),0.2164)</f>
      </c>
    </row>
    <row x14ac:dyDescent="0.25" r="451" customHeight="1" ht="15.75">
      <c r="A451" s="8">
        <f>IFERROR(__xludf.DUMMYFUNCTION("""COMPUTED_VALUE"""),25824.0)</f>
      </c>
      <c r="B451" s="9">
        <f>IFERROR(__xludf.DUMMYFUNCTION("""COMPUTED_VALUE"""),"METROPOLITANA V")</f>
      </c>
      <c r="C451" s="9">
        <f>IFERROR(__xludf.DUMMYFUNCTION("""COMPUTED_VALUE"""),"CE FERNANDO FIGUEIREDO")</f>
      </c>
      <c r="D451" s="10">
        <f>IFERROR(__xludf.DUMMYFUNCTION("""COMPUTED_VALUE"""),0.7131)</f>
      </c>
      <c r="E451" s="10">
        <f>IFERROR(__xludf.DUMMYFUNCTION("""COMPUTED_VALUE"""),0.2177)</f>
      </c>
      <c r="F451" s="10">
        <f>IFERROR(__xludf.DUMMYFUNCTION("""COMPUTED_VALUE"""),0.5313)</f>
      </c>
      <c r="G451" s="10">
        <f>IFERROR(__xludf.DUMMYFUNCTION("""COMPUTED_VALUE"""),0.2271)</f>
      </c>
    </row>
    <row x14ac:dyDescent="0.25" r="452" customHeight="1" ht="15.75">
      <c r="A452" s="8">
        <f>IFERROR(__xludf.DUMMYFUNCTION("""COMPUTED_VALUE"""),25825.0)</f>
      </c>
      <c r="B452" s="9">
        <f>IFERROR(__xludf.DUMMYFUNCTION("""COMPUTED_VALUE"""),"METROPOLITANA V")</f>
      </c>
      <c r="C452" s="9">
        <f>IFERROR(__xludf.DUMMYFUNCTION("""COMPUTED_VALUE"""),"CE FIDELIS MEDEIROS")</f>
      </c>
      <c r="D452" s="10">
        <f>IFERROR(__xludf.DUMMYFUNCTION("""COMPUTED_VALUE"""),0.7524)</f>
      </c>
      <c r="E452" s="10">
        <f>IFERROR(__xludf.DUMMYFUNCTION("""COMPUTED_VALUE"""),0.1628)</f>
      </c>
      <c r="F452" s="10">
        <f>IFERROR(__xludf.DUMMYFUNCTION("""COMPUTED_VALUE"""),0.6095)</f>
      </c>
      <c r="G452" s="10">
        <f>IFERROR(__xludf.DUMMYFUNCTION("""COMPUTED_VALUE"""),0.2169)</f>
      </c>
    </row>
    <row x14ac:dyDescent="0.25" r="453" customHeight="1" ht="15.75">
      <c r="A453" s="8">
        <f>IFERROR(__xludf.DUMMYFUNCTION("""COMPUTED_VALUE"""),25826.0)</f>
      </c>
      <c r="B453" s="9">
        <f>IFERROR(__xludf.DUMMYFUNCTION("""COMPUTED_VALUE"""),"METROPOLITANA V")</f>
      </c>
      <c r="C453" s="9">
        <f>IFERROR(__xludf.DUMMYFUNCTION("""COMPUTED_VALUE"""),"CE FREI HENRIQUE DE COIMBRA")</f>
      </c>
      <c r="D453" s="10">
        <f>IFERROR(__xludf.DUMMYFUNCTION("""COMPUTED_VALUE"""),0.8034)</f>
      </c>
      <c r="E453" s="10">
        <f>IFERROR(__xludf.DUMMYFUNCTION("""COMPUTED_VALUE"""),0.272)</f>
      </c>
      <c r="F453" s="10">
        <f>IFERROR(__xludf.DUMMYFUNCTION("""COMPUTED_VALUE"""),0.6923)</f>
      </c>
      <c r="G453" s="10">
        <f>IFERROR(__xludf.DUMMYFUNCTION("""COMPUTED_VALUE"""),0.2198)</f>
      </c>
    </row>
    <row x14ac:dyDescent="0.25" r="454" customHeight="1" ht="15.75">
      <c r="A454" s="8">
        <f>IFERROR(__xludf.DUMMYFUNCTION("""COMPUTED_VALUE"""),25827.0)</f>
      </c>
      <c r="B454" s="9">
        <f>IFERROR(__xludf.DUMMYFUNCTION("""COMPUTED_VALUE"""),"METROPOLITANA V")</f>
      </c>
      <c r="C454" s="9">
        <f>IFERROR(__xludf.DUMMYFUNCTION("""COMPUTED_VALUE"""),"CE GETÚLIO VARGAS")</f>
      </c>
      <c r="D454" s="10">
        <f>IFERROR(__xludf.DUMMYFUNCTION("""COMPUTED_VALUE"""),0.8571)</f>
      </c>
      <c r="E454" s="10">
        <f>IFERROR(__xludf.DUMMYFUNCTION("""COMPUTED_VALUE"""),0.2801)</f>
      </c>
      <c r="F454" s="10">
        <f>IFERROR(__xludf.DUMMYFUNCTION("""COMPUTED_VALUE"""),0.8364)</f>
      </c>
      <c r="G454" s="10">
        <f>IFERROR(__xludf.DUMMYFUNCTION("""COMPUTED_VALUE"""),0.2333)</f>
      </c>
    </row>
    <row x14ac:dyDescent="0.25" r="455" customHeight="1" ht="15.75">
      <c r="A455" s="8">
        <f>IFERROR(__xludf.DUMMYFUNCTION("""COMPUTED_VALUE"""),25828.0)</f>
      </c>
      <c r="B455" s="9">
        <f>IFERROR(__xludf.DUMMYFUNCTION("""COMPUTED_VALUE"""),"METROPOLITANA V")</f>
      </c>
      <c r="C455" s="9">
        <f>IFERROR(__xludf.DUMMYFUNCTION("""COMPUTED_VALUE"""),"CE GUADALAJARA")</f>
      </c>
      <c r="D455" s="10">
        <f>IFERROR(__xludf.DUMMYFUNCTION("""COMPUTED_VALUE"""),0.5484)</f>
      </c>
      <c r="E455" s="10">
        <f>IFERROR(__xludf.DUMMYFUNCTION("""COMPUTED_VALUE"""),0.1625)</f>
      </c>
      <c r="F455" s="10">
        <f>IFERROR(__xludf.DUMMYFUNCTION("""COMPUTED_VALUE"""),0.4416)</f>
      </c>
      <c r="G455" s="10">
        <f>IFERROR(__xludf.DUMMYFUNCTION("""COMPUTED_VALUE"""),0.1992)</f>
      </c>
    </row>
    <row x14ac:dyDescent="0.25" r="456" customHeight="1" ht="15.75">
      <c r="A456" s="8">
        <f>IFERROR(__xludf.DUMMYFUNCTION("""COMPUTED_VALUE"""),25829.0)</f>
      </c>
      <c r="B456" s="9">
        <f>IFERROR(__xludf.DUMMYFUNCTION("""COMPUTED_VALUE"""),"METROPOLITANA V")</f>
      </c>
      <c r="C456" s="9">
        <f>IFERROR(__xludf.DUMMYFUNCTION("""COMPUTED_VALUE"""),"CE HELIO RANGEL")</f>
      </c>
      <c r="D456" s="10">
        <f>IFERROR(__xludf.DUMMYFUNCTION("""COMPUTED_VALUE"""),0.7557)</f>
      </c>
      <c r="E456" s="10">
        <f>IFERROR(__xludf.DUMMYFUNCTION("""COMPUTED_VALUE"""),0.2258)</f>
      </c>
      <c r="F456" s="10">
        <f>IFERROR(__xludf.DUMMYFUNCTION("""COMPUTED_VALUE"""),0.7624)</f>
      </c>
      <c r="G456" s="10">
        <f>IFERROR(__xludf.DUMMYFUNCTION("""COMPUTED_VALUE"""),0.2048)</f>
      </c>
    </row>
    <row x14ac:dyDescent="0.25" r="457" customHeight="1" ht="15.75">
      <c r="A457" s="8">
        <f>IFERROR(__xludf.DUMMYFUNCTION("""COMPUTED_VALUE"""),25830.0)</f>
      </c>
      <c r="B457" s="9">
        <f>IFERROR(__xludf.DUMMYFUNCTION("""COMPUTED_VALUE"""),"METROPOLITANA V")</f>
      </c>
      <c r="C457" s="9">
        <f>IFERROR(__xludf.DUMMYFUNCTION("""COMPUTED_VALUE"""),"CE HERBERT MOSES")</f>
      </c>
      <c r="D457" s="10">
        <f>IFERROR(__xludf.DUMMYFUNCTION("""COMPUTED_VALUE"""),0.9557)</f>
      </c>
      <c r="E457" s="10">
        <f>IFERROR(__xludf.DUMMYFUNCTION("""COMPUTED_VALUE"""),0.1762)</f>
      </c>
      <c r="F457" s="10">
        <f>IFERROR(__xludf.DUMMYFUNCTION("""COMPUTED_VALUE"""),1.0)</f>
      </c>
      <c r="G457" s="10">
        <f>IFERROR(__xludf.DUMMYFUNCTION("""COMPUTED_VALUE"""),0.1473)</f>
      </c>
    </row>
    <row x14ac:dyDescent="0.25" r="458" customHeight="1" ht="15.75">
      <c r="A458" s="8">
        <f>IFERROR(__xludf.DUMMYFUNCTION("""COMPUTED_VALUE"""),25831.0)</f>
      </c>
      <c r="B458" s="9">
        <f>IFERROR(__xludf.DUMMYFUNCTION("""COMPUTED_VALUE"""),"METROPOLITANA V")</f>
      </c>
      <c r="C458" s="9">
        <f>IFERROR(__xludf.DUMMYFUNCTION("""COMPUTED_VALUE"""),"CE HERVALINA DINIZ PIRES")</f>
      </c>
      <c r="D458" s="10">
        <f>IFERROR(__xludf.DUMMYFUNCTION("""COMPUTED_VALUE"""),0.6866)</f>
      </c>
      <c r="E458" s="10">
        <f>IFERROR(__xludf.DUMMYFUNCTION("""COMPUTED_VALUE"""),0.2499)</f>
      </c>
      <c r="F458" s="10">
        <f>IFERROR(__xludf.DUMMYFUNCTION("""COMPUTED_VALUE"""),0.7692)</f>
      </c>
      <c r="G458" s="10">
        <f>IFERROR(__xludf.DUMMYFUNCTION("""COMPUTED_VALUE"""),0.223)</f>
      </c>
    </row>
    <row x14ac:dyDescent="0.25" r="459" customHeight="1" ht="15.75">
      <c r="A459" s="8">
        <f>IFERROR(__xludf.DUMMYFUNCTION("""COMPUTED_VALUE"""),25832.0)</f>
      </c>
      <c r="B459" s="9">
        <f>IFERROR(__xludf.DUMMYFUNCTION("""COMPUTED_VALUE"""),"METROPOLITANA V")</f>
      </c>
      <c r="C459" s="9">
        <f>IFERROR(__xludf.DUMMYFUNCTION("""COMPUTED_VALUE"""),"CE IRINEU MARINHO")</f>
      </c>
      <c r="D459" s="10">
        <f>IFERROR(__xludf.DUMMYFUNCTION("""COMPUTED_VALUE"""),0.592)</f>
      </c>
      <c r="E459" s="10">
        <f>IFERROR(__xludf.DUMMYFUNCTION("""COMPUTED_VALUE"""),0.2054)</f>
      </c>
      <c r="F459" s="10">
        <f>IFERROR(__xludf.DUMMYFUNCTION("""COMPUTED_VALUE"""),0.744)</f>
      </c>
      <c r="G459" s="10">
        <f>IFERROR(__xludf.DUMMYFUNCTION("""COMPUTED_VALUE"""),0.1989)</f>
      </c>
    </row>
    <row x14ac:dyDescent="0.25" r="460" customHeight="1" ht="15.75">
      <c r="A460" s="8">
        <f>IFERROR(__xludf.DUMMYFUNCTION("""COMPUTED_VALUE"""),25833.0)</f>
      </c>
      <c r="B460" s="9">
        <f>IFERROR(__xludf.DUMMYFUNCTION("""COMPUTED_VALUE"""),"METROPOLITANA V")</f>
      </c>
      <c r="C460" s="9">
        <f>IFERROR(__xludf.DUMMYFUNCTION("""COMPUTED_VALUE"""),"CE LARA VILLELA")</f>
      </c>
      <c r="D460" s="10">
        <f>IFERROR(__xludf.DUMMYFUNCTION("""COMPUTED_VALUE"""),0.5278)</f>
      </c>
      <c r="E460" s="10">
        <f>IFERROR(__xludf.DUMMYFUNCTION("""COMPUTED_VALUE"""),0.1676)</f>
      </c>
      <c r="F460" s="10">
        <f>IFERROR(__xludf.DUMMYFUNCTION("""COMPUTED_VALUE"""),0.6897)</f>
      </c>
      <c r="G460" s="10">
        <f>IFERROR(__xludf.DUMMYFUNCTION("""COMPUTED_VALUE"""),0.1773)</f>
      </c>
    </row>
    <row x14ac:dyDescent="0.25" r="461" customHeight="1" ht="15.75">
      <c r="A461" s="8">
        <f>IFERROR(__xludf.DUMMYFUNCTION("""COMPUTED_VALUE"""),25834.0)</f>
      </c>
      <c r="B461" s="9">
        <f>IFERROR(__xludf.DUMMYFUNCTION("""COMPUTED_VALUE"""),"METROPOLITANA V")</f>
      </c>
      <c r="C461" s="9">
        <f>IFERROR(__xludf.DUMMYFUNCTION("""COMPUTED_VALUE"""),"CE LIA MARCIA GONÇALVES PANARO")</f>
      </c>
      <c r="D461" s="10">
        <f>IFERROR(__xludf.DUMMYFUNCTION("""COMPUTED_VALUE"""),0.9461)</f>
      </c>
      <c r="E461" s="10">
        <f>IFERROR(__xludf.DUMMYFUNCTION("""COMPUTED_VALUE"""),0.1918)</f>
      </c>
      <c r="F461" s="10">
        <f>IFERROR(__xludf.DUMMYFUNCTION("""COMPUTED_VALUE"""),0.7008)</f>
      </c>
      <c r="G461" s="10">
        <f>IFERROR(__xludf.DUMMYFUNCTION("""COMPUTED_VALUE"""),0.2125)</f>
      </c>
    </row>
    <row x14ac:dyDescent="0.25" r="462" customHeight="1" ht="15.75">
      <c r="A462" s="8">
        <f>IFERROR(__xludf.DUMMYFUNCTION("""COMPUTED_VALUE"""),25835.0)</f>
      </c>
      <c r="B462" s="9">
        <f>IFERROR(__xludf.DUMMYFUNCTION("""COMPUTED_VALUE"""),"METROPOLITANA V")</f>
      </c>
      <c r="C462" s="9">
        <f>IFERROR(__xludf.DUMMYFUNCTION("""COMPUTED_VALUE"""),"CE MANOEL BANDEIRA")</f>
      </c>
      <c r="D462" s="10">
        <f>IFERROR(__xludf.DUMMYFUNCTION("""COMPUTED_VALUE"""),0.8675)</f>
      </c>
      <c r="E462" s="10">
        <f>IFERROR(__xludf.DUMMYFUNCTION("""COMPUTED_VALUE"""),0.2346)</f>
      </c>
      <c r="F462" s="10">
        <f>IFERROR(__xludf.DUMMYFUNCTION("""COMPUTED_VALUE"""),0.7711)</f>
      </c>
      <c r="G462" s="10">
        <f>IFERROR(__xludf.DUMMYFUNCTION("""COMPUTED_VALUE"""),0.2163)</f>
      </c>
    </row>
    <row x14ac:dyDescent="0.25" r="463" customHeight="1" ht="15.75">
      <c r="A463" s="8">
        <f>IFERROR(__xludf.DUMMYFUNCTION("""COMPUTED_VALUE"""),25836.0)</f>
      </c>
      <c r="B463" s="9">
        <f>IFERROR(__xludf.DUMMYFUNCTION("""COMPUTED_VALUE"""),"METROPOLITANA V")</f>
      </c>
      <c r="C463" s="9">
        <f>IFERROR(__xludf.DUMMYFUNCTION("""COMPUTED_VALUE"""),"CE MARECHAL RONDON")</f>
      </c>
      <c r="D463" s="10">
        <f>IFERROR(__xludf.DUMMYFUNCTION("""COMPUTED_VALUE"""),0.6832)</f>
      </c>
      <c r="E463" s="10">
        <f>IFERROR(__xludf.DUMMYFUNCTION("""COMPUTED_VALUE"""),0.2111)</f>
      </c>
      <c r="F463" s="10">
        <f>IFERROR(__xludf.DUMMYFUNCTION("""COMPUTED_VALUE"""),0.559)</f>
      </c>
      <c r="G463" s="10">
        <f>IFERROR(__xludf.DUMMYFUNCTION("""COMPUTED_VALUE"""),0.1985)</f>
      </c>
    </row>
    <row x14ac:dyDescent="0.25" r="464" customHeight="1" ht="15.75">
      <c r="A464" s="8">
        <f>IFERROR(__xludf.DUMMYFUNCTION("""COMPUTED_VALUE"""),25837.0)</f>
      </c>
      <c r="B464" s="9">
        <f>IFERROR(__xludf.DUMMYFUNCTION("""COMPUTED_VALUE"""),"METROPOLITANA V")</f>
      </c>
      <c r="C464" s="9">
        <f>IFERROR(__xludf.DUMMYFUNCTION("""COMPUTED_VALUE"""),"CE MIGUEL COUTO")</f>
      </c>
      <c r="D464" s="10">
        <f>IFERROR(__xludf.DUMMYFUNCTION("""COMPUTED_VALUE"""),0.94)</f>
      </c>
      <c r="E464" s="10">
        <f>IFERROR(__xludf.DUMMYFUNCTION("""COMPUTED_VALUE"""),0.2216)</f>
      </c>
      <c r="F464" s="10">
        <f>IFERROR(__xludf.DUMMYFUNCTION("""COMPUTED_VALUE"""),1.0)</f>
      </c>
      <c r="G464" s="10">
        <f>IFERROR(__xludf.DUMMYFUNCTION("""COMPUTED_VALUE"""),0.1304)</f>
      </c>
    </row>
    <row x14ac:dyDescent="0.25" r="465" customHeight="1" ht="15.75">
      <c r="A465" s="8">
        <f>IFERROR(__xludf.DUMMYFUNCTION("""COMPUTED_VALUE"""),25838.0)</f>
      </c>
      <c r="B465" s="9">
        <f>IFERROR(__xludf.DUMMYFUNCTION("""COMPUTED_VALUE"""),"METROPOLITANA V")</f>
      </c>
      <c r="C465" s="9">
        <f>IFERROR(__xludf.DUMMYFUNCTION("""COMPUTED_VALUE"""),"CE MINAS GERAIS")</f>
      </c>
      <c r="D465" s="10">
        <f>IFERROR(__xludf.DUMMYFUNCTION("""COMPUTED_VALUE"""),0.6314)</f>
      </c>
      <c r="E465" s="10">
        <f>IFERROR(__xludf.DUMMYFUNCTION("""COMPUTED_VALUE"""),0.2457)</f>
      </c>
      <c r="F465" s="10">
        <f>IFERROR(__xludf.DUMMYFUNCTION("""COMPUTED_VALUE"""),0.6398)</f>
      </c>
      <c r="G465" s="10">
        <f>IFERROR(__xludf.DUMMYFUNCTION("""COMPUTED_VALUE"""),0.1878)</f>
      </c>
    </row>
    <row x14ac:dyDescent="0.25" r="466" customHeight="1" ht="15.75">
      <c r="A466" s="8">
        <f>IFERROR(__xludf.DUMMYFUNCTION("""COMPUTED_VALUE"""),25839.0)</f>
      </c>
      <c r="B466" s="9">
        <f>IFERROR(__xludf.DUMMYFUNCTION("""COMPUTED_VALUE"""),"METROPOLITANA V")</f>
      </c>
      <c r="C466" s="9">
        <f>IFERROR(__xludf.DUMMYFUNCTION("""COMPUTED_VALUE"""),"CE MONTEIRO LOBATO")</f>
      </c>
      <c r="D466" s="10">
        <f>IFERROR(__xludf.DUMMYFUNCTION("""COMPUTED_VALUE"""),0.9578)</f>
      </c>
      <c r="E466" s="10">
        <f>IFERROR(__xludf.DUMMYFUNCTION("""COMPUTED_VALUE"""),0.2121)</f>
      </c>
      <c r="F466" s="10">
        <f>IFERROR(__xludf.DUMMYFUNCTION("""COMPUTED_VALUE"""),0.7771)</f>
      </c>
      <c r="G466" s="10">
        <f>IFERROR(__xludf.DUMMYFUNCTION("""COMPUTED_VALUE"""),0.2086)</f>
      </c>
    </row>
    <row x14ac:dyDescent="0.25" r="467" customHeight="1" ht="15.75">
      <c r="A467" s="8">
        <f>IFERROR(__xludf.DUMMYFUNCTION("""COMPUTED_VALUE"""),25840.0)</f>
      </c>
      <c r="B467" s="9">
        <f>IFERROR(__xludf.DUMMYFUNCTION("""COMPUTED_VALUE"""),"METROPOLITANA V")</f>
      </c>
      <c r="C467" s="9">
        <f>IFERROR(__xludf.DUMMYFUNCTION("""COMPUTED_VALUE"""),"CE NOVA AMÉRICA")</f>
      </c>
      <c r="D467" s="10">
        <f>IFERROR(__xludf.DUMMYFUNCTION("""COMPUTED_VALUE"""),0.8255)</f>
      </c>
      <c r="E467" s="10">
        <f>IFERROR(__xludf.DUMMYFUNCTION("""COMPUTED_VALUE"""),0.235)</f>
      </c>
      <c r="F467" s="10">
        <f>IFERROR(__xludf.DUMMYFUNCTION("""COMPUTED_VALUE"""),0.6553)</f>
      </c>
      <c r="G467" s="10">
        <f>IFERROR(__xludf.DUMMYFUNCTION("""COMPUTED_VALUE"""),0.2039)</f>
      </c>
    </row>
    <row x14ac:dyDescent="0.25" r="468" customHeight="1" ht="15.75">
      <c r="A468" s="8">
        <f>IFERROR(__xludf.DUMMYFUNCTION("""COMPUTED_VALUE"""),25841.0)</f>
      </c>
      <c r="B468" s="9">
        <f>IFERROR(__xludf.DUMMYFUNCTION("""COMPUTED_VALUE"""),"METROPOLITANA V")</f>
      </c>
      <c r="C468" s="9">
        <f>IFERROR(__xludf.DUMMYFUNCTION("""COMPUTED_VALUE"""),"CE OPERARIO JOAO VICENTE")</f>
      </c>
      <c r="D468" s="10">
        <f>IFERROR(__xludf.DUMMYFUNCTION("""COMPUTED_VALUE"""),0.8603)</f>
      </c>
      <c r="E468" s="10">
        <f>IFERROR(__xludf.DUMMYFUNCTION("""COMPUTED_VALUE"""),0.207)</f>
      </c>
      <c r="F468" s="10">
        <f>IFERROR(__xludf.DUMMYFUNCTION("""COMPUTED_VALUE"""),0.6691)</f>
      </c>
      <c r="G468" s="10">
        <f>IFERROR(__xludf.DUMMYFUNCTION("""COMPUTED_VALUE"""),0.1978)</f>
      </c>
    </row>
    <row x14ac:dyDescent="0.25" r="469" customHeight="1" ht="15.75">
      <c r="A469" s="8">
        <f>IFERROR(__xludf.DUMMYFUNCTION("""COMPUTED_VALUE"""),25842.0)</f>
      </c>
      <c r="B469" s="9">
        <f>IFERROR(__xludf.DUMMYFUNCTION("""COMPUTED_VALUE"""),"METROPOLITANA V")</f>
      </c>
      <c r="C469" s="9">
        <f>IFERROR(__xludf.DUMMYFUNCTION("""COMPUTED_VALUE"""),"CE PADRE ANCHIETA")</f>
      </c>
      <c r="D469" s="10">
        <f>IFERROR(__xludf.DUMMYFUNCTION("""COMPUTED_VALUE"""),0.7957)</f>
      </c>
      <c r="E469" s="10">
        <f>IFERROR(__xludf.DUMMYFUNCTION("""COMPUTED_VALUE"""),0.2395)</f>
      </c>
      <c r="F469" s="10">
        <f>IFERROR(__xludf.DUMMYFUNCTION("""COMPUTED_VALUE"""),0.7473)</f>
      </c>
      <c r="G469" s="10">
        <f>IFERROR(__xludf.DUMMYFUNCTION("""COMPUTED_VALUE"""),0.1973)</f>
      </c>
    </row>
    <row x14ac:dyDescent="0.25" r="470" customHeight="1" ht="15.75">
      <c r="A470" s="8">
        <f>IFERROR(__xludf.DUMMYFUNCTION("""COMPUTED_VALUE"""),25843.0)</f>
      </c>
      <c r="B470" s="9">
        <f>IFERROR(__xludf.DUMMYFUNCTION("""COMPUTED_VALUE"""),"METROPOLITANA V")</f>
      </c>
      <c r="C470" s="9">
        <f>IFERROR(__xludf.DUMMYFUNCTION("""COMPUTED_VALUE"""),"CE PARADA ANGÉLICA")</f>
      </c>
      <c r="D470" s="10">
        <f>IFERROR(__xludf.DUMMYFUNCTION("""COMPUTED_VALUE"""),0.7806)</f>
      </c>
      <c r="E470" s="10">
        <f>IFERROR(__xludf.DUMMYFUNCTION("""COMPUTED_VALUE"""),0.2279)</f>
      </c>
      <c r="F470" s="10">
        <f>IFERROR(__xludf.DUMMYFUNCTION("""COMPUTED_VALUE"""),0.7692)</f>
      </c>
      <c r="G470" s="10">
        <f>IFERROR(__xludf.DUMMYFUNCTION("""COMPUTED_VALUE"""),0.2054)</f>
      </c>
    </row>
    <row x14ac:dyDescent="0.25" r="471" customHeight="1" ht="15.75">
      <c r="A471" s="8">
        <f>IFERROR(__xludf.DUMMYFUNCTION("""COMPUTED_VALUE"""),25844.0)</f>
      </c>
      <c r="B471" s="9">
        <f>IFERROR(__xludf.DUMMYFUNCTION("""COMPUTED_VALUE"""),"METROPOLITANA V")</f>
      </c>
      <c r="C471" s="9">
        <f>IFERROR(__xludf.DUMMYFUNCTION("""COMPUTED_VALUE"""),"CE PATRONO DUQUE DE CAXIAS")</f>
      </c>
      <c r="D471" s="10">
        <f>IFERROR(__xludf.DUMMYFUNCTION("""COMPUTED_VALUE"""),0.8067)</f>
      </c>
      <c r="E471" s="10">
        <f>IFERROR(__xludf.DUMMYFUNCTION("""COMPUTED_VALUE"""),0.2357)</f>
      </c>
      <c r="F471" s="10">
        <f>IFERROR(__xludf.DUMMYFUNCTION("""COMPUTED_VALUE"""),0.703)</f>
      </c>
      <c r="G471" s="10">
        <f>IFERROR(__xludf.DUMMYFUNCTION("""COMPUTED_VALUE"""),0.2115)</f>
      </c>
    </row>
    <row x14ac:dyDescent="0.25" r="472" customHeight="1" ht="15.75">
      <c r="A472" s="8">
        <f>IFERROR(__xludf.DUMMYFUNCTION("""COMPUTED_VALUE"""),25845.0)</f>
      </c>
      <c r="B472" s="9">
        <f>IFERROR(__xludf.DUMMYFUNCTION("""COMPUTED_VALUE"""),"METROPOLITANA V")</f>
      </c>
      <c r="C472" s="9">
        <f>IFERROR(__xludf.DUMMYFUNCTION("""COMPUTED_VALUE"""),"CE PROFESSOR FRANCISCO PORTUGAL NEVES")</f>
      </c>
      <c r="D472" s="10">
        <f>IFERROR(__xludf.DUMMYFUNCTION("""COMPUTED_VALUE"""),0.7232)</f>
      </c>
      <c r="E472" s="10">
        <f>IFERROR(__xludf.DUMMYFUNCTION("""COMPUTED_VALUE"""),0.245)</f>
      </c>
      <c r="F472" s="10">
        <f>IFERROR(__xludf.DUMMYFUNCTION("""COMPUTED_VALUE"""),0.5875)</f>
      </c>
      <c r="G472" s="10">
        <f>IFERROR(__xludf.DUMMYFUNCTION("""COMPUTED_VALUE"""),0.2111)</f>
      </c>
    </row>
    <row x14ac:dyDescent="0.25" r="473" customHeight="1" ht="15.75">
      <c r="A473" s="8">
        <f>IFERROR(__xludf.DUMMYFUNCTION("""COMPUTED_VALUE"""),25846.0)</f>
      </c>
      <c r="B473" s="9">
        <f>IFERROR(__xludf.DUMMYFUNCTION("""COMPUTED_VALUE"""),"METROPOLITANA V")</f>
      </c>
      <c r="C473" s="9">
        <f>IFERROR(__xludf.DUMMYFUNCTION("""COMPUTED_VALUE"""),"CE PROFESSOR JOSE DE SOUZA HERDY")</f>
      </c>
      <c r="D473" s="10">
        <f>IFERROR(__xludf.DUMMYFUNCTION("""COMPUTED_VALUE"""),0.7952)</f>
      </c>
      <c r="E473" s="10">
        <f>IFERROR(__xludf.DUMMYFUNCTION("""COMPUTED_VALUE"""),0.2273)</f>
      </c>
      <c r="F473" s="10">
        <f>IFERROR(__xludf.DUMMYFUNCTION("""COMPUTED_VALUE"""),0.7743)</f>
      </c>
      <c r="G473" s="10">
        <f>IFERROR(__xludf.DUMMYFUNCTION("""COMPUTED_VALUE"""),0.2053)</f>
      </c>
    </row>
    <row x14ac:dyDescent="0.25" r="474" customHeight="1" ht="15.75">
      <c r="A474" s="8">
        <f>IFERROR(__xludf.DUMMYFUNCTION("""COMPUTED_VALUE"""),25847.0)</f>
      </c>
      <c r="B474" s="9">
        <f>IFERROR(__xludf.DUMMYFUNCTION("""COMPUTED_VALUE"""),"METROPOLITANA V")</f>
      </c>
      <c r="C474" s="9">
        <f>IFERROR(__xludf.DUMMYFUNCTION("""COMPUTED_VALUE"""),"CE PROFESSORA MINERVINA BARBOSA DE CASTRO")</f>
      </c>
      <c r="D474" s="10">
        <f>IFERROR(__xludf.DUMMYFUNCTION("""COMPUTED_VALUE"""),0.9949)</f>
      </c>
      <c r="E474" s="10">
        <f>IFERROR(__xludf.DUMMYFUNCTION("""COMPUTED_VALUE"""),0.2015)</f>
      </c>
      <c r="F474" s="10">
        <f>IFERROR(__xludf.DUMMYFUNCTION("""COMPUTED_VALUE"""),0.7704)</f>
      </c>
      <c r="G474" s="10">
        <f>IFERROR(__xludf.DUMMYFUNCTION("""COMPUTED_VALUE"""),0.2165)</f>
      </c>
    </row>
    <row x14ac:dyDescent="0.25" r="475" customHeight="1" ht="15.75">
      <c r="A475" s="8">
        <f>IFERROR(__xludf.DUMMYFUNCTION("""COMPUTED_VALUE"""),25848.0)</f>
      </c>
      <c r="B475" s="9">
        <f>IFERROR(__xludf.DUMMYFUNCTION("""COMPUTED_VALUE"""),"METROPOLITANA V")</f>
      </c>
      <c r="C475" s="9">
        <f>IFERROR(__xludf.DUMMYFUNCTION("""COMPUTED_VALUE"""),"CE PROFESSORA NORMA TOOP URUGUAY")</f>
      </c>
      <c r="D475" s="10">
        <f>IFERROR(__xludf.DUMMYFUNCTION("""COMPUTED_VALUE"""),0.7917)</f>
      </c>
      <c r="E475" s="10">
        <f>IFERROR(__xludf.DUMMYFUNCTION("""COMPUTED_VALUE"""),0.2438)</f>
      </c>
      <c r="F475" s="10">
        <f>IFERROR(__xludf.DUMMYFUNCTION("""COMPUTED_VALUE"""),0.6389)</f>
      </c>
      <c r="G475" s="10">
        <f>IFERROR(__xludf.DUMMYFUNCTION("""COMPUTED_VALUE"""),0.2116)</f>
      </c>
    </row>
    <row x14ac:dyDescent="0.25" r="476" customHeight="1" ht="15.75">
      <c r="A476" s="8">
        <f>IFERROR(__xludf.DUMMYFUNCTION("""COMPUTED_VALUE"""),25849.0)</f>
      </c>
      <c r="B476" s="9">
        <f>IFERROR(__xludf.DUMMYFUNCTION("""COMPUTED_VALUE"""),"METROPOLITANA V")</f>
      </c>
      <c r="C476" s="9">
        <f>IFERROR(__xludf.DUMMYFUNCTION("""COMPUTED_VALUE"""),"CE PROFESSORA VERA LUCIA TAVARES ROMAO")</f>
      </c>
      <c r="D476" s="10">
        <f>IFERROR(__xludf.DUMMYFUNCTION("""COMPUTED_VALUE"""),0.8339)</f>
      </c>
      <c r="E476" s="10">
        <f>IFERROR(__xludf.DUMMYFUNCTION("""COMPUTED_VALUE"""),0.2478)</f>
      </c>
      <c r="F476" s="10">
        <f>IFERROR(__xludf.DUMMYFUNCTION("""COMPUTED_VALUE"""),0.7743)</f>
      </c>
      <c r="G476" s="10">
        <f>IFERROR(__xludf.DUMMYFUNCTION("""COMPUTED_VALUE"""),0.2144)</f>
      </c>
    </row>
    <row x14ac:dyDescent="0.25" r="477" customHeight="1" ht="15.75">
      <c r="A477" s="8">
        <f>IFERROR(__xludf.DUMMYFUNCTION("""COMPUTED_VALUE"""),25850.0)</f>
      </c>
      <c r="B477" s="9">
        <f>IFERROR(__xludf.DUMMYFUNCTION("""COMPUTED_VALUE"""),"METROPOLITANA V")</f>
      </c>
      <c r="C477" s="9">
        <f>IFERROR(__xludf.DUMMYFUNCTION("""COMPUTED_VALUE"""),"CE RUI BARBOSA")</f>
      </c>
      <c r="D477" s="10">
        <f>IFERROR(__xludf.DUMMYFUNCTION("""COMPUTED_VALUE"""),0.7532)</f>
      </c>
      <c r="E477" s="10">
        <f>IFERROR(__xludf.DUMMYFUNCTION("""COMPUTED_VALUE"""),0.237)</f>
      </c>
      <c r="F477" s="10">
        <f>IFERROR(__xludf.DUMMYFUNCTION("""COMPUTED_VALUE"""),0.6104)</f>
      </c>
      <c r="G477" s="10">
        <f>IFERROR(__xludf.DUMMYFUNCTION("""COMPUTED_VALUE"""),0.2106)</f>
      </c>
    </row>
    <row x14ac:dyDescent="0.25" r="478" customHeight="1" ht="15.75">
      <c r="A478" s="8">
        <f>IFERROR(__xludf.DUMMYFUNCTION("""COMPUTED_VALUE"""),25851.0)</f>
      </c>
      <c r="B478" s="9">
        <f>IFERROR(__xludf.DUMMYFUNCTION("""COMPUTED_VALUE"""),"METROPOLITANA V")</f>
      </c>
      <c r="C478" s="9">
        <f>IFERROR(__xludf.DUMMYFUNCTION("""COMPUTED_VALUE"""),"CE SANTO ANTONIO")</f>
      </c>
      <c r="D478" s="10">
        <f>IFERROR(__xludf.DUMMYFUNCTION("""COMPUTED_VALUE"""),0.7049)</f>
      </c>
      <c r="E478" s="10">
        <f>IFERROR(__xludf.DUMMYFUNCTION("""COMPUTED_VALUE"""),0.2185)</f>
      </c>
      <c r="F478" s="10">
        <f>IFERROR(__xludf.DUMMYFUNCTION("""COMPUTED_VALUE"""),0.627)</f>
      </c>
      <c r="G478" s="10">
        <f>IFERROR(__xludf.DUMMYFUNCTION("""COMPUTED_VALUE"""),0.1963)</f>
      </c>
    </row>
    <row x14ac:dyDescent="0.25" r="479" customHeight="1" ht="15.75">
      <c r="A479" s="8">
        <f>IFERROR(__xludf.DUMMYFUNCTION("""COMPUTED_VALUE"""),25852.0)</f>
      </c>
      <c r="B479" s="9">
        <f>IFERROR(__xludf.DUMMYFUNCTION("""COMPUTED_VALUE"""),"METROPOLITANA V")</f>
      </c>
      <c r="C479" s="9">
        <f>IFERROR(__xludf.DUMMYFUNCTION("""COMPUTED_VALUE"""),"CE SANTO INACIO")</f>
      </c>
      <c r="D479" s="10">
        <f>IFERROR(__xludf.DUMMYFUNCTION("""COMPUTED_VALUE"""),0.8727)</f>
      </c>
      <c r="E479" s="10">
        <f>IFERROR(__xludf.DUMMYFUNCTION("""COMPUTED_VALUE"""),0.2194)</f>
      </c>
      <c r="F479" s="10">
        <f>IFERROR(__xludf.DUMMYFUNCTION("""COMPUTED_VALUE"""),0.5818)</f>
      </c>
      <c r="G479" s="10">
        <f>IFERROR(__xludf.DUMMYFUNCTION("""COMPUTED_VALUE"""),0.2065)</f>
      </c>
    </row>
    <row x14ac:dyDescent="0.25" r="480" customHeight="1" ht="15.75">
      <c r="A480" s="8">
        <f>IFERROR(__xludf.DUMMYFUNCTION("""COMPUTED_VALUE"""),25853.0)</f>
      </c>
      <c r="B480" s="9">
        <f>IFERROR(__xludf.DUMMYFUNCTION("""COMPUTED_VALUE"""),"METROPOLITANA V")</f>
      </c>
      <c r="C480" s="9">
        <f>IFERROR(__xludf.DUMMYFUNCTION("""COMPUTED_VALUE"""),"CE SAO BENTO")</f>
      </c>
      <c r="D480" s="10">
        <f>IFERROR(__xludf.DUMMYFUNCTION("""COMPUTED_VALUE"""),0.963)</f>
      </c>
      <c r="E480" s="10">
        <f>IFERROR(__xludf.DUMMYFUNCTION("""COMPUTED_VALUE"""),0.1739)</f>
      </c>
      <c r="F480" s="10">
        <f>IFERROR(__xludf.DUMMYFUNCTION("""COMPUTED_VALUE"""),0.6764)</f>
      </c>
      <c r="G480" s="10">
        <f>IFERROR(__xludf.DUMMYFUNCTION("""COMPUTED_VALUE"""),0.2066)</f>
      </c>
    </row>
    <row x14ac:dyDescent="0.25" r="481" customHeight="1" ht="15.75">
      <c r="A481" s="8">
        <f>IFERROR(__xludf.DUMMYFUNCTION("""COMPUTED_VALUE"""),25854.0)</f>
      </c>
      <c r="B481" s="9">
        <f>IFERROR(__xludf.DUMMYFUNCTION("""COMPUTED_VALUE"""),"METROPOLITANA V")</f>
      </c>
      <c r="C481" s="9">
        <f>IFERROR(__xludf.DUMMYFUNCTION("""COMPUTED_VALUE"""),"CE VINICIUS DE MORAES")</f>
      </c>
      <c r="D481" s="10">
        <f>IFERROR(__xludf.DUMMYFUNCTION("""COMPUTED_VALUE"""),0.9302)</f>
      </c>
      <c r="E481" s="10">
        <f>IFERROR(__xludf.DUMMYFUNCTION("""COMPUTED_VALUE"""),0.1751)</f>
      </c>
      <c r="F481" s="10">
        <f>IFERROR(__xludf.DUMMYFUNCTION("""COMPUTED_VALUE"""),0.6395)</f>
      </c>
      <c r="G481" s="10">
        <f>IFERROR(__xludf.DUMMYFUNCTION("""COMPUTED_VALUE"""),0.202)</f>
      </c>
    </row>
    <row x14ac:dyDescent="0.25" r="482" customHeight="1" ht="15.75">
      <c r="A482" s="8">
        <f>IFERROR(__xludf.DUMMYFUNCTION("""COMPUTED_VALUE"""),25855.0)</f>
      </c>
      <c r="B482" s="9">
        <f>IFERROR(__xludf.DUMMYFUNCTION("""COMPUTED_VALUE"""),"METROPOLITANA V")</f>
      </c>
      <c r="C482" s="9">
        <f>IFERROR(__xludf.DUMMYFUNCTION("""COMPUTED_VALUE"""),"CE ZUMBI DOS PALMARES")</f>
      </c>
      <c r="D482" s="10">
        <f>IFERROR(__xludf.DUMMYFUNCTION("""COMPUTED_VALUE"""),0.6053)</f>
      </c>
      <c r="E482" s="10">
        <f>IFERROR(__xludf.DUMMYFUNCTION("""COMPUTED_VALUE"""),0.2309)</f>
      </c>
      <c r="F482" s="10">
        <f>IFERROR(__xludf.DUMMYFUNCTION("""COMPUTED_VALUE"""),0.4024)</f>
      </c>
      <c r="G482" s="10">
        <f>IFERROR(__xludf.DUMMYFUNCTION("""COMPUTED_VALUE"""),0.2008)</f>
      </c>
    </row>
    <row x14ac:dyDescent="0.25" r="483" customHeight="1" ht="15.75">
      <c r="A483" s="8">
        <f>IFERROR(__xludf.DUMMYFUNCTION("""COMPUTED_VALUE"""),25857.0)</f>
      </c>
      <c r="B483" s="9">
        <f>IFERROR(__xludf.DUMMYFUNCTION("""COMPUTED_VALUE"""),"METROPOLITANA V")</f>
      </c>
      <c r="C483" s="9">
        <f>IFERROR(__xludf.DUMMYFUNCTION("""COMPUTED_VALUE"""),"CIEP 031 LIRIO DO LAGUNA")</f>
      </c>
      <c r="D483" s="10">
        <f>IFERROR(__xludf.DUMMYFUNCTION("""COMPUTED_VALUE"""),0.428)</f>
      </c>
      <c r="E483" s="10">
        <f>IFERROR(__xludf.DUMMYFUNCTION("""COMPUTED_VALUE"""),0.2102)</f>
      </c>
      <c r="F483" s="10">
        <f>IFERROR(__xludf.DUMMYFUNCTION("""COMPUTED_VALUE"""),0.2751)</f>
      </c>
      <c r="G483" s="10">
        <f>IFERROR(__xludf.DUMMYFUNCTION("""COMPUTED_VALUE"""),0.1956)</f>
      </c>
    </row>
    <row x14ac:dyDescent="0.25" r="484" customHeight="1" ht="15.75">
      <c r="A484" s="8">
        <f>IFERROR(__xludf.DUMMYFUNCTION("""COMPUTED_VALUE"""),25858.0)</f>
      </c>
      <c r="B484" s="9">
        <f>IFERROR(__xludf.DUMMYFUNCTION("""COMPUTED_VALUE"""),"METROPOLITANA V")</f>
      </c>
      <c r="C484" s="9">
        <f>IFERROR(__xludf.DUMMYFUNCTION("""COMPUTED_VALUE"""),"CIEP 032 CORA CORALINA")</f>
      </c>
      <c r="D484" s="10">
        <f>IFERROR(__xludf.DUMMYFUNCTION("""COMPUTED_VALUE"""),0.8421)</f>
      </c>
      <c r="E484" s="10">
        <f>IFERROR(__xludf.DUMMYFUNCTION("""COMPUTED_VALUE"""),0.1696)</f>
      </c>
      <c r="F484" s="10">
        <f>IFERROR(__xludf.DUMMYFUNCTION("""COMPUTED_VALUE"""),0.6604)</f>
      </c>
      <c r="G484" s="10">
        <f>IFERROR(__xludf.DUMMYFUNCTION("""COMPUTED_VALUE"""),0.202)</f>
      </c>
    </row>
    <row x14ac:dyDescent="0.25" r="485" customHeight="1" ht="15.75">
      <c r="A485" s="8">
        <f>IFERROR(__xludf.DUMMYFUNCTION("""COMPUTED_VALUE"""),25860.0)</f>
      </c>
      <c r="B485" s="9">
        <f>IFERROR(__xludf.DUMMYFUNCTION("""COMPUTED_VALUE"""),"METROPOLITANA V")</f>
      </c>
      <c r="C485" s="9">
        <f>IFERROR(__xludf.DUMMYFUNCTION("""COMPUTED_VALUE"""),"CIEP 087 CLEMENTINA DE JESUS")</f>
      </c>
      <c r="D485" s="10">
        <f>IFERROR(__xludf.DUMMYFUNCTION("""COMPUTED_VALUE"""),0.8088)</f>
      </c>
      <c r="E485" s="10">
        <f>IFERROR(__xludf.DUMMYFUNCTION("""COMPUTED_VALUE"""),0.217)</f>
      </c>
      <c r="F485" s="10">
        <f>IFERROR(__xludf.DUMMYFUNCTION("""COMPUTED_VALUE"""),0.6078)</f>
      </c>
      <c r="G485" s="10">
        <f>IFERROR(__xludf.DUMMYFUNCTION("""COMPUTED_VALUE"""),0.2063)</f>
      </c>
    </row>
    <row x14ac:dyDescent="0.25" r="486" customHeight="1" ht="15.75">
      <c r="A486" s="8">
        <f>IFERROR(__xludf.DUMMYFUNCTION("""COMPUTED_VALUE"""),25861.0)</f>
      </c>
      <c r="B486" s="9">
        <f>IFERROR(__xludf.DUMMYFUNCTION("""COMPUTED_VALUE"""),"METROPOLITANA V")</f>
      </c>
      <c r="C486" s="9">
        <f>IFERROR(__xludf.DUMMYFUNCTION("""COMPUTED_VALUE"""),"CIEP 089 GRACILIANO RAMOS")</f>
      </c>
      <c r="D486" s="10">
        <f>IFERROR(__xludf.DUMMYFUNCTION("""COMPUTED_VALUE"""),0.9243)</f>
      </c>
      <c r="E486" s="10">
        <f>IFERROR(__xludf.DUMMYFUNCTION("""COMPUTED_VALUE"""),0.1539)</f>
      </c>
      <c r="F486" s="10">
        <f>IFERROR(__xludf.DUMMYFUNCTION("""COMPUTED_VALUE"""),0.479)</f>
      </c>
      <c r="G486" s="10">
        <f>IFERROR(__xludf.DUMMYFUNCTION("""COMPUTED_VALUE"""),0.2032)</f>
      </c>
    </row>
    <row x14ac:dyDescent="0.25" r="487" customHeight="1" ht="15.75">
      <c r="A487" s="8">
        <f>IFERROR(__xludf.DUMMYFUNCTION("""COMPUTED_VALUE"""),25862.0)</f>
      </c>
      <c r="B487" s="9">
        <f>IFERROR(__xludf.DUMMYFUNCTION("""COMPUTED_VALUE"""),"METROPOLITANA V")</f>
      </c>
      <c r="C487" s="9">
        <f>IFERROR(__xludf.DUMMYFUNCTION("""COMPUTED_VALUE"""),"CIEP 098 PROFESSORA HILDA DO CARMO SIQUEIRA")</f>
      </c>
      <c r="D487" s="10">
        <f>IFERROR(__xludf.DUMMYFUNCTION("""COMPUTED_VALUE"""),0.9444)</f>
      </c>
      <c r="E487" s="10">
        <f>IFERROR(__xludf.DUMMYFUNCTION("""COMPUTED_VALUE"""),0.2525)</f>
      </c>
      <c r="F487" s="10">
        <f>IFERROR(__xludf.DUMMYFUNCTION("""COMPUTED_VALUE"""),0.7778)</f>
      </c>
      <c r="G487" s="10">
        <f>IFERROR(__xludf.DUMMYFUNCTION("""COMPUTED_VALUE"""),0.2691)</f>
      </c>
    </row>
    <row x14ac:dyDescent="0.25" r="488" customHeight="1" ht="15.75">
      <c r="A488" s="8">
        <f>IFERROR(__xludf.DUMMYFUNCTION("""COMPUTED_VALUE"""),25863.0)</f>
      </c>
      <c r="B488" s="9">
        <f>IFERROR(__xludf.DUMMYFUNCTION("""COMPUTED_VALUE"""),"METROPOLITANA V")</f>
      </c>
      <c r="C488" s="9">
        <f>IFERROR(__xludf.DUMMYFUNCTION("""COMPUTED_VALUE"""),"CIEP 118 VEREADOR VILSON CAMPOS DE MACEDO")</f>
      </c>
      <c r="D488" s="10">
        <f>IFERROR(__xludf.DUMMYFUNCTION("""COMPUTED_VALUE"""),0.6021)</f>
      </c>
      <c r="E488" s="10">
        <f>IFERROR(__xludf.DUMMYFUNCTION("""COMPUTED_VALUE"""),0.206)</f>
      </c>
      <c r="F488" s="10">
        <f>IFERROR(__xludf.DUMMYFUNCTION("""COMPUTED_VALUE"""),0.6121)</f>
      </c>
      <c r="G488" s="10">
        <f>IFERROR(__xludf.DUMMYFUNCTION("""COMPUTED_VALUE"""),0.2038)</f>
      </c>
    </row>
    <row x14ac:dyDescent="0.25" r="489" customHeight="1" ht="15.75">
      <c r="A489" s="8">
        <f>IFERROR(__xludf.DUMMYFUNCTION("""COMPUTED_VALUE"""),25864.0)</f>
      </c>
      <c r="B489" s="9">
        <f>IFERROR(__xludf.DUMMYFUNCTION("""COMPUTED_VALUE"""),"METROPOLITANA V")</f>
      </c>
      <c r="C489" s="9">
        <f>IFERROR(__xludf.DUMMYFUNCTION("""COMPUTED_VALUE"""),"CIEP 131 PROFESSORA ARMANDA ALVARO ALBERTO")</f>
      </c>
      <c r="D489" s="10">
        <f>IFERROR(__xludf.DUMMYFUNCTION("""COMPUTED_VALUE"""),0.9227)</f>
      </c>
      <c r="E489" s="10">
        <f>IFERROR(__xludf.DUMMYFUNCTION("""COMPUTED_VALUE"""),0.1503)</f>
      </c>
      <c r="F489" s="10">
        <f>IFERROR(__xludf.DUMMYFUNCTION("""COMPUTED_VALUE"""),0.5365)</f>
      </c>
      <c r="G489" s="10">
        <f>IFERROR(__xludf.DUMMYFUNCTION("""COMPUTED_VALUE"""),0.1887)</f>
      </c>
    </row>
    <row x14ac:dyDescent="0.25" r="490" customHeight="1" ht="15.75">
      <c r="A490" s="8">
        <f>IFERROR(__xludf.DUMMYFUNCTION("""COMPUTED_VALUE"""),25865.0)</f>
      </c>
      <c r="B490" s="9">
        <f>IFERROR(__xludf.DUMMYFUNCTION("""COMPUTED_VALUE"""),"METROPOLITANA V")</f>
      </c>
      <c r="C490" s="9">
        <f>IFERROR(__xludf.DUMMYFUNCTION("""COMPUTED_VALUE"""),"CIEP 171 JOSE AMERICO PESSANHA")</f>
      </c>
      <c r="D490" s="10">
        <f>IFERROR(__xludf.DUMMYFUNCTION("""COMPUTED_VALUE"""),0.7079)</f>
      </c>
      <c r="E490" s="10">
        <f>IFERROR(__xludf.DUMMYFUNCTION("""COMPUTED_VALUE"""),0.227)</f>
      </c>
      <c r="F490" s="10">
        <f>IFERROR(__xludf.DUMMYFUNCTION("""COMPUTED_VALUE"""),0.5393)</f>
      </c>
      <c r="G490" s="10">
        <f>IFERROR(__xludf.DUMMYFUNCTION("""COMPUTED_VALUE"""),0.2034)</f>
      </c>
    </row>
    <row x14ac:dyDescent="0.25" r="491" customHeight="1" ht="15.75">
      <c r="A491" s="8">
        <f>IFERROR(__xludf.DUMMYFUNCTION("""COMPUTED_VALUE"""),25866.0)</f>
      </c>
      <c r="B491" s="9">
        <f>IFERROR(__xludf.DUMMYFUNCTION("""COMPUTED_VALUE"""),"METROPOLITANA V")</f>
      </c>
      <c r="C491" s="9">
        <f>IFERROR(__xludf.DUMMYFUNCTION("""COMPUTED_VALUE"""),"CIEP 176 CHICO MENDES")</f>
      </c>
      <c r="D491" s="10">
        <f>IFERROR(__xludf.DUMMYFUNCTION("""COMPUTED_VALUE"""),0.7692)</f>
      </c>
      <c r="E491" s="10">
        <f>IFERROR(__xludf.DUMMYFUNCTION("""COMPUTED_VALUE"""),0.231)</f>
      </c>
      <c r="F491" s="10">
        <f>IFERROR(__xludf.DUMMYFUNCTION("""COMPUTED_VALUE"""),0.8974)</f>
      </c>
      <c r="G491" s="10">
        <f>IFERROR(__xludf.DUMMYFUNCTION("""COMPUTED_VALUE"""),0.2028)</f>
      </c>
    </row>
    <row x14ac:dyDescent="0.25" r="492" customHeight="1" ht="15.75">
      <c r="A492" s="8">
        <f>IFERROR(__xludf.DUMMYFUNCTION("""COMPUTED_VALUE"""),25867.0)</f>
      </c>
      <c r="B492" s="9">
        <f>IFERROR(__xludf.DUMMYFUNCTION("""COMPUTED_VALUE"""),"METROPOLITANA V")</f>
      </c>
      <c r="C492" s="9">
        <f>IFERROR(__xludf.DUMMYFUNCTION("""COMPUTED_VALUE"""),"CIEP 198 PROFESSORA ROZA FERREIRA DE MATTOS")</f>
      </c>
      <c r="D492" s="10">
        <f>IFERROR(__xludf.DUMMYFUNCTION("""COMPUTED_VALUE"""),0.6812)</f>
      </c>
      <c r="E492" s="10">
        <f>IFERROR(__xludf.DUMMYFUNCTION("""COMPUTED_VALUE"""),0.2026)</f>
      </c>
      <c r="F492" s="10">
        <f>IFERROR(__xludf.DUMMYFUNCTION("""COMPUTED_VALUE"""),0.6984)</f>
      </c>
      <c r="G492" s="10">
        <f>IFERROR(__xludf.DUMMYFUNCTION("""COMPUTED_VALUE"""),0.2077)</f>
      </c>
    </row>
    <row x14ac:dyDescent="0.25" r="493" customHeight="1" ht="15.75">
      <c r="A493" s="8">
        <f>IFERROR(__xludf.DUMMYFUNCTION("""COMPUTED_VALUE"""),25868.0)</f>
      </c>
      <c r="B493" s="9">
        <f>IFERROR(__xludf.DUMMYFUNCTION("""COMPUTED_VALUE"""),"METROPOLITANA V")</f>
      </c>
      <c r="C493" s="9">
        <f>IFERROR(__xludf.DUMMYFUNCTION("""COMPUTED_VALUE"""),"CIEP 199 GINÁSIO PÚBLICO CHARLES CHAPLIN")</f>
      </c>
      <c r="D493" s="10">
        <f>IFERROR(__xludf.DUMMYFUNCTION("""COMPUTED_VALUE"""),0.5551)</f>
      </c>
      <c r="E493" s="10">
        <f>IFERROR(__xludf.DUMMYFUNCTION("""COMPUTED_VALUE"""),0.2491)</f>
      </c>
      <c r="F493" s="10">
        <f>IFERROR(__xludf.DUMMYFUNCTION("""COMPUTED_VALUE"""),0.6634)</f>
      </c>
      <c r="G493" s="10">
        <f>IFERROR(__xludf.DUMMYFUNCTION("""COMPUTED_VALUE"""),0.205)</f>
      </c>
    </row>
    <row x14ac:dyDescent="0.25" r="494" customHeight="1" ht="15.75">
      <c r="A494" s="8">
        <f>IFERROR(__xludf.DUMMYFUNCTION("""COMPUTED_VALUE"""),25869.0)</f>
      </c>
      <c r="B494" s="9">
        <f>IFERROR(__xludf.DUMMYFUNCTION("""COMPUTED_VALUE"""),"METROPOLITANA V")</f>
      </c>
      <c r="C494" s="9">
        <f>IFERROR(__xludf.DUMMYFUNCTION("""COMPUTED_VALUE"""),"CIEP 201 AARAO STEINBRUCH")</f>
      </c>
      <c r="D494" s="10">
        <f>IFERROR(__xludf.DUMMYFUNCTION("""COMPUTED_VALUE"""),0.4931)</f>
      </c>
      <c r="E494" s="10">
        <f>IFERROR(__xludf.DUMMYFUNCTION("""COMPUTED_VALUE"""),0.2319)</f>
      </c>
      <c r="F494" s="10">
        <f>IFERROR(__xludf.DUMMYFUNCTION("""COMPUTED_VALUE"""),0.4903)</f>
      </c>
      <c r="G494" s="10">
        <f>IFERROR(__xludf.DUMMYFUNCTION("""COMPUTED_VALUE"""),0.2056)</f>
      </c>
    </row>
    <row x14ac:dyDescent="0.25" r="495" customHeight="1" ht="15.75">
      <c r="A495" s="8">
        <f>IFERROR(__xludf.DUMMYFUNCTION("""COMPUTED_VALUE"""),25870.0)</f>
      </c>
      <c r="B495" s="9">
        <f>IFERROR(__xludf.DUMMYFUNCTION("""COMPUTED_VALUE"""),"METROPOLITANA V")</f>
      </c>
      <c r="C495" s="9">
        <f>IFERROR(__xludf.DUMMYFUNCTION("""COMPUTED_VALUE"""),"CIEP 208 ALCEU AMOROSO LIMA")</f>
      </c>
      <c r="D495" s="10">
        <f>IFERROR(__xludf.DUMMYFUNCTION("""COMPUTED_VALUE"""),0.8405)</f>
      </c>
      <c r="E495" s="10">
        <f>IFERROR(__xludf.DUMMYFUNCTION("""COMPUTED_VALUE"""),0.1694)</f>
      </c>
      <c r="F495" s="10">
        <f>IFERROR(__xludf.DUMMYFUNCTION("""COMPUTED_VALUE"""),0.4847)</f>
      </c>
      <c r="G495" s="10">
        <f>IFERROR(__xludf.DUMMYFUNCTION("""COMPUTED_VALUE"""),0.2017)</f>
      </c>
    </row>
    <row x14ac:dyDescent="0.25" r="496" customHeight="1" ht="15.75">
      <c r="A496" s="8">
        <f>IFERROR(__xludf.DUMMYFUNCTION("""COMPUTED_VALUE"""),25872.0)</f>
      </c>
      <c r="B496" s="9">
        <f>IFERROR(__xludf.DUMMYFUNCTION("""COMPUTED_VALUE"""),"METROPOLITANA V")</f>
      </c>
      <c r="C496" s="9">
        <f>IFERROR(__xludf.DUMMYFUNCTION("""COMPUTED_VALUE"""),"CIEP 218 MINISTRO HERMES LIMA BRASIL-TURQUIA")</f>
      </c>
      <c r="D496" s="10">
        <f>IFERROR(__xludf.DUMMYFUNCTION("""COMPUTED_VALUE"""),1.0)</f>
      </c>
      <c r="E496" s="10">
        <f>IFERROR(__xludf.DUMMYFUNCTION("""COMPUTED_VALUE"""),0.2885)</f>
      </c>
      <c r="F496" s="10">
        <f>IFERROR(__xludf.DUMMYFUNCTION("""COMPUTED_VALUE"""),0.9744)</f>
      </c>
      <c r="G496" s="10">
        <f>IFERROR(__xludf.DUMMYFUNCTION("""COMPUTED_VALUE"""),0.2247)</f>
      </c>
    </row>
    <row x14ac:dyDescent="0.25" r="497" customHeight="1" ht="15.75">
      <c r="A497" s="8">
        <f>IFERROR(__xludf.DUMMYFUNCTION("""COMPUTED_VALUE"""),25873.0)</f>
      </c>
      <c r="B497" s="9">
        <f>IFERROR(__xludf.DUMMYFUNCTION("""COMPUTED_VALUE"""),"METROPOLITANA V")</f>
      </c>
      <c r="C497" s="9">
        <f>IFERROR(__xludf.DUMMYFUNCTION("""COMPUTED_VALUE"""),"CIEP 226 PORTO DA ESTRELA")</f>
      </c>
      <c r="D497" s="10">
        <f>IFERROR(__xludf.DUMMYFUNCTION("""COMPUTED_VALUE"""),0.8824)</f>
      </c>
      <c r="E497" s="10">
        <f>IFERROR(__xludf.DUMMYFUNCTION("""COMPUTED_VALUE"""),0.2386)</f>
      </c>
      <c r="F497" s="10">
        <f>IFERROR(__xludf.DUMMYFUNCTION("""COMPUTED_VALUE"""),0.7451)</f>
      </c>
      <c r="G497" s="10">
        <f>IFERROR(__xludf.DUMMYFUNCTION("""COMPUTED_VALUE"""),0.2139)</f>
      </c>
    </row>
    <row x14ac:dyDescent="0.25" r="498" customHeight="1" ht="15.75">
      <c r="A498" s="8">
        <f>IFERROR(__xludf.DUMMYFUNCTION("""COMPUTED_VALUE"""),25874.0)</f>
      </c>
      <c r="B498" s="9">
        <f>IFERROR(__xludf.DUMMYFUNCTION("""COMPUTED_VALUE"""),"METROPOLITANA V")</f>
      </c>
      <c r="C498" s="9">
        <f>IFERROR(__xludf.DUMMYFUNCTION("""COMPUTED_VALUE"""),"CIEP 228 DARCY VARGAS")</f>
      </c>
      <c r="D498" s="10">
        <f>IFERROR(__xludf.DUMMYFUNCTION("""COMPUTED_VALUE"""),0.649)</f>
      </c>
      <c r="E498" s="10">
        <f>IFERROR(__xludf.DUMMYFUNCTION("""COMPUTED_VALUE"""),0.1837)</f>
      </c>
      <c r="F498" s="10">
        <f>IFERROR(__xludf.DUMMYFUNCTION("""COMPUTED_VALUE"""),0.4519)</f>
      </c>
      <c r="G498" s="10">
        <f>IFERROR(__xludf.DUMMYFUNCTION("""COMPUTED_VALUE"""),0.1711)</f>
      </c>
    </row>
    <row x14ac:dyDescent="0.25" r="499" customHeight="1" ht="15.75">
      <c r="A499" s="8">
        <f>IFERROR(__xludf.DUMMYFUNCTION("""COMPUTED_VALUE"""),25875.0)</f>
      </c>
      <c r="B499" s="9">
        <f>IFERROR(__xludf.DUMMYFUNCTION("""COMPUTED_VALUE"""),"METROPOLITANA V")</f>
      </c>
      <c r="C499" s="9">
        <f>IFERROR(__xludf.DUMMYFUNCTION("""COMPUTED_VALUE"""),"CIEP 229 CANDIDO PORTINARI")</f>
      </c>
      <c r="D499" s="10">
        <f>IFERROR(__xludf.DUMMYFUNCTION("""COMPUTED_VALUE"""),0.9227)</f>
      </c>
      <c r="E499" s="10">
        <f>IFERROR(__xludf.DUMMYFUNCTION("""COMPUTED_VALUE"""),0.1441)</f>
      </c>
      <c r="F499" s="10">
        <f>IFERROR(__xludf.DUMMYFUNCTION("""COMPUTED_VALUE"""),0.5741)</f>
      </c>
      <c r="G499" s="10">
        <f>IFERROR(__xludf.DUMMYFUNCTION("""COMPUTED_VALUE"""),0.1986)</f>
      </c>
    </row>
    <row x14ac:dyDescent="0.25" r="500" customHeight="1" ht="15.75">
      <c r="A500" s="8">
        <f>IFERROR(__xludf.DUMMYFUNCTION("""COMPUTED_VALUE"""),25876.0)</f>
      </c>
      <c r="B500" s="9">
        <f>IFERROR(__xludf.DUMMYFUNCTION("""COMPUTED_VALUE"""),"METROPOLITANA V")</f>
      </c>
      <c r="C500" s="9">
        <f>IFERROR(__xludf.DUMMYFUNCTION("""COMPUTED_VALUE"""),"CIEP 320 ERCILIA ANTONIA DA SILVA")</f>
      </c>
      <c r="D500" s="10">
        <f>IFERROR(__xludf.DUMMYFUNCTION("""COMPUTED_VALUE"""),0.9451)</f>
      </c>
      <c r="E500" s="10">
        <f>IFERROR(__xludf.DUMMYFUNCTION("""COMPUTED_VALUE"""),0.1573)</f>
      </c>
      <c r="F500" s="10">
        <f>IFERROR(__xludf.DUMMYFUNCTION("""COMPUTED_VALUE"""),0.5579)</f>
      </c>
      <c r="G500" s="10">
        <f>IFERROR(__xludf.DUMMYFUNCTION("""COMPUTED_VALUE"""),0.202)</f>
      </c>
    </row>
    <row x14ac:dyDescent="0.25" r="501" customHeight="1" ht="15.75">
      <c r="A501" s="8">
        <f>IFERROR(__xludf.DUMMYFUNCTION("""COMPUTED_VALUE"""),25877.0)</f>
      </c>
      <c r="B501" s="9">
        <f>IFERROR(__xludf.DUMMYFUNCTION("""COMPUTED_VALUE"""),"METROPOLITANA V")</f>
      </c>
      <c r="C501" s="9">
        <f>IFERROR(__xludf.DUMMYFUNCTION("""COMPUTED_VALUE"""),"CIEP 340 PROFESSORA LAIS MARTINS")</f>
      </c>
      <c r="D501" s="10">
        <f>IFERROR(__xludf.DUMMYFUNCTION("""COMPUTED_VALUE"""),0.8238)</f>
      </c>
      <c r="E501" s="10">
        <f>IFERROR(__xludf.DUMMYFUNCTION("""COMPUTED_VALUE"""),0.2322)</f>
      </c>
      <c r="F501" s="10">
        <f>IFERROR(__xludf.DUMMYFUNCTION("""COMPUTED_VALUE"""),0.6775)</f>
      </c>
      <c r="G501" s="10">
        <f>IFERROR(__xludf.DUMMYFUNCTION("""COMPUTED_VALUE"""),0.2098)</f>
      </c>
    </row>
    <row x14ac:dyDescent="0.25" r="502" customHeight="1" ht="15.75">
      <c r="A502" s="8">
        <f>IFERROR(__xludf.DUMMYFUNCTION("""COMPUTED_VALUE"""),25878.0)</f>
      </c>
      <c r="B502" s="9">
        <f>IFERROR(__xludf.DUMMYFUNCTION("""COMPUTED_VALUE"""),"METROPOLITANA V")</f>
      </c>
      <c r="C502" s="9">
        <f>IFERROR(__xludf.DUMMYFUNCTION("""COMPUTED_VALUE"""),"CIEP 348 EUGENIA MOREYRA")</f>
      </c>
      <c r="D502" s="10">
        <f>IFERROR(__xludf.DUMMYFUNCTION("""COMPUTED_VALUE"""),0.7727)</f>
      </c>
      <c r="E502" s="10">
        <f>IFERROR(__xludf.DUMMYFUNCTION("""COMPUTED_VALUE"""),0.2251)</f>
      </c>
      <c r="F502" s="10">
        <f>IFERROR(__xludf.DUMMYFUNCTION("""COMPUTED_VALUE"""),0.6263)</f>
      </c>
      <c r="G502" s="10">
        <f>IFERROR(__xludf.DUMMYFUNCTION("""COMPUTED_VALUE"""),0.2013)</f>
      </c>
    </row>
    <row x14ac:dyDescent="0.25" r="503" customHeight="1" ht="15.75">
      <c r="A503" s="8">
        <f>IFERROR(__xludf.DUMMYFUNCTION("""COMPUTED_VALUE"""),25879.0)</f>
      </c>
      <c r="B503" s="9">
        <f>IFERROR(__xludf.DUMMYFUNCTION("""COMPUTED_VALUE"""),"METROPOLITANA V")</f>
      </c>
      <c r="C503" s="9">
        <f>IFERROR(__xludf.DUMMYFUNCTION("""COMPUTED_VALUE"""),"CIEP 350 TULIO ROBERTO QUINTILIANO CARDOSO")</f>
      </c>
      <c r="D503" s="10">
        <f>IFERROR(__xludf.DUMMYFUNCTION("""COMPUTED_VALUE"""),0.9405)</f>
      </c>
      <c r="E503" s="10">
        <f>IFERROR(__xludf.DUMMYFUNCTION("""COMPUTED_VALUE"""),0.2139)</f>
      </c>
      <c r="F503" s="10">
        <f>IFERROR(__xludf.DUMMYFUNCTION("""COMPUTED_VALUE"""),0.8274)</f>
      </c>
      <c r="G503" s="10">
        <f>IFERROR(__xludf.DUMMYFUNCTION("""COMPUTED_VALUE"""),0.2045)</f>
      </c>
    </row>
    <row x14ac:dyDescent="0.25" r="504" customHeight="1" ht="15.75">
      <c r="A504" s="8">
        <f>IFERROR(__xludf.DUMMYFUNCTION("""COMPUTED_VALUE"""),25880.0)</f>
      </c>
      <c r="B504" s="9">
        <f>IFERROR(__xludf.DUMMYFUNCTION("""COMPUTED_VALUE"""),"METROPOLITANA V")</f>
      </c>
      <c r="C504" s="9">
        <f>IFERROR(__xludf.DUMMYFUNCTION("""COMPUTED_VALUE"""),"CIEP 369 JORNALISTA SANDRO MOREYRA")</f>
      </c>
      <c r="D504" s="10">
        <f>IFERROR(__xludf.DUMMYFUNCTION("""COMPUTED_VALUE"""),0.7794)</f>
      </c>
      <c r="E504" s="10">
        <f>IFERROR(__xludf.DUMMYFUNCTION("""COMPUTED_VALUE"""),0.2046)</f>
      </c>
      <c r="F504" s="10">
        <f>IFERROR(__xludf.DUMMYFUNCTION("""COMPUTED_VALUE"""),0.5762)</f>
      </c>
      <c r="G504" s="10">
        <f>IFERROR(__xludf.DUMMYFUNCTION("""COMPUTED_VALUE"""),0.2118)</f>
      </c>
    </row>
    <row x14ac:dyDescent="0.25" r="505" customHeight="1" ht="15.75">
      <c r="A505" s="8">
        <f>IFERROR(__xludf.DUMMYFUNCTION("""COMPUTED_VALUE"""),25881.0)</f>
      </c>
      <c r="B505" s="9">
        <f>IFERROR(__xludf.DUMMYFUNCTION("""COMPUTED_VALUE"""),"METROPOLITANA V")</f>
      </c>
      <c r="C505" s="9">
        <f>IFERROR(__xludf.DUMMYFUNCTION("""COMPUTED_VALUE"""),"CIEP 370 PROFESSOR SYLVIO GNECCO DE CARVALHO - BRASIL-MÉXICO")</f>
      </c>
      <c r="D505" s="10">
        <f>IFERROR(__xludf.DUMMYFUNCTION("""COMPUTED_VALUE"""),0.6538)</f>
      </c>
      <c r="E505" s="10">
        <f>IFERROR(__xludf.DUMMYFUNCTION("""COMPUTED_VALUE"""),0.2447)</f>
      </c>
      <c r="F505" s="10">
        <f>IFERROR(__xludf.DUMMYFUNCTION("""COMPUTED_VALUE"""),0.6818)</f>
      </c>
      <c r="G505" s="10">
        <f>IFERROR(__xludf.DUMMYFUNCTION("""COMPUTED_VALUE"""),0.2134)</f>
      </c>
    </row>
    <row x14ac:dyDescent="0.25" r="506" customHeight="1" ht="15.75">
      <c r="A506" s="8">
        <f>IFERROR(__xludf.DUMMYFUNCTION("""COMPUTED_VALUE"""),25882.0)</f>
      </c>
      <c r="B506" s="9">
        <f>IFERROR(__xludf.DUMMYFUNCTION("""COMPUTED_VALUE"""),"METROPOLITANA V")</f>
      </c>
      <c r="C506" s="9">
        <f>IFERROR(__xludf.DUMMYFUNCTION("""COMPUTED_VALUE"""),"CIEP 404 CLARICE LISPECTOR")</f>
      </c>
      <c r="D506" s="10">
        <f>IFERROR(__xludf.DUMMYFUNCTION("""COMPUTED_VALUE"""),0.892)</f>
      </c>
      <c r="E506" s="10">
        <f>IFERROR(__xludf.DUMMYFUNCTION("""COMPUTED_VALUE"""),0.1817)</f>
      </c>
      <c r="F506" s="10">
        <f>IFERROR(__xludf.DUMMYFUNCTION("""COMPUTED_VALUE"""),0.5634)</f>
      </c>
      <c r="G506" s="10">
        <f>IFERROR(__xludf.DUMMYFUNCTION("""COMPUTED_VALUE"""),0.2317)</f>
      </c>
    </row>
    <row x14ac:dyDescent="0.25" r="507" customHeight="1" ht="15.75">
      <c r="A507" s="8">
        <f>IFERROR(__xludf.DUMMYFUNCTION("""COMPUTED_VALUE"""),25883.0)</f>
      </c>
      <c r="B507" s="9">
        <f>IFERROR(__xludf.DUMMYFUNCTION("""COMPUTED_VALUE"""),"METROPOLITANA V")</f>
      </c>
      <c r="C507" s="9">
        <f>IFERROR(__xludf.DUMMYFUNCTION("""COMPUTED_VALUE"""),"CIEP 434 PROFESSORA MARIA JOSE MACHADO")</f>
      </c>
      <c r="D507" s="10">
        <f>IFERROR(__xludf.DUMMYFUNCTION("""COMPUTED_VALUE"""),0.6815)</f>
      </c>
      <c r="E507" s="10">
        <f>IFERROR(__xludf.DUMMYFUNCTION("""COMPUTED_VALUE"""),0.1605)</f>
      </c>
      <c r="F507" s="10">
        <f>IFERROR(__xludf.DUMMYFUNCTION("""COMPUTED_VALUE"""),0.6178)</f>
      </c>
      <c r="G507" s="10">
        <f>IFERROR(__xludf.DUMMYFUNCTION("""COMPUTED_VALUE"""),0.2117)</f>
      </c>
    </row>
    <row x14ac:dyDescent="0.25" r="508" customHeight="1" ht="15.75">
      <c r="A508" s="8">
        <f>IFERROR(__xludf.DUMMYFUNCTION("""COMPUTED_VALUE"""),25884.0)</f>
      </c>
      <c r="B508" s="9">
        <f>IFERROR(__xludf.DUMMYFUNCTION("""COMPUTED_VALUE"""),"METROPOLITANA V")</f>
      </c>
      <c r="C508" s="9">
        <f>IFERROR(__xludf.DUMMYFUNCTION("""COMPUTED_VALUE"""),"CIEP 476 ELIAS LAZARONI")</f>
      </c>
      <c r="D508" s="10">
        <f>IFERROR(__xludf.DUMMYFUNCTION("""COMPUTED_VALUE"""),0.7175)</f>
      </c>
      <c r="E508" s="10">
        <f>IFERROR(__xludf.DUMMYFUNCTION("""COMPUTED_VALUE"""),0.2247)</f>
      </c>
      <c r="F508" s="10">
        <f>IFERROR(__xludf.DUMMYFUNCTION("""COMPUTED_VALUE"""),0.6583)</f>
      </c>
      <c r="G508" s="10">
        <f>IFERROR(__xludf.DUMMYFUNCTION("""COMPUTED_VALUE"""),0.1972)</f>
      </c>
    </row>
    <row x14ac:dyDescent="0.25" r="509" customHeight="1" ht="15.75">
      <c r="A509" s="8">
        <f>IFERROR(__xludf.DUMMYFUNCTION("""COMPUTED_VALUE"""),25885.0)</f>
      </c>
      <c r="B509" s="9">
        <f>IFERROR(__xludf.DUMMYFUNCTION("""COMPUTED_VALUE"""),"METROPOLITANA V")</f>
      </c>
      <c r="C509" s="9">
        <f>IFERROR(__xludf.DUMMYFUNCTION("""COMPUTED_VALUE"""),"CIEP FILINTO MULLER - BRASIL-CHINA")</f>
      </c>
      <c r="D509" s="10">
        <f>IFERROR(__xludf.DUMMYFUNCTION("""COMPUTED_VALUE"""),1.0)</f>
      </c>
      <c r="E509" s="10">
        <f>IFERROR(__xludf.DUMMYFUNCTION("""COMPUTED_VALUE"""),0.3219)</f>
      </c>
      <c r="F509" s="10">
        <f>IFERROR(__xludf.DUMMYFUNCTION("""COMPUTED_VALUE"""),0.9737)</f>
      </c>
      <c r="G509" s="10">
        <f>IFERROR(__xludf.DUMMYFUNCTION("""COMPUTED_VALUE"""),0.2371)</f>
      </c>
    </row>
    <row x14ac:dyDescent="0.25" r="510" customHeight="1" ht="15.75">
      <c r="A510" s="8">
        <f>IFERROR(__xludf.DUMMYFUNCTION("""COMPUTED_VALUE"""),25893.0)</f>
      </c>
      <c r="B510" s="9">
        <f>IFERROR(__xludf.DUMMYFUNCTION("""COMPUTED_VALUE"""),"METROPOLITANA V")</f>
      </c>
      <c r="C510" s="9">
        <f>IFERROR(__xludf.DUMMYFUNCTION("""COMPUTED_VALUE"""),"IE GOVERNADOR ROBERTO SILVEIRA")</f>
      </c>
      <c r="D510" s="10">
        <f>IFERROR(__xludf.DUMMYFUNCTION("""COMPUTED_VALUE"""),0.9231)</f>
      </c>
      <c r="E510" s="10">
        <f>IFERROR(__xludf.DUMMYFUNCTION("""COMPUTED_VALUE"""),0.2037)</f>
      </c>
      <c r="F510" s="10">
        <f>IFERROR(__xludf.DUMMYFUNCTION("""COMPUTED_VALUE"""),0.7311)</f>
      </c>
      <c r="G510" s="10">
        <f>IFERROR(__xludf.DUMMYFUNCTION("""COMPUTED_VALUE"""),0.2015)</f>
      </c>
    </row>
    <row x14ac:dyDescent="0.25" r="511" customHeight="1" ht="15.75">
      <c r="A511" s="8">
        <f>IFERROR(__xludf.DUMMYFUNCTION("""COMPUTED_VALUE"""),25363.0)</f>
      </c>
      <c r="B511" s="9">
        <f>IFERROR(__xludf.DUMMYFUNCTION("""COMPUTED_VALUE"""),"METROPOLITANA VI")</f>
      </c>
      <c r="C511" s="9">
        <f>IFERROR(__xludf.DUMMYFUNCTION("""COMPUTED_VALUE"""),"CAIC EUCLYDES DA CUNHA")</f>
      </c>
      <c r="D511" s="10">
        <f>IFERROR(__xludf.DUMMYFUNCTION("""COMPUTED_VALUE"""),0.9493)</f>
      </c>
      <c r="E511" s="10">
        <f>IFERROR(__xludf.DUMMYFUNCTION("""COMPUTED_VALUE"""),0.1353)</f>
      </c>
      <c r="F511" s="10">
        <f>IFERROR(__xludf.DUMMYFUNCTION("""COMPUTED_VALUE"""),0.4225)</f>
      </c>
      <c r="G511" s="10">
        <f>IFERROR(__xludf.DUMMYFUNCTION("""COMPUTED_VALUE"""),0.2033)</f>
      </c>
    </row>
    <row x14ac:dyDescent="0.25" r="512" customHeight="1" ht="15.75">
      <c r="A512" s="8">
        <f>IFERROR(__xludf.DUMMYFUNCTION("""COMPUTED_VALUE"""),25364.0)</f>
      </c>
      <c r="B512" s="9">
        <f>IFERROR(__xludf.DUMMYFUNCTION("""COMPUTED_VALUE"""),"METROPOLITANA VI")</f>
      </c>
      <c r="C512" s="9">
        <f>IFERROR(__xludf.DUMMYFUNCTION("""COMPUTED_VALUE"""),"CE ADALGISA MONTEIRO")</f>
      </c>
      <c r="D512" s="10">
        <f>IFERROR(__xludf.DUMMYFUNCTION("""COMPUTED_VALUE"""),0.6557)</f>
      </c>
      <c r="E512" s="10">
        <f>IFERROR(__xludf.DUMMYFUNCTION("""COMPUTED_VALUE"""),0.2292)</f>
      </c>
      <c r="F512" s="10">
        <f>IFERROR(__xludf.DUMMYFUNCTION("""COMPUTED_VALUE"""),0.5897)</f>
      </c>
      <c r="G512" s="10">
        <f>IFERROR(__xludf.DUMMYFUNCTION("""COMPUTED_VALUE"""),0.2104)</f>
      </c>
    </row>
    <row x14ac:dyDescent="0.25" r="513" customHeight="1" ht="15.75">
      <c r="A513" s="8">
        <f>IFERROR(__xludf.DUMMYFUNCTION("""COMPUTED_VALUE"""),25365.0)</f>
      </c>
      <c r="B513" s="9">
        <f>IFERROR(__xludf.DUMMYFUNCTION("""COMPUTED_VALUE"""),"METROPOLITANA VI")</f>
      </c>
      <c r="C513" s="9">
        <f>IFERROR(__xludf.DUMMYFUNCTION("""COMPUTED_VALUE"""),"CE AFONSO PENA")</f>
      </c>
      <c r="D513" s="10">
        <f>IFERROR(__xludf.DUMMYFUNCTION("""COMPUTED_VALUE"""),0.7983)</f>
      </c>
      <c r="E513" s="10">
        <f>IFERROR(__xludf.DUMMYFUNCTION("""COMPUTED_VALUE"""),0.2416)</f>
      </c>
      <c r="F513" s="10">
        <f>IFERROR(__xludf.DUMMYFUNCTION("""COMPUTED_VALUE"""),0.5735)</f>
      </c>
      <c r="G513" s="10">
        <f>IFERROR(__xludf.DUMMYFUNCTION("""COMPUTED_VALUE"""),0.2035)</f>
      </c>
    </row>
    <row x14ac:dyDescent="0.25" r="514" customHeight="1" ht="15.75">
      <c r="A514" s="8">
        <f>IFERROR(__xludf.DUMMYFUNCTION("""COMPUTED_VALUE"""),25366.0)</f>
      </c>
      <c r="B514" s="9">
        <f>IFERROR(__xludf.DUMMYFUNCTION("""COMPUTED_VALUE"""),"METROPOLITANA VI")</f>
      </c>
      <c r="C514" s="9">
        <f>IFERROR(__xludf.DUMMYFUNCTION("""COMPUTED_VALUE"""),"CE ALBERTO RANGEL")</f>
      </c>
      <c r="D514" s="10">
        <f>IFERROR(__xludf.DUMMYFUNCTION("""COMPUTED_VALUE"""),0.4118)</f>
      </c>
      <c r="E514" s="10">
        <f>IFERROR(__xludf.DUMMYFUNCTION("""COMPUTED_VALUE"""),0.1601)</f>
      </c>
      <c r="F514" s="10">
        <f>IFERROR(__xludf.DUMMYFUNCTION("""COMPUTED_VALUE"""),0.6471)</f>
      </c>
      <c r="G514" s="10">
        <f>IFERROR(__xludf.DUMMYFUNCTION("""COMPUTED_VALUE"""),0.1917)</f>
      </c>
    </row>
    <row x14ac:dyDescent="0.25" r="515" customHeight="1" ht="15.75">
      <c r="A515" s="8">
        <f>IFERROR(__xludf.DUMMYFUNCTION("""COMPUTED_VALUE"""),25367.0)</f>
      </c>
      <c r="B515" s="9">
        <f>IFERROR(__xludf.DUMMYFUNCTION("""COMPUTED_VALUE"""),"METROPOLITANA VI")</f>
      </c>
      <c r="C515" s="9">
        <f>IFERROR(__xludf.DUMMYFUNCTION("""COMPUTED_VALUE"""),"CE ALINA DE BRITO")</f>
      </c>
      <c r="D515" s="10">
        <f>IFERROR(__xludf.DUMMYFUNCTION("""COMPUTED_VALUE"""),0.6613)</f>
      </c>
      <c r="E515" s="10">
        <f>IFERROR(__xludf.DUMMYFUNCTION("""COMPUTED_VALUE"""),0.2091)</f>
      </c>
      <c r="F515" s="10">
        <f>IFERROR(__xludf.DUMMYFUNCTION("""COMPUTED_VALUE"""),0.5258)</f>
      </c>
      <c r="G515" s="10">
        <f>IFERROR(__xludf.DUMMYFUNCTION("""COMPUTED_VALUE"""),0.1956)</f>
      </c>
    </row>
    <row x14ac:dyDescent="0.25" r="516" customHeight="1" ht="15.75">
      <c r="A516" s="8">
        <f>IFERROR(__xludf.DUMMYFUNCTION("""COMPUTED_VALUE"""),25368.0)</f>
      </c>
      <c r="B516" s="9">
        <f>IFERROR(__xludf.DUMMYFUNCTION("""COMPUTED_VALUE"""),"METROPOLITANA VI")</f>
      </c>
      <c r="C516" s="9">
        <f>IFERROR(__xludf.DUMMYFUNCTION("""COMPUTED_VALUE"""),"CE ALMIRANTE TAMANDARE")</f>
      </c>
      <c r="D516" s="10">
        <f>IFERROR(__xludf.DUMMYFUNCTION("""COMPUTED_VALUE"""),0.3636)</f>
      </c>
      <c r="E516" s="10">
        <f>IFERROR(__xludf.DUMMYFUNCTION("""COMPUTED_VALUE"""),0.1797)</f>
      </c>
      <c r="F516" s="10">
        <f>IFERROR(__xludf.DUMMYFUNCTION("""COMPUTED_VALUE"""),0.2273)</f>
      </c>
      <c r="G516" s="10">
        <f>IFERROR(__xludf.DUMMYFUNCTION("""COMPUTED_VALUE"""),0.2086)</f>
      </c>
    </row>
    <row x14ac:dyDescent="0.25" r="517" customHeight="1" ht="15.75">
      <c r="A517" s="8">
        <f>IFERROR(__xludf.DUMMYFUNCTION("""COMPUTED_VALUE"""),25369.0)</f>
      </c>
      <c r="B517" s="9">
        <f>IFERROR(__xludf.DUMMYFUNCTION("""COMPUTED_VALUE"""),"METROPOLITANA VI")</f>
      </c>
      <c r="C517" s="9">
        <f>IFERROR(__xludf.DUMMYFUNCTION("""COMPUTED_VALUE"""),"CE ANDRE MAUROIS")</f>
      </c>
      <c r="D517" s="10">
        <f>IFERROR(__xludf.DUMMYFUNCTION("""COMPUTED_VALUE"""),0.3094)</f>
      </c>
      <c r="E517" s="10">
        <f>IFERROR(__xludf.DUMMYFUNCTION("""COMPUTED_VALUE"""),0.2501)</f>
      </c>
      <c r="F517" s="10">
        <f>IFERROR(__xludf.DUMMYFUNCTION("""COMPUTED_VALUE"""),0.5979)</f>
      </c>
      <c r="G517" s="10">
        <f>IFERROR(__xludf.DUMMYFUNCTION("""COMPUTED_VALUE"""),0.2132)</f>
      </c>
    </row>
    <row x14ac:dyDescent="0.25" r="518" customHeight="1" ht="15.75">
      <c r="A518" s="8">
        <f>IFERROR(__xludf.DUMMYFUNCTION("""COMPUTED_VALUE"""),25370.0)</f>
      </c>
      <c r="B518" s="9">
        <f>IFERROR(__xludf.DUMMYFUNCTION("""COMPUTED_VALUE"""),"METROPOLITANA VI")</f>
      </c>
      <c r="C518" s="9">
        <f>IFERROR(__xludf.DUMMYFUNCTION("""COMPUTED_VALUE"""),"CE ANTONIO PRADO JUNIOR")</f>
      </c>
      <c r="D518" s="10">
        <f>IFERROR(__xludf.DUMMYFUNCTION("""COMPUTED_VALUE"""),0.6652)</f>
      </c>
      <c r="E518" s="10">
        <f>IFERROR(__xludf.DUMMYFUNCTION("""COMPUTED_VALUE"""),0.2549)</f>
      </c>
      <c r="F518" s="10">
        <f>IFERROR(__xludf.DUMMYFUNCTION("""COMPUTED_VALUE"""),0.3034)</f>
      </c>
      <c r="G518" s="10">
        <f>IFERROR(__xludf.DUMMYFUNCTION("""COMPUTED_VALUE"""),0.2058)</f>
      </c>
    </row>
    <row x14ac:dyDescent="0.25" r="519" customHeight="1" ht="15.75">
      <c r="A519" s="8">
        <f>IFERROR(__xludf.DUMMYFUNCTION("""COMPUTED_VALUE"""),25372.0)</f>
      </c>
      <c r="B519" s="9">
        <f>IFERROR(__xludf.DUMMYFUNCTION("""COMPUTED_VALUE"""),"METROPOLITANA VI")</f>
      </c>
      <c r="C519" s="9">
        <f>IFERROR(__xludf.DUMMYFUNCTION("""COMPUTED_VALUE"""),"CE AUGUSTO RUSCHI")</f>
      </c>
      <c r="D519" s="10">
        <f>IFERROR(__xludf.DUMMYFUNCTION("""COMPUTED_VALUE"""),0.7353)</f>
      </c>
      <c r="E519" s="10">
        <f>IFERROR(__xludf.DUMMYFUNCTION("""COMPUTED_VALUE"""),0.2309)</f>
      </c>
      <c r="F519" s="10">
        <f>IFERROR(__xludf.DUMMYFUNCTION("""COMPUTED_VALUE"""),0.4839)</f>
      </c>
      <c r="G519" s="10">
        <f>IFERROR(__xludf.DUMMYFUNCTION("""COMPUTED_VALUE"""),0.2021)</f>
      </c>
    </row>
    <row x14ac:dyDescent="0.25" r="520" customHeight="1" ht="15.75">
      <c r="A520" s="8">
        <f>IFERROR(__xludf.DUMMYFUNCTION("""COMPUTED_VALUE"""),25373.0)</f>
      </c>
      <c r="B520" s="9">
        <f>IFERROR(__xludf.DUMMYFUNCTION("""COMPUTED_VALUE"""),"METROPOLITANA VI")</f>
      </c>
      <c r="C520" s="9">
        <f>IFERROR(__xludf.DUMMYFUNCTION("""COMPUTED_VALUE"""),"CE BRIGADEIRO SCHORCHT")</f>
      </c>
      <c r="D520" s="10">
        <f>IFERROR(__xludf.DUMMYFUNCTION("""COMPUTED_VALUE"""),0.4867)</f>
      </c>
      <c r="E520" s="10">
        <f>IFERROR(__xludf.DUMMYFUNCTION("""COMPUTED_VALUE"""),0.2348)</f>
      </c>
      <c r="F520" s="10">
        <f>IFERROR(__xludf.DUMMYFUNCTION("""COMPUTED_VALUE"""),0.5031)</f>
      </c>
      <c r="G520" s="10">
        <f>IFERROR(__xludf.DUMMYFUNCTION("""COMPUTED_VALUE"""),0.197)</f>
      </c>
    </row>
    <row x14ac:dyDescent="0.25" r="521" customHeight="1" ht="15.75">
      <c r="A521" s="8">
        <f>IFERROR(__xludf.DUMMYFUNCTION("""COMPUTED_VALUE"""),25374.0)</f>
      </c>
      <c r="B521" s="9">
        <f>IFERROR(__xludf.DUMMYFUNCTION("""COMPUTED_VALUE"""),"METROPOLITANA VI")</f>
      </c>
      <c r="C521" s="9">
        <f>IFERROR(__xludf.DUMMYFUNCTION("""COMPUTED_VALUE"""),"CE CARDEAL DOM EUGENIO DE ARAUJO SALES")</f>
      </c>
      <c r="D521" s="10">
        <f>IFERROR(__xludf.DUMMYFUNCTION("""COMPUTED_VALUE"""),0.2095)</f>
      </c>
      <c r="E521" s="10">
        <f>IFERROR(__xludf.DUMMYFUNCTION("""COMPUTED_VALUE"""),0.1974)</f>
      </c>
      <c r="F521" s="10">
        <f>IFERROR(__xludf.DUMMYFUNCTION("""COMPUTED_VALUE"""),0.4764)</f>
      </c>
      <c r="G521" s="10">
        <f>IFERROR(__xludf.DUMMYFUNCTION("""COMPUTED_VALUE"""),0.1974)</f>
      </c>
    </row>
    <row x14ac:dyDescent="0.25" r="522" customHeight="1" ht="15.75">
      <c r="A522" s="8">
        <f>IFERROR(__xludf.DUMMYFUNCTION("""COMPUTED_VALUE"""),25375.0)</f>
      </c>
      <c r="B522" s="9">
        <f>IFERROR(__xludf.DUMMYFUNCTION("""COMPUTED_VALUE"""),"METROPOLITANA VI")</f>
      </c>
      <c r="C522" s="9">
        <f>IFERROR(__xludf.DUMMYFUNCTION("""COMPUTED_VALUE"""),"CE CARLOS LACERDA")</f>
      </c>
      <c r="D522" s="10">
        <f>IFERROR(__xludf.DUMMYFUNCTION("""COMPUTED_VALUE"""),0.6821)</f>
      </c>
      <c r="E522" s="10">
        <f>IFERROR(__xludf.DUMMYFUNCTION("""COMPUTED_VALUE"""),0.2197)</f>
      </c>
      <c r="F522" s="10">
        <f>IFERROR(__xludf.DUMMYFUNCTION("""COMPUTED_VALUE"""),0.6243)</f>
      </c>
      <c r="G522" s="10">
        <f>IFERROR(__xludf.DUMMYFUNCTION("""COMPUTED_VALUE"""),0.1951)</f>
      </c>
    </row>
    <row x14ac:dyDescent="0.25" r="523" customHeight="1" ht="15.75">
      <c r="A523" s="8">
        <f>IFERROR(__xludf.DUMMYFUNCTION("""COMPUTED_VALUE"""),25376.0)</f>
      </c>
      <c r="B523" s="9">
        <f>IFERROR(__xludf.DUMMYFUNCTION("""COMPUTED_VALUE"""),"METROPOLITANA VI")</f>
      </c>
      <c r="C523" s="9">
        <f>IFERROR(__xludf.DUMMYFUNCTION("""COMPUTED_VALUE"""),"CE CASTELNUOVO")</f>
      </c>
      <c r="D523" s="10">
        <f>IFERROR(__xludf.DUMMYFUNCTION("""COMPUTED_VALUE"""),0.7607)</f>
      </c>
      <c r="E523" s="10">
        <f>IFERROR(__xludf.DUMMYFUNCTION("""COMPUTED_VALUE"""),0.1148)</f>
      </c>
      <c r="F523" s="10">
        <f>IFERROR(__xludf.DUMMYFUNCTION("""COMPUTED_VALUE"""),0.026)</f>
      </c>
      <c r="G523" s="10">
        <f>IFERROR(__xludf.DUMMYFUNCTION("""COMPUTED_VALUE"""),0.1741)</f>
      </c>
    </row>
    <row x14ac:dyDescent="0.25" r="524" customHeight="1" ht="15.75">
      <c r="A524" s="8">
        <f>IFERROR(__xludf.DUMMYFUNCTION("""COMPUTED_VALUE"""),25377.0)</f>
      </c>
      <c r="B524" s="9">
        <f>IFERROR(__xludf.DUMMYFUNCTION("""COMPUTED_VALUE"""),"METROPOLITANA VI")</f>
      </c>
      <c r="C524" s="9">
        <f>IFERROR(__xludf.DUMMYFUNCTION("""COMPUTED_VALUE"""),"CE CHICO ANYSIO")</f>
      </c>
      <c r="D524" s="10">
        <f>IFERROR(__xludf.DUMMYFUNCTION("""COMPUTED_VALUE"""),0.8579)</f>
      </c>
      <c r="E524" s="10">
        <f>IFERROR(__xludf.DUMMYFUNCTION("""COMPUTED_VALUE"""),0.3029)</f>
      </c>
      <c r="F524" s="10">
        <f>IFERROR(__xludf.DUMMYFUNCTION("""COMPUTED_VALUE"""),0.7513)</f>
      </c>
      <c r="G524" s="10">
        <f>IFERROR(__xludf.DUMMYFUNCTION("""COMPUTED_VALUE"""),0.224)</f>
      </c>
    </row>
    <row x14ac:dyDescent="0.25" r="525" customHeight="1" ht="15.75">
      <c r="A525" s="8">
        <f>IFERROR(__xludf.DUMMYFUNCTION("""COMPUTED_VALUE"""),25378.0)</f>
      </c>
      <c r="B525" s="9">
        <f>IFERROR(__xludf.DUMMYFUNCTION("""COMPUTED_VALUE"""),"METROPOLITANA VI")</f>
      </c>
      <c r="C525" s="9">
        <f>IFERROR(__xludf.DUMMYFUNCTION("""COMPUTED_VALUE"""),"CE CHIQUINHA GONZAGA")</f>
      </c>
      <c r="D525" s="10">
        <f>IFERROR(__xludf.DUMMYFUNCTION("""COMPUTED_VALUE"""),0.9273)</f>
      </c>
      <c r="E525" s="10">
        <f>IFERROR(__xludf.DUMMYFUNCTION("""COMPUTED_VALUE"""),0.1692)</f>
      </c>
      <c r="F525" s="10">
        <f>IFERROR(__xludf.DUMMYFUNCTION("""COMPUTED_VALUE"""),0.4636)</f>
      </c>
      <c r="G525" s="10">
        <f>IFERROR(__xludf.DUMMYFUNCTION("""COMPUTED_VALUE"""),0.2019)</f>
      </c>
    </row>
    <row x14ac:dyDescent="0.25" r="526" customHeight="1" ht="15.75">
      <c r="A526" s="8">
        <f>IFERROR(__xludf.DUMMYFUNCTION("""COMPUTED_VALUE"""),25379.0)</f>
      </c>
      <c r="B526" s="9">
        <f>IFERROR(__xludf.DUMMYFUNCTION("""COMPUTED_VALUE"""),"METROPOLITANA VI")</f>
      </c>
      <c r="C526" s="9">
        <f>IFERROR(__xludf.DUMMYFUNCTION("""COMPUTED_VALUE"""),"CE COMPOSITOR LUIZ CARLOS DA VILA")</f>
      </c>
      <c r="D526" s="10">
        <f>IFERROR(__xludf.DUMMYFUNCTION("""COMPUTED_VALUE"""),0.6485)</f>
      </c>
      <c r="E526" s="10">
        <f>IFERROR(__xludf.DUMMYFUNCTION("""COMPUTED_VALUE"""),0.2429)</f>
      </c>
      <c r="F526" s="10">
        <f>IFERROR(__xludf.DUMMYFUNCTION("""COMPUTED_VALUE"""),0.5097)</f>
      </c>
      <c r="G526" s="10">
        <f>IFERROR(__xludf.DUMMYFUNCTION("""COMPUTED_VALUE"""),0.1999)</f>
      </c>
    </row>
    <row x14ac:dyDescent="0.25" r="527" customHeight="1" ht="15.75">
      <c r="A527" s="8">
        <f>IFERROR(__xludf.DUMMYFUNCTION("""COMPUTED_VALUE"""),25380.0)</f>
      </c>
      <c r="B527" s="9">
        <f>IFERROR(__xludf.DUMMYFUNCTION("""COMPUTED_VALUE"""),"METROPOLITANA VI")</f>
      </c>
      <c r="C527" s="9">
        <f>IFERROR(__xludf.DUMMYFUNCTION("""COMPUTED_VALUE"""),"CE COMPOSITOR LUIZ GONZAGA")</f>
      </c>
      <c r="D527" s="10">
        <f>IFERROR(__xludf.DUMMYFUNCTION("""COMPUTED_VALUE"""),0.631)</f>
      </c>
      <c r="E527" s="10">
        <f>IFERROR(__xludf.DUMMYFUNCTION("""COMPUTED_VALUE"""),0.2106)</f>
      </c>
      <c r="F527" s="10">
        <f>IFERROR(__xludf.DUMMYFUNCTION("""COMPUTED_VALUE"""),0.5394)</f>
      </c>
      <c r="G527" s="10">
        <f>IFERROR(__xludf.DUMMYFUNCTION("""COMPUTED_VALUE"""),0.1925)</f>
      </c>
    </row>
    <row x14ac:dyDescent="0.25" r="528" customHeight="1" ht="15.75">
      <c r="A528" s="8">
        <f>IFERROR(__xludf.DUMMYFUNCTION("""COMPUTED_VALUE"""),25381.0)</f>
      </c>
      <c r="B528" s="9">
        <f>IFERROR(__xludf.DUMMYFUNCTION("""COMPUTED_VALUE"""),"METROPOLITANA VI")</f>
      </c>
      <c r="C528" s="9">
        <f>IFERROR(__xludf.DUMMYFUNCTION("""COMPUTED_VALUE"""),"CE DELFIM MOREIRA")</f>
      </c>
      <c r="D528" s="10">
        <f>IFERROR(__xludf.DUMMYFUNCTION("""COMPUTED_VALUE"""),0.6952)</f>
      </c>
      <c r="E528" s="10">
        <f>IFERROR(__xludf.DUMMYFUNCTION("""COMPUTED_VALUE"""),0.199)</f>
      </c>
      <c r="F528" s="10">
        <f>IFERROR(__xludf.DUMMYFUNCTION("""COMPUTED_VALUE"""),0.5668)</f>
      </c>
      <c r="G528" s="10">
        <f>IFERROR(__xludf.DUMMYFUNCTION("""COMPUTED_VALUE"""),0.1949)</f>
      </c>
    </row>
    <row x14ac:dyDescent="0.25" r="529" customHeight="1" ht="15.75">
      <c r="A529" s="8">
        <f>IFERROR(__xludf.DUMMYFUNCTION("""COMPUTED_VALUE"""),25382.0)</f>
      </c>
      <c r="B529" s="9">
        <f>IFERROR(__xludf.DUMMYFUNCTION("""COMPUTED_VALUE"""),"METROPOLITANA VI")</f>
      </c>
      <c r="C529" s="9">
        <f>IFERROR(__xludf.DUMMYFUNCTION("""COMPUTED_VALUE"""),"CE DEODORO")</f>
      </c>
      <c r="D529" s="10">
        <f>IFERROR(__xludf.DUMMYFUNCTION("""COMPUTED_VALUE"""),0.4688)</f>
      </c>
      <c r="E529" s="10">
        <f>IFERROR(__xludf.DUMMYFUNCTION("""COMPUTED_VALUE"""),0.2243)</f>
      </c>
      <c r="F529" s="10">
        <f>IFERROR(__xludf.DUMMYFUNCTION("""COMPUTED_VALUE"""),0.6222)</f>
      </c>
      <c r="G529" s="10">
        <f>IFERROR(__xludf.DUMMYFUNCTION("""COMPUTED_VALUE"""),0.1862)</f>
      </c>
    </row>
    <row x14ac:dyDescent="0.25" r="530" customHeight="1" ht="15.75">
      <c r="A530" s="8">
        <f>IFERROR(__xludf.DUMMYFUNCTION("""COMPUTED_VALUE"""),25384.0)</f>
      </c>
      <c r="B530" s="9">
        <f>IFERROR(__xludf.DUMMYFUNCTION("""COMPUTED_VALUE"""),"METROPOLITANA VI")</f>
      </c>
      <c r="C530" s="9">
        <f>IFERROR(__xludf.DUMMYFUNCTION("""COMPUTED_VALUE"""),"CE EMBAIXADOR DIAS CARNEIRO")</f>
      </c>
      <c r="D530" s="10">
        <f>IFERROR(__xludf.DUMMYFUNCTION("""COMPUTED_VALUE"""),0.7421)</f>
      </c>
      <c r="E530" s="10">
        <f>IFERROR(__xludf.DUMMYFUNCTION("""COMPUTED_VALUE"""),0.2198)</f>
      </c>
      <c r="F530" s="10">
        <f>IFERROR(__xludf.DUMMYFUNCTION("""COMPUTED_VALUE"""),0.6474)</f>
      </c>
      <c r="G530" s="10">
        <f>IFERROR(__xludf.DUMMYFUNCTION("""COMPUTED_VALUE"""),0.2083)</f>
      </c>
    </row>
    <row x14ac:dyDescent="0.25" r="531" customHeight="1" ht="15.75">
      <c r="A531" s="8">
        <f>IFERROR(__xludf.DUMMYFUNCTION("""COMPUTED_VALUE"""),25385.0)</f>
      </c>
      <c r="B531" s="9">
        <f>IFERROR(__xludf.DUMMYFUNCTION("""COMPUTED_VALUE"""),"METROPOLITANA VI")</f>
      </c>
      <c r="C531" s="9">
        <f>IFERROR(__xludf.DUMMYFUNCTION("""COMPUTED_VALUE"""),"CE ENGENHEIRO BERNARDO SAYAO")</f>
      </c>
      <c r="D531" s="10">
        <f>IFERROR(__xludf.DUMMYFUNCTION("""COMPUTED_VALUE"""),0.5862)</f>
      </c>
      <c r="E531" s="10">
        <f>IFERROR(__xludf.DUMMYFUNCTION("""COMPUTED_VALUE"""),0.2084)</f>
      </c>
      <c r="F531" s="10">
        <f>IFERROR(__xludf.DUMMYFUNCTION("""COMPUTED_VALUE"""),0.4706)</f>
      </c>
      <c r="G531" s="10">
        <f>IFERROR(__xludf.DUMMYFUNCTION("""COMPUTED_VALUE"""),0.1868)</f>
      </c>
    </row>
    <row x14ac:dyDescent="0.25" r="532" customHeight="1" ht="15.75">
      <c r="A532" s="8">
        <f>IFERROR(__xludf.DUMMYFUNCTION("""COMPUTED_VALUE"""),25386.0)</f>
      </c>
      <c r="B532" s="9">
        <f>IFERROR(__xludf.DUMMYFUNCTION("""COMPUTED_VALUE"""),"METROPOLITANA VI")</f>
      </c>
      <c r="C532" s="9">
        <f>IFERROR(__xludf.DUMMYFUNCTION("""COMPUTED_VALUE"""),"CE EUNICE WEAVER")</f>
      </c>
      <c r="D532" s="10">
        <f>IFERROR(__xludf.DUMMYFUNCTION("""COMPUTED_VALUE"""),0.7877)</f>
      </c>
      <c r="E532" s="10">
        <f>IFERROR(__xludf.DUMMYFUNCTION("""COMPUTED_VALUE"""),0.2136)</f>
      </c>
      <c r="F532" s="10">
        <f>IFERROR(__xludf.DUMMYFUNCTION("""COMPUTED_VALUE"""),0.5755)</f>
      </c>
      <c r="G532" s="10">
        <f>IFERROR(__xludf.DUMMYFUNCTION("""COMPUTED_VALUE"""),0.2057)</f>
      </c>
    </row>
    <row x14ac:dyDescent="0.25" r="533" customHeight="1" ht="15.75">
      <c r="A533" s="8">
        <f>IFERROR(__xludf.DUMMYFUNCTION("""COMPUTED_VALUE"""),25387.0)</f>
      </c>
      <c r="B533" s="9">
        <f>IFERROR(__xludf.DUMMYFUNCTION("""COMPUTED_VALUE"""),"METROPOLITANA VI")</f>
      </c>
      <c r="C533" s="9">
        <f>IFERROR(__xludf.DUMMYFUNCTION("""COMPUTED_VALUE"""),"CE FINLANDIA")</f>
      </c>
      <c r="D533" s="10">
        <f>IFERROR(__xludf.DUMMYFUNCTION("""COMPUTED_VALUE"""),0.7556)</f>
      </c>
      <c r="E533" s="10">
        <f>IFERROR(__xludf.DUMMYFUNCTION("""COMPUTED_VALUE"""),0.2231)</f>
      </c>
      <c r="F533" s="10">
        <f>IFERROR(__xludf.DUMMYFUNCTION("""COMPUTED_VALUE"""),0.6639)</f>
      </c>
      <c r="G533" s="10">
        <f>IFERROR(__xludf.DUMMYFUNCTION("""COMPUTED_VALUE"""),0.2041)</f>
      </c>
    </row>
    <row x14ac:dyDescent="0.25" r="534" customHeight="1" ht="15.75">
      <c r="A534" s="8">
        <f>IFERROR(__xludf.DUMMYFUNCTION("""COMPUTED_VALUE"""),25388.0)</f>
      </c>
      <c r="B534" s="9">
        <f>IFERROR(__xludf.DUMMYFUNCTION("""COMPUTED_VALUE"""),"METROPOLITANA VI")</f>
      </c>
      <c r="C534" s="9">
        <f>IFERROR(__xludf.DUMMYFUNCTION("""COMPUTED_VALUE"""),"CE FRANCISCO CAMPOS")</f>
      </c>
      <c r="D534" s="10">
        <f>IFERROR(__xludf.DUMMYFUNCTION("""COMPUTED_VALUE"""),0.6957)</f>
      </c>
      <c r="E534" s="10">
        <f>IFERROR(__xludf.DUMMYFUNCTION("""COMPUTED_VALUE"""),0.2031)</f>
      </c>
      <c r="F534" s="10">
        <f>IFERROR(__xludf.DUMMYFUNCTION("""COMPUTED_VALUE"""),0.6463)</f>
      </c>
      <c r="G534" s="10">
        <f>IFERROR(__xludf.DUMMYFUNCTION("""COMPUTED_VALUE"""),0.1929)</f>
      </c>
    </row>
    <row x14ac:dyDescent="0.25" r="535" customHeight="1" ht="15.75">
      <c r="A535" s="8">
        <f>IFERROR(__xludf.DUMMYFUNCTION("""COMPUTED_VALUE"""),25389.0)</f>
      </c>
      <c r="B535" s="9">
        <f>IFERROR(__xludf.DUMMYFUNCTION("""COMPUTED_VALUE"""),"METROPOLITANA VI")</f>
      </c>
      <c r="C535" s="9">
        <f>IFERROR(__xludf.DUMMYFUNCTION("""COMPUTED_VALUE"""),"CE FREDERICO EYER")</f>
      </c>
      <c r="D535" s="10">
        <f>IFERROR(__xludf.DUMMYFUNCTION("""COMPUTED_VALUE"""),0.6364)</f>
      </c>
      <c r="E535" s="10">
        <f>IFERROR(__xludf.DUMMYFUNCTION("""COMPUTED_VALUE"""),0.229)</f>
      </c>
      <c r="F535" s="10">
        <f>IFERROR(__xludf.DUMMYFUNCTION("""COMPUTED_VALUE"""),0.4737)</f>
      </c>
      <c r="G535" s="10">
        <f>IFERROR(__xludf.DUMMYFUNCTION("""COMPUTED_VALUE"""),0.2133)</f>
      </c>
    </row>
    <row x14ac:dyDescent="0.25" r="536" customHeight="1" ht="15.75">
      <c r="A536" s="8">
        <f>IFERROR(__xludf.DUMMYFUNCTION("""COMPUTED_VALUE"""),25391.0)</f>
      </c>
      <c r="B536" s="9">
        <f>IFERROR(__xludf.DUMMYFUNCTION("""COMPUTED_VALUE"""),"METROPOLITANA VI")</f>
      </c>
      <c r="C536" s="9">
        <f>IFERROR(__xludf.DUMMYFUNCTION("""COMPUTED_VALUE"""),"CE GILSON AMADO")</f>
      </c>
      <c r="D536" s="10">
        <f>IFERROR(__xludf.DUMMYFUNCTION("""COMPUTED_VALUE"""),0.6983)</f>
      </c>
      <c r="E536" s="10">
        <f>IFERROR(__xludf.DUMMYFUNCTION("""COMPUTED_VALUE"""),0.1435)</f>
      </c>
      <c r="F536" s="10">
        <f>IFERROR(__xludf.DUMMYFUNCTION("""COMPUTED_VALUE"""),0.5153)</f>
      </c>
      <c r="G536" s="10">
        <f>IFERROR(__xludf.DUMMYFUNCTION("""COMPUTED_VALUE"""),0.1896)</f>
      </c>
    </row>
    <row x14ac:dyDescent="0.25" r="537" customHeight="1" ht="15.75">
      <c r="A537" s="8">
        <f>IFERROR(__xludf.DUMMYFUNCTION("""COMPUTED_VALUE"""),25392.0)</f>
      </c>
      <c r="B537" s="9">
        <f>IFERROR(__xludf.DUMMYFUNCTION("""COMPUTED_VALUE"""),"METROPOLITANA VI")</f>
      </c>
      <c r="C537" s="9">
        <f>IFERROR(__xludf.DUMMYFUNCTION("""COMPUTED_VALUE"""),"CE GOLDA MEIR")</f>
      </c>
      <c r="D537" s="10">
        <f>IFERROR(__xludf.DUMMYFUNCTION("""COMPUTED_VALUE"""),0.8684)</f>
      </c>
      <c r="E537" s="10">
        <f>IFERROR(__xludf.DUMMYFUNCTION("""COMPUTED_VALUE"""),0.1366)</f>
      </c>
      <c r="F537" s="10">
        <f>IFERROR(__xludf.DUMMYFUNCTION("""COMPUTED_VALUE"""),0.3871)</f>
      </c>
      <c r="G537" s="10">
        <f>IFERROR(__xludf.DUMMYFUNCTION("""COMPUTED_VALUE"""),0.1784)</f>
      </c>
    </row>
    <row x14ac:dyDescent="0.25" r="538" customHeight="1" ht="15.75">
      <c r="A538" s="8">
        <f>IFERROR(__xludf.DUMMYFUNCTION("""COMPUTED_VALUE"""),25393.0)</f>
      </c>
      <c r="B538" s="9">
        <f>IFERROR(__xludf.DUMMYFUNCTION("""COMPUTED_VALUE"""),"METROPOLITANA VI")</f>
      </c>
      <c r="C538" s="9">
        <f>IFERROR(__xludf.DUMMYFUNCTION("""COMPUTED_VALUE"""),"CE GONCALVES DIAS")</f>
      </c>
      <c r="D538" s="10">
        <f>IFERROR(__xludf.DUMMYFUNCTION("""COMPUTED_VALUE"""),0.4407)</f>
      </c>
      <c r="E538" s="10">
        <f>IFERROR(__xludf.DUMMYFUNCTION("""COMPUTED_VALUE"""),0.2254)</f>
      </c>
      <c r="F538" s="10">
        <f>IFERROR(__xludf.DUMMYFUNCTION("""COMPUTED_VALUE"""),0.661)</f>
      </c>
      <c r="G538" s="10">
        <f>IFERROR(__xludf.DUMMYFUNCTION("""COMPUTED_VALUE"""),0.1942)</f>
      </c>
    </row>
    <row x14ac:dyDescent="0.25" r="539" customHeight="1" ht="15.75">
      <c r="A539" s="8">
        <f>IFERROR(__xludf.DUMMYFUNCTION("""COMPUTED_VALUE"""),25394.0)</f>
      </c>
      <c r="B539" s="9">
        <f>IFERROR(__xludf.DUMMYFUNCTION("""COMPUTED_VALUE"""),"METROPOLITANA VI")</f>
      </c>
      <c r="C539" s="9">
        <f>IFERROR(__xludf.DUMMYFUNCTION("""COMPUTED_VALUE"""),"CE HERBERT DE SOUZA")</f>
      </c>
      <c r="D539" s="10">
        <f>IFERROR(__xludf.DUMMYFUNCTION("""COMPUTED_VALUE"""),0.8969)</f>
      </c>
      <c r="E539" s="10">
        <f>IFERROR(__xludf.DUMMYFUNCTION("""COMPUTED_VALUE"""),0.2022)</f>
      </c>
      <c r="F539" s="10">
        <f>IFERROR(__xludf.DUMMYFUNCTION("""COMPUTED_VALUE"""),0.9067)</f>
      </c>
      <c r="G539" s="10">
        <f>IFERROR(__xludf.DUMMYFUNCTION("""COMPUTED_VALUE"""),0.1463)</f>
      </c>
    </row>
    <row x14ac:dyDescent="0.25" r="540" customHeight="1" ht="15.75">
      <c r="A540" s="8">
        <f>IFERROR(__xludf.DUMMYFUNCTION("""COMPUTED_VALUE"""),25395.0)</f>
      </c>
      <c r="B540" s="9">
        <f>IFERROR(__xludf.DUMMYFUNCTION("""COMPUTED_VALUE"""),"METROPOLITANA VI")</f>
      </c>
      <c r="C540" s="9">
        <f>IFERROR(__xludf.DUMMYFUNCTION("""COMPUTED_VALUE"""),"CE HONDURAS")</f>
      </c>
      <c r="D540" s="10">
        <f>IFERROR(__xludf.DUMMYFUNCTION("""COMPUTED_VALUE"""),0.4857)</f>
      </c>
      <c r="E540" s="10">
        <f>IFERROR(__xludf.DUMMYFUNCTION("""COMPUTED_VALUE"""),0.1375)</f>
      </c>
      <c r="F540" s="10">
        <f>IFERROR(__xludf.DUMMYFUNCTION("""COMPUTED_VALUE"""),0.5484)</f>
      </c>
      <c r="G540" s="10">
        <f>IFERROR(__xludf.DUMMYFUNCTION("""COMPUTED_VALUE"""),0.1887)</f>
      </c>
    </row>
    <row x14ac:dyDescent="0.25" r="541" customHeight="1" ht="15.75">
      <c r="A541" s="8">
        <f>IFERROR(__xludf.DUMMYFUNCTION("""COMPUTED_VALUE"""),25396.0)</f>
      </c>
      <c r="B541" s="9">
        <f>IFERROR(__xludf.DUMMYFUNCTION("""COMPUTED_VALUE"""),"METROPOLITANA VI")</f>
      </c>
      <c r="C541" s="9">
        <f>IFERROR(__xludf.DUMMYFUNCTION("""COMPUTED_VALUE"""),"CE IGNACIO AZEVEDO DO AMARAL")</f>
      </c>
      <c r="D541" s="10">
        <f>IFERROR(__xludf.DUMMYFUNCTION("""COMPUTED_VALUE"""),0.9361)</f>
      </c>
      <c r="E541" s="10">
        <f>IFERROR(__xludf.DUMMYFUNCTION("""COMPUTED_VALUE"""),0.2659)</f>
      </c>
      <c r="F541" s="10">
        <f>IFERROR(__xludf.DUMMYFUNCTION("""COMPUTED_VALUE"""),0.6829)</f>
      </c>
      <c r="G541" s="10">
        <f>IFERROR(__xludf.DUMMYFUNCTION("""COMPUTED_VALUE"""),0.2196)</f>
      </c>
    </row>
    <row x14ac:dyDescent="0.25" r="542" customHeight="1" ht="15.75">
      <c r="A542" s="8">
        <f>IFERROR(__xludf.DUMMYFUNCTION("""COMPUTED_VALUE"""),25397.0)</f>
      </c>
      <c r="B542" s="9">
        <f>IFERROR(__xludf.DUMMYFUNCTION("""COMPUTED_VALUE"""),"METROPOLITANA VI")</f>
      </c>
      <c r="C542" s="9">
        <f>IFERROR(__xludf.DUMMYFUNCTION("""COMPUTED_VALUE"""),"CE INFANTE DOM HENRIQUE")</f>
      </c>
      <c r="D542" s="10">
        <f>IFERROR(__xludf.DUMMYFUNCTION("""COMPUTED_VALUE"""),0.9175)</f>
      </c>
      <c r="E542" s="10">
        <f>IFERROR(__xludf.DUMMYFUNCTION("""COMPUTED_VALUE"""),0.1695)</f>
      </c>
      <c r="F542" s="10">
        <f>IFERROR(__xludf.DUMMYFUNCTION("""COMPUTED_VALUE"""),0.7091)</f>
      </c>
      <c r="G542" s="10">
        <f>IFERROR(__xludf.DUMMYFUNCTION("""COMPUTED_VALUE"""),0.2075)</f>
      </c>
    </row>
    <row x14ac:dyDescent="0.25" r="543" customHeight="1" ht="15.75">
      <c r="A543" s="8">
        <f>IFERROR(__xludf.DUMMYFUNCTION("""COMPUTED_VALUE"""),25398.0)</f>
      </c>
      <c r="B543" s="9">
        <f>IFERROR(__xludf.DUMMYFUNCTION("""COMPUTED_VALUE"""),"METROPOLITANA VI")</f>
      </c>
      <c r="C543" s="9">
        <f>IFERROR(__xludf.DUMMYFUNCTION("""COMPUTED_VALUE"""),"CE JOAO ALFREDO")</f>
      </c>
      <c r="D543" s="10">
        <f>IFERROR(__xludf.DUMMYFUNCTION("""COMPUTED_VALUE"""),0.4971)</f>
      </c>
      <c r="E543" s="10">
        <f>IFERROR(__xludf.DUMMYFUNCTION("""COMPUTED_VALUE"""),0.2242)</f>
      </c>
      <c r="F543" s="10">
        <f>IFERROR(__xludf.DUMMYFUNCTION("""COMPUTED_VALUE"""),0.006)</f>
      </c>
      <c r="G543" s="10">
        <f>IFERROR(__xludf.DUMMYFUNCTION("""COMPUTED_VALUE"""),0.1815)</f>
      </c>
    </row>
    <row x14ac:dyDescent="0.25" r="544" customHeight="1" ht="15.75">
      <c r="A544" s="8">
        <f>IFERROR(__xludf.DUMMYFUNCTION("""COMPUTED_VALUE"""),25399.0)</f>
      </c>
      <c r="B544" s="9">
        <f>IFERROR(__xludf.DUMMYFUNCTION("""COMPUTED_VALUE"""),"METROPOLITANA VI")</f>
      </c>
      <c r="C544" s="9">
        <f>IFERROR(__xludf.DUMMYFUNCTION("""COMPUTED_VALUE"""),"CE JORNALISTA MAURÍCIO AZÊDO - BRASIL-ÍNDIA")</f>
      </c>
      <c r="D544" s="10">
        <f>IFERROR(__xludf.DUMMYFUNCTION("""COMPUTED_VALUE"""),0.9462)</f>
      </c>
      <c r="E544" s="10">
        <f>IFERROR(__xludf.DUMMYFUNCTION("""COMPUTED_VALUE"""),0.2768)</f>
      </c>
      <c r="F544" s="10">
        <f>IFERROR(__xludf.DUMMYFUNCTION("""COMPUTED_VALUE"""),0.9247)</f>
      </c>
      <c r="G544" s="10">
        <f>IFERROR(__xludf.DUMMYFUNCTION("""COMPUTED_VALUE"""),0.221)</f>
      </c>
    </row>
    <row x14ac:dyDescent="0.25" r="545" customHeight="1" ht="15.75">
      <c r="A545" s="8">
        <f>IFERROR(__xludf.DUMMYFUNCTION("""COMPUTED_VALUE"""),25400.0)</f>
      </c>
      <c r="B545" s="9">
        <f>IFERROR(__xludf.DUMMYFUNCTION("""COMPUTED_VALUE"""),"METROPOLITANA VI")</f>
      </c>
      <c r="C545" s="9">
        <f>IFERROR(__xludf.DUMMYFUNCTION("""COMPUTED_VALUE"""),"CE JOSE LEITE LOPES")</f>
      </c>
      <c r="D545" s="10">
        <f>IFERROR(__xludf.DUMMYFUNCTION("""COMPUTED_VALUE"""),1.0)</f>
      </c>
      <c r="E545" s="10">
        <f>IFERROR(__xludf.DUMMYFUNCTION("""COMPUTED_VALUE"""),0.303)</f>
      </c>
      <c r="F545" s="10">
        <f>IFERROR(__xludf.DUMMYFUNCTION("""COMPUTED_VALUE"""),0.9398)</f>
      </c>
      <c r="G545" s="10">
        <f>IFERROR(__xludf.DUMMYFUNCTION("""COMPUTED_VALUE"""),0.2023)</f>
      </c>
    </row>
    <row x14ac:dyDescent="0.25" r="546" customHeight="1" ht="15.75">
      <c r="A546" s="8">
        <f>IFERROR(__xludf.DUMMYFUNCTION("""COMPUTED_VALUE"""),25401.0)</f>
      </c>
      <c r="B546" s="9">
        <f>IFERROR(__xludf.DUMMYFUNCTION("""COMPUTED_VALUE"""),"METROPOLITANA VI")</f>
      </c>
      <c r="C546" s="9">
        <f>IFERROR(__xludf.DUMMYFUNCTION("""COMPUTED_VALUE"""),"CE JULIA KUBITSCHEK")</f>
      </c>
      <c r="D546" s="10">
        <f>IFERROR(__xludf.DUMMYFUNCTION("""COMPUTED_VALUE"""),0.9543)</f>
      </c>
      <c r="E546" s="10">
        <f>IFERROR(__xludf.DUMMYFUNCTION("""COMPUTED_VALUE"""),0.1619)</f>
      </c>
      <c r="F546" s="10">
        <f>IFERROR(__xludf.DUMMYFUNCTION("""COMPUTED_VALUE"""),0.9371)</f>
      </c>
      <c r="G546" s="10">
        <f>IFERROR(__xludf.DUMMYFUNCTION("""COMPUTED_VALUE"""),0.0574)</f>
      </c>
    </row>
    <row x14ac:dyDescent="0.25" r="547" customHeight="1" ht="15.75">
      <c r="A547" s="8">
        <f>IFERROR(__xludf.DUMMYFUNCTION("""COMPUTED_VALUE"""),25402.0)</f>
      </c>
      <c r="B547" s="9">
        <f>IFERROR(__xludf.DUMMYFUNCTION("""COMPUTED_VALUE"""),"METROPOLITANA VI")</f>
      </c>
      <c r="C547" s="9">
        <f>IFERROR(__xludf.DUMMYFUNCTION("""COMPUTED_VALUE"""),"CE MAHATMA GANDHI")</f>
      </c>
      <c r="D547" s="10">
        <f>IFERROR(__xludf.DUMMYFUNCTION("""COMPUTED_VALUE"""),0.7122)</f>
      </c>
      <c r="E547" s="10">
        <f>IFERROR(__xludf.DUMMYFUNCTION("""COMPUTED_VALUE"""),0.2148)</f>
      </c>
      <c r="F547" s="10">
        <f>IFERROR(__xludf.DUMMYFUNCTION("""COMPUTED_VALUE"""),0.5217)</f>
      </c>
      <c r="G547" s="10">
        <f>IFERROR(__xludf.DUMMYFUNCTION("""COMPUTED_VALUE"""),0.1957)</f>
      </c>
    </row>
    <row x14ac:dyDescent="0.25" r="548" customHeight="1" ht="15.75">
      <c r="A548" s="8">
        <f>IFERROR(__xludf.DUMMYFUNCTION("""COMPUTED_VALUE"""),25404.0)</f>
      </c>
      <c r="B548" s="9">
        <f>IFERROR(__xludf.DUMMYFUNCTION("""COMPUTED_VALUE"""),"METROPOLITANA VI")</f>
      </c>
      <c r="C548" s="9">
        <f>IFERROR(__xludf.DUMMYFUNCTION("""COMPUTED_VALUE"""),"CE MARECHAL CANROBERT PEREIRA DA COSTA")</f>
      </c>
      <c r="D548" s="10">
        <f>IFERROR(__xludf.DUMMYFUNCTION("""COMPUTED_VALUE"""),0.5849)</f>
      </c>
      <c r="E548" s="10">
        <f>IFERROR(__xludf.DUMMYFUNCTION("""COMPUTED_VALUE"""),0.2295)</f>
      </c>
      <c r="F548" s="10">
        <f>IFERROR(__xludf.DUMMYFUNCTION("""COMPUTED_VALUE"""),0.4259)</f>
      </c>
      <c r="G548" s="10">
        <f>IFERROR(__xludf.DUMMYFUNCTION("""COMPUTED_VALUE"""),0.2076)</f>
      </c>
    </row>
    <row x14ac:dyDescent="0.25" r="549" customHeight="1" ht="15.75">
      <c r="A549" s="8">
        <f>IFERROR(__xludf.DUMMYFUNCTION("""COMPUTED_VALUE"""),25405.0)</f>
      </c>
      <c r="B549" s="9">
        <f>IFERROR(__xludf.DUMMYFUNCTION("""COMPUTED_VALUE"""),"METROPOLITANA VI")</f>
      </c>
      <c r="C549" s="9">
        <f>IFERROR(__xludf.DUMMYFUNCTION("""COMPUTED_VALUE"""),"CE MEM DE SA")</f>
      </c>
      <c r="D549" s="10">
        <f>IFERROR(__xludf.DUMMYFUNCTION("""COMPUTED_VALUE"""),0.9118)</f>
      </c>
      <c r="E549" s="10">
        <f>IFERROR(__xludf.DUMMYFUNCTION("""COMPUTED_VALUE"""),0.2165)</f>
      </c>
      <c r="F549" s="10">
        <f>IFERROR(__xludf.DUMMYFUNCTION("""COMPUTED_VALUE"""),0.5588)</f>
      </c>
      <c r="G549" s="10">
        <f>IFERROR(__xludf.DUMMYFUNCTION("""COMPUTED_VALUE"""),0.2465)</f>
      </c>
    </row>
    <row x14ac:dyDescent="0.25" r="550" customHeight="1" ht="15.75">
      <c r="A550" s="8">
        <f>IFERROR(__xludf.DUMMYFUNCTION("""COMPUTED_VALUE"""),25406.0)</f>
      </c>
      <c r="B550" s="9">
        <f>IFERROR(__xludf.DUMMYFUNCTION("""COMPUTED_VALUE"""),"METROPOLITANA VI")</f>
      </c>
      <c r="C550" s="9">
        <f>IFERROR(__xludf.DUMMYFUNCTION("""COMPUTED_VALUE"""),"CE MEXICO")</f>
      </c>
      <c r="D550" s="10">
        <f>IFERROR(__xludf.DUMMYFUNCTION("""COMPUTED_VALUE"""),0.8235)</f>
      </c>
      <c r="E550" s="10">
        <f>IFERROR(__xludf.DUMMYFUNCTION("""COMPUTED_VALUE"""),0.1688)</f>
      </c>
      <c r="F550" s="10">
        <f>IFERROR(__xludf.DUMMYFUNCTION("""COMPUTED_VALUE"""),0.4)</f>
      </c>
      <c r="G550" s="10">
        <f>IFERROR(__xludf.DUMMYFUNCTION("""COMPUTED_VALUE"""),0.2121)</f>
      </c>
    </row>
    <row x14ac:dyDescent="0.25" r="551" customHeight="1" ht="15.75">
      <c r="A551" s="8">
        <f>IFERROR(__xludf.DUMMYFUNCTION("""COMPUTED_VALUE"""),25407.0)</f>
      </c>
      <c r="B551" s="9">
        <f>IFERROR(__xludf.DUMMYFUNCTION("""COMPUTED_VALUE"""),"METROPOLITANA VI")</f>
      </c>
      <c r="C551" s="9">
        <f>IFERROR(__xludf.DUMMYFUNCTION("""COMPUTED_VALUE"""),"CE MONTEIRO DE CARVALHO")</f>
      </c>
      <c r="D551" s="10">
        <f>IFERROR(__xludf.DUMMYFUNCTION("""COMPUTED_VALUE"""),0.5762)</f>
      </c>
      <c r="E551" s="10">
        <f>IFERROR(__xludf.DUMMYFUNCTION("""COMPUTED_VALUE"""),0.2199)</f>
      </c>
      <c r="F551" s="10">
        <f>IFERROR(__xludf.DUMMYFUNCTION("""COMPUTED_VALUE"""),0.754)</f>
      </c>
      <c r="G551" s="10">
        <f>IFERROR(__xludf.DUMMYFUNCTION("""COMPUTED_VALUE"""),0.2028)</f>
      </c>
    </row>
    <row x14ac:dyDescent="0.25" r="552" customHeight="1" ht="15.75">
      <c r="A552" s="8">
        <f>IFERROR(__xludf.DUMMYFUNCTION("""COMPUTED_VALUE"""),25408.0)</f>
      </c>
      <c r="B552" s="9">
        <f>IFERROR(__xludf.DUMMYFUNCTION("""COMPUTED_VALUE"""),"METROPOLITANA VI")</f>
      </c>
      <c r="C552" s="9">
        <f>IFERROR(__xludf.DUMMYFUNCTION("""COMPUTED_VALUE"""),"CE NILO PECANHA")</f>
      </c>
      <c r="D552" s="10">
        <f>IFERROR(__xludf.DUMMYFUNCTION("""COMPUTED_VALUE"""),0.8947)</f>
      </c>
      <c r="E552" s="10">
        <f>IFERROR(__xludf.DUMMYFUNCTION("""COMPUTED_VALUE"""),0.2243)</f>
      </c>
      <c r="F552" s="10">
        <f>IFERROR(__xludf.DUMMYFUNCTION("""COMPUTED_VALUE"""),0.5263)</f>
      </c>
      <c r="G552" s="10">
        <f>IFERROR(__xludf.DUMMYFUNCTION("""COMPUTED_VALUE"""),0.2531)</f>
      </c>
    </row>
    <row x14ac:dyDescent="0.25" r="553" customHeight="1" ht="15.75">
      <c r="A553" s="8">
        <f>IFERROR(__xludf.DUMMYFUNCTION("""COMPUTED_VALUE"""),25409.0)</f>
      </c>
      <c r="B553" s="9">
        <f>IFERROR(__xludf.DUMMYFUNCTION("""COMPUTED_VALUE"""),"METROPOLITANA VI")</f>
      </c>
      <c r="C553" s="9">
        <f>IFERROR(__xludf.DUMMYFUNCTION("""COMPUTED_VALUE"""),"CE OLAVO BILAC")</f>
      </c>
      <c r="D553" s="10">
        <f>IFERROR(__xludf.DUMMYFUNCTION("""COMPUTED_VALUE"""),0.1803)</f>
      </c>
      <c r="E553" s="10">
        <f>IFERROR(__xludf.DUMMYFUNCTION("""COMPUTED_VALUE"""),0.2313)</f>
      </c>
      <c r="F553" s="10">
        <f>IFERROR(__xludf.DUMMYFUNCTION("""COMPUTED_VALUE"""),0.2845)</f>
      </c>
      <c r="G553" s="10">
        <f>IFERROR(__xludf.DUMMYFUNCTION("""COMPUTED_VALUE"""),0.2008)</f>
      </c>
    </row>
    <row x14ac:dyDescent="0.25" r="554" customHeight="1" ht="15.75">
      <c r="A554" s="8">
        <f>IFERROR(__xludf.DUMMYFUNCTION("""COMPUTED_VALUE"""),25410.0)</f>
      </c>
      <c r="B554" s="9">
        <f>IFERROR(__xludf.DUMMYFUNCTION("""COMPUTED_VALUE"""),"METROPOLITANA VI")</f>
      </c>
      <c r="C554" s="9">
        <f>IFERROR(__xludf.DUMMYFUNCTION("""COMPUTED_VALUE"""),"CE PAULO DE FRONTIN")</f>
      </c>
      <c r="D554" s="10">
        <f>IFERROR(__xludf.DUMMYFUNCTION("""COMPUTED_VALUE"""),0.0441)</f>
      </c>
      <c r="E554" s="10">
        <f>IFERROR(__xludf.DUMMYFUNCTION("""COMPUTED_VALUE"""),0.1517)</f>
      </c>
      <c r="F554" s="10">
        <f>IFERROR(__xludf.DUMMYFUNCTION("""COMPUTED_VALUE"""),0.4526)</f>
      </c>
      <c r="G554" s="10">
        <f>IFERROR(__xludf.DUMMYFUNCTION("""COMPUTED_VALUE"""),0.1881)</f>
      </c>
    </row>
    <row x14ac:dyDescent="0.25" r="555" customHeight="1" ht="15.75">
      <c r="A555" s="8">
        <f>IFERROR(__xludf.DUMMYFUNCTION("""COMPUTED_VALUE"""),25411.0)</f>
      </c>
      <c r="B555" s="9">
        <f>IFERROR(__xludf.DUMMYFUNCTION("""COMPUTED_VALUE"""),"METROPOLITANA VI")</f>
      </c>
      <c r="C555" s="9">
        <f>IFERROR(__xludf.DUMMYFUNCTION("""COMPUTED_VALUE"""),"CE PEDRO ALVARES CABRAL")</f>
      </c>
      <c r="D555" s="10">
        <f>IFERROR(__xludf.DUMMYFUNCTION("""COMPUTED_VALUE"""),0.808)</f>
      </c>
      <c r="E555" s="10">
        <f>IFERROR(__xludf.DUMMYFUNCTION("""COMPUTED_VALUE"""),0.2413)</f>
      </c>
      <c r="F555" s="10">
        <f>IFERROR(__xludf.DUMMYFUNCTION("""COMPUTED_VALUE"""),0.5777)</f>
      </c>
      <c r="G555" s="10">
        <f>IFERROR(__xludf.DUMMYFUNCTION("""COMPUTED_VALUE"""),0.2035)</f>
      </c>
    </row>
    <row x14ac:dyDescent="0.25" r="556" customHeight="1" ht="15.75">
      <c r="A556" s="8">
        <f>IFERROR(__xludf.DUMMYFUNCTION("""COMPUTED_VALUE"""),25412.0)</f>
      </c>
      <c r="B556" s="9">
        <f>IFERROR(__xludf.DUMMYFUNCTION("""COMPUTED_VALUE"""),"METROPOLITANA VI")</f>
      </c>
      <c r="C556" s="9">
        <f>IFERROR(__xludf.DUMMYFUNCTION("""COMPUTED_VALUE"""),"CE PRESIDENTE JOAO GOULART")</f>
      </c>
      <c r="D556" s="10">
        <f>IFERROR(__xludf.DUMMYFUNCTION("""COMPUTED_VALUE"""),0.5563)</f>
      </c>
      <c r="E556" s="10">
        <f>IFERROR(__xludf.DUMMYFUNCTION("""COMPUTED_VALUE"""),0.227)</f>
      </c>
      <c r="F556" s="10">
        <f>IFERROR(__xludf.DUMMYFUNCTION("""COMPUTED_VALUE"""),0.6159)</f>
      </c>
      <c r="G556" s="10">
        <f>IFERROR(__xludf.DUMMYFUNCTION("""COMPUTED_VALUE"""),0.2043)</f>
      </c>
    </row>
    <row x14ac:dyDescent="0.25" r="557" customHeight="1" ht="15.75">
      <c r="A557" s="8">
        <f>IFERROR(__xludf.DUMMYFUNCTION("""COMPUTED_VALUE"""),25413.0)</f>
      </c>
      <c r="B557" s="9">
        <f>IFERROR(__xludf.DUMMYFUNCTION("""COMPUTED_VALUE"""),"METROPOLITANA VI")</f>
      </c>
      <c r="C557" s="9">
        <f>IFERROR(__xludf.DUMMYFUNCTION("""COMPUTED_VALUE"""),"CE PROFESSOR ANTONIO MARIA TEIXEIRA FILHO")</f>
      </c>
      <c r="D557" s="10">
        <f>IFERROR(__xludf.DUMMYFUNCTION("""COMPUTED_VALUE"""),0.8468)</f>
      </c>
      <c r="E557" s="10">
        <f>IFERROR(__xludf.DUMMYFUNCTION("""COMPUTED_VALUE"""),0.2576)</f>
      </c>
      <c r="F557" s="10">
        <f>IFERROR(__xludf.DUMMYFUNCTION("""COMPUTED_VALUE"""),0.754)</f>
      </c>
      <c r="G557" s="10">
        <f>IFERROR(__xludf.DUMMYFUNCTION("""COMPUTED_VALUE"""),0.2098)</f>
      </c>
    </row>
    <row x14ac:dyDescent="0.25" r="558" customHeight="1" ht="15.75">
      <c r="A558" s="8">
        <f>IFERROR(__xludf.DUMMYFUNCTION("""COMPUTED_VALUE"""),25414.0)</f>
      </c>
      <c r="B558" s="9">
        <f>IFERROR(__xludf.DUMMYFUNCTION("""COMPUTED_VALUE"""),"METROPOLITANA VI")</f>
      </c>
      <c r="C558" s="9">
        <f>IFERROR(__xludf.DUMMYFUNCTION("""COMPUTED_VALUE"""),"CE PROFESSOR CLOVIS SALGADO")</f>
      </c>
      <c r="D558" s="10">
        <f>IFERROR(__xludf.DUMMYFUNCTION("""COMPUTED_VALUE"""),0.5853)</f>
      </c>
      <c r="E558" s="10">
        <f>IFERROR(__xludf.DUMMYFUNCTION("""COMPUTED_VALUE"""),0.2076)</f>
      </c>
      <c r="F558" s="10">
        <f>IFERROR(__xludf.DUMMYFUNCTION("""COMPUTED_VALUE"""),0.4332)</f>
      </c>
      <c r="G558" s="10">
        <f>IFERROR(__xludf.DUMMYFUNCTION("""COMPUTED_VALUE"""),0.205)</f>
      </c>
    </row>
    <row x14ac:dyDescent="0.25" r="559" customHeight="1" ht="15.75">
      <c r="A559" s="8">
        <f>IFERROR(__xludf.DUMMYFUNCTION("""COMPUTED_VALUE"""),25415.0)</f>
      </c>
      <c r="B559" s="9">
        <f>IFERROR(__xludf.DUMMYFUNCTION("""COMPUTED_VALUE"""),"METROPOLITANA VI")</f>
      </c>
      <c r="C559" s="9">
        <f>IFERROR(__xludf.DUMMYFUNCTION("""COMPUTED_VALUE"""),"CE PROFESSOR ERNESTO FARIA")</f>
      </c>
      <c r="D559" s="10">
        <f>IFERROR(__xludf.DUMMYFUNCTION("""COMPUTED_VALUE"""),0.6643)</f>
      </c>
      <c r="E559" s="10">
        <f>IFERROR(__xludf.DUMMYFUNCTION("""COMPUTED_VALUE"""),0.2206)</f>
      </c>
      <c r="F559" s="10">
        <f>IFERROR(__xludf.DUMMYFUNCTION("""COMPUTED_VALUE"""),0.362)</f>
      </c>
      <c r="G559" s="10">
        <f>IFERROR(__xludf.DUMMYFUNCTION("""COMPUTED_VALUE"""),0.223)</f>
      </c>
    </row>
    <row x14ac:dyDescent="0.25" r="560" customHeight="1" ht="15.75">
      <c r="A560" s="8">
        <f>IFERROR(__xludf.DUMMYFUNCTION("""COMPUTED_VALUE"""),25416.0)</f>
      </c>
      <c r="B560" s="9">
        <f>IFERROR(__xludf.DUMMYFUNCTION("""COMPUTED_VALUE"""),"METROPOLITANA VI")</f>
      </c>
      <c r="C560" s="9">
        <f>IFERROR(__xludf.DUMMYFUNCTION("""COMPUTED_VALUE"""),"CE PROFESSORA MARIA TEREZINHA DE CARVALHO MACHADO")</f>
      </c>
      <c r="D560" s="10">
        <f>IFERROR(__xludf.DUMMYFUNCTION("""COMPUTED_VALUE"""),0.6708)</f>
      </c>
      <c r="E560" s="10">
        <f>IFERROR(__xludf.DUMMYFUNCTION("""COMPUTED_VALUE"""),0.2285)</f>
      </c>
      <c r="F560" s="10">
        <f>IFERROR(__xludf.DUMMYFUNCTION("""COMPUTED_VALUE"""),0.6507)</f>
      </c>
      <c r="G560" s="10">
        <f>IFERROR(__xludf.DUMMYFUNCTION("""COMPUTED_VALUE"""),0.2009)</f>
      </c>
    </row>
    <row x14ac:dyDescent="0.25" r="561" customHeight="1" ht="15.75">
      <c r="A561" s="8">
        <f>IFERROR(__xludf.DUMMYFUNCTION("""COMPUTED_VALUE"""),25417.0)</f>
      </c>
      <c r="B561" s="9">
        <f>IFERROR(__xludf.DUMMYFUNCTION("""COMPUTED_VALUE"""),"METROPOLITANA VI")</f>
      </c>
      <c r="C561" s="9">
        <f>IFERROR(__xludf.DUMMYFUNCTION("""COMPUTED_VALUE"""),"CE REVERENDO HUGH CLARENCE TUCKER")</f>
      </c>
      <c r="D561" s="10">
        <f>IFERROR(__xludf.DUMMYFUNCTION("""COMPUTED_VALUE"""),0.8304)</f>
      </c>
      <c r="E561" s="10">
        <f>IFERROR(__xludf.DUMMYFUNCTION("""COMPUTED_VALUE"""),0.1282)</f>
      </c>
      <c r="F561" s="10">
        <f>IFERROR(__xludf.DUMMYFUNCTION("""COMPUTED_VALUE"""),0.5759)</f>
      </c>
      <c r="G561" s="10">
        <f>IFERROR(__xludf.DUMMYFUNCTION("""COMPUTED_VALUE"""),0.2154)</f>
      </c>
    </row>
    <row x14ac:dyDescent="0.25" r="562" customHeight="1" ht="15.75">
      <c r="A562" s="8">
        <f>IFERROR(__xludf.DUMMYFUNCTION("""COMPUTED_VALUE"""),25418.0)</f>
      </c>
      <c r="B562" s="9">
        <f>IFERROR(__xludf.DUMMYFUNCTION("""COMPUTED_VALUE"""),"METROPOLITANA VI")</f>
      </c>
      <c r="C562" s="9">
        <f>IFERROR(__xludf.DUMMYFUNCTION("""COMPUTED_VALUE"""),"CE ROSA DO POVO")</f>
      </c>
      <c r="D562" s="10">
        <f>IFERROR(__xludf.DUMMYFUNCTION("""COMPUTED_VALUE"""),0.2926)</f>
      </c>
      <c r="E562" s="10">
        <f>IFERROR(__xludf.DUMMYFUNCTION("""COMPUTED_VALUE"""),0.2133)</f>
      </c>
      <c r="F562" s="10">
        <f>IFERROR(__xludf.DUMMYFUNCTION("""COMPUTED_VALUE"""),0.5325)</f>
      </c>
      <c r="G562" s="10">
        <f>IFERROR(__xludf.DUMMYFUNCTION("""COMPUTED_VALUE"""),0.1974)</f>
      </c>
    </row>
    <row x14ac:dyDescent="0.25" r="563" customHeight="1" ht="15.75">
      <c r="A563" s="8">
        <f>IFERROR(__xludf.DUMMYFUNCTION("""COMPUTED_VALUE"""),25419.0)</f>
      </c>
      <c r="B563" s="9">
        <f>IFERROR(__xludf.DUMMYFUNCTION("""COMPUTED_VALUE"""),"METROPOLITANA VI")</f>
      </c>
      <c r="C563" s="9">
        <f>IFERROR(__xludf.DUMMYFUNCTION("""COMPUTED_VALUE"""),"CE SARMIENTO")</f>
      </c>
      <c r="D563" s="10">
        <f>IFERROR(__xludf.DUMMYFUNCTION("""COMPUTED_VALUE"""),0.407)</f>
      </c>
      <c r="E563" s="10">
        <f>IFERROR(__xludf.DUMMYFUNCTION("""COMPUTED_VALUE"""),0.2179)</f>
      </c>
      <c r="F563" s="10">
        <f>IFERROR(__xludf.DUMMYFUNCTION("""COMPUTED_VALUE"""),0.4792)</f>
      </c>
      <c r="G563" s="10">
        <f>IFERROR(__xludf.DUMMYFUNCTION("""COMPUTED_VALUE"""),0.1977)</f>
      </c>
    </row>
    <row x14ac:dyDescent="0.25" r="564" customHeight="1" ht="15.75">
      <c r="A564" s="8">
        <f>IFERROR(__xludf.DUMMYFUNCTION("""COMPUTED_VALUE"""),25420.0)</f>
      </c>
      <c r="B564" s="9">
        <f>IFERROR(__xludf.DUMMYFUNCTION("""COMPUTED_VALUE"""),"METROPOLITANA VI")</f>
      </c>
      <c r="C564" s="9">
        <f>IFERROR(__xludf.DUMMYFUNCTION("""COMPUTED_VALUE"""),"CE SENADOR TEOTONIO VILELA")</f>
      </c>
      <c r="D564" s="10">
        <f>IFERROR(__xludf.DUMMYFUNCTION("""COMPUTED_VALUE"""),0.5738)</f>
      </c>
      <c r="E564" s="10">
        <f>IFERROR(__xludf.DUMMYFUNCTION("""COMPUTED_VALUE"""),0.2377)</f>
      </c>
      <c r="F564" s="10">
        <f>IFERROR(__xludf.DUMMYFUNCTION("""COMPUTED_VALUE"""),0.582)</f>
      </c>
      <c r="G564" s="10">
        <f>IFERROR(__xludf.DUMMYFUNCTION("""COMPUTED_VALUE"""),0.2857)</f>
      </c>
    </row>
    <row x14ac:dyDescent="0.25" r="565" customHeight="1" ht="15.75">
      <c r="A565" s="8">
        <f>IFERROR(__xludf.DUMMYFUNCTION("""COMPUTED_VALUE"""),25421.0)</f>
      </c>
      <c r="B565" s="9">
        <f>IFERROR(__xludf.DUMMYFUNCTION("""COMPUTED_VALUE"""),"METROPOLITANA VI")</f>
      </c>
      <c r="C565" s="9">
        <f>IFERROR(__xludf.DUMMYFUNCTION("""COMPUTED_VALUE"""),"CE SENOR ABRAVANEL")</f>
      </c>
      <c r="D565" s="10">
        <f>IFERROR(__xludf.DUMMYFUNCTION("""COMPUTED_VALUE"""),0.6466)</f>
      </c>
      <c r="E565" s="10">
        <f>IFERROR(__xludf.DUMMYFUNCTION("""COMPUTED_VALUE"""),0.2418)</f>
      </c>
      <c r="F565" s="10">
        <f>IFERROR(__xludf.DUMMYFUNCTION("""COMPUTED_VALUE"""),0.2843)</f>
      </c>
      <c r="G565" s="10">
        <f>IFERROR(__xludf.DUMMYFUNCTION("""COMPUTED_VALUE"""),0.2011)</f>
      </c>
    </row>
    <row x14ac:dyDescent="0.25" r="566" customHeight="1" ht="15.75">
      <c r="A566" s="8">
        <f>IFERROR(__xludf.DUMMYFUNCTION("""COMPUTED_VALUE"""),25422.0)</f>
      </c>
      <c r="B566" s="9">
        <f>IFERROR(__xludf.DUMMYFUNCTION("""COMPUTED_VALUE"""),"METROPOLITANA VI")</f>
      </c>
      <c r="C566" s="9">
        <f>IFERROR(__xludf.DUMMYFUNCTION("""COMPUTED_VALUE"""),"CE SOARES PEREIRA")</f>
      </c>
      <c r="D566" s="10">
        <f>IFERROR(__xludf.DUMMYFUNCTION("""COMPUTED_VALUE"""),0.6984)</f>
      </c>
      <c r="E566" s="10">
        <f>IFERROR(__xludf.DUMMYFUNCTION("""COMPUTED_VALUE"""),0.224)</f>
      </c>
      <c r="F566" s="10">
        <f>IFERROR(__xludf.DUMMYFUNCTION("""COMPUTED_VALUE"""),0.6164)</f>
      </c>
      <c r="G566" s="10">
        <f>IFERROR(__xludf.DUMMYFUNCTION("""COMPUTED_VALUE"""),0.2026)</f>
      </c>
    </row>
    <row x14ac:dyDescent="0.25" r="567" customHeight="1" ht="15.75">
      <c r="A567" s="8">
        <f>IFERROR(__xludf.DUMMYFUNCTION("""COMPUTED_VALUE"""),25423.0)</f>
      </c>
      <c r="B567" s="9">
        <f>IFERROR(__xludf.DUMMYFUNCTION("""COMPUTED_VALUE"""),"METROPOLITANA VI")</f>
      </c>
      <c r="C567" s="9">
        <f>IFERROR(__xludf.DUMMYFUNCTION("""COMPUTED_VALUE"""),"CE SOUZA AGUIAR")</f>
      </c>
      <c r="D567" s="10">
        <f>IFERROR(__xludf.DUMMYFUNCTION("""COMPUTED_VALUE"""),0.6522)</f>
      </c>
      <c r="E567" s="10">
        <f>IFERROR(__xludf.DUMMYFUNCTION("""COMPUTED_VALUE"""),0.2523)</f>
      </c>
      <c r="F567" s="10">
        <f>IFERROR(__xludf.DUMMYFUNCTION("""COMPUTED_VALUE"""),0.6008)</f>
      </c>
      <c r="G567" s="10">
        <f>IFERROR(__xludf.DUMMYFUNCTION("""COMPUTED_VALUE"""),0.2008)</f>
      </c>
    </row>
    <row x14ac:dyDescent="0.25" r="568" customHeight="1" ht="15.75">
      <c r="A568" s="8">
        <f>IFERROR(__xludf.DUMMYFUNCTION("""COMPUTED_VALUE"""),25424.0)</f>
      </c>
      <c r="B568" s="9">
        <f>IFERROR(__xludf.DUMMYFUNCTION("""COMPUTED_VALUE"""),"METROPOLITANA VI")</f>
      </c>
      <c r="C568" s="9">
        <f>IFERROR(__xludf.DUMMYFUNCTION("""COMPUTED_VALUE"""),"CE STELLA MATUTINA")</f>
      </c>
      <c r="D568" s="10">
        <f>IFERROR(__xludf.DUMMYFUNCTION("""COMPUTED_VALUE"""),0.7725)</f>
      </c>
      <c r="E568" s="10">
        <f>IFERROR(__xludf.DUMMYFUNCTION("""COMPUTED_VALUE"""),0.2407)</f>
      </c>
      <c r="F568" s="10">
        <f>IFERROR(__xludf.DUMMYFUNCTION("""COMPUTED_VALUE"""),0.5288)</f>
      </c>
      <c r="G568" s="10">
        <f>IFERROR(__xludf.DUMMYFUNCTION("""COMPUTED_VALUE"""),0.2066)</f>
      </c>
    </row>
    <row x14ac:dyDescent="0.25" r="569" customHeight="1" ht="15.75">
      <c r="A569" s="8">
        <f>IFERROR(__xludf.DUMMYFUNCTION("""COMPUTED_VALUE"""),25425.0)</f>
      </c>
      <c r="B569" s="9">
        <f>IFERROR(__xludf.DUMMYFUNCTION("""COMPUTED_VALUE"""),"METROPOLITANA VI")</f>
      </c>
      <c r="C569" s="9">
        <f>IFERROR(__xludf.DUMMYFUNCTION("""COMPUTED_VALUE"""),"CE TEOFILO MOREIRA DA COSTA")</f>
      </c>
      <c r="D569" s="10">
        <f>IFERROR(__xludf.DUMMYFUNCTION("""COMPUTED_VALUE"""),0.7577)</f>
      </c>
      <c r="E569" s="10">
        <f>IFERROR(__xludf.DUMMYFUNCTION("""COMPUTED_VALUE"""),0.2206)</f>
      </c>
      <c r="F569" s="10">
        <f>IFERROR(__xludf.DUMMYFUNCTION("""COMPUTED_VALUE"""),0.4802)</f>
      </c>
      <c r="G569" s="10">
        <f>IFERROR(__xludf.DUMMYFUNCTION("""COMPUTED_VALUE"""),0.1815)</f>
      </c>
    </row>
    <row x14ac:dyDescent="0.25" r="570" customHeight="1" ht="15.75">
      <c r="A570" s="8">
        <f>IFERROR(__xludf.DUMMYFUNCTION("""COMPUTED_VALUE"""),25426.0)</f>
      </c>
      <c r="B570" s="9">
        <f>IFERROR(__xludf.DUMMYFUNCTION("""COMPUTED_VALUE"""),"METROPOLITANA VI")</f>
      </c>
      <c r="C570" s="9">
        <f>IFERROR(__xludf.DUMMYFUNCTION("""COMPUTED_VALUE"""),"CE TOMAS ANTONIO GONZAGA")</f>
      </c>
      <c r="D570" s="10">
        <f>IFERROR(__xludf.DUMMYFUNCTION("""COMPUTED_VALUE"""),0.2903)</f>
      </c>
      <c r="E570" s="10">
        <f>IFERROR(__xludf.DUMMYFUNCTION("""COMPUTED_VALUE"""),0.0337)</f>
      </c>
      <c r="F570" s="10">
        <f>IFERROR(__xludf.DUMMYFUNCTION("""COMPUTED_VALUE"""),0.2838)</f>
      </c>
      <c r="G570" s="10">
        <f>IFERROR(__xludf.DUMMYFUNCTION("""COMPUTED_VALUE"""),0.1958)</f>
      </c>
    </row>
    <row x14ac:dyDescent="0.25" r="571" customHeight="1" ht="15.75">
      <c r="A571" s="8">
        <f>IFERROR(__xludf.DUMMYFUNCTION("""COMPUTED_VALUE"""),25427.0)</f>
      </c>
      <c r="B571" s="9">
        <f>IFERROR(__xludf.DUMMYFUNCTION("""COMPUTED_VALUE"""),"METROPOLITANA VI")</f>
      </c>
      <c r="C571" s="9">
        <f>IFERROR(__xludf.DUMMYFUNCTION("""COMPUTED_VALUE"""),"CE VICENTE JANNUZZI")</f>
      </c>
      <c r="D571" s="10">
        <f>IFERROR(__xludf.DUMMYFUNCTION("""COMPUTED_VALUE"""),0.8405)</f>
      </c>
      <c r="E571" s="10">
        <f>IFERROR(__xludf.DUMMYFUNCTION("""COMPUTED_VALUE"""),0.2235)</f>
      </c>
      <c r="F571" s="10">
        <f>IFERROR(__xludf.DUMMYFUNCTION("""COMPUTED_VALUE"""),0.6025)</f>
      </c>
      <c r="G571" s="10">
        <f>IFERROR(__xludf.DUMMYFUNCTION("""COMPUTED_VALUE"""),0.203)</f>
      </c>
    </row>
    <row x14ac:dyDescent="0.25" r="572" customHeight="1" ht="15.75">
      <c r="A572" s="8">
        <f>IFERROR(__xludf.DUMMYFUNCTION("""COMPUTED_VALUE"""),25428.0)</f>
      </c>
      <c r="B572" s="9">
        <f>IFERROR(__xludf.DUMMYFUNCTION("""COMPUTED_VALUE"""),"METROPOLITANA VI")</f>
      </c>
      <c r="C572" s="9">
        <f>IFERROR(__xludf.DUMMYFUNCTION("""COMPUTED_VALUE"""),"CE VICTOR HUGO")</f>
      </c>
      <c r="D572" s="10">
        <f>IFERROR(__xludf.DUMMYFUNCTION("""COMPUTED_VALUE"""),0.6474)</f>
      </c>
      <c r="E572" s="10">
        <f>IFERROR(__xludf.DUMMYFUNCTION("""COMPUTED_VALUE"""),0.2215)</f>
      </c>
      <c r="F572" s="10">
        <f>IFERROR(__xludf.DUMMYFUNCTION("""COMPUTED_VALUE"""),0.4348)</f>
      </c>
      <c r="G572" s="10">
        <f>IFERROR(__xludf.DUMMYFUNCTION("""COMPUTED_VALUE"""),0.2026)</f>
      </c>
    </row>
    <row x14ac:dyDescent="0.25" r="573" customHeight="1" ht="15.75">
      <c r="A573" s="8">
        <f>IFERROR(__xludf.DUMMYFUNCTION("""COMPUTED_VALUE"""),25433.0)</f>
      </c>
      <c r="B573" s="9">
        <f>IFERROR(__xludf.DUMMYFUNCTION("""COMPUTED_VALUE"""),"METROPOLITANA VI")</f>
      </c>
      <c r="C573" s="9">
        <f>IFERROR(__xludf.DUMMYFUNCTION("""COMPUTED_VALUE"""),"CIEP 205 FREI AGOSTINHO FINCIAS")</f>
      </c>
      <c r="D573" s="10">
        <f>IFERROR(__xludf.DUMMYFUNCTION("""COMPUTED_VALUE"""),0.5377)</f>
      </c>
      <c r="E573" s="10">
        <f>IFERROR(__xludf.DUMMYFUNCTION("""COMPUTED_VALUE"""),0.2215)</f>
      </c>
      <c r="F573" s="10">
        <f>IFERROR(__xludf.DUMMYFUNCTION("""COMPUTED_VALUE"""),0.475)</f>
      </c>
      <c r="G573" s="10">
        <f>IFERROR(__xludf.DUMMYFUNCTION("""COMPUTED_VALUE"""),0.1981)</f>
      </c>
    </row>
    <row x14ac:dyDescent="0.25" r="574" customHeight="1" ht="15.75">
      <c r="A574" s="8">
        <f>IFERROR(__xludf.DUMMYFUNCTION("""COMPUTED_VALUE"""),25434.0)</f>
      </c>
      <c r="B574" s="9">
        <f>IFERROR(__xludf.DUMMYFUNCTION("""COMPUTED_VALUE"""),"METROPOLITANA VI")</f>
      </c>
      <c r="C574" s="9">
        <f>IFERROR(__xludf.DUMMYFUNCTION("""COMPUTED_VALUE"""),"CIEP 241 NACAO MANGUEIRENSE GOVERNADOR LEONEL DE MOURA BRIZOLA")</f>
      </c>
      <c r="D574" s="10">
        <f>IFERROR(__xludf.DUMMYFUNCTION("""COMPUTED_VALUE"""),0.5777)</f>
      </c>
      <c r="E574" s="10">
        <f>IFERROR(__xludf.DUMMYFUNCTION("""COMPUTED_VALUE"""),0.2244)</f>
      </c>
      <c r="F574" s="10">
        <f>IFERROR(__xludf.DUMMYFUNCTION("""COMPUTED_VALUE"""),0.1092)</f>
      </c>
      <c r="G574" s="10">
        <f>IFERROR(__xludf.DUMMYFUNCTION("""COMPUTED_VALUE"""),0.1963)</f>
      </c>
    </row>
    <row x14ac:dyDescent="0.25" r="575" customHeight="1" ht="15.75">
      <c r="A575" s="8">
        <f>IFERROR(__xludf.DUMMYFUNCTION("""COMPUTED_VALUE"""),25435.0)</f>
      </c>
      <c r="B575" s="9">
        <f>IFERROR(__xludf.DUMMYFUNCTION("""COMPUTED_VALUE"""),"METROPOLITANA VI")</f>
      </c>
      <c r="C575" s="9">
        <f>IFERROR(__xludf.DUMMYFUNCTION("""COMPUTED_VALUE"""),"CIEP 303 GP AYRTON SENNA")</f>
      </c>
      <c r="D575" s="10">
        <f>IFERROR(__xludf.DUMMYFUNCTION("""COMPUTED_VALUE"""),0.5856)</f>
      </c>
      <c r="E575" s="10">
        <f>IFERROR(__xludf.DUMMYFUNCTION("""COMPUTED_VALUE"""),0.2267)</f>
      </c>
      <c r="F575" s="10">
        <f>IFERROR(__xludf.DUMMYFUNCTION("""COMPUTED_VALUE"""),0.4787)</f>
      </c>
      <c r="G575" s="10">
        <f>IFERROR(__xludf.DUMMYFUNCTION("""COMPUTED_VALUE"""),0.1989)</f>
      </c>
    </row>
    <row x14ac:dyDescent="0.25" r="576" customHeight="1" ht="15.75">
      <c r="A576" s="8">
        <f>IFERROR(__xludf.DUMMYFUNCTION("""COMPUTED_VALUE"""),25436.0)</f>
      </c>
      <c r="B576" s="9">
        <f>IFERROR(__xludf.DUMMYFUNCTION("""COMPUTED_VALUE"""),"METROPOLITANA VI")</f>
      </c>
      <c r="C576" s="9">
        <f>IFERROR(__xludf.DUMMYFUNCTION("""COMPUTED_VALUE"""),"CIEP 321 DOUTOR ULYSSES GUIMARAES")</f>
      </c>
      <c r="D576" s="10">
        <f>IFERROR(__xludf.DUMMYFUNCTION("""COMPUTED_VALUE"""),0.7553)</f>
      </c>
      <c r="E576" s="10">
        <f>IFERROR(__xludf.DUMMYFUNCTION("""COMPUTED_VALUE"""),0.2352)</f>
      </c>
      <c r="F576" s="10">
        <f>IFERROR(__xludf.DUMMYFUNCTION("""COMPUTED_VALUE"""),0.5386)</f>
      </c>
      <c r="G576" s="10">
        <f>IFERROR(__xludf.DUMMYFUNCTION("""COMPUTED_VALUE"""),0.2045)</f>
      </c>
    </row>
    <row x14ac:dyDescent="0.25" r="577" customHeight="1" ht="15.75">
      <c r="A577" s="8">
        <f>IFERROR(__xludf.DUMMYFUNCTION("""COMPUTED_VALUE"""),25894.0)</f>
      </c>
      <c r="B577" s="9">
        <f>IFERROR(__xludf.DUMMYFUNCTION("""COMPUTED_VALUE"""),"METROPOLITANA VII")</f>
      </c>
      <c r="C577" s="9">
        <f>IFERROR(__xludf.DUMMYFUNCTION("""COMPUTED_VALUE"""),"CAIC 1003 DONA DARCY VARGAS")</f>
      </c>
      <c r="D577" s="10">
        <f>IFERROR(__xludf.DUMMYFUNCTION("""COMPUTED_VALUE"""),0.7195)</f>
      </c>
      <c r="E577" s="10">
        <f>IFERROR(__xludf.DUMMYFUNCTION("""COMPUTED_VALUE"""),0.2277)</f>
      </c>
      <c r="F577" s="10">
        <f>IFERROR(__xludf.DUMMYFUNCTION("""COMPUTED_VALUE"""),0.5915)</f>
      </c>
      <c r="G577" s="10">
        <f>IFERROR(__xludf.DUMMYFUNCTION("""COMPUTED_VALUE"""),0.2142)</f>
      </c>
    </row>
    <row x14ac:dyDescent="0.25" r="578" customHeight="1" ht="15.75">
      <c r="A578" s="8">
        <f>IFERROR(__xludf.DUMMYFUNCTION("""COMPUTED_VALUE"""),25956.0)</f>
      </c>
      <c r="B578" s="9">
        <f>IFERROR(__xludf.DUMMYFUNCTION("""COMPUTED_VALUE"""),"METROPOLITANA VII")</f>
      </c>
      <c r="C578" s="9">
        <f>IFERROR(__xludf.DUMMYFUNCTION("""COMPUTED_VALUE"""),"CE AGOSTINHO PORTO")</f>
      </c>
      <c r="D578" s="10">
        <f>IFERROR(__xludf.DUMMYFUNCTION("""COMPUTED_VALUE"""),0.6346)</f>
      </c>
      <c r="E578" s="10">
        <f>IFERROR(__xludf.DUMMYFUNCTION("""COMPUTED_VALUE"""),0.2115)</f>
      </c>
      <c r="F578" s="10">
        <f>IFERROR(__xludf.DUMMYFUNCTION("""COMPUTED_VALUE"""),0.5174)</f>
      </c>
      <c r="G578" s="10">
        <f>IFERROR(__xludf.DUMMYFUNCTION("""COMPUTED_VALUE"""),0.2049)</f>
      </c>
    </row>
    <row x14ac:dyDescent="0.25" r="579" customHeight="1" ht="15.75">
      <c r="A579" s="8">
        <f>IFERROR(__xludf.DUMMYFUNCTION("""COMPUTED_VALUE"""),25895.0)</f>
      </c>
      <c r="B579" s="9">
        <f>IFERROR(__xludf.DUMMYFUNCTION("""COMPUTED_VALUE"""),"METROPOLITANA VII")</f>
      </c>
      <c r="C579" s="9">
        <f>IFERROR(__xludf.DUMMYFUNCTION("""COMPUTED_VALUE"""),"CE ALICE PACCINI GELIO")</f>
      </c>
      <c r="D579" s="10">
        <f>IFERROR(__xludf.DUMMYFUNCTION("""COMPUTED_VALUE"""),0.8616)</f>
      </c>
      <c r="E579" s="10">
        <f>IFERROR(__xludf.DUMMYFUNCTION("""COMPUTED_VALUE"""),0.2684)</f>
      </c>
      <c r="F579" s="10">
        <f>IFERROR(__xludf.DUMMYFUNCTION("""COMPUTED_VALUE"""),0.8259)</f>
      </c>
      <c r="G579" s="10">
        <f>IFERROR(__xludf.DUMMYFUNCTION("""COMPUTED_VALUE"""),0.221)</f>
      </c>
    </row>
    <row x14ac:dyDescent="0.25" r="580" customHeight="1" ht="15.75">
      <c r="A580" s="8">
        <f>IFERROR(__xludf.DUMMYFUNCTION("""COMPUTED_VALUE"""),25933.0)</f>
      </c>
      <c r="B580" s="9">
        <f>IFERROR(__xludf.DUMMYFUNCTION("""COMPUTED_VALUE"""),"METROPOLITANA VII")</f>
      </c>
      <c r="C580" s="9">
        <f>IFERROR(__xludf.DUMMYFUNCTION("""COMPUTED_VALUE"""),"CE ANA NERI")</f>
      </c>
      <c r="D580" s="10">
        <f>IFERROR(__xludf.DUMMYFUNCTION("""COMPUTED_VALUE"""),0.5826)</f>
      </c>
      <c r="E580" s="10">
        <f>IFERROR(__xludf.DUMMYFUNCTION("""COMPUTED_VALUE"""),0.2124)</f>
      </c>
      <c r="F580" s="10">
        <f>IFERROR(__xludf.DUMMYFUNCTION("""COMPUTED_VALUE"""),0.5285)</f>
      </c>
      <c r="G580" s="10">
        <f>IFERROR(__xludf.DUMMYFUNCTION("""COMPUTED_VALUE"""),0.2144)</f>
      </c>
    </row>
    <row x14ac:dyDescent="0.25" r="581" customHeight="1" ht="15.75">
      <c r="A581" s="8">
        <f>IFERROR(__xludf.DUMMYFUNCTION("""COMPUTED_VALUE"""),25944.0)</f>
      </c>
      <c r="B581" s="9">
        <f>IFERROR(__xludf.DUMMYFUNCTION("""COMPUTED_VALUE"""),"METROPOLITANA VII")</f>
      </c>
      <c r="C581" s="9">
        <f>IFERROR(__xludf.DUMMYFUNCTION("""COMPUTED_VALUE"""),"CE ANTONIO FIGUEIRA DE ALMEIDA")</f>
      </c>
      <c r="D581" s="10">
        <f>IFERROR(__xludf.DUMMYFUNCTION("""COMPUTED_VALUE"""),0.7355)</f>
      </c>
      <c r="E581" s="10">
        <f>IFERROR(__xludf.DUMMYFUNCTION("""COMPUTED_VALUE"""),0.2308)</f>
      </c>
      <c r="F581" s="10">
        <f>IFERROR(__xludf.DUMMYFUNCTION("""COMPUTED_VALUE"""),0.4584)</f>
      </c>
      <c r="G581" s="10">
        <f>IFERROR(__xludf.DUMMYFUNCTION("""COMPUTED_VALUE"""),0.2046)</f>
      </c>
    </row>
    <row x14ac:dyDescent="0.25" r="582" customHeight="1" ht="15.75">
      <c r="A582" s="8">
        <f>IFERROR(__xludf.DUMMYFUNCTION("""COMPUTED_VALUE"""),25957.0)</f>
      </c>
      <c r="B582" s="9">
        <f>IFERROR(__xludf.DUMMYFUNCTION("""COMPUTED_VALUE"""),"METROPOLITANA VII")</f>
      </c>
      <c r="C582" s="9">
        <f>IFERROR(__xludf.DUMMYFUNCTION("""COMPUTED_VALUE"""),"CE ANTONIO GONCALVES")</f>
      </c>
      <c r="D582" s="10">
        <f>IFERROR(__xludf.DUMMYFUNCTION("""COMPUTED_VALUE"""),0.8438)</f>
      </c>
      <c r="E582" s="10">
        <f>IFERROR(__xludf.DUMMYFUNCTION("""COMPUTED_VALUE"""),0.2256)</f>
      </c>
      <c r="F582" s="10">
        <f>IFERROR(__xludf.DUMMYFUNCTION("""COMPUTED_VALUE"""),0.6809)</f>
      </c>
      <c r="G582" s="10">
        <f>IFERROR(__xludf.DUMMYFUNCTION("""COMPUTED_VALUE"""),0.202)</f>
      </c>
    </row>
    <row x14ac:dyDescent="0.25" r="583" customHeight="1" ht="15.75">
      <c r="A583" s="8">
        <f>IFERROR(__xludf.DUMMYFUNCTION("""COMPUTED_VALUE"""),25945.0)</f>
      </c>
      <c r="B583" s="9">
        <f>IFERROR(__xludf.DUMMYFUNCTION("""COMPUTED_VALUE"""),"METROPOLITANA VII")</f>
      </c>
      <c r="C583" s="9">
        <f>IFERROR(__xludf.DUMMYFUNCTION("""COMPUTED_VALUE"""),"CE AYDANO DE ALMEIDA")</f>
      </c>
      <c r="D583" s="10">
        <f>IFERROR(__xludf.DUMMYFUNCTION("""COMPUTED_VALUE"""),0.721)</f>
      </c>
      <c r="E583" s="10">
        <f>IFERROR(__xludf.DUMMYFUNCTION("""COMPUTED_VALUE"""),0.2399)</f>
      </c>
      <c r="F583" s="10">
        <f>IFERROR(__xludf.DUMMYFUNCTION("""COMPUTED_VALUE"""),0.5064)</f>
      </c>
      <c r="G583" s="10">
        <f>IFERROR(__xludf.DUMMYFUNCTION("""COMPUTED_VALUE"""),0.2143)</f>
      </c>
    </row>
    <row x14ac:dyDescent="0.25" r="584" customHeight="1" ht="15.75">
      <c r="A584" s="8">
        <f>IFERROR(__xludf.DUMMYFUNCTION("""COMPUTED_VALUE"""),25896.0)</f>
      </c>
      <c r="B584" s="9">
        <f>IFERROR(__xludf.DUMMYFUNCTION("""COMPUTED_VALUE"""),"METROPOLITANA VII")</f>
      </c>
      <c r="C584" s="9">
        <f>IFERROR(__xludf.DUMMYFUNCTION("""COMPUTED_VALUE"""),"CE BAIRRO JARDIM AMERICA")</f>
      </c>
      <c r="D584" s="10">
        <f>IFERROR(__xludf.DUMMYFUNCTION("""COMPUTED_VALUE"""),0.7179)</f>
      </c>
      <c r="E584" s="10">
        <f>IFERROR(__xludf.DUMMYFUNCTION("""COMPUTED_VALUE"""),0.2252)</f>
      </c>
      <c r="F584" s="10">
        <f>IFERROR(__xludf.DUMMYFUNCTION("""COMPUTED_VALUE"""),0.4922)</f>
      </c>
      <c r="G584" s="10">
        <f>IFERROR(__xludf.DUMMYFUNCTION("""COMPUTED_VALUE"""),0.1971)</f>
      </c>
    </row>
    <row x14ac:dyDescent="0.25" r="585" customHeight="1" ht="15.75">
      <c r="A585" s="8">
        <f>IFERROR(__xludf.DUMMYFUNCTION("""COMPUTED_VALUE"""),25897.0)</f>
      </c>
      <c r="B585" s="9">
        <f>IFERROR(__xludf.DUMMYFUNCTION("""COMPUTED_VALUE"""),"METROPOLITANA VII")</f>
      </c>
      <c r="C585" s="9">
        <f>IFERROR(__xludf.DUMMYFUNCTION("""COMPUTED_VALUE"""),"CE BAIRRO NOVA AURORA")</f>
      </c>
      <c r="D585" s="10">
        <f>IFERROR(__xludf.DUMMYFUNCTION("""COMPUTED_VALUE"""),0.7782)</f>
      </c>
      <c r="E585" s="10">
        <f>IFERROR(__xludf.DUMMYFUNCTION("""COMPUTED_VALUE"""),0.2337)</f>
      </c>
      <c r="F585" s="10">
        <f>IFERROR(__xludf.DUMMYFUNCTION("""COMPUTED_VALUE"""),0.754)</f>
      </c>
      <c r="G585" s="10">
        <f>IFERROR(__xludf.DUMMYFUNCTION("""COMPUTED_VALUE"""),0.2097)</f>
      </c>
    </row>
    <row x14ac:dyDescent="0.25" r="586" customHeight="1" ht="15.75">
      <c r="A586" s="8">
        <f>IFERROR(__xludf.DUMMYFUNCTION("""COMPUTED_VALUE"""),25946.0)</f>
      </c>
      <c r="B586" s="9">
        <f>IFERROR(__xludf.DUMMYFUNCTION("""COMPUTED_VALUE"""),"METROPOLITANA VII")</f>
      </c>
      <c r="C586" s="9">
        <f>IFERROR(__xludf.DUMMYFUNCTION("""COMPUTED_VALUE"""),"CE BERTHA D ALESSANDRO")</f>
      </c>
      <c r="D586" s="10">
        <f>IFERROR(__xludf.DUMMYFUNCTION("""COMPUTED_VALUE"""),0.6091)</f>
      </c>
      <c r="E586" s="10">
        <f>IFERROR(__xludf.DUMMYFUNCTION("""COMPUTED_VALUE"""),0.2173)</f>
      </c>
      <c r="F586" s="10">
        <f>IFERROR(__xludf.DUMMYFUNCTION("""COMPUTED_VALUE"""),0.6082)</f>
      </c>
      <c r="G586" s="10">
        <f>IFERROR(__xludf.DUMMYFUNCTION("""COMPUTED_VALUE"""),0.1992)</f>
      </c>
    </row>
    <row x14ac:dyDescent="0.25" r="587" customHeight="1" ht="15.75">
      <c r="A587" s="8">
        <f>IFERROR(__xludf.DUMMYFUNCTION("""COMPUTED_VALUE"""),25898.0)</f>
      </c>
      <c r="B587" s="9">
        <f>IFERROR(__xludf.DUMMYFUNCTION("""COMPUTED_VALUE"""),"METROPOLITANA VII")</f>
      </c>
      <c r="C587" s="9">
        <f>IFERROR(__xludf.DUMMYFUNCTION("""COMPUTED_VALUE"""),"CE BOM PASTOR")</f>
      </c>
      <c r="D587" s="10">
        <f>IFERROR(__xludf.DUMMYFUNCTION("""COMPUTED_VALUE"""),0.8125)</f>
      </c>
      <c r="E587" s="10">
        <f>IFERROR(__xludf.DUMMYFUNCTION("""COMPUTED_VALUE"""),0.2274)</f>
      </c>
      <c r="F587" s="10">
        <f>IFERROR(__xludf.DUMMYFUNCTION("""COMPUTED_VALUE"""),0.7266)</f>
      </c>
      <c r="G587" s="10">
        <f>IFERROR(__xludf.DUMMYFUNCTION("""COMPUTED_VALUE"""),0.1966)</f>
      </c>
    </row>
    <row x14ac:dyDescent="0.25" r="588" customHeight="1" ht="15.75">
      <c r="A588" s="8">
        <f>IFERROR(__xludf.DUMMYFUNCTION("""COMPUTED_VALUE"""),25899.0)</f>
      </c>
      <c r="B588" s="9">
        <f>IFERROR(__xludf.DUMMYFUNCTION("""COMPUTED_VALUE"""),"METROPOLITANA VII")</f>
      </c>
      <c r="C588" s="9">
        <f>IFERROR(__xludf.DUMMYFUNCTION("""COMPUTED_VALUE"""),"CE BRANDAO MONTEIRO")</f>
      </c>
      <c r="D588" s="10">
        <f>IFERROR(__xludf.DUMMYFUNCTION("""COMPUTED_VALUE"""),0.5749)</f>
      </c>
      <c r="E588" s="10">
        <f>IFERROR(__xludf.DUMMYFUNCTION("""COMPUTED_VALUE"""),0.2064)</f>
      </c>
      <c r="F588" s="10">
        <f>IFERROR(__xludf.DUMMYFUNCTION("""COMPUTED_VALUE"""),0.5415)</f>
      </c>
      <c r="G588" s="10">
        <f>IFERROR(__xludf.DUMMYFUNCTION("""COMPUTED_VALUE"""),0.1941)</f>
      </c>
    </row>
    <row x14ac:dyDescent="0.25" r="589" customHeight="1" ht="15.75">
      <c r="A589" s="8">
        <f>IFERROR(__xludf.DUMMYFUNCTION("""COMPUTED_VALUE"""),25934.0)</f>
      </c>
      <c r="B589" s="9">
        <f>IFERROR(__xludf.DUMMYFUNCTION("""COMPUTED_VALUE"""),"METROPOLITANA VII")</f>
      </c>
      <c r="C589" s="9">
        <f>IFERROR(__xludf.DUMMYFUNCTION("""COMPUTED_VALUE"""),"CE BRASIL")</f>
      </c>
      <c r="D589" s="10">
        <f>IFERROR(__xludf.DUMMYFUNCTION("""COMPUTED_VALUE"""),0.6932)</f>
      </c>
      <c r="E589" s="10">
        <f>IFERROR(__xludf.DUMMYFUNCTION("""COMPUTED_VALUE"""),0.2484)</f>
      </c>
      <c r="F589" s="10">
        <f>IFERROR(__xludf.DUMMYFUNCTION("""COMPUTED_VALUE"""),0.7692)</f>
      </c>
      <c r="G589" s="10">
        <f>IFERROR(__xludf.DUMMYFUNCTION("""COMPUTED_VALUE"""),0.21)</f>
      </c>
    </row>
    <row x14ac:dyDescent="0.25" r="590" customHeight="1" ht="15.75">
      <c r="A590" s="8">
        <f>IFERROR(__xludf.DUMMYFUNCTION("""COMPUTED_VALUE"""),25958.0)</f>
      </c>
      <c r="B590" s="9">
        <f>IFERROR(__xludf.DUMMYFUNCTION("""COMPUTED_VALUE"""),"METROPOLITANA VII")</f>
      </c>
      <c r="C590" s="9">
        <f>IFERROR(__xludf.DUMMYFUNCTION("""COMPUTED_VALUE"""),"CE CAETANO BELLONI")</f>
      </c>
      <c r="D590" s="10">
        <f>IFERROR(__xludf.DUMMYFUNCTION("""COMPUTED_VALUE"""),0.913)</f>
      </c>
      <c r="E590" s="10">
        <f>IFERROR(__xludf.DUMMYFUNCTION("""COMPUTED_VALUE"""),0.1167)</f>
      </c>
      <c r="F590" s="10">
        <f>IFERROR(__xludf.DUMMYFUNCTION("""COMPUTED_VALUE"""),0.5739)</f>
      </c>
      <c r="G590" s="10">
        <f>IFERROR(__xludf.DUMMYFUNCTION("""COMPUTED_VALUE"""),0.2006)</f>
      </c>
    </row>
    <row x14ac:dyDescent="0.25" r="591" customHeight="1" ht="15.75">
      <c r="A591" s="8">
        <f>IFERROR(__xludf.DUMMYFUNCTION("""COMPUTED_VALUE"""),25959.0)</f>
      </c>
      <c r="B591" s="9">
        <f>IFERROR(__xludf.DUMMYFUNCTION("""COMPUTED_VALUE"""),"METROPOLITANA VII")</f>
      </c>
      <c r="C591" s="9">
        <f>IFERROR(__xludf.DUMMYFUNCTION("""COMPUTED_VALUE"""),"CE CASEMIRO MEIRELLES")</f>
      </c>
      <c r="D591" s="10">
        <f>IFERROR(__xludf.DUMMYFUNCTION("""COMPUTED_VALUE"""),0.7586)</f>
      </c>
      <c r="E591" s="10">
        <f>IFERROR(__xludf.DUMMYFUNCTION("""COMPUTED_VALUE"""),0.2359)</f>
      </c>
      <c r="F591" s="10">
        <f>IFERROR(__xludf.DUMMYFUNCTION("""COMPUTED_VALUE"""),0.7234)</f>
      </c>
      <c r="G591" s="10">
        <f>IFERROR(__xludf.DUMMYFUNCTION("""COMPUTED_VALUE"""),0.2)</f>
      </c>
    </row>
    <row x14ac:dyDescent="0.25" r="592" customHeight="1" ht="15.75">
      <c r="A592" s="8">
        <f>IFERROR(__xludf.DUMMYFUNCTION("""COMPUTED_VALUE"""),25935.0)</f>
      </c>
      <c r="B592" s="9">
        <f>IFERROR(__xludf.DUMMYFUNCTION("""COMPUTED_VALUE"""),"METROPOLITANA VII")</f>
      </c>
      <c r="C592" s="9">
        <f>IFERROR(__xludf.DUMMYFUNCTION("""COMPUTED_VALUE"""),"CE DOM PEDRO I")</f>
      </c>
      <c r="D592" s="10">
        <f>IFERROR(__xludf.DUMMYFUNCTION("""COMPUTED_VALUE"""),0.6843)</f>
      </c>
      <c r="E592" s="10">
        <f>IFERROR(__xludf.DUMMYFUNCTION("""COMPUTED_VALUE"""),0.2208)</f>
      </c>
      <c r="F592" s="10">
        <f>IFERROR(__xludf.DUMMYFUNCTION("""COMPUTED_VALUE"""),0.6203)</f>
      </c>
      <c r="G592" s="10">
        <f>IFERROR(__xludf.DUMMYFUNCTION("""COMPUTED_VALUE"""),0.1931)</f>
      </c>
    </row>
    <row x14ac:dyDescent="0.25" r="593" customHeight="1" ht="15.75">
      <c r="A593" s="8">
        <f>IFERROR(__xludf.DUMMYFUNCTION("""COMPUTED_VALUE"""),25960.0)</f>
      </c>
      <c r="B593" s="9">
        <f>IFERROR(__xludf.DUMMYFUNCTION("""COMPUTED_VALUE"""),"METROPOLITANA VII")</f>
      </c>
      <c r="C593" s="9">
        <f>IFERROR(__xludf.DUMMYFUNCTION("""COMPUTED_VALUE"""),"CE DOUTOR ANIBAL VIRIATO DE AZEVEDO")</f>
      </c>
      <c r="D593" s="10">
        <f>IFERROR(__xludf.DUMMYFUNCTION("""COMPUTED_VALUE"""),0.9531)</f>
      </c>
      <c r="E593" s="10">
        <f>IFERROR(__xludf.DUMMYFUNCTION("""COMPUTED_VALUE"""),0.1947)</f>
      </c>
      <c r="F593" s="10">
        <f>IFERROR(__xludf.DUMMYFUNCTION("""COMPUTED_VALUE"""),0.7813)</f>
      </c>
      <c r="G593" s="10">
        <f>IFERROR(__xludf.DUMMYFUNCTION("""COMPUTED_VALUE"""),0.2093)</f>
      </c>
    </row>
    <row x14ac:dyDescent="0.25" r="594" customHeight="1" ht="15.75">
      <c r="A594" s="8">
        <f>IFERROR(__xludf.DUMMYFUNCTION("""COMPUTED_VALUE"""),25961.0)</f>
      </c>
      <c r="B594" s="9">
        <f>IFERROR(__xludf.DUMMYFUNCTION("""COMPUTED_VALUE"""),"METROPOLITANA VII")</f>
      </c>
      <c r="C594" s="9">
        <f>IFERROR(__xludf.DUMMYFUNCTION("""COMPUTED_VALUE"""),"CE DOUTOR OSCAR PIMENTA SOARES")</f>
      </c>
      <c r="D594" s="10">
        <f>IFERROR(__xludf.DUMMYFUNCTION("""COMPUTED_VALUE"""),0.7171)</f>
      </c>
      <c r="E594" s="10">
        <f>IFERROR(__xludf.DUMMYFUNCTION("""COMPUTED_VALUE"""),0.2146)</f>
      </c>
      <c r="F594" s="10">
        <f>IFERROR(__xludf.DUMMYFUNCTION("""COMPUTED_VALUE"""),0.5493)</f>
      </c>
      <c r="G594" s="10">
        <f>IFERROR(__xludf.DUMMYFUNCTION("""COMPUTED_VALUE"""),0.1947)</f>
      </c>
    </row>
    <row x14ac:dyDescent="0.25" r="595" customHeight="1" ht="15.75">
      <c r="A595" s="8">
        <f>IFERROR(__xludf.DUMMYFUNCTION("""COMPUTED_VALUE"""),25962.0)</f>
      </c>
      <c r="B595" s="9">
        <f>IFERROR(__xludf.DUMMYFUNCTION("""COMPUTED_VALUE"""),"METROPOLITANA VII")</f>
      </c>
      <c r="C595" s="9">
        <f>IFERROR(__xludf.DUMMYFUNCTION("""COMPUTED_VALUE"""),"CE DUQUE COSTA")</f>
      </c>
      <c r="D595" s="10">
        <f>IFERROR(__xludf.DUMMYFUNCTION("""COMPUTED_VALUE"""),0.6934)</f>
      </c>
      <c r="E595" s="10">
        <f>IFERROR(__xludf.DUMMYFUNCTION("""COMPUTED_VALUE"""),0.2535)</f>
      </c>
      <c r="F595" s="10">
        <f>IFERROR(__xludf.DUMMYFUNCTION("""COMPUTED_VALUE"""),0.455)</f>
      </c>
      <c r="G595" s="10">
        <f>IFERROR(__xludf.DUMMYFUNCTION("""COMPUTED_VALUE"""),0.2079)</f>
      </c>
    </row>
    <row x14ac:dyDescent="0.25" r="596" customHeight="1" ht="15.75">
      <c r="A596" s="8">
        <f>IFERROR(__xludf.DUMMYFUNCTION("""COMPUTED_VALUE"""),25963.0)</f>
      </c>
      <c r="B596" s="9">
        <f>IFERROR(__xludf.DUMMYFUNCTION("""COMPUTED_VALUE"""),"METROPOLITANA VII")</f>
      </c>
      <c r="C596" s="9">
        <f>IFERROR(__xludf.DUMMYFUNCTION("""COMPUTED_VALUE"""),"CE GOVERNADOR ROBERTO SILVEIRA")</f>
      </c>
      <c r="D596" s="10">
        <f>IFERROR(__xludf.DUMMYFUNCTION("""COMPUTED_VALUE"""),0.7744)</f>
      </c>
      <c r="E596" s="10">
        <f>IFERROR(__xludf.DUMMYFUNCTION("""COMPUTED_VALUE"""),0.23)</f>
      </c>
      <c r="F596" s="10">
        <f>IFERROR(__xludf.DUMMYFUNCTION("""COMPUTED_VALUE"""),0.7134)</f>
      </c>
      <c r="G596" s="10">
        <f>IFERROR(__xludf.DUMMYFUNCTION("""COMPUTED_VALUE"""),0.1951)</f>
      </c>
    </row>
    <row x14ac:dyDescent="0.25" r="597" customHeight="1" ht="15.75">
      <c r="A597" s="8">
        <f>IFERROR(__xludf.DUMMYFUNCTION("""COMPUTED_VALUE"""),25900.0)</f>
      </c>
      <c r="B597" s="9">
        <f>IFERROR(__xludf.DUMMYFUNCTION("""COMPUTED_VALUE"""),"METROPOLITANA VII")</f>
      </c>
      <c r="C597" s="9">
        <f>IFERROR(__xludf.DUMMYFUNCTION("""COMPUTED_VALUE"""),"CE GUSTAVO BARROSO")</f>
      </c>
      <c r="D597" s="10">
        <f>IFERROR(__xludf.DUMMYFUNCTION("""COMPUTED_VALUE"""),0.8352)</f>
      </c>
      <c r="E597" s="10">
        <f>IFERROR(__xludf.DUMMYFUNCTION("""COMPUTED_VALUE"""),0.2424)</f>
      </c>
      <c r="F597" s="10">
        <f>IFERROR(__xludf.DUMMYFUNCTION("""COMPUTED_VALUE"""),0.7912)</f>
      </c>
      <c r="G597" s="10">
        <f>IFERROR(__xludf.DUMMYFUNCTION("""COMPUTED_VALUE"""),0.1982)</f>
      </c>
    </row>
    <row x14ac:dyDescent="0.25" r="598" customHeight="1" ht="15.75">
      <c r="A598" s="8">
        <f>IFERROR(__xludf.DUMMYFUNCTION("""COMPUTED_VALUE"""),25964.0)</f>
      </c>
      <c r="B598" s="9">
        <f>IFERROR(__xludf.DUMMYFUNCTION("""COMPUTED_VALUE"""),"METROPOLITANA VII")</f>
      </c>
      <c r="C598" s="9">
        <f>IFERROR(__xludf.DUMMYFUNCTION("""COMPUTED_VALUE"""),"CE HILTON GAMA")</f>
      </c>
      <c r="D598" s="10">
        <f>IFERROR(__xludf.DUMMYFUNCTION("""COMPUTED_VALUE"""),0.7736)</f>
      </c>
      <c r="E598" s="10">
        <f>IFERROR(__xludf.DUMMYFUNCTION("""COMPUTED_VALUE"""),0.2331)</f>
      </c>
      <c r="F598" s="10">
        <f>IFERROR(__xludf.DUMMYFUNCTION("""COMPUTED_VALUE"""),0.6247)</f>
      </c>
      <c r="G598" s="10">
        <f>IFERROR(__xludf.DUMMYFUNCTION("""COMPUTED_VALUE"""),0.2103)</f>
      </c>
    </row>
    <row x14ac:dyDescent="0.25" r="599" customHeight="1" ht="15.75">
      <c r="A599" s="8">
        <f>IFERROR(__xludf.DUMMYFUNCTION("""COMPUTED_VALUE"""),25901.0)</f>
      </c>
      <c r="B599" s="9">
        <f>IFERROR(__xludf.DUMMYFUNCTION("""COMPUTED_VALUE"""),"METROPOLITANA VII")</f>
      </c>
      <c r="C599" s="9">
        <f>IFERROR(__xludf.DUMMYFUNCTION("""COMPUTED_VALUE"""),"CE JARDIM GLAUCIA")</f>
      </c>
      <c r="D599" s="10">
        <f>IFERROR(__xludf.DUMMYFUNCTION("""COMPUTED_VALUE"""),0.7738)</f>
      </c>
      <c r="E599" s="10">
        <f>IFERROR(__xludf.DUMMYFUNCTION("""COMPUTED_VALUE"""),0.2231)</f>
      </c>
      <c r="F599" s="10">
        <f>IFERROR(__xludf.DUMMYFUNCTION("""COMPUTED_VALUE"""),0.7262)</f>
      </c>
      <c r="G599" s="10">
        <f>IFERROR(__xludf.DUMMYFUNCTION("""COMPUTED_VALUE"""),0.2043)</f>
      </c>
    </row>
    <row x14ac:dyDescent="0.25" r="600" customHeight="1" ht="15.75">
      <c r="A600" s="8">
        <f>IFERROR(__xludf.DUMMYFUNCTION("""COMPUTED_VALUE"""),25902.0)</f>
      </c>
      <c r="B600" s="9">
        <f>IFERROR(__xludf.DUMMYFUNCTION("""COMPUTED_VALUE"""),"METROPOLITANA VII")</f>
      </c>
      <c r="C600" s="9">
        <f>IFERROR(__xludf.DUMMYFUNCTION("""COMPUTED_VALUE"""),"CE JARDIM IPE")</f>
      </c>
      <c r="D600" s="10">
        <f>IFERROR(__xludf.DUMMYFUNCTION("""COMPUTED_VALUE"""),0.8035)</f>
      </c>
      <c r="E600" s="10">
        <f>IFERROR(__xludf.DUMMYFUNCTION("""COMPUTED_VALUE"""),0.2372)</f>
      </c>
      <c r="F600" s="10">
        <f>IFERROR(__xludf.DUMMYFUNCTION("""COMPUTED_VALUE"""),0.655)</f>
      </c>
      <c r="G600" s="10">
        <f>IFERROR(__xludf.DUMMYFUNCTION("""COMPUTED_VALUE"""),0.1992)</f>
      </c>
    </row>
    <row x14ac:dyDescent="0.25" r="601" customHeight="1" ht="15.75">
      <c r="A601" s="8">
        <f>IFERROR(__xludf.DUMMYFUNCTION("""COMPUTED_VALUE"""),25965.0)</f>
      </c>
      <c r="B601" s="9">
        <f>IFERROR(__xludf.DUMMYFUNCTION("""COMPUTED_VALUE"""),"METROPOLITANA VII")</f>
      </c>
      <c r="C601" s="9">
        <f>IFERROR(__xludf.DUMMYFUNCTION("""COMPUTED_VALUE"""),"CE JARDIM MERITI")</f>
      </c>
      <c r="D601" s="10">
        <f>IFERROR(__xludf.DUMMYFUNCTION("""COMPUTED_VALUE"""),0.7126)</f>
      </c>
      <c r="E601" s="10">
        <f>IFERROR(__xludf.DUMMYFUNCTION("""COMPUTED_VALUE"""),0.2425)</f>
      </c>
      <c r="F601" s="10">
        <f>IFERROR(__xludf.DUMMYFUNCTION("""COMPUTED_VALUE"""),0.6125)</f>
      </c>
      <c r="G601" s="10">
        <f>IFERROR(__xludf.DUMMYFUNCTION("""COMPUTED_VALUE"""),0.205)</f>
      </c>
    </row>
    <row x14ac:dyDescent="0.25" r="602" customHeight="1" ht="15.75">
      <c r="A602" s="8">
        <f>IFERROR(__xludf.DUMMYFUNCTION("""COMPUTED_VALUE"""),25947.0)</f>
      </c>
      <c r="B602" s="9">
        <f>IFERROR(__xludf.DUMMYFUNCTION("""COMPUTED_VALUE"""),"METROPOLITANA VII")</f>
      </c>
      <c r="C602" s="9">
        <f>IFERROR(__xludf.DUMMYFUNCTION("""COMPUTED_VALUE"""),"CE JOÃO CARDOSO - BRASIL-ARGENTINA")</f>
      </c>
      <c r="D602" s="10">
        <f>IFERROR(__xludf.DUMMYFUNCTION("""COMPUTED_VALUE"""),0.6642)</f>
      </c>
      <c r="E602" s="10">
        <f>IFERROR(__xludf.DUMMYFUNCTION("""COMPUTED_VALUE"""),0.2151)</f>
      </c>
      <c r="F602" s="10">
        <f>IFERROR(__xludf.DUMMYFUNCTION("""COMPUTED_VALUE"""),0.3878)</f>
      </c>
      <c r="G602" s="10">
        <f>IFERROR(__xludf.DUMMYFUNCTION("""COMPUTED_VALUE"""),0.2043)</f>
      </c>
    </row>
    <row x14ac:dyDescent="0.25" r="603" customHeight="1" ht="15.75">
      <c r="A603" s="8">
        <f>IFERROR(__xludf.DUMMYFUNCTION("""COMPUTED_VALUE"""),25948.0)</f>
      </c>
      <c r="B603" s="9">
        <f>IFERROR(__xludf.DUMMYFUNCTION("""COMPUTED_VALUE"""),"METROPOLITANA VII")</f>
      </c>
      <c r="C603" s="9">
        <f>IFERROR(__xludf.DUMMYFUNCTION("""COMPUTED_VALUE"""),"CE JOAQUIM DE ALMEIDA FLORES")</f>
      </c>
      <c r="D603" s="10">
        <f>IFERROR(__xludf.DUMMYFUNCTION("""COMPUTED_VALUE"""),0.6533)</f>
      </c>
      <c r="E603" s="10">
        <f>IFERROR(__xludf.DUMMYFUNCTION("""COMPUTED_VALUE"""),0.2116)</f>
      </c>
      <c r="F603" s="10">
        <f>IFERROR(__xludf.DUMMYFUNCTION("""COMPUTED_VALUE"""),0.5742)</f>
      </c>
      <c r="G603" s="10">
        <f>IFERROR(__xludf.DUMMYFUNCTION("""COMPUTED_VALUE"""),0.2045)</f>
      </c>
    </row>
    <row x14ac:dyDescent="0.25" r="604" customHeight="1" ht="15.75">
      <c r="A604" s="8">
        <f>IFERROR(__xludf.DUMMYFUNCTION("""COMPUTED_VALUE"""),25966.0)</f>
      </c>
      <c r="B604" s="9">
        <f>IFERROR(__xludf.DUMMYFUNCTION("""COMPUTED_VALUE"""),"METROPOLITANA VII")</f>
      </c>
      <c r="C604" s="9">
        <f>IFERROR(__xludf.DUMMYFUNCTION("""COMPUTED_VALUE"""),"CE JOSÉ DO PATROCÍNIO")</f>
      </c>
      <c r="D604" s="10">
        <f>IFERROR(__xludf.DUMMYFUNCTION("""COMPUTED_VALUE"""),0.8084)</f>
      </c>
      <c r="E604" s="10">
        <f>IFERROR(__xludf.DUMMYFUNCTION("""COMPUTED_VALUE"""),0.2467)</f>
      </c>
      <c r="F604" s="10">
        <f>IFERROR(__xludf.DUMMYFUNCTION("""COMPUTED_VALUE"""),0.7027)</f>
      </c>
      <c r="G604" s="10">
        <f>IFERROR(__xludf.DUMMYFUNCTION("""COMPUTED_VALUE"""),0.2034)</f>
      </c>
    </row>
    <row x14ac:dyDescent="0.25" r="605" customHeight="1" ht="15.75">
      <c r="A605" s="8">
        <f>IFERROR(__xludf.DUMMYFUNCTION("""COMPUTED_VALUE"""),25903.0)</f>
      </c>
      <c r="B605" s="9">
        <f>IFERROR(__xludf.DUMMYFUNCTION("""COMPUTED_VALUE"""),"METROPOLITANA VII")</f>
      </c>
      <c r="C605" s="9">
        <f>IFERROR(__xludf.DUMMYFUNCTION("""COMPUTED_VALUE"""),"CE MARCILIO DIAS")</f>
      </c>
      <c r="D605" s="10">
        <f>IFERROR(__xludf.DUMMYFUNCTION("""COMPUTED_VALUE"""),0.75)</f>
      </c>
      <c r="E605" s="10">
        <f>IFERROR(__xludf.DUMMYFUNCTION("""COMPUTED_VALUE"""),0.2123)</f>
      </c>
      <c r="F605" s="10">
        <f>IFERROR(__xludf.DUMMYFUNCTION("""COMPUTED_VALUE"""),0.6515)</f>
      </c>
      <c r="G605" s="10">
        <f>IFERROR(__xludf.DUMMYFUNCTION("""COMPUTED_VALUE"""),0.1969)</f>
      </c>
    </row>
    <row x14ac:dyDescent="0.25" r="606" customHeight="1" ht="15.75">
      <c r="A606" s="8">
        <f>IFERROR(__xludf.DUMMYFUNCTION("""COMPUTED_VALUE"""),25949.0)</f>
      </c>
      <c r="B606" s="9">
        <f>IFERROR(__xludf.DUMMYFUNCTION("""COMPUTED_VALUE"""),"METROPOLITANA VII")</f>
      </c>
      <c r="C606" s="9">
        <f>IFERROR(__xludf.DUMMYFUNCTION("""COMPUTED_VALUE"""),"CE MARECHAL ZENOBIO DA COSTA")</f>
      </c>
      <c r="D606" s="10">
        <f>IFERROR(__xludf.DUMMYFUNCTION("""COMPUTED_VALUE"""),0.8648)</f>
      </c>
      <c r="E606" s="10">
        <f>IFERROR(__xludf.DUMMYFUNCTION("""COMPUTED_VALUE"""),0.24)</f>
      </c>
      <c r="F606" s="10">
        <f>IFERROR(__xludf.DUMMYFUNCTION("""COMPUTED_VALUE"""),0.6784)</f>
      </c>
      <c r="G606" s="10">
        <f>IFERROR(__xludf.DUMMYFUNCTION("""COMPUTED_VALUE"""),0.2175)</f>
      </c>
    </row>
    <row x14ac:dyDescent="0.25" r="607" customHeight="1" ht="15.75">
      <c r="A607" s="8">
        <f>IFERROR(__xludf.DUMMYFUNCTION("""COMPUTED_VALUE"""),25904.0)</f>
      </c>
      <c r="B607" s="9">
        <f>IFERROR(__xludf.DUMMYFUNCTION("""COMPUTED_VALUE"""),"METROPOLITANA VII")</f>
      </c>
      <c r="C607" s="9">
        <f>IFERROR(__xludf.DUMMYFUNCTION("""COMPUTED_VALUE"""),"CE NOVA ALVORADA")</f>
      </c>
      <c r="D607" s="10">
        <f>IFERROR(__xludf.DUMMYFUNCTION("""COMPUTED_VALUE"""),0.7895)</f>
      </c>
      <c r="E607" s="10">
        <f>IFERROR(__xludf.DUMMYFUNCTION("""COMPUTED_VALUE"""),0.2332)</f>
      </c>
      <c r="F607" s="10">
        <f>IFERROR(__xludf.DUMMYFUNCTION("""COMPUTED_VALUE"""),0.6959)</f>
      </c>
      <c r="G607" s="10">
        <f>IFERROR(__xludf.DUMMYFUNCTION("""COMPUTED_VALUE"""),0.2014)</f>
      </c>
    </row>
    <row x14ac:dyDescent="0.25" r="608" customHeight="1" ht="15.75">
      <c r="A608" s="8">
        <f>IFERROR(__xludf.DUMMYFUNCTION("""COMPUTED_VALUE"""),25950.0)</f>
      </c>
      <c r="B608" s="9">
        <f>IFERROR(__xludf.DUMMYFUNCTION("""COMPUTED_VALUE"""),"METROPOLITANA VII")</f>
      </c>
      <c r="C608" s="9">
        <f>IFERROR(__xludf.DUMMYFUNCTION("""COMPUTED_VALUE"""),"CE NUTA BARTHLET JAMES")</f>
      </c>
      <c r="D608" s="10">
        <f>IFERROR(__xludf.DUMMYFUNCTION("""COMPUTED_VALUE"""),0.724)</f>
      </c>
      <c r="E608" s="10">
        <f>IFERROR(__xludf.DUMMYFUNCTION("""COMPUTED_VALUE"""),0.2247)</f>
      </c>
      <c r="F608" s="10">
        <f>IFERROR(__xludf.DUMMYFUNCTION("""COMPUTED_VALUE"""),0.498)</f>
      </c>
      <c r="G608" s="10">
        <f>IFERROR(__xludf.DUMMYFUNCTION("""COMPUTED_VALUE"""),0.1991)</f>
      </c>
    </row>
    <row x14ac:dyDescent="0.25" r="609" customHeight="1" ht="15.75">
      <c r="A609" s="8">
        <f>IFERROR(__xludf.DUMMYFUNCTION("""COMPUTED_VALUE"""),25905.0)</f>
      </c>
      <c r="B609" s="9">
        <f>IFERROR(__xludf.DUMMYFUNCTION("""COMPUTED_VALUE"""),"METROPOLITANA VII")</f>
      </c>
      <c r="C609" s="9">
        <f>IFERROR(__xludf.DUMMYFUNCTION("""COMPUTED_VALUE"""),"CE PARQUE AMORIM")</f>
      </c>
      <c r="D609" s="10">
        <f>IFERROR(__xludf.DUMMYFUNCTION("""COMPUTED_VALUE"""),0.8108)</f>
      </c>
      <c r="E609" s="10">
        <f>IFERROR(__xludf.DUMMYFUNCTION("""COMPUTED_VALUE"""),0.2526)</f>
      </c>
      <c r="F609" s="10">
        <f>IFERROR(__xludf.DUMMYFUNCTION("""COMPUTED_VALUE"""),0.7477)</f>
      </c>
      <c r="G609" s="10">
        <f>IFERROR(__xludf.DUMMYFUNCTION("""COMPUTED_VALUE"""),0.219)</f>
      </c>
    </row>
    <row x14ac:dyDescent="0.25" r="610" customHeight="1" ht="15.75">
      <c r="A610" s="8">
        <f>IFERROR(__xludf.DUMMYFUNCTION("""COMPUTED_VALUE"""),25906.0)</f>
      </c>
      <c r="B610" s="9">
        <f>IFERROR(__xludf.DUMMYFUNCTION("""COMPUTED_VALUE"""),"METROPOLITANA VII")</f>
      </c>
      <c r="C610" s="9">
        <f>IFERROR(__xludf.DUMMYFUNCTION("""COMPUTED_VALUE"""),"CE PAULINO BARBOSA")</f>
      </c>
      <c r="D610" s="10">
        <f>IFERROR(__xludf.DUMMYFUNCTION("""COMPUTED_VALUE"""),0.7679)</f>
      </c>
      <c r="E610" s="10">
        <f>IFERROR(__xludf.DUMMYFUNCTION("""COMPUTED_VALUE"""),0.2344)</f>
      </c>
      <c r="F610" s="10">
        <f>IFERROR(__xludf.DUMMYFUNCTION("""COMPUTED_VALUE"""),0.6712)</f>
      </c>
      <c r="G610" s="10">
        <f>IFERROR(__xludf.DUMMYFUNCTION("""COMPUTED_VALUE"""),0.2032)</f>
      </c>
    </row>
    <row x14ac:dyDescent="0.25" r="611" customHeight="1" ht="15.75">
      <c r="A611" s="8">
        <f>IFERROR(__xludf.DUMMYFUNCTION("""COMPUTED_VALUE"""),25967.0)</f>
      </c>
      <c r="B611" s="9">
        <f>IFERROR(__xludf.DUMMYFUNCTION("""COMPUTED_VALUE"""),"METROPOLITANA VII")</f>
      </c>
      <c r="C611" s="9">
        <f>IFERROR(__xludf.DUMMYFUNCTION("""COMPUTED_VALUE"""),"CE PEDRO ALVARES CABRAL")</f>
      </c>
      <c r="D611" s="10">
        <f>IFERROR(__xludf.DUMMYFUNCTION("""COMPUTED_VALUE"""),0.6098)</f>
      </c>
      <c r="E611" s="10">
        <f>IFERROR(__xludf.DUMMYFUNCTION("""COMPUTED_VALUE"""),0.2484)</f>
      </c>
      <c r="F611" s="10">
        <f>IFERROR(__xludf.DUMMYFUNCTION("""COMPUTED_VALUE"""),0.533)</f>
      </c>
      <c r="G611" s="10">
        <f>IFERROR(__xludf.DUMMYFUNCTION("""COMPUTED_VALUE"""),0.2091)</f>
      </c>
    </row>
    <row x14ac:dyDescent="0.25" r="612" customHeight="1" ht="15.75">
      <c r="A612" s="8">
        <f>IFERROR(__xludf.DUMMYFUNCTION("""COMPUTED_VALUE"""),25936.0)</f>
      </c>
      <c r="B612" s="9">
        <f>IFERROR(__xludf.DUMMYFUNCTION("""COMPUTED_VALUE"""),"METROPOLITANA VII")</f>
      </c>
      <c r="C612" s="9">
        <f>IFERROR(__xludf.DUMMYFUNCTION("""COMPUTED_VALUE"""),"CE PIERRE PLANCHER")</f>
      </c>
      <c r="D612" s="10">
        <f>IFERROR(__xludf.DUMMYFUNCTION("""COMPUTED_VALUE"""),0.7062)</f>
      </c>
      <c r="E612" s="10">
        <f>IFERROR(__xludf.DUMMYFUNCTION("""COMPUTED_VALUE"""),0.231)</f>
      </c>
      <c r="F612" s="10">
        <f>IFERROR(__xludf.DUMMYFUNCTION("""COMPUTED_VALUE"""),0.6469)</f>
      </c>
      <c r="G612" s="10">
        <f>IFERROR(__xludf.DUMMYFUNCTION("""COMPUTED_VALUE"""),0.1985)</f>
      </c>
    </row>
    <row x14ac:dyDescent="0.25" r="613" customHeight="1" ht="15.75">
      <c r="A613" s="8">
        <f>IFERROR(__xludf.DUMMYFUNCTION("""COMPUTED_VALUE"""),25937.0)</f>
      </c>
      <c r="B613" s="9">
        <f>IFERROR(__xludf.DUMMYFUNCTION("""COMPUTED_VALUE"""),"METROPOLITANA VII")</f>
      </c>
      <c r="C613" s="9">
        <f>IFERROR(__xludf.DUMMYFUNCTION("""COMPUTED_VALUE"""),"CE POETA MARIO QUINTANA")</f>
      </c>
      <c r="D613" s="10">
        <f>IFERROR(__xludf.DUMMYFUNCTION("""COMPUTED_VALUE"""),0.7037)</f>
      </c>
      <c r="E613" s="10">
        <f>IFERROR(__xludf.DUMMYFUNCTION("""COMPUTED_VALUE"""),0.2225)</f>
      </c>
      <c r="F613" s="10">
        <f>IFERROR(__xludf.DUMMYFUNCTION("""COMPUTED_VALUE"""),0.5556)</f>
      </c>
      <c r="G613" s="10">
        <f>IFERROR(__xludf.DUMMYFUNCTION("""COMPUTED_VALUE"""),0.2173)</f>
      </c>
    </row>
    <row x14ac:dyDescent="0.25" r="614" customHeight="1" ht="15.75">
      <c r="A614" s="8">
        <f>IFERROR(__xludf.DUMMYFUNCTION("""COMPUTED_VALUE"""),25938.0)</f>
      </c>
      <c r="B614" s="9">
        <f>IFERROR(__xludf.DUMMYFUNCTION("""COMPUTED_VALUE"""),"METROPOLITANA VII")</f>
      </c>
      <c r="C614" s="9">
        <f>IFERROR(__xludf.DUMMYFUNCTION("""COMPUTED_VALUE"""),"CE PRESIDENTE CASTELO BRANCO")</f>
      </c>
      <c r="D614" s="10">
        <f>IFERROR(__xludf.DUMMYFUNCTION("""COMPUTED_VALUE"""),0.5265)</f>
      </c>
      <c r="E614" s="10">
        <f>IFERROR(__xludf.DUMMYFUNCTION("""COMPUTED_VALUE"""),0.2594)</f>
      </c>
      <c r="F614" s="10">
        <f>IFERROR(__xludf.DUMMYFUNCTION("""COMPUTED_VALUE"""),0.5029)</f>
      </c>
      <c r="G614" s="10">
        <f>IFERROR(__xludf.DUMMYFUNCTION("""COMPUTED_VALUE"""),0.2137)</f>
      </c>
    </row>
    <row x14ac:dyDescent="0.25" r="615" customHeight="1" ht="15.75">
      <c r="A615" s="8">
        <f>IFERROR(__xludf.DUMMYFUNCTION("""COMPUTED_VALUE"""),25907.0)</f>
      </c>
      <c r="B615" s="9">
        <f>IFERROR(__xludf.DUMMYFUNCTION("""COMPUTED_VALUE"""),"METROPOLITANA VII")</f>
      </c>
      <c r="C615" s="9">
        <f>IFERROR(__xludf.DUMMYFUNCTION("""COMPUTED_VALUE"""),"CE PRESIDENTE JOAO GOULART")</f>
      </c>
      <c r="D615" s="10">
        <f>IFERROR(__xludf.DUMMYFUNCTION("""COMPUTED_VALUE"""),0.792)</f>
      </c>
      <c r="E615" s="10">
        <f>IFERROR(__xludf.DUMMYFUNCTION("""COMPUTED_VALUE"""),0.2186)</f>
      </c>
      <c r="F615" s="10">
        <f>IFERROR(__xludf.DUMMYFUNCTION("""COMPUTED_VALUE"""),0.608)</f>
      </c>
      <c r="G615" s="10">
        <f>IFERROR(__xludf.DUMMYFUNCTION("""COMPUTED_VALUE"""),0.2087)</f>
      </c>
    </row>
    <row x14ac:dyDescent="0.25" r="616" customHeight="1" ht="15.75">
      <c r="A616" s="8">
        <f>IFERROR(__xludf.DUMMYFUNCTION("""COMPUTED_VALUE"""),25908.0)</f>
      </c>
      <c r="B616" s="9">
        <f>IFERROR(__xludf.DUMMYFUNCTION("""COMPUTED_VALUE"""),"METROPOLITANA VII")</f>
      </c>
      <c r="C616" s="9">
        <f>IFERROR(__xludf.DUMMYFUNCTION("""COMPUTED_VALUE"""),"CE PRESIDENTE KENNEDY")</f>
      </c>
      <c r="D616" s="10">
        <f>IFERROR(__xludf.DUMMYFUNCTION("""COMPUTED_VALUE"""),0.6955)</f>
      </c>
      <c r="E616" s="10">
        <f>IFERROR(__xludf.DUMMYFUNCTION("""COMPUTED_VALUE"""),0.2583)</f>
      </c>
      <c r="F616" s="10">
        <f>IFERROR(__xludf.DUMMYFUNCTION("""COMPUTED_VALUE"""),0.6507)</f>
      </c>
      <c r="G616" s="10">
        <f>IFERROR(__xludf.DUMMYFUNCTION("""COMPUTED_VALUE"""),0.2094)</f>
      </c>
    </row>
    <row x14ac:dyDescent="0.25" r="617" customHeight="1" ht="15.75">
      <c r="A617" s="8">
        <f>IFERROR(__xludf.DUMMYFUNCTION("""COMPUTED_VALUE"""),25909.0)</f>
      </c>
      <c r="B617" s="9">
        <f>IFERROR(__xludf.DUMMYFUNCTION("""COMPUTED_VALUE"""),"METROPOLITANA VII")</f>
      </c>
      <c r="C617" s="9">
        <f>IFERROR(__xludf.DUMMYFUNCTION("""COMPUTED_VALUE"""),"CE PROFESSOR ANDRE CAVALCANTE DE CARVALHO")</f>
      </c>
      <c r="D617" s="10">
        <f>IFERROR(__xludf.DUMMYFUNCTION("""COMPUTED_VALUE"""),0.7867)</f>
      </c>
      <c r="E617" s="10">
        <f>IFERROR(__xludf.DUMMYFUNCTION("""COMPUTED_VALUE"""),0.2583)</f>
      </c>
      <c r="F617" s="10">
        <f>IFERROR(__xludf.DUMMYFUNCTION("""COMPUTED_VALUE"""),0.6373)</f>
      </c>
      <c r="G617" s="10">
        <f>IFERROR(__xludf.DUMMYFUNCTION("""COMPUTED_VALUE"""),0.2194)</f>
      </c>
    </row>
    <row x14ac:dyDescent="0.25" r="618" customHeight="1" ht="15.75">
      <c r="A618" s="8">
        <f>IFERROR(__xludf.DUMMYFUNCTION("""COMPUTED_VALUE"""),25951.0)</f>
      </c>
      <c r="B618" s="9">
        <f>IFERROR(__xludf.DUMMYFUNCTION("""COMPUTED_VALUE"""),"METROPOLITANA VII")</f>
      </c>
      <c r="C618" s="9">
        <f>IFERROR(__xludf.DUMMYFUNCTION("""COMPUTED_VALUE"""),"CE PROFESSOR MÁRIO CAMPOS")</f>
      </c>
      <c r="D618" s="10">
        <f>IFERROR(__xludf.DUMMYFUNCTION("""COMPUTED_VALUE"""),0.7778)</f>
      </c>
      <c r="E618" s="10">
        <f>IFERROR(__xludf.DUMMYFUNCTION("""COMPUTED_VALUE"""),0.2095)</f>
      </c>
      <c r="F618" s="10">
        <f>IFERROR(__xludf.DUMMYFUNCTION("""COMPUTED_VALUE"""),0.4767)</f>
      </c>
      <c r="G618" s="10">
        <f>IFERROR(__xludf.DUMMYFUNCTION("""COMPUTED_VALUE"""),0.2108)</f>
      </c>
    </row>
    <row x14ac:dyDescent="0.25" r="619" customHeight="1" ht="15.75">
      <c r="A619" s="8">
        <f>IFERROR(__xludf.DUMMYFUNCTION("""COMPUTED_VALUE"""),25968.0)</f>
      </c>
      <c r="B619" s="9">
        <f>IFERROR(__xludf.DUMMYFUNCTION("""COMPUTED_VALUE"""),"METROPOLITANA VII")</f>
      </c>
      <c r="C619" s="9">
        <f>IFERROR(__xludf.DUMMYFUNCTION("""COMPUTED_VALUE"""),"CE PROFESSOR MURILO BRAGA")</f>
      </c>
      <c r="D619" s="10">
        <f>IFERROR(__xludf.DUMMYFUNCTION("""COMPUTED_VALUE"""),0.6774)</f>
      </c>
      <c r="E619" s="10">
        <f>IFERROR(__xludf.DUMMYFUNCTION("""COMPUTED_VALUE"""),0.2343)</f>
      </c>
      <c r="F619" s="10">
        <f>IFERROR(__xludf.DUMMYFUNCTION("""COMPUTED_VALUE"""),0.5352)</f>
      </c>
      <c r="G619" s="10">
        <f>IFERROR(__xludf.DUMMYFUNCTION("""COMPUTED_VALUE"""),0.2045)</f>
      </c>
    </row>
    <row x14ac:dyDescent="0.25" r="620" customHeight="1" ht="15.75">
      <c r="A620" s="8">
        <f>IFERROR(__xludf.DUMMYFUNCTION("""COMPUTED_VALUE"""),25952.0)</f>
      </c>
      <c r="B620" s="9">
        <f>IFERROR(__xludf.DUMMYFUNCTION("""COMPUTED_VALUE"""),"METROPOLITANA VII")</f>
      </c>
      <c r="C620" s="9">
        <f>IFERROR(__xludf.DUMMYFUNCTION("""COMPUTED_VALUE"""),"CE PROFESSOR UBIRATAN REIS BARBOSA")</f>
      </c>
      <c r="D620" s="10">
        <f>IFERROR(__xludf.DUMMYFUNCTION("""COMPUTED_VALUE"""),0.9224)</f>
      </c>
      <c r="E620" s="10">
        <f>IFERROR(__xludf.DUMMYFUNCTION("""COMPUTED_VALUE"""),0.1391)</f>
      </c>
      <c r="F620" s="10">
        <f>IFERROR(__xludf.DUMMYFUNCTION("""COMPUTED_VALUE"""),0.5276)</f>
      </c>
      <c r="G620" s="10">
        <f>IFERROR(__xludf.DUMMYFUNCTION("""COMPUTED_VALUE"""),0.1905)</f>
      </c>
    </row>
    <row x14ac:dyDescent="0.25" r="621" customHeight="1" ht="15.75">
      <c r="A621" s="8">
        <f>IFERROR(__xludf.DUMMYFUNCTION("""COMPUTED_VALUE"""),25969.0)</f>
      </c>
      <c r="B621" s="9">
        <f>IFERROR(__xludf.DUMMYFUNCTION("""COMPUTED_VALUE"""),"METROPOLITANA VII")</f>
      </c>
      <c r="C621" s="9">
        <f>IFERROR(__xludf.DUMMYFUNCTION("""COMPUTED_VALUE"""),"CE PROFESSORA ALZIRA DOS SANTOS DA SILVA")</f>
      </c>
      <c r="D621" s="10">
        <f>IFERROR(__xludf.DUMMYFUNCTION("""COMPUTED_VALUE"""),0.6715)</f>
      </c>
      <c r="E621" s="10">
        <f>IFERROR(__xludf.DUMMYFUNCTION("""COMPUTED_VALUE"""),0.2122)</f>
      </c>
      <c r="F621" s="10">
        <f>IFERROR(__xludf.DUMMYFUNCTION("""COMPUTED_VALUE"""),0.7051)</f>
      </c>
      <c r="G621" s="10">
        <f>IFERROR(__xludf.DUMMYFUNCTION("""COMPUTED_VALUE"""),0.1986)</f>
      </c>
    </row>
    <row x14ac:dyDescent="0.25" r="622" customHeight="1" ht="15.75">
      <c r="A622" s="8">
        <f>IFERROR(__xludf.DUMMYFUNCTION("""COMPUTED_VALUE"""),25970.0)</f>
      </c>
      <c r="B622" s="9">
        <f>IFERROR(__xludf.DUMMYFUNCTION("""COMPUTED_VALUE"""),"METROPOLITANA VII")</f>
      </c>
      <c r="C622" s="9">
        <f>IFERROR(__xludf.DUMMYFUNCTION("""COMPUTED_VALUE"""),"CE PROFESSORA FRANCISCA JEREMIAS DA SILVEIRA MENEZES")</f>
      </c>
      <c r="D622" s="10">
        <f>IFERROR(__xludf.DUMMYFUNCTION("""COMPUTED_VALUE"""),0.8239)</f>
      </c>
      <c r="E622" s="10">
        <f>IFERROR(__xludf.DUMMYFUNCTION("""COMPUTED_VALUE"""),0.2367)</f>
      </c>
      <c r="F622" s="10">
        <f>IFERROR(__xludf.DUMMYFUNCTION("""COMPUTED_VALUE"""),0.6635)</f>
      </c>
      <c r="G622" s="10">
        <f>IFERROR(__xludf.DUMMYFUNCTION("""COMPUTED_VALUE"""),0.2016)</f>
      </c>
    </row>
    <row x14ac:dyDescent="0.25" r="623" customHeight="1" ht="15.75">
      <c r="A623" s="8">
        <f>IFERROR(__xludf.DUMMYFUNCTION("""COMPUTED_VALUE"""),25971.0)</f>
      </c>
      <c r="B623" s="9">
        <f>IFERROR(__xludf.DUMMYFUNCTION("""COMPUTED_VALUE"""),"METROPOLITANA VII")</f>
      </c>
      <c r="C623" s="9">
        <f>IFERROR(__xludf.DUMMYFUNCTION("""COMPUTED_VALUE"""),"CE PROFESSORA REGINA CELIA DOS REIS OLIVEIRA")</f>
      </c>
      <c r="D623" s="10">
        <f>IFERROR(__xludf.DUMMYFUNCTION("""COMPUTED_VALUE"""),0.9268)</f>
      </c>
      <c r="E623" s="10">
        <f>IFERROR(__xludf.DUMMYFUNCTION("""COMPUTED_VALUE"""),0.1803)</f>
      </c>
      <c r="F623" s="10">
        <f>IFERROR(__xludf.DUMMYFUNCTION("""COMPUTED_VALUE"""),0.5935)</f>
      </c>
      <c r="G623" s="10">
        <f>IFERROR(__xludf.DUMMYFUNCTION("""COMPUTED_VALUE"""),0.2109)</f>
      </c>
    </row>
    <row x14ac:dyDescent="0.25" r="624" customHeight="1" ht="15.75">
      <c r="A624" s="8">
        <f>IFERROR(__xludf.DUMMYFUNCTION("""COMPUTED_VALUE"""),25972.0)</f>
      </c>
      <c r="B624" s="9">
        <f>IFERROR(__xludf.DUMMYFUNCTION("""COMPUTED_VALUE"""),"METROPOLITANA VII")</f>
      </c>
      <c r="C624" s="9">
        <f>IFERROR(__xludf.DUMMYFUNCTION("""COMPUTED_VALUE"""),"CE PROFESSORA SANDRA MARIA SANTOS DE SOUSA")</f>
      </c>
      <c r="D624" s="10">
        <f>IFERROR(__xludf.DUMMYFUNCTION("""COMPUTED_VALUE"""),0.7778)</f>
      </c>
      <c r="E624" s="10">
        <f>IFERROR(__xludf.DUMMYFUNCTION("""COMPUTED_VALUE"""),0.2553)</f>
      </c>
      <c r="F624" s="10">
        <f>IFERROR(__xludf.DUMMYFUNCTION("""COMPUTED_VALUE"""),0.8056)</f>
      </c>
      <c r="G624" s="10">
        <f>IFERROR(__xludf.DUMMYFUNCTION("""COMPUTED_VALUE"""),0.2001)</f>
      </c>
    </row>
    <row x14ac:dyDescent="0.25" r="625" customHeight="1" ht="15.75">
      <c r="A625" s="8">
        <f>IFERROR(__xludf.DUMMYFUNCTION("""COMPUTED_VALUE"""),25910.0)</f>
      </c>
      <c r="B625" s="9">
        <f>IFERROR(__xludf.DUMMYFUNCTION("""COMPUTED_VALUE"""),"METROPOLITANA VII")</f>
      </c>
      <c r="C625" s="9">
        <f>IFERROR(__xludf.DUMMYFUNCTION("""COMPUTED_VALUE"""),"CE RICARDA LEON")</f>
      </c>
      <c r="D625" s="10">
        <f>IFERROR(__xludf.DUMMYFUNCTION("""COMPUTED_VALUE"""),0.7)</f>
      </c>
      <c r="E625" s="10">
        <f>IFERROR(__xludf.DUMMYFUNCTION("""COMPUTED_VALUE"""),0.2371)</f>
      </c>
      <c r="F625" s="10">
        <f>IFERROR(__xludf.DUMMYFUNCTION("""COMPUTED_VALUE"""),0.436)</f>
      </c>
      <c r="G625" s="10">
        <f>IFERROR(__xludf.DUMMYFUNCTION("""COMPUTED_VALUE"""),0.2078)</f>
      </c>
    </row>
    <row x14ac:dyDescent="0.25" r="626" customHeight="1" ht="15.75">
      <c r="A626" s="8">
        <f>IFERROR(__xludf.DUMMYFUNCTION("""COMPUTED_VALUE"""),25973.0)</f>
      </c>
      <c r="B626" s="9">
        <f>IFERROR(__xludf.DUMMYFUNCTION("""COMPUTED_VALUE"""),"METROPOLITANA VII")</f>
      </c>
      <c r="C626" s="9">
        <f>IFERROR(__xludf.DUMMYFUNCTION("""COMPUTED_VALUE"""),"CE RUBENS FARRULLA")</f>
      </c>
      <c r="D626" s="10">
        <f>IFERROR(__xludf.DUMMYFUNCTION("""COMPUTED_VALUE"""),0.6565)</f>
      </c>
      <c r="E626" s="10">
        <f>IFERROR(__xludf.DUMMYFUNCTION("""COMPUTED_VALUE"""),0.2163)</f>
      </c>
      <c r="F626" s="10">
        <f>IFERROR(__xludf.DUMMYFUNCTION("""COMPUTED_VALUE"""),0.6031)</f>
      </c>
      <c r="G626" s="10">
        <f>IFERROR(__xludf.DUMMYFUNCTION("""COMPUTED_VALUE"""),0.197)</f>
      </c>
    </row>
    <row x14ac:dyDescent="0.25" r="627" customHeight="1" ht="15.75">
      <c r="A627" s="8">
        <f>IFERROR(__xludf.DUMMYFUNCTION("""COMPUTED_VALUE"""),25911.0)</f>
      </c>
      <c r="B627" s="9">
        <f>IFERROR(__xludf.DUMMYFUNCTION("""COMPUTED_VALUE"""),"METROPOLITANA VII")</f>
      </c>
      <c r="C627" s="9">
        <f>IFERROR(__xludf.DUMMYFUNCTION("""COMPUTED_VALUE"""),"CE SANTA TEREZA")</f>
      </c>
      <c r="D627" s="10">
        <f>IFERROR(__xludf.DUMMYFUNCTION("""COMPUTED_VALUE"""),0.871)</f>
      </c>
      <c r="E627" s="10">
        <f>IFERROR(__xludf.DUMMYFUNCTION("""COMPUTED_VALUE"""),0.2421)</f>
      </c>
      <c r="F627" s="10">
        <f>IFERROR(__xludf.DUMMYFUNCTION("""COMPUTED_VALUE"""),0.5484)</f>
      </c>
      <c r="G627" s="10">
        <f>IFERROR(__xludf.DUMMYFUNCTION("""COMPUTED_VALUE"""),0.2136)</f>
      </c>
    </row>
    <row x14ac:dyDescent="0.25" r="628" customHeight="1" ht="15.75">
      <c r="A628" s="8">
        <f>IFERROR(__xludf.DUMMYFUNCTION("""COMPUTED_VALUE"""),25912.0)</f>
      </c>
      <c r="B628" s="9">
        <f>IFERROR(__xludf.DUMMYFUNCTION("""COMPUTED_VALUE"""),"METROPOLITANA VII")</f>
      </c>
      <c r="C628" s="9">
        <f>IFERROR(__xludf.DUMMYFUNCTION("""COMPUTED_VALUE"""),"CE SAO BERNARDO")</f>
      </c>
      <c r="D628" s="10">
        <f>IFERROR(__xludf.DUMMYFUNCTION("""COMPUTED_VALUE"""),0.6676)</f>
      </c>
      <c r="E628" s="10">
        <f>IFERROR(__xludf.DUMMYFUNCTION("""COMPUTED_VALUE"""),0.2229)</f>
      </c>
      <c r="F628" s="10">
        <f>IFERROR(__xludf.DUMMYFUNCTION("""COMPUTED_VALUE"""),0.3838)</f>
      </c>
      <c r="G628" s="10">
        <f>IFERROR(__xludf.DUMMYFUNCTION("""COMPUTED_VALUE"""),0.1966)</f>
      </c>
    </row>
    <row x14ac:dyDescent="0.25" r="629" customHeight="1" ht="15.75">
      <c r="A629" s="8">
        <f>IFERROR(__xludf.DUMMYFUNCTION("""COMPUTED_VALUE"""),25913.0)</f>
      </c>
      <c r="B629" s="9">
        <f>IFERROR(__xludf.DUMMYFUNCTION("""COMPUTED_VALUE"""),"METROPOLITANA VII")</f>
      </c>
      <c r="C629" s="9">
        <f>IFERROR(__xludf.DUMMYFUNCTION("""COMPUTED_VALUE"""),"CE SARGENTO WOLFF")</f>
      </c>
      <c r="D629" s="10">
        <f>IFERROR(__xludf.DUMMYFUNCTION("""COMPUTED_VALUE"""),0.7708)</f>
      </c>
      <c r="E629" s="10">
        <f>IFERROR(__xludf.DUMMYFUNCTION("""COMPUTED_VALUE"""),0.2597)</f>
      </c>
      <c r="F629" s="10">
        <f>IFERROR(__xludf.DUMMYFUNCTION("""COMPUTED_VALUE"""),0.6067)</f>
      </c>
      <c r="G629" s="10">
        <f>IFERROR(__xludf.DUMMYFUNCTION("""COMPUTED_VALUE"""),0.195)</f>
      </c>
    </row>
    <row x14ac:dyDescent="0.25" r="630" customHeight="1" ht="15.75">
      <c r="A630" s="8">
        <f>IFERROR(__xludf.DUMMYFUNCTION("""COMPUTED_VALUE"""),25914.0)</f>
      </c>
      <c r="B630" s="9">
        <f>IFERROR(__xludf.DUMMYFUNCTION("""COMPUTED_VALUE"""),"METROPOLITANA VII")</f>
      </c>
      <c r="C630" s="9">
        <f>IFERROR(__xludf.DUMMYFUNCTION("""COMPUTED_VALUE"""),"CE TENENTE OTAVIO PINHEIRO - BRASIL-RUSSIA")</f>
      </c>
      <c r="D630" s="10">
        <f>IFERROR(__xludf.DUMMYFUNCTION("""COMPUTED_VALUE"""),0.5664)</f>
      </c>
      <c r="E630" s="10">
        <f>IFERROR(__xludf.DUMMYFUNCTION("""COMPUTED_VALUE"""),0.2734)</f>
      </c>
      <c r="F630" s="10">
        <f>IFERROR(__xludf.DUMMYFUNCTION("""COMPUTED_VALUE"""),0.6311)</f>
      </c>
      <c r="G630" s="10">
        <f>IFERROR(__xludf.DUMMYFUNCTION("""COMPUTED_VALUE"""),0.2037)</f>
      </c>
    </row>
    <row x14ac:dyDescent="0.25" r="631" customHeight="1" ht="15.75">
      <c r="A631" s="8">
        <f>IFERROR(__xludf.DUMMYFUNCTION("""COMPUTED_VALUE"""),25915.0)</f>
      </c>
      <c r="B631" s="9">
        <f>IFERROR(__xludf.DUMMYFUNCTION("""COMPUTED_VALUE"""),"METROPOLITANA VII")</f>
      </c>
      <c r="C631" s="9">
        <f>IFERROR(__xludf.DUMMYFUNCTION("""COMPUTED_VALUE"""),"CE VARZEA DA ALEGRIA")</f>
      </c>
      <c r="D631" s="10">
        <f>IFERROR(__xludf.DUMMYFUNCTION("""COMPUTED_VALUE"""),0.7781)</f>
      </c>
      <c r="E631" s="10">
        <f>IFERROR(__xludf.DUMMYFUNCTION("""COMPUTED_VALUE"""),0.2703)</f>
      </c>
      <c r="F631" s="10">
        <f>IFERROR(__xludf.DUMMYFUNCTION("""COMPUTED_VALUE"""),0.7653)</f>
      </c>
      <c r="G631" s="10">
        <f>IFERROR(__xludf.DUMMYFUNCTION("""COMPUTED_VALUE"""),0.2163)</f>
      </c>
    </row>
    <row x14ac:dyDescent="0.25" r="632" customHeight="1" ht="15.75">
      <c r="A632" s="8">
        <f>IFERROR(__xludf.DUMMYFUNCTION("""COMPUTED_VALUE"""),25974.0)</f>
      </c>
      <c r="B632" s="9">
        <f>IFERROR(__xludf.DUMMYFUNCTION("""COMPUTED_VALUE"""),"METROPOLITANA VII")</f>
      </c>
      <c r="C632" s="9">
        <f>IFERROR(__xludf.DUMMYFUNCTION("""COMPUTED_VALUE"""),"CE VERA CRUZ")</f>
      </c>
      <c r="D632" s="10">
        <f>IFERROR(__xludf.DUMMYFUNCTION("""COMPUTED_VALUE"""),0.5206)</f>
      </c>
      <c r="E632" s="10">
        <f>IFERROR(__xludf.DUMMYFUNCTION("""COMPUTED_VALUE"""),0.2011)</f>
      </c>
      <c r="F632" s="10">
        <f>IFERROR(__xludf.DUMMYFUNCTION("""COMPUTED_VALUE"""),0.8608)</f>
      </c>
      <c r="G632" s="10">
        <f>IFERROR(__xludf.DUMMYFUNCTION("""COMPUTED_VALUE"""),0.201)</f>
      </c>
    </row>
    <row x14ac:dyDescent="0.25" r="633" customHeight="1" ht="15.75">
      <c r="A633" s="8">
        <f>IFERROR(__xludf.DUMMYFUNCTION("""COMPUTED_VALUE"""),25939.0)</f>
      </c>
      <c r="B633" s="9">
        <f>IFERROR(__xludf.DUMMYFUNCTION("""COMPUTED_VALUE"""),"METROPOLITANA VII")</f>
      </c>
      <c r="C633" s="9">
        <f>IFERROR(__xludf.DUMMYFUNCTION("""COMPUTED_VALUE"""),"CE VILA BELA")</f>
      </c>
      <c r="D633" s="10">
        <f>IFERROR(__xludf.DUMMYFUNCTION("""COMPUTED_VALUE"""),0.7191)</f>
      </c>
      <c r="E633" s="10">
        <f>IFERROR(__xludf.DUMMYFUNCTION("""COMPUTED_VALUE"""),0.2237)</f>
      </c>
      <c r="F633" s="10">
        <f>IFERROR(__xludf.DUMMYFUNCTION("""COMPUTED_VALUE"""),0.5646)</f>
      </c>
      <c r="G633" s="10">
        <f>IFERROR(__xludf.DUMMYFUNCTION("""COMPUTED_VALUE"""),0.1968)</f>
      </c>
    </row>
    <row x14ac:dyDescent="0.25" r="634" customHeight="1" ht="15.75">
      <c r="A634" s="8">
        <f>IFERROR(__xludf.DUMMYFUNCTION("""COMPUTED_VALUE"""),25975.0)</f>
      </c>
      <c r="B634" s="9">
        <f>IFERROR(__xludf.DUMMYFUNCTION("""COMPUTED_VALUE"""),"METROPOLITANA VII")</f>
      </c>
      <c r="C634" s="9">
        <f>IFERROR(__xludf.DUMMYFUNCTION("""COMPUTED_VALUE"""),"CE VISCONDE DE CAIRU")</f>
      </c>
      <c r="D634" s="10">
        <f>IFERROR(__xludf.DUMMYFUNCTION("""COMPUTED_VALUE"""),0.7881)</f>
      </c>
      <c r="E634" s="10">
        <f>IFERROR(__xludf.DUMMYFUNCTION("""COMPUTED_VALUE"""),0.2303)</f>
      </c>
      <c r="F634" s="10">
        <f>IFERROR(__xludf.DUMMYFUNCTION("""COMPUTED_VALUE"""),0.6441)</f>
      </c>
      <c r="G634" s="10">
        <f>IFERROR(__xludf.DUMMYFUNCTION("""COMPUTED_VALUE"""),0.2137)</f>
      </c>
    </row>
    <row x14ac:dyDescent="0.25" r="635" customHeight="1" ht="15.75">
      <c r="A635" s="8">
        <f>IFERROR(__xludf.DUMMYFUNCTION("""COMPUTED_VALUE"""),25976.0)</f>
      </c>
      <c r="B635" s="9">
        <f>IFERROR(__xludf.DUMMYFUNCTION("""COMPUTED_VALUE"""),"METROPOLITANA VII")</f>
      </c>
      <c r="C635" s="9">
        <f>IFERROR(__xludf.DUMMYFUNCTION("""COMPUTED_VALUE"""),"CIEP 016 PROFESSORA LUCILENE DE SOUZA PECLAT")</f>
      </c>
      <c r="D635" s="10">
        <f>IFERROR(__xludf.DUMMYFUNCTION("""COMPUTED_VALUE"""),0.6735)</f>
      </c>
      <c r="E635" s="10">
        <f>IFERROR(__xludf.DUMMYFUNCTION("""COMPUTED_VALUE"""),0.2339)</f>
      </c>
      <c r="F635" s="10">
        <f>IFERROR(__xludf.DUMMYFUNCTION("""COMPUTED_VALUE"""),0.8163)</f>
      </c>
      <c r="G635" s="10">
        <f>IFERROR(__xludf.DUMMYFUNCTION("""COMPUTED_VALUE"""),0.2026)</f>
      </c>
    </row>
    <row x14ac:dyDescent="0.25" r="636" customHeight="1" ht="15.75">
      <c r="A636" s="8">
        <f>IFERROR(__xludf.DUMMYFUNCTION("""COMPUTED_VALUE"""),25978.0)</f>
      </c>
      <c r="B636" s="9">
        <f>IFERROR(__xludf.DUMMYFUNCTION("""COMPUTED_VALUE"""),"METROPOLITANA VII")</f>
      </c>
      <c r="C636" s="9">
        <f>IFERROR(__xludf.DUMMYFUNCTION("""COMPUTED_VALUE"""),"CIEP 030 MARINHEIRO JOÃO CÂNDIDO")</f>
      </c>
      <c r="D636" s="10">
        <f>IFERROR(__xludf.DUMMYFUNCTION("""COMPUTED_VALUE"""),0.7164)</f>
      </c>
      <c r="E636" s="10">
        <f>IFERROR(__xludf.DUMMYFUNCTION("""COMPUTED_VALUE"""),0.2447)</f>
      </c>
      <c r="F636" s="10">
        <f>IFERROR(__xludf.DUMMYFUNCTION("""COMPUTED_VALUE"""),0.6119)</f>
      </c>
      <c r="G636" s="10">
        <f>IFERROR(__xludf.DUMMYFUNCTION("""COMPUTED_VALUE"""),0.2135)</f>
      </c>
    </row>
    <row x14ac:dyDescent="0.25" r="637" customHeight="1" ht="15.75">
      <c r="A637" s="8">
        <f>IFERROR(__xludf.DUMMYFUNCTION("""COMPUTED_VALUE"""),25916.0)</f>
      </c>
      <c r="B637" s="9">
        <f>IFERROR(__xludf.DUMMYFUNCTION("""COMPUTED_VALUE"""),"METROPOLITANA VII")</f>
      </c>
      <c r="C637" s="9">
        <f>IFERROR(__xludf.DUMMYFUNCTION("""COMPUTED_VALUE"""),"CIEP 037 ERNESTO GUEVARA")</f>
      </c>
      <c r="D637" s="10">
        <f>IFERROR(__xludf.DUMMYFUNCTION("""COMPUTED_VALUE"""),0.6509)</f>
      </c>
      <c r="E637" s="10">
        <f>IFERROR(__xludf.DUMMYFUNCTION("""COMPUTED_VALUE"""),0.2155)</f>
      </c>
      <c r="F637" s="10">
        <f>IFERROR(__xludf.DUMMYFUNCTION("""COMPUTED_VALUE"""),0.4885)</f>
      </c>
      <c r="G637" s="10">
        <f>IFERROR(__xludf.DUMMYFUNCTION("""COMPUTED_VALUE"""),0.1928)</f>
      </c>
    </row>
    <row x14ac:dyDescent="0.25" r="638" customHeight="1" ht="15.75">
      <c r="A638" s="8">
        <f>IFERROR(__xludf.DUMMYFUNCTION("""COMPUTED_VALUE"""),25941.0)</f>
      </c>
      <c r="B638" s="9">
        <f>IFERROR(__xludf.DUMMYFUNCTION("""COMPUTED_VALUE"""),"METROPOLITANA VII")</f>
      </c>
      <c r="C638" s="9">
        <f>IFERROR(__xludf.DUMMYFUNCTION("""COMPUTED_VALUE"""),"CIEP 100 SAO FRANCISCO DE ASSIS BRASIL FRANCA")</f>
      </c>
      <c r="D638" s="10">
        <f>IFERROR(__xludf.DUMMYFUNCTION("""COMPUTED_VALUE"""),0.8)</f>
      </c>
      <c r="E638" s="10">
        <f>IFERROR(__xludf.DUMMYFUNCTION("""COMPUTED_VALUE"""),0.2804)</f>
      </c>
      <c r="F638" s="10">
        <f>IFERROR(__xludf.DUMMYFUNCTION("""COMPUTED_VALUE"""),0.6)</f>
      </c>
      <c r="G638" s="10">
        <f>IFERROR(__xludf.DUMMYFUNCTION("""COMPUTED_VALUE"""),0.2111)</f>
      </c>
    </row>
    <row x14ac:dyDescent="0.25" r="639" customHeight="1" ht="15.75">
      <c r="A639" s="8">
        <f>IFERROR(__xludf.DUMMYFUNCTION("""COMPUTED_VALUE"""),25942.0)</f>
      </c>
      <c r="B639" s="9">
        <f>IFERROR(__xludf.DUMMYFUNCTION("""COMPUTED_VALUE"""),"METROPOLITANA VII")</f>
      </c>
      <c r="C639" s="9">
        <f>IFERROR(__xludf.DUMMYFUNCTION("""COMPUTED_VALUE"""),"CIEP 111 GELSON FREITAS")</f>
      </c>
      <c r="D639" s="10">
        <f>IFERROR(__xludf.DUMMYFUNCTION("""COMPUTED_VALUE"""),0.6366)</f>
      </c>
      <c r="E639" s="10">
        <f>IFERROR(__xludf.DUMMYFUNCTION("""COMPUTED_VALUE"""),0.2343)</f>
      </c>
      <c r="F639" s="10">
        <f>IFERROR(__xludf.DUMMYFUNCTION("""COMPUTED_VALUE"""),0.7178)</f>
      </c>
      <c r="G639" s="10">
        <f>IFERROR(__xludf.DUMMYFUNCTION("""COMPUTED_VALUE"""),0.2033)</f>
      </c>
    </row>
    <row x14ac:dyDescent="0.25" r="640" customHeight="1" ht="15.75">
      <c r="A640" s="8">
        <f>IFERROR(__xludf.DUMMYFUNCTION("""COMPUTED_VALUE"""),25917.0)</f>
      </c>
      <c r="B640" s="9">
        <f>IFERROR(__xludf.DUMMYFUNCTION("""COMPUTED_VALUE"""),"METROPOLITANA VII")</f>
      </c>
      <c r="C640" s="9">
        <f>IFERROR(__xludf.DUMMYFUNCTION("""COMPUTED_VALUE"""),"CIEP 112 MONSENHOR SOLANO DANTAS MENEZES")</f>
      </c>
      <c r="D640" s="10">
        <f>IFERROR(__xludf.DUMMYFUNCTION("""COMPUTED_VALUE"""),0.7485)</f>
      </c>
      <c r="E640" s="10">
        <f>IFERROR(__xludf.DUMMYFUNCTION("""COMPUTED_VALUE"""),0.2523)</f>
      </c>
      <c r="F640" s="10">
        <f>IFERROR(__xludf.DUMMYFUNCTION("""COMPUTED_VALUE"""),0.6287)</f>
      </c>
      <c r="G640" s="10">
        <f>IFERROR(__xludf.DUMMYFUNCTION("""COMPUTED_VALUE"""),0.21)</f>
      </c>
    </row>
    <row x14ac:dyDescent="0.25" r="641" customHeight="1" ht="15.75">
      <c r="A641" s="8">
        <f>IFERROR(__xludf.DUMMYFUNCTION("""COMPUTED_VALUE"""),25979.0)</f>
      </c>
      <c r="B641" s="9">
        <f>IFERROR(__xludf.DUMMYFUNCTION("""COMPUTED_VALUE"""),"METROPOLITANA VII")</f>
      </c>
      <c r="C641" s="9">
        <f>IFERROR(__xludf.DUMMYFUNCTION("""COMPUTED_VALUE"""),"CIEP 114 PROFESSORA MARIA GAVAZIO MARTINS")</f>
      </c>
      <c r="D641" s="10">
        <f>IFERROR(__xludf.DUMMYFUNCTION("""COMPUTED_VALUE"""),0.7411)</f>
      </c>
      <c r="E641" s="10">
        <f>IFERROR(__xludf.DUMMYFUNCTION("""COMPUTED_VALUE"""),0.2259)</f>
      </c>
      <c r="F641" s="10">
        <f>IFERROR(__xludf.DUMMYFUNCTION("""COMPUTED_VALUE"""),0.5357)</f>
      </c>
      <c r="G641" s="10">
        <f>IFERROR(__xludf.DUMMYFUNCTION("""COMPUTED_VALUE"""),0.1942)</f>
      </c>
    </row>
    <row x14ac:dyDescent="0.25" r="642" customHeight="1" ht="15.75">
      <c r="A642" s="8">
        <f>IFERROR(__xludf.DUMMYFUNCTION("""COMPUTED_VALUE"""),25980.0)</f>
      </c>
      <c r="B642" s="9">
        <f>IFERROR(__xludf.DUMMYFUNCTION("""COMPUTED_VALUE"""),"METROPOLITANA VII")</f>
      </c>
      <c r="C642" s="9">
        <f>IFERROR(__xludf.DUMMYFUNCTION("""COMPUTED_VALUE"""),"CIEP 115 ANTONIO FRANCISCO LISBOA")</f>
      </c>
      <c r="D642" s="10">
        <f>IFERROR(__xludf.DUMMYFUNCTION("""COMPUTED_VALUE"""),0.5176)</f>
      </c>
      <c r="E642" s="10">
        <f>IFERROR(__xludf.DUMMYFUNCTION("""COMPUTED_VALUE"""),0.2179)</f>
      </c>
      <c r="F642" s="10">
        <f>IFERROR(__xludf.DUMMYFUNCTION("""COMPUTED_VALUE"""),0.4856)</f>
      </c>
      <c r="G642" s="10">
        <f>IFERROR(__xludf.DUMMYFUNCTION("""COMPUTED_VALUE"""),0.1894)</f>
      </c>
    </row>
    <row x14ac:dyDescent="0.25" r="643" customHeight="1" ht="15.75">
      <c r="A643" s="8">
        <f>IFERROR(__xludf.DUMMYFUNCTION("""COMPUTED_VALUE"""),25918.0)</f>
      </c>
      <c r="B643" s="9">
        <f>IFERROR(__xludf.DUMMYFUNCTION("""COMPUTED_VALUE"""),"METROPOLITANA VII")</f>
      </c>
      <c r="C643" s="9">
        <f>IFERROR(__xludf.DUMMYFUNCTION("""COMPUTED_VALUE"""),"CIEP 116 VILA MAIA")</f>
      </c>
      <c r="D643" s="10">
        <f>IFERROR(__xludf.DUMMYFUNCTION("""COMPUTED_VALUE"""),0.8627)</f>
      </c>
      <c r="E643" s="10">
        <f>IFERROR(__xludf.DUMMYFUNCTION("""COMPUTED_VALUE"""),0.2198)</f>
      </c>
      <c r="F643" s="10">
        <f>IFERROR(__xludf.DUMMYFUNCTION("""COMPUTED_VALUE"""),0.7647)</f>
      </c>
      <c r="G643" s="10">
        <f>IFERROR(__xludf.DUMMYFUNCTION("""COMPUTED_VALUE"""),0.2089)</f>
      </c>
    </row>
    <row x14ac:dyDescent="0.25" r="644" customHeight="1" ht="15.75">
      <c r="A644" s="8">
        <f>IFERROR(__xludf.DUMMYFUNCTION("""COMPUTED_VALUE"""),25981.0)</f>
      </c>
      <c r="B644" s="9">
        <f>IFERROR(__xludf.DUMMYFUNCTION("""COMPUTED_VALUE"""),"METROPOLITANA VII")</f>
      </c>
      <c r="C644" s="9">
        <f>IFERROR(__xludf.DUMMYFUNCTION("""COMPUTED_VALUE"""),"CIEP 133 OSWALDO JOSE LOURENCO")</f>
      </c>
      <c r="D644" s="10">
        <f>IFERROR(__xludf.DUMMYFUNCTION("""COMPUTED_VALUE"""),0.875)</f>
      </c>
      <c r="E644" s="10">
        <f>IFERROR(__xludf.DUMMYFUNCTION("""COMPUTED_VALUE"""),0.25)</f>
      </c>
      <c r="F644" s="10">
        <f>IFERROR(__xludf.DUMMYFUNCTION("""COMPUTED_VALUE"""),0.6875)</f>
      </c>
      <c r="G644" s="10">
        <f>IFERROR(__xludf.DUMMYFUNCTION("""COMPUTED_VALUE"""),0.2089)</f>
      </c>
    </row>
    <row x14ac:dyDescent="0.25" r="645" customHeight="1" ht="15.75">
      <c r="A645" s="8">
        <f>IFERROR(__xludf.DUMMYFUNCTION("""COMPUTED_VALUE"""),25982.0)</f>
      </c>
      <c r="B645" s="9">
        <f>IFERROR(__xludf.DUMMYFUNCTION("""COMPUTED_VALUE"""),"METROPOLITANA VII")</f>
      </c>
      <c r="C645" s="9">
        <f>IFERROR(__xludf.DUMMYFUNCTION("""COMPUTED_VALUE"""),"CIEP 135 AFONSO HENRIQUES LIMA BARRETO")</f>
      </c>
      <c r="D645" s="10">
        <f>IFERROR(__xludf.DUMMYFUNCTION("""COMPUTED_VALUE"""),0.5952)</f>
      </c>
      <c r="E645" s="10">
        <f>IFERROR(__xludf.DUMMYFUNCTION("""COMPUTED_VALUE"""),0.2039)</f>
      </c>
      <c r="F645" s="10">
        <f>IFERROR(__xludf.DUMMYFUNCTION("""COMPUTED_VALUE"""),0.3929)</f>
      </c>
      <c r="G645" s="10">
        <f>IFERROR(__xludf.DUMMYFUNCTION("""COMPUTED_VALUE"""),0.1972)</f>
      </c>
    </row>
    <row x14ac:dyDescent="0.25" r="646" customHeight="1" ht="15.75">
      <c r="A646" s="8">
        <f>IFERROR(__xludf.DUMMYFUNCTION("""COMPUTED_VALUE"""),25983.0)</f>
      </c>
      <c r="B646" s="9">
        <f>IFERROR(__xludf.DUMMYFUNCTION("""COMPUTED_VALUE"""),"METROPOLITANA VII")</f>
      </c>
      <c r="C646" s="9">
        <f>IFERROR(__xludf.DUMMYFUNCTION("""COMPUTED_VALUE"""),"CIEP 139 MANUEL BANDEIRA")</f>
      </c>
      <c r="D646" s="10">
        <f>IFERROR(__xludf.DUMMYFUNCTION("""COMPUTED_VALUE"""),0.7429)</f>
      </c>
      <c r="E646" s="10">
        <f>IFERROR(__xludf.DUMMYFUNCTION("""COMPUTED_VALUE"""),0.2584)</f>
      </c>
      <c r="F646" s="10">
        <f>IFERROR(__xludf.DUMMYFUNCTION("""COMPUTED_VALUE"""),0.7143)</f>
      </c>
      <c r="G646" s="10">
        <f>IFERROR(__xludf.DUMMYFUNCTION("""COMPUTED_VALUE"""),0.2125)</f>
      </c>
    </row>
    <row x14ac:dyDescent="0.25" r="647" customHeight="1" ht="15.75">
      <c r="A647" s="8">
        <f>IFERROR(__xludf.DUMMYFUNCTION("""COMPUTED_VALUE"""),25984.0)</f>
      </c>
      <c r="B647" s="9">
        <f>IFERROR(__xludf.DUMMYFUNCTION("""COMPUTED_VALUE"""),"METROPOLITANA VII")</f>
      </c>
      <c r="C647" s="9">
        <f>IFERROR(__xludf.DUMMYFUNCTION("""COMPUTED_VALUE"""),"CIEP 169 MARIA AUGUSTA CORREIA")</f>
      </c>
      <c r="D647" s="10">
        <f>IFERROR(__xludf.DUMMYFUNCTION("""COMPUTED_VALUE"""),0.7699)</f>
      </c>
      <c r="E647" s="10">
        <f>IFERROR(__xludf.DUMMYFUNCTION("""COMPUTED_VALUE"""),0.269)</f>
      </c>
      <c r="F647" s="10">
        <f>IFERROR(__xludf.DUMMYFUNCTION("""COMPUTED_VALUE"""),0.7026)</f>
      </c>
      <c r="G647" s="10">
        <f>IFERROR(__xludf.DUMMYFUNCTION("""COMPUTED_VALUE"""),0.2071)</f>
      </c>
    </row>
    <row x14ac:dyDescent="0.25" r="648" customHeight="1" ht="15.75">
      <c r="A648" s="8">
        <f>IFERROR(__xludf.DUMMYFUNCTION("""COMPUTED_VALUE"""),25985.0)</f>
      </c>
      <c r="B648" s="9">
        <f>IFERROR(__xludf.DUMMYFUNCTION("""COMPUTED_VALUE"""),"METROPOLITANA VII")</f>
      </c>
      <c r="C648" s="9">
        <f>IFERROR(__xludf.DUMMYFUNCTION("""COMPUTED_VALUE"""),"CIEP 170 GREGORIO BEZERRA")</f>
      </c>
      <c r="D648" s="10">
        <f>IFERROR(__xludf.DUMMYFUNCTION("""COMPUTED_VALUE"""),0.8018)</f>
      </c>
      <c r="E648" s="10">
        <f>IFERROR(__xludf.DUMMYFUNCTION("""COMPUTED_VALUE"""),0.2417)</f>
      </c>
      <c r="F648" s="10">
        <f>IFERROR(__xludf.DUMMYFUNCTION("""COMPUTED_VALUE"""),0.6396)</f>
      </c>
      <c r="G648" s="10">
        <f>IFERROR(__xludf.DUMMYFUNCTION("""COMPUTED_VALUE"""),0.2159)</f>
      </c>
    </row>
    <row x14ac:dyDescent="0.25" r="649" customHeight="1" ht="15.75">
      <c r="A649" s="8">
        <f>IFERROR(__xludf.DUMMYFUNCTION("""COMPUTED_VALUE"""),25986.0)</f>
      </c>
      <c r="B649" s="9">
        <f>IFERROR(__xludf.DUMMYFUNCTION("""COMPUTED_VALUE"""),"METROPOLITANA VII")</f>
      </c>
      <c r="C649" s="9">
        <f>IFERROR(__xludf.DUMMYFUNCTION("""COMPUTED_VALUE"""),"CIEP 175 JOSE LINS DO REGO")</f>
      </c>
      <c r="D649" s="10">
        <f>IFERROR(__xludf.DUMMYFUNCTION("""COMPUTED_VALUE"""),0.9014)</f>
      </c>
      <c r="E649" s="10">
        <f>IFERROR(__xludf.DUMMYFUNCTION("""COMPUTED_VALUE"""),0.2221)</f>
      </c>
      <c r="F649" s="10">
        <f>IFERROR(__xludf.DUMMYFUNCTION("""COMPUTED_VALUE"""),0.516)</f>
      </c>
      <c r="G649" s="10">
        <f>IFERROR(__xludf.DUMMYFUNCTION("""COMPUTED_VALUE"""),0.2031)</f>
      </c>
    </row>
    <row x14ac:dyDescent="0.25" r="650" customHeight="1" ht="15.75">
      <c r="A650" s="8">
        <f>IFERROR(__xludf.DUMMYFUNCTION("""COMPUTED_VALUE"""),25919.0)</f>
      </c>
      <c r="B650" s="9">
        <f>IFERROR(__xludf.DUMMYFUNCTION("""COMPUTED_VALUE"""),"METROPOLITANA VII")</f>
      </c>
      <c r="C650" s="9">
        <f>IFERROR(__xludf.DUMMYFUNCTION("""COMPUTED_VALUE"""),"CIEP 178 JOÃO SALDANHA")</f>
      </c>
      <c r="D650" s="10">
        <f>IFERROR(__xludf.DUMMYFUNCTION("""COMPUTED_VALUE"""),0.5962)</f>
      </c>
      <c r="E650" s="10">
        <f>IFERROR(__xludf.DUMMYFUNCTION("""COMPUTED_VALUE"""),0.2388)</f>
      </c>
      <c r="F650" s="10">
        <f>IFERROR(__xludf.DUMMYFUNCTION("""COMPUTED_VALUE"""),0.5)</f>
      </c>
      <c r="G650" s="10">
        <f>IFERROR(__xludf.DUMMYFUNCTION("""COMPUTED_VALUE"""),0.2111)</f>
      </c>
    </row>
    <row x14ac:dyDescent="0.25" r="651" customHeight="1" ht="15.75">
      <c r="A651" s="8">
        <f>IFERROR(__xludf.DUMMYFUNCTION("""COMPUTED_VALUE"""),25987.0)</f>
      </c>
      <c r="B651" s="9">
        <f>IFERROR(__xludf.DUMMYFUNCTION("""COMPUTED_VALUE"""),"METROPOLITANA VII")</f>
      </c>
      <c r="C651" s="9">
        <f>IFERROR(__xludf.DUMMYFUNCTION("""COMPUTED_VALUE"""),"CIEP 179 PROFESSOR CLAUDIO GAMA")</f>
      </c>
      <c r="D651" s="10">
        <f>IFERROR(__xludf.DUMMYFUNCTION("""COMPUTED_VALUE"""),0.8527)</f>
      </c>
      <c r="E651" s="10">
        <f>IFERROR(__xludf.DUMMYFUNCTION("""COMPUTED_VALUE"""),0.2702)</f>
      </c>
      <c r="F651" s="10">
        <f>IFERROR(__xludf.DUMMYFUNCTION("""COMPUTED_VALUE"""),0.7271)</f>
      </c>
      <c r="G651" s="10">
        <f>IFERROR(__xludf.DUMMYFUNCTION("""COMPUTED_VALUE"""),0.2059)</f>
      </c>
    </row>
    <row x14ac:dyDescent="0.25" r="652" customHeight="1" ht="15.75">
      <c r="A652" s="8">
        <f>IFERROR(__xludf.DUMMYFUNCTION("""COMPUTED_VALUE"""),25920.0)</f>
      </c>
      <c r="B652" s="9">
        <f>IFERROR(__xludf.DUMMYFUNCTION("""COMPUTED_VALUE"""),"METROPOLITANA VII")</f>
      </c>
      <c r="C652" s="9">
        <f>IFERROR(__xludf.DUMMYFUNCTION("""COMPUTED_VALUE"""),"CIEP 197 MINISTRO MARCOS DE BARROS FREIRE")</f>
      </c>
      <c r="D652" s="10">
        <f>IFERROR(__xludf.DUMMYFUNCTION("""COMPUTED_VALUE"""),0.9195)</f>
      </c>
      <c r="E652" s="10">
        <f>IFERROR(__xludf.DUMMYFUNCTION("""COMPUTED_VALUE"""),0.2416)</f>
      </c>
      <c r="F652" s="10">
        <f>IFERROR(__xludf.DUMMYFUNCTION("""COMPUTED_VALUE"""),0.7816)</f>
      </c>
      <c r="G652" s="10">
        <f>IFERROR(__xludf.DUMMYFUNCTION("""COMPUTED_VALUE"""),0.2058)</f>
      </c>
    </row>
    <row x14ac:dyDescent="0.25" r="653" customHeight="1" ht="15.75">
      <c r="A653" s="8">
        <f>IFERROR(__xludf.DUMMYFUNCTION("""COMPUTED_VALUE"""),25921.0)</f>
      </c>
      <c r="B653" s="9">
        <f>IFERROR(__xludf.DUMMYFUNCTION("""COMPUTED_VALUE"""),"METROPOLITANA VII")</f>
      </c>
      <c r="C653" s="9">
        <f>IFERROR(__xludf.DUMMYFUNCTION("""COMPUTED_VALUE"""),"CIEP 210 MARIO ALVES DE SOUZA VIEIRA")</f>
      </c>
      <c r="D653" s="10">
        <f>IFERROR(__xludf.DUMMYFUNCTION("""COMPUTED_VALUE"""),0.7295)</f>
      </c>
      <c r="E653" s="10">
        <f>IFERROR(__xludf.DUMMYFUNCTION("""COMPUTED_VALUE"""),0.2148)</f>
      </c>
      <c r="F653" s="10">
        <f>IFERROR(__xludf.DUMMYFUNCTION("""COMPUTED_VALUE"""),0.5462)</f>
      </c>
      <c r="G653" s="10">
        <f>IFERROR(__xludf.DUMMYFUNCTION("""COMPUTED_VALUE"""),0.1969)</f>
      </c>
    </row>
    <row x14ac:dyDescent="0.25" r="654" customHeight="1" ht="15.75">
      <c r="A654" s="8">
        <f>IFERROR(__xludf.DUMMYFUNCTION("""COMPUTED_VALUE"""),25953.0)</f>
      </c>
      <c r="B654" s="9">
        <f>IFERROR(__xludf.DUMMYFUNCTION("""COMPUTED_VALUE"""),"METROPOLITANA VII")</f>
      </c>
      <c r="C654" s="9">
        <f>IFERROR(__xludf.DUMMYFUNCTION("""COMPUTED_VALUE"""),"CIEP 230 MANOEL MALAQUIAS GURGEL DA SILVA")</f>
      </c>
      <c r="D654" s="10">
        <f>IFERROR(__xludf.DUMMYFUNCTION("""COMPUTED_VALUE"""),0.7277)</f>
      </c>
      <c r="E654" s="10">
        <f>IFERROR(__xludf.DUMMYFUNCTION("""COMPUTED_VALUE"""),0.255)</f>
      </c>
      <c r="F654" s="10">
        <f>IFERROR(__xludf.DUMMYFUNCTION("""COMPUTED_VALUE"""),0.6121)</f>
      </c>
      <c r="G654" s="10">
        <f>IFERROR(__xludf.DUMMYFUNCTION("""COMPUTED_VALUE"""),0.2152)</f>
      </c>
    </row>
    <row x14ac:dyDescent="0.25" r="655" customHeight="1" ht="15.75">
      <c r="A655" s="8">
        <f>IFERROR(__xludf.DUMMYFUNCTION("""COMPUTED_VALUE"""),25922.0)</f>
      </c>
      <c r="B655" s="9">
        <f>IFERROR(__xludf.DUMMYFUNCTION("""COMPUTED_VALUE"""),"METROPOLITANA VII")</f>
      </c>
      <c r="C655" s="9">
        <f>IFERROR(__xludf.DUMMYFUNCTION("""COMPUTED_VALUE"""),"CIEP 314 GALILEU GALILEI")</f>
      </c>
      <c r="D655" s="10">
        <f>IFERROR(__xludf.DUMMYFUNCTION("""COMPUTED_VALUE"""),0.6364)</f>
      </c>
      <c r="E655" s="10">
        <f>IFERROR(__xludf.DUMMYFUNCTION("""COMPUTED_VALUE"""),0.2322)</f>
      </c>
      <c r="F655" s="10">
        <f>IFERROR(__xludf.DUMMYFUNCTION("""COMPUTED_VALUE"""),0.6818)</f>
      </c>
      <c r="G655" s="10">
        <f>IFERROR(__xludf.DUMMYFUNCTION("""COMPUTED_VALUE"""),0.2111)</f>
      </c>
    </row>
    <row x14ac:dyDescent="0.25" r="656" customHeight="1" ht="15.75">
      <c r="A656" s="8">
        <f>IFERROR(__xludf.DUMMYFUNCTION("""COMPUTED_VALUE"""),25923.0)</f>
      </c>
      <c r="B656" s="9">
        <f>IFERROR(__xludf.DUMMYFUNCTION("""COMPUTED_VALUE"""),"METROPOLITANA VII")</f>
      </c>
      <c r="C656" s="9">
        <f>IFERROR(__xludf.DUMMYFUNCTION("""COMPUTED_VALUE"""),"CIEP 316 GENERAL LADARIO PEREIRA TELLES")</f>
      </c>
      <c r="D656" s="10">
        <f>IFERROR(__xludf.DUMMYFUNCTION("""COMPUTED_VALUE"""),0.6712)</f>
      </c>
      <c r="E656" s="10">
        <f>IFERROR(__xludf.DUMMYFUNCTION("""COMPUTED_VALUE"""),0.224)</f>
      </c>
      <c r="F656" s="10">
        <f>IFERROR(__xludf.DUMMYFUNCTION("""COMPUTED_VALUE"""),0.5664)</f>
      </c>
      <c r="G656" s="10">
        <f>IFERROR(__xludf.DUMMYFUNCTION("""COMPUTED_VALUE"""),0.2019)</f>
      </c>
    </row>
    <row x14ac:dyDescent="0.25" r="657" customHeight="1" ht="15.75">
      <c r="A657" s="8">
        <f>IFERROR(__xludf.DUMMYFUNCTION("""COMPUTED_VALUE"""),25924.0)</f>
      </c>
      <c r="B657" s="9">
        <f>IFERROR(__xludf.DUMMYFUNCTION("""COMPUTED_VALUE"""),"METROPOLITANA VII")</f>
      </c>
      <c r="C657" s="9">
        <f>IFERROR(__xludf.DUMMYFUNCTION("""COMPUTED_VALUE"""),"CIEP 337 BERTA LUTZ")</f>
      </c>
      <c r="D657" s="10">
        <f>IFERROR(__xludf.DUMMYFUNCTION("""COMPUTED_VALUE"""),0.7143)</f>
      </c>
      <c r="E657" s="10">
        <f>IFERROR(__xludf.DUMMYFUNCTION("""COMPUTED_VALUE"""),0.2143)</f>
      </c>
      <c r="F657" s="10">
        <f>IFERROR(__xludf.DUMMYFUNCTION("""COMPUTED_VALUE"""),0.6883)</f>
      </c>
      <c r="G657" s="10">
        <f>IFERROR(__xludf.DUMMYFUNCTION("""COMPUTED_VALUE"""),0.197)</f>
      </c>
    </row>
    <row x14ac:dyDescent="0.25" r="658" customHeight="1" ht="15.75">
      <c r="A658" s="8">
        <f>IFERROR(__xludf.DUMMYFUNCTION("""COMPUTED_VALUE"""),25943.0)</f>
      </c>
      <c r="B658" s="9">
        <f>IFERROR(__xludf.DUMMYFUNCTION("""COMPUTED_VALUE"""),"METROPOLITANA VII")</f>
      </c>
      <c r="C658" s="9">
        <f>IFERROR(__xludf.DUMMYFUNCTION("""COMPUTED_VALUE"""),"CIEP 364 NELSON RAMOS")</f>
      </c>
      <c r="D658" s="10">
        <f>IFERROR(__xludf.DUMMYFUNCTION("""COMPUTED_VALUE"""),0.5906)</f>
      </c>
      <c r="E658" s="10">
        <f>IFERROR(__xludf.DUMMYFUNCTION("""COMPUTED_VALUE"""),0.234)</f>
      </c>
      <c r="F658" s="10">
        <f>IFERROR(__xludf.DUMMYFUNCTION("""COMPUTED_VALUE"""),0.5354)</f>
      </c>
      <c r="G658" s="10">
        <f>IFERROR(__xludf.DUMMYFUNCTION("""COMPUTED_VALUE"""),0.1895)</f>
      </c>
    </row>
    <row x14ac:dyDescent="0.25" r="659" customHeight="1" ht="15.75">
      <c r="A659" s="8">
        <f>IFERROR(__xludf.DUMMYFUNCTION("""COMPUTED_VALUE"""),25925.0)</f>
      </c>
      <c r="B659" s="9">
        <f>IFERROR(__xludf.DUMMYFUNCTION("""COMPUTED_VALUE"""),"METROPOLITANA VII")</f>
      </c>
      <c r="C659" s="9">
        <f>IFERROR(__xludf.DUMMYFUNCTION("""COMPUTED_VALUE"""),"CIEP 374 AUGUSTO RODRIGUES")</f>
      </c>
      <c r="D659" s="10">
        <f>IFERROR(__xludf.DUMMYFUNCTION("""COMPUTED_VALUE"""),0.4793)</f>
      </c>
      <c r="E659" s="10">
        <f>IFERROR(__xludf.DUMMYFUNCTION("""COMPUTED_VALUE"""),0.188)</f>
      </c>
      <c r="F659" s="10">
        <f>IFERROR(__xludf.DUMMYFUNCTION("""COMPUTED_VALUE"""),0.5543)</f>
      </c>
      <c r="G659" s="10">
        <f>IFERROR(__xludf.DUMMYFUNCTION("""COMPUTED_VALUE"""),0.1961)</f>
      </c>
    </row>
    <row x14ac:dyDescent="0.25" r="660" customHeight="1" ht="15.75">
      <c r="A660" s="8">
        <f>IFERROR(__xludf.DUMMYFUNCTION("""COMPUTED_VALUE"""),25926.0)</f>
      </c>
      <c r="B660" s="9">
        <f>IFERROR(__xludf.DUMMYFUNCTION("""COMPUTED_VALUE"""),"METROPOLITANA VII")</f>
      </c>
      <c r="C660" s="9">
        <f>IFERROR(__xludf.DUMMYFUNCTION("""COMPUTED_VALUE"""),"CIEP 375 WILSON GREY")</f>
      </c>
      <c r="D660" s="10">
        <f>IFERROR(__xludf.DUMMYFUNCTION("""COMPUTED_VALUE"""),0.5102)</f>
      </c>
      <c r="E660" s="10">
        <f>IFERROR(__xludf.DUMMYFUNCTION("""COMPUTED_VALUE"""),0.2196)</f>
      </c>
      <c r="F660" s="10">
        <f>IFERROR(__xludf.DUMMYFUNCTION("""COMPUTED_VALUE"""),0.5156)</f>
      </c>
      <c r="G660" s="10">
        <f>IFERROR(__xludf.DUMMYFUNCTION("""COMPUTED_VALUE"""),0.2109)</f>
      </c>
    </row>
    <row x14ac:dyDescent="0.25" r="661" customHeight="1" ht="15.75">
      <c r="A661" s="8">
        <f>IFERROR(__xludf.DUMMYFUNCTION("""COMPUTED_VALUE"""),25927.0)</f>
      </c>
      <c r="B661" s="9">
        <f>IFERROR(__xludf.DUMMYFUNCTION("""COMPUTED_VALUE"""),"METROPOLITANA VII")</f>
      </c>
      <c r="C661" s="9">
        <f>IFERROR(__xludf.DUMMYFUNCTION("""COMPUTED_VALUE"""),"CIEP 376 CLAUDIO COUTINHO")</f>
      </c>
      <c r="D661" s="10">
        <f>IFERROR(__xludf.DUMMYFUNCTION("""COMPUTED_VALUE"""),0.7542)</f>
      </c>
      <c r="E661" s="10">
        <f>IFERROR(__xludf.DUMMYFUNCTION("""COMPUTED_VALUE"""),0.2324)</f>
      </c>
      <c r="F661" s="10">
        <f>IFERROR(__xludf.DUMMYFUNCTION("""COMPUTED_VALUE"""),0.6525)</f>
      </c>
      <c r="G661" s="10">
        <f>IFERROR(__xludf.DUMMYFUNCTION("""COMPUTED_VALUE"""),0.2129)</f>
      </c>
    </row>
    <row x14ac:dyDescent="0.25" r="662" customHeight="1" ht="15.75">
      <c r="A662" s="8">
        <f>IFERROR(__xludf.DUMMYFUNCTION("""COMPUTED_VALUE"""),25928.0)</f>
      </c>
      <c r="B662" s="9">
        <f>IFERROR(__xludf.DUMMYFUNCTION("""COMPUTED_VALUE"""),"METROPOLITANA VII")</f>
      </c>
      <c r="C662" s="9">
        <f>IFERROR(__xludf.DUMMYFUNCTION("""COMPUTED_VALUE"""),"CIEP 377 CARMEM DA SILVA")</f>
      </c>
      <c r="D662" s="10">
        <f>IFERROR(__xludf.DUMMYFUNCTION("""COMPUTED_VALUE"""),0.6863)</f>
      </c>
      <c r="E662" s="10">
        <f>IFERROR(__xludf.DUMMYFUNCTION("""COMPUTED_VALUE"""),0.2269)</f>
      </c>
      <c r="F662" s="10">
        <f>IFERROR(__xludf.DUMMYFUNCTION("""COMPUTED_VALUE"""),0.6129)</f>
      </c>
      <c r="G662" s="10">
        <f>IFERROR(__xludf.DUMMYFUNCTION("""COMPUTED_VALUE"""),0.1867)</f>
      </c>
    </row>
    <row x14ac:dyDescent="0.25" r="663" customHeight="1" ht="15.75">
      <c r="A663" s="8">
        <f>IFERROR(__xludf.DUMMYFUNCTION("""COMPUTED_VALUE"""),25929.0)</f>
      </c>
      <c r="B663" s="9">
        <f>IFERROR(__xludf.DUMMYFUNCTION("""COMPUTED_VALUE"""),"METROPOLITANA VII")</f>
      </c>
      <c r="C663" s="9">
        <f>IFERROR(__xludf.DUMMYFUNCTION("""COMPUTED_VALUE"""),"CIEP 380 JORACI CAMARGO")</f>
      </c>
      <c r="D663" s="10">
        <f>IFERROR(__xludf.DUMMYFUNCTION("""COMPUTED_VALUE"""),0.8378)</f>
      </c>
      <c r="E663" s="10">
        <f>IFERROR(__xludf.DUMMYFUNCTION("""COMPUTED_VALUE"""),0.2688)</f>
      </c>
      <c r="F663" s="10">
        <f>IFERROR(__xludf.DUMMYFUNCTION("""COMPUTED_VALUE"""),0.6432)</f>
      </c>
      <c r="G663" s="10">
        <f>IFERROR(__xludf.DUMMYFUNCTION("""COMPUTED_VALUE"""),0.2254)</f>
      </c>
    </row>
    <row x14ac:dyDescent="0.25" r="664" customHeight="1" ht="15.75">
      <c r="A664" s="8">
        <f>IFERROR(__xludf.DUMMYFUNCTION("""COMPUTED_VALUE"""),25930.0)</f>
      </c>
      <c r="B664" s="9">
        <f>IFERROR(__xludf.DUMMYFUNCTION("""COMPUTED_VALUE"""),"METROPOLITANA VII")</f>
      </c>
      <c r="C664" s="9">
        <f>IFERROR(__xludf.DUMMYFUNCTION("""COMPUTED_VALUE"""),"CIEP 388 LASAR SEGALL")</f>
      </c>
      <c r="D664" s="10">
        <f>IFERROR(__xludf.DUMMYFUNCTION("""COMPUTED_VALUE"""),0.7671)</f>
      </c>
      <c r="E664" s="10">
        <f>IFERROR(__xludf.DUMMYFUNCTION("""COMPUTED_VALUE"""),0.2125)</f>
      </c>
      <c r="F664" s="10">
        <f>IFERROR(__xludf.DUMMYFUNCTION("""COMPUTED_VALUE"""),0.5822)</f>
      </c>
      <c r="G664" s="10">
        <f>IFERROR(__xludf.DUMMYFUNCTION("""COMPUTED_VALUE"""),0.2031)</f>
      </c>
    </row>
    <row x14ac:dyDescent="0.25" r="665" customHeight="1" ht="15.75">
      <c r="A665" s="8">
        <f>IFERROR(__xludf.DUMMYFUNCTION("""COMPUTED_VALUE"""),25954.0)</f>
      </c>
      <c r="B665" s="9">
        <f>IFERROR(__xludf.DUMMYFUNCTION("""COMPUTED_VALUE"""),"METROPOLITANA VII")</f>
      </c>
      <c r="C665" s="9">
        <f>IFERROR(__xludf.DUMMYFUNCTION("""COMPUTED_VALUE"""),"CIEP 389 GP HAROLDO BARBOSA")</f>
      </c>
      <c r="D665" s="10">
        <f>IFERROR(__xludf.DUMMYFUNCTION("""COMPUTED_VALUE"""),0.6721)</f>
      </c>
      <c r="E665" s="10">
        <f>IFERROR(__xludf.DUMMYFUNCTION("""COMPUTED_VALUE"""),0.2442)</f>
      </c>
      <c r="F665" s="10">
        <f>IFERROR(__xludf.DUMMYFUNCTION("""COMPUTED_VALUE"""),0.8361)</f>
      </c>
      <c r="G665" s="10">
        <f>IFERROR(__xludf.DUMMYFUNCTION("""COMPUTED_VALUE"""),0.2025)</f>
      </c>
    </row>
    <row x14ac:dyDescent="0.25" r="666" customHeight="1" ht="15.75">
      <c r="A666" s="8">
        <f>IFERROR(__xludf.DUMMYFUNCTION("""COMPUTED_VALUE"""),25988.0)</f>
      </c>
      <c r="B666" s="9">
        <f>IFERROR(__xludf.DUMMYFUNCTION("""COMPUTED_VALUE"""),"METROPOLITANA VII")</f>
      </c>
      <c r="C666" s="9">
        <f>IFERROR(__xludf.DUMMYFUNCTION("""COMPUTED_VALUE"""),"CIEP 397 PAULO PONTES")</f>
      </c>
      <c r="D666" s="10">
        <f>IFERROR(__xludf.DUMMYFUNCTION("""COMPUTED_VALUE"""),0.8675)</f>
      </c>
      <c r="E666" s="10">
        <f>IFERROR(__xludf.DUMMYFUNCTION("""COMPUTED_VALUE"""),0.2627)</f>
      </c>
      <c r="F666" s="10">
        <f>IFERROR(__xludf.DUMMYFUNCTION("""COMPUTED_VALUE"""),0.8554)</f>
      </c>
      <c r="G666" s="10">
        <f>IFERROR(__xludf.DUMMYFUNCTION("""COMPUTED_VALUE"""),0.2168)</f>
      </c>
    </row>
    <row x14ac:dyDescent="0.25" r="667" customHeight="1" ht="15.75">
      <c r="A667" s="8">
        <f>IFERROR(__xludf.DUMMYFUNCTION("""COMPUTED_VALUE"""),25989.0)</f>
      </c>
      <c r="B667" s="9">
        <f>IFERROR(__xludf.DUMMYFUNCTION("""COMPUTED_VALUE"""),"METROPOLITANA VII")</f>
      </c>
      <c r="C667" s="9">
        <f>IFERROR(__xludf.DUMMYFUNCTION("""COMPUTED_VALUE"""),"CIEP 398 MARIO LIMA")</f>
      </c>
      <c r="D667" s="10">
        <f>IFERROR(__xludf.DUMMYFUNCTION("""COMPUTED_VALUE"""),0.7536)</f>
      </c>
      <c r="E667" s="10">
        <f>IFERROR(__xludf.DUMMYFUNCTION("""COMPUTED_VALUE"""),0.2244)</f>
      </c>
      <c r="F667" s="10">
        <f>IFERROR(__xludf.DUMMYFUNCTION("""COMPUTED_VALUE"""),0.3984)</f>
      </c>
      <c r="G667" s="10">
        <f>IFERROR(__xludf.DUMMYFUNCTION("""COMPUTED_VALUE"""),0.2109)</f>
      </c>
    </row>
    <row x14ac:dyDescent="0.25" r="668" customHeight="1" ht="15.75">
      <c r="A668" s="8">
        <f>IFERROR(__xludf.DUMMYFUNCTION("""COMPUTED_VALUE"""),25990.0)</f>
      </c>
      <c r="B668" s="9">
        <f>IFERROR(__xludf.DUMMYFUNCTION("""COMPUTED_VALUE"""),"METROPOLITANA VII")</f>
      </c>
      <c r="C668" s="9">
        <f>IFERROR(__xludf.DUMMYFUNCTION("""COMPUTED_VALUE"""),"CIEP 399 JEAN BAPTISTE DEBRET")</f>
      </c>
      <c r="D668" s="10">
        <f>IFERROR(__xludf.DUMMYFUNCTION("""COMPUTED_VALUE"""),0.7561)</f>
      </c>
      <c r="E668" s="10">
        <f>IFERROR(__xludf.DUMMYFUNCTION("""COMPUTED_VALUE"""),0.2289)</f>
      </c>
      <c r="F668" s="10">
        <f>IFERROR(__xludf.DUMMYFUNCTION("""COMPUTED_VALUE"""),0.5714)</f>
      </c>
      <c r="G668" s="10">
        <f>IFERROR(__xludf.DUMMYFUNCTION("""COMPUTED_VALUE"""),0.2013)</f>
      </c>
    </row>
    <row x14ac:dyDescent="0.25" r="669" customHeight="1" ht="15.75">
      <c r="A669" s="8">
        <f>IFERROR(__xludf.DUMMYFUNCTION("""COMPUTED_VALUE"""),25991.0)</f>
      </c>
      <c r="B669" s="9">
        <f>IFERROR(__xludf.DUMMYFUNCTION("""COMPUTED_VALUE"""),"METROPOLITANA VII")</f>
      </c>
      <c r="C669" s="9">
        <f>IFERROR(__xludf.DUMMYFUNCTION("""COMPUTED_VALUE"""),"CIEP 400 GP OSWALD DE ANDRADE")</f>
      </c>
      <c r="D669" s="10">
        <f>IFERROR(__xludf.DUMMYFUNCTION("""COMPUTED_VALUE"""),0.8812)</f>
      </c>
      <c r="E669" s="10">
        <f>IFERROR(__xludf.DUMMYFUNCTION("""COMPUTED_VALUE"""),0.1885)</f>
      </c>
      <c r="F669" s="10">
        <f>IFERROR(__xludf.DUMMYFUNCTION("""COMPUTED_VALUE"""),0.5743)</f>
      </c>
      <c r="G669" s="10">
        <f>IFERROR(__xludf.DUMMYFUNCTION("""COMPUTED_VALUE"""),0.2084)</f>
      </c>
    </row>
    <row x14ac:dyDescent="0.25" r="670" customHeight="1" ht="15.75">
      <c r="A670" s="8">
        <f>IFERROR(__xludf.DUMMYFUNCTION("""COMPUTED_VALUE"""),25955.0)</f>
      </c>
      <c r="B670" s="9">
        <f>IFERROR(__xludf.DUMMYFUNCTION("""COMPUTED_VALUE"""),"METROPOLITANA VII")</f>
      </c>
      <c r="C670" s="9">
        <f>IFERROR(__xludf.DUMMYFUNCTION("""COMPUTED_VALUE"""),"IE CARLOS PASQUALE")</f>
      </c>
      <c r="D670" s="10">
        <f>IFERROR(__xludf.DUMMYFUNCTION("""COMPUTED_VALUE"""),0.7115)</f>
      </c>
      <c r="E670" s="10">
        <f>IFERROR(__xludf.DUMMYFUNCTION("""COMPUTED_VALUE"""),0.2644)</f>
      </c>
      <c r="F670" s="10">
        <f>IFERROR(__xludf.DUMMYFUNCTION("""COMPUTED_VALUE"""),0.5207)</f>
      </c>
      <c r="G670" s="10">
        <f>IFERROR(__xludf.DUMMYFUNCTION("""COMPUTED_VALUE"""),0.2134)</f>
      </c>
    </row>
    <row x14ac:dyDescent="0.25" r="671" customHeight="1" ht="15.75">
      <c r="A671" s="8">
        <f>IFERROR(__xludf.DUMMYFUNCTION("""COMPUTED_VALUE"""),25021.0)</f>
      </c>
      <c r="B671" s="9">
        <f>IFERROR(__xludf.DUMMYFUNCTION("""COMPUTED_VALUE"""),"NOROESTE FLUMINENSE")</f>
      </c>
      <c r="C671" s="9">
        <f>IFERROR(__xludf.DUMMYFUNCTION("""COMPUTED_VALUE"""),"CE AGRICOLA PROFESSOR LUIZ PAULO RODRIGUES")</f>
      </c>
      <c r="D671" s="10">
        <f>IFERROR(__xludf.DUMMYFUNCTION("""COMPUTED_VALUE"""),1.0)</f>
      </c>
      <c r="E671" s="10">
        <f>IFERROR(__xludf.DUMMYFUNCTION("""COMPUTED_VALUE"""),0.2374)</f>
      </c>
      <c r="F671" s="10">
        <f>IFERROR(__xludf.DUMMYFUNCTION("""COMPUTED_VALUE"""),0.898)</f>
      </c>
      <c r="G671" s="10">
        <f>IFERROR(__xludf.DUMMYFUNCTION("""COMPUTED_VALUE"""),0.1947)</f>
      </c>
    </row>
    <row x14ac:dyDescent="0.25" r="672" customHeight="1" ht="15.75">
      <c r="A672" s="8">
        <f>IFERROR(__xludf.DUMMYFUNCTION("""COMPUTED_VALUE"""),25003.0)</f>
      </c>
      <c r="B672" s="9">
        <f>IFERROR(__xludf.DUMMYFUNCTION("""COMPUTED_VALUE"""),"NOROESTE FLUMINENSE")</f>
      </c>
      <c r="C672" s="9">
        <f>IFERROR(__xludf.DUMMYFUNCTION("""COMPUTED_VALUE"""),"CE ALCINDA LOPES PEREIRA PINTO")</f>
      </c>
      <c r="D672" s="10">
        <f>IFERROR(__xludf.DUMMYFUNCTION("""COMPUTED_VALUE"""),0.9333)</f>
      </c>
      <c r="E672" s="10">
        <f>IFERROR(__xludf.DUMMYFUNCTION("""COMPUTED_VALUE"""),0.1936)</f>
      </c>
      <c r="F672" s="10">
        <f>IFERROR(__xludf.DUMMYFUNCTION("""COMPUTED_VALUE"""),0.7333)</f>
      </c>
      <c r="G672" s="10">
        <f>IFERROR(__xludf.DUMMYFUNCTION("""COMPUTED_VALUE"""),0.1949)</f>
      </c>
    </row>
    <row x14ac:dyDescent="0.25" r="673" customHeight="1" ht="15.75">
      <c r="A673" s="8">
        <f>IFERROR(__xludf.DUMMYFUNCTION("""COMPUTED_VALUE"""),25050.0)</f>
      </c>
      <c r="B673" s="9">
        <f>IFERROR(__xludf.DUMMYFUNCTION("""COMPUTED_VALUE"""),"NOROESTE FLUMINENSE")</f>
      </c>
      <c r="C673" s="9">
        <f>IFERROR(__xludf.DUMMYFUNCTION("""COMPUTED_VALUE"""),"CE ALMIRANTE BARÃO DE TEFFE")</f>
      </c>
      <c r="D673" s="10">
        <f>IFERROR(__xludf.DUMMYFUNCTION("""COMPUTED_VALUE"""),0.9161)</f>
      </c>
      <c r="E673" s="10">
        <f>IFERROR(__xludf.DUMMYFUNCTION("""COMPUTED_VALUE"""),0.2563)</f>
      </c>
      <c r="F673" s="10">
        <f>IFERROR(__xludf.DUMMYFUNCTION("""COMPUTED_VALUE"""),0.7742)</f>
      </c>
      <c r="G673" s="10">
        <f>IFERROR(__xludf.DUMMYFUNCTION("""COMPUTED_VALUE"""),0.2307)</f>
      </c>
    </row>
    <row x14ac:dyDescent="0.25" r="674" customHeight="1" ht="15.75">
      <c r="A674" s="8">
        <f>IFERROR(__xludf.DUMMYFUNCTION("""COMPUTED_VALUE"""),25022.0)</f>
      </c>
      <c r="B674" s="9">
        <f>IFERROR(__xludf.DUMMYFUNCTION("""COMPUTED_VALUE"""),"NOROESTE FLUMINENSE")</f>
      </c>
      <c r="C674" s="9">
        <f>IFERROR(__xludf.DUMMYFUNCTION("""COMPUTED_VALUE"""),"CE BUARQUE DE NAZARETH")</f>
      </c>
      <c r="D674" s="10">
        <f>IFERROR(__xludf.DUMMYFUNCTION("""COMPUTED_VALUE"""),0.9316)</f>
      </c>
      <c r="E674" s="10">
        <f>IFERROR(__xludf.DUMMYFUNCTION("""COMPUTED_VALUE"""),0.1933)</f>
      </c>
      <c r="F674" s="10">
        <f>IFERROR(__xludf.DUMMYFUNCTION("""COMPUTED_VALUE"""),0.6261)</f>
      </c>
      <c r="G674" s="10">
        <f>IFERROR(__xludf.DUMMYFUNCTION("""COMPUTED_VALUE"""),0.2052)</f>
      </c>
    </row>
    <row x14ac:dyDescent="0.25" r="675" customHeight="1" ht="15.75">
      <c r="A675" s="8">
        <f>IFERROR(__xludf.DUMMYFUNCTION("""COMPUTED_VALUE"""),25023.0)</f>
      </c>
      <c r="B675" s="9">
        <f>IFERROR(__xludf.DUMMYFUNCTION("""COMPUTED_VALUE"""),"NOROESTE FLUMINENSE")</f>
      </c>
      <c r="C675" s="9">
        <f>IFERROR(__xludf.DUMMYFUNCTION("""COMPUTED_VALUE"""),"CE CHEQUER JORGE")</f>
      </c>
      <c r="D675" s="10">
        <f>IFERROR(__xludf.DUMMYFUNCTION("""COMPUTED_VALUE"""),0.9789)</f>
      </c>
      <c r="E675" s="10">
        <f>IFERROR(__xludf.DUMMYFUNCTION("""COMPUTED_VALUE"""),0.2541)</f>
      </c>
      <c r="F675" s="10">
        <f>IFERROR(__xludf.DUMMYFUNCTION("""COMPUTED_VALUE"""),0.9286)</f>
      </c>
      <c r="G675" s="10">
        <f>IFERROR(__xludf.DUMMYFUNCTION("""COMPUTED_VALUE"""),0.24)</f>
      </c>
    </row>
    <row x14ac:dyDescent="0.25" r="676" customHeight="1" ht="15.75">
      <c r="A676" s="8">
        <f>IFERROR(__xludf.DUMMYFUNCTION("""COMPUTED_VALUE"""),25042.0)</f>
      </c>
      <c r="B676" s="9">
        <f>IFERROR(__xludf.DUMMYFUNCTION("""COMPUTED_VALUE"""),"NOROESTE FLUMINENSE")</f>
      </c>
      <c r="C676" s="9">
        <f>IFERROR(__xludf.DUMMYFUNCTION("""COMPUTED_VALUE"""),"CE CORONEL JOSÉ ROSA DA SILVA")</f>
      </c>
      <c r="D676" s="10">
        <f>IFERROR(__xludf.DUMMYFUNCTION("""COMPUTED_VALUE"""),0.8485)</f>
      </c>
      <c r="E676" s="10">
        <f>IFERROR(__xludf.DUMMYFUNCTION("""COMPUTED_VALUE"""),0.2387)</f>
      </c>
      <c r="F676" s="10">
        <f>IFERROR(__xludf.DUMMYFUNCTION("""COMPUTED_VALUE"""),0.8788)</f>
      </c>
      <c r="G676" s="10">
        <f>IFERROR(__xludf.DUMMYFUNCTION("""COMPUTED_VALUE"""),0.2556)</f>
      </c>
    </row>
    <row x14ac:dyDescent="0.25" r="677" customHeight="1" ht="15.75">
      <c r="A677" s="8">
        <f>IFERROR(__xludf.DUMMYFUNCTION("""COMPUTED_VALUE"""),25037.0)</f>
      </c>
      <c r="B677" s="9">
        <f>IFERROR(__xludf.DUMMYFUNCTION("""COMPUTED_VALUE"""),"NOROESTE FLUMINENSE")</f>
      </c>
      <c r="C677" s="9">
        <f>IFERROR(__xludf.DUMMYFUNCTION("""COMPUTED_VALUE"""),"CE DEODATO LINHARES")</f>
      </c>
      <c r="D677" s="10">
        <f>IFERROR(__xludf.DUMMYFUNCTION("""COMPUTED_VALUE"""),0.93)</f>
      </c>
      <c r="E677" s="10">
        <f>IFERROR(__xludf.DUMMYFUNCTION("""COMPUTED_VALUE"""),0.2682)</f>
      </c>
      <c r="F677" s="10">
        <f>IFERROR(__xludf.DUMMYFUNCTION("""COMPUTED_VALUE"""),0.5976)</f>
      </c>
      <c r="G677" s="10">
        <f>IFERROR(__xludf.DUMMYFUNCTION("""COMPUTED_VALUE"""),0.2197)</f>
      </c>
    </row>
    <row x14ac:dyDescent="0.25" r="678" customHeight="1" ht="15.75">
      <c r="A678" s="8">
        <f>IFERROR(__xludf.DUMMYFUNCTION("""COMPUTED_VALUE"""),25046.0)</f>
      </c>
      <c r="B678" s="9">
        <f>IFERROR(__xludf.DUMMYFUNCTION("""COMPUTED_VALUE"""),"NOROESTE FLUMINENSE")</f>
      </c>
      <c r="C678" s="9">
        <f>IFERROR(__xludf.DUMMYFUNCTION("""COMPUTED_VALUE"""),"CE DEPUTADO CARLOS PINTO FILHO")</f>
      </c>
      <c r="D678" s="10">
        <f>IFERROR(__xludf.DUMMYFUNCTION("""COMPUTED_VALUE"""),0.7927)</f>
      </c>
      <c r="E678" s="10">
        <f>IFERROR(__xludf.DUMMYFUNCTION("""COMPUTED_VALUE"""),0.2253)</f>
      </c>
      <c r="F678" s="10">
        <f>IFERROR(__xludf.DUMMYFUNCTION("""COMPUTED_VALUE"""),0.5122)</f>
      </c>
      <c r="G678" s="10">
        <f>IFERROR(__xludf.DUMMYFUNCTION("""COMPUTED_VALUE"""),0.1987)</f>
      </c>
    </row>
    <row x14ac:dyDescent="0.25" r="679" customHeight="1" ht="15.75">
      <c r="A679" s="8">
        <f>IFERROR(__xludf.DUMMYFUNCTION("""COMPUTED_VALUE"""),25024.0)</f>
      </c>
      <c r="B679" s="9">
        <f>IFERROR(__xludf.DUMMYFUNCTION("""COMPUTED_VALUE"""),"NOROESTE FLUMINENSE")</f>
      </c>
      <c r="C679" s="9">
        <f>IFERROR(__xludf.DUMMYFUNCTION("""COMPUTED_VALUE"""),"CE DEZ DE MAIO")</f>
      </c>
      <c r="D679" s="10">
        <f>IFERROR(__xludf.DUMMYFUNCTION("""COMPUTED_VALUE"""),0.9653)</f>
      </c>
      <c r="E679" s="10">
        <f>IFERROR(__xludf.DUMMYFUNCTION("""COMPUTED_VALUE"""),0.2798)</f>
      </c>
      <c r="F679" s="10">
        <f>IFERROR(__xludf.DUMMYFUNCTION("""COMPUTED_VALUE"""),0.9004)</f>
      </c>
      <c r="G679" s="10">
        <f>IFERROR(__xludf.DUMMYFUNCTION("""COMPUTED_VALUE"""),0.2272)</f>
      </c>
    </row>
    <row x14ac:dyDescent="0.25" r="680" customHeight="1" ht="15.75">
      <c r="A680" s="8">
        <f>IFERROR(__xludf.DUMMYFUNCTION("""COMPUTED_VALUE"""),25025.0)</f>
      </c>
      <c r="B680" s="9">
        <f>IFERROR(__xludf.DUMMYFUNCTION("""COMPUTED_VALUE"""),"NOROESTE FLUMINENSE")</f>
      </c>
      <c r="C680" s="9">
        <f>IFERROR(__xludf.DUMMYFUNCTION("""COMPUTED_VALUE"""),"CE DOUTOR JOSE BASTOS FRANCA")</f>
      </c>
      <c r="D680" s="10">
        <f>IFERROR(__xludf.DUMMYFUNCTION("""COMPUTED_VALUE"""),0.9661)</f>
      </c>
      <c r="E680" s="10">
        <f>IFERROR(__xludf.DUMMYFUNCTION("""COMPUTED_VALUE"""),0.2276)</f>
      </c>
      <c r="F680" s="10">
        <f>IFERROR(__xludf.DUMMYFUNCTION("""COMPUTED_VALUE"""),0.8305)</f>
      </c>
      <c r="G680" s="10">
        <f>IFERROR(__xludf.DUMMYFUNCTION("""COMPUTED_VALUE"""),0.2075)</f>
      </c>
    </row>
    <row x14ac:dyDescent="0.25" r="681" customHeight="1" ht="15.75">
      <c r="A681" s="8">
        <f>IFERROR(__xludf.DUMMYFUNCTION("""COMPUTED_VALUE"""),25051.0)</f>
      </c>
      <c r="B681" s="9">
        <f>IFERROR(__xludf.DUMMYFUNCTION("""COMPUTED_VALUE"""),"NOROESTE FLUMINENSE")</f>
      </c>
      <c r="C681" s="9">
        <f>IFERROR(__xludf.DUMMYFUNCTION("""COMPUTED_VALUE"""),"CE DOUTOR LEONEL HOMEM DA COSTA")</f>
      </c>
      <c r="D681" s="10">
        <f>IFERROR(__xludf.DUMMYFUNCTION("""COMPUTED_VALUE"""),0.7685)</f>
      </c>
      <c r="E681" s="10">
        <f>IFERROR(__xludf.DUMMYFUNCTION("""COMPUTED_VALUE"""),0.2337)</f>
      </c>
      <c r="F681" s="10">
        <f>IFERROR(__xludf.DUMMYFUNCTION("""COMPUTED_VALUE"""),0.6832)</f>
      </c>
      <c r="G681" s="10">
        <f>IFERROR(__xludf.DUMMYFUNCTION("""COMPUTED_VALUE"""),0.1276)</f>
      </c>
    </row>
    <row x14ac:dyDescent="0.25" r="682" customHeight="1" ht="15.75">
      <c r="A682" s="8">
        <f>IFERROR(__xludf.DUMMYFUNCTION("""COMPUTED_VALUE"""),25026.0)</f>
      </c>
      <c r="B682" s="9">
        <f>IFERROR(__xludf.DUMMYFUNCTION("""COMPUTED_VALUE"""),"NOROESTE FLUMINENSE")</f>
      </c>
      <c r="C682" s="9">
        <f>IFERROR(__xludf.DUMMYFUNCTION("""COMPUTED_VALUE"""),"CE ETELVINA ALVES DA SILVA")</f>
      </c>
      <c r="D682" s="10">
        <f>IFERROR(__xludf.DUMMYFUNCTION("""COMPUTED_VALUE"""),0.8846)</f>
      </c>
      <c r="E682" s="10">
        <f>IFERROR(__xludf.DUMMYFUNCTION("""COMPUTED_VALUE"""),0.2828)</f>
      </c>
      <c r="F682" s="10">
        <f>IFERROR(__xludf.DUMMYFUNCTION("""COMPUTED_VALUE"""),0.8846)</f>
      </c>
      <c r="G682" s="10">
        <f>IFERROR(__xludf.DUMMYFUNCTION("""COMPUTED_VALUE"""),0.217)</f>
      </c>
    </row>
    <row x14ac:dyDescent="0.25" r="683" customHeight="1" ht="15.75">
      <c r="A683" s="8">
        <f>IFERROR(__xludf.DUMMYFUNCTION("""COMPUTED_VALUE"""),25004.0)</f>
      </c>
      <c r="B683" s="9">
        <f>IFERROR(__xludf.DUMMYFUNCTION("""COMPUTED_VALUE"""),"NOROESTE FLUMINENSE")</f>
      </c>
      <c r="C683" s="9">
        <f>IFERROR(__xludf.DUMMYFUNCTION("""COMPUTED_VALUE"""),"CE EUCLIDES FELICIANO TARDIN")</f>
      </c>
      <c r="D683" s="10">
        <f>IFERROR(__xludf.DUMMYFUNCTION("""COMPUTED_VALUE"""),0.8098)</f>
      </c>
      <c r="E683" s="10">
        <f>IFERROR(__xludf.DUMMYFUNCTION("""COMPUTED_VALUE"""),0.2744)</f>
      </c>
      <c r="F683" s="10">
        <f>IFERROR(__xludf.DUMMYFUNCTION("""COMPUTED_VALUE"""),0.7446)</f>
      </c>
      <c r="G683" s="10">
        <f>IFERROR(__xludf.DUMMYFUNCTION("""COMPUTED_VALUE"""),0.2121)</f>
      </c>
    </row>
    <row x14ac:dyDescent="0.25" r="684" customHeight="1" ht="15.75">
      <c r="A684" s="8">
        <f>IFERROR(__xludf.DUMMYFUNCTION("""COMPUTED_VALUE"""),25043.0)</f>
      </c>
      <c r="B684" s="9">
        <f>IFERROR(__xludf.DUMMYFUNCTION("""COMPUTED_VALUE"""),"NOROESTE FLUMINENSE")</f>
      </c>
      <c r="C684" s="9">
        <f>IFERROR(__xludf.DUMMYFUNCTION("""COMPUTED_VALUE"""),"CE FLAVIO RIBEIRO DE REZENDE")</f>
      </c>
      <c r="D684" s="10">
        <f>IFERROR(__xludf.DUMMYFUNCTION("""COMPUTED_VALUE"""),0.9861)</f>
      </c>
      <c r="E684" s="10">
        <f>IFERROR(__xludf.DUMMYFUNCTION("""COMPUTED_VALUE"""),0.2486)</f>
      </c>
      <c r="F684" s="10">
        <f>IFERROR(__xludf.DUMMYFUNCTION("""COMPUTED_VALUE"""),0.9861)</f>
      </c>
      <c r="G684" s="10">
        <f>IFERROR(__xludf.DUMMYFUNCTION("""COMPUTED_VALUE"""),0.1715)</f>
      </c>
    </row>
    <row x14ac:dyDescent="0.25" r="685" customHeight="1" ht="15.75">
      <c r="A685" s="8">
        <f>IFERROR(__xludf.DUMMYFUNCTION("""COMPUTED_VALUE"""),25044.0)</f>
      </c>
      <c r="B685" s="9">
        <f>IFERROR(__xludf.DUMMYFUNCTION("""COMPUTED_VALUE"""),"NOROESTE FLUMINENSE")</f>
      </c>
      <c r="C685" s="9">
        <f>IFERROR(__xludf.DUMMYFUNCTION("""COMPUTED_VALUE"""),"CE FRANCISCO PORTELLA")</f>
      </c>
      <c r="D685" s="10">
        <f>IFERROR(__xludf.DUMMYFUNCTION("""COMPUTED_VALUE"""),0.9623)</f>
      </c>
      <c r="E685" s="10">
        <f>IFERROR(__xludf.DUMMYFUNCTION("""COMPUTED_VALUE"""),0.256)</f>
      </c>
      <c r="F685" s="10">
        <f>IFERROR(__xludf.DUMMYFUNCTION("""COMPUTED_VALUE"""),0.9434)</f>
      </c>
      <c r="G685" s="10">
        <f>IFERROR(__xludf.DUMMYFUNCTION("""COMPUTED_VALUE"""),0.2253)</f>
      </c>
    </row>
    <row x14ac:dyDescent="0.25" r="686" customHeight="1" ht="15.75">
      <c r="A686" s="8">
        <f>IFERROR(__xludf.DUMMYFUNCTION("""COMPUTED_VALUE"""),25016.0)</f>
      </c>
      <c r="B686" s="9">
        <f>IFERROR(__xludf.DUMMYFUNCTION("""COMPUTED_VALUE"""),"NOROESTE FLUMINENSE")</f>
      </c>
      <c r="C686" s="9">
        <f>IFERROR(__xludf.DUMMYFUNCTION("""COMPUTED_VALUE"""),"CE FREI TOMAS")</f>
      </c>
      <c r="D686" s="10">
        <f>IFERROR(__xludf.DUMMYFUNCTION("""COMPUTED_VALUE"""),0.9242)</f>
      </c>
      <c r="E686" s="10">
        <f>IFERROR(__xludf.DUMMYFUNCTION("""COMPUTED_VALUE"""),0.2412)</f>
      </c>
      <c r="F686" s="10">
        <f>IFERROR(__xludf.DUMMYFUNCTION("""COMPUTED_VALUE"""),0.7303)</f>
      </c>
      <c r="G686" s="10">
        <f>IFERROR(__xludf.DUMMYFUNCTION("""COMPUTED_VALUE"""),0.2305)</f>
      </c>
    </row>
    <row x14ac:dyDescent="0.25" r="687" customHeight="1" ht="15.75">
      <c r="A687" s="8">
        <f>IFERROR(__xludf.DUMMYFUNCTION("""COMPUTED_VALUE"""),25047.0)</f>
      </c>
      <c r="B687" s="9">
        <f>IFERROR(__xludf.DUMMYFUNCTION("""COMPUTED_VALUE"""),"NOROESTE FLUMINENSE")</f>
      </c>
      <c r="C687" s="9">
        <f>IFERROR(__xludf.DUMMYFUNCTION("""COMPUTED_VALUE"""),"CE GERALDINO SILVA")</f>
      </c>
      <c r="D687" s="10">
        <f>IFERROR(__xludf.DUMMYFUNCTION("""COMPUTED_VALUE"""),1.0)</f>
      </c>
      <c r="E687" s="10">
        <f>IFERROR(__xludf.DUMMYFUNCTION("""COMPUTED_VALUE"""),0.3006)</f>
      </c>
      <c r="F687" s="10">
        <f>IFERROR(__xludf.DUMMYFUNCTION("""COMPUTED_VALUE"""),1.0)</f>
      </c>
      <c r="G687" s="10">
        <f>IFERROR(__xludf.DUMMYFUNCTION("""COMPUTED_VALUE"""),0.2392)</f>
      </c>
    </row>
    <row x14ac:dyDescent="0.25" r="688" customHeight="1" ht="15.75">
      <c r="A688" s="8">
        <f>IFERROR(__xludf.DUMMYFUNCTION("""COMPUTED_VALUE"""),25005.0)</f>
      </c>
      <c r="B688" s="9">
        <f>IFERROR(__xludf.DUMMYFUNCTION("""COMPUTED_VALUE"""),"NOROESTE FLUMINENSE")</f>
      </c>
      <c r="C688" s="9">
        <f>IFERROR(__xludf.DUMMYFUNCTION("""COMPUTED_VALUE"""),"CE GOVERNADOR ROBERTO SILVEIRA")</f>
      </c>
      <c r="D688" s="10">
        <f>IFERROR(__xludf.DUMMYFUNCTION("""COMPUTED_VALUE"""),0.6901)</f>
      </c>
      <c r="E688" s="10">
        <f>IFERROR(__xludf.DUMMYFUNCTION("""COMPUTED_VALUE"""),0.1985)</f>
      </c>
      <c r="F688" s="10">
        <f>IFERROR(__xludf.DUMMYFUNCTION("""COMPUTED_VALUE"""),0.5882)</f>
      </c>
      <c r="G688" s="10">
        <f>IFERROR(__xludf.DUMMYFUNCTION("""COMPUTED_VALUE"""),0.246)</f>
      </c>
    </row>
    <row x14ac:dyDescent="0.25" r="689" customHeight="1" ht="15.75">
      <c r="A689" s="8">
        <f>IFERROR(__xludf.DUMMYFUNCTION("""COMPUTED_VALUE"""),25017.0)</f>
      </c>
      <c r="B689" s="9">
        <f>IFERROR(__xludf.DUMMYFUNCTION("""COMPUTED_VALUE"""),"NOROESTE FLUMINENSE")</f>
      </c>
      <c r="C689" s="9">
        <f>IFERROR(__xludf.DUMMYFUNCTION("""COMPUTED_VALUE"""),"CE JAIME QUEIROZ DE SOUZA")</f>
      </c>
      <c r="D689" s="10">
        <f>IFERROR(__xludf.DUMMYFUNCTION("""COMPUTED_VALUE"""),0.9508)</f>
      </c>
      <c r="E689" s="10">
        <f>IFERROR(__xludf.DUMMYFUNCTION("""COMPUTED_VALUE"""),0.271)</f>
      </c>
      <c r="F689" s="10">
        <f>IFERROR(__xludf.DUMMYFUNCTION("""COMPUTED_VALUE"""),0.8852)</f>
      </c>
      <c r="G689" s="10">
        <f>IFERROR(__xludf.DUMMYFUNCTION("""COMPUTED_VALUE"""),0.2413)</f>
      </c>
    </row>
    <row x14ac:dyDescent="0.25" r="690" customHeight="1" ht="15.75">
      <c r="A690" s="8">
        <f>IFERROR(__xludf.DUMMYFUNCTION("""COMPUTED_VALUE"""),25014.0)</f>
      </c>
      <c r="B690" s="9">
        <f>IFERROR(__xludf.DUMMYFUNCTION("""COMPUTED_VALUE"""),"NOROESTE FLUMINENSE")</f>
      </c>
      <c r="C690" s="9">
        <f>IFERROR(__xludf.DUMMYFUNCTION("""COMPUTED_VALUE"""),"CE JOAO GUIMARAES")</f>
      </c>
      <c r="D690" s="10">
        <f>IFERROR(__xludf.DUMMYFUNCTION("""COMPUTED_VALUE"""),0.8525)</f>
      </c>
      <c r="E690" s="10">
        <f>IFERROR(__xludf.DUMMYFUNCTION("""COMPUTED_VALUE"""),0.2727)</f>
      </c>
      <c r="F690" s="10">
        <f>IFERROR(__xludf.DUMMYFUNCTION("""COMPUTED_VALUE"""),0.6964)</f>
      </c>
      <c r="G690" s="10">
        <f>IFERROR(__xludf.DUMMYFUNCTION("""COMPUTED_VALUE"""),0.2538)</f>
      </c>
    </row>
    <row x14ac:dyDescent="0.25" r="691" customHeight="1" ht="15.75">
      <c r="A691" s="8">
        <f>IFERROR(__xludf.DUMMYFUNCTION("""COMPUTED_VALUE"""),25052.0)</f>
      </c>
      <c r="B691" s="9">
        <f>IFERROR(__xludf.DUMMYFUNCTION("""COMPUTED_VALUE"""),"NOROESTE FLUMINENSE")</f>
      </c>
      <c r="C691" s="9">
        <f>IFERROR(__xludf.DUMMYFUNCTION("""COMPUTED_VALUE"""),"CE JOAO MAURICIO BRUM")</f>
      </c>
      <c r="D691" s="10">
        <f>IFERROR(__xludf.DUMMYFUNCTION("""COMPUTED_VALUE"""),0.931)</f>
      </c>
      <c r="E691" s="10">
        <f>IFERROR(__xludf.DUMMYFUNCTION("""COMPUTED_VALUE"""),0.2771)</f>
      </c>
      <c r="F691" s="10">
        <f>IFERROR(__xludf.DUMMYFUNCTION("""COMPUTED_VALUE"""),0.9655)</f>
      </c>
      <c r="G691" s="10">
        <f>IFERROR(__xludf.DUMMYFUNCTION("""COMPUTED_VALUE"""),0.2205)</f>
      </c>
    </row>
    <row x14ac:dyDescent="0.25" r="692" customHeight="1" ht="15.75">
      <c r="A692" s="8">
        <f>IFERROR(__xludf.DUMMYFUNCTION("""COMPUTED_VALUE"""),25018.0)</f>
      </c>
      <c r="B692" s="9">
        <f>IFERROR(__xludf.DUMMYFUNCTION("""COMPUTED_VALUE"""),"NOROESTE FLUMINENSE")</f>
      </c>
      <c r="C692" s="9">
        <f>IFERROR(__xludf.DUMMYFUNCTION("""COMPUTED_VALUE"""),"CE JOHENIR HENRIQUES VIEGAS")</f>
      </c>
      <c r="D692" s="10">
        <f>IFERROR(__xludf.DUMMYFUNCTION("""COMPUTED_VALUE"""),1.0)</f>
      </c>
      <c r="E692" s="10">
        <f>IFERROR(__xludf.DUMMYFUNCTION("""COMPUTED_VALUE"""),0.2925)</f>
      </c>
      <c r="F692" s="10">
        <f>IFERROR(__xludf.DUMMYFUNCTION("""COMPUTED_VALUE"""),0.913)</f>
      </c>
      <c r="G692" s="10">
        <f>IFERROR(__xludf.DUMMYFUNCTION("""COMPUTED_VALUE"""),0.2306)</f>
      </c>
    </row>
    <row x14ac:dyDescent="0.25" r="693" customHeight="1" ht="15.75">
      <c r="A693" s="8">
        <f>IFERROR(__xludf.DUMMYFUNCTION("""COMPUTED_VALUE"""),25048.0)</f>
      </c>
      <c r="B693" s="9">
        <f>IFERROR(__xludf.DUMMYFUNCTION("""COMPUTED_VALUE"""),"NOROESTE FLUMINENSE")</f>
      </c>
      <c r="C693" s="9">
        <f>IFERROR(__xludf.DUMMYFUNCTION("""COMPUTED_VALUE"""),"CE JOSE DE LANNES DANTAS BRANDAO")</f>
      </c>
      <c r="D693" s="10">
        <f>IFERROR(__xludf.DUMMYFUNCTION("""COMPUTED_VALUE"""),0.8182)</f>
      </c>
      <c r="E693" s="10">
        <f>IFERROR(__xludf.DUMMYFUNCTION("""COMPUTED_VALUE"""),0.215)</f>
      </c>
      <c r="F693" s="10">
        <f>IFERROR(__xludf.DUMMYFUNCTION("""COMPUTED_VALUE"""),0.7381)</f>
      </c>
      <c r="G693" s="10">
        <f>IFERROR(__xludf.DUMMYFUNCTION("""COMPUTED_VALUE"""),0.2102)</f>
      </c>
    </row>
    <row x14ac:dyDescent="0.25" r="694" customHeight="1" ht="15.75">
      <c r="A694" s="8">
        <f>IFERROR(__xludf.DUMMYFUNCTION("""COMPUTED_VALUE"""),25027.0)</f>
      </c>
      <c r="B694" s="9">
        <f>IFERROR(__xludf.DUMMYFUNCTION("""COMPUTED_VALUE"""),"NOROESTE FLUMINENSE")</f>
      </c>
      <c r="C694" s="9">
        <f>IFERROR(__xludf.DUMMYFUNCTION("""COMPUTED_VALUE"""),"CE JOSE GARCIA DE FREITAS")</f>
      </c>
      <c r="D694" s="10">
        <f>IFERROR(__xludf.DUMMYFUNCTION("""COMPUTED_VALUE"""),0.7647)</f>
      </c>
      <c r="E694" s="10">
        <f>IFERROR(__xludf.DUMMYFUNCTION("""COMPUTED_VALUE"""),0.238)</f>
      </c>
      <c r="F694" s="10">
        <f>IFERROR(__xludf.DUMMYFUNCTION("""COMPUTED_VALUE"""),0.7647)</f>
      </c>
      <c r="G694" s="10">
        <f>IFERROR(__xludf.DUMMYFUNCTION("""COMPUTED_VALUE"""),0.215)</f>
      </c>
    </row>
    <row x14ac:dyDescent="0.25" r="695" customHeight="1" ht="15.75">
      <c r="A695" s="8">
        <f>IFERROR(__xludf.DUMMYFUNCTION("""COMPUTED_VALUE"""),25019.0)</f>
      </c>
      <c r="B695" s="9">
        <f>IFERROR(__xludf.DUMMYFUNCTION("""COMPUTED_VALUE"""),"NOROESTE FLUMINENSE")</f>
      </c>
      <c r="C695" s="9">
        <f>IFERROR(__xludf.DUMMYFUNCTION("""COMPUTED_VALUE"""),"CE LAURINDO PITA")</f>
      </c>
      <c r="D695" s="10">
        <f>IFERROR(__xludf.DUMMYFUNCTION("""COMPUTED_VALUE"""),1.0)</f>
      </c>
      <c r="E695" s="10">
        <f>IFERROR(__xludf.DUMMYFUNCTION("""COMPUTED_VALUE"""),0.313)</f>
      </c>
      <c r="F695" s="10">
        <f>IFERROR(__xludf.DUMMYFUNCTION("""COMPUTED_VALUE"""),0.8966)</f>
      </c>
      <c r="G695" s="10">
        <f>IFERROR(__xludf.DUMMYFUNCTION("""COMPUTED_VALUE"""),0.2558)</f>
      </c>
    </row>
    <row x14ac:dyDescent="0.25" r="696" customHeight="1" ht="15.75">
      <c r="A696" s="8">
        <f>IFERROR(__xludf.DUMMYFUNCTION("""COMPUTED_VALUE"""),25028.0)</f>
      </c>
      <c r="B696" s="9">
        <f>IFERROR(__xludf.DUMMYFUNCTION("""COMPUTED_VALUE"""),"NOROESTE FLUMINENSE")</f>
      </c>
      <c r="C696" s="9">
        <f>IFERROR(__xludf.DUMMYFUNCTION("""COMPUTED_VALUE"""),"CE LIONS CLUB")</f>
      </c>
      <c r="D696" s="10">
        <f>IFERROR(__xludf.DUMMYFUNCTION("""COMPUTED_VALUE"""),0.9479)</f>
      </c>
      <c r="E696" s="10">
        <f>IFERROR(__xludf.DUMMYFUNCTION("""COMPUTED_VALUE"""),0.2155)</f>
      </c>
      <c r="F696" s="10">
        <f>IFERROR(__xludf.DUMMYFUNCTION("""COMPUTED_VALUE"""),0.7163)</f>
      </c>
      <c r="G696" s="10">
        <f>IFERROR(__xludf.DUMMYFUNCTION("""COMPUTED_VALUE"""),0.2245)</f>
      </c>
    </row>
    <row x14ac:dyDescent="0.25" r="697" customHeight="1" ht="15.75">
      <c r="A697" s="8">
        <f>IFERROR(__xludf.DUMMYFUNCTION("""COMPUTED_VALUE"""),25001.0)</f>
      </c>
      <c r="B697" s="9">
        <f>IFERROR(__xludf.DUMMYFUNCTION("""COMPUTED_VALUE"""),"NOROESTE FLUMINENSE")</f>
      </c>
      <c r="C697" s="9">
        <f>IFERROR(__xludf.DUMMYFUNCTION("""COMPUTED_VALUE"""),"CE LOURENCA GUIMARAES")</f>
      </c>
      <c r="D697" s="10">
        <f>IFERROR(__xludf.DUMMYFUNCTION("""COMPUTED_VALUE"""),0.6709)</f>
      </c>
      <c r="E697" s="10">
        <f>IFERROR(__xludf.DUMMYFUNCTION("""COMPUTED_VALUE"""),0.2277)</f>
      </c>
      <c r="F697" s="10">
        <f>IFERROR(__xludf.DUMMYFUNCTION("""COMPUTED_VALUE"""),0.6053)</f>
      </c>
      <c r="G697" s="10">
        <f>IFERROR(__xludf.DUMMYFUNCTION("""COMPUTED_VALUE"""),0.207)</f>
      </c>
    </row>
    <row x14ac:dyDescent="0.25" r="698" customHeight="1" ht="15.75">
      <c r="A698" s="8">
        <f>IFERROR(__xludf.DUMMYFUNCTION("""COMPUTED_VALUE"""),25029.0)</f>
      </c>
      <c r="B698" s="9">
        <f>IFERROR(__xludf.DUMMYFUNCTION("""COMPUTED_VALUE"""),"NOROESTE FLUMINENSE")</f>
      </c>
      <c r="C698" s="9">
        <f>IFERROR(__xludf.DUMMYFUNCTION("""COMPUTED_VALUE"""),"CE LUIZ FERRAZ")</f>
      </c>
      <c r="D698" s="10">
        <f>IFERROR(__xludf.DUMMYFUNCTION("""COMPUTED_VALUE"""),0.9692)</f>
      </c>
      <c r="E698" s="10">
        <f>IFERROR(__xludf.DUMMYFUNCTION("""COMPUTED_VALUE"""),0.243)</f>
      </c>
      <c r="F698" s="10">
        <f>IFERROR(__xludf.DUMMYFUNCTION("""COMPUTED_VALUE"""),0.9077)</f>
      </c>
      <c r="G698" s="10">
        <f>IFERROR(__xludf.DUMMYFUNCTION("""COMPUTED_VALUE"""),0.2128)</f>
      </c>
    </row>
    <row x14ac:dyDescent="0.25" r="699" customHeight="1" ht="15.75">
      <c r="A699" s="8">
        <f>IFERROR(__xludf.DUMMYFUNCTION("""COMPUTED_VALUE"""),25006.0)</f>
      </c>
      <c r="B699" s="9">
        <f>IFERROR(__xludf.DUMMYFUNCTION("""COMPUTED_VALUE"""),"NOROESTE FLUMINENSE")</f>
      </c>
      <c r="C699" s="9">
        <f>IFERROR(__xludf.DUMMYFUNCTION("""COMPUTED_VALUE"""),"CE LUIZ TITO DE ALMEIDA")</f>
      </c>
      <c r="D699" s="10">
        <f>IFERROR(__xludf.DUMMYFUNCTION("""COMPUTED_VALUE"""),0.8421)</f>
      </c>
      <c r="E699" s="10">
        <f>IFERROR(__xludf.DUMMYFUNCTION("""COMPUTED_VALUE"""),0.2267)</f>
      </c>
      <c r="F699" s="10">
        <f>IFERROR(__xludf.DUMMYFUNCTION("""COMPUTED_VALUE"""),0.8158)</f>
      </c>
      <c r="G699" s="10">
        <f>IFERROR(__xludf.DUMMYFUNCTION("""COMPUTED_VALUE"""),0.1996)</f>
      </c>
    </row>
    <row x14ac:dyDescent="0.25" r="700" customHeight="1" ht="15.75">
      <c r="A700" s="8">
        <f>IFERROR(__xludf.DUMMYFUNCTION("""COMPUTED_VALUE"""),25038.0)</f>
      </c>
      <c r="B700" s="9">
        <f>IFERROR(__xludf.DUMMYFUNCTION("""COMPUTED_VALUE"""),"NOROESTE FLUMINENSE")</f>
      </c>
      <c r="C700" s="9">
        <f>IFERROR(__xludf.DUMMYFUNCTION("""COMPUTED_VALUE"""),"CE MANOEL RODRIGUES DE BARROS")</f>
      </c>
      <c r="D700" s="10">
        <f>IFERROR(__xludf.DUMMYFUNCTION("""COMPUTED_VALUE"""),0.7736)</f>
      </c>
      <c r="E700" s="10">
        <f>IFERROR(__xludf.DUMMYFUNCTION("""COMPUTED_VALUE"""),0.2508)</f>
      </c>
      <c r="F700" s="10">
        <f>IFERROR(__xludf.DUMMYFUNCTION("""COMPUTED_VALUE"""),0.8679)</f>
      </c>
      <c r="G700" s="10">
        <f>IFERROR(__xludf.DUMMYFUNCTION("""COMPUTED_VALUE"""),0.2657)</f>
      </c>
    </row>
    <row x14ac:dyDescent="0.25" r="701" customHeight="1" ht="15.75">
      <c r="A701" s="8">
        <f>IFERROR(__xludf.DUMMYFUNCTION("""COMPUTED_VALUE"""),25007.0)</f>
      </c>
      <c r="B701" s="9">
        <f>IFERROR(__xludf.DUMMYFUNCTION("""COMPUTED_VALUE"""),"NOROESTE FLUMINENSE")</f>
      </c>
      <c r="C701" s="9">
        <f>IFERROR(__xludf.DUMMYFUNCTION("""COMPUTED_VALUE"""),"CE MARCILIO DIAS")</f>
      </c>
      <c r="D701" s="10">
        <f>IFERROR(__xludf.DUMMYFUNCTION("""COMPUTED_VALUE"""),0.9286)</f>
      </c>
      <c r="E701" s="10">
        <f>IFERROR(__xludf.DUMMYFUNCTION("""COMPUTED_VALUE"""),0.2403)</f>
      </c>
      <c r="F701" s="10">
        <f>IFERROR(__xludf.DUMMYFUNCTION("""COMPUTED_VALUE"""),0.9286)</f>
      </c>
      <c r="G701" s="10">
        <f>IFERROR(__xludf.DUMMYFUNCTION("""COMPUTED_VALUE"""),0.2111)</f>
      </c>
    </row>
    <row x14ac:dyDescent="0.25" r="702" customHeight="1" ht="15.75">
      <c r="A702" s="8">
        <f>IFERROR(__xludf.DUMMYFUNCTION("""COMPUTED_VALUE"""),25008.0)</f>
      </c>
      <c r="B702" s="9">
        <f>IFERROR(__xludf.DUMMYFUNCTION("""COMPUTED_VALUE"""),"NOROESTE FLUMINENSE")</f>
      </c>
      <c r="C702" s="9">
        <f>IFERROR(__xludf.DUMMYFUNCTION("""COMPUTED_VALUE"""),"CE MARIA DA CONCEICAO PEREIRA PINTO")</f>
      </c>
      <c r="D702" s="10">
        <f>IFERROR(__xludf.DUMMYFUNCTION("""COMPUTED_VALUE"""),0.9167)</f>
      </c>
      <c r="E702" s="10">
        <f>IFERROR(__xludf.DUMMYFUNCTION("""COMPUTED_VALUE"""),0.223)</f>
      </c>
      <c r="F702" s="10">
        <f>IFERROR(__xludf.DUMMYFUNCTION("""COMPUTED_VALUE"""),1.0)</f>
      </c>
      <c r="G702" s="10">
        <f>IFERROR(__xludf.DUMMYFUNCTION("""COMPUTED_VALUE"""),0.2787)</f>
      </c>
    </row>
    <row x14ac:dyDescent="0.25" r="703" customHeight="1" ht="15.75">
      <c r="A703" s="8">
        <f>IFERROR(__xludf.DUMMYFUNCTION("""COMPUTED_VALUE"""),25058.0)</f>
      </c>
      <c r="B703" s="9">
        <f>IFERROR(__xludf.DUMMYFUNCTION("""COMPUTED_VALUE"""),"NOROESTE FLUMINENSE")</f>
      </c>
      <c r="C703" s="9">
        <f>IFERROR(__xludf.DUMMYFUNCTION("""COMPUTED_VALUE"""),"CE MARIA LENY VIEIRA FERREIRA SILVA")</f>
      </c>
      <c r="D703" s="10">
        <f>IFERROR(__xludf.DUMMYFUNCTION("""COMPUTED_VALUE"""),0.8621)</f>
      </c>
      <c r="E703" s="10">
        <f>IFERROR(__xludf.DUMMYFUNCTION("""COMPUTED_VALUE"""),0.2383)</f>
      </c>
      <c r="F703" s="10">
        <f>IFERROR(__xludf.DUMMYFUNCTION("""COMPUTED_VALUE"""),0.8276)</f>
      </c>
      <c r="G703" s="10">
        <f>IFERROR(__xludf.DUMMYFUNCTION("""COMPUTED_VALUE"""),0.2075)</f>
      </c>
    </row>
    <row x14ac:dyDescent="0.25" r="704" customHeight="1" ht="15.75">
      <c r="A704" s="8">
        <f>IFERROR(__xludf.DUMMYFUNCTION("""COMPUTED_VALUE"""),25030.0)</f>
      </c>
      <c r="B704" s="9">
        <f>IFERROR(__xludf.DUMMYFUNCTION("""COMPUTED_VALUE"""),"NOROESTE FLUMINENSE")</f>
      </c>
      <c r="C704" s="9">
        <f>IFERROR(__xludf.DUMMYFUNCTION("""COMPUTED_VALUE"""),"CE NICOLAO BASTOS FILHO")</f>
      </c>
      <c r="D704" s="10">
        <f>IFERROR(__xludf.DUMMYFUNCTION("""COMPUTED_VALUE"""),0.6923)</f>
      </c>
      <c r="E704" s="10">
        <f>IFERROR(__xludf.DUMMYFUNCTION("""COMPUTED_VALUE"""),0.2295)</f>
      </c>
      <c r="F704" s="10">
        <f>IFERROR(__xludf.DUMMYFUNCTION("""COMPUTED_VALUE"""),0.5882)</f>
      </c>
      <c r="G704" s="10">
        <f>IFERROR(__xludf.DUMMYFUNCTION("""COMPUTED_VALUE"""),0.2163)</f>
      </c>
    </row>
    <row x14ac:dyDescent="0.25" r="705" customHeight="1" ht="15.75">
      <c r="A705" s="8">
        <f>IFERROR(__xludf.DUMMYFUNCTION("""COMPUTED_VALUE"""),25011.0)</f>
      </c>
      <c r="B705" s="9">
        <f>IFERROR(__xludf.DUMMYFUNCTION("""COMPUTED_VALUE"""),"NOROESTE FLUMINENSE")</f>
      </c>
      <c r="C705" s="9">
        <f>IFERROR(__xludf.DUMMYFUNCTION("""COMPUTED_VALUE"""),"CE OSCAR BATISTA")</f>
      </c>
      <c r="D705" s="10">
        <f>IFERROR(__xludf.DUMMYFUNCTION("""COMPUTED_VALUE"""),0.9265)</f>
      </c>
      <c r="E705" s="10">
        <f>IFERROR(__xludf.DUMMYFUNCTION("""COMPUTED_VALUE"""),0.2643)</f>
      </c>
      <c r="F705" s="10">
        <f>IFERROR(__xludf.DUMMYFUNCTION("""COMPUTED_VALUE"""),0.4265)</f>
      </c>
      <c r="G705" s="10">
        <f>IFERROR(__xludf.DUMMYFUNCTION("""COMPUTED_VALUE"""),0.2062)</f>
      </c>
    </row>
    <row x14ac:dyDescent="0.25" r="706" customHeight="1" ht="15.75">
      <c r="A706" s="8">
        <f>IFERROR(__xludf.DUMMYFUNCTION("""COMPUTED_VALUE"""),25009.0)</f>
      </c>
      <c r="B706" s="9">
        <f>IFERROR(__xludf.DUMMYFUNCTION("""COMPUTED_VALUE"""),"NOROESTE FLUMINENSE")</f>
      </c>
      <c r="C706" s="9">
        <f>IFERROR(__xludf.DUMMYFUNCTION("""COMPUTED_VALUE"""),"CE PADRE MELLO")</f>
      </c>
      <c r="D706" s="10">
        <f>IFERROR(__xludf.DUMMYFUNCTION("""COMPUTED_VALUE"""),0.6905)</f>
      </c>
      <c r="E706" s="10">
        <f>IFERROR(__xludf.DUMMYFUNCTION("""COMPUTED_VALUE"""),0.2291)</f>
      </c>
      <c r="F706" s="10">
        <f>IFERROR(__xludf.DUMMYFUNCTION("""COMPUTED_VALUE"""),0.5952)</f>
      </c>
      <c r="G706" s="10">
        <f>IFERROR(__xludf.DUMMYFUNCTION("""COMPUTED_VALUE"""),0.2111)</f>
      </c>
    </row>
    <row x14ac:dyDescent="0.25" r="707" customHeight="1" ht="15.75">
      <c r="A707" s="8">
        <f>IFERROR(__xludf.DUMMYFUNCTION("""COMPUTED_VALUE"""),25053.0)</f>
      </c>
      <c r="B707" s="9">
        <f>IFERROR(__xludf.DUMMYFUNCTION("""COMPUTED_VALUE"""),"NOROESTE FLUMINENSE")</f>
      </c>
      <c r="C707" s="9">
        <f>IFERROR(__xludf.DUMMYFUNCTION("""COMPUTED_VALUE"""),"CE PEDRO BAPTISTA DE SOUZA")</f>
      </c>
      <c r="D707" s="10">
        <f>IFERROR(__xludf.DUMMYFUNCTION("""COMPUTED_VALUE"""),0.9732)</f>
      </c>
      <c r="E707" s="10">
        <f>IFERROR(__xludf.DUMMYFUNCTION("""COMPUTED_VALUE"""),0.2758)</f>
      </c>
      <c r="F707" s="10">
        <f>IFERROR(__xludf.DUMMYFUNCTION("""COMPUTED_VALUE"""),0.9268)</f>
      </c>
      <c r="G707" s="10">
        <f>IFERROR(__xludf.DUMMYFUNCTION("""COMPUTED_VALUE"""),0.2195)</f>
      </c>
    </row>
    <row x14ac:dyDescent="0.25" r="708" customHeight="1" ht="15.75">
      <c r="A708" s="8">
        <f>IFERROR(__xludf.DUMMYFUNCTION("""COMPUTED_VALUE"""),25039.0)</f>
      </c>
      <c r="B708" s="9">
        <f>IFERROR(__xludf.DUMMYFUNCTION("""COMPUTED_VALUE"""),"NOROESTE FLUMINENSE")</f>
      </c>
      <c r="C708" s="9">
        <f>IFERROR(__xludf.DUMMYFUNCTION("""COMPUTED_VALUE"""),"CE PROFESSORA SONIA DO AMARAL TORRES")</f>
      </c>
      <c r="D708" s="10">
        <f>IFERROR(__xludf.DUMMYFUNCTION("""COMPUTED_VALUE"""),1.0)</f>
      </c>
      <c r="E708" s="10">
        <f>IFERROR(__xludf.DUMMYFUNCTION("""COMPUTED_VALUE"""),0.2764)</f>
      </c>
      <c r="F708" s="10">
        <f>IFERROR(__xludf.DUMMYFUNCTION("""COMPUTED_VALUE"""),1.0)</f>
      </c>
      <c r="G708" s="10">
        <f>IFERROR(__xludf.DUMMYFUNCTION("""COMPUTED_VALUE"""),0.2101)</f>
      </c>
    </row>
    <row x14ac:dyDescent="0.25" r="709" customHeight="1" ht="15.75">
      <c r="A709" s="8">
        <f>IFERROR(__xludf.DUMMYFUNCTION("""COMPUTED_VALUE"""),25031.0)</f>
      </c>
      <c r="B709" s="9">
        <f>IFERROR(__xludf.DUMMYFUNCTION("""COMPUTED_VALUE"""),"NOROESTE FLUMINENSE")</f>
      </c>
      <c r="C709" s="9">
        <f>IFERROR(__xludf.DUMMYFUNCTION("""COMPUTED_VALUE"""),"CE ROMUALDO MONTEIRO DE BARROS")</f>
      </c>
      <c r="D709" s="10">
        <f>IFERROR(__xludf.DUMMYFUNCTION("""COMPUTED_VALUE"""),1.0)</f>
      </c>
      <c r="E709" s="10">
        <f>IFERROR(__xludf.DUMMYFUNCTION("""COMPUTED_VALUE"""),0.2744)</f>
      </c>
      <c r="F709" s="10">
        <f>IFERROR(__xludf.DUMMYFUNCTION("""COMPUTED_VALUE"""),0.8387)</f>
      </c>
      <c r="G709" s="10">
        <f>IFERROR(__xludf.DUMMYFUNCTION("""COMPUTED_VALUE"""),0.2196)</f>
      </c>
    </row>
    <row x14ac:dyDescent="0.25" r="710" customHeight="1" ht="15.75">
      <c r="A710" s="8">
        <f>IFERROR(__xludf.DUMMYFUNCTION("""COMPUTED_VALUE"""),25032.0)</f>
      </c>
      <c r="B710" s="9">
        <f>IFERROR(__xludf.DUMMYFUNCTION("""COMPUTED_VALUE"""),"NOROESTE FLUMINENSE")</f>
      </c>
      <c r="C710" s="9">
        <f>IFERROR(__xludf.DUMMYFUNCTION("""COMPUTED_VALUE"""),"CE ROTARY")</f>
      </c>
      <c r="D710" s="10">
        <f>IFERROR(__xludf.DUMMYFUNCTION("""COMPUTED_VALUE"""),0.9123)</f>
      </c>
      <c r="E710" s="10">
        <f>IFERROR(__xludf.DUMMYFUNCTION("""COMPUTED_VALUE"""),0.2763)</f>
      </c>
      <c r="F710" s="10">
        <f>IFERROR(__xludf.DUMMYFUNCTION("""COMPUTED_VALUE"""),0.6316)</f>
      </c>
      <c r="G710" s="10">
        <f>IFERROR(__xludf.DUMMYFUNCTION("""COMPUTED_VALUE"""),0.2184)</f>
      </c>
    </row>
    <row x14ac:dyDescent="0.25" r="711" customHeight="1" ht="15.75">
      <c r="A711" s="8">
        <f>IFERROR(__xludf.DUMMYFUNCTION("""COMPUTED_VALUE"""),25054.0)</f>
      </c>
      <c r="B711" s="9">
        <f>IFERROR(__xludf.DUMMYFUNCTION("""COMPUTED_VALUE"""),"NOROESTE FLUMINENSE")</f>
      </c>
      <c r="C711" s="9">
        <f>IFERROR(__xludf.DUMMYFUNCTION("""COMPUTED_VALUE"""),"CE RUI GUIMARÃES DE ALMEIDA")</f>
      </c>
      <c r="D711" s="10">
        <f>IFERROR(__xludf.DUMMYFUNCTION("""COMPUTED_VALUE"""),0.8765)</f>
      </c>
      <c r="E711" s="10">
        <f>IFERROR(__xludf.DUMMYFUNCTION("""COMPUTED_VALUE"""),0.3061)</f>
      </c>
      <c r="F711" s="10">
        <f>IFERROR(__xludf.DUMMYFUNCTION("""COMPUTED_VALUE"""),0.8889)</f>
      </c>
      <c r="G711" s="10">
        <f>IFERROR(__xludf.DUMMYFUNCTION("""COMPUTED_VALUE"""),0.2583)</f>
      </c>
    </row>
    <row x14ac:dyDescent="0.25" r="712" customHeight="1" ht="15.75">
      <c r="A712" s="8">
        <f>IFERROR(__xludf.DUMMYFUNCTION("""COMPUTED_VALUE"""),25033.0)</f>
      </c>
      <c r="B712" s="9">
        <f>IFERROR(__xludf.DUMMYFUNCTION("""COMPUTED_VALUE"""),"NOROESTE FLUMINENSE")</f>
      </c>
      <c r="C712" s="9">
        <f>IFERROR(__xludf.DUMMYFUNCTION("""COMPUTED_VALUE"""),"CE SENADOR SA TINOCO")</f>
      </c>
      <c r="D712" s="10">
        <f>IFERROR(__xludf.DUMMYFUNCTION("""COMPUTED_VALUE"""),1.0)</f>
      </c>
      <c r="E712" s="10">
        <f>IFERROR(__xludf.DUMMYFUNCTION("""COMPUTED_VALUE"""),0.2118)</f>
      </c>
      <c r="F712" s="10">
        <f>IFERROR(__xludf.DUMMYFUNCTION("""COMPUTED_VALUE"""),0.7333)</f>
      </c>
      <c r="G712" s="10">
        <f>IFERROR(__xludf.DUMMYFUNCTION("""COMPUTED_VALUE"""),0.2081)</f>
      </c>
    </row>
    <row x14ac:dyDescent="0.25" r="713" customHeight="1" ht="15.75">
      <c r="A713" s="8">
        <f>IFERROR(__xludf.DUMMYFUNCTION("""COMPUTED_VALUE"""),25055.0)</f>
      </c>
      <c r="B713" s="9">
        <f>IFERROR(__xludf.DUMMYFUNCTION("""COMPUTED_VALUE"""),"NOROESTE FLUMINENSE")</f>
      </c>
      <c r="C713" s="9">
        <f>IFERROR(__xludf.DUMMYFUNCTION("""COMPUTED_VALUE"""),"CE SUBTENENTE PM CLAUDIO HENTZY FERREIRA")</f>
      </c>
      <c r="D713" s="10">
        <f>IFERROR(__xludf.DUMMYFUNCTION("""COMPUTED_VALUE"""),0.98)</f>
      </c>
      <c r="E713" s="10">
        <f>IFERROR(__xludf.DUMMYFUNCTION("""COMPUTED_VALUE"""),0.2973)</f>
      </c>
      <c r="F713" s="10">
        <f>IFERROR(__xludf.DUMMYFUNCTION("""COMPUTED_VALUE"""),0.94)</f>
      </c>
      <c r="G713" s="10">
        <f>IFERROR(__xludf.DUMMYFUNCTION("""COMPUTED_VALUE"""),0.2269)</f>
      </c>
    </row>
    <row x14ac:dyDescent="0.25" r="714" customHeight="1" ht="15.75">
      <c r="A714" s="8">
        <f>IFERROR(__xludf.DUMMYFUNCTION("""COMPUTED_VALUE"""),25056.0)</f>
      </c>
      <c r="B714" s="9">
        <f>IFERROR(__xludf.DUMMYFUNCTION("""COMPUTED_VALUE"""),"NOROESTE FLUMINENSE")</f>
      </c>
      <c r="C714" s="9">
        <f>IFERROR(__xludf.DUMMYFUNCTION("""COMPUTED_VALUE"""),"CE TEMISTOCLES DE ALMEIDA")</f>
      </c>
      <c r="D714" s="10">
        <f>IFERROR(__xludf.DUMMYFUNCTION("""COMPUTED_VALUE"""),0.9167)</f>
      </c>
      <c r="E714" s="10">
        <f>IFERROR(__xludf.DUMMYFUNCTION("""COMPUTED_VALUE"""),0.2667)</f>
      </c>
      <c r="F714" s="10">
        <f>IFERROR(__xludf.DUMMYFUNCTION("""COMPUTED_VALUE"""),0.8611)</f>
      </c>
      <c r="G714" s="10">
        <f>IFERROR(__xludf.DUMMYFUNCTION("""COMPUTED_VALUE"""),0.2095)</f>
      </c>
    </row>
    <row x14ac:dyDescent="0.25" r="715" customHeight="1" ht="15.75">
      <c r="A715" s="8">
        <f>IFERROR(__xludf.DUMMYFUNCTION("""COMPUTED_VALUE"""),25012.0)</f>
      </c>
      <c r="B715" s="9">
        <f>IFERROR(__xludf.DUMMYFUNCTION("""COMPUTED_VALUE"""),"NOROESTE FLUMINENSE")</f>
      </c>
      <c r="C715" s="9">
        <f>IFERROR(__xludf.DUMMYFUNCTION("""COMPUTED_VALUE"""),"CE WALDEMIRO PITA")</f>
      </c>
      <c r="D715" s="10">
        <f>IFERROR(__xludf.DUMMYFUNCTION("""COMPUTED_VALUE"""),1.0)</f>
      </c>
      <c r="E715" s="10">
        <f>IFERROR(__xludf.DUMMYFUNCTION("""COMPUTED_VALUE"""),0.2302)</f>
      </c>
      <c r="F715" s="10">
        <f>IFERROR(__xludf.DUMMYFUNCTION("""COMPUTED_VALUE"""),0.7143)</f>
      </c>
      <c r="G715" s="10">
        <f>IFERROR(__xludf.DUMMYFUNCTION("""COMPUTED_VALUE"""),0.1998)</f>
      </c>
    </row>
    <row x14ac:dyDescent="0.25" r="716" customHeight="1" ht="15.75">
      <c r="A716" s="8">
        <f>IFERROR(__xludf.DUMMYFUNCTION("""COMPUTED_VALUE"""),25015.0)</f>
      </c>
      <c r="B716" s="9">
        <f>IFERROR(__xludf.DUMMYFUNCTION("""COMPUTED_VALUE"""),"NOROESTE FLUMINENSE")</f>
      </c>
      <c r="C716" s="9">
        <f>IFERROR(__xludf.DUMMYFUNCTION("""COMPUTED_VALUE"""),"CIEP 141 VEREADOR SAID TANUS JOSÉ")</f>
      </c>
      <c r="D716" s="10">
        <f>IFERROR(__xludf.DUMMYFUNCTION("""COMPUTED_VALUE"""),0.9649)</f>
      </c>
      <c r="E716" s="10">
        <f>IFERROR(__xludf.DUMMYFUNCTION("""COMPUTED_VALUE"""),0.3487)</f>
      </c>
      <c r="F716" s="10">
        <f>IFERROR(__xludf.DUMMYFUNCTION("""COMPUTED_VALUE"""),0.9123)</f>
      </c>
      <c r="G716" s="10">
        <f>IFERROR(__xludf.DUMMYFUNCTION("""COMPUTED_VALUE"""),0.2516)</f>
      </c>
    </row>
    <row x14ac:dyDescent="0.25" r="717" customHeight="1" ht="15.75">
      <c r="A717" s="8">
        <f>IFERROR(__xludf.DUMMYFUNCTION("""COMPUTED_VALUE"""),25035.0)</f>
      </c>
      <c r="B717" s="9">
        <f>IFERROR(__xludf.DUMMYFUNCTION("""COMPUTED_VALUE"""),"NOROESTE FLUMINENSE")</f>
      </c>
      <c r="C717" s="9">
        <f>IFERROR(__xludf.DUMMYFUNCTION("""COMPUTED_VALUE"""),"CIEP 263 DOUTOR JAIR DE SIQUEIRA BITTENCOURT")</f>
      </c>
      <c r="D717" s="10">
        <f>IFERROR(__xludf.DUMMYFUNCTION("""COMPUTED_VALUE"""),0.9335)</f>
      </c>
      <c r="E717" s="10">
        <f>IFERROR(__xludf.DUMMYFUNCTION("""COMPUTED_VALUE"""),0.2587)</f>
      </c>
      <c r="F717" s="10">
        <f>IFERROR(__xludf.DUMMYFUNCTION("""COMPUTED_VALUE"""),0.8202)</f>
      </c>
      <c r="G717" s="10">
        <f>IFERROR(__xludf.DUMMYFUNCTION("""COMPUTED_VALUE"""),0.2106)</f>
      </c>
    </row>
    <row x14ac:dyDescent="0.25" r="718" customHeight="1" ht="15.75">
      <c r="A718" s="8">
        <f>IFERROR(__xludf.DUMMYFUNCTION("""COMPUTED_VALUE"""),25040.0)</f>
      </c>
      <c r="B718" s="9">
        <f>IFERROR(__xludf.DUMMYFUNCTION("""COMPUTED_VALUE"""),"NOROESTE FLUMINENSE")</f>
      </c>
      <c r="C718" s="9">
        <f>IFERROR(__xludf.DUMMYFUNCTION("""COMPUTED_VALUE"""),"CIEP 267 MARIA APARECIDA LIMA SOUTO TOSTES")</f>
      </c>
      <c r="D718" s="10">
        <f>IFERROR(__xludf.DUMMYFUNCTION("""COMPUTED_VALUE"""),0.7959)</f>
      </c>
      <c r="E718" s="10">
        <f>IFERROR(__xludf.DUMMYFUNCTION("""COMPUTED_VALUE"""),0.3157)</f>
      </c>
      <c r="F718" s="10">
        <f>IFERROR(__xludf.DUMMYFUNCTION("""COMPUTED_VALUE"""),0.6531)</f>
      </c>
      <c r="G718" s="10">
        <f>IFERROR(__xludf.DUMMYFUNCTION("""COMPUTED_VALUE"""),0.2599)</f>
      </c>
    </row>
    <row x14ac:dyDescent="0.25" r="719" customHeight="1" ht="15.75">
      <c r="A719" s="8">
        <f>IFERROR(__xludf.DUMMYFUNCTION("""COMPUTED_VALUE"""),25020.0)</f>
      </c>
      <c r="B719" s="9">
        <f>IFERROR(__xludf.DUMMYFUNCTION("""COMPUTED_VALUE"""),"NOROESTE FLUMINENSE")</f>
      </c>
      <c r="C719" s="9">
        <f>IFERROR(__xludf.DUMMYFUNCTION("""COMPUTED_VALUE"""),"CIEP 275 LENINE CORTES FALANTE")</f>
      </c>
      <c r="D719" s="10">
        <f>IFERROR(__xludf.DUMMYFUNCTION("""COMPUTED_VALUE"""),0.775)</f>
      </c>
      <c r="E719" s="10">
        <f>IFERROR(__xludf.DUMMYFUNCTION("""COMPUTED_VALUE"""),0.2877)</f>
      </c>
      <c r="F719" s="10">
        <f>IFERROR(__xludf.DUMMYFUNCTION("""COMPUTED_VALUE"""),0.7063)</f>
      </c>
      <c r="G719" s="10">
        <f>IFERROR(__xludf.DUMMYFUNCTION("""COMPUTED_VALUE"""),0.2465)</f>
      </c>
    </row>
    <row x14ac:dyDescent="0.25" r="720" customHeight="1" ht="15.75">
      <c r="A720" s="8">
        <f>IFERROR(__xludf.DUMMYFUNCTION("""COMPUTED_VALUE"""),25013.0)</f>
      </c>
      <c r="B720" s="9">
        <f>IFERROR(__xludf.DUMMYFUNCTION("""COMPUTED_VALUE"""),"NOROESTE FLUMINENSE")</f>
      </c>
      <c r="C720" s="9">
        <f>IFERROR(__xludf.DUMMYFUNCTION("""COMPUTED_VALUE"""),"CIEP 276 ERNESTO PAIVA")</f>
      </c>
      <c r="D720" s="10">
        <f>IFERROR(__xludf.DUMMYFUNCTION("""COMPUTED_VALUE"""),0.8788)</f>
      </c>
      <c r="E720" s="10">
        <f>IFERROR(__xludf.DUMMYFUNCTION("""COMPUTED_VALUE"""),0.2537)</f>
      </c>
      <c r="F720" s="10">
        <f>IFERROR(__xludf.DUMMYFUNCTION("""COMPUTED_VALUE"""),0.8788)</f>
      </c>
      <c r="G720" s="10">
        <f>IFERROR(__xludf.DUMMYFUNCTION("""COMPUTED_VALUE"""),0.1969)</f>
      </c>
    </row>
    <row x14ac:dyDescent="0.25" r="721" customHeight="1" ht="15.75">
      <c r="A721" s="8">
        <f>IFERROR(__xludf.DUMMYFUNCTION("""COMPUTED_VALUE"""),25036.0)</f>
      </c>
      <c r="B721" s="9">
        <f>IFERROR(__xludf.DUMMYFUNCTION("""COMPUTED_VALUE"""),"NOROESTE FLUMINENSE")</f>
      </c>
      <c r="C721" s="9">
        <f>IFERROR(__xludf.DUMMYFUNCTION("""COMPUTED_VALUE"""),"CIEP 343 PROFESSORA EMILIA DINIZ LIGIERO")</f>
      </c>
      <c r="D721" s="10">
        <f>IFERROR(__xludf.DUMMYFUNCTION("""COMPUTED_VALUE"""),0.9141)</f>
      </c>
      <c r="E721" s="10">
        <f>IFERROR(__xludf.DUMMYFUNCTION("""COMPUTED_VALUE"""),0.2427)</f>
      </c>
      <c r="F721" s="10">
        <f>IFERROR(__xludf.DUMMYFUNCTION("""COMPUTED_VALUE"""),0.876)</f>
      </c>
      <c r="G721" s="10">
        <f>IFERROR(__xludf.DUMMYFUNCTION("""COMPUTED_VALUE"""),0.2143)</f>
      </c>
    </row>
    <row x14ac:dyDescent="0.25" r="722" customHeight="1" ht="15.75">
      <c r="A722" s="8">
        <f>IFERROR(__xludf.DUMMYFUNCTION("""COMPUTED_VALUE"""),25002.0)</f>
      </c>
      <c r="B722" s="9">
        <f>IFERROR(__xludf.DUMMYFUNCTION("""COMPUTED_VALUE"""),"NOROESTE FLUMINENSE")</f>
      </c>
      <c r="C722" s="9">
        <f>IFERROR(__xludf.DUMMYFUNCTION("""COMPUTED_VALUE"""),"CIEP 419 BENIGNO BAIRRAL")</f>
      </c>
      <c r="D722" s="10">
        <f>IFERROR(__xludf.DUMMYFUNCTION("""COMPUTED_VALUE"""),0.9412)</f>
      </c>
      <c r="E722" s="10">
        <f>IFERROR(__xludf.DUMMYFUNCTION("""COMPUTED_VALUE"""),0.2366)</f>
      </c>
      <c r="F722" s="10">
        <f>IFERROR(__xludf.DUMMYFUNCTION("""COMPUTED_VALUE"""),0.9412)</f>
      </c>
      <c r="G722" s="10">
        <f>IFERROR(__xludf.DUMMYFUNCTION("""COMPUTED_VALUE"""),0.211)</f>
      </c>
    </row>
    <row x14ac:dyDescent="0.25" r="723" customHeight="1" ht="15.75">
      <c r="A723" s="8">
        <f>IFERROR(__xludf.DUMMYFUNCTION("""COMPUTED_VALUE"""),25045.0)</f>
      </c>
      <c r="B723" s="9">
        <f>IFERROR(__xludf.DUMMYFUNCTION("""COMPUTED_VALUE"""),"NOROESTE FLUMINENSE")</f>
      </c>
      <c r="C723" s="9">
        <f>IFERROR(__xludf.DUMMYFUNCTION("""COMPUTED_VALUE"""),"CIEP 468 OLGA THURLER MENDONÇA DA FONSECA")</f>
      </c>
      <c r="D723" s="10">
        <f>IFERROR(__xludf.DUMMYFUNCTION("""COMPUTED_VALUE"""),0.9032)</f>
      </c>
      <c r="E723" s="10">
        <f>IFERROR(__xludf.DUMMYFUNCTION("""COMPUTED_VALUE"""),0.267)</f>
      </c>
      <c r="F723" s="10">
        <f>IFERROR(__xludf.DUMMYFUNCTION("""COMPUTED_VALUE"""),0.9032)</f>
      </c>
      <c r="G723" s="10">
        <f>IFERROR(__xludf.DUMMYFUNCTION("""COMPUTED_VALUE"""),0.2191)</f>
      </c>
    </row>
    <row x14ac:dyDescent="0.25" r="724" customHeight="1" ht="15.75">
      <c r="A724" s="8">
        <f>IFERROR(__xludf.DUMMYFUNCTION("""COMPUTED_VALUE"""),25059.0)</f>
      </c>
      <c r="B724" s="9">
        <f>IFERROR(__xludf.DUMMYFUNCTION("""COMPUTED_VALUE"""),"NOROESTE FLUMINENSE")</f>
      </c>
      <c r="C724" s="9">
        <f>IFERROR(__xludf.DUMMYFUNCTION("""COMPUTED_VALUE"""),"CIEP MARLENE ABIB DE OLIVEIRA FABRI")</f>
      </c>
      <c r="D724" s="10">
        <f>IFERROR(__xludf.DUMMYFUNCTION("""COMPUTED_VALUE"""),0.9091)</f>
      </c>
      <c r="E724" s="10">
        <f>IFERROR(__xludf.DUMMYFUNCTION("""COMPUTED_VALUE"""),0.2447)</f>
      </c>
      <c r="F724" s="10">
        <f>IFERROR(__xludf.DUMMYFUNCTION("""COMPUTED_VALUE"""),0.8125)</f>
      </c>
      <c r="G724" s="10">
        <f>IFERROR(__xludf.DUMMYFUNCTION("""COMPUTED_VALUE"""),0.2133)</f>
      </c>
    </row>
    <row x14ac:dyDescent="0.25" r="725" customHeight="1" ht="15.75">
      <c r="A725" s="8">
        <f>IFERROR(__xludf.DUMMYFUNCTION("""COMPUTED_VALUE"""),25041.0)</f>
      </c>
      <c r="B725" s="9">
        <f>IFERROR(__xludf.DUMMYFUNCTION("""COMPUTED_VALUE"""),"NOROESTE FLUMINENSE")</f>
      </c>
      <c r="C725" s="9">
        <f>IFERROR(__xludf.DUMMYFUNCTION("""COMPUTED_VALUE"""),"IE DE MIRACEMA")</f>
      </c>
      <c r="D725" s="10">
        <f>IFERROR(__xludf.DUMMYFUNCTION("""COMPUTED_VALUE"""),0.9842)</f>
      </c>
      <c r="E725" s="10">
        <f>IFERROR(__xludf.DUMMYFUNCTION("""COMPUTED_VALUE"""),0.2478)</f>
      </c>
      <c r="F725" s="10">
        <f>IFERROR(__xludf.DUMMYFUNCTION("""COMPUTED_VALUE"""),0.9053)</f>
      </c>
      <c r="G725" s="10">
        <f>IFERROR(__xludf.DUMMYFUNCTION("""COMPUTED_VALUE"""),0.2315)</f>
      </c>
    </row>
    <row x14ac:dyDescent="0.25" r="726" customHeight="1" ht="15.75">
      <c r="A726" s="8">
        <f>IFERROR(__xludf.DUMMYFUNCTION("""COMPUTED_VALUE"""),25010.0)</f>
      </c>
      <c r="B726" s="9">
        <f>IFERROR(__xludf.DUMMYFUNCTION("""COMPUTED_VALUE"""),"NOROESTE FLUMINENSE")</f>
      </c>
      <c r="C726" s="9">
        <f>IFERROR(__xludf.DUMMYFUNCTION("""COMPUTED_VALUE"""),"IE EBER TEIXEIRA DE FIGUEIREDO")</f>
      </c>
      <c r="D726" s="10">
        <f>IFERROR(__xludf.DUMMYFUNCTION("""COMPUTED_VALUE"""),0.72)</f>
      </c>
      <c r="E726" s="10">
        <f>IFERROR(__xludf.DUMMYFUNCTION("""COMPUTED_VALUE"""),0.2584)</f>
      </c>
      <c r="F726" s="10">
        <f>IFERROR(__xludf.DUMMYFUNCTION("""COMPUTED_VALUE"""),0.86)</f>
      </c>
      <c r="G726" s="10">
        <f>IFERROR(__xludf.DUMMYFUNCTION("""COMPUTED_VALUE"""),0.2109)</f>
      </c>
    </row>
    <row x14ac:dyDescent="0.25" r="727" customHeight="1" ht="15.75">
      <c r="A727" s="8">
        <f>IFERROR(__xludf.DUMMYFUNCTION("""COMPUTED_VALUE"""),25049.0)</f>
      </c>
      <c r="B727" s="9">
        <f>IFERROR(__xludf.DUMMYFUNCTION("""COMPUTED_VALUE"""),"NOROESTE FLUMINENSE")</f>
      </c>
      <c r="C727" s="9">
        <f>IFERROR(__xludf.DUMMYFUNCTION("""COMPUTED_VALUE"""),"IE ELIANA DUARTE DA SILVA BREIJAO")</f>
      </c>
      <c r="D727" s="10">
        <f>IFERROR(__xludf.DUMMYFUNCTION("""COMPUTED_VALUE"""),0.9286)</f>
      </c>
      <c r="E727" s="10">
        <f>IFERROR(__xludf.DUMMYFUNCTION("""COMPUTED_VALUE"""),0.2409)</f>
      </c>
      <c r="F727" s="10">
        <f>IFERROR(__xludf.DUMMYFUNCTION("""COMPUTED_VALUE"""),0.8643)</f>
      </c>
      <c r="G727" s="10">
        <f>IFERROR(__xludf.DUMMYFUNCTION("""COMPUTED_VALUE"""),0.2069)</f>
      </c>
    </row>
    <row x14ac:dyDescent="0.25" r="728" customHeight="1" ht="15.75">
      <c r="A728" s="8">
        <f>IFERROR(__xludf.DUMMYFUNCTION("""COMPUTED_VALUE"""),25149.0)</f>
      </c>
      <c r="B728" s="9">
        <f>IFERROR(__xludf.DUMMYFUNCTION("""COMPUTED_VALUE"""),"NORTE FLUMINENSE")</f>
      </c>
      <c r="C728" s="9">
        <f>IFERROR(__xludf.DUMMYFUNCTION("""COMPUTED_VALUE"""),"CE ADMARDO ALVES TORRES")</f>
      </c>
      <c r="D728" s="10">
        <f>IFERROR(__xludf.DUMMYFUNCTION("""COMPUTED_VALUE"""),0.9504)</f>
      </c>
      <c r="E728" s="10">
        <f>IFERROR(__xludf.DUMMYFUNCTION("""COMPUTED_VALUE"""),0.2067)</f>
      </c>
      <c r="F728" s="10">
        <f>IFERROR(__xludf.DUMMYFUNCTION("""COMPUTED_VALUE"""),0.7073)</f>
      </c>
      <c r="G728" s="10">
        <f>IFERROR(__xludf.DUMMYFUNCTION("""COMPUTED_VALUE"""),0.1998)</f>
      </c>
    </row>
    <row x14ac:dyDescent="0.25" r="729" customHeight="1" ht="15.75">
      <c r="A729" s="8">
        <f>IFERROR(__xludf.DUMMYFUNCTION("""COMPUTED_VALUE"""),25141.0)</f>
      </c>
      <c r="B729" s="9">
        <f>IFERROR(__xludf.DUMMYFUNCTION("""COMPUTED_VALUE"""),"NORTE FLUMINENSE")</f>
      </c>
      <c r="C729" s="9">
        <f>IFERROR(__xludf.DUMMYFUNCTION("""COMPUTED_VALUE"""),"CE AGOSTINHO CHRYZANTO DE ARAUJO")</f>
      </c>
      <c r="D729" s="10">
        <f>IFERROR(__xludf.DUMMYFUNCTION("""COMPUTED_VALUE"""),0.9778)</f>
      </c>
      <c r="E729" s="10">
        <f>IFERROR(__xludf.DUMMYFUNCTION("""COMPUTED_VALUE"""),0.3013)</f>
      </c>
      <c r="F729" s="10">
        <f>IFERROR(__xludf.DUMMYFUNCTION("""COMPUTED_VALUE"""),0.9468)</f>
      </c>
      <c r="G729" s="10">
        <f>IFERROR(__xludf.DUMMYFUNCTION("""COMPUTED_VALUE"""),0.218)</f>
      </c>
    </row>
    <row x14ac:dyDescent="0.25" r="730" customHeight="1" ht="15.75">
      <c r="A730" s="8">
        <f>IFERROR(__xludf.DUMMYFUNCTION("""COMPUTED_VALUE"""),25150.0)</f>
      </c>
      <c r="B730" s="9">
        <f>IFERROR(__xludf.DUMMYFUNCTION("""COMPUTED_VALUE"""),"NORTE FLUMINENSE")</f>
      </c>
      <c r="C730" s="9">
        <f>IFERROR(__xludf.DUMMYFUNCTION("""COMPUTED_VALUE"""),"CE ALBERTO TORRES")</f>
      </c>
      <c r="D730" s="10">
        <f>IFERROR(__xludf.DUMMYFUNCTION("""COMPUTED_VALUE"""),0.8226)</f>
      </c>
      <c r="E730" s="10">
        <f>IFERROR(__xludf.DUMMYFUNCTION("""COMPUTED_VALUE"""),0.2672)</f>
      </c>
      <c r="F730" s="10">
        <f>IFERROR(__xludf.DUMMYFUNCTION("""COMPUTED_VALUE"""),0.8125)</f>
      </c>
      <c r="G730" s="10">
        <f>IFERROR(__xludf.DUMMYFUNCTION("""COMPUTED_VALUE"""),0.2317)</f>
      </c>
    </row>
    <row x14ac:dyDescent="0.25" r="731" customHeight="1" ht="15.75">
      <c r="A731" s="8">
        <f>IFERROR(__xludf.DUMMYFUNCTION("""COMPUTED_VALUE"""),25060.0)</f>
      </c>
      <c r="B731" s="9">
        <f>IFERROR(__xludf.DUMMYFUNCTION("""COMPUTED_VALUE"""),"NORTE FLUMINENSE")</f>
      </c>
      <c r="C731" s="9">
        <f>IFERROR(__xludf.DUMMYFUNCTION("""COMPUTED_VALUE"""),"CE ALCEBIADES SCHUARTZ")</f>
      </c>
      <c r="D731" s="10">
        <f>IFERROR(__xludf.DUMMYFUNCTION("""COMPUTED_VALUE"""),0.7619)</f>
      </c>
      <c r="E731" s="10">
        <f>IFERROR(__xludf.DUMMYFUNCTION("""COMPUTED_VALUE"""),0.2038)</f>
      </c>
      <c r="F731" s="10">
        <f>IFERROR(__xludf.DUMMYFUNCTION("""COMPUTED_VALUE"""),0.5536)</f>
      </c>
      <c r="G731" s="10">
        <f>IFERROR(__xludf.DUMMYFUNCTION("""COMPUTED_VALUE"""),0.1966)</f>
      </c>
    </row>
    <row x14ac:dyDescent="0.25" r="732" customHeight="1" ht="15.75">
      <c r="A732" s="8">
        <f>IFERROR(__xludf.DUMMYFUNCTION("""COMPUTED_VALUE"""),25061.0)</f>
      </c>
      <c r="B732" s="9">
        <f>IFERROR(__xludf.DUMMYFUNCTION("""COMPUTED_VALUE"""),"NORTE FLUMINENSE")</f>
      </c>
      <c r="C732" s="9">
        <f>IFERROR(__xludf.DUMMYFUNCTION("""COMPUTED_VALUE"""),"CE ALMIRANTE BARROSO")</f>
      </c>
      <c r="D732" s="10">
        <f>IFERROR(__xludf.DUMMYFUNCTION("""COMPUTED_VALUE"""),0.6573)</f>
      </c>
      <c r="E732" s="10">
        <f>IFERROR(__xludf.DUMMYFUNCTION("""COMPUTED_VALUE"""),0.2258)</f>
      </c>
      <c r="F732" s="10">
        <f>IFERROR(__xludf.DUMMYFUNCTION("""COMPUTED_VALUE"""),0.8242)</f>
      </c>
      <c r="G732" s="10">
        <f>IFERROR(__xludf.DUMMYFUNCTION("""COMPUTED_VALUE"""),0.2042)</f>
      </c>
    </row>
    <row x14ac:dyDescent="0.25" r="733" customHeight="1" ht="15.75">
      <c r="A733" s="8">
        <f>IFERROR(__xludf.DUMMYFUNCTION("""COMPUTED_VALUE"""),25142.0)</f>
      </c>
      <c r="B733" s="9">
        <f>IFERROR(__xludf.DUMMYFUNCTION("""COMPUTED_VALUE"""),"NORTE FLUMINENSE")</f>
      </c>
      <c r="C733" s="9">
        <f>IFERROR(__xludf.DUMMYFUNCTION("""COMPUTED_VALUE"""),"CE ANA NUNES VIANA")</f>
      </c>
      <c r="D733" s="10">
        <f>IFERROR(__xludf.DUMMYFUNCTION("""COMPUTED_VALUE"""),0.8727)</f>
      </c>
      <c r="E733" s="10">
        <f>IFERROR(__xludf.DUMMYFUNCTION("""COMPUTED_VALUE"""),0.2438)</f>
      </c>
      <c r="F733" s="10">
        <f>IFERROR(__xludf.DUMMYFUNCTION("""COMPUTED_VALUE"""),0.7419)</f>
      </c>
      <c r="G733" s="10">
        <f>IFERROR(__xludf.DUMMYFUNCTION("""COMPUTED_VALUE"""),0.209)</f>
      </c>
    </row>
    <row x14ac:dyDescent="0.25" r="734" customHeight="1" ht="15.75">
      <c r="A734" s="8">
        <f>IFERROR(__xludf.DUMMYFUNCTION("""COMPUTED_VALUE"""),25062.0)</f>
      </c>
      <c r="B734" s="9">
        <f>IFERROR(__xludf.DUMMYFUNCTION("""COMPUTED_VALUE"""),"NORTE FLUMINENSE")</f>
      </c>
      <c r="C734" s="9">
        <f>IFERROR(__xludf.DUMMYFUNCTION("""COMPUTED_VALUE"""),"CE ATILANO CHRYSOSTOMO DE OLIVEIRA")</f>
      </c>
      <c r="D734" s="10">
        <f>IFERROR(__xludf.DUMMYFUNCTION("""COMPUTED_VALUE"""),1.0)</f>
      </c>
      <c r="E734" s="10">
        <f>IFERROR(__xludf.DUMMYFUNCTION("""COMPUTED_VALUE"""),0.1877)</f>
      </c>
      <c r="F734" s="10">
        <f>IFERROR(__xludf.DUMMYFUNCTION("""COMPUTED_VALUE"""),1.0)</f>
      </c>
      <c r="G734" s="10">
        <f>IFERROR(__xludf.DUMMYFUNCTION("""COMPUTED_VALUE"""),0.1296)</f>
      </c>
    </row>
    <row x14ac:dyDescent="0.25" r="735" customHeight="1" ht="15.75">
      <c r="A735" s="8">
        <f>IFERROR(__xludf.DUMMYFUNCTION("""COMPUTED_VALUE"""),25110.0)</f>
      </c>
      <c r="B735" s="9">
        <f>IFERROR(__xludf.DUMMYFUNCTION("""COMPUTED_VALUE"""),"NORTE FLUMINENSE")</f>
      </c>
      <c r="C735" s="9">
        <f>IFERROR(__xludf.DUMMYFUNCTION("""COMPUTED_VALUE"""),"CE BALTAZAR CARNEIRO")</f>
      </c>
      <c r="D735" s="10">
        <f>IFERROR(__xludf.DUMMYFUNCTION("""COMPUTED_VALUE"""),0.986)</f>
      </c>
      <c r="E735" s="10">
        <f>IFERROR(__xludf.DUMMYFUNCTION("""COMPUTED_VALUE"""),0.2084)</f>
      </c>
      <c r="F735" s="10">
        <f>IFERROR(__xludf.DUMMYFUNCTION("""COMPUTED_VALUE"""),0.5888)</f>
      </c>
      <c r="G735" s="10">
        <f>IFERROR(__xludf.DUMMYFUNCTION("""COMPUTED_VALUE"""),0.2147)</f>
      </c>
    </row>
    <row x14ac:dyDescent="0.25" r="736" customHeight="1" ht="15.75">
      <c r="A736" s="8">
        <f>IFERROR(__xludf.DUMMYFUNCTION("""COMPUTED_VALUE"""),25135.0)</f>
      </c>
      <c r="B736" s="9">
        <f>IFERROR(__xludf.DUMMYFUNCTION("""COMPUTED_VALUE"""),"NORTE FLUMINENSE")</f>
      </c>
      <c r="C736" s="9">
        <f>IFERROR(__xludf.DUMMYFUNCTION("""COMPUTED_VALUE"""),"CE BARAO DE MACAUBAS")</f>
      </c>
      <c r="D736" s="10">
        <f>IFERROR(__xludf.DUMMYFUNCTION("""COMPUTED_VALUE"""),0.8525)</f>
      </c>
      <c r="E736" s="10">
        <f>IFERROR(__xludf.DUMMYFUNCTION("""COMPUTED_VALUE"""),0.2482)</f>
      </c>
      <c r="F736" s="10">
        <f>IFERROR(__xludf.DUMMYFUNCTION("""COMPUTED_VALUE"""),0.8525)</f>
      </c>
      <c r="G736" s="10">
        <f>IFERROR(__xludf.DUMMYFUNCTION("""COMPUTED_VALUE"""),0.2052)</f>
      </c>
    </row>
    <row x14ac:dyDescent="0.25" r="737" customHeight="1" ht="15.75">
      <c r="A737" s="8">
        <f>IFERROR(__xludf.DUMMYFUNCTION("""COMPUTED_VALUE"""),25063.0)</f>
      </c>
      <c r="B737" s="9">
        <f>IFERROR(__xludf.DUMMYFUNCTION("""COMPUTED_VALUE"""),"NORTE FLUMINENSE")</f>
      </c>
      <c r="C737" s="9">
        <f>IFERROR(__xludf.DUMMYFUNCTION("""COMPUTED_VALUE"""),"CE BENTA PEREIRA")</f>
      </c>
      <c r="D737" s="10">
        <f>IFERROR(__xludf.DUMMYFUNCTION("""COMPUTED_VALUE"""),0.8125)</f>
      </c>
      <c r="E737" s="10">
        <f>IFERROR(__xludf.DUMMYFUNCTION("""COMPUTED_VALUE"""),0.1957)</f>
      </c>
      <c r="F737" s="10">
        <f>IFERROR(__xludf.DUMMYFUNCTION("""COMPUTED_VALUE"""),0.8058)</f>
      </c>
      <c r="G737" s="10">
        <f>IFERROR(__xludf.DUMMYFUNCTION("""COMPUTED_VALUE"""),0.1959)</f>
      </c>
    </row>
    <row x14ac:dyDescent="0.25" r="738" customHeight="1" ht="15.75">
      <c r="A738" s="8">
        <f>IFERROR(__xludf.DUMMYFUNCTION("""COMPUTED_VALUE"""),25112.0)</f>
      </c>
      <c r="B738" s="9">
        <f>IFERROR(__xludf.DUMMYFUNCTION("""COMPUTED_VALUE"""),"NORTE FLUMINENSE")</f>
      </c>
      <c r="C738" s="9">
        <f>IFERROR(__xludf.DUMMYFUNCTION("""COMPUTED_VALUE"""),"CE BOCAINA")</f>
      </c>
      <c r="D738" s="10">
        <f>IFERROR(__xludf.DUMMYFUNCTION("""COMPUTED_VALUE"""),0.8125)</f>
      </c>
      <c r="E738" s="10">
        <f>IFERROR(__xludf.DUMMYFUNCTION("""COMPUTED_VALUE"""),0.2142)</f>
      </c>
      <c r="F738" s="10">
        <f>IFERROR(__xludf.DUMMYFUNCTION("""COMPUTED_VALUE"""),0.5313)</f>
      </c>
      <c r="G738" s="10">
        <f>IFERROR(__xludf.DUMMYFUNCTION("""COMPUTED_VALUE"""),0.2667)</f>
      </c>
    </row>
    <row x14ac:dyDescent="0.25" r="739" customHeight="1" ht="15.75">
      <c r="A739" s="8">
        <f>IFERROR(__xludf.DUMMYFUNCTION("""COMPUTED_VALUE"""),25151.0)</f>
      </c>
      <c r="B739" s="9">
        <f>IFERROR(__xludf.DUMMYFUNCTION("""COMPUTED_VALUE"""),"NORTE FLUMINENSE")</f>
      </c>
      <c r="C739" s="9">
        <f>IFERROR(__xludf.DUMMYFUNCTION("""COMPUTED_VALUE"""),"CE CHRISANTO HENRIQUE DE SOUZA")</f>
      </c>
      <c r="D739" s="10">
        <f>IFERROR(__xludf.DUMMYFUNCTION("""COMPUTED_VALUE"""),0.5636)</f>
      </c>
      <c r="E739" s="10">
        <f>IFERROR(__xludf.DUMMYFUNCTION("""COMPUTED_VALUE"""),0.2135)</f>
      </c>
      <c r="F739" s="10">
        <f>IFERROR(__xludf.DUMMYFUNCTION("""COMPUTED_VALUE"""),0.5952)</f>
      </c>
      <c r="G739" s="10">
        <f>IFERROR(__xludf.DUMMYFUNCTION("""COMPUTED_VALUE"""),0.1941)</f>
      </c>
    </row>
    <row x14ac:dyDescent="0.25" r="740" customHeight="1" ht="15.75">
      <c r="A740" s="8">
        <f>IFERROR(__xludf.DUMMYFUNCTION("""COMPUTED_VALUE"""),25130.0)</f>
      </c>
      <c r="B740" s="9">
        <f>IFERROR(__xludf.DUMMYFUNCTION("""COMPUTED_VALUE"""),"NORTE FLUMINENSE")</f>
      </c>
      <c r="C740" s="9">
        <f>IFERROR(__xludf.DUMMYFUNCTION("""COMPUTED_VALUE"""),"CE CINAMOMO")</f>
      </c>
      <c r="D740" s="10">
        <f>IFERROR(__xludf.DUMMYFUNCTION("""COMPUTED_VALUE"""),0.8925)</f>
      </c>
      <c r="E740" s="10">
        <f>IFERROR(__xludf.DUMMYFUNCTION("""COMPUTED_VALUE"""),0.2131)</f>
      </c>
      <c r="F740" s="10">
        <f>IFERROR(__xludf.DUMMYFUNCTION("""COMPUTED_VALUE"""),0.7)</f>
      </c>
      <c r="G740" s="10">
        <f>IFERROR(__xludf.DUMMYFUNCTION("""COMPUTED_VALUE"""),0.1559)</f>
      </c>
    </row>
    <row x14ac:dyDescent="0.25" r="741" customHeight="1" ht="15.75">
      <c r="A741" s="8">
        <f>IFERROR(__xludf.DUMMYFUNCTION("""COMPUTED_VALUE"""),25064.0)</f>
      </c>
      <c r="B741" s="9">
        <f>IFERROR(__xludf.DUMMYFUNCTION("""COMPUTED_VALUE"""),"NORTE FLUMINENSE")</f>
      </c>
      <c r="C741" s="9">
        <f>IFERROR(__xludf.DUMMYFUNCTION("""COMPUTED_VALUE"""),"CE CONSTANTINO FERNANDES")</f>
      </c>
      <c r="D741" s="10">
        <f>IFERROR(__xludf.DUMMYFUNCTION("""COMPUTED_VALUE"""),0.7391)</f>
      </c>
      <c r="E741" s="10">
        <f>IFERROR(__xludf.DUMMYFUNCTION("""COMPUTED_VALUE"""),0.2341)</f>
      </c>
      <c r="F741" s="10">
        <f>IFERROR(__xludf.DUMMYFUNCTION("""COMPUTED_VALUE"""),0.4643)</f>
      </c>
      <c r="G741" s="10">
        <f>IFERROR(__xludf.DUMMYFUNCTION("""COMPUTED_VALUE"""),0.1982)</f>
      </c>
    </row>
    <row x14ac:dyDescent="0.25" r="742" customHeight="1" ht="15.75">
      <c r="A742" s="8">
        <f>IFERROR(__xludf.DUMMYFUNCTION("""COMPUTED_VALUE"""),25065.0)</f>
      </c>
      <c r="B742" s="9">
        <f>IFERROR(__xludf.DUMMYFUNCTION("""COMPUTED_VALUE"""),"NORTE FLUMINENSE")</f>
      </c>
      <c r="C742" s="9">
        <f>IFERROR(__xludf.DUMMYFUNCTION("""COMPUTED_VALUE"""),"CE CORONEL FRANCISCO RIBEIRO DA MOTTA VASCONCELOS")</f>
      </c>
      <c r="D742" s="10">
        <f>IFERROR(__xludf.DUMMYFUNCTION("""COMPUTED_VALUE"""),0.7875)</f>
      </c>
      <c r="E742" s="10">
        <f>IFERROR(__xludf.DUMMYFUNCTION("""COMPUTED_VALUE"""),0.2079)</f>
      </c>
      <c r="F742" s="10">
        <f>IFERROR(__xludf.DUMMYFUNCTION("""COMPUTED_VALUE"""),0.6125)</f>
      </c>
      <c r="G742" s="10">
        <f>IFERROR(__xludf.DUMMYFUNCTION("""COMPUTED_VALUE"""),0.1839)</f>
      </c>
    </row>
    <row x14ac:dyDescent="0.25" r="743" customHeight="1" ht="15.75">
      <c r="A743" s="8">
        <f>IFERROR(__xludf.DUMMYFUNCTION("""COMPUTED_VALUE"""),25066.0)</f>
      </c>
      <c r="B743" s="9">
        <f>IFERROR(__xludf.DUMMYFUNCTION("""COMPUTED_VALUE"""),"NORTE FLUMINENSE")</f>
      </c>
      <c r="C743" s="9">
        <f>IFERROR(__xludf.DUMMYFUNCTION("""COMPUTED_VALUE"""),"CE CORONEL JOAO BATISTA DE PAULA BARROSO")</f>
      </c>
      <c r="D743" s="10">
        <f>IFERROR(__xludf.DUMMYFUNCTION("""COMPUTED_VALUE"""),0.6982)</f>
      </c>
      <c r="E743" s="10">
        <f>IFERROR(__xludf.DUMMYFUNCTION("""COMPUTED_VALUE"""),0.2237)</f>
      </c>
      <c r="F743" s="10">
        <f>IFERROR(__xludf.DUMMYFUNCTION("""COMPUTED_VALUE"""),0.4838)</f>
      </c>
      <c r="G743" s="10">
        <f>IFERROR(__xludf.DUMMYFUNCTION("""COMPUTED_VALUE"""),0.1977)</f>
      </c>
    </row>
    <row x14ac:dyDescent="0.25" r="744" customHeight="1" ht="15.75">
      <c r="A744" s="8">
        <f>IFERROR(__xludf.DUMMYFUNCTION("""COMPUTED_VALUE"""),25136.0)</f>
      </c>
      <c r="B744" s="9">
        <f>IFERROR(__xludf.DUMMYFUNCTION("""COMPUTED_VALUE"""),"NORTE FLUMINENSE")</f>
      </c>
      <c r="C744" s="9">
        <f>IFERROR(__xludf.DUMMYFUNCTION("""COMPUTED_VALUE"""),"CE DE SAO FIDELIS")</f>
      </c>
      <c r="D744" s="10">
        <f>IFERROR(__xludf.DUMMYFUNCTION("""COMPUTED_VALUE"""),0.7169)</f>
      </c>
      <c r="E744" s="10">
        <f>IFERROR(__xludf.DUMMYFUNCTION("""COMPUTED_VALUE"""),0.2843)</f>
      </c>
      <c r="F744" s="10">
        <f>IFERROR(__xludf.DUMMYFUNCTION("""COMPUTED_VALUE"""),0.6912)</f>
      </c>
      <c r="G744" s="10">
        <f>IFERROR(__xludf.DUMMYFUNCTION("""COMPUTED_VALUE"""),0.227)</f>
      </c>
    </row>
    <row x14ac:dyDescent="0.25" r="745" customHeight="1" ht="15.75">
      <c r="A745" s="8">
        <f>IFERROR(__xludf.DUMMYFUNCTION("""COMPUTED_VALUE"""),25067.0)</f>
      </c>
      <c r="B745" s="9">
        <f>IFERROR(__xludf.DUMMYFUNCTION("""COMPUTED_VALUE"""),"NORTE FLUMINENSE")</f>
      </c>
      <c r="C745" s="9">
        <f>IFERROR(__xludf.DUMMYFUNCTION("""COMPUTED_VALUE"""),"CE DESEMBARGADOR ALVARO FERREIRA PINTO")</f>
      </c>
      <c r="D745" s="10">
        <f>IFERROR(__xludf.DUMMYFUNCTION("""COMPUTED_VALUE"""),0.9611)</f>
      </c>
      <c r="E745" s="10">
        <f>IFERROR(__xludf.DUMMYFUNCTION("""COMPUTED_VALUE"""),0.1862)</f>
      </c>
      <c r="F745" s="10">
        <f>IFERROR(__xludf.DUMMYFUNCTION("""COMPUTED_VALUE"""),0.6)</f>
      </c>
      <c r="G745" s="10">
        <f>IFERROR(__xludf.DUMMYFUNCTION("""COMPUTED_VALUE"""),0.2036)</f>
      </c>
    </row>
    <row x14ac:dyDescent="0.25" r="746" customHeight="1" ht="15.75">
      <c r="A746" s="8">
        <f>IFERROR(__xludf.DUMMYFUNCTION("""COMPUTED_VALUE"""),25068.0)</f>
      </c>
      <c r="B746" s="9">
        <f>IFERROR(__xludf.DUMMYFUNCTION("""COMPUTED_VALUE"""),"NORTE FLUMINENSE")</f>
      </c>
      <c r="C746" s="9">
        <f>IFERROR(__xludf.DUMMYFUNCTION("""COMPUTED_VALUE"""),"CE DOM OTAVIANO DE ALBUQUERQUE")</f>
      </c>
      <c r="D746" s="10">
        <f>IFERROR(__xludf.DUMMYFUNCTION("""COMPUTED_VALUE"""),0.7417)</f>
      </c>
      <c r="E746" s="10">
        <f>IFERROR(__xludf.DUMMYFUNCTION("""COMPUTED_VALUE"""),0.2228)</f>
      </c>
      <c r="F746" s="10">
        <f>IFERROR(__xludf.DUMMYFUNCTION("""COMPUTED_VALUE"""),0.6667)</f>
      </c>
      <c r="G746" s="10">
        <f>IFERROR(__xludf.DUMMYFUNCTION("""COMPUTED_VALUE"""),0.1951)</f>
      </c>
    </row>
    <row x14ac:dyDescent="0.25" r="747" customHeight="1" ht="15.75">
      <c r="A747" s="8">
        <f>IFERROR(__xludf.DUMMYFUNCTION("""COMPUTED_VALUE"""),25143.0)</f>
      </c>
      <c r="B747" s="9">
        <f>IFERROR(__xludf.DUMMYFUNCTION("""COMPUTED_VALUE"""),"NORTE FLUMINENSE")</f>
      </c>
      <c r="C747" s="9">
        <f>IFERROR(__xludf.DUMMYFUNCTION("""COMPUTED_VALUE"""),"CE DOMIRES MACHADO")</f>
      </c>
      <c r="D747" s="10">
        <f>IFERROR(__xludf.DUMMYFUNCTION("""COMPUTED_VALUE"""),0.9528)</f>
      </c>
      <c r="E747" s="10">
        <f>IFERROR(__xludf.DUMMYFUNCTION("""COMPUTED_VALUE"""),0.242)</f>
      </c>
      <c r="F747" s="10">
        <f>IFERROR(__xludf.DUMMYFUNCTION("""COMPUTED_VALUE"""),0.7965)</f>
      </c>
      <c r="G747" s="10">
        <f>IFERROR(__xludf.DUMMYFUNCTION("""COMPUTED_VALUE"""),0.2444)</f>
      </c>
    </row>
    <row x14ac:dyDescent="0.25" r="748" customHeight="1" ht="15.75">
      <c r="A748" s="8">
        <f>IFERROR(__xludf.DUMMYFUNCTION("""COMPUTED_VALUE"""),25069.0)</f>
      </c>
      <c r="B748" s="9">
        <f>IFERROR(__xludf.DUMMYFUNCTION("""COMPUTED_VALUE"""),"NORTE FLUMINENSE")</f>
      </c>
      <c r="C748" s="9">
        <f>IFERROR(__xludf.DUMMYFUNCTION("""COMPUTED_VALUE"""),"CE DOUTOR BARROS BARRETO")</f>
      </c>
      <c r="D748" s="10">
        <f>IFERROR(__xludf.DUMMYFUNCTION("""COMPUTED_VALUE"""),0.8413)</f>
      </c>
      <c r="E748" s="10">
        <f>IFERROR(__xludf.DUMMYFUNCTION("""COMPUTED_VALUE"""),0.2389)</f>
      </c>
      <c r="F748" s="10">
        <f>IFERROR(__xludf.DUMMYFUNCTION("""COMPUTED_VALUE"""),0.7642)</f>
      </c>
      <c r="G748" s="10">
        <f>IFERROR(__xludf.DUMMYFUNCTION("""COMPUTED_VALUE"""),0.2117)</f>
      </c>
    </row>
    <row x14ac:dyDescent="0.25" r="749" customHeight="1" ht="15.75">
      <c r="A749" s="8">
        <f>IFERROR(__xludf.DUMMYFUNCTION("""COMPUTED_VALUE"""),25070.0)</f>
      </c>
      <c r="B749" s="9">
        <f>IFERROR(__xludf.DUMMYFUNCTION("""COMPUTED_VALUE"""),"NORTE FLUMINENSE")</f>
      </c>
      <c r="C749" s="9">
        <f>IFERROR(__xludf.DUMMYFUNCTION("""COMPUTED_VALUE"""),"CE DOUTOR CESAR TINOCO")</f>
      </c>
      <c r="D749" s="10">
        <f>IFERROR(__xludf.DUMMYFUNCTION("""COMPUTED_VALUE"""),0.8101)</f>
      </c>
      <c r="E749" s="10">
        <f>IFERROR(__xludf.DUMMYFUNCTION("""COMPUTED_VALUE"""),0.2134)</f>
      </c>
      <c r="F749" s="10">
        <f>IFERROR(__xludf.DUMMYFUNCTION("""COMPUTED_VALUE"""),0.7215)</f>
      </c>
      <c r="G749" s="10">
        <f>IFERROR(__xludf.DUMMYFUNCTION("""COMPUTED_VALUE"""),0.1909)</f>
      </c>
    </row>
    <row x14ac:dyDescent="0.25" r="750" customHeight="1" ht="15.75">
      <c r="A750" s="8">
        <f>IFERROR(__xludf.DUMMYFUNCTION("""COMPUTED_VALUE"""),25071.0)</f>
      </c>
      <c r="B750" s="9">
        <f>IFERROR(__xludf.DUMMYFUNCTION("""COMPUTED_VALUE"""),"NORTE FLUMINENSE")</f>
      </c>
      <c r="C750" s="9">
        <f>IFERROR(__xludf.DUMMYFUNCTION("""COMPUTED_VALUE"""),"CE DOUTOR FELIX MIRANDA")</f>
      </c>
      <c r="D750" s="10">
        <f>IFERROR(__xludf.DUMMYFUNCTION("""COMPUTED_VALUE"""),0.6087)</f>
      </c>
      <c r="E750" s="10">
        <f>IFERROR(__xludf.DUMMYFUNCTION("""COMPUTED_VALUE"""),0.1688)</f>
      </c>
      <c r="F750" s="10">
        <f>IFERROR(__xludf.DUMMYFUNCTION("""COMPUTED_VALUE"""),0.3186)</f>
      </c>
      <c r="G750" s="10">
        <f>IFERROR(__xludf.DUMMYFUNCTION("""COMPUTED_VALUE"""),0.1943)</f>
      </c>
    </row>
    <row x14ac:dyDescent="0.25" r="751" customHeight="1" ht="15.75">
      <c r="A751" s="8">
        <f>IFERROR(__xludf.DUMMYFUNCTION("""COMPUTED_VALUE"""),25072.0)</f>
      </c>
      <c r="B751" s="9">
        <f>IFERROR(__xludf.DUMMYFUNCTION("""COMPUTED_VALUE"""),"NORTE FLUMINENSE")</f>
      </c>
      <c r="C751" s="9">
        <f>IFERROR(__xludf.DUMMYFUNCTION("""COMPUTED_VALUE"""),"CE DOUTOR JOAO MURILO CARNEIRO DE OLIVEIRA")</f>
      </c>
      <c r="D751" s="10">
        <f>IFERROR(__xludf.DUMMYFUNCTION("""COMPUTED_VALUE"""),0.9643)</f>
      </c>
      <c r="E751" s="10">
        <f>IFERROR(__xludf.DUMMYFUNCTION("""COMPUTED_VALUE"""),0.1486)</f>
      </c>
      <c r="F751" s="10">
        <f>IFERROR(__xludf.DUMMYFUNCTION("""COMPUTED_VALUE"""),0.5357)</f>
      </c>
      <c r="G751" s="10">
        <f>IFERROR(__xludf.DUMMYFUNCTION("""COMPUTED_VALUE"""),0.1858)</f>
      </c>
    </row>
    <row x14ac:dyDescent="0.25" r="752" customHeight="1" ht="15.75">
      <c r="A752" s="8">
        <f>IFERROR(__xludf.DUMMYFUNCTION("""COMPUTED_VALUE"""),25073.0)</f>
      </c>
      <c r="B752" s="9">
        <f>IFERROR(__xludf.DUMMYFUNCTION("""COMPUTED_VALUE"""),"NORTE FLUMINENSE")</f>
      </c>
      <c r="C752" s="9">
        <f>IFERROR(__xludf.DUMMYFUNCTION("""COMPUTED_VALUE"""),"CE DOUTOR JOSE PEREIRA PINTO")</f>
      </c>
      <c r="D752" s="10">
        <f>IFERROR(__xludf.DUMMYFUNCTION("""COMPUTED_VALUE"""),0.8679)</f>
      </c>
      <c r="E752" s="10">
        <f>IFERROR(__xludf.DUMMYFUNCTION("""COMPUTED_VALUE"""),0.2497)</f>
      </c>
      <c r="F752" s="10">
        <f>IFERROR(__xludf.DUMMYFUNCTION("""COMPUTED_VALUE"""),0.8868)</f>
      </c>
      <c r="G752" s="10">
        <f>IFERROR(__xludf.DUMMYFUNCTION("""COMPUTED_VALUE"""),0.2017)</f>
      </c>
    </row>
    <row x14ac:dyDescent="0.25" r="753" customHeight="1" ht="15.75">
      <c r="A753" s="8">
        <f>IFERROR(__xludf.DUMMYFUNCTION("""COMPUTED_VALUE"""),25074.0)</f>
      </c>
      <c r="B753" s="9">
        <f>IFERROR(__xludf.DUMMYFUNCTION("""COMPUTED_VALUE"""),"NORTE FLUMINENSE")</f>
      </c>
      <c r="C753" s="9">
        <f>IFERROR(__xludf.DUMMYFUNCTION("""COMPUTED_VALUE"""),"CE DOUTOR MAXIMO DE AZEVEDO")</f>
      </c>
      <c r="D753" s="10">
        <f>IFERROR(__xludf.DUMMYFUNCTION("""COMPUTED_VALUE"""),0.7296)</f>
      </c>
      <c r="E753" s="10">
        <f>IFERROR(__xludf.DUMMYFUNCTION("""COMPUTED_VALUE"""),0.2365)</f>
      </c>
      <c r="F753" s="10">
        <f>IFERROR(__xludf.DUMMYFUNCTION("""COMPUTED_VALUE"""),0.6939)</f>
      </c>
      <c r="G753" s="10">
        <f>IFERROR(__xludf.DUMMYFUNCTION("""COMPUTED_VALUE"""),0.2021)</f>
      </c>
    </row>
    <row x14ac:dyDescent="0.25" r="754" customHeight="1" ht="15.75">
      <c r="A754" s="8">
        <f>IFERROR(__xludf.DUMMYFUNCTION("""COMPUTED_VALUE"""),25152.0)</f>
      </c>
      <c r="B754" s="9">
        <f>IFERROR(__xludf.DUMMYFUNCTION("""COMPUTED_VALUE"""),"NORTE FLUMINENSE")</f>
      </c>
      <c r="C754" s="9">
        <f>IFERROR(__xludf.DUMMYFUNCTION("""COMPUTED_VALUE"""),"CE DOUTOR NEWTON ALVES")</f>
      </c>
      <c r="D754" s="10">
        <f>IFERROR(__xludf.DUMMYFUNCTION("""COMPUTED_VALUE"""),0.7692)</f>
      </c>
      <c r="E754" s="10">
        <f>IFERROR(__xludf.DUMMYFUNCTION("""COMPUTED_VALUE"""),0.2387)</f>
      </c>
      <c r="F754" s="10">
        <f>IFERROR(__xludf.DUMMYFUNCTION("""COMPUTED_VALUE"""),0.6842)</f>
      </c>
      <c r="G754" s="10">
        <f>IFERROR(__xludf.DUMMYFUNCTION("""COMPUTED_VALUE"""),0.2185)</f>
      </c>
    </row>
    <row x14ac:dyDescent="0.25" r="755" customHeight="1" ht="15.75">
      <c r="A755" s="8">
        <f>IFERROR(__xludf.DUMMYFUNCTION("""COMPUTED_VALUE"""),25153.0)</f>
      </c>
      <c r="B755" s="9">
        <f>IFERROR(__xludf.DUMMYFUNCTION("""COMPUTED_VALUE"""),"NORTE FLUMINENSE")</f>
      </c>
      <c r="C755" s="9">
        <f>IFERROR(__xludf.DUMMYFUNCTION("""COMPUTED_VALUE"""),"CE DOUTOR OLIMPIO SATURNINO DE BRITO")</f>
      </c>
      <c r="D755" s="10">
        <f>IFERROR(__xludf.DUMMYFUNCTION("""COMPUTED_VALUE"""),0.9868)</f>
      </c>
      <c r="E755" s="10">
        <f>IFERROR(__xludf.DUMMYFUNCTION("""COMPUTED_VALUE"""),0.2094)</f>
      </c>
      <c r="F755" s="10">
        <f>IFERROR(__xludf.DUMMYFUNCTION("""COMPUTED_VALUE"""),0.7237)</f>
      </c>
      <c r="G755" s="10">
        <f>IFERROR(__xludf.DUMMYFUNCTION("""COMPUTED_VALUE"""),0.2)</f>
      </c>
    </row>
    <row x14ac:dyDescent="0.25" r="756" customHeight="1" ht="15.75">
      <c r="A756" s="8">
        <f>IFERROR(__xludf.DUMMYFUNCTION("""COMPUTED_VALUE"""),25075.0)</f>
      </c>
      <c r="B756" s="9">
        <f>IFERROR(__xludf.DUMMYFUNCTION("""COMPUTED_VALUE"""),"NORTE FLUMINENSE")</f>
      </c>
      <c r="C756" s="9">
        <f>IFERROR(__xludf.DUMMYFUNCTION("""COMPUTED_VALUE"""),"CE DOUTOR PHILLIPPE UEBE")</f>
      </c>
      <c r="D756" s="10">
        <f>IFERROR(__xludf.DUMMYFUNCTION("""COMPUTED_VALUE"""),0.9805)</f>
      </c>
      <c r="E756" s="10">
        <f>IFERROR(__xludf.DUMMYFUNCTION("""COMPUTED_VALUE"""),0.2173)</f>
      </c>
      <c r="F756" s="10">
        <f>IFERROR(__xludf.DUMMYFUNCTION("""COMPUTED_VALUE"""),0.7511)</f>
      </c>
      <c r="G756" s="10">
        <f>IFERROR(__xludf.DUMMYFUNCTION("""COMPUTED_VALUE"""),0.2052)</f>
      </c>
    </row>
    <row x14ac:dyDescent="0.25" r="757" customHeight="1" ht="15.75">
      <c r="A757" s="8">
        <f>IFERROR(__xludf.DUMMYFUNCTION("""COMPUTED_VALUE"""),25076.0)</f>
      </c>
      <c r="B757" s="9">
        <f>IFERROR(__xludf.DUMMYFUNCTION("""COMPUTED_VALUE"""),"NORTE FLUMINENSE")</f>
      </c>
      <c r="C757" s="9">
        <f>IFERROR(__xludf.DUMMYFUNCTION("""COMPUTED_VALUE"""),"CE DOUTOR SYLVIO BASTOS TAVARES")</f>
      </c>
      <c r="D757" s="10">
        <f>IFERROR(__xludf.DUMMYFUNCTION("""COMPUTED_VALUE"""),0.8435)</f>
      </c>
      <c r="E757" s="10">
        <f>IFERROR(__xludf.DUMMYFUNCTION("""COMPUTED_VALUE"""),0.2767)</f>
      </c>
      <c r="F757" s="10">
        <f>IFERROR(__xludf.DUMMYFUNCTION("""COMPUTED_VALUE"""),0.6939)</f>
      </c>
      <c r="G757" s="10">
        <f>IFERROR(__xludf.DUMMYFUNCTION("""COMPUTED_VALUE"""),0.209)</f>
      </c>
    </row>
    <row x14ac:dyDescent="0.25" r="758" customHeight="1" ht="15.75">
      <c r="A758" s="8">
        <f>IFERROR(__xludf.DUMMYFUNCTION("""COMPUTED_VALUE"""),25077.0)</f>
      </c>
      <c r="B758" s="9">
        <f>IFERROR(__xludf.DUMMYFUNCTION("""COMPUTED_VALUE"""),"NORTE FLUMINENSE")</f>
      </c>
      <c r="C758" s="9">
        <f>IFERROR(__xludf.DUMMYFUNCTION("""COMPUTED_VALUE"""),"CE DOUTOR THIERS CARDOSO")</f>
      </c>
      <c r="D758" s="10">
        <f>IFERROR(__xludf.DUMMYFUNCTION("""COMPUTED_VALUE"""),0.9386)</f>
      </c>
      <c r="E758" s="10">
        <f>IFERROR(__xludf.DUMMYFUNCTION("""COMPUTED_VALUE"""),0.1649)</f>
      </c>
      <c r="F758" s="10">
        <f>IFERROR(__xludf.DUMMYFUNCTION("""COMPUTED_VALUE"""),0.587)</f>
      </c>
      <c r="G758" s="10">
        <f>IFERROR(__xludf.DUMMYFUNCTION("""COMPUTED_VALUE"""),0.1932)</f>
      </c>
    </row>
    <row x14ac:dyDescent="0.25" r="759" customHeight="1" ht="15.75">
      <c r="A759" s="8">
        <f>IFERROR(__xludf.DUMMYFUNCTION("""COMPUTED_VALUE"""),25113.0)</f>
      </c>
      <c r="B759" s="9">
        <f>IFERROR(__xludf.DUMMYFUNCTION("""COMPUTED_VALUE"""),"NORTE FLUMINENSE")</f>
      </c>
      <c r="C759" s="9">
        <f>IFERROR(__xludf.DUMMYFUNCTION("""COMPUTED_VALUE"""),"CE ELSA BARBOSA DAUMAS")</f>
      </c>
      <c r="D759" s="10">
        <f>IFERROR(__xludf.DUMMYFUNCTION("""COMPUTED_VALUE"""),0.8654)</f>
      </c>
      <c r="E759" s="10">
        <f>IFERROR(__xludf.DUMMYFUNCTION("""COMPUTED_VALUE"""),0.209)</f>
      </c>
      <c r="F759" s="10">
        <f>IFERROR(__xludf.DUMMYFUNCTION("""COMPUTED_VALUE"""),0.9038)</f>
      </c>
      <c r="G759" s="10">
        <f>IFERROR(__xludf.DUMMYFUNCTION("""COMPUTED_VALUE"""),0.1652)</f>
      </c>
    </row>
    <row x14ac:dyDescent="0.25" r="760" customHeight="1" ht="15.75">
      <c r="A760" s="8">
        <f>IFERROR(__xludf.DUMMYFUNCTION("""COMPUTED_VALUE"""),25137.0)</f>
      </c>
      <c r="B760" s="9">
        <f>IFERROR(__xludf.DUMMYFUNCTION("""COMPUTED_VALUE"""),"NORTE FLUMINENSE")</f>
      </c>
      <c r="C760" s="9">
        <f>IFERROR(__xludf.DUMMYFUNCTION("""COMPUTED_VALUE"""),"CE ELVIDIO COSTA")</f>
      </c>
      <c r="D760" s="10">
        <f>IFERROR(__xludf.DUMMYFUNCTION("""COMPUTED_VALUE"""),0.7063)</f>
      </c>
      <c r="E760" s="10">
        <f>IFERROR(__xludf.DUMMYFUNCTION("""COMPUTED_VALUE"""),0.2782)</f>
      </c>
      <c r="F760" s="10">
        <f>IFERROR(__xludf.DUMMYFUNCTION("""COMPUTED_VALUE"""),0.6853)</f>
      </c>
      <c r="G760" s="10">
        <f>IFERROR(__xludf.DUMMYFUNCTION("""COMPUTED_VALUE"""),0.2279)</f>
      </c>
    </row>
    <row x14ac:dyDescent="0.25" r="761" customHeight="1" ht="15.75">
      <c r="A761" s="8">
        <f>IFERROR(__xludf.DUMMYFUNCTION("""COMPUTED_VALUE"""),25144.0)</f>
      </c>
      <c r="B761" s="9">
        <f>IFERROR(__xludf.DUMMYFUNCTION("""COMPUTED_VALUE"""),"NORTE FLUMINENSE")</f>
      </c>
      <c r="C761" s="9">
        <f>IFERROR(__xludf.DUMMYFUNCTION("""COMPUTED_VALUE"""),"CE ERCILIA MUYLAERT DE MENEZES")</f>
      </c>
      <c r="D761" s="10">
        <f>IFERROR(__xludf.DUMMYFUNCTION("""COMPUTED_VALUE"""),1.0)</f>
      </c>
      <c r="E761" s="10">
        <f>IFERROR(__xludf.DUMMYFUNCTION("""COMPUTED_VALUE"""),0.2573)</f>
      </c>
      <c r="F761" s="10">
        <f>IFERROR(__xludf.DUMMYFUNCTION("""COMPUTED_VALUE"""),0.7297)</f>
      </c>
      <c r="G761" s="10">
        <f>IFERROR(__xludf.DUMMYFUNCTION("""COMPUTED_VALUE"""),0.2142)</f>
      </c>
    </row>
    <row x14ac:dyDescent="0.25" r="762" customHeight="1" ht="15.75">
      <c r="A762" s="8">
        <f>IFERROR(__xludf.DUMMYFUNCTION("""COMPUTED_VALUE"""),25078.0)</f>
      </c>
      <c r="B762" s="9">
        <f>IFERROR(__xludf.DUMMYFUNCTION("""COMPUTED_VALUE"""),"NORTE FLUMINENSE")</f>
      </c>
      <c r="C762" s="9">
        <f>IFERROR(__xludf.DUMMYFUNCTION("""COMPUTED_VALUE"""),"CE ESTEFANIA PEREIRA PINTO")</f>
      </c>
      <c r="D762" s="10">
        <f>IFERROR(__xludf.DUMMYFUNCTION("""COMPUTED_VALUE"""),0.9302)</f>
      </c>
      <c r="E762" s="10">
        <f>IFERROR(__xludf.DUMMYFUNCTION("""COMPUTED_VALUE"""),0.1938)</f>
      </c>
      <c r="F762" s="10">
        <f>IFERROR(__xludf.DUMMYFUNCTION("""COMPUTED_VALUE"""),0.6744)</f>
      </c>
      <c r="G762" s="10">
        <f>IFERROR(__xludf.DUMMYFUNCTION("""COMPUTED_VALUE"""),0.2101)</f>
      </c>
    </row>
    <row x14ac:dyDescent="0.25" r="763" customHeight="1" ht="15.75">
      <c r="A763" s="8">
        <f>IFERROR(__xludf.DUMMYFUNCTION("""COMPUTED_VALUE"""),25079.0)</f>
      </c>
      <c r="B763" s="9">
        <f>IFERROR(__xludf.DUMMYFUNCTION("""COMPUTED_VALUE"""),"NORTE FLUMINENSE")</f>
      </c>
      <c r="C763" s="9">
        <f>IFERROR(__xludf.DUMMYFUNCTION("""COMPUTED_VALUE"""),"CE GENERAL DUTRA")</f>
      </c>
      <c r="D763" s="10">
        <f>IFERROR(__xludf.DUMMYFUNCTION("""COMPUTED_VALUE"""),0.9086)</f>
      </c>
      <c r="E763" s="10">
        <f>IFERROR(__xludf.DUMMYFUNCTION("""COMPUTED_VALUE"""),0.1562)</f>
      </c>
      <c r="F763" s="10">
        <f>IFERROR(__xludf.DUMMYFUNCTION("""COMPUTED_VALUE"""),0.5261)</f>
      </c>
      <c r="G763" s="10">
        <f>IFERROR(__xludf.DUMMYFUNCTION("""COMPUTED_VALUE"""),0.2388)</f>
      </c>
    </row>
    <row x14ac:dyDescent="0.25" r="764" customHeight="1" ht="15.75">
      <c r="A764" s="8">
        <f>IFERROR(__xludf.DUMMYFUNCTION("""COMPUTED_VALUE"""),25138.0)</f>
      </c>
      <c r="B764" s="9">
        <f>IFERROR(__xludf.DUMMYFUNCTION("""COMPUTED_VALUE"""),"NORTE FLUMINENSE")</f>
      </c>
      <c r="C764" s="9">
        <f>IFERROR(__xludf.DUMMYFUNCTION("""COMPUTED_VALUE"""),"CE GERAQUE COLET")</f>
      </c>
      <c r="D764" s="10">
        <f>IFERROR(__xludf.DUMMYFUNCTION("""COMPUTED_VALUE"""),1.0)</f>
      </c>
      <c r="E764" s="10">
        <f>IFERROR(__xludf.DUMMYFUNCTION("""COMPUTED_VALUE"""),0.1901)</f>
      </c>
      <c r="F764" s="10">
        <f>IFERROR(__xludf.DUMMYFUNCTION("""COMPUTED_VALUE"""),0.6731)</f>
      </c>
      <c r="G764" s="10">
        <f>IFERROR(__xludf.DUMMYFUNCTION("""COMPUTED_VALUE"""),0.2064)</f>
      </c>
    </row>
    <row x14ac:dyDescent="0.25" r="765" customHeight="1" ht="15.75">
      <c r="A765" s="8">
        <f>IFERROR(__xludf.DUMMYFUNCTION("""COMPUTED_VALUE"""),25118.0)</f>
      </c>
      <c r="B765" s="9">
        <f>IFERROR(__xludf.DUMMYFUNCTION("""COMPUTED_VALUE"""),"NORTE FLUMINENSE")</f>
      </c>
      <c r="C765" s="9">
        <f>IFERROR(__xludf.DUMMYFUNCTION("""COMPUTED_VALUE"""),"CE IRENE MEIRELLES")</f>
      </c>
      <c r="D765" s="10">
        <f>IFERROR(__xludf.DUMMYFUNCTION("""COMPUTED_VALUE"""),0.6484)</f>
      </c>
      <c r="E765" s="10">
        <f>IFERROR(__xludf.DUMMYFUNCTION("""COMPUTED_VALUE"""),0.2459)</f>
      </c>
      <c r="F765" s="10">
        <f>IFERROR(__xludf.DUMMYFUNCTION("""COMPUTED_VALUE"""),0.5828)</f>
      </c>
      <c r="G765" s="10">
        <f>IFERROR(__xludf.DUMMYFUNCTION("""COMPUTED_VALUE"""),0.2002)</f>
      </c>
    </row>
    <row x14ac:dyDescent="0.25" r="766" customHeight="1" ht="15.75">
      <c r="A766" s="8">
        <f>IFERROR(__xludf.DUMMYFUNCTION("""COMPUTED_VALUE"""),25131.0)</f>
      </c>
      <c r="B766" s="9">
        <f>IFERROR(__xludf.DUMMYFUNCTION("""COMPUTED_VALUE"""),"NORTE FLUMINENSE")</f>
      </c>
      <c r="C766" s="9">
        <f>IFERROR(__xludf.DUMMYFUNCTION("""COMPUTED_VALUE"""),"CE JACINTHO XAVIER MARTINS")</f>
      </c>
      <c r="D766" s="10">
        <f>IFERROR(__xludf.DUMMYFUNCTION("""COMPUTED_VALUE"""),0.0224)</f>
      </c>
      <c r="E766" s="10">
        <f>IFERROR(__xludf.DUMMYFUNCTION("""COMPUTED_VALUE"""),0.0591)</f>
      </c>
      <c r="F766" s="10">
        <f>IFERROR(__xludf.DUMMYFUNCTION("""COMPUTED_VALUE"""),0.0103)</f>
      </c>
      <c r="G766" s="10">
        <f>IFERROR(__xludf.DUMMYFUNCTION("""COMPUTED_VALUE"""),0.2016)</f>
      </c>
    </row>
    <row x14ac:dyDescent="0.25" r="767" customHeight="1" ht="15.75">
      <c r="A767" s="8">
        <f>IFERROR(__xludf.DUMMYFUNCTION("""COMPUTED_VALUE"""),25154.0)</f>
      </c>
      <c r="B767" s="9">
        <f>IFERROR(__xludf.DUMMYFUNCTION("""COMPUTED_VALUE"""),"NORTE FLUMINENSE")</f>
      </c>
      <c r="C767" s="9">
        <f>IFERROR(__xludf.DUMMYFUNCTION("""COMPUTED_VALUE"""),"CE JOÃO COELHO DA SILVA")</f>
      </c>
      <c r="D767" s="10">
        <f>IFERROR(__xludf.DUMMYFUNCTION("""COMPUTED_VALUE"""),1.0)</f>
      </c>
      <c r="E767" s="10">
        <f>IFERROR(__xludf.DUMMYFUNCTION("""COMPUTED_VALUE"""),0.2501)</f>
      </c>
      <c r="F767" s="10">
        <f>IFERROR(__xludf.DUMMYFUNCTION("""COMPUTED_VALUE"""),1.0)</f>
      </c>
      <c r="G767" s="10">
        <f>IFERROR(__xludf.DUMMYFUNCTION("""COMPUTED_VALUE"""),0.1558)</f>
      </c>
    </row>
    <row x14ac:dyDescent="0.25" r="768" customHeight="1" ht="15.75">
      <c r="A768" s="8">
        <f>IFERROR(__xludf.DUMMYFUNCTION("""COMPUTED_VALUE"""),25080.0)</f>
      </c>
      <c r="B768" s="9">
        <f>IFERROR(__xludf.DUMMYFUNCTION("""COMPUTED_VALUE"""),"NORTE FLUMINENSE")</f>
      </c>
      <c r="C768" s="9">
        <f>IFERROR(__xludf.DUMMYFUNCTION("""COMPUTED_VALUE"""),"CE JOAO PESSOA")</f>
      </c>
      <c r="D768" s="10">
        <f>IFERROR(__xludf.DUMMYFUNCTION("""COMPUTED_VALUE"""),0.9148)</f>
      </c>
      <c r="E768" s="10">
        <f>IFERROR(__xludf.DUMMYFUNCTION("""COMPUTED_VALUE"""),0.2188)</f>
      </c>
      <c r="F768" s="10">
        <f>IFERROR(__xludf.DUMMYFUNCTION("""COMPUTED_VALUE"""),0.5087)</f>
      </c>
      <c r="G768" s="10">
        <f>IFERROR(__xludf.DUMMYFUNCTION("""COMPUTED_VALUE"""),0.211)</f>
      </c>
    </row>
    <row x14ac:dyDescent="0.25" r="769" customHeight="1" ht="15.75">
      <c r="A769" s="8">
        <f>IFERROR(__xludf.DUMMYFUNCTION("""COMPUTED_VALUE"""),25145.0)</f>
      </c>
      <c r="B769" s="9">
        <f>IFERROR(__xludf.DUMMYFUNCTION("""COMPUTED_VALUE"""),"NORTE FLUMINENSE")</f>
      </c>
      <c r="C769" s="9">
        <f>IFERROR(__xludf.DUMMYFUNCTION("""COMPUTED_VALUE"""),"CE JOAQUIM GOMES CRESPO")</f>
      </c>
      <c r="D769" s="10">
        <f>IFERROR(__xludf.DUMMYFUNCTION("""COMPUTED_VALUE"""),1.0)</f>
      </c>
      <c r="E769" s="10">
        <f>IFERROR(__xludf.DUMMYFUNCTION("""COMPUTED_VALUE"""),0.2168)</f>
      </c>
      <c r="F769" s="10">
        <f>IFERROR(__xludf.DUMMYFUNCTION("""COMPUTED_VALUE"""),0.8889)</f>
      </c>
      <c r="G769" s="10">
        <f>IFERROR(__xludf.DUMMYFUNCTION("""COMPUTED_VALUE"""),0.2039)</f>
      </c>
    </row>
    <row x14ac:dyDescent="0.25" r="770" customHeight="1" ht="15.75">
      <c r="A770" s="8">
        <f>IFERROR(__xludf.DUMMYFUNCTION("""COMPUTED_VALUE"""),25119.0)</f>
      </c>
      <c r="B770" s="9">
        <f>IFERROR(__xludf.DUMMYFUNCTION("""COMPUTED_VALUE"""),"NORTE FLUMINENSE")</f>
      </c>
      <c r="C770" s="9">
        <f>IFERROR(__xludf.DUMMYFUNCTION("""COMPUTED_VALUE"""),"CE JORNALISTA ALVARO BASTOS")</f>
      </c>
      <c r="D770" s="10">
        <f>IFERROR(__xludf.DUMMYFUNCTION("""COMPUTED_VALUE"""),0.6554)</f>
      </c>
      <c r="E770" s="10">
        <f>IFERROR(__xludf.DUMMYFUNCTION("""COMPUTED_VALUE"""),0.237)</f>
      </c>
      <c r="F770" s="10">
        <f>IFERROR(__xludf.DUMMYFUNCTION("""COMPUTED_VALUE"""),0.2686)</f>
      </c>
      <c r="G770" s="10">
        <f>IFERROR(__xludf.DUMMYFUNCTION("""COMPUTED_VALUE"""),0.1977)</f>
      </c>
    </row>
    <row x14ac:dyDescent="0.25" r="771" customHeight="1" ht="15.75">
      <c r="A771" s="8">
        <f>IFERROR(__xludf.DUMMYFUNCTION("""COMPUTED_VALUE"""),25081.0)</f>
      </c>
      <c r="B771" s="9">
        <f>IFERROR(__xludf.DUMMYFUNCTION("""COMPUTED_VALUE"""),"NORTE FLUMINENSE")</f>
      </c>
      <c r="C771" s="9">
        <f>IFERROR(__xludf.DUMMYFUNCTION("""COMPUTED_VALUE"""),"CE JOSE DO PATROCINIO")</f>
      </c>
      <c r="D771" s="10">
        <f>IFERROR(__xludf.DUMMYFUNCTION("""COMPUTED_VALUE"""),0.7304)</f>
      </c>
      <c r="E771" s="10">
        <f>IFERROR(__xludf.DUMMYFUNCTION("""COMPUTED_VALUE"""),0.2445)</f>
      </c>
      <c r="F771" s="10">
        <f>IFERROR(__xludf.DUMMYFUNCTION("""COMPUTED_VALUE"""),0.5571)</f>
      </c>
      <c r="G771" s="10">
        <f>IFERROR(__xludf.DUMMYFUNCTION("""COMPUTED_VALUE"""),0.2012)</f>
      </c>
    </row>
    <row x14ac:dyDescent="0.25" r="772" customHeight="1" ht="15.75">
      <c r="A772" s="8">
        <f>IFERROR(__xludf.DUMMYFUNCTION("""COMPUTED_VALUE"""),25082.0)</f>
      </c>
      <c r="B772" s="9">
        <f>IFERROR(__xludf.DUMMYFUNCTION("""COMPUTED_VALUE"""),"NORTE FLUMINENSE")</f>
      </c>
      <c r="C772" s="9">
        <f>IFERROR(__xludf.DUMMYFUNCTION("""COMPUTED_VALUE"""),"CE JOSE FRANCISCO SALES")</f>
      </c>
      <c r="D772" s="10">
        <f>IFERROR(__xludf.DUMMYFUNCTION("""COMPUTED_VALUE"""),0.9412)</f>
      </c>
      <c r="E772" s="10">
        <f>IFERROR(__xludf.DUMMYFUNCTION("""COMPUTED_VALUE"""),0.1731)</f>
      </c>
      <c r="F772" s="10">
        <f>IFERROR(__xludf.DUMMYFUNCTION("""COMPUTED_VALUE"""),0.5721)</f>
      </c>
      <c r="G772" s="10">
        <f>IFERROR(__xludf.DUMMYFUNCTION("""COMPUTED_VALUE"""),0.1952)</f>
      </c>
    </row>
    <row x14ac:dyDescent="0.25" r="773" customHeight="1" ht="15.75">
      <c r="A773" s="8">
        <f>IFERROR(__xludf.DUMMYFUNCTION("""COMPUTED_VALUE"""),25083.0)</f>
      </c>
      <c r="B773" s="9">
        <f>IFERROR(__xludf.DUMMYFUNCTION("""COMPUTED_VALUE"""),"NORTE FLUMINENSE")</f>
      </c>
      <c r="C773" s="9">
        <f>IFERROR(__xludf.DUMMYFUNCTION("""COMPUTED_VALUE"""),"CE JULIAO NOGUEIRA")</f>
      </c>
      <c r="D773" s="10">
        <f>IFERROR(__xludf.DUMMYFUNCTION("""COMPUTED_VALUE"""),0.8492)</f>
      </c>
      <c r="E773" s="10">
        <f>IFERROR(__xludf.DUMMYFUNCTION("""COMPUTED_VALUE"""),0.2129)</f>
      </c>
      <c r="F773" s="10">
        <f>IFERROR(__xludf.DUMMYFUNCTION("""COMPUTED_VALUE"""),0.5952)</f>
      </c>
      <c r="G773" s="10">
        <f>IFERROR(__xludf.DUMMYFUNCTION("""COMPUTED_VALUE"""),0.2071)</f>
      </c>
    </row>
    <row x14ac:dyDescent="0.25" r="774" customHeight="1" ht="15.75">
      <c r="A774" s="8">
        <f>IFERROR(__xludf.DUMMYFUNCTION("""COMPUTED_VALUE"""),25084.0)</f>
      </c>
      <c r="B774" s="9">
        <f>IFERROR(__xludf.DUMMYFUNCTION("""COMPUTED_VALUE"""),"NORTE FLUMINENSE")</f>
      </c>
      <c r="C774" s="9">
        <f>IFERROR(__xludf.DUMMYFUNCTION("""COMPUTED_VALUE"""),"CE LEONCIO PEREIRA GOMES")</f>
      </c>
      <c r="D774" s="10">
        <f>IFERROR(__xludf.DUMMYFUNCTION("""COMPUTED_VALUE"""),0.9906)</f>
      </c>
      <c r="E774" s="10">
        <f>IFERROR(__xludf.DUMMYFUNCTION("""COMPUTED_VALUE"""),0.1994)</f>
      </c>
      <c r="F774" s="10">
        <f>IFERROR(__xludf.DUMMYFUNCTION("""COMPUTED_VALUE"""),1.0)</f>
      </c>
      <c r="G774" s="10">
        <f>IFERROR(__xludf.DUMMYFUNCTION("""COMPUTED_VALUE"""),0.1723)</f>
      </c>
    </row>
    <row x14ac:dyDescent="0.25" r="775" customHeight="1" ht="15.75">
      <c r="A775" s="8">
        <f>IFERROR(__xludf.DUMMYFUNCTION("""COMPUTED_VALUE"""),25120.0)</f>
      </c>
      <c r="B775" s="9">
        <f>IFERROR(__xludf.DUMMYFUNCTION("""COMPUTED_VALUE"""),"NORTE FLUMINENSE")</f>
      </c>
      <c r="C775" s="9">
        <f>IFERROR(__xludf.DUMMYFUNCTION("""COMPUTED_VALUE"""),"CE LUIZ REID")</f>
      </c>
      <c r="D775" s="10">
        <f>IFERROR(__xludf.DUMMYFUNCTION("""COMPUTED_VALUE"""),0.5782)</f>
      </c>
      <c r="E775" s="10">
        <f>IFERROR(__xludf.DUMMYFUNCTION("""COMPUTED_VALUE"""),0.2406)</f>
      </c>
      <c r="F775" s="10">
        <f>IFERROR(__xludf.DUMMYFUNCTION("""COMPUTED_VALUE"""),0.3333)</f>
      </c>
      <c r="G775" s="10">
        <f>IFERROR(__xludf.DUMMYFUNCTION("""COMPUTED_VALUE"""),0.2037)</f>
      </c>
    </row>
    <row x14ac:dyDescent="0.25" r="776" customHeight="1" ht="15.75">
      <c r="A776" s="8">
        <f>IFERROR(__xludf.DUMMYFUNCTION("""COMPUTED_VALUE"""),25085.0)</f>
      </c>
      <c r="B776" s="9">
        <f>IFERROR(__xludf.DUMMYFUNCTION("""COMPUTED_VALUE"""),"NORTE FLUMINENSE")</f>
      </c>
      <c r="C776" s="9">
        <f>IFERROR(__xludf.DUMMYFUNCTION("""COMPUTED_VALUE"""),"CE MANOEL PEREIRA GONCALVES")</f>
      </c>
      <c r="D776" s="10">
        <f>IFERROR(__xludf.DUMMYFUNCTION("""COMPUTED_VALUE"""),0.9709)</f>
      </c>
      <c r="E776" s="10">
        <f>IFERROR(__xludf.DUMMYFUNCTION("""COMPUTED_VALUE"""),0.2125)</f>
      </c>
      <c r="F776" s="10">
        <f>IFERROR(__xludf.DUMMYFUNCTION("""COMPUTED_VALUE"""),0.7895)</f>
      </c>
      <c r="G776" s="10">
        <f>IFERROR(__xludf.DUMMYFUNCTION("""COMPUTED_VALUE"""),0.1734)</f>
      </c>
    </row>
    <row x14ac:dyDescent="0.25" r="777" customHeight="1" ht="15.75">
      <c r="A777" s="8">
        <f>IFERROR(__xludf.DUMMYFUNCTION("""COMPUTED_VALUE"""),25086.0)</f>
      </c>
      <c r="B777" s="9">
        <f>IFERROR(__xludf.DUMMYFUNCTION("""COMPUTED_VALUE"""),"NORTE FLUMINENSE")</f>
      </c>
      <c r="C777" s="9">
        <f>IFERROR(__xludf.DUMMYFUNCTION("""COMPUTED_VALUE"""),"CE MARIA ISABEL RANGEL DE ARAUJO")</f>
      </c>
      <c r="D777" s="10">
        <f>IFERROR(__xludf.DUMMYFUNCTION("""COMPUTED_VALUE"""),0.9535)</f>
      </c>
      <c r="E777" s="10">
        <f>IFERROR(__xludf.DUMMYFUNCTION("""COMPUTED_VALUE"""),0.2059)</f>
      </c>
      <c r="F777" s="10">
        <f>IFERROR(__xludf.DUMMYFUNCTION("""COMPUTED_VALUE"""),0.4884)</f>
      </c>
      <c r="G777" s="10">
        <f>IFERROR(__xludf.DUMMYFUNCTION("""COMPUTED_VALUE"""),0.1995)</f>
      </c>
    </row>
    <row x14ac:dyDescent="0.25" r="778" customHeight="1" ht="15.75">
      <c r="A778" s="8">
        <f>IFERROR(__xludf.DUMMYFUNCTION("""COMPUTED_VALUE"""),25121.0)</f>
      </c>
      <c r="B778" s="9">
        <f>IFERROR(__xludf.DUMMYFUNCTION("""COMPUTED_VALUE"""),"NORTE FLUMINENSE")</f>
      </c>
      <c r="C778" s="9">
        <f>IFERROR(__xludf.DUMMYFUNCTION("""COMPUTED_VALUE"""),"CE MATIAS NETO")</f>
      </c>
      <c r="D778" s="10">
        <f>IFERROR(__xludf.DUMMYFUNCTION("""COMPUTED_VALUE"""),0.7105)</f>
      </c>
      <c r="E778" s="10">
        <f>IFERROR(__xludf.DUMMYFUNCTION("""COMPUTED_VALUE"""),0.2468)</f>
      </c>
      <c r="F778" s="10">
        <f>IFERROR(__xludf.DUMMYFUNCTION("""COMPUTED_VALUE"""),0.5298)</f>
      </c>
      <c r="G778" s="10">
        <f>IFERROR(__xludf.DUMMYFUNCTION("""COMPUTED_VALUE"""),0.2071)</f>
      </c>
    </row>
    <row x14ac:dyDescent="0.25" r="779" customHeight="1" ht="15.75">
      <c r="A779" s="8">
        <f>IFERROR(__xludf.DUMMYFUNCTION("""COMPUTED_VALUE"""),25139.0)</f>
      </c>
      <c r="B779" s="9">
        <f>IFERROR(__xludf.DUMMYFUNCTION("""COMPUTED_VALUE"""),"NORTE FLUMINENSE")</f>
      </c>
      <c r="C779" s="9">
        <f>IFERROR(__xludf.DUMMYFUNCTION("""COMPUTED_VALUE"""),"CE MONTESE")</f>
      </c>
      <c r="D779" s="10">
        <f>IFERROR(__xludf.DUMMYFUNCTION("""COMPUTED_VALUE"""),0.2436)</f>
      </c>
      <c r="E779" s="10">
        <f>IFERROR(__xludf.DUMMYFUNCTION("""COMPUTED_VALUE"""),0.2216)</f>
      </c>
      <c r="F779" s="10">
        <f>IFERROR(__xludf.DUMMYFUNCTION("""COMPUTED_VALUE"""),0.1795)</f>
      </c>
      <c r="G779" s="10">
        <f>IFERROR(__xludf.DUMMYFUNCTION("""COMPUTED_VALUE"""),0.191)</f>
      </c>
    </row>
    <row x14ac:dyDescent="0.25" r="780" customHeight="1" ht="15.75">
      <c r="A780" s="8">
        <f>IFERROR(__xludf.DUMMYFUNCTION("""COMPUTED_VALUE"""),25087.0)</f>
      </c>
      <c r="B780" s="9">
        <f>IFERROR(__xludf.DUMMYFUNCTION("""COMPUTED_VALUE"""),"NORTE FLUMINENSE")</f>
      </c>
      <c r="C780" s="9">
        <f>IFERROR(__xludf.DUMMYFUNCTION("""COMPUTED_VALUE"""),"CE NELSON PEREIRA REBEL")</f>
      </c>
      <c r="D780" s="10">
        <f>IFERROR(__xludf.DUMMYFUNCTION("""COMPUTED_VALUE"""),0.7531)</f>
      </c>
      <c r="E780" s="10">
        <f>IFERROR(__xludf.DUMMYFUNCTION("""COMPUTED_VALUE"""),0.2289)</f>
      </c>
      <c r="F780" s="10">
        <f>IFERROR(__xludf.DUMMYFUNCTION("""COMPUTED_VALUE"""),0.5538)</f>
      </c>
      <c r="G780" s="10">
        <f>IFERROR(__xludf.DUMMYFUNCTION("""COMPUTED_VALUE"""),0.1998)</f>
      </c>
    </row>
    <row x14ac:dyDescent="0.25" r="781" customHeight="1" ht="15.75">
      <c r="A781" s="8">
        <f>IFERROR(__xludf.DUMMYFUNCTION("""COMPUTED_VALUE"""),25088.0)</f>
      </c>
      <c r="B781" s="9">
        <f>IFERROR(__xludf.DUMMYFUNCTION("""COMPUTED_VALUE"""),"NORTE FLUMINENSE")</f>
      </c>
      <c r="C781" s="9">
        <f>IFERROR(__xludf.DUMMYFUNCTION("""COMPUTED_VALUE"""),"CE NILO FERNANDES PEREIRA")</f>
      </c>
      <c r="D781" s="10">
        <f>IFERROR(__xludf.DUMMYFUNCTION("""COMPUTED_VALUE"""),0.9681)</f>
      </c>
      <c r="E781" s="10">
        <f>IFERROR(__xludf.DUMMYFUNCTION("""COMPUTED_VALUE"""),0.2004)</f>
      </c>
      <c r="F781" s="10">
        <f>IFERROR(__xludf.DUMMYFUNCTION("""COMPUTED_VALUE"""),0.7872)</f>
      </c>
      <c r="G781" s="10">
        <f>IFERROR(__xludf.DUMMYFUNCTION("""COMPUTED_VALUE"""),0.1917)</f>
      </c>
    </row>
    <row x14ac:dyDescent="0.25" r="782" customHeight="1" ht="15.75">
      <c r="A782" s="8">
        <f>IFERROR(__xludf.DUMMYFUNCTION("""COMPUTED_VALUE"""),25089.0)</f>
      </c>
      <c r="B782" s="9">
        <f>IFERROR(__xludf.DUMMYFUNCTION("""COMPUTED_VALUE"""),"NORTE FLUMINENSE")</f>
      </c>
      <c r="C782" s="9">
        <f>IFERROR(__xludf.DUMMYFUNCTION("""COMPUTED_VALUE"""),"CE NILO PECANHA")</f>
      </c>
      <c r="D782" s="10">
        <f>IFERROR(__xludf.DUMMYFUNCTION("""COMPUTED_VALUE"""),0.8121)</f>
      </c>
      <c r="E782" s="10">
        <f>IFERROR(__xludf.DUMMYFUNCTION("""COMPUTED_VALUE"""),0.2078)</f>
      </c>
      <c r="F782" s="10">
        <f>IFERROR(__xludf.DUMMYFUNCTION("""COMPUTED_VALUE"""),0.7198)</f>
      </c>
      <c r="G782" s="10">
        <f>IFERROR(__xludf.DUMMYFUNCTION("""COMPUTED_VALUE"""),0.1968)</f>
      </c>
    </row>
    <row x14ac:dyDescent="0.25" r="783" customHeight="1" ht="15.75">
      <c r="A783" s="8">
        <f>IFERROR(__xludf.DUMMYFUNCTION("""COMPUTED_VALUE"""),25090.0)</f>
      </c>
      <c r="B783" s="9">
        <f>IFERROR(__xludf.DUMMYFUNCTION("""COMPUTED_VALUE"""),"NORTE FLUMINENSE")</f>
      </c>
      <c r="C783" s="9">
        <f>IFERROR(__xludf.DUMMYFUNCTION("""COMPUTED_VALUE"""),"CE NOTIVAL PEDRO MOLL")</f>
      </c>
      <c r="D783" s="10">
        <f>IFERROR(__xludf.DUMMYFUNCTION("""COMPUTED_VALUE"""),0.8065)</f>
      </c>
      <c r="E783" s="10">
        <f>IFERROR(__xludf.DUMMYFUNCTION("""COMPUTED_VALUE"""),0.1936)</f>
      </c>
      <c r="F783" s="10">
        <f>IFERROR(__xludf.DUMMYFUNCTION("""COMPUTED_VALUE"""),0.7258)</f>
      </c>
      <c r="G783" s="10">
        <f>IFERROR(__xludf.DUMMYFUNCTION("""COMPUTED_VALUE"""),0.2076)</f>
      </c>
    </row>
    <row x14ac:dyDescent="0.25" r="784" customHeight="1" ht="15.75">
      <c r="A784" s="8">
        <f>IFERROR(__xludf.DUMMYFUNCTION("""COMPUTED_VALUE"""),25091.0)</f>
      </c>
      <c r="B784" s="9">
        <f>IFERROR(__xludf.DUMMYFUNCTION("""COMPUTED_VALUE"""),"NORTE FLUMINENSE")</f>
      </c>
      <c r="C784" s="9">
        <f>IFERROR(__xludf.DUMMYFUNCTION("""COMPUTED_VALUE"""),"CE PAULO ROBERTO DUARTE DE MENDONCA")</f>
      </c>
      <c r="D784" s="10">
        <f>IFERROR(__xludf.DUMMYFUNCTION("""COMPUTED_VALUE"""),0.9825)</f>
      </c>
      <c r="E784" s="10">
        <f>IFERROR(__xludf.DUMMYFUNCTION("""COMPUTED_VALUE"""),0.1516)</f>
      </c>
      <c r="F784" s="10">
        <f>IFERROR(__xludf.DUMMYFUNCTION("""COMPUTED_VALUE"""),0.5833)</f>
      </c>
      <c r="G784" s="10">
        <f>IFERROR(__xludf.DUMMYFUNCTION("""COMPUTED_VALUE"""),0.1839)</f>
      </c>
    </row>
    <row x14ac:dyDescent="0.25" r="785" customHeight="1" ht="15.75">
      <c r="A785" s="8">
        <f>IFERROR(__xludf.DUMMYFUNCTION("""COMPUTED_VALUE"""),25146.0)</f>
      </c>
      <c r="B785" s="9">
        <f>IFERROR(__xludf.DUMMYFUNCTION("""COMPUTED_VALUE"""),"NORTE FLUMINENSE")</f>
      </c>
      <c r="C785" s="9">
        <f>IFERROR(__xludf.DUMMYFUNCTION("""COMPUTED_VALUE"""),"CE PEDRO CERQUEIRA")</f>
      </c>
      <c r="D785" s="10">
        <f>IFERROR(__xludf.DUMMYFUNCTION("""COMPUTED_VALUE"""),1.0)</f>
      </c>
      <c r="E785" s="10">
        <f>IFERROR(__xludf.DUMMYFUNCTION("""COMPUTED_VALUE"""),0.1581)</f>
      </c>
      <c r="F785" s="10">
        <f>IFERROR(__xludf.DUMMYFUNCTION("""COMPUTED_VALUE"""),0.6949)</f>
      </c>
      <c r="G785" s="10">
        <f>IFERROR(__xludf.DUMMYFUNCTION("""COMPUTED_VALUE"""),0.1967)</f>
      </c>
    </row>
    <row x14ac:dyDescent="0.25" r="786" customHeight="1" ht="15.75">
      <c r="A786" s="8">
        <f>IFERROR(__xludf.DUMMYFUNCTION("""COMPUTED_VALUE"""),25122.0)</f>
      </c>
      <c r="B786" s="9">
        <f>IFERROR(__xludf.DUMMYFUNCTION("""COMPUTED_VALUE"""),"NORTE FLUMINENSE")</f>
      </c>
      <c r="C786" s="9">
        <f>IFERROR(__xludf.DUMMYFUNCTION("""COMPUTED_VALUE"""),"CE PRIMEIRO DE MAIO")</f>
      </c>
      <c r="D786" s="10">
        <f>IFERROR(__xludf.DUMMYFUNCTION("""COMPUTED_VALUE"""),0.9255)</f>
      </c>
      <c r="E786" s="10">
        <f>IFERROR(__xludf.DUMMYFUNCTION("""COMPUTED_VALUE"""),0.2198)</f>
      </c>
      <c r="F786" s="10">
        <f>IFERROR(__xludf.DUMMYFUNCTION("""COMPUTED_VALUE"""),0.6481)</f>
      </c>
      <c r="G786" s="10">
        <f>IFERROR(__xludf.DUMMYFUNCTION("""COMPUTED_VALUE"""),0.2105)</f>
      </c>
    </row>
    <row x14ac:dyDescent="0.25" r="787" customHeight="1" ht="15.75">
      <c r="A787" s="8">
        <f>IFERROR(__xludf.DUMMYFUNCTION("""COMPUTED_VALUE"""),25092.0)</f>
      </c>
      <c r="B787" s="9">
        <f>IFERROR(__xludf.DUMMYFUNCTION("""COMPUTED_VALUE"""),"NORTE FLUMINENSE")</f>
      </c>
      <c r="C787" s="9">
        <f>IFERROR(__xludf.DUMMYFUNCTION("""COMPUTED_VALUE"""),"CE PROFESSOR HERVAL DE SOUZA TAVARES")</f>
      </c>
      <c r="D787" s="10">
        <f>IFERROR(__xludf.DUMMYFUNCTION("""COMPUTED_VALUE"""),1.0)</f>
      </c>
      <c r="E787" s="10">
        <f>IFERROR(__xludf.DUMMYFUNCTION("""COMPUTED_VALUE"""),0.2038)</f>
      </c>
      <c r="F787" s="10">
        <f>IFERROR(__xludf.DUMMYFUNCTION("""COMPUTED_VALUE"""),0.85)</f>
      </c>
      <c r="G787" s="10">
        <f>IFERROR(__xludf.DUMMYFUNCTION("""COMPUTED_VALUE"""),0.2731)</f>
      </c>
    </row>
    <row x14ac:dyDescent="0.25" r="788" customHeight="1" ht="15.75">
      <c r="A788" s="8">
        <f>IFERROR(__xludf.DUMMYFUNCTION("""COMPUTED_VALUE"""),25123.0)</f>
      </c>
      <c r="B788" s="9">
        <f>IFERROR(__xludf.DUMMYFUNCTION("""COMPUTED_VALUE"""),"NORTE FLUMINENSE")</f>
      </c>
      <c r="C788" s="9">
        <f>IFERROR(__xludf.DUMMYFUNCTION("""COMPUTED_VALUE"""),"CE PROFESSORA VANILDE NATALINO MATTOS")</f>
      </c>
      <c r="D788" s="10">
        <f>IFERROR(__xludf.DUMMYFUNCTION("""COMPUTED_VALUE"""),0.7395)</f>
      </c>
      <c r="E788" s="10">
        <f>IFERROR(__xludf.DUMMYFUNCTION("""COMPUTED_VALUE"""),0.2356)</f>
      </c>
      <c r="F788" s="10">
        <f>IFERROR(__xludf.DUMMYFUNCTION("""COMPUTED_VALUE"""),0.5)</f>
      </c>
      <c r="G788" s="10">
        <f>IFERROR(__xludf.DUMMYFUNCTION("""COMPUTED_VALUE"""),0.2162)</f>
      </c>
    </row>
    <row x14ac:dyDescent="0.25" r="789" customHeight="1" ht="15.75">
      <c r="A789" s="8">
        <f>IFERROR(__xludf.DUMMYFUNCTION("""COMPUTED_VALUE"""),25093.0)</f>
      </c>
      <c r="B789" s="9">
        <f>IFERROR(__xludf.DUMMYFUNCTION("""COMPUTED_VALUE"""),"NORTE FLUMINENSE")</f>
      </c>
      <c r="C789" s="9">
        <f>IFERROR(__xludf.DUMMYFUNCTION("""COMPUTED_VALUE"""),"CE QUINZE DE NOVEMBRO")</f>
      </c>
      <c r="D789" s="10">
        <f>IFERROR(__xludf.DUMMYFUNCTION("""COMPUTED_VALUE"""),0.7867)</f>
      </c>
      <c r="E789" s="10">
        <f>IFERROR(__xludf.DUMMYFUNCTION("""COMPUTED_VALUE"""),0.1888)</f>
      </c>
      <c r="F789" s="10">
        <f>IFERROR(__xludf.DUMMYFUNCTION("""COMPUTED_VALUE"""),0.64)</f>
      </c>
      <c r="G789" s="10">
        <f>IFERROR(__xludf.DUMMYFUNCTION("""COMPUTED_VALUE"""),0.1909)</f>
      </c>
    </row>
    <row x14ac:dyDescent="0.25" r="790" customHeight="1" ht="15.75">
      <c r="A790" s="8">
        <f>IFERROR(__xludf.DUMMYFUNCTION("""COMPUTED_VALUE"""),25124.0)</f>
      </c>
      <c r="B790" s="9">
        <f>IFERROR(__xludf.DUMMYFUNCTION("""COMPUTED_VALUE"""),"NORTE FLUMINENSE")</f>
      </c>
      <c r="C790" s="9">
        <f>IFERROR(__xludf.DUMMYFUNCTION("""COMPUTED_VALUE"""),"CE RACHEL REID PEREIRA DE SOUZA")</f>
      </c>
      <c r="D790" s="10">
        <f>IFERROR(__xludf.DUMMYFUNCTION("""COMPUTED_VALUE"""),0.9758)</f>
      </c>
      <c r="E790" s="10">
        <f>IFERROR(__xludf.DUMMYFUNCTION("""COMPUTED_VALUE"""),0.177)</f>
      </c>
      <c r="F790" s="10">
        <f>IFERROR(__xludf.DUMMYFUNCTION("""COMPUTED_VALUE"""),0.9595)</f>
      </c>
      <c r="G790" s="10">
        <f>IFERROR(__xludf.DUMMYFUNCTION("""COMPUTED_VALUE"""),0.1201)</f>
      </c>
    </row>
    <row x14ac:dyDescent="0.25" r="791" customHeight="1" ht="15.75">
      <c r="A791" s="8">
        <f>IFERROR(__xludf.DUMMYFUNCTION("""COMPUTED_VALUE"""),25155.0)</f>
      </c>
      <c r="B791" s="9">
        <f>IFERROR(__xludf.DUMMYFUNCTION("""COMPUTED_VALUE"""),"NORTE FLUMINENSE")</f>
      </c>
      <c r="C791" s="9">
        <f>IFERROR(__xludf.DUMMYFUNCTION("""COMPUTED_VALUE"""),"CE RAIMUNDO DE MAGALHAES")</f>
      </c>
      <c r="D791" s="10">
        <f>IFERROR(__xludf.DUMMYFUNCTION("""COMPUTED_VALUE"""),0.9789)</f>
      </c>
      <c r="E791" s="10">
        <f>IFERROR(__xludf.DUMMYFUNCTION("""COMPUTED_VALUE"""),0.1648)</f>
      </c>
      <c r="F791" s="10">
        <f>IFERROR(__xludf.DUMMYFUNCTION("""COMPUTED_VALUE"""),0.6099)</f>
      </c>
      <c r="G791" s="10">
        <f>IFERROR(__xludf.DUMMYFUNCTION("""COMPUTED_VALUE"""),0.1949)</f>
      </c>
    </row>
    <row x14ac:dyDescent="0.25" r="792" customHeight="1" ht="15.75">
      <c r="A792" s="8">
        <f>IFERROR(__xludf.DUMMYFUNCTION("""COMPUTED_VALUE"""),25132.0)</f>
      </c>
      <c r="B792" s="9">
        <f>IFERROR(__xludf.DUMMYFUNCTION("""COMPUTED_VALUE"""),"NORTE FLUMINENSE")</f>
      </c>
      <c r="C792" s="9">
        <f>IFERROR(__xludf.DUMMYFUNCTION("""COMPUTED_VALUE"""),"CE ROCHA LEAO")</f>
      </c>
      <c r="D792" s="10">
        <f>IFERROR(__xludf.DUMMYFUNCTION("""COMPUTED_VALUE"""),0.989)</f>
      </c>
      <c r="E792" s="10">
        <f>IFERROR(__xludf.DUMMYFUNCTION("""COMPUTED_VALUE"""),0.2256)</f>
      </c>
      <c r="F792" s="10">
        <f>IFERROR(__xludf.DUMMYFUNCTION("""COMPUTED_VALUE"""),0.7253)</f>
      </c>
      <c r="G792" s="10">
        <f>IFERROR(__xludf.DUMMYFUNCTION("""COMPUTED_VALUE"""),0.2234)</f>
      </c>
    </row>
    <row x14ac:dyDescent="0.25" r="793" customHeight="1" ht="15.75">
      <c r="A793" s="8">
        <f>IFERROR(__xludf.DUMMYFUNCTION("""COMPUTED_VALUE"""),25094.0)</f>
      </c>
      <c r="B793" s="9">
        <f>IFERROR(__xludf.DUMMYFUNCTION("""COMPUTED_VALUE"""),"NORTE FLUMINENSE")</f>
      </c>
      <c r="C793" s="9">
        <f>IFERROR(__xludf.DUMMYFUNCTION("""COMPUTED_VALUE"""),"CE ROTARY II - ENILDA BARRETO RANGEL")</f>
      </c>
      <c r="D793" s="10">
        <f>IFERROR(__xludf.DUMMYFUNCTION("""COMPUTED_VALUE"""),0.9668)</f>
      </c>
      <c r="E793" s="10">
        <f>IFERROR(__xludf.DUMMYFUNCTION("""COMPUTED_VALUE"""),0.1867)</f>
      </c>
      <c r="F793" s="10">
        <f>IFERROR(__xludf.DUMMYFUNCTION("""COMPUTED_VALUE"""),1.0)</f>
      </c>
      <c r="G793" s="10">
        <f>IFERROR(__xludf.DUMMYFUNCTION("""COMPUTED_VALUE"""),0.1276)</f>
      </c>
    </row>
    <row x14ac:dyDescent="0.25" r="794" customHeight="1" ht="15.75">
      <c r="A794" s="8">
        <f>IFERROR(__xludf.DUMMYFUNCTION("""COMPUTED_VALUE"""),25147.0)</f>
      </c>
      <c r="B794" s="9">
        <f>IFERROR(__xludf.DUMMYFUNCTION("""COMPUTED_VALUE"""),"NORTE FLUMINENSE")</f>
      </c>
      <c r="C794" s="9">
        <f>IFERROR(__xludf.DUMMYFUNCTION("""COMPUTED_VALUE"""),"CE SAO FRANCISCO DE PAULA")</f>
      </c>
      <c r="D794" s="10">
        <f>IFERROR(__xludf.DUMMYFUNCTION("""COMPUTED_VALUE"""),0.9107)</f>
      </c>
      <c r="E794" s="10">
        <f>IFERROR(__xludf.DUMMYFUNCTION("""COMPUTED_VALUE"""),0.2111)</f>
      </c>
      <c r="F794" s="10">
        <f>IFERROR(__xludf.DUMMYFUNCTION("""COMPUTED_VALUE"""),0.8125)</f>
      </c>
      <c r="G794" s="10">
        <f>IFERROR(__xludf.DUMMYFUNCTION("""COMPUTED_VALUE"""),0.3813)</f>
      </c>
    </row>
    <row x14ac:dyDescent="0.25" r="795" customHeight="1" ht="15.75">
      <c r="A795" s="8">
        <f>IFERROR(__xludf.DUMMYFUNCTION("""COMPUTED_VALUE"""),25125.0)</f>
      </c>
      <c r="B795" s="9">
        <f>IFERROR(__xludf.DUMMYFUNCTION("""COMPUTED_VALUE"""),"NORTE FLUMINENSE")</f>
      </c>
      <c r="C795" s="9">
        <f>IFERROR(__xludf.DUMMYFUNCTION("""COMPUTED_VALUE"""),"CE TELIO BARRETO")</f>
      </c>
      <c r="D795" s="10">
        <f>IFERROR(__xludf.DUMMYFUNCTION("""COMPUTED_VALUE"""),0.6888)</f>
      </c>
      <c r="E795" s="10">
        <f>IFERROR(__xludf.DUMMYFUNCTION("""COMPUTED_VALUE"""),0.2001)</f>
      </c>
      <c r="F795" s="10">
        <f>IFERROR(__xludf.DUMMYFUNCTION("""COMPUTED_VALUE"""),0.49)</f>
      </c>
      <c r="G795" s="10">
        <f>IFERROR(__xludf.DUMMYFUNCTION("""COMPUTED_VALUE"""),0.1977)</f>
      </c>
    </row>
    <row x14ac:dyDescent="0.25" r="796" customHeight="1" ht="15.75">
      <c r="A796" s="8">
        <f>IFERROR(__xludf.DUMMYFUNCTION("""COMPUTED_VALUE"""),25095.0)</f>
      </c>
      <c r="B796" s="9">
        <f>IFERROR(__xludf.DUMMYFUNCTION("""COMPUTED_VALUE"""),"NORTE FLUMINENSE")</f>
      </c>
      <c r="C796" s="9">
        <f>IFERROR(__xludf.DUMMYFUNCTION("""COMPUTED_VALUE"""),"CE THEOTONIO FERREIRA DE ARAUJO")</f>
      </c>
      <c r="D796" s="10">
        <f>IFERROR(__xludf.DUMMYFUNCTION("""COMPUTED_VALUE"""),0.9831)</f>
      </c>
      <c r="E796" s="10">
        <f>IFERROR(__xludf.DUMMYFUNCTION("""COMPUTED_VALUE"""),0.1914)</f>
      </c>
      <c r="F796" s="10">
        <f>IFERROR(__xludf.DUMMYFUNCTION("""COMPUTED_VALUE"""),1.0)</f>
      </c>
      <c r="G796" s="10">
        <f>IFERROR(__xludf.DUMMYFUNCTION("""COMPUTED_VALUE"""),0.1724)</f>
      </c>
    </row>
    <row x14ac:dyDescent="0.25" r="797" customHeight="1" ht="15.75">
      <c r="A797" s="8">
        <f>IFERROR(__xludf.DUMMYFUNCTION("""COMPUTED_VALUE"""),25109.0)</f>
      </c>
      <c r="B797" s="9">
        <f>IFERROR(__xludf.DUMMYFUNCTION("""COMPUTED_VALUE"""),"NORTE FLUMINENSE")</f>
      </c>
      <c r="C797" s="9">
        <f>IFERROR(__xludf.DUMMYFUNCTION("""COMPUTED_VALUE"""),"CE THOMAZ GOMES")</f>
      </c>
      <c r="D797" s="10">
        <f>IFERROR(__xludf.DUMMYFUNCTION("""COMPUTED_VALUE"""),0.7063)</f>
      </c>
      <c r="E797" s="10">
        <f>IFERROR(__xludf.DUMMYFUNCTION("""COMPUTED_VALUE"""),0.2057)</f>
      </c>
      <c r="F797" s="10">
        <f>IFERROR(__xludf.DUMMYFUNCTION("""COMPUTED_VALUE"""),0.6417)</f>
      </c>
      <c r="G797" s="10">
        <f>IFERROR(__xludf.DUMMYFUNCTION("""COMPUTED_VALUE"""),0.1363)</f>
      </c>
    </row>
    <row x14ac:dyDescent="0.25" r="798" customHeight="1" ht="15.75">
      <c r="A798" s="8">
        <f>IFERROR(__xludf.DUMMYFUNCTION("""COMPUTED_VALUE"""),25115.0)</f>
      </c>
      <c r="B798" s="9">
        <f>IFERROR(__xludf.DUMMYFUNCTION("""COMPUTED_VALUE"""),"NORTE FLUMINENSE")</f>
      </c>
      <c r="C798" s="9">
        <f>IFERROR(__xludf.DUMMYFUNCTION("""COMPUTED_VALUE"""),"CE TOBIAS TOSTES MACHADO")</f>
      </c>
      <c r="D798" s="10">
        <f>IFERROR(__xludf.DUMMYFUNCTION("""COMPUTED_VALUE"""),0.982)</f>
      </c>
      <c r="E798" s="10">
        <f>IFERROR(__xludf.DUMMYFUNCTION("""COMPUTED_VALUE"""),0.1941)</f>
      </c>
      <c r="F798" s="10">
        <f>IFERROR(__xludf.DUMMYFUNCTION("""COMPUTED_VALUE"""),0.9223)</f>
      </c>
      <c r="G798" s="10">
        <f>IFERROR(__xludf.DUMMYFUNCTION("""COMPUTED_VALUE"""),0.1645)</f>
      </c>
    </row>
    <row x14ac:dyDescent="0.25" r="799" customHeight="1" ht="15.75">
      <c r="A799" s="8">
        <f>IFERROR(__xludf.DUMMYFUNCTION("""COMPUTED_VALUE"""),25126.0)</f>
      </c>
      <c r="B799" s="9">
        <f>IFERROR(__xludf.DUMMYFUNCTION("""COMPUTED_VALUE"""),"NORTE FLUMINENSE")</f>
      </c>
      <c r="C799" s="9">
        <f>IFERROR(__xludf.DUMMYFUNCTION("""COMPUTED_VALUE"""),"CE VISCONDE DE ARAUJO")</f>
      </c>
      <c r="D799" s="10">
        <f>IFERROR(__xludf.DUMMYFUNCTION("""COMPUTED_VALUE"""),0.9684)</f>
      </c>
      <c r="E799" s="10">
        <f>IFERROR(__xludf.DUMMYFUNCTION("""COMPUTED_VALUE"""),0.2153)</f>
      </c>
      <c r="F799" s="10">
        <f>IFERROR(__xludf.DUMMYFUNCTION("""COMPUTED_VALUE"""),0.4905)</f>
      </c>
      <c r="G799" s="10">
        <f>IFERROR(__xludf.DUMMYFUNCTION("""COMPUTED_VALUE"""),0.2121)</f>
      </c>
    </row>
    <row x14ac:dyDescent="0.25" r="800" customHeight="1" ht="15.75">
      <c r="A800" s="8">
        <f>IFERROR(__xludf.DUMMYFUNCTION("""COMPUTED_VALUE"""),25129.0)</f>
      </c>
      <c r="B800" s="9">
        <f>IFERROR(__xludf.DUMMYFUNCTION("""COMPUTED_VALUE"""),"NORTE FLUMINENSE")</f>
      </c>
      <c r="C800" s="9">
        <f>IFERROR(__xludf.DUMMYFUNCTION("""COMPUTED_VALUE"""),"CE VISCONDE DE QUISSAMA")</f>
      </c>
      <c r="D800" s="10">
        <f>IFERROR(__xludf.DUMMYFUNCTION("""COMPUTED_VALUE"""),0.9496)</f>
      </c>
      <c r="E800" s="10">
        <f>IFERROR(__xludf.DUMMYFUNCTION("""COMPUTED_VALUE"""),0.1834)</f>
      </c>
      <c r="F800" s="10">
        <f>IFERROR(__xludf.DUMMYFUNCTION("""COMPUTED_VALUE"""),0.5507)</f>
      </c>
      <c r="G800" s="10">
        <f>IFERROR(__xludf.DUMMYFUNCTION("""COMPUTED_VALUE"""),0.2118)</f>
      </c>
    </row>
    <row x14ac:dyDescent="0.25" r="801" customHeight="1" ht="15.75">
      <c r="A801" s="8">
        <f>IFERROR(__xludf.DUMMYFUNCTION("""COMPUTED_VALUE"""),25096.0)</f>
      </c>
      <c r="B801" s="9">
        <f>IFERROR(__xludf.DUMMYFUNCTION("""COMPUTED_VALUE"""),"NORTE FLUMINENSE")</f>
      </c>
      <c r="C801" s="9">
        <f>IFERROR(__xludf.DUMMYFUNCTION("""COMPUTED_VALUE"""),"CE VISCONDE DO RIO BRANCO")</f>
      </c>
      <c r="D801" s="10">
        <f>IFERROR(__xludf.DUMMYFUNCTION("""COMPUTED_VALUE"""),0.978)</f>
      </c>
      <c r="E801" s="10">
        <f>IFERROR(__xludf.DUMMYFUNCTION("""COMPUTED_VALUE"""),0.1743)</f>
      </c>
      <c r="F801" s="10">
        <f>IFERROR(__xludf.DUMMYFUNCTION("""COMPUTED_VALUE"""),0.6154)</f>
      </c>
      <c r="G801" s="10">
        <f>IFERROR(__xludf.DUMMYFUNCTION("""COMPUTED_VALUE"""),0.2044)</f>
      </c>
    </row>
    <row x14ac:dyDescent="0.25" r="802" customHeight="1" ht="15.75">
      <c r="A802" s="8">
        <f>IFERROR(__xludf.DUMMYFUNCTION("""COMPUTED_VALUE"""),25098.0)</f>
      </c>
      <c r="B802" s="9">
        <f>IFERROR(__xludf.DUMMYFUNCTION("""COMPUTED_VALUE"""),"NORTE FLUMINENSE")</f>
      </c>
      <c r="C802" s="9">
        <f>IFERROR(__xludf.DUMMYFUNCTION("""COMPUTED_VALUE"""),"CIEP 056 DOUTOR CUSTODIO SIQUEIRA")</f>
      </c>
      <c r="D802" s="10">
        <f>IFERROR(__xludf.DUMMYFUNCTION("""COMPUTED_VALUE"""),0.751)</f>
      </c>
      <c r="E802" s="10">
        <f>IFERROR(__xludf.DUMMYFUNCTION("""COMPUTED_VALUE"""),0.2288)</f>
      </c>
      <c r="F802" s="10">
        <f>IFERROR(__xludf.DUMMYFUNCTION("""COMPUTED_VALUE"""),0.6511)</f>
      </c>
      <c r="G802" s="10">
        <f>IFERROR(__xludf.DUMMYFUNCTION("""COMPUTED_VALUE"""),0.2049)</f>
      </c>
    </row>
    <row x14ac:dyDescent="0.25" r="803" customHeight="1" ht="15.75">
      <c r="A803" s="8">
        <f>IFERROR(__xludf.DUMMYFUNCTION("""COMPUTED_VALUE"""),25099.0)</f>
      </c>
      <c r="B803" s="9">
        <f>IFERROR(__xludf.DUMMYFUNCTION("""COMPUTED_VALUE"""),"NORTE FLUMINENSE")</f>
      </c>
      <c r="C803" s="9">
        <f>IFERROR(__xludf.DUMMYFUNCTION("""COMPUTED_VALUE"""),"CIEP 057 DOUTOR NILO PEÇANHA")</f>
      </c>
      <c r="D803" s="10">
        <f>IFERROR(__xludf.DUMMYFUNCTION("""COMPUTED_VALUE"""),0.9783)</f>
      </c>
      <c r="E803" s="10">
        <f>IFERROR(__xludf.DUMMYFUNCTION("""COMPUTED_VALUE"""),0.1446)</f>
      </c>
      <c r="F803" s="10">
        <f>IFERROR(__xludf.DUMMYFUNCTION("""COMPUTED_VALUE"""),0.5882)</f>
      </c>
      <c r="G803" s="10">
        <f>IFERROR(__xludf.DUMMYFUNCTION("""COMPUTED_VALUE"""),0.185)</f>
      </c>
    </row>
    <row x14ac:dyDescent="0.25" r="804" customHeight="1" ht="15.75">
      <c r="A804" s="8">
        <f>IFERROR(__xludf.DUMMYFUNCTION("""COMPUTED_VALUE"""),25134.0)</f>
      </c>
      <c r="B804" s="9">
        <f>IFERROR(__xludf.DUMMYFUNCTION("""COMPUTED_VALUE"""),"NORTE FLUMINENSE")</f>
      </c>
      <c r="C804" s="9">
        <f>IFERROR(__xludf.DUMMYFUNCTION("""COMPUTED_VALUE"""),"CIEP 257 JOAQUIM DO REGO BARROS")</f>
      </c>
      <c r="D804" s="10">
        <f>IFERROR(__xludf.DUMMYFUNCTION("""COMPUTED_VALUE"""),0.6288)</f>
      </c>
      <c r="E804" s="10">
        <f>IFERROR(__xludf.DUMMYFUNCTION("""COMPUTED_VALUE"""),0.2264)</f>
      </c>
      <c r="F804" s="10">
        <f>IFERROR(__xludf.DUMMYFUNCTION("""COMPUTED_VALUE"""),0.1526)</f>
      </c>
      <c r="G804" s="10">
        <f>IFERROR(__xludf.DUMMYFUNCTION("""COMPUTED_VALUE"""),0.1611)</f>
      </c>
    </row>
    <row x14ac:dyDescent="0.25" r="805" customHeight="1" ht="15.75">
      <c r="A805" s="8">
        <f>IFERROR(__xludf.DUMMYFUNCTION("""COMPUTED_VALUE"""),25100.0)</f>
      </c>
      <c r="B805" s="9">
        <f>IFERROR(__xludf.DUMMYFUNCTION("""COMPUTED_VALUE"""),"NORTE FLUMINENSE")</f>
      </c>
      <c r="C805" s="9">
        <f>IFERROR(__xludf.DUMMYFUNCTION("""COMPUTED_VALUE"""),"CIEP 268 LUIZ CARLOS DE LACERDA")</f>
      </c>
      <c r="D805" s="10">
        <f>IFERROR(__xludf.DUMMYFUNCTION("""COMPUTED_VALUE"""),0.7727)</f>
      </c>
      <c r="E805" s="10">
        <f>IFERROR(__xludf.DUMMYFUNCTION("""COMPUTED_VALUE"""),0.2251)</f>
      </c>
      <c r="F805" s="10">
        <f>IFERROR(__xludf.DUMMYFUNCTION("""COMPUTED_VALUE"""),0.8409)</f>
      </c>
      <c r="G805" s="10">
        <f>IFERROR(__xludf.DUMMYFUNCTION("""COMPUTED_VALUE"""),0.1978)</f>
      </c>
    </row>
    <row x14ac:dyDescent="0.25" r="806" customHeight="1" ht="15.75">
      <c r="A806" s="8">
        <f>IFERROR(__xludf.DUMMYFUNCTION("""COMPUTED_VALUE"""),25101.0)</f>
      </c>
      <c r="B806" s="9">
        <f>IFERROR(__xludf.DUMMYFUNCTION("""COMPUTED_VALUE"""),"NORTE FLUMINENSE")</f>
      </c>
      <c r="C806" s="9">
        <f>IFERROR(__xludf.DUMMYFUNCTION("""COMPUTED_VALUE"""),"CIEP 270 PREFEITO JOSE ALVES DE AZEVEDO")</f>
      </c>
      <c r="D806" s="10">
        <f>IFERROR(__xludf.DUMMYFUNCTION("""COMPUTED_VALUE"""),0.7391)</f>
      </c>
      <c r="E806" s="10">
        <f>IFERROR(__xludf.DUMMYFUNCTION("""COMPUTED_VALUE"""),0.2003)</f>
      </c>
      <c r="F806" s="10">
        <f>IFERROR(__xludf.DUMMYFUNCTION("""COMPUTED_VALUE"""),0.7568)</f>
      </c>
      <c r="G806" s="10">
        <f>IFERROR(__xludf.DUMMYFUNCTION("""COMPUTED_VALUE"""),0.2039)</f>
      </c>
    </row>
    <row x14ac:dyDescent="0.25" r="807" customHeight="1" ht="15.75">
      <c r="A807" s="8">
        <f>IFERROR(__xludf.DUMMYFUNCTION("""COMPUTED_VALUE"""),25116.0)</f>
      </c>
      <c r="B807" s="9">
        <f>IFERROR(__xludf.DUMMYFUNCTION("""COMPUTED_VALUE"""),"NORTE FLUMINENSE")</f>
      </c>
      <c r="C807" s="9">
        <f>IFERROR(__xludf.DUMMYFUNCTION("""COMPUTED_VALUE"""),"CIEP 271 JOSE BONIFACIO TASSARA")</f>
      </c>
      <c r="D807" s="10">
        <f>IFERROR(__xludf.DUMMYFUNCTION("""COMPUTED_VALUE"""),0.9545)</f>
      </c>
      <c r="E807" s="10">
        <f>IFERROR(__xludf.DUMMYFUNCTION("""COMPUTED_VALUE"""),0.2427)</f>
      </c>
      <c r="F807" s="10">
        <f>IFERROR(__xludf.DUMMYFUNCTION("""COMPUTED_VALUE"""),0.7273)</f>
      </c>
      <c r="G807" s="10">
        <f>IFERROR(__xludf.DUMMYFUNCTION("""COMPUTED_VALUE"""),0.1827)</f>
      </c>
    </row>
    <row x14ac:dyDescent="0.25" r="808" customHeight="1" ht="15.75">
      <c r="A808" s="8">
        <f>IFERROR(__xludf.DUMMYFUNCTION("""COMPUTED_VALUE"""),25128.0)</f>
      </c>
      <c r="B808" s="9">
        <f>IFERROR(__xludf.DUMMYFUNCTION("""COMPUTED_VALUE"""),"NORTE FLUMINENSE")</f>
      </c>
      <c r="C808" s="9">
        <f>IFERROR(__xludf.DUMMYFUNCTION("""COMPUTED_VALUE"""),"CIEP 393 PREFEITO CARLOS EMIR MUSSI")</f>
      </c>
      <c r="D808" s="10">
        <f>IFERROR(__xludf.DUMMYFUNCTION("""COMPUTED_VALUE"""),0.8262)</f>
      </c>
      <c r="E808" s="10">
        <f>IFERROR(__xludf.DUMMYFUNCTION("""COMPUTED_VALUE"""),0.2308)</f>
      </c>
      <c r="F808" s="10">
        <f>IFERROR(__xludf.DUMMYFUNCTION("""COMPUTED_VALUE"""),0.6667)</f>
      </c>
      <c r="G808" s="10">
        <f>IFERROR(__xludf.DUMMYFUNCTION("""COMPUTED_VALUE"""),0.2113)</f>
      </c>
    </row>
    <row x14ac:dyDescent="0.25" r="809" customHeight="1" ht="15.75">
      <c r="A809" s="8">
        <f>IFERROR(__xludf.DUMMYFUNCTION("""COMPUTED_VALUE"""),25102.0)</f>
      </c>
      <c r="B809" s="9">
        <f>IFERROR(__xludf.DUMMYFUNCTION("""COMPUTED_VALUE"""),"NORTE FLUMINENSE")</f>
      </c>
      <c r="C809" s="9">
        <f>IFERROR(__xludf.DUMMYFUNCTION("""COMPUTED_VALUE"""),"CIEP 417 GINÁSIO PÚBLICO JOSÉ DO PATROCÍNIO")</f>
      </c>
      <c r="D809" s="10">
        <f>IFERROR(__xludf.DUMMYFUNCTION("""COMPUTED_VALUE"""),0.775)</f>
      </c>
      <c r="E809" s="10">
        <f>IFERROR(__xludf.DUMMYFUNCTION("""COMPUTED_VALUE"""),0.2376)</f>
      </c>
      <c r="F809" s="10">
        <f>IFERROR(__xludf.DUMMYFUNCTION("""COMPUTED_VALUE"""),0.8293)</f>
      </c>
      <c r="G809" s="10">
        <f>IFERROR(__xludf.DUMMYFUNCTION("""COMPUTED_VALUE"""),0.202)</f>
      </c>
    </row>
    <row x14ac:dyDescent="0.25" r="810" customHeight="1" ht="15.75">
      <c r="A810" s="8">
        <f>IFERROR(__xludf.DUMMYFUNCTION("""COMPUTED_VALUE"""),25103.0)</f>
      </c>
      <c r="B810" s="9">
        <f>IFERROR(__xludf.DUMMYFUNCTION("""COMPUTED_VALUE"""),"NORTE FLUMINENSE")</f>
      </c>
      <c r="C810" s="9">
        <f>IFERROR(__xludf.DUMMYFUNCTION("""COMPUTED_VALUE"""),"CIEP 461 CLOVIS TAVARES")</f>
      </c>
      <c r="D810" s="10">
        <f>IFERROR(__xludf.DUMMYFUNCTION("""COMPUTED_VALUE"""),0.9775)</f>
      </c>
      <c r="E810" s="10">
        <f>IFERROR(__xludf.DUMMYFUNCTION("""COMPUTED_VALUE"""),0.2085)</f>
      </c>
      <c r="F810" s="10">
        <f>IFERROR(__xludf.DUMMYFUNCTION("""COMPUTED_VALUE"""),0.9888)</f>
      </c>
      <c r="G810" s="10">
        <f>IFERROR(__xludf.DUMMYFUNCTION("""COMPUTED_VALUE"""),0.1479)</f>
      </c>
    </row>
    <row x14ac:dyDescent="0.25" r="811" customHeight="1" ht="15.75">
      <c r="A811" s="8">
        <f>IFERROR(__xludf.DUMMYFUNCTION("""COMPUTED_VALUE"""),25104.0)</f>
      </c>
      <c r="B811" s="9">
        <f>IFERROR(__xludf.DUMMYFUNCTION("""COMPUTED_VALUE"""),"NORTE FLUMINENSE")</f>
      </c>
      <c r="C811" s="9">
        <f>IFERROR(__xludf.DUMMYFUNCTION("""COMPUTED_VALUE"""),"CIEP 462 NACAO GOITACA")</f>
      </c>
      <c r="D811" s="10">
        <f>IFERROR(__xludf.DUMMYFUNCTION("""COMPUTED_VALUE"""),1.0)</f>
      </c>
      <c r="E811" s="10">
        <f>IFERROR(__xludf.DUMMYFUNCTION("""COMPUTED_VALUE"""),0.222)</f>
      </c>
      <c r="F811" s="10">
        <f>IFERROR(__xludf.DUMMYFUNCTION("""COMPUTED_VALUE"""),0.6333)</f>
      </c>
      <c r="G811" s="10">
        <f>IFERROR(__xludf.DUMMYFUNCTION("""COMPUTED_VALUE"""),0.226)</f>
      </c>
    </row>
    <row x14ac:dyDescent="0.25" r="812" customHeight="1" ht="15.75">
      <c r="A812" s="8">
        <f>IFERROR(__xludf.DUMMYFUNCTION("""COMPUTED_VALUE"""),25105.0)</f>
      </c>
      <c r="B812" s="9">
        <f>IFERROR(__xludf.DUMMYFUNCTION("""COMPUTED_VALUE"""),"NORTE FLUMINENSE")</f>
      </c>
      <c r="C812" s="9">
        <f>IFERROR(__xludf.DUMMYFUNCTION("""COMPUTED_VALUE"""),"CIEP 463 JOÃO BORGES BARRETO")</f>
      </c>
      <c r="D812" s="10">
        <f>IFERROR(__xludf.DUMMYFUNCTION("""COMPUTED_VALUE"""),0.91)</f>
      </c>
      <c r="E812" s="10">
        <f>IFERROR(__xludf.DUMMYFUNCTION("""COMPUTED_VALUE"""),0.258)</f>
      </c>
      <c r="F812" s="10">
        <f>IFERROR(__xludf.DUMMYFUNCTION("""COMPUTED_VALUE"""),0.6263)</f>
      </c>
      <c r="G812" s="10">
        <f>IFERROR(__xludf.DUMMYFUNCTION("""COMPUTED_VALUE"""),0.2021)</f>
      </c>
    </row>
    <row x14ac:dyDescent="0.25" r="813" customHeight="1" ht="15.75">
      <c r="A813" s="8">
        <f>IFERROR(__xludf.DUMMYFUNCTION("""COMPUTED_VALUE"""),25111.0)</f>
      </c>
      <c r="B813" s="9">
        <f>IFERROR(__xludf.DUMMYFUNCTION("""COMPUTED_VALUE"""),"NORTE FLUMINENSE")</f>
      </c>
      <c r="C813" s="9">
        <f>IFERROR(__xludf.DUMMYFUNCTION("""COMPUTED_VALUE"""),"CIEP 464 ADMAR FERREIRA DE MEDEIROS")</f>
      </c>
      <c r="D813" s="10">
        <f>IFERROR(__xludf.DUMMYFUNCTION("""COMPUTED_VALUE"""),1.0)</f>
      </c>
      <c r="E813" s="10">
        <f>IFERROR(__xludf.DUMMYFUNCTION("""COMPUTED_VALUE"""),0.2044)</f>
      </c>
      <c r="F813" s="10">
        <f>IFERROR(__xludf.DUMMYFUNCTION("""COMPUTED_VALUE"""),0.8235)</f>
      </c>
      <c r="G813" s="10">
        <f>IFERROR(__xludf.DUMMYFUNCTION("""COMPUTED_VALUE"""),0.2041)</f>
      </c>
    </row>
    <row x14ac:dyDescent="0.25" r="814" customHeight="1" ht="15.75">
      <c r="A814" s="8">
        <f>IFERROR(__xludf.DUMMYFUNCTION("""COMPUTED_VALUE"""),25106.0)</f>
      </c>
      <c r="B814" s="9">
        <f>IFERROR(__xludf.DUMMYFUNCTION("""COMPUTED_VALUE"""),"NORTE FLUMINENSE")</f>
      </c>
      <c r="C814" s="9">
        <f>IFERROR(__xludf.DUMMYFUNCTION("""COMPUTED_VALUE"""),"CIEP 466 NINA ARUEIRA")</f>
      </c>
      <c r="D814" s="10">
        <f>IFERROR(__xludf.DUMMYFUNCTION("""COMPUTED_VALUE"""),0.7692)</f>
      </c>
      <c r="E814" s="10">
        <f>IFERROR(__xludf.DUMMYFUNCTION("""COMPUTED_VALUE"""),0.1929)</f>
      </c>
      <c r="F814" s="10">
        <f>IFERROR(__xludf.DUMMYFUNCTION("""COMPUTED_VALUE"""),0.7647)</f>
      </c>
      <c r="G814" s="10">
        <f>IFERROR(__xludf.DUMMYFUNCTION("""COMPUTED_VALUE"""),0.2343)</f>
      </c>
    </row>
    <row x14ac:dyDescent="0.25" r="815" customHeight="1" ht="15.75">
      <c r="A815" s="8">
        <f>IFERROR(__xludf.DUMMYFUNCTION("""COMPUTED_VALUE"""),25148.0)</f>
      </c>
      <c r="B815" s="9">
        <f>IFERROR(__xludf.DUMMYFUNCTION("""COMPUTED_VALUE"""),"NORTE FLUMINENSE")</f>
      </c>
      <c r="C815" s="9">
        <f>IFERROR(__xludf.DUMMYFUNCTION("""COMPUTED_VALUE"""),"CIEP 470 CELSO MARTINS CORDEIRO")</f>
      </c>
      <c r="D815" s="10">
        <f>IFERROR(__xludf.DUMMYFUNCTION("""COMPUTED_VALUE"""),0.9789)</f>
      </c>
      <c r="E815" s="10">
        <f>IFERROR(__xludf.DUMMYFUNCTION("""COMPUTED_VALUE"""),0.1831)</f>
      </c>
      <c r="F815" s="10">
        <f>IFERROR(__xludf.DUMMYFUNCTION("""COMPUTED_VALUE"""),0.7263)</f>
      </c>
      <c r="G815" s="10">
        <f>IFERROR(__xludf.DUMMYFUNCTION("""COMPUTED_VALUE"""),0.3616)</f>
      </c>
    </row>
    <row x14ac:dyDescent="0.25" r="816" customHeight="1" ht="15.75">
      <c r="A816" s="8">
        <f>IFERROR(__xludf.DUMMYFUNCTION("""COMPUTED_VALUE"""),25108.0)</f>
      </c>
      <c r="B816" s="9">
        <f>IFERROR(__xludf.DUMMYFUNCTION("""COMPUTED_VALUE"""),"NORTE FLUMINENSE")</f>
      </c>
      <c r="C816" s="9">
        <f>IFERROR(__xludf.DUMMYFUNCTION("""COMPUTED_VALUE"""),"LICEU DE HUMANIDADES DE CAMPOS")</f>
      </c>
      <c r="D816" s="10">
        <f>IFERROR(__xludf.DUMMYFUNCTION("""COMPUTED_VALUE"""),0.8413)</f>
      </c>
      <c r="E816" s="10">
        <f>IFERROR(__xludf.DUMMYFUNCTION("""COMPUTED_VALUE"""),0.1929)</f>
      </c>
      <c r="F816" s="10">
        <f>IFERROR(__xludf.DUMMYFUNCTION("""COMPUTED_VALUE"""),0.5698)</f>
      </c>
      <c r="G816" s="10">
        <f>IFERROR(__xludf.DUMMYFUNCTION("""COMPUTED_VALUE"""),0.2207)</f>
      </c>
    </row>
    <row x14ac:dyDescent="0.25" r="817" customHeight="1" ht="15.75">
      <c r="A817" s="8">
        <f>IFERROR(__xludf.DUMMYFUNCTION("""COMPUTED_VALUE"""),25748.0)</f>
      </c>
      <c r="B817" s="9">
        <f>IFERROR(__xludf.DUMMYFUNCTION("""COMPUTED_VALUE"""),"SERRANA I")</f>
      </c>
      <c r="C817" s="9">
        <f>IFERROR(__xludf.DUMMYFUNCTION("""COMPUTED_VALUE"""),"CE ALCINDO GUANABARA")</f>
      </c>
      <c r="D817" s="10">
        <f>IFERROR(__xludf.DUMMYFUNCTION("""COMPUTED_VALUE"""),0.9854)</f>
      </c>
      <c r="E817" s="10">
        <f>IFERROR(__xludf.DUMMYFUNCTION("""COMPUTED_VALUE"""),0.2032)</f>
      </c>
      <c r="F817" s="10">
        <f>IFERROR(__xludf.DUMMYFUNCTION("""COMPUTED_VALUE"""),0.6619)</f>
      </c>
      <c r="G817" s="10">
        <f>IFERROR(__xludf.DUMMYFUNCTION("""COMPUTED_VALUE"""),0.2201)</f>
      </c>
    </row>
    <row x14ac:dyDescent="0.25" r="818" customHeight="1" ht="15.75">
      <c r="A818" s="8">
        <f>IFERROR(__xludf.DUMMYFUNCTION("""COMPUTED_VALUE"""),25798.0)</f>
      </c>
      <c r="B818" s="9">
        <f>IFERROR(__xludf.DUMMYFUNCTION("""COMPUTED_VALUE"""),"SERRANA I")</f>
      </c>
      <c r="C818" s="9">
        <f>IFERROR(__xludf.DUMMYFUNCTION("""COMPUTED_VALUE"""),"CE CABO BM FLÁVIO UANDERSON RODRIGUES DE FREITAS")</f>
      </c>
      <c r="D818" s="10">
        <f>IFERROR(__xludf.DUMMYFUNCTION("""COMPUTED_VALUE"""),0.9846)</f>
      </c>
      <c r="E818" s="10">
        <f>IFERROR(__xludf.DUMMYFUNCTION("""COMPUTED_VALUE"""),0.3167)</f>
      </c>
      <c r="F818" s="10">
        <f>IFERROR(__xludf.DUMMYFUNCTION("""COMPUTED_VALUE"""),0.9692)</f>
      </c>
      <c r="G818" s="10">
        <f>IFERROR(__xludf.DUMMYFUNCTION("""COMPUTED_VALUE"""),0.2481)</f>
      </c>
    </row>
    <row x14ac:dyDescent="0.25" r="819" customHeight="1" ht="15.75">
      <c r="A819" s="8">
        <f>IFERROR(__xludf.DUMMYFUNCTION("""COMPUTED_VALUE"""),25745.0)</f>
      </c>
      <c r="B819" s="9">
        <f>IFERROR(__xludf.DUMMYFUNCTION("""COMPUTED_VALUE"""),"SERRANA I")</f>
      </c>
      <c r="C819" s="9">
        <f>IFERROR(__xludf.DUMMYFUNCTION("""COMPUTED_VALUE"""),"CE CABO PM ELISÂNGELA BESSA CORDEIRO")</f>
      </c>
      <c r="D819" s="10">
        <f>IFERROR(__xludf.DUMMYFUNCTION("""COMPUTED_VALUE"""),1.0)</f>
      </c>
      <c r="E819" s="10">
        <f>IFERROR(__xludf.DUMMYFUNCTION("""COMPUTED_VALUE"""),0.2527)</f>
      </c>
      <c r="F819" s="10">
        <f>IFERROR(__xludf.DUMMYFUNCTION("""COMPUTED_VALUE"""),0.9767)</f>
      </c>
      <c r="G819" s="10">
        <f>IFERROR(__xludf.DUMMYFUNCTION("""COMPUTED_VALUE"""),0.2107)</f>
      </c>
    </row>
    <row x14ac:dyDescent="0.25" r="820" customHeight="1" ht="15.75">
      <c r="A820" s="8">
        <f>IFERROR(__xludf.DUMMYFUNCTION("""COMPUTED_VALUE"""),25789.0)</f>
      </c>
      <c r="B820" s="9">
        <f>IFERROR(__xludf.DUMMYFUNCTION("""COMPUTED_VALUE"""),"SERRANA I")</f>
      </c>
      <c r="C820" s="9">
        <f>IFERROR(__xludf.DUMMYFUNCTION("""COMPUTED_VALUE"""),"CE CAMPOS SALLES")</f>
      </c>
      <c r="D820" s="10">
        <f>IFERROR(__xludf.DUMMYFUNCTION("""COMPUTED_VALUE"""),0.9862)</f>
      </c>
      <c r="E820" s="10">
        <f>IFERROR(__xludf.DUMMYFUNCTION("""COMPUTED_VALUE"""),0.2597)</f>
      </c>
      <c r="F820" s="10">
        <f>IFERROR(__xludf.DUMMYFUNCTION("""COMPUTED_VALUE"""),0.7863)</f>
      </c>
      <c r="G820" s="10">
        <f>IFERROR(__xludf.DUMMYFUNCTION("""COMPUTED_VALUE"""),0.2267)</f>
      </c>
    </row>
    <row x14ac:dyDescent="0.25" r="821" customHeight="1" ht="15.75">
      <c r="A821" s="8">
        <f>IFERROR(__xludf.DUMMYFUNCTION("""COMPUTED_VALUE"""),25770.0)</f>
      </c>
      <c r="B821" s="9">
        <f>IFERROR(__xludf.DUMMYFUNCTION("""COMPUTED_VALUE"""),"SERRANA I")</f>
      </c>
      <c r="C821" s="9">
        <f>IFERROR(__xludf.DUMMYFUNCTION("""COMPUTED_VALUE"""),"CE CARDOSO FONTES")</f>
      </c>
      <c r="D821" s="10">
        <f>IFERROR(__xludf.DUMMYFUNCTION("""COMPUTED_VALUE"""),0.9892)</f>
      </c>
      <c r="E821" s="10">
        <f>IFERROR(__xludf.DUMMYFUNCTION("""COMPUTED_VALUE"""),0.2284)</f>
      </c>
      <c r="F821" s="10">
        <f>IFERROR(__xludf.DUMMYFUNCTION("""COMPUTED_VALUE"""),0.6802)</f>
      </c>
      <c r="G821" s="10">
        <f>IFERROR(__xludf.DUMMYFUNCTION("""COMPUTED_VALUE"""),0.2138)</f>
      </c>
    </row>
    <row x14ac:dyDescent="0.25" r="822" customHeight="1" ht="15.75">
      <c r="A822" s="8">
        <f>IFERROR(__xludf.DUMMYFUNCTION("""COMPUTED_VALUE"""),25799.0)</f>
      </c>
      <c r="B822" s="9">
        <f>IFERROR(__xludf.DUMMYFUNCTION("""COMPUTED_VALUE"""),"SERRANA I")</f>
      </c>
      <c r="C822" s="9">
        <f>IFERROR(__xludf.DUMMYFUNCTION("""COMPUTED_VALUE"""),"CE CONDESSA DO RIO NOVO")</f>
      </c>
      <c r="D822" s="10">
        <f>IFERROR(__xludf.DUMMYFUNCTION("""COMPUTED_VALUE"""),0.8789)</f>
      </c>
      <c r="E822" s="10">
        <f>IFERROR(__xludf.DUMMYFUNCTION("""COMPUTED_VALUE"""),0.1919)</f>
      </c>
      <c r="F822" s="10">
        <f>IFERROR(__xludf.DUMMYFUNCTION("""COMPUTED_VALUE"""),0.7945)</f>
      </c>
      <c r="G822" s="10">
        <f>IFERROR(__xludf.DUMMYFUNCTION("""COMPUTED_VALUE"""),0.3849)</f>
      </c>
    </row>
    <row x14ac:dyDescent="0.25" r="823" customHeight="1" ht="15.75">
      <c r="A823" s="8">
        <f>IFERROR(__xludf.DUMMYFUNCTION("""COMPUTED_VALUE"""),25747.0)</f>
      </c>
      <c r="B823" s="9">
        <f>IFERROR(__xludf.DUMMYFUNCTION("""COMPUTED_VALUE"""),"SERRANA I")</f>
      </c>
      <c r="C823" s="9">
        <f>IFERROR(__xludf.DUMMYFUNCTION("""COMPUTED_VALUE"""),"CE CORONEL ANTONIO PECANHA")</f>
      </c>
      <c r="D823" s="10">
        <f>IFERROR(__xludf.DUMMYFUNCTION("""COMPUTED_VALUE"""),0.9778)</f>
      </c>
      <c r="E823" s="10">
        <f>IFERROR(__xludf.DUMMYFUNCTION("""COMPUTED_VALUE"""),0.1741)</f>
      </c>
      <c r="F823" s="10">
        <f>IFERROR(__xludf.DUMMYFUNCTION("""COMPUTED_VALUE"""),0.6649)</f>
      </c>
      <c r="G823" s="10">
        <f>IFERROR(__xludf.DUMMYFUNCTION("""COMPUTED_VALUE"""),0.2374)</f>
      </c>
    </row>
    <row x14ac:dyDescent="0.25" r="824" customHeight="1" ht="15.75">
      <c r="A824" s="8">
        <f>IFERROR(__xludf.DUMMYFUNCTION("""COMPUTED_VALUE"""),25782.0)</f>
      </c>
      <c r="B824" s="9">
        <f>IFERROR(__xludf.DUMMYFUNCTION("""COMPUTED_VALUE"""),"SERRANA I")</f>
      </c>
      <c r="C824" s="9">
        <f>IFERROR(__xludf.DUMMYFUNCTION("""COMPUTED_VALUE"""),"CE CORONEL JOAO LIMONGI")</f>
      </c>
      <c r="D824" s="10">
        <f>IFERROR(__xludf.DUMMYFUNCTION("""COMPUTED_VALUE"""),0.9583)</f>
      </c>
      <c r="E824" s="10">
        <f>IFERROR(__xludf.DUMMYFUNCTION("""COMPUTED_VALUE"""),0.2235)</f>
      </c>
      <c r="F824" s="10">
        <f>IFERROR(__xludf.DUMMYFUNCTION("""COMPUTED_VALUE"""),0.6364)</f>
      </c>
      <c r="G824" s="10">
        <f>IFERROR(__xludf.DUMMYFUNCTION("""COMPUTED_VALUE"""),0.225)</f>
      </c>
    </row>
    <row x14ac:dyDescent="0.25" r="825" customHeight="1" ht="15.75">
      <c r="A825" s="8">
        <f>IFERROR(__xludf.DUMMYFUNCTION("""COMPUTED_VALUE"""),25751.0)</f>
      </c>
      <c r="B825" s="9">
        <f>IFERROR(__xludf.DUMMYFUNCTION("""COMPUTED_VALUE"""),"SERRANA I")</f>
      </c>
      <c r="C825" s="9">
        <f>IFERROR(__xludf.DUMMYFUNCTION("""COMPUTED_VALUE"""),"CE CORONEL SERGIO JOSE DO AMARAL")</f>
      </c>
      <c r="D825" s="10">
        <f>IFERROR(__xludf.DUMMYFUNCTION("""COMPUTED_VALUE"""),1.0)</f>
      </c>
      <c r="E825" s="10">
        <f>IFERROR(__xludf.DUMMYFUNCTION("""COMPUTED_VALUE"""),0.2431)</f>
      </c>
      <c r="F825" s="10">
        <f>IFERROR(__xludf.DUMMYFUNCTION("""COMPUTED_VALUE"""),0.7853)</f>
      </c>
      <c r="G825" s="10">
        <f>IFERROR(__xludf.DUMMYFUNCTION("""COMPUTED_VALUE"""),0.2114)</f>
      </c>
    </row>
    <row x14ac:dyDescent="0.25" r="826" customHeight="1" ht="15.75">
      <c r="A826" s="8">
        <f>IFERROR(__xludf.DUMMYFUNCTION("""COMPUTED_VALUE"""),25749.0)</f>
      </c>
      <c r="B826" s="9">
        <f>IFERROR(__xludf.DUMMYFUNCTION("""COMPUTED_VALUE"""),"SERRANA I")</f>
      </c>
      <c r="C826" s="9">
        <f>IFERROR(__xludf.DUMMYFUNCTION("""COMPUTED_VALUE"""),"CE CORTUME CARIOCA")</f>
      </c>
      <c r="D826" s="10">
        <f>IFERROR(__xludf.DUMMYFUNCTION("""COMPUTED_VALUE"""),0.9955)</f>
      </c>
      <c r="E826" s="10">
        <f>IFERROR(__xludf.DUMMYFUNCTION("""COMPUTED_VALUE"""),0.2034)</f>
      </c>
      <c r="F826" s="10">
        <f>IFERROR(__xludf.DUMMYFUNCTION("""COMPUTED_VALUE"""),0.5611)</f>
      </c>
      <c r="G826" s="10">
        <f>IFERROR(__xludf.DUMMYFUNCTION("""COMPUTED_VALUE"""),0.215)</f>
      </c>
    </row>
    <row x14ac:dyDescent="0.25" r="827" customHeight="1" ht="15.75">
      <c r="A827" s="8">
        <f>IFERROR(__xludf.DUMMYFUNCTION("""COMPUTED_VALUE"""),25771.0)</f>
      </c>
      <c r="B827" s="9">
        <f>IFERROR(__xludf.DUMMYFUNCTION("""COMPUTED_VALUE"""),"SERRANA I")</f>
      </c>
      <c r="C827" s="9">
        <f>IFERROR(__xludf.DUMMYFUNCTION("""COMPUTED_VALUE"""),"CE DE ARARAS")</f>
      </c>
      <c r="D827" s="10">
        <f>IFERROR(__xludf.DUMMYFUNCTION("""COMPUTED_VALUE"""),0.9796)</f>
      </c>
      <c r="E827" s="10">
        <f>IFERROR(__xludf.DUMMYFUNCTION("""COMPUTED_VALUE"""),0.227)</f>
      </c>
      <c r="F827" s="10">
        <f>IFERROR(__xludf.DUMMYFUNCTION("""COMPUTED_VALUE"""),0.8707)</f>
      </c>
      <c r="G827" s="10">
        <f>IFERROR(__xludf.DUMMYFUNCTION("""COMPUTED_VALUE"""),0.2089)</f>
      </c>
    </row>
    <row x14ac:dyDescent="0.25" r="828" customHeight="1" ht="15.75">
      <c r="A828" s="8">
        <f>IFERROR(__xludf.DUMMYFUNCTION("""COMPUTED_VALUE"""),25752.0)</f>
      </c>
      <c r="B828" s="9">
        <f>IFERROR(__xludf.DUMMYFUNCTION("""COMPUTED_VALUE"""),"SERRANA I")</f>
      </c>
      <c r="C828" s="9">
        <f>IFERROR(__xludf.DUMMYFUNCTION("""COMPUTED_VALUE"""),"CE DE MAGE")</f>
      </c>
      <c r="D828" s="10">
        <f>IFERROR(__xludf.DUMMYFUNCTION("""COMPUTED_VALUE"""),0.8791)</f>
      </c>
      <c r="E828" s="10">
        <f>IFERROR(__xludf.DUMMYFUNCTION("""COMPUTED_VALUE"""),0.1944)</f>
      </c>
      <c r="F828" s="10">
        <f>IFERROR(__xludf.DUMMYFUNCTION("""COMPUTED_VALUE"""),0.7058)</f>
      </c>
      <c r="G828" s="10">
        <f>IFERROR(__xludf.DUMMYFUNCTION("""COMPUTED_VALUE"""),0.2616)</f>
      </c>
    </row>
    <row x14ac:dyDescent="0.25" r="829" customHeight="1" ht="15.75">
      <c r="A829" s="8">
        <f>IFERROR(__xludf.DUMMYFUNCTION("""COMPUTED_VALUE"""),25772.0)</f>
      </c>
      <c r="B829" s="9">
        <f>IFERROR(__xludf.DUMMYFUNCTION("""COMPUTED_VALUE"""),"SERRANA I")</f>
      </c>
      <c r="C829" s="9">
        <f>IFERROR(__xludf.DUMMYFUNCTION("""COMPUTED_VALUE"""),"CE DOM PEDRO II")</f>
      </c>
      <c r="D829" s="10">
        <f>IFERROR(__xludf.DUMMYFUNCTION("""COMPUTED_VALUE"""),0.9208)</f>
      </c>
      <c r="E829" s="10">
        <f>IFERROR(__xludf.DUMMYFUNCTION("""COMPUTED_VALUE"""),0.2279)</f>
      </c>
      <c r="F829" s="10">
        <f>IFERROR(__xludf.DUMMYFUNCTION("""COMPUTED_VALUE"""),0.711)</f>
      </c>
      <c r="G829" s="10">
        <f>IFERROR(__xludf.DUMMYFUNCTION("""COMPUTED_VALUE"""),0.2222)</f>
      </c>
    </row>
    <row x14ac:dyDescent="0.25" r="830" customHeight="1" ht="15.75">
      <c r="A830" s="8">
        <f>IFERROR(__xludf.DUMMYFUNCTION("""COMPUTED_VALUE"""),25800.0)</f>
      </c>
      <c r="B830" s="9">
        <f>IFERROR(__xludf.DUMMYFUNCTION("""COMPUTED_VALUE"""),"SERRANA I")</f>
      </c>
      <c r="C830" s="9">
        <f>IFERROR(__xludf.DUMMYFUNCTION("""COMPUTED_VALUE"""),"CE DOUTOR VALMIR PECANHA")</f>
      </c>
      <c r="D830" s="10">
        <f>IFERROR(__xludf.DUMMYFUNCTION("""COMPUTED_VALUE"""),0.9364)</f>
      </c>
      <c r="E830" s="10">
        <f>IFERROR(__xludf.DUMMYFUNCTION("""COMPUTED_VALUE"""),0.2244)</f>
      </c>
      <c r="F830" s="10">
        <f>IFERROR(__xludf.DUMMYFUNCTION("""COMPUTED_VALUE"""),0.7)</f>
      </c>
      <c r="G830" s="10">
        <f>IFERROR(__xludf.DUMMYFUNCTION("""COMPUTED_VALUE"""),0.2086)</f>
      </c>
    </row>
    <row x14ac:dyDescent="0.25" r="831" customHeight="1" ht="15.75">
      <c r="A831" s="8">
        <f>IFERROR(__xludf.DUMMYFUNCTION("""COMPUTED_VALUE"""),25790.0)</f>
      </c>
      <c r="B831" s="9">
        <f>IFERROR(__xludf.DUMMYFUNCTION("""COMPUTED_VALUE"""),"SERRANA I")</f>
      </c>
      <c r="C831" s="9">
        <f>IFERROR(__xludf.DUMMYFUNCTION("""COMPUTED_VALUE"""),"CE EDMUNDO BITTENCOURT")</f>
      </c>
      <c r="D831" s="10">
        <f>IFERROR(__xludf.DUMMYFUNCTION("""COMPUTED_VALUE"""),0.5792)</f>
      </c>
      <c r="E831" s="10">
        <f>IFERROR(__xludf.DUMMYFUNCTION("""COMPUTED_VALUE"""),0.1646)</f>
      </c>
      <c r="F831" s="10">
        <f>IFERROR(__xludf.DUMMYFUNCTION("""COMPUTED_VALUE"""),0.6152)</f>
      </c>
      <c r="G831" s="10">
        <f>IFERROR(__xludf.DUMMYFUNCTION("""COMPUTED_VALUE"""),0.1952)</f>
      </c>
    </row>
    <row x14ac:dyDescent="0.25" r="832" customHeight="1" ht="15.75">
      <c r="A832" s="8">
        <f>IFERROR(__xludf.DUMMYFUNCTION("""COMPUTED_VALUE"""),25773.0)</f>
      </c>
      <c r="B832" s="9">
        <f>IFERROR(__xludf.DUMMYFUNCTION("""COMPUTED_VALUE"""),"SERRANA I")</f>
      </c>
      <c r="C832" s="9">
        <f>IFERROR(__xludf.DUMMYFUNCTION("""COMPUTED_VALUE"""),"CE EMBAIXADOR JOSE BONIFACIO")</f>
      </c>
      <c r="D832" s="10">
        <f>IFERROR(__xludf.DUMMYFUNCTION("""COMPUTED_VALUE"""),0.984)</f>
      </c>
      <c r="E832" s="10">
        <f>IFERROR(__xludf.DUMMYFUNCTION("""COMPUTED_VALUE"""),0.2119)</f>
      </c>
      <c r="F832" s="10">
        <f>IFERROR(__xludf.DUMMYFUNCTION("""COMPUTED_VALUE"""),0.9947)</f>
      </c>
      <c r="G832" s="10">
        <f>IFERROR(__xludf.DUMMYFUNCTION("""COMPUTED_VALUE"""),0.1649)</f>
      </c>
    </row>
    <row x14ac:dyDescent="0.25" r="833" customHeight="1" ht="15.75">
      <c r="A833" s="8">
        <f>IFERROR(__xludf.DUMMYFUNCTION("""COMPUTED_VALUE"""),25791.0)</f>
      </c>
      <c r="B833" s="9">
        <f>IFERROR(__xludf.DUMMYFUNCTION("""COMPUTED_VALUE"""),"SERRANA I")</f>
      </c>
      <c r="C833" s="9">
        <f>IFERROR(__xludf.DUMMYFUNCTION("""COMPUTED_VALUE"""),"CE EUCLYDES DA CUNHA")</f>
      </c>
      <c r="D833" s="10">
        <f>IFERROR(__xludf.DUMMYFUNCTION("""COMPUTED_VALUE"""),0.9805)</f>
      </c>
      <c r="E833" s="10">
        <f>IFERROR(__xludf.DUMMYFUNCTION("""COMPUTED_VALUE"""),0.2006)</f>
      </c>
      <c r="F833" s="10">
        <f>IFERROR(__xludf.DUMMYFUNCTION("""COMPUTED_VALUE"""),0.6279)</f>
      </c>
      <c r="G833" s="10">
        <f>IFERROR(__xludf.DUMMYFUNCTION("""COMPUTED_VALUE"""),0.2147)</f>
      </c>
    </row>
    <row x14ac:dyDescent="0.25" r="834" customHeight="1" ht="15.75">
      <c r="A834" s="8">
        <f>IFERROR(__xludf.DUMMYFUNCTION("""COMPUTED_VALUE"""),25792.0)</f>
      </c>
      <c r="B834" s="9">
        <f>IFERROR(__xludf.DUMMYFUNCTION("""COMPUTED_VALUE"""),"SERRANA I")</f>
      </c>
      <c r="C834" s="9">
        <f>IFERROR(__xludf.DUMMYFUNCTION("""COMPUTED_VALUE"""),"CE FANY NISKIER")</f>
      </c>
      <c r="D834" s="10">
        <f>IFERROR(__xludf.DUMMYFUNCTION("""COMPUTED_VALUE"""),0.9318)</f>
      </c>
      <c r="E834" s="10">
        <f>IFERROR(__xludf.DUMMYFUNCTION("""COMPUTED_VALUE"""),0.2339)</f>
      </c>
      <c r="F834" s="10">
        <f>IFERROR(__xludf.DUMMYFUNCTION("""COMPUTED_VALUE"""),0.8523)</f>
      </c>
      <c r="G834" s="10">
        <f>IFERROR(__xludf.DUMMYFUNCTION("""COMPUTED_VALUE"""),0.2218)</f>
      </c>
    </row>
    <row x14ac:dyDescent="0.25" r="835" customHeight="1" ht="15.75">
      <c r="A835" s="8">
        <f>IFERROR(__xludf.DUMMYFUNCTION("""COMPUTED_VALUE"""),25801.0)</f>
      </c>
      <c r="B835" s="9">
        <f>IFERROR(__xludf.DUMMYFUNCTION("""COMPUTED_VALUE"""),"SERRANA I")</f>
      </c>
      <c r="C835" s="9">
        <f>IFERROR(__xludf.DUMMYFUNCTION("""COMPUTED_VALUE"""),"CE GUILHERMINA GUINLE")</f>
      </c>
      <c r="D835" s="10">
        <f>IFERROR(__xludf.DUMMYFUNCTION("""COMPUTED_VALUE"""),1.0)</f>
      </c>
      <c r="E835" s="10">
        <f>IFERROR(__xludf.DUMMYFUNCTION("""COMPUTED_VALUE"""),0.2248)</f>
      </c>
      <c r="F835" s="10">
        <f>IFERROR(__xludf.DUMMYFUNCTION("""COMPUTED_VALUE"""),0.8226)</f>
      </c>
      <c r="G835" s="10">
        <f>IFERROR(__xludf.DUMMYFUNCTION("""COMPUTED_VALUE"""),0.2806)</f>
      </c>
    </row>
    <row x14ac:dyDescent="0.25" r="836" customHeight="1" ht="15.75">
      <c r="A836" s="8">
        <f>IFERROR(__xludf.DUMMYFUNCTION("""COMPUTED_VALUE"""),25793.0)</f>
      </c>
      <c r="B836" s="9">
        <f>IFERROR(__xludf.DUMMYFUNCTION("""COMPUTED_VALUE"""),"SERRANA I")</f>
      </c>
      <c r="C836" s="9">
        <f>IFERROR(__xludf.DUMMYFUNCTION("""COMPUTED_VALUE"""),"CE HIGINO DA SILVEIRA")</f>
      </c>
      <c r="D836" s="10">
        <f>IFERROR(__xludf.DUMMYFUNCTION("""COMPUTED_VALUE"""),0.7634)</f>
      </c>
      <c r="E836" s="10">
        <f>IFERROR(__xludf.DUMMYFUNCTION("""COMPUTED_VALUE"""),0.2287)</f>
      </c>
      <c r="F836" s="10">
        <f>IFERROR(__xludf.DUMMYFUNCTION("""COMPUTED_VALUE"""),0.6076)</f>
      </c>
      <c r="G836" s="10">
        <f>IFERROR(__xludf.DUMMYFUNCTION("""COMPUTED_VALUE"""),0.2212)</f>
      </c>
    </row>
    <row x14ac:dyDescent="0.25" r="837" customHeight="1" ht="15.75">
      <c r="A837" s="8">
        <f>IFERROR(__xludf.DUMMYFUNCTION("""COMPUTED_VALUE"""),25774.0)</f>
      </c>
      <c r="B837" s="9">
        <f>IFERROR(__xludf.DUMMYFUNCTION("""COMPUTED_VALUE"""),"SERRANA I")</f>
      </c>
      <c r="C837" s="9">
        <f>IFERROR(__xludf.DUMMYFUNCTION("""COMPUTED_VALUE"""),"CE IRMA CECILIA JARDIM")</f>
      </c>
      <c r="D837" s="10">
        <f>IFERROR(__xludf.DUMMYFUNCTION("""COMPUTED_VALUE"""),0.9888)</f>
      </c>
      <c r="E837" s="10">
        <f>IFERROR(__xludf.DUMMYFUNCTION("""COMPUTED_VALUE"""),0.2064)</f>
      </c>
      <c r="F837" s="10">
        <f>IFERROR(__xludf.DUMMYFUNCTION("""COMPUTED_VALUE"""),0.7564)</f>
      </c>
      <c r="G837" s="10">
        <f>IFERROR(__xludf.DUMMYFUNCTION("""COMPUTED_VALUE"""),0.2143)</f>
      </c>
    </row>
    <row x14ac:dyDescent="0.25" r="838" customHeight="1" ht="15.75">
      <c r="A838" s="8">
        <f>IFERROR(__xludf.DUMMYFUNCTION("""COMPUTED_VALUE"""),25753.0)</f>
      </c>
      <c r="B838" s="9">
        <f>IFERROR(__xludf.DUMMYFUNCTION("""COMPUTED_VALUE"""),"SERRANA I")</f>
      </c>
      <c r="C838" s="9">
        <f>IFERROR(__xludf.DUMMYFUNCTION("""COMPUTED_VALUE"""),"CE JOAQUIM LEITAO")</f>
      </c>
      <c r="D838" s="10">
        <f>IFERROR(__xludf.DUMMYFUNCTION("""COMPUTED_VALUE"""),0.9517)</f>
      </c>
      <c r="E838" s="10">
        <f>IFERROR(__xludf.DUMMYFUNCTION("""COMPUTED_VALUE"""),0.2206)</f>
      </c>
      <c r="F838" s="10">
        <f>IFERROR(__xludf.DUMMYFUNCTION("""COMPUTED_VALUE"""),0.8525)</f>
      </c>
      <c r="G838" s="10">
        <f>IFERROR(__xludf.DUMMYFUNCTION("""COMPUTED_VALUE"""),0.2102)</f>
      </c>
    </row>
    <row x14ac:dyDescent="0.25" r="839" customHeight="1" ht="15.75">
      <c r="A839" s="8">
        <f>IFERROR(__xludf.DUMMYFUNCTION("""COMPUTED_VALUE"""),25754.0)</f>
      </c>
      <c r="B839" s="9">
        <f>IFERROR(__xludf.DUMMYFUNCTION("""COMPUTED_VALUE"""),"SERRANA I")</f>
      </c>
      <c r="C839" s="9">
        <f>IFERROR(__xludf.DUMMYFUNCTION("""COMPUTED_VALUE"""),"CE JOSE VERISSIMO")</f>
      </c>
      <c r="D839" s="10">
        <f>IFERROR(__xludf.DUMMYFUNCTION("""COMPUTED_VALUE"""),0.9815)</f>
      </c>
      <c r="E839" s="10">
        <f>IFERROR(__xludf.DUMMYFUNCTION("""COMPUTED_VALUE"""),0.1766)</f>
      </c>
      <c r="F839" s="10">
        <f>IFERROR(__xludf.DUMMYFUNCTION("""COMPUTED_VALUE"""),0.8046)</f>
      </c>
      <c r="G839" s="10">
        <f>IFERROR(__xludf.DUMMYFUNCTION("""COMPUTED_VALUE"""),0.2058)</f>
      </c>
    </row>
    <row x14ac:dyDescent="0.25" r="840" customHeight="1" ht="15.75">
      <c r="A840" s="8">
        <f>IFERROR(__xludf.DUMMYFUNCTION("""COMPUTED_VALUE"""),25794.0)</f>
      </c>
      <c r="B840" s="9">
        <f>IFERROR(__xludf.DUMMYFUNCTION("""COMPUTED_VALUE"""),"SERRANA I")</f>
      </c>
      <c r="C840" s="9">
        <f>IFERROR(__xludf.DUMMYFUNCTION("""COMPUTED_VALUE"""),"CE LIONS CLUB")</f>
      </c>
      <c r="D840" s="10">
        <f>IFERROR(__xludf.DUMMYFUNCTION("""COMPUTED_VALUE"""),0.9943)</f>
      </c>
      <c r="E840" s="10">
        <f>IFERROR(__xludf.DUMMYFUNCTION("""COMPUTED_VALUE"""),0.238)</f>
      </c>
      <c r="F840" s="10">
        <f>IFERROR(__xludf.DUMMYFUNCTION("""COMPUTED_VALUE"""),0.6971)</f>
      </c>
      <c r="G840" s="10">
        <f>IFERROR(__xludf.DUMMYFUNCTION("""COMPUTED_VALUE"""),0.2038)</f>
      </c>
    </row>
    <row x14ac:dyDescent="0.25" r="841" customHeight="1" ht="15.75">
      <c r="A841" s="8">
        <f>IFERROR(__xludf.DUMMYFUNCTION("""COMPUTED_VALUE"""),25746.0)</f>
      </c>
      <c r="B841" s="9">
        <f>IFERROR(__xludf.DUMMYFUNCTION("""COMPUTED_VALUE"""),"SERRANA I")</f>
      </c>
      <c r="C841" s="9">
        <f>IFERROR(__xludf.DUMMYFUNCTION("""COMPUTED_VALUE"""),"CE MARIANO PROCOPIO")</f>
      </c>
      <c r="D841" s="10">
        <f>IFERROR(__xludf.DUMMYFUNCTION("""COMPUTED_VALUE"""),0.9841)</f>
      </c>
      <c r="E841" s="10">
        <f>IFERROR(__xludf.DUMMYFUNCTION("""COMPUTED_VALUE"""),0.2028)</f>
      </c>
      <c r="F841" s="10">
        <f>IFERROR(__xludf.DUMMYFUNCTION("""COMPUTED_VALUE"""),0.592)</f>
      </c>
      <c r="G841" s="10">
        <f>IFERROR(__xludf.DUMMYFUNCTION("""COMPUTED_VALUE"""),0.2411)</f>
      </c>
    </row>
    <row x14ac:dyDescent="0.25" r="842" customHeight="1" ht="15.75">
      <c r="A842" s="8">
        <f>IFERROR(__xludf.DUMMYFUNCTION("""COMPUTED_VALUE"""),25755.0)</f>
      </c>
      <c r="B842" s="9">
        <f>IFERROR(__xludf.DUMMYFUNCTION("""COMPUTED_VALUE"""),"SERRANA I")</f>
      </c>
      <c r="C842" s="9">
        <f>IFERROR(__xludf.DUMMYFUNCTION("""COMPUTED_VALUE"""),"CE MAUA")</f>
      </c>
      <c r="D842" s="10">
        <f>IFERROR(__xludf.DUMMYFUNCTION("""COMPUTED_VALUE"""),0.9728)</f>
      </c>
      <c r="E842" s="10">
        <f>IFERROR(__xludf.DUMMYFUNCTION("""COMPUTED_VALUE"""),0.1808)</f>
      </c>
      <c r="F842" s="10">
        <f>IFERROR(__xludf.DUMMYFUNCTION("""COMPUTED_VALUE"""),0.6736)</f>
      </c>
      <c r="G842" s="10">
        <f>IFERROR(__xludf.DUMMYFUNCTION("""COMPUTED_VALUE"""),0.2085)</f>
      </c>
    </row>
    <row x14ac:dyDescent="0.25" r="843" customHeight="1" ht="15.75">
      <c r="A843" s="8">
        <f>IFERROR(__xludf.DUMMYFUNCTION("""COMPUTED_VALUE"""),25783.0)</f>
      </c>
      <c r="B843" s="9">
        <f>IFERROR(__xludf.DUMMYFUNCTION("""COMPUTED_VALUE"""),"SERRANA I")</f>
      </c>
      <c r="C843" s="9">
        <f>IFERROR(__xludf.DUMMYFUNCTION("""COMPUTED_VALUE"""),"CE MAURICIO DE ABREU")</f>
      </c>
      <c r="D843" s="10">
        <f>IFERROR(__xludf.DUMMYFUNCTION("""COMPUTED_VALUE"""),0.9851)</f>
      </c>
      <c r="E843" s="10">
        <f>IFERROR(__xludf.DUMMYFUNCTION("""COMPUTED_VALUE"""),0.2861)</f>
      </c>
      <c r="F843" s="10">
        <f>IFERROR(__xludf.DUMMYFUNCTION("""COMPUTED_VALUE"""),0.7537)</f>
      </c>
      <c r="G843" s="10">
        <f>IFERROR(__xludf.DUMMYFUNCTION("""COMPUTED_VALUE"""),0.2396)</f>
      </c>
    </row>
    <row x14ac:dyDescent="0.25" r="844" customHeight="1" ht="15.75">
      <c r="A844" s="8">
        <f>IFERROR(__xludf.DUMMYFUNCTION("""COMPUTED_VALUE"""),25802.0)</f>
      </c>
      <c r="B844" s="9">
        <f>IFERROR(__xludf.DUMMYFUNCTION("""COMPUTED_VALUE"""),"SERRANA I")</f>
      </c>
      <c r="C844" s="9">
        <f>IFERROR(__xludf.DUMMYFUNCTION("""COMPUTED_VALUE"""),"CE MOACYR PADILHA")</f>
      </c>
      <c r="D844" s="10">
        <f>IFERROR(__xludf.DUMMYFUNCTION("""COMPUTED_VALUE"""),0.7072)</f>
      </c>
      <c r="E844" s="10">
        <f>IFERROR(__xludf.DUMMYFUNCTION("""COMPUTED_VALUE"""),0.1661)</f>
      </c>
      <c r="F844" s="10">
        <f>IFERROR(__xludf.DUMMYFUNCTION("""COMPUTED_VALUE"""),0.4721)</f>
      </c>
      <c r="G844" s="10">
        <f>IFERROR(__xludf.DUMMYFUNCTION("""COMPUTED_VALUE"""),0.229)</f>
      </c>
    </row>
    <row x14ac:dyDescent="0.25" r="845" customHeight="1" ht="15.75">
      <c r="A845" s="8">
        <f>IFERROR(__xludf.DUMMYFUNCTION("""COMPUTED_VALUE"""),25756.0)</f>
      </c>
      <c r="B845" s="9">
        <f>IFERROR(__xludf.DUMMYFUNCTION("""COMPUTED_VALUE"""),"SERRANA I")</f>
      </c>
      <c r="C845" s="9">
        <f>IFERROR(__xludf.DUMMYFUNCTION("""COMPUTED_VALUE"""),"CE OSWALDO CRUZ")</f>
      </c>
      <c r="D845" s="10">
        <f>IFERROR(__xludf.DUMMYFUNCTION("""COMPUTED_VALUE"""),0.9609)</f>
      </c>
      <c r="E845" s="10">
        <f>IFERROR(__xludf.DUMMYFUNCTION("""COMPUTED_VALUE"""),0.2109)</f>
      </c>
      <c r="F845" s="10">
        <f>IFERROR(__xludf.DUMMYFUNCTION("""COMPUTED_VALUE"""),0.7748)</f>
      </c>
      <c r="G845" s="10">
        <f>IFERROR(__xludf.DUMMYFUNCTION("""COMPUTED_VALUE"""),0.2117)</f>
      </c>
    </row>
    <row x14ac:dyDescent="0.25" r="846" customHeight="1" ht="15.75">
      <c r="A846" s="8">
        <f>IFERROR(__xludf.DUMMYFUNCTION("""COMPUTED_VALUE"""),25784.0)</f>
      </c>
      <c r="B846" s="9">
        <f>IFERROR(__xludf.DUMMYFUNCTION("""COMPUTED_VALUE"""),"SERRANA I")</f>
      </c>
      <c r="C846" s="9">
        <f>IFERROR(__xludf.DUMMYFUNCTION("""COMPUTED_VALUE"""),"CE PAULINO FERNANDES")</f>
      </c>
      <c r="D846" s="10">
        <f>IFERROR(__xludf.DUMMYFUNCTION("""COMPUTED_VALUE"""),1.0)</f>
      </c>
      <c r="E846" s="10">
        <f>IFERROR(__xludf.DUMMYFUNCTION("""COMPUTED_VALUE"""),0.2538)</f>
      </c>
      <c r="F846" s="10">
        <f>IFERROR(__xludf.DUMMYFUNCTION("""COMPUTED_VALUE"""),0.9118)</f>
      </c>
      <c r="G846" s="10">
        <f>IFERROR(__xludf.DUMMYFUNCTION("""COMPUTED_VALUE"""),0.2201)</f>
      </c>
    </row>
    <row x14ac:dyDescent="0.25" r="847" customHeight="1" ht="15.75">
      <c r="A847" s="8">
        <f>IFERROR(__xludf.DUMMYFUNCTION("""COMPUTED_VALUE"""),25795.0)</f>
      </c>
      <c r="B847" s="9">
        <f>IFERROR(__xludf.DUMMYFUNCTION("""COMPUTED_VALUE"""),"SERRANA I")</f>
      </c>
      <c r="C847" s="9">
        <f>IFERROR(__xludf.DUMMYFUNCTION("""COMPUTED_VALUE"""),"CE PRESIDENTE BERNARDES")</f>
      </c>
      <c r="D847" s="10">
        <f>IFERROR(__xludf.DUMMYFUNCTION("""COMPUTED_VALUE"""),0.9633)</f>
      </c>
      <c r="E847" s="10">
        <f>IFERROR(__xludf.DUMMYFUNCTION("""COMPUTED_VALUE"""),0.2078)</f>
      </c>
      <c r="F847" s="10">
        <f>IFERROR(__xludf.DUMMYFUNCTION("""COMPUTED_VALUE"""),0.7615)</f>
      </c>
      <c r="G847" s="10">
        <f>IFERROR(__xludf.DUMMYFUNCTION("""COMPUTED_VALUE"""),0.2145)</f>
      </c>
    </row>
    <row x14ac:dyDescent="0.25" r="848" customHeight="1" ht="15.75">
      <c r="A848" s="8">
        <f>IFERROR(__xludf.DUMMYFUNCTION("""COMPUTED_VALUE"""),25775.0)</f>
      </c>
      <c r="B848" s="9">
        <f>IFERROR(__xludf.DUMMYFUNCTION("""COMPUTED_VALUE"""),"SERRANA I")</f>
      </c>
      <c r="C848" s="9">
        <f>IFERROR(__xludf.DUMMYFUNCTION("""COMPUTED_VALUE"""),"CE PRINCESA ISABEL")</f>
      </c>
      <c r="D848" s="10">
        <f>IFERROR(__xludf.DUMMYFUNCTION("""COMPUTED_VALUE"""),0.9082)</f>
      </c>
      <c r="E848" s="10">
        <f>IFERROR(__xludf.DUMMYFUNCTION("""COMPUTED_VALUE"""),0.2019)</f>
      </c>
      <c r="F848" s="10">
        <f>IFERROR(__xludf.DUMMYFUNCTION("""COMPUTED_VALUE"""),0.6033)</f>
      </c>
      <c r="G848" s="10">
        <f>IFERROR(__xludf.DUMMYFUNCTION("""COMPUTED_VALUE"""),0.2064)</f>
      </c>
    </row>
    <row x14ac:dyDescent="0.25" r="849" customHeight="1" ht="15.75">
      <c r="A849" s="8">
        <f>IFERROR(__xludf.DUMMYFUNCTION("""COMPUTED_VALUE"""),25757.0)</f>
      </c>
      <c r="B849" s="9">
        <f>IFERROR(__xludf.DUMMYFUNCTION("""COMPUTED_VALUE"""),"SERRANA I")</f>
      </c>
      <c r="C849" s="9">
        <f>IFERROR(__xludf.DUMMYFUNCTION("""COMPUTED_VALUE"""),"CE PROFESSOR ALFREDO BALTHAZAR DA SILVEIRA")</f>
      </c>
      <c r="D849" s="10">
        <f>IFERROR(__xludf.DUMMYFUNCTION("""COMPUTED_VALUE"""),0.9463)</f>
      </c>
      <c r="E849" s="10">
        <f>IFERROR(__xludf.DUMMYFUNCTION("""COMPUTED_VALUE"""),0.1824)</f>
      </c>
      <c r="F849" s="10">
        <f>IFERROR(__xludf.DUMMYFUNCTION("""COMPUTED_VALUE"""),0.6762)</f>
      </c>
      <c r="G849" s="10">
        <f>IFERROR(__xludf.DUMMYFUNCTION("""COMPUTED_VALUE"""),0.2096)</f>
      </c>
    </row>
    <row x14ac:dyDescent="0.25" r="850" customHeight="1" ht="15.75">
      <c r="A850" s="8">
        <f>IFERROR(__xludf.DUMMYFUNCTION("""COMPUTED_VALUE"""),25803.0)</f>
      </c>
      <c r="B850" s="9">
        <f>IFERROR(__xludf.DUMMYFUNCTION("""COMPUTED_VALUE"""),"SERRANA I")</f>
      </c>
      <c r="C850" s="9">
        <f>IFERROR(__xludf.DUMMYFUNCTION("""COMPUTED_VALUE"""),"CE PROFESSOR KOPKE")</f>
      </c>
      <c r="D850" s="10">
        <f>IFERROR(__xludf.DUMMYFUNCTION("""COMPUTED_VALUE"""),0.9689)</f>
      </c>
      <c r="E850" s="10">
        <f>IFERROR(__xludf.DUMMYFUNCTION("""COMPUTED_VALUE"""),0.2101)</f>
      </c>
      <c r="F850" s="10">
        <f>IFERROR(__xludf.DUMMYFUNCTION("""COMPUTED_VALUE"""),0.5217)</f>
      </c>
      <c r="G850" s="10">
        <f>IFERROR(__xludf.DUMMYFUNCTION("""COMPUTED_VALUE"""),0.2139)</f>
      </c>
    </row>
    <row x14ac:dyDescent="0.25" r="851" customHeight="1" ht="15.75">
      <c r="A851" s="8">
        <f>IFERROR(__xludf.DUMMYFUNCTION("""COMPUTED_VALUE"""),25758.0)</f>
      </c>
      <c r="B851" s="9">
        <f>IFERROR(__xludf.DUMMYFUNCTION("""COMPUTED_VALUE"""),"SERRANA I")</f>
      </c>
      <c r="C851" s="9">
        <f>IFERROR(__xludf.DUMMYFUNCTION("""COMPUTED_VALUE"""),"CE PROFESSORA ALDA BERNARDO DOS SANTOS TAVARES")</f>
      </c>
      <c r="D851" s="10">
        <f>IFERROR(__xludf.DUMMYFUNCTION("""COMPUTED_VALUE"""),0.9548)</f>
      </c>
      <c r="E851" s="10">
        <f>IFERROR(__xludf.DUMMYFUNCTION("""COMPUTED_VALUE"""),0.2151)</f>
      </c>
      <c r="F851" s="10">
        <f>IFERROR(__xludf.DUMMYFUNCTION("""COMPUTED_VALUE"""),0.6052)</f>
      </c>
      <c r="G851" s="10">
        <f>IFERROR(__xludf.DUMMYFUNCTION("""COMPUTED_VALUE"""),0.2081)</f>
      </c>
    </row>
    <row x14ac:dyDescent="0.25" r="852" customHeight="1" ht="15.75">
      <c r="A852" s="8">
        <f>IFERROR(__xludf.DUMMYFUNCTION("""COMPUTED_VALUE"""),25750.0)</f>
      </c>
      <c r="B852" s="9">
        <f>IFERROR(__xludf.DUMMYFUNCTION("""COMPUTED_VALUE"""),"SERRANA I")</f>
      </c>
      <c r="C852" s="9">
        <f>IFERROR(__xludf.DUMMYFUNCTION("""COMPUTED_VALUE"""),"CE PROFESSORA ALVINA VALERIO DA SILVA")</f>
      </c>
      <c r="D852" s="10">
        <f>IFERROR(__xludf.DUMMYFUNCTION("""COMPUTED_VALUE"""),0.9926)</f>
      </c>
      <c r="E852" s="10">
        <f>IFERROR(__xludf.DUMMYFUNCTION("""COMPUTED_VALUE"""),0.1894)</f>
      </c>
      <c r="F852" s="10">
        <f>IFERROR(__xludf.DUMMYFUNCTION("""COMPUTED_VALUE"""),0.7012)</f>
      </c>
      <c r="G852" s="10">
        <f>IFERROR(__xludf.DUMMYFUNCTION("""COMPUTED_VALUE"""),0.2071)</f>
      </c>
    </row>
    <row x14ac:dyDescent="0.25" r="853" customHeight="1" ht="15.75">
      <c r="A853" s="8">
        <f>IFERROR(__xludf.DUMMYFUNCTION("""COMPUTED_VALUE"""),25785.0)</f>
      </c>
      <c r="B853" s="9">
        <f>IFERROR(__xludf.DUMMYFUNCTION("""COMPUTED_VALUE"""),"SERRANA I")</f>
      </c>
      <c r="C853" s="9">
        <f>IFERROR(__xludf.DUMMYFUNCTION("""COMPUTED_VALUE"""),"CE PROFESSORA MARIA APARECIDA BASTOS")</f>
      </c>
      <c r="D853" s="10">
        <f>IFERROR(__xludf.DUMMYFUNCTION("""COMPUTED_VALUE"""),0.9921)</f>
      </c>
      <c r="E853" s="10">
        <f>IFERROR(__xludf.DUMMYFUNCTION("""COMPUTED_VALUE"""),0.2746)</f>
      </c>
      <c r="F853" s="10">
        <f>IFERROR(__xludf.DUMMYFUNCTION("""COMPUTED_VALUE"""),0.8651)</f>
      </c>
      <c r="G853" s="10">
        <f>IFERROR(__xludf.DUMMYFUNCTION("""COMPUTED_VALUE"""),0.2268)</f>
      </c>
    </row>
    <row x14ac:dyDescent="0.25" r="854" customHeight="1" ht="15.75">
      <c r="A854" s="8">
        <f>IFERROR(__xludf.DUMMYFUNCTION("""COMPUTED_VALUE"""),25759.0)</f>
      </c>
      <c r="B854" s="9">
        <f>IFERROR(__xludf.DUMMYFUNCTION("""COMPUTED_VALUE"""),"SERRANA I")</f>
      </c>
      <c r="C854" s="9">
        <f>IFERROR(__xludf.DUMMYFUNCTION("""COMPUTED_VALUE"""),"CE PROFESSORA RUTH TALDO FRANCA")</f>
      </c>
      <c r="D854" s="10">
        <f>IFERROR(__xludf.DUMMYFUNCTION("""COMPUTED_VALUE"""),0.9372)</f>
      </c>
      <c r="E854" s="10">
        <f>IFERROR(__xludf.DUMMYFUNCTION("""COMPUTED_VALUE"""),0.2075)</f>
      </c>
      <c r="F854" s="10">
        <f>IFERROR(__xludf.DUMMYFUNCTION("""COMPUTED_VALUE"""),0.6522)</f>
      </c>
      <c r="G854" s="10">
        <f>IFERROR(__xludf.DUMMYFUNCTION("""COMPUTED_VALUE"""),0.2065)</f>
      </c>
    </row>
    <row x14ac:dyDescent="0.25" r="855" customHeight="1" ht="15.75">
      <c r="A855" s="8">
        <f>IFERROR(__xludf.DUMMYFUNCTION("""COMPUTED_VALUE"""),25760.0)</f>
      </c>
      <c r="B855" s="9">
        <f>IFERROR(__xludf.DUMMYFUNCTION("""COMPUTED_VALUE"""),"SERRANA I")</f>
      </c>
      <c r="C855" s="9">
        <f>IFERROR(__xludf.DUMMYFUNCTION("""COMPUTED_VALUE"""),"CE PROFESSORA SONIA MARIA PIEDADE DE MOURA")</f>
      </c>
      <c r="D855" s="10">
        <f>IFERROR(__xludf.DUMMYFUNCTION("""COMPUTED_VALUE"""),1.0)</f>
      </c>
      <c r="E855" s="10">
        <f>IFERROR(__xludf.DUMMYFUNCTION("""COMPUTED_VALUE"""),0.2373)</f>
      </c>
      <c r="F855" s="10">
        <f>IFERROR(__xludf.DUMMYFUNCTION("""COMPUTED_VALUE"""),0.8865)</f>
      </c>
      <c r="G855" s="10">
        <f>IFERROR(__xludf.DUMMYFUNCTION("""COMPUTED_VALUE"""),0.217)</f>
      </c>
    </row>
    <row x14ac:dyDescent="0.25" r="856" customHeight="1" ht="15.75">
      <c r="A856" s="8">
        <f>IFERROR(__xludf.DUMMYFUNCTION("""COMPUTED_VALUE"""),25786.0)</f>
      </c>
      <c r="B856" s="9">
        <f>IFERROR(__xludf.DUMMYFUNCTION("""COMPUTED_VALUE"""),"SERRANA I")</f>
      </c>
      <c r="C856" s="9">
        <f>IFERROR(__xludf.DUMMYFUNCTION("""COMPUTED_VALUE"""),"CE REPUBLICA DO LIBANO")</f>
      </c>
      <c r="D856" s="10">
        <f>IFERROR(__xludf.DUMMYFUNCTION("""COMPUTED_VALUE"""),1.0)</f>
      </c>
      <c r="E856" s="10">
        <f>IFERROR(__xludf.DUMMYFUNCTION("""COMPUTED_VALUE"""),0.2465)</f>
      </c>
      <c r="F856" s="10">
        <f>IFERROR(__xludf.DUMMYFUNCTION("""COMPUTED_VALUE"""),0.7455)</f>
      </c>
      <c r="G856" s="10">
        <f>IFERROR(__xludf.DUMMYFUNCTION("""COMPUTED_VALUE"""),0.2246)</f>
      </c>
    </row>
    <row x14ac:dyDescent="0.25" r="857" customHeight="1" ht="15.75">
      <c r="A857" s="8">
        <f>IFERROR(__xludf.DUMMYFUNCTION("""COMPUTED_VALUE"""),25804.0)</f>
      </c>
      <c r="B857" s="9">
        <f>IFERROR(__xludf.DUMMYFUNCTION("""COMPUTED_VALUE"""),"SERRANA I")</f>
      </c>
      <c r="C857" s="9">
        <f>IFERROR(__xludf.DUMMYFUNCTION("""COMPUTED_VALUE"""),"CE ROBERTO COELHO PEDROSO")</f>
      </c>
      <c r="D857" s="10">
        <f>IFERROR(__xludf.DUMMYFUNCTION("""COMPUTED_VALUE"""),0.9895)</f>
      </c>
      <c r="E857" s="10">
        <f>IFERROR(__xludf.DUMMYFUNCTION("""COMPUTED_VALUE"""),0.1919)</f>
      </c>
      <c r="F857" s="10">
        <f>IFERROR(__xludf.DUMMYFUNCTION("""COMPUTED_VALUE"""),1.0)</f>
      </c>
      <c r="G857" s="10">
        <f>IFERROR(__xludf.DUMMYFUNCTION("""COMPUTED_VALUE"""),0.1427)</f>
      </c>
    </row>
    <row x14ac:dyDescent="0.25" r="858" customHeight="1" ht="15.75">
      <c r="A858" s="8">
        <f>IFERROR(__xludf.DUMMYFUNCTION("""COMPUTED_VALUE"""),25776.0)</f>
      </c>
      <c r="B858" s="9">
        <f>IFERROR(__xludf.DUMMYFUNCTION("""COMPUTED_VALUE"""),"SERRANA I")</f>
      </c>
      <c r="C858" s="9">
        <f>IFERROR(__xludf.DUMMYFUNCTION("""COMPUTED_VALUE"""),"CE RUI BARBOSA")</f>
      </c>
      <c r="D858" s="10">
        <f>IFERROR(__xludf.DUMMYFUNCTION("""COMPUTED_VALUE"""),0.9515)</f>
      </c>
      <c r="E858" s="10">
        <f>IFERROR(__xludf.DUMMYFUNCTION("""COMPUTED_VALUE"""),0.254)</f>
      </c>
      <c r="F858" s="10">
        <f>IFERROR(__xludf.DUMMYFUNCTION("""COMPUTED_VALUE"""),0.7789)</f>
      </c>
      <c r="G858" s="10">
        <f>IFERROR(__xludf.DUMMYFUNCTION("""COMPUTED_VALUE"""),0.2409)</f>
      </c>
    </row>
    <row x14ac:dyDescent="0.25" r="859" customHeight="1" ht="15.75">
      <c r="A859" s="8">
        <f>IFERROR(__xludf.DUMMYFUNCTION("""COMPUTED_VALUE"""),25761.0)</f>
      </c>
      <c r="B859" s="9">
        <f>IFERROR(__xludf.DUMMYFUNCTION("""COMPUTED_VALUE"""),"SERRANA I")</f>
      </c>
      <c r="C859" s="9">
        <f>IFERROR(__xludf.DUMMYFUNCTION("""COMPUTED_VALUE"""),"CE SAO FRANCISCO DE ASSIS")</f>
      </c>
      <c r="D859" s="10">
        <f>IFERROR(__xludf.DUMMYFUNCTION("""COMPUTED_VALUE"""),0.7619)</f>
      </c>
      <c r="E859" s="10">
        <f>IFERROR(__xludf.DUMMYFUNCTION("""COMPUTED_VALUE"""),0.2037)</f>
      </c>
      <c r="F859" s="10">
        <f>IFERROR(__xludf.DUMMYFUNCTION("""COMPUTED_VALUE"""),0.6667)</f>
      </c>
      <c r="G859" s="10">
        <f>IFERROR(__xludf.DUMMYFUNCTION("""COMPUTED_VALUE"""),0.1911)</f>
      </c>
    </row>
    <row x14ac:dyDescent="0.25" r="860" customHeight="1" ht="15.75">
      <c r="A860" s="8">
        <f>IFERROR(__xludf.DUMMYFUNCTION("""COMPUTED_VALUE"""),25805.0)</f>
      </c>
      <c r="B860" s="9">
        <f>IFERROR(__xludf.DUMMYFUNCTION("""COMPUTED_VALUE"""),"SERRANA I")</f>
      </c>
      <c r="C860" s="9">
        <f>IFERROR(__xludf.DUMMYFUNCTION("""COMPUTED_VALUE"""),"CE URBANO CARLOS DE ALMEIDA")</f>
      </c>
      <c r="D860" s="10">
        <f>IFERROR(__xludf.DUMMYFUNCTION("""COMPUTED_VALUE"""),1.0)</f>
      </c>
      <c r="E860" s="10">
        <f>IFERROR(__xludf.DUMMYFUNCTION("""COMPUTED_VALUE"""),0.2097)</f>
      </c>
      <c r="F860" s="10">
        <f>IFERROR(__xludf.DUMMYFUNCTION("""COMPUTED_VALUE"""),0.8333)</f>
      </c>
      <c r="G860" s="10">
        <f>IFERROR(__xludf.DUMMYFUNCTION("""COMPUTED_VALUE"""),0.1998)</f>
      </c>
    </row>
    <row x14ac:dyDescent="0.25" r="861" customHeight="1" ht="15.75">
      <c r="A861" s="8">
        <f>IFERROR(__xludf.DUMMYFUNCTION("""COMPUTED_VALUE"""),25762.0)</f>
      </c>
      <c r="B861" s="9">
        <f>IFERROR(__xludf.DUMMYFUNCTION("""COMPUTED_VALUE"""),"SERRANA I")</f>
      </c>
      <c r="C861" s="9">
        <f>IFERROR(__xludf.DUMMYFUNCTION("""COMPUTED_VALUE"""),"CE VISCONDE DE SEPETIBA")</f>
      </c>
      <c r="D861" s="10">
        <f>IFERROR(__xludf.DUMMYFUNCTION("""COMPUTED_VALUE"""),0.9778)</f>
      </c>
      <c r="E861" s="10">
        <f>IFERROR(__xludf.DUMMYFUNCTION("""COMPUTED_VALUE"""),0.1774)</f>
      </c>
      <c r="F861" s="10">
        <f>IFERROR(__xludf.DUMMYFUNCTION("""COMPUTED_VALUE"""),0.7168)</f>
      </c>
      <c r="G861" s="10">
        <f>IFERROR(__xludf.DUMMYFUNCTION("""COMPUTED_VALUE"""),0.2116)</f>
      </c>
    </row>
    <row x14ac:dyDescent="0.25" r="862" customHeight="1" ht="15.75">
      <c r="A862" s="8">
        <f>IFERROR(__xludf.DUMMYFUNCTION("""COMPUTED_VALUE"""),25763.0)</f>
      </c>
      <c r="B862" s="9">
        <f>IFERROR(__xludf.DUMMYFUNCTION("""COMPUTED_VALUE"""),"SERRANA I")</f>
      </c>
      <c r="C862" s="9">
        <f>IFERROR(__xludf.DUMMYFUNCTION("""COMPUTED_VALUE"""),"CEI AGROECOLOGICO BARAO DE LANGSDORFF")</f>
      </c>
      <c r="D862" s="10">
        <f>IFERROR(__xludf.DUMMYFUNCTION("""COMPUTED_VALUE"""),0.9573)</f>
      </c>
      <c r="E862" s="10">
        <f>IFERROR(__xludf.DUMMYFUNCTION("""COMPUTED_VALUE"""),0.2792)</f>
      </c>
      <c r="F862" s="10">
        <f>IFERROR(__xludf.DUMMYFUNCTION("""COMPUTED_VALUE"""),1.0)</f>
      </c>
      <c r="G862" s="10">
        <f>IFERROR(__xludf.DUMMYFUNCTION("""COMPUTED_VALUE"""),0.1926)</f>
      </c>
    </row>
    <row x14ac:dyDescent="0.25" r="863" customHeight="1" ht="15.75">
      <c r="A863" s="8">
        <f>IFERROR(__xludf.DUMMYFUNCTION("""COMPUTED_VALUE"""),25797.0)</f>
      </c>
      <c r="B863" s="9">
        <f>IFERROR(__xludf.DUMMYFUNCTION("""COMPUTED_VALUE"""),"SERRANA I")</f>
      </c>
      <c r="C863" s="9">
        <f>IFERROR(__xludf.DUMMYFUNCTION("""COMPUTED_VALUE"""),"CIA JOSE FRANCISCO LIPPI")</f>
      </c>
      <c r="D863" s="10">
        <f>IFERROR(__xludf.DUMMYFUNCTION("""COMPUTED_VALUE"""),0.9953)</f>
      </c>
      <c r="E863" s="10">
        <f>IFERROR(__xludf.DUMMYFUNCTION("""COMPUTED_VALUE"""),0.2412)</f>
      </c>
      <c r="F863" s="10">
        <f>IFERROR(__xludf.DUMMYFUNCTION("""COMPUTED_VALUE"""),0.8747)</f>
      </c>
      <c r="G863" s="10">
        <f>IFERROR(__xludf.DUMMYFUNCTION("""COMPUTED_VALUE"""),0.2205)</f>
      </c>
    </row>
    <row x14ac:dyDescent="0.25" r="864" customHeight="1" ht="15.75">
      <c r="A864" s="8">
        <f>IFERROR(__xludf.DUMMYFUNCTION("""COMPUTED_VALUE"""),25778.0)</f>
      </c>
      <c r="B864" s="9">
        <f>IFERROR(__xludf.DUMMYFUNCTION("""COMPUTED_VALUE"""),"SERRANA I")</f>
      </c>
      <c r="C864" s="9">
        <f>IFERROR(__xludf.DUMMYFUNCTION("""COMPUTED_VALUE"""),"CIEP 038 SANTOS DUMONT - BRASIL-ALEMANHA")</f>
      </c>
      <c r="D864" s="10">
        <f>IFERROR(__xludf.DUMMYFUNCTION("""COMPUTED_VALUE"""),1.0)</f>
      </c>
      <c r="E864" s="10">
        <f>IFERROR(__xludf.DUMMYFUNCTION("""COMPUTED_VALUE"""),0.3394)</f>
      </c>
      <c r="F864" s="10">
        <f>IFERROR(__xludf.DUMMYFUNCTION("""COMPUTED_VALUE"""),1.0)</f>
      </c>
      <c r="G864" s="10">
        <f>IFERROR(__xludf.DUMMYFUNCTION("""COMPUTED_VALUE"""),0.2208)</f>
      </c>
    </row>
    <row x14ac:dyDescent="0.25" r="865" customHeight="1" ht="15.75">
      <c r="A865" s="8">
        <f>IFERROR(__xludf.DUMMYFUNCTION("""COMPUTED_VALUE"""),25764.0)</f>
      </c>
      <c r="B865" s="9">
        <f>IFERROR(__xludf.DUMMYFUNCTION("""COMPUTED_VALUE"""),"SERRANA I")</f>
      </c>
      <c r="C865" s="9">
        <f>IFERROR(__xludf.DUMMYFUNCTION("""COMPUTED_VALUE"""),"CIEP 127 FREI ACURSIO ALOISIO GONZAGA BOLWER")</f>
      </c>
      <c r="D865" s="10">
        <f>IFERROR(__xludf.DUMMYFUNCTION("""COMPUTED_VALUE"""),0.9738)</f>
      </c>
      <c r="E865" s="10">
        <f>IFERROR(__xludf.DUMMYFUNCTION("""COMPUTED_VALUE"""),0.1755)</f>
      </c>
      <c r="F865" s="10">
        <f>IFERROR(__xludf.DUMMYFUNCTION("""COMPUTED_VALUE"""),0.8136)</f>
      </c>
      <c r="G865" s="10">
        <f>IFERROR(__xludf.DUMMYFUNCTION("""COMPUTED_VALUE"""),0.2209)</f>
      </c>
    </row>
    <row x14ac:dyDescent="0.25" r="866" customHeight="1" ht="15.75">
      <c r="A866" s="8">
        <f>IFERROR(__xludf.DUMMYFUNCTION("""COMPUTED_VALUE"""),25765.0)</f>
      </c>
      <c r="B866" s="9">
        <f>IFERROR(__xludf.DUMMYFUNCTION("""COMPUTED_VALUE"""),"SERRANA I")</f>
      </c>
      <c r="C866" s="9">
        <f>IFERROR(__xludf.DUMMYFUNCTION("""COMPUTED_VALUE"""),"CIEP 128 MAGEPE MIRIM")</f>
      </c>
      <c r="D866" s="10">
        <f>IFERROR(__xludf.DUMMYFUNCTION("""COMPUTED_VALUE"""),0.9802)</f>
      </c>
      <c r="E866" s="10">
        <f>IFERROR(__xludf.DUMMYFUNCTION("""COMPUTED_VALUE"""),0.2016)</f>
      </c>
      <c r="F866" s="10">
        <f>IFERROR(__xludf.DUMMYFUNCTION("""COMPUTED_VALUE"""),1.0)</f>
      </c>
      <c r="G866" s="10">
        <f>IFERROR(__xludf.DUMMYFUNCTION("""COMPUTED_VALUE"""),0.1715)</f>
      </c>
    </row>
    <row x14ac:dyDescent="0.25" r="867" customHeight="1" ht="15.75">
      <c r="A867" s="8">
        <f>IFERROR(__xludf.DUMMYFUNCTION("""COMPUTED_VALUE"""),25779.0)</f>
      </c>
      <c r="B867" s="9">
        <f>IFERROR(__xludf.DUMMYFUNCTION("""COMPUTED_VALUE"""),"SERRANA I")</f>
      </c>
      <c r="C867" s="9">
        <f>IFERROR(__xludf.DUMMYFUNCTION("""COMPUTED_VALUE"""),"CIEP 137 CECILIA MEIRELES")</f>
      </c>
      <c r="D867" s="10">
        <f>IFERROR(__xludf.DUMMYFUNCTION("""COMPUTED_VALUE"""),0.9906)</f>
      </c>
      <c r="E867" s="10">
        <f>IFERROR(__xludf.DUMMYFUNCTION("""COMPUTED_VALUE"""),0.185)</f>
      </c>
      <c r="F867" s="10">
        <f>IFERROR(__xludf.DUMMYFUNCTION("""COMPUTED_VALUE"""),0.7383)</f>
      </c>
      <c r="G867" s="10">
        <f>IFERROR(__xludf.DUMMYFUNCTION("""COMPUTED_VALUE"""),0.2039)</f>
      </c>
    </row>
    <row x14ac:dyDescent="0.25" r="868" customHeight="1" ht="15.75">
      <c r="A868" s="8">
        <f>IFERROR(__xludf.DUMMYFUNCTION("""COMPUTED_VALUE"""),25766.0)</f>
      </c>
      <c r="B868" s="9">
        <f>IFERROR(__xludf.DUMMYFUNCTION("""COMPUTED_VALUE"""),"SERRANA I")</f>
      </c>
      <c r="C868" s="9">
        <f>IFERROR(__xludf.DUMMYFUNCTION("""COMPUTED_VALUE"""),"CIEP 260 BARBOSA PORTO - BRASIL-CHILE")</f>
      </c>
      <c r="D868" s="10">
        <f>IFERROR(__xludf.DUMMYFUNCTION("""COMPUTED_VALUE"""),0.9545)</f>
      </c>
      <c r="E868" s="10">
        <f>IFERROR(__xludf.DUMMYFUNCTION("""COMPUTED_VALUE"""),0.181)</f>
      </c>
      <c r="F868" s="10">
        <f>IFERROR(__xludf.DUMMYFUNCTION("""COMPUTED_VALUE"""),0.7143)</f>
      </c>
      <c r="G868" s="10">
        <f>IFERROR(__xludf.DUMMYFUNCTION("""COMPUTED_VALUE"""),0.2175)</f>
      </c>
    </row>
    <row x14ac:dyDescent="0.25" r="869" customHeight="1" ht="15.75">
      <c r="A869" s="8">
        <f>IFERROR(__xludf.DUMMYFUNCTION("""COMPUTED_VALUE"""),25780.0)</f>
      </c>
      <c r="B869" s="9">
        <f>IFERROR(__xludf.DUMMYFUNCTION("""COMPUTED_VALUE"""),"SERRANA I")</f>
      </c>
      <c r="C869" s="9">
        <f>IFERROR(__xludf.DUMMYFUNCTION("""COMPUTED_VALUE"""),"CIEP 281 GABRIELA MISTRAL")</f>
      </c>
      <c r="D869" s="10">
        <f>IFERROR(__xludf.DUMMYFUNCTION("""COMPUTED_VALUE"""),0.9853)</f>
      </c>
      <c r="E869" s="10">
        <f>IFERROR(__xludf.DUMMYFUNCTION("""COMPUTED_VALUE"""),0.2113)</f>
      </c>
      <c r="F869" s="10">
        <f>IFERROR(__xludf.DUMMYFUNCTION("""COMPUTED_VALUE"""),0.684)</f>
      </c>
      <c r="G869" s="10">
        <f>IFERROR(__xludf.DUMMYFUNCTION("""COMPUTED_VALUE"""),0.2203)</f>
      </c>
    </row>
    <row x14ac:dyDescent="0.25" r="870" customHeight="1" ht="15.75">
      <c r="A870" s="8">
        <f>IFERROR(__xludf.DUMMYFUNCTION("""COMPUTED_VALUE"""),25788.0)</f>
      </c>
      <c r="B870" s="9">
        <f>IFERROR(__xludf.DUMMYFUNCTION("""COMPUTED_VALUE"""),"SERRANA I")</f>
      </c>
      <c r="C870" s="9">
        <f>IFERROR(__xludf.DUMMYFUNCTION("""COMPUTED_VALUE"""),"CIEP 285 LUIZ JOSE DAFLON GOMES")</f>
      </c>
      <c r="D870" s="10">
        <f>IFERROR(__xludf.DUMMYFUNCTION("""COMPUTED_VALUE"""),0.8284)</f>
      </c>
      <c r="E870" s="10">
        <f>IFERROR(__xludf.DUMMYFUNCTION("""COMPUTED_VALUE"""),0.2206)</f>
      </c>
      <c r="F870" s="10">
        <f>IFERROR(__xludf.DUMMYFUNCTION("""COMPUTED_VALUE"""),0.791)</f>
      </c>
      <c r="G870" s="10">
        <f>IFERROR(__xludf.DUMMYFUNCTION("""COMPUTED_VALUE"""),0.2116)</f>
      </c>
    </row>
    <row x14ac:dyDescent="0.25" r="871" customHeight="1" ht="15.75">
      <c r="A871" s="8">
        <f>IFERROR(__xludf.DUMMYFUNCTION("""COMPUTED_VALUE"""),25767.0)</f>
      </c>
      <c r="B871" s="9">
        <f>IFERROR(__xludf.DUMMYFUNCTION("""COMPUTED_VALUE"""),"SERRANA I")</f>
      </c>
      <c r="C871" s="9">
        <f>IFERROR(__xludf.DUMMYFUNCTION("""COMPUTED_VALUE"""),"CIEP 327 PEDRO AMERICO")</f>
      </c>
      <c r="D871" s="10">
        <f>IFERROR(__xludf.DUMMYFUNCTION("""COMPUTED_VALUE"""),0.8)</f>
      </c>
      <c r="E871" s="10">
        <f>IFERROR(__xludf.DUMMYFUNCTION("""COMPUTED_VALUE"""),0.1561)</f>
      </c>
      <c r="F871" s="10">
        <f>IFERROR(__xludf.DUMMYFUNCTION("""COMPUTED_VALUE"""),0.5772)</f>
      </c>
      <c r="G871" s="10">
        <f>IFERROR(__xludf.DUMMYFUNCTION("""COMPUTED_VALUE"""),0.2042)</f>
      </c>
    </row>
    <row x14ac:dyDescent="0.25" r="872" customHeight="1" ht="15.75">
      <c r="A872" s="8">
        <f>IFERROR(__xludf.DUMMYFUNCTION("""COMPUTED_VALUE"""),25768.0)</f>
      </c>
      <c r="B872" s="9">
        <f>IFERROR(__xludf.DUMMYFUNCTION("""COMPUTED_VALUE"""),"SERRANA I")</f>
      </c>
      <c r="C872" s="9">
        <f>IFERROR(__xludf.DUMMYFUNCTION("""COMPUTED_VALUE"""),"CIEP 441 MANÉ GARRINCHA")</f>
      </c>
      <c r="D872" s="10">
        <f>IFERROR(__xludf.DUMMYFUNCTION("""COMPUTED_VALUE"""),0.7829)</f>
      </c>
      <c r="E872" s="10">
        <f>IFERROR(__xludf.DUMMYFUNCTION("""COMPUTED_VALUE"""),0.1992)</f>
      </c>
      <c r="F872" s="10">
        <f>IFERROR(__xludf.DUMMYFUNCTION("""COMPUTED_VALUE"""),0.7509)</f>
      </c>
      <c r="G872" s="10">
        <f>IFERROR(__xludf.DUMMYFUNCTION("""COMPUTED_VALUE"""),0.2166)</f>
      </c>
    </row>
    <row x14ac:dyDescent="0.25" r="873" customHeight="1" ht="15.75">
      <c r="A873" s="8">
        <f>IFERROR(__xludf.DUMMYFUNCTION("""COMPUTED_VALUE"""),25769.0)</f>
      </c>
      <c r="B873" s="9">
        <f>IFERROR(__xludf.DUMMYFUNCTION("""COMPUTED_VALUE"""),"SERRANA I")</f>
      </c>
      <c r="C873" s="9">
        <f>IFERROR(__xludf.DUMMYFUNCTION("""COMPUTED_VALUE"""),"CIEP 444 ISRAEL JACOB AVERBACK")</f>
      </c>
      <c r="D873" s="10">
        <f>IFERROR(__xludf.DUMMYFUNCTION("""COMPUTED_VALUE"""),0.9559)</f>
      </c>
      <c r="E873" s="10">
        <f>IFERROR(__xludf.DUMMYFUNCTION("""COMPUTED_VALUE"""),0.1348)</f>
      </c>
      <c r="F873" s="10">
        <f>IFERROR(__xludf.DUMMYFUNCTION("""COMPUTED_VALUE"""),0.6563)</f>
      </c>
      <c r="G873" s="10">
        <f>IFERROR(__xludf.DUMMYFUNCTION("""COMPUTED_VALUE"""),0.2126)</f>
      </c>
    </row>
    <row x14ac:dyDescent="0.25" r="874" customHeight="1" ht="15.75">
      <c r="A874" s="8">
        <f>IFERROR(__xludf.DUMMYFUNCTION("""COMPUTED_VALUE"""),25807.0)</f>
      </c>
      <c r="B874" s="9">
        <f>IFERROR(__xludf.DUMMYFUNCTION("""COMPUTED_VALUE"""),"SERRANA I")</f>
      </c>
      <c r="C874" s="9">
        <f>IFERROR(__xludf.DUMMYFUNCTION("""COMPUTED_VALUE"""),"CIEP 456 PROFESSOR MARCOS COSTA REIS DUTRA")</f>
      </c>
      <c r="D874" s="10">
        <f>IFERROR(__xludf.DUMMYFUNCTION("""COMPUTED_VALUE"""),0.9263)</f>
      </c>
      <c r="E874" s="10">
        <f>IFERROR(__xludf.DUMMYFUNCTION("""COMPUTED_VALUE"""),0.1718)</f>
      </c>
      <c r="F874" s="10">
        <f>IFERROR(__xludf.DUMMYFUNCTION("""COMPUTED_VALUE"""),0.5368)</f>
      </c>
      <c r="G874" s="10">
        <f>IFERROR(__xludf.DUMMYFUNCTION("""COMPUTED_VALUE"""),0.2247)</f>
      </c>
    </row>
    <row x14ac:dyDescent="0.25" r="875" customHeight="1" ht="15.75">
      <c r="A875" s="8">
        <f>IFERROR(__xludf.DUMMYFUNCTION("""COMPUTED_VALUE"""),25781.0)</f>
      </c>
      <c r="B875" s="9">
        <f>IFERROR(__xludf.DUMMYFUNCTION("""COMPUTED_VALUE"""),"SERRANA I")</f>
      </c>
      <c r="C875" s="9">
        <f>IFERROR(__xludf.DUMMYFUNCTION("""COMPUTED_VALUE"""),"CIEP 472 CANDIDO PORTINARI")</f>
      </c>
      <c r="D875" s="10">
        <f>IFERROR(__xludf.DUMMYFUNCTION("""COMPUTED_VALUE"""),0.99)</f>
      </c>
      <c r="E875" s="10">
        <f>IFERROR(__xludf.DUMMYFUNCTION("""COMPUTED_VALUE"""),0.2067)</f>
      </c>
      <c r="F875" s="10">
        <f>IFERROR(__xludf.DUMMYFUNCTION("""COMPUTED_VALUE"""),0.6215)</f>
      </c>
      <c r="G875" s="10">
        <f>IFERROR(__xludf.DUMMYFUNCTION("""COMPUTED_VALUE"""),0.2134)</f>
      </c>
    </row>
    <row x14ac:dyDescent="0.25" r="876" customHeight="1" ht="15.75">
      <c r="A876" s="8">
        <f>IFERROR(__xludf.DUMMYFUNCTION("""COMPUTED_VALUE"""),25808.0)</f>
      </c>
      <c r="B876" s="9">
        <f>IFERROR(__xludf.DUMMYFUNCTION("""COMPUTED_VALUE"""),"SERRANA I")</f>
      </c>
      <c r="C876" s="9">
        <f>IFERROR(__xludf.DUMMYFUNCTION("""COMPUTED_VALUE"""),"IE PROFESSOR JOEL MONNERAT")</f>
      </c>
      <c r="D876" s="10">
        <f>IFERROR(__xludf.DUMMYFUNCTION("""COMPUTED_VALUE"""),0.9758)</f>
      </c>
      <c r="E876" s="10">
        <f>IFERROR(__xludf.DUMMYFUNCTION("""COMPUTED_VALUE"""),0.3049)</f>
      </c>
      <c r="F876" s="10">
        <f>IFERROR(__xludf.DUMMYFUNCTION("""COMPUTED_VALUE"""),0.8306)</f>
      </c>
      <c r="G876" s="10">
        <f>IFERROR(__xludf.DUMMYFUNCTION("""COMPUTED_VALUE"""),0.2329)</f>
      </c>
    </row>
    <row x14ac:dyDescent="0.25" r="877" customHeight="1" ht="15.75">
      <c r="A877" s="8">
        <f>IFERROR(__xludf.DUMMYFUNCTION("""COMPUTED_VALUE"""),25175.0)</f>
      </c>
      <c r="B877" s="9">
        <f>IFERROR(__xludf.DUMMYFUNCTION("""COMPUTED_VALUE"""),"SERRANA II")</f>
      </c>
      <c r="C877" s="9">
        <f>IFERROR(__xludf.DUMMYFUNCTION("""COMPUTED_VALUE"""),"CE 1º SARGENTO BM LUIZ CARLOS GONÇALVES FISCHER")</f>
      </c>
      <c r="D877" s="10">
        <f>IFERROR(__xludf.DUMMYFUNCTION("""COMPUTED_VALUE"""),0.9388)</f>
      </c>
      <c r="E877" s="10">
        <f>IFERROR(__xludf.DUMMYFUNCTION("""COMPUTED_VALUE"""),0.2929)</f>
      </c>
      <c r="F877" s="10">
        <f>IFERROR(__xludf.DUMMYFUNCTION("""COMPUTED_VALUE"""),0.9592)</f>
      </c>
      <c r="G877" s="10">
        <f>IFERROR(__xludf.DUMMYFUNCTION("""COMPUTED_VALUE"""),0.2251)</f>
      </c>
    </row>
    <row x14ac:dyDescent="0.25" r="878" customHeight="1" ht="15.75">
      <c r="A878" s="8">
        <f>IFERROR(__xludf.DUMMYFUNCTION("""COMPUTED_VALUE"""),25188.0)</f>
      </c>
      <c r="B878" s="9">
        <f>IFERROR(__xludf.DUMMYFUNCTION("""COMPUTED_VALUE"""),"SERRANA II")</f>
      </c>
      <c r="C878" s="9">
        <f>IFERROR(__xludf.DUMMYFUNCTION("""COMPUTED_VALUE"""),"CE 2º TENENTE BM SÉRGIO RODRIGUES DA SILVA")</f>
      </c>
      <c r="D878" s="10">
        <f>IFERROR(__xludf.DUMMYFUNCTION("""COMPUTED_VALUE"""),0.9592)</f>
      </c>
      <c r="E878" s="10">
        <f>IFERROR(__xludf.DUMMYFUNCTION("""COMPUTED_VALUE"""),0.3242)</f>
      </c>
      <c r="F878" s="10">
        <f>IFERROR(__xludf.DUMMYFUNCTION("""COMPUTED_VALUE"""),0.9796)</f>
      </c>
      <c r="G878" s="10">
        <f>IFERROR(__xludf.DUMMYFUNCTION("""COMPUTED_VALUE"""),0.2623)</f>
      </c>
    </row>
    <row x14ac:dyDescent="0.25" r="879" customHeight="1" ht="15.75">
      <c r="A879" s="8">
        <f>IFERROR(__xludf.DUMMYFUNCTION("""COMPUTED_VALUE"""),25194.0)</f>
      </c>
      <c r="B879" s="9">
        <f>IFERROR(__xludf.DUMMYFUNCTION("""COMPUTED_VALUE"""),"SERRANA II")</f>
      </c>
      <c r="C879" s="9">
        <f>IFERROR(__xludf.DUMMYFUNCTION("""COMPUTED_VALUE"""),"CE ALMIRANTE PROTOGENES")</f>
      </c>
      <c r="D879" s="10">
        <f>IFERROR(__xludf.DUMMYFUNCTION("""COMPUTED_VALUE"""),0.9178)</f>
      </c>
      <c r="E879" s="10">
        <f>IFERROR(__xludf.DUMMYFUNCTION("""COMPUTED_VALUE"""),0.2444)</f>
      </c>
      <c r="F879" s="10">
        <f>IFERROR(__xludf.DUMMYFUNCTION("""COMPUTED_VALUE"""),0.7808)</f>
      </c>
      <c r="G879" s="10">
        <f>IFERROR(__xludf.DUMMYFUNCTION("""COMPUTED_VALUE"""),0.2058)</f>
      </c>
    </row>
    <row x14ac:dyDescent="0.25" r="880" customHeight="1" ht="15.75">
      <c r="A880" s="8">
        <f>IFERROR(__xludf.DUMMYFUNCTION("""COMPUTED_VALUE"""),25189.0)</f>
      </c>
      <c r="B880" s="9">
        <f>IFERROR(__xludf.DUMMYFUNCTION("""COMPUTED_VALUE"""),"SERRANA II")</f>
      </c>
      <c r="C880" s="9">
        <f>IFERROR(__xludf.DUMMYFUNCTION("""COMPUTED_VALUE"""),"CE ANTONIO PECLY")</f>
      </c>
      <c r="D880" s="10">
        <f>IFERROR(__xludf.DUMMYFUNCTION("""COMPUTED_VALUE"""),0.8731)</f>
      </c>
      <c r="E880" s="10">
        <f>IFERROR(__xludf.DUMMYFUNCTION("""COMPUTED_VALUE"""),0.2702)</f>
      </c>
      <c r="F880" s="10">
        <f>IFERROR(__xludf.DUMMYFUNCTION("""COMPUTED_VALUE"""),0.709)</f>
      </c>
      <c r="G880" s="10">
        <f>IFERROR(__xludf.DUMMYFUNCTION("""COMPUTED_VALUE"""),0.2052)</f>
      </c>
    </row>
    <row x14ac:dyDescent="0.25" r="881" customHeight="1" ht="15.75">
      <c r="A881" s="8">
        <f>IFERROR(__xludf.DUMMYFUNCTION("""COMPUTED_VALUE"""),25200.0)</f>
      </c>
      <c r="B881" s="9">
        <f>IFERROR(__xludf.DUMMYFUNCTION("""COMPUTED_VALUE"""),"SERRANA II")</f>
      </c>
      <c r="C881" s="9">
        <f>IFERROR(__xludf.DUMMYFUNCTION("""COMPUTED_VALUE"""),"CE AUGUSTO SPINELLI")</f>
      </c>
      <c r="D881" s="10">
        <f>IFERROR(__xludf.DUMMYFUNCTION("""COMPUTED_VALUE"""),0.9127)</f>
      </c>
      <c r="E881" s="10">
        <f>IFERROR(__xludf.DUMMYFUNCTION("""COMPUTED_VALUE"""),0.3443)</f>
      </c>
      <c r="F881" s="10">
        <f>IFERROR(__xludf.DUMMYFUNCTION("""COMPUTED_VALUE"""),0.8095)</f>
      </c>
      <c r="G881" s="10">
        <f>IFERROR(__xludf.DUMMYFUNCTION("""COMPUTED_VALUE"""),0.2614)</f>
      </c>
    </row>
    <row x14ac:dyDescent="0.25" r="882" customHeight="1" ht="15.75">
      <c r="A882" s="8">
        <f>IFERROR(__xludf.DUMMYFUNCTION("""COMPUTED_VALUE"""),25161.0)</f>
      </c>
      <c r="B882" s="9">
        <f>IFERROR(__xludf.DUMMYFUNCTION("""COMPUTED_VALUE"""),"SERRANA II")</f>
      </c>
      <c r="C882" s="9">
        <f>IFERROR(__xludf.DUMMYFUNCTION("""COMPUTED_VALUE"""),"CE BACCOPARO MARTINS")</f>
      </c>
      <c r="D882" s="10">
        <f>IFERROR(__xludf.DUMMYFUNCTION("""COMPUTED_VALUE"""),0.8163)</f>
      </c>
      <c r="E882" s="10">
        <f>IFERROR(__xludf.DUMMYFUNCTION("""COMPUTED_VALUE"""),0.2353)</f>
      </c>
      <c r="F882" s="10">
        <f>IFERROR(__xludf.DUMMYFUNCTION("""COMPUTED_VALUE"""),0.7391)</f>
      </c>
      <c r="G882" s="10">
        <f>IFERROR(__xludf.DUMMYFUNCTION("""COMPUTED_VALUE"""),0.2056)</f>
      </c>
    </row>
    <row x14ac:dyDescent="0.25" r="883" customHeight="1" ht="15.75">
      <c r="A883" s="8">
        <f>IFERROR(__xludf.DUMMYFUNCTION("""COMPUTED_VALUE"""),25225.0)</f>
      </c>
      <c r="B883" s="9">
        <f>IFERROR(__xludf.DUMMYFUNCTION("""COMPUTED_VALUE"""),"SERRANA II")</f>
      </c>
      <c r="C883" s="9">
        <f>IFERROR(__xludf.DUMMYFUNCTION("""COMPUTED_VALUE"""),"CE BARAO DE SANTA MARIA MADALENA")</f>
      </c>
      <c r="D883" s="10">
        <f>IFERROR(__xludf.DUMMYFUNCTION("""COMPUTED_VALUE"""),1.0)</f>
      </c>
      <c r="E883" s="10">
        <f>IFERROR(__xludf.DUMMYFUNCTION("""COMPUTED_VALUE"""),0.2128)</f>
      </c>
      <c r="F883" s="10">
        <f>IFERROR(__xludf.DUMMYFUNCTION("""COMPUTED_VALUE"""),0.7613)</f>
      </c>
      <c r="G883" s="10">
        <f>IFERROR(__xludf.DUMMYFUNCTION("""COMPUTED_VALUE"""),0.2224)</f>
      </c>
    </row>
    <row x14ac:dyDescent="0.25" r="884" customHeight="1" ht="15.75">
      <c r="A884" s="8">
        <f>IFERROR(__xludf.DUMMYFUNCTION("""COMPUTED_VALUE"""),25181.0)</f>
      </c>
      <c r="B884" s="9">
        <f>IFERROR(__xludf.DUMMYFUNCTION("""COMPUTED_VALUE"""),"SERRANA II")</f>
      </c>
      <c r="C884" s="9">
        <f>IFERROR(__xludf.DUMMYFUNCTION("""COMPUTED_VALUE"""),"CE BARRA DE SAO JOAO")</f>
      </c>
      <c r="D884" s="10">
        <f>IFERROR(__xludf.DUMMYFUNCTION("""COMPUTED_VALUE"""),0.6557)</f>
      </c>
      <c r="E884" s="10">
        <f>IFERROR(__xludf.DUMMYFUNCTION("""COMPUTED_VALUE"""),0.2537)</f>
      </c>
      <c r="F884" s="10">
        <f>IFERROR(__xludf.DUMMYFUNCTION("""COMPUTED_VALUE"""),0.6377)</f>
      </c>
      <c r="G884" s="10">
        <f>IFERROR(__xludf.DUMMYFUNCTION("""COMPUTED_VALUE"""),0.2034)</f>
      </c>
    </row>
    <row x14ac:dyDescent="0.25" r="885" customHeight="1" ht="15.75">
      <c r="A885" s="8">
        <f>IFERROR(__xludf.DUMMYFUNCTION("""COMPUTED_VALUE"""),25231.0)</f>
      </c>
      <c r="B885" s="9">
        <f>IFERROR(__xludf.DUMMYFUNCTION("""COMPUTED_VALUE"""),"SERRANA II")</f>
      </c>
      <c r="C885" s="9">
        <f>IFERROR(__xludf.DUMMYFUNCTION("""COMPUTED_VALUE"""),"CE CAMPINAS II")</f>
      </c>
      <c r="D885" s="10">
        <f>IFERROR(__xludf.DUMMYFUNCTION("""COMPUTED_VALUE"""),0.9588)</f>
      </c>
      <c r="E885" s="10">
        <f>IFERROR(__xludf.DUMMYFUNCTION("""COMPUTED_VALUE"""),0.2306)</f>
      </c>
      <c r="F885" s="10">
        <f>IFERROR(__xludf.DUMMYFUNCTION("""COMPUTED_VALUE"""),0.9897)</f>
      </c>
      <c r="G885" s="10">
        <f>IFERROR(__xludf.DUMMYFUNCTION("""COMPUTED_VALUE"""),0.1351)</f>
      </c>
    </row>
    <row x14ac:dyDescent="0.25" r="886" customHeight="1" ht="15.75">
      <c r="A886" s="8">
        <f>IFERROR(__xludf.DUMMYFUNCTION("""COMPUTED_VALUE"""),25201.0)</f>
      </c>
      <c r="B886" s="9">
        <f>IFERROR(__xludf.DUMMYFUNCTION("""COMPUTED_VALUE"""),"SERRANA II")</f>
      </c>
      <c r="C886" s="9">
        <f>IFERROR(__xludf.DUMMYFUNCTION("""COMPUTED_VALUE"""),"CE CANADA")</f>
      </c>
      <c r="D886" s="10">
        <f>IFERROR(__xludf.DUMMYFUNCTION("""COMPUTED_VALUE"""),0.6911)</f>
      </c>
      <c r="E886" s="10">
        <f>IFERROR(__xludf.DUMMYFUNCTION("""COMPUTED_VALUE"""),0.2699)</f>
      </c>
      <c r="F886" s="10">
        <f>IFERROR(__xludf.DUMMYFUNCTION("""COMPUTED_VALUE"""),0.5579)</f>
      </c>
      <c r="G886" s="10">
        <f>IFERROR(__xludf.DUMMYFUNCTION("""COMPUTED_VALUE"""),0.2311)</f>
      </c>
    </row>
    <row x14ac:dyDescent="0.25" r="887" customHeight="1" ht="15.75">
      <c r="A887" s="8">
        <f>IFERROR(__xludf.DUMMYFUNCTION("""COMPUTED_VALUE"""),25182.0)</f>
      </c>
      <c r="B887" s="9">
        <f>IFERROR(__xludf.DUMMYFUNCTION("""COMPUTED_VALUE"""),"SERRANA II")</f>
      </c>
      <c r="C887" s="9">
        <f>IFERROR(__xludf.DUMMYFUNCTION("""COMPUTED_VALUE"""),"CE CASIMIRO DE ABREU")</f>
      </c>
      <c r="D887" s="10">
        <f>IFERROR(__xludf.DUMMYFUNCTION("""COMPUTED_VALUE"""),0.815)</f>
      </c>
      <c r="E887" s="10">
        <f>IFERROR(__xludf.DUMMYFUNCTION("""COMPUTED_VALUE"""),0.2438)</f>
      </c>
      <c r="F887" s="10">
        <f>IFERROR(__xludf.DUMMYFUNCTION("""COMPUTED_VALUE"""),0.5771)</f>
      </c>
      <c r="G887" s="10">
        <f>IFERROR(__xludf.DUMMYFUNCTION("""COMPUTED_VALUE"""),0.2184)</f>
      </c>
    </row>
    <row x14ac:dyDescent="0.25" r="888" customHeight="1" ht="15.75">
      <c r="A888" s="8">
        <f>IFERROR(__xludf.DUMMYFUNCTION("""COMPUTED_VALUE"""),25170.0)</f>
      </c>
      <c r="B888" s="9">
        <f>IFERROR(__xludf.DUMMYFUNCTION("""COMPUTED_VALUE"""),"SERRANA II")</f>
      </c>
      <c r="C888" s="9">
        <f>IFERROR(__xludf.DUMMYFUNCTION("""COMPUTED_VALUE"""),"CE CONDE DE NOVA FRIBURGO")</f>
      </c>
      <c r="D888" s="10">
        <f>IFERROR(__xludf.DUMMYFUNCTION("""COMPUTED_VALUE"""),1.0)</f>
      </c>
      <c r="E888" s="10">
        <f>IFERROR(__xludf.DUMMYFUNCTION("""COMPUTED_VALUE"""),0.2622)</f>
      </c>
      <c r="F888" s="10">
        <f>IFERROR(__xludf.DUMMYFUNCTION("""COMPUTED_VALUE"""),0.9)</f>
      </c>
      <c r="G888" s="10">
        <f>IFERROR(__xludf.DUMMYFUNCTION("""COMPUTED_VALUE"""),0.2253)</f>
      </c>
    </row>
    <row x14ac:dyDescent="0.25" r="889" customHeight="1" ht="15.75">
      <c r="A889" s="8">
        <f>IFERROR(__xludf.DUMMYFUNCTION("""COMPUTED_VALUE"""),25190.0)</f>
      </c>
      <c r="B889" s="9">
        <f>IFERROR(__xludf.DUMMYFUNCTION("""COMPUTED_VALUE"""),"SERRANA II")</f>
      </c>
      <c r="C889" s="9">
        <f>IFERROR(__xludf.DUMMYFUNCTION("""COMPUTED_VALUE"""),"CE CONSTANCA SOARES TEIXEIRA")</f>
      </c>
      <c r="D889" s="10">
        <f>IFERROR(__xludf.DUMMYFUNCTION("""COMPUTED_VALUE"""),0.9737)</f>
      </c>
      <c r="E889" s="10">
        <f>IFERROR(__xludf.DUMMYFUNCTION("""COMPUTED_VALUE"""),0.3055)</f>
      </c>
      <c r="F889" s="10">
        <f>IFERROR(__xludf.DUMMYFUNCTION("""COMPUTED_VALUE"""),1.0)</f>
      </c>
      <c r="G889" s="10">
        <f>IFERROR(__xludf.DUMMYFUNCTION("""COMPUTED_VALUE"""),0.144)</f>
      </c>
    </row>
    <row x14ac:dyDescent="0.25" r="890" customHeight="1" ht="15.75">
      <c r="A890" s="8">
        <f>IFERROR(__xludf.DUMMYFUNCTION("""COMPUTED_VALUE"""),25203.0)</f>
      </c>
      <c r="B890" s="9">
        <f>IFERROR(__xludf.DUMMYFUNCTION("""COMPUTED_VALUE"""),"SERRANA II")</f>
      </c>
      <c r="C890" s="9">
        <f>IFERROR(__xludf.DUMMYFUNCTION("""COMPUTED_VALUE"""),"CE DOUTOR FELICIANO COSTA")</f>
      </c>
      <c r="D890" s="10">
        <f>IFERROR(__xludf.DUMMYFUNCTION("""COMPUTED_VALUE"""),0.7917)</f>
      </c>
      <c r="E890" s="10">
        <f>IFERROR(__xludf.DUMMYFUNCTION("""COMPUTED_VALUE"""),0.2533)</f>
      </c>
      <c r="F890" s="10">
        <f>IFERROR(__xludf.DUMMYFUNCTION("""COMPUTED_VALUE"""),0.573)</f>
      </c>
      <c r="G890" s="10">
        <f>IFERROR(__xludf.DUMMYFUNCTION("""COMPUTED_VALUE"""),0.203)</f>
      </c>
    </row>
    <row x14ac:dyDescent="0.25" r="891" customHeight="1" ht="15.75">
      <c r="A891" s="8">
        <f>IFERROR(__xludf.DUMMYFUNCTION("""COMPUTED_VALUE"""),25171.0)</f>
      </c>
      <c r="B891" s="9">
        <f>IFERROR(__xludf.DUMMYFUNCTION("""COMPUTED_VALUE"""),"SERRANA II")</f>
      </c>
      <c r="C891" s="9">
        <f>IFERROR(__xludf.DUMMYFUNCTION("""COMPUTED_VALUE"""),"CE DOUTOR FRANCISCO LEITE TEIXEIRA")</f>
      </c>
      <c r="D891" s="10">
        <f>IFERROR(__xludf.DUMMYFUNCTION("""COMPUTED_VALUE"""),0.8824)</f>
      </c>
      <c r="E891" s="10">
        <f>IFERROR(__xludf.DUMMYFUNCTION("""COMPUTED_VALUE"""),0.255)</f>
      </c>
      <c r="F891" s="10">
        <f>IFERROR(__xludf.DUMMYFUNCTION("""COMPUTED_VALUE"""),0.7353)</f>
      </c>
      <c r="G891" s="10">
        <f>IFERROR(__xludf.DUMMYFUNCTION("""COMPUTED_VALUE"""),0.2159)</f>
      </c>
    </row>
    <row x14ac:dyDescent="0.25" r="892" customHeight="1" ht="15.75">
      <c r="A892" s="8">
        <f>IFERROR(__xludf.DUMMYFUNCTION("""COMPUTED_VALUE"""),25204.0)</f>
      </c>
      <c r="B892" s="9">
        <f>IFERROR(__xludf.DUMMYFUNCTION("""COMPUTED_VALUE"""),"SERRANA II")</f>
      </c>
      <c r="C892" s="9">
        <f>IFERROR(__xludf.DUMMYFUNCTION("""COMPUTED_VALUE"""),"CE DOUTOR GALDINO DO VALLE FILHO")</f>
      </c>
      <c r="D892" s="10">
        <f>IFERROR(__xludf.DUMMYFUNCTION("""COMPUTED_VALUE"""),0.712)</f>
      </c>
      <c r="E892" s="10">
        <f>IFERROR(__xludf.DUMMYFUNCTION("""COMPUTED_VALUE"""),0.2749)</f>
      </c>
      <c r="F892" s="10">
        <f>IFERROR(__xludf.DUMMYFUNCTION("""COMPUTED_VALUE"""),0.696)</f>
      </c>
      <c r="G892" s="10">
        <f>IFERROR(__xludf.DUMMYFUNCTION("""COMPUTED_VALUE"""),0.2156)</f>
      </c>
    </row>
    <row x14ac:dyDescent="0.25" r="893" customHeight="1" ht="15.75">
      <c r="A893" s="8">
        <f>IFERROR(__xludf.DUMMYFUNCTION("""COMPUTED_VALUE"""),25205.0)</f>
      </c>
      <c r="B893" s="9">
        <f>IFERROR(__xludf.DUMMYFUNCTION("""COMPUTED_VALUE"""),"SERRANA II")</f>
      </c>
      <c r="C893" s="9">
        <f>IFERROR(__xludf.DUMMYFUNCTION("""COMPUTED_VALUE"""),"CE DOUTOR JOAO BAZET")</f>
      </c>
      <c r="D893" s="10">
        <f>IFERROR(__xludf.DUMMYFUNCTION("""COMPUTED_VALUE"""),0.812)</f>
      </c>
      <c r="E893" s="10">
        <f>IFERROR(__xludf.DUMMYFUNCTION("""COMPUTED_VALUE"""),0.2916)</f>
      </c>
      <c r="F893" s="10">
        <f>IFERROR(__xludf.DUMMYFUNCTION("""COMPUTED_VALUE"""),0.5377)</f>
      </c>
      <c r="G893" s="10">
        <f>IFERROR(__xludf.DUMMYFUNCTION("""COMPUTED_VALUE"""),0.243)</f>
      </c>
    </row>
    <row x14ac:dyDescent="0.25" r="894" customHeight="1" ht="15.75">
      <c r="A894" s="8">
        <f>IFERROR(__xludf.DUMMYFUNCTION("""COMPUTED_VALUE"""),25156.0)</f>
      </c>
      <c r="B894" s="9">
        <f>IFERROR(__xludf.DUMMYFUNCTION("""COMPUTED_VALUE"""),"SERRANA II")</f>
      </c>
      <c r="C894" s="9">
        <f>IFERROR(__xludf.DUMMYFUNCTION("""COMPUTED_VALUE"""),"CE DOUTOR PERICLES CORREA DA ROCHA")</f>
      </c>
      <c r="D894" s="10">
        <f>IFERROR(__xludf.DUMMYFUNCTION("""COMPUTED_VALUE"""),0.9608)</f>
      </c>
      <c r="E894" s="10">
        <f>IFERROR(__xludf.DUMMYFUNCTION("""COMPUTED_VALUE"""),0.2564)</f>
      </c>
      <c r="F894" s="10">
        <f>IFERROR(__xludf.DUMMYFUNCTION("""COMPUTED_VALUE"""),0.7059)</f>
      </c>
      <c r="G894" s="10">
        <f>IFERROR(__xludf.DUMMYFUNCTION("""COMPUTED_VALUE"""),0.2116)</f>
      </c>
    </row>
    <row x14ac:dyDescent="0.25" r="895" customHeight="1" ht="15.75">
      <c r="A895" s="8">
        <f>IFERROR(__xludf.DUMMYFUNCTION("""COMPUTED_VALUE"""),25206.0)</f>
      </c>
      <c r="B895" s="9">
        <f>IFERROR(__xludf.DUMMYFUNCTION("""COMPUTED_VALUE"""),"SERRANA II")</f>
      </c>
      <c r="C895" s="9">
        <f>IFERROR(__xludf.DUMMYFUNCTION("""COMPUTED_VALUE"""),"CE DOUTOR TUFFY EL JAICK")</f>
      </c>
      <c r="D895" s="10">
        <f>IFERROR(__xludf.DUMMYFUNCTION("""COMPUTED_VALUE"""),0.9308)</f>
      </c>
      <c r="E895" s="10">
        <f>IFERROR(__xludf.DUMMYFUNCTION("""COMPUTED_VALUE"""),0.259)</f>
      </c>
      <c r="F895" s="10">
        <f>IFERROR(__xludf.DUMMYFUNCTION("""COMPUTED_VALUE"""),0.6504)</f>
      </c>
      <c r="G895" s="10">
        <f>IFERROR(__xludf.DUMMYFUNCTION("""COMPUTED_VALUE"""),0.2244)</f>
      </c>
    </row>
    <row x14ac:dyDescent="0.25" r="896" customHeight="1" ht="15.75">
      <c r="A896" s="8">
        <f>IFERROR(__xludf.DUMMYFUNCTION("""COMPUTED_VALUE"""),25207.0)</f>
      </c>
      <c r="B896" s="9">
        <f>IFERROR(__xludf.DUMMYFUNCTION("""COMPUTED_VALUE"""),"SERRANA II")</f>
      </c>
      <c r="C896" s="9">
        <f>IFERROR(__xludf.DUMMYFUNCTION("""COMPUTED_VALUE"""),"CE DOUTOR VICENTE DE MORAES")</f>
      </c>
      <c r="D896" s="10">
        <f>IFERROR(__xludf.DUMMYFUNCTION("""COMPUTED_VALUE"""),0.8817)</f>
      </c>
      <c r="E896" s="10">
        <f>IFERROR(__xludf.DUMMYFUNCTION("""COMPUTED_VALUE"""),0.2264)</f>
      </c>
      <c r="F896" s="10">
        <f>IFERROR(__xludf.DUMMYFUNCTION("""COMPUTED_VALUE"""),0.9462)</f>
      </c>
      <c r="G896" s="10">
        <f>IFERROR(__xludf.DUMMYFUNCTION("""COMPUTED_VALUE"""),0.1148)</f>
      </c>
    </row>
    <row x14ac:dyDescent="0.25" r="897" customHeight="1" ht="15.75">
      <c r="A897" s="8">
        <f>IFERROR(__xludf.DUMMYFUNCTION("""COMPUTED_VALUE"""),25208.0)</f>
      </c>
      <c r="B897" s="9">
        <f>IFERROR(__xludf.DUMMYFUNCTION("""COMPUTED_VALUE"""),"SERRANA II")</f>
      </c>
      <c r="C897" s="9">
        <f>IFERROR(__xludf.DUMMYFUNCTION("""COMPUTED_VALUE"""),"CE EDUARDO BREDER")</f>
      </c>
      <c r="D897" s="10">
        <f>IFERROR(__xludf.DUMMYFUNCTION("""COMPUTED_VALUE"""),0.9417)</f>
      </c>
      <c r="E897" s="10">
        <f>IFERROR(__xludf.DUMMYFUNCTION("""COMPUTED_VALUE"""),0.2382)</f>
      </c>
      <c r="F897" s="10">
        <f>IFERROR(__xludf.DUMMYFUNCTION("""COMPUTED_VALUE"""),0.6505)</f>
      </c>
      <c r="G897" s="10">
        <f>IFERROR(__xludf.DUMMYFUNCTION("""COMPUTED_VALUE"""),0.2125)</f>
      </c>
    </row>
    <row x14ac:dyDescent="0.25" r="898" customHeight="1" ht="15.75">
      <c r="A898" s="8">
        <f>IFERROR(__xludf.DUMMYFUNCTION("""COMPUTED_VALUE"""),25209.0)</f>
      </c>
      <c r="B898" s="9">
        <f>IFERROR(__xludf.DUMMYFUNCTION("""COMPUTED_VALUE"""),"SERRANA II")</f>
      </c>
      <c r="C898" s="9">
        <f>IFERROR(__xludf.DUMMYFUNCTION("""COMPUTED_VALUE"""),"CE EMILIA ROSCHEMANT")</f>
      </c>
      <c r="D898" s="10">
        <f>IFERROR(__xludf.DUMMYFUNCTION("""COMPUTED_VALUE"""),0.9292)</f>
      </c>
      <c r="E898" s="10">
        <f>IFERROR(__xludf.DUMMYFUNCTION("""COMPUTED_VALUE"""),0.2819)</f>
      </c>
      <c r="F898" s="10">
        <f>IFERROR(__xludf.DUMMYFUNCTION("""COMPUTED_VALUE"""),0.7876)</f>
      </c>
      <c r="G898" s="10">
        <f>IFERROR(__xludf.DUMMYFUNCTION("""COMPUTED_VALUE"""),0.2423)</f>
      </c>
    </row>
    <row x14ac:dyDescent="0.25" r="899" customHeight="1" ht="15.75">
      <c r="A899" s="8">
        <f>IFERROR(__xludf.DUMMYFUNCTION("""COMPUTED_VALUE"""),25210.0)</f>
      </c>
      <c r="B899" s="9">
        <f>IFERROR(__xludf.DUMMYFUNCTION("""COMPUTED_VALUE"""),"SERRANA II")</f>
      </c>
      <c r="C899" s="9">
        <f>IFERROR(__xludf.DUMMYFUNCTION("""COMPUTED_VALUE"""),"CE ETELVINA SCHOTTZ")</f>
      </c>
      <c r="D899" s="10">
        <f>IFERROR(__xludf.DUMMYFUNCTION("""COMPUTED_VALUE"""),0.7407)</f>
      </c>
      <c r="E899" s="10">
        <f>IFERROR(__xludf.DUMMYFUNCTION("""COMPUTED_VALUE"""),0.2448)</f>
      </c>
      <c r="F899" s="10">
        <f>IFERROR(__xludf.DUMMYFUNCTION("""COMPUTED_VALUE"""),0.7778)</f>
      </c>
      <c r="G899" s="10">
        <f>IFERROR(__xludf.DUMMYFUNCTION("""COMPUTED_VALUE"""),0.1956)</f>
      </c>
    </row>
    <row x14ac:dyDescent="0.25" r="900" customHeight="1" ht="15.75">
      <c r="A900" s="8">
        <f>IFERROR(__xludf.DUMMYFUNCTION("""COMPUTED_VALUE"""),25198.0)</f>
      </c>
      <c r="B900" s="9">
        <f>IFERROR(__xludf.DUMMYFUNCTION("""COMPUTED_VALUE"""),"SERRANA II")</f>
      </c>
      <c r="C900" s="9">
        <f>IFERROR(__xludf.DUMMYFUNCTION("""COMPUTED_VALUE"""),"CE FARMACEUTICO RODOLFO ALBINO")</f>
      </c>
      <c r="D900" s="10">
        <f>IFERROR(__xludf.DUMMYFUNCTION("""COMPUTED_VALUE"""),0.9306)</f>
      </c>
      <c r="E900" s="10">
        <f>IFERROR(__xludf.DUMMYFUNCTION("""COMPUTED_VALUE"""),0.2638)</f>
      </c>
      <c r="F900" s="10">
        <f>IFERROR(__xludf.DUMMYFUNCTION("""COMPUTED_VALUE"""),0.9333)</f>
      </c>
      <c r="G900" s="10">
        <f>IFERROR(__xludf.DUMMYFUNCTION("""COMPUTED_VALUE"""),0.2198)</f>
      </c>
    </row>
    <row x14ac:dyDescent="0.25" r="901" customHeight="1" ht="15.75">
      <c r="A901" s="8">
        <f>IFERROR(__xludf.DUMMYFUNCTION("""COMPUTED_VALUE"""),25176.0)</f>
      </c>
      <c r="B901" s="9">
        <f>IFERROR(__xludf.DUMMYFUNCTION("""COMPUTED_VALUE"""),"SERRANA II")</f>
      </c>
      <c r="C901" s="9">
        <f>IFERROR(__xludf.DUMMYFUNCTION("""COMPUTED_VALUE"""),"CE FRANCISCO VARELLA")</f>
      </c>
      <c r="D901" s="10">
        <f>IFERROR(__xludf.DUMMYFUNCTION("""COMPUTED_VALUE"""),0.8261)</f>
      </c>
      <c r="E901" s="10">
        <f>IFERROR(__xludf.DUMMYFUNCTION("""COMPUTED_VALUE"""),0.2355)</f>
      </c>
      <c r="F901" s="10">
        <f>IFERROR(__xludf.DUMMYFUNCTION("""COMPUTED_VALUE"""),0.75)</f>
      </c>
      <c r="G901" s="10">
        <f>IFERROR(__xludf.DUMMYFUNCTION("""COMPUTED_VALUE"""),0.2015)</f>
      </c>
    </row>
    <row x14ac:dyDescent="0.25" r="902" customHeight="1" ht="15.75">
      <c r="A902" s="8">
        <f>IFERROR(__xludf.DUMMYFUNCTION("""COMPUTED_VALUE"""),25183.0)</f>
      </c>
      <c r="B902" s="9">
        <f>IFERROR(__xludf.DUMMYFUNCTION("""COMPUTED_VALUE"""),"SERRANA II")</f>
      </c>
      <c r="C902" s="9">
        <f>IFERROR(__xludf.DUMMYFUNCTION("""COMPUTED_VALUE"""),"CE INDAIAÇU")</f>
      </c>
      <c r="D902" s="10">
        <f>IFERROR(__xludf.DUMMYFUNCTION("""COMPUTED_VALUE"""),0.9259)</f>
      </c>
      <c r="E902" s="10">
        <f>IFERROR(__xludf.DUMMYFUNCTION("""COMPUTED_VALUE"""),0.2215)</f>
      </c>
      <c r="F902" s="10">
        <f>IFERROR(__xludf.DUMMYFUNCTION("""COMPUTED_VALUE"""),0.7037)</f>
      </c>
      <c r="G902" s="10">
        <f>IFERROR(__xludf.DUMMYFUNCTION("""COMPUTED_VALUE"""),0.217)</f>
      </c>
    </row>
    <row x14ac:dyDescent="0.25" r="903" customHeight="1" ht="15.75">
      <c r="A903" s="8">
        <f>IFERROR(__xludf.DUMMYFUNCTION("""COMPUTED_VALUE"""),25226.0)</f>
      </c>
      <c r="B903" s="9">
        <f>IFERROR(__xludf.DUMMYFUNCTION("""COMPUTED_VALUE"""),"SERRANA II")</f>
      </c>
      <c r="C903" s="9">
        <f>IFERROR(__xludf.DUMMYFUNCTION("""COMPUTED_VALUE"""),"CE JANUARIO DE TOLEDO PIZZA")</f>
      </c>
      <c r="D903" s="10">
        <f>IFERROR(__xludf.DUMMYFUNCTION("""COMPUTED_VALUE"""),1.0)</f>
      </c>
      <c r="E903" s="10">
        <f>IFERROR(__xludf.DUMMYFUNCTION("""COMPUTED_VALUE"""),0.2599)</f>
      </c>
      <c r="F903" s="10">
        <f>IFERROR(__xludf.DUMMYFUNCTION("""COMPUTED_VALUE"""),0.7632)</f>
      </c>
      <c r="G903" s="10">
        <f>IFERROR(__xludf.DUMMYFUNCTION("""COMPUTED_VALUE"""),0.2362)</f>
      </c>
    </row>
    <row x14ac:dyDescent="0.25" r="904" customHeight="1" ht="15.75">
      <c r="A904" s="8">
        <f>IFERROR(__xludf.DUMMYFUNCTION("""COMPUTED_VALUE"""),25172.0)</f>
      </c>
      <c r="B904" s="9">
        <f>IFERROR(__xludf.DUMMYFUNCTION("""COMPUTED_VALUE"""),"SERRANA II")</f>
      </c>
      <c r="C904" s="9">
        <f>IFERROR(__xludf.DUMMYFUNCTION("""COMPUTED_VALUE"""),"CE JOAO DE ABREU JUNIOR")</f>
      </c>
      <c r="D904" s="10">
        <f>IFERROR(__xludf.DUMMYFUNCTION("""COMPUTED_VALUE"""),0.9167)</f>
      </c>
      <c r="E904" s="10">
        <f>IFERROR(__xludf.DUMMYFUNCTION("""COMPUTED_VALUE"""),0.2573)</f>
      </c>
      <c r="F904" s="10">
        <f>IFERROR(__xludf.DUMMYFUNCTION("""COMPUTED_VALUE"""),0.8333)</f>
      </c>
      <c r="G904" s="10">
        <f>IFERROR(__xludf.DUMMYFUNCTION("""COMPUTED_VALUE"""),0.2079)</f>
      </c>
    </row>
    <row x14ac:dyDescent="0.25" r="905" customHeight="1" ht="15.75">
      <c r="A905" s="8">
        <f>IFERROR(__xludf.DUMMYFUNCTION("""COMPUTED_VALUE"""),25233.0)</f>
      </c>
      <c r="B905" s="9">
        <f>IFERROR(__xludf.DUMMYFUNCTION("""COMPUTED_VALUE"""),"SERRANA II")</f>
      </c>
      <c r="C905" s="9">
        <f>IFERROR(__xludf.DUMMYFUNCTION("""COMPUTED_VALUE"""),"CE JOAO DE MORAES MARTINS")</f>
      </c>
      <c r="D905" s="10">
        <f>IFERROR(__xludf.DUMMYFUNCTION("""COMPUTED_VALUE"""),1.0)</f>
      </c>
      <c r="E905" s="10">
        <f>IFERROR(__xludf.DUMMYFUNCTION("""COMPUTED_VALUE"""),0.2506)</f>
      </c>
      <c r="F905" s="10">
        <f>IFERROR(__xludf.DUMMYFUNCTION("""COMPUTED_VALUE"""),0.75)</f>
      </c>
      <c r="G905" s="10">
        <f>IFERROR(__xludf.DUMMYFUNCTION("""COMPUTED_VALUE"""),0.2192)</f>
      </c>
    </row>
    <row x14ac:dyDescent="0.25" r="906" customHeight="1" ht="15.75">
      <c r="A906" s="8">
        <f>IFERROR(__xludf.DUMMYFUNCTION("""COMPUTED_VALUE"""),25227.0)</f>
      </c>
      <c r="B906" s="9">
        <f>IFERROR(__xludf.DUMMYFUNCTION("""COMPUTED_VALUE"""),"SERRANA II")</f>
      </c>
      <c r="C906" s="9">
        <f>IFERROR(__xludf.DUMMYFUNCTION("""COMPUTED_VALUE"""),"CE JOSE CARDOSO DE MORAES")</f>
      </c>
      <c r="D906" s="10">
        <f>IFERROR(__xludf.DUMMYFUNCTION("""COMPUTED_VALUE"""),0.9565)</f>
      </c>
      <c r="E906" s="10">
        <f>IFERROR(__xludf.DUMMYFUNCTION("""COMPUTED_VALUE"""),0.2763)</f>
      </c>
      <c r="F906" s="10">
        <f>IFERROR(__xludf.DUMMYFUNCTION("""COMPUTED_VALUE"""),1.0)</f>
      </c>
      <c r="G906" s="10">
        <f>IFERROR(__xludf.DUMMYFUNCTION("""COMPUTED_VALUE"""),0.1967)</f>
      </c>
    </row>
    <row x14ac:dyDescent="0.25" r="907" customHeight="1" ht="15.75">
      <c r="A907" s="8">
        <f>IFERROR(__xludf.DUMMYFUNCTION("""COMPUTED_VALUE"""),25199.0)</f>
      </c>
      <c r="B907" s="9">
        <f>IFERROR(__xludf.DUMMYFUNCTION("""COMPUTED_VALUE"""),"SERRANA II")</f>
      </c>
      <c r="C907" s="9">
        <f>IFERROR(__xludf.DUMMYFUNCTION("""COMPUTED_VALUE"""),"CE JOSE CARLOS BOARETTO")</f>
      </c>
      <c r="D907" s="10">
        <f>IFERROR(__xludf.DUMMYFUNCTION("""COMPUTED_VALUE"""),0.7293)</f>
      </c>
      <c r="E907" s="10">
        <f>IFERROR(__xludf.DUMMYFUNCTION("""COMPUTED_VALUE"""),0.2612)</f>
      </c>
      <c r="F907" s="10">
        <f>IFERROR(__xludf.DUMMYFUNCTION("""COMPUTED_VALUE"""),0.7293)</f>
      </c>
      <c r="G907" s="10">
        <f>IFERROR(__xludf.DUMMYFUNCTION("""COMPUTED_VALUE"""),0.2145)</f>
      </c>
    </row>
    <row x14ac:dyDescent="0.25" r="908" customHeight="1" ht="15.75">
      <c r="A908" s="8">
        <f>IFERROR(__xludf.DUMMYFUNCTION("""COMPUTED_VALUE"""),25211.0)</f>
      </c>
      <c r="B908" s="9">
        <f>IFERROR(__xludf.DUMMYFUNCTION("""COMPUTED_VALUE"""),"SERRANA II")</f>
      </c>
      <c r="C908" s="9">
        <f>IFERROR(__xludf.DUMMYFUNCTION("""COMPUTED_VALUE"""),"CE JOSE MARTINS DA COSTA")</f>
      </c>
      <c r="D908" s="10">
        <f>IFERROR(__xludf.DUMMYFUNCTION("""COMPUTED_VALUE"""),0.913)</f>
      </c>
      <c r="E908" s="10">
        <f>IFERROR(__xludf.DUMMYFUNCTION("""COMPUTED_VALUE"""),0.3196)</f>
      </c>
      <c r="F908" s="10">
        <f>IFERROR(__xludf.DUMMYFUNCTION("""COMPUTED_VALUE"""),0.6087)</f>
      </c>
      <c r="G908" s="10">
        <f>IFERROR(__xludf.DUMMYFUNCTION("""COMPUTED_VALUE"""),0.2371)</f>
      </c>
    </row>
    <row x14ac:dyDescent="0.25" r="909" customHeight="1" ht="15.75">
      <c r="A909" s="8">
        <f>IFERROR(__xludf.DUMMYFUNCTION("""COMPUTED_VALUE"""),25212.0)</f>
      </c>
      <c r="B909" s="9">
        <f>IFERROR(__xludf.DUMMYFUNCTION("""COMPUTED_VALUE"""),"SERRANA II")</f>
      </c>
      <c r="C909" s="9">
        <f>IFERROR(__xludf.DUMMYFUNCTION("""COMPUTED_VALUE"""),"CE JULIO SALUSSE")</f>
      </c>
      <c r="D909" s="10">
        <f>IFERROR(__xludf.DUMMYFUNCTION("""COMPUTED_VALUE"""),0.8162)</f>
      </c>
      <c r="E909" s="10">
        <f>IFERROR(__xludf.DUMMYFUNCTION("""COMPUTED_VALUE"""),0.2438)</f>
      </c>
      <c r="F909" s="10">
        <f>IFERROR(__xludf.DUMMYFUNCTION("""COMPUTED_VALUE"""),0.8456)</f>
      </c>
      <c r="G909" s="10">
        <f>IFERROR(__xludf.DUMMYFUNCTION("""COMPUTED_VALUE"""),0.2188)</f>
      </c>
    </row>
    <row x14ac:dyDescent="0.25" r="910" customHeight="1" ht="15.75">
      <c r="A910" s="8">
        <f>IFERROR(__xludf.DUMMYFUNCTION("""COMPUTED_VALUE"""),25157.0)</f>
      </c>
      <c r="B910" s="9">
        <f>IFERROR(__xludf.DUMMYFUNCTION("""COMPUTED_VALUE"""),"SERRANA II")</f>
      </c>
      <c r="C910" s="9">
        <f>IFERROR(__xludf.DUMMYFUNCTION("""COMPUTED_VALUE"""),"CE LEOPOLDO OSCAR STUTZ")</f>
      </c>
      <c r="D910" s="10">
        <f>IFERROR(__xludf.DUMMYFUNCTION("""COMPUTED_VALUE"""),1.0)</f>
      </c>
      <c r="E910" s="10">
        <f>IFERROR(__xludf.DUMMYFUNCTION("""COMPUTED_VALUE"""),0.2894)</f>
      </c>
      <c r="F910" s="10">
        <f>IFERROR(__xludf.DUMMYFUNCTION("""COMPUTED_VALUE"""),0.6825)</f>
      </c>
      <c r="G910" s="10">
        <f>IFERROR(__xludf.DUMMYFUNCTION("""COMPUTED_VALUE"""),0.2281)</f>
      </c>
    </row>
    <row x14ac:dyDescent="0.25" r="911" customHeight="1" ht="15.75">
      <c r="A911" s="8">
        <f>IFERROR(__xludf.DUMMYFUNCTION("""COMPUTED_VALUE"""),25235.0)</f>
      </c>
      <c r="B911" s="9">
        <f>IFERROR(__xludf.DUMMYFUNCTION("""COMPUTED_VALUE"""),"SERRANA II")</f>
      </c>
      <c r="C911" s="9">
        <f>IFERROR(__xludf.DUMMYFUNCTION("""COMPUTED_VALUE"""),"CE MARIA MARINA PINTO SILVA")</f>
      </c>
      <c r="D911" s="10">
        <f>IFERROR(__xludf.DUMMYFUNCTION("""COMPUTED_VALUE"""),0.9153)</f>
      </c>
      <c r="E911" s="10">
        <f>IFERROR(__xludf.DUMMYFUNCTION("""COMPUTED_VALUE"""),0.2545)</f>
      </c>
      <c r="F911" s="10">
        <f>IFERROR(__xludf.DUMMYFUNCTION("""COMPUTED_VALUE"""),0.7458)</f>
      </c>
      <c r="G911" s="10">
        <f>IFERROR(__xludf.DUMMYFUNCTION("""COMPUTED_VALUE"""),0.2149)</f>
      </c>
    </row>
    <row x14ac:dyDescent="0.25" r="912" customHeight="1" ht="15.75">
      <c r="A912" s="8">
        <f>IFERROR(__xludf.DUMMYFUNCTION("""COMPUTED_VALUE"""),25195.0)</f>
      </c>
      <c r="B912" s="9">
        <f>IFERROR(__xludf.DUMMYFUNCTION("""COMPUTED_VALUE"""),"SERRANA II")</f>
      </c>
      <c r="C912" s="9">
        <f>IFERROR(__xludf.DUMMYFUNCTION("""COMPUTED_VALUE"""),"CE MARIA ROSA TEIXEIRA")</f>
      </c>
      <c r="D912" s="10">
        <f>IFERROR(__xludf.DUMMYFUNCTION("""COMPUTED_VALUE"""),0.902)</f>
      </c>
      <c r="E912" s="10">
        <f>IFERROR(__xludf.DUMMYFUNCTION("""COMPUTED_VALUE"""),0.282)</f>
      </c>
      <c r="F912" s="10">
        <f>IFERROR(__xludf.DUMMYFUNCTION("""COMPUTED_VALUE"""),0.8235)</f>
      </c>
      <c r="G912" s="10">
        <f>IFERROR(__xludf.DUMMYFUNCTION("""COMPUTED_VALUE"""),0.2284)</f>
      </c>
    </row>
    <row x14ac:dyDescent="0.25" r="913" customHeight="1" ht="15.75">
      <c r="A913" s="8">
        <f>IFERROR(__xludf.DUMMYFUNCTION("""COMPUTED_VALUE"""),25162.0)</f>
      </c>
      <c r="B913" s="9">
        <f>IFERROR(__xludf.DUMMYFUNCTION("""COMPUTED_VALUE"""),"SERRANA II")</f>
      </c>
      <c r="C913" s="9">
        <f>IFERROR(__xludf.DUMMYFUNCTION("""COMPUTED_VALUE"""),"CE MARIA VERALBA FERRAZ")</f>
      </c>
      <c r="D913" s="10">
        <f>IFERROR(__xludf.DUMMYFUNCTION("""COMPUTED_VALUE"""),0.9568)</f>
      </c>
      <c r="E913" s="10">
        <f>IFERROR(__xludf.DUMMYFUNCTION("""COMPUTED_VALUE"""),0.2004)</f>
      </c>
      <c r="F913" s="10">
        <f>IFERROR(__xludf.DUMMYFUNCTION("""COMPUTED_VALUE"""),0.8489)</f>
      </c>
      <c r="G913" s="10">
        <f>IFERROR(__xludf.DUMMYFUNCTION("""COMPUTED_VALUE"""),0.1837)</f>
      </c>
    </row>
    <row x14ac:dyDescent="0.25" r="914" customHeight="1" ht="15.75">
      <c r="A914" s="8">
        <f>IFERROR(__xludf.DUMMYFUNCTION("""COMPUTED_VALUE"""),25213.0)</f>
      </c>
      <c r="B914" s="9">
        <f>IFERROR(__xludf.DUMMYFUNCTION("""COMPUTED_VALUE"""),"SERRANA II")</f>
      </c>
      <c r="C914" s="9">
        <f>IFERROR(__xludf.DUMMYFUNCTION("""COMPUTED_VALUE"""),"CE PADRE FRANCA")</f>
      </c>
      <c r="D914" s="10">
        <f>IFERROR(__xludf.DUMMYFUNCTION("""COMPUTED_VALUE"""),0.8704)</f>
      </c>
      <c r="E914" s="10">
        <f>IFERROR(__xludf.DUMMYFUNCTION("""COMPUTED_VALUE"""),0.3213)</f>
      </c>
      <c r="F914" s="10">
        <f>IFERROR(__xludf.DUMMYFUNCTION("""COMPUTED_VALUE"""),0.6852)</f>
      </c>
      <c r="G914" s="10">
        <f>IFERROR(__xludf.DUMMYFUNCTION("""COMPUTED_VALUE"""),0.2417)</f>
      </c>
    </row>
    <row x14ac:dyDescent="0.25" r="915" customHeight="1" ht="15.75">
      <c r="A915" s="8">
        <f>IFERROR(__xludf.DUMMYFUNCTION("""COMPUTED_VALUE"""),25214.0)</f>
      </c>
      <c r="B915" s="9">
        <f>IFERROR(__xludf.DUMMYFUNCTION("""COMPUTED_VALUE"""),"SERRANA II")</f>
      </c>
      <c r="C915" s="9">
        <f>IFERROR(__xludf.DUMMYFUNCTION("""COMPUTED_VALUE"""),"CE PADRE MADUREIRA")</f>
      </c>
      <c r="D915" s="10">
        <f>IFERROR(__xludf.DUMMYFUNCTION("""COMPUTED_VALUE"""),0.8889)</f>
      </c>
      <c r="E915" s="10">
        <f>IFERROR(__xludf.DUMMYFUNCTION("""COMPUTED_VALUE"""),0.2673)</f>
      </c>
      <c r="F915" s="10">
        <f>IFERROR(__xludf.DUMMYFUNCTION("""COMPUTED_VALUE"""),0.9259)</f>
      </c>
      <c r="G915" s="10">
        <f>IFERROR(__xludf.DUMMYFUNCTION("""COMPUTED_VALUE"""),0.2196)</f>
      </c>
    </row>
    <row x14ac:dyDescent="0.25" r="916" customHeight="1" ht="15.75">
      <c r="A916" s="8">
        <f>IFERROR(__xludf.DUMMYFUNCTION("""COMPUTED_VALUE"""),25178.0)</f>
      </c>
      <c r="B916" s="9">
        <f>IFERROR(__xludf.DUMMYFUNCTION("""COMPUTED_VALUE"""),"SERRANA II")</f>
      </c>
      <c r="C916" s="9">
        <f>IFERROR(__xludf.DUMMYFUNCTION("""COMPUTED_VALUE"""),"CE PROFESSOR AURELIO DUARTE")</f>
      </c>
      <c r="D916" s="10">
        <f>IFERROR(__xludf.DUMMYFUNCTION("""COMPUTED_VALUE"""),0.5938)</f>
      </c>
      <c r="E916" s="10">
        <f>IFERROR(__xludf.DUMMYFUNCTION("""COMPUTED_VALUE"""),0.2547)</f>
      </c>
      <c r="F916" s="10">
        <f>IFERROR(__xludf.DUMMYFUNCTION("""COMPUTED_VALUE"""),0.8646)</f>
      </c>
      <c r="G916" s="10">
        <f>IFERROR(__xludf.DUMMYFUNCTION("""COMPUTED_VALUE"""),0.2303)</f>
      </c>
    </row>
    <row x14ac:dyDescent="0.25" r="917" customHeight="1" ht="15.75">
      <c r="A917" s="8">
        <f>IFERROR(__xludf.DUMMYFUNCTION("""COMPUTED_VALUE"""),25215.0)</f>
      </c>
      <c r="B917" s="9">
        <f>IFERROR(__xludf.DUMMYFUNCTION("""COMPUTED_VALUE"""),"SERRANA II")</f>
      </c>
      <c r="C917" s="9">
        <f>IFERROR(__xludf.DUMMYFUNCTION("""COMPUTED_VALUE"""),"CE PROFESSOR CARLOS CORTES")</f>
      </c>
      <c r="D917" s="10">
        <f>IFERROR(__xludf.DUMMYFUNCTION("""COMPUTED_VALUE"""),1.0)</f>
      </c>
      <c r="E917" s="10">
        <f>IFERROR(__xludf.DUMMYFUNCTION("""COMPUTED_VALUE"""),0.2421)</f>
      </c>
      <c r="F917" s="10">
        <f>IFERROR(__xludf.DUMMYFUNCTION("""COMPUTED_VALUE"""),0.9412)</f>
      </c>
      <c r="G917" s="10">
        <f>IFERROR(__xludf.DUMMYFUNCTION("""COMPUTED_VALUE"""),0.2406)</f>
      </c>
    </row>
    <row x14ac:dyDescent="0.25" r="918" customHeight="1" ht="15.75">
      <c r="A918" s="8">
        <f>IFERROR(__xludf.DUMMYFUNCTION("""COMPUTED_VALUE"""),25216.0)</f>
      </c>
      <c r="B918" s="9">
        <f>IFERROR(__xludf.DUMMYFUNCTION("""COMPUTED_VALUE"""),"SERRANA II")</f>
      </c>
      <c r="C918" s="9">
        <f>IFERROR(__xludf.DUMMYFUNCTION("""COMPUTED_VALUE"""),"CE PROFESSOR JAMIL EL JAICK")</f>
      </c>
      <c r="D918" s="10">
        <f>IFERROR(__xludf.DUMMYFUNCTION("""COMPUTED_VALUE"""),0.9145)</f>
      </c>
      <c r="E918" s="10">
        <f>IFERROR(__xludf.DUMMYFUNCTION("""COMPUTED_VALUE"""),0.1873)</f>
      </c>
      <c r="F918" s="10">
        <f>IFERROR(__xludf.DUMMYFUNCTION("""COMPUTED_VALUE"""),0.5185)</f>
      </c>
      <c r="G918" s="10">
        <f>IFERROR(__xludf.DUMMYFUNCTION("""COMPUTED_VALUE"""),0.2295)</f>
      </c>
    </row>
    <row x14ac:dyDescent="0.25" r="919" customHeight="1" ht="15.75">
      <c r="A919" s="8">
        <f>IFERROR(__xludf.DUMMYFUNCTION("""COMPUTED_VALUE"""),25158.0)</f>
      </c>
      <c r="B919" s="9">
        <f>IFERROR(__xludf.DUMMYFUNCTION("""COMPUTED_VALUE"""),"SERRANA II")</f>
      </c>
      <c r="C919" s="9">
        <f>IFERROR(__xludf.DUMMYFUNCTION("""COMPUTED_VALUE"""),"CE PROFESSOR JOAO BRASIL")</f>
      </c>
      <c r="D919" s="10">
        <f>IFERROR(__xludf.DUMMYFUNCTION("""COMPUTED_VALUE"""),0.8226)</f>
      </c>
      <c r="E919" s="10">
        <f>IFERROR(__xludf.DUMMYFUNCTION("""COMPUTED_VALUE"""),0.2594)</f>
      </c>
      <c r="F919" s="10">
        <f>IFERROR(__xludf.DUMMYFUNCTION("""COMPUTED_VALUE"""),0.9194)</f>
      </c>
      <c r="G919" s="10">
        <f>IFERROR(__xludf.DUMMYFUNCTION("""COMPUTED_VALUE"""),0.2204)</f>
      </c>
    </row>
    <row x14ac:dyDescent="0.25" r="920" customHeight="1" ht="15.75">
      <c r="A920" s="8">
        <f>IFERROR(__xludf.DUMMYFUNCTION("""COMPUTED_VALUE"""),25184.0)</f>
      </c>
      <c r="B920" s="9">
        <f>IFERROR(__xludf.DUMMYFUNCTION("""COMPUTED_VALUE"""),"SERRANA II")</f>
      </c>
      <c r="C920" s="9">
        <f>IFERROR(__xludf.DUMMYFUNCTION("""COMPUTED_VALUE"""),"CE PROFESSOR SOUZA")</f>
      </c>
      <c r="D920" s="10">
        <f>IFERROR(__xludf.DUMMYFUNCTION("""COMPUTED_VALUE"""),0.9306)</f>
      </c>
      <c r="E920" s="10">
        <f>IFERROR(__xludf.DUMMYFUNCTION("""COMPUTED_VALUE"""),0.2647)</f>
      </c>
      <c r="F920" s="10">
        <f>IFERROR(__xludf.DUMMYFUNCTION("""COMPUTED_VALUE"""),0.8472)</f>
      </c>
      <c r="G920" s="10">
        <f>IFERROR(__xludf.DUMMYFUNCTION("""COMPUTED_VALUE"""),0.2184)</f>
      </c>
    </row>
    <row x14ac:dyDescent="0.25" r="921" customHeight="1" ht="15.75">
      <c r="A921" s="8">
        <f>IFERROR(__xludf.DUMMYFUNCTION("""COMPUTED_VALUE"""),25217.0)</f>
      </c>
      <c r="B921" s="9">
        <f>IFERROR(__xludf.DUMMYFUNCTION("""COMPUTED_VALUE"""),"SERRANA II")</f>
      </c>
      <c r="C921" s="9">
        <f>IFERROR(__xludf.DUMMYFUNCTION("""COMPUTED_VALUE"""),"CE PROFESSORA ZELIA DOS SANTOS CORTES")</f>
      </c>
      <c r="D921" s="10">
        <f>IFERROR(__xludf.DUMMYFUNCTION("""COMPUTED_VALUE"""),0.6939)</f>
      </c>
      <c r="E921" s="10">
        <f>IFERROR(__xludf.DUMMYFUNCTION("""COMPUTED_VALUE"""),0.3024)</f>
      </c>
      <c r="F921" s="10">
        <f>IFERROR(__xludf.DUMMYFUNCTION("""COMPUTED_VALUE"""),0.551)</f>
      </c>
      <c r="G921" s="10">
        <f>IFERROR(__xludf.DUMMYFUNCTION("""COMPUTED_VALUE"""),0.2276)</f>
      </c>
    </row>
    <row x14ac:dyDescent="0.25" r="922" customHeight="1" ht="15.75">
      <c r="A922" s="8">
        <f>IFERROR(__xludf.DUMMYFUNCTION("""COMPUTED_VALUE"""),25164.0)</f>
      </c>
      <c r="B922" s="9">
        <f>IFERROR(__xludf.DUMMYFUNCTION("""COMPUTED_VALUE"""),"SERRANA II")</f>
      </c>
      <c r="C922" s="9">
        <f>IFERROR(__xludf.DUMMYFUNCTION("""COMPUTED_VALUE"""),"CE QUINTINO BOCAIUVA")</f>
      </c>
      <c r="D922" s="10">
        <f>IFERROR(__xludf.DUMMYFUNCTION("""COMPUTED_VALUE"""),0.6243)</f>
      </c>
      <c r="E922" s="10">
        <f>IFERROR(__xludf.DUMMYFUNCTION("""COMPUTED_VALUE"""),0.2297)</f>
      </c>
      <c r="F922" s="10">
        <f>IFERROR(__xludf.DUMMYFUNCTION("""COMPUTED_VALUE"""),0.7422)</f>
      </c>
      <c r="G922" s="10">
        <f>IFERROR(__xludf.DUMMYFUNCTION("""COMPUTED_VALUE"""),0.2067)</f>
      </c>
    </row>
    <row x14ac:dyDescent="0.25" r="923" customHeight="1" ht="15.75">
      <c r="A923" s="8">
        <f>IFERROR(__xludf.DUMMYFUNCTION("""COMPUTED_VALUE"""),25159.0)</f>
      </c>
      <c r="B923" s="9">
        <f>IFERROR(__xludf.DUMMYFUNCTION("""COMPUTED_VALUE"""),"SERRANA II")</f>
      </c>
      <c r="C923" s="9">
        <f>IFERROR(__xludf.DUMMYFUNCTION("""COMPUTED_VALUE"""),"CE RAMIRO BRAGA")</f>
      </c>
      <c r="D923" s="10">
        <f>IFERROR(__xludf.DUMMYFUNCTION("""COMPUTED_VALUE"""),0.973)</f>
      </c>
      <c r="E923" s="10">
        <f>IFERROR(__xludf.DUMMYFUNCTION("""COMPUTED_VALUE"""),0.2669)</f>
      </c>
      <c r="F923" s="10">
        <f>IFERROR(__xludf.DUMMYFUNCTION("""COMPUTED_VALUE"""),0.7703)</f>
      </c>
      <c r="G923" s="10">
        <f>IFERROR(__xludf.DUMMYFUNCTION("""COMPUTED_VALUE"""),0.2128)</f>
      </c>
    </row>
    <row x14ac:dyDescent="0.25" r="924" customHeight="1" ht="15.75">
      <c r="A924" s="8">
        <f>IFERROR(__xludf.DUMMYFUNCTION("""COMPUTED_VALUE"""),25218.0)</f>
      </c>
      <c r="B924" s="9">
        <f>IFERROR(__xludf.DUMMYFUNCTION("""COMPUTED_VALUE"""),"SERRANA II")</f>
      </c>
      <c r="C924" s="9">
        <f>IFERROR(__xludf.DUMMYFUNCTION("""COMPUTED_VALUE"""),"CE RAPHAEL LUIZ DE SIQUEIRA JACCOUD")</f>
      </c>
      <c r="D924" s="10">
        <f>IFERROR(__xludf.DUMMYFUNCTION("""COMPUTED_VALUE"""),0.9231)</f>
      </c>
      <c r="E924" s="10">
        <f>IFERROR(__xludf.DUMMYFUNCTION("""COMPUTED_VALUE"""),0.2826)</f>
      </c>
      <c r="F924" s="10">
        <f>IFERROR(__xludf.DUMMYFUNCTION("""COMPUTED_VALUE"""),0.8462)</f>
      </c>
      <c r="G924" s="10">
        <f>IFERROR(__xludf.DUMMYFUNCTION("""COMPUTED_VALUE"""),0.2148)</f>
      </c>
    </row>
    <row x14ac:dyDescent="0.25" r="925" customHeight="1" ht="15.75">
      <c r="A925" s="8">
        <f>IFERROR(__xludf.DUMMYFUNCTION("""COMPUTED_VALUE"""),25185.0)</f>
      </c>
      <c r="B925" s="9">
        <f>IFERROR(__xludf.DUMMYFUNCTION("""COMPUTED_VALUE"""),"SERRANA II")</f>
      </c>
      <c r="C925" s="9">
        <f>IFERROR(__xludf.DUMMYFUNCTION("""COMPUTED_VALUE"""),"CE RIO DOURADO")</f>
      </c>
      <c r="D925" s="10">
        <f>IFERROR(__xludf.DUMMYFUNCTION("""COMPUTED_VALUE"""),0.8989)</f>
      </c>
      <c r="E925" s="10">
        <f>IFERROR(__xludf.DUMMYFUNCTION("""COMPUTED_VALUE"""),0.2586)</f>
      </c>
      <c r="F925" s="10">
        <f>IFERROR(__xludf.DUMMYFUNCTION("""COMPUTED_VALUE"""),0.7978)</f>
      </c>
      <c r="G925" s="10">
        <f>IFERROR(__xludf.DUMMYFUNCTION("""COMPUTED_VALUE"""),0.2126)</f>
      </c>
    </row>
    <row x14ac:dyDescent="0.25" r="926" customHeight="1" ht="15.75">
      <c r="A926" s="8">
        <f>IFERROR(__xludf.DUMMYFUNCTION("""COMPUTED_VALUE"""),25219.0)</f>
      </c>
      <c r="B926" s="9">
        <f>IFERROR(__xludf.DUMMYFUNCTION("""COMPUTED_VALUE"""),"SERRANA II")</f>
      </c>
      <c r="C926" s="9">
        <f>IFERROR(__xludf.DUMMYFUNCTION("""COMPUTED_VALUE"""),"CE SALUSTIANO JOSE RIBEIRO SERAFIM")</f>
      </c>
      <c r="D926" s="10">
        <f>IFERROR(__xludf.DUMMYFUNCTION("""COMPUTED_VALUE"""),0.8904)</f>
      </c>
      <c r="E926" s="10">
        <f>IFERROR(__xludf.DUMMYFUNCTION("""COMPUTED_VALUE"""),0.2905)</f>
      </c>
      <c r="F926" s="10">
        <f>IFERROR(__xludf.DUMMYFUNCTION("""COMPUTED_VALUE"""),0.7397)</f>
      </c>
      <c r="G926" s="10">
        <f>IFERROR(__xludf.DUMMYFUNCTION("""COMPUTED_VALUE"""),0.2426)</f>
      </c>
    </row>
    <row x14ac:dyDescent="0.25" r="927" customHeight="1" ht="15.75">
      <c r="A927" s="8">
        <f>IFERROR(__xludf.DUMMYFUNCTION("""COMPUTED_VALUE"""),25186.0)</f>
      </c>
      <c r="B927" s="9">
        <f>IFERROR(__xludf.DUMMYFUNCTION("""COMPUTED_VALUE"""),"SERRANA II")</f>
      </c>
      <c r="C927" s="9">
        <f>IFERROR(__xludf.DUMMYFUNCTION("""COMPUTED_VALUE"""),"CE SANTA MARIA")</f>
      </c>
      <c r="D927" s="10">
        <f>IFERROR(__xludf.DUMMYFUNCTION("""COMPUTED_VALUE"""),0.931)</f>
      </c>
      <c r="E927" s="10">
        <f>IFERROR(__xludf.DUMMYFUNCTION("""COMPUTED_VALUE"""),0.2275)</f>
      </c>
      <c r="F927" s="10">
        <f>IFERROR(__xludf.DUMMYFUNCTION("""COMPUTED_VALUE"""),0.7741)</f>
      </c>
      <c r="G927" s="10">
        <f>IFERROR(__xludf.DUMMYFUNCTION("""COMPUTED_VALUE"""),0.2058)</f>
      </c>
    </row>
    <row x14ac:dyDescent="0.25" r="928" customHeight="1" ht="15.75">
      <c r="A928" s="8">
        <f>IFERROR(__xludf.DUMMYFUNCTION("""COMPUTED_VALUE"""),25165.0)</f>
      </c>
      <c r="B928" s="9">
        <f>IFERROR(__xludf.DUMMYFUNCTION("""COMPUTED_VALUE"""),"SERRANA II")</f>
      </c>
      <c r="C928" s="9">
        <f>IFERROR(__xludf.DUMMYFUNCTION("""COMPUTED_VALUE"""),"CE SAO JOSE")</f>
      </c>
      <c r="D928" s="10">
        <f>IFERROR(__xludf.DUMMYFUNCTION("""COMPUTED_VALUE"""),0.8475)</f>
      </c>
      <c r="E928" s="10">
        <f>IFERROR(__xludf.DUMMYFUNCTION("""COMPUTED_VALUE"""),0.2392)</f>
      </c>
      <c r="F928" s="10">
        <f>IFERROR(__xludf.DUMMYFUNCTION("""COMPUTED_VALUE"""),0.7119)</f>
      </c>
      <c r="G928" s="10">
        <f>IFERROR(__xludf.DUMMYFUNCTION("""COMPUTED_VALUE"""),0.2001)</f>
      </c>
    </row>
    <row x14ac:dyDescent="0.25" r="929" customHeight="1" ht="15.75">
      <c r="A929" s="8"/>
      <c r="B929" s="13"/>
      <c r="C929" s="13"/>
      <c r="D929" s="10"/>
      <c r="E929" s="10"/>
      <c r="F929" s="10"/>
      <c r="G929" s="10"/>
    </row>
    <row x14ac:dyDescent="0.25" r="930" customHeight="1" ht="15.75">
      <c r="A930" s="8"/>
      <c r="B930" s="13"/>
      <c r="C930" s="13"/>
      <c r="D930" s="10"/>
      <c r="E930" s="10"/>
      <c r="F930" s="10"/>
      <c r="G930" s="10"/>
    </row>
    <row x14ac:dyDescent="0.25" r="931" customHeight="1" ht="15.75">
      <c r="A931" s="8"/>
      <c r="B931" s="13"/>
      <c r="C931" s="13"/>
      <c r="D931" s="10"/>
      <c r="E931" s="10"/>
      <c r="F931" s="10"/>
      <c r="G931" s="10"/>
    </row>
    <row x14ac:dyDescent="0.25" r="932" customHeight="1" ht="15.75">
      <c r="A932" s="8"/>
      <c r="B932" s="13"/>
      <c r="C932" s="13"/>
      <c r="D932" s="10"/>
      <c r="E932" s="10"/>
      <c r="F932" s="10"/>
      <c r="G932" s="10"/>
    </row>
    <row x14ac:dyDescent="0.25" r="933" customHeight="1" ht="15.75">
      <c r="A933" s="8"/>
      <c r="B933" s="13"/>
      <c r="C933" s="13"/>
      <c r="D933" s="10"/>
      <c r="E933" s="10"/>
      <c r="F933" s="10"/>
      <c r="G933" s="10"/>
    </row>
    <row x14ac:dyDescent="0.25" r="934" customHeight="1" ht="15.75">
      <c r="A934" s="8"/>
      <c r="B934" s="13"/>
      <c r="C934" s="13"/>
      <c r="D934" s="10"/>
      <c r="E934" s="10"/>
      <c r="F934" s="10"/>
      <c r="G934" s="10"/>
    </row>
    <row x14ac:dyDescent="0.25" r="935" customHeight="1" ht="15.75">
      <c r="A935" s="8"/>
      <c r="B935" s="13"/>
      <c r="C935" s="13"/>
      <c r="D935" s="10"/>
      <c r="E935" s="10"/>
      <c r="F935" s="10"/>
      <c r="G935" s="10"/>
    </row>
    <row x14ac:dyDescent="0.25" r="936" customHeight="1" ht="15.75">
      <c r="A936" s="8"/>
      <c r="B936" s="13"/>
      <c r="C936" s="13"/>
      <c r="D936" s="10"/>
      <c r="E936" s="10"/>
      <c r="F936" s="10"/>
      <c r="G936" s="10"/>
    </row>
    <row x14ac:dyDescent="0.25" r="937" customHeight="1" ht="15.75">
      <c r="A937" s="8"/>
      <c r="B937" s="13"/>
      <c r="C937" s="13"/>
      <c r="D937" s="10"/>
      <c r="E937" s="10"/>
      <c r="F937" s="10"/>
      <c r="G937" s="10"/>
    </row>
    <row x14ac:dyDescent="0.25" r="938" customHeight="1" ht="15.75">
      <c r="A938" s="8"/>
      <c r="B938" s="13"/>
      <c r="C938" s="13"/>
      <c r="D938" s="10"/>
      <c r="E938" s="10"/>
      <c r="F938" s="10"/>
      <c r="G938" s="10"/>
    </row>
    <row x14ac:dyDescent="0.25" r="939" customHeight="1" ht="15.75">
      <c r="A939" s="8"/>
      <c r="B939" s="13"/>
      <c r="C939" s="13"/>
      <c r="D939" s="10"/>
      <c r="E939" s="10"/>
      <c r="F939" s="10"/>
      <c r="G939" s="10"/>
    </row>
    <row x14ac:dyDescent="0.25" r="940" customHeight="1" ht="15.75">
      <c r="A940" s="8"/>
      <c r="B940" s="13"/>
      <c r="C940" s="13"/>
      <c r="D940" s="10"/>
      <c r="E940" s="10"/>
      <c r="F940" s="10"/>
      <c r="G940" s="10"/>
    </row>
    <row x14ac:dyDescent="0.25" r="941" customHeight="1" ht="15.75">
      <c r="A941" s="8"/>
      <c r="B941" s="13"/>
      <c r="C941" s="13"/>
      <c r="D941" s="10"/>
      <c r="E941" s="10"/>
      <c r="F941" s="10"/>
      <c r="G941" s="10"/>
    </row>
    <row x14ac:dyDescent="0.25" r="942" customHeight="1" ht="15.75">
      <c r="A942" s="8"/>
      <c r="B942" s="13"/>
      <c r="C942" s="13"/>
      <c r="D942" s="10"/>
      <c r="E942" s="10"/>
      <c r="F942" s="10"/>
      <c r="G942" s="10"/>
    </row>
    <row x14ac:dyDescent="0.25" r="943" customHeight="1" ht="15.75">
      <c r="A943" s="8"/>
      <c r="B943" s="13"/>
      <c r="C943" s="13"/>
      <c r="D943" s="10"/>
      <c r="E943" s="10"/>
      <c r="F943" s="10"/>
      <c r="G943" s="10"/>
    </row>
    <row x14ac:dyDescent="0.25" r="944" customHeight="1" ht="15.75">
      <c r="A944" s="8"/>
      <c r="B944" s="13"/>
      <c r="C944" s="13"/>
      <c r="D944" s="10"/>
      <c r="E944" s="10"/>
      <c r="F944" s="10"/>
      <c r="G944" s="10"/>
    </row>
    <row x14ac:dyDescent="0.25" r="945" customHeight="1" ht="15.75">
      <c r="A945" s="8"/>
      <c r="B945" s="13"/>
      <c r="C945" s="13"/>
      <c r="D945" s="10"/>
      <c r="E945" s="10"/>
      <c r="F945" s="10"/>
      <c r="G945" s="10"/>
    </row>
    <row x14ac:dyDescent="0.25" r="946" customHeight="1" ht="15.75">
      <c r="A946" s="8"/>
      <c r="B946" s="13"/>
      <c r="C946" s="13"/>
      <c r="D946" s="10"/>
      <c r="E946" s="10"/>
      <c r="F946" s="10"/>
      <c r="G946" s="10"/>
    </row>
    <row x14ac:dyDescent="0.25" r="947" customHeight="1" ht="15.75">
      <c r="A947" s="8"/>
      <c r="B947" s="13"/>
      <c r="C947" s="13"/>
      <c r="D947" s="10"/>
      <c r="E947" s="10"/>
      <c r="F947" s="10"/>
      <c r="G947" s="10"/>
    </row>
    <row x14ac:dyDescent="0.25" r="948" customHeight="1" ht="15.75">
      <c r="A948" s="8"/>
      <c r="B948" s="13"/>
      <c r="C948" s="13"/>
      <c r="D948" s="10"/>
      <c r="E948" s="10"/>
      <c r="F948" s="10"/>
      <c r="G948" s="10"/>
    </row>
    <row x14ac:dyDescent="0.25" r="949" customHeight="1" ht="15.75">
      <c r="A949" s="8"/>
      <c r="B949" s="13"/>
      <c r="C949" s="13"/>
      <c r="D949" s="10"/>
      <c r="E949" s="10"/>
      <c r="F949" s="10"/>
      <c r="G949" s="10"/>
    </row>
    <row x14ac:dyDescent="0.25" r="950" customHeight="1" ht="15.75">
      <c r="A950" s="8"/>
      <c r="B950" s="13"/>
      <c r="C950" s="13"/>
      <c r="D950" s="10"/>
      <c r="E950" s="10"/>
      <c r="F950" s="10"/>
      <c r="G950" s="10"/>
    </row>
    <row x14ac:dyDescent="0.25" r="951" customHeight="1" ht="15.75">
      <c r="A951" s="8"/>
      <c r="B951" s="13"/>
      <c r="C951" s="13"/>
      <c r="D951" s="10"/>
      <c r="E951" s="10"/>
      <c r="F951" s="10"/>
      <c r="G951" s="10"/>
    </row>
    <row x14ac:dyDescent="0.25" r="952" customHeight="1" ht="15.75">
      <c r="A952" s="8"/>
      <c r="B952" s="13"/>
      <c r="C952" s="13"/>
      <c r="D952" s="10"/>
      <c r="E952" s="10"/>
      <c r="F952" s="10"/>
      <c r="G952" s="10"/>
    </row>
    <row x14ac:dyDescent="0.25" r="953" customHeight="1" ht="15.75">
      <c r="A953" s="8"/>
      <c r="B953" s="13"/>
      <c r="C953" s="13"/>
      <c r="D953" s="10"/>
      <c r="E953" s="10"/>
      <c r="F953" s="10"/>
      <c r="G953" s="10"/>
    </row>
    <row x14ac:dyDescent="0.25" r="954" customHeight="1" ht="15.75">
      <c r="A954" s="8"/>
      <c r="B954" s="13"/>
      <c r="C954" s="13"/>
      <c r="D954" s="10"/>
      <c r="E954" s="10"/>
      <c r="F954" s="10"/>
      <c r="G954" s="10"/>
    </row>
    <row x14ac:dyDescent="0.25" r="955" customHeight="1" ht="15.75">
      <c r="A955" s="8"/>
      <c r="B955" s="13"/>
      <c r="C955" s="13"/>
      <c r="D955" s="10"/>
      <c r="E955" s="10"/>
      <c r="F955" s="10"/>
      <c r="G955" s="10"/>
    </row>
    <row x14ac:dyDescent="0.25" r="956" customHeight="1" ht="15.75">
      <c r="A956" s="8"/>
      <c r="B956" s="13"/>
      <c r="C956" s="13"/>
      <c r="D956" s="10"/>
      <c r="E956" s="10"/>
      <c r="F956" s="10"/>
      <c r="G956" s="10"/>
    </row>
    <row x14ac:dyDescent="0.25" r="957" customHeight="1" ht="15.75">
      <c r="A957" s="8"/>
      <c r="B957" s="13"/>
      <c r="C957" s="13"/>
      <c r="D957" s="10"/>
      <c r="E957" s="10"/>
      <c r="F957" s="10"/>
      <c r="G957" s="10"/>
    </row>
    <row x14ac:dyDescent="0.25" r="958" customHeight="1" ht="15.75">
      <c r="A958" s="8"/>
      <c r="B958" s="13"/>
      <c r="C958" s="13"/>
      <c r="D958" s="10"/>
      <c r="E958" s="10"/>
      <c r="F958" s="10"/>
      <c r="G958" s="10"/>
    </row>
    <row x14ac:dyDescent="0.25" r="959" customHeight="1" ht="15.75">
      <c r="A959" s="8"/>
      <c r="B959" s="13"/>
      <c r="C959" s="13"/>
      <c r="D959" s="10"/>
      <c r="E959" s="10"/>
      <c r="F959" s="10"/>
      <c r="G959" s="10"/>
    </row>
    <row x14ac:dyDescent="0.25" r="960" customHeight="1" ht="15.75">
      <c r="A960" s="8"/>
      <c r="B960" s="13"/>
      <c r="C960" s="13"/>
      <c r="D960" s="10"/>
      <c r="E960" s="10"/>
      <c r="F960" s="10"/>
      <c r="G960" s="10"/>
    </row>
    <row x14ac:dyDescent="0.25" r="961" customHeight="1" ht="15.75">
      <c r="A961" s="8"/>
      <c r="B961" s="13"/>
      <c r="C961" s="13"/>
      <c r="D961" s="10"/>
      <c r="E961" s="10"/>
      <c r="F961" s="10"/>
      <c r="G961" s="10"/>
    </row>
    <row x14ac:dyDescent="0.25" r="962" customHeight="1" ht="15.75">
      <c r="A962" s="8"/>
      <c r="B962" s="13"/>
      <c r="C962" s="13"/>
      <c r="D962" s="10"/>
      <c r="E962" s="10"/>
      <c r="F962" s="10"/>
      <c r="G962" s="10"/>
    </row>
    <row x14ac:dyDescent="0.25" r="963" customHeight="1" ht="15.75">
      <c r="A963" s="8"/>
      <c r="B963" s="13"/>
      <c r="C963" s="13"/>
      <c r="D963" s="10"/>
      <c r="E963" s="10"/>
      <c r="F963" s="10"/>
      <c r="G963" s="10"/>
    </row>
    <row x14ac:dyDescent="0.25" r="964" customHeight="1" ht="15.75">
      <c r="A964" s="8"/>
      <c r="B964" s="13"/>
      <c r="C964" s="13"/>
      <c r="D964" s="10"/>
      <c r="E964" s="10"/>
      <c r="F964" s="10"/>
      <c r="G964" s="10"/>
    </row>
    <row x14ac:dyDescent="0.25" r="965" customHeight="1" ht="15.75">
      <c r="A965" s="8"/>
      <c r="B965" s="13"/>
      <c r="C965" s="13"/>
      <c r="D965" s="10"/>
      <c r="E965" s="10"/>
      <c r="F965" s="10"/>
      <c r="G965" s="10"/>
    </row>
    <row x14ac:dyDescent="0.25" r="966" customHeight="1" ht="15.75">
      <c r="A966" s="8"/>
      <c r="B966" s="13"/>
      <c r="C966" s="13"/>
      <c r="D966" s="10"/>
      <c r="E966" s="10"/>
      <c r="F966" s="10"/>
      <c r="G966" s="10"/>
    </row>
    <row x14ac:dyDescent="0.25" r="967" customHeight="1" ht="15.75">
      <c r="A967" s="8"/>
      <c r="B967" s="13"/>
      <c r="C967" s="13"/>
      <c r="D967" s="10"/>
      <c r="E967" s="10"/>
      <c r="F967" s="10"/>
      <c r="G967" s="10"/>
    </row>
    <row x14ac:dyDescent="0.25" r="968" customHeight="1" ht="15.75">
      <c r="A968" s="8"/>
      <c r="B968" s="13"/>
      <c r="C968" s="13"/>
      <c r="D968" s="10"/>
      <c r="E968" s="10"/>
      <c r="F968" s="10"/>
      <c r="G968" s="10"/>
    </row>
    <row x14ac:dyDescent="0.25" r="969" customHeight="1" ht="15.75">
      <c r="A969" s="8"/>
      <c r="B969" s="13"/>
      <c r="C969" s="13"/>
      <c r="D969" s="10"/>
      <c r="E969" s="10"/>
      <c r="F969" s="10"/>
      <c r="G969" s="10"/>
    </row>
    <row x14ac:dyDescent="0.25" r="970" customHeight="1" ht="15.75">
      <c r="A970" s="8"/>
      <c r="B970" s="13"/>
      <c r="C970" s="13"/>
      <c r="D970" s="10"/>
      <c r="E970" s="10"/>
      <c r="F970" s="10"/>
      <c r="G970" s="10"/>
    </row>
    <row x14ac:dyDescent="0.25" r="971" customHeight="1" ht="15.75">
      <c r="A971" s="8"/>
      <c r="B971" s="13"/>
      <c r="C971" s="13"/>
      <c r="D971" s="10"/>
      <c r="E971" s="10"/>
      <c r="F971" s="10"/>
      <c r="G971" s="10"/>
    </row>
    <row x14ac:dyDescent="0.25" r="972" customHeight="1" ht="15.75">
      <c r="A972" s="8"/>
      <c r="B972" s="13"/>
      <c r="C972" s="13"/>
      <c r="D972" s="10"/>
      <c r="E972" s="10"/>
      <c r="F972" s="10"/>
      <c r="G972" s="10"/>
    </row>
    <row x14ac:dyDescent="0.25" r="973" customHeight="1" ht="15.75">
      <c r="A973" s="8"/>
      <c r="B973" s="13"/>
      <c r="C973" s="13"/>
      <c r="D973" s="10"/>
      <c r="E973" s="10"/>
      <c r="F973" s="10"/>
      <c r="G973" s="10"/>
    </row>
    <row x14ac:dyDescent="0.25" r="974" customHeight="1" ht="15.75">
      <c r="A974" s="8"/>
      <c r="B974" s="13"/>
      <c r="C974" s="13"/>
      <c r="D974" s="10"/>
      <c r="E974" s="10"/>
      <c r="F974" s="10"/>
      <c r="G974" s="10"/>
    </row>
    <row x14ac:dyDescent="0.25" r="975" customHeight="1" ht="15.75">
      <c r="A975" s="8"/>
      <c r="B975" s="13"/>
      <c r="C975" s="13"/>
      <c r="D975" s="10"/>
      <c r="E975" s="10"/>
      <c r="F975" s="10"/>
      <c r="G975" s="10"/>
    </row>
    <row x14ac:dyDescent="0.25" r="976" customHeight="1" ht="15.75">
      <c r="A976" s="8"/>
      <c r="B976" s="13"/>
      <c r="C976" s="13"/>
      <c r="D976" s="10"/>
      <c r="E976" s="10"/>
      <c r="F976" s="10"/>
      <c r="G976" s="10"/>
    </row>
    <row x14ac:dyDescent="0.25" r="977" customHeight="1" ht="15.75">
      <c r="A977" s="8"/>
      <c r="B977" s="13"/>
      <c r="C977" s="13"/>
      <c r="D977" s="10"/>
      <c r="E977" s="10"/>
      <c r="F977" s="10"/>
      <c r="G977" s="10"/>
    </row>
    <row x14ac:dyDescent="0.25" r="978" customHeight="1" ht="15.75">
      <c r="A978" s="8"/>
      <c r="B978" s="13"/>
      <c r="C978" s="13"/>
      <c r="D978" s="10"/>
      <c r="E978" s="10"/>
      <c r="F978" s="10"/>
      <c r="G978" s="10"/>
    </row>
    <row x14ac:dyDescent="0.25" r="979" customHeight="1" ht="15.75">
      <c r="A979" s="8"/>
      <c r="B979" s="13"/>
      <c r="C979" s="13"/>
      <c r="D979" s="10"/>
      <c r="E979" s="10"/>
      <c r="F979" s="10"/>
      <c r="G979" s="10"/>
    </row>
    <row x14ac:dyDescent="0.25" r="980" customHeight="1" ht="15.75">
      <c r="A980" s="8"/>
      <c r="B980" s="13"/>
      <c r="C980" s="13"/>
      <c r="D980" s="10"/>
      <c r="E980" s="10"/>
      <c r="F980" s="10"/>
      <c r="G980" s="10"/>
    </row>
    <row x14ac:dyDescent="0.25" r="981" customHeight="1" ht="15.75">
      <c r="A981" s="8"/>
      <c r="B981" s="13"/>
      <c r="C981" s="13"/>
      <c r="D981" s="10"/>
      <c r="E981" s="10"/>
      <c r="F981" s="10"/>
      <c r="G981" s="10"/>
    </row>
    <row x14ac:dyDescent="0.25" r="982" customHeight="1" ht="15.75">
      <c r="A982" s="8"/>
      <c r="B982" s="13"/>
      <c r="C982" s="13"/>
      <c r="D982" s="10"/>
      <c r="E982" s="10"/>
      <c r="F982" s="10"/>
      <c r="G982" s="10"/>
    </row>
    <row x14ac:dyDescent="0.25" r="983" customHeight="1" ht="15.75">
      <c r="A983" s="8"/>
      <c r="B983" s="13"/>
      <c r="C983" s="13"/>
      <c r="D983" s="10"/>
      <c r="E983" s="10"/>
      <c r="F983" s="10"/>
      <c r="G983" s="10"/>
    </row>
    <row x14ac:dyDescent="0.25" r="984" customHeight="1" ht="15.75">
      <c r="A984" s="8"/>
      <c r="B984" s="13"/>
      <c r="C984" s="13"/>
      <c r="D984" s="10"/>
      <c r="E984" s="10"/>
      <c r="F984" s="10"/>
      <c r="G984" s="10"/>
    </row>
    <row x14ac:dyDescent="0.25" r="985" customHeight="1" ht="15.75">
      <c r="A985" s="8"/>
      <c r="B985" s="13"/>
      <c r="C985" s="13"/>
      <c r="D985" s="10"/>
      <c r="E985" s="10"/>
      <c r="F985" s="10"/>
      <c r="G985" s="10"/>
    </row>
    <row x14ac:dyDescent="0.25" r="986" customHeight="1" ht="15.75">
      <c r="A986" s="8"/>
      <c r="B986" s="13"/>
      <c r="C986" s="13"/>
      <c r="D986" s="10"/>
      <c r="E986" s="10"/>
      <c r="F986" s="10"/>
      <c r="G986" s="10"/>
    </row>
    <row x14ac:dyDescent="0.25" r="987" customHeight="1" ht="15.75">
      <c r="A987" s="8"/>
      <c r="B987" s="13"/>
      <c r="C987" s="13"/>
      <c r="D987" s="10"/>
      <c r="E987" s="10"/>
      <c r="F987" s="10"/>
      <c r="G987" s="10"/>
    </row>
    <row x14ac:dyDescent="0.25" r="988" customHeight="1" ht="15.75">
      <c r="A988" s="8"/>
      <c r="B988" s="13"/>
      <c r="C988" s="13"/>
      <c r="D988" s="10"/>
      <c r="E988" s="10"/>
      <c r="F988" s="10"/>
      <c r="G988" s="10"/>
    </row>
    <row x14ac:dyDescent="0.25" r="989" customHeight="1" ht="15.75">
      <c r="A989" s="8"/>
      <c r="B989" s="13"/>
      <c r="C989" s="13"/>
      <c r="D989" s="10"/>
      <c r="E989" s="10"/>
      <c r="F989" s="10"/>
      <c r="G989" s="10"/>
    </row>
    <row x14ac:dyDescent="0.25" r="990" customHeight="1" ht="15.75">
      <c r="A990" s="8"/>
      <c r="B990" s="13"/>
      <c r="C990" s="13"/>
      <c r="D990" s="10"/>
      <c r="E990" s="10"/>
      <c r="F990" s="10"/>
      <c r="G990" s="10"/>
    </row>
    <row x14ac:dyDescent="0.25" r="991" customHeight="1" ht="15.75">
      <c r="A991" s="8"/>
      <c r="B991" s="13"/>
      <c r="C991" s="13"/>
      <c r="D991" s="10"/>
      <c r="E991" s="10"/>
      <c r="F991" s="10"/>
      <c r="G991" s="10"/>
    </row>
    <row x14ac:dyDescent="0.25" r="992" customHeight="1" ht="15.75">
      <c r="A992" s="8"/>
      <c r="B992" s="13"/>
      <c r="C992" s="13"/>
      <c r="D992" s="10"/>
      <c r="E992" s="10"/>
      <c r="F992" s="10"/>
      <c r="G992" s="10"/>
    </row>
    <row x14ac:dyDescent="0.25" r="993" customHeight="1" ht="15.75">
      <c r="A993" s="8"/>
      <c r="B993" s="13"/>
      <c r="C993" s="13"/>
      <c r="D993" s="10"/>
      <c r="E993" s="10"/>
      <c r="F993" s="10"/>
      <c r="G993" s="10"/>
    </row>
    <row x14ac:dyDescent="0.25" r="994" customHeight="1" ht="15.75">
      <c r="A994" s="8"/>
      <c r="B994" s="13"/>
      <c r="C994" s="13"/>
      <c r="D994" s="10"/>
      <c r="E994" s="10"/>
      <c r="F994" s="10"/>
      <c r="G994" s="10"/>
    </row>
    <row x14ac:dyDescent="0.25" r="995" customHeight="1" ht="15.75">
      <c r="A995" s="8"/>
      <c r="B995" s="13"/>
      <c r="C995" s="13"/>
      <c r="D995" s="10"/>
      <c r="E995" s="10"/>
      <c r="F995" s="10"/>
      <c r="G995" s="10"/>
    </row>
    <row x14ac:dyDescent="0.25" r="996" customHeight="1" ht="15.75">
      <c r="A996" s="8"/>
      <c r="B996" s="13"/>
      <c r="C996" s="13"/>
      <c r="D996" s="10"/>
      <c r="E996" s="10"/>
      <c r="F996" s="10"/>
      <c r="G996" s="10"/>
    </row>
    <row x14ac:dyDescent="0.25" r="997" customHeight="1" ht="15.75">
      <c r="A997" s="8"/>
      <c r="B997" s="13"/>
      <c r="C997" s="13"/>
      <c r="D997" s="10"/>
      <c r="E997" s="10"/>
      <c r="F997" s="10"/>
      <c r="G997" s="10"/>
    </row>
    <row x14ac:dyDescent="0.25" r="998" customHeight="1" ht="15.75">
      <c r="A998" s="8"/>
      <c r="B998" s="13"/>
      <c r="C998" s="13"/>
      <c r="D998" s="10"/>
      <c r="E998" s="10"/>
      <c r="F998" s="10"/>
      <c r="G998" s="10"/>
    </row>
    <row x14ac:dyDescent="0.25" r="999" customHeight="1" ht="15.75">
      <c r="A999" s="8"/>
      <c r="B999" s="13"/>
      <c r="C999" s="13"/>
      <c r="D999" s="10"/>
      <c r="E999" s="10"/>
      <c r="F999" s="10"/>
      <c r="G999" s="10"/>
    </row>
    <row x14ac:dyDescent="0.25" r="1000" customHeight="1" ht="15.75">
      <c r="A1000" s="8"/>
      <c r="B1000" s="13"/>
      <c r="C1000" s="13"/>
      <c r="D1000" s="10"/>
      <c r="E1000" s="10"/>
      <c r="F1000" s="10"/>
      <c r="G1000" s="10"/>
    </row>
    <row x14ac:dyDescent="0.25" r="1001" customHeight="1" ht="15.75">
      <c r="A1001" s="8"/>
      <c r="B1001" s="13"/>
      <c r="C1001" s="13"/>
      <c r="D1001" s="10"/>
      <c r="E1001" s="10"/>
      <c r="F1001" s="10"/>
      <c r="G1001" s="10"/>
    </row>
    <row x14ac:dyDescent="0.25" r="1002" customHeight="1" ht="15.75">
      <c r="A1002" s="8"/>
      <c r="B1002" s="13"/>
      <c r="C1002" s="13"/>
      <c r="D1002" s="10"/>
      <c r="E1002" s="10"/>
      <c r="F1002" s="10"/>
      <c r="G1002" s="10"/>
    </row>
    <row x14ac:dyDescent="0.25" r="1003" customHeight="1" ht="15.75">
      <c r="A1003" s="8"/>
      <c r="B1003" s="13"/>
      <c r="C1003" s="13"/>
      <c r="D1003" s="10"/>
      <c r="E1003" s="10"/>
      <c r="F1003" s="10"/>
      <c r="G1003" s="10"/>
    </row>
    <row x14ac:dyDescent="0.25" r="1004" customHeight="1" ht="15.75">
      <c r="A1004" s="8"/>
      <c r="B1004" s="13"/>
      <c r="C1004" s="13"/>
      <c r="D1004" s="10"/>
      <c r="E1004" s="10"/>
      <c r="F1004" s="10"/>
      <c r="G1004" s="10"/>
    </row>
    <row x14ac:dyDescent="0.25" r="1005" customHeight="1" ht="15.75">
      <c r="A1005" s="8"/>
      <c r="B1005" s="13"/>
      <c r="C1005" s="13"/>
      <c r="D1005" s="10"/>
      <c r="E1005" s="10"/>
      <c r="F1005" s="10"/>
      <c r="G1005" s="10"/>
    </row>
    <row x14ac:dyDescent="0.25" r="1006" customHeight="1" ht="15.75">
      <c r="A1006" s="8"/>
      <c r="B1006" s="13"/>
      <c r="C1006" s="13"/>
      <c r="D1006" s="10"/>
      <c r="E1006" s="10"/>
      <c r="F1006" s="10"/>
      <c r="G1006" s="10"/>
    </row>
    <row x14ac:dyDescent="0.25" r="1007" customHeight="1" ht="15.75">
      <c r="A1007" s="8"/>
      <c r="B1007" s="13"/>
      <c r="C1007" s="13"/>
      <c r="D1007" s="10"/>
      <c r="E1007" s="10"/>
      <c r="F1007" s="10"/>
      <c r="G1007" s="10"/>
    </row>
    <row x14ac:dyDescent="0.25" r="1008" customHeight="1" ht="15.75">
      <c r="A1008" s="8"/>
      <c r="B1008" s="13"/>
      <c r="C1008" s="13"/>
      <c r="D1008" s="10"/>
      <c r="E1008" s="10"/>
      <c r="F1008" s="10"/>
      <c r="G1008" s="10"/>
    </row>
    <row x14ac:dyDescent="0.25" r="1009" customHeight="1" ht="15.75">
      <c r="A1009" s="8"/>
      <c r="B1009" s="13"/>
      <c r="C1009" s="13"/>
      <c r="D1009" s="10"/>
      <c r="E1009" s="10"/>
      <c r="F1009" s="10"/>
      <c r="G1009" s="10"/>
    </row>
    <row x14ac:dyDescent="0.25" r="1010" customHeight="1" ht="15.75">
      <c r="A1010" s="8"/>
      <c r="B1010" s="13"/>
      <c r="C1010" s="13"/>
      <c r="D1010" s="10"/>
      <c r="E1010" s="10"/>
      <c r="F1010" s="10"/>
      <c r="G1010" s="10"/>
    </row>
    <row x14ac:dyDescent="0.25" r="1011" customHeight="1" ht="15.75">
      <c r="A1011" s="8"/>
      <c r="B1011" s="13"/>
      <c r="C1011" s="13"/>
      <c r="D1011" s="10"/>
      <c r="E1011" s="10"/>
      <c r="F1011" s="10"/>
      <c r="G1011" s="10"/>
    </row>
    <row x14ac:dyDescent="0.25" r="1012" customHeight="1" ht="15.75">
      <c r="A1012" s="8"/>
      <c r="B1012" s="13"/>
      <c r="C1012" s="13"/>
      <c r="D1012" s="10"/>
      <c r="E1012" s="10"/>
      <c r="F1012" s="10"/>
      <c r="G1012" s="10"/>
    </row>
    <row x14ac:dyDescent="0.25" r="1013" customHeight="1" ht="15.75">
      <c r="A1013" s="8"/>
      <c r="B1013" s="13"/>
      <c r="C1013" s="13"/>
      <c r="D1013" s="10"/>
      <c r="E1013" s="10"/>
      <c r="F1013" s="10"/>
      <c r="G1013" s="10"/>
    </row>
    <row x14ac:dyDescent="0.25" r="1014" customHeight="1" ht="15.75">
      <c r="A1014" s="8"/>
      <c r="B1014" s="13"/>
      <c r="C1014" s="13"/>
      <c r="D1014" s="10"/>
      <c r="E1014" s="10"/>
      <c r="F1014" s="10"/>
      <c r="G1014" s="10"/>
    </row>
    <row x14ac:dyDescent="0.25" r="1015" customHeight="1" ht="15.75">
      <c r="A1015" s="8"/>
      <c r="B1015" s="13"/>
      <c r="C1015" s="13"/>
      <c r="D1015" s="10"/>
      <c r="E1015" s="10"/>
      <c r="F1015" s="10"/>
      <c r="G1015" s="10"/>
    </row>
    <row x14ac:dyDescent="0.25" r="1016" customHeight="1" ht="15.75">
      <c r="A1016" s="8"/>
      <c r="B1016" s="13"/>
      <c r="C1016" s="13"/>
      <c r="D1016" s="10"/>
      <c r="E1016" s="10"/>
      <c r="F1016" s="10"/>
      <c r="G1016" s="10"/>
    </row>
    <row x14ac:dyDescent="0.25" r="1017" customHeight="1" ht="15.75">
      <c r="A1017" s="8"/>
      <c r="B1017" s="13"/>
      <c r="C1017" s="13"/>
      <c r="D1017" s="10"/>
      <c r="E1017" s="10"/>
      <c r="F1017" s="10"/>
      <c r="G1017" s="10"/>
    </row>
    <row x14ac:dyDescent="0.25" r="1018" customHeight="1" ht="15.75">
      <c r="A1018" s="8"/>
      <c r="B1018" s="13"/>
      <c r="C1018" s="13"/>
      <c r="D1018" s="10"/>
      <c r="E1018" s="10"/>
      <c r="F1018" s="10"/>
      <c r="G1018" s="10"/>
    </row>
    <row x14ac:dyDescent="0.25" r="1019" customHeight="1" ht="15.75">
      <c r="A1019" s="8"/>
      <c r="B1019" s="13"/>
      <c r="C1019" s="13"/>
      <c r="D1019" s="10"/>
      <c r="E1019" s="10"/>
      <c r="F1019" s="10"/>
      <c r="G1019" s="10"/>
    </row>
    <row x14ac:dyDescent="0.25" r="1020" customHeight="1" ht="15.75">
      <c r="A1020" s="8"/>
      <c r="B1020" s="13"/>
      <c r="C1020" s="13"/>
      <c r="D1020" s="10"/>
      <c r="E1020" s="10"/>
      <c r="F1020" s="10"/>
      <c r="G1020" s="10"/>
    </row>
    <row x14ac:dyDescent="0.25" r="1021" customHeight="1" ht="15.75">
      <c r="A1021" s="8"/>
      <c r="B1021" s="13"/>
      <c r="C1021" s="13"/>
      <c r="D1021" s="10"/>
      <c r="E1021" s="10"/>
      <c r="F1021" s="10"/>
      <c r="G1021" s="10"/>
    </row>
    <row x14ac:dyDescent="0.25" r="1022" customHeight="1" ht="15.75">
      <c r="A1022" s="8"/>
      <c r="B1022" s="13"/>
      <c r="C1022" s="13"/>
      <c r="D1022" s="10"/>
      <c r="E1022" s="10"/>
      <c r="F1022" s="10"/>
      <c r="G1022" s="10"/>
    </row>
    <row x14ac:dyDescent="0.25" r="1023" customHeight="1" ht="15.75">
      <c r="A1023" s="8"/>
      <c r="B1023" s="13"/>
      <c r="C1023" s="13"/>
      <c r="D1023" s="10"/>
      <c r="E1023" s="10"/>
      <c r="F1023" s="10"/>
      <c r="G1023" s="10"/>
    </row>
    <row x14ac:dyDescent="0.25" r="1024" customHeight="1" ht="15.75">
      <c r="A1024" s="8"/>
      <c r="B1024" s="13"/>
      <c r="C1024" s="13"/>
      <c r="D1024" s="10"/>
      <c r="E1024" s="10"/>
      <c r="F1024" s="10"/>
      <c r="G1024" s="10"/>
    </row>
    <row x14ac:dyDescent="0.25" r="1025" customHeight="1" ht="15.75">
      <c r="A1025" s="8"/>
      <c r="B1025" s="13"/>
      <c r="C1025" s="13"/>
      <c r="D1025" s="10"/>
      <c r="E1025" s="10"/>
      <c r="F1025" s="10"/>
      <c r="G1025" s="10"/>
    </row>
    <row x14ac:dyDescent="0.25" r="1026" customHeight="1" ht="15.75">
      <c r="A1026" s="8"/>
      <c r="B1026" s="13"/>
      <c r="C1026" s="13"/>
      <c r="D1026" s="10"/>
      <c r="E1026" s="10"/>
      <c r="F1026" s="10"/>
      <c r="G1026" s="10"/>
    </row>
    <row x14ac:dyDescent="0.25" r="1027" customHeight="1" ht="15.75">
      <c r="A1027" s="8"/>
      <c r="B1027" s="13"/>
      <c r="C1027" s="13"/>
      <c r="D1027" s="10"/>
      <c r="E1027" s="10"/>
      <c r="F1027" s="10"/>
      <c r="G1027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320"/>
  <sheetViews>
    <sheetView workbookViewId="0"/>
  </sheetViews>
  <sheetFormatPr defaultRowHeight="15" x14ac:dyDescent="0.25"/>
  <cols>
    <col min="1" max="1" style="20" width="17.005" customWidth="1" bestFit="1"/>
    <col min="2" max="2" style="21" width="28.862142857142857" customWidth="1" bestFit="1"/>
    <col min="3" max="3" style="21" width="55.71928571428572" customWidth="1" bestFit="1"/>
    <col min="4" max="4" style="22" width="18.719285714285714" customWidth="1" bestFit="1"/>
    <col min="5" max="5" style="23" width="18.719285714285714" customWidth="1" bestFit="1"/>
    <col min="6" max="6" style="22" width="18.719285714285714" customWidth="1" bestFit="1"/>
    <col min="7" max="7" style="23" width="18.719285714285714" customWidth="1" bestFit="1"/>
    <col min="8" max="8" style="22" width="18.719285714285714" customWidth="1" bestFit="1"/>
    <col min="9" max="9" style="23" width="18.719285714285714" customWidth="1" bestFit="1"/>
    <col min="10" max="10" style="22" width="18.719285714285714" customWidth="1" bestFit="1"/>
    <col min="11" max="11" style="23" width="18.719285714285714" customWidth="1" bestFit="1"/>
    <col min="12" max="12" style="22" width="18.719285714285714" customWidth="1" bestFit="1"/>
    <col min="13" max="13" style="23" width="18.719285714285714" customWidth="1" bestFit="1"/>
    <col min="14" max="14" style="22" width="18.719285714285714" customWidth="1" bestFit="1"/>
    <col min="15" max="15" style="23" width="18.719285714285714" customWidth="1" bestFit="1"/>
    <col min="16" max="16" style="21" width="13.576428571428572" customWidth="1" bestFit="1" hidden="1"/>
    <col min="17" max="17" style="21" width="13.576428571428572" customWidth="1" bestFit="1" hidden="1"/>
    <col min="18" max="18" style="24" width="13.576428571428572" customWidth="1" bestFit="1"/>
    <col min="19" max="19" style="21" width="13.576428571428572" customWidth="1" bestFit="1"/>
    <col min="20" max="20" style="21" width="13.576428571428572" customWidth="1" bestFit="1"/>
    <col min="21" max="21" style="21" width="13.576428571428572" customWidth="1" bestFit="1"/>
    <col min="22" max="22" style="21" width="13.576428571428572" customWidth="1" bestFit="1"/>
    <col min="23" max="23" style="21" width="13.576428571428572" customWidth="1" bestFit="1"/>
    <col min="24" max="24" style="21" width="13.576428571428572" customWidth="1" bestFit="1"/>
    <col min="25" max="25" style="21" width="13.576428571428572" customWidth="1" bestFit="1"/>
    <col min="26" max="26" style="21" width="13.576428571428572" customWidth="1" bestFit="1"/>
  </cols>
  <sheetData>
    <row x14ac:dyDescent="0.25" r="1" customHeight="1" ht="15.75" customFormat="1" s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6"/>
      <c r="Q1" s="6"/>
      <c r="R1" s="7"/>
      <c r="S1" s="6"/>
      <c r="T1" s="6"/>
      <c r="U1" s="6"/>
      <c r="V1" s="6"/>
      <c r="W1" s="6"/>
      <c r="X1" s="6"/>
      <c r="Y1" s="6"/>
      <c r="Z1" s="6"/>
    </row>
    <row x14ac:dyDescent="0.25" r="2" customHeight="1" ht="15.75">
      <c r="A2" s="8">
        <f>IFERROR(__xludf.DUMMYFUNCTION("filter(Original!A2:O1620, Original!T2:T1620 &gt;= 3)"),25248.0)</f>
      </c>
      <c r="B2" s="9">
        <f>IFERROR(__xludf.DUMMYFUNCTION("""COMPUTED_VALUE"""),"BAIXADAS LITORANEAS")</f>
      </c>
      <c r="C2" s="9">
        <f>IFERROR(__xludf.DUMMYFUNCTION("""COMPUTED_VALUE"""),"CE ALMIRANTE FREDERICO VILLAR")</f>
      </c>
      <c r="D2" s="10">
        <f>IFERROR(__xludf.DUMMYFUNCTION("""COMPUTED_VALUE"""),0.8512)</f>
      </c>
      <c r="E2" s="11">
        <f>IFERROR(__xludf.DUMMYFUNCTION("""COMPUTED_VALUE"""),202.71)</f>
      </c>
      <c r="F2" s="10">
        <f>IFERROR(__xludf.DUMMYFUNCTION("""COMPUTED_VALUE"""),0.91)</f>
      </c>
      <c r="G2" s="11">
        <f>IFERROR(__xludf.DUMMYFUNCTION("""COMPUTED_VALUE"""),198.78)</f>
      </c>
      <c r="H2" s="10">
        <f>IFERROR(__xludf.DUMMYFUNCTION("""COMPUTED_VALUE"""),0.6566)</f>
      </c>
      <c r="I2" s="11">
        <f>IFERROR(__xludf.DUMMYFUNCTION("""COMPUTED_VALUE"""),380.01)</f>
      </c>
      <c r="J2" s="10">
        <f>IFERROR(__xludf.DUMMYFUNCTION("""COMPUTED_VALUE"""),0.7202)</f>
      </c>
      <c r="K2" s="11">
        <f>IFERROR(__xludf.DUMMYFUNCTION("""COMPUTED_VALUE"""),305.76)</f>
      </c>
      <c r="L2" s="10">
        <f>IFERROR(__xludf.DUMMYFUNCTION("""COMPUTED_VALUE"""),0.5632)</f>
      </c>
      <c r="M2" s="11">
        <f>IFERROR(__xludf.DUMMYFUNCTION("""COMPUTED_VALUE"""),325.25)</f>
      </c>
      <c r="N2" s="10">
        <f>IFERROR(__xludf.DUMMYFUNCTION("""COMPUTED_VALUE"""),0.3929)</f>
      </c>
      <c r="O2" s="11">
        <f>IFERROR(__xludf.DUMMYFUNCTION("""COMPUTED_VALUE"""),266.79)</f>
      </c>
      <c r="P2" s="12"/>
      <c r="Q2" s="13" t="s">
        <v>3</v>
      </c>
      <c r="R2" s="14">
        <v>0</v>
      </c>
      <c r="S2" s="13"/>
      <c r="T2" s="13"/>
      <c r="U2" s="13"/>
      <c r="V2" s="13"/>
      <c r="W2" s="13"/>
      <c r="X2" s="13"/>
      <c r="Y2" s="13"/>
      <c r="Z2" s="13"/>
    </row>
    <row x14ac:dyDescent="0.25" r="3" customHeight="1" ht="15.75">
      <c r="A3" s="8">
        <f>IFERROR(__xludf.DUMMYFUNCTION("""COMPUTED_VALUE"""),25273.0)</f>
      </c>
      <c r="B3" s="9">
        <f>IFERROR(__xludf.DUMMYFUNCTION("""COMPUTED_VALUE"""),"BAIXADAS LITORANEAS")</f>
      </c>
      <c r="C3" s="9">
        <f>IFERROR(__xludf.DUMMYFUNCTION("""COMPUTED_VALUE"""),"CE ALMIRANTE TAMANDARE")</f>
      </c>
      <c r="D3" s="10">
        <f>IFERROR(__xludf.DUMMYFUNCTION("""COMPUTED_VALUE"""),0.9289)</f>
      </c>
      <c r="E3" s="11">
        <f>IFERROR(__xludf.DUMMYFUNCTION("""COMPUTED_VALUE"""),267.63)</f>
      </c>
      <c r="F3" s="10">
        <f>IFERROR(__xludf.DUMMYFUNCTION("""COMPUTED_VALUE"""),0.4812)</f>
      </c>
      <c r="G3" s="11">
        <f>IFERROR(__xludf.DUMMYFUNCTION("""COMPUTED_VALUE"""),413.56)</f>
      </c>
      <c r="H3" s="10">
        <f>IFERROR(__xludf.DUMMYFUNCTION("""COMPUTED_VALUE"""),0.5263)</f>
      </c>
      <c r="I3" s="11">
        <f>IFERROR(__xludf.DUMMYFUNCTION("""COMPUTED_VALUE"""),460.42)</f>
      </c>
      <c r="J3" s="10">
        <f>IFERROR(__xludf.DUMMYFUNCTION("""COMPUTED_VALUE"""),0.7072)</f>
      </c>
      <c r="K3" s="11">
        <f>IFERROR(__xludf.DUMMYFUNCTION("""COMPUTED_VALUE"""),341.27)</f>
      </c>
      <c r="L3" s="10">
        <f>IFERROR(__xludf.DUMMYFUNCTION("""COMPUTED_VALUE"""),0.4323)</f>
      </c>
      <c r="M3" s="11">
        <f>IFERROR(__xludf.DUMMYFUNCTION("""COMPUTED_VALUE"""),242.11)</f>
      </c>
      <c r="N3" s="10">
        <f>IFERROR(__xludf.DUMMYFUNCTION("""COMPUTED_VALUE"""),0.0)</f>
      </c>
      <c r="O3" s="11">
        <f>IFERROR(__xludf.DUMMYFUNCTION("""COMPUTED_VALUE"""),"----")</f>
      </c>
      <c r="P3" s="12"/>
      <c r="Q3" s="13" t="s">
        <v>4</v>
      </c>
      <c r="R3" s="14">
        <v>25</v>
      </c>
      <c r="S3" s="12"/>
      <c r="T3" s="12"/>
      <c r="U3" s="12"/>
      <c r="V3" s="12"/>
      <c r="W3" s="12"/>
      <c r="X3" s="12"/>
      <c r="Y3" s="12"/>
      <c r="Z3" s="12"/>
    </row>
    <row x14ac:dyDescent="0.25" r="4" customHeight="1" ht="15.75">
      <c r="A4" s="8">
        <f>IFERROR(__xludf.DUMMYFUNCTION("""COMPUTED_VALUE"""),25321.0)</f>
      </c>
      <c r="B4" s="9">
        <f>IFERROR(__xludf.DUMMYFUNCTION("""COMPUTED_VALUE"""),"BAIXADAS LITORANEAS")</f>
      </c>
      <c r="C4" s="9">
        <f>IFERROR(__xludf.DUMMYFUNCTION("""COMPUTED_VALUE"""),"CE ALMIRANTE TAMANDARE")</f>
      </c>
      <c r="D4" s="10">
        <f>IFERROR(__xludf.DUMMYFUNCTION("""COMPUTED_VALUE"""),0.5989)</f>
      </c>
      <c r="E4" s="11">
        <f>IFERROR(__xludf.DUMMYFUNCTION("""COMPUTED_VALUE"""),186.02)</f>
      </c>
      <c r="F4" s="10">
        <f>IFERROR(__xludf.DUMMYFUNCTION("""COMPUTED_VALUE"""),0.9451)</f>
      </c>
      <c r="G4" s="11">
        <f>IFERROR(__xludf.DUMMYFUNCTION("""COMPUTED_VALUE"""),220.49)</f>
      </c>
      <c r="H4" s="10">
        <f>IFERROR(__xludf.DUMMYFUNCTION("""COMPUTED_VALUE"""),0.5824)</f>
      </c>
      <c r="I4" s="11">
        <f>IFERROR(__xludf.DUMMYFUNCTION("""COMPUTED_VALUE"""),299.81)</f>
      </c>
      <c r="J4" s="10">
        <f>IFERROR(__xludf.DUMMYFUNCTION("""COMPUTED_VALUE"""),0.5549)</f>
      </c>
      <c r="K4" s="11">
        <f>IFERROR(__xludf.DUMMYFUNCTION("""COMPUTED_VALUE"""),168.08)</f>
      </c>
      <c r="L4" s="10">
        <f>IFERROR(__xludf.DUMMYFUNCTION("""COMPUTED_VALUE"""),0.5604)</f>
      </c>
      <c r="M4" s="11">
        <f>IFERROR(__xludf.DUMMYFUNCTION("""COMPUTED_VALUE"""),238.81)</f>
      </c>
      <c r="N4" s="10">
        <f>IFERROR(__xludf.DUMMYFUNCTION("""COMPUTED_VALUE"""),0.5659)</f>
      </c>
      <c r="O4" s="11">
        <f>IFERROR(__xludf.DUMMYFUNCTION("""COMPUTED_VALUE"""),398.45)</f>
      </c>
      <c r="P4" s="12"/>
      <c r="Q4" s="13" t="s">
        <v>5</v>
      </c>
      <c r="R4" s="14">
        <v>0</v>
      </c>
      <c r="S4" s="12"/>
      <c r="T4" s="12"/>
      <c r="U4" s="12"/>
      <c r="V4" s="12"/>
      <c r="W4" s="12"/>
      <c r="X4" s="12"/>
      <c r="Y4" s="12"/>
      <c r="Z4" s="12"/>
    </row>
    <row x14ac:dyDescent="0.25" r="5" customHeight="1" ht="15.75">
      <c r="A5" s="8">
        <f>IFERROR(__xludf.DUMMYFUNCTION("""COMPUTED_VALUE"""),25314.0)</f>
      </c>
      <c r="B5" s="9">
        <f>IFERROR(__xludf.DUMMYFUNCTION("""COMPUTED_VALUE"""),"BAIXADAS LITORANEAS")</f>
      </c>
      <c r="C5" s="9">
        <f>IFERROR(__xludf.DUMMYFUNCTION("""COMPUTED_VALUE"""),"CE ANTONIO LOPES DE CAMPOS FILHO")</f>
      </c>
      <c r="D5" s="10">
        <f>IFERROR(__xludf.DUMMYFUNCTION("""COMPUTED_VALUE"""),0.9655)</f>
      </c>
      <c r="E5" s="11">
        <f>IFERROR(__xludf.DUMMYFUNCTION("""COMPUTED_VALUE"""),368.57)</f>
      </c>
      <c r="F5" s="10">
        <f>IFERROR(__xludf.DUMMYFUNCTION("""COMPUTED_VALUE"""),0.7586)</f>
      </c>
      <c r="G5" s="11">
        <f>IFERROR(__xludf.DUMMYFUNCTION("""COMPUTED_VALUE"""),398.18)</f>
      </c>
      <c r="H5" s="10">
        <f>IFERROR(__xludf.DUMMYFUNCTION("""COMPUTED_VALUE"""),0.7241)</f>
      </c>
      <c r="I5" s="11">
        <f>IFERROR(__xludf.DUMMYFUNCTION("""COMPUTED_VALUE"""),452.0)</f>
      </c>
      <c r="J5" s="10">
        <f>IFERROR(__xludf.DUMMYFUNCTION("""COMPUTED_VALUE"""),0.8276)</f>
      </c>
      <c r="K5" s="11">
        <f>IFERROR(__xludf.DUMMYFUNCTION("""COMPUTED_VALUE"""),395.0)</f>
      </c>
      <c r="L5" s="10">
        <f>IFERROR(__xludf.DUMMYFUNCTION("""COMPUTED_VALUE"""),0.7586)</f>
      </c>
      <c r="M5" s="11">
        <f>IFERROR(__xludf.DUMMYFUNCTION("""COMPUTED_VALUE"""),363.64)</f>
      </c>
      <c r="N5" s="10">
        <f>IFERROR(__xludf.DUMMYFUNCTION("""COMPUTED_VALUE"""),0.5517)</f>
      </c>
      <c r="O5" s="11">
        <f>IFERROR(__xludf.DUMMYFUNCTION("""COMPUTED_VALUE"""),455.0)</f>
      </c>
      <c r="P5" s="12"/>
      <c r="Q5" s="13" t="s">
        <v>6</v>
      </c>
      <c r="R5" s="14">
        <v>50</v>
      </c>
      <c r="S5" s="12"/>
      <c r="T5" s="12"/>
      <c r="U5" s="12"/>
      <c r="V5" s="12"/>
      <c r="W5" s="12"/>
      <c r="X5" s="12"/>
      <c r="Y5" s="12"/>
      <c r="Z5" s="12"/>
    </row>
    <row x14ac:dyDescent="0.25" r="6" customHeight="1" ht="15.75">
      <c r="A6" s="8">
        <f>IFERROR(__xludf.DUMMYFUNCTION("""COMPUTED_VALUE"""),25238.0)</f>
      </c>
      <c r="B6" s="9">
        <f>IFERROR(__xludf.DUMMYFUNCTION("""COMPUTED_VALUE"""),"BAIXADAS LITORANEAS")</f>
      </c>
      <c r="C6" s="9">
        <f>IFERROR(__xludf.DUMMYFUNCTION("""COMPUTED_VALUE"""),"CE ANTONIO PINTO DE MORAES")</f>
      </c>
      <c r="D6" s="10">
        <f>IFERROR(__xludf.DUMMYFUNCTION("""COMPUTED_VALUE"""),0.8986)</f>
      </c>
      <c r="E6" s="11">
        <f>IFERROR(__xludf.DUMMYFUNCTION("""COMPUTED_VALUE"""),292.26)</f>
      </c>
      <c r="F6" s="10">
        <f>IFERROR(__xludf.DUMMYFUNCTION("""COMPUTED_VALUE"""),0.7246)</f>
      </c>
      <c r="G6" s="11">
        <f>IFERROR(__xludf.DUMMYFUNCTION("""COMPUTED_VALUE"""),462.86)</f>
      </c>
      <c r="H6" s="10">
        <f>IFERROR(__xludf.DUMMYFUNCTION("""COMPUTED_VALUE"""),0.7391)</f>
      </c>
      <c r="I6" s="11">
        <f>IFERROR(__xludf.DUMMYFUNCTION("""COMPUTED_VALUE"""),495.69)</f>
      </c>
      <c r="J6" s="10">
        <f>IFERROR(__xludf.DUMMYFUNCTION("""COMPUTED_VALUE"""),0.8261)</f>
      </c>
      <c r="K6" s="11">
        <f>IFERROR(__xludf.DUMMYFUNCTION("""COMPUTED_VALUE"""),346.25)</f>
      </c>
      <c r="L6" s="10">
        <f>IFERROR(__xludf.DUMMYFUNCTION("""COMPUTED_VALUE"""),0.7246)</f>
      </c>
      <c r="M6" s="11">
        <f>IFERROR(__xludf.DUMMYFUNCTION("""COMPUTED_VALUE"""),437.5)</f>
      </c>
      <c r="N6" s="10">
        <f>IFERROR(__xludf.DUMMYFUNCTION("""COMPUTED_VALUE"""),0.7536)</f>
      </c>
      <c r="O6" s="11">
        <f>IFERROR(__xludf.DUMMYFUNCTION("""COMPUTED_VALUE"""),468.24)</f>
      </c>
      <c r="P6" s="12"/>
      <c r="Q6" s="13" t="s">
        <v>7</v>
      </c>
      <c r="R6" s="14">
        <v>0</v>
      </c>
      <c r="S6" s="12"/>
      <c r="T6" s="12"/>
      <c r="U6" s="12"/>
      <c r="V6" s="12"/>
      <c r="W6" s="12"/>
      <c r="X6" s="12"/>
      <c r="Y6" s="12"/>
      <c r="Z6" s="12"/>
    </row>
    <row x14ac:dyDescent="0.25" r="7" customHeight="1" ht="15.75">
      <c r="A7" s="8">
        <f>IFERROR(__xludf.DUMMYFUNCTION("""COMPUTED_VALUE"""),25315.0)</f>
      </c>
      <c r="B7" s="9">
        <f>IFERROR(__xludf.DUMMYFUNCTION("""COMPUTED_VALUE"""),"BAIXADAS LITORANEAS")</f>
      </c>
      <c r="C7" s="9">
        <f>IFERROR(__xludf.DUMMYFUNCTION("""COMPUTED_VALUE"""),"CE BARAO DO RIO BRANCO")</f>
      </c>
      <c r="D7" s="10">
        <f>IFERROR(__xludf.DUMMYFUNCTION("""COMPUTED_VALUE"""),0.9512)</f>
      </c>
      <c r="E7" s="11">
        <f>IFERROR(__xludf.DUMMYFUNCTION("""COMPUTED_VALUE"""),296.41)</f>
      </c>
      <c r="F7" s="10">
        <f>IFERROR(__xludf.DUMMYFUNCTION("""COMPUTED_VALUE"""),0.9756)</f>
      </c>
      <c r="G7" s="11">
        <f>IFERROR(__xludf.DUMMYFUNCTION("""COMPUTED_VALUE"""),312.5)</f>
      </c>
      <c r="H7" s="10">
        <f>IFERROR(__xludf.DUMMYFUNCTION("""COMPUTED_VALUE"""),0.6463)</f>
      </c>
      <c r="I7" s="11">
        <f>IFERROR(__xludf.DUMMYFUNCTION("""COMPUTED_VALUE"""),345.6)</f>
      </c>
      <c r="J7" s="10">
        <f>IFERROR(__xludf.DUMMYFUNCTION("""COMPUTED_VALUE"""),0.8659)</f>
      </c>
      <c r="K7" s="11">
        <f>IFERROR(__xludf.DUMMYFUNCTION("""COMPUTED_VALUE"""),"----")</f>
      </c>
      <c r="L7" s="10">
        <f>IFERROR(__xludf.DUMMYFUNCTION("""COMPUTED_VALUE"""),0.6463)</f>
      </c>
      <c r="M7" s="11">
        <f>IFERROR(__xludf.DUMMYFUNCTION("""COMPUTED_VALUE"""),387.92)</f>
      </c>
      <c r="N7" s="10">
        <f>IFERROR(__xludf.DUMMYFUNCTION("""COMPUTED_VALUE"""),0.0244)</f>
      </c>
      <c r="O7" s="11">
        <f>IFERROR(__xludf.DUMMYFUNCTION("""COMPUTED_VALUE"""),400.0)</f>
      </c>
      <c r="P7" s="12"/>
      <c r="Q7" s="13" t="s">
        <v>8</v>
      </c>
      <c r="R7" s="14">
        <v>25</v>
      </c>
      <c r="S7" s="12"/>
      <c r="T7" s="12"/>
      <c r="U7" s="12"/>
      <c r="V7" s="12"/>
      <c r="W7" s="12"/>
      <c r="X7" s="12"/>
      <c r="Y7" s="12"/>
      <c r="Z7" s="12"/>
    </row>
    <row x14ac:dyDescent="0.25" r="8" customHeight="1" ht="15.75">
      <c r="A8" s="8">
        <f>IFERROR(__xludf.DUMMYFUNCTION("""COMPUTED_VALUE"""),25316.0)</f>
      </c>
      <c r="B8" s="9">
        <f>IFERROR(__xludf.DUMMYFUNCTION("""COMPUTED_VALUE"""),"BAIXADAS LITORANEAS")</f>
      </c>
      <c r="C8" s="9">
        <f>IFERROR(__xludf.DUMMYFUNCTION("""COMPUTED_VALUE"""),"CE BERNARDINO DA COSTA LOPES")</f>
      </c>
      <c r="D8" s="10">
        <f>IFERROR(__xludf.DUMMYFUNCTION("""COMPUTED_VALUE"""),0.5679)</f>
      </c>
      <c r="E8" s="11">
        <f>IFERROR(__xludf.DUMMYFUNCTION("""COMPUTED_VALUE"""),131.89)</f>
      </c>
      <c r="F8" s="10">
        <f>IFERROR(__xludf.DUMMYFUNCTION("""COMPUTED_VALUE"""),0.5062)</f>
      </c>
      <c r="G8" s="11">
        <f>IFERROR(__xludf.DUMMYFUNCTION("""COMPUTED_VALUE"""),348.0)</f>
      </c>
      <c r="H8" s="10">
        <f>IFERROR(__xludf.DUMMYFUNCTION("""COMPUTED_VALUE"""),0.6173)</f>
      </c>
      <c r="I8" s="11">
        <f>IFERROR(__xludf.DUMMYFUNCTION("""COMPUTED_VALUE"""),334.4)</f>
      </c>
      <c r="J8" s="10">
        <f>IFERROR(__xludf.DUMMYFUNCTION("""COMPUTED_VALUE"""),0.7037)</f>
      </c>
      <c r="K8" s="11">
        <f>IFERROR(__xludf.DUMMYFUNCTION("""COMPUTED_VALUE"""),143.2)</f>
      </c>
      <c r="L8" s="10">
        <f>IFERROR(__xludf.DUMMYFUNCTION("""COMPUTED_VALUE"""),0.642)</f>
      </c>
      <c r="M8" s="11">
        <f>IFERROR(__xludf.DUMMYFUNCTION("""COMPUTED_VALUE"""),303.08)</f>
      </c>
      <c r="N8" s="10">
        <f>IFERROR(__xludf.DUMMYFUNCTION("""COMPUTED_VALUE"""),0.5432)</f>
      </c>
      <c r="O8" s="11">
        <f>IFERROR(__xludf.DUMMYFUNCTION("""COMPUTED_VALUE"""),470.7)</f>
      </c>
      <c r="P8" s="12"/>
      <c r="Q8" s="13" t="s">
        <v>9</v>
      </c>
      <c r="R8" s="14">
        <v>4</v>
      </c>
      <c r="S8" s="12"/>
      <c r="T8" s="12"/>
      <c r="U8" s="12"/>
      <c r="V8" s="12"/>
      <c r="W8" s="12"/>
      <c r="X8" s="12"/>
      <c r="Y8" s="12"/>
      <c r="Z8" s="12"/>
    </row>
    <row x14ac:dyDescent="0.25" r="9" customHeight="1" ht="15.75">
      <c r="A9" s="8">
        <f>IFERROR(__xludf.DUMMYFUNCTION("""COMPUTED_VALUE"""),25276.0)</f>
      </c>
      <c r="B9" s="9">
        <f>IFERROR(__xludf.DUMMYFUNCTION("""COMPUTED_VALUE"""),"BAIXADAS LITORANEAS")</f>
      </c>
      <c r="C9" s="9">
        <f>IFERROR(__xludf.DUMMYFUNCTION("""COMPUTED_VALUE"""),"CE BRIGADEIRO CASTRIOTO - BRASIL-ESPANHA")</f>
      </c>
      <c r="D9" s="10">
        <f>IFERROR(__xludf.DUMMYFUNCTION("""COMPUTED_VALUE"""),0.9695)</f>
      </c>
      <c r="E9" s="11">
        <f>IFERROR(__xludf.DUMMYFUNCTION("""COMPUTED_VALUE"""),458.67)</f>
      </c>
      <c r="F9" s="10">
        <f>IFERROR(__xludf.DUMMYFUNCTION("""COMPUTED_VALUE"""),0.4809)</f>
      </c>
      <c r="G9" s="11">
        <f>IFERROR(__xludf.DUMMYFUNCTION("""COMPUTED_VALUE"""),518.06)</f>
      </c>
      <c r="H9" s="10">
        <f>IFERROR(__xludf.DUMMYFUNCTION("""COMPUTED_VALUE"""),0.8092)</f>
      </c>
      <c r="I9" s="11">
        <f>IFERROR(__xludf.DUMMYFUNCTION("""COMPUTED_VALUE"""),562.29)</f>
      </c>
      <c r="J9" s="10">
        <f>IFERROR(__xludf.DUMMYFUNCTION("""COMPUTED_VALUE"""),0.771)</f>
      </c>
      <c r="K9" s="11">
        <f>IFERROR(__xludf.DUMMYFUNCTION("""COMPUTED_VALUE"""),553.04)</f>
      </c>
      <c r="L9" s="10">
        <f>IFERROR(__xludf.DUMMYFUNCTION("""COMPUTED_VALUE"""),0.8244)</f>
      </c>
      <c r="M9" s="11">
        <f>IFERROR(__xludf.DUMMYFUNCTION("""COMPUTED_VALUE"""),560.37)</f>
      </c>
      <c r="N9" s="10">
        <f>IFERROR(__xludf.DUMMYFUNCTION("""COMPUTED_VALUE"""),0.7252)</f>
      </c>
      <c r="O9" s="11">
        <f>IFERROR(__xludf.DUMMYFUNCTION("""COMPUTED_VALUE"""),551.16)</f>
      </c>
      <c r="P9" s="12"/>
      <c r="Q9" s="13" t="s">
        <v>10</v>
      </c>
      <c r="R9" s="14">
        <v>38</v>
      </c>
      <c r="S9" s="12"/>
      <c r="T9" s="12"/>
      <c r="U9" s="12"/>
      <c r="V9" s="12"/>
      <c r="W9" s="12"/>
      <c r="X9" s="12"/>
      <c r="Y9" s="12"/>
      <c r="Z9" s="12"/>
    </row>
    <row x14ac:dyDescent="0.25" r="10" customHeight="1" ht="15.75">
      <c r="A10" s="8">
        <f>IFERROR(__xludf.DUMMYFUNCTION("""COMPUTED_VALUE"""),25317.0)</f>
      </c>
      <c r="B10" s="9">
        <f>IFERROR(__xludf.DUMMYFUNCTION("""COMPUTED_VALUE"""),"BAIXADAS LITORANEAS")</f>
      </c>
      <c r="C10" s="9">
        <f>IFERROR(__xludf.DUMMYFUNCTION("""COMPUTED_VALUE"""),"CE CABO PM RAPHAEL DE OLIVEIRA MONTEIRO")</f>
      </c>
      <c r="D10" s="10">
        <f>IFERROR(__xludf.DUMMYFUNCTION("""COMPUTED_VALUE"""),0.9722)</f>
      </c>
      <c r="E10" s="11">
        <f>IFERROR(__xludf.DUMMYFUNCTION("""COMPUTED_VALUE"""),552.57)</f>
      </c>
      <c r="F10" s="10">
        <f>IFERROR(__xludf.DUMMYFUNCTION("""COMPUTED_VALUE"""),0.9583)</f>
      </c>
      <c r="G10" s="11">
        <f>IFERROR(__xludf.DUMMYFUNCTION("""COMPUTED_VALUE"""),603.48)</f>
      </c>
      <c r="H10" s="10">
        <f>IFERROR(__xludf.DUMMYFUNCTION("""COMPUTED_VALUE"""),0.8194)</f>
      </c>
      <c r="I10" s="11">
        <f>IFERROR(__xludf.DUMMYFUNCTION("""COMPUTED_VALUE"""),570.85)</f>
      </c>
      <c r="J10" s="10">
        <f>IFERROR(__xludf.DUMMYFUNCTION("""COMPUTED_VALUE"""),0.9444)</f>
      </c>
      <c r="K10" s="11">
        <f>IFERROR(__xludf.DUMMYFUNCTION("""COMPUTED_VALUE"""),584.12)</f>
      </c>
      <c r="L10" s="10">
        <f>IFERROR(__xludf.DUMMYFUNCTION("""COMPUTED_VALUE"""),0.875)</f>
      </c>
      <c r="M10" s="11">
        <f>IFERROR(__xludf.DUMMYFUNCTION("""COMPUTED_VALUE"""),591.11)</f>
      </c>
      <c r="N10" s="10">
        <f>IFERROR(__xludf.DUMMYFUNCTION("""COMPUTED_VALUE"""),0.9583)</f>
      </c>
      <c r="O10" s="11">
        <f>IFERROR(__xludf.DUMMYFUNCTION("""COMPUTED_VALUE"""),545.51)</f>
      </c>
      <c r="P10" s="12"/>
      <c r="Q10" s="13" t="s">
        <v>11</v>
      </c>
      <c r="R10" s="14">
        <v>0</v>
      </c>
      <c r="S10" s="12"/>
      <c r="T10" s="12"/>
      <c r="U10" s="12"/>
      <c r="V10" s="12"/>
      <c r="W10" s="12"/>
      <c r="X10" s="12"/>
      <c r="Y10" s="12"/>
      <c r="Z10" s="12"/>
    </row>
    <row x14ac:dyDescent="0.25" r="11" customHeight="1" ht="15.75">
      <c r="A11" s="8">
        <f>IFERROR(__xludf.DUMMYFUNCTION("""COMPUTED_VALUE"""),25263.0)</f>
      </c>
      <c r="B11" s="9">
        <f>IFERROR(__xludf.DUMMYFUNCTION("""COMPUTED_VALUE"""),"BAIXADAS LITORANEAS")</f>
      </c>
      <c r="C11" s="9">
        <f>IFERROR(__xludf.DUMMYFUNCTION("""COMPUTED_VALUE"""),"CE CAIO FRANCISCO DE FIGUEIREDO")</f>
      </c>
      <c r="D11" s="10">
        <f>IFERROR(__xludf.DUMMYFUNCTION("""COMPUTED_VALUE"""),0.7299)</f>
      </c>
      <c r="E11" s="11">
        <f>IFERROR(__xludf.DUMMYFUNCTION("""COMPUTED_VALUE"""),242.08)</f>
      </c>
      <c r="F11" s="10">
        <f>IFERROR(__xludf.DUMMYFUNCTION("""COMPUTED_VALUE"""),0.7042)</f>
      </c>
      <c r="G11" s="11">
        <f>IFERROR(__xludf.DUMMYFUNCTION("""COMPUTED_VALUE"""),322.26)</f>
      </c>
      <c r="H11" s="10">
        <f>IFERROR(__xludf.DUMMYFUNCTION("""COMPUTED_VALUE"""),0.4534)</f>
      </c>
      <c r="I11" s="11">
        <f>IFERROR(__xludf.DUMMYFUNCTION("""COMPUTED_VALUE"""),374.78)</f>
      </c>
      <c r="J11" s="10">
        <f>IFERROR(__xludf.DUMMYFUNCTION("""COMPUTED_VALUE"""),0.6752)</f>
      </c>
      <c r="K11" s="11">
        <f>IFERROR(__xludf.DUMMYFUNCTION("""COMPUTED_VALUE"""),294.55)</f>
      </c>
      <c r="L11" s="10">
        <f>IFERROR(__xludf.DUMMYFUNCTION("""COMPUTED_VALUE"""),0.5498)</f>
      </c>
      <c r="M11" s="11">
        <f>IFERROR(__xludf.DUMMYFUNCTION("""COMPUTED_VALUE"""),330.84)</f>
      </c>
      <c r="N11" s="10">
        <f>IFERROR(__xludf.DUMMYFUNCTION("""COMPUTED_VALUE"""),0.0064)</f>
      </c>
      <c r="O11" s="11">
        <f>IFERROR(__xludf.DUMMYFUNCTION("""COMPUTED_VALUE"""),180.0)</f>
      </c>
      <c r="P11" s="12"/>
      <c r="Q11" s="13" t="s">
        <v>12</v>
      </c>
      <c r="R11" s="14">
        <v>68</v>
      </c>
      <c r="S11" s="13"/>
      <c r="T11" s="13"/>
      <c r="U11" s="12"/>
      <c r="V11" s="12"/>
      <c r="W11" s="12"/>
      <c r="X11" s="12"/>
      <c r="Y11" s="12"/>
      <c r="Z11" s="12"/>
    </row>
    <row x14ac:dyDescent="0.25" r="12" customHeight="1" ht="15.75">
      <c r="A12" s="8">
        <f>IFERROR(__xludf.DUMMYFUNCTION("""COMPUTED_VALUE"""),25277.0)</f>
      </c>
      <c r="B12" s="9">
        <f>IFERROR(__xludf.DUMMYFUNCTION("""COMPUTED_VALUE"""),"BAIXADAS LITORANEAS")</f>
      </c>
      <c r="C12" s="9">
        <f>IFERROR(__xludf.DUMMYFUNCTION("""COMPUTED_VALUE"""),"CE CIZINIO SOARES PINTO")</f>
      </c>
      <c r="D12" s="10">
        <f>IFERROR(__xludf.DUMMYFUNCTION("""COMPUTED_VALUE"""),0.6543)</f>
      </c>
      <c r="E12" s="11">
        <f>IFERROR(__xludf.DUMMYFUNCTION("""COMPUTED_VALUE"""),206.35)</f>
      </c>
      <c r="F12" s="10">
        <f>IFERROR(__xludf.DUMMYFUNCTION("""COMPUTED_VALUE"""),0.5679)</f>
      </c>
      <c r="G12" s="11">
        <f>IFERROR(__xludf.DUMMYFUNCTION("""COMPUTED_VALUE"""),335.66)</f>
      </c>
      <c r="H12" s="10">
        <f>IFERROR(__xludf.DUMMYFUNCTION("""COMPUTED_VALUE"""),0.4339)</f>
      </c>
      <c r="I12" s="11">
        <f>IFERROR(__xludf.DUMMYFUNCTION("""COMPUTED_VALUE"""),394.14)</f>
      </c>
      <c r="J12" s="10">
        <f>IFERROR(__xludf.DUMMYFUNCTION("""COMPUTED_VALUE"""),0.5035)</f>
      </c>
      <c r="K12" s="11">
        <f>IFERROR(__xludf.DUMMYFUNCTION("""COMPUTED_VALUE"""),241.27)</f>
      </c>
      <c r="L12" s="10">
        <f>IFERROR(__xludf.DUMMYFUNCTION("""COMPUTED_VALUE"""),0.4021)</f>
      </c>
      <c r="M12" s="11">
        <f>IFERROR(__xludf.DUMMYFUNCTION("""COMPUTED_VALUE"""),384.21)</f>
      </c>
      <c r="N12" s="10">
        <f>IFERROR(__xludf.DUMMYFUNCTION("""COMPUTED_VALUE"""),0.381)</f>
      </c>
      <c r="O12" s="11">
        <f>IFERROR(__xludf.DUMMYFUNCTION("""COMPUTED_VALUE"""),371.67)</f>
      </c>
      <c r="P12" s="12"/>
      <c r="Q12" s="13" t="s">
        <v>13</v>
      </c>
      <c r="R12" s="14">
        <v>0</v>
      </c>
      <c r="S12" s="12"/>
      <c r="T12" s="12"/>
      <c r="U12" s="12"/>
      <c r="V12" s="12"/>
      <c r="W12" s="12"/>
      <c r="X12" s="12"/>
      <c r="Y12" s="12"/>
      <c r="Z12" s="12"/>
    </row>
    <row x14ac:dyDescent="0.25" r="13" customHeight="1" ht="15.75">
      <c r="A13" s="8">
        <f>IFERROR(__xludf.DUMMYFUNCTION("""COMPUTED_VALUE"""),25278.0)</f>
      </c>
      <c r="B13" s="9">
        <f>IFERROR(__xludf.DUMMYFUNCTION("""COMPUTED_VALUE"""),"BAIXADAS LITORANEAS")</f>
      </c>
      <c r="C13" s="9">
        <f>IFERROR(__xludf.DUMMYFUNCTION("""COMPUTED_VALUE"""),"CE CONSELHEIRO JOSINO")</f>
      </c>
      <c r="D13" s="10">
        <f>IFERROR(__xludf.DUMMYFUNCTION("""COMPUTED_VALUE"""),0.5208)</f>
      </c>
      <c r="E13" s="11">
        <f>IFERROR(__xludf.DUMMYFUNCTION("""COMPUTED_VALUE"""),199.78)</f>
      </c>
      <c r="F13" s="10">
        <f>IFERROR(__xludf.DUMMYFUNCTION("""COMPUTED_VALUE"""),0.6042)</f>
      </c>
      <c r="G13" s="11">
        <f>IFERROR(__xludf.DUMMYFUNCTION("""COMPUTED_VALUE"""),366.9)</f>
      </c>
      <c r="H13" s="10">
        <f>IFERROR(__xludf.DUMMYFUNCTION("""COMPUTED_VALUE"""),0.3857)</f>
      </c>
      <c r="I13" s="11">
        <f>IFERROR(__xludf.DUMMYFUNCTION("""COMPUTED_VALUE"""),351.11)</f>
      </c>
      <c r="J13" s="10">
        <f>IFERROR(__xludf.DUMMYFUNCTION("""COMPUTED_VALUE"""),0.5424)</f>
      </c>
      <c r="K13" s="11">
        <f>IFERROR(__xludf.DUMMYFUNCTION("""COMPUTED_VALUE"""),277.5)</f>
      </c>
      <c r="L13" s="10">
        <f>IFERROR(__xludf.DUMMYFUNCTION("""COMPUTED_VALUE"""),0.4143)</f>
      </c>
      <c r="M13" s="11">
        <f>IFERROR(__xludf.DUMMYFUNCTION("""COMPUTED_VALUE"""),434.49)</f>
      </c>
      <c r="N13" s="10">
        <f>IFERROR(__xludf.DUMMYFUNCTION("""COMPUTED_VALUE"""),0.0)</f>
      </c>
      <c r="O13" s="11">
        <f>IFERROR(__xludf.DUMMYFUNCTION("""COMPUTED_VALUE"""),"----")</f>
      </c>
      <c r="P13" s="12"/>
      <c r="Q13" s="13" t="s">
        <v>14</v>
      </c>
      <c r="R13" s="14">
        <v>127</v>
      </c>
      <c r="S13" s="12"/>
      <c r="T13" s="12"/>
      <c r="U13" s="12"/>
      <c r="V13" s="12"/>
      <c r="W13" s="12"/>
      <c r="X13" s="12"/>
      <c r="Y13" s="12"/>
      <c r="Z13" s="12"/>
    </row>
    <row x14ac:dyDescent="0.25" r="14" customHeight="1" ht="15.75">
      <c r="A14" s="8">
        <f>IFERROR(__xludf.DUMMYFUNCTION("""COMPUTED_VALUE"""),25279.0)</f>
      </c>
      <c r="B14" s="9">
        <f>IFERROR(__xludf.DUMMYFUNCTION("""COMPUTED_VALUE"""),"BAIXADAS LITORANEAS")</f>
      </c>
      <c r="C14" s="9">
        <f>IFERROR(__xludf.DUMMYFUNCTION("""COMPUTED_VALUE"""),"CE CONSELHEIRO MACEDO SOARES")</f>
      </c>
      <c r="D14" s="10">
        <f>IFERROR(__xludf.DUMMYFUNCTION("""COMPUTED_VALUE"""),0.9617)</f>
      </c>
      <c r="E14" s="11">
        <f>IFERROR(__xludf.DUMMYFUNCTION("""COMPUTED_VALUE"""),164.58)</f>
      </c>
      <c r="F14" s="10">
        <f>IFERROR(__xludf.DUMMYFUNCTION("""COMPUTED_VALUE"""),0.9522)</f>
      </c>
      <c r="G14" s="11">
        <f>IFERROR(__xludf.DUMMYFUNCTION("""COMPUTED_VALUE"""),190.19)</f>
      </c>
      <c r="H14" s="10">
        <f>IFERROR(__xludf.DUMMYFUNCTION("""COMPUTED_VALUE"""),0.4513)</f>
      </c>
      <c r="I14" s="11">
        <f>IFERROR(__xludf.DUMMYFUNCTION("""COMPUTED_VALUE"""),404.8)</f>
      </c>
      <c r="J14" s="10">
        <f>IFERROR(__xludf.DUMMYFUNCTION("""COMPUTED_VALUE"""),0.587)</f>
      </c>
      <c r="K14" s="11">
        <f>IFERROR(__xludf.DUMMYFUNCTION("""COMPUTED_VALUE"""),239.8)</f>
      </c>
      <c r="L14" s="10">
        <f>IFERROR(__xludf.DUMMYFUNCTION("""COMPUTED_VALUE"""),0.4477)</f>
      </c>
      <c r="M14" s="11">
        <f>IFERROR(__xludf.DUMMYFUNCTION("""COMPUTED_VALUE"""),343.09)</f>
      </c>
      <c r="N14" s="10">
        <f>IFERROR(__xludf.DUMMYFUNCTION("""COMPUTED_VALUE"""),0.5126)</f>
      </c>
      <c r="O14" s="11">
        <f>IFERROR(__xludf.DUMMYFUNCTION("""COMPUTED_VALUE"""),356.03)</f>
      </c>
      <c r="P14" s="12"/>
      <c r="Q14" s="12"/>
      <c r="R14" s="15"/>
      <c r="S14" s="12"/>
      <c r="T14" s="12"/>
      <c r="U14" s="12"/>
      <c r="V14" s="12"/>
      <c r="W14" s="12"/>
      <c r="X14" s="12"/>
      <c r="Y14" s="12"/>
      <c r="Z14" s="12"/>
    </row>
    <row x14ac:dyDescent="0.25" r="15" customHeight="1" ht="15.75">
      <c r="A15" s="8">
        <f>IFERROR(__xludf.DUMMYFUNCTION("""COMPUTED_VALUE"""),25280.0)</f>
      </c>
      <c r="B15" s="9">
        <f>IFERROR(__xludf.DUMMYFUNCTION("""COMPUTED_VALUE"""),"BAIXADAS LITORANEAS")</f>
      </c>
      <c r="C15" s="9">
        <f>IFERROR(__xludf.DUMMYFUNCTION("""COMPUTED_VALUE"""),"CE DAVID CAPISTRANO")</f>
      </c>
      <c r="D15" s="10">
        <f>IFERROR(__xludf.DUMMYFUNCTION("""COMPUTED_VALUE"""),0.9839)</f>
      </c>
      <c r="E15" s="11">
        <f>IFERROR(__xludf.DUMMYFUNCTION("""COMPUTED_VALUE"""),237.24)</f>
      </c>
      <c r="F15" s="10">
        <f>IFERROR(__xludf.DUMMYFUNCTION("""COMPUTED_VALUE"""),0.6548)</f>
      </c>
      <c r="G15" s="11">
        <f>IFERROR(__xludf.DUMMYFUNCTION("""COMPUTED_VALUE"""),435.67)</f>
      </c>
      <c r="H15" s="10">
        <f>IFERROR(__xludf.DUMMYFUNCTION("""COMPUTED_VALUE"""),0.8548)</f>
      </c>
      <c r="I15" s="11">
        <f>IFERROR(__xludf.DUMMYFUNCTION("""COMPUTED_VALUE"""),359.69)</f>
      </c>
      <c r="J15" s="10">
        <f>IFERROR(__xludf.DUMMYFUNCTION("""COMPUTED_VALUE"""),0.7516)</f>
      </c>
      <c r="K15" s="11">
        <f>IFERROR(__xludf.DUMMYFUNCTION("""COMPUTED_VALUE"""),314.49)</f>
      </c>
      <c r="L15" s="10">
        <f>IFERROR(__xludf.DUMMYFUNCTION("""COMPUTED_VALUE"""),0.6645)</f>
      </c>
      <c r="M15" s="11">
        <f>IFERROR(__xludf.DUMMYFUNCTION("""COMPUTED_VALUE"""),335.61)</f>
      </c>
      <c r="N15" s="10">
        <f>IFERROR(__xludf.DUMMYFUNCTION("""COMPUTED_VALUE"""),0.6774)</f>
      </c>
      <c r="O15" s="11">
        <f>IFERROR(__xludf.DUMMYFUNCTION("""COMPUTED_VALUE"""),326.5)</f>
      </c>
      <c r="P15" s="12"/>
      <c r="Q15" s="12"/>
      <c r="R15" s="15"/>
      <c r="S15" s="12"/>
      <c r="T15" s="12"/>
      <c r="U15" s="12"/>
      <c r="V15" s="12"/>
      <c r="W15" s="12"/>
      <c r="X15" s="12"/>
      <c r="Y15" s="12"/>
      <c r="Z15" s="12"/>
    </row>
    <row x14ac:dyDescent="0.25" r="16" customHeight="1" ht="15.75">
      <c r="A16" s="8">
        <f>IFERROR(__xludf.DUMMYFUNCTION("""COMPUTED_VALUE"""),25318.0)</f>
      </c>
      <c r="B16" s="9">
        <f>IFERROR(__xludf.DUMMYFUNCTION("""COMPUTED_VALUE"""),"BAIXADAS LITORANEAS")</f>
      </c>
      <c r="C16" s="9">
        <f>IFERROR(__xludf.DUMMYFUNCTION("""COMPUTED_VALUE"""),"CE DESEMBARGADOR JOSE AUGUSTO COELHO ROCHA JUNIOR")</f>
      </c>
      <c r="D16" s="10">
        <f>IFERROR(__xludf.DUMMYFUNCTION("""COMPUTED_VALUE"""),0.9602)</f>
      </c>
      <c r="E16" s="11">
        <f>IFERROR(__xludf.DUMMYFUNCTION("""COMPUTED_VALUE"""),271.51)</f>
      </c>
      <c r="F16" s="10">
        <f>IFERROR(__xludf.DUMMYFUNCTION("""COMPUTED_VALUE"""),0.9841)</f>
      </c>
      <c r="G16" s="11">
        <f>IFERROR(__xludf.DUMMYFUNCTION("""COMPUTED_VALUE"""),316.72)</f>
      </c>
      <c r="H16" s="10">
        <f>IFERROR(__xludf.DUMMYFUNCTION("""COMPUTED_VALUE"""),0.6186)</f>
      </c>
      <c r="I16" s="11">
        <f>IFERROR(__xludf.DUMMYFUNCTION("""COMPUTED_VALUE"""),459.67)</f>
      </c>
      <c r="J16" s="10">
        <f>IFERROR(__xludf.DUMMYFUNCTION("""COMPUTED_VALUE"""),0.5962)</f>
      </c>
      <c r="K16" s="11">
        <f>IFERROR(__xludf.DUMMYFUNCTION("""COMPUTED_VALUE"""),359.86)</f>
      </c>
      <c r="L16" s="10">
        <f>IFERROR(__xludf.DUMMYFUNCTION("""COMPUTED_VALUE"""),0.536)</f>
      </c>
      <c r="M16" s="11">
        <f>IFERROR(__xludf.DUMMYFUNCTION("""COMPUTED_VALUE"""),395.29)</f>
      </c>
      <c r="N16" s="10">
        <f>IFERROR(__xludf.DUMMYFUNCTION("""COMPUTED_VALUE"""),0.0)</f>
      </c>
      <c r="O16" s="11">
        <f>IFERROR(__xludf.DUMMYFUNCTION("""COMPUTED_VALUE"""),"----")</f>
      </c>
      <c r="P16" s="12"/>
      <c r="Q16" s="12"/>
      <c r="R16" s="15"/>
      <c r="S16" s="12"/>
      <c r="T16" s="12"/>
      <c r="U16" s="12"/>
      <c r="V16" s="12"/>
      <c r="W16" s="12"/>
      <c r="X16" s="12"/>
      <c r="Y16" s="12"/>
      <c r="Z16" s="12"/>
    </row>
    <row x14ac:dyDescent="0.25" r="17" customHeight="1" ht="15.75">
      <c r="A17" s="8">
        <f>IFERROR(__xludf.DUMMYFUNCTION("""COMPUTED_VALUE"""),25264.0)</f>
      </c>
      <c r="B17" s="9">
        <f>IFERROR(__xludf.DUMMYFUNCTION("""COMPUTED_VALUE"""),"BAIXADAS LITORANEAS")</f>
      </c>
      <c r="C17" s="9">
        <f>IFERROR(__xludf.DUMMYFUNCTION("""COMPUTED_VALUE"""),"CE DOMICIO DA GAMA")</f>
      </c>
      <c r="D17" s="10">
        <f>IFERROR(__xludf.DUMMYFUNCTION("""COMPUTED_VALUE"""),0.9467)</f>
      </c>
      <c r="E17" s="11">
        <f>IFERROR(__xludf.DUMMYFUNCTION("""COMPUTED_VALUE"""),284.04)</f>
      </c>
      <c r="F17" s="10">
        <f>IFERROR(__xludf.DUMMYFUNCTION("""COMPUTED_VALUE"""),0.9795)</f>
      </c>
      <c r="G17" s="11">
        <f>IFERROR(__xludf.DUMMYFUNCTION("""COMPUTED_VALUE"""),271.97)</f>
      </c>
      <c r="H17" s="10">
        <f>IFERROR(__xludf.DUMMYFUNCTION("""COMPUTED_VALUE"""),0.6393)</f>
      </c>
      <c r="I17" s="11">
        <f>IFERROR(__xludf.DUMMYFUNCTION("""COMPUTED_VALUE"""),429.35)</f>
      </c>
      <c r="J17" s="10">
        <f>IFERROR(__xludf.DUMMYFUNCTION("""COMPUTED_VALUE"""),0.9918)</f>
      </c>
      <c r="K17" s="11">
        <f>IFERROR(__xludf.DUMMYFUNCTION("""COMPUTED_VALUE"""),173.84)</f>
      </c>
      <c r="L17" s="10">
        <f>IFERROR(__xludf.DUMMYFUNCTION("""COMPUTED_VALUE"""),1.0)</f>
      </c>
      <c r="M17" s="11">
        <f>IFERROR(__xludf.DUMMYFUNCTION("""COMPUTED_VALUE"""),342.46)</f>
      </c>
      <c r="N17" s="10">
        <f>IFERROR(__xludf.DUMMYFUNCTION("""COMPUTED_VALUE"""),0.9959)</f>
      </c>
      <c r="O17" s="11">
        <f>IFERROR(__xludf.DUMMYFUNCTION("""COMPUTED_VALUE"""),327.11)</f>
      </c>
      <c r="P17" s="12"/>
      <c r="Q17" s="12"/>
      <c r="R17" s="16"/>
      <c r="S17" s="12"/>
      <c r="T17" s="12"/>
      <c r="U17" s="12"/>
      <c r="V17" s="12"/>
      <c r="W17" s="12"/>
      <c r="X17" s="12"/>
      <c r="Y17" s="12"/>
      <c r="Z17" s="12"/>
    </row>
    <row x14ac:dyDescent="0.25" r="18" customHeight="1" ht="15.75">
      <c r="A18" s="8">
        <f>IFERROR(__xludf.DUMMYFUNCTION("""COMPUTED_VALUE"""),25322.0)</f>
      </c>
      <c r="B18" s="9">
        <f>IFERROR(__xludf.DUMMYFUNCTION("""COMPUTED_VALUE"""),"BAIXADAS LITORANEAS")</f>
      </c>
      <c r="C18" s="9">
        <f>IFERROR(__xludf.DUMMYFUNCTION("""COMPUTED_VALUE"""),"CE DOUTOR FELICIANO SODRE")</f>
      </c>
      <c r="D18" s="10">
        <f>IFERROR(__xludf.DUMMYFUNCTION("""COMPUTED_VALUE"""),0.6749)</f>
      </c>
      <c r="E18" s="11">
        <f>IFERROR(__xludf.DUMMYFUNCTION("""COMPUTED_VALUE"""),241.13)</f>
      </c>
      <c r="F18" s="10">
        <f>IFERROR(__xludf.DUMMYFUNCTION("""COMPUTED_VALUE"""),0.6516)</f>
      </c>
      <c r="G18" s="11">
        <f>IFERROR(__xludf.DUMMYFUNCTION("""COMPUTED_VALUE"""),299.95)</f>
      </c>
      <c r="H18" s="10">
        <f>IFERROR(__xludf.DUMMYFUNCTION("""COMPUTED_VALUE"""),0.4956)</f>
      </c>
      <c r="I18" s="11">
        <f>IFERROR(__xludf.DUMMYFUNCTION("""COMPUTED_VALUE"""),385.15)</f>
      </c>
      <c r="J18" s="10">
        <f>IFERROR(__xludf.DUMMYFUNCTION("""COMPUTED_VALUE"""),0.4577)</f>
      </c>
      <c r="K18" s="11">
        <f>IFERROR(__xludf.DUMMYFUNCTION("""COMPUTED_VALUE"""),173.38)</f>
      </c>
      <c r="L18" s="10">
        <f>IFERROR(__xludf.DUMMYFUNCTION("""COMPUTED_VALUE"""),0.5408)</f>
      </c>
      <c r="M18" s="11">
        <f>IFERROR(__xludf.DUMMYFUNCTION("""COMPUTED_VALUE"""),149.62)</f>
      </c>
      <c r="N18" s="10">
        <f>IFERROR(__xludf.DUMMYFUNCTION("""COMPUTED_VALUE"""),0.3149)</f>
      </c>
      <c r="O18" s="11">
        <f>IFERROR(__xludf.DUMMYFUNCTION("""COMPUTED_VALUE"""),151.03)</f>
      </c>
      <c r="P18" s="12"/>
      <c r="Q18" s="12"/>
      <c r="R18" s="16"/>
      <c r="S18" s="12"/>
      <c r="T18" s="12"/>
      <c r="U18" s="12"/>
      <c r="V18" s="12"/>
      <c r="W18" s="12"/>
      <c r="X18" s="12"/>
      <c r="Y18" s="12"/>
      <c r="Z18" s="12"/>
    </row>
    <row x14ac:dyDescent="0.25" r="19" customHeight="1" ht="15.75">
      <c r="A19" s="8">
        <f>IFERROR(__xludf.DUMMYFUNCTION("""COMPUTED_VALUE"""),25261.0)</f>
      </c>
      <c r="B19" s="9">
        <f>IFERROR(__xludf.DUMMYFUNCTION("""COMPUTED_VALUE"""),"BAIXADAS LITORANEAS")</f>
      </c>
      <c r="C19" s="9">
        <f>IFERROR(__xludf.DUMMYFUNCTION("""COMPUTED_VALUE"""),"CE DOUTOR FRANCISCO DE PAULA PARANHOS")</f>
      </c>
      <c r="D19" s="10">
        <f>IFERROR(__xludf.DUMMYFUNCTION("""COMPUTED_VALUE"""),0.5458)</f>
      </c>
      <c r="E19" s="11">
        <f>IFERROR(__xludf.DUMMYFUNCTION("""COMPUTED_VALUE"""),233.05)</f>
      </c>
      <c r="F19" s="10">
        <f>IFERROR(__xludf.DUMMYFUNCTION("""COMPUTED_VALUE"""),0.6661)</f>
      </c>
      <c r="G19" s="11">
        <f>IFERROR(__xludf.DUMMYFUNCTION("""COMPUTED_VALUE"""),376.57)</f>
      </c>
      <c r="H19" s="10">
        <f>IFERROR(__xludf.DUMMYFUNCTION("""COMPUTED_VALUE"""),0.5961)</f>
      </c>
      <c r="I19" s="11">
        <f>IFERROR(__xludf.DUMMYFUNCTION("""COMPUTED_VALUE"""),405.44)</f>
      </c>
      <c r="J19" s="10">
        <f>IFERROR(__xludf.DUMMYFUNCTION("""COMPUTED_VALUE"""),0.5548)</f>
      </c>
      <c r="K19" s="11">
        <f>IFERROR(__xludf.DUMMYFUNCTION("""COMPUTED_VALUE"""),174.93)</f>
      </c>
      <c r="L19" s="10">
        <f>IFERROR(__xludf.DUMMYFUNCTION("""COMPUTED_VALUE"""),0.5835)</f>
      </c>
      <c r="M19" s="11">
        <f>IFERROR(__xludf.DUMMYFUNCTION("""COMPUTED_VALUE"""),390.99)</f>
      </c>
      <c r="N19" s="10">
        <f>IFERROR(__xludf.DUMMYFUNCTION("""COMPUTED_VALUE"""),0.5889)</f>
      </c>
      <c r="O19" s="11">
        <f>IFERROR(__xludf.DUMMYFUNCTION("""COMPUTED_VALUE"""),361.1)</f>
      </c>
      <c r="P19" s="12"/>
      <c r="Q19" s="12"/>
      <c r="R19" s="16"/>
      <c r="S19" s="12"/>
      <c r="T19" s="12"/>
      <c r="U19" s="12"/>
      <c r="V19" s="12"/>
      <c r="W19" s="12"/>
      <c r="X19" s="12"/>
      <c r="Y19" s="12"/>
      <c r="Z19" s="12"/>
    </row>
    <row x14ac:dyDescent="0.25" r="20" customHeight="1" ht="15.75">
      <c r="A20" s="8">
        <f>IFERROR(__xludf.DUMMYFUNCTION("""COMPUTED_VALUE"""),25265.0)</f>
      </c>
      <c r="B20" s="9">
        <f>IFERROR(__xludf.DUMMYFUNCTION("""COMPUTED_VALUE"""),"BAIXADAS LITORANEAS")</f>
      </c>
      <c r="C20" s="9">
        <f>IFERROR(__xludf.DUMMYFUNCTION("""COMPUTED_VALUE"""),"CE DOUTOR JOAO GOMES DE MATTOS SOBRINHO")</f>
      </c>
      <c r="D20" s="10">
        <f>IFERROR(__xludf.DUMMYFUNCTION("""COMPUTED_VALUE"""),0.81)</f>
      </c>
      <c r="E20" s="11">
        <f>IFERROR(__xludf.DUMMYFUNCTION("""COMPUTED_VALUE"""),119.75)</f>
      </c>
      <c r="F20" s="10">
        <f>IFERROR(__xludf.DUMMYFUNCTION("""COMPUTED_VALUE"""),0.005)</f>
      </c>
      <c r="G20" s="11">
        <f>IFERROR(__xludf.DUMMYFUNCTION("""COMPUTED_VALUE"""),0.0)</f>
      </c>
      <c r="H20" s="10">
        <f>IFERROR(__xludf.DUMMYFUNCTION("""COMPUTED_VALUE"""),0.7275)</f>
      </c>
      <c r="I20" s="11">
        <f>IFERROR(__xludf.DUMMYFUNCTION("""COMPUTED_VALUE"""),435.97)</f>
      </c>
      <c r="J20" s="10">
        <f>IFERROR(__xludf.DUMMYFUNCTION("""COMPUTED_VALUE"""),0.7125)</f>
      </c>
      <c r="K20" s="11">
        <f>IFERROR(__xludf.DUMMYFUNCTION("""COMPUTED_VALUE"""),214.49)</f>
      </c>
      <c r="L20" s="10">
        <f>IFERROR(__xludf.DUMMYFUNCTION("""COMPUTED_VALUE"""),0.665)</f>
      </c>
      <c r="M20" s="11">
        <f>IFERROR(__xludf.DUMMYFUNCTION("""COMPUTED_VALUE"""),429.96)</f>
      </c>
      <c r="N20" s="10">
        <f>IFERROR(__xludf.DUMMYFUNCTION("""COMPUTED_VALUE"""),0.6625)</f>
      </c>
      <c r="O20" s="11">
        <f>IFERROR(__xludf.DUMMYFUNCTION("""COMPUTED_VALUE"""),381.0)</f>
      </c>
      <c r="P20" s="12"/>
      <c r="Q20" s="12"/>
      <c r="R20" s="16"/>
      <c r="S20" s="12"/>
      <c r="T20" s="12"/>
      <c r="U20" s="12"/>
      <c r="V20" s="12"/>
      <c r="W20" s="12"/>
      <c r="X20" s="12"/>
      <c r="Y20" s="12"/>
      <c r="Z20" s="12"/>
    </row>
    <row x14ac:dyDescent="0.25" r="21" customHeight="1" ht="15.75">
      <c r="A21" s="8">
        <f>IFERROR(__xludf.DUMMYFUNCTION("""COMPUTED_VALUE"""),25281.0)</f>
      </c>
      <c r="B21" s="9">
        <f>IFERROR(__xludf.DUMMYFUNCTION("""COMPUTED_VALUE"""),"BAIXADAS LITORANEAS")</f>
      </c>
      <c r="C21" s="9">
        <f>IFERROR(__xludf.DUMMYFUNCTION("""COMPUTED_VALUE"""),"CE DOUTOR LUCIANO PESTRE")</f>
      </c>
      <c r="D21" s="10">
        <f>IFERROR(__xludf.DUMMYFUNCTION("""COMPUTED_VALUE"""),0.7246)</f>
      </c>
      <c r="E21" s="11">
        <f>IFERROR(__xludf.DUMMYFUNCTION("""COMPUTED_VALUE"""),168.74)</f>
      </c>
      <c r="F21" s="10">
        <f>IFERROR(__xludf.DUMMYFUNCTION("""COMPUTED_VALUE"""),0.4493)</f>
      </c>
      <c r="G21" s="11">
        <f>IFERROR(__xludf.DUMMYFUNCTION("""COMPUTED_VALUE"""),341.56)</f>
      </c>
      <c r="H21" s="10">
        <f>IFERROR(__xludf.DUMMYFUNCTION("""COMPUTED_VALUE"""),0.5631)</f>
      </c>
      <c r="I21" s="11">
        <f>IFERROR(__xludf.DUMMYFUNCTION("""COMPUTED_VALUE"""),404.83)</f>
      </c>
      <c r="J21" s="10">
        <f>IFERROR(__xludf.DUMMYFUNCTION("""COMPUTED_VALUE"""),0.561)</f>
      </c>
      <c r="K21" s="11">
        <f>IFERROR(__xludf.DUMMYFUNCTION("""COMPUTED_VALUE"""),268.31)</f>
      </c>
      <c r="L21" s="10">
        <f>IFERROR(__xludf.DUMMYFUNCTION("""COMPUTED_VALUE"""),0.0)</f>
      </c>
      <c r="M21" s="11">
        <f>IFERROR(__xludf.DUMMYFUNCTION("""COMPUTED_VALUE"""),"----")</f>
      </c>
      <c r="N21" s="10">
        <f>IFERROR(__xludf.DUMMYFUNCTION("""COMPUTED_VALUE"""),0.5437)</f>
      </c>
      <c r="O21" s="11">
        <f>IFERROR(__xludf.DUMMYFUNCTION("""COMPUTED_VALUE"""),427.86)</f>
      </c>
      <c r="P21" s="12"/>
      <c r="Q21" s="12"/>
      <c r="R21" s="16"/>
      <c r="S21" s="12"/>
      <c r="T21" s="12"/>
      <c r="U21" s="12"/>
      <c r="V21" s="12"/>
      <c r="W21" s="12"/>
      <c r="X21" s="12"/>
      <c r="Y21" s="12"/>
      <c r="Z21" s="12"/>
    </row>
    <row x14ac:dyDescent="0.25" r="22" customHeight="1" ht="15.75">
      <c r="A22" s="8">
        <f>IFERROR(__xludf.DUMMYFUNCTION("""COMPUTED_VALUE"""),25282.0)</f>
      </c>
      <c r="B22" s="9">
        <f>IFERROR(__xludf.DUMMYFUNCTION("""COMPUTED_VALUE"""),"BAIXADAS LITORANEAS")</f>
      </c>
      <c r="C22" s="9">
        <f>IFERROR(__xludf.DUMMYFUNCTION("""COMPUTED_VALUE"""),"CE DOUTOR SOUZA SOARES")</f>
      </c>
      <c r="D22" s="10">
        <f>IFERROR(__xludf.DUMMYFUNCTION("""COMPUTED_VALUE"""),1.0)</f>
      </c>
      <c r="E22" s="11">
        <f>IFERROR(__xludf.DUMMYFUNCTION("""COMPUTED_VALUE"""),291.76)</f>
      </c>
      <c r="F22" s="10">
        <f>IFERROR(__xludf.DUMMYFUNCTION("""COMPUTED_VALUE"""),0.9412)</f>
      </c>
      <c r="G22" s="11">
        <f>IFERROR(__xludf.DUMMYFUNCTION("""COMPUTED_VALUE"""),352.5)</f>
      </c>
      <c r="H22" s="10">
        <f>IFERROR(__xludf.DUMMYFUNCTION("""COMPUTED_VALUE"""),1.0)</f>
      </c>
      <c r="I22" s="11">
        <f>IFERROR(__xludf.DUMMYFUNCTION("""COMPUTED_VALUE"""),425.88)</f>
      </c>
      <c r="J22" s="10">
        <f>IFERROR(__xludf.DUMMYFUNCTION("""COMPUTED_VALUE"""),1.0)</f>
      </c>
      <c r="K22" s="11">
        <f>IFERROR(__xludf.DUMMYFUNCTION("""COMPUTED_VALUE"""),338.82)</f>
      </c>
      <c r="L22" s="10">
        <f>IFERROR(__xludf.DUMMYFUNCTION("""COMPUTED_VALUE"""),1.0)</f>
      </c>
      <c r="M22" s="11">
        <f>IFERROR(__xludf.DUMMYFUNCTION("""COMPUTED_VALUE"""),444.71)</f>
      </c>
      <c r="N22" s="10">
        <f>IFERROR(__xludf.DUMMYFUNCTION("""COMPUTED_VALUE"""),0.8235)</f>
      </c>
      <c r="O22" s="11">
        <f>IFERROR(__xludf.DUMMYFUNCTION("""COMPUTED_VALUE"""),445.71)</f>
      </c>
      <c r="P22" s="12"/>
      <c r="Q22" s="12"/>
      <c r="R22" s="16"/>
      <c r="S22" s="12"/>
      <c r="T22" s="12"/>
      <c r="U22" s="12"/>
      <c r="V22" s="12"/>
      <c r="W22" s="12"/>
      <c r="X22" s="12"/>
      <c r="Y22" s="12"/>
      <c r="Z22" s="12"/>
    </row>
    <row x14ac:dyDescent="0.25" r="23" customHeight="1" ht="15.75">
      <c r="A23" s="8">
        <f>IFERROR(__xludf.DUMMYFUNCTION("""COMPUTED_VALUE"""),25329.0)</f>
      </c>
      <c r="B23" s="9">
        <f>IFERROR(__xludf.DUMMYFUNCTION("""COMPUTED_VALUE"""),"BAIXADAS LITORANEAS")</f>
      </c>
      <c r="C23" s="9">
        <f>IFERROR(__xludf.DUMMYFUNCTION("""COMPUTED_VALUE"""),"CE DUCLER LAUREANO MATOS")</f>
      </c>
      <c r="D23" s="10">
        <f>IFERROR(__xludf.DUMMYFUNCTION("""COMPUTED_VALUE"""),0.9708)</f>
      </c>
      <c r="E23" s="11">
        <f>IFERROR(__xludf.DUMMYFUNCTION("""COMPUTED_VALUE"""),169.92)</f>
      </c>
      <c r="F23" s="10">
        <f>IFERROR(__xludf.DUMMYFUNCTION("""COMPUTED_VALUE"""),0.8321)</f>
      </c>
      <c r="G23" s="11">
        <f>IFERROR(__xludf.DUMMYFUNCTION("""COMPUTED_VALUE"""),212.61)</f>
      </c>
      <c r="H23" s="10">
        <f>IFERROR(__xludf.DUMMYFUNCTION("""COMPUTED_VALUE"""),0.8394)</f>
      </c>
      <c r="I23" s="11">
        <f>IFERROR(__xludf.DUMMYFUNCTION("""COMPUTED_VALUE"""),230.96)</f>
      </c>
      <c r="J23" s="10">
        <f>IFERROR(__xludf.DUMMYFUNCTION("""COMPUTED_VALUE"""),0.6058)</f>
      </c>
      <c r="K23" s="11">
        <f>IFERROR(__xludf.DUMMYFUNCTION("""COMPUTED_VALUE"""),247.09)</f>
      </c>
      <c r="L23" s="10">
        <f>IFERROR(__xludf.DUMMYFUNCTION("""COMPUTED_VALUE"""),0.6496)</f>
      </c>
      <c r="M23" s="11">
        <f>IFERROR(__xludf.DUMMYFUNCTION("""COMPUTED_VALUE"""),350.91)</f>
      </c>
      <c r="N23" s="10">
        <f>IFERROR(__xludf.DUMMYFUNCTION("""COMPUTED_VALUE"""),0.6496)</f>
      </c>
      <c r="O23" s="11">
        <f>IFERROR(__xludf.DUMMYFUNCTION("""COMPUTED_VALUE"""),371.24)</f>
      </c>
      <c r="P23" s="12"/>
      <c r="Q23" s="12"/>
      <c r="R23" s="16"/>
      <c r="S23" s="12"/>
      <c r="T23" s="12"/>
      <c r="U23" s="12"/>
      <c r="V23" s="12"/>
      <c r="W23" s="12"/>
      <c r="X23" s="12"/>
      <c r="Y23" s="12"/>
      <c r="Z23" s="12"/>
    </row>
    <row x14ac:dyDescent="0.25" r="24" customHeight="1" ht="15.75">
      <c r="A24" s="8">
        <f>IFERROR(__xludf.DUMMYFUNCTION("""COMPUTED_VALUE"""),25239.0)</f>
      </c>
      <c r="B24" s="9">
        <f>IFERROR(__xludf.DUMMYFUNCTION("""COMPUTED_VALUE"""),"BAIXADAS LITORANEAS")</f>
      </c>
      <c r="C24" s="9">
        <f>IFERROR(__xludf.DUMMYFUNCTION("""COMPUTED_VALUE"""),"CE EDMUNDO SILVA")</f>
      </c>
      <c r="D24" s="10">
        <f>IFERROR(__xludf.DUMMYFUNCTION("""COMPUTED_VALUE"""),0.6743)</f>
      </c>
      <c r="E24" s="11">
        <f>IFERROR(__xludf.DUMMYFUNCTION("""COMPUTED_VALUE"""),239.58)</f>
      </c>
      <c r="F24" s="10">
        <f>IFERROR(__xludf.DUMMYFUNCTION("""COMPUTED_VALUE"""),0.6067)</f>
      </c>
      <c r="G24" s="11">
        <f>IFERROR(__xludf.DUMMYFUNCTION("""COMPUTED_VALUE"""),450.79)</f>
      </c>
      <c r="H24" s="10">
        <f>IFERROR(__xludf.DUMMYFUNCTION("""COMPUTED_VALUE"""),0.5832)</f>
      </c>
      <c r="I24" s="11">
        <f>IFERROR(__xludf.DUMMYFUNCTION("""COMPUTED_VALUE"""),417.03)</f>
      </c>
      <c r="J24" s="10">
        <f>IFERROR(__xludf.DUMMYFUNCTION("""COMPUTED_VALUE"""),0.3754)</f>
      </c>
      <c r="K24" s="11">
        <f>IFERROR(__xludf.DUMMYFUNCTION("""COMPUTED_VALUE"""),"----")</f>
      </c>
      <c r="L24" s="10">
        <f>IFERROR(__xludf.DUMMYFUNCTION("""COMPUTED_VALUE"""),0.4472)</f>
      </c>
      <c r="M24" s="11">
        <f>IFERROR(__xludf.DUMMYFUNCTION("""COMPUTED_VALUE"""),450.09)</f>
      </c>
      <c r="N24" s="10">
        <f>IFERROR(__xludf.DUMMYFUNCTION("""COMPUTED_VALUE"""),0.3973)</f>
      </c>
      <c r="O24" s="11">
        <f>IFERROR(__xludf.DUMMYFUNCTION("""COMPUTED_VALUE"""),427.84)</f>
      </c>
      <c r="P24" s="12"/>
      <c r="Q24" s="12"/>
      <c r="R24" s="16"/>
      <c r="S24" s="12"/>
      <c r="T24" s="12"/>
      <c r="U24" s="12"/>
      <c r="V24" s="12"/>
      <c r="W24" s="12"/>
      <c r="X24" s="12"/>
      <c r="Y24" s="12"/>
      <c r="Z24" s="12"/>
    </row>
    <row x14ac:dyDescent="0.25" r="25" customHeight="1" ht="15.75">
      <c r="A25" s="8">
        <f>IFERROR(__xludf.DUMMYFUNCTION("""COMPUTED_VALUE"""),25266.0)</f>
      </c>
      <c r="B25" s="9">
        <f>IFERROR(__xludf.DUMMYFUNCTION("""COMPUTED_VALUE"""),"BAIXADAS LITORANEAS")</f>
      </c>
      <c r="C25" s="9">
        <f>IFERROR(__xludf.DUMMYFUNCTION("""COMPUTED_VALUE"""),"CE ELISIARIO MATTA")</f>
      </c>
      <c r="D25" s="10">
        <f>IFERROR(__xludf.DUMMYFUNCTION("""COMPUTED_VALUE"""),0.2847)</f>
      </c>
      <c r="E25" s="11">
        <f>IFERROR(__xludf.DUMMYFUNCTION("""COMPUTED_VALUE"""),159.48)</f>
      </c>
      <c r="F25" s="10">
        <f>IFERROR(__xludf.DUMMYFUNCTION("""COMPUTED_VALUE"""),0.0068)</f>
      </c>
      <c r="G25" s="11">
        <f>IFERROR(__xludf.DUMMYFUNCTION("""COMPUTED_VALUE"""),"----")</f>
      </c>
      <c r="H25" s="10">
        <f>IFERROR(__xludf.DUMMYFUNCTION("""COMPUTED_VALUE"""),0.4596)</f>
      </c>
      <c r="I25" s="11">
        <f>IFERROR(__xludf.DUMMYFUNCTION("""COMPUTED_VALUE"""),377.54)</f>
      </c>
      <c r="J25" s="10">
        <f>IFERROR(__xludf.DUMMYFUNCTION("""COMPUTED_VALUE"""),0.2832)</f>
      </c>
      <c r="K25" s="11">
        <f>IFERROR(__xludf.DUMMYFUNCTION("""COMPUTED_VALUE"""),152.66)</f>
      </c>
      <c r="L25" s="10">
        <f>IFERROR(__xludf.DUMMYFUNCTION("""COMPUTED_VALUE"""),0.3277)</f>
      </c>
      <c r="M25" s="11">
        <f>IFERROR(__xludf.DUMMYFUNCTION("""COMPUTED_VALUE"""),428.93)</f>
      </c>
      <c r="N25" s="10">
        <f>IFERROR(__xludf.DUMMYFUNCTION("""COMPUTED_VALUE"""),0.0043)</f>
      </c>
      <c r="O25" s="11">
        <f>IFERROR(__xludf.DUMMYFUNCTION("""COMPUTED_VALUE"""),"----")</f>
      </c>
      <c r="P25" s="12"/>
      <c r="Q25" s="12"/>
      <c r="R25" s="16"/>
      <c r="S25" s="12"/>
      <c r="T25" s="12"/>
      <c r="U25" s="12"/>
      <c r="V25" s="12"/>
      <c r="W25" s="12"/>
      <c r="X25" s="12"/>
      <c r="Y25" s="12"/>
      <c r="Z25" s="12"/>
    </row>
    <row x14ac:dyDescent="0.25" r="26" customHeight="1" ht="15.75">
      <c r="A26" s="8">
        <f>IFERROR(__xludf.DUMMYFUNCTION("""COMPUTED_VALUE"""),25284.0)</f>
      </c>
      <c r="B26" s="9">
        <f>IFERROR(__xludf.DUMMYFUNCTION("""COMPUTED_VALUE"""),"BAIXADAS LITORANEAS")</f>
      </c>
      <c r="C26" s="9">
        <f>IFERROR(__xludf.DUMMYFUNCTION("""COMPUTED_VALUE"""),"CE EMBAIXADOR RAUL FERNANDES")</f>
      </c>
      <c r="D26" s="10">
        <f>IFERROR(__xludf.DUMMYFUNCTION("""COMPUTED_VALUE"""),0.8333)</f>
      </c>
      <c r="E26" s="11">
        <f>IFERROR(__xludf.DUMMYFUNCTION("""COMPUTED_VALUE"""),372.8)</f>
      </c>
      <c r="F26" s="10">
        <f>IFERROR(__xludf.DUMMYFUNCTION("""COMPUTED_VALUE"""),0.7)</f>
      </c>
      <c r="G26" s="11">
        <f>IFERROR(__xludf.DUMMYFUNCTION("""COMPUTED_VALUE"""),488.0)</f>
      </c>
      <c r="H26" s="10">
        <f>IFERROR(__xludf.DUMMYFUNCTION("""COMPUTED_VALUE"""),0.6)</f>
      </c>
      <c r="I26" s="11">
        <f>IFERROR(__xludf.DUMMYFUNCTION("""COMPUTED_VALUE"""),435.56)</f>
      </c>
      <c r="J26" s="10">
        <f>IFERROR(__xludf.DUMMYFUNCTION("""COMPUTED_VALUE"""),0.7)</f>
      </c>
      <c r="K26" s="11">
        <f>IFERROR(__xludf.DUMMYFUNCTION("""COMPUTED_VALUE"""),316.19)</f>
      </c>
      <c r="L26" s="10">
        <f>IFERROR(__xludf.DUMMYFUNCTION("""COMPUTED_VALUE"""),0.4333)</f>
      </c>
      <c r="M26" s="11">
        <f>IFERROR(__xludf.DUMMYFUNCTION("""COMPUTED_VALUE"""),443.08)</f>
      </c>
      <c r="N26" s="10">
        <f>IFERROR(__xludf.DUMMYFUNCTION("""COMPUTED_VALUE"""),0.6333)</f>
      </c>
      <c r="O26" s="11">
        <f>IFERROR(__xludf.DUMMYFUNCTION("""COMPUTED_VALUE"""),505.26)</f>
      </c>
      <c r="P26" s="12"/>
      <c r="Q26" s="12"/>
      <c r="R26" s="15"/>
      <c r="S26" s="12"/>
      <c r="T26" s="12"/>
      <c r="U26" s="12"/>
      <c r="V26" s="12"/>
      <c r="W26" s="12"/>
      <c r="X26" s="12"/>
      <c r="Y26" s="12"/>
      <c r="Z26" s="12"/>
    </row>
    <row x14ac:dyDescent="0.25" r="27" customHeight="1" ht="15.75">
      <c r="A27" s="8">
        <f>IFERROR(__xludf.DUMMYFUNCTION("""COMPUTED_VALUE"""),25267.0)</f>
      </c>
      <c r="B27" s="9">
        <f>IFERROR(__xludf.DUMMYFUNCTION("""COMPUTED_VALUE"""),"BAIXADAS LITORANEAS")</f>
      </c>
      <c r="C27" s="9">
        <f>IFERROR(__xludf.DUMMYFUNCTION("""COMPUTED_VALUE"""),"CE EUCLYDES PAULO DA SILVA")</f>
      </c>
      <c r="D27" s="10">
        <f>IFERROR(__xludf.DUMMYFUNCTION("""COMPUTED_VALUE"""),0.7825)</f>
      </c>
      <c r="E27" s="11">
        <f>IFERROR(__xludf.DUMMYFUNCTION("""COMPUTED_VALUE"""),221.14)</f>
      </c>
      <c r="F27" s="10">
        <f>IFERROR(__xludf.DUMMYFUNCTION("""COMPUTED_VALUE"""),0.9058)</f>
      </c>
      <c r="G27" s="11">
        <f>IFERROR(__xludf.DUMMYFUNCTION("""COMPUTED_VALUE"""),271.48)</f>
      </c>
      <c r="H27" s="10">
        <f>IFERROR(__xludf.DUMMYFUNCTION("""COMPUTED_VALUE"""),1.0)</f>
      </c>
      <c r="I27" s="11">
        <f>IFERROR(__xludf.DUMMYFUNCTION("""COMPUTED_VALUE"""),236.09)</f>
      </c>
      <c r="J27" s="10">
        <f>IFERROR(__xludf.DUMMYFUNCTION("""COMPUTED_VALUE"""),1.0)</f>
      </c>
      <c r="K27" s="11">
        <f>IFERROR(__xludf.DUMMYFUNCTION("""COMPUTED_VALUE"""),145.3)</f>
      </c>
      <c r="L27" s="10">
        <f>IFERROR(__xludf.DUMMYFUNCTION("""COMPUTED_VALUE"""),0.4708)</f>
      </c>
      <c r="M27" s="11">
        <f>IFERROR(__xludf.DUMMYFUNCTION("""COMPUTED_VALUE"""),430.9)</f>
      </c>
      <c r="N27" s="10">
        <f>IFERROR(__xludf.DUMMYFUNCTION("""COMPUTED_VALUE"""),0.0065)</f>
      </c>
      <c r="O27" s="11">
        <f>IFERROR(__xludf.DUMMYFUNCTION("""COMPUTED_VALUE"""),360.0)</f>
      </c>
      <c r="P27" s="12"/>
      <c r="Q27" s="12"/>
      <c r="R27" s="15"/>
      <c r="S27" s="12"/>
      <c r="T27" s="12"/>
      <c r="U27" s="12"/>
      <c r="V27" s="12"/>
      <c r="W27" s="12"/>
      <c r="X27" s="12"/>
      <c r="Y27" s="12"/>
      <c r="Z27" s="12"/>
    </row>
    <row x14ac:dyDescent="0.25" r="28" customHeight="1" ht="15.75">
      <c r="A28" s="8">
        <f>IFERROR(__xludf.DUMMYFUNCTION("""COMPUTED_VALUE"""),25285.0)</f>
      </c>
      <c r="B28" s="9">
        <f>IFERROR(__xludf.DUMMYFUNCTION("""COMPUTED_VALUE"""),"BAIXADAS LITORANEAS")</f>
      </c>
      <c r="C28" s="9">
        <f>IFERROR(__xludf.DUMMYFUNCTION("""COMPUTED_VALUE"""),"CE FERNANDO MAGALHAES")</f>
      </c>
      <c r="D28" s="10">
        <f>IFERROR(__xludf.DUMMYFUNCTION("""COMPUTED_VALUE"""),0.7767)</f>
      </c>
      <c r="E28" s="11">
        <f>IFERROR(__xludf.DUMMYFUNCTION("""COMPUTED_VALUE"""),334.87)</f>
      </c>
      <c r="F28" s="10">
        <f>IFERROR(__xludf.DUMMYFUNCTION("""COMPUTED_VALUE"""),0.7961)</f>
      </c>
      <c r="G28" s="11">
        <f>IFERROR(__xludf.DUMMYFUNCTION("""COMPUTED_VALUE"""),480.51)</f>
      </c>
      <c r="H28" s="10">
        <f>IFERROR(__xludf.DUMMYFUNCTION("""COMPUTED_VALUE"""),0.6117)</f>
      </c>
      <c r="I28" s="11">
        <f>IFERROR(__xludf.DUMMYFUNCTION("""COMPUTED_VALUE"""),485.16)</f>
      </c>
      <c r="J28" s="10">
        <f>IFERROR(__xludf.DUMMYFUNCTION("""COMPUTED_VALUE"""),0.7864)</f>
      </c>
      <c r="K28" s="11">
        <f>IFERROR(__xludf.DUMMYFUNCTION("""COMPUTED_VALUE"""),306.5)</f>
      </c>
      <c r="L28" s="10">
        <f>IFERROR(__xludf.DUMMYFUNCTION("""COMPUTED_VALUE"""),0.8641)</f>
      </c>
      <c r="M28" s="11">
        <f>IFERROR(__xludf.DUMMYFUNCTION("""COMPUTED_VALUE"""),404.49)</f>
      </c>
      <c r="N28" s="10">
        <f>IFERROR(__xludf.DUMMYFUNCTION("""COMPUTED_VALUE"""),0.7282)</f>
      </c>
      <c r="O28" s="11">
        <f>IFERROR(__xludf.DUMMYFUNCTION("""COMPUTED_VALUE"""),422.4)</f>
      </c>
      <c r="P28" s="12"/>
      <c r="Q28" s="12"/>
      <c r="R28" s="15"/>
      <c r="S28" s="12"/>
      <c r="T28" s="12"/>
      <c r="U28" s="12"/>
      <c r="V28" s="12"/>
      <c r="W28" s="12"/>
      <c r="X28" s="12"/>
      <c r="Y28" s="12"/>
      <c r="Z28" s="12"/>
    </row>
    <row x14ac:dyDescent="0.25" r="29" customHeight="1" ht="15.75">
      <c r="A29" s="8">
        <f>IFERROR(__xludf.DUMMYFUNCTION("""COMPUTED_VALUE"""),25268.0)</f>
      </c>
      <c r="B29" s="9">
        <f>IFERROR(__xludf.DUMMYFUNCTION("""COMPUTED_VALUE"""),"BAIXADAS LITORANEAS")</f>
      </c>
      <c r="C29" s="9">
        <f>IFERROR(__xludf.DUMMYFUNCTION("""COMPUTED_VALUE"""),"CE FRANCISCO JOSE DO NASCIMENTO")</f>
      </c>
      <c r="D29" s="10">
        <f>IFERROR(__xludf.DUMMYFUNCTION("""COMPUTED_VALUE"""),0.8481)</f>
      </c>
      <c r="E29" s="11">
        <f>IFERROR(__xludf.DUMMYFUNCTION("""COMPUTED_VALUE"""),164.16)</f>
      </c>
      <c r="F29" s="10">
        <f>IFERROR(__xludf.DUMMYFUNCTION("""COMPUTED_VALUE"""),0.6519)</f>
      </c>
      <c r="G29" s="11">
        <f>IFERROR(__xludf.DUMMYFUNCTION("""COMPUTED_VALUE"""),370.51)</f>
      </c>
      <c r="H29" s="10">
        <f>IFERROR(__xludf.DUMMYFUNCTION("""COMPUTED_VALUE"""),0.5926)</f>
      </c>
      <c r="I29" s="11">
        <f>IFERROR(__xludf.DUMMYFUNCTION("""COMPUTED_VALUE"""),384.71)</f>
      </c>
      <c r="J29" s="10">
        <f>IFERROR(__xludf.DUMMYFUNCTION("""COMPUTED_VALUE"""),0.7037)</f>
      </c>
      <c r="K29" s="11">
        <f>IFERROR(__xludf.DUMMYFUNCTION("""COMPUTED_VALUE"""),383.3)</f>
      </c>
      <c r="L29" s="10">
        <f>IFERROR(__xludf.DUMMYFUNCTION("""COMPUTED_VALUE"""),0.563)</f>
      </c>
      <c r="M29" s="11">
        <f>IFERROR(__xludf.DUMMYFUNCTION("""COMPUTED_VALUE"""),380.13)</f>
      </c>
      <c r="N29" s="10">
        <f>IFERROR(__xludf.DUMMYFUNCTION("""COMPUTED_VALUE"""),0.5519)</f>
      </c>
      <c r="O29" s="11">
        <f>IFERROR(__xludf.DUMMYFUNCTION("""COMPUTED_VALUE"""),418.63)</f>
      </c>
      <c r="P29" s="12"/>
      <c r="Q29" s="12"/>
      <c r="R29" s="15"/>
      <c r="S29" s="12"/>
      <c r="T29" s="12"/>
      <c r="U29" s="12"/>
      <c r="V29" s="12"/>
      <c r="W29" s="12"/>
      <c r="X29" s="12"/>
      <c r="Y29" s="12"/>
      <c r="Z29" s="12"/>
    </row>
    <row x14ac:dyDescent="0.25" r="30" customHeight="1" ht="15.75">
      <c r="A30" s="8">
        <f>IFERROR(__xludf.DUMMYFUNCTION("""COMPUTED_VALUE"""),25286.0)</f>
      </c>
      <c r="B30" s="9">
        <f>IFERROR(__xludf.DUMMYFUNCTION("""COMPUTED_VALUE"""),"BAIXADAS LITORANEAS")</f>
      </c>
      <c r="C30" s="9">
        <f>IFERROR(__xludf.DUMMYFUNCTION("""COMPUTED_VALUE"""),"CE GUILHERME BRIGGS - BRASIL-ESPANHA")</f>
      </c>
      <c r="D30" s="10">
        <f>IFERROR(__xludf.DUMMYFUNCTION("""COMPUTED_VALUE"""),0.9844)</f>
      </c>
      <c r="E30" s="11">
        <f>IFERROR(__xludf.DUMMYFUNCTION("""COMPUTED_VALUE"""),265.4)</f>
      </c>
      <c r="F30" s="10">
        <f>IFERROR(__xludf.DUMMYFUNCTION("""COMPUTED_VALUE"""),0.6823)</f>
      </c>
      <c r="G30" s="11">
        <f>IFERROR(__xludf.DUMMYFUNCTION("""COMPUTED_VALUE"""),472.08)</f>
      </c>
      <c r="H30" s="10">
        <f>IFERROR(__xludf.DUMMYFUNCTION("""COMPUTED_VALUE"""),0.5342)</f>
      </c>
      <c r="I30" s="11">
        <f>IFERROR(__xludf.DUMMYFUNCTION("""COMPUTED_VALUE"""),486.55)</f>
      </c>
      <c r="J30" s="10">
        <f>IFERROR(__xludf.DUMMYFUNCTION("""COMPUTED_VALUE"""),0.6748)</f>
      </c>
      <c r="K30" s="11">
        <f>IFERROR(__xludf.DUMMYFUNCTION("""COMPUTED_VALUE"""),374.8)</f>
      </c>
      <c r="L30" s="10">
        <f>IFERROR(__xludf.DUMMYFUNCTION("""COMPUTED_VALUE"""),0.4701)</f>
      </c>
      <c r="M30" s="11">
        <f>IFERROR(__xludf.DUMMYFUNCTION("""COMPUTED_VALUE"""),466.31)</f>
      </c>
      <c r="N30" s="10">
        <f>IFERROR(__xludf.DUMMYFUNCTION("""COMPUTED_VALUE"""),0.5299)</f>
      </c>
      <c r="O30" s="11">
        <f>IFERROR(__xludf.DUMMYFUNCTION("""COMPUTED_VALUE"""),507.98)</f>
      </c>
      <c r="P30" s="12"/>
      <c r="Q30" s="12"/>
      <c r="R30" s="15"/>
      <c r="S30" s="12"/>
      <c r="T30" s="12"/>
      <c r="U30" s="12"/>
      <c r="V30" s="12"/>
      <c r="W30" s="12"/>
      <c r="X30" s="12"/>
      <c r="Y30" s="12"/>
      <c r="Z30" s="12"/>
    </row>
    <row x14ac:dyDescent="0.25" r="31" customHeight="1" ht="15.75">
      <c r="A31" s="8">
        <f>IFERROR(__xludf.DUMMYFUNCTION("""COMPUTED_VALUE"""),25287.0)</f>
      </c>
      <c r="B31" s="9">
        <f>IFERROR(__xludf.DUMMYFUNCTION("""COMPUTED_VALUE"""),"BAIXADAS LITORANEAS")</f>
      </c>
      <c r="C31" s="9">
        <f>IFERROR(__xludf.DUMMYFUNCTION("""COMPUTED_VALUE"""),"CE HILARIO RIBEIRO")</f>
      </c>
      <c r="D31" s="10">
        <f>IFERROR(__xludf.DUMMYFUNCTION("""COMPUTED_VALUE"""),0.7308)</f>
      </c>
      <c r="E31" s="11">
        <f>IFERROR(__xludf.DUMMYFUNCTION("""COMPUTED_VALUE"""),202.15)</f>
      </c>
      <c r="F31" s="10">
        <f>IFERROR(__xludf.DUMMYFUNCTION("""COMPUTED_VALUE"""),0.6)</f>
      </c>
      <c r="G31" s="11">
        <f>IFERROR(__xludf.DUMMYFUNCTION("""COMPUTED_VALUE"""),366.75)</f>
      </c>
      <c r="H31" s="10">
        <f>IFERROR(__xludf.DUMMYFUNCTION("""COMPUTED_VALUE"""),0.6462)</f>
      </c>
      <c r="I31" s="11">
        <f>IFERROR(__xludf.DUMMYFUNCTION("""COMPUTED_VALUE"""),414.29)</f>
      </c>
      <c r="J31" s="10">
        <f>IFERROR(__xludf.DUMMYFUNCTION("""COMPUTED_VALUE"""),0.5923)</f>
      </c>
      <c r="K31" s="11">
        <f>IFERROR(__xludf.DUMMYFUNCTION("""COMPUTED_VALUE"""),254.93)</f>
      </c>
      <c r="L31" s="10">
        <f>IFERROR(__xludf.DUMMYFUNCTION("""COMPUTED_VALUE"""),0.5769)</f>
      </c>
      <c r="M31" s="11">
        <f>IFERROR(__xludf.DUMMYFUNCTION("""COMPUTED_VALUE"""),347.73)</f>
      </c>
      <c r="N31" s="10">
        <f>IFERROR(__xludf.DUMMYFUNCTION("""COMPUTED_VALUE"""),0.5231)</f>
      </c>
      <c r="O31" s="11">
        <f>IFERROR(__xludf.DUMMYFUNCTION("""COMPUTED_VALUE"""),390.59)</f>
      </c>
      <c r="P31" s="12"/>
      <c r="Q31" s="12"/>
      <c r="R31" s="15"/>
      <c r="S31" s="12"/>
      <c r="T31" s="12"/>
      <c r="U31" s="12"/>
      <c r="V31" s="12"/>
      <c r="W31" s="12"/>
      <c r="X31" s="12"/>
      <c r="Y31" s="12"/>
      <c r="Z31" s="12"/>
    </row>
    <row x14ac:dyDescent="0.25" r="32" customHeight="1" ht="15.75">
      <c r="A32" s="8">
        <f>IFERROR(__xludf.DUMMYFUNCTION("""COMPUTED_VALUE"""),25330.0)</f>
      </c>
      <c r="B32" s="9">
        <f>IFERROR(__xludf.DUMMYFUNCTION("""COMPUTED_VALUE"""),"BAIXADAS LITORANEAS")</f>
      </c>
      <c r="C32" s="9">
        <f>IFERROR(__xludf.DUMMYFUNCTION("""COMPUTED_VALUE"""),"CE ISMENIA DE BARROS BARROSO")</f>
      </c>
      <c r="D32" s="10">
        <f>IFERROR(__xludf.DUMMYFUNCTION("""COMPUTED_VALUE"""),0.9492)</f>
      </c>
      <c r="E32" s="11">
        <f>IFERROR(__xludf.DUMMYFUNCTION("""COMPUTED_VALUE"""),253.05)</f>
      </c>
      <c r="F32" s="10">
        <f>IFERROR(__xludf.DUMMYFUNCTION("""COMPUTED_VALUE"""),0.5635)</f>
      </c>
      <c r="G32" s="11">
        <f>IFERROR(__xludf.DUMMYFUNCTION("""COMPUTED_VALUE"""),405.82)</f>
      </c>
      <c r="H32" s="10">
        <f>IFERROR(__xludf.DUMMYFUNCTION("""COMPUTED_VALUE"""),0.6701)</f>
      </c>
      <c r="I32" s="11">
        <f>IFERROR(__xludf.DUMMYFUNCTION("""COMPUTED_VALUE"""),382.15)</f>
      </c>
      <c r="J32" s="10">
        <f>IFERROR(__xludf.DUMMYFUNCTION("""COMPUTED_VALUE"""),0.6447)</f>
      </c>
      <c r="K32" s="11">
        <f>IFERROR(__xludf.DUMMYFUNCTION("""COMPUTED_VALUE"""),285.16)</f>
      </c>
      <c r="L32" s="10">
        <f>IFERROR(__xludf.DUMMYFUNCTION("""COMPUTED_VALUE"""),0.3858)</f>
      </c>
      <c r="M32" s="11">
        <f>IFERROR(__xludf.DUMMYFUNCTION("""COMPUTED_VALUE"""),434.59)</f>
      </c>
      <c r="N32" s="10">
        <f>IFERROR(__xludf.DUMMYFUNCTION("""COMPUTED_VALUE"""),0.3503)</f>
      </c>
      <c r="O32" s="11">
        <f>IFERROR(__xludf.DUMMYFUNCTION("""COMPUTED_VALUE"""),423.19)</f>
      </c>
      <c r="P32" s="12"/>
      <c r="Q32" s="12"/>
      <c r="R32" s="15"/>
      <c r="S32" s="12"/>
      <c r="T32" s="12"/>
      <c r="U32" s="12"/>
      <c r="V32" s="12"/>
      <c r="W32" s="12"/>
      <c r="X32" s="12"/>
      <c r="Y32" s="12"/>
      <c r="Z32" s="12"/>
    </row>
    <row x14ac:dyDescent="0.25" r="33" customHeight="1" ht="15.75">
      <c r="A33" s="8">
        <f>IFERROR(__xludf.DUMMYFUNCTION("""COMPUTED_VALUE"""),25247.0)</f>
      </c>
      <c r="B33" s="9">
        <f>IFERROR(__xludf.DUMMYFUNCTION("""COMPUTED_VALUE"""),"BAIXADAS LITORANEAS")</f>
      </c>
      <c r="C33" s="9">
        <f>IFERROR(__xludf.DUMMYFUNCTION("""COMPUTED_VALUE"""),"CE JOAO DE OLIVEIRA BOTAS")</f>
      </c>
      <c r="D33" s="10">
        <f>IFERROR(__xludf.DUMMYFUNCTION("""COMPUTED_VALUE"""),0.8907)</f>
      </c>
      <c r="E33" s="11">
        <f>IFERROR(__xludf.DUMMYFUNCTION("""COMPUTED_VALUE"""),149.48)</f>
      </c>
      <c r="F33" s="10">
        <f>IFERROR(__xludf.DUMMYFUNCTION("""COMPUTED_VALUE"""),0.5464)</f>
      </c>
      <c r="G33" s="11">
        <f>IFERROR(__xludf.DUMMYFUNCTION("""COMPUTED_VALUE"""),350.93)</f>
      </c>
      <c r="H33" s="10">
        <f>IFERROR(__xludf.DUMMYFUNCTION("""COMPUTED_VALUE"""),0.4435)</f>
      </c>
      <c r="I33" s="11">
        <f>IFERROR(__xludf.DUMMYFUNCTION("""COMPUTED_VALUE"""),427.1)</f>
      </c>
      <c r="J33" s="10">
        <f>IFERROR(__xludf.DUMMYFUNCTION("""COMPUTED_VALUE"""),0.561)</f>
      </c>
      <c r="K33" s="11">
        <f>IFERROR(__xludf.DUMMYFUNCTION("""COMPUTED_VALUE"""),237.12)</f>
      </c>
      <c r="L33" s="10">
        <f>IFERROR(__xludf.DUMMYFUNCTION("""COMPUTED_VALUE"""),0.4165)</f>
      </c>
      <c r="M33" s="11">
        <f>IFERROR(__xludf.DUMMYFUNCTION("""COMPUTED_VALUE"""),401.13)</f>
      </c>
      <c r="N33" s="10">
        <f>IFERROR(__xludf.DUMMYFUNCTION("""COMPUTED_VALUE"""),0.3288)</f>
      </c>
      <c r="O33" s="11">
        <f>IFERROR(__xludf.DUMMYFUNCTION("""COMPUTED_VALUE"""),445.78)</f>
      </c>
      <c r="P33" s="12"/>
      <c r="Q33" s="12"/>
      <c r="R33" s="15"/>
      <c r="S33" s="12"/>
      <c r="T33" s="12"/>
      <c r="U33" s="12"/>
      <c r="V33" s="12"/>
      <c r="W33" s="12"/>
      <c r="X33" s="12"/>
      <c r="Y33" s="12"/>
      <c r="Z33" s="12"/>
    </row>
    <row x14ac:dyDescent="0.25" r="34" customHeight="1" ht="15.75">
      <c r="A34" s="8">
        <f>IFERROR(__xludf.DUMMYFUNCTION("""COMPUTED_VALUE"""),25288.0)</f>
      </c>
      <c r="B34" s="9">
        <f>IFERROR(__xludf.DUMMYFUNCTION("""COMPUTED_VALUE"""),"BAIXADAS LITORANEAS")</f>
      </c>
      <c r="C34" s="9">
        <f>IFERROR(__xludf.DUMMYFUNCTION("""COMPUTED_VALUE"""),"CE JOAQUIM TAVORA")</f>
      </c>
      <c r="D34" s="10">
        <f>IFERROR(__xludf.DUMMYFUNCTION("""COMPUTED_VALUE"""),0.951)</f>
      </c>
      <c r="E34" s="11">
        <f>IFERROR(__xludf.DUMMYFUNCTION("""COMPUTED_VALUE"""),142.68)</f>
      </c>
      <c r="F34" s="10">
        <f>IFERROR(__xludf.DUMMYFUNCTION("""COMPUTED_VALUE"""),0.0098)</f>
      </c>
      <c r="G34" s="11">
        <f>IFERROR(__xludf.DUMMYFUNCTION("""COMPUTED_VALUE"""),"----")</f>
      </c>
      <c r="H34" s="10">
        <f>IFERROR(__xludf.DUMMYFUNCTION("""COMPUTED_VALUE"""),0.8328)</f>
      </c>
      <c r="I34" s="11">
        <f>IFERROR(__xludf.DUMMYFUNCTION("""COMPUTED_VALUE"""),206.25)</f>
      </c>
      <c r="J34" s="10">
        <f>IFERROR(__xludf.DUMMYFUNCTION("""COMPUTED_VALUE"""),0.476)</f>
      </c>
      <c r="K34" s="11">
        <f>IFERROR(__xludf.DUMMYFUNCTION("""COMPUTED_VALUE"""),171.37)</f>
      </c>
      <c r="L34" s="10">
        <f>IFERROR(__xludf.DUMMYFUNCTION("""COMPUTED_VALUE"""),0.4985)</f>
      </c>
      <c r="M34" s="11">
        <f>IFERROR(__xludf.DUMMYFUNCTION("""COMPUTED_VALUE"""),384.84)</f>
      </c>
      <c r="N34" s="10">
        <f>IFERROR(__xludf.DUMMYFUNCTION("""COMPUTED_VALUE"""),0.452)</f>
      </c>
      <c r="O34" s="11">
        <f>IFERROR(__xludf.DUMMYFUNCTION("""COMPUTED_VALUE"""),399.44)</f>
      </c>
      <c r="P34" s="12"/>
      <c r="Q34" s="12"/>
      <c r="R34" s="15"/>
      <c r="S34" s="12"/>
      <c r="T34" s="12"/>
      <c r="U34" s="12"/>
      <c r="V34" s="12"/>
      <c r="W34" s="12"/>
      <c r="X34" s="12"/>
      <c r="Y34" s="12"/>
      <c r="Z34" s="12"/>
    </row>
    <row x14ac:dyDescent="0.25" r="35" customHeight="1" ht="15.75">
      <c r="A35" s="8">
        <f>IFERROR(__xludf.DUMMYFUNCTION("""COMPUTED_VALUE"""),25289.0)</f>
      </c>
      <c r="B35" s="9">
        <f>IFERROR(__xludf.DUMMYFUNCTION("""COMPUTED_VALUE"""),"BAIXADAS LITORANEAS")</f>
      </c>
      <c r="C35" s="9">
        <f>IFERROR(__xludf.DUMMYFUNCTION("""COMPUTED_VALUE"""),"CE JOSE BONIFACIO")</f>
      </c>
      <c r="D35" s="10">
        <f>IFERROR(__xludf.DUMMYFUNCTION("""COMPUTED_VALUE"""),0.86)</f>
      </c>
      <c r="E35" s="11">
        <f>IFERROR(__xludf.DUMMYFUNCTION("""COMPUTED_VALUE"""),288.37)</f>
      </c>
      <c r="F35" s="10">
        <f>IFERROR(__xludf.DUMMYFUNCTION("""COMPUTED_VALUE"""),0.76)</f>
      </c>
      <c r="G35" s="11">
        <f>IFERROR(__xludf.DUMMYFUNCTION("""COMPUTED_VALUE"""),403.16)</f>
      </c>
      <c r="H35" s="10">
        <f>IFERROR(__xludf.DUMMYFUNCTION("""COMPUTED_VALUE"""),0.82)</f>
      </c>
      <c r="I35" s="11">
        <f>IFERROR(__xludf.DUMMYFUNCTION("""COMPUTED_VALUE"""),394.15)</f>
      </c>
      <c r="J35" s="10">
        <f>IFERROR(__xludf.DUMMYFUNCTION("""COMPUTED_VALUE"""),0.82)</f>
      </c>
      <c r="K35" s="11">
        <f>IFERROR(__xludf.DUMMYFUNCTION("""COMPUTED_VALUE"""),378.38)</f>
      </c>
      <c r="L35" s="10">
        <f>IFERROR(__xludf.DUMMYFUNCTION("""COMPUTED_VALUE"""),0.74)</f>
      </c>
      <c r="M35" s="11">
        <f>IFERROR(__xludf.DUMMYFUNCTION("""COMPUTED_VALUE"""),453.33)</f>
      </c>
      <c r="N35" s="10">
        <f>IFERROR(__xludf.DUMMYFUNCTION("""COMPUTED_VALUE"""),0.76)</f>
      </c>
      <c r="O35" s="11">
        <f>IFERROR(__xludf.DUMMYFUNCTION("""COMPUTED_VALUE"""),451.58)</f>
      </c>
      <c r="P35" s="12"/>
      <c r="Q35" s="12"/>
      <c r="R35" s="15"/>
      <c r="S35" s="12"/>
      <c r="T35" s="12"/>
      <c r="U35" s="12"/>
      <c r="V35" s="12"/>
      <c r="W35" s="12"/>
      <c r="X35" s="12"/>
      <c r="Y35" s="12"/>
      <c r="Z35" s="12"/>
    </row>
    <row x14ac:dyDescent="0.25" r="36" customHeight="1" ht="15.75">
      <c r="A36" s="8">
        <f>IFERROR(__xludf.DUMMYFUNCTION("""COMPUTED_VALUE"""),25319.0)</f>
      </c>
      <c r="B36" s="9">
        <f>IFERROR(__xludf.DUMMYFUNCTION("""COMPUTED_VALUE"""),"BAIXADAS LITORANEAS")</f>
      </c>
      <c r="C36" s="9">
        <f>IFERROR(__xludf.DUMMYFUNCTION("""COMPUTED_VALUE"""),"CE JOSE MATOSO MAIA FORTE")</f>
      </c>
      <c r="D36" s="10">
        <f>IFERROR(__xludf.DUMMYFUNCTION("""COMPUTED_VALUE"""),0.961)</f>
      </c>
      <c r="E36" s="11">
        <f>IFERROR(__xludf.DUMMYFUNCTION("""COMPUTED_VALUE"""),178.38)</f>
      </c>
      <c r="F36" s="10">
        <f>IFERROR(__xludf.DUMMYFUNCTION("""COMPUTED_VALUE"""),0.987)</f>
      </c>
      <c r="G36" s="11">
        <f>IFERROR(__xludf.DUMMYFUNCTION("""COMPUTED_VALUE"""),352.78)</f>
      </c>
      <c r="H36" s="10">
        <f>IFERROR(__xludf.DUMMYFUNCTION("""COMPUTED_VALUE"""),0.9351)</f>
      </c>
      <c r="I36" s="11">
        <f>IFERROR(__xludf.DUMMYFUNCTION("""COMPUTED_VALUE"""),364.44)</f>
      </c>
      <c r="J36" s="10">
        <f>IFERROR(__xludf.DUMMYFUNCTION("""COMPUTED_VALUE"""),1.0)</f>
      </c>
      <c r="K36" s="11">
        <f>IFERROR(__xludf.DUMMYFUNCTION("""COMPUTED_VALUE"""),285.79)</f>
      </c>
      <c r="L36" s="10">
        <f>IFERROR(__xludf.DUMMYFUNCTION("""COMPUTED_VALUE"""),0.9221)</f>
      </c>
      <c r="M36" s="11">
        <f>IFERROR(__xludf.DUMMYFUNCTION("""COMPUTED_VALUE"""),259.1)</f>
      </c>
      <c r="N36" s="10">
        <f>IFERROR(__xludf.DUMMYFUNCTION("""COMPUTED_VALUE"""),0.7922)</f>
      </c>
      <c r="O36" s="11">
        <f>IFERROR(__xludf.DUMMYFUNCTION("""COMPUTED_VALUE"""),322.91)</f>
      </c>
      <c r="P36" s="12"/>
      <c r="Q36" s="12"/>
      <c r="R36" s="15"/>
      <c r="S36" s="12"/>
      <c r="T36" s="12"/>
      <c r="U36" s="12"/>
      <c r="V36" s="12"/>
      <c r="W36" s="12"/>
      <c r="X36" s="12"/>
      <c r="Y36" s="12"/>
      <c r="Z36" s="12"/>
    </row>
    <row x14ac:dyDescent="0.25" r="37" customHeight="1" ht="15.75">
      <c r="A37" s="8">
        <f>IFERROR(__xludf.DUMMYFUNCTION("""COMPUTED_VALUE"""),25323.0)</f>
      </c>
      <c r="B37" s="9">
        <f>IFERROR(__xludf.DUMMYFUNCTION("""COMPUTED_VALUE"""),"BAIXADAS LITORANEAS")</f>
      </c>
      <c r="C37" s="9">
        <f>IFERROR(__xludf.DUMMYFUNCTION("""COMPUTED_VALUE"""),"CE JOSE RASCAO")</f>
      </c>
      <c r="D37" s="10">
        <f>IFERROR(__xludf.DUMMYFUNCTION("""COMPUTED_VALUE"""),0.9459)</f>
      </c>
      <c r="E37" s="11">
        <f>IFERROR(__xludf.DUMMYFUNCTION("""COMPUTED_VALUE"""),221.66)</f>
      </c>
      <c r="F37" s="10">
        <f>IFERROR(__xludf.DUMMYFUNCTION("""COMPUTED_VALUE"""),0.6688)</f>
      </c>
      <c r="G37" s="11">
        <f>IFERROR(__xludf.DUMMYFUNCTION("""COMPUTED_VALUE"""),418.06)</f>
      </c>
      <c r="H37" s="10">
        <f>IFERROR(__xludf.DUMMYFUNCTION("""COMPUTED_VALUE"""),0.9777)</f>
      </c>
      <c r="I37" s="11">
        <f>IFERROR(__xludf.DUMMYFUNCTION("""COMPUTED_VALUE"""),133.69)</f>
      </c>
      <c r="J37" s="10">
        <f>IFERROR(__xludf.DUMMYFUNCTION("""COMPUTED_VALUE"""),0.8758)</f>
      </c>
      <c r="K37" s="11">
        <f>IFERROR(__xludf.DUMMYFUNCTION("""COMPUTED_VALUE"""),48.0)</f>
      </c>
      <c r="L37" s="10">
        <f>IFERROR(__xludf.DUMMYFUNCTION("""COMPUTED_VALUE"""),0.9936)</f>
      </c>
      <c r="M37" s="11">
        <f>IFERROR(__xludf.DUMMYFUNCTION("""COMPUTED_VALUE"""),111.9)</f>
      </c>
      <c r="N37" s="10">
        <f>IFERROR(__xludf.DUMMYFUNCTION("""COMPUTED_VALUE"""),0.0)</f>
      </c>
      <c r="O37" s="11">
        <f>IFERROR(__xludf.DUMMYFUNCTION("""COMPUTED_VALUE"""),"----")</f>
      </c>
      <c r="P37" s="12"/>
      <c r="Q37" s="12"/>
      <c r="R37" s="15"/>
      <c r="S37" s="12"/>
      <c r="T37" s="12"/>
      <c r="U37" s="12"/>
      <c r="V37" s="12"/>
      <c r="W37" s="12"/>
      <c r="X37" s="12"/>
      <c r="Y37" s="12"/>
      <c r="Z37" s="12"/>
    </row>
    <row x14ac:dyDescent="0.25" r="38" customHeight="1" ht="15.75">
      <c r="A38" s="8">
        <f>IFERROR(__xludf.DUMMYFUNCTION("""COMPUTED_VALUE"""),25290.0)</f>
      </c>
      <c r="B38" s="9">
        <f>IFERROR(__xludf.DUMMYFUNCTION("""COMPUTED_VALUE"""),"BAIXADAS LITORANEAS")</f>
      </c>
      <c r="C38" s="9">
        <f>IFERROR(__xludf.DUMMYFUNCTION("""COMPUTED_VALUE"""),"CE LEOPOLDO FROES")</f>
      </c>
      <c r="D38" s="10">
        <f>IFERROR(__xludf.DUMMYFUNCTION("""COMPUTED_VALUE"""),0.6198)</f>
      </c>
      <c r="E38" s="11">
        <f>IFERROR(__xludf.DUMMYFUNCTION("""COMPUTED_VALUE"""),292.44)</f>
      </c>
      <c r="F38" s="10">
        <f>IFERROR(__xludf.DUMMYFUNCTION("""COMPUTED_VALUE"""),0.4215)</f>
      </c>
      <c r="G38" s="11">
        <f>IFERROR(__xludf.DUMMYFUNCTION("""COMPUTED_VALUE"""),"----")</f>
      </c>
      <c r="H38" s="10">
        <f>IFERROR(__xludf.DUMMYFUNCTION("""COMPUTED_VALUE"""),0.3202)</f>
      </c>
      <c r="I38" s="11">
        <f>IFERROR(__xludf.DUMMYFUNCTION("""COMPUTED_VALUE"""),397.89)</f>
      </c>
      <c r="J38" s="10">
        <f>IFERROR(__xludf.DUMMYFUNCTION("""COMPUTED_VALUE"""),0.5714)</f>
      </c>
      <c r="K38" s="11">
        <f>IFERROR(__xludf.DUMMYFUNCTION("""COMPUTED_VALUE"""),228.0)</f>
      </c>
      <c r="L38" s="10">
        <f>IFERROR(__xludf.DUMMYFUNCTION("""COMPUTED_VALUE"""),0.0)</f>
      </c>
      <c r="M38" s="11">
        <f>IFERROR(__xludf.DUMMYFUNCTION("""COMPUTED_VALUE"""),"----")</f>
      </c>
      <c r="N38" s="10">
        <f>IFERROR(__xludf.DUMMYFUNCTION("""COMPUTED_VALUE"""),0.0)</f>
      </c>
      <c r="O38" s="11">
        <f>IFERROR(__xludf.DUMMYFUNCTION("""COMPUTED_VALUE"""),"----")</f>
      </c>
      <c r="P38" s="12"/>
      <c r="Q38" s="12"/>
      <c r="R38" s="15"/>
      <c r="S38" s="12"/>
      <c r="T38" s="12"/>
      <c r="U38" s="12"/>
      <c r="V38" s="12"/>
      <c r="W38" s="12"/>
      <c r="X38" s="12"/>
      <c r="Y38" s="12"/>
      <c r="Z38" s="12"/>
    </row>
    <row x14ac:dyDescent="0.25" r="39" customHeight="1" ht="15.75">
      <c r="A39" s="8">
        <f>IFERROR(__xludf.DUMMYFUNCTION("""COMPUTED_VALUE"""),25291.0)</f>
      </c>
      <c r="B39" s="9">
        <f>IFERROR(__xludf.DUMMYFUNCTION("""COMPUTED_VALUE"""),"BAIXADAS LITORANEAS")</f>
      </c>
      <c r="C39" s="9">
        <f>IFERROR(__xludf.DUMMYFUNCTION("""COMPUTED_VALUE"""),"CE MACHADO DE ASSIS")</f>
      </c>
      <c r="D39" s="10">
        <f>IFERROR(__xludf.DUMMYFUNCTION("""COMPUTED_VALUE"""),0.5973)</f>
      </c>
      <c r="E39" s="11">
        <f>IFERROR(__xludf.DUMMYFUNCTION("""COMPUTED_VALUE"""),184.91)</f>
      </c>
      <c r="F39" s="10">
        <f>IFERROR(__xludf.DUMMYFUNCTION("""COMPUTED_VALUE"""),0.6416)</f>
      </c>
      <c r="G39" s="11">
        <f>IFERROR(__xludf.DUMMYFUNCTION("""COMPUTED_VALUE"""),303.1)</f>
      </c>
      <c r="H39" s="10">
        <f>IFERROR(__xludf.DUMMYFUNCTION("""COMPUTED_VALUE"""),0.556)</f>
      </c>
      <c r="I39" s="11">
        <f>IFERROR(__xludf.DUMMYFUNCTION("""COMPUTED_VALUE"""),392.76)</f>
      </c>
      <c r="J39" s="10">
        <f>IFERROR(__xludf.DUMMYFUNCTION("""COMPUTED_VALUE"""),0.4807)</f>
      </c>
      <c r="K39" s="11">
        <f>IFERROR(__xludf.DUMMYFUNCTION("""COMPUTED_VALUE"""),280.96)</f>
      </c>
      <c r="L39" s="10">
        <f>IFERROR(__xludf.DUMMYFUNCTION("""COMPUTED_VALUE"""),0.5328)</f>
      </c>
      <c r="M39" s="11">
        <f>IFERROR(__xludf.DUMMYFUNCTION("""COMPUTED_VALUE"""),387.11)</f>
      </c>
      <c r="N39" s="10">
        <f>IFERROR(__xludf.DUMMYFUNCTION("""COMPUTED_VALUE"""),0.5174)</f>
      </c>
      <c r="O39" s="11">
        <f>IFERROR(__xludf.DUMMYFUNCTION("""COMPUTED_VALUE"""),362.63)</f>
      </c>
      <c r="P39" s="12"/>
      <c r="Q39" s="12"/>
      <c r="R39" s="15"/>
      <c r="S39" s="12"/>
      <c r="T39" s="12"/>
      <c r="U39" s="12"/>
      <c r="V39" s="12"/>
      <c r="W39" s="12"/>
      <c r="X39" s="12"/>
      <c r="Y39" s="12"/>
      <c r="Z39" s="12"/>
    </row>
    <row x14ac:dyDescent="0.25" r="40" customHeight="1" ht="15.75">
      <c r="A40" s="8">
        <f>IFERROR(__xludf.DUMMYFUNCTION("""COMPUTED_VALUE"""),25292.0)</f>
      </c>
      <c r="B40" s="9">
        <f>IFERROR(__xludf.DUMMYFUNCTION("""COMPUTED_VALUE"""),"BAIXADAS LITORANEAS")</f>
      </c>
      <c r="C40" s="9">
        <f>IFERROR(__xludf.DUMMYFUNCTION("""COMPUTED_VALUE"""),"CE MANUEL DE ABREU")</f>
      </c>
      <c r="D40" s="10">
        <f>IFERROR(__xludf.DUMMYFUNCTION("""COMPUTED_VALUE"""),0.7853)</f>
      </c>
      <c r="E40" s="11">
        <f>IFERROR(__xludf.DUMMYFUNCTION("""COMPUTED_VALUE"""),386.34)</f>
      </c>
      <c r="F40" s="10">
        <f>IFERROR(__xludf.DUMMYFUNCTION("""COMPUTED_VALUE"""),0.5951)</f>
      </c>
      <c r="G40" s="11">
        <f>IFERROR(__xludf.DUMMYFUNCTION("""COMPUTED_VALUE"""),465.98)</f>
      </c>
      <c r="H40" s="10">
        <f>IFERROR(__xludf.DUMMYFUNCTION("""COMPUTED_VALUE"""),0.6012)</f>
      </c>
      <c r="I40" s="11">
        <f>IFERROR(__xludf.DUMMYFUNCTION("""COMPUTED_VALUE"""),464.33)</f>
      </c>
      <c r="J40" s="10">
        <f>IFERROR(__xludf.DUMMYFUNCTION("""COMPUTED_VALUE"""),0.6748)</f>
      </c>
      <c r="K40" s="11">
        <f>IFERROR(__xludf.DUMMYFUNCTION("""COMPUTED_VALUE"""),405.48)</f>
      </c>
      <c r="L40" s="10">
        <f>IFERROR(__xludf.DUMMYFUNCTION("""COMPUTED_VALUE"""),0.2301)</f>
      </c>
      <c r="M40" s="11">
        <f>IFERROR(__xludf.DUMMYFUNCTION("""COMPUTED_VALUE"""),273.6)</f>
      </c>
      <c r="N40" s="10">
        <f>IFERROR(__xludf.DUMMYFUNCTION("""COMPUTED_VALUE"""),0.0061)</f>
      </c>
      <c r="O40" s="11">
        <f>IFERROR(__xludf.DUMMYFUNCTION("""COMPUTED_VALUE"""),520.0)</f>
      </c>
      <c r="P40" s="12"/>
      <c r="Q40" s="12"/>
      <c r="R40" s="15"/>
      <c r="S40" s="12"/>
      <c r="T40" s="12"/>
      <c r="U40" s="12"/>
      <c r="V40" s="12"/>
      <c r="W40" s="12"/>
      <c r="X40" s="12"/>
      <c r="Y40" s="12"/>
      <c r="Z40" s="12"/>
    </row>
    <row x14ac:dyDescent="0.25" r="41" customHeight="1" ht="15.75">
      <c r="A41" s="8">
        <f>IFERROR(__xludf.DUMMYFUNCTION("""COMPUTED_VALUE"""),25293.0)</f>
      </c>
      <c r="B41" s="9">
        <f>IFERROR(__xludf.DUMMYFUNCTION("""COMPUTED_VALUE"""),"BAIXADAS LITORANEAS")</f>
      </c>
      <c r="C41" s="9">
        <f>IFERROR(__xludf.DUMMYFUNCTION("""COMPUTED_VALUE"""),"CE MARIA PEREIRA DAS NEVES")</f>
      </c>
      <c r="D41" s="10">
        <f>IFERROR(__xludf.DUMMYFUNCTION("""COMPUTED_VALUE"""),0.6333)</f>
      </c>
      <c r="E41" s="11">
        <f>IFERROR(__xludf.DUMMYFUNCTION("""COMPUTED_VALUE"""),133.29)</f>
      </c>
      <c r="F41" s="10">
        <f>IFERROR(__xludf.DUMMYFUNCTION("""COMPUTED_VALUE"""),0.5)</f>
      </c>
      <c r="G41" s="11">
        <f>IFERROR(__xludf.DUMMYFUNCTION("""COMPUTED_VALUE"""),"----")</f>
      </c>
      <c r="H41" s="10">
        <f>IFERROR(__xludf.DUMMYFUNCTION("""COMPUTED_VALUE"""),0.3766)</f>
      </c>
      <c r="I41" s="11">
        <f>IFERROR(__xludf.DUMMYFUNCTION("""COMPUTED_VALUE"""),336.56)</f>
      </c>
      <c r="J41" s="10">
        <f>IFERROR(__xludf.DUMMYFUNCTION("""COMPUTED_VALUE"""),0.3134)</f>
      </c>
      <c r="K41" s="11">
        <f>IFERROR(__xludf.DUMMYFUNCTION("""COMPUTED_VALUE"""),243.36)</f>
      </c>
      <c r="L41" s="10">
        <f>IFERROR(__xludf.DUMMYFUNCTION("""COMPUTED_VALUE"""),0.4286)</f>
      </c>
      <c r="M41" s="11">
        <f>IFERROR(__xludf.DUMMYFUNCTION("""COMPUTED_VALUE"""),240.0)</f>
      </c>
      <c r="N41" s="10">
        <f>IFERROR(__xludf.DUMMYFUNCTION("""COMPUTED_VALUE"""),0.3896)</f>
      </c>
      <c r="O41" s="11">
        <f>IFERROR(__xludf.DUMMYFUNCTION("""COMPUTED_VALUE"""),258.67)</f>
      </c>
      <c r="P41" s="12"/>
      <c r="Q41" s="12"/>
      <c r="R41" s="15"/>
      <c r="S41" s="12"/>
      <c r="T41" s="12"/>
      <c r="U41" s="12"/>
      <c r="V41" s="12"/>
      <c r="W41" s="12"/>
      <c r="X41" s="12"/>
      <c r="Y41" s="12"/>
      <c r="Z41" s="12"/>
    </row>
    <row x14ac:dyDescent="0.25" r="42" customHeight="1" ht="15.75">
      <c r="A42" s="8">
        <f>IFERROR(__xludf.DUMMYFUNCTION("""COMPUTED_VALUE"""),25294.0)</f>
      </c>
      <c r="B42" s="9">
        <f>IFERROR(__xludf.DUMMYFUNCTION("""COMPUTED_VALUE"""),"BAIXADAS LITORANEAS")</f>
      </c>
      <c r="C42" s="9">
        <f>IFERROR(__xludf.DUMMYFUNCTION("""COMPUTED_VALUE"""),"CE MATEMATICO JOAQUIM GOMES DE SOUSA - INTER-CULTURAL BRASIL-CHINA")</f>
      </c>
      <c r="D42" s="10">
        <f>IFERROR(__xludf.DUMMYFUNCTION("""COMPUTED_VALUE"""),1.0)</f>
      </c>
      <c r="E42" s="11">
        <f>IFERROR(__xludf.DUMMYFUNCTION("""COMPUTED_VALUE"""),537.69)</f>
      </c>
      <c r="F42" s="10">
        <f>IFERROR(__xludf.DUMMYFUNCTION("""COMPUTED_VALUE"""),0.0)</f>
      </c>
      <c r="G42" s="11">
        <f>IFERROR(__xludf.DUMMYFUNCTION("""COMPUTED_VALUE"""),"----")</f>
      </c>
      <c r="H42" s="10">
        <f>IFERROR(__xludf.DUMMYFUNCTION("""COMPUTED_VALUE"""),0.7103)</f>
      </c>
      <c r="I42" s="11">
        <f>IFERROR(__xludf.DUMMYFUNCTION("""COMPUTED_VALUE"""),531.05)</f>
      </c>
      <c r="J42" s="10">
        <f>IFERROR(__xludf.DUMMYFUNCTION("""COMPUTED_VALUE"""),0.7757)</f>
      </c>
      <c r="K42" s="11">
        <f>IFERROR(__xludf.DUMMYFUNCTION("""COMPUTED_VALUE"""),454.63)</f>
      </c>
      <c r="L42" s="10">
        <f>IFERROR(__xludf.DUMMYFUNCTION("""COMPUTED_VALUE"""),0.0)</f>
      </c>
      <c r="M42" s="11">
        <f>IFERROR(__xludf.DUMMYFUNCTION("""COMPUTED_VALUE"""),"----")</f>
      </c>
      <c r="N42" s="10">
        <f>IFERROR(__xludf.DUMMYFUNCTION("""COMPUTED_VALUE"""),0.0093)</f>
      </c>
      <c r="O42" s="11">
        <f>IFERROR(__xludf.DUMMYFUNCTION("""COMPUTED_VALUE"""),560.0)</f>
      </c>
      <c r="P42" s="12"/>
      <c r="Q42" s="12"/>
      <c r="R42" s="15"/>
      <c r="S42" s="12"/>
      <c r="T42" s="12"/>
      <c r="U42" s="12"/>
      <c r="V42" s="12"/>
      <c r="W42" s="12"/>
      <c r="X42" s="12"/>
      <c r="Y42" s="12"/>
      <c r="Z42" s="12"/>
    </row>
    <row x14ac:dyDescent="0.25" r="43" customHeight="1" ht="15.75">
      <c r="A43" s="8">
        <f>IFERROR(__xludf.DUMMYFUNCTION("""COMPUTED_VALUE"""),25295.0)</f>
      </c>
      <c r="B43" s="9">
        <f>IFERROR(__xludf.DUMMYFUNCTION("""COMPUTED_VALUE"""),"BAIXADAS LITORANEAS")</f>
      </c>
      <c r="C43" s="9">
        <f>IFERROR(__xludf.DUMMYFUNCTION("""COMPUTED_VALUE"""),"CE MENEZES VIEIRA")</f>
      </c>
      <c r="D43" s="10">
        <f>IFERROR(__xludf.DUMMYFUNCTION("""COMPUTED_VALUE"""),0.9231)</f>
      </c>
      <c r="E43" s="11">
        <f>IFERROR(__xludf.DUMMYFUNCTION("""COMPUTED_VALUE"""),200.0)</f>
      </c>
      <c r="F43" s="10">
        <f>IFERROR(__xludf.DUMMYFUNCTION("""COMPUTED_VALUE"""),0.5385)</f>
      </c>
      <c r="G43" s="11">
        <f>IFERROR(__xludf.DUMMYFUNCTION("""COMPUTED_VALUE"""),434.29)</f>
      </c>
      <c r="H43" s="10">
        <f>IFERROR(__xludf.DUMMYFUNCTION("""COMPUTED_VALUE"""),0.6923)</f>
      </c>
      <c r="I43" s="11">
        <f>IFERROR(__xludf.DUMMYFUNCTION("""COMPUTED_VALUE"""),485.0)</f>
      </c>
      <c r="J43" s="10">
        <f>IFERROR(__xludf.DUMMYFUNCTION("""COMPUTED_VALUE"""),"----")</f>
      </c>
      <c r="K43" s="11">
        <f>IFERROR(__xludf.DUMMYFUNCTION("""COMPUTED_VALUE"""),"----")</f>
      </c>
      <c r="L43" s="10">
        <f>IFERROR(__xludf.DUMMYFUNCTION("""COMPUTED_VALUE"""),0.0)</f>
      </c>
      <c r="M43" s="11">
        <f>IFERROR(__xludf.DUMMYFUNCTION("""COMPUTED_VALUE"""),"----")</f>
      </c>
      <c r="N43" s="10">
        <f>IFERROR(__xludf.DUMMYFUNCTION("""COMPUTED_VALUE"""),0.0)</f>
      </c>
      <c r="O43" s="11">
        <f>IFERROR(__xludf.DUMMYFUNCTION("""COMPUTED_VALUE"""),"----")</f>
      </c>
      <c r="P43" s="12"/>
      <c r="Q43" s="12"/>
      <c r="R43" s="15"/>
      <c r="S43" s="12"/>
      <c r="T43" s="12"/>
      <c r="U43" s="12"/>
      <c r="V43" s="12"/>
      <c r="W43" s="12"/>
      <c r="X43" s="12"/>
      <c r="Y43" s="12"/>
      <c r="Z43" s="12"/>
    </row>
    <row x14ac:dyDescent="0.25" r="44" customHeight="1" ht="15.75">
      <c r="A44" s="8">
        <f>IFERROR(__xludf.DUMMYFUNCTION("""COMPUTED_VALUE"""),25251.0)</f>
      </c>
      <c r="B44" s="9">
        <f>IFERROR(__xludf.DUMMYFUNCTION("""COMPUTED_VALUE"""),"BAIXADAS LITORANEAS")</f>
      </c>
      <c r="C44" s="9">
        <f>IFERROR(__xludf.DUMMYFUNCTION("""COMPUTED_VALUE"""),"CE MIGUEL COUTO")</f>
      </c>
      <c r="D44" s="10">
        <f>IFERROR(__xludf.DUMMYFUNCTION("""COMPUTED_VALUE"""),0.5929)</f>
      </c>
      <c r="E44" s="11">
        <f>IFERROR(__xludf.DUMMYFUNCTION("""COMPUTED_VALUE"""),262.03)</f>
      </c>
      <c r="F44" s="10">
        <f>IFERROR(__xludf.DUMMYFUNCTION("""COMPUTED_VALUE"""),0.4779)</f>
      </c>
      <c r="G44" s="11">
        <f>IFERROR(__xludf.DUMMYFUNCTION("""COMPUTED_VALUE"""),421.42)</f>
      </c>
      <c r="H44" s="10">
        <f>IFERROR(__xludf.DUMMYFUNCTION("""COMPUTED_VALUE"""),0.1716)</f>
      </c>
      <c r="I44" s="11">
        <f>IFERROR(__xludf.DUMMYFUNCTION("""COMPUTED_VALUE"""),390.47)</f>
      </c>
      <c r="J44" s="10">
        <f>IFERROR(__xludf.DUMMYFUNCTION("""COMPUTED_VALUE"""),0.5037)</f>
      </c>
      <c r="K44" s="11">
        <f>IFERROR(__xludf.DUMMYFUNCTION("""COMPUTED_VALUE"""),182.28)</f>
      </c>
      <c r="L44" s="10">
        <f>IFERROR(__xludf.DUMMYFUNCTION("""COMPUTED_VALUE"""),0.3284)</f>
      </c>
      <c r="M44" s="11">
        <f>IFERROR(__xludf.DUMMYFUNCTION("""COMPUTED_VALUE"""),410.38)</f>
      </c>
      <c r="N44" s="10">
        <f>IFERROR(__xludf.DUMMYFUNCTION("""COMPUTED_VALUE"""),0.2486)</f>
      </c>
      <c r="O44" s="11">
        <f>IFERROR(__xludf.DUMMYFUNCTION("""COMPUTED_VALUE"""),407.11)</f>
      </c>
      <c r="P44" s="12"/>
      <c r="Q44" s="12"/>
      <c r="R44" s="15"/>
      <c r="S44" s="12"/>
      <c r="T44" s="12"/>
      <c r="U44" s="12"/>
      <c r="V44" s="12"/>
      <c r="W44" s="12"/>
      <c r="X44" s="12"/>
      <c r="Y44" s="12"/>
      <c r="Z44" s="12"/>
    </row>
    <row x14ac:dyDescent="0.25" r="45" customHeight="1" ht="15.75">
      <c r="A45" s="8">
        <f>IFERROR(__xludf.DUMMYFUNCTION("""COMPUTED_VALUE"""),25296.0)</f>
      </c>
      <c r="B45" s="9">
        <f>IFERROR(__xludf.DUMMYFUNCTION("""COMPUTED_VALUE"""),"BAIXADAS LITORANEAS")</f>
      </c>
      <c r="C45" s="9">
        <f>IFERROR(__xludf.DUMMYFUNCTION("""COMPUTED_VALUE"""),"CE MULLULO DA VEIGA")</f>
      </c>
      <c r="D45" s="10">
        <f>IFERROR(__xludf.DUMMYFUNCTION("""COMPUTED_VALUE"""),0.7232)</f>
      </c>
      <c r="E45" s="11">
        <f>IFERROR(__xludf.DUMMYFUNCTION("""COMPUTED_VALUE"""),145.67)</f>
      </c>
      <c r="F45" s="10">
        <f>IFERROR(__xludf.DUMMYFUNCTION("""COMPUTED_VALUE"""),0.6786)</f>
      </c>
      <c r="G45" s="11">
        <f>IFERROR(__xludf.DUMMYFUNCTION("""COMPUTED_VALUE"""),294.73)</f>
      </c>
      <c r="H45" s="10">
        <f>IFERROR(__xludf.DUMMYFUNCTION("""COMPUTED_VALUE"""),0.351)</f>
      </c>
      <c r="I45" s="11">
        <f>IFERROR(__xludf.DUMMYFUNCTION("""COMPUTED_VALUE"""),334.34)</f>
      </c>
      <c r="J45" s="10">
        <f>IFERROR(__xludf.DUMMYFUNCTION("""COMPUTED_VALUE"""),0.5906)</f>
      </c>
      <c r="K45" s="11">
        <f>IFERROR(__xludf.DUMMYFUNCTION("""COMPUTED_VALUE"""),142.52)</f>
      </c>
      <c r="L45" s="10">
        <f>IFERROR(__xludf.DUMMYFUNCTION("""COMPUTED_VALUE"""),0.0)</f>
      </c>
      <c r="M45" s="11">
        <f>IFERROR(__xludf.DUMMYFUNCTION("""COMPUTED_VALUE"""),"----")</f>
      </c>
      <c r="N45" s="10">
        <f>IFERROR(__xludf.DUMMYFUNCTION("""COMPUTED_VALUE"""),0.5232)</f>
      </c>
      <c r="O45" s="11">
        <f>IFERROR(__xludf.DUMMYFUNCTION("""COMPUTED_VALUE"""),405.46)</f>
      </c>
      <c r="P45" s="12"/>
      <c r="Q45" s="12"/>
      <c r="R45" s="15"/>
      <c r="S45" s="12"/>
      <c r="T45" s="12"/>
      <c r="U45" s="12"/>
      <c r="V45" s="12"/>
      <c r="W45" s="12"/>
      <c r="X45" s="12"/>
      <c r="Y45" s="12"/>
      <c r="Z45" s="12"/>
    </row>
    <row x14ac:dyDescent="0.25" r="46" customHeight="1" ht="15.75">
      <c r="A46" s="8">
        <f>IFERROR(__xludf.DUMMYFUNCTION("""COMPUTED_VALUE"""),25324.0)</f>
      </c>
      <c r="B46" s="9">
        <f>IFERROR(__xludf.DUMMYFUNCTION("""COMPUTED_VALUE"""),"BAIXADAS LITORANEAS")</f>
      </c>
      <c r="C46" s="9">
        <f>IFERROR(__xludf.DUMMYFUNCTION("""COMPUTED_VALUE"""),"CE NOBU YAMAGATA")</f>
      </c>
      <c r="D46" s="10">
        <f>IFERROR(__xludf.DUMMYFUNCTION("""COMPUTED_VALUE"""),0.8571)</f>
      </c>
      <c r="E46" s="11">
        <f>IFERROR(__xludf.DUMMYFUNCTION("""COMPUTED_VALUE"""),312.45)</f>
      </c>
      <c r="F46" s="10">
        <f>IFERROR(__xludf.DUMMYFUNCTION("""COMPUTED_VALUE"""),0.6161)</f>
      </c>
      <c r="G46" s="11">
        <f>IFERROR(__xludf.DUMMYFUNCTION("""COMPUTED_VALUE"""),424.34)</f>
      </c>
      <c r="H46" s="10">
        <f>IFERROR(__xludf.DUMMYFUNCTION("""COMPUTED_VALUE"""),0.4874)</f>
      </c>
      <c r="I46" s="11">
        <f>IFERROR(__xludf.DUMMYFUNCTION("""COMPUTED_VALUE"""),460.19)</f>
      </c>
      <c r="J46" s="10">
        <f>IFERROR(__xludf.DUMMYFUNCTION("""COMPUTED_VALUE"""),0.6522)</f>
      </c>
      <c r="K46" s="11">
        <f>IFERROR(__xludf.DUMMYFUNCTION("""COMPUTED_VALUE"""),317.97)</f>
      </c>
      <c r="L46" s="10">
        <f>IFERROR(__xludf.DUMMYFUNCTION("""COMPUTED_VALUE"""),0.0168)</f>
      </c>
      <c r="M46" s="11">
        <f>IFERROR(__xludf.DUMMYFUNCTION("""COMPUTED_VALUE"""),"----")</f>
      </c>
      <c r="N46" s="10">
        <f>IFERROR(__xludf.DUMMYFUNCTION("""COMPUTED_VALUE"""),0.5042)</f>
      </c>
      <c r="O46" s="11">
        <f>IFERROR(__xludf.DUMMYFUNCTION("""COMPUTED_VALUE"""),378.67)</f>
      </c>
      <c r="P46" s="12"/>
      <c r="Q46" s="12"/>
      <c r="R46" s="15"/>
      <c r="S46" s="12"/>
      <c r="T46" s="12"/>
      <c r="U46" s="12"/>
      <c r="V46" s="12"/>
      <c r="W46" s="12"/>
      <c r="X46" s="12"/>
      <c r="Y46" s="12"/>
      <c r="Z46" s="12"/>
    </row>
    <row x14ac:dyDescent="0.25" r="47" customHeight="1" ht="15.75">
      <c r="A47" s="8">
        <f>IFERROR(__xludf.DUMMYFUNCTION("""COMPUTED_VALUE"""),25331.0)</f>
      </c>
      <c r="B47" s="9">
        <f>IFERROR(__xludf.DUMMYFUNCTION("""COMPUTED_VALUE"""),"BAIXADAS LITORANEAS")</f>
      </c>
      <c r="C47" s="9">
        <f>IFERROR(__xludf.DUMMYFUNCTION("""COMPUTED_VALUE"""),"CE OLIVEIRA VIANA")</f>
      </c>
      <c r="D47" s="10">
        <f>IFERROR(__xludf.DUMMYFUNCTION("""COMPUTED_VALUE"""),0.8218)</f>
      </c>
      <c r="E47" s="11">
        <f>IFERROR(__xludf.DUMMYFUNCTION("""COMPUTED_VALUE"""),290.76)</f>
      </c>
      <c r="F47" s="10">
        <f>IFERROR(__xludf.DUMMYFUNCTION("""COMPUTED_VALUE"""),0.8255)</f>
      </c>
      <c r="G47" s="11">
        <f>IFERROR(__xludf.DUMMYFUNCTION("""COMPUTED_VALUE"""),341.96)</f>
      </c>
      <c r="H47" s="10">
        <f>IFERROR(__xludf.DUMMYFUNCTION("""COMPUTED_VALUE"""),0.6909)</f>
      </c>
      <c r="I47" s="11">
        <f>IFERROR(__xludf.DUMMYFUNCTION("""COMPUTED_VALUE"""),423.66)</f>
      </c>
      <c r="J47" s="10">
        <f>IFERROR(__xludf.DUMMYFUNCTION("""COMPUTED_VALUE"""),0.6982)</f>
      </c>
      <c r="K47" s="11">
        <f>IFERROR(__xludf.DUMMYFUNCTION("""COMPUTED_VALUE"""),366.88)</f>
      </c>
      <c r="L47" s="10">
        <f>IFERROR(__xludf.DUMMYFUNCTION("""COMPUTED_VALUE"""),0.6509)</f>
      </c>
      <c r="M47" s="11">
        <f>IFERROR(__xludf.DUMMYFUNCTION("""COMPUTED_VALUE"""),413.41)</f>
      </c>
      <c r="N47" s="10">
        <f>IFERROR(__xludf.DUMMYFUNCTION("""COMPUTED_VALUE"""),0.6473)</f>
      </c>
      <c r="O47" s="11">
        <f>IFERROR(__xludf.DUMMYFUNCTION("""COMPUTED_VALUE"""),390.45)</f>
      </c>
      <c r="P47" s="12"/>
      <c r="Q47" s="12"/>
      <c r="R47" s="15"/>
      <c r="S47" s="12"/>
      <c r="T47" s="12"/>
      <c r="U47" s="12"/>
      <c r="V47" s="12"/>
      <c r="W47" s="12"/>
      <c r="X47" s="12"/>
      <c r="Y47" s="12"/>
      <c r="Z47" s="12"/>
    </row>
    <row x14ac:dyDescent="0.25" r="48" customHeight="1" ht="15.75">
      <c r="A48" s="8">
        <f>IFERROR(__xludf.DUMMYFUNCTION("""COMPUTED_VALUE"""),25332.0)</f>
      </c>
      <c r="B48" s="9">
        <f>IFERROR(__xludf.DUMMYFUNCTION("""COMPUTED_VALUE"""),"BAIXADAS LITORANEAS")</f>
      </c>
      <c r="C48" s="9">
        <f>IFERROR(__xludf.DUMMYFUNCTION("""COMPUTED_VALUE"""),"CE OSCAR DE MACEDO SOARES")</f>
      </c>
      <c r="D48" s="10">
        <f>IFERROR(__xludf.DUMMYFUNCTION("""COMPUTED_VALUE"""),0.7994)</f>
      </c>
      <c r="E48" s="11">
        <f>IFERROR(__xludf.DUMMYFUNCTION("""COMPUTED_VALUE"""),298.18)</f>
      </c>
      <c r="F48" s="10">
        <f>IFERROR(__xludf.DUMMYFUNCTION("""COMPUTED_VALUE"""),0.5269)</f>
      </c>
      <c r="G48" s="11">
        <f>IFERROR(__xludf.DUMMYFUNCTION("""COMPUTED_VALUE"""),401.15)</f>
      </c>
      <c r="H48" s="10">
        <f>IFERROR(__xludf.DUMMYFUNCTION("""COMPUTED_VALUE"""),0.7126)</f>
      </c>
      <c r="I48" s="11">
        <f>IFERROR(__xludf.DUMMYFUNCTION("""COMPUTED_VALUE"""),402.36)</f>
      </c>
      <c r="J48" s="10">
        <f>IFERROR(__xludf.DUMMYFUNCTION("""COMPUTED_VALUE"""),0.6467)</f>
      </c>
      <c r="K48" s="11">
        <f>IFERROR(__xludf.DUMMYFUNCTION("""COMPUTED_VALUE"""),325.86)</f>
      </c>
      <c r="L48" s="10">
        <f>IFERROR(__xludf.DUMMYFUNCTION("""COMPUTED_VALUE"""),0.6497)</f>
      </c>
      <c r="M48" s="11">
        <f>IFERROR(__xludf.DUMMYFUNCTION("""COMPUTED_VALUE"""),365.74)</f>
      </c>
      <c r="N48" s="10">
        <f>IFERROR(__xludf.DUMMYFUNCTION("""COMPUTED_VALUE"""),0.009)</f>
      </c>
      <c r="O48" s="11">
        <f>IFERROR(__xludf.DUMMYFUNCTION("""COMPUTED_VALUE"""),453.33)</f>
      </c>
      <c r="P48" s="12"/>
      <c r="Q48" s="12"/>
      <c r="R48" s="15"/>
      <c r="S48" s="12"/>
      <c r="T48" s="12"/>
      <c r="U48" s="12"/>
      <c r="V48" s="12"/>
      <c r="W48" s="12"/>
      <c r="X48" s="12"/>
      <c r="Y48" s="12"/>
      <c r="Z48" s="12"/>
    </row>
    <row x14ac:dyDescent="0.25" r="49" customHeight="1" ht="15.75">
      <c r="A49" s="8">
        <f>IFERROR(__xludf.DUMMYFUNCTION("""COMPUTED_VALUE"""),25297.0)</f>
      </c>
      <c r="B49" s="9">
        <f>IFERROR(__xludf.DUMMYFUNCTION("""COMPUTED_VALUE"""),"BAIXADAS LITORANEAS")</f>
      </c>
      <c r="C49" s="9">
        <f>IFERROR(__xludf.DUMMYFUNCTION("""COMPUTED_VALUE"""),"CE PAULO ASSIS RIBEIRO")</f>
      </c>
      <c r="D49" s="10">
        <f>IFERROR(__xludf.DUMMYFUNCTION("""COMPUTED_VALUE"""),0.7119)</f>
      </c>
      <c r="E49" s="11">
        <f>IFERROR(__xludf.DUMMYFUNCTION("""COMPUTED_VALUE"""),155.7)</f>
      </c>
      <c r="F49" s="10">
        <f>IFERROR(__xludf.DUMMYFUNCTION("""COMPUTED_VALUE"""),0.5828)</f>
      </c>
      <c r="G49" s="11">
        <f>IFERROR(__xludf.DUMMYFUNCTION("""COMPUTED_VALUE"""),314.72)</f>
      </c>
      <c r="H49" s="10">
        <f>IFERROR(__xludf.DUMMYFUNCTION("""COMPUTED_VALUE"""),0.6556)</f>
      </c>
      <c r="I49" s="11">
        <f>IFERROR(__xludf.DUMMYFUNCTION("""COMPUTED_VALUE"""),251.81)</f>
      </c>
      <c r="J49" s="10">
        <f>IFERROR(__xludf.DUMMYFUNCTION("""COMPUTED_VALUE"""),0.5)</f>
      </c>
      <c r="K49" s="11">
        <f>IFERROR(__xludf.DUMMYFUNCTION("""COMPUTED_VALUE"""),117.99)</f>
      </c>
      <c r="L49" s="10">
        <f>IFERROR(__xludf.DUMMYFUNCTION("""COMPUTED_VALUE"""),0.543)</f>
      </c>
      <c r="M49" s="11">
        <f>IFERROR(__xludf.DUMMYFUNCTION("""COMPUTED_VALUE"""),189.68)</f>
      </c>
      <c r="N49" s="10">
        <f>IFERROR(__xludf.DUMMYFUNCTION("""COMPUTED_VALUE"""),0.5)</f>
      </c>
      <c r="O49" s="11">
        <f>IFERROR(__xludf.DUMMYFUNCTION("""COMPUTED_VALUE"""),286.49)</f>
      </c>
      <c r="P49" s="12"/>
      <c r="Q49" s="12"/>
      <c r="R49" s="15"/>
      <c r="S49" s="12"/>
      <c r="T49" s="12"/>
      <c r="U49" s="12"/>
      <c r="V49" s="12"/>
      <c r="W49" s="12"/>
      <c r="X49" s="12"/>
      <c r="Y49" s="12"/>
      <c r="Z49" s="12"/>
    </row>
    <row x14ac:dyDescent="0.25" r="50" customHeight="1" ht="15.75">
      <c r="A50" s="8">
        <f>IFERROR(__xludf.DUMMYFUNCTION("""COMPUTED_VALUE"""),25298.0)</f>
      </c>
      <c r="B50" s="9">
        <f>IFERROR(__xludf.DUMMYFUNCTION("""COMPUTED_VALUE"""),"BAIXADAS LITORANEAS")</f>
      </c>
      <c r="C50" s="9">
        <f>IFERROR(__xludf.DUMMYFUNCTION("""COMPUTED_VALUE"""),"CE PINTO LIMA")</f>
      </c>
      <c r="D50" s="10">
        <f>IFERROR(__xludf.DUMMYFUNCTION("""COMPUTED_VALUE"""),0.9)</f>
      </c>
      <c r="E50" s="11">
        <f>IFERROR(__xludf.DUMMYFUNCTION("""COMPUTED_VALUE"""),359.37)</f>
      </c>
      <c r="F50" s="10">
        <f>IFERROR(__xludf.DUMMYFUNCTION("""COMPUTED_VALUE"""),0.7111)</f>
      </c>
      <c r="G50" s="11">
        <f>IFERROR(__xludf.DUMMYFUNCTION("""COMPUTED_VALUE"""),368.25)</f>
      </c>
      <c r="H50" s="10">
        <f>IFERROR(__xludf.DUMMYFUNCTION("""COMPUTED_VALUE"""),0.6667)</f>
      </c>
      <c r="I50" s="11">
        <f>IFERROR(__xludf.DUMMYFUNCTION("""COMPUTED_VALUE"""),430.67)</f>
      </c>
      <c r="J50" s="10">
        <f>IFERROR(__xludf.DUMMYFUNCTION("""COMPUTED_VALUE"""),0.6889)</f>
      </c>
      <c r="K50" s="11">
        <f>IFERROR(__xludf.DUMMYFUNCTION("""COMPUTED_VALUE"""),448.0)</f>
      </c>
      <c r="L50" s="10">
        <f>IFERROR(__xludf.DUMMYFUNCTION("""COMPUTED_VALUE"""),0.5556)</f>
      </c>
      <c r="M50" s="11">
        <f>IFERROR(__xludf.DUMMYFUNCTION("""COMPUTED_VALUE"""),420.0)</f>
      </c>
      <c r="N50" s="10">
        <f>IFERROR(__xludf.DUMMYFUNCTION("""COMPUTED_VALUE"""),0.0)</f>
      </c>
      <c r="O50" s="11">
        <f>IFERROR(__xludf.DUMMYFUNCTION("""COMPUTED_VALUE"""),"----")</f>
      </c>
      <c r="P50" s="12"/>
      <c r="Q50" s="12"/>
      <c r="R50" s="15"/>
      <c r="S50" s="12"/>
      <c r="T50" s="12"/>
      <c r="U50" s="12"/>
      <c r="V50" s="12"/>
      <c r="W50" s="12"/>
      <c r="X50" s="12"/>
      <c r="Y50" s="12"/>
      <c r="Z50" s="12"/>
    </row>
    <row x14ac:dyDescent="0.25" r="51" customHeight="1" ht="15.75">
      <c r="A51" s="8">
        <f>IFERROR(__xludf.DUMMYFUNCTION("""COMPUTED_VALUE"""),25252.0)</f>
      </c>
      <c r="B51" s="9">
        <f>IFERROR(__xludf.DUMMYFUNCTION("""COMPUTED_VALUE"""),"BAIXADAS LITORANEAS")</f>
      </c>
      <c r="C51" s="9">
        <f>IFERROR(__xludf.DUMMYFUNCTION("""COMPUTED_VALUE"""),"CE PRAIA DO SIQUEIRA")</f>
      </c>
      <c r="D51" s="10">
        <f>IFERROR(__xludf.DUMMYFUNCTION("""COMPUTED_VALUE"""),0.9118)</f>
      </c>
      <c r="E51" s="11">
        <f>IFERROR(__xludf.DUMMYFUNCTION("""COMPUTED_VALUE"""),368.6)</f>
      </c>
      <c r="F51" s="10">
        <f>IFERROR(__xludf.DUMMYFUNCTION("""COMPUTED_VALUE"""),0.6765)</f>
      </c>
      <c r="G51" s="11">
        <f>IFERROR(__xludf.DUMMYFUNCTION("""COMPUTED_VALUE"""),432.35)</f>
      </c>
      <c r="H51" s="10">
        <f>IFERROR(__xludf.DUMMYFUNCTION("""COMPUTED_VALUE"""),0.7451)</f>
      </c>
      <c r="I51" s="11">
        <f>IFERROR(__xludf.DUMMYFUNCTION("""COMPUTED_VALUE"""),468.27)</f>
      </c>
      <c r="J51" s="10">
        <f>IFERROR(__xludf.DUMMYFUNCTION("""COMPUTED_VALUE"""),0.6078)</f>
      </c>
      <c r="K51" s="11">
        <f>IFERROR(__xludf.DUMMYFUNCTION("""COMPUTED_VALUE"""),434.51)</f>
      </c>
      <c r="L51" s="10">
        <f>IFERROR(__xludf.DUMMYFUNCTION("""COMPUTED_VALUE"""),0.7157)</f>
      </c>
      <c r="M51" s="11">
        <f>IFERROR(__xludf.DUMMYFUNCTION("""COMPUTED_VALUE"""),436.11)</f>
      </c>
      <c r="N51" s="10">
        <f>IFERROR(__xludf.DUMMYFUNCTION("""COMPUTED_VALUE"""),0.0098)</f>
      </c>
      <c r="O51" s="11">
        <f>IFERROR(__xludf.DUMMYFUNCTION("""COMPUTED_VALUE"""),200.0)</f>
      </c>
      <c r="P51" s="12"/>
      <c r="Q51" s="12"/>
      <c r="R51" s="15"/>
      <c r="S51" s="12"/>
      <c r="T51" s="12"/>
      <c r="U51" s="12"/>
      <c r="V51" s="12"/>
      <c r="W51" s="12"/>
      <c r="X51" s="12"/>
      <c r="Y51" s="12"/>
      <c r="Z51" s="12"/>
    </row>
    <row x14ac:dyDescent="0.25" r="52" customHeight="1" ht="15.75">
      <c r="A52" s="8">
        <f>IFERROR(__xludf.DUMMYFUNCTION("""COMPUTED_VALUE"""),25253.0)</f>
      </c>
      <c r="B52" s="9">
        <f>IFERROR(__xludf.DUMMYFUNCTION("""COMPUTED_VALUE"""),"BAIXADAS LITORANEAS")</f>
      </c>
      <c r="C52" s="9">
        <f>IFERROR(__xludf.DUMMYFUNCTION("""COMPUTED_VALUE"""),"CE PROFESSOR CORDELINO TEIXEIRA PAULO")</f>
      </c>
      <c r="D52" s="10">
        <f>IFERROR(__xludf.DUMMYFUNCTION("""COMPUTED_VALUE"""),0.8462)</f>
      </c>
      <c r="E52" s="11">
        <f>IFERROR(__xludf.DUMMYFUNCTION("""COMPUTED_VALUE"""),86.67)</f>
      </c>
      <c r="F52" s="10">
        <f>IFERROR(__xludf.DUMMYFUNCTION("""COMPUTED_VALUE"""),0.6923)</f>
      </c>
      <c r="G52" s="11">
        <f>IFERROR(__xludf.DUMMYFUNCTION("""COMPUTED_VALUE"""),272.89)</f>
      </c>
      <c r="H52" s="10">
        <f>IFERROR(__xludf.DUMMYFUNCTION("""COMPUTED_VALUE"""),0.5385)</f>
      </c>
      <c r="I52" s="11">
        <f>IFERROR(__xludf.DUMMYFUNCTION("""COMPUTED_VALUE"""),374.86)</f>
      </c>
      <c r="J52" s="10">
        <f>IFERROR(__xludf.DUMMYFUNCTION("""COMPUTED_VALUE"""),0.5846)</f>
      </c>
      <c r="K52" s="11">
        <f>IFERROR(__xludf.DUMMYFUNCTION("""COMPUTED_VALUE"""),166.32)</f>
      </c>
      <c r="L52" s="10">
        <f>IFERROR(__xludf.DUMMYFUNCTION("""COMPUTED_VALUE"""),0.0)</f>
      </c>
      <c r="M52" s="11">
        <f>IFERROR(__xludf.DUMMYFUNCTION("""COMPUTED_VALUE"""),"----")</f>
      </c>
      <c r="N52" s="10">
        <f>IFERROR(__xludf.DUMMYFUNCTION("""COMPUTED_VALUE"""),0.0)</f>
      </c>
      <c r="O52" s="11">
        <f>IFERROR(__xludf.DUMMYFUNCTION("""COMPUTED_VALUE"""),"----")</f>
      </c>
      <c r="P52" s="12"/>
      <c r="Q52" s="12"/>
      <c r="R52" s="15"/>
      <c r="S52" s="12"/>
      <c r="T52" s="12"/>
      <c r="U52" s="12"/>
      <c r="V52" s="12"/>
      <c r="W52" s="12"/>
      <c r="X52" s="12"/>
      <c r="Y52" s="12"/>
      <c r="Z52" s="12"/>
    </row>
    <row x14ac:dyDescent="0.25" r="53" customHeight="1" ht="15.75">
      <c r="A53" s="8">
        <f>IFERROR(__xludf.DUMMYFUNCTION("""COMPUTED_VALUE"""),25269.0)</f>
      </c>
      <c r="B53" s="9">
        <f>IFERROR(__xludf.DUMMYFUNCTION("""COMPUTED_VALUE"""),"BAIXADAS LITORANEAS")</f>
      </c>
      <c r="C53" s="9">
        <f>IFERROR(__xludf.DUMMYFUNCTION("""COMPUTED_VALUE"""),"CE PROFESSOR DARCY RIBEIRO")</f>
      </c>
      <c r="D53" s="10">
        <f>IFERROR(__xludf.DUMMYFUNCTION("""COMPUTED_VALUE"""),0.1707)</f>
      </c>
      <c r="E53" s="11">
        <f>IFERROR(__xludf.DUMMYFUNCTION("""COMPUTED_VALUE"""),245.85)</f>
      </c>
      <c r="F53" s="10">
        <f>IFERROR(__xludf.DUMMYFUNCTION("""COMPUTED_VALUE"""),0.4404)</f>
      </c>
      <c r="G53" s="11">
        <f>IFERROR(__xludf.DUMMYFUNCTION("""COMPUTED_VALUE"""),"----")</f>
      </c>
      <c r="H53" s="10">
        <f>IFERROR(__xludf.DUMMYFUNCTION("""COMPUTED_VALUE"""),0.4985)</f>
      </c>
      <c r="I53" s="11">
        <f>IFERROR(__xludf.DUMMYFUNCTION("""COMPUTED_VALUE"""),"----")</f>
      </c>
      <c r="J53" s="10">
        <f>IFERROR(__xludf.DUMMYFUNCTION("""COMPUTED_VALUE"""),0.4253)</f>
      </c>
      <c r="K53" s="11">
        <f>IFERROR(__xludf.DUMMYFUNCTION("""COMPUTED_VALUE"""),116.07)</f>
      </c>
      <c r="L53" s="10">
        <f>IFERROR(__xludf.DUMMYFUNCTION("""COMPUTED_VALUE"""),0.4434)</f>
      </c>
      <c r="M53" s="11">
        <f>IFERROR(__xludf.DUMMYFUNCTION("""COMPUTED_VALUE"""),345.41)</f>
      </c>
      <c r="N53" s="10">
        <f>IFERROR(__xludf.DUMMYFUNCTION("""COMPUTED_VALUE"""),0.0039)</f>
      </c>
      <c r="O53" s="11">
        <f>IFERROR(__xludf.DUMMYFUNCTION("""COMPUTED_VALUE"""),"----")</f>
      </c>
      <c r="P53" s="12"/>
      <c r="Q53" s="12"/>
      <c r="R53" s="15"/>
      <c r="S53" s="12"/>
      <c r="T53" s="12"/>
      <c r="U53" s="12"/>
      <c r="V53" s="12"/>
      <c r="W53" s="12"/>
      <c r="X53" s="12"/>
      <c r="Y53" s="12"/>
      <c r="Z53" s="12"/>
    </row>
    <row x14ac:dyDescent="0.25" r="54" customHeight="1" ht="15.75">
      <c r="A54" s="8">
        <f>IFERROR(__xludf.DUMMYFUNCTION("""COMPUTED_VALUE"""),25320.0)</f>
      </c>
      <c r="B54" s="9">
        <f>IFERROR(__xludf.DUMMYFUNCTION("""COMPUTED_VALUE"""),"BAIXADAS LITORANEAS")</f>
      </c>
      <c r="C54" s="9">
        <f>IFERROR(__xludf.DUMMYFUNCTION("""COMPUTED_VALUE"""),"CE PROFESSOR DYRCEU RODRIGUES DA COSTA")</f>
      </c>
      <c r="D54" s="10">
        <f>IFERROR(__xludf.DUMMYFUNCTION("""COMPUTED_VALUE"""),0.8141)</f>
      </c>
      <c r="E54" s="11">
        <f>IFERROR(__xludf.DUMMYFUNCTION("""COMPUTED_VALUE"""),340.83)</f>
      </c>
      <c r="F54" s="10">
        <f>IFERROR(__xludf.DUMMYFUNCTION("""COMPUTED_VALUE"""),1.0)</f>
      </c>
      <c r="G54" s="11">
        <f>IFERROR(__xludf.DUMMYFUNCTION("""COMPUTED_VALUE"""),368.95)</f>
      </c>
      <c r="H54" s="10">
        <f>IFERROR(__xludf.DUMMYFUNCTION("""COMPUTED_VALUE"""),0.7756)</f>
      </c>
      <c r="I54" s="11">
        <f>IFERROR(__xludf.DUMMYFUNCTION("""COMPUTED_VALUE"""),440.33)</f>
      </c>
      <c r="J54" s="10">
        <f>IFERROR(__xludf.DUMMYFUNCTION("""COMPUTED_VALUE"""),0.5513)</f>
      </c>
      <c r="K54" s="11">
        <f>IFERROR(__xludf.DUMMYFUNCTION("""COMPUTED_VALUE"""),360.0)</f>
      </c>
      <c r="L54" s="10">
        <f>IFERROR(__xludf.DUMMYFUNCTION("""COMPUTED_VALUE"""),0.8013)</f>
      </c>
      <c r="M54" s="11">
        <f>IFERROR(__xludf.DUMMYFUNCTION("""COMPUTED_VALUE"""),415.68)</f>
      </c>
      <c r="N54" s="10">
        <f>IFERROR(__xludf.DUMMYFUNCTION("""COMPUTED_VALUE"""),0.25)</f>
      </c>
      <c r="O54" s="11">
        <f>IFERROR(__xludf.DUMMYFUNCTION("""COMPUTED_VALUE"""),310.77)</f>
      </c>
      <c r="P54" s="12"/>
      <c r="Q54" s="12"/>
      <c r="R54" s="15"/>
      <c r="S54" s="12"/>
      <c r="T54" s="12"/>
      <c r="U54" s="12"/>
      <c r="V54" s="12"/>
      <c r="W54" s="12"/>
      <c r="X54" s="12"/>
      <c r="Y54" s="12"/>
      <c r="Z54" s="12"/>
    </row>
    <row x14ac:dyDescent="0.25" r="55" customHeight="1" ht="15.75">
      <c r="A55" s="8">
        <f>IFERROR(__xludf.DUMMYFUNCTION("""COMPUTED_VALUE"""),25240.0)</f>
      </c>
      <c r="B55" s="9">
        <f>IFERROR(__xludf.DUMMYFUNCTION("""COMPUTED_VALUE"""),"BAIXADAS LITORANEAS")</f>
      </c>
      <c r="C55" s="9">
        <f>IFERROR(__xludf.DUMMYFUNCTION("""COMPUTED_VALUE"""),"CE PROFESSOR FONSECA")</f>
      </c>
      <c r="D55" s="10">
        <f>IFERROR(__xludf.DUMMYFUNCTION("""COMPUTED_VALUE"""),0.969)</f>
      </c>
      <c r="E55" s="11">
        <f>IFERROR(__xludf.DUMMYFUNCTION("""COMPUTED_VALUE"""),136.77)</f>
      </c>
      <c r="F55" s="10">
        <f>IFERROR(__xludf.DUMMYFUNCTION("""COMPUTED_VALUE"""),0.6744)</f>
      </c>
      <c r="G55" s="11">
        <f>IFERROR(__xludf.DUMMYFUNCTION("""COMPUTED_VALUE"""),356.28)</f>
      </c>
      <c r="H55" s="10">
        <f>IFERROR(__xludf.DUMMYFUNCTION("""COMPUTED_VALUE"""),0.6357)</f>
      </c>
      <c r="I55" s="11">
        <f>IFERROR(__xludf.DUMMYFUNCTION("""COMPUTED_VALUE"""),357.0)</f>
      </c>
      <c r="J55" s="10">
        <f>IFERROR(__xludf.DUMMYFUNCTION("""COMPUTED_VALUE"""),0.7674)</f>
      </c>
      <c r="K55" s="11">
        <f>IFERROR(__xludf.DUMMYFUNCTION("""COMPUTED_VALUE"""),286.12)</f>
      </c>
      <c r="L55" s="10">
        <f>IFERROR(__xludf.DUMMYFUNCTION("""COMPUTED_VALUE"""),0.6744)</f>
      </c>
      <c r="M55" s="11">
        <f>IFERROR(__xludf.DUMMYFUNCTION("""COMPUTED_VALUE"""),443.76)</f>
      </c>
      <c r="N55" s="10">
        <f>IFERROR(__xludf.DUMMYFUNCTION("""COMPUTED_VALUE"""),0.6512)</f>
      </c>
      <c r="O55" s="11">
        <f>IFERROR(__xludf.DUMMYFUNCTION("""COMPUTED_VALUE"""),458.57)</f>
      </c>
      <c r="P55" s="12"/>
      <c r="Q55" s="12"/>
      <c r="R55" s="15"/>
      <c r="S55" s="12"/>
      <c r="T55" s="12"/>
      <c r="U55" s="12"/>
      <c r="V55" s="12"/>
      <c r="W55" s="12"/>
      <c r="X55" s="12"/>
      <c r="Y55" s="12"/>
      <c r="Z55" s="12"/>
    </row>
    <row x14ac:dyDescent="0.25" r="56" customHeight="1" ht="15.75">
      <c r="A56" s="8">
        <f>IFERROR(__xludf.DUMMYFUNCTION("""COMPUTED_VALUE"""),25254.0)</f>
      </c>
      <c r="B56" s="9">
        <f>IFERROR(__xludf.DUMMYFUNCTION("""COMPUTED_VALUE"""),"BAIXADAS LITORANEAS")</f>
      </c>
      <c r="C56" s="9">
        <f>IFERROR(__xludf.DUMMYFUNCTION("""COMPUTED_VALUE"""),"CE PROFESSOR RENATO AZEVEDO")</f>
      </c>
      <c r="D56" s="10">
        <f>IFERROR(__xludf.DUMMYFUNCTION("""COMPUTED_VALUE"""),0.6462)</f>
      </c>
      <c r="E56" s="11">
        <f>IFERROR(__xludf.DUMMYFUNCTION("""COMPUTED_VALUE"""),226.0)</f>
      </c>
      <c r="F56" s="10">
        <f>IFERROR(__xludf.DUMMYFUNCTION("""COMPUTED_VALUE"""),0.9631)</f>
      </c>
      <c r="G56" s="11">
        <f>IFERROR(__xludf.DUMMYFUNCTION("""COMPUTED_VALUE"""),163.16)</f>
      </c>
      <c r="H56" s="10">
        <f>IFERROR(__xludf.DUMMYFUNCTION("""COMPUTED_VALUE"""),0.4655)</f>
      </c>
      <c r="I56" s="11">
        <f>IFERROR(__xludf.DUMMYFUNCTION("""COMPUTED_VALUE"""),240.86)</f>
      </c>
      <c r="J56" s="10">
        <f>IFERROR(__xludf.DUMMYFUNCTION("""COMPUTED_VALUE"""),0.3968)</f>
      </c>
      <c r="K56" s="11">
        <f>IFERROR(__xludf.DUMMYFUNCTION("""COMPUTED_VALUE"""),247.63)</f>
      </c>
      <c r="L56" s="10">
        <f>IFERROR(__xludf.DUMMYFUNCTION("""COMPUTED_VALUE"""),0.5417)</f>
      </c>
      <c r="M56" s="11">
        <f>IFERROR(__xludf.DUMMYFUNCTION("""COMPUTED_VALUE"""),403.92)</f>
      </c>
      <c r="N56" s="10">
        <f>IFERROR(__xludf.DUMMYFUNCTION("""COMPUTED_VALUE"""),0.421)</f>
      </c>
      <c r="O56" s="11">
        <f>IFERROR(__xludf.DUMMYFUNCTION("""COMPUTED_VALUE"""),486.55)</f>
      </c>
      <c r="P56" s="12"/>
      <c r="Q56" s="12"/>
      <c r="R56" s="15"/>
      <c r="S56" s="12"/>
      <c r="T56" s="12"/>
      <c r="U56" s="12"/>
      <c r="V56" s="12"/>
      <c r="W56" s="12"/>
      <c r="X56" s="12"/>
      <c r="Y56" s="12"/>
      <c r="Z56" s="12"/>
    </row>
    <row x14ac:dyDescent="0.25" r="57" customHeight="1" ht="15.75">
      <c r="A57" s="8">
        <f>IFERROR(__xludf.DUMMYFUNCTION("""COMPUTED_VALUE"""),25299.0)</f>
      </c>
      <c r="B57" s="9">
        <f>IFERROR(__xludf.DUMMYFUNCTION("""COMPUTED_VALUE"""),"BAIXADAS LITORANEAS")</f>
      </c>
      <c r="C57" s="9">
        <f>IFERROR(__xludf.DUMMYFUNCTION("""COMPUTED_VALUE"""),"CE PROFESSORA ALCINA RODRIGUES DE LIMA")</f>
      </c>
      <c r="D57" s="10">
        <f>IFERROR(__xludf.DUMMYFUNCTION("""COMPUTED_VALUE"""),0.6504)</f>
      </c>
      <c r="E57" s="11">
        <f>IFERROR(__xludf.DUMMYFUNCTION("""COMPUTED_VALUE"""),331.67)</f>
      </c>
      <c r="F57" s="10">
        <f>IFERROR(__xludf.DUMMYFUNCTION("""COMPUTED_VALUE"""),0.292)</f>
      </c>
      <c r="G57" s="11">
        <f>IFERROR(__xludf.DUMMYFUNCTION("""COMPUTED_VALUE"""),443.03)</f>
      </c>
      <c r="H57" s="10">
        <f>IFERROR(__xludf.DUMMYFUNCTION("""COMPUTED_VALUE"""),0.5133)</f>
      </c>
      <c r="I57" s="11">
        <f>IFERROR(__xludf.DUMMYFUNCTION("""COMPUTED_VALUE"""),451.03)</f>
      </c>
      <c r="J57" s="10">
        <f>IFERROR(__xludf.DUMMYFUNCTION("""COMPUTED_VALUE"""),0.4248)</f>
      </c>
      <c r="K57" s="11">
        <f>IFERROR(__xludf.DUMMYFUNCTION("""COMPUTED_VALUE"""),389.59)</f>
      </c>
      <c r="L57" s="10">
        <f>IFERROR(__xludf.DUMMYFUNCTION("""COMPUTED_VALUE"""),0.5442)</f>
      </c>
      <c r="M57" s="11">
        <f>IFERROR(__xludf.DUMMYFUNCTION("""COMPUTED_VALUE"""),458.86)</f>
      </c>
      <c r="N57" s="10">
        <f>IFERROR(__xludf.DUMMYFUNCTION("""COMPUTED_VALUE"""),0.531)</f>
      </c>
      <c r="O57" s="11">
        <f>IFERROR(__xludf.DUMMYFUNCTION("""COMPUTED_VALUE"""),443.33)</f>
      </c>
      <c r="P57" s="12"/>
      <c r="Q57" s="12"/>
      <c r="R57" s="15"/>
      <c r="S57" s="12"/>
      <c r="T57" s="12"/>
      <c r="U57" s="12"/>
      <c r="V57" s="12"/>
      <c r="W57" s="12"/>
      <c r="X57" s="12"/>
      <c r="Y57" s="12"/>
      <c r="Z57" s="12"/>
    </row>
    <row x14ac:dyDescent="0.25" r="58" customHeight="1" ht="15.75">
      <c r="A58" s="8">
        <f>IFERROR(__xludf.DUMMYFUNCTION("""COMPUTED_VALUE"""),25270.0)</f>
      </c>
      <c r="B58" s="9">
        <f>IFERROR(__xludf.DUMMYFUNCTION("""COMPUTED_VALUE"""),"BAIXADAS LITORANEAS")</f>
      </c>
      <c r="C58" s="9">
        <f>IFERROR(__xludf.DUMMYFUNCTION("""COMPUTED_VALUE"""),"CE PROFESSORA CACILDA SILVA")</f>
      </c>
      <c r="D58" s="10">
        <f>IFERROR(__xludf.DUMMYFUNCTION("""COMPUTED_VALUE"""),0.925)</f>
      </c>
      <c r="E58" s="11">
        <f>IFERROR(__xludf.DUMMYFUNCTION("""COMPUTED_VALUE"""),384.86)</f>
      </c>
      <c r="F58" s="10">
        <f>IFERROR(__xludf.DUMMYFUNCTION("""COMPUTED_VALUE"""),0.7625)</f>
      </c>
      <c r="G58" s="11">
        <f>IFERROR(__xludf.DUMMYFUNCTION("""COMPUTED_VALUE"""),468.2)</f>
      </c>
      <c r="H58" s="10">
        <f>IFERROR(__xludf.DUMMYFUNCTION("""COMPUTED_VALUE"""),0.8625)</f>
      </c>
      <c r="I58" s="11">
        <f>IFERROR(__xludf.DUMMYFUNCTION("""COMPUTED_VALUE"""),475.36)</f>
      </c>
      <c r="J58" s="10">
        <f>IFERROR(__xludf.DUMMYFUNCTION("""COMPUTED_VALUE"""),0.8125)</f>
      </c>
      <c r="K58" s="11">
        <f>IFERROR(__xludf.DUMMYFUNCTION("""COMPUTED_VALUE"""),453.13)</f>
      </c>
      <c r="L58" s="10">
        <f>IFERROR(__xludf.DUMMYFUNCTION("""COMPUTED_VALUE"""),0.75)</f>
      </c>
      <c r="M58" s="11">
        <f>IFERROR(__xludf.DUMMYFUNCTION("""COMPUTED_VALUE"""),477.33)</f>
      </c>
      <c r="N58" s="10">
        <f>IFERROR(__xludf.DUMMYFUNCTION("""COMPUTED_VALUE"""),0.8375)</f>
      </c>
      <c r="O58" s="11">
        <f>IFERROR(__xludf.DUMMYFUNCTION("""COMPUTED_VALUE"""),506.87)</f>
      </c>
      <c r="P58" s="12"/>
      <c r="Q58" s="12"/>
      <c r="R58" s="15"/>
      <c r="S58" s="12"/>
      <c r="T58" s="12"/>
      <c r="U58" s="12"/>
      <c r="V58" s="12"/>
      <c r="W58" s="12"/>
      <c r="X58" s="12"/>
      <c r="Y58" s="12"/>
      <c r="Z58" s="12"/>
    </row>
    <row x14ac:dyDescent="0.25" r="59" customHeight="1" ht="15.75">
      <c r="A59" s="8">
        <f>IFERROR(__xludf.DUMMYFUNCTION("""COMPUTED_VALUE"""),25241.0)</f>
      </c>
      <c r="B59" s="9">
        <f>IFERROR(__xludf.DUMMYFUNCTION("""COMPUTED_VALUE"""),"BAIXADAS LITORANEAS")</f>
      </c>
      <c r="C59" s="9">
        <f>IFERROR(__xludf.DUMMYFUNCTION("""COMPUTED_VALUE"""),"CE PROFESSORA CLARICE COELHO MOREIRA CALDAS")</f>
      </c>
      <c r="D59" s="10">
        <f>IFERROR(__xludf.DUMMYFUNCTION("""COMPUTED_VALUE"""),0.9403)</f>
      </c>
      <c r="E59" s="11">
        <f>IFERROR(__xludf.DUMMYFUNCTION("""COMPUTED_VALUE"""),227.93)</f>
      </c>
      <c r="F59" s="10">
        <f>IFERROR(__xludf.DUMMYFUNCTION("""COMPUTED_VALUE"""),0.653)</f>
      </c>
      <c r="G59" s="11">
        <f>IFERROR(__xludf.DUMMYFUNCTION("""COMPUTED_VALUE"""),420.24)</f>
      </c>
      <c r="H59" s="10">
        <f>IFERROR(__xludf.DUMMYFUNCTION("""COMPUTED_VALUE"""),0.62)</f>
      </c>
      <c r="I59" s="11">
        <f>IFERROR(__xludf.DUMMYFUNCTION("""COMPUTED_VALUE"""),456.55)</f>
      </c>
      <c r="J59" s="10">
        <f>IFERROR(__xludf.DUMMYFUNCTION("""COMPUTED_VALUE"""),0.8339)</f>
      </c>
      <c r="K59" s="11">
        <f>IFERROR(__xludf.DUMMYFUNCTION("""COMPUTED_VALUE"""),403.43)</f>
      </c>
      <c r="L59" s="10">
        <f>IFERROR(__xludf.DUMMYFUNCTION("""COMPUTED_VALUE"""),0.5367)</f>
      </c>
      <c r="M59" s="11">
        <f>IFERROR(__xludf.DUMMYFUNCTION("""COMPUTED_VALUE"""),"----")</f>
      </c>
      <c r="N59" s="10">
        <f>IFERROR(__xludf.DUMMYFUNCTION("""COMPUTED_VALUE"""),0.6567)</f>
      </c>
      <c r="O59" s="11">
        <f>IFERROR(__xludf.DUMMYFUNCTION("""COMPUTED_VALUE"""),501.14)</f>
      </c>
      <c r="P59" s="12"/>
      <c r="Q59" s="12"/>
      <c r="R59" s="15"/>
      <c r="S59" s="12"/>
      <c r="T59" s="12"/>
      <c r="U59" s="12"/>
      <c r="V59" s="12"/>
      <c r="W59" s="12"/>
      <c r="X59" s="12"/>
      <c r="Y59" s="12"/>
      <c r="Z59" s="12"/>
    </row>
    <row x14ac:dyDescent="0.25" r="60" customHeight="1" ht="15.75">
      <c r="A60" s="8">
        <f>IFERROR(__xludf.DUMMYFUNCTION("""COMPUTED_VALUE"""),25300.0)</f>
      </c>
      <c r="B60" s="9">
        <f>IFERROR(__xludf.DUMMYFUNCTION("""COMPUTED_VALUE"""),"BAIXADAS LITORANEAS")</f>
      </c>
      <c r="C60" s="9">
        <f>IFERROR(__xludf.DUMMYFUNCTION("""COMPUTED_VALUE"""),"CE RAUL VIDAL")</f>
      </c>
      <c r="D60" s="10">
        <f>IFERROR(__xludf.DUMMYFUNCTION("""COMPUTED_VALUE"""),0.9042)</f>
      </c>
      <c r="E60" s="11">
        <f>IFERROR(__xludf.DUMMYFUNCTION("""COMPUTED_VALUE"""),98.63)</f>
      </c>
      <c r="F60" s="10">
        <f>IFERROR(__xludf.DUMMYFUNCTION("""COMPUTED_VALUE"""),0.9192)</f>
      </c>
      <c r="G60" s="11">
        <f>IFERROR(__xludf.DUMMYFUNCTION("""COMPUTED_VALUE"""),203.47)</f>
      </c>
      <c r="H60" s="10">
        <f>IFERROR(__xludf.DUMMYFUNCTION("""COMPUTED_VALUE"""),0.4447)</f>
      </c>
      <c r="I60" s="11">
        <f>IFERROR(__xludf.DUMMYFUNCTION("""COMPUTED_VALUE"""),381.74)</f>
      </c>
      <c r="J60" s="10">
        <f>IFERROR(__xludf.DUMMYFUNCTION("""COMPUTED_VALUE"""),0.4698)</f>
      </c>
      <c r="K60" s="11">
        <f>IFERROR(__xludf.DUMMYFUNCTION("""COMPUTED_VALUE"""),169.34)</f>
      </c>
      <c r="L60" s="10">
        <f>IFERROR(__xludf.DUMMYFUNCTION("""COMPUTED_VALUE"""),0.4165)</f>
      </c>
      <c r="M60" s="11">
        <f>IFERROR(__xludf.DUMMYFUNCTION("""COMPUTED_VALUE"""),223.95)</f>
      </c>
      <c r="N60" s="10">
        <f>IFERROR(__xludf.DUMMYFUNCTION("""COMPUTED_VALUE"""),0.4062)</f>
      </c>
      <c r="O60" s="11">
        <f>IFERROR(__xludf.DUMMYFUNCTION("""COMPUTED_VALUE"""),266.83)</f>
      </c>
      <c r="P60" s="12"/>
      <c r="Q60" s="12"/>
      <c r="R60" s="15"/>
      <c r="S60" s="12"/>
      <c r="T60" s="12"/>
      <c r="U60" s="12"/>
      <c r="V60" s="12"/>
      <c r="W60" s="12"/>
      <c r="X60" s="12"/>
      <c r="Y60" s="12"/>
      <c r="Z60" s="12"/>
    </row>
    <row x14ac:dyDescent="0.25" r="61" customHeight="1" ht="15.75">
      <c r="A61" s="8">
        <f>IFERROR(__xludf.DUMMYFUNCTION("""COMPUTED_VALUE"""),25333.0)</f>
      </c>
      <c r="B61" s="9">
        <f>IFERROR(__xludf.DUMMYFUNCTION("""COMPUTED_VALUE"""),"BAIXADAS LITORANEAS")</f>
      </c>
      <c r="C61" s="9">
        <f>IFERROR(__xludf.DUMMYFUNCTION("""COMPUTED_VALUE"""),"CE RIO DE AREIA")</f>
      </c>
      <c r="D61" s="10">
        <f>IFERROR(__xludf.DUMMYFUNCTION("""COMPUTED_VALUE"""),0.7447)</f>
      </c>
      <c r="E61" s="11">
        <f>IFERROR(__xludf.DUMMYFUNCTION("""COMPUTED_VALUE"""),182.73)</f>
      </c>
      <c r="F61" s="10">
        <f>IFERROR(__xludf.DUMMYFUNCTION("""COMPUTED_VALUE"""),0.5532)</f>
      </c>
      <c r="G61" s="11">
        <f>IFERROR(__xludf.DUMMYFUNCTION("""COMPUTED_VALUE"""),454.23)</f>
      </c>
      <c r="H61" s="10">
        <f>IFERROR(__xludf.DUMMYFUNCTION("""COMPUTED_VALUE"""),0.4281)</f>
      </c>
      <c r="I61" s="11">
        <f>IFERROR(__xludf.DUMMYFUNCTION("""COMPUTED_VALUE"""),494.66)</f>
      </c>
      <c r="J61" s="10">
        <f>IFERROR(__xludf.DUMMYFUNCTION("""COMPUTED_VALUE"""),0.5621)</f>
      </c>
      <c r="K61" s="11">
        <f>IFERROR(__xludf.DUMMYFUNCTION("""COMPUTED_VALUE"""),"----")</f>
      </c>
      <c r="L61" s="10">
        <f>IFERROR(__xludf.DUMMYFUNCTION("""COMPUTED_VALUE"""),0.3922)</f>
      </c>
      <c r="M61" s="11">
        <f>IFERROR(__xludf.DUMMYFUNCTION("""COMPUTED_VALUE"""),445.34)</f>
      </c>
      <c r="N61" s="10">
        <f>IFERROR(__xludf.DUMMYFUNCTION("""COMPUTED_VALUE"""),0.6013)</f>
      </c>
      <c r="O61" s="11">
        <f>IFERROR(__xludf.DUMMYFUNCTION("""COMPUTED_VALUE"""),465.0)</f>
      </c>
      <c r="P61" s="12"/>
      <c r="Q61" s="12"/>
      <c r="R61" s="15"/>
      <c r="S61" s="12"/>
      <c r="T61" s="12"/>
      <c r="U61" s="12"/>
      <c r="V61" s="12"/>
      <c r="W61" s="12"/>
      <c r="X61" s="12"/>
      <c r="Y61" s="12"/>
      <c r="Z61" s="12"/>
    </row>
    <row x14ac:dyDescent="0.25" r="62" customHeight="1" ht="15.75">
      <c r="A62" s="8">
        <f>IFERROR(__xludf.DUMMYFUNCTION("""COMPUTED_VALUE"""),25242.0)</f>
      </c>
      <c r="B62" s="9">
        <f>IFERROR(__xludf.DUMMYFUNCTION("""COMPUTED_VALUE"""),"BAIXADAS LITORANEAS")</f>
      </c>
      <c r="C62" s="9">
        <f>IFERROR(__xludf.DUMMYFUNCTION("""COMPUTED_VALUE"""),"CE SARGENTO PM ANTONIO CARLOS OLIVEIRA DE MOURA")</f>
      </c>
      <c r="D62" s="10">
        <f>IFERROR(__xludf.DUMMYFUNCTION("""COMPUTED_VALUE"""),0.8376)</f>
      </c>
      <c r="E62" s="11">
        <f>IFERROR(__xludf.DUMMYFUNCTION("""COMPUTED_VALUE"""),468.98)</f>
      </c>
      <c r="F62" s="10">
        <f>IFERROR(__xludf.DUMMYFUNCTION("""COMPUTED_VALUE"""),0.9658)</f>
      </c>
      <c r="G62" s="11">
        <f>IFERROR(__xludf.DUMMYFUNCTION("""COMPUTED_VALUE"""),536.64)</f>
      </c>
      <c r="H62" s="10">
        <f>IFERROR(__xludf.DUMMYFUNCTION("""COMPUTED_VALUE"""),0.8034)</f>
      </c>
      <c r="I62" s="11">
        <f>IFERROR(__xludf.DUMMYFUNCTION("""COMPUTED_VALUE"""),541.08)</f>
      </c>
      <c r="J62" s="10">
        <f>IFERROR(__xludf.DUMMYFUNCTION("""COMPUTED_VALUE"""),0.6923)</f>
      </c>
      <c r="K62" s="11">
        <f>IFERROR(__xludf.DUMMYFUNCTION("""COMPUTED_VALUE"""),506.67)</f>
      </c>
      <c r="L62" s="10">
        <f>IFERROR(__xludf.DUMMYFUNCTION("""COMPUTED_VALUE"""),0.7179)</f>
      </c>
      <c r="M62" s="11">
        <f>IFERROR(__xludf.DUMMYFUNCTION("""COMPUTED_VALUE"""),507.14)</f>
      </c>
      <c r="N62" s="10">
        <f>IFERROR(__xludf.DUMMYFUNCTION("""COMPUTED_VALUE"""),0.7692)</f>
      </c>
      <c r="O62" s="11">
        <f>IFERROR(__xludf.DUMMYFUNCTION("""COMPUTED_VALUE"""),528.0)</f>
      </c>
      <c r="P62" s="12"/>
      <c r="Q62" s="12"/>
      <c r="R62" s="15"/>
      <c r="S62" s="12"/>
      <c r="T62" s="12"/>
      <c r="U62" s="12"/>
      <c r="V62" s="12"/>
      <c r="W62" s="12"/>
      <c r="X62" s="12"/>
      <c r="Y62" s="12"/>
      <c r="Z62" s="12"/>
    </row>
    <row x14ac:dyDescent="0.25" r="63" customHeight="1" ht="15.75">
      <c r="A63" s="8">
        <f>IFERROR(__xludf.DUMMYFUNCTION("""COMPUTED_VALUE"""),25249.0)</f>
      </c>
      <c r="B63" s="9">
        <f>IFERROR(__xludf.DUMMYFUNCTION("""COMPUTED_VALUE"""),"BAIXADAS LITORANEAS")</f>
      </c>
      <c r="C63" s="9">
        <f>IFERROR(__xludf.DUMMYFUNCTION("""COMPUTED_VALUE"""),"CE VINTE DE JULHO")</f>
      </c>
      <c r="D63" s="10">
        <f>IFERROR(__xludf.DUMMYFUNCTION("""COMPUTED_VALUE"""),0.9873)</f>
      </c>
      <c r="E63" s="11">
        <f>IFERROR(__xludf.DUMMYFUNCTION("""COMPUTED_VALUE"""),245.69)</f>
      </c>
      <c r="F63" s="10">
        <f>IFERROR(__xludf.DUMMYFUNCTION("""COMPUTED_VALUE"""),0.9958)</f>
      </c>
      <c r="G63" s="11">
        <f>IFERROR(__xludf.DUMMYFUNCTION("""COMPUTED_VALUE"""),347.53)</f>
      </c>
      <c r="H63" s="10">
        <f>IFERROR(__xludf.DUMMYFUNCTION("""COMPUTED_VALUE"""),0.8602)</f>
      </c>
      <c r="I63" s="11">
        <f>IFERROR(__xludf.DUMMYFUNCTION("""COMPUTED_VALUE"""),313.47)</f>
      </c>
      <c r="J63" s="10">
        <f>IFERROR(__xludf.DUMMYFUNCTION("""COMPUTED_VALUE"""),0.6356)</f>
      </c>
      <c r="K63" s="11">
        <f>IFERROR(__xludf.DUMMYFUNCTION("""COMPUTED_VALUE"""),350.21)</f>
      </c>
      <c r="L63" s="10">
        <f>IFERROR(__xludf.DUMMYFUNCTION("""COMPUTED_VALUE"""),0.6737)</f>
      </c>
      <c r="M63" s="11">
        <f>IFERROR(__xludf.DUMMYFUNCTION("""COMPUTED_VALUE"""),411.72)</f>
      </c>
      <c r="N63" s="10">
        <f>IFERROR(__xludf.DUMMYFUNCTION("""COMPUTED_VALUE"""),0.6186)</f>
      </c>
      <c r="O63" s="11">
        <f>IFERROR(__xludf.DUMMYFUNCTION("""COMPUTED_VALUE"""),368.28)</f>
      </c>
      <c r="P63" s="12"/>
      <c r="Q63" s="12"/>
      <c r="R63" s="15"/>
      <c r="S63" s="12"/>
      <c r="T63" s="12"/>
      <c r="U63" s="12"/>
      <c r="V63" s="12"/>
      <c r="W63" s="12"/>
      <c r="X63" s="12"/>
      <c r="Y63" s="12"/>
      <c r="Z63" s="12"/>
    </row>
    <row x14ac:dyDescent="0.25" r="64" customHeight="1" ht="15.75">
      <c r="A64" s="8">
        <f>IFERROR(__xludf.DUMMYFUNCTION("""COMPUTED_VALUE"""),25301.0)</f>
      </c>
      <c r="B64" s="9">
        <f>IFERROR(__xludf.DUMMYFUNCTION("""COMPUTED_VALUE"""),"BAIXADAS LITORANEAS")</f>
      </c>
      <c r="C64" s="9">
        <f>IFERROR(__xludf.DUMMYFUNCTION("""COMPUTED_VALUE"""),"CE ZULEIKA RAPOSO VALLADARES")</f>
      </c>
      <c r="D64" s="10">
        <f>IFERROR(__xludf.DUMMYFUNCTION("""COMPUTED_VALUE"""),0.871)</f>
      </c>
      <c r="E64" s="11">
        <f>IFERROR(__xludf.DUMMYFUNCTION("""COMPUTED_VALUE"""),296.41)</f>
      </c>
      <c r="F64" s="10">
        <f>IFERROR(__xludf.DUMMYFUNCTION("""COMPUTED_VALUE"""),0.828)</f>
      </c>
      <c r="G64" s="11">
        <f>IFERROR(__xludf.DUMMYFUNCTION("""COMPUTED_VALUE"""),462.11)</f>
      </c>
      <c r="H64" s="10">
        <f>IFERROR(__xludf.DUMMYFUNCTION("""COMPUTED_VALUE"""),0.7527)</f>
      </c>
      <c r="I64" s="11">
        <f>IFERROR(__xludf.DUMMYFUNCTION("""COMPUTED_VALUE"""),416.12)</f>
      </c>
      <c r="J64" s="10">
        <f>IFERROR(__xludf.DUMMYFUNCTION("""COMPUTED_VALUE"""),0.6129)</f>
      </c>
      <c r="K64" s="11">
        <f>IFERROR(__xludf.DUMMYFUNCTION("""COMPUTED_VALUE"""),339.2)</f>
      </c>
      <c r="L64" s="10">
        <f>IFERROR(__xludf.DUMMYFUNCTION("""COMPUTED_VALUE"""),0.6559)</f>
      </c>
      <c r="M64" s="11">
        <f>IFERROR(__xludf.DUMMYFUNCTION("""COMPUTED_VALUE"""),414.92)</f>
      </c>
      <c r="N64" s="10">
        <f>IFERROR(__xludf.DUMMYFUNCTION("""COMPUTED_VALUE"""),0.6774)</f>
      </c>
      <c r="O64" s="11">
        <f>IFERROR(__xludf.DUMMYFUNCTION("""COMPUTED_VALUE"""),408.52)</f>
      </c>
      <c r="P64" s="12"/>
      <c r="Q64" s="12"/>
      <c r="R64" s="15"/>
      <c r="S64" s="12"/>
      <c r="T64" s="12"/>
      <c r="U64" s="12"/>
      <c r="V64" s="12"/>
      <c r="W64" s="12"/>
      <c r="X64" s="12"/>
      <c r="Y64" s="12"/>
      <c r="Z64" s="12"/>
    </row>
    <row x14ac:dyDescent="0.25" r="65" customHeight="1" ht="15.75">
      <c r="A65" s="8">
        <f>IFERROR(__xludf.DUMMYFUNCTION("""COMPUTED_VALUE"""),25326.0)</f>
      </c>
      <c r="B65" s="9">
        <f>IFERROR(__xludf.DUMMYFUNCTION("""COMPUTED_VALUE"""),"BAIXADAS LITORANEAS")</f>
      </c>
      <c r="C65" s="9">
        <f>IFERROR(__xludf.DUMMYFUNCTION("""COMPUTED_VALUE"""),"CIEP 146 PROFESSOR CORDELINO TEIXEIRA PAULO")</f>
      </c>
      <c r="D65" s="10">
        <f>IFERROR(__xludf.DUMMYFUNCTION("""COMPUTED_VALUE"""),0.6061)</f>
      </c>
      <c r="E65" s="11">
        <f>IFERROR(__xludf.DUMMYFUNCTION("""COMPUTED_VALUE"""),222.2)</f>
      </c>
      <c r="F65" s="10">
        <f>IFERROR(__xludf.DUMMYFUNCTION("""COMPUTED_VALUE"""),0.4848)</f>
      </c>
      <c r="G65" s="11">
        <f>IFERROR(__xludf.DUMMYFUNCTION("""COMPUTED_VALUE"""),331.91)</f>
      </c>
      <c r="H65" s="10">
        <f>IFERROR(__xludf.DUMMYFUNCTION("""COMPUTED_VALUE"""),0.5884)</f>
      </c>
      <c r="I65" s="11">
        <f>IFERROR(__xludf.DUMMYFUNCTION("""COMPUTED_VALUE"""),340.0)</f>
      </c>
      <c r="J65" s="10">
        <f>IFERROR(__xludf.DUMMYFUNCTION("""COMPUTED_VALUE"""),0.6237)</f>
      </c>
      <c r="K65" s="11">
        <f>IFERROR(__xludf.DUMMYFUNCTION("""COMPUTED_VALUE"""),293.0)</f>
      </c>
      <c r="L65" s="10">
        <f>IFERROR(__xludf.DUMMYFUNCTION("""COMPUTED_VALUE"""),0.6111)</f>
      </c>
      <c r="M65" s="11">
        <f>IFERROR(__xludf.DUMMYFUNCTION("""COMPUTED_VALUE"""),397.83)</f>
      </c>
      <c r="N65" s="10">
        <f>IFERROR(__xludf.DUMMYFUNCTION("""COMPUTED_VALUE"""),0.6061)</f>
      </c>
      <c r="O65" s="11">
        <f>IFERROR(__xludf.DUMMYFUNCTION("""COMPUTED_VALUE"""),417.41)</f>
      </c>
      <c r="P65" s="12"/>
      <c r="Q65" s="12"/>
      <c r="R65" s="15"/>
      <c r="S65" s="12"/>
      <c r="T65" s="12"/>
      <c r="U65" s="12"/>
      <c r="V65" s="12"/>
      <c r="W65" s="12"/>
      <c r="X65" s="12"/>
      <c r="Y65" s="12"/>
      <c r="Z65" s="12"/>
    </row>
    <row x14ac:dyDescent="0.25" r="66" customHeight="1" ht="15.75">
      <c r="A66" s="8">
        <f>IFERROR(__xludf.DUMMYFUNCTION("""COMPUTED_VALUE"""),25243.0)</f>
      </c>
      <c r="B66" s="9">
        <f>IFERROR(__xludf.DUMMYFUNCTION("""COMPUTED_VALUE"""),"BAIXADAS LITORANEAS")</f>
      </c>
      <c r="C66" s="9">
        <f>IFERROR(__xludf.DUMMYFUNCTION("""COMPUTED_VALUE"""),"CIEP 148 PROFESSOR CARLOS ELIO VOGAS DA SILVA")</f>
      </c>
      <c r="D66" s="10">
        <f>IFERROR(__xludf.DUMMYFUNCTION("""COMPUTED_VALUE"""),0.8689)</f>
      </c>
      <c r="E66" s="11">
        <f>IFERROR(__xludf.DUMMYFUNCTION("""COMPUTED_VALUE"""),301.89)</f>
      </c>
      <c r="F66" s="10">
        <f>IFERROR(__xludf.DUMMYFUNCTION("""COMPUTED_VALUE"""),0.8087)</f>
      </c>
      <c r="G66" s="11">
        <f>IFERROR(__xludf.DUMMYFUNCTION("""COMPUTED_VALUE"""),441.36)</f>
      </c>
      <c r="H66" s="10">
        <f>IFERROR(__xludf.DUMMYFUNCTION("""COMPUTED_VALUE"""),0.8361)</f>
      </c>
      <c r="I66" s="11">
        <f>IFERROR(__xludf.DUMMYFUNCTION("""COMPUTED_VALUE"""),440.27)</f>
      </c>
      <c r="J66" s="10">
        <f>IFERROR(__xludf.DUMMYFUNCTION("""COMPUTED_VALUE"""),0.8579)</f>
      </c>
      <c r="K66" s="11">
        <f>IFERROR(__xludf.DUMMYFUNCTION("""COMPUTED_VALUE"""),441.87)</f>
      </c>
      <c r="L66" s="10">
        <f>IFERROR(__xludf.DUMMYFUNCTION("""COMPUTED_VALUE"""),0.8087)</f>
      </c>
      <c r="M66" s="11">
        <f>IFERROR(__xludf.DUMMYFUNCTION("""COMPUTED_VALUE"""),448.33)</f>
      </c>
      <c r="N66" s="10">
        <f>IFERROR(__xludf.DUMMYFUNCTION("""COMPUTED_VALUE"""),0.7213)</f>
      </c>
      <c r="O66" s="11">
        <f>IFERROR(__xludf.DUMMYFUNCTION("""COMPUTED_VALUE"""),438.47)</f>
      </c>
      <c r="P66" s="12"/>
      <c r="Q66" s="12"/>
      <c r="R66" s="15"/>
      <c r="S66" s="12"/>
      <c r="T66" s="12"/>
      <c r="U66" s="12"/>
      <c r="V66" s="12"/>
      <c r="W66" s="12"/>
      <c r="X66" s="12"/>
      <c r="Y66" s="12"/>
      <c r="Z66" s="12"/>
    </row>
    <row x14ac:dyDescent="0.25" r="67" customHeight="1" ht="15.75">
      <c r="A67" s="8">
        <f>IFERROR(__xludf.DUMMYFUNCTION("""COMPUTED_VALUE"""),25255.0)</f>
      </c>
      <c r="B67" s="9">
        <f>IFERROR(__xludf.DUMMYFUNCTION("""COMPUTED_VALUE"""),"BAIXADAS LITORANEAS")</f>
      </c>
      <c r="C67" s="9">
        <f>IFERROR(__xludf.DUMMYFUNCTION("""COMPUTED_VALUE"""),"CIEP 193 WILSON MENDES")</f>
      </c>
      <c r="D67" s="10">
        <f>IFERROR(__xludf.DUMMYFUNCTION("""COMPUTED_VALUE"""),0.6909)</f>
      </c>
      <c r="E67" s="11">
        <f>IFERROR(__xludf.DUMMYFUNCTION("""COMPUTED_VALUE"""),267.89)</f>
      </c>
      <c r="F67" s="10">
        <f>IFERROR(__xludf.DUMMYFUNCTION("""COMPUTED_VALUE"""),0.5455)</f>
      </c>
      <c r="G67" s="11">
        <f>IFERROR(__xludf.DUMMYFUNCTION("""COMPUTED_VALUE"""),406.67)</f>
      </c>
      <c r="H67" s="10">
        <f>IFERROR(__xludf.DUMMYFUNCTION("""COMPUTED_VALUE"""),0.5405)</f>
      </c>
      <c r="I67" s="11">
        <f>IFERROR(__xludf.DUMMYFUNCTION("""COMPUTED_VALUE"""),416.32)</f>
      </c>
      <c r="J67" s="10">
        <f>IFERROR(__xludf.DUMMYFUNCTION("""COMPUTED_VALUE"""),0.7333)</f>
      </c>
      <c r="K67" s="11">
        <f>IFERROR(__xludf.DUMMYFUNCTION("""COMPUTED_VALUE"""),344.16)</f>
      </c>
      <c r="L67" s="10">
        <f>IFERROR(__xludf.DUMMYFUNCTION("""COMPUTED_VALUE"""),0.3919)</f>
      </c>
      <c r="M67" s="11">
        <f>IFERROR(__xludf.DUMMYFUNCTION("""COMPUTED_VALUE"""),"----")</f>
      </c>
      <c r="N67" s="10">
        <f>IFERROR(__xludf.DUMMYFUNCTION("""COMPUTED_VALUE"""),0.0)</f>
      </c>
      <c r="O67" s="11">
        <f>IFERROR(__xludf.DUMMYFUNCTION("""COMPUTED_VALUE"""),"----")</f>
      </c>
      <c r="P67" s="12"/>
      <c r="Q67" s="12"/>
      <c r="R67" s="15"/>
      <c r="S67" s="12"/>
      <c r="T67" s="12"/>
      <c r="U67" s="12"/>
      <c r="V67" s="12"/>
      <c r="W67" s="12"/>
      <c r="X67" s="12"/>
      <c r="Y67" s="12"/>
      <c r="Z67" s="12"/>
    </row>
    <row x14ac:dyDescent="0.25" r="68" customHeight="1" ht="15.75">
      <c r="A68" s="8">
        <f>IFERROR(__xludf.DUMMYFUNCTION("""COMPUTED_VALUE"""),25303.0)</f>
      </c>
      <c r="B68" s="9">
        <f>IFERROR(__xludf.DUMMYFUNCTION("""COMPUTED_VALUE"""),"BAIXADAS LITORANEAS")</f>
      </c>
      <c r="C68" s="9">
        <f>IFERROR(__xludf.DUMMYFUNCTION("""COMPUTED_VALUE"""),"CIEP 251 DONA MARIA PORTUGAL - BRASIL-PARAGUAI")</f>
      </c>
      <c r="D68" s="10">
        <f>IFERROR(__xludf.DUMMYFUNCTION("""COMPUTED_VALUE"""),0.8667)</f>
      </c>
      <c r="E68" s="11">
        <f>IFERROR(__xludf.DUMMYFUNCTION("""COMPUTED_VALUE"""),309.09)</f>
      </c>
      <c r="F68" s="10">
        <f>IFERROR(__xludf.DUMMYFUNCTION("""COMPUTED_VALUE"""),0.6667)</f>
      </c>
      <c r="G68" s="11">
        <f>IFERROR(__xludf.DUMMYFUNCTION("""COMPUTED_VALUE"""),408.0)</f>
      </c>
      <c r="H68" s="10">
        <f>IFERROR(__xludf.DUMMYFUNCTION("""COMPUTED_VALUE"""),0.6)</f>
      </c>
      <c r="I68" s="11">
        <f>IFERROR(__xludf.DUMMYFUNCTION("""COMPUTED_VALUE"""),413.33)</f>
      </c>
      <c r="J68" s="10">
        <f>IFERROR(__xludf.DUMMYFUNCTION("""COMPUTED_VALUE"""),0.5333)</f>
      </c>
      <c r="K68" s="11">
        <f>IFERROR(__xludf.DUMMYFUNCTION("""COMPUTED_VALUE"""),370.0)</f>
      </c>
      <c r="L68" s="10">
        <f>IFERROR(__xludf.DUMMYFUNCTION("""COMPUTED_VALUE"""),0.7333)</f>
      </c>
      <c r="M68" s="11">
        <f>IFERROR(__xludf.DUMMYFUNCTION("""COMPUTED_VALUE"""),530.91)</f>
      </c>
      <c r="N68" s="10">
        <f>IFERROR(__xludf.DUMMYFUNCTION("""COMPUTED_VALUE"""),0.6)</f>
      </c>
      <c r="O68" s="11">
        <f>IFERROR(__xludf.DUMMYFUNCTION("""COMPUTED_VALUE"""),506.67)</f>
      </c>
      <c r="P68" s="12"/>
      <c r="Q68" s="12"/>
      <c r="R68" s="15"/>
      <c r="S68" s="12"/>
      <c r="T68" s="12"/>
      <c r="U68" s="12"/>
      <c r="V68" s="12"/>
      <c r="W68" s="12"/>
      <c r="X68" s="12"/>
      <c r="Y68" s="12"/>
      <c r="Z68" s="12"/>
    </row>
    <row x14ac:dyDescent="0.25" r="69" customHeight="1" ht="15.75">
      <c r="A69" s="8">
        <f>IFERROR(__xludf.DUMMYFUNCTION("""COMPUTED_VALUE"""),25244.0)</f>
      </c>
      <c r="B69" s="9">
        <f>IFERROR(__xludf.DUMMYFUNCTION("""COMPUTED_VALUE"""),"BAIXADAS LITORANEAS")</f>
      </c>
      <c r="C69" s="9">
        <f>IFERROR(__xludf.DUMMYFUNCTION("""COMPUTED_VALUE"""),"CIEP 253 GUIMARÃES ROSA")</f>
      </c>
      <c r="D69" s="10">
        <f>IFERROR(__xludf.DUMMYFUNCTION("""COMPUTED_VALUE"""),0.9878)</f>
      </c>
      <c r="E69" s="11">
        <f>IFERROR(__xludf.DUMMYFUNCTION("""COMPUTED_VALUE"""),275.5)</f>
      </c>
      <c r="F69" s="10">
        <f>IFERROR(__xludf.DUMMYFUNCTION("""COMPUTED_VALUE"""),0.7073)</f>
      </c>
      <c r="G69" s="11">
        <f>IFERROR(__xludf.DUMMYFUNCTION("""COMPUTED_VALUE"""),409.82)</f>
      </c>
      <c r="H69" s="10">
        <f>IFERROR(__xludf.DUMMYFUNCTION("""COMPUTED_VALUE"""),1.0)</f>
      </c>
      <c r="I69" s="11">
        <f>IFERROR(__xludf.DUMMYFUNCTION("""COMPUTED_VALUE"""),363.95)</f>
      </c>
      <c r="J69" s="10">
        <f>IFERROR(__xludf.DUMMYFUNCTION("""COMPUTED_VALUE"""),0.7439)</f>
      </c>
      <c r="K69" s="11">
        <f>IFERROR(__xludf.DUMMYFUNCTION("""COMPUTED_VALUE"""),301.69)</f>
      </c>
      <c r="L69" s="10">
        <f>IFERROR(__xludf.DUMMYFUNCTION("""COMPUTED_VALUE"""),0.0122)</f>
      </c>
      <c r="M69" s="11">
        <f>IFERROR(__xludf.DUMMYFUNCTION("""COMPUTED_VALUE"""),560.0)</f>
      </c>
      <c r="N69" s="10">
        <f>IFERROR(__xludf.DUMMYFUNCTION("""COMPUTED_VALUE"""),0.0244)</f>
      </c>
      <c r="O69" s="11">
        <f>IFERROR(__xludf.DUMMYFUNCTION("""COMPUTED_VALUE"""),340.0)</f>
      </c>
      <c r="P69" s="12"/>
      <c r="Q69" s="12"/>
      <c r="R69" s="15"/>
      <c r="S69" s="12"/>
      <c r="T69" s="12"/>
      <c r="U69" s="12"/>
      <c r="V69" s="12"/>
      <c r="W69" s="12"/>
      <c r="X69" s="12"/>
      <c r="Y69" s="12"/>
      <c r="Z69" s="12"/>
    </row>
    <row x14ac:dyDescent="0.25" r="70" customHeight="1" ht="15.75">
      <c r="A70" s="8">
        <f>IFERROR(__xludf.DUMMYFUNCTION("""COMPUTED_VALUE"""),25334.0)</f>
      </c>
      <c r="B70" s="9">
        <f>IFERROR(__xludf.DUMMYFUNCTION("""COMPUTED_VALUE"""),"BAIXADAS LITORANEAS")</f>
      </c>
      <c r="C70" s="9">
        <f>IFERROR(__xludf.DUMMYFUNCTION("""COMPUTED_VALUE"""),"CIEP 258 ASTROGILDO PEREIRA")</f>
      </c>
      <c r="D70" s="10">
        <f>IFERROR(__xludf.DUMMYFUNCTION("""COMPUTED_VALUE"""),0.7027)</f>
      </c>
      <c r="E70" s="11">
        <f>IFERROR(__xludf.DUMMYFUNCTION("""COMPUTED_VALUE"""),188.45)</f>
      </c>
      <c r="F70" s="10">
        <f>IFERROR(__xludf.DUMMYFUNCTION("""COMPUTED_VALUE"""),0.953)</f>
      </c>
      <c r="G70" s="11">
        <f>IFERROR(__xludf.DUMMYFUNCTION("""COMPUTED_VALUE"""),231.79)</f>
      </c>
      <c r="H70" s="10">
        <f>IFERROR(__xludf.DUMMYFUNCTION("""COMPUTED_VALUE"""),0.4066)</f>
      </c>
      <c r="I70" s="11">
        <f>IFERROR(__xludf.DUMMYFUNCTION("""COMPUTED_VALUE"""),368.88)</f>
      </c>
      <c r="J70" s="10">
        <f>IFERROR(__xludf.DUMMYFUNCTION("""COMPUTED_VALUE"""),0.4736)</f>
      </c>
      <c r="K70" s="11">
        <f>IFERROR(__xludf.DUMMYFUNCTION("""COMPUTED_VALUE"""),191.5)</f>
      </c>
      <c r="L70" s="10">
        <f>IFERROR(__xludf.DUMMYFUNCTION("""COMPUTED_VALUE"""),0.0024)</f>
      </c>
      <c r="M70" s="11">
        <f>IFERROR(__xludf.DUMMYFUNCTION("""COMPUTED_VALUE"""),400.0)</f>
      </c>
      <c r="N70" s="10">
        <f>IFERROR(__xludf.DUMMYFUNCTION("""COMPUTED_VALUE"""),0.0035)</f>
      </c>
      <c r="O70" s="11">
        <f>IFERROR(__xludf.DUMMYFUNCTION("""COMPUTED_VALUE"""),346.67)</f>
      </c>
      <c r="P70" s="12"/>
      <c r="Q70" s="12"/>
      <c r="R70" s="15"/>
      <c r="S70" s="12"/>
      <c r="T70" s="12"/>
      <c r="U70" s="12"/>
      <c r="V70" s="12"/>
      <c r="W70" s="12"/>
      <c r="X70" s="12"/>
      <c r="Y70" s="12"/>
      <c r="Z70" s="12"/>
    </row>
    <row x14ac:dyDescent="0.25" r="71" customHeight="1" ht="15.75">
      <c r="A71" s="8">
        <f>IFERROR(__xludf.DUMMYFUNCTION("""COMPUTED_VALUE"""),25271.0)</f>
      </c>
      <c r="B71" s="9">
        <f>IFERROR(__xludf.DUMMYFUNCTION("""COMPUTED_VALUE"""),"BAIXADAS LITORANEAS")</f>
      </c>
      <c r="C71" s="9">
        <f>IFERROR(__xludf.DUMMYFUNCTION("""COMPUTED_VALUE"""),"CIEP 259 PROFESSORA MARIA DO AMPARO RANGEL DE SOUZA")</f>
      </c>
      <c r="D71" s="10">
        <f>IFERROR(__xludf.DUMMYFUNCTION("""COMPUTED_VALUE"""),0.8036)</f>
      </c>
      <c r="E71" s="11">
        <f>IFERROR(__xludf.DUMMYFUNCTION("""COMPUTED_VALUE"""),208.06)</f>
      </c>
      <c r="F71" s="10">
        <f>IFERROR(__xludf.DUMMYFUNCTION("""COMPUTED_VALUE"""),0.5357)</f>
      </c>
      <c r="G71" s="11">
        <f>IFERROR(__xludf.DUMMYFUNCTION("""COMPUTED_VALUE"""),345.85)</f>
      </c>
      <c r="H71" s="10">
        <f>IFERROR(__xludf.DUMMYFUNCTION("""COMPUTED_VALUE"""),0.5716)</f>
      </c>
      <c r="I71" s="11">
        <f>IFERROR(__xludf.DUMMYFUNCTION("""COMPUTED_VALUE"""),361.97)</f>
      </c>
      <c r="J71" s="10">
        <f>IFERROR(__xludf.DUMMYFUNCTION("""COMPUTED_VALUE"""),0.6533)</f>
      </c>
      <c r="K71" s="11">
        <f>IFERROR(__xludf.DUMMYFUNCTION("""COMPUTED_VALUE"""),236.88)</f>
      </c>
      <c r="L71" s="10">
        <f>IFERROR(__xludf.DUMMYFUNCTION("""COMPUTED_VALUE"""),0.598)</f>
      </c>
      <c r="M71" s="11">
        <f>IFERROR(__xludf.DUMMYFUNCTION("""COMPUTED_VALUE"""),350.44)</f>
      </c>
      <c r="N71" s="10">
        <f>IFERROR(__xludf.DUMMYFUNCTION("""COMPUTED_VALUE"""),0.5276)</f>
      </c>
      <c r="O71" s="11">
        <f>IFERROR(__xludf.DUMMYFUNCTION("""COMPUTED_VALUE"""),380.39)</f>
      </c>
      <c r="P71" s="12"/>
      <c r="Q71" s="12"/>
      <c r="R71" s="15"/>
      <c r="S71" s="12"/>
      <c r="T71" s="12"/>
      <c r="U71" s="12"/>
      <c r="V71" s="12"/>
      <c r="W71" s="12"/>
      <c r="X71" s="12"/>
      <c r="Y71" s="12"/>
      <c r="Z71" s="12"/>
    </row>
    <row x14ac:dyDescent="0.25" r="72" customHeight="1" ht="15.75">
      <c r="A72" s="8">
        <f>IFERROR(__xludf.DUMMYFUNCTION("""COMPUTED_VALUE"""),25327.0)</f>
      </c>
      <c r="B72" s="9">
        <f>IFERROR(__xludf.DUMMYFUNCTION("""COMPUTED_VALUE"""),"BAIXADAS LITORANEAS")</f>
      </c>
      <c r="C72" s="9">
        <f>IFERROR(__xludf.DUMMYFUNCTION("""COMPUTED_VALUE"""),"CIEP 262 CURVELINA DIAS CURVELLO")</f>
      </c>
      <c r="D72" s="10">
        <f>IFERROR(__xludf.DUMMYFUNCTION("""COMPUTED_VALUE"""),0.7077)</f>
      </c>
      <c r="E72" s="11">
        <f>IFERROR(__xludf.DUMMYFUNCTION("""COMPUTED_VALUE"""),"----")</f>
      </c>
      <c r="F72" s="10">
        <f>IFERROR(__xludf.DUMMYFUNCTION("""COMPUTED_VALUE"""),0.4103)</f>
      </c>
      <c r="G72" s="11">
        <f>IFERROR(__xludf.DUMMYFUNCTION("""COMPUTED_VALUE"""),396.5)</f>
      </c>
      <c r="H72" s="10">
        <f>IFERROR(__xludf.DUMMYFUNCTION("""COMPUTED_VALUE"""),0.8008)</f>
      </c>
      <c r="I72" s="11">
        <f>IFERROR(__xludf.DUMMYFUNCTION("""COMPUTED_VALUE"""),270.53)</f>
      </c>
      <c r="J72" s="10">
        <f>IFERROR(__xludf.DUMMYFUNCTION("""COMPUTED_VALUE"""),0.5085)</f>
      </c>
      <c r="K72" s="11">
        <f>IFERROR(__xludf.DUMMYFUNCTION("""COMPUTED_VALUE"""),178.33)</f>
      </c>
      <c r="L72" s="10">
        <f>IFERROR(__xludf.DUMMYFUNCTION("""COMPUTED_VALUE"""),0.0996)</f>
      </c>
      <c r="M72" s="11">
        <f>IFERROR(__xludf.DUMMYFUNCTION("""COMPUTED_VALUE"""),216.92)</f>
      </c>
      <c r="N72" s="10">
        <f>IFERROR(__xludf.DUMMYFUNCTION("""COMPUTED_VALUE"""),0.0077)</f>
      </c>
      <c r="O72" s="11">
        <f>IFERROR(__xludf.DUMMYFUNCTION("""COMPUTED_VALUE"""),"----")</f>
      </c>
      <c r="P72" s="12"/>
      <c r="Q72" s="12"/>
      <c r="R72" s="15"/>
      <c r="S72" s="12"/>
      <c r="T72" s="12"/>
      <c r="U72" s="12"/>
      <c r="V72" s="12"/>
      <c r="W72" s="12"/>
      <c r="X72" s="12"/>
      <c r="Y72" s="12"/>
      <c r="Z72" s="12"/>
    </row>
    <row x14ac:dyDescent="0.25" r="73" customHeight="1" ht="15.75">
      <c r="A73" s="8">
        <f>IFERROR(__xludf.DUMMYFUNCTION("""COMPUTED_VALUE"""),25328.0)</f>
      </c>
      <c r="B73" s="9">
        <f>IFERROR(__xludf.DUMMYFUNCTION("""COMPUTED_VALUE"""),"BAIXADAS LITORANEAS")</f>
      </c>
      <c r="C73" s="9">
        <f>IFERROR(__xludf.DUMMYFUNCTION("""COMPUTED_VALUE"""),"CIEP 272 GABRIEL JOAQUIM DOS SANTOS")</f>
      </c>
      <c r="D73" s="10">
        <f>IFERROR(__xludf.DUMMYFUNCTION("""COMPUTED_VALUE"""),0.8868)</f>
      </c>
      <c r="E73" s="11">
        <f>IFERROR(__xludf.DUMMYFUNCTION("""COMPUTED_VALUE"""),110.64)</f>
      </c>
      <c r="F73" s="10">
        <f>IFERROR(__xludf.DUMMYFUNCTION("""COMPUTED_VALUE"""),0.9811)</f>
      </c>
      <c r="G73" s="11">
        <f>IFERROR(__xludf.DUMMYFUNCTION("""COMPUTED_VALUE"""),110.77)</f>
      </c>
      <c r="H73" s="10">
        <f>IFERROR(__xludf.DUMMYFUNCTION("""COMPUTED_VALUE"""),0.2892)</f>
      </c>
      <c r="I73" s="11">
        <f>IFERROR(__xludf.DUMMYFUNCTION("""COMPUTED_VALUE"""),273.33)</f>
      </c>
      <c r="J73" s="10">
        <f>IFERROR(__xludf.DUMMYFUNCTION("""COMPUTED_VALUE"""),0.6087)</f>
      </c>
      <c r="K73" s="11">
        <f>IFERROR(__xludf.DUMMYFUNCTION("""COMPUTED_VALUE"""),158.57)</f>
      </c>
      <c r="L73" s="10">
        <f>IFERROR(__xludf.DUMMYFUNCTION("""COMPUTED_VALUE"""),0.2892)</f>
      </c>
      <c r="M73" s="11">
        <f>IFERROR(__xludf.DUMMYFUNCTION("""COMPUTED_VALUE"""),198.33)</f>
      </c>
      <c r="N73" s="10">
        <f>IFERROR(__xludf.DUMMYFUNCTION("""COMPUTED_VALUE"""),0.253)</f>
      </c>
      <c r="O73" s="11">
        <f>IFERROR(__xludf.DUMMYFUNCTION("""COMPUTED_VALUE"""),287.62)</f>
      </c>
      <c r="P73" s="12"/>
      <c r="Q73" s="12"/>
      <c r="R73" s="15"/>
      <c r="S73" s="12"/>
      <c r="T73" s="12"/>
      <c r="U73" s="12"/>
      <c r="V73" s="12"/>
      <c r="W73" s="12"/>
      <c r="X73" s="12"/>
      <c r="Y73" s="12"/>
      <c r="Z73" s="12"/>
    </row>
    <row x14ac:dyDescent="0.25" r="74" customHeight="1" ht="15.75">
      <c r="A74" s="8">
        <f>IFERROR(__xludf.DUMMYFUNCTION("""COMPUTED_VALUE"""),25304.0)</f>
      </c>
      <c r="B74" s="9">
        <f>IFERROR(__xludf.DUMMYFUNCTION("""COMPUTED_VALUE"""),"BAIXADAS LITORANEAS")</f>
      </c>
      <c r="C74" s="9">
        <f>IFERROR(__xludf.DUMMYFUNCTION("""COMPUTED_VALUE"""),"CIEP 307 DJANIRA")</f>
      </c>
      <c r="D74" s="10">
        <f>IFERROR(__xludf.DUMMYFUNCTION("""COMPUTED_VALUE"""),0.7842)</f>
      </c>
      <c r="E74" s="11">
        <f>IFERROR(__xludf.DUMMYFUNCTION("""COMPUTED_VALUE"""),328.07)</f>
      </c>
      <c r="F74" s="10">
        <f>IFERROR(__xludf.DUMMYFUNCTION("""COMPUTED_VALUE"""),0.7122)</f>
      </c>
      <c r="G74" s="11">
        <f>IFERROR(__xludf.DUMMYFUNCTION("""COMPUTED_VALUE"""),409.07)</f>
      </c>
      <c r="H74" s="10">
        <f>IFERROR(__xludf.DUMMYFUNCTION("""COMPUTED_VALUE"""),0.6978)</f>
      </c>
      <c r="I74" s="11">
        <f>IFERROR(__xludf.DUMMYFUNCTION("""COMPUTED_VALUE"""),460.21)</f>
      </c>
      <c r="J74" s="10">
        <f>IFERROR(__xludf.DUMMYFUNCTION("""COMPUTED_VALUE"""),0.7626)</f>
      </c>
      <c r="K74" s="11">
        <f>IFERROR(__xludf.DUMMYFUNCTION("""COMPUTED_VALUE"""),404.62)</f>
      </c>
      <c r="L74" s="10">
        <f>IFERROR(__xludf.DUMMYFUNCTION("""COMPUTED_VALUE"""),0.6475)</f>
      </c>
      <c r="M74" s="11">
        <f>IFERROR(__xludf.DUMMYFUNCTION("""COMPUTED_VALUE"""),472.0)</f>
      </c>
      <c r="N74" s="10">
        <f>IFERROR(__xludf.DUMMYFUNCTION("""COMPUTED_VALUE"""),0.6763)</f>
      </c>
      <c r="O74" s="11">
        <f>IFERROR(__xludf.DUMMYFUNCTION("""COMPUTED_VALUE"""),461.08)</f>
      </c>
      <c r="P74" s="12"/>
      <c r="Q74" s="12"/>
      <c r="R74" s="15"/>
      <c r="S74" s="12"/>
      <c r="T74" s="12"/>
      <c r="U74" s="12"/>
      <c r="V74" s="12"/>
      <c r="W74" s="12"/>
      <c r="X74" s="12"/>
      <c r="Y74" s="12"/>
      <c r="Z74" s="12"/>
    </row>
    <row x14ac:dyDescent="0.25" r="75" customHeight="1" ht="15.75">
      <c r="A75" s="8">
        <f>IFERROR(__xludf.DUMMYFUNCTION("""COMPUTED_VALUE"""),25256.0)</f>
      </c>
      <c r="B75" s="9">
        <f>IFERROR(__xludf.DUMMYFUNCTION("""COMPUTED_VALUE"""),"BAIXADAS LITORANEAS")</f>
      </c>
      <c r="C75" s="9">
        <f>IFERROR(__xludf.DUMMYFUNCTION("""COMPUTED_VALUE"""),"CIEP 331 LYSIA BERNARDES")</f>
      </c>
      <c r="D75" s="10">
        <f>IFERROR(__xludf.DUMMYFUNCTION("""COMPUTED_VALUE"""),0.7475)</f>
      </c>
      <c r="E75" s="11">
        <f>IFERROR(__xludf.DUMMYFUNCTION("""COMPUTED_VALUE"""),158.45)</f>
      </c>
      <c r="F75" s="10">
        <f>IFERROR(__xludf.DUMMYFUNCTION("""COMPUTED_VALUE"""),0.6123)</f>
      </c>
      <c r="G75" s="11">
        <f>IFERROR(__xludf.DUMMYFUNCTION("""COMPUTED_VALUE"""),354.01)</f>
      </c>
      <c r="H75" s="10">
        <f>IFERROR(__xludf.DUMMYFUNCTION("""COMPUTED_VALUE"""),0.6077)</f>
      </c>
      <c r="I75" s="11">
        <f>IFERROR(__xludf.DUMMYFUNCTION("""COMPUTED_VALUE"""),329.11)</f>
      </c>
      <c r="J75" s="10">
        <f>IFERROR(__xludf.DUMMYFUNCTION("""COMPUTED_VALUE"""),0.4442)</f>
      </c>
      <c r="K75" s="11">
        <f>IFERROR(__xludf.DUMMYFUNCTION("""COMPUTED_VALUE"""),221.21)</f>
      </c>
      <c r="L75" s="10">
        <f>IFERROR(__xludf.DUMMYFUNCTION("""COMPUTED_VALUE"""),0.5783)</f>
      </c>
      <c r="M75" s="11">
        <f>IFERROR(__xludf.DUMMYFUNCTION("""COMPUTED_VALUE"""),414.74)</f>
      </c>
      <c r="N75" s="10">
        <f>IFERROR(__xludf.DUMMYFUNCTION("""COMPUTED_VALUE"""),0.488)</f>
      </c>
      <c r="O75" s="11">
        <f>IFERROR(__xludf.DUMMYFUNCTION("""COMPUTED_VALUE"""),424.63)</f>
      </c>
      <c r="P75" s="12"/>
      <c r="Q75" s="12"/>
      <c r="R75" s="15"/>
      <c r="S75" s="12"/>
      <c r="T75" s="12"/>
      <c r="U75" s="12"/>
      <c r="V75" s="12"/>
      <c r="W75" s="12"/>
      <c r="X75" s="12"/>
      <c r="Y75" s="12"/>
      <c r="Z75" s="12"/>
    </row>
    <row x14ac:dyDescent="0.25" r="76" customHeight="1" ht="15.75">
      <c r="A76" s="8">
        <f>IFERROR(__xludf.DUMMYFUNCTION("""COMPUTED_VALUE"""),25257.0)</f>
      </c>
      <c r="B76" s="9">
        <f>IFERROR(__xludf.DUMMYFUNCTION("""COMPUTED_VALUE"""),"BAIXADAS LITORANEAS")</f>
      </c>
      <c r="C76" s="9">
        <f>IFERROR(__xludf.DUMMYFUNCTION("""COMPUTED_VALUE"""),"CIEP 357 JOSE DE DOME")</f>
      </c>
      <c r="D76" s="10">
        <f>IFERROR(__xludf.DUMMYFUNCTION("""COMPUTED_VALUE"""),0.4815)</f>
      </c>
      <c r="E76" s="11">
        <f>IFERROR(__xludf.DUMMYFUNCTION("""COMPUTED_VALUE"""),163.63)</f>
      </c>
      <c r="F76" s="10">
        <f>IFERROR(__xludf.DUMMYFUNCTION("""COMPUTED_VALUE"""),0.6481)</f>
      </c>
      <c r="G76" s="11">
        <f>IFERROR(__xludf.DUMMYFUNCTION("""COMPUTED_VALUE"""),363.43)</f>
      </c>
      <c r="H76" s="10">
        <f>IFERROR(__xludf.DUMMYFUNCTION("""COMPUTED_VALUE"""),0.3378)</f>
      </c>
      <c r="I76" s="11">
        <f>IFERROR(__xludf.DUMMYFUNCTION("""COMPUTED_VALUE"""),408.72)</f>
      </c>
      <c r="J76" s="10">
        <f>IFERROR(__xludf.DUMMYFUNCTION("""COMPUTED_VALUE"""),0.4667)</f>
      </c>
      <c r="K76" s="11">
        <f>IFERROR(__xludf.DUMMYFUNCTION("""COMPUTED_VALUE"""),296.17)</f>
      </c>
      <c r="L76" s="10">
        <f>IFERROR(__xludf.DUMMYFUNCTION("""COMPUTED_VALUE"""),0.0)</f>
      </c>
      <c r="M76" s="11">
        <f>IFERROR(__xludf.DUMMYFUNCTION("""COMPUTED_VALUE"""),"----")</f>
      </c>
      <c r="N76" s="10">
        <f>IFERROR(__xludf.DUMMYFUNCTION("""COMPUTED_VALUE"""),0.0)</f>
      </c>
      <c r="O76" s="11">
        <f>IFERROR(__xludf.DUMMYFUNCTION("""COMPUTED_VALUE"""),"----")</f>
      </c>
      <c r="P76" s="12"/>
      <c r="Q76" s="12"/>
      <c r="R76" s="15"/>
      <c r="S76" s="12"/>
      <c r="T76" s="12"/>
      <c r="U76" s="12"/>
      <c r="V76" s="12"/>
      <c r="W76" s="12"/>
      <c r="X76" s="12"/>
      <c r="Y76" s="12"/>
      <c r="Z76" s="12"/>
    </row>
    <row x14ac:dyDescent="0.25" r="77" customHeight="1" ht="15.75">
      <c r="A77" s="8">
        <f>IFERROR(__xludf.DUMMYFUNCTION("""COMPUTED_VALUE"""),25335.0)</f>
      </c>
      <c r="B77" s="9">
        <f>IFERROR(__xludf.DUMMYFUNCTION("""COMPUTED_VALUE"""),"BAIXADAS LITORANEAS")</f>
      </c>
      <c r="C77" s="9">
        <f>IFERROR(__xludf.DUMMYFUNCTION("""COMPUTED_VALUE"""),"CIEP 372 PAULO LEMINSKY")</f>
      </c>
      <c r="D77" s="10">
        <f>IFERROR(__xludf.DUMMYFUNCTION("""COMPUTED_VALUE"""),0.0)</f>
      </c>
      <c r="E77" s="11">
        <f>IFERROR(__xludf.DUMMYFUNCTION("""COMPUTED_VALUE"""),"----")</f>
      </c>
      <c r="F77" s="10">
        <f>IFERROR(__xludf.DUMMYFUNCTION("""COMPUTED_VALUE"""),0.6479)</f>
      </c>
      <c r="G77" s="11">
        <f>IFERROR(__xludf.DUMMYFUNCTION("""COMPUTED_VALUE"""),405.22)</f>
      </c>
      <c r="H77" s="10">
        <f>IFERROR(__xludf.DUMMYFUNCTION("""COMPUTED_VALUE"""),0.3406)</f>
      </c>
      <c r="I77" s="11">
        <f>IFERROR(__xludf.DUMMYFUNCTION("""COMPUTED_VALUE"""),363.41)</f>
      </c>
      <c r="J77" s="10">
        <f>IFERROR(__xludf.DUMMYFUNCTION("""COMPUTED_VALUE"""),0.7813)</f>
      </c>
      <c r="K77" s="11">
        <f>IFERROR(__xludf.DUMMYFUNCTION("""COMPUTED_VALUE"""),249.6)</f>
      </c>
      <c r="L77" s="10">
        <f>IFERROR(__xludf.DUMMYFUNCTION("""COMPUTED_VALUE"""),0.1594)</f>
      </c>
      <c r="M77" s="11">
        <f>IFERROR(__xludf.DUMMYFUNCTION("""COMPUTED_VALUE"""),"----")</f>
      </c>
      <c r="N77" s="10">
        <f>IFERROR(__xludf.DUMMYFUNCTION("""COMPUTED_VALUE"""),0.2681)</f>
      </c>
      <c r="O77" s="11">
        <f>IFERROR(__xludf.DUMMYFUNCTION("""COMPUTED_VALUE"""),352.38)</f>
      </c>
      <c r="P77" s="12"/>
      <c r="Q77" s="12"/>
      <c r="R77" s="15"/>
      <c r="S77" s="12"/>
      <c r="T77" s="12"/>
      <c r="U77" s="12"/>
      <c r="V77" s="12"/>
      <c r="W77" s="12"/>
      <c r="X77" s="12"/>
      <c r="Y77" s="12"/>
      <c r="Z77" s="12"/>
    </row>
    <row x14ac:dyDescent="0.25" r="78" customHeight="1" ht="15.75">
      <c r="A78" s="8">
        <f>IFERROR(__xludf.DUMMYFUNCTION("""COMPUTED_VALUE"""),25245.0)</f>
      </c>
      <c r="B78" s="9">
        <f>IFERROR(__xludf.DUMMYFUNCTION("""COMPUTED_VALUE"""),"BAIXADAS LITORANEAS")</f>
      </c>
      <c r="C78" s="9">
        <f>IFERROR(__xludf.DUMMYFUNCTION("""COMPUTED_VALUE"""),"CIEP 384 GONCALVES DIAS")</f>
      </c>
      <c r="D78" s="10">
        <f>IFERROR(__xludf.DUMMYFUNCTION("""COMPUTED_VALUE"""),0.7374)</f>
      </c>
      <c r="E78" s="11">
        <f>IFERROR(__xludf.DUMMYFUNCTION("""COMPUTED_VALUE"""),170.07)</f>
      </c>
      <c r="F78" s="10">
        <f>IFERROR(__xludf.DUMMYFUNCTION("""COMPUTED_VALUE"""),0.6128)</f>
      </c>
      <c r="G78" s="11">
        <f>IFERROR(__xludf.DUMMYFUNCTION("""COMPUTED_VALUE"""),358.24)</f>
      </c>
      <c r="H78" s="10">
        <f>IFERROR(__xludf.DUMMYFUNCTION("""COMPUTED_VALUE"""),0.5201)</f>
      </c>
      <c r="I78" s="11">
        <f>IFERROR(__xludf.DUMMYFUNCTION("""COMPUTED_VALUE"""),366.72)</f>
      </c>
      <c r="J78" s="10">
        <f>IFERROR(__xludf.DUMMYFUNCTION("""COMPUTED_VALUE"""),0.7246)</f>
      </c>
      <c r="K78" s="11">
        <f>IFERROR(__xludf.DUMMYFUNCTION("""COMPUTED_VALUE"""),240.34)</f>
      </c>
      <c r="L78" s="10">
        <f>IFERROR(__xludf.DUMMYFUNCTION("""COMPUTED_VALUE"""),0.5882)</f>
      </c>
      <c r="M78" s="11">
        <f>IFERROR(__xludf.DUMMYFUNCTION("""COMPUTED_VALUE"""),352.07)</f>
      </c>
      <c r="N78" s="10">
        <f>IFERROR(__xludf.DUMMYFUNCTION("""COMPUTED_VALUE"""),0.5913)</f>
      </c>
      <c r="O78" s="11">
        <f>IFERROR(__xludf.DUMMYFUNCTION("""COMPUTED_VALUE"""),382.28)</f>
      </c>
      <c r="P78" s="12"/>
      <c r="Q78" s="12"/>
      <c r="R78" s="15"/>
      <c r="S78" s="12"/>
      <c r="T78" s="12"/>
      <c r="U78" s="12"/>
      <c r="V78" s="12"/>
      <c r="W78" s="12"/>
      <c r="X78" s="12"/>
      <c r="Y78" s="12"/>
      <c r="Z78" s="12"/>
    </row>
    <row x14ac:dyDescent="0.25" r="79" customHeight="1" ht="15.75">
      <c r="A79" s="8">
        <f>IFERROR(__xludf.DUMMYFUNCTION("""COMPUTED_VALUE"""),25305.0)</f>
      </c>
      <c r="B79" s="9">
        <f>IFERROR(__xludf.DUMMYFUNCTION("""COMPUTED_VALUE"""),"BAIXADAS LITORANEAS")</f>
      </c>
      <c r="C79" s="9">
        <f>IFERROR(__xludf.DUMMYFUNCTION("""COMPUTED_VALUE"""),"CIEP 448 RUY FRAZAO SOARES")</f>
      </c>
      <c r="D79" s="10">
        <f>IFERROR(__xludf.DUMMYFUNCTION("""COMPUTED_VALUE"""),0.5324)</f>
      </c>
      <c r="E79" s="11">
        <f>IFERROR(__xludf.DUMMYFUNCTION("""COMPUTED_VALUE"""),190.89)</f>
      </c>
      <c r="F79" s="10">
        <f>IFERROR(__xludf.DUMMYFUNCTION("""COMPUTED_VALUE"""),0.4676)</f>
      </c>
      <c r="G79" s="11">
        <f>IFERROR(__xludf.DUMMYFUNCTION("""COMPUTED_VALUE"""),344.25)</f>
      </c>
      <c r="H79" s="10">
        <f>IFERROR(__xludf.DUMMYFUNCTION("""COMPUTED_VALUE"""),0.3429)</f>
      </c>
      <c r="I79" s="11">
        <f>IFERROR(__xludf.DUMMYFUNCTION("""COMPUTED_VALUE"""),418.0)</f>
      </c>
      <c r="J79" s="10">
        <f>IFERROR(__xludf.DUMMYFUNCTION("""COMPUTED_VALUE"""),0.6637)</f>
      </c>
      <c r="K79" s="11">
        <f>IFERROR(__xludf.DUMMYFUNCTION("""COMPUTED_VALUE"""),272.0)</f>
      </c>
      <c r="L79" s="10">
        <f>IFERROR(__xludf.DUMMYFUNCTION("""COMPUTED_VALUE"""),0.4343)</f>
      </c>
      <c r="M79" s="11">
        <f>IFERROR(__xludf.DUMMYFUNCTION("""COMPUTED_VALUE"""),"----")</f>
      </c>
      <c r="N79" s="10">
        <f>IFERROR(__xludf.DUMMYFUNCTION("""COMPUTED_VALUE"""),0.4171)</f>
      </c>
      <c r="O79" s="11">
        <f>IFERROR(__xludf.DUMMYFUNCTION("""COMPUTED_VALUE"""),"----")</f>
      </c>
      <c r="P79" s="12"/>
      <c r="Q79" s="12"/>
      <c r="R79" s="15"/>
      <c r="S79" s="12"/>
      <c r="T79" s="12"/>
      <c r="U79" s="12"/>
      <c r="V79" s="12"/>
      <c r="W79" s="12"/>
      <c r="X79" s="12"/>
      <c r="Y79" s="12"/>
      <c r="Z79" s="12"/>
    </row>
    <row x14ac:dyDescent="0.25" r="80" customHeight="1" ht="15.75">
      <c r="A80" s="8">
        <f>IFERROR(__xludf.DUMMYFUNCTION("""COMPUTED_VALUE"""),25306.0)</f>
      </c>
      <c r="B80" s="9">
        <f>IFERROR(__xludf.DUMMYFUNCTION("""COMPUTED_VALUE"""),"BAIXADAS LITORANEAS")</f>
      </c>
      <c r="C80" s="9">
        <f>IFERROR(__xludf.DUMMYFUNCTION("""COMPUTED_VALUE"""),"CIEP 449 GOVERNADOR LEONEL DE MOURA BRIZOLA BRASIL FRANCA")</f>
      </c>
      <c r="D80" s="10">
        <f>IFERROR(__xludf.DUMMYFUNCTION("""COMPUTED_VALUE"""),1.0)</f>
      </c>
      <c r="E80" s="11">
        <f>IFERROR(__xludf.DUMMYFUNCTION("""COMPUTED_VALUE"""),489.41)</f>
      </c>
      <c r="F80" s="10">
        <f>IFERROR(__xludf.DUMMYFUNCTION("""COMPUTED_VALUE"""),0.8603)</f>
      </c>
      <c r="G80" s="11">
        <f>IFERROR(__xludf.DUMMYFUNCTION("""COMPUTED_VALUE"""),578.12)</f>
      </c>
      <c r="H80" s="10">
        <f>IFERROR(__xludf.DUMMYFUNCTION("""COMPUTED_VALUE"""),0.6544)</f>
      </c>
      <c r="I80" s="11">
        <f>IFERROR(__xludf.DUMMYFUNCTION("""COMPUTED_VALUE"""),583.82)</f>
      </c>
      <c r="J80" s="10">
        <f>IFERROR(__xludf.DUMMYFUNCTION("""COMPUTED_VALUE"""),0.6765)</f>
      </c>
      <c r="K80" s="11">
        <f>IFERROR(__xludf.DUMMYFUNCTION("""COMPUTED_VALUE"""),493.78)</f>
      </c>
      <c r="L80" s="10">
        <f>IFERROR(__xludf.DUMMYFUNCTION("""COMPUTED_VALUE"""),0.7868)</f>
      </c>
      <c r="M80" s="11">
        <f>IFERROR(__xludf.DUMMYFUNCTION("""COMPUTED_VALUE"""),465.79)</f>
      </c>
      <c r="N80" s="10">
        <f>IFERROR(__xludf.DUMMYFUNCTION("""COMPUTED_VALUE"""),0.75)</f>
      </c>
      <c r="O80" s="11">
        <f>IFERROR(__xludf.DUMMYFUNCTION("""COMPUTED_VALUE"""),560.78)</f>
      </c>
      <c r="P80" s="12"/>
      <c r="Q80" s="12"/>
      <c r="R80" s="15"/>
      <c r="S80" s="12"/>
      <c r="T80" s="12"/>
      <c r="U80" s="12"/>
      <c r="V80" s="12"/>
      <c r="W80" s="12"/>
      <c r="X80" s="12"/>
      <c r="Y80" s="12"/>
      <c r="Z80" s="12"/>
    </row>
    <row x14ac:dyDescent="0.25" r="81" customHeight="1" ht="15.75">
      <c r="A81" s="8">
        <f>IFERROR(__xludf.DUMMYFUNCTION("""COMPUTED_VALUE"""),25262.0)</f>
      </c>
      <c r="B81" s="9">
        <f>IFERROR(__xludf.DUMMYFUNCTION("""COMPUTED_VALUE"""),"BAIXADAS LITORANEAS")</f>
      </c>
      <c r="C81" s="9">
        <f>IFERROR(__xludf.DUMMYFUNCTION("""COMPUTED_VALUE"""),"CIEP 457 DOUTOR JOSÉ ELIAS MELLO DOS SANTOS")</f>
      </c>
      <c r="D81" s="10">
        <f>IFERROR(__xludf.DUMMYFUNCTION("""COMPUTED_VALUE"""),0.8163)</f>
      </c>
      <c r="E81" s="11">
        <f>IFERROR(__xludf.DUMMYFUNCTION("""COMPUTED_VALUE"""),212.66)</f>
      </c>
      <c r="F81" s="10">
        <f>IFERROR(__xludf.DUMMYFUNCTION("""COMPUTED_VALUE"""),0.7007)</f>
      </c>
      <c r="G81" s="11">
        <f>IFERROR(__xludf.DUMMYFUNCTION("""COMPUTED_VALUE"""),376.74)</f>
      </c>
      <c r="H81" s="10">
        <f>IFERROR(__xludf.DUMMYFUNCTION("""COMPUTED_VALUE"""),0.5219)</f>
      </c>
      <c r="I81" s="11">
        <f>IFERROR(__xludf.DUMMYFUNCTION("""COMPUTED_VALUE"""),442.03)</f>
      </c>
      <c r="J81" s="10">
        <f>IFERROR(__xludf.DUMMYFUNCTION("""COMPUTED_VALUE"""),0.7517)</f>
      </c>
      <c r="K81" s="11">
        <f>IFERROR(__xludf.DUMMYFUNCTION("""COMPUTED_VALUE"""),346.32)</f>
      </c>
      <c r="L81" s="10">
        <f>IFERROR(__xludf.DUMMYFUNCTION("""COMPUTED_VALUE"""),0.5102)</f>
      </c>
      <c r="M81" s="11">
        <f>IFERROR(__xludf.DUMMYFUNCTION("""COMPUTED_VALUE"""),428.8)</f>
      </c>
      <c r="N81" s="10">
        <f>IFERROR(__xludf.DUMMYFUNCTION("""COMPUTED_VALUE"""),0.481)</f>
      </c>
      <c r="O81" s="11">
        <f>IFERROR(__xludf.DUMMYFUNCTION("""COMPUTED_VALUE"""),438.12)</f>
      </c>
      <c r="P81" s="12"/>
      <c r="Q81" s="12"/>
      <c r="R81" s="15"/>
      <c r="S81" s="12"/>
      <c r="T81" s="12"/>
      <c r="U81" s="12"/>
      <c r="V81" s="12"/>
      <c r="W81" s="12"/>
      <c r="X81" s="12"/>
      <c r="Y81" s="12"/>
      <c r="Z81" s="12"/>
    </row>
    <row x14ac:dyDescent="0.25" r="82" customHeight="1" ht="15.75">
      <c r="A82" s="8">
        <f>IFERROR(__xludf.DUMMYFUNCTION("""COMPUTED_VALUE"""),25258.0)</f>
      </c>
      <c r="B82" s="9">
        <f>IFERROR(__xludf.DUMMYFUNCTION("""COMPUTED_VALUE"""),"BAIXADAS LITORANEAS")</f>
      </c>
      <c r="C82" s="9">
        <f>IFERROR(__xludf.DUMMYFUNCTION("""COMPUTED_VALUE"""),"CIEP 458 HERMES BARCELOS")</f>
      </c>
      <c r="D82" s="10">
        <f>IFERROR(__xludf.DUMMYFUNCTION("""COMPUTED_VALUE"""),0.7766)</f>
      </c>
      <c r="E82" s="11">
        <f>IFERROR(__xludf.DUMMYFUNCTION("""COMPUTED_VALUE"""),86.94)</f>
      </c>
      <c r="F82" s="10">
        <f>IFERROR(__xludf.DUMMYFUNCTION("""COMPUTED_VALUE"""),0.5258)</f>
      </c>
      <c r="G82" s="11">
        <f>IFERROR(__xludf.DUMMYFUNCTION("""COMPUTED_VALUE"""),313.5)</f>
      </c>
      <c r="H82" s="10">
        <f>IFERROR(__xludf.DUMMYFUNCTION("""COMPUTED_VALUE"""),0.4482)</f>
      </c>
      <c r="I82" s="11">
        <f>IFERROR(__xludf.DUMMYFUNCTION("""COMPUTED_VALUE"""),257.88)</f>
      </c>
      <c r="J82" s="10">
        <f>IFERROR(__xludf.DUMMYFUNCTION("""COMPUTED_VALUE"""),0.1871)</f>
      </c>
      <c r="K82" s="11">
        <f>IFERROR(__xludf.DUMMYFUNCTION("""COMPUTED_VALUE"""),"----")</f>
      </c>
      <c r="L82" s="10">
        <f>IFERROR(__xludf.DUMMYFUNCTION("""COMPUTED_VALUE"""),0.3501)</f>
      </c>
      <c r="M82" s="11">
        <f>IFERROR(__xludf.DUMMYFUNCTION("""COMPUTED_VALUE"""),217.28)</f>
      </c>
      <c r="N82" s="10">
        <f>IFERROR(__xludf.DUMMYFUNCTION("""COMPUTED_VALUE"""),0.3389)</f>
      </c>
      <c r="O82" s="11">
        <f>IFERROR(__xludf.DUMMYFUNCTION("""COMPUTED_VALUE"""),122.31)</f>
      </c>
      <c r="P82" s="12"/>
      <c r="Q82" s="12"/>
      <c r="R82" s="15"/>
      <c r="S82" s="12"/>
      <c r="T82" s="12"/>
      <c r="U82" s="12"/>
      <c r="V82" s="12"/>
      <c r="W82" s="12"/>
      <c r="X82" s="12"/>
      <c r="Y82" s="12"/>
      <c r="Z82" s="12"/>
    </row>
    <row x14ac:dyDescent="0.25" r="83" customHeight="1" ht="15.75">
      <c r="A83" s="8">
        <f>IFERROR(__xludf.DUMMYFUNCTION("""COMPUTED_VALUE"""),25246.0)</f>
      </c>
      <c r="B83" s="9">
        <f>IFERROR(__xludf.DUMMYFUNCTION("""COMPUTED_VALUE"""),"BAIXADAS LITORANEAS")</f>
      </c>
      <c r="C83" s="9">
        <f>IFERROR(__xludf.DUMMYFUNCTION("""COMPUTED_VALUE"""),"CIEP 460 THIOPHYLA BRAGANCA")</f>
      </c>
      <c r="D83" s="10">
        <f>IFERROR(__xludf.DUMMYFUNCTION("""COMPUTED_VALUE"""),0.7521)</f>
      </c>
      <c r="E83" s="11">
        <f>IFERROR(__xludf.DUMMYFUNCTION("""COMPUTED_VALUE"""),143.1)</f>
      </c>
      <c r="F83" s="10">
        <f>IFERROR(__xludf.DUMMYFUNCTION("""COMPUTED_VALUE"""),0.5826)</f>
      </c>
      <c r="G83" s="11">
        <f>IFERROR(__xludf.DUMMYFUNCTION("""COMPUTED_VALUE"""),335.86)</f>
      </c>
      <c r="H83" s="10">
        <f>IFERROR(__xludf.DUMMYFUNCTION("""COMPUTED_VALUE"""),0.4118)</f>
      </c>
      <c r="I83" s="11">
        <f>IFERROR(__xludf.DUMMYFUNCTION("""COMPUTED_VALUE"""),"----")</f>
      </c>
      <c r="J83" s="10">
        <f>IFERROR(__xludf.DUMMYFUNCTION("""COMPUTED_VALUE"""),0.5385)</f>
      </c>
      <c r="K83" s="11">
        <f>IFERROR(__xludf.DUMMYFUNCTION("""COMPUTED_VALUE"""),257.44)</f>
      </c>
      <c r="L83" s="10">
        <f>IFERROR(__xludf.DUMMYFUNCTION("""COMPUTED_VALUE"""),0.5037)</f>
      </c>
      <c r="M83" s="11">
        <f>IFERROR(__xludf.DUMMYFUNCTION("""COMPUTED_VALUE"""),360.3)</f>
      </c>
      <c r="N83" s="10">
        <f>IFERROR(__xludf.DUMMYFUNCTION("""COMPUTED_VALUE"""),0.364)</f>
      </c>
      <c r="O83" s="11">
        <f>IFERROR(__xludf.DUMMYFUNCTION("""COMPUTED_VALUE"""),368.09)</f>
      </c>
      <c r="P83" s="12"/>
      <c r="Q83" s="12"/>
      <c r="R83" s="15"/>
      <c r="S83" s="12"/>
      <c r="T83" s="12"/>
      <c r="U83" s="12"/>
      <c r="V83" s="12"/>
      <c r="W83" s="12"/>
      <c r="X83" s="12"/>
      <c r="Y83" s="12"/>
      <c r="Z83" s="12"/>
    </row>
    <row x14ac:dyDescent="0.25" r="84" customHeight="1" ht="15.75">
      <c r="A84" s="8">
        <f>IFERROR(__xludf.DUMMYFUNCTION("""COMPUTED_VALUE"""),25312.0)</f>
      </c>
      <c r="B84" s="9">
        <f>IFERROR(__xludf.DUMMYFUNCTION("""COMPUTED_VALUE"""),"BAIXADAS LITORANEAS")</f>
      </c>
      <c r="C84" s="9">
        <f>IFERROR(__xludf.DUMMYFUNCTION("""COMPUTED_VALUE"""),"IE PROFESSOR ISMAEL COUTINHO")</f>
      </c>
      <c r="D84" s="10">
        <f>IFERROR(__xludf.DUMMYFUNCTION("""COMPUTED_VALUE"""),0.6803)</f>
      </c>
      <c r="E84" s="11">
        <f>IFERROR(__xludf.DUMMYFUNCTION("""COMPUTED_VALUE"""),423.49)</f>
      </c>
      <c r="F84" s="10">
        <f>IFERROR(__xludf.DUMMYFUNCTION("""COMPUTED_VALUE"""),0.7049)</f>
      </c>
      <c r="G84" s="11">
        <f>IFERROR(__xludf.DUMMYFUNCTION("""COMPUTED_VALUE"""),488.37)</f>
      </c>
      <c r="H84" s="10">
        <f>IFERROR(__xludf.DUMMYFUNCTION("""COMPUTED_VALUE"""),0.7295)</f>
      </c>
      <c r="I84" s="11">
        <f>IFERROR(__xludf.DUMMYFUNCTION("""COMPUTED_VALUE"""),528.09)</f>
      </c>
      <c r="J84" s="10">
        <f>IFERROR(__xludf.DUMMYFUNCTION("""COMPUTED_VALUE"""),0.8361)</f>
      </c>
      <c r="K84" s="11">
        <f>IFERROR(__xludf.DUMMYFUNCTION("""COMPUTED_VALUE"""),501.96)</f>
      </c>
      <c r="L84" s="10">
        <f>IFERROR(__xludf.DUMMYFUNCTION("""COMPUTED_VALUE"""),0.6393)</f>
      </c>
      <c r="M84" s="11">
        <f>IFERROR(__xludf.DUMMYFUNCTION("""COMPUTED_VALUE"""),449.74)</f>
      </c>
      <c r="N84" s="10">
        <f>IFERROR(__xludf.DUMMYFUNCTION("""COMPUTED_VALUE"""),0.377)</f>
      </c>
      <c r="O84" s="11">
        <f>IFERROR(__xludf.DUMMYFUNCTION("""COMPUTED_VALUE"""),433.04)</f>
      </c>
      <c r="P84" s="12"/>
      <c r="Q84" s="12"/>
      <c r="R84" s="15"/>
      <c r="S84" s="12"/>
      <c r="T84" s="12"/>
      <c r="U84" s="12"/>
      <c r="V84" s="12"/>
      <c r="W84" s="12"/>
      <c r="X84" s="12"/>
      <c r="Y84" s="12"/>
      <c r="Z84" s="12"/>
    </row>
    <row x14ac:dyDescent="0.25" r="85" customHeight="1" ht="15.75">
      <c r="A85" s="8">
        <f>IFERROR(__xludf.DUMMYFUNCTION("""COMPUTED_VALUE"""),25260.0)</f>
      </c>
      <c r="B85" s="9">
        <f>IFERROR(__xludf.DUMMYFUNCTION("""COMPUTED_VALUE"""),"BAIXADAS LITORANEAS")</f>
      </c>
      <c r="C85" s="9">
        <f>IFERROR(__xludf.DUMMYFUNCTION("""COMPUTED_VALUE"""),"IE PROFESSORA ISMAR GOMES DE AZEVEDO")</f>
      </c>
      <c r="D85" s="10">
        <f>IFERROR(__xludf.DUMMYFUNCTION("""COMPUTED_VALUE"""),0.6633)</f>
      </c>
      <c r="E85" s="11">
        <f>IFERROR(__xludf.DUMMYFUNCTION("""COMPUTED_VALUE"""),345.03)</f>
      </c>
      <c r="F85" s="10">
        <f>IFERROR(__xludf.DUMMYFUNCTION("""COMPUTED_VALUE"""),0.7041)</f>
      </c>
      <c r="G85" s="11">
        <f>IFERROR(__xludf.DUMMYFUNCTION("""COMPUTED_VALUE"""),460.48)</f>
      </c>
      <c r="H85" s="10">
        <f>IFERROR(__xludf.DUMMYFUNCTION("""COMPUTED_VALUE"""),0.5952)</f>
      </c>
      <c r="I85" s="11">
        <f>IFERROR(__xludf.DUMMYFUNCTION("""COMPUTED_VALUE"""),520.23)</f>
      </c>
      <c r="J85" s="10">
        <f>IFERROR(__xludf.DUMMYFUNCTION("""COMPUTED_VALUE"""),0.585)</f>
      </c>
      <c r="K85" s="11">
        <f>IFERROR(__xludf.DUMMYFUNCTION("""COMPUTED_VALUE"""),318.56)</f>
      </c>
      <c r="L85" s="10">
        <f>IFERROR(__xludf.DUMMYFUNCTION("""COMPUTED_VALUE"""),0.6088)</f>
      </c>
      <c r="M85" s="11">
        <f>IFERROR(__xludf.DUMMYFUNCTION("""COMPUTED_VALUE"""),511.51)</f>
      </c>
      <c r="N85" s="10">
        <f>IFERROR(__xludf.DUMMYFUNCTION("""COMPUTED_VALUE"""),0.6088)</f>
      </c>
      <c r="O85" s="11">
        <f>IFERROR(__xludf.DUMMYFUNCTION("""COMPUTED_VALUE"""),462.57)</f>
      </c>
      <c r="P85" s="12"/>
      <c r="Q85" s="12"/>
      <c r="R85" s="15"/>
      <c r="S85" s="12"/>
      <c r="T85" s="12"/>
      <c r="U85" s="12"/>
      <c r="V85" s="12"/>
      <c r="W85" s="12"/>
      <c r="X85" s="12"/>
      <c r="Y85" s="12"/>
      <c r="Z85" s="12"/>
    </row>
    <row x14ac:dyDescent="0.25" r="86" customHeight="1" ht="15.75">
      <c r="A86" s="8">
        <f>IFERROR(__xludf.DUMMYFUNCTION("""COMPUTED_VALUE"""),25313.0)</f>
      </c>
      <c r="B86" s="9">
        <f>IFERROR(__xludf.DUMMYFUNCTION("""COMPUTED_VALUE"""),"BAIXADAS LITORANEAS")</f>
      </c>
      <c r="C86" s="9">
        <f>IFERROR(__xludf.DUMMYFUNCTION("""COMPUTED_VALUE"""),"LICEU NILO PECANHA")</f>
      </c>
      <c r="D86" s="10">
        <f>IFERROR(__xludf.DUMMYFUNCTION("""COMPUTED_VALUE"""),0.9519)</f>
      </c>
      <c r="E86" s="11">
        <f>IFERROR(__xludf.DUMMYFUNCTION("""COMPUTED_VALUE"""),270.07)</f>
      </c>
      <c r="F86" s="10">
        <f>IFERROR(__xludf.DUMMYFUNCTION("""COMPUTED_VALUE"""),0.9612)</f>
      </c>
      <c r="G86" s="11">
        <f>IFERROR(__xludf.DUMMYFUNCTION("""COMPUTED_VALUE"""),270.85)</f>
      </c>
      <c r="H86" s="10">
        <f>IFERROR(__xludf.DUMMYFUNCTION("""COMPUTED_VALUE"""),0.4956)</f>
      </c>
      <c r="I86" s="11">
        <f>IFERROR(__xludf.DUMMYFUNCTION("""COMPUTED_VALUE"""),432.89)</f>
      </c>
      <c r="J86" s="10">
        <f>IFERROR(__xludf.DUMMYFUNCTION("""COMPUTED_VALUE"""),0.4361)</f>
      </c>
      <c r="K86" s="11">
        <f>IFERROR(__xludf.DUMMYFUNCTION("""COMPUTED_VALUE"""),"----")</f>
      </c>
      <c r="L86" s="10">
        <f>IFERROR(__xludf.DUMMYFUNCTION("""COMPUTED_VALUE"""),0.082)</f>
      </c>
      <c r="M86" s="11">
        <f>IFERROR(__xludf.DUMMYFUNCTION("""COMPUTED_VALUE"""),254.2)</f>
      </c>
      <c r="N86" s="10">
        <f>IFERROR(__xludf.DUMMYFUNCTION("""COMPUTED_VALUE"""),0.0071)</f>
      </c>
      <c r="O86" s="11">
        <f>IFERROR(__xludf.DUMMYFUNCTION("""COMPUTED_VALUE"""),"----")</f>
      </c>
      <c r="P86" s="12"/>
      <c r="Q86" s="12"/>
      <c r="R86" s="15"/>
      <c r="S86" s="12"/>
      <c r="T86" s="12"/>
      <c r="U86" s="12"/>
      <c r="V86" s="12"/>
      <c r="W86" s="12"/>
      <c r="X86" s="12"/>
      <c r="Y86" s="12"/>
      <c r="Z86" s="12"/>
    </row>
    <row x14ac:dyDescent="0.25" r="87" customHeight="1" ht="15.75">
      <c r="A87" s="8">
        <f>IFERROR(__xludf.DUMMYFUNCTION("""COMPUTED_VALUE"""),26131.0)</f>
      </c>
      <c r="B87" s="9">
        <f>IFERROR(__xludf.DUMMYFUNCTION("""COMPUTED_VALUE"""),"CENTRO SUL")</f>
      </c>
      <c r="C87" s="9">
        <f>IFERROR(__xludf.DUMMYFUNCTION("""COMPUTED_VALUE"""),"CE ALFREDO GOMES")</f>
      </c>
      <c r="D87" s="10">
        <f>IFERROR(__xludf.DUMMYFUNCTION("""COMPUTED_VALUE"""),0.8554)</f>
      </c>
      <c r="E87" s="11">
        <f>IFERROR(__xludf.DUMMYFUNCTION("""COMPUTED_VALUE"""),332.96)</f>
      </c>
      <c r="F87" s="10">
        <f>IFERROR(__xludf.DUMMYFUNCTION("""COMPUTED_VALUE"""),0.8434)</f>
      </c>
      <c r="G87" s="11">
        <f>IFERROR(__xludf.DUMMYFUNCTION("""COMPUTED_VALUE"""),486.96)</f>
      </c>
      <c r="H87" s="10">
        <f>IFERROR(__xludf.DUMMYFUNCTION("""COMPUTED_VALUE"""),0.8313)</f>
      </c>
      <c r="I87" s="11">
        <f>IFERROR(__xludf.DUMMYFUNCTION("""COMPUTED_VALUE"""),550.14)</f>
      </c>
      <c r="J87" s="10">
        <f>IFERROR(__xludf.DUMMYFUNCTION("""COMPUTED_VALUE"""),0.8193)</f>
      </c>
      <c r="K87" s="11">
        <f>IFERROR(__xludf.DUMMYFUNCTION("""COMPUTED_VALUE"""),482.99)</f>
      </c>
      <c r="L87" s="10">
        <f>IFERROR(__xludf.DUMMYFUNCTION("""COMPUTED_VALUE"""),0.8072)</f>
      </c>
      <c r="M87" s="11">
        <f>IFERROR(__xludf.DUMMYFUNCTION("""COMPUTED_VALUE"""),580.0)</f>
      </c>
      <c r="N87" s="10">
        <f>IFERROR(__xludf.DUMMYFUNCTION("""COMPUTED_VALUE"""),0.8072)</f>
      </c>
      <c r="O87" s="11">
        <f>IFERROR(__xludf.DUMMYFUNCTION("""COMPUTED_VALUE"""),565.97)</f>
      </c>
      <c r="P87" s="12"/>
      <c r="Q87" s="12"/>
      <c r="R87" s="15"/>
      <c r="S87" s="12"/>
      <c r="T87" s="12"/>
      <c r="U87" s="12"/>
      <c r="V87" s="12"/>
      <c r="W87" s="12"/>
      <c r="X87" s="12"/>
      <c r="Y87" s="12"/>
      <c r="Z87" s="12"/>
    </row>
    <row x14ac:dyDescent="0.25" r="88" customHeight="1" ht="15.75">
      <c r="A88" s="8">
        <f>IFERROR(__xludf.DUMMYFUNCTION("""COMPUTED_VALUE"""),26132.0)</f>
      </c>
      <c r="B88" s="9">
        <f>IFERROR(__xludf.DUMMYFUNCTION("""COMPUTED_VALUE"""),"CENTRO SUL")</f>
      </c>
      <c r="C88" s="9">
        <f>IFERROR(__xludf.DUMMYFUNCTION("""COMPUTED_VALUE"""),"CE ALMIRANTE RODRIGUES SILVA")</f>
      </c>
      <c r="D88" s="10">
        <f>IFERROR(__xludf.DUMMYFUNCTION("""COMPUTED_VALUE"""),0.9718)</f>
      </c>
      <c r="E88" s="11">
        <f>IFERROR(__xludf.DUMMYFUNCTION("""COMPUTED_VALUE"""),430.0)</f>
      </c>
      <c r="F88" s="10">
        <f>IFERROR(__xludf.DUMMYFUNCTION("""COMPUTED_VALUE"""),0.9296)</f>
      </c>
      <c r="G88" s="11">
        <f>IFERROR(__xludf.DUMMYFUNCTION("""COMPUTED_VALUE"""),581.54)</f>
      </c>
      <c r="H88" s="10">
        <f>IFERROR(__xludf.DUMMYFUNCTION("""COMPUTED_VALUE"""),0.8592)</f>
      </c>
      <c r="I88" s="11">
        <f>IFERROR(__xludf.DUMMYFUNCTION("""COMPUTED_VALUE"""),602.67)</f>
      </c>
      <c r="J88" s="10">
        <f>IFERROR(__xludf.DUMMYFUNCTION("""COMPUTED_VALUE"""),0.9437)</f>
      </c>
      <c r="K88" s="11">
        <f>IFERROR(__xludf.DUMMYFUNCTION("""COMPUTED_VALUE"""),542.42)</f>
      </c>
      <c r="L88" s="10">
        <f>IFERROR(__xludf.DUMMYFUNCTION("""COMPUTED_VALUE"""),0.9296)</f>
      </c>
      <c r="M88" s="11">
        <f>IFERROR(__xludf.DUMMYFUNCTION("""COMPUTED_VALUE"""),605.54)</f>
      </c>
      <c r="N88" s="10">
        <f>IFERROR(__xludf.DUMMYFUNCTION("""COMPUTED_VALUE"""),0.9014)</f>
      </c>
      <c r="O88" s="11">
        <f>IFERROR(__xludf.DUMMYFUNCTION("""COMPUTED_VALUE"""),617.42)</f>
      </c>
      <c r="P88" s="12"/>
      <c r="Q88" s="12"/>
      <c r="R88" s="15"/>
      <c r="S88" s="12"/>
      <c r="T88" s="12"/>
      <c r="U88" s="12"/>
      <c r="V88" s="12"/>
      <c r="W88" s="12"/>
      <c r="X88" s="12"/>
      <c r="Y88" s="12"/>
      <c r="Z88" s="12"/>
    </row>
    <row x14ac:dyDescent="0.25" r="89" customHeight="1" ht="15.75">
      <c r="A89" s="8">
        <f>IFERROR(__xludf.DUMMYFUNCTION("""COMPUTED_VALUE"""),26113.0)</f>
      </c>
      <c r="B89" s="9">
        <f>IFERROR(__xludf.DUMMYFUNCTION("""COMPUTED_VALUE"""),"CENTRO SUL")</f>
      </c>
      <c r="C89" s="9">
        <f>IFERROR(__xludf.DUMMYFUNCTION("""COMPUTED_VALUE"""),"CE ALVARO ALVIM")</f>
      </c>
      <c r="D89" s="10">
        <f>IFERROR(__xludf.DUMMYFUNCTION("""COMPUTED_VALUE"""),1.0)</f>
      </c>
      <c r="E89" s="11">
        <f>IFERROR(__xludf.DUMMYFUNCTION("""COMPUTED_VALUE"""),238.74)</f>
      </c>
      <c r="F89" s="10">
        <f>IFERROR(__xludf.DUMMYFUNCTION("""COMPUTED_VALUE"""),0.7323)</f>
      </c>
      <c r="G89" s="11">
        <f>IFERROR(__xludf.DUMMYFUNCTION("""COMPUTED_VALUE"""),461.93)</f>
      </c>
      <c r="H89" s="10">
        <f>IFERROR(__xludf.DUMMYFUNCTION("""COMPUTED_VALUE"""),0.7357)</f>
      </c>
      <c r="I89" s="11">
        <f>IFERROR(__xludf.DUMMYFUNCTION("""COMPUTED_VALUE"""),513.0)</f>
      </c>
      <c r="J89" s="10">
        <f>IFERROR(__xludf.DUMMYFUNCTION("""COMPUTED_VALUE"""),0.8425)</f>
      </c>
      <c r="K89" s="11">
        <f>IFERROR(__xludf.DUMMYFUNCTION("""COMPUTED_VALUE"""),372.9)</f>
      </c>
      <c r="L89" s="10">
        <f>IFERROR(__xludf.DUMMYFUNCTION("""COMPUTED_VALUE"""),0.6786)</f>
      </c>
      <c r="M89" s="11">
        <f>IFERROR(__xludf.DUMMYFUNCTION("""COMPUTED_VALUE"""),494.31)</f>
      </c>
      <c r="N89" s="10">
        <f>IFERROR(__xludf.DUMMYFUNCTION("""COMPUTED_VALUE"""),0.5429)</f>
      </c>
      <c r="O89" s="11">
        <f>IFERROR(__xludf.DUMMYFUNCTION("""COMPUTED_VALUE"""),532.63)</f>
      </c>
      <c r="P89" s="12"/>
      <c r="Q89" s="12"/>
      <c r="R89" s="15"/>
      <c r="S89" s="12"/>
      <c r="T89" s="12"/>
      <c r="U89" s="12"/>
      <c r="V89" s="12"/>
      <c r="W89" s="12"/>
      <c r="X89" s="12"/>
      <c r="Y89" s="12"/>
      <c r="Z89" s="12"/>
    </row>
    <row x14ac:dyDescent="0.25" r="90" customHeight="1" ht="15.75">
      <c r="A90" s="8">
        <f>IFERROR(__xludf.DUMMYFUNCTION("""COMPUTED_VALUE"""),26143.0)</f>
      </c>
      <c r="B90" s="9">
        <f>IFERROR(__xludf.DUMMYFUNCTION("""COMPUTED_VALUE"""),"CENTRO SUL")</f>
      </c>
      <c r="C90" s="9">
        <f>IFERROR(__xludf.DUMMYFUNCTION("""COMPUTED_VALUE"""),"CE ANTÔNIO DE JESUS GOMES - BRASIL-MÉXICO")</f>
      </c>
      <c r="D90" s="10">
        <f>IFERROR(__xludf.DUMMYFUNCTION("""COMPUTED_VALUE"""),0.9787)</f>
      </c>
      <c r="E90" s="11">
        <f>IFERROR(__xludf.DUMMYFUNCTION("""COMPUTED_VALUE"""),365.22)</f>
      </c>
      <c r="F90" s="10">
        <f>IFERROR(__xludf.DUMMYFUNCTION("""COMPUTED_VALUE"""),0.8511)</f>
      </c>
      <c r="G90" s="11">
        <f>IFERROR(__xludf.DUMMYFUNCTION("""COMPUTED_VALUE"""),452.31)</f>
      </c>
      <c r="H90" s="10">
        <f>IFERROR(__xludf.DUMMYFUNCTION("""COMPUTED_VALUE"""),0.8511)</f>
      </c>
      <c r="I90" s="11">
        <f>IFERROR(__xludf.DUMMYFUNCTION("""COMPUTED_VALUE"""),481.0)</f>
      </c>
      <c r="J90" s="10">
        <f>IFERROR(__xludf.DUMMYFUNCTION("""COMPUTED_VALUE"""),0.8936)</f>
      </c>
      <c r="K90" s="11">
        <f>IFERROR(__xludf.DUMMYFUNCTION("""COMPUTED_VALUE"""),428.57)</f>
      </c>
      <c r="L90" s="10">
        <f>IFERROR(__xludf.DUMMYFUNCTION("""COMPUTED_VALUE"""),0.9362)</f>
      </c>
      <c r="M90" s="11">
        <f>IFERROR(__xludf.DUMMYFUNCTION("""COMPUTED_VALUE"""),452.09)</f>
      </c>
      <c r="N90" s="10">
        <f>IFERROR(__xludf.DUMMYFUNCTION("""COMPUTED_VALUE"""),0.9362)</f>
      </c>
      <c r="O90" s="11">
        <f>IFERROR(__xludf.DUMMYFUNCTION("""COMPUTED_VALUE"""),472.73)</f>
      </c>
      <c r="P90" s="12"/>
      <c r="Q90" s="12"/>
      <c r="R90" s="15"/>
      <c r="S90" s="12"/>
      <c r="T90" s="12"/>
      <c r="U90" s="12"/>
      <c r="V90" s="12"/>
      <c r="W90" s="12"/>
      <c r="X90" s="12"/>
      <c r="Y90" s="12"/>
      <c r="Z90" s="12"/>
    </row>
    <row x14ac:dyDescent="0.25" r="91" customHeight="1" ht="15.75">
      <c r="A91" s="8">
        <f>IFERROR(__xludf.DUMMYFUNCTION("""COMPUTED_VALUE"""),26133.0)</f>
      </c>
      <c r="B91" s="9">
        <f>IFERROR(__xludf.DUMMYFUNCTION("""COMPUTED_VALUE"""),"CENTRO SUL")</f>
      </c>
      <c r="C91" s="9">
        <f>IFERROR(__xludf.DUMMYFUNCTION("""COMPUTED_VALUE"""),"CE ARNOR SILVESTRE VIEIRA")</f>
      </c>
      <c r="D91" s="10">
        <f>IFERROR(__xludf.DUMMYFUNCTION("""COMPUTED_VALUE"""),0.8833)</f>
      </c>
      <c r="E91" s="11">
        <f>IFERROR(__xludf.DUMMYFUNCTION("""COMPUTED_VALUE"""),436.23)</f>
      </c>
      <c r="F91" s="10">
        <f>IFERROR(__xludf.DUMMYFUNCTION("""COMPUTED_VALUE"""),0.8167)</f>
      </c>
      <c r="G91" s="11">
        <f>IFERROR(__xludf.DUMMYFUNCTION("""COMPUTED_VALUE"""),555.1)</f>
      </c>
      <c r="H91" s="10">
        <f>IFERROR(__xludf.DUMMYFUNCTION("""COMPUTED_VALUE"""),0.7667)</f>
      </c>
      <c r="I91" s="11">
        <f>IFERROR(__xludf.DUMMYFUNCTION("""COMPUTED_VALUE"""),654.78)</f>
      </c>
      <c r="J91" s="10">
        <f>IFERROR(__xludf.DUMMYFUNCTION("""COMPUTED_VALUE"""),0.7833)</f>
      </c>
      <c r="K91" s="11">
        <f>IFERROR(__xludf.DUMMYFUNCTION("""COMPUTED_VALUE"""),538.18)</f>
      </c>
      <c r="L91" s="10">
        <f>IFERROR(__xludf.DUMMYFUNCTION("""COMPUTED_VALUE"""),0.9167)</f>
      </c>
      <c r="M91" s="11">
        <f>IFERROR(__xludf.DUMMYFUNCTION("""COMPUTED_VALUE"""),642.91)</f>
      </c>
      <c r="N91" s="10">
        <f>IFERROR(__xludf.DUMMYFUNCTION("""COMPUTED_VALUE"""),0.7333)</f>
      </c>
      <c r="O91" s="11">
        <f>IFERROR(__xludf.DUMMYFUNCTION("""COMPUTED_VALUE"""),644.55)</f>
      </c>
      <c r="P91" s="12"/>
      <c r="Q91" s="12"/>
      <c r="R91" s="15"/>
      <c r="S91" s="12"/>
      <c r="T91" s="12"/>
      <c r="U91" s="12"/>
      <c r="V91" s="12"/>
      <c r="W91" s="12"/>
      <c r="X91" s="12"/>
      <c r="Y91" s="12"/>
      <c r="Z91" s="12"/>
    </row>
    <row x14ac:dyDescent="0.25" r="92" customHeight="1" ht="15.75">
      <c r="A92" s="8">
        <f>IFERROR(__xludf.DUMMYFUNCTION("""COMPUTED_VALUE"""),26134.0)</f>
      </c>
      <c r="B92" s="9">
        <f>IFERROR(__xludf.DUMMYFUNCTION("""COMPUTED_VALUE"""),"CENTRO SUL")</f>
      </c>
      <c r="C92" s="9">
        <f>IFERROR(__xludf.DUMMYFUNCTION("""COMPUTED_VALUE"""),"CE BARAO DE JUPARANA")</f>
      </c>
      <c r="D92" s="10">
        <f>IFERROR(__xludf.DUMMYFUNCTION("""COMPUTED_VALUE"""),0.8462)</f>
      </c>
      <c r="E92" s="11">
        <f>IFERROR(__xludf.DUMMYFUNCTION("""COMPUTED_VALUE"""),297.67)</f>
      </c>
      <c r="F92" s="10">
        <f>IFERROR(__xludf.DUMMYFUNCTION("""COMPUTED_VALUE"""),0.9808)</f>
      </c>
      <c r="G92" s="11">
        <f>IFERROR(__xludf.DUMMYFUNCTION("""COMPUTED_VALUE"""),378.4)</f>
      </c>
      <c r="H92" s="10">
        <f>IFERROR(__xludf.DUMMYFUNCTION("""COMPUTED_VALUE"""),0.5)</f>
      </c>
      <c r="I92" s="11">
        <f>IFERROR(__xludf.DUMMYFUNCTION("""COMPUTED_VALUE"""),532.31)</f>
      </c>
      <c r="J92" s="10">
        <f>IFERROR(__xludf.DUMMYFUNCTION("""COMPUTED_VALUE"""),0.6923)</f>
      </c>
      <c r="K92" s="11">
        <f>IFERROR(__xludf.DUMMYFUNCTION("""COMPUTED_VALUE"""),449.03)</f>
      </c>
      <c r="L92" s="10">
        <f>IFERROR(__xludf.DUMMYFUNCTION("""COMPUTED_VALUE"""),0.5192)</f>
      </c>
      <c r="M92" s="11">
        <f>IFERROR(__xludf.DUMMYFUNCTION("""COMPUTED_VALUE"""),500.74)</f>
      </c>
      <c r="N92" s="10">
        <f>IFERROR(__xludf.DUMMYFUNCTION("""COMPUTED_VALUE"""),0.5385)</f>
      </c>
      <c r="O92" s="11">
        <f>IFERROR(__xludf.DUMMYFUNCTION("""COMPUTED_VALUE"""),535.71)</f>
      </c>
      <c r="P92" s="12"/>
      <c r="Q92" s="12"/>
      <c r="R92" s="15"/>
      <c r="S92" s="12"/>
      <c r="T92" s="12"/>
      <c r="U92" s="12"/>
      <c r="V92" s="12"/>
      <c r="W92" s="12"/>
      <c r="X92" s="12"/>
      <c r="Y92" s="12"/>
      <c r="Z92" s="12"/>
    </row>
    <row x14ac:dyDescent="0.25" r="93" customHeight="1" ht="15.75">
      <c r="A93" s="8">
        <f>IFERROR(__xludf.DUMMYFUNCTION("""COMPUTED_VALUE"""),26121.0)</f>
      </c>
      <c r="B93" s="9">
        <f>IFERROR(__xludf.DUMMYFUNCTION("""COMPUTED_VALUE"""),"CENTRO SUL")</f>
      </c>
      <c r="C93" s="9">
        <f>IFERROR(__xludf.DUMMYFUNCTION("""COMPUTED_VALUE"""),"CE BARAO DE PALMEIRAS")</f>
      </c>
      <c r="D93" s="10">
        <f>IFERROR(__xludf.DUMMYFUNCTION("""COMPUTED_VALUE"""),0.9926)</f>
      </c>
      <c r="E93" s="11">
        <f>IFERROR(__xludf.DUMMYFUNCTION("""COMPUTED_VALUE"""),311.34)</f>
      </c>
      <c r="F93" s="10">
        <f>IFERROR(__xludf.DUMMYFUNCTION("""COMPUTED_VALUE"""),0.8222)</f>
      </c>
      <c r="G93" s="11">
        <f>IFERROR(__xludf.DUMMYFUNCTION("""COMPUTED_VALUE"""),451.27)</f>
      </c>
      <c r="H93" s="10">
        <f>IFERROR(__xludf.DUMMYFUNCTION("""COMPUTED_VALUE"""),0.8519)</f>
      </c>
      <c r="I93" s="11">
        <f>IFERROR(__xludf.DUMMYFUNCTION("""COMPUTED_VALUE"""),507.13)</f>
      </c>
      <c r="J93" s="10">
        <f>IFERROR(__xludf.DUMMYFUNCTION("""COMPUTED_VALUE"""),0.8444)</f>
      </c>
      <c r="K93" s="11">
        <f>IFERROR(__xludf.DUMMYFUNCTION("""COMPUTED_VALUE"""),521.05)</f>
      </c>
      <c r="L93" s="10">
        <f>IFERROR(__xludf.DUMMYFUNCTION("""COMPUTED_VALUE"""),0.6963)</f>
      </c>
      <c r="M93" s="11">
        <f>IFERROR(__xludf.DUMMYFUNCTION("""COMPUTED_VALUE"""),546.96)</f>
      </c>
      <c r="N93" s="10">
        <f>IFERROR(__xludf.DUMMYFUNCTION("""COMPUTED_VALUE"""),0.7259)</f>
      </c>
      <c r="O93" s="11">
        <f>IFERROR(__xludf.DUMMYFUNCTION("""COMPUTED_VALUE"""),492.37)</f>
      </c>
      <c r="P93" s="12"/>
      <c r="Q93" s="12"/>
      <c r="R93" s="15"/>
      <c r="S93" s="12"/>
      <c r="T93" s="12"/>
      <c r="U93" s="12"/>
      <c r="V93" s="12"/>
      <c r="W93" s="12"/>
      <c r="X93" s="12"/>
      <c r="Y93" s="12"/>
      <c r="Z93" s="12"/>
    </row>
    <row x14ac:dyDescent="0.25" r="94" customHeight="1" ht="15.75">
      <c r="A94" s="8">
        <f>IFERROR(__xludf.DUMMYFUNCTION("""COMPUTED_VALUE"""),26098.0)</f>
      </c>
      <c r="B94" s="9">
        <f>IFERROR(__xludf.DUMMYFUNCTION("""COMPUTED_VALUE"""),"CENTRO SUL")</f>
      </c>
      <c r="C94" s="9">
        <f>IFERROR(__xludf.DUMMYFUNCTION("""COMPUTED_VALUE"""),"CE BARAO DO RIO BONITO")</f>
      </c>
      <c r="D94" s="10">
        <f>IFERROR(__xludf.DUMMYFUNCTION("""COMPUTED_VALUE"""),0.6026)</f>
      </c>
      <c r="E94" s="11">
        <f>IFERROR(__xludf.DUMMYFUNCTION("""COMPUTED_VALUE"""),293.62)</f>
      </c>
      <c r="F94" s="10">
        <f>IFERROR(__xludf.DUMMYFUNCTION("""COMPUTED_VALUE"""),0.6987)</f>
      </c>
      <c r="G94" s="11">
        <f>IFERROR(__xludf.DUMMYFUNCTION("""COMPUTED_VALUE"""),442.01)</f>
      </c>
      <c r="H94" s="10">
        <f>IFERROR(__xludf.DUMMYFUNCTION("""COMPUTED_VALUE"""),0.6332)</f>
      </c>
      <c r="I94" s="11">
        <f>IFERROR(__xludf.DUMMYFUNCTION("""COMPUTED_VALUE"""),464.17)</f>
      </c>
      <c r="J94" s="10">
        <f>IFERROR(__xludf.DUMMYFUNCTION("""COMPUTED_VALUE"""),0.5852)</f>
      </c>
      <c r="K94" s="11">
        <f>IFERROR(__xludf.DUMMYFUNCTION("""COMPUTED_VALUE"""),389.76)</f>
      </c>
      <c r="L94" s="10">
        <f>IFERROR(__xludf.DUMMYFUNCTION("""COMPUTED_VALUE"""),0.6245)</f>
      </c>
      <c r="M94" s="11">
        <f>IFERROR(__xludf.DUMMYFUNCTION("""COMPUTED_VALUE"""),475.52)</f>
      </c>
      <c r="N94" s="10">
        <f>IFERROR(__xludf.DUMMYFUNCTION("""COMPUTED_VALUE"""),0.6245)</f>
      </c>
      <c r="O94" s="11">
        <f>IFERROR(__xludf.DUMMYFUNCTION("""COMPUTED_VALUE"""),454.83)</f>
      </c>
      <c r="P94" s="12"/>
      <c r="Q94" s="12"/>
      <c r="R94" s="15"/>
      <c r="S94" s="12"/>
      <c r="T94" s="12"/>
      <c r="U94" s="12"/>
      <c r="V94" s="12"/>
      <c r="W94" s="12"/>
      <c r="X94" s="12"/>
      <c r="Y94" s="12"/>
      <c r="Z94" s="12"/>
    </row>
    <row x14ac:dyDescent="0.25" r="95" customHeight="1" ht="15.75">
      <c r="A95" s="8">
        <f>IFERROR(__xludf.DUMMYFUNCTION("""COMPUTED_VALUE"""),26122.0)</f>
      </c>
      <c r="B95" s="9">
        <f>IFERROR(__xludf.DUMMYFUNCTION("""COMPUTED_VALUE"""),"CENTRO SUL")</f>
      </c>
      <c r="C95" s="9">
        <f>IFERROR(__xludf.DUMMYFUNCTION("""COMPUTED_VALUE"""),"CE BEZERRA DE MENEZES")</f>
      </c>
      <c r="D95" s="10">
        <f>IFERROR(__xludf.DUMMYFUNCTION("""COMPUTED_VALUE"""),0.6809)</f>
      </c>
      <c r="E95" s="11">
        <f>IFERROR(__xludf.DUMMYFUNCTION("""COMPUTED_VALUE"""),312.5)</f>
      </c>
      <c r="F95" s="10">
        <f>IFERROR(__xludf.DUMMYFUNCTION("""COMPUTED_VALUE"""),0.7092)</f>
      </c>
      <c r="G95" s="11">
        <f>IFERROR(__xludf.DUMMYFUNCTION("""COMPUTED_VALUE"""),438.38)</f>
      </c>
      <c r="H95" s="10">
        <f>IFERROR(__xludf.DUMMYFUNCTION("""COMPUTED_VALUE"""),0.8298)</f>
      </c>
      <c r="I95" s="11">
        <f>IFERROR(__xludf.DUMMYFUNCTION("""COMPUTED_VALUE"""),522.78)</f>
      </c>
      <c r="J95" s="10">
        <f>IFERROR(__xludf.DUMMYFUNCTION("""COMPUTED_VALUE"""),0.7943)</f>
      </c>
      <c r="K95" s="11">
        <f>IFERROR(__xludf.DUMMYFUNCTION("""COMPUTED_VALUE"""),440.72)</f>
      </c>
      <c r="L95" s="10">
        <f>IFERROR(__xludf.DUMMYFUNCTION("""COMPUTED_VALUE"""),0.7376)</f>
      </c>
      <c r="M95" s="11">
        <f>IFERROR(__xludf.DUMMYFUNCTION("""COMPUTED_VALUE"""),442.38)</f>
      </c>
      <c r="N95" s="10">
        <f>IFERROR(__xludf.DUMMYFUNCTION("""COMPUTED_VALUE"""),0.7163)</f>
      </c>
      <c r="O95" s="11">
        <f>IFERROR(__xludf.DUMMYFUNCTION("""COMPUTED_VALUE"""),374.29)</f>
      </c>
      <c r="P95" s="12"/>
      <c r="Q95" s="12"/>
      <c r="R95" s="15"/>
      <c r="S95" s="12"/>
      <c r="T95" s="12"/>
      <c r="U95" s="12"/>
      <c r="V95" s="12"/>
      <c r="W95" s="12"/>
      <c r="X95" s="12"/>
      <c r="Y95" s="12"/>
      <c r="Z95" s="12"/>
    </row>
    <row x14ac:dyDescent="0.25" r="96" customHeight="1" ht="15.75">
      <c r="A96" s="8">
        <f>IFERROR(__xludf.DUMMYFUNCTION("""COMPUTED_VALUE"""),26114.0)</f>
      </c>
      <c r="B96" s="9">
        <f>IFERROR(__xludf.DUMMYFUNCTION("""COMPUTED_VALUE"""),"CENTRO SUL")</f>
      </c>
      <c r="C96" s="9">
        <f>IFERROR(__xludf.DUMMYFUNCTION("""COMPUTED_VALUE"""),"CE CARMEM DE LUCA ANDREIOLO")</f>
      </c>
      <c r="D96" s="10">
        <f>IFERROR(__xludf.DUMMYFUNCTION("""COMPUTED_VALUE"""),0.8286)</f>
      </c>
      <c r="E96" s="11">
        <f>IFERROR(__xludf.DUMMYFUNCTION("""COMPUTED_VALUE"""),307.59)</f>
      </c>
      <c r="F96" s="10">
        <f>IFERROR(__xludf.DUMMYFUNCTION("""COMPUTED_VALUE"""),0.8286)</f>
      </c>
      <c r="G96" s="11">
        <f>IFERROR(__xludf.DUMMYFUNCTION("""COMPUTED_VALUE"""),489.66)</f>
      </c>
      <c r="H96" s="10">
        <f>IFERROR(__xludf.DUMMYFUNCTION("""COMPUTED_VALUE"""),0.7143)</f>
      </c>
      <c r="I96" s="11">
        <f>IFERROR(__xludf.DUMMYFUNCTION("""COMPUTED_VALUE"""),435.0)</f>
      </c>
      <c r="J96" s="10">
        <f>IFERROR(__xludf.DUMMYFUNCTION("""COMPUTED_VALUE"""),0.8286)</f>
      </c>
      <c r="K96" s="11">
        <f>IFERROR(__xludf.DUMMYFUNCTION("""COMPUTED_VALUE"""),299.31)</f>
      </c>
      <c r="L96" s="10">
        <f>IFERROR(__xludf.DUMMYFUNCTION("""COMPUTED_VALUE"""),0.8571)</f>
      </c>
      <c r="M96" s="11">
        <f>IFERROR(__xludf.DUMMYFUNCTION("""COMPUTED_VALUE"""),541.33)</f>
      </c>
      <c r="N96" s="10">
        <f>IFERROR(__xludf.DUMMYFUNCTION("""COMPUTED_VALUE"""),0.8571)</f>
      </c>
      <c r="O96" s="11">
        <f>IFERROR(__xludf.DUMMYFUNCTION("""COMPUTED_VALUE"""),577.33)</f>
      </c>
      <c r="P96" s="12"/>
      <c r="Q96" s="12"/>
      <c r="R96" s="15"/>
      <c r="S96" s="12"/>
      <c r="T96" s="12"/>
      <c r="U96" s="12"/>
      <c r="V96" s="12"/>
      <c r="W96" s="12"/>
      <c r="X96" s="12"/>
      <c r="Y96" s="12"/>
      <c r="Z96" s="12"/>
    </row>
    <row x14ac:dyDescent="0.25" r="97" customHeight="1" ht="15.75">
      <c r="A97" s="8">
        <f>IFERROR(__xludf.DUMMYFUNCTION("""COMPUTED_VALUE"""),26144.0)</f>
      </c>
      <c r="B97" s="9">
        <f>IFERROR(__xludf.DUMMYFUNCTION("""COMPUTED_VALUE"""),"CENTRO SUL")</f>
      </c>
      <c r="C97" s="9">
        <f>IFERROR(__xludf.DUMMYFUNCTION("""COMPUTED_VALUE"""),"CE CENTENARIO")</f>
      </c>
      <c r="D97" s="10">
        <f>IFERROR(__xludf.DUMMYFUNCTION("""COMPUTED_VALUE"""),0.8986)</f>
      </c>
      <c r="E97" s="11">
        <f>IFERROR(__xludf.DUMMYFUNCTION("""COMPUTED_VALUE"""),297.05)</f>
      </c>
      <c r="F97" s="10">
        <f>IFERROR(__xludf.DUMMYFUNCTION("""COMPUTED_VALUE"""),0.7246)</f>
      </c>
      <c r="G97" s="11">
        <f>IFERROR(__xludf.DUMMYFUNCTION("""COMPUTED_VALUE"""),446.4)</f>
      </c>
      <c r="H97" s="10">
        <f>IFERROR(__xludf.DUMMYFUNCTION("""COMPUTED_VALUE"""),0.7971)</f>
      </c>
      <c r="I97" s="11">
        <f>IFERROR(__xludf.DUMMYFUNCTION("""COMPUTED_VALUE"""),489.45)</f>
      </c>
      <c r="J97" s="10">
        <f>IFERROR(__xludf.DUMMYFUNCTION("""COMPUTED_VALUE"""),0.7971)</f>
      </c>
      <c r="K97" s="11">
        <f>IFERROR(__xludf.DUMMYFUNCTION("""COMPUTED_VALUE"""),409.23)</f>
      </c>
      <c r="L97" s="10">
        <f>IFERROR(__xludf.DUMMYFUNCTION("""COMPUTED_VALUE"""),0.6232)</f>
      </c>
      <c r="M97" s="11">
        <f>IFERROR(__xludf.DUMMYFUNCTION("""COMPUTED_VALUE"""),425.12)</f>
      </c>
      <c r="N97" s="10">
        <f>IFERROR(__xludf.DUMMYFUNCTION("""COMPUTED_VALUE"""),0.6522)</f>
      </c>
      <c r="O97" s="11">
        <f>IFERROR(__xludf.DUMMYFUNCTION("""COMPUTED_VALUE"""),467.56)</f>
      </c>
      <c r="P97" s="12"/>
      <c r="Q97" s="12"/>
      <c r="R97" s="15"/>
      <c r="S97" s="12"/>
      <c r="T97" s="12"/>
      <c r="U97" s="12"/>
      <c r="V97" s="12"/>
      <c r="W97" s="12"/>
      <c r="X97" s="12"/>
      <c r="Y97" s="12"/>
      <c r="Z97" s="12"/>
    </row>
    <row x14ac:dyDescent="0.25" r="98" customHeight="1" ht="15.75">
      <c r="A98" s="8">
        <f>IFERROR(__xludf.DUMMYFUNCTION("""COMPUTED_VALUE"""),26135.0)</f>
      </c>
      <c r="B98" s="9">
        <f>IFERROR(__xludf.DUMMYFUNCTION("""COMPUTED_VALUE"""),"CENTRO SUL")</f>
      </c>
      <c r="C98" s="9">
        <f>IFERROR(__xludf.DUMMYFUNCTION("""COMPUTED_VALUE"""),"CE CORONEL BENJAMIN GUIMARAES")</f>
      </c>
      <c r="D98" s="10">
        <f>IFERROR(__xludf.DUMMYFUNCTION("""COMPUTED_VALUE"""),0.9815)</f>
      </c>
      <c r="E98" s="11">
        <f>IFERROR(__xludf.DUMMYFUNCTION("""COMPUTED_VALUE"""),268.35)</f>
      </c>
      <c r="F98" s="10">
        <f>IFERROR(__xludf.DUMMYFUNCTION("""COMPUTED_VALUE"""),1.0)</f>
      </c>
      <c r="G98" s="11">
        <f>IFERROR(__xludf.DUMMYFUNCTION("""COMPUTED_VALUE"""),404.57)</f>
      </c>
      <c r="H98" s="10">
        <f>IFERROR(__xludf.DUMMYFUNCTION("""COMPUTED_VALUE"""),1.0)</f>
      </c>
      <c r="I98" s="11">
        <f>IFERROR(__xludf.DUMMYFUNCTION("""COMPUTED_VALUE"""),413.02)</f>
      </c>
      <c r="J98" s="10">
        <f>IFERROR(__xludf.DUMMYFUNCTION("""COMPUTED_VALUE"""),1.0)</f>
      </c>
      <c r="K98" s="11">
        <f>IFERROR(__xludf.DUMMYFUNCTION("""COMPUTED_VALUE"""),319.38)</f>
      </c>
      <c r="L98" s="10">
        <f>IFERROR(__xludf.DUMMYFUNCTION("""COMPUTED_VALUE"""),0.8682)</f>
      </c>
      <c r="M98" s="11">
        <f>IFERROR(__xludf.DUMMYFUNCTION("""COMPUTED_VALUE"""),581.43)</f>
      </c>
      <c r="N98" s="10">
        <f>IFERROR(__xludf.DUMMYFUNCTION("""COMPUTED_VALUE"""),0.7674)</f>
      </c>
      <c r="O98" s="11">
        <f>IFERROR(__xludf.DUMMYFUNCTION("""COMPUTED_VALUE"""),545.71)</f>
      </c>
      <c r="P98" s="12"/>
      <c r="Q98" s="12"/>
      <c r="R98" s="15"/>
      <c r="S98" s="12"/>
      <c r="T98" s="12"/>
      <c r="U98" s="12"/>
      <c r="V98" s="12"/>
      <c r="W98" s="12"/>
      <c r="X98" s="12"/>
      <c r="Y98" s="12"/>
      <c r="Z98" s="12"/>
    </row>
    <row x14ac:dyDescent="0.25" r="99" customHeight="1" ht="15.75">
      <c r="A99" s="8">
        <f>IFERROR(__xludf.DUMMYFUNCTION("""COMPUTED_VALUE"""),26099.0)</f>
      </c>
      <c r="B99" s="9">
        <f>IFERROR(__xludf.DUMMYFUNCTION("""COMPUTED_VALUE"""),"CENTRO SUL")</f>
      </c>
      <c r="C99" s="9">
        <f>IFERROR(__xludf.DUMMYFUNCTION("""COMPUTED_VALUE"""),"CE DOUTOR ALVARO ROCHA")</f>
      </c>
      <c r="D99" s="10">
        <f>IFERROR(__xludf.DUMMYFUNCTION("""COMPUTED_VALUE"""),0.8621)</f>
      </c>
      <c r="E99" s="11">
        <f>IFERROR(__xludf.DUMMYFUNCTION("""COMPUTED_VALUE"""),301.87)</f>
      </c>
      <c r="F99" s="10">
        <f>IFERROR(__xludf.DUMMYFUNCTION("""COMPUTED_VALUE"""),1.0)</f>
      </c>
      <c r="G99" s="11">
        <f>IFERROR(__xludf.DUMMYFUNCTION("""COMPUTED_VALUE"""),364.82)</f>
      </c>
      <c r="H99" s="10">
        <f>IFERROR(__xludf.DUMMYFUNCTION("""COMPUTED_VALUE"""),0.7701)</f>
      </c>
      <c r="I99" s="11">
        <f>IFERROR(__xludf.DUMMYFUNCTION("""COMPUTED_VALUE"""),510.45)</f>
      </c>
      <c r="J99" s="10">
        <f>IFERROR(__xludf.DUMMYFUNCTION("""COMPUTED_VALUE"""),0.6897)</f>
      </c>
      <c r="K99" s="11">
        <f>IFERROR(__xludf.DUMMYFUNCTION("""COMPUTED_VALUE"""),446.32)</f>
      </c>
      <c r="L99" s="10">
        <f>IFERROR(__xludf.DUMMYFUNCTION("""COMPUTED_VALUE"""),0.8391)</f>
      </c>
      <c r="M99" s="11">
        <f>IFERROR(__xludf.DUMMYFUNCTION("""COMPUTED_VALUE"""),564.44)</f>
      </c>
      <c r="N99" s="10">
        <f>IFERROR(__xludf.DUMMYFUNCTION("""COMPUTED_VALUE"""),0.8046)</f>
      </c>
      <c r="O99" s="11">
        <f>IFERROR(__xludf.DUMMYFUNCTION("""COMPUTED_VALUE"""),584.57)</f>
      </c>
      <c r="P99" s="12"/>
      <c r="Q99" s="12"/>
      <c r="R99" s="15"/>
      <c r="S99" s="12"/>
      <c r="T99" s="12"/>
      <c r="U99" s="12"/>
      <c r="V99" s="12"/>
      <c r="W99" s="12"/>
      <c r="X99" s="12"/>
      <c r="Y99" s="12"/>
      <c r="Z99" s="12"/>
    </row>
    <row x14ac:dyDescent="0.25" r="100" customHeight="1" ht="15.75">
      <c r="A100" s="8">
        <f>IFERROR(__xludf.DUMMYFUNCTION("""COMPUTED_VALUE"""),26115.0)</f>
      </c>
      <c r="B100" s="9">
        <f>IFERROR(__xludf.DUMMYFUNCTION("""COMPUTED_VALUE"""),"CENTRO SUL")</f>
      </c>
      <c r="C100" s="9">
        <f>IFERROR(__xludf.DUMMYFUNCTION("""COMPUTED_VALUE"""),"CE DOUTOR ANTONIO FERNANDES")</f>
      </c>
      <c r="D100" s="10">
        <f>IFERROR(__xludf.DUMMYFUNCTION("""COMPUTED_VALUE"""),0.9795)</f>
      </c>
      <c r="E100" s="11">
        <f>IFERROR(__xludf.DUMMYFUNCTION("""COMPUTED_VALUE"""),243.08)</f>
      </c>
      <c r="F100" s="10">
        <f>IFERROR(__xludf.DUMMYFUNCTION("""COMPUTED_VALUE"""),0.6849)</f>
      </c>
      <c r="G100" s="11">
        <f>IFERROR(__xludf.DUMMYFUNCTION("""COMPUTED_VALUE"""),410.97)</f>
      </c>
      <c r="H100" s="10">
        <f>IFERROR(__xludf.DUMMYFUNCTION("""COMPUTED_VALUE"""),0.6263)</f>
      </c>
      <c r="I100" s="11">
        <f>IFERROR(__xludf.DUMMYFUNCTION("""COMPUTED_VALUE"""),464.38)</f>
      </c>
      <c r="J100" s="10">
        <f>IFERROR(__xludf.DUMMYFUNCTION("""COMPUTED_VALUE"""),0.4667)</f>
      </c>
      <c r="K100" s="11">
        <f>IFERROR(__xludf.DUMMYFUNCTION("""COMPUTED_VALUE"""),368.75)</f>
      </c>
      <c r="L100" s="10">
        <f>IFERROR(__xludf.DUMMYFUNCTION("""COMPUTED_VALUE"""),0.596)</f>
      </c>
      <c r="M100" s="11">
        <f>IFERROR(__xludf.DUMMYFUNCTION("""COMPUTED_VALUE"""),458.05)</f>
      </c>
      <c r="N100" s="10">
        <f>IFERROR(__xludf.DUMMYFUNCTION("""COMPUTED_VALUE"""),0.4899)</f>
      </c>
      <c r="O100" s="11">
        <f>IFERROR(__xludf.DUMMYFUNCTION("""COMPUTED_VALUE"""),493.32)</f>
      </c>
      <c r="P100" s="12"/>
      <c r="Q100" s="12"/>
      <c r="R100" s="15"/>
      <c r="S100" s="12"/>
      <c r="T100" s="12"/>
      <c r="U100" s="12"/>
      <c r="V100" s="12"/>
      <c r="W100" s="12"/>
      <c r="X100" s="12"/>
      <c r="Y100" s="12"/>
      <c r="Z100" s="12"/>
    </row>
    <row x14ac:dyDescent="0.25" r="101" customHeight="1" ht="15.75">
      <c r="A101" s="8">
        <f>IFERROR(__xludf.DUMMYFUNCTION("""COMPUTED_VALUE"""),26136.0)</f>
      </c>
      <c r="B101" s="9">
        <f>IFERROR(__xludf.DUMMYFUNCTION("""COMPUTED_VALUE"""),"CENTRO SUL")</f>
      </c>
      <c r="C101" s="9">
        <f>IFERROR(__xludf.DUMMYFUNCTION("""COMPUTED_VALUE"""),"CE DOUTOR GUILHERME MILWARD")</f>
      </c>
      <c r="D101" s="10">
        <f>IFERROR(__xludf.DUMMYFUNCTION("""COMPUTED_VALUE"""),0.8833)</f>
      </c>
      <c r="E101" s="11">
        <f>IFERROR(__xludf.DUMMYFUNCTION("""COMPUTED_VALUE"""),170.57)</f>
      </c>
      <c r="F101" s="10">
        <f>IFERROR(__xludf.DUMMYFUNCTION("""COMPUTED_VALUE"""),0.65)</f>
      </c>
      <c r="G101" s="11">
        <f>IFERROR(__xludf.DUMMYFUNCTION("""COMPUTED_VALUE"""),321.03)</f>
      </c>
      <c r="H101" s="10">
        <f>IFERROR(__xludf.DUMMYFUNCTION("""COMPUTED_VALUE"""),0.6)</f>
      </c>
      <c r="I101" s="11">
        <f>IFERROR(__xludf.DUMMYFUNCTION("""COMPUTED_VALUE"""),403.43)</f>
      </c>
      <c r="J101" s="10">
        <f>IFERROR(__xludf.DUMMYFUNCTION("""COMPUTED_VALUE"""),0.6833)</f>
      </c>
      <c r="K101" s="11">
        <f>IFERROR(__xludf.DUMMYFUNCTION("""COMPUTED_VALUE"""),292.31)</f>
      </c>
      <c r="L101" s="10">
        <f>IFERROR(__xludf.DUMMYFUNCTION("""COMPUTED_VALUE"""),0.65)</f>
      </c>
      <c r="M101" s="11">
        <f>IFERROR(__xludf.DUMMYFUNCTION("""COMPUTED_VALUE"""),346.67)</f>
      </c>
      <c r="N101" s="10">
        <f>IFERROR(__xludf.DUMMYFUNCTION("""COMPUTED_VALUE"""),0.6)</f>
      </c>
      <c r="O101" s="11">
        <f>IFERROR(__xludf.DUMMYFUNCTION("""COMPUTED_VALUE"""),424.44)</f>
      </c>
      <c r="P101" s="12"/>
      <c r="Q101" s="12"/>
      <c r="R101" s="15"/>
      <c r="S101" s="12"/>
      <c r="T101" s="12"/>
      <c r="U101" s="12"/>
      <c r="V101" s="12"/>
      <c r="W101" s="12"/>
      <c r="X101" s="12"/>
      <c r="Y101" s="12"/>
      <c r="Z101" s="12"/>
    </row>
    <row x14ac:dyDescent="0.25" r="102" customHeight="1" ht="15.75">
      <c r="A102" s="8">
        <f>IFERROR(__xludf.DUMMYFUNCTION("""COMPUTED_VALUE"""),26111.0)</f>
      </c>
      <c r="B102" s="9">
        <f>IFERROR(__xludf.DUMMYFUNCTION("""COMPUTED_VALUE"""),"CENTRO SUL")</f>
      </c>
      <c r="C102" s="9">
        <f>IFERROR(__xludf.DUMMYFUNCTION("""COMPUTED_VALUE"""),"CE DOUTOR JOAO NERY")</f>
      </c>
      <c r="D102" s="10">
        <f>IFERROR(__xludf.DUMMYFUNCTION("""COMPUTED_VALUE"""),0.8243)</f>
      </c>
      <c r="E102" s="11">
        <f>IFERROR(__xludf.DUMMYFUNCTION("""COMPUTED_VALUE"""),241.96)</f>
      </c>
      <c r="F102" s="10">
        <f>IFERROR(__xludf.DUMMYFUNCTION("""COMPUTED_VALUE"""),0.7297)</f>
      </c>
      <c r="G102" s="11">
        <f>IFERROR(__xludf.DUMMYFUNCTION("""COMPUTED_VALUE"""),398.29)</f>
      </c>
      <c r="H102" s="10">
        <f>IFERROR(__xludf.DUMMYFUNCTION("""COMPUTED_VALUE"""),0.6463)</f>
      </c>
      <c r="I102" s="11">
        <f>IFERROR(__xludf.DUMMYFUNCTION("""COMPUTED_VALUE"""),402.23)</f>
      </c>
      <c r="J102" s="10">
        <f>IFERROR(__xludf.DUMMYFUNCTION("""COMPUTED_VALUE"""),0.8592)</f>
      </c>
      <c r="K102" s="11">
        <f>IFERROR(__xludf.DUMMYFUNCTION("""COMPUTED_VALUE"""),372.54)</f>
      </c>
      <c r="L102" s="10">
        <f>IFERROR(__xludf.DUMMYFUNCTION("""COMPUTED_VALUE"""),0.7073)</f>
      </c>
      <c r="M102" s="11">
        <f>IFERROR(__xludf.DUMMYFUNCTION("""COMPUTED_VALUE"""),429.66)</f>
      </c>
      <c r="N102" s="10">
        <f>IFERROR(__xludf.DUMMYFUNCTION("""COMPUTED_VALUE"""),0.6829)</f>
      </c>
      <c r="O102" s="11">
        <f>IFERROR(__xludf.DUMMYFUNCTION("""COMPUTED_VALUE"""),382.37)</f>
      </c>
      <c r="P102" s="12"/>
      <c r="Q102" s="12"/>
      <c r="R102" s="15"/>
      <c r="S102" s="12"/>
      <c r="T102" s="12"/>
      <c r="U102" s="12"/>
      <c r="V102" s="12"/>
      <c r="W102" s="12"/>
      <c r="X102" s="12"/>
      <c r="Y102" s="12"/>
      <c r="Z102" s="12"/>
    </row>
    <row x14ac:dyDescent="0.25" r="103" customHeight="1" ht="15.75">
      <c r="A103" s="8">
        <f>IFERROR(__xludf.DUMMYFUNCTION("""COMPUTED_VALUE"""),26137.0)</f>
      </c>
      <c r="B103" s="9">
        <f>IFERROR(__xludf.DUMMYFUNCTION("""COMPUTED_VALUE"""),"CENTRO SUL")</f>
      </c>
      <c r="C103" s="9">
        <f>IFERROR(__xludf.DUMMYFUNCTION("""COMPUTED_VALUE"""),"CE DOUTOR OSWALDO TERRA")</f>
      </c>
      <c r="D103" s="10">
        <f>IFERROR(__xludf.DUMMYFUNCTION("""COMPUTED_VALUE"""),0.9423)</f>
      </c>
      <c r="E103" s="11">
        <f>IFERROR(__xludf.DUMMYFUNCTION("""COMPUTED_VALUE"""),347.22)</f>
      </c>
      <c r="F103" s="10">
        <f>IFERROR(__xludf.DUMMYFUNCTION("""COMPUTED_VALUE"""),0.8654)</f>
      </c>
      <c r="G103" s="11">
        <f>IFERROR(__xludf.DUMMYFUNCTION("""COMPUTED_VALUE"""),482.25)</f>
      </c>
      <c r="H103" s="10">
        <f>IFERROR(__xludf.DUMMYFUNCTION("""COMPUTED_VALUE"""),0.88)</f>
      </c>
      <c r="I103" s="11">
        <f>IFERROR(__xludf.DUMMYFUNCTION("""COMPUTED_VALUE"""),545.93)</f>
      </c>
      <c r="J103" s="10">
        <f>IFERROR(__xludf.DUMMYFUNCTION("""COMPUTED_VALUE"""),0.952)</f>
      </c>
      <c r="K103" s="11">
        <f>IFERROR(__xludf.DUMMYFUNCTION("""COMPUTED_VALUE"""),528.55)</f>
      </c>
      <c r="L103" s="10">
        <f>IFERROR(__xludf.DUMMYFUNCTION("""COMPUTED_VALUE"""),0.824)</f>
      </c>
      <c r="M103" s="11">
        <f>IFERROR(__xludf.DUMMYFUNCTION("""COMPUTED_VALUE"""),563.5)</f>
      </c>
      <c r="N103" s="10">
        <f>IFERROR(__xludf.DUMMYFUNCTION("""COMPUTED_VALUE"""),0.864)</f>
      </c>
      <c r="O103" s="11">
        <f>IFERROR(__xludf.DUMMYFUNCTION("""COMPUTED_VALUE"""),530.0)</f>
      </c>
      <c r="P103" s="12"/>
      <c r="Q103" s="12"/>
      <c r="R103" s="15"/>
      <c r="S103" s="12"/>
      <c r="T103" s="12"/>
      <c r="U103" s="12"/>
      <c r="V103" s="12"/>
      <c r="W103" s="12"/>
      <c r="X103" s="12"/>
      <c r="Y103" s="12"/>
      <c r="Z103" s="12"/>
    </row>
    <row x14ac:dyDescent="0.25" r="104" customHeight="1" ht="15.75">
      <c r="A104" s="8">
        <f>IFERROR(__xludf.DUMMYFUNCTION("""COMPUTED_VALUE"""),26126.0)</f>
      </c>
      <c r="B104" s="9">
        <f>IFERROR(__xludf.DUMMYFUNCTION("""COMPUTED_VALUE"""),"CENTRO SUL")</f>
      </c>
      <c r="C104" s="9">
        <f>IFERROR(__xludf.DUMMYFUNCTION("""COMPUTED_VALUE"""),"CE EDMUNDO PERALTA BERNARDES")</f>
      </c>
      <c r="D104" s="10">
        <f>IFERROR(__xludf.DUMMYFUNCTION("""COMPUTED_VALUE"""),0.8969)</f>
      </c>
      <c r="E104" s="11">
        <f>IFERROR(__xludf.DUMMYFUNCTION("""COMPUTED_VALUE"""),396.15)</f>
      </c>
      <c r="F104" s="10">
        <f>IFERROR(__xludf.DUMMYFUNCTION("""COMPUTED_VALUE"""),0.9845)</f>
      </c>
      <c r="G104" s="11">
        <f>IFERROR(__xludf.DUMMYFUNCTION("""COMPUTED_VALUE"""),444.44)</f>
      </c>
      <c r="H104" s="10">
        <f>IFERROR(__xludf.DUMMYFUNCTION("""COMPUTED_VALUE"""),0.8608)</f>
      </c>
      <c r="I104" s="11">
        <f>IFERROR(__xludf.DUMMYFUNCTION("""COMPUTED_VALUE"""),532.85)</f>
      </c>
      <c r="J104" s="10">
        <f>IFERROR(__xludf.DUMMYFUNCTION("""COMPUTED_VALUE"""),0.8299)</f>
      </c>
      <c r="K104" s="11">
        <f>IFERROR(__xludf.DUMMYFUNCTION("""COMPUTED_VALUE"""),514.0)</f>
      </c>
      <c r="L104" s="10">
        <f>IFERROR(__xludf.DUMMYFUNCTION("""COMPUTED_VALUE"""),0.7887)</f>
      </c>
      <c r="M104" s="11">
        <f>IFERROR(__xludf.DUMMYFUNCTION("""COMPUTED_VALUE"""),550.53)</f>
      </c>
      <c r="N104" s="10">
        <f>IFERROR(__xludf.DUMMYFUNCTION("""COMPUTED_VALUE"""),0.6856)</f>
      </c>
      <c r="O104" s="11">
        <f>IFERROR(__xludf.DUMMYFUNCTION("""COMPUTED_VALUE"""),578.79)</f>
      </c>
      <c r="P104" s="12"/>
      <c r="Q104" s="12"/>
      <c r="R104" s="15"/>
      <c r="S104" s="12"/>
      <c r="T104" s="12"/>
      <c r="U104" s="12"/>
      <c r="V104" s="12"/>
      <c r="W104" s="12"/>
      <c r="X104" s="12"/>
      <c r="Y104" s="12"/>
      <c r="Z104" s="12"/>
    </row>
    <row x14ac:dyDescent="0.25" r="105" customHeight="1" ht="15.75">
      <c r="A105" s="8">
        <f>IFERROR(__xludf.DUMMYFUNCTION("""COMPUTED_VALUE"""),26109.0)</f>
      </c>
      <c r="B105" s="9">
        <f>IFERROR(__xludf.DUMMYFUNCTION("""COMPUTED_VALUE"""),"CENTRO SUL")</f>
      </c>
      <c r="C105" s="9">
        <f>IFERROR(__xludf.DUMMYFUNCTION("""COMPUTED_VALUE"""),"CE JOAO KOPKE")</f>
      </c>
      <c r="D105" s="10">
        <f>IFERROR(__xludf.DUMMYFUNCTION("""COMPUTED_VALUE"""),0.9859)</f>
      </c>
      <c r="E105" s="11">
        <f>IFERROR(__xludf.DUMMYFUNCTION("""COMPUTED_VALUE"""),352.57)</f>
      </c>
      <c r="F105" s="10">
        <f>IFERROR(__xludf.DUMMYFUNCTION("""COMPUTED_VALUE"""),0.993)</f>
      </c>
      <c r="G105" s="11">
        <f>IFERROR(__xludf.DUMMYFUNCTION("""COMPUTED_VALUE"""),443.69)</f>
      </c>
      <c r="H105" s="10">
        <f>IFERROR(__xludf.DUMMYFUNCTION("""COMPUTED_VALUE"""),0.9939)</f>
      </c>
      <c r="I105" s="11">
        <f>IFERROR(__xludf.DUMMYFUNCTION("""COMPUTED_VALUE"""),481.46)</f>
      </c>
      <c r="J105" s="10">
        <f>IFERROR(__xludf.DUMMYFUNCTION("""COMPUTED_VALUE"""),0.9939)</f>
      </c>
      <c r="K105" s="11">
        <f>IFERROR(__xludf.DUMMYFUNCTION("""COMPUTED_VALUE"""),456.2)</f>
      </c>
      <c r="L105" s="10">
        <f>IFERROR(__xludf.DUMMYFUNCTION("""COMPUTED_VALUE"""),1.0)</f>
      </c>
      <c r="M105" s="11">
        <f>IFERROR(__xludf.DUMMYFUNCTION("""COMPUTED_VALUE"""),523.93)</f>
      </c>
      <c r="N105" s="10">
        <f>IFERROR(__xludf.DUMMYFUNCTION("""COMPUTED_VALUE"""),1.0)</f>
      </c>
      <c r="O105" s="11">
        <f>IFERROR(__xludf.DUMMYFUNCTION("""COMPUTED_VALUE"""),506.67)</f>
      </c>
      <c r="P105" s="12"/>
      <c r="Q105" s="12"/>
      <c r="R105" s="15"/>
      <c r="S105" s="12"/>
      <c r="T105" s="12"/>
      <c r="U105" s="12"/>
      <c r="V105" s="12"/>
      <c r="W105" s="12"/>
      <c r="X105" s="12"/>
      <c r="Y105" s="12"/>
      <c r="Z105" s="12"/>
    </row>
    <row x14ac:dyDescent="0.25" r="106" customHeight="1" ht="15.75">
      <c r="A106" s="8">
        <f>IFERROR(__xludf.DUMMYFUNCTION("""COMPUTED_VALUE"""),26100.0)</f>
      </c>
      <c r="B106" s="9">
        <f>IFERROR(__xludf.DUMMYFUNCTION("""COMPUTED_VALUE"""),"CENTRO SUL")</f>
      </c>
      <c r="C106" s="9">
        <f>IFERROR(__xludf.DUMMYFUNCTION("""COMPUTED_VALUE"""),"CE JOAQUIM DE MACEDO")</f>
      </c>
      <c r="D106" s="10">
        <f>IFERROR(__xludf.DUMMYFUNCTION("""COMPUTED_VALUE"""),0.7119)</f>
      </c>
      <c r="E106" s="11">
        <f>IFERROR(__xludf.DUMMYFUNCTION("""COMPUTED_VALUE"""),230.29)</f>
      </c>
      <c r="F106" s="10">
        <f>IFERROR(__xludf.DUMMYFUNCTION("""COMPUTED_VALUE"""),0.6337)</f>
      </c>
      <c r="G106" s="11">
        <f>IFERROR(__xludf.DUMMYFUNCTION("""COMPUTED_VALUE"""),372.55)</f>
      </c>
      <c r="H106" s="10">
        <f>IFERROR(__xludf.DUMMYFUNCTION("""COMPUTED_VALUE"""),0.5609)</f>
      </c>
      <c r="I106" s="11">
        <f>IFERROR(__xludf.DUMMYFUNCTION("""COMPUTED_VALUE"""),370.64)</f>
      </c>
      <c r="J106" s="10">
        <f>IFERROR(__xludf.DUMMYFUNCTION("""COMPUTED_VALUE"""),0.5188)</f>
      </c>
      <c r="K106" s="11">
        <f>IFERROR(__xludf.DUMMYFUNCTION("""COMPUTED_VALUE"""),289.14)</f>
      </c>
      <c r="L106" s="10">
        <f>IFERROR(__xludf.DUMMYFUNCTION("""COMPUTED_VALUE"""),0.4649)</f>
      </c>
      <c r="M106" s="11">
        <f>IFERROR(__xludf.DUMMYFUNCTION("""COMPUTED_VALUE"""),417.44)</f>
      </c>
      <c r="N106" s="10">
        <f>IFERROR(__xludf.DUMMYFUNCTION("""COMPUTED_VALUE"""),0.5277)</f>
      </c>
      <c r="O106" s="11">
        <f>IFERROR(__xludf.DUMMYFUNCTION("""COMPUTED_VALUE"""),411.39)</f>
      </c>
      <c r="P106" s="12"/>
      <c r="Q106" s="12"/>
      <c r="R106" s="15"/>
      <c r="S106" s="12"/>
      <c r="T106" s="12"/>
      <c r="U106" s="12"/>
      <c r="V106" s="12"/>
      <c r="W106" s="12"/>
      <c r="X106" s="12"/>
      <c r="Y106" s="12"/>
      <c r="Z106" s="12"/>
    </row>
    <row x14ac:dyDescent="0.25" r="107" customHeight="1" ht="15.75">
      <c r="A107" s="8">
        <f>IFERROR(__xludf.DUMMYFUNCTION("""COMPUTED_VALUE"""),26138.0)</f>
      </c>
      <c r="B107" s="9">
        <f>IFERROR(__xludf.DUMMYFUNCTION("""COMPUTED_VALUE"""),"CENTRO SUL")</f>
      </c>
      <c r="C107" s="9">
        <f>IFERROR(__xludf.DUMMYFUNCTION("""COMPUTED_VALUE"""),"CE JOSE FONSECA")</f>
      </c>
      <c r="D107" s="10">
        <f>IFERROR(__xludf.DUMMYFUNCTION("""COMPUTED_VALUE"""),0.7627)</f>
      </c>
      <c r="E107" s="11">
        <f>IFERROR(__xludf.DUMMYFUNCTION("""COMPUTED_VALUE"""),264.6)</f>
      </c>
      <c r="F107" s="10">
        <f>IFERROR(__xludf.DUMMYFUNCTION("""COMPUTED_VALUE"""),0.6497)</f>
      </c>
      <c r="G107" s="11">
        <f>IFERROR(__xludf.DUMMYFUNCTION("""COMPUTED_VALUE"""),412.52)</f>
      </c>
      <c r="H107" s="10">
        <f>IFERROR(__xludf.DUMMYFUNCTION("""COMPUTED_VALUE"""),0.4159)</f>
      </c>
      <c r="I107" s="11">
        <f>IFERROR(__xludf.DUMMYFUNCTION("""COMPUTED_VALUE"""),445.13)</f>
      </c>
      <c r="J107" s="10">
        <f>IFERROR(__xludf.DUMMYFUNCTION("""COMPUTED_VALUE"""),0.6613)</f>
      </c>
      <c r="K107" s="11">
        <f>IFERROR(__xludf.DUMMYFUNCTION("""COMPUTED_VALUE"""),340.36)</f>
      </c>
      <c r="L107" s="10">
        <f>IFERROR(__xludf.DUMMYFUNCTION("""COMPUTED_VALUE"""),0.486)</f>
      </c>
      <c r="M107" s="11">
        <f>IFERROR(__xludf.DUMMYFUNCTION("""COMPUTED_VALUE"""),461.01)</f>
      </c>
      <c r="N107" s="10">
        <f>IFERROR(__xludf.DUMMYFUNCTION("""COMPUTED_VALUE"""),0.5047)</f>
      </c>
      <c r="O107" s="11">
        <f>IFERROR(__xludf.DUMMYFUNCTION("""COMPUTED_VALUE"""),508.56)</f>
      </c>
      <c r="P107" s="12"/>
      <c r="Q107" s="12"/>
      <c r="R107" s="15"/>
      <c r="S107" s="12"/>
      <c r="T107" s="12"/>
      <c r="U107" s="12"/>
      <c r="V107" s="12"/>
      <c r="W107" s="12"/>
      <c r="X107" s="12"/>
      <c r="Y107" s="12"/>
      <c r="Z107" s="12"/>
    </row>
    <row x14ac:dyDescent="0.25" r="108" customHeight="1" ht="15.75">
      <c r="A108" s="8">
        <f>IFERROR(__xludf.DUMMYFUNCTION("""COMPUTED_VALUE"""),26123.0)</f>
      </c>
      <c r="B108" s="9">
        <f>IFERROR(__xludf.DUMMYFUNCTION("""COMPUTED_VALUE"""),"CENTRO SUL")</f>
      </c>
      <c r="C108" s="9">
        <f>IFERROR(__xludf.DUMMYFUNCTION("""COMPUTED_VALUE"""),"CE LIONS CLUBE DE PARAIBA DO SUL")</f>
      </c>
      <c r="D108" s="10">
        <f>IFERROR(__xludf.DUMMYFUNCTION("""COMPUTED_VALUE"""),0.6012)</f>
      </c>
      <c r="E108" s="11">
        <f>IFERROR(__xludf.DUMMYFUNCTION("""COMPUTED_VALUE"""),154.57)</f>
      </c>
      <c r="F108" s="10">
        <f>IFERROR(__xludf.DUMMYFUNCTION("""COMPUTED_VALUE"""),0.6726)</f>
      </c>
      <c r="G108" s="11">
        <f>IFERROR(__xludf.DUMMYFUNCTION("""COMPUTED_VALUE"""),323.34)</f>
      </c>
      <c r="H108" s="10">
        <f>IFERROR(__xludf.DUMMYFUNCTION("""COMPUTED_VALUE"""),0.7059)</f>
      </c>
      <c r="I108" s="11">
        <f>IFERROR(__xludf.DUMMYFUNCTION("""COMPUTED_VALUE"""),384.85)</f>
      </c>
      <c r="J108" s="10">
        <f>IFERROR(__xludf.DUMMYFUNCTION("""COMPUTED_VALUE"""),0.608)</f>
      </c>
      <c r="K108" s="11">
        <f>IFERROR(__xludf.DUMMYFUNCTION("""COMPUTED_VALUE"""),375.15)</f>
      </c>
      <c r="L108" s="10">
        <f>IFERROR(__xludf.DUMMYFUNCTION("""COMPUTED_VALUE"""),0.5989)</f>
      </c>
      <c r="M108" s="11">
        <f>IFERROR(__xludf.DUMMYFUNCTION("""COMPUTED_VALUE"""),445.36)</f>
      </c>
      <c r="N108" s="10">
        <f>IFERROR(__xludf.DUMMYFUNCTION("""COMPUTED_VALUE"""),0.6578)</f>
      </c>
      <c r="O108" s="11">
        <f>IFERROR(__xludf.DUMMYFUNCTION("""COMPUTED_VALUE"""),456.26)</f>
      </c>
      <c r="P108" s="12"/>
      <c r="Q108" s="12"/>
      <c r="R108" s="15"/>
      <c r="S108" s="12"/>
      <c r="T108" s="12"/>
      <c r="U108" s="12"/>
      <c r="V108" s="12"/>
      <c r="W108" s="12"/>
      <c r="X108" s="12"/>
      <c r="Y108" s="12"/>
      <c r="Z108" s="12"/>
    </row>
    <row x14ac:dyDescent="0.25" r="109" customHeight="1" ht="15.75">
      <c r="A109" s="8">
        <f>IFERROR(__xludf.DUMMYFUNCTION("""COMPUTED_VALUE"""),26124.0)</f>
      </c>
      <c r="B109" s="9">
        <f>IFERROR(__xludf.DUMMYFUNCTION("""COMPUTED_VALUE"""),"CENTRO SUL")</f>
      </c>
      <c r="C109" s="9">
        <f>IFERROR(__xludf.DUMMYFUNCTION("""COMPUTED_VALUE"""),"CE MARIA ZULMIRA TORRES")</f>
      </c>
      <c r="D109" s="10">
        <f>IFERROR(__xludf.DUMMYFUNCTION("""COMPUTED_VALUE"""),0.8348)</f>
      </c>
      <c r="E109" s="11">
        <f>IFERROR(__xludf.DUMMYFUNCTION("""COMPUTED_VALUE"""),280.21)</f>
      </c>
      <c r="F109" s="10">
        <f>IFERROR(__xludf.DUMMYFUNCTION("""COMPUTED_VALUE"""),0.7217)</f>
      </c>
      <c r="G109" s="11">
        <f>IFERROR(__xludf.DUMMYFUNCTION("""COMPUTED_VALUE"""),461.46)</f>
      </c>
      <c r="H109" s="10">
        <f>IFERROR(__xludf.DUMMYFUNCTION("""COMPUTED_VALUE"""),0.7565)</f>
      </c>
      <c r="I109" s="11">
        <f>IFERROR(__xludf.DUMMYFUNCTION("""COMPUTED_VALUE"""),529.94)</f>
      </c>
      <c r="J109" s="10">
        <f>IFERROR(__xludf.DUMMYFUNCTION("""COMPUTED_VALUE"""),0.8043)</f>
      </c>
      <c r="K109" s="11">
        <f>IFERROR(__xludf.DUMMYFUNCTION("""COMPUTED_VALUE"""),477.18)</f>
      </c>
      <c r="L109" s="10">
        <f>IFERROR(__xludf.DUMMYFUNCTION("""COMPUTED_VALUE"""),0.7)</f>
      </c>
      <c r="M109" s="11">
        <f>IFERROR(__xludf.DUMMYFUNCTION("""COMPUTED_VALUE"""),527.55)</f>
      </c>
      <c r="N109" s="10">
        <f>IFERROR(__xludf.DUMMYFUNCTION("""COMPUTED_VALUE"""),0.5826)</f>
      </c>
      <c r="O109" s="11">
        <f>IFERROR(__xludf.DUMMYFUNCTION("""COMPUTED_VALUE"""),526.57)</f>
      </c>
      <c r="P109" s="12"/>
      <c r="Q109" s="12"/>
      <c r="R109" s="15"/>
      <c r="S109" s="12"/>
      <c r="T109" s="12"/>
      <c r="U109" s="12"/>
      <c r="V109" s="12"/>
      <c r="W109" s="12"/>
      <c r="X109" s="12"/>
      <c r="Y109" s="12"/>
      <c r="Z109" s="12"/>
    </row>
    <row x14ac:dyDescent="0.25" r="110" customHeight="1" ht="15.75">
      <c r="A110" s="8">
        <f>IFERROR(__xludf.DUMMYFUNCTION("""COMPUTED_VALUE"""),26145.0)</f>
      </c>
      <c r="B110" s="9">
        <f>IFERROR(__xludf.DUMMYFUNCTION("""COMPUTED_VALUE"""),"CENTRO SUL")</f>
      </c>
      <c r="C110" s="9">
        <f>IFERROR(__xludf.DUMMYFUNCTION("""COMPUTED_VALUE"""),"CE MINISTRO RAUL FERNANDES")</f>
      </c>
      <c r="D110" s="10">
        <f>IFERROR(__xludf.DUMMYFUNCTION("""COMPUTED_VALUE"""),0.7581)</f>
      </c>
      <c r="E110" s="11">
        <f>IFERROR(__xludf.DUMMYFUNCTION("""COMPUTED_VALUE"""),263.6)</f>
      </c>
      <c r="F110" s="10">
        <f>IFERROR(__xludf.DUMMYFUNCTION("""COMPUTED_VALUE"""),0.6237)</f>
      </c>
      <c r="G110" s="11">
        <f>IFERROR(__xludf.DUMMYFUNCTION("""COMPUTED_VALUE"""),362.07)</f>
      </c>
      <c r="H110" s="10">
        <f>IFERROR(__xludf.DUMMYFUNCTION("""COMPUTED_VALUE"""),0.5727)</f>
      </c>
      <c r="I110" s="11">
        <f>IFERROR(__xludf.DUMMYFUNCTION("""COMPUTED_VALUE"""),458.1)</f>
      </c>
      <c r="J110" s="10">
        <f>IFERROR(__xludf.DUMMYFUNCTION("""COMPUTED_VALUE"""),0.6602)</f>
      </c>
      <c r="K110" s="11">
        <f>IFERROR(__xludf.DUMMYFUNCTION("""COMPUTED_VALUE"""),365.06)</f>
      </c>
      <c r="L110" s="10">
        <f>IFERROR(__xludf.DUMMYFUNCTION("""COMPUTED_VALUE"""),0.5136)</f>
      </c>
      <c r="M110" s="11">
        <f>IFERROR(__xludf.DUMMYFUNCTION("""COMPUTED_VALUE"""),450.62)</f>
      </c>
      <c r="N110" s="10">
        <f>IFERROR(__xludf.DUMMYFUNCTION("""COMPUTED_VALUE"""),0.5364)</f>
      </c>
      <c r="O110" s="11">
        <f>IFERROR(__xludf.DUMMYFUNCTION("""COMPUTED_VALUE"""),480.0)</f>
      </c>
      <c r="P110" s="12"/>
      <c r="Q110" s="12"/>
      <c r="R110" s="15"/>
      <c r="S110" s="12"/>
      <c r="T110" s="12"/>
      <c r="U110" s="12"/>
      <c r="V110" s="12"/>
      <c r="W110" s="12"/>
      <c r="X110" s="12"/>
      <c r="Y110" s="12"/>
      <c r="Z110" s="12"/>
    </row>
    <row x14ac:dyDescent="0.25" r="111" customHeight="1" ht="15.75">
      <c r="A111" s="8">
        <f>IFERROR(__xludf.DUMMYFUNCTION("""COMPUTED_VALUE"""),26125.0)</f>
      </c>
      <c r="B111" s="9">
        <f>IFERROR(__xludf.DUMMYFUNCTION("""COMPUTED_VALUE"""),"CENTRO SUL")</f>
      </c>
      <c r="C111" s="9">
        <f>IFERROR(__xludf.DUMMYFUNCTION("""COMPUTED_VALUE"""),"CE MONSENHOR FRANCISCO")</f>
      </c>
      <c r="D111" s="10">
        <f>IFERROR(__xludf.DUMMYFUNCTION("""COMPUTED_VALUE"""),0.6481)</f>
      </c>
      <c r="E111" s="11">
        <f>IFERROR(__xludf.DUMMYFUNCTION("""COMPUTED_VALUE"""),114.67)</f>
      </c>
      <c r="F111" s="10">
        <f>IFERROR(__xludf.DUMMYFUNCTION("""COMPUTED_VALUE"""),0.7593)</f>
      </c>
      <c r="G111" s="11">
        <f>IFERROR(__xludf.DUMMYFUNCTION("""COMPUTED_VALUE"""),218.57)</f>
      </c>
      <c r="H111" s="10">
        <f>IFERROR(__xludf.DUMMYFUNCTION("""COMPUTED_VALUE"""),0.4819)</f>
      </c>
      <c r="I111" s="11">
        <f>IFERROR(__xludf.DUMMYFUNCTION("""COMPUTED_VALUE"""),428.95)</f>
      </c>
      <c r="J111" s="10">
        <f>IFERROR(__xludf.DUMMYFUNCTION("""COMPUTED_VALUE"""),0.7218)</f>
      </c>
      <c r="K111" s="11">
        <f>IFERROR(__xludf.DUMMYFUNCTION("""COMPUTED_VALUE"""),243.29)</f>
      </c>
      <c r="L111" s="10">
        <f>IFERROR(__xludf.DUMMYFUNCTION("""COMPUTED_VALUE"""),0.4611)</f>
      </c>
      <c r="M111" s="11">
        <f>IFERROR(__xludf.DUMMYFUNCTION("""COMPUTED_VALUE"""),422.85)</f>
      </c>
      <c r="N111" s="10">
        <f>IFERROR(__xludf.DUMMYFUNCTION("""COMPUTED_VALUE"""),0.3627)</f>
      </c>
      <c r="O111" s="11">
        <f>IFERROR(__xludf.DUMMYFUNCTION("""COMPUTED_VALUE"""),411.48)</f>
      </c>
      <c r="P111" s="12"/>
      <c r="Q111" s="12"/>
      <c r="R111" s="15"/>
      <c r="S111" s="12"/>
      <c r="T111" s="12"/>
      <c r="U111" s="12"/>
      <c r="V111" s="12"/>
      <c r="W111" s="12"/>
      <c r="X111" s="12"/>
      <c r="Y111" s="12"/>
      <c r="Z111" s="12"/>
    </row>
    <row x14ac:dyDescent="0.25" r="112" customHeight="1" ht="15.75">
      <c r="A112" s="8">
        <f>IFERROR(__xludf.DUMMYFUNCTION("""COMPUTED_VALUE"""),26129.0)</f>
      </c>
      <c r="B112" s="9">
        <f>IFERROR(__xludf.DUMMYFUNCTION("""COMPUTED_VALUE"""),"CENTRO SUL")</f>
      </c>
      <c r="C112" s="9">
        <f>IFERROR(__xludf.DUMMYFUNCTION("""COMPUTED_VALUE"""),"CE NEPHTALINA CARVALHO AVILA")</f>
      </c>
      <c r="D112" s="10">
        <f>IFERROR(__xludf.DUMMYFUNCTION("""COMPUTED_VALUE"""),1.0)</f>
      </c>
      <c r="E112" s="11">
        <f>IFERROR(__xludf.DUMMYFUNCTION("""COMPUTED_VALUE"""),283.75)</f>
      </c>
      <c r="F112" s="10">
        <f>IFERROR(__xludf.DUMMYFUNCTION("""COMPUTED_VALUE"""),0.8144)</f>
      </c>
      <c r="G112" s="11">
        <f>IFERROR(__xludf.DUMMYFUNCTION("""COMPUTED_VALUE"""),436.46)</f>
      </c>
      <c r="H112" s="10">
        <f>IFERROR(__xludf.DUMMYFUNCTION("""COMPUTED_VALUE"""),0.7835)</f>
      </c>
      <c r="I112" s="11">
        <f>IFERROR(__xludf.DUMMYFUNCTION("""COMPUTED_VALUE"""),510.4)</f>
      </c>
      <c r="J112" s="10">
        <f>IFERROR(__xludf.DUMMYFUNCTION("""COMPUTED_VALUE"""),0.8454)</f>
      </c>
      <c r="K112" s="11">
        <f>IFERROR(__xludf.DUMMYFUNCTION("""COMPUTED_VALUE"""),472.2)</f>
      </c>
      <c r="L112" s="10">
        <f>IFERROR(__xludf.DUMMYFUNCTION("""COMPUTED_VALUE"""),0.8041)</f>
      </c>
      <c r="M112" s="11">
        <f>IFERROR(__xludf.DUMMYFUNCTION("""COMPUTED_VALUE"""),472.82)</f>
      </c>
      <c r="N112" s="10">
        <f>IFERROR(__xludf.DUMMYFUNCTION("""COMPUTED_VALUE"""),0.8247)</f>
      </c>
      <c r="O112" s="11">
        <f>IFERROR(__xludf.DUMMYFUNCTION("""COMPUTED_VALUE"""),536.53)</f>
      </c>
      <c r="P112" s="12"/>
      <c r="Q112" s="12"/>
      <c r="R112" s="15"/>
      <c r="S112" s="12"/>
      <c r="T112" s="12"/>
      <c r="U112" s="12"/>
      <c r="V112" s="12"/>
      <c r="W112" s="12"/>
      <c r="X112" s="12"/>
      <c r="Y112" s="12"/>
      <c r="Z112" s="12"/>
    </row>
    <row x14ac:dyDescent="0.25" r="113" customHeight="1" ht="15.75">
      <c r="A113" s="8">
        <f>IFERROR(__xludf.DUMMYFUNCTION("""COMPUTED_VALUE"""),26101.0)</f>
      </c>
      <c r="B113" s="9">
        <f>IFERROR(__xludf.DUMMYFUNCTION("""COMPUTED_VALUE"""),"CENTRO SUL")</f>
      </c>
      <c r="C113" s="9">
        <f>IFERROR(__xludf.DUMMYFUNCTION("""COMPUTED_VALUE"""),"CE NILO PECANHA")</f>
      </c>
      <c r="D113" s="10">
        <f>IFERROR(__xludf.DUMMYFUNCTION("""COMPUTED_VALUE"""),0.7853)</f>
      </c>
      <c r="E113" s="11">
        <f>IFERROR(__xludf.DUMMYFUNCTION("""COMPUTED_VALUE"""),276.23)</f>
      </c>
      <c r="F113" s="10">
        <f>IFERROR(__xludf.DUMMYFUNCTION("""COMPUTED_VALUE"""),0.7232)</f>
      </c>
      <c r="G113" s="11">
        <f>IFERROR(__xludf.DUMMYFUNCTION("""COMPUTED_VALUE"""),367.5)</f>
      </c>
      <c r="H113" s="10">
        <f>IFERROR(__xludf.DUMMYFUNCTION("""COMPUTED_VALUE"""),0.7232)</f>
      </c>
      <c r="I113" s="11">
        <f>IFERROR(__xludf.DUMMYFUNCTION("""COMPUTED_VALUE"""),487.81)</f>
      </c>
      <c r="J113" s="10">
        <f>IFERROR(__xludf.DUMMYFUNCTION("""COMPUTED_VALUE"""),0.5537)</f>
      </c>
      <c r="K113" s="11">
        <f>IFERROR(__xludf.DUMMYFUNCTION("""COMPUTED_VALUE"""),410.61)</f>
      </c>
      <c r="L113" s="10">
        <f>IFERROR(__xludf.DUMMYFUNCTION("""COMPUTED_VALUE"""),0.6441)</f>
      </c>
      <c r="M113" s="11">
        <f>IFERROR(__xludf.DUMMYFUNCTION("""COMPUTED_VALUE"""),443.89)</f>
      </c>
      <c r="N113" s="10">
        <f>IFERROR(__xludf.DUMMYFUNCTION("""COMPUTED_VALUE"""),0.6949)</f>
      </c>
      <c r="O113" s="11">
        <f>IFERROR(__xludf.DUMMYFUNCTION("""COMPUTED_VALUE"""),438.36)</f>
      </c>
      <c r="P113" s="12"/>
      <c r="Q113" s="12"/>
      <c r="R113" s="15"/>
      <c r="S113" s="12"/>
      <c r="T113" s="12"/>
      <c r="U113" s="12"/>
      <c r="V113" s="12"/>
      <c r="W113" s="12"/>
      <c r="X113" s="12"/>
      <c r="Y113" s="12"/>
      <c r="Z113" s="12"/>
    </row>
    <row x14ac:dyDescent="0.25" r="114" customHeight="1" ht="15.75">
      <c r="A114" s="8">
        <f>IFERROR(__xludf.DUMMYFUNCTION("""COMPUTED_VALUE"""),26139.0)</f>
      </c>
      <c r="B114" s="9">
        <f>IFERROR(__xludf.DUMMYFUNCTION("""COMPUTED_VALUE"""),"CENTRO SUL")</f>
      </c>
      <c r="C114" s="9">
        <f>IFERROR(__xludf.DUMMYFUNCTION("""COMPUTED_VALUE"""),"CE PADRE SEBASTIAO DA SILVA PEREIRA")</f>
      </c>
      <c r="D114" s="10">
        <f>IFERROR(__xludf.DUMMYFUNCTION("""COMPUTED_VALUE"""),0.9946)</f>
      </c>
      <c r="E114" s="11">
        <f>IFERROR(__xludf.DUMMYFUNCTION("""COMPUTED_VALUE"""),312.57)</f>
      </c>
      <c r="F114" s="10">
        <f>IFERROR(__xludf.DUMMYFUNCTION("""COMPUTED_VALUE"""),0.9946)</f>
      </c>
      <c r="G114" s="11">
        <f>IFERROR(__xludf.DUMMYFUNCTION("""COMPUTED_VALUE"""),417.65)</f>
      </c>
      <c r="H114" s="10">
        <f>IFERROR(__xludf.DUMMYFUNCTION("""COMPUTED_VALUE"""),0.7609)</f>
      </c>
      <c r="I114" s="11">
        <f>IFERROR(__xludf.DUMMYFUNCTION("""COMPUTED_VALUE"""),520.0)</f>
      </c>
      <c r="J114" s="10">
        <f>IFERROR(__xludf.DUMMYFUNCTION("""COMPUTED_VALUE"""),0.7826)</f>
      </c>
      <c r="K114" s="11">
        <f>IFERROR(__xludf.DUMMYFUNCTION("""COMPUTED_VALUE"""),483.64)</f>
      </c>
      <c r="L114" s="10">
        <f>IFERROR(__xludf.DUMMYFUNCTION("""COMPUTED_VALUE"""),0.8424)</f>
      </c>
      <c r="M114" s="11">
        <f>IFERROR(__xludf.DUMMYFUNCTION("""COMPUTED_VALUE"""),500.65)</f>
      </c>
      <c r="N114" s="10">
        <f>IFERROR(__xludf.DUMMYFUNCTION("""COMPUTED_VALUE"""),0.7446)</f>
      </c>
      <c r="O114" s="11">
        <f>IFERROR(__xludf.DUMMYFUNCTION("""COMPUTED_VALUE"""),519.71)</f>
      </c>
      <c r="P114" s="12"/>
      <c r="Q114" s="12"/>
      <c r="R114" s="15"/>
      <c r="S114" s="12"/>
      <c r="T114" s="12"/>
      <c r="U114" s="12"/>
      <c r="V114" s="12"/>
      <c r="W114" s="12"/>
      <c r="X114" s="12"/>
      <c r="Y114" s="12"/>
      <c r="Z114" s="12"/>
    </row>
    <row x14ac:dyDescent="0.25" r="115" customHeight="1" ht="15.75">
      <c r="A115" s="8">
        <f>IFERROR(__xludf.DUMMYFUNCTION("""COMPUTED_VALUE"""),26118.0)</f>
      </c>
      <c r="B115" s="9">
        <f>IFERROR(__xludf.DUMMYFUNCTION("""COMPUTED_VALUE"""),"CENTRO SUL")</f>
      </c>
      <c r="C115" s="9">
        <f>IFERROR(__xludf.DUMMYFUNCTION("""COMPUTED_VALUE"""),"CE PRESIDENTE RODRIGUES ALVES")</f>
      </c>
      <c r="D115" s="10">
        <f>IFERROR(__xludf.DUMMYFUNCTION("""COMPUTED_VALUE"""),0.9849)</f>
      </c>
      <c r="E115" s="11">
        <f>IFERROR(__xludf.DUMMYFUNCTION("""COMPUTED_VALUE"""),168.81)</f>
      </c>
      <c r="F115" s="10">
        <f>IFERROR(__xludf.DUMMYFUNCTION("""COMPUTED_VALUE"""),0.6265)</f>
      </c>
      <c r="G115" s="11">
        <f>IFERROR(__xludf.DUMMYFUNCTION("""COMPUTED_VALUE"""),389.84)</f>
      </c>
      <c r="H115" s="10">
        <f>IFERROR(__xludf.DUMMYFUNCTION("""COMPUTED_VALUE"""),0.6618)</f>
      </c>
      <c r="I115" s="11">
        <f>IFERROR(__xludf.DUMMYFUNCTION("""COMPUTED_VALUE"""),459.93)</f>
      </c>
      <c r="J115" s="10">
        <f>IFERROR(__xludf.DUMMYFUNCTION("""COMPUTED_VALUE"""),0.6548)</f>
      </c>
      <c r="K115" s="11">
        <f>IFERROR(__xludf.DUMMYFUNCTION("""COMPUTED_VALUE"""),388.13)</f>
      </c>
      <c r="L115" s="10">
        <f>IFERROR(__xludf.DUMMYFUNCTION("""COMPUTED_VALUE"""),0.6122)</f>
      </c>
      <c r="M115" s="11">
        <f>IFERROR(__xludf.DUMMYFUNCTION("""COMPUTED_VALUE"""),"----")</f>
      </c>
      <c r="N115" s="10">
        <f>IFERROR(__xludf.DUMMYFUNCTION("""COMPUTED_VALUE"""),0.6414)</f>
      </c>
      <c r="O115" s="11">
        <f>IFERROR(__xludf.DUMMYFUNCTION("""COMPUTED_VALUE"""),436.54)</f>
      </c>
      <c r="P115" s="12"/>
      <c r="Q115" s="12"/>
      <c r="R115" s="15"/>
      <c r="S115" s="12"/>
      <c r="T115" s="12"/>
      <c r="U115" s="12"/>
      <c r="V115" s="12"/>
      <c r="W115" s="12"/>
      <c r="X115" s="12"/>
      <c r="Y115" s="12"/>
      <c r="Z115" s="12"/>
    </row>
    <row x14ac:dyDescent="0.25" r="116" customHeight="1" ht="15.75">
      <c r="A116" s="8">
        <f>IFERROR(__xludf.DUMMYFUNCTION("""COMPUTED_VALUE"""),26102.0)</f>
      </c>
      <c r="B116" s="9">
        <f>IFERROR(__xludf.DUMMYFUNCTION("""COMPUTED_VALUE"""),"CENTRO SUL")</f>
      </c>
      <c r="C116" s="9">
        <f>IFERROR(__xludf.DUMMYFUNCTION("""COMPUTED_VALUE"""),"CE PROFESSOR ADELINO TERRA")</f>
      </c>
      <c r="D116" s="10">
        <f>IFERROR(__xludf.DUMMYFUNCTION("""COMPUTED_VALUE"""),0.8)</f>
      </c>
      <c r="E116" s="11">
        <f>IFERROR(__xludf.DUMMYFUNCTION("""COMPUTED_VALUE"""),166.09)</f>
      </c>
      <c r="F116" s="10">
        <f>IFERROR(__xludf.DUMMYFUNCTION("""COMPUTED_VALUE"""),0.7667)</f>
      </c>
      <c r="G116" s="11">
        <f>IFERROR(__xludf.DUMMYFUNCTION("""COMPUTED_VALUE"""),304.0)</f>
      </c>
      <c r="H116" s="10">
        <f>IFERROR(__xludf.DUMMYFUNCTION("""COMPUTED_VALUE"""),0.6)</f>
      </c>
      <c r="I116" s="11">
        <f>IFERROR(__xludf.DUMMYFUNCTION("""COMPUTED_VALUE"""),336.0)</f>
      </c>
      <c r="J116" s="10">
        <f>IFERROR(__xludf.DUMMYFUNCTION("""COMPUTED_VALUE"""),0.6667)</f>
      </c>
      <c r="K116" s="11">
        <f>IFERROR(__xludf.DUMMYFUNCTION("""COMPUTED_VALUE"""),237.0)</f>
      </c>
      <c r="L116" s="10">
        <f>IFERROR(__xludf.DUMMYFUNCTION("""COMPUTED_VALUE"""),0.7667)</f>
      </c>
      <c r="M116" s="11">
        <f>IFERROR(__xludf.DUMMYFUNCTION("""COMPUTED_VALUE"""),320.89)</f>
      </c>
      <c r="N116" s="10">
        <f>IFERROR(__xludf.DUMMYFUNCTION("""COMPUTED_VALUE"""),0.7333)</f>
      </c>
      <c r="O116" s="11">
        <f>IFERROR(__xludf.DUMMYFUNCTION("""COMPUTED_VALUE"""),358.18)</f>
      </c>
      <c r="P116" s="12"/>
      <c r="Q116" s="12"/>
      <c r="R116" s="15"/>
      <c r="S116" s="12"/>
      <c r="T116" s="12"/>
      <c r="U116" s="12"/>
      <c r="V116" s="12"/>
      <c r="W116" s="12"/>
      <c r="X116" s="12"/>
      <c r="Y116" s="12"/>
      <c r="Z116" s="12"/>
    </row>
    <row x14ac:dyDescent="0.25" r="117" customHeight="1" ht="15.75">
      <c r="A117" s="8">
        <f>IFERROR(__xludf.DUMMYFUNCTION("""COMPUTED_VALUE"""),26112.0)</f>
      </c>
      <c r="B117" s="9">
        <f>IFERROR(__xludf.DUMMYFUNCTION("""COMPUTED_VALUE"""),"CENTRO SUL")</f>
      </c>
      <c r="C117" s="9">
        <f>IFERROR(__xludf.DUMMYFUNCTION("""COMPUTED_VALUE"""),"CE PROFESSOR ARAGAO GOMES")</f>
      </c>
      <c r="D117" s="10">
        <f>IFERROR(__xludf.DUMMYFUNCTION("""COMPUTED_VALUE"""),0.7132)</f>
      </c>
      <c r="E117" s="11">
        <f>IFERROR(__xludf.DUMMYFUNCTION("""COMPUTED_VALUE"""),197.94)</f>
      </c>
      <c r="F117" s="10">
        <f>IFERROR(__xludf.DUMMYFUNCTION("""COMPUTED_VALUE"""),0.5882)</f>
      </c>
      <c r="G117" s="11">
        <f>IFERROR(__xludf.DUMMYFUNCTION("""COMPUTED_VALUE"""),436.0)</f>
      </c>
      <c r="H117" s="10">
        <f>IFERROR(__xludf.DUMMYFUNCTION("""COMPUTED_VALUE"""),0.6176)</f>
      </c>
      <c r="I117" s="11">
        <f>IFERROR(__xludf.DUMMYFUNCTION("""COMPUTED_VALUE"""),435.71)</f>
      </c>
      <c r="J117" s="10">
        <f>IFERROR(__xludf.DUMMYFUNCTION("""COMPUTED_VALUE"""),0.6176)</f>
      </c>
      <c r="K117" s="11">
        <f>IFERROR(__xludf.DUMMYFUNCTION("""COMPUTED_VALUE"""),289.52)</f>
      </c>
      <c r="L117" s="10">
        <f>IFERROR(__xludf.DUMMYFUNCTION("""COMPUTED_VALUE"""),0.5956)</f>
      </c>
      <c r="M117" s="11">
        <f>IFERROR(__xludf.DUMMYFUNCTION("""COMPUTED_VALUE"""),438.02)</f>
      </c>
      <c r="N117" s="10">
        <f>IFERROR(__xludf.DUMMYFUNCTION("""COMPUTED_VALUE"""),0.6324)</f>
      </c>
      <c r="O117" s="11">
        <f>IFERROR(__xludf.DUMMYFUNCTION("""COMPUTED_VALUE"""),468.24)</f>
      </c>
      <c r="P117" s="12"/>
      <c r="Q117" s="12"/>
      <c r="R117" s="15"/>
      <c r="S117" s="12"/>
      <c r="T117" s="12"/>
      <c r="U117" s="12"/>
      <c r="V117" s="12"/>
      <c r="W117" s="12"/>
      <c r="X117" s="12"/>
      <c r="Y117" s="12"/>
      <c r="Z117" s="12"/>
    </row>
    <row x14ac:dyDescent="0.25" r="118" customHeight="1" ht="15.75">
      <c r="A118" s="8">
        <f>IFERROR(__xludf.DUMMYFUNCTION("""COMPUTED_VALUE"""),26103.0)</f>
      </c>
      <c r="B118" s="9">
        <f>IFERROR(__xludf.DUMMYFUNCTION("""COMPUTED_VALUE"""),"CENTRO SUL")</f>
      </c>
      <c r="C118" s="9">
        <f>IFERROR(__xludf.DUMMYFUNCTION("""COMPUTED_VALUE"""),"CE PROFESSOR JOSE ANTONIO MAIA VINAGRE")</f>
      </c>
      <c r="D118" s="10">
        <f>IFERROR(__xludf.DUMMYFUNCTION("""COMPUTED_VALUE"""),1.0)</f>
      </c>
      <c r="E118" s="11">
        <f>IFERROR(__xludf.DUMMYFUNCTION("""COMPUTED_VALUE"""),299.74)</f>
      </c>
      <c r="F118" s="10">
        <f>IFERROR(__xludf.DUMMYFUNCTION("""COMPUTED_VALUE"""),1.0)</f>
      </c>
      <c r="G118" s="11">
        <f>IFERROR(__xludf.DUMMYFUNCTION("""COMPUTED_VALUE"""),320.0)</f>
      </c>
      <c r="H118" s="10">
        <f>IFERROR(__xludf.DUMMYFUNCTION("""COMPUTED_VALUE"""),0.7403)</f>
      </c>
      <c r="I118" s="11">
        <f>IFERROR(__xludf.DUMMYFUNCTION("""COMPUTED_VALUE"""),461.75)</f>
      </c>
      <c r="J118" s="10">
        <f>IFERROR(__xludf.DUMMYFUNCTION("""COMPUTED_VALUE"""),0.7143)</f>
      </c>
      <c r="K118" s="11">
        <f>IFERROR(__xludf.DUMMYFUNCTION("""COMPUTED_VALUE"""),454.55)</f>
      </c>
      <c r="L118" s="10">
        <f>IFERROR(__xludf.DUMMYFUNCTION("""COMPUTED_VALUE"""),0.7013)</f>
      </c>
      <c r="M118" s="11">
        <f>IFERROR(__xludf.DUMMYFUNCTION("""COMPUTED_VALUE"""),564.44)</f>
      </c>
      <c r="N118" s="10">
        <f>IFERROR(__xludf.DUMMYFUNCTION("""COMPUTED_VALUE"""),0.7403)</f>
      </c>
      <c r="O118" s="11">
        <f>IFERROR(__xludf.DUMMYFUNCTION("""COMPUTED_VALUE"""),508.07)</f>
      </c>
      <c r="P118" s="12"/>
      <c r="Q118" s="12"/>
      <c r="R118" s="15"/>
      <c r="S118" s="12"/>
      <c r="T118" s="12"/>
      <c r="U118" s="12"/>
      <c r="V118" s="12"/>
      <c r="W118" s="12"/>
      <c r="X118" s="12"/>
      <c r="Y118" s="12"/>
      <c r="Z118" s="12"/>
    </row>
    <row x14ac:dyDescent="0.25" r="119" customHeight="1" ht="15.75">
      <c r="A119" s="8">
        <f>IFERROR(__xludf.DUMMYFUNCTION("""COMPUTED_VALUE"""),26127.0)</f>
      </c>
      <c r="B119" s="9">
        <f>IFERROR(__xludf.DUMMYFUNCTION("""COMPUTED_VALUE"""),"CENTRO SUL")</f>
      </c>
      <c r="C119" s="9">
        <f>IFERROR(__xludf.DUMMYFUNCTION("""COMPUTED_VALUE"""),"CE RIBEIRO DE AVELAR")</f>
      </c>
      <c r="D119" s="10">
        <f>IFERROR(__xludf.DUMMYFUNCTION("""COMPUTED_VALUE"""),0.9485)</f>
      </c>
      <c r="E119" s="11">
        <f>IFERROR(__xludf.DUMMYFUNCTION("""COMPUTED_VALUE"""),301.7)</f>
      </c>
      <c r="F119" s="10">
        <f>IFERROR(__xludf.DUMMYFUNCTION("""COMPUTED_VALUE"""),0.7721)</f>
      </c>
      <c r="G119" s="11">
        <f>IFERROR(__xludf.DUMMYFUNCTION("""COMPUTED_VALUE"""),449.91)</f>
      </c>
      <c r="H119" s="10">
        <f>IFERROR(__xludf.DUMMYFUNCTION("""COMPUTED_VALUE"""),0.7133)</f>
      </c>
      <c r="I119" s="11">
        <f>IFERROR(__xludf.DUMMYFUNCTION("""COMPUTED_VALUE"""),519.96)</f>
      </c>
      <c r="J119" s="10">
        <f>IFERROR(__xludf.DUMMYFUNCTION("""COMPUTED_VALUE"""),0.7778)</f>
      </c>
      <c r="K119" s="11">
        <f>IFERROR(__xludf.DUMMYFUNCTION("""COMPUTED_VALUE"""),"----")</f>
      </c>
      <c r="L119" s="10">
        <f>IFERROR(__xludf.DUMMYFUNCTION("""COMPUTED_VALUE"""),0.72)</f>
      </c>
      <c r="M119" s="11">
        <f>IFERROR(__xludf.DUMMYFUNCTION("""COMPUTED_VALUE"""),"----")</f>
      </c>
      <c r="N119" s="10">
        <f>IFERROR(__xludf.DUMMYFUNCTION("""COMPUTED_VALUE"""),0.7333)</f>
      </c>
      <c r="O119" s="11">
        <f>IFERROR(__xludf.DUMMYFUNCTION("""COMPUTED_VALUE"""),521.45)</f>
      </c>
      <c r="P119" s="12"/>
      <c r="Q119" s="12"/>
      <c r="R119" s="15"/>
      <c r="S119" s="12"/>
      <c r="T119" s="12"/>
      <c r="U119" s="12"/>
      <c r="V119" s="12"/>
      <c r="W119" s="12"/>
      <c r="X119" s="12"/>
      <c r="Y119" s="12"/>
      <c r="Z119" s="12"/>
    </row>
    <row x14ac:dyDescent="0.25" r="120" customHeight="1" ht="15.75">
      <c r="A120" s="8">
        <f>IFERROR(__xludf.DUMMYFUNCTION("""COMPUTED_VALUE"""),26110.0)</f>
      </c>
      <c r="B120" s="9">
        <f>IFERROR(__xludf.DUMMYFUNCTION("""COMPUTED_VALUE"""),"CENTRO SUL")</f>
      </c>
      <c r="C120" s="9">
        <f>IFERROR(__xludf.DUMMYFUNCTION("""COMPUTED_VALUE"""),"CE SACRA FAMILIA DO TINGUA")</f>
      </c>
      <c r="D120" s="10">
        <f>IFERROR(__xludf.DUMMYFUNCTION("""COMPUTED_VALUE"""),0.7308)</f>
      </c>
      <c r="E120" s="11">
        <f>IFERROR(__xludf.DUMMYFUNCTION("""COMPUTED_VALUE"""),240.74)</f>
      </c>
      <c r="F120" s="10">
        <f>IFERROR(__xludf.DUMMYFUNCTION("""COMPUTED_VALUE"""),0.6026)</f>
      </c>
      <c r="G120" s="11">
        <f>IFERROR(__xludf.DUMMYFUNCTION("""COMPUTED_VALUE"""),394.55)</f>
      </c>
      <c r="H120" s="10">
        <f>IFERROR(__xludf.DUMMYFUNCTION("""COMPUTED_VALUE"""),0.6923)</f>
      </c>
      <c r="I120" s="11">
        <f>IFERROR(__xludf.DUMMYFUNCTION("""COMPUTED_VALUE"""),452.83)</f>
      </c>
      <c r="J120" s="10">
        <f>IFERROR(__xludf.DUMMYFUNCTION("""COMPUTED_VALUE"""),0.8718)</f>
      </c>
      <c r="K120" s="11">
        <f>IFERROR(__xludf.DUMMYFUNCTION("""COMPUTED_VALUE"""),297.14)</f>
      </c>
      <c r="L120" s="10">
        <f>IFERROR(__xludf.DUMMYFUNCTION("""COMPUTED_VALUE"""),0.7179)</f>
      </c>
      <c r="M120" s="11">
        <f>IFERROR(__xludf.DUMMYFUNCTION("""COMPUTED_VALUE"""),448.57)</f>
      </c>
      <c r="N120" s="10">
        <f>IFERROR(__xludf.DUMMYFUNCTION("""COMPUTED_VALUE"""),0.6154)</f>
      </c>
      <c r="O120" s="11">
        <f>IFERROR(__xludf.DUMMYFUNCTION("""COMPUTED_VALUE"""),364.26)</f>
      </c>
      <c r="P120" s="12"/>
      <c r="Q120" s="12"/>
      <c r="R120" s="15"/>
      <c r="S120" s="12"/>
      <c r="T120" s="12"/>
      <c r="U120" s="12"/>
      <c r="V120" s="12"/>
      <c r="W120" s="12"/>
      <c r="X120" s="12"/>
      <c r="Y120" s="12"/>
      <c r="Z120" s="12"/>
    </row>
    <row x14ac:dyDescent="0.25" r="121" customHeight="1" ht="15.75">
      <c r="A121" s="8">
        <f>IFERROR(__xludf.DUMMYFUNCTION("""COMPUTED_VALUE"""),26104.0)</f>
      </c>
      <c r="B121" s="9">
        <f>IFERROR(__xludf.DUMMYFUNCTION("""COMPUTED_VALUE"""),"CENTRO SUL")</f>
      </c>
      <c r="C121" s="9">
        <f>IFERROR(__xludf.DUMMYFUNCTION("""COMPUTED_VALUE"""),"CE SENADOR PAULO FERNANDES")</f>
      </c>
      <c r="D121" s="10">
        <f>IFERROR(__xludf.DUMMYFUNCTION("""COMPUTED_VALUE"""),0.8065)</f>
      </c>
      <c r="E121" s="11">
        <f>IFERROR(__xludf.DUMMYFUNCTION("""COMPUTED_VALUE"""),285.6)</f>
      </c>
      <c r="F121" s="10">
        <f>IFERROR(__xludf.DUMMYFUNCTION("""COMPUTED_VALUE"""),0.0161)</f>
      </c>
      <c r="G121" s="11">
        <f>IFERROR(__xludf.DUMMYFUNCTION("""COMPUTED_VALUE"""),"----")</f>
      </c>
      <c r="H121" s="10">
        <f>IFERROR(__xludf.DUMMYFUNCTION("""COMPUTED_VALUE"""),0.6571)</f>
      </c>
      <c r="I121" s="11">
        <f>IFERROR(__xludf.DUMMYFUNCTION("""COMPUTED_VALUE"""),341.67)</f>
      </c>
      <c r="J121" s="10">
        <f>IFERROR(__xludf.DUMMYFUNCTION("""COMPUTED_VALUE"""),0.2034)</f>
      </c>
      <c r="K121" s="11">
        <f>IFERROR(__xludf.DUMMYFUNCTION("""COMPUTED_VALUE"""),220.0)</f>
      </c>
      <c r="L121" s="10">
        <f>IFERROR(__xludf.DUMMYFUNCTION("""COMPUTED_VALUE"""),0.4714)</f>
      </c>
      <c r="M121" s="11">
        <f>IFERROR(__xludf.DUMMYFUNCTION("""COMPUTED_VALUE"""),438.58)</f>
      </c>
      <c r="N121" s="10">
        <f>IFERROR(__xludf.DUMMYFUNCTION("""COMPUTED_VALUE"""),0.3857)</f>
      </c>
      <c r="O121" s="11">
        <f>IFERROR(__xludf.DUMMYFUNCTION("""COMPUTED_VALUE"""),"----")</f>
      </c>
      <c r="P121" s="12"/>
      <c r="Q121" s="12"/>
      <c r="R121" s="15"/>
      <c r="S121" s="12"/>
      <c r="T121" s="12"/>
      <c r="U121" s="12"/>
      <c r="V121" s="12"/>
      <c r="W121" s="12"/>
      <c r="X121" s="12"/>
      <c r="Y121" s="12"/>
      <c r="Z121" s="12"/>
    </row>
    <row x14ac:dyDescent="0.25" r="122" customHeight="1" ht="15.75">
      <c r="A122" s="8">
        <f>IFERROR(__xludf.DUMMYFUNCTION("""COMPUTED_VALUE"""),26140.0)</f>
      </c>
      <c r="B122" s="9">
        <f>IFERROR(__xludf.DUMMYFUNCTION("""COMPUTED_VALUE"""),"CENTRO SUL")</f>
      </c>
      <c r="C122" s="9">
        <f>IFERROR(__xludf.DUMMYFUNCTION("""COMPUTED_VALUE"""),"CE THEODORICO FONSECA")</f>
      </c>
      <c r="D122" s="10">
        <f>IFERROR(__xludf.DUMMYFUNCTION("""COMPUTED_VALUE"""),0.9894)</f>
      </c>
      <c r="E122" s="11">
        <f>IFERROR(__xludf.DUMMYFUNCTION("""COMPUTED_VALUE"""),348.17)</f>
      </c>
      <c r="F122" s="10">
        <f>IFERROR(__xludf.DUMMYFUNCTION("""COMPUTED_VALUE"""),0.6915)</f>
      </c>
      <c r="G122" s="11">
        <f>IFERROR(__xludf.DUMMYFUNCTION("""COMPUTED_VALUE"""),458.15)</f>
      </c>
      <c r="H122" s="10">
        <f>IFERROR(__xludf.DUMMYFUNCTION("""COMPUTED_VALUE"""),0.7979)</f>
      </c>
      <c r="I122" s="11">
        <f>IFERROR(__xludf.DUMMYFUNCTION("""COMPUTED_VALUE"""),511.47)</f>
      </c>
      <c r="J122" s="10">
        <f>IFERROR(__xludf.DUMMYFUNCTION("""COMPUTED_VALUE"""),0.7819)</f>
      </c>
      <c r="K122" s="11">
        <f>IFERROR(__xludf.DUMMYFUNCTION("""COMPUTED_VALUE"""),418.23)</f>
      </c>
      <c r="L122" s="10">
        <f>IFERROR(__xludf.DUMMYFUNCTION("""COMPUTED_VALUE"""),0.6543)</f>
      </c>
      <c r="M122" s="11">
        <f>IFERROR(__xludf.DUMMYFUNCTION("""COMPUTED_VALUE"""),517.38)</f>
      </c>
      <c r="N122" s="10">
        <f>IFERROR(__xludf.DUMMYFUNCTION("""COMPUTED_VALUE"""),0.7287)</f>
      </c>
      <c r="O122" s="11">
        <f>IFERROR(__xludf.DUMMYFUNCTION("""COMPUTED_VALUE"""),512.94)</f>
      </c>
      <c r="P122" s="12"/>
      <c r="Q122" s="12"/>
      <c r="R122" s="15"/>
      <c r="S122" s="12"/>
      <c r="T122" s="12"/>
      <c r="U122" s="12"/>
      <c r="V122" s="12"/>
      <c r="W122" s="12"/>
      <c r="X122" s="12"/>
      <c r="Y122" s="12"/>
      <c r="Z122" s="12"/>
    </row>
    <row x14ac:dyDescent="0.25" r="123" customHeight="1" ht="15.75">
      <c r="A123" s="8">
        <f>IFERROR(__xludf.DUMMYFUNCTION("""COMPUTED_VALUE"""),26116.0)</f>
      </c>
      <c r="B123" s="9">
        <f>IFERROR(__xludf.DUMMYFUNCTION("""COMPUTED_VALUE"""),"CENTRO SUL")</f>
      </c>
      <c r="C123" s="9">
        <f>IFERROR(__xludf.DUMMYFUNCTION("""COMPUTED_VALUE"""),"CE VERA CRUZ")</f>
      </c>
      <c r="D123" s="10">
        <f>IFERROR(__xludf.DUMMYFUNCTION("""COMPUTED_VALUE"""),0.9459)</f>
      </c>
      <c r="E123" s="11">
        <f>IFERROR(__xludf.DUMMYFUNCTION("""COMPUTED_VALUE"""),292.94)</f>
      </c>
      <c r="F123" s="10">
        <f>IFERROR(__xludf.DUMMYFUNCTION("""COMPUTED_VALUE"""),0.8108)</f>
      </c>
      <c r="G123" s="11">
        <f>IFERROR(__xludf.DUMMYFUNCTION("""COMPUTED_VALUE"""),430.34)</f>
      </c>
      <c r="H123" s="10">
        <f>IFERROR(__xludf.DUMMYFUNCTION("""COMPUTED_VALUE"""),0.8378)</f>
      </c>
      <c r="I123" s="11">
        <f>IFERROR(__xludf.DUMMYFUNCTION("""COMPUTED_VALUE"""),450.32)</f>
      </c>
      <c r="J123" s="10">
        <f>IFERROR(__xludf.DUMMYFUNCTION("""COMPUTED_VALUE"""),0.8108)</f>
      </c>
      <c r="K123" s="11">
        <f>IFERROR(__xludf.DUMMYFUNCTION("""COMPUTED_VALUE"""),433.33)</f>
      </c>
      <c r="L123" s="10">
        <f>IFERROR(__xludf.DUMMYFUNCTION("""COMPUTED_VALUE"""),0.9459)</f>
      </c>
      <c r="M123" s="11">
        <f>IFERROR(__xludf.DUMMYFUNCTION("""COMPUTED_VALUE"""),412.57)</f>
      </c>
      <c r="N123" s="10">
        <f>IFERROR(__xludf.DUMMYFUNCTION("""COMPUTED_VALUE"""),0.7838)</f>
      </c>
      <c r="O123" s="11">
        <f>IFERROR(__xludf.DUMMYFUNCTION("""COMPUTED_VALUE"""),394.48)</f>
      </c>
      <c r="P123" s="12"/>
      <c r="Q123" s="12"/>
      <c r="R123" s="15"/>
      <c r="S123" s="12"/>
      <c r="T123" s="12"/>
      <c r="U123" s="12"/>
      <c r="V123" s="12"/>
      <c r="W123" s="12"/>
      <c r="X123" s="12"/>
      <c r="Y123" s="12"/>
      <c r="Z123" s="12"/>
    </row>
    <row x14ac:dyDescent="0.25" r="124" customHeight="1" ht="15.75">
      <c r="A124" s="8">
        <f>IFERROR(__xludf.DUMMYFUNCTION("""COMPUTED_VALUE"""),26142.0)</f>
      </c>
      <c r="B124" s="9">
        <f>IFERROR(__xludf.DUMMYFUNCTION("""COMPUTED_VALUE"""),"CENTRO SUL")</f>
      </c>
      <c r="C124" s="9">
        <f>IFERROR(__xludf.DUMMYFUNCTION("""COMPUTED_VALUE"""),"CIA MONSENHOR TOMÁS TEJERINA DE PRADO")</f>
      </c>
      <c r="D124" s="10">
        <f>IFERROR(__xludf.DUMMYFUNCTION("""COMPUTED_VALUE"""),0.9792)</f>
      </c>
      <c r="E124" s="11">
        <f>IFERROR(__xludf.DUMMYFUNCTION("""COMPUTED_VALUE"""),390.64)</f>
      </c>
      <c r="F124" s="10">
        <f>IFERROR(__xludf.DUMMYFUNCTION("""COMPUTED_VALUE"""),0.8958)</f>
      </c>
      <c r="G124" s="11">
        <f>IFERROR(__xludf.DUMMYFUNCTION("""COMPUTED_VALUE"""),438.14)</f>
      </c>
      <c r="H124" s="10">
        <f>IFERROR(__xludf.DUMMYFUNCTION("""COMPUTED_VALUE"""),0.875)</f>
      </c>
      <c r="I124" s="11">
        <f>IFERROR(__xludf.DUMMYFUNCTION("""COMPUTED_VALUE"""),455.24)</f>
      </c>
      <c r="J124" s="10">
        <f>IFERROR(__xludf.DUMMYFUNCTION("""COMPUTED_VALUE"""),0.9167)</f>
      </c>
      <c r="K124" s="11">
        <f>IFERROR(__xludf.DUMMYFUNCTION("""COMPUTED_VALUE"""),421.82)</f>
      </c>
      <c r="L124" s="10">
        <f>IFERROR(__xludf.DUMMYFUNCTION("""COMPUTED_VALUE"""),0.8958)</f>
      </c>
      <c r="M124" s="11">
        <f>IFERROR(__xludf.DUMMYFUNCTION("""COMPUTED_VALUE"""),424.19)</f>
      </c>
      <c r="N124" s="10">
        <f>IFERROR(__xludf.DUMMYFUNCTION("""COMPUTED_VALUE"""),0.9167)</f>
      </c>
      <c r="O124" s="11">
        <f>IFERROR(__xludf.DUMMYFUNCTION("""COMPUTED_VALUE"""),485.45)</f>
      </c>
      <c r="P124" s="12"/>
      <c r="Q124" s="12"/>
      <c r="R124" s="15"/>
      <c r="S124" s="12"/>
      <c r="T124" s="12"/>
      <c r="U124" s="12"/>
      <c r="V124" s="12"/>
      <c r="W124" s="12"/>
      <c r="X124" s="12"/>
      <c r="Y124" s="12"/>
      <c r="Z124" s="12"/>
    </row>
    <row x14ac:dyDescent="0.25" r="125" customHeight="1" ht="15.75">
      <c r="A125" s="8">
        <f>IFERROR(__xludf.DUMMYFUNCTION("""COMPUTED_VALUE"""),26119.0)</f>
      </c>
      <c r="B125" s="9">
        <f>IFERROR(__xludf.DUMMYFUNCTION("""COMPUTED_VALUE"""),"CENTRO SUL")</f>
      </c>
      <c r="C125" s="9">
        <f>IFERROR(__xludf.DUMMYFUNCTION("""COMPUTED_VALUE"""),"CIEP 152 GARRINCHA ALEGRIA DO POVO")</f>
      </c>
      <c r="D125" s="10">
        <f>IFERROR(__xludf.DUMMYFUNCTION("""COMPUTED_VALUE"""),0.7756)</f>
      </c>
      <c r="E125" s="11">
        <f>IFERROR(__xludf.DUMMYFUNCTION("""COMPUTED_VALUE"""),193.92)</f>
      </c>
      <c r="F125" s="10">
        <f>IFERROR(__xludf.DUMMYFUNCTION("""COMPUTED_VALUE"""),0.6585)</f>
      </c>
      <c r="G125" s="11">
        <f>IFERROR(__xludf.DUMMYFUNCTION("""COMPUTED_VALUE"""),337.71)</f>
      </c>
      <c r="H125" s="10">
        <f>IFERROR(__xludf.DUMMYFUNCTION("""COMPUTED_VALUE"""),0.5928)</f>
      </c>
      <c r="I125" s="11">
        <f>IFERROR(__xludf.DUMMYFUNCTION("""COMPUTED_VALUE"""),424.5)</f>
      </c>
      <c r="J125" s="10">
        <f>IFERROR(__xludf.DUMMYFUNCTION("""COMPUTED_VALUE"""),0.6814)</f>
      </c>
      <c r="K125" s="11">
        <f>IFERROR(__xludf.DUMMYFUNCTION("""COMPUTED_VALUE"""),332.82)</f>
      </c>
      <c r="L125" s="10">
        <f>IFERROR(__xludf.DUMMYFUNCTION("""COMPUTED_VALUE"""),0.5928)</f>
      </c>
      <c r="M125" s="11">
        <f>IFERROR(__xludf.DUMMYFUNCTION("""COMPUTED_VALUE"""),393.66)</f>
      </c>
      <c r="N125" s="10">
        <f>IFERROR(__xludf.DUMMYFUNCTION("""COMPUTED_VALUE"""),0.6471)</f>
      </c>
      <c r="O125" s="11">
        <f>IFERROR(__xludf.DUMMYFUNCTION("""COMPUTED_VALUE"""),408.0)</f>
      </c>
      <c r="P125" s="12"/>
      <c r="Q125" s="12"/>
      <c r="R125" s="15"/>
      <c r="S125" s="12"/>
      <c r="T125" s="12"/>
      <c r="U125" s="12"/>
      <c r="V125" s="12"/>
      <c r="W125" s="12"/>
      <c r="X125" s="12"/>
      <c r="Y125" s="12"/>
      <c r="Z125" s="12"/>
    </row>
    <row x14ac:dyDescent="0.25" r="126" customHeight="1" ht="15.75">
      <c r="A126" s="8">
        <f>IFERROR(__xludf.DUMMYFUNCTION("""COMPUTED_VALUE"""),26128.0)</f>
      </c>
      <c r="B126" s="9">
        <f>IFERROR(__xludf.DUMMYFUNCTION("""COMPUTED_VALUE"""),"CENTRO SUL")</f>
      </c>
      <c r="C126" s="9">
        <f>IFERROR(__xludf.DUMMYFUNCTION("""COMPUTED_VALUE"""),"CIEP 278  JOAQUIM OSORIO DUQUE ESTRADA")</f>
      </c>
      <c r="D126" s="10">
        <f>IFERROR(__xludf.DUMMYFUNCTION("""COMPUTED_VALUE"""),0.6964)</f>
      </c>
      <c r="E126" s="11">
        <f>IFERROR(__xludf.DUMMYFUNCTION("""COMPUTED_VALUE"""),247.68)</f>
      </c>
      <c r="F126" s="10">
        <f>IFERROR(__xludf.DUMMYFUNCTION("""COMPUTED_VALUE"""),0.5749)</f>
      </c>
      <c r="G126" s="11">
        <f>IFERROR(__xludf.DUMMYFUNCTION("""COMPUTED_VALUE"""),390.61)</f>
      </c>
      <c r="H126" s="10">
        <f>IFERROR(__xludf.DUMMYFUNCTION("""COMPUTED_VALUE"""),0.5344)</f>
      </c>
      <c r="I126" s="11">
        <f>IFERROR(__xludf.DUMMYFUNCTION("""COMPUTED_VALUE"""),426.46)</f>
      </c>
      <c r="J126" s="10">
        <f>IFERROR(__xludf.DUMMYFUNCTION("""COMPUTED_VALUE"""),0.5984)</f>
      </c>
      <c r="K126" s="11">
        <f>IFERROR(__xludf.DUMMYFUNCTION("""COMPUTED_VALUE"""),320.51)</f>
      </c>
      <c r="L126" s="10">
        <f>IFERROR(__xludf.DUMMYFUNCTION("""COMPUTED_VALUE"""),0.5229)</f>
      </c>
      <c r="M126" s="11">
        <f>IFERROR(__xludf.DUMMYFUNCTION("""COMPUTED_VALUE"""),402.98)</f>
      </c>
      <c r="N126" s="10">
        <f>IFERROR(__xludf.DUMMYFUNCTION("""COMPUTED_VALUE"""),0.6718)</f>
      </c>
      <c r="O126" s="11">
        <f>IFERROR(__xludf.DUMMYFUNCTION("""COMPUTED_VALUE"""),445.96)</f>
      </c>
      <c r="P126" s="12"/>
      <c r="Q126" s="12"/>
      <c r="R126" s="15"/>
      <c r="S126" s="12"/>
      <c r="T126" s="12"/>
      <c r="U126" s="12"/>
      <c r="V126" s="12"/>
      <c r="W126" s="12"/>
      <c r="X126" s="12"/>
      <c r="Y126" s="12"/>
      <c r="Z126" s="12"/>
    </row>
    <row x14ac:dyDescent="0.25" r="127" customHeight="1" ht="15.75">
      <c r="A127" s="8">
        <f>IFERROR(__xludf.DUMMYFUNCTION("""COMPUTED_VALUE"""),26105.0)</f>
      </c>
      <c r="B127" s="9">
        <f>IFERROR(__xludf.DUMMYFUNCTION("""COMPUTED_VALUE"""),"CENTRO SUL")</f>
      </c>
      <c r="C127" s="9">
        <f>IFERROR(__xludf.DUMMYFUNCTION("""COMPUTED_VALUE"""),"CIEP 286 MURILO PORTUGAL")</f>
      </c>
      <c r="D127" s="10">
        <f>IFERROR(__xludf.DUMMYFUNCTION("""COMPUTED_VALUE"""),0.7391)</f>
      </c>
      <c r="E127" s="11">
        <f>IFERROR(__xludf.DUMMYFUNCTION("""COMPUTED_VALUE"""),"----")</f>
      </c>
      <c r="F127" s="10">
        <f>IFERROR(__xludf.DUMMYFUNCTION("""COMPUTED_VALUE"""),0.6413)</f>
      </c>
      <c r="G127" s="11">
        <f>IFERROR(__xludf.DUMMYFUNCTION("""COMPUTED_VALUE"""),444.06)</f>
      </c>
      <c r="H127" s="10">
        <f>IFERROR(__xludf.DUMMYFUNCTION("""COMPUTED_VALUE"""),0.4375)</f>
      </c>
      <c r="I127" s="11">
        <f>IFERROR(__xludf.DUMMYFUNCTION("""COMPUTED_VALUE"""),433.47)</f>
      </c>
      <c r="J127" s="10">
        <f>IFERROR(__xludf.DUMMYFUNCTION("""COMPUTED_VALUE"""),0.74)</f>
      </c>
      <c r="K127" s="11">
        <f>IFERROR(__xludf.DUMMYFUNCTION("""COMPUTED_VALUE"""),341.88)</f>
      </c>
      <c r="L127" s="10">
        <f>IFERROR(__xludf.DUMMYFUNCTION("""COMPUTED_VALUE"""),0.5625)</f>
      </c>
      <c r="M127" s="11">
        <f>IFERROR(__xludf.DUMMYFUNCTION("""COMPUTED_VALUE"""),420.57)</f>
      </c>
      <c r="N127" s="10">
        <f>IFERROR(__xludf.DUMMYFUNCTION("""COMPUTED_VALUE"""),0.5893)</f>
      </c>
      <c r="O127" s="11">
        <f>IFERROR(__xludf.DUMMYFUNCTION("""COMPUTED_VALUE"""),463.64)</f>
      </c>
      <c r="P127" s="12"/>
      <c r="Q127" s="12"/>
      <c r="R127" s="15"/>
      <c r="S127" s="12"/>
      <c r="T127" s="12"/>
      <c r="U127" s="12"/>
      <c r="V127" s="12"/>
      <c r="W127" s="12"/>
      <c r="X127" s="12"/>
      <c r="Y127" s="12"/>
      <c r="Z127" s="12"/>
    </row>
    <row x14ac:dyDescent="0.25" r="128" customHeight="1" ht="15.75">
      <c r="A128" s="8">
        <f>IFERROR(__xludf.DUMMYFUNCTION("""COMPUTED_VALUE"""),26106.0)</f>
      </c>
      <c r="B128" s="9">
        <f>IFERROR(__xludf.DUMMYFUNCTION("""COMPUTED_VALUE"""),"CENTRO SUL")</f>
      </c>
      <c r="C128" s="9">
        <f>IFERROR(__xludf.DUMMYFUNCTION("""COMPUTED_VALUE"""),"CIEP 287 ANGELINA TEIXEIRA NETTO SYM")</f>
      </c>
      <c r="D128" s="10">
        <f>IFERROR(__xludf.DUMMYFUNCTION("""COMPUTED_VALUE"""),0.9583)</f>
      </c>
      <c r="E128" s="11">
        <f>IFERROR(__xludf.DUMMYFUNCTION("""COMPUTED_VALUE"""),233.04)</f>
      </c>
      <c r="F128" s="10">
        <f>IFERROR(__xludf.DUMMYFUNCTION("""COMPUTED_VALUE"""),0.75)</f>
      </c>
      <c r="G128" s="11">
        <f>IFERROR(__xludf.DUMMYFUNCTION("""COMPUTED_VALUE"""),363.43)</f>
      </c>
      <c r="H128" s="10">
        <f>IFERROR(__xludf.DUMMYFUNCTION("""COMPUTED_VALUE"""),0.7917)</f>
      </c>
      <c r="I128" s="11">
        <f>IFERROR(__xludf.DUMMYFUNCTION("""COMPUTED_VALUE"""),456.22)</f>
      </c>
      <c r="J128" s="10">
        <f>IFERROR(__xludf.DUMMYFUNCTION("""COMPUTED_VALUE"""),0.75)</f>
      </c>
      <c r="K128" s="11">
        <f>IFERROR(__xludf.DUMMYFUNCTION("""COMPUTED_VALUE"""),378.89)</f>
      </c>
      <c r="L128" s="10">
        <f>IFERROR(__xludf.DUMMYFUNCTION("""COMPUTED_VALUE"""),0.7292)</f>
      </c>
      <c r="M128" s="11">
        <f>IFERROR(__xludf.DUMMYFUNCTION("""COMPUTED_VALUE"""),428.57)</f>
      </c>
      <c r="N128" s="10">
        <f>IFERROR(__xludf.DUMMYFUNCTION("""COMPUTED_VALUE"""),0.8542)</f>
      </c>
      <c r="O128" s="11">
        <f>IFERROR(__xludf.DUMMYFUNCTION("""COMPUTED_VALUE"""),432.2)</f>
      </c>
      <c r="P128" s="12"/>
      <c r="Q128" s="12"/>
      <c r="R128" s="15"/>
      <c r="S128" s="12"/>
      <c r="T128" s="12"/>
      <c r="U128" s="12"/>
      <c r="V128" s="12"/>
      <c r="W128" s="12"/>
      <c r="X128" s="12"/>
      <c r="Y128" s="12"/>
      <c r="Z128" s="12"/>
    </row>
    <row x14ac:dyDescent="0.25" r="129" customHeight="1" ht="15.75">
      <c r="A129" s="8">
        <f>IFERROR(__xludf.DUMMYFUNCTION("""COMPUTED_VALUE"""),26146.0)</f>
      </c>
      <c r="B129" s="9">
        <f>IFERROR(__xludf.DUMMYFUNCTION("""COMPUTED_VALUE"""),"CENTRO SUL")</f>
      </c>
      <c r="C129" s="9">
        <f>IFERROR(__xludf.DUMMYFUNCTION("""COMPUTED_VALUE"""),"CIEP 297 PADRE SALESIO SCHIMID")</f>
      </c>
      <c r="D129" s="10">
        <f>IFERROR(__xludf.DUMMYFUNCTION("""COMPUTED_VALUE"""),0.8225)</f>
      </c>
      <c r="E129" s="11">
        <f>IFERROR(__xludf.DUMMYFUNCTION("""COMPUTED_VALUE"""),394.51)</f>
      </c>
      <c r="F129" s="10">
        <f>IFERROR(__xludf.DUMMYFUNCTION("""COMPUTED_VALUE"""),0.5799)</f>
      </c>
      <c r="G129" s="11">
        <f>IFERROR(__xludf.DUMMYFUNCTION("""COMPUTED_VALUE"""),481.65)</f>
      </c>
      <c r="H129" s="10">
        <f>IFERROR(__xludf.DUMMYFUNCTION("""COMPUTED_VALUE"""),0.7671)</f>
      </c>
      <c r="I129" s="11">
        <f>IFERROR(__xludf.DUMMYFUNCTION("""COMPUTED_VALUE"""),509.64)</f>
      </c>
      <c r="J129" s="10">
        <f>IFERROR(__xludf.DUMMYFUNCTION("""COMPUTED_VALUE"""),0.863)</f>
      </c>
      <c r="K129" s="11">
        <f>IFERROR(__xludf.DUMMYFUNCTION("""COMPUTED_VALUE"""),463.39)</f>
      </c>
      <c r="L129" s="10">
        <f>IFERROR(__xludf.DUMMYFUNCTION("""COMPUTED_VALUE"""),0.6256)</f>
      </c>
      <c r="M129" s="11">
        <f>IFERROR(__xludf.DUMMYFUNCTION("""COMPUTED_VALUE"""),518.83)</f>
      </c>
      <c r="N129" s="10">
        <f>IFERROR(__xludf.DUMMYFUNCTION("""COMPUTED_VALUE"""),0.79)</f>
      </c>
      <c r="O129" s="11">
        <f>IFERROR(__xludf.DUMMYFUNCTION("""COMPUTED_VALUE"""),527.91)</f>
      </c>
      <c r="P129" s="12"/>
      <c r="Q129" s="12"/>
      <c r="R129" s="15"/>
      <c r="S129" s="12"/>
      <c r="T129" s="12"/>
      <c r="U129" s="12"/>
      <c r="V129" s="12"/>
      <c r="W129" s="12"/>
      <c r="X129" s="12"/>
      <c r="Y129" s="12"/>
      <c r="Z129" s="12"/>
    </row>
    <row x14ac:dyDescent="0.25" r="130" customHeight="1" ht="15.75">
      <c r="A130" s="8">
        <f>IFERROR(__xludf.DUMMYFUNCTION("""COMPUTED_VALUE"""),26130.0)</f>
      </c>
      <c r="B130" s="9">
        <f>IFERROR(__xludf.DUMMYFUNCTION("""COMPUTED_VALUE"""),"CENTRO SUL")</f>
      </c>
      <c r="C130" s="9">
        <f>IFERROR(__xludf.DUMMYFUNCTION("""COMPUTED_VALUE"""),"CIEP 298 MANUEL DUARTE")</f>
      </c>
      <c r="D130" s="10">
        <f>IFERROR(__xludf.DUMMYFUNCTION("""COMPUTED_VALUE"""),0.7895)</f>
      </c>
      <c r="E130" s="11">
        <f>IFERROR(__xludf.DUMMYFUNCTION("""COMPUTED_VALUE"""),327.24)</f>
      </c>
      <c r="F130" s="10">
        <f>IFERROR(__xludf.DUMMYFUNCTION("""COMPUTED_VALUE"""),0.7684)</f>
      </c>
      <c r="G130" s="11">
        <f>IFERROR(__xludf.DUMMYFUNCTION("""COMPUTED_VALUE"""),419.66)</f>
      </c>
      <c r="H130" s="10">
        <f>IFERROR(__xludf.DUMMYFUNCTION("""COMPUTED_VALUE"""),0.537)</f>
      </c>
      <c r="I130" s="11">
        <f>IFERROR(__xludf.DUMMYFUNCTION("""COMPUTED_VALUE"""),"----")</f>
      </c>
      <c r="J130" s="10">
        <f>IFERROR(__xludf.DUMMYFUNCTION("""COMPUTED_VALUE"""),0.6535)</f>
      </c>
      <c r="K130" s="11">
        <f>IFERROR(__xludf.DUMMYFUNCTION("""COMPUTED_VALUE"""),321.86)</f>
      </c>
      <c r="L130" s="10">
        <f>IFERROR(__xludf.DUMMYFUNCTION("""COMPUTED_VALUE"""),0.6204)</f>
      </c>
      <c r="M130" s="11">
        <f>IFERROR(__xludf.DUMMYFUNCTION("""COMPUTED_VALUE"""),489.71)</f>
      </c>
      <c r="N130" s="10">
        <f>IFERROR(__xludf.DUMMYFUNCTION("""COMPUTED_VALUE"""),0.5463)</f>
      </c>
      <c r="O130" s="11">
        <f>IFERROR(__xludf.DUMMYFUNCTION("""COMPUTED_VALUE"""),517.29)</f>
      </c>
      <c r="P130" s="12"/>
      <c r="Q130" s="12"/>
      <c r="R130" s="15"/>
      <c r="S130" s="12"/>
      <c r="T130" s="12"/>
      <c r="U130" s="12"/>
      <c r="V130" s="12"/>
      <c r="W130" s="12"/>
      <c r="X130" s="12"/>
      <c r="Y130" s="12"/>
      <c r="Z130" s="12"/>
    </row>
    <row x14ac:dyDescent="0.25" r="131" customHeight="1" ht="15.75">
      <c r="A131" s="8">
        <f>IFERROR(__xludf.DUMMYFUNCTION("""COMPUTED_VALUE"""),26107.0)</f>
      </c>
      <c r="B131" s="9">
        <f>IFERROR(__xludf.DUMMYFUNCTION("""COMPUTED_VALUE"""),"CENTRO SUL")</f>
      </c>
      <c r="C131" s="9">
        <f>IFERROR(__xludf.DUMMYFUNCTION("""COMPUTED_VALUE"""),"CIEP 310 PROFESSORA ALICE AIEX")</f>
      </c>
      <c r="D131" s="10">
        <f>IFERROR(__xludf.DUMMYFUNCTION("""COMPUTED_VALUE"""),0.5135)</f>
      </c>
      <c r="E131" s="11">
        <f>IFERROR(__xludf.DUMMYFUNCTION("""COMPUTED_VALUE"""),103.16)</f>
      </c>
      <c r="F131" s="10">
        <f>IFERROR(__xludf.DUMMYFUNCTION("""COMPUTED_VALUE"""),0.7568)</f>
      </c>
      <c r="G131" s="11">
        <f>IFERROR(__xludf.DUMMYFUNCTION("""COMPUTED_VALUE"""),308.57)</f>
      </c>
      <c r="H131" s="10">
        <f>IFERROR(__xludf.DUMMYFUNCTION("""COMPUTED_VALUE"""),0.8108)</f>
      </c>
      <c r="I131" s="11">
        <f>IFERROR(__xludf.DUMMYFUNCTION("""COMPUTED_VALUE"""),393.1)</f>
      </c>
      <c r="J131" s="10">
        <f>IFERROR(__xludf.DUMMYFUNCTION("""COMPUTED_VALUE"""),0.8649)</f>
      </c>
      <c r="K131" s="11">
        <f>IFERROR(__xludf.DUMMYFUNCTION("""COMPUTED_VALUE"""),348.0)</f>
      </c>
      <c r="L131" s="10">
        <f>IFERROR(__xludf.DUMMYFUNCTION("""COMPUTED_VALUE"""),0.8378)</f>
      </c>
      <c r="M131" s="11">
        <f>IFERROR(__xludf.DUMMYFUNCTION("""COMPUTED_VALUE"""),456.77)</f>
      </c>
      <c r="N131" s="10">
        <f>IFERROR(__xludf.DUMMYFUNCTION("""COMPUTED_VALUE"""),0.8378)</f>
      </c>
      <c r="O131" s="11">
        <f>IFERROR(__xludf.DUMMYFUNCTION("""COMPUTED_VALUE"""),443.87)</f>
      </c>
      <c r="P131" s="12"/>
      <c r="Q131" s="12"/>
      <c r="R131" s="15"/>
      <c r="S131" s="12"/>
      <c r="T131" s="12"/>
      <c r="U131" s="12"/>
      <c r="V131" s="12"/>
      <c r="W131" s="12"/>
      <c r="X131" s="12"/>
      <c r="Y131" s="12"/>
      <c r="Z131" s="12"/>
    </row>
    <row x14ac:dyDescent="0.25" r="132" customHeight="1" ht="15.75">
      <c r="A132" s="8">
        <f>IFERROR(__xludf.DUMMYFUNCTION("""COMPUTED_VALUE"""),26117.0)</f>
      </c>
      <c r="B132" s="9">
        <f>IFERROR(__xludf.DUMMYFUNCTION("""COMPUTED_VALUE"""),"CENTRO SUL")</f>
      </c>
      <c r="C132" s="9">
        <f>IFERROR(__xludf.DUMMYFUNCTION("""COMPUTED_VALUE"""),"CIEP 494 ALEXANDRE CARVALHO CÍVICO MILITAR")</f>
      </c>
      <c r="D132" s="10">
        <f>IFERROR(__xludf.DUMMYFUNCTION("""COMPUTED_VALUE"""),1.0)</f>
      </c>
      <c r="E132" s="11">
        <f>IFERROR(__xludf.DUMMYFUNCTION("""COMPUTED_VALUE"""),475.19)</f>
      </c>
      <c r="F132" s="10">
        <f>IFERROR(__xludf.DUMMYFUNCTION("""COMPUTED_VALUE"""),0.8519)</f>
      </c>
      <c r="G132" s="11">
        <f>IFERROR(__xludf.DUMMYFUNCTION("""COMPUTED_VALUE"""),499.13)</f>
      </c>
      <c r="H132" s="10">
        <f>IFERROR(__xludf.DUMMYFUNCTION("""COMPUTED_VALUE"""),0.9722)</f>
      </c>
      <c r="I132" s="11">
        <f>IFERROR(__xludf.DUMMYFUNCTION("""COMPUTED_VALUE"""),499.05)</f>
      </c>
      <c r="J132" s="10">
        <f>IFERROR(__xludf.DUMMYFUNCTION("""COMPUTED_VALUE"""),0.963)</f>
      </c>
      <c r="K132" s="11">
        <f>IFERROR(__xludf.DUMMYFUNCTION("""COMPUTED_VALUE"""),516.12)</f>
      </c>
      <c r="L132" s="10">
        <f>IFERROR(__xludf.DUMMYFUNCTION("""COMPUTED_VALUE"""),0.8333)</f>
      </c>
      <c r="M132" s="11">
        <f>IFERROR(__xludf.DUMMYFUNCTION("""COMPUTED_VALUE"""),521.33)</f>
      </c>
      <c r="N132" s="10">
        <f>IFERROR(__xludf.DUMMYFUNCTION("""COMPUTED_VALUE"""),0.7963)</f>
      </c>
      <c r="O132" s="11">
        <f>IFERROR(__xludf.DUMMYFUNCTION("""COMPUTED_VALUE"""),536.0)</f>
      </c>
      <c r="P132" s="12"/>
      <c r="Q132" s="12"/>
      <c r="R132" s="15"/>
      <c r="S132" s="12"/>
      <c r="T132" s="12"/>
      <c r="U132" s="12"/>
      <c r="V132" s="12"/>
      <c r="W132" s="12"/>
      <c r="X132" s="12"/>
      <c r="Y132" s="12"/>
      <c r="Z132" s="12"/>
    </row>
    <row x14ac:dyDescent="0.25" r="133" customHeight="1" ht="15.75">
      <c r="A133" s="8">
        <f>IFERROR(__xludf.DUMMYFUNCTION("""COMPUTED_VALUE"""),26120.0)</f>
      </c>
      <c r="B133" s="9">
        <f>IFERROR(__xludf.DUMMYFUNCTION("""COMPUTED_VALUE"""),"CENTRO SUL")</f>
      </c>
      <c r="C133" s="9">
        <f>IFERROR(__xludf.DUMMYFUNCTION("""COMPUTED_VALUE"""),"CIEP 500 ANTONIO BOTELHO")</f>
      </c>
      <c r="D133" s="10">
        <f>IFERROR(__xludf.DUMMYFUNCTION("""COMPUTED_VALUE"""),0.962)</f>
      </c>
      <c r="E133" s="11">
        <f>IFERROR(__xludf.DUMMYFUNCTION("""COMPUTED_VALUE"""),350.0)</f>
      </c>
      <c r="F133" s="10">
        <f>IFERROR(__xludf.DUMMYFUNCTION("""COMPUTED_VALUE"""),0.9747)</f>
      </c>
      <c r="G133" s="11">
        <f>IFERROR(__xludf.DUMMYFUNCTION("""COMPUTED_VALUE"""),332.11)</f>
      </c>
      <c r="H133" s="10">
        <f>IFERROR(__xludf.DUMMYFUNCTION("""COMPUTED_VALUE"""),0.9114)</f>
      </c>
      <c r="I133" s="11">
        <f>IFERROR(__xludf.DUMMYFUNCTION("""COMPUTED_VALUE"""),552.11)</f>
      </c>
      <c r="J133" s="10">
        <f>IFERROR(__xludf.DUMMYFUNCTION("""COMPUTED_VALUE"""),0.9114)</f>
      </c>
      <c r="K133" s="11">
        <f>IFERROR(__xludf.DUMMYFUNCTION("""COMPUTED_VALUE"""),463.1)</f>
      </c>
      <c r="L133" s="10">
        <f>IFERROR(__xludf.DUMMYFUNCTION("""COMPUTED_VALUE"""),0.8861)</f>
      </c>
      <c r="M133" s="11">
        <f>IFERROR(__xludf.DUMMYFUNCTION("""COMPUTED_VALUE"""),517.1)</f>
      </c>
      <c r="N133" s="10">
        <f>IFERROR(__xludf.DUMMYFUNCTION("""COMPUTED_VALUE"""),0.9114)</f>
      </c>
      <c r="O133" s="11">
        <f>IFERROR(__xludf.DUMMYFUNCTION("""COMPUTED_VALUE"""),538.89)</f>
      </c>
      <c r="P133" s="12"/>
      <c r="Q133" s="12"/>
      <c r="R133" s="15"/>
      <c r="S133" s="12"/>
      <c r="T133" s="12"/>
      <c r="U133" s="12"/>
      <c r="V133" s="12"/>
      <c r="W133" s="12"/>
      <c r="X133" s="12"/>
      <c r="Y133" s="12"/>
      <c r="Z133" s="12"/>
    </row>
    <row x14ac:dyDescent="0.25" r="134" customHeight="1" ht="15.75">
      <c r="A134" s="8">
        <f>IFERROR(__xludf.DUMMYFUNCTION("""COMPUTED_VALUE"""),26005.0)</f>
      </c>
      <c r="B134" s="9">
        <f>IFERROR(__xludf.DUMMYFUNCTION("""COMPUTED_VALUE"""),"METROPOLITANA I")</f>
      </c>
      <c r="C134" s="9">
        <f>IFERROR(__xludf.DUMMYFUNCTION("""COMPUTED_VALUE"""),"CE ABDIAS NASCIMENTO")</f>
      </c>
      <c r="D134" s="10">
        <f>IFERROR(__xludf.DUMMYFUNCTION("""COMPUTED_VALUE"""),0.9375)</f>
      </c>
      <c r="E134" s="11">
        <f>IFERROR(__xludf.DUMMYFUNCTION("""COMPUTED_VALUE"""),214.33)</f>
      </c>
      <c r="F134" s="10">
        <f>IFERROR(__xludf.DUMMYFUNCTION("""COMPUTED_VALUE"""),0.7153)</f>
      </c>
      <c r="G134" s="11">
        <f>IFERROR(__xludf.DUMMYFUNCTION("""COMPUTED_VALUE"""),361.98)</f>
      </c>
      <c r="H134" s="10">
        <f>IFERROR(__xludf.DUMMYFUNCTION("""COMPUTED_VALUE"""),0.6667)</f>
      </c>
      <c r="I134" s="11">
        <f>IFERROR(__xludf.DUMMYFUNCTION("""COMPUTED_VALUE"""),411.49)</f>
      </c>
      <c r="J134" s="10">
        <f>IFERROR(__xludf.DUMMYFUNCTION("""COMPUTED_VALUE"""),0.6111)</f>
      </c>
      <c r="K134" s="11">
        <f>IFERROR(__xludf.DUMMYFUNCTION("""COMPUTED_VALUE"""),282.35)</f>
      </c>
      <c r="L134" s="10">
        <f>IFERROR(__xludf.DUMMYFUNCTION("""COMPUTED_VALUE"""),0.9236)</f>
      </c>
      <c r="M134" s="11">
        <f>IFERROR(__xludf.DUMMYFUNCTION("""COMPUTED_VALUE"""),256.84)</f>
      </c>
      <c r="N134" s="10">
        <f>IFERROR(__xludf.DUMMYFUNCTION("""COMPUTED_VALUE"""),0.6319)</f>
      </c>
      <c r="O134" s="11">
        <f>IFERROR(__xludf.DUMMYFUNCTION("""COMPUTED_VALUE"""),345.33)</f>
      </c>
      <c r="P134" s="12"/>
      <c r="Q134" s="12"/>
      <c r="R134" s="15"/>
      <c r="S134" s="12"/>
      <c r="T134" s="12"/>
      <c r="U134" s="12"/>
      <c r="V134" s="12"/>
      <c r="W134" s="12"/>
      <c r="X134" s="12"/>
      <c r="Y134" s="12"/>
      <c r="Z134" s="12"/>
    </row>
    <row x14ac:dyDescent="0.25" r="135" customHeight="1" ht="15.75">
      <c r="A135" s="8">
        <f>IFERROR(__xludf.DUMMYFUNCTION("""COMPUTED_VALUE"""),26006.0)</f>
      </c>
      <c r="B135" s="9">
        <f>IFERROR(__xludf.DUMMYFUNCTION("""COMPUTED_VALUE"""),"METROPOLITANA I")</f>
      </c>
      <c r="C135" s="9">
        <f>IFERROR(__xludf.DUMMYFUNCTION("""COMPUTED_VALUE"""),"CE ALFREDO NEVES")</f>
      </c>
      <c r="D135" s="10">
        <f>IFERROR(__xludf.DUMMYFUNCTION("""COMPUTED_VALUE"""),1.0)</f>
      </c>
      <c r="E135" s="11">
        <f>IFERROR(__xludf.DUMMYFUNCTION("""COMPUTED_VALUE"""),337.82)</f>
      </c>
      <c r="F135" s="10">
        <f>IFERROR(__xludf.DUMMYFUNCTION("""COMPUTED_VALUE"""),0.9916)</f>
      </c>
      <c r="G135" s="11">
        <f>IFERROR(__xludf.DUMMYFUNCTION("""COMPUTED_VALUE"""),435.86)</f>
      </c>
      <c r="H135" s="10">
        <f>IFERROR(__xludf.DUMMYFUNCTION("""COMPUTED_VALUE"""),0.9664)</f>
      </c>
      <c r="I135" s="11">
        <f>IFERROR(__xludf.DUMMYFUNCTION("""COMPUTED_VALUE"""),571.13)</f>
      </c>
      <c r="J135" s="10">
        <f>IFERROR(__xludf.DUMMYFUNCTION("""COMPUTED_VALUE"""),0.916)</f>
      </c>
      <c r="K135" s="11">
        <f>IFERROR(__xludf.DUMMYFUNCTION("""COMPUTED_VALUE"""),379.82)</f>
      </c>
      <c r="L135" s="10">
        <f>IFERROR(__xludf.DUMMYFUNCTION("""COMPUTED_VALUE"""),0.9496)</f>
      </c>
      <c r="M135" s="11">
        <f>IFERROR(__xludf.DUMMYFUNCTION("""COMPUTED_VALUE"""),538.76)</f>
      </c>
      <c r="N135" s="10">
        <f>IFERROR(__xludf.DUMMYFUNCTION("""COMPUTED_VALUE"""),0.9328)</f>
      </c>
      <c r="O135" s="11">
        <f>IFERROR(__xludf.DUMMYFUNCTION("""COMPUTED_VALUE"""),529.01)</f>
      </c>
      <c r="P135" s="12"/>
      <c r="Q135" s="12"/>
      <c r="R135" s="15"/>
      <c r="S135" s="12"/>
      <c r="T135" s="12"/>
      <c r="U135" s="12"/>
      <c r="V135" s="12"/>
      <c r="W135" s="12"/>
      <c r="X135" s="12"/>
      <c r="Y135" s="12"/>
      <c r="Z135" s="12"/>
    </row>
    <row x14ac:dyDescent="0.25" r="136" customHeight="1" ht="15.75">
      <c r="A136" s="8">
        <f>IFERROR(__xludf.DUMMYFUNCTION("""COMPUTED_VALUE"""),25997.0)</f>
      </c>
      <c r="B136" s="9">
        <f>IFERROR(__xludf.DUMMYFUNCTION("""COMPUTED_VALUE"""),"METROPOLITANA I")</f>
      </c>
      <c r="C136" s="9">
        <f>IFERROR(__xludf.DUMMYFUNCTION("""COMPUTED_VALUE"""),"CE ALMIRANTE TAMANDARE")</f>
      </c>
      <c r="D136" s="10">
        <f>IFERROR(__xludf.DUMMYFUNCTION("""COMPUTED_VALUE"""),0.9816)</f>
      </c>
      <c r="E136" s="11">
        <f>IFERROR(__xludf.DUMMYFUNCTION("""COMPUTED_VALUE"""),260.07)</f>
      </c>
      <c r="F136" s="10">
        <f>IFERROR(__xludf.DUMMYFUNCTION("""COMPUTED_VALUE"""),0.9706)</f>
      </c>
      <c r="G136" s="11">
        <f>IFERROR(__xludf.DUMMYFUNCTION("""COMPUTED_VALUE"""),301.69)</f>
      </c>
      <c r="H136" s="10">
        <f>IFERROR(__xludf.DUMMYFUNCTION("""COMPUTED_VALUE"""),0.9926)</f>
      </c>
      <c r="I136" s="11">
        <f>IFERROR(__xludf.DUMMYFUNCTION("""COMPUTED_VALUE"""),285.65)</f>
      </c>
      <c r="J136" s="10">
        <f>IFERROR(__xludf.DUMMYFUNCTION("""COMPUTED_VALUE"""),1.0)</f>
      </c>
      <c r="K136" s="11">
        <f>IFERROR(__xludf.DUMMYFUNCTION("""COMPUTED_VALUE"""),254.96)</f>
      </c>
      <c r="L136" s="10">
        <f>IFERROR(__xludf.DUMMYFUNCTION("""COMPUTED_VALUE"""),1.0)</f>
      </c>
      <c r="M136" s="11">
        <f>IFERROR(__xludf.DUMMYFUNCTION("""COMPUTED_VALUE"""),312.92)</f>
      </c>
      <c r="N136" s="10">
        <f>IFERROR(__xludf.DUMMYFUNCTION("""COMPUTED_VALUE"""),1.0)</f>
      </c>
      <c r="O136" s="11">
        <f>IFERROR(__xludf.DUMMYFUNCTION("""COMPUTED_VALUE"""),277.35)</f>
      </c>
      <c r="P136" s="12"/>
      <c r="Q136" s="12"/>
      <c r="R136" s="15"/>
      <c r="S136" s="12"/>
      <c r="T136" s="12"/>
      <c r="U136" s="12"/>
      <c r="V136" s="12"/>
      <c r="W136" s="12"/>
      <c r="X136" s="12"/>
      <c r="Y136" s="12"/>
      <c r="Z136" s="12"/>
    </row>
    <row x14ac:dyDescent="0.25" r="137" customHeight="1" ht="15.75">
      <c r="A137" s="8">
        <f>IFERROR(__xludf.DUMMYFUNCTION("""COMPUTED_VALUE"""),26007.0)</f>
      </c>
      <c r="B137" s="9">
        <f>IFERROR(__xludf.DUMMYFUNCTION("""COMPUTED_VALUE"""),"METROPOLITANA I")</f>
      </c>
      <c r="C137" s="9">
        <f>IFERROR(__xludf.DUMMYFUNCTION("""COMPUTED_VALUE"""),"CE AMBAÍ")</f>
      </c>
      <c r="D137" s="10">
        <f>IFERROR(__xludf.DUMMYFUNCTION("""COMPUTED_VALUE"""),0.8182)</f>
      </c>
      <c r="E137" s="11">
        <f>IFERROR(__xludf.DUMMYFUNCTION("""COMPUTED_VALUE"""),245.56)</f>
      </c>
      <c r="F137" s="10">
        <f>IFERROR(__xludf.DUMMYFUNCTION("""COMPUTED_VALUE"""),0.8182)</f>
      </c>
      <c r="G137" s="11">
        <f>IFERROR(__xludf.DUMMYFUNCTION("""COMPUTED_VALUE"""),363.43)</f>
      </c>
      <c r="H137" s="10">
        <f>IFERROR(__xludf.DUMMYFUNCTION("""COMPUTED_VALUE"""),0.9318)</f>
      </c>
      <c r="I137" s="11">
        <f>IFERROR(__xludf.DUMMYFUNCTION("""COMPUTED_VALUE"""),366.32)</f>
      </c>
      <c r="J137" s="10">
        <f>IFERROR(__xludf.DUMMYFUNCTION("""COMPUTED_VALUE"""),0.9773)</f>
      </c>
      <c r="K137" s="11">
        <f>IFERROR(__xludf.DUMMYFUNCTION("""COMPUTED_VALUE"""),356.92)</f>
      </c>
      <c r="L137" s="10">
        <f>IFERROR(__xludf.DUMMYFUNCTION("""COMPUTED_VALUE"""),0.9545)</f>
      </c>
      <c r="M137" s="11">
        <f>IFERROR(__xludf.DUMMYFUNCTION("""COMPUTED_VALUE"""),402.86)</f>
      </c>
      <c r="N137" s="10">
        <f>IFERROR(__xludf.DUMMYFUNCTION("""COMPUTED_VALUE"""),0.9318)</f>
      </c>
      <c r="O137" s="11">
        <f>IFERROR(__xludf.DUMMYFUNCTION("""COMPUTED_VALUE"""),366.83)</f>
      </c>
      <c r="P137" s="12"/>
      <c r="Q137" s="12"/>
      <c r="R137" s="15"/>
      <c r="S137" s="12"/>
      <c r="T137" s="12"/>
      <c r="U137" s="12"/>
      <c r="V137" s="12"/>
      <c r="W137" s="12"/>
      <c r="X137" s="12"/>
      <c r="Y137" s="12"/>
      <c r="Z137" s="12"/>
    </row>
    <row x14ac:dyDescent="0.25" r="138" customHeight="1" ht="15.75">
      <c r="A138" s="8">
        <f>IFERROR(__xludf.DUMMYFUNCTION("""COMPUTED_VALUE"""),26008.0)</f>
      </c>
      <c r="B138" s="9">
        <f>IFERROR(__xludf.DUMMYFUNCTION("""COMPUTED_VALUE"""),"METROPOLITANA I")</f>
      </c>
      <c r="C138" s="9">
        <f>IFERROR(__xludf.DUMMYFUNCTION("""COMPUTED_VALUE"""),"CE ANTONIO DA SILVA")</f>
      </c>
      <c r="D138" s="10">
        <f>IFERROR(__xludf.DUMMYFUNCTION("""COMPUTED_VALUE"""),0.6513)</f>
      </c>
      <c r="E138" s="11">
        <f>IFERROR(__xludf.DUMMYFUNCTION("""COMPUTED_VALUE"""),205.31)</f>
      </c>
      <c r="F138" s="10">
        <f>IFERROR(__xludf.DUMMYFUNCTION("""COMPUTED_VALUE"""),0.5612)</f>
      </c>
      <c r="G138" s="11">
        <f>IFERROR(__xludf.DUMMYFUNCTION("""COMPUTED_VALUE"""),349.67)</f>
      </c>
      <c r="H138" s="10">
        <f>IFERROR(__xludf.DUMMYFUNCTION("""COMPUTED_VALUE"""),0.4434)</f>
      </c>
      <c r="I138" s="11">
        <f>IFERROR(__xludf.DUMMYFUNCTION("""COMPUTED_VALUE"""),397.04)</f>
      </c>
      <c r="J138" s="10">
        <f>IFERROR(__xludf.DUMMYFUNCTION("""COMPUTED_VALUE"""),0.3095)</f>
      </c>
      <c r="K138" s="11">
        <f>IFERROR(__xludf.DUMMYFUNCTION("""COMPUTED_VALUE"""),316.89)</f>
      </c>
      <c r="L138" s="10">
        <f>IFERROR(__xludf.DUMMYFUNCTION("""COMPUTED_VALUE"""),0.4942)</f>
      </c>
      <c r="M138" s="11">
        <f>IFERROR(__xludf.DUMMYFUNCTION("""COMPUTED_VALUE"""),370.19)</f>
      </c>
      <c r="N138" s="10">
        <f>IFERROR(__xludf.DUMMYFUNCTION("""COMPUTED_VALUE"""),0.261)</f>
      </c>
      <c r="O138" s="11">
        <f>IFERROR(__xludf.DUMMYFUNCTION("""COMPUTED_VALUE"""),409.45)</f>
      </c>
      <c r="P138" s="12"/>
      <c r="Q138" s="12"/>
      <c r="R138" s="15"/>
      <c r="S138" s="12"/>
      <c r="T138" s="12"/>
      <c r="U138" s="12"/>
      <c r="V138" s="12"/>
      <c r="W138" s="12"/>
      <c r="X138" s="12"/>
      <c r="Y138" s="12"/>
      <c r="Z138" s="12"/>
    </row>
    <row x14ac:dyDescent="0.25" r="139" customHeight="1" ht="15.75">
      <c r="A139" s="8">
        <f>IFERROR(__xludf.DUMMYFUNCTION("""COMPUTED_VALUE"""),25998.0)</f>
      </c>
      <c r="B139" s="9">
        <f>IFERROR(__xludf.DUMMYFUNCTION("""COMPUTED_VALUE"""),"METROPOLITANA I")</f>
      </c>
      <c r="C139" s="9">
        <f>IFERROR(__xludf.DUMMYFUNCTION("""COMPUTED_VALUE"""),"CE ARMANDO DIAS - BRASIL-ARGENTINA")</f>
      </c>
      <c r="D139" s="10">
        <f>IFERROR(__xludf.DUMMYFUNCTION("""COMPUTED_VALUE"""),0.9565)</f>
      </c>
      <c r="E139" s="11">
        <f>IFERROR(__xludf.DUMMYFUNCTION("""COMPUTED_VALUE"""),296.36)</f>
      </c>
      <c r="F139" s="10">
        <f>IFERROR(__xludf.DUMMYFUNCTION("""COMPUTED_VALUE"""),0.7826)</f>
      </c>
      <c r="G139" s="11">
        <f>IFERROR(__xludf.DUMMYFUNCTION("""COMPUTED_VALUE"""),366.67)</f>
      </c>
      <c r="H139" s="10">
        <f>IFERROR(__xludf.DUMMYFUNCTION("""COMPUTED_VALUE"""),0.913)</f>
      </c>
      <c r="I139" s="11">
        <f>IFERROR(__xludf.DUMMYFUNCTION("""COMPUTED_VALUE"""),426.67)</f>
      </c>
      <c r="J139" s="10">
        <f>IFERROR(__xludf.DUMMYFUNCTION("""COMPUTED_VALUE"""),0.913)</f>
      </c>
      <c r="K139" s="11">
        <f>IFERROR(__xludf.DUMMYFUNCTION("""COMPUTED_VALUE"""),361.9)</f>
      </c>
      <c r="L139" s="10">
        <f>IFERROR(__xludf.DUMMYFUNCTION("""COMPUTED_VALUE"""),0.8696)</f>
      </c>
      <c r="M139" s="11">
        <f>IFERROR(__xludf.DUMMYFUNCTION("""COMPUTED_VALUE"""),376.0)</f>
      </c>
      <c r="N139" s="10">
        <f>IFERROR(__xludf.DUMMYFUNCTION("""COMPUTED_VALUE"""),0.913)</f>
      </c>
      <c r="O139" s="11">
        <f>IFERROR(__xludf.DUMMYFUNCTION("""COMPUTED_VALUE"""),367.62)</f>
      </c>
      <c r="P139" s="12"/>
      <c r="Q139" s="12"/>
      <c r="R139" s="15"/>
      <c r="S139" s="12"/>
      <c r="T139" s="12"/>
      <c r="U139" s="12"/>
      <c r="V139" s="12"/>
      <c r="W139" s="12"/>
      <c r="X139" s="12"/>
      <c r="Y139" s="12"/>
      <c r="Z139" s="12"/>
    </row>
    <row x14ac:dyDescent="0.25" r="140" customHeight="1" ht="15.75">
      <c r="A140" s="8">
        <f>IFERROR(__xludf.DUMMYFUNCTION("""COMPUTED_VALUE"""),26009.0)</f>
      </c>
      <c r="B140" s="9">
        <f>IFERROR(__xludf.DUMMYFUNCTION("""COMPUTED_VALUE"""),"METROPOLITANA I")</f>
      </c>
      <c r="C140" s="9">
        <f>IFERROR(__xludf.DUMMYFUNCTION("""COMPUTED_VALUE"""),"CE ARRUDA NEGREIROS")</f>
      </c>
      <c r="D140" s="10">
        <f>IFERROR(__xludf.DUMMYFUNCTION("""COMPUTED_VALUE"""),0.8475)</f>
      </c>
      <c r="E140" s="11">
        <f>IFERROR(__xludf.DUMMYFUNCTION("""COMPUTED_VALUE"""),287.2)</f>
      </c>
      <c r="F140" s="10">
        <f>IFERROR(__xludf.DUMMYFUNCTION("""COMPUTED_VALUE"""),0.6861)</f>
      </c>
      <c r="G140" s="11">
        <f>IFERROR(__xludf.DUMMYFUNCTION("""COMPUTED_VALUE"""),377.52)</f>
      </c>
      <c r="H140" s="10">
        <f>IFERROR(__xludf.DUMMYFUNCTION("""COMPUTED_VALUE"""),0.5874)</f>
      </c>
      <c r="I140" s="11">
        <f>IFERROR(__xludf.DUMMYFUNCTION("""COMPUTED_VALUE"""),383.55)</f>
      </c>
      <c r="J140" s="10">
        <f>IFERROR(__xludf.DUMMYFUNCTION("""COMPUTED_VALUE"""),0.574)</f>
      </c>
      <c r="K140" s="11">
        <f>IFERROR(__xludf.DUMMYFUNCTION("""COMPUTED_VALUE"""),350.1)</f>
      </c>
      <c r="L140" s="10">
        <f>IFERROR(__xludf.DUMMYFUNCTION("""COMPUTED_VALUE"""),0.6099)</f>
      </c>
      <c r="M140" s="11">
        <f>IFERROR(__xludf.DUMMYFUNCTION("""COMPUTED_VALUE"""),385.97)</f>
      </c>
      <c r="N140" s="10">
        <f>IFERROR(__xludf.DUMMYFUNCTION("""COMPUTED_VALUE"""),0.3363)</f>
      </c>
      <c r="O140" s="11">
        <f>IFERROR(__xludf.DUMMYFUNCTION("""COMPUTED_VALUE"""),454.59)</f>
      </c>
      <c r="P140" s="12"/>
      <c r="Q140" s="12"/>
      <c r="R140" s="15"/>
      <c r="S140" s="12"/>
      <c r="T140" s="12"/>
      <c r="U140" s="12"/>
      <c r="V140" s="12"/>
      <c r="W140" s="12"/>
      <c r="X140" s="12"/>
      <c r="Y140" s="12"/>
      <c r="Z140" s="12"/>
    </row>
    <row x14ac:dyDescent="0.25" r="141" customHeight="1" ht="15.75">
      <c r="A141" s="8">
        <f>IFERROR(__xludf.DUMMYFUNCTION("""COMPUTED_VALUE"""),26010.0)</f>
      </c>
      <c r="B141" s="9">
        <f>IFERROR(__xludf.DUMMYFUNCTION("""COMPUTED_VALUE"""),"METROPOLITANA I")</f>
      </c>
      <c r="C141" s="9">
        <f>IFERROR(__xludf.DUMMYFUNCTION("""COMPUTED_VALUE"""),"CE BARAO DE TINGUA")</f>
      </c>
      <c r="D141" s="10">
        <f>IFERROR(__xludf.DUMMYFUNCTION("""COMPUTED_VALUE"""),0.8816)</f>
      </c>
      <c r="E141" s="11">
        <f>IFERROR(__xludf.DUMMYFUNCTION("""COMPUTED_VALUE"""),153.73)</f>
      </c>
      <c r="F141" s="10">
        <f>IFERROR(__xludf.DUMMYFUNCTION("""COMPUTED_VALUE"""),0.6382)</f>
      </c>
      <c r="G141" s="11">
        <f>IFERROR(__xludf.DUMMYFUNCTION("""COMPUTED_VALUE"""),351.05)</f>
      </c>
      <c r="H141" s="10">
        <f>IFERROR(__xludf.DUMMYFUNCTION("""COMPUTED_VALUE"""),0.5457)</f>
      </c>
      <c r="I141" s="11">
        <f>IFERROR(__xludf.DUMMYFUNCTION("""COMPUTED_VALUE"""),417.45)</f>
      </c>
      <c r="J141" s="10">
        <f>IFERROR(__xludf.DUMMYFUNCTION("""COMPUTED_VALUE"""),0.6396)</f>
      </c>
      <c r="K141" s="11">
        <f>IFERROR(__xludf.DUMMYFUNCTION("""COMPUTED_VALUE"""),278.47)</f>
      </c>
      <c r="L141" s="10">
        <f>IFERROR(__xludf.DUMMYFUNCTION("""COMPUTED_VALUE"""),0.4482)</f>
      </c>
      <c r="M141" s="11">
        <f>IFERROR(__xludf.DUMMYFUNCTION("""COMPUTED_VALUE"""),"----")</f>
      </c>
      <c r="N141" s="10">
        <f>IFERROR(__xludf.DUMMYFUNCTION("""COMPUTED_VALUE"""),0.4939)</f>
      </c>
      <c r="O141" s="11">
        <f>IFERROR(__xludf.DUMMYFUNCTION("""COMPUTED_VALUE"""),415.83)</f>
      </c>
      <c r="P141" s="12"/>
      <c r="Q141" s="12"/>
      <c r="R141" s="15"/>
      <c r="S141" s="12"/>
      <c r="T141" s="12"/>
      <c r="U141" s="12"/>
      <c r="V141" s="12"/>
      <c r="W141" s="12"/>
      <c r="X141" s="12"/>
      <c r="Y141" s="12"/>
      <c r="Z141" s="12"/>
    </row>
    <row x14ac:dyDescent="0.25" r="142" customHeight="1" ht="15.75">
      <c r="A142" s="8">
        <f>IFERROR(__xludf.DUMMYFUNCTION("""COMPUTED_VALUE"""),25999.0)</f>
      </c>
      <c r="B142" s="9">
        <f>IFERROR(__xludf.DUMMYFUNCTION("""COMPUTED_VALUE"""),"METROPOLITANA I")</f>
      </c>
      <c r="C142" s="9">
        <f>IFERROR(__xludf.DUMMYFUNCTION("""COMPUTED_VALUE"""),"CE BARÃO DO RIO BRANCO")</f>
      </c>
      <c r="D142" s="10">
        <f>IFERROR(__xludf.DUMMYFUNCTION("""COMPUTED_VALUE"""),0.8074)</f>
      </c>
      <c r="E142" s="11">
        <f>IFERROR(__xludf.DUMMYFUNCTION("""COMPUTED_VALUE"""),246.09)</f>
      </c>
      <c r="F142" s="10">
        <f>IFERROR(__xludf.DUMMYFUNCTION("""COMPUTED_VALUE"""),0.6516)</f>
      </c>
      <c r="G142" s="11">
        <f>IFERROR(__xludf.DUMMYFUNCTION("""COMPUTED_VALUE"""),378.99)</f>
      </c>
      <c r="H142" s="10">
        <f>IFERROR(__xludf.DUMMYFUNCTION("""COMPUTED_VALUE"""),0.6189)</f>
      </c>
      <c r="I142" s="11">
        <f>IFERROR(__xludf.DUMMYFUNCTION("""COMPUTED_VALUE"""),389.53)</f>
      </c>
      <c r="J142" s="10">
        <f>IFERROR(__xludf.DUMMYFUNCTION("""COMPUTED_VALUE"""),0.6189)</f>
      </c>
      <c r="K142" s="11">
        <f>IFERROR(__xludf.DUMMYFUNCTION("""COMPUTED_VALUE"""),292.79)</f>
      </c>
      <c r="L142" s="10">
        <f>IFERROR(__xludf.DUMMYFUNCTION("""COMPUTED_VALUE"""),0.6393)</f>
      </c>
      <c r="M142" s="11">
        <f>IFERROR(__xludf.DUMMYFUNCTION("""COMPUTED_VALUE"""),410.58)</f>
      </c>
      <c r="N142" s="10">
        <f>IFERROR(__xludf.DUMMYFUNCTION("""COMPUTED_VALUE"""),0.6844)</f>
      </c>
      <c r="O142" s="11">
        <f>IFERROR(__xludf.DUMMYFUNCTION("""COMPUTED_VALUE"""),444.34)</f>
      </c>
      <c r="P142" s="12"/>
      <c r="Q142" s="12"/>
      <c r="R142" s="15"/>
      <c r="S142" s="12"/>
      <c r="T142" s="12"/>
      <c r="U142" s="12"/>
      <c r="V142" s="12"/>
      <c r="W142" s="12"/>
      <c r="X142" s="12"/>
      <c r="Y142" s="12"/>
      <c r="Z142" s="12"/>
    </row>
    <row x14ac:dyDescent="0.25" r="143" customHeight="1" ht="15.75">
      <c r="A143" s="8">
        <f>IFERROR(__xludf.DUMMYFUNCTION("""COMPUTED_VALUE"""),26011.0)</f>
      </c>
      <c r="B143" s="9">
        <f>IFERROR(__xludf.DUMMYFUNCTION("""COMPUTED_VALUE"""),"METROPOLITANA I")</f>
      </c>
      <c r="C143" s="9">
        <f>IFERROR(__xludf.DUMMYFUNCTION("""COMPUTED_VALUE"""),"CE BERNARDINO MELO JUNIOR")</f>
      </c>
      <c r="D143" s="10">
        <f>IFERROR(__xludf.DUMMYFUNCTION("""COMPUTED_VALUE"""),0.8165)</f>
      </c>
      <c r="E143" s="11">
        <f>IFERROR(__xludf.DUMMYFUNCTION("""COMPUTED_VALUE"""),379.84)</f>
      </c>
      <c r="F143" s="10">
        <f>IFERROR(__xludf.DUMMYFUNCTION("""COMPUTED_VALUE"""),0.7785)</f>
      </c>
      <c r="G143" s="11">
        <f>IFERROR(__xludf.DUMMYFUNCTION("""COMPUTED_VALUE"""),460.49)</f>
      </c>
      <c r="H143" s="10">
        <f>IFERROR(__xludf.DUMMYFUNCTION("""COMPUTED_VALUE"""),0.75)</f>
      </c>
      <c r="I143" s="11">
        <f>IFERROR(__xludf.DUMMYFUNCTION("""COMPUTED_VALUE"""),502.2)</f>
      </c>
      <c r="J143" s="10">
        <f>IFERROR(__xludf.DUMMYFUNCTION("""COMPUTED_VALUE"""),0.8449)</f>
      </c>
      <c r="K143" s="11">
        <f>IFERROR(__xludf.DUMMYFUNCTION("""COMPUTED_VALUE"""),417.46)</f>
      </c>
      <c r="L143" s="10">
        <f>IFERROR(__xludf.DUMMYFUNCTION("""COMPUTED_VALUE"""),0.6582)</f>
      </c>
      <c r="M143" s="11">
        <f>IFERROR(__xludf.DUMMYFUNCTION("""COMPUTED_VALUE"""),495.53)</f>
      </c>
      <c r="N143" s="10">
        <f>IFERROR(__xludf.DUMMYFUNCTION("""COMPUTED_VALUE"""),0.6108)</f>
      </c>
      <c r="O143" s="11">
        <f>IFERROR(__xludf.DUMMYFUNCTION("""COMPUTED_VALUE"""),487.25)</f>
      </c>
      <c r="P143" s="12"/>
      <c r="Q143" s="12"/>
      <c r="R143" s="15"/>
      <c r="S143" s="12"/>
      <c r="T143" s="12"/>
      <c r="U143" s="12"/>
      <c r="V143" s="12"/>
      <c r="W143" s="12"/>
      <c r="X143" s="12"/>
      <c r="Y143" s="12"/>
      <c r="Z143" s="12"/>
    </row>
    <row x14ac:dyDescent="0.25" r="144" customHeight="1" ht="15.75">
      <c r="A144" s="8">
        <f>IFERROR(__xludf.DUMMYFUNCTION("""COMPUTED_VALUE"""),26012.0)</f>
      </c>
      <c r="B144" s="9">
        <f>IFERROR(__xludf.DUMMYFUNCTION("""COMPUTED_VALUE"""),"METROPOLITANA I")</f>
      </c>
      <c r="C144" s="9">
        <f>IFERROR(__xludf.DUMMYFUNCTION("""COMPUTED_VALUE"""),"CE CALIFÓRNIA")</f>
      </c>
      <c r="D144" s="10">
        <f>IFERROR(__xludf.DUMMYFUNCTION("""COMPUTED_VALUE"""),0.7071)</f>
      </c>
      <c r="E144" s="11">
        <f>IFERROR(__xludf.DUMMYFUNCTION("""COMPUTED_VALUE"""),296.09)</f>
      </c>
      <c r="F144" s="10">
        <f>IFERROR(__xludf.DUMMYFUNCTION("""COMPUTED_VALUE"""),0.675)</f>
      </c>
      <c r="G144" s="11">
        <f>IFERROR(__xludf.DUMMYFUNCTION("""COMPUTED_VALUE"""),437.2)</f>
      </c>
      <c r="H144" s="10">
        <f>IFERROR(__xludf.DUMMYFUNCTION("""COMPUTED_VALUE"""),0.7107)</f>
      </c>
      <c r="I144" s="11">
        <f>IFERROR(__xludf.DUMMYFUNCTION("""COMPUTED_VALUE"""),324.62)</f>
      </c>
      <c r="J144" s="10">
        <f>IFERROR(__xludf.DUMMYFUNCTION("""COMPUTED_VALUE"""),0.6607)</f>
      </c>
      <c r="K144" s="11">
        <f>IFERROR(__xludf.DUMMYFUNCTION("""COMPUTED_VALUE"""),319.33)</f>
      </c>
      <c r="L144" s="10">
        <f>IFERROR(__xludf.DUMMYFUNCTION("""COMPUTED_VALUE"""),0.6071)</f>
      </c>
      <c r="M144" s="11">
        <f>IFERROR(__xludf.DUMMYFUNCTION("""COMPUTED_VALUE"""),443.83)</f>
      </c>
      <c r="N144" s="10">
        <f>IFERROR(__xludf.DUMMYFUNCTION("""COMPUTED_VALUE"""),0.6393)</f>
      </c>
      <c r="O144" s="11">
        <f>IFERROR(__xludf.DUMMYFUNCTION("""COMPUTED_VALUE"""),480.9)</f>
      </c>
      <c r="P144" s="12"/>
      <c r="Q144" s="12"/>
      <c r="R144" s="15"/>
      <c r="S144" s="12"/>
      <c r="T144" s="12"/>
      <c r="U144" s="12"/>
      <c r="V144" s="12"/>
      <c r="W144" s="12"/>
      <c r="X144" s="12"/>
      <c r="Y144" s="12"/>
      <c r="Z144" s="12"/>
    </row>
    <row x14ac:dyDescent="0.25" r="145" customHeight="1" ht="15.75">
      <c r="A145" s="8">
        <f>IFERROR(__xludf.DUMMYFUNCTION("""COMPUTED_VALUE"""),26013.0)</f>
      </c>
      <c r="B145" s="9">
        <f>IFERROR(__xludf.DUMMYFUNCTION("""COMPUTED_VALUE"""),"METROPOLITANA I")</f>
      </c>
      <c r="C145" s="9">
        <f>IFERROR(__xludf.DUMMYFUNCTION("""COMPUTED_VALUE"""),"CE CAPITAO JOAQUIM QUARESMA DE OLIVEIRA")</f>
      </c>
      <c r="D145" s="10">
        <f>IFERROR(__xludf.DUMMYFUNCTION("""COMPUTED_VALUE"""),0.75)</f>
      </c>
      <c r="E145" s="11">
        <f>IFERROR(__xludf.DUMMYFUNCTION("""COMPUTED_VALUE"""),248.0)</f>
      </c>
      <c r="F145" s="10">
        <f>IFERROR(__xludf.DUMMYFUNCTION("""COMPUTED_VALUE"""),0.6543)</f>
      </c>
      <c r="G145" s="11">
        <f>IFERROR(__xludf.DUMMYFUNCTION("""COMPUTED_VALUE"""),385.04)</f>
      </c>
      <c r="H145" s="10">
        <f>IFERROR(__xludf.DUMMYFUNCTION("""COMPUTED_VALUE"""),0.4947)</f>
      </c>
      <c r="I145" s="11">
        <f>IFERROR(__xludf.DUMMYFUNCTION("""COMPUTED_VALUE"""),422.17)</f>
      </c>
      <c r="J145" s="10">
        <f>IFERROR(__xludf.DUMMYFUNCTION("""COMPUTED_VALUE"""),0.4574)</f>
      </c>
      <c r="K145" s="11">
        <f>IFERROR(__xludf.DUMMYFUNCTION("""COMPUTED_VALUE"""),256.71)</f>
      </c>
      <c r="L145" s="10">
        <f>IFERROR(__xludf.DUMMYFUNCTION("""COMPUTED_VALUE"""),0.5266)</f>
      </c>
      <c r="M145" s="11">
        <f>IFERROR(__xludf.DUMMYFUNCTION("""COMPUTED_VALUE"""),389.28)</f>
      </c>
      <c r="N145" s="10">
        <f>IFERROR(__xludf.DUMMYFUNCTION("""COMPUTED_VALUE"""),0.5904)</f>
      </c>
      <c r="O145" s="11">
        <f>IFERROR(__xludf.DUMMYFUNCTION("""COMPUTED_VALUE"""),383.06)</f>
      </c>
      <c r="P145" s="12"/>
      <c r="Q145" s="12"/>
      <c r="R145" s="15"/>
      <c r="S145" s="12"/>
      <c r="T145" s="12"/>
      <c r="U145" s="12"/>
      <c r="V145" s="12"/>
      <c r="W145" s="12"/>
      <c r="X145" s="12"/>
      <c r="Y145" s="12"/>
      <c r="Z145" s="12"/>
    </row>
    <row x14ac:dyDescent="0.25" r="146" customHeight="1" ht="15.75">
      <c r="A146" s="8">
        <f>IFERROR(__xludf.DUMMYFUNCTION("""COMPUTED_VALUE"""),26014.0)</f>
      </c>
      <c r="B146" s="9">
        <f>IFERROR(__xludf.DUMMYFUNCTION("""COMPUTED_VALUE"""),"METROPOLITANA I")</f>
      </c>
      <c r="C146" s="9">
        <f>IFERROR(__xludf.DUMMYFUNCTION("""COMPUTED_VALUE"""),"CE COMENDADOR SOARES")</f>
      </c>
      <c r="D146" s="10">
        <f>IFERROR(__xludf.DUMMYFUNCTION("""COMPUTED_VALUE"""),0.7717)</f>
      </c>
      <c r="E146" s="11">
        <f>IFERROR(__xludf.DUMMYFUNCTION("""COMPUTED_VALUE"""),244.26)</f>
      </c>
      <c r="F146" s="10">
        <f>IFERROR(__xludf.DUMMYFUNCTION("""COMPUTED_VALUE"""),0.9863)</f>
      </c>
      <c r="G146" s="11">
        <f>IFERROR(__xludf.DUMMYFUNCTION("""COMPUTED_VALUE"""),227.68)</f>
      </c>
      <c r="H146" s="10">
        <f>IFERROR(__xludf.DUMMYFUNCTION("""COMPUTED_VALUE"""),0.5982)</f>
      </c>
      <c r="I146" s="11">
        <f>IFERROR(__xludf.DUMMYFUNCTION("""COMPUTED_VALUE"""),447.44)</f>
      </c>
      <c r="J146" s="10">
        <f>IFERROR(__xludf.DUMMYFUNCTION("""COMPUTED_VALUE"""),0.5114)</f>
      </c>
      <c r="K146" s="11">
        <f>IFERROR(__xludf.DUMMYFUNCTION("""COMPUTED_VALUE"""),406.83)</f>
      </c>
      <c r="L146" s="10">
        <f>IFERROR(__xludf.DUMMYFUNCTION("""COMPUTED_VALUE"""),0.484)</f>
      </c>
      <c r="M146" s="11">
        <f>IFERROR(__xludf.DUMMYFUNCTION("""COMPUTED_VALUE"""),436.5)</f>
      </c>
      <c r="N146" s="10">
        <f>IFERROR(__xludf.DUMMYFUNCTION("""COMPUTED_VALUE"""),0.4429)</f>
      </c>
      <c r="O146" s="11">
        <f>IFERROR(__xludf.DUMMYFUNCTION("""COMPUTED_VALUE"""),469.58)</f>
      </c>
      <c r="P146" s="12"/>
      <c r="Q146" s="12"/>
      <c r="R146" s="15"/>
      <c r="S146" s="12"/>
      <c r="T146" s="12"/>
      <c r="U146" s="12"/>
      <c r="V146" s="12"/>
      <c r="W146" s="12"/>
      <c r="X146" s="12"/>
      <c r="Y146" s="12"/>
      <c r="Z146" s="12"/>
    </row>
    <row x14ac:dyDescent="0.25" r="147" customHeight="1" ht="15.75">
      <c r="A147" s="8">
        <f>IFERROR(__xludf.DUMMYFUNCTION("""COMPUTED_VALUE"""),26015.0)</f>
      </c>
      <c r="B147" s="9">
        <f>IFERROR(__xludf.DUMMYFUNCTION("""COMPUTED_VALUE"""),"METROPOLITANA I")</f>
      </c>
      <c r="C147" s="9">
        <f>IFERROR(__xludf.DUMMYFUNCTION("""COMPUTED_VALUE"""),"CE DOM ADRIANO HIPÓLITO")</f>
      </c>
      <c r="D147" s="10">
        <f>IFERROR(__xludf.DUMMYFUNCTION("""COMPUTED_VALUE"""),0.5458)</f>
      </c>
      <c r="E147" s="11">
        <f>IFERROR(__xludf.DUMMYFUNCTION("""COMPUTED_VALUE"""),260.22)</f>
      </c>
      <c r="F147" s="10">
        <f>IFERROR(__xludf.DUMMYFUNCTION("""COMPUTED_VALUE"""),0.7711)</f>
      </c>
      <c r="G147" s="11">
        <f>IFERROR(__xludf.DUMMYFUNCTION("""COMPUTED_VALUE"""),433.17)</f>
      </c>
      <c r="H147" s="10">
        <f>IFERROR(__xludf.DUMMYFUNCTION("""COMPUTED_VALUE"""),0.3965)</f>
      </c>
      <c r="I147" s="11">
        <f>IFERROR(__xludf.DUMMYFUNCTION("""COMPUTED_VALUE"""),413.64)</f>
      </c>
      <c r="J147" s="10">
        <f>IFERROR(__xludf.DUMMYFUNCTION("""COMPUTED_VALUE"""),0.769)</f>
      </c>
      <c r="K147" s="11">
        <f>IFERROR(__xludf.DUMMYFUNCTION("""COMPUTED_VALUE"""),316.27)</f>
      </c>
      <c r="L147" s="10">
        <f>IFERROR(__xludf.DUMMYFUNCTION("""COMPUTED_VALUE"""),0.6064)</f>
      </c>
      <c r="M147" s="11">
        <f>IFERROR(__xludf.DUMMYFUNCTION("""COMPUTED_VALUE"""),408.07)</f>
      </c>
      <c r="N147" s="10">
        <f>IFERROR(__xludf.DUMMYFUNCTION("""COMPUTED_VALUE"""),0.6501)</f>
      </c>
      <c r="O147" s="11">
        <f>IFERROR(__xludf.DUMMYFUNCTION("""COMPUTED_VALUE"""),452.73)</f>
      </c>
      <c r="P147" s="12"/>
      <c r="Q147" s="12"/>
      <c r="R147" s="15"/>
      <c r="S147" s="12"/>
      <c r="T147" s="12"/>
      <c r="U147" s="12"/>
      <c r="V147" s="12"/>
      <c r="W147" s="12"/>
      <c r="X147" s="12"/>
      <c r="Y147" s="12"/>
      <c r="Z147" s="12"/>
    </row>
    <row x14ac:dyDescent="0.25" r="148" customHeight="1" ht="15.75">
      <c r="A148" s="8">
        <f>IFERROR(__xludf.DUMMYFUNCTION("""COMPUTED_VALUE"""),26086.0)</f>
      </c>
      <c r="B148" s="9">
        <f>IFERROR(__xludf.DUMMYFUNCTION("""COMPUTED_VALUE"""),"METROPOLITANA I")</f>
      </c>
      <c r="C148" s="9">
        <f>IFERROR(__xludf.DUMMYFUNCTION("""COMPUTED_VALUE"""),"CE DOM BOSCO")</f>
      </c>
      <c r="D148" s="10">
        <f>IFERROR(__xludf.DUMMYFUNCTION("""COMPUTED_VALUE"""),0.8229)</f>
      </c>
      <c r="E148" s="11">
        <f>IFERROR(__xludf.DUMMYFUNCTION("""COMPUTED_VALUE"""),146.67)</f>
      </c>
      <c r="F148" s="10">
        <f>IFERROR(__xludf.DUMMYFUNCTION("""COMPUTED_VALUE"""),0.6563)</f>
      </c>
      <c r="G148" s="11">
        <f>IFERROR(__xludf.DUMMYFUNCTION("""COMPUTED_VALUE"""),390.97)</f>
      </c>
      <c r="H148" s="10">
        <f>IFERROR(__xludf.DUMMYFUNCTION("""COMPUTED_VALUE"""),0.6979)</f>
      </c>
      <c r="I148" s="11">
        <f>IFERROR(__xludf.DUMMYFUNCTION("""COMPUTED_VALUE"""),386.27)</f>
      </c>
      <c r="J148" s="10">
        <f>IFERROR(__xludf.DUMMYFUNCTION("""COMPUTED_VALUE"""),0.9167)</f>
      </c>
      <c r="K148" s="11">
        <f>IFERROR(__xludf.DUMMYFUNCTION("""COMPUTED_VALUE"""),221.15)</f>
      </c>
      <c r="L148" s="10">
        <f>IFERROR(__xludf.DUMMYFUNCTION("""COMPUTED_VALUE"""),0.6563)</f>
      </c>
      <c r="M148" s="11">
        <f>IFERROR(__xludf.DUMMYFUNCTION("""COMPUTED_VALUE"""),374.19)</f>
      </c>
      <c r="N148" s="10">
        <f>IFERROR(__xludf.DUMMYFUNCTION("""COMPUTED_VALUE"""),0.7083)</f>
      </c>
      <c r="O148" s="11">
        <f>IFERROR(__xludf.DUMMYFUNCTION("""COMPUTED_VALUE"""),445.37)</f>
      </c>
      <c r="P148" s="12"/>
      <c r="Q148" s="12"/>
      <c r="R148" s="15"/>
      <c r="S148" s="12"/>
      <c r="T148" s="12"/>
      <c r="U148" s="12"/>
      <c r="V148" s="12"/>
      <c r="W148" s="12"/>
      <c r="X148" s="12"/>
      <c r="Y148" s="12"/>
      <c r="Z148" s="12"/>
    </row>
    <row x14ac:dyDescent="0.25" r="149" customHeight="1" ht="15.75">
      <c r="A149" s="8">
        <f>IFERROR(__xludf.DUMMYFUNCTION("""COMPUTED_VALUE"""),26087.0)</f>
      </c>
      <c r="B149" s="9">
        <f>IFERROR(__xludf.DUMMYFUNCTION("""COMPUTED_VALUE"""),"METROPOLITANA I")</f>
      </c>
      <c r="C149" s="9">
        <f>IFERROR(__xludf.DUMMYFUNCTION("""COMPUTED_VALUE"""),"CE DOM JOÃO VI")</f>
      </c>
      <c r="D149" s="10">
        <f>IFERROR(__xludf.DUMMYFUNCTION("""COMPUTED_VALUE"""),0.654)</f>
      </c>
      <c r="E149" s="11">
        <f>IFERROR(__xludf.DUMMYFUNCTION("""COMPUTED_VALUE"""),220.04)</f>
      </c>
      <c r="F149" s="10">
        <f>IFERROR(__xludf.DUMMYFUNCTION("""COMPUTED_VALUE"""),0.5888)</f>
      </c>
      <c r="G149" s="11">
        <f>IFERROR(__xludf.DUMMYFUNCTION("""COMPUTED_VALUE"""),326.52)</f>
      </c>
      <c r="H149" s="10">
        <f>IFERROR(__xludf.DUMMYFUNCTION("""COMPUTED_VALUE"""),0.6305)</f>
      </c>
      <c r="I149" s="11">
        <f>IFERROR(__xludf.DUMMYFUNCTION("""COMPUTED_VALUE"""),339.5)</f>
      </c>
      <c r="J149" s="10">
        <f>IFERROR(__xludf.DUMMYFUNCTION("""COMPUTED_VALUE"""),0.6645)</f>
      </c>
      <c r="K149" s="11">
        <f>IFERROR(__xludf.DUMMYFUNCTION("""COMPUTED_VALUE"""),267.45)</f>
      </c>
      <c r="L149" s="10">
        <f>IFERROR(__xludf.DUMMYFUNCTION("""COMPUTED_VALUE"""),0.7232)</f>
      </c>
      <c r="M149" s="11">
        <f>IFERROR(__xludf.DUMMYFUNCTION("""COMPUTED_VALUE"""),332.52)</f>
      </c>
      <c r="N149" s="10">
        <f>IFERROR(__xludf.DUMMYFUNCTION("""COMPUTED_VALUE"""),0.6762)</f>
      </c>
      <c r="O149" s="11">
        <f>IFERROR(__xludf.DUMMYFUNCTION("""COMPUTED_VALUE"""),390.22)</f>
      </c>
      <c r="P149" s="12"/>
      <c r="Q149" s="12"/>
      <c r="R149" s="15"/>
      <c r="S149" s="12"/>
      <c r="T149" s="12"/>
      <c r="U149" s="12"/>
      <c r="V149" s="12"/>
      <c r="W149" s="12"/>
      <c r="X149" s="12"/>
      <c r="Y149" s="12"/>
      <c r="Z149" s="12"/>
    </row>
    <row x14ac:dyDescent="0.25" r="150" customHeight="1" ht="15.75">
      <c r="A150" s="8">
        <f>IFERROR(__xludf.DUMMYFUNCTION("""COMPUTED_VALUE"""),26016.0)</f>
      </c>
      <c r="B150" s="9">
        <f>IFERROR(__xludf.DUMMYFUNCTION("""COMPUTED_VALUE"""),"METROPOLITANA I")</f>
      </c>
      <c r="C150" s="9">
        <f>IFERROR(__xludf.DUMMYFUNCTION("""COMPUTED_VALUE"""),"CE DOM WALMOR")</f>
      </c>
      <c r="D150" s="10">
        <f>IFERROR(__xludf.DUMMYFUNCTION("""COMPUTED_VALUE"""),0.6229)</f>
      </c>
      <c r="E150" s="11">
        <f>IFERROR(__xludf.DUMMYFUNCTION("""COMPUTED_VALUE"""),258.72)</f>
      </c>
      <c r="F150" s="10">
        <f>IFERROR(__xludf.DUMMYFUNCTION("""COMPUTED_VALUE"""),0.8343)</f>
      </c>
      <c r="G150" s="11">
        <f>IFERROR(__xludf.DUMMYFUNCTION("""COMPUTED_VALUE"""),230.89)</f>
      </c>
      <c r="H150" s="10">
        <f>IFERROR(__xludf.DUMMYFUNCTION("""COMPUTED_VALUE"""),0.6349)</f>
      </c>
      <c r="I150" s="11">
        <f>IFERROR(__xludf.DUMMYFUNCTION("""COMPUTED_VALUE"""),219.75)</f>
      </c>
      <c r="J150" s="10">
        <f>IFERROR(__xludf.DUMMYFUNCTION("""COMPUTED_VALUE"""),0.4534)</f>
      </c>
      <c r="K150" s="11">
        <f>IFERROR(__xludf.DUMMYFUNCTION("""COMPUTED_VALUE"""),266.86)</f>
      </c>
      <c r="L150" s="10">
        <f>IFERROR(__xludf.DUMMYFUNCTION("""COMPUTED_VALUE"""),0.373)</f>
      </c>
      <c r="M150" s="11">
        <f>IFERROR(__xludf.DUMMYFUNCTION("""COMPUTED_VALUE"""),369.36)</f>
      </c>
      <c r="N150" s="10">
        <f>IFERROR(__xludf.DUMMYFUNCTION("""COMPUTED_VALUE"""),0.4167)</f>
      </c>
      <c r="O150" s="11">
        <f>IFERROR(__xludf.DUMMYFUNCTION("""COMPUTED_VALUE"""),382.85)</f>
      </c>
      <c r="P150" s="12"/>
      <c r="Q150" s="12"/>
      <c r="R150" s="15"/>
      <c r="S150" s="12"/>
      <c r="T150" s="12"/>
      <c r="U150" s="12"/>
      <c r="V150" s="12"/>
      <c r="W150" s="12"/>
      <c r="X150" s="12"/>
      <c r="Y150" s="12"/>
      <c r="Z150" s="12"/>
    </row>
    <row x14ac:dyDescent="0.25" r="151" customHeight="1" ht="15.75">
      <c r="A151" s="8">
        <f>IFERROR(__xludf.DUMMYFUNCTION("""COMPUTED_VALUE"""),26017.0)</f>
      </c>
      <c r="B151" s="9">
        <f>IFERROR(__xludf.DUMMYFUNCTION("""COMPUTED_VALUE"""),"METROPOLITANA I")</f>
      </c>
      <c r="C151" s="9">
        <f>IFERROR(__xludf.DUMMYFUNCTION("""COMPUTED_VALUE"""),"CE DOS LÍRIOS")</f>
      </c>
      <c r="D151" s="10">
        <f>IFERROR(__xludf.DUMMYFUNCTION("""COMPUTED_VALUE"""),0.8089)</f>
      </c>
      <c r="E151" s="11">
        <f>IFERROR(__xludf.DUMMYFUNCTION("""COMPUTED_VALUE"""),233.28)</f>
      </c>
      <c r="F151" s="10">
        <f>IFERROR(__xludf.DUMMYFUNCTION("""COMPUTED_VALUE"""),0.7962)</f>
      </c>
      <c r="G151" s="11">
        <f>IFERROR(__xludf.DUMMYFUNCTION("""COMPUTED_VALUE"""),372.68)</f>
      </c>
      <c r="H151" s="10">
        <f>IFERROR(__xludf.DUMMYFUNCTION("""COMPUTED_VALUE"""),0.7389)</f>
      </c>
      <c r="I151" s="11">
        <f>IFERROR(__xludf.DUMMYFUNCTION("""COMPUTED_VALUE"""),404.52)</f>
      </c>
      <c r="J151" s="10">
        <f>IFERROR(__xludf.DUMMYFUNCTION("""COMPUTED_VALUE"""),0.7261)</f>
      </c>
      <c r="K151" s="11">
        <f>IFERROR(__xludf.DUMMYFUNCTION("""COMPUTED_VALUE"""),326.07)</f>
      </c>
      <c r="L151" s="10">
        <f>IFERROR(__xludf.DUMMYFUNCTION("""COMPUTED_VALUE"""),0.7834)</f>
      </c>
      <c r="M151" s="11">
        <f>IFERROR(__xludf.DUMMYFUNCTION("""COMPUTED_VALUE"""),388.1)</f>
      </c>
      <c r="N151" s="10">
        <f>IFERROR(__xludf.DUMMYFUNCTION("""COMPUTED_VALUE"""),0.707)</f>
      </c>
      <c r="O151" s="11">
        <f>IFERROR(__xludf.DUMMYFUNCTION("""COMPUTED_VALUE"""),388.62)</f>
      </c>
      <c r="P151" s="12"/>
      <c r="Q151" s="12"/>
      <c r="R151" s="15"/>
      <c r="S151" s="12"/>
      <c r="T151" s="12"/>
      <c r="U151" s="12"/>
      <c r="V151" s="12"/>
      <c r="W151" s="12"/>
      <c r="X151" s="12"/>
      <c r="Y151" s="12"/>
      <c r="Z151" s="12"/>
    </row>
    <row x14ac:dyDescent="0.25" r="152" customHeight="1" ht="15.75">
      <c r="A152" s="8">
        <f>IFERROR(__xludf.DUMMYFUNCTION("""COMPUTED_VALUE"""),26018.0)</f>
      </c>
      <c r="B152" s="9">
        <f>IFERROR(__xludf.DUMMYFUNCTION("""COMPUTED_VALUE"""),"METROPOLITANA I")</f>
      </c>
      <c r="C152" s="9">
        <f>IFERROR(__xludf.DUMMYFUNCTION("""COMPUTED_VALUE"""),"CE DOUTOR MÁRIO GUIMARÃES")</f>
      </c>
      <c r="D152" s="10">
        <f>IFERROR(__xludf.DUMMYFUNCTION("""COMPUTED_VALUE"""),0.8958)</f>
      </c>
      <c r="E152" s="11">
        <f>IFERROR(__xludf.DUMMYFUNCTION("""COMPUTED_VALUE"""),354.15)</f>
      </c>
      <c r="F152" s="10">
        <f>IFERROR(__xludf.DUMMYFUNCTION("""COMPUTED_VALUE"""),0.5313)</f>
      </c>
      <c r="G152" s="11">
        <f>IFERROR(__xludf.DUMMYFUNCTION("""COMPUTED_VALUE"""),358.78)</f>
      </c>
      <c r="H152" s="10">
        <f>IFERROR(__xludf.DUMMYFUNCTION("""COMPUTED_VALUE"""),0.8646)</f>
      </c>
      <c r="I152" s="11">
        <f>IFERROR(__xludf.DUMMYFUNCTION("""COMPUTED_VALUE"""),467.56)</f>
      </c>
      <c r="J152" s="10">
        <f>IFERROR(__xludf.DUMMYFUNCTION("""COMPUTED_VALUE"""),0.8906)</f>
      </c>
      <c r="K152" s="11">
        <f>IFERROR(__xludf.DUMMYFUNCTION("""COMPUTED_VALUE"""),360.0)</f>
      </c>
      <c r="L152" s="10">
        <f>IFERROR(__xludf.DUMMYFUNCTION("""COMPUTED_VALUE"""),0.8906)</f>
      </c>
      <c r="M152" s="11">
        <f>IFERROR(__xludf.DUMMYFUNCTION("""COMPUTED_VALUE"""),418.95)</f>
      </c>
      <c r="N152" s="10">
        <f>IFERROR(__xludf.DUMMYFUNCTION("""COMPUTED_VALUE"""),0.875)</f>
      </c>
      <c r="O152" s="11">
        <f>IFERROR(__xludf.DUMMYFUNCTION("""COMPUTED_VALUE"""),453.57)</f>
      </c>
      <c r="P152" s="12"/>
      <c r="Q152" s="12"/>
      <c r="R152" s="15"/>
      <c r="S152" s="12"/>
      <c r="T152" s="12"/>
      <c r="U152" s="12"/>
      <c r="V152" s="12"/>
      <c r="W152" s="12"/>
      <c r="X152" s="12"/>
      <c r="Y152" s="12"/>
      <c r="Z152" s="12"/>
    </row>
    <row x14ac:dyDescent="0.25" r="153" customHeight="1" ht="15.75">
      <c r="A153" s="8">
        <f>IFERROR(__xludf.DUMMYFUNCTION("""COMPUTED_VALUE"""),26019.0)</f>
      </c>
      <c r="B153" s="9">
        <f>IFERROR(__xludf.DUMMYFUNCTION("""COMPUTED_VALUE"""),"METROPOLITANA I")</f>
      </c>
      <c r="C153" s="9">
        <f>IFERROR(__xludf.DUMMYFUNCTION("""COMPUTED_VALUE"""),"CE ENGENHEIRO AREA LEAO")</f>
      </c>
      <c r="D153" s="10">
        <f>IFERROR(__xludf.DUMMYFUNCTION("""COMPUTED_VALUE"""),0.9186)</f>
      </c>
      <c r="E153" s="11">
        <f>IFERROR(__xludf.DUMMYFUNCTION("""COMPUTED_VALUE"""),229.27)</f>
      </c>
      <c r="F153" s="10">
        <f>IFERROR(__xludf.DUMMYFUNCTION("""COMPUTED_VALUE"""),0.9015)</f>
      </c>
      <c r="G153" s="11">
        <f>IFERROR(__xludf.DUMMYFUNCTION("""COMPUTED_VALUE"""),245.14)</f>
      </c>
      <c r="H153" s="10">
        <f>IFERROR(__xludf.DUMMYFUNCTION("""COMPUTED_VALUE"""),0.6864)</f>
      </c>
      <c r="I153" s="11">
        <f>IFERROR(__xludf.DUMMYFUNCTION("""COMPUTED_VALUE"""),292.45)</f>
      </c>
      <c r="J153" s="10">
        <f>IFERROR(__xludf.DUMMYFUNCTION("""COMPUTED_VALUE"""),0.7119)</f>
      </c>
      <c r="K153" s="11">
        <f>IFERROR(__xludf.DUMMYFUNCTION("""COMPUTED_VALUE"""),303.41)</f>
      </c>
      <c r="L153" s="10">
        <f>IFERROR(__xludf.DUMMYFUNCTION("""COMPUTED_VALUE"""),0.5508)</f>
      </c>
      <c r="M153" s="11">
        <f>IFERROR(__xludf.DUMMYFUNCTION("""COMPUTED_VALUE"""),329.73)</f>
      </c>
      <c r="N153" s="10">
        <f>IFERROR(__xludf.DUMMYFUNCTION("""COMPUTED_VALUE"""),0.5085)</f>
      </c>
      <c r="O153" s="11">
        <f>IFERROR(__xludf.DUMMYFUNCTION("""COMPUTED_VALUE"""),426.18)</f>
      </c>
      <c r="P153" s="12"/>
      <c r="Q153" s="12"/>
      <c r="R153" s="15"/>
      <c r="S153" s="12"/>
      <c r="T153" s="12"/>
      <c r="U153" s="12"/>
      <c r="V153" s="12"/>
      <c r="W153" s="12"/>
      <c r="X153" s="12"/>
      <c r="Y153" s="12"/>
      <c r="Z153" s="12"/>
    </row>
    <row x14ac:dyDescent="0.25" r="154" customHeight="1" ht="15.75">
      <c r="A154" s="8">
        <f>IFERROR(__xludf.DUMMYFUNCTION("""COMPUTED_VALUE"""),26000.0)</f>
      </c>
      <c r="B154" s="9">
        <f>IFERROR(__xludf.DUMMYFUNCTION("""COMPUTED_VALUE"""),"METROPOLITANA I")</f>
      </c>
      <c r="C154" s="9">
        <f>IFERROR(__xludf.DUMMYFUNCTION("""COMPUTED_VALUE"""),"CE ENGENHEIRO PEDREIRA")</f>
      </c>
      <c r="D154" s="10">
        <f>IFERROR(__xludf.DUMMYFUNCTION("""COMPUTED_VALUE"""),0.7968)</f>
      </c>
      <c r="E154" s="11">
        <f>IFERROR(__xludf.DUMMYFUNCTION("""COMPUTED_VALUE"""),247.5)</f>
      </c>
      <c r="F154" s="10">
        <f>IFERROR(__xludf.DUMMYFUNCTION("""COMPUTED_VALUE"""),0.6702)</f>
      </c>
      <c r="G154" s="11">
        <f>IFERROR(__xludf.DUMMYFUNCTION("""COMPUTED_VALUE"""),387.48)</f>
      </c>
      <c r="H154" s="10">
        <f>IFERROR(__xludf.DUMMYFUNCTION("""COMPUTED_VALUE"""),0.5499)</f>
      </c>
      <c r="I154" s="11">
        <f>IFERROR(__xludf.DUMMYFUNCTION("""COMPUTED_VALUE"""),400.34)</f>
      </c>
      <c r="J154" s="10">
        <f>IFERROR(__xludf.DUMMYFUNCTION("""COMPUTED_VALUE"""),0.6054)</f>
      </c>
      <c r="K154" s="11">
        <f>IFERROR(__xludf.DUMMYFUNCTION("""COMPUTED_VALUE"""),309.23)</f>
      </c>
      <c r="L154" s="10">
        <f>IFERROR(__xludf.DUMMYFUNCTION("""COMPUTED_VALUE"""),0.5342)</f>
      </c>
      <c r="M154" s="11">
        <f>IFERROR(__xludf.DUMMYFUNCTION("""COMPUTED_VALUE"""),424.37)</f>
      </c>
      <c r="N154" s="10">
        <f>IFERROR(__xludf.DUMMYFUNCTION("""COMPUTED_VALUE"""),0.5088)</f>
      </c>
      <c r="O154" s="11">
        <f>IFERROR(__xludf.DUMMYFUNCTION("""COMPUTED_VALUE"""),426.95)</f>
      </c>
      <c r="P154" s="12"/>
      <c r="Q154" s="12"/>
      <c r="R154" s="15"/>
      <c r="S154" s="12"/>
      <c r="T154" s="12"/>
      <c r="U154" s="12"/>
      <c r="V154" s="12"/>
      <c r="W154" s="12"/>
      <c r="X154" s="12"/>
      <c r="Y154" s="12"/>
      <c r="Z154" s="12"/>
    </row>
    <row x14ac:dyDescent="0.25" r="155" customHeight="1" ht="15.75">
      <c r="A155" s="8">
        <f>IFERROR(__xludf.DUMMYFUNCTION("""COMPUTED_VALUE"""),26020.0)</f>
      </c>
      <c r="B155" s="9">
        <f>IFERROR(__xludf.DUMMYFUNCTION("""COMPUTED_VALUE"""),"METROPOLITANA I")</f>
      </c>
      <c r="C155" s="9">
        <f>IFERROR(__xludf.DUMMYFUNCTION("""COMPUTED_VALUE"""),"CE FIGUEIRA")</f>
      </c>
      <c r="D155" s="10">
        <f>IFERROR(__xludf.DUMMYFUNCTION("""COMPUTED_VALUE"""),0.8795)</f>
      </c>
      <c r="E155" s="11">
        <f>IFERROR(__xludf.DUMMYFUNCTION("""COMPUTED_VALUE"""),347.59)</f>
      </c>
      <c r="F155" s="10">
        <f>IFERROR(__xludf.DUMMYFUNCTION("""COMPUTED_VALUE"""),0.7048)</f>
      </c>
      <c r="G155" s="11">
        <f>IFERROR(__xludf.DUMMYFUNCTION("""COMPUTED_VALUE"""),438.94)</f>
      </c>
      <c r="H155" s="10">
        <f>IFERROR(__xludf.DUMMYFUNCTION("""COMPUTED_VALUE"""),0.7289)</f>
      </c>
      <c r="I155" s="11">
        <f>IFERROR(__xludf.DUMMYFUNCTION("""COMPUTED_VALUE"""),513.56)</f>
      </c>
      <c r="J155" s="10">
        <f>IFERROR(__xludf.DUMMYFUNCTION("""COMPUTED_VALUE"""),0.741)</f>
      </c>
      <c r="K155" s="11">
        <f>IFERROR(__xludf.DUMMYFUNCTION("""COMPUTED_VALUE"""),442.39)</f>
      </c>
      <c r="L155" s="10">
        <f>IFERROR(__xludf.DUMMYFUNCTION("""COMPUTED_VALUE"""),0.6747)</f>
      </c>
      <c r="M155" s="11">
        <f>IFERROR(__xludf.DUMMYFUNCTION("""COMPUTED_VALUE"""),488.44)</f>
      </c>
      <c r="N155" s="10">
        <f>IFERROR(__xludf.DUMMYFUNCTION("""COMPUTED_VALUE"""),0.8012)</f>
      </c>
      <c r="O155" s="11">
        <f>IFERROR(__xludf.DUMMYFUNCTION("""COMPUTED_VALUE"""),506.55)</f>
      </c>
      <c r="P155" s="12"/>
      <c r="Q155" s="12"/>
      <c r="R155" s="15"/>
      <c r="S155" s="12"/>
      <c r="T155" s="12"/>
      <c r="U155" s="12"/>
      <c r="V155" s="12"/>
      <c r="W155" s="12"/>
      <c r="X155" s="12"/>
      <c r="Y155" s="12"/>
      <c r="Z155" s="12"/>
    </row>
    <row x14ac:dyDescent="0.25" r="156" customHeight="1" ht="15.75">
      <c r="A156" s="8">
        <f>IFERROR(__xludf.DUMMYFUNCTION("""COMPUTED_VALUE"""),26021.0)</f>
      </c>
      <c r="B156" s="9">
        <f>IFERROR(__xludf.DUMMYFUNCTION("""COMPUTED_VALUE"""),"METROPOLITANA I")</f>
      </c>
      <c r="C156" s="9">
        <f>IFERROR(__xludf.DUMMYFUNCTION("""COMPUTED_VALUE"""),"CE FRANCISCO ASSUMPÇÃO")</f>
      </c>
      <c r="D156" s="10">
        <f>IFERROR(__xludf.DUMMYFUNCTION("""COMPUTED_VALUE"""),0.3277)</f>
      </c>
      <c r="E156" s="11">
        <f>IFERROR(__xludf.DUMMYFUNCTION("""COMPUTED_VALUE"""),235.56)</f>
      </c>
      <c r="F156" s="10">
        <f>IFERROR(__xludf.DUMMYFUNCTION("""COMPUTED_VALUE"""),0.6554)</f>
      </c>
      <c r="G156" s="11">
        <f>IFERROR(__xludf.DUMMYFUNCTION("""COMPUTED_VALUE"""),398.51)</f>
      </c>
      <c r="H156" s="10">
        <f>IFERROR(__xludf.DUMMYFUNCTION("""COMPUTED_VALUE"""),0.6675)</f>
      </c>
      <c r="I156" s="11">
        <f>IFERROR(__xludf.DUMMYFUNCTION("""COMPUTED_VALUE"""),429.49)</f>
      </c>
      <c r="J156" s="10">
        <f>IFERROR(__xludf.DUMMYFUNCTION("""COMPUTED_VALUE"""),0.6819)</f>
      </c>
      <c r="K156" s="11">
        <f>IFERROR(__xludf.DUMMYFUNCTION("""COMPUTED_VALUE"""),364.84)</f>
      </c>
      <c r="L156" s="10">
        <f>IFERROR(__xludf.DUMMYFUNCTION("""COMPUTED_VALUE"""),0.6289)</f>
      </c>
      <c r="M156" s="11">
        <f>IFERROR(__xludf.DUMMYFUNCTION("""COMPUTED_VALUE"""),400.0)</f>
      </c>
      <c r="N156" s="10">
        <f>IFERROR(__xludf.DUMMYFUNCTION("""COMPUTED_VALUE"""),0.5253)</f>
      </c>
      <c r="O156" s="11">
        <f>IFERROR(__xludf.DUMMYFUNCTION("""COMPUTED_VALUE"""),411.38)</f>
      </c>
      <c r="P156" s="12"/>
      <c r="Q156" s="12"/>
      <c r="R156" s="15"/>
      <c r="S156" s="12"/>
      <c r="T156" s="12"/>
      <c r="U156" s="12"/>
      <c r="V156" s="12"/>
      <c r="W156" s="12"/>
      <c r="X156" s="12"/>
      <c r="Y156" s="12"/>
      <c r="Z156" s="12"/>
    </row>
    <row x14ac:dyDescent="0.25" r="157" customHeight="1" ht="15.75">
      <c r="A157" s="8">
        <f>IFERROR(__xludf.DUMMYFUNCTION("""COMPUTED_VALUE"""),26022.0)</f>
      </c>
      <c r="B157" s="9">
        <f>IFERROR(__xludf.DUMMYFUNCTION("""COMPUTED_VALUE"""),"METROPOLITANA I")</f>
      </c>
      <c r="C157" s="9">
        <f>IFERROR(__xludf.DUMMYFUNCTION("""COMPUTED_VALUE"""),"CE JARDIM ALVORADA")</f>
      </c>
      <c r="D157" s="10">
        <f>IFERROR(__xludf.DUMMYFUNCTION("""COMPUTED_VALUE"""),0.7155)</f>
      </c>
      <c r="E157" s="11">
        <f>IFERROR(__xludf.DUMMYFUNCTION("""COMPUTED_VALUE"""),279.18)</f>
      </c>
      <c r="F157" s="10">
        <f>IFERROR(__xludf.DUMMYFUNCTION("""COMPUTED_VALUE"""),0.59)</f>
      </c>
      <c r="G157" s="11">
        <f>IFERROR(__xludf.DUMMYFUNCTION("""COMPUTED_VALUE"""),370.1)</f>
      </c>
      <c r="H157" s="10">
        <f>IFERROR(__xludf.DUMMYFUNCTION("""COMPUTED_VALUE"""),0.5552)</f>
      </c>
      <c r="I157" s="11">
        <f>IFERROR(__xludf.DUMMYFUNCTION("""COMPUTED_VALUE"""),444.31)</f>
      </c>
      <c r="J157" s="10">
        <f>IFERROR(__xludf.DUMMYFUNCTION("""COMPUTED_VALUE"""),0.5431)</f>
      </c>
      <c r="K157" s="11">
        <f>IFERROR(__xludf.DUMMYFUNCTION("""COMPUTED_VALUE"""),356.9)</f>
      </c>
      <c r="L157" s="10">
        <f>IFERROR(__xludf.DUMMYFUNCTION("""COMPUTED_VALUE"""),0.4515)</f>
      </c>
      <c r="M157" s="11">
        <f>IFERROR(__xludf.DUMMYFUNCTION("""COMPUTED_VALUE"""),375.11)</f>
      </c>
      <c r="N157" s="10">
        <f>IFERROR(__xludf.DUMMYFUNCTION("""COMPUTED_VALUE"""),0.4816)</f>
      </c>
      <c r="O157" s="11">
        <f>IFERROR(__xludf.DUMMYFUNCTION("""COMPUTED_VALUE"""),383.06)</f>
      </c>
      <c r="P157" s="12"/>
      <c r="Q157" s="12"/>
      <c r="R157" s="15"/>
      <c r="S157" s="12"/>
      <c r="T157" s="12"/>
      <c r="U157" s="12"/>
      <c r="V157" s="12"/>
      <c r="W157" s="12"/>
      <c r="X157" s="12"/>
      <c r="Y157" s="12"/>
      <c r="Z157" s="12"/>
    </row>
    <row x14ac:dyDescent="0.25" r="158" customHeight="1" ht="15.75">
      <c r="A158" s="8">
        <f>IFERROR(__xludf.DUMMYFUNCTION("""COMPUTED_VALUE"""),26023.0)</f>
      </c>
      <c r="B158" s="9">
        <f>IFERROR(__xludf.DUMMYFUNCTION("""COMPUTED_VALUE"""),"METROPOLITANA I")</f>
      </c>
      <c r="C158" s="9">
        <f>IFERROR(__xludf.DUMMYFUNCTION("""COMPUTED_VALUE"""),"CE JARDIM MARILICE - BRASIL-URUGUAI")</f>
      </c>
      <c r="D158" s="10">
        <f>IFERROR(__xludf.DUMMYFUNCTION("""COMPUTED_VALUE"""),1.0)</f>
      </c>
      <c r="E158" s="11">
        <f>IFERROR(__xludf.DUMMYFUNCTION("""COMPUTED_VALUE"""),400.55)</f>
      </c>
      <c r="F158" s="10">
        <f>IFERROR(__xludf.DUMMYFUNCTION("""COMPUTED_VALUE"""),0.9452)</f>
      </c>
      <c r="G158" s="11">
        <f>IFERROR(__xludf.DUMMYFUNCTION("""COMPUTED_VALUE"""),453.73)</f>
      </c>
      <c r="H158" s="10">
        <f>IFERROR(__xludf.DUMMYFUNCTION("""COMPUTED_VALUE"""),0.8767)</f>
      </c>
      <c r="I158" s="11">
        <f>IFERROR(__xludf.DUMMYFUNCTION("""COMPUTED_VALUE"""),471.25)</f>
      </c>
      <c r="J158" s="10">
        <f>IFERROR(__xludf.DUMMYFUNCTION("""COMPUTED_VALUE"""),0.8904)</f>
      </c>
      <c r="K158" s="11">
        <f>IFERROR(__xludf.DUMMYFUNCTION("""COMPUTED_VALUE"""),433.75)</f>
      </c>
      <c r="L158" s="10">
        <f>IFERROR(__xludf.DUMMYFUNCTION("""COMPUTED_VALUE"""),0.7671)</f>
      </c>
      <c r="M158" s="11">
        <f>IFERROR(__xludf.DUMMYFUNCTION("""COMPUTED_VALUE"""),498.57)</f>
      </c>
      <c r="N158" s="10">
        <f>IFERROR(__xludf.DUMMYFUNCTION("""COMPUTED_VALUE"""),0.7123)</f>
      </c>
      <c r="O158" s="11">
        <f>IFERROR(__xludf.DUMMYFUNCTION("""COMPUTED_VALUE"""),522.31)</f>
      </c>
      <c r="P158" s="12"/>
      <c r="Q158" s="12"/>
      <c r="R158" s="15"/>
      <c r="S158" s="12"/>
      <c r="T158" s="12"/>
      <c r="U158" s="12"/>
      <c r="V158" s="12"/>
      <c r="W158" s="12"/>
      <c r="X158" s="12"/>
      <c r="Y158" s="12"/>
      <c r="Z158" s="12"/>
    </row>
    <row x14ac:dyDescent="0.25" r="159" customHeight="1" ht="15.75">
      <c r="A159" s="8">
        <f>IFERROR(__xludf.DUMMYFUNCTION("""COMPUTED_VALUE"""),26001.0)</f>
      </c>
      <c r="B159" s="9">
        <f>IFERROR(__xludf.DUMMYFUNCTION("""COMPUTED_VALUE"""),"METROPOLITANA I")</f>
      </c>
      <c r="C159" s="9">
        <f>IFERROR(__xludf.DUMMYFUNCTION("""COMPUTED_VALUE"""),"CE JOAO SANTOS SOUTO")</f>
      </c>
      <c r="D159" s="10">
        <f>IFERROR(__xludf.DUMMYFUNCTION("""COMPUTED_VALUE"""),0.7679)</f>
      </c>
      <c r="E159" s="11">
        <f>IFERROR(__xludf.DUMMYFUNCTION("""COMPUTED_VALUE"""),294.27)</f>
      </c>
      <c r="F159" s="10">
        <f>IFERROR(__xludf.DUMMYFUNCTION("""COMPUTED_VALUE"""),0.692)</f>
      </c>
      <c r="G159" s="11">
        <f>IFERROR(__xludf.DUMMYFUNCTION("""COMPUTED_VALUE"""),387.02)</f>
      </c>
      <c r="H159" s="10">
        <f>IFERROR(__xludf.DUMMYFUNCTION("""COMPUTED_VALUE"""),0.7277)</f>
      </c>
      <c r="I159" s="11">
        <f>IFERROR(__xludf.DUMMYFUNCTION("""COMPUTED_VALUE"""),372.42)</f>
      </c>
      <c r="J159" s="10">
        <f>IFERROR(__xludf.DUMMYFUNCTION("""COMPUTED_VALUE"""),0.6563)</f>
      </c>
      <c r="K159" s="11">
        <f>IFERROR(__xludf.DUMMYFUNCTION("""COMPUTED_VALUE"""),337.53)</f>
      </c>
      <c r="L159" s="10">
        <f>IFERROR(__xludf.DUMMYFUNCTION("""COMPUTED_VALUE"""),0.683)</f>
      </c>
      <c r="M159" s="11">
        <f>IFERROR(__xludf.DUMMYFUNCTION("""COMPUTED_VALUE"""),392.21)</f>
      </c>
      <c r="N159" s="10">
        <f>IFERROR(__xludf.DUMMYFUNCTION("""COMPUTED_VALUE"""),0.808)</f>
      </c>
      <c r="O159" s="11">
        <f>IFERROR(__xludf.DUMMYFUNCTION("""COMPUTED_VALUE"""),379.11)</f>
      </c>
      <c r="P159" s="12"/>
      <c r="Q159" s="12"/>
      <c r="R159" s="15"/>
      <c r="S159" s="12"/>
      <c r="T159" s="12"/>
      <c r="U159" s="12"/>
      <c r="V159" s="12"/>
      <c r="W159" s="12"/>
      <c r="X159" s="12"/>
      <c r="Y159" s="12"/>
      <c r="Z159" s="12"/>
    </row>
    <row x14ac:dyDescent="0.25" r="160" customHeight="1" ht="15.75">
      <c r="A160" s="8">
        <f>IFERROR(__xludf.DUMMYFUNCTION("""COMPUTED_VALUE"""),26024.0)</f>
      </c>
      <c r="B160" s="9">
        <f>IFERROR(__xludf.DUMMYFUNCTION("""COMPUTED_VALUE"""),"METROPOLITANA I")</f>
      </c>
      <c r="C160" s="9">
        <f>IFERROR(__xludf.DUMMYFUNCTION("""COMPUTED_VALUE"""),"CE JOSÉ BONIFÁCIO")</f>
      </c>
      <c r="D160" s="10">
        <f>IFERROR(__xludf.DUMMYFUNCTION("""COMPUTED_VALUE"""),0.8775)</f>
      </c>
      <c r="E160" s="11">
        <f>IFERROR(__xludf.DUMMYFUNCTION("""COMPUTED_VALUE"""),165.62)</f>
      </c>
      <c r="F160" s="10">
        <f>IFERROR(__xludf.DUMMYFUNCTION("""COMPUTED_VALUE"""),0.6569)</f>
      </c>
      <c r="G160" s="11">
        <f>IFERROR(__xludf.DUMMYFUNCTION("""COMPUTED_VALUE"""),389.49)</f>
      </c>
      <c r="H160" s="10">
        <f>IFERROR(__xludf.DUMMYFUNCTION("""COMPUTED_VALUE"""),0.5392)</f>
      </c>
      <c r="I160" s="11">
        <f>IFERROR(__xludf.DUMMYFUNCTION("""COMPUTED_VALUE"""),445.09)</f>
      </c>
      <c r="J160" s="10">
        <f>IFERROR(__xludf.DUMMYFUNCTION("""COMPUTED_VALUE"""),0.5931)</f>
      </c>
      <c r="K160" s="11">
        <f>IFERROR(__xludf.DUMMYFUNCTION("""COMPUTED_VALUE"""),288.74)</f>
      </c>
      <c r="L160" s="10">
        <f>IFERROR(__xludf.DUMMYFUNCTION("""COMPUTED_VALUE"""),0.6176)</f>
      </c>
      <c r="M160" s="11">
        <f>IFERROR(__xludf.DUMMYFUNCTION("""COMPUTED_VALUE"""),418.88)</f>
      </c>
      <c r="N160" s="10">
        <f>IFERROR(__xludf.DUMMYFUNCTION("""COMPUTED_VALUE"""),0.4657)</f>
      </c>
      <c r="O160" s="11">
        <f>IFERROR(__xludf.DUMMYFUNCTION("""COMPUTED_VALUE"""),449.03)</f>
      </c>
      <c r="P160" s="12"/>
      <c r="Q160" s="12"/>
      <c r="R160" s="15"/>
      <c r="S160" s="12"/>
      <c r="T160" s="12"/>
      <c r="U160" s="12"/>
      <c r="V160" s="12"/>
      <c r="W160" s="12"/>
      <c r="X160" s="12"/>
      <c r="Y160" s="12"/>
      <c r="Z160" s="12"/>
    </row>
    <row x14ac:dyDescent="0.25" r="161" customHeight="1" ht="15.75">
      <c r="A161" s="8">
        <f>IFERROR(__xludf.DUMMYFUNCTION("""COMPUTED_VALUE"""),26025.0)</f>
      </c>
      <c r="B161" s="9">
        <f>IFERROR(__xludf.DUMMYFUNCTION("""COMPUTED_VALUE"""),"METROPOLITANA I")</f>
      </c>
      <c r="C161" s="9">
        <f>IFERROR(__xludf.DUMMYFUNCTION("""COMPUTED_VALUE"""),"CE LEOPOLDO MACHADO")</f>
      </c>
      <c r="D161" s="10">
        <f>IFERROR(__xludf.DUMMYFUNCTION("""COMPUTED_VALUE"""),0.9471)</f>
      </c>
      <c r="E161" s="11">
        <f>IFERROR(__xludf.DUMMYFUNCTION("""COMPUTED_VALUE"""),318.5)</f>
      </c>
      <c r="F161" s="10">
        <f>IFERROR(__xludf.DUMMYFUNCTION("""COMPUTED_VALUE"""),0.9765)</f>
      </c>
      <c r="G161" s="11">
        <f>IFERROR(__xludf.DUMMYFUNCTION("""COMPUTED_VALUE"""),339.39)</f>
      </c>
      <c r="H161" s="10">
        <f>IFERROR(__xludf.DUMMYFUNCTION("""COMPUTED_VALUE"""),0.7412)</f>
      </c>
      <c r="I161" s="11">
        <f>IFERROR(__xludf.DUMMYFUNCTION("""COMPUTED_VALUE"""),485.71)</f>
      </c>
      <c r="J161" s="10">
        <f>IFERROR(__xludf.DUMMYFUNCTION("""COMPUTED_VALUE"""),0.6412)</f>
      </c>
      <c r="K161" s="11">
        <f>IFERROR(__xludf.DUMMYFUNCTION("""COMPUTED_VALUE"""),458.89)</f>
      </c>
      <c r="L161" s="10">
        <f>IFERROR(__xludf.DUMMYFUNCTION("""COMPUTED_VALUE"""),0.7824)</f>
      </c>
      <c r="M161" s="11">
        <f>IFERROR(__xludf.DUMMYFUNCTION("""COMPUTED_VALUE"""),459.7)</f>
      </c>
      <c r="N161" s="10">
        <f>IFERROR(__xludf.DUMMYFUNCTION("""COMPUTED_VALUE"""),0.6647)</f>
      </c>
      <c r="O161" s="11">
        <f>IFERROR(__xludf.DUMMYFUNCTION("""COMPUTED_VALUE"""),486.07)</f>
      </c>
      <c r="P161" s="12"/>
      <c r="Q161" s="12"/>
      <c r="R161" s="15"/>
      <c r="S161" s="12"/>
      <c r="T161" s="12"/>
      <c r="U161" s="12"/>
      <c r="V161" s="12"/>
      <c r="W161" s="12"/>
      <c r="X161" s="12"/>
      <c r="Y161" s="12"/>
      <c r="Z161" s="12"/>
    </row>
    <row x14ac:dyDescent="0.25" r="162" customHeight="1" ht="15.75">
      <c r="A162" s="8">
        <f>IFERROR(__xludf.DUMMYFUNCTION("""COMPUTED_VALUE"""),26026.0)</f>
      </c>
      <c r="B162" s="9">
        <f>IFERROR(__xludf.DUMMYFUNCTION("""COMPUTED_VALUE"""),"METROPOLITANA I")</f>
      </c>
      <c r="C162" s="9">
        <f>IFERROR(__xludf.DUMMYFUNCTION("""COMPUTED_VALUE"""),"CE MARECHAL JUAREZ TAVORA")</f>
      </c>
      <c r="D162" s="10">
        <f>IFERROR(__xludf.DUMMYFUNCTION("""COMPUTED_VALUE"""),0.8438)</f>
      </c>
      <c r="E162" s="11">
        <f>IFERROR(__xludf.DUMMYFUNCTION("""COMPUTED_VALUE"""),133.93)</f>
      </c>
      <c r="F162" s="10">
        <f>IFERROR(__xludf.DUMMYFUNCTION("""COMPUTED_VALUE"""),0.7938)</f>
      </c>
      <c r="G162" s="11">
        <f>IFERROR(__xludf.DUMMYFUNCTION("""COMPUTED_VALUE"""),347.33)</f>
      </c>
      <c r="H162" s="10">
        <f>IFERROR(__xludf.DUMMYFUNCTION("""COMPUTED_VALUE"""),0.75)</f>
      </c>
      <c r="I162" s="11">
        <f>IFERROR(__xludf.DUMMYFUNCTION("""COMPUTED_VALUE"""),368.28)</f>
      </c>
      <c r="J162" s="10">
        <f>IFERROR(__xludf.DUMMYFUNCTION("""COMPUTED_VALUE"""),0.6375)</f>
      </c>
      <c r="K162" s="11">
        <f>IFERROR(__xludf.DUMMYFUNCTION("""COMPUTED_VALUE"""),282.3)</f>
      </c>
      <c r="L162" s="10">
        <f>IFERROR(__xludf.DUMMYFUNCTION("""COMPUTED_VALUE"""),0.6)</f>
      </c>
      <c r="M162" s="11">
        <f>IFERROR(__xludf.DUMMYFUNCTION("""COMPUTED_VALUE"""),345.38)</f>
      </c>
      <c r="N162" s="10">
        <f>IFERROR(__xludf.DUMMYFUNCTION("""COMPUTED_VALUE"""),0.5375)</f>
      </c>
      <c r="O162" s="11">
        <f>IFERROR(__xludf.DUMMYFUNCTION("""COMPUTED_VALUE"""),378.27)</f>
      </c>
      <c r="P162" s="12"/>
      <c r="Q162" s="12"/>
      <c r="R162" s="15"/>
      <c r="S162" s="12"/>
      <c r="T162" s="12"/>
      <c r="U162" s="12"/>
      <c r="V162" s="12"/>
      <c r="W162" s="12"/>
      <c r="X162" s="12"/>
      <c r="Y162" s="12"/>
      <c r="Z162" s="12"/>
    </row>
    <row x14ac:dyDescent="0.25" r="163" customHeight="1" ht="15.75">
      <c r="A163" s="8">
        <f>IFERROR(__xludf.DUMMYFUNCTION("""COMPUTED_VALUE"""),26027.0)</f>
      </c>
      <c r="B163" s="9">
        <f>IFERROR(__xludf.DUMMYFUNCTION("""COMPUTED_VALUE"""),"METROPOLITANA I")</f>
      </c>
      <c r="C163" s="9">
        <f>IFERROR(__xludf.DUMMYFUNCTION("""COMPUTED_VALUE"""),"CE MARIA EMÍLIA AMARAL FONTOURA")</f>
      </c>
      <c r="D163" s="10">
        <f>IFERROR(__xludf.DUMMYFUNCTION("""COMPUTED_VALUE"""),0.9243)</f>
      </c>
      <c r="E163" s="11">
        <f>IFERROR(__xludf.DUMMYFUNCTION("""COMPUTED_VALUE"""),268.3)</f>
      </c>
      <c r="F163" s="10">
        <f>IFERROR(__xludf.DUMMYFUNCTION("""COMPUTED_VALUE"""),0.7052)</f>
      </c>
      <c r="G163" s="11">
        <f>IFERROR(__xludf.DUMMYFUNCTION("""COMPUTED_VALUE"""),413.72)</f>
      </c>
      <c r="H163" s="10">
        <f>IFERROR(__xludf.DUMMYFUNCTION("""COMPUTED_VALUE"""),0.4767)</f>
      </c>
      <c r="I163" s="11">
        <f>IFERROR(__xludf.DUMMYFUNCTION("""COMPUTED_VALUE"""),440.63)</f>
      </c>
      <c r="J163" s="10">
        <f>IFERROR(__xludf.DUMMYFUNCTION("""COMPUTED_VALUE"""),0.8638)</f>
      </c>
      <c r="K163" s="11">
        <f>IFERROR(__xludf.DUMMYFUNCTION("""COMPUTED_VALUE"""),418.37)</f>
      </c>
      <c r="L163" s="10">
        <f>IFERROR(__xludf.DUMMYFUNCTION("""COMPUTED_VALUE"""),0.8029)</f>
      </c>
      <c r="M163" s="11">
        <f>IFERROR(__xludf.DUMMYFUNCTION("""COMPUTED_VALUE"""),506.61)</f>
      </c>
      <c r="N163" s="10">
        <f>IFERROR(__xludf.DUMMYFUNCTION("""COMPUTED_VALUE"""),0.81)</f>
      </c>
      <c r="O163" s="11">
        <f>IFERROR(__xludf.DUMMYFUNCTION("""COMPUTED_VALUE"""),511.17)</f>
      </c>
      <c r="P163" s="12"/>
      <c r="Q163" s="12"/>
      <c r="R163" s="15"/>
      <c r="S163" s="12"/>
      <c r="T163" s="12"/>
      <c r="U163" s="12"/>
      <c r="V163" s="12"/>
      <c r="W163" s="12"/>
      <c r="X163" s="12"/>
      <c r="Y163" s="12"/>
      <c r="Z163" s="12"/>
    </row>
    <row x14ac:dyDescent="0.25" r="164" customHeight="1" ht="15.75">
      <c r="A164" s="8">
        <f>IFERROR(__xludf.DUMMYFUNCTION("""COMPUTED_VALUE"""),26028.0)</f>
      </c>
      <c r="B164" s="9">
        <f>IFERROR(__xludf.DUMMYFUNCTION("""COMPUTED_VALUE"""),"METROPOLITANA I")</f>
      </c>
      <c r="C164" s="9">
        <f>IFERROR(__xludf.DUMMYFUNCTION("""COMPUTED_VALUE"""),"CE MARIA JUSTINIANO FERNANDES")</f>
      </c>
      <c r="D164" s="10">
        <f>IFERROR(__xludf.DUMMYFUNCTION("""COMPUTED_VALUE"""),0.9919)</f>
      </c>
      <c r="E164" s="11">
        <f>IFERROR(__xludf.DUMMYFUNCTION("""COMPUTED_VALUE"""),332.23)</f>
      </c>
      <c r="F164" s="10">
        <f>IFERROR(__xludf.DUMMYFUNCTION("""COMPUTED_VALUE"""),1.0)</f>
      </c>
      <c r="G164" s="11">
        <f>IFERROR(__xludf.DUMMYFUNCTION("""COMPUTED_VALUE"""),373.1)</f>
      </c>
      <c r="H164" s="10">
        <f>IFERROR(__xludf.DUMMYFUNCTION("""COMPUTED_VALUE"""),1.0)</f>
      </c>
      <c r="I164" s="11">
        <f>IFERROR(__xludf.DUMMYFUNCTION("""COMPUTED_VALUE"""),391.87)</f>
      </c>
      <c r="J164" s="10">
        <f>IFERROR(__xludf.DUMMYFUNCTION("""COMPUTED_VALUE"""),1.0)</f>
      </c>
      <c r="K164" s="11">
        <f>IFERROR(__xludf.DUMMYFUNCTION("""COMPUTED_VALUE"""),310.82)</f>
      </c>
      <c r="L164" s="10">
        <f>IFERROR(__xludf.DUMMYFUNCTION("""COMPUTED_VALUE"""),1.0)</f>
      </c>
      <c r="M164" s="11">
        <f>IFERROR(__xludf.DUMMYFUNCTION("""COMPUTED_VALUE"""),370.49)</f>
      </c>
      <c r="N164" s="10">
        <f>IFERROR(__xludf.DUMMYFUNCTION("""COMPUTED_VALUE"""),1.0)</f>
      </c>
      <c r="O164" s="11">
        <f>IFERROR(__xludf.DUMMYFUNCTION("""COMPUTED_VALUE"""),301.46)</f>
      </c>
      <c r="P164" s="12"/>
      <c r="Q164" s="12"/>
      <c r="R164" s="15"/>
      <c r="S164" s="12"/>
      <c r="T164" s="12"/>
      <c r="U164" s="12"/>
      <c r="V164" s="12"/>
      <c r="W164" s="12"/>
      <c r="X164" s="12"/>
      <c r="Y164" s="12"/>
      <c r="Z164" s="12"/>
    </row>
    <row x14ac:dyDescent="0.25" r="165" customHeight="1" ht="15.75">
      <c r="A165" s="8">
        <f>IFERROR(__xludf.DUMMYFUNCTION("""COMPUTED_VALUE"""),26029.0)</f>
      </c>
      <c r="B165" s="9">
        <f>IFERROR(__xludf.DUMMYFUNCTION("""COMPUTED_VALUE"""),"METROPOLITANA I")</f>
      </c>
      <c r="C165" s="9">
        <f>IFERROR(__xludf.DUMMYFUNCTION("""COMPUTED_VALUE"""),"CE MILTON CAMPOS")</f>
      </c>
      <c r="D165" s="10">
        <f>IFERROR(__xludf.DUMMYFUNCTION("""COMPUTED_VALUE"""),0.7685)</f>
      </c>
      <c r="E165" s="11">
        <f>IFERROR(__xludf.DUMMYFUNCTION("""COMPUTED_VALUE"""),330.84)</f>
      </c>
      <c r="F165" s="10">
        <f>IFERROR(__xludf.DUMMYFUNCTION("""COMPUTED_VALUE"""),0.734)</f>
      </c>
      <c r="G165" s="11">
        <f>IFERROR(__xludf.DUMMYFUNCTION("""COMPUTED_VALUE"""),433.15)</f>
      </c>
      <c r="H165" s="10">
        <f>IFERROR(__xludf.DUMMYFUNCTION("""COMPUTED_VALUE"""),0.6108)</f>
      </c>
      <c r="I165" s="11">
        <f>IFERROR(__xludf.DUMMYFUNCTION("""COMPUTED_VALUE"""),461.97)</f>
      </c>
      <c r="J165" s="10">
        <f>IFERROR(__xludf.DUMMYFUNCTION("""COMPUTED_VALUE"""),0.67)</f>
      </c>
      <c r="K165" s="11">
        <f>IFERROR(__xludf.DUMMYFUNCTION("""COMPUTED_VALUE"""),413.22)</f>
      </c>
      <c r="L165" s="10">
        <f>IFERROR(__xludf.DUMMYFUNCTION("""COMPUTED_VALUE"""),0.5271)</f>
      </c>
      <c r="M165" s="11">
        <f>IFERROR(__xludf.DUMMYFUNCTION("""COMPUTED_VALUE"""),468.3)</f>
      </c>
      <c r="N165" s="10">
        <f>IFERROR(__xludf.DUMMYFUNCTION("""COMPUTED_VALUE"""),0.4828)</f>
      </c>
      <c r="O165" s="11">
        <f>IFERROR(__xludf.DUMMYFUNCTION("""COMPUTED_VALUE"""),488.16)</f>
      </c>
      <c r="P165" s="12"/>
      <c r="Q165" s="12"/>
      <c r="R165" s="15"/>
      <c r="S165" s="12"/>
      <c r="T165" s="12"/>
      <c r="U165" s="12"/>
      <c r="V165" s="12"/>
      <c r="W165" s="12"/>
      <c r="X165" s="12"/>
      <c r="Y165" s="12"/>
      <c r="Z165" s="12"/>
    </row>
    <row x14ac:dyDescent="0.25" r="166" customHeight="1" ht="15.75">
      <c r="A166" s="8">
        <f>IFERROR(__xludf.DUMMYFUNCTION("""COMPUTED_VALUE"""),26030.0)</f>
      </c>
      <c r="B166" s="9">
        <f>IFERROR(__xludf.DUMMYFUNCTION("""COMPUTED_VALUE"""),"METROPOLITANA I")</f>
      </c>
      <c r="C166" s="9">
        <f>IFERROR(__xludf.DUMMYFUNCTION("""COMPUTED_VALUE"""),"CE NATIVIDADE PATRICIO ANTUNES")</f>
      </c>
      <c r="D166" s="10">
        <f>IFERROR(__xludf.DUMMYFUNCTION("""COMPUTED_VALUE"""),0.9605)</f>
      </c>
      <c r="E166" s="11">
        <f>IFERROR(__xludf.DUMMYFUNCTION("""COMPUTED_VALUE"""),252.05)</f>
      </c>
      <c r="F166" s="10">
        <f>IFERROR(__xludf.DUMMYFUNCTION("""COMPUTED_VALUE"""),0.5658)</f>
      </c>
      <c r="G166" s="11">
        <f>IFERROR(__xludf.DUMMYFUNCTION("""COMPUTED_VALUE"""),450.7)</f>
      </c>
      <c r="H166" s="10">
        <f>IFERROR(__xludf.DUMMYFUNCTION("""COMPUTED_VALUE"""),0.4583)</f>
      </c>
      <c r="I166" s="11">
        <f>IFERROR(__xludf.DUMMYFUNCTION("""COMPUTED_VALUE"""),453.06)</f>
      </c>
      <c r="J166" s="10">
        <f>IFERROR(__xludf.DUMMYFUNCTION("""COMPUTED_VALUE"""),0.6632)</f>
      </c>
      <c r="K166" s="11">
        <f>IFERROR(__xludf.DUMMYFUNCTION("""COMPUTED_VALUE"""),322.31)</f>
      </c>
      <c r="L166" s="10">
        <f>IFERROR(__xludf.DUMMYFUNCTION("""COMPUTED_VALUE"""),0.5833)</f>
      </c>
      <c r="M166" s="11">
        <f>IFERROR(__xludf.DUMMYFUNCTION("""COMPUTED_VALUE"""),427.14)</f>
      </c>
      <c r="N166" s="10">
        <f>IFERROR(__xludf.DUMMYFUNCTION("""COMPUTED_VALUE"""),0.3646)</f>
      </c>
      <c r="O166" s="11">
        <f>IFERROR(__xludf.DUMMYFUNCTION("""COMPUTED_VALUE"""),416.57)</f>
      </c>
      <c r="P166" s="12"/>
      <c r="Q166" s="12"/>
      <c r="R166" s="15"/>
      <c r="S166" s="12"/>
      <c r="T166" s="12"/>
      <c r="U166" s="12"/>
      <c r="V166" s="12"/>
      <c r="W166" s="12"/>
      <c r="X166" s="12"/>
      <c r="Y166" s="12"/>
      <c r="Z166" s="12"/>
    </row>
    <row x14ac:dyDescent="0.25" r="167" customHeight="1" ht="15.75">
      <c r="A167" s="8">
        <f>IFERROR(__xludf.DUMMYFUNCTION("""COMPUTED_VALUE"""),26088.0)</f>
      </c>
      <c r="B167" s="9">
        <f>IFERROR(__xludf.DUMMYFUNCTION("""COMPUTED_VALUE"""),"METROPOLITANA I")</f>
      </c>
      <c r="C167" s="9">
        <f>IFERROR(__xludf.DUMMYFUNCTION("""COMPUTED_VALUE"""),"CE PREFEITO LUIZ GUIMARÃES")</f>
      </c>
      <c r="D167" s="10">
        <f>IFERROR(__xludf.DUMMYFUNCTION("""COMPUTED_VALUE"""),0.7103)</f>
      </c>
      <c r="E167" s="11">
        <f>IFERROR(__xludf.DUMMYFUNCTION("""COMPUTED_VALUE"""),191.62)</f>
      </c>
      <c r="F167" s="10">
        <f>IFERROR(__xludf.DUMMYFUNCTION("""COMPUTED_VALUE"""),0.514)</f>
      </c>
      <c r="G167" s="11">
        <f>IFERROR(__xludf.DUMMYFUNCTION("""COMPUTED_VALUE"""),308.93)</f>
      </c>
      <c r="H167" s="10">
        <f>IFERROR(__xludf.DUMMYFUNCTION("""COMPUTED_VALUE"""),0.5101)</f>
      </c>
      <c r="I167" s="11">
        <f>IFERROR(__xludf.DUMMYFUNCTION("""COMPUTED_VALUE"""),332.4)</f>
      </c>
      <c r="J167" s="10">
        <f>IFERROR(__xludf.DUMMYFUNCTION("""COMPUTED_VALUE"""),0.5332)</f>
      </c>
      <c r="K167" s="11">
        <f>IFERROR(__xludf.DUMMYFUNCTION("""COMPUTED_VALUE"""),250.49)</f>
      </c>
      <c r="L167" s="10">
        <f>IFERROR(__xludf.DUMMYFUNCTION("""COMPUTED_VALUE"""),0.4362)</f>
      </c>
      <c r="M167" s="11">
        <f>IFERROR(__xludf.DUMMYFUNCTION("""COMPUTED_VALUE"""),328.0)</f>
      </c>
      <c r="N167" s="10">
        <f>IFERROR(__xludf.DUMMYFUNCTION("""COMPUTED_VALUE"""),0.3937)</f>
      </c>
      <c r="O167" s="11">
        <f>IFERROR(__xludf.DUMMYFUNCTION("""COMPUTED_VALUE"""),352.96)</f>
      </c>
      <c r="P167" s="12"/>
      <c r="Q167" s="12"/>
      <c r="R167" s="15"/>
      <c r="S167" s="12"/>
      <c r="T167" s="12"/>
      <c r="U167" s="12"/>
      <c r="V167" s="12"/>
      <c r="W167" s="12"/>
      <c r="X167" s="12"/>
      <c r="Y167" s="12"/>
      <c r="Z167" s="12"/>
    </row>
    <row x14ac:dyDescent="0.25" r="168" customHeight="1" ht="15.75">
      <c r="A168" s="8">
        <f>IFERROR(__xludf.DUMMYFUNCTION("""COMPUTED_VALUE"""),26031.0)</f>
      </c>
      <c r="B168" s="9">
        <f>IFERROR(__xludf.DUMMYFUNCTION("""COMPUTED_VALUE"""),"METROPOLITANA I")</f>
      </c>
      <c r="C168" s="9">
        <f>IFERROR(__xludf.DUMMYFUNCTION("""COMPUTED_VALUE"""),"CE PROFESSOR AMAZOR VIEIRA BORGES")</f>
      </c>
      <c r="D168" s="10">
        <f>IFERROR(__xludf.DUMMYFUNCTION("""COMPUTED_VALUE"""),0.9217)</f>
      </c>
      <c r="E168" s="11">
        <f>IFERROR(__xludf.DUMMYFUNCTION("""COMPUTED_VALUE"""),364.62)</f>
      </c>
      <c r="F168" s="10">
        <f>IFERROR(__xludf.DUMMYFUNCTION("""COMPUTED_VALUE"""),0.8221)</f>
      </c>
      <c r="G168" s="11">
        <f>IFERROR(__xludf.DUMMYFUNCTION("""COMPUTED_VALUE"""),398.43)</f>
      </c>
      <c r="H168" s="10">
        <f>IFERROR(__xludf.DUMMYFUNCTION("""COMPUTED_VALUE"""),0.7972)</f>
      </c>
      <c r="I168" s="11">
        <f>IFERROR(__xludf.DUMMYFUNCTION("""COMPUTED_VALUE"""),470.59)</f>
      </c>
      <c r="J168" s="10">
        <f>IFERROR(__xludf.DUMMYFUNCTION("""COMPUTED_VALUE"""),0.8327)</f>
      </c>
      <c r="K168" s="11">
        <f>IFERROR(__xludf.DUMMYFUNCTION("""COMPUTED_VALUE"""),449.51)</f>
      </c>
      <c r="L168" s="10">
        <f>IFERROR(__xludf.DUMMYFUNCTION("""COMPUTED_VALUE"""),0.7438)</f>
      </c>
      <c r="M168" s="11">
        <f>IFERROR(__xludf.DUMMYFUNCTION("""COMPUTED_VALUE"""),481.15)</f>
      </c>
      <c r="N168" s="10">
        <f>IFERROR(__xludf.DUMMYFUNCTION("""COMPUTED_VALUE"""),0.7758)</f>
      </c>
      <c r="O168" s="11">
        <f>IFERROR(__xludf.DUMMYFUNCTION("""COMPUTED_VALUE"""),510.94)</f>
      </c>
      <c r="P168" s="12"/>
      <c r="Q168" s="12"/>
      <c r="R168" s="15"/>
      <c r="S168" s="12"/>
      <c r="T168" s="12"/>
      <c r="U168" s="12"/>
      <c r="V168" s="12"/>
      <c r="W168" s="12"/>
      <c r="X168" s="12"/>
      <c r="Y168" s="12"/>
      <c r="Z168" s="12"/>
    </row>
    <row x14ac:dyDescent="0.25" r="169" customHeight="1" ht="15.75">
      <c r="A169" s="8">
        <f>IFERROR(__xludf.DUMMYFUNCTION("""COMPUTED_VALUE"""),26032.0)</f>
      </c>
      <c r="B169" s="9">
        <f>IFERROR(__xludf.DUMMYFUNCTION("""COMPUTED_VALUE"""),"METROPOLITANA I")</f>
      </c>
      <c r="C169" s="9">
        <f>IFERROR(__xludf.DUMMYFUNCTION("""COMPUTED_VALUE"""),"CE PROFESSORA EVANGELINA SOARES DE MOURA")</f>
      </c>
      <c r="D169" s="10">
        <f>IFERROR(__xludf.DUMMYFUNCTION("""COMPUTED_VALUE"""),0.8)</f>
      </c>
      <c r="E169" s="11">
        <f>IFERROR(__xludf.DUMMYFUNCTION("""COMPUTED_VALUE"""),253.97)</f>
      </c>
      <c r="F169" s="10">
        <f>IFERROR(__xludf.DUMMYFUNCTION("""COMPUTED_VALUE"""),0.675)</f>
      </c>
      <c r="G169" s="11">
        <f>IFERROR(__xludf.DUMMYFUNCTION("""COMPUTED_VALUE"""),362.22)</f>
      </c>
      <c r="H169" s="10">
        <f>IFERROR(__xludf.DUMMYFUNCTION("""COMPUTED_VALUE"""),0.5375)</f>
      </c>
      <c r="I169" s="11">
        <f>IFERROR(__xludf.DUMMYFUNCTION("""COMPUTED_VALUE"""),439.02)</f>
      </c>
      <c r="J169" s="10">
        <f>IFERROR(__xludf.DUMMYFUNCTION("""COMPUTED_VALUE"""),0.575)</f>
      </c>
      <c r="K169" s="11">
        <f>IFERROR(__xludf.DUMMYFUNCTION("""COMPUTED_VALUE"""),355.65)</f>
      </c>
      <c r="L169" s="10">
        <f>IFERROR(__xludf.DUMMYFUNCTION("""COMPUTED_VALUE"""),0.625)</f>
      </c>
      <c r="M169" s="11">
        <f>IFERROR(__xludf.DUMMYFUNCTION("""COMPUTED_VALUE"""),386.12)</f>
      </c>
      <c r="N169" s="10">
        <f>IFERROR(__xludf.DUMMYFUNCTION("""COMPUTED_VALUE"""),0.6375)</f>
      </c>
      <c r="O169" s="11">
        <f>IFERROR(__xludf.DUMMYFUNCTION("""COMPUTED_VALUE"""),428.24)</f>
      </c>
      <c r="P169" s="12"/>
      <c r="Q169" s="12"/>
      <c r="R169" s="15"/>
      <c r="S169" s="12"/>
      <c r="T169" s="12"/>
      <c r="U169" s="12"/>
      <c r="V169" s="12"/>
      <c r="W169" s="12"/>
      <c r="X169" s="12"/>
      <c r="Y169" s="12"/>
      <c r="Z169" s="12"/>
    </row>
    <row x14ac:dyDescent="0.25" r="170" customHeight="1" ht="15.75">
      <c r="A170" s="8">
        <f>IFERROR(__xludf.DUMMYFUNCTION("""COMPUTED_VALUE"""),26033.0)</f>
      </c>
      <c r="B170" s="9">
        <f>IFERROR(__xludf.DUMMYFUNCTION("""COMPUTED_VALUE"""),"METROPOLITANA I")</f>
      </c>
      <c r="C170" s="9">
        <f>IFERROR(__xludf.DUMMYFUNCTION("""COMPUTED_VALUE"""),"CE PROFESSORA MARIA HELENA AMARAL ALARCÃO")</f>
      </c>
      <c r="D170" s="10">
        <f>IFERROR(__xludf.DUMMYFUNCTION("""COMPUTED_VALUE"""),0.7778)</f>
      </c>
      <c r="E170" s="11">
        <f>IFERROR(__xludf.DUMMYFUNCTION("""COMPUTED_VALUE"""),242.11)</f>
      </c>
      <c r="F170" s="10">
        <f>IFERROR(__xludf.DUMMYFUNCTION("""COMPUTED_VALUE"""),0.8148)</f>
      </c>
      <c r="G170" s="11">
        <f>IFERROR(__xludf.DUMMYFUNCTION("""COMPUTED_VALUE"""),296.36)</f>
      </c>
      <c r="H170" s="10">
        <f>IFERROR(__xludf.DUMMYFUNCTION("""COMPUTED_VALUE"""),0.8519)</f>
      </c>
      <c r="I170" s="11">
        <f>IFERROR(__xludf.DUMMYFUNCTION("""COMPUTED_VALUE"""),366.96)</f>
      </c>
      <c r="J170" s="10">
        <f>IFERROR(__xludf.DUMMYFUNCTION("""COMPUTED_VALUE"""),0.8519)</f>
      </c>
      <c r="K170" s="11">
        <f>IFERROR(__xludf.DUMMYFUNCTION("""COMPUTED_VALUE"""),339.05)</f>
      </c>
      <c r="L170" s="10">
        <f>IFERROR(__xludf.DUMMYFUNCTION("""COMPUTED_VALUE"""),0.6296)</f>
      </c>
      <c r="M170" s="11">
        <f>IFERROR(__xludf.DUMMYFUNCTION("""COMPUTED_VALUE"""),411.76)</f>
      </c>
      <c r="N170" s="10">
        <f>IFERROR(__xludf.DUMMYFUNCTION("""COMPUTED_VALUE"""),0.7037)</f>
      </c>
      <c r="O170" s="11">
        <f>IFERROR(__xludf.DUMMYFUNCTION("""COMPUTED_VALUE"""),351.11)</f>
      </c>
      <c r="P170" s="12"/>
      <c r="Q170" s="12"/>
      <c r="R170" s="15"/>
      <c r="S170" s="12"/>
      <c r="T170" s="12"/>
      <c r="U170" s="12"/>
      <c r="V170" s="12"/>
      <c r="W170" s="12"/>
      <c r="X170" s="12"/>
      <c r="Y170" s="12"/>
      <c r="Z170" s="12"/>
    </row>
    <row x14ac:dyDescent="0.25" r="171" customHeight="1" ht="15.75">
      <c r="A171" s="8">
        <f>IFERROR(__xludf.DUMMYFUNCTION("""COMPUTED_VALUE"""),26034.0)</f>
      </c>
      <c r="B171" s="9">
        <f>IFERROR(__xludf.DUMMYFUNCTION("""COMPUTED_VALUE"""),"METROPOLITANA I")</f>
      </c>
      <c r="C171" s="9">
        <f>IFERROR(__xludf.DUMMYFUNCTION("""COMPUTED_VALUE"""),"CE PROFESSORA MARIA JOSÉ RAUNHEITTI DUCCINI")</f>
      </c>
      <c r="D171" s="10">
        <f>IFERROR(__xludf.DUMMYFUNCTION("""COMPUTED_VALUE"""),0.9653)</f>
      </c>
      <c r="E171" s="11">
        <f>IFERROR(__xludf.DUMMYFUNCTION("""COMPUTED_VALUE"""),315.94)</f>
      </c>
      <c r="F171" s="10">
        <f>IFERROR(__xludf.DUMMYFUNCTION("""COMPUTED_VALUE"""),0.6319)</f>
      </c>
      <c r="G171" s="11">
        <f>IFERROR(__xludf.DUMMYFUNCTION("""COMPUTED_VALUE"""),415.56)</f>
      </c>
      <c r="H171" s="10">
        <f>IFERROR(__xludf.DUMMYFUNCTION("""COMPUTED_VALUE"""),0.6582)</f>
      </c>
      <c r="I171" s="11">
        <f>IFERROR(__xludf.DUMMYFUNCTION("""COMPUTED_VALUE"""),468.08)</f>
      </c>
      <c r="J171" s="10">
        <f>IFERROR(__xludf.DUMMYFUNCTION("""COMPUTED_VALUE"""),0.6456)</f>
      </c>
      <c r="K171" s="11">
        <f>IFERROR(__xludf.DUMMYFUNCTION("""COMPUTED_VALUE"""),376.33)</f>
      </c>
      <c r="L171" s="10">
        <f>IFERROR(__xludf.DUMMYFUNCTION("""COMPUTED_VALUE"""),0.538)</f>
      </c>
      <c r="M171" s="11">
        <f>IFERROR(__xludf.DUMMYFUNCTION("""COMPUTED_VALUE"""),385.82)</f>
      </c>
      <c r="N171" s="10">
        <f>IFERROR(__xludf.DUMMYFUNCTION("""COMPUTED_VALUE"""),0.6582)</f>
      </c>
      <c r="O171" s="11">
        <f>IFERROR(__xludf.DUMMYFUNCTION("""COMPUTED_VALUE"""),410.38)</f>
      </c>
      <c r="P171" s="12"/>
      <c r="Q171" s="12"/>
      <c r="R171" s="15"/>
      <c r="S171" s="12"/>
      <c r="T171" s="12"/>
      <c r="U171" s="12"/>
      <c r="V171" s="12"/>
      <c r="W171" s="12"/>
      <c r="X171" s="12"/>
      <c r="Y171" s="12"/>
      <c r="Z171" s="12"/>
    </row>
    <row x14ac:dyDescent="0.25" r="172" customHeight="1" ht="15.75">
      <c r="A172" s="8">
        <f>IFERROR(__xludf.DUMMYFUNCTION("""COMPUTED_VALUE"""),26035.0)</f>
      </c>
      <c r="B172" s="9">
        <f>IFERROR(__xludf.DUMMYFUNCTION("""COMPUTED_VALUE"""),"METROPOLITANA I")</f>
      </c>
      <c r="C172" s="9">
        <f>IFERROR(__xludf.DUMMYFUNCTION("""COMPUTED_VALUE"""),"CE PROFESSORA MARINA BENTO")</f>
      </c>
      <c r="D172" s="10">
        <f>IFERROR(__xludf.DUMMYFUNCTION("""COMPUTED_VALUE"""),0.7465)</f>
      </c>
      <c r="E172" s="11">
        <f>IFERROR(__xludf.DUMMYFUNCTION("""COMPUTED_VALUE"""),271.02)</f>
      </c>
      <c r="F172" s="10">
        <f>IFERROR(__xludf.DUMMYFUNCTION("""COMPUTED_VALUE"""),0.6761)</f>
      </c>
      <c r="G172" s="11">
        <f>IFERROR(__xludf.DUMMYFUNCTION("""COMPUTED_VALUE"""),357.58)</f>
      </c>
      <c r="H172" s="10">
        <f>IFERROR(__xludf.DUMMYFUNCTION("""COMPUTED_VALUE"""),0.669)</f>
      </c>
      <c r="I172" s="11">
        <f>IFERROR(__xludf.DUMMYFUNCTION("""COMPUTED_VALUE"""),419.68)</f>
      </c>
      <c r="J172" s="10">
        <f>IFERROR(__xludf.DUMMYFUNCTION("""COMPUTED_VALUE"""),0.6232)</f>
      </c>
      <c r="K172" s="11">
        <f>IFERROR(__xludf.DUMMYFUNCTION("""COMPUTED_VALUE"""),283.74)</f>
      </c>
      <c r="L172" s="10">
        <f>IFERROR(__xludf.DUMMYFUNCTION("""COMPUTED_VALUE"""),0.7676)</f>
      </c>
      <c r="M172" s="11">
        <f>IFERROR(__xludf.DUMMYFUNCTION("""COMPUTED_VALUE"""),420.28)</f>
      </c>
      <c r="N172" s="10">
        <f>IFERROR(__xludf.DUMMYFUNCTION("""COMPUTED_VALUE"""),0.7641)</f>
      </c>
      <c r="O172" s="11">
        <f>IFERROR(__xludf.DUMMYFUNCTION("""COMPUTED_VALUE"""),414.22)</f>
      </c>
      <c r="P172" s="12"/>
      <c r="Q172" s="12"/>
      <c r="R172" s="15"/>
      <c r="S172" s="12"/>
      <c r="T172" s="12"/>
      <c r="U172" s="12"/>
      <c r="V172" s="12"/>
      <c r="W172" s="12"/>
      <c r="X172" s="12"/>
      <c r="Y172" s="12"/>
      <c r="Z172" s="12"/>
    </row>
    <row x14ac:dyDescent="0.25" r="173" customHeight="1" ht="15.75">
      <c r="A173" s="8">
        <f>IFERROR(__xludf.DUMMYFUNCTION("""COMPUTED_VALUE"""),26036.0)</f>
      </c>
      <c r="B173" s="9">
        <f>IFERROR(__xludf.DUMMYFUNCTION("""COMPUTED_VALUE"""),"METROPOLITANA I")</f>
      </c>
      <c r="C173" s="9">
        <f>IFERROR(__xludf.DUMMYFUNCTION("""COMPUTED_VALUE"""),"CE PROFESSORA VENINA CORREA TORRES")</f>
      </c>
      <c r="D173" s="10">
        <f>IFERROR(__xludf.DUMMYFUNCTION("""COMPUTED_VALUE"""),0.9918)</f>
      </c>
      <c r="E173" s="11">
        <f>IFERROR(__xludf.DUMMYFUNCTION("""COMPUTED_VALUE"""),414.38)</f>
      </c>
      <c r="F173" s="10">
        <f>IFERROR(__xludf.DUMMYFUNCTION("""COMPUTED_VALUE"""),0.9836)</f>
      </c>
      <c r="G173" s="11">
        <f>IFERROR(__xludf.DUMMYFUNCTION("""COMPUTED_VALUE"""),473.81)</f>
      </c>
      <c r="H173" s="10">
        <f>IFERROR(__xludf.DUMMYFUNCTION("""COMPUTED_VALUE"""),0.9795)</f>
      </c>
      <c r="I173" s="11">
        <f>IFERROR(__xludf.DUMMYFUNCTION("""COMPUTED_VALUE"""),492.89)</f>
      </c>
      <c r="J173" s="10">
        <f>IFERROR(__xludf.DUMMYFUNCTION("""COMPUTED_VALUE"""),0.9631)</f>
      </c>
      <c r="K173" s="11">
        <f>IFERROR(__xludf.DUMMYFUNCTION("""COMPUTED_VALUE"""),432.14)</f>
      </c>
      <c r="L173" s="10">
        <f>IFERROR(__xludf.DUMMYFUNCTION("""COMPUTED_VALUE"""),0.9344)</f>
      </c>
      <c r="M173" s="11">
        <f>IFERROR(__xludf.DUMMYFUNCTION("""COMPUTED_VALUE"""),491.05)</f>
      </c>
      <c r="N173" s="10">
        <f>IFERROR(__xludf.DUMMYFUNCTION("""COMPUTED_VALUE"""),0.9385)</f>
      </c>
      <c r="O173" s="11">
        <f>IFERROR(__xludf.DUMMYFUNCTION("""COMPUTED_VALUE"""),484.07)</f>
      </c>
      <c r="P173" s="12"/>
      <c r="Q173" s="12"/>
      <c r="R173" s="15"/>
      <c r="S173" s="12"/>
      <c r="T173" s="12"/>
      <c r="U173" s="12"/>
      <c r="V173" s="12"/>
      <c r="W173" s="12"/>
      <c r="X173" s="12"/>
      <c r="Y173" s="12"/>
      <c r="Z173" s="12"/>
    </row>
    <row x14ac:dyDescent="0.25" r="174" customHeight="1" ht="15.75">
      <c r="A174" s="8">
        <f>IFERROR(__xludf.DUMMYFUNCTION("""COMPUTED_VALUE"""),26089.0)</f>
      </c>
      <c r="B174" s="9">
        <f>IFERROR(__xludf.DUMMYFUNCTION("""COMPUTED_VALUE"""),"METROPOLITANA I")</f>
      </c>
      <c r="C174" s="9">
        <f>IFERROR(__xludf.DUMMYFUNCTION("""COMPUTED_VALUE"""),"CE RAYMUNDO CORRÊA")</f>
      </c>
      <c r="D174" s="10">
        <f>IFERROR(__xludf.DUMMYFUNCTION("""COMPUTED_VALUE"""),0.7316)</f>
      </c>
      <c r="E174" s="11">
        <f>IFERROR(__xludf.DUMMYFUNCTION("""COMPUTED_VALUE"""),174.77)</f>
      </c>
      <c r="F174" s="10">
        <f>IFERROR(__xludf.DUMMYFUNCTION("""COMPUTED_VALUE"""),0.5511)</f>
      </c>
      <c r="G174" s="11">
        <f>IFERROR(__xludf.DUMMYFUNCTION("""COMPUTED_VALUE"""),394.39)</f>
      </c>
      <c r="H174" s="10">
        <f>IFERROR(__xludf.DUMMYFUNCTION("""COMPUTED_VALUE"""),0.6033)</f>
      </c>
      <c r="I174" s="11">
        <f>IFERROR(__xludf.DUMMYFUNCTION("""COMPUTED_VALUE"""),427.78)</f>
      </c>
      <c r="J174" s="10">
        <f>IFERROR(__xludf.DUMMYFUNCTION("""COMPUTED_VALUE"""),0.7031)</f>
      </c>
      <c r="K174" s="11">
        <f>IFERROR(__xludf.DUMMYFUNCTION("""COMPUTED_VALUE"""),324.65)</f>
      </c>
      <c r="L174" s="10">
        <f>IFERROR(__xludf.DUMMYFUNCTION("""COMPUTED_VALUE"""),0.5938)</f>
      </c>
      <c r="M174" s="11">
        <f>IFERROR(__xludf.DUMMYFUNCTION("""COMPUTED_VALUE"""),409.27)</f>
      </c>
      <c r="N174" s="10">
        <f>IFERROR(__xludf.DUMMYFUNCTION("""COMPUTED_VALUE"""),0.5249)</f>
      </c>
      <c r="O174" s="11">
        <f>IFERROR(__xludf.DUMMYFUNCTION("""COMPUTED_VALUE"""),423.53)</f>
      </c>
      <c r="P174" s="12"/>
      <c r="Q174" s="12"/>
      <c r="R174" s="15"/>
      <c r="S174" s="12"/>
      <c r="T174" s="12"/>
      <c r="U174" s="12"/>
      <c r="V174" s="12"/>
      <c r="W174" s="12"/>
      <c r="X174" s="12"/>
      <c r="Y174" s="12"/>
      <c r="Z174" s="12"/>
    </row>
    <row x14ac:dyDescent="0.25" r="175" customHeight="1" ht="15.75">
      <c r="A175" s="8">
        <f>IFERROR(__xludf.DUMMYFUNCTION("""COMPUTED_VALUE"""),26037.0)</f>
      </c>
      <c r="B175" s="9">
        <f>IFERROR(__xludf.DUMMYFUNCTION("""COMPUTED_VALUE"""),"METROPOLITANA I")</f>
      </c>
      <c r="C175" s="9">
        <f>IFERROR(__xludf.DUMMYFUNCTION("""COMPUTED_VALUE"""),"CE SANTA RITA DE CÁSSIA")</f>
      </c>
      <c r="D175" s="10">
        <f>IFERROR(__xludf.DUMMYFUNCTION("""COMPUTED_VALUE"""),0.7889)</f>
      </c>
      <c r="E175" s="11">
        <f>IFERROR(__xludf.DUMMYFUNCTION("""COMPUTED_VALUE"""),332.36)</f>
      </c>
      <c r="F175" s="10">
        <f>IFERROR(__xludf.DUMMYFUNCTION("""COMPUTED_VALUE"""),0.6)</f>
      </c>
      <c r="G175" s="11">
        <f>IFERROR(__xludf.DUMMYFUNCTION("""COMPUTED_VALUE"""),420.38)</f>
      </c>
      <c r="H175" s="10">
        <f>IFERROR(__xludf.DUMMYFUNCTION("""COMPUTED_VALUE"""),0.6495)</f>
      </c>
      <c r="I175" s="11">
        <f>IFERROR(__xludf.DUMMYFUNCTION("""COMPUTED_VALUE"""),444.84)</f>
      </c>
      <c r="J175" s="10">
        <f>IFERROR(__xludf.DUMMYFUNCTION("""COMPUTED_VALUE"""),0.6701)</f>
      </c>
      <c r="K175" s="11">
        <f>IFERROR(__xludf.DUMMYFUNCTION("""COMPUTED_VALUE"""),391.38)</f>
      </c>
      <c r="L175" s="10">
        <f>IFERROR(__xludf.DUMMYFUNCTION("""COMPUTED_VALUE"""),0.6392)</f>
      </c>
      <c r="M175" s="11">
        <f>IFERROR(__xludf.DUMMYFUNCTION("""COMPUTED_VALUE"""),442.28)</f>
      </c>
      <c r="N175" s="10">
        <f>IFERROR(__xludf.DUMMYFUNCTION("""COMPUTED_VALUE"""),0.6959)</f>
      </c>
      <c r="O175" s="11">
        <f>IFERROR(__xludf.DUMMYFUNCTION("""COMPUTED_VALUE"""),448.59)</f>
      </c>
      <c r="P175" s="12"/>
      <c r="Q175" s="12"/>
      <c r="R175" s="15"/>
      <c r="S175" s="12"/>
      <c r="T175" s="12"/>
      <c r="U175" s="12"/>
      <c r="V175" s="12"/>
      <c r="W175" s="12"/>
      <c r="X175" s="12"/>
      <c r="Y175" s="12"/>
      <c r="Z175" s="12"/>
    </row>
    <row x14ac:dyDescent="0.25" r="176" customHeight="1" ht="15.75">
      <c r="A176" s="8">
        <f>IFERROR(__xludf.DUMMYFUNCTION("""COMPUTED_VALUE"""),26038.0)</f>
      </c>
      <c r="B176" s="9">
        <f>IFERROR(__xludf.DUMMYFUNCTION("""COMPUTED_VALUE"""),"METROPOLITANA I")</f>
      </c>
      <c r="C176" s="9">
        <f>IFERROR(__xludf.DUMMYFUNCTION("""COMPUTED_VALUE"""),"CE SANTO ANTONIO DE PÁDUA")</f>
      </c>
      <c r="D176" s="10">
        <f>IFERROR(__xludf.DUMMYFUNCTION("""COMPUTED_VALUE"""),0.5843)</f>
      </c>
      <c r="E176" s="11">
        <f>IFERROR(__xludf.DUMMYFUNCTION("""COMPUTED_VALUE"""),188.3)</f>
      </c>
      <c r="F176" s="10">
        <f>IFERROR(__xludf.DUMMYFUNCTION("""COMPUTED_VALUE"""),0.5451)</f>
      </c>
      <c r="G176" s="11">
        <f>IFERROR(__xludf.DUMMYFUNCTION("""COMPUTED_VALUE"""),339.84)</f>
      </c>
      <c r="H176" s="10">
        <f>IFERROR(__xludf.DUMMYFUNCTION("""COMPUTED_VALUE"""),0.4667)</f>
      </c>
      <c r="I176" s="11">
        <f>IFERROR(__xludf.DUMMYFUNCTION("""COMPUTED_VALUE"""),362.37)</f>
      </c>
      <c r="J176" s="10">
        <f>IFERROR(__xludf.DUMMYFUNCTION("""COMPUTED_VALUE"""),0.4118)</f>
      </c>
      <c r="K176" s="11">
        <f>IFERROR(__xludf.DUMMYFUNCTION("""COMPUTED_VALUE"""),328.48)</f>
      </c>
      <c r="L176" s="10">
        <f>IFERROR(__xludf.DUMMYFUNCTION("""COMPUTED_VALUE"""),0.5882)</f>
      </c>
      <c r="M176" s="11">
        <f>IFERROR(__xludf.DUMMYFUNCTION("""COMPUTED_VALUE"""),372.24)</f>
      </c>
      <c r="N176" s="10">
        <f>IFERROR(__xludf.DUMMYFUNCTION("""COMPUTED_VALUE"""),0.5765)</f>
      </c>
      <c r="O176" s="11">
        <f>IFERROR(__xludf.DUMMYFUNCTION("""COMPUTED_VALUE"""),403.54)</f>
      </c>
      <c r="P176" s="12"/>
      <c r="Q176" s="12"/>
      <c r="R176" s="15"/>
      <c r="S176" s="12"/>
      <c r="T176" s="12"/>
      <c r="U176" s="12"/>
      <c r="V176" s="12"/>
      <c r="W176" s="12"/>
      <c r="X176" s="12"/>
      <c r="Y176" s="12"/>
      <c r="Z176" s="12"/>
    </row>
    <row x14ac:dyDescent="0.25" r="177" customHeight="1" ht="15.75">
      <c r="A177" s="8">
        <f>IFERROR(__xludf.DUMMYFUNCTION("""COMPUTED_VALUE"""),26090.0)</f>
      </c>
      <c r="B177" s="9">
        <f>IFERROR(__xludf.DUMMYFUNCTION("""COMPUTED_VALUE"""),"METROPOLITANA I")</f>
      </c>
      <c r="C177" s="9">
        <f>IFERROR(__xludf.DUMMYFUNCTION("""COMPUTED_VALUE"""),"CE SÃO CRISTÓVÃO")</f>
      </c>
      <c r="D177" s="10">
        <f>IFERROR(__xludf.DUMMYFUNCTION("""COMPUTED_VALUE"""),0.9602)</f>
      </c>
      <c r="E177" s="11">
        <f>IFERROR(__xludf.DUMMYFUNCTION("""COMPUTED_VALUE"""),162.61)</f>
      </c>
      <c r="F177" s="10">
        <f>IFERROR(__xludf.DUMMYFUNCTION("""COMPUTED_VALUE"""),0.9905)</f>
      </c>
      <c r="G177" s="11">
        <f>IFERROR(__xludf.DUMMYFUNCTION("""COMPUTED_VALUE"""),284.09)</f>
      </c>
      <c r="H177" s="10">
        <f>IFERROR(__xludf.DUMMYFUNCTION("""COMPUTED_VALUE"""),0.9943)</f>
      </c>
      <c r="I177" s="11">
        <f>IFERROR(__xludf.DUMMYFUNCTION("""COMPUTED_VALUE"""),246.59)</f>
      </c>
      <c r="J177" s="10">
        <f>IFERROR(__xludf.DUMMYFUNCTION("""COMPUTED_VALUE"""),0.8712)</f>
      </c>
      <c r="K177" s="11">
        <f>IFERROR(__xludf.DUMMYFUNCTION("""COMPUTED_VALUE"""),286.42)</f>
      </c>
      <c r="L177" s="10">
        <f>IFERROR(__xludf.DUMMYFUNCTION("""COMPUTED_VALUE"""),0.6913)</f>
      </c>
      <c r="M177" s="11">
        <f>IFERROR(__xludf.DUMMYFUNCTION("""COMPUTED_VALUE"""),453.22)</f>
      </c>
      <c r="N177" s="10">
        <f>IFERROR(__xludf.DUMMYFUNCTION("""COMPUTED_VALUE"""),0.6761)</f>
      </c>
      <c r="O177" s="11">
        <f>IFERROR(__xludf.DUMMYFUNCTION("""COMPUTED_VALUE"""),435.35)</f>
      </c>
      <c r="P177" s="12"/>
      <c r="Q177" s="12"/>
      <c r="R177" s="15"/>
      <c r="S177" s="12"/>
      <c r="T177" s="12"/>
      <c r="U177" s="12"/>
      <c r="V177" s="12"/>
      <c r="W177" s="12"/>
      <c r="X177" s="12"/>
      <c r="Y177" s="12"/>
      <c r="Z177" s="12"/>
    </row>
    <row x14ac:dyDescent="0.25" r="178" customHeight="1" ht="15.75">
      <c r="A178" s="8">
        <f>IFERROR(__xludf.DUMMYFUNCTION("""COMPUTED_VALUE"""),26039.0)</f>
      </c>
      <c r="B178" s="9">
        <f>IFERROR(__xludf.DUMMYFUNCTION("""COMPUTED_VALUE"""),"METROPOLITANA I")</f>
      </c>
      <c r="C178" s="9">
        <f>IFERROR(__xludf.DUMMYFUNCTION("""COMPUTED_VALUE"""),"CE SÃO FRANCISCO DE PAULA")</f>
      </c>
      <c r="D178" s="10">
        <f>IFERROR(__xludf.DUMMYFUNCTION("""COMPUTED_VALUE"""),0.7511)</f>
      </c>
      <c r="E178" s="11">
        <f>IFERROR(__xludf.DUMMYFUNCTION("""COMPUTED_VALUE"""),188.64)</f>
      </c>
      <c r="F178" s="10">
        <f>IFERROR(__xludf.DUMMYFUNCTION("""COMPUTED_VALUE"""),0.2444)</f>
      </c>
      <c r="G178" s="11">
        <f>IFERROR(__xludf.DUMMYFUNCTION("""COMPUTED_VALUE"""),319.25)</f>
      </c>
      <c r="H178" s="10">
        <f>IFERROR(__xludf.DUMMYFUNCTION("""COMPUTED_VALUE"""),0.5447)</f>
      </c>
      <c r="I178" s="11">
        <f>IFERROR(__xludf.DUMMYFUNCTION("""COMPUTED_VALUE"""),356.51)</f>
      </c>
      <c r="J178" s="10">
        <f>IFERROR(__xludf.DUMMYFUNCTION("""COMPUTED_VALUE"""),0.6)</f>
      </c>
      <c r="K178" s="11">
        <f>IFERROR(__xludf.DUMMYFUNCTION("""COMPUTED_VALUE"""),223.41)</f>
      </c>
      <c r="L178" s="10">
        <f>IFERROR(__xludf.DUMMYFUNCTION("""COMPUTED_VALUE"""),0.4511)</f>
      </c>
      <c r="M178" s="11">
        <f>IFERROR(__xludf.DUMMYFUNCTION("""COMPUTED_VALUE"""),403.02)</f>
      </c>
      <c r="N178" s="10">
        <f>IFERROR(__xludf.DUMMYFUNCTION("""COMPUTED_VALUE"""),0.4851)</f>
      </c>
      <c r="O178" s="11">
        <f>IFERROR(__xludf.DUMMYFUNCTION("""COMPUTED_VALUE"""),385.13)</f>
      </c>
      <c r="P178" s="12"/>
      <c r="Q178" s="12"/>
      <c r="R178" s="15"/>
      <c r="S178" s="12"/>
      <c r="T178" s="12"/>
      <c r="U178" s="12"/>
      <c r="V178" s="12"/>
      <c r="W178" s="12"/>
      <c r="X178" s="12"/>
      <c r="Y178" s="12"/>
      <c r="Z178" s="12"/>
    </row>
    <row x14ac:dyDescent="0.25" r="179" customHeight="1" ht="15.75">
      <c r="A179" s="8">
        <f>IFERROR(__xludf.DUMMYFUNCTION("""COMPUTED_VALUE"""),26091.0)</f>
      </c>
      <c r="B179" s="9">
        <f>IFERROR(__xludf.DUMMYFUNCTION("""COMPUTED_VALUE"""),"METROPOLITANA I")</f>
      </c>
      <c r="C179" s="9">
        <f>IFERROR(__xludf.DUMMYFUNCTION("""COMPUTED_VALUE"""),"CE SAO JOAO")</f>
      </c>
      <c r="D179" s="10">
        <f>IFERROR(__xludf.DUMMYFUNCTION("""COMPUTED_VALUE"""),0.893)</f>
      </c>
      <c r="E179" s="11">
        <f>IFERROR(__xludf.DUMMYFUNCTION("""COMPUTED_VALUE"""),265.21)</f>
      </c>
      <c r="F179" s="10">
        <f>IFERROR(__xludf.DUMMYFUNCTION("""COMPUTED_VALUE"""),0.8127)</f>
      </c>
      <c r="G179" s="11">
        <f>IFERROR(__xludf.DUMMYFUNCTION("""COMPUTED_VALUE"""),391.73)</f>
      </c>
      <c r="H179" s="10">
        <f>IFERROR(__xludf.DUMMYFUNCTION("""COMPUTED_VALUE"""),0.6228)</f>
      </c>
      <c r="I179" s="11">
        <f>IFERROR(__xludf.DUMMYFUNCTION("""COMPUTED_VALUE"""),465.83)</f>
      </c>
      <c r="J179" s="10">
        <f>IFERROR(__xludf.DUMMYFUNCTION("""COMPUTED_VALUE"""),0.6886)</f>
      </c>
      <c r="K179" s="11">
        <f>IFERROR(__xludf.DUMMYFUNCTION("""COMPUTED_VALUE"""),374.57)</f>
      </c>
      <c r="L179" s="10">
        <f>IFERROR(__xludf.DUMMYFUNCTION("""COMPUTED_VALUE"""),0.6856)</f>
      </c>
      <c r="M179" s="11">
        <f>IFERROR(__xludf.DUMMYFUNCTION("""COMPUTED_VALUE"""),393.51)</f>
      </c>
      <c r="N179" s="10">
        <f>IFERROR(__xludf.DUMMYFUNCTION("""COMPUTED_VALUE"""),0.003)</f>
      </c>
      <c r="O179" s="11">
        <f>IFERROR(__xludf.DUMMYFUNCTION("""COMPUTED_VALUE"""),160.0)</f>
      </c>
      <c r="P179" s="12"/>
      <c r="Q179" s="12"/>
      <c r="R179" s="15"/>
      <c r="S179" s="12"/>
      <c r="T179" s="12"/>
      <c r="U179" s="12"/>
      <c r="V179" s="12"/>
      <c r="W179" s="12"/>
      <c r="X179" s="12"/>
      <c r="Y179" s="12"/>
      <c r="Z179" s="12"/>
    </row>
    <row x14ac:dyDescent="0.25" r="180" customHeight="1" ht="15.75">
      <c r="A180" s="8">
        <f>IFERROR(__xludf.DUMMYFUNCTION("""COMPUTED_VALUE"""),26040.0)</f>
      </c>
      <c r="B180" s="9">
        <f>IFERROR(__xludf.DUMMYFUNCTION("""COMPUTED_VALUE"""),"METROPOLITANA I")</f>
      </c>
      <c r="C180" s="9">
        <f>IFERROR(__xludf.DUMMYFUNCTION("""COMPUTED_VALUE"""),"CE SÃO JORGE")</f>
      </c>
      <c r="D180" s="10">
        <f>IFERROR(__xludf.DUMMYFUNCTION("""COMPUTED_VALUE"""),0.9247)</f>
      </c>
      <c r="E180" s="11">
        <f>IFERROR(__xludf.DUMMYFUNCTION("""COMPUTED_VALUE"""),321.83)</f>
      </c>
      <c r="F180" s="10">
        <f>IFERROR(__xludf.DUMMYFUNCTION("""COMPUTED_VALUE"""),0.7322)</f>
      </c>
      <c r="G180" s="11">
        <f>IFERROR(__xludf.DUMMYFUNCTION("""COMPUTED_VALUE"""),407.25)</f>
      </c>
      <c r="H180" s="10">
        <f>IFERROR(__xludf.DUMMYFUNCTION("""COMPUTED_VALUE"""),0.6695)</f>
      </c>
      <c r="I180" s="11">
        <f>IFERROR(__xludf.DUMMYFUNCTION("""COMPUTED_VALUE"""),443.75)</f>
      </c>
      <c r="J180" s="10">
        <f>IFERROR(__xludf.DUMMYFUNCTION("""COMPUTED_VALUE"""),0.5607)</f>
      </c>
      <c r="K180" s="11">
        <f>IFERROR(__xludf.DUMMYFUNCTION("""COMPUTED_VALUE"""),394.77)</f>
      </c>
      <c r="L180" s="10">
        <f>IFERROR(__xludf.DUMMYFUNCTION("""COMPUTED_VALUE"""),0.6611)</f>
      </c>
      <c r="M180" s="11">
        <f>IFERROR(__xludf.DUMMYFUNCTION("""COMPUTED_VALUE"""),442.04)</f>
      </c>
      <c r="N180" s="10">
        <f>IFERROR(__xludf.DUMMYFUNCTION("""COMPUTED_VALUE"""),0.5021)</f>
      </c>
      <c r="O180" s="11">
        <f>IFERROR(__xludf.DUMMYFUNCTION("""COMPUTED_VALUE"""),491.09)</f>
      </c>
      <c r="P180" s="12"/>
      <c r="Q180" s="12"/>
      <c r="R180" s="15"/>
      <c r="S180" s="12"/>
      <c r="T180" s="12"/>
      <c r="U180" s="12"/>
      <c r="V180" s="12"/>
      <c r="W180" s="12"/>
      <c r="X180" s="12"/>
      <c r="Y180" s="12"/>
      <c r="Z180" s="12"/>
    </row>
    <row x14ac:dyDescent="0.25" r="181" customHeight="1" ht="15.75">
      <c r="A181" s="8">
        <f>IFERROR(__xludf.DUMMYFUNCTION("""COMPUTED_VALUE"""),26041.0)</f>
      </c>
      <c r="B181" s="9">
        <f>IFERROR(__xludf.DUMMYFUNCTION("""COMPUTED_VALUE"""),"METROPOLITANA I")</f>
      </c>
      <c r="C181" s="9">
        <f>IFERROR(__xludf.DUMMYFUNCTION("""COMPUTED_VALUE"""),"CE SÃO JUDAS TADEU")</f>
      </c>
      <c r="D181" s="10">
        <f>IFERROR(__xludf.DUMMYFUNCTION("""COMPUTED_VALUE"""),0.9)</f>
      </c>
      <c r="E181" s="11">
        <f>IFERROR(__xludf.DUMMYFUNCTION("""COMPUTED_VALUE"""),204.91)</f>
      </c>
      <c r="F181" s="10">
        <f>IFERROR(__xludf.DUMMYFUNCTION("""COMPUTED_VALUE"""),0.6737)</f>
      </c>
      <c r="G181" s="11">
        <f>IFERROR(__xludf.DUMMYFUNCTION("""COMPUTED_VALUE"""),356.83)</f>
      </c>
      <c r="H181" s="10">
        <f>IFERROR(__xludf.DUMMYFUNCTION("""COMPUTED_VALUE"""),0.7474)</f>
      </c>
      <c r="I181" s="11">
        <f>IFERROR(__xludf.DUMMYFUNCTION("""COMPUTED_VALUE"""),418.0)</f>
      </c>
      <c r="J181" s="10">
        <f>IFERROR(__xludf.DUMMYFUNCTION("""COMPUTED_VALUE"""),0.6684)</f>
      </c>
      <c r="K181" s="11">
        <f>IFERROR(__xludf.DUMMYFUNCTION("""COMPUTED_VALUE"""),295.04)</f>
      </c>
      <c r="L181" s="10">
        <f>IFERROR(__xludf.DUMMYFUNCTION("""COMPUTED_VALUE"""),0.6789)</f>
      </c>
      <c r="M181" s="11">
        <f>IFERROR(__xludf.DUMMYFUNCTION("""COMPUTED_VALUE"""),422.33)</f>
      </c>
      <c r="N181" s="10">
        <f>IFERROR(__xludf.DUMMYFUNCTION("""COMPUTED_VALUE"""),0.5158)</f>
      </c>
      <c r="O181" s="11">
        <f>IFERROR(__xludf.DUMMYFUNCTION("""COMPUTED_VALUE"""),433.88)</f>
      </c>
      <c r="P181" s="12"/>
      <c r="Q181" s="12"/>
      <c r="R181" s="15"/>
      <c r="S181" s="12"/>
      <c r="T181" s="12"/>
      <c r="U181" s="12"/>
      <c r="V181" s="12"/>
      <c r="W181" s="12"/>
      <c r="X181" s="12"/>
      <c r="Y181" s="12"/>
      <c r="Z181" s="12"/>
    </row>
    <row x14ac:dyDescent="0.25" r="182" customHeight="1" ht="15.75">
      <c r="A182" s="8">
        <f>IFERROR(__xludf.DUMMYFUNCTION("""COMPUTED_VALUE"""),26042.0)</f>
      </c>
      <c r="B182" s="9">
        <f>IFERROR(__xludf.DUMMYFUNCTION("""COMPUTED_VALUE"""),"METROPOLITANA I")</f>
      </c>
      <c r="C182" s="9">
        <f>IFERROR(__xludf.DUMMYFUNCTION("""COMPUTED_VALUE"""),"CE SARGENTO ANTÔNIO ERNESTO")</f>
      </c>
      <c r="D182" s="10">
        <f>IFERROR(__xludf.DUMMYFUNCTION("""COMPUTED_VALUE"""),0.8117)</f>
      </c>
      <c r="E182" s="11">
        <f>IFERROR(__xludf.DUMMYFUNCTION("""COMPUTED_VALUE"""),273.4)</f>
      </c>
      <c r="F182" s="10">
        <f>IFERROR(__xludf.DUMMYFUNCTION("""COMPUTED_VALUE"""),0.7155)</f>
      </c>
      <c r="G182" s="11">
        <f>IFERROR(__xludf.DUMMYFUNCTION("""COMPUTED_VALUE"""),373.06)</f>
      </c>
      <c r="H182" s="10">
        <f>IFERROR(__xludf.DUMMYFUNCTION("""COMPUTED_VALUE"""),0.6506)</f>
      </c>
      <c r="I182" s="11">
        <f>IFERROR(__xludf.DUMMYFUNCTION("""COMPUTED_VALUE"""),410.19)</f>
      </c>
      <c r="J182" s="10">
        <f>IFERROR(__xludf.DUMMYFUNCTION("""COMPUTED_VALUE"""),0.7008)</f>
      </c>
      <c r="K182" s="11">
        <f>IFERROR(__xludf.DUMMYFUNCTION("""COMPUTED_VALUE"""),333.65)</f>
      </c>
      <c r="L182" s="10">
        <f>IFERROR(__xludf.DUMMYFUNCTION("""COMPUTED_VALUE"""),0.6736)</f>
      </c>
      <c r="M182" s="11">
        <f>IFERROR(__xludf.DUMMYFUNCTION("""COMPUTED_VALUE"""),377.0)</f>
      </c>
      <c r="N182" s="10">
        <f>IFERROR(__xludf.DUMMYFUNCTION("""COMPUTED_VALUE"""),0.613)</f>
      </c>
      <c r="O182" s="11">
        <f>IFERROR(__xludf.DUMMYFUNCTION("""COMPUTED_VALUE"""),426.71)</f>
      </c>
      <c r="P182" s="12"/>
      <c r="Q182" s="12"/>
      <c r="R182" s="15"/>
      <c r="S182" s="12"/>
      <c r="T182" s="12"/>
      <c r="U182" s="12"/>
      <c r="V182" s="12"/>
      <c r="W182" s="12"/>
      <c r="X182" s="12"/>
      <c r="Y182" s="12"/>
      <c r="Z182" s="12"/>
    </row>
    <row x14ac:dyDescent="0.25" r="183" customHeight="1" ht="15.75">
      <c r="A183" s="8">
        <f>IFERROR(__xludf.DUMMYFUNCTION("""COMPUTED_VALUE"""),26043.0)</f>
      </c>
      <c r="B183" s="9">
        <f>IFERROR(__xludf.DUMMYFUNCTION("""COMPUTED_VALUE"""),"METROPOLITANA I")</f>
      </c>
      <c r="C183" s="9">
        <f>IFERROR(__xludf.DUMMYFUNCTION("""COMPUTED_VALUE"""),"CE VEREADOR PERCY BATISTA CRISPIN")</f>
      </c>
      <c r="D183" s="10">
        <f>IFERROR(__xludf.DUMMYFUNCTION("""COMPUTED_VALUE"""),0.7864)</f>
      </c>
      <c r="E183" s="11">
        <f>IFERROR(__xludf.DUMMYFUNCTION("""COMPUTED_VALUE"""),265.5)</f>
      </c>
      <c r="F183" s="10">
        <f>IFERROR(__xludf.DUMMYFUNCTION("""COMPUTED_VALUE"""),0.5364)</f>
      </c>
      <c r="G183" s="11">
        <f>IFERROR(__xludf.DUMMYFUNCTION("""COMPUTED_VALUE"""),371.07)</f>
      </c>
      <c r="H183" s="10">
        <f>IFERROR(__xludf.DUMMYFUNCTION("""COMPUTED_VALUE"""),0.6842)</f>
      </c>
      <c r="I183" s="11">
        <f>IFERROR(__xludf.DUMMYFUNCTION("""COMPUTED_VALUE"""),430.18)</f>
      </c>
      <c r="J183" s="10">
        <f>IFERROR(__xludf.DUMMYFUNCTION("""COMPUTED_VALUE"""),0.664)</f>
      </c>
      <c r="K183" s="11">
        <f>IFERROR(__xludf.DUMMYFUNCTION("""COMPUTED_VALUE"""),437.55)</f>
      </c>
      <c r="L183" s="10">
        <f>IFERROR(__xludf.DUMMYFUNCTION("""COMPUTED_VALUE"""),0.6761)</f>
      </c>
      <c r="M183" s="11">
        <f>IFERROR(__xludf.DUMMYFUNCTION("""COMPUTED_VALUE"""),453.41)</f>
      </c>
      <c r="N183" s="10">
        <f>IFERROR(__xludf.DUMMYFUNCTION("""COMPUTED_VALUE"""),0.6842)</f>
      </c>
      <c r="O183" s="11">
        <f>IFERROR(__xludf.DUMMYFUNCTION("""COMPUTED_VALUE"""),458.57)</f>
      </c>
      <c r="P183" s="12"/>
      <c r="Q183" s="12"/>
      <c r="R183" s="15"/>
      <c r="S183" s="12"/>
      <c r="T183" s="12"/>
      <c r="U183" s="12"/>
      <c r="V183" s="12"/>
      <c r="W183" s="12"/>
      <c r="X183" s="12"/>
      <c r="Y183" s="12"/>
      <c r="Z183" s="12"/>
    </row>
    <row x14ac:dyDescent="0.25" r="184" customHeight="1" ht="15.75">
      <c r="A184" s="8">
        <f>IFERROR(__xludf.DUMMYFUNCTION("""COMPUTED_VALUE"""),26044.0)</f>
      </c>
      <c r="B184" s="9">
        <f>IFERROR(__xludf.DUMMYFUNCTION("""COMPUTED_VALUE"""),"METROPOLITANA I")</f>
      </c>
      <c r="C184" s="9">
        <f>IFERROR(__xludf.DUMMYFUNCTION("""COMPUTED_VALUE"""),"CE VICENTINA GOULART")</f>
      </c>
      <c r="D184" s="10">
        <f>IFERROR(__xludf.DUMMYFUNCTION("""COMPUTED_VALUE"""),0.7682)</f>
      </c>
      <c r="E184" s="11">
        <f>IFERROR(__xludf.DUMMYFUNCTION("""COMPUTED_VALUE"""),291.81)</f>
      </c>
      <c r="F184" s="10">
        <f>IFERROR(__xludf.DUMMYFUNCTION("""COMPUTED_VALUE"""),0.6217)</f>
      </c>
      <c r="G184" s="11">
        <f>IFERROR(__xludf.DUMMYFUNCTION("""COMPUTED_VALUE"""),357.91)</f>
      </c>
      <c r="H184" s="10">
        <f>IFERROR(__xludf.DUMMYFUNCTION("""COMPUTED_VALUE"""),0.5809)</f>
      </c>
      <c r="I184" s="11">
        <f>IFERROR(__xludf.DUMMYFUNCTION("""COMPUTED_VALUE"""),413.9)</f>
      </c>
      <c r="J184" s="10">
        <f>IFERROR(__xludf.DUMMYFUNCTION("""COMPUTED_VALUE"""),0.6153)</f>
      </c>
      <c r="K184" s="11">
        <f>IFERROR(__xludf.DUMMYFUNCTION("""COMPUTED_VALUE"""),342.79)</f>
      </c>
      <c r="L184" s="10">
        <f>IFERROR(__xludf.DUMMYFUNCTION("""COMPUTED_VALUE"""),0.6089)</f>
      </c>
      <c r="M184" s="11">
        <f>IFERROR(__xludf.DUMMYFUNCTION("""COMPUTED_VALUE"""),371.88)</f>
      </c>
      <c r="N184" s="10">
        <f>IFERROR(__xludf.DUMMYFUNCTION("""COMPUTED_VALUE"""),0.5401)</f>
      </c>
      <c r="O184" s="11">
        <f>IFERROR(__xludf.DUMMYFUNCTION("""COMPUTED_VALUE"""),377.44)</f>
      </c>
      <c r="P184" s="12"/>
      <c r="Q184" s="12"/>
      <c r="R184" s="15"/>
      <c r="S184" s="12"/>
      <c r="T184" s="12"/>
      <c r="U184" s="12"/>
      <c r="V184" s="12"/>
      <c r="W184" s="12"/>
      <c r="X184" s="12"/>
      <c r="Y184" s="12"/>
      <c r="Z184" s="12"/>
    </row>
    <row x14ac:dyDescent="0.25" r="185" customHeight="1" ht="15.75">
      <c r="A185" s="8">
        <f>IFERROR(__xludf.DUMMYFUNCTION("""COMPUTED_VALUE"""),26045.0)</f>
      </c>
      <c r="B185" s="9">
        <f>IFERROR(__xludf.DUMMYFUNCTION("""COMPUTED_VALUE"""),"METROPOLITANA I")</f>
      </c>
      <c r="C185" s="9">
        <f>IFERROR(__xludf.DUMMYFUNCTION("""COMPUTED_VALUE"""),"CE YONNE MARIA SIQUEIRA DE ANDRADE")</f>
      </c>
      <c r="D185" s="10">
        <f>IFERROR(__xludf.DUMMYFUNCTION("""COMPUTED_VALUE"""),0.9494)</f>
      </c>
      <c r="E185" s="11">
        <f>IFERROR(__xludf.DUMMYFUNCTION("""COMPUTED_VALUE"""),219.43)</f>
      </c>
      <c r="F185" s="10">
        <f>IFERROR(__xludf.DUMMYFUNCTION("""COMPUTED_VALUE"""),0.9831)</f>
      </c>
      <c r="G185" s="11">
        <f>IFERROR(__xludf.DUMMYFUNCTION("""COMPUTED_VALUE"""),334.0)</f>
      </c>
      <c r="H185" s="10">
        <f>IFERROR(__xludf.DUMMYFUNCTION("""COMPUTED_VALUE"""),0.852)</f>
      </c>
      <c r="I185" s="11">
        <f>IFERROR(__xludf.DUMMYFUNCTION("""COMPUTED_VALUE"""),355.29)</f>
      </c>
      <c r="J185" s="10">
        <f>IFERROR(__xludf.DUMMYFUNCTION("""COMPUTED_VALUE"""),0.9493)</f>
      </c>
      <c r="K185" s="11">
        <f>IFERROR(__xludf.DUMMYFUNCTION("""COMPUTED_VALUE"""),331.11)</f>
      </c>
      <c r="L185" s="10">
        <f>IFERROR(__xludf.DUMMYFUNCTION("""COMPUTED_VALUE"""),0.6435)</f>
      </c>
      <c r="M185" s="11">
        <f>IFERROR(__xludf.DUMMYFUNCTION("""COMPUTED_VALUE"""),454.98)</f>
      </c>
      <c r="N185" s="10">
        <f>IFERROR(__xludf.DUMMYFUNCTION("""COMPUTED_VALUE"""),0.9124)</f>
      </c>
      <c r="O185" s="11">
        <f>IFERROR(__xludf.DUMMYFUNCTION("""COMPUTED_VALUE"""),339.59)</f>
      </c>
      <c r="P185" s="12"/>
      <c r="Q185" s="12"/>
      <c r="R185" s="15"/>
      <c r="S185" s="12"/>
      <c r="T185" s="12"/>
      <c r="U185" s="12"/>
      <c r="V185" s="12"/>
      <c r="W185" s="12"/>
      <c r="X185" s="12"/>
      <c r="Y185" s="12"/>
      <c r="Z185" s="12"/>
    </row>
    <row x14ac:dyDescent="0.25" r="186" customHeight="1" ht="15.75">
      <c r="A186" s="8">
        <f>IFERROR(__xludf.DUMMYFUNCTION("""COMPUTED_VALUE"""),26046.0)</f>
      </c>
      <c r="B186" s="9">
        <f>IFERROR(__xludf.DUMMYFUNCTION("""COMPUTED_VALUE"""),"METROPOLITANA I")</f>
      </c>
      <c r="C186" s="9">
        <f>IFERROR(__xludf.DUMMYFUNCTION("""COMPUTED_VALUE"""),"CIEP 021 GENERAL OSÓRIO")</f>
      </c>
      <c r="D186" s="10">
        <f>IFERROR(__xludf.DUMMYFUNCTION("""COMPUTED_VALUE"""),0.9535)</f>
      </c>
      <c r="E186" s="11">
        <f>IFERROR(__xludf.DUMMYFUNCTION("""COMPUTED_VALUE"""),208.05)</f>
      </c>
      <c r="F186" s="10">
        <f>IFERROR(__xludf.DUMMYFUNCTION("""COMPUTED_VALUE"""),0.9709)</f>
      </c>
      <c r="G186" s="11">
        <f>IFERROR(__xludf.DUMMYFUNCTION("""COMPUTED_VALUE"""),250.24)</f>
      </c>
      <c r="H186" s="10">
        <f>IFERROR(__xludf.DUMMYFUNCTION("""COMPUTED_VALUE"""),0.7093)</f>
      </c>
      <c r="I186" s="11">
        <f>IFERROR(__xludf.DUMMYFUNCTION("""COMPUTED_VALUE"""),390.92)</f>
      </c>
      <c r="J186" s="10">
        <f>IFERROR(__xludf.DUMMYFUNCTION("""COMPUTED_VALUE"""),0.7209)</f>
      </c>
      <c r="K186" s="11">
        <f>IFERROR(__xludf.DUMMYFUNCTION("""COMPUTED_VALUE"""),280.33)</f>
      </c>
      <c r="L186" s="10">
        <f>IFERROR(__xludf.DUMMYFUNCTION("""COMPUTED_VALUE"""),0.8488)</f>
      </c>
      <c r="M186" s="11">
        <f>IFERROR(__xludf.DUMMYFUNCTION("""COMPUTED_VALUE"""),393.06)</f>
      </c>
      <c r="N186" s="10">
        <f>IFERROR(__xludf.DUMMYFUNCTION("""COMPUTED_VALUE"""),0.7791)</f>
      </c>
      <c r="O186" s="11">
        <f>IFERROR(__xludf.DUMMYFUNCTION("""COMPUTED_VALUE"""),403.69)</f>
      </c>
      <c r="P186" s="12"/>
      <c r="Q186" s="12"/>
      <c r="R186" s="15"/>
      <c r="S186" s="12"/>
      <c r="T186" s="12"/>
      <c r="U186" s="12"/>
      <c r="V186" s="12"/>
      <c r="W186" s="12"/>
      <c r="X186" s="12"/>
      <c r="Y186" s="12"/>
      <c r="Z186" s="12"/>
    </row>
    <row x14ac:dyDescent="0.25" r="187" customHeight="1" ht="15.75">
      <c r="A187" s="8">
        <f>IFERROR(__xludf.DUMMYFUNCTION("""COMPUTED_VALUE"""),26047.0)</f>
      </c>
      <c r="B187" s="9">
        <f>IFERROR(__xludf.DUMMYFUNCTION("""COMPUTED_VALUE"""),"METROPOLITANA I")</f>
      </c>
      <c r="C187" s="9">
        <f>IFERROR(__xludf.DUMMYFUNCTION("""COMPUTED_VALUE"""),"CIEP 025 GETULIO SALES RODRIGUES")</f>
      </c>
      <c r="D187" s="10">
        <f>IFERROR(__xludf.DUMMYFUNCTION("""COMPUTED_VALUE"""),0.4231)</f>
      </c>
      <c r="E187" s="11">
        <f>IFERROR(__xludf.DUMMYFUNCTION("""COMPUTED_VALUE"""),180.0)</f>
      </c>
      <c r="F187" s="10">
        <f>IFERROR(__xludf.DUMMYFUNCTION("""COMPUTED_VALUE"""),0.3462)</f>
      </c>
      <c r="G187" s="11">
        <f>IFERROR(__xludf.DUMMYFUNCTION("""COMPUTED_VALUE"""),293.33)</f>
      </c>
      <c r="H187" s="10">
        <f>IFERROR(__xludf.DUMMYFUNCTION("""COMPUTED_VALUE"""),0.0962)</f>
      </c>
      <c r="I187" s="11">
        <f>IFERROR(__xludf.DUMMYFUNCTION("""COMPUTED_VALUE"""),264.0)</f>
      </c>
      <c r="J187" s="10">
        <f>IFERROR(__xludf.DUMMYFUNCTION("""COMPUTED_VALUE"""),0.5769)</f>
      </c>
      <c r="K187" s="11">
        <f>IFERROR(__xludf.DUMMYFUNCTION("""COMPUTED_VALUE"""),236.0)</f>
      </c>
      <c r="L187" s="10">
        <f>IFERROR(__xludf.DUMMYFUNCTION("""COMPUTED_VALUE"""),0.1731)</f>
      </c>
      <c r="M187" s="11">
        <f>IFERROR(__xludf.DUMMYFUNCTION("""COMPUTED_VALUE"""),280.0)</f>
      </c>
      <c r="N187" s="10">
        <f>IFERROR(__xludf.DUMMYFUNCTION("""COMPUTED_VALUE"""),0.2885)</f>
      </c>
      <c r="O187" s="11">
        <f>IFERROR(__xludf.DUMMYFUNCTION("""COMPUTED_VALUE"""),274.67)</f>
      </c>
      <c r="P187" s="12"/>
      <c r="Q187" s="12"/>
      <c r="R187" s="15"/>
      <c r="S187" s="12"/>
      <c r="T187" s="12"/>
      <c r="U187" s="12"/>
      <c r="V187" s="12"/>
      <c r="W187" s="12"/>
      <c r="X187" s="12"/>
      <c r="Y187" s="12"/>
      <c r="Z187" s="12"/>
    </row>
    <row x14ac:dyDescent="0.25" r="188" customHeight="1" ht="15.75">
      <c r="A188" s="8">
        <f>IFERROR(__xludf.DUMMYFUNCTION("""COMPUTED_VALUE"""),26048.0)</f>
      </c>
      <c r="B188" s="9">
        <f>IFERROR(__xludf.DUMMYFUNCTION("""COMPUTED_VALUE"""),"METROPOLITANA I")</f>
      </c>
      <c r="C188" s="9">
        <f>IFERROR(__xludf.DUMMYFUNCTION("""COMPUTED_VALUE"""),"CIEP 026 SAO VICENTE DE PAULA - BRASIL-SUECIA")</f>
      </c>
      <c r="D188" s="10">
        <f>IFERROR(__xludf.DUMMYFUNCTION("""COMPUTED_VALUE"""),0.9109)</f>
      </c>
      <c r="E188" s="11">
        <f>IFERROR(__xludf.DUMMYFUNCTION("""COMPUTED_VALUE"""),288.26)</f>
      </c>
      <c r="F188" s="10">
        <f>IFERROR(__xludf.DUMMYFUNCTION("""COMPUTED_VALUE"""),0.9802)</f>
      </c>
      <c r="G188" s="11">
        <f>IFERROR(__xludf.DUMMYFUNCTION("""COMPUTED_VALUE"""),362.45)</f>
      </c>
      <c r="H188" s="10">
        <f>IFERROR(__xludf.DUMMYFUNCTION("""COMPUTED_VALUE"""),1.0)</f>
      </c>
      <c r="I188" s="11">
        <f>IFERROR(__xludf.DUMMYFUNCTION("""COMPUTED_VALUE"""),344.55)</f>
      </c>
      <c r="J188" s="10">
        <f>IFERROR(__xludf.DUMMYFUNCTION("""COMPUTED_VALUE"""),0.4356)</f>
      </c>
      <c r="K188" s="11">
        <f>IFERROR(__xludf.DUMMYFUNCTION("""COMPUTED_VALUE"""),341.82)</f>
      </c>
      <c r="L188" s="10">
        <f>IFERROR(__xludf.DUMMYFUNCTION("""COMPUTED_VALUE"""),1.0)</f>
      </c>
      <c r="M188" s="11">
        <f>IFERROR(__xludf.DUMMYFUNCTION("""COMPUTED_VALUE"""),374.65)</f>
      </c>
      <c r="N188" s="10">
        <f>IFERROR(__xludf.DUMMYFUNCTION("""COMPUTED_VALUE"""),1.0)</f>
      </c>
      <c r="O188" s="11">
        <f>IFERROR(__xludf.DUMMYFUNCTION("""COMPUTED_VALUE"""),323.17)</f>
      </c>
      <c r="P188" s="12"/>
      <c r="Q188" s="12"/>
      <c r="R188" s="15"/>
      <c r="S188" s="12"/>
      <c r="T188" s="12"/>
      <c r="U188" s="12"/>
      <c r="V188" s="12"/>
      <c r="W188" s="12"/>
      <c r="X188" s="12"/>
      <c r="Y188" s="12"/>
      <c r="Z188" s="12"/>
    </row>
    <row x14ac:dyDescent="0.25" r="189" customHeight="1" ht="15.75">
      <c r="A189" s="8">
        <f>IFERROR(__xludf.DUMMYFUNCTION("""COMPUTED_VALUE"""),26049.0)</f>
      </c>
      <c r="B189" s="9">
        <f>IFERROR(__xludf.DUMMYFUNCTION("""COMPUTED_VALUE"""),"METROPOLITANA I")</f>
      </c>
      <c r="C189" s="9">
        <f>IFERROR(__xludf.DUMMYFUNCTION("""COMPUTED_VALUE"""),"CIEP 075 JARDIM CABUÇU")</f>
      </c>
      <c r="D189" s="10">
        <f>IFERROR(__xludf.DUMMYFUNCTION("""COMPUTED_VALUE"""),0.771)</f>
      </c>
      <c r="E189" s="11">
        <f>IFERROR(__xludf.DUMMYFUNCTION("""COMPUTED_VALUE"""),122.2)</f>
      </c>
      <c r="F189" s="10">
        <f>IFERROR(__xludf.DUMMYFUNCTION("""COMPUTED_VALUE"""),0.6075)</f>
      </c>
      <c r="G189" s="11">
        <f>IFERROR(__xludf.DUMMYFUNCTION("""COMPUTED_VALUE"""),291.63)</f>
      </c>
      <c r="H189" s="10">
        <f>IFERROR(__xludf.DUMMYFUNCTION("""COMPUTED_VALUE"""),0.4946)</f>
      </c>
      <c r="I189" s="11">
        <f>IFERROR(__xludf.DUMMYFUNCTION("""COMPUTED_VALUE"""),358.25)</f>
      </c>
      <c r="J189" s="10">
        <f>IFERROR(__xludf.DUMMYFUNCTION("""COMPUTED_VALUE"""),0.5915)</f>
      </c>
      <c r="K189" s="11">
        <f>IFERROR(__xludf.DUMMYFUNCTION("""COMPUTED_VALUE"""),"----")</f>
      </c>
      <c r="L189" s="10">
        <f>IFERROR(__xludf.DUMMYFUNCTION("""COMPUTED_VALUE"""),0.3574)</f>
      </c>
      <c r="M189" s="11">
        <f>IFERROR(__xludf.DUMMYFUNCTION("""COMPUTED_VALUE"""),"----")</f>
      </c>
      <c r="N189" s="10">
        <f>IFERROR(__xludf.DUMMYFUNCTION("""COMPUTED_VALUE"""),0.444)</f>
      </c>
      <c r="O189" s="11">
        <f>IFERROR(__xludf.DUMMYFUNCTION("""COMPUTED_VALUE"""),332.28)</f>
      </c>
      <c r="P189" s="12"/>
      <c r="Q189" s="12"/>
      <c r="R189" s="15"/>
      <c r="S189" s="12"/>
      <c r="T189" s="12"/>
      <c r="U189" s="12"/>
      <c r="V189" s="12"/>
      <c r="W189" s="12"/>
      <c r="X189" s="12"/>
      <c r="Y189" s="12"/>
      <c r="Z189" s="12"/>
    </row>
    <row x14ac:dyDescent="0.25" r="190" customHeight="1" ht="15.75">
      <c r="A190" s="8">
        <f>IFERROR(__xludf.DUMMYFUNCTION("""COMPUTED_VALUE"""),26050.0)</f>
      </c>
      <c r="B190" s="9">
        <f>IFERROR(__xludf.DUMMYFUNCTION("""COMPUTED_VALUE"""),"METROPOLITANA I")</f>
      </c>
      <c r="C190" s="9">
        <f>IFERROR(__xludf.DUMMYFUNCTION("""COMPUTED_VALUE"""),"CIEP 113 PROFESSOR WALDICK PEREIRA")</f>
      </c>
      <c r="D190" s="10">
        <f>IFERROR(__xludf.DUMMYFUNCTION("""COMPUTED_VALUE"""),0.8673)</f>
      </c>
      <c r="E190" s="11">
        <f>IFERROR(__xludf.DUMMYFUNCTION("""COMPUTED_VALUE"""),222.4)</f>
      </c>
      <c r="F190" s="10">
        <f>IFERROR(__xludf.DUMMYFUNCTION("""COMPUTED_VALUE"""),0.6224)</f>
      </c>
      <c r="G190" s="11">
        <f>IFERROR(__xludf.DUMMYFUNCTION("""COMPUTED_VALUE"""),410.67)</f>
      </c>
      <c r="H190" s="10">
        <f>IFERROR(__xludf.DUMMYFUNCTION("""COMPUTED_VALUE"""),0.6939)</f>
      </c>
      <c r="I190" s="11">
        <f>IFERROR(__xludf.DUMMYFUNCTION("""COMPUTED_VALUE"""),402.94)</f>
      </c>
      <c r="J190" s="10">
        <f>IFERROR(__xludf.DUMMYFUNCTION("""COMPUTED_VALUE"""),0.6633)</f>
      </c>
      <c r="K190" s="11">
        <f>IFERROR(__xludf.DUMMYFUNCTION("""COMPUTED_VALUE"""),335.63)</f>
      </c>
      <c r="L190" s="10">
        <f>IFERROR(__xludf.DUMMYFUNCTION("""COMPUTED_VALUE"""),0.6122)</f>
      </c>
      <c r="M190" s="11">
        <f>IFERROR(__xludf.DUMMYFUNCTION("""COMPUTED_VALUE"""),404.67)</f>
      </c>
      <c r="N190" s="10">
        <f>IFERROR(__xludf.DUMMYFUNCTION("""COMPUTED_VALUE"""),0.6633)</f>
      </c>
      <c r="O190" s="11">
        <f>IFERROR(__xludf.DUMMYFUNCTION("""COMPUTED_VALUE"""),396.88)</f>
      </c>
      <c r="P190" s="12"/>
      <c r="Q190" s="12"/>
      <c r="R190" s="15"/>
      <c r="S190" s="12"/>
      <c r="T190" s="12"/>
      <c r="U190" s="12"/>
      <c r="V190" s="12"/>
      <c r="W190" s="12"/>
      <c r="X190" s="12"/>
      <c r="Y190" s="12"/>
      <c r="Z190" s="12"/>
    </row>
    <row x14ac:dyDescent="0.25" r="191" customHeight="1" ht="15.75">
      <c r="A191" s="8">
        <f>IFERROR(__xludf.DUMMYFUNCTION("""COMPUTED_VALUE"""),26051.0)</f>
      </c>
      <c r="B191" s="9">
        <f>IFERROR(__xludf.DUMMYFUNCTION("""COMPUTED_VALUE"""),"METROPOLITANA I")</f>
      </c>
      <c r="C191" s="9">
        <f>IFERROR(__xludf.DUMMYFUNCTION("""COMPUTED_VALUE"""),"CIEP 117 CARLOS DRUMMOND DE ANDRADE BRASIL ESTADOS UNIDOS")</f>
      </c>
      <c r="D191" s="10">
        <f>IFERROR(__xludf.DUMMYFUNCTION("""COMPUTED_VALUE"""),0.9665)</f>
      </c>
      <c r="E191" s="11">
        <f>IFERROR(__xludf.DUMMYFUNCTION("""COMPUTED_VALUE"""),541.19)</f>
      </c>
      <c r="F191" s="10">
        <f>IFERROR(__xludf.DUMMYFUNCTION("""COMPUTED_VALUE"""),0.933)</f>
      </c>
      <c r="G191" s="11">
        <f>IFERROR(__xludf.DUMMYFUNCTION("""COMPUTED_VALUE"""),550.56)</f>
      </c>
      <c r="H191" s="10">
        <f>IFERROR(__xludf.DUMMYFUNCTION("""COMPUTED_VALUE"""),0.9713)</f>
      </c>
      <c r="I191" s="11">
        <f>IFERROR(__xludf.DUMMYFUNCTION("""COMPUTED_VALUE"""),582.97)</f>
      </c>
      <c r="J191" s="10">
        <f>IFERROR(__xludf.DUMMYFUNCTION("""COMPUTED_VALUE"""),0.9522)</f>
      </c>
      <c r="K191" s="11">
        <f>IFERROR(__xludf.DUMMYFUNCTION("""COMPUTED_VALUE"""),468.74)</f>
      </c>
      <c r="L191" s="10">
        <f>IFERROR(__xludf.DUMMYFUNCTION("""COMPUTED_VALUE"""),0.866)</f>
      </c>
      <c r="M191" s="11">
        <f>IFERROR(__xludf.DUMMYFUNCTION("""COMPUTED_VALUE"""),607.51)</f>
      </c>
      <c r="N191" s="10">
        <f>IFERROR(__xludf.DUMMYFUNCTION("""COMPUTED_VALUE"""),0.8469)</f>
      </c>
      <c r="O191" s="11">
        <f>IFERROR(__xludf.DUMMYFUNCTION("""COMPUTED_VALUE"""),592.77)</f>
      </c>
      <c r="P191" s="12"/>
      <c r="Q191" s="12"/>
      <c r="R191" s="15"/>
      <c r="S191" s="12"/>
      <c r="T191" s="12"/>
      <c r="U191" s="12"/>
      <c r="V191" s="12"/>
      <c r="W191" s="12"/>
      <c r="X191" s="12"/>
      <c r="Y191" s="12"/>
      <c r="Z191" s="12"/>
    </row>
    <row x14ac:dyDescent="0.25" r="192" customHeight="1" ht="15.75">
      <c r="A192" s="8">
        <f>IFERROR(__xludf.DUMMYFUNCTION("""COMPUTED_VALUE"""),26052.0)</f>
      </c>
      <c r="B192" s="9">
        <f>IFERROR(__xludf.DUMMYFUNCTION("""COMPUTED_VALUE"""),"METROPOLITANA I")</f>
      </c>
      <c r="C192" s="9">
        <f>IFERROR(__xludf.DUMMYFUNCTION("""COMPUTED_VALUE"""),"CIEP 119 AUSTIN")</f>
      </c>
      <c r="D192" s="10">
        <f>IFERROR(__xludf.DUMMYFUNCTION("""COMPUTED_VALUE"""),0.2973)</f>
      </c>
      <c r="E192" s="11">
        <f>IFERROR(__xludf.DUMMYFUNCTION("""COMPUTED_VALUE"""),"----")</f>
      </c>
      <c r="F192" s="10">
        <f>IFERROR(__xludf.DUMMYFUNCTION("""COMPUTED_VALUE"""),0.4668)</f>
      </c>
      <c r="G192" s="11">
        <f>IFERROR(__xludf.DUMMYFUNCTION("""COMPUTED_VALUE"""),321.55)</f>
      </c>
      <c r="H192" s="10">
        <f>IFERROR(__xludf.DUMMYFUNCTION("""COMPUTED_VALUE"""),0.3467)</f>
      </c>
      <c r="I192" s="11">
        <f>IFERROR(__xludf.DUMMYFUNCTION("""COMPUTED_VALUE"""),334.09)</f>
      </c>
      <c r="J192" s="10">
        <f>IFERROR(__xludf.DUMMYFUNCTION("""COMPUTED_VALUE"""),0.0902)</f>
      </c>
      <c r="K192" s="11">
        <f>IFERROR(__xludf.DUMMYFUNCTION("""COMPUTED_VALUE"""),400.0)</f>
      </c>
      <c r="L192" s="10">
        <f>IFERROR(__xludf.DUMMYFUNCTION("""COMPUTED_VALUE"""),0.4198)</f>
      </c>
      <c r="M192" s="11">
        <f>IFERROR(__xludf.DUMMYFUNCTION("""COMPUTED_VALUE"""),282.23)</f>
      </c>
      <c r="N192" s="10">
        <f>IFERROR(__xludf.DUMMYFUNCTION("""COMPUTED_VALUE"""),0.3152)</f>
      </c>
      <c r="O192" s="11">
        <f>IFERROR(__xludf.DUMMYFUNCTION("""COMPUTED_VALUE"""),314.95)</f>
      </c>
      <c r="P192" s="12"/>
      <c r="Q192" s="12"/>
      <c r="R192" s="15"/>
      <c r="S192" s="12"/>
      <c r="T192" s="12"/>
      <c r="U192" s="12"/>
      <c r="V192" s="12"/>
      <c r="W192" s="12"/>
      <c r="X192" s="12"/>
      <c r="Y192" s="12"/>
      <c r="Z192" s="12"/>
    </row>
    <row x14ac:dyDescent="0.25" r="193" customHeight="1" ht="15.75">
      <c r="A193" s="8">
        <f>IFERROR(__xludf.DUMMYFUNCTION("""COMPUTED_VALUE"""),26053.0)</f>
      </c>
      <c r="B193" s="9">
        <f>IFERROR(__xludf.DUMMYFUNCTION("""COMPUTED_VALUE"""),"METROPOLITANA I")</f>
      </c>
      <c r="C193" s="9">
        <f>IFERROR(__xludf.DUMMYFUNCTION("""COMPUTED_VALUE"""),"CIEP 134 VEREADOR JOSÉ LOPES DE ARAÚJO")</f>
      </c>
      <c r="D193" s="10">
        <f>IFERROR(__xludf.DUMMYFUNCTION("""COMPUTED_VALUE"""),0.9013)</f>
      </c>
      <c r="E193" s="11">
        <f>IFERROR(__xludf.DUMMYFUNCTION("""COMPUTED_VALUE"""),141.4)</f>
      </c>
      <c r="F193" s="10">
        <f>IFERROR(__xludf.DUMMYFUNCTION("""COMPUTED_VALUE"""),0.574)</f>
      </c>
      <c r="G193" s="11">
        <f>IFERROR(__xludf.DUMMYFUNCTION("""COMPUTED_VALUE"""),316.38)</f>
      </c>
      <c r="H193" s="10">
        <f>IFERROR(__xludf.DUMMYFUNCTION("""COMPUTED_VALUE"""),0.3303)</f>
      </c>
      <c r="I193" s="11">
        <f>IFERROR(__xludf.DUMMYFUNCTION("""COMPUTED_VALUE"""),"----")</f>
      </c>
      <c r="J193" s="10">
        <f>IFERROR(__xludf.DUMMYFUNCTION("""COMPUTED_VALUE"""),0.4078)</f>
      </c>
      <c r="K193" s="11">
        <f>IFERROR(__xludf.DUMMYFUNCTION("""COMPUTED_VALUE"""),207.2)</f>
      </c>
      <c r="L193" s="10">
        <f>IFERROR(__xludf.DUMMYFUNCTION("""COMPUTED_VALUE"""),0.3807)</f>
      </c>
      <c r="M193" s="11">
        <f>IFERROR(__xludf.DUMMYFUNCTION("""COMPUTED_VALUE"""),313.77)</f>
      </c>
      <c r="N193" s="10">
        <f>IFERROR(__xludf.DUMMYFUNCTION("""COMPUTED_VALUE"""),0.305)</f>
      </c>
      <c r="O193" s="11">
        <f>IFERROR(__xludf.DUMMYFUNCTION("""COMPUTED_VALUE"""),375.94)</f>
      </c>
      <c r="P193" s="12"/>
      <c r="Q193" s="12"/>
      <c r="R193" s="15"/>
      <c r="S193" s="12"/>
      <c r="T193" s="12"/>
      <c r="U193" s="12"/>
      <c r="V193" s="12"/>
      <c r="W193" s="12"/>
      <c r="X193" s="12"/>
      <c r="Y193" s="12"/>
      <c r="Z193" s="12"/>
    </row>
    <row x14ac:dyDescent="0.25" r="194" customHeight="1" ht="15.75">
      <c r="A194" s="8">
        <f>IFERROR(__xludf.DUMMYFUNCTION("""COMPUTED_VALUE"""),26054.0)</f>
      </c>
      <c r="B194" s="9">
        <f>IFERROR(__xludf.DUMMYFUNCTION("""COMPUTED_VALUE"""),"METROPOLITANA I")</f>
      </c>
      <c r="C194" s="9">
        <f>IFERROR(__xludf.DUMMYFUNCTION("""COMPUTED_VALUE"""),"CIEP 166 ABILIO AUGUSTO TAVORA")</f>
      </c>
      <c r="D194" s="10">
        <f>IFERROR(__xludf.DUMMYFUNCTION("""COMPUTED_VALUE"""),0.63)</f>
      </c>
      <c r="E194" s="11">
        <f>IFERROR(__xludf.DUMMYFUNCTION("""COMPUTED_VALUE"""),171.67)</f>
      </c>
      <c r="F194" s="10">
        <f>IFERROR(__xludf.DUMMYFUNCTION("""COMPUTED_VALUE"""),0.5076)</f>
      </c>
      <c r="G194" s="11">
        <f>IFERROR(__xludf.DUMMYFUNCTION("""COMPUTED_VALUE"""),361.96)</f>
      </c>
      <c r="H194" s="10">
        <f>IFERROR(__xludf.DUMMYFUNCTION("""COMPUTED_VALUE"""),0.419)</f>
      </c>
      <c r="I194" s="11">
        <f>IFERROR(__xludf.DUMMYFUNCTION("""COMPUTED_VALUE"""),390.52)</f>
      </c>
      <c r="J194" s="10">
        <f>IFERROR(__xludf.DUMMYFUNCTION("""COMPUTED_VALUE"""),0.6024)</f>
      </c>
      <c r="K194" s="11">
        <f>IFERROR(__xludf.DUMMYFUNCTION("""COMPUTED_VALUE"""),319.26)</f>
      </c>
      <c r="L194" s="10">
        <f>IFERROR(__xludf.DUMMYFUNCTION("""COMPUTED_VALUE"""),0.4954)</f>
      </c>
      <c r="M194" s="11">
        <f>IFERROR(__xludf.DUMMYFUNCTION("""COMPUTED_VALUE"""),358.99)</f>
      </c>
      <c r="N194" s="10">
        <f>IFERROR(__xludf.DUMMYFUNCTION("""COMPUTED_VALUE"""),0.4067)</f>
      </c>
      <c r="O194" s="11">
        <f>IFERROR(__xludf.DUMMYFUNCTION("""COMPUTED_VALUE"""),407.13)</f>
      </c>
      <c r="P194" s="12"/>
      <c r="Q194" s="12"/>
      <c r="R194" s="15"/>
      <c r="S194" s="12"/>
      <c r="T194" s="12"/>
      <c r="U194" s="12"/>
      <c r="V194" s="12"/>
      <c r="W194" s="12"/>
      <c r="X194" s="12"/>
      <c r="Y194" s="12"/>
      <c r="Z194" s="12"/>
    </row>
    <row x14ac:dyDescent="0.25" r="195" customHeight="1" ht="15.75">
      <c r="A195" s="8">
        <f>IFERROR(__xludf.DUMMYFUNCTION("""COMPUTED_VALUE"""),26055.0)</f>
      </c>
      <c r="B195" s="9">
        <f>IFERROR(__xludf.DUMMYFUNCTION("""COMPUTED_VALUE"""),"METROPOLITANA I")</f>
      </c>
      <c r="C195" s="9">
        <f>IFERROR(__xludf.DUMMYFUNCTION("""COMPUTED_VALUE"""),"CIEP 167 JARDIM PARAÍSO")</f>
      </c>
      <c r="D195" s="10">
        <f>IFERROR(__xludf.DUMMYFUNCTION("""COMPUTED_VALUE"""),0.5267)</f>
      </c>
      <c r="E195" s="11">
        <f>IFERROR(__xludf.DUMMYFUNCTION("""COMPUTED_VALUE"""),256.44)</f>
      </c>
      <c r="F195" s="10">
        <f>IFERROR(__xludf.DUMMYFUNCTION("""COMPUTED_VALUE"""),0.6502)</f>
      </c>
      <c r="G195" s="11">
        <f>IFERROR(__xludf.DUMMYFUNCTION("""COMPUTED_VALUE"""),347.6)</f>
      </c>
      <c r="H195" s="10">
        <f>IFERROR(__xludf.DUMMYFUNCTION("""COMPUTED_VALUE"""),0.4673)</f>
      </c>
      <c r="I195" s="11">
        <f>IFERROR(__xludf.DUMMYFUNCTION("""COMPUTED_VALUE"""),374.99)</f>
      </c>
      <c r="J195" s="10">
        <f>IFERROR(__xludf.DUMMYFUNCTION("""COMPUTED_VALUE"""),0.5854)</f>
      </c>
      <c r="K195" s="11">
        <f>IFERROR(__xludf.DUMMYFUNCTION("""COMPUTED_VALUE"""),"----")</f>
      </c>
      <c r="L195" s="10">
        <f>IFERROR(__xludf.DUMMYFUNCTION("""COMPUTED_VALUE"""),0.5654)</f>
      </c>
      <c r="M195" s="11">
        <f>IFERROR(__xludf.DUMMYFUNCTION("""COMPUTED_VALUE"""),371.88)</f>
      </c>
      <c r="N195" s="10">
        <f>IFERROR(__xludf.DUMMYFUNCTION("""COMPUTED_VALUE"""),0.5817)</f>
      </c>
      <c r="O195" s="11">
        <f>IFERROR(__xludf.DUMMYFUNCTION("""COMPUTED_VALUE"""),408.71)</f>
      </c>
      <c r="P195" s="12"/>
      <c r="Q195" s="12"/>
      <c r="R195" s="15"/>
      <c r="S195" s="12"/>
      <c r="T195" s="12"/>
      <c r="U195" s="12"/>
      <c r="V195" s="12"/>
      <c r="W195" s="12"/>
      <c r="X195" s="12"/>
      <c r="Y195" s="12"/>
      <c r="Z195" s="12"/>
    </row>
    <row x14ac:dyDescent="0.25" r="196" customHeight="1" ht="15.75">
      <c r="A196" s="8">
        <f>IFERROR(__xludf.DUMMYFUNCTION("""COMPUTED_VALUE"""),26056.0)</f>
      </c>
      <c r="B196" s="9">
        <f>IFERROR(__xludf.DUMMYFUNCTION("""COMPUTED_VALUE"""),"METROPOLITANA I")</f>
      </c>
      <c r="C196" s="9">
        <f>IFERROR(__xludf.DUMMYFUNCTION("""COMPUTED_VALUE"""),"CIEP 168 HILDA SILVEIRA RODRIGUES")</f>
      </c>
      <c r="D196" s="10">
        <f>IFERROR(__xludf.DUMMYFUNCTION("""COMPUTED_VALUE"""),0.9831)</f>
      </c>
      <c r="E196" s="11">
        <f>IFERROR(__xludf.DUMMYFUNCTION("""COMPUTED_VALUE"""),219.11)</f>
      </c>
      <c r="F196" s="10">
        <f>IFERROR(__xludf.DUMMYFUNCTION("""COMPUTED_VALUE"""),0.0872)</f>
      </c>
      <c r="G196" s="11">
        <f>IFERROR(__xludf.DUMMYFUNCTION("""COMPUTED_VALUE"""),127.27)</f>
      </c>
      <c r="H196" s="10">
        <f>IFERROR(__xludf.DUMMYFUNCTION("""COMPUTED_VALUE"""),0.917)</f>
      </c>
      <c r="I196" s="11">
        <f>IFERROR(__xludf.DUMMYFUNCTION("""COMPUTED_VALUE"""),226.42)</f>
      </c>
      <c r="J196" s="10">
        <f>IFERROR(__xludf.DUMMYFUNCTION("""COMPUTED_VALUE"""),0.6755)</f>
      </c>
      <c r="K196" s="11">
        <f>IFERROR(__xludf.DUMMYFUNCTION("""COMPUTED_VALUE"""),290.0)</f>
      </c>
      <c r="L196" s="10">
        <f>IFERROR(__xludf.DUMMYFUNCTION("""COMPUTED_VALUE"""),0.5705)</f>
      </c>
      <c r="M196" s="11">
        <f>IFERROR(__xludf.DUMMYFUNCTION("""COMPUTED_VALUE"""),309.02)</f>
      </c>
      <c r="N196" s="10">
        <f>IFERROR(__xludf.DUMMYFUNCTION("""COMPUTED_VALUE"""),0.9232)</f>
      </c>
      <c r="O196" s="11">
        <f>IFERROR(__xludf.DUMMYFUNCTION("""COMPUTED_VALUE"""),268.81)</f>
      </c>
      <c r="P196" s="12"/>
      <c r="Q196" s="12"/>
      <c r="R196" s="15"/>
      <c r="S196" s="12"/>
      <c r="T196" s="12"/>
      <c r="U196" s="12"/>
      <c r="V196" s="12"/>
      <c r="W196" s="12"/>
      <c r="X196" s="12"/>
      <c r="Y196" s="12"/>
      <c r="Z196" s="12"/>
    </row>
    <row x14ac:dyDescent="0.25" r="197" customHeight="1" ht="15.75">
      <c r="A197" s="8">
        <f>IFERROR(__xludf.DUMMYFUNCTION("""COMPUTED_VALUE"""),26057.0)</f>
      </c>
      <c r="B197" s="9">
        <f>IFERROR(__xludf.DUMMYFUNCTION("""COMPUTED_VALUE"""),"METROPOLITANA I")</f>
      </c>
      <c r="C197" s="9">
        <f>IFERROR(__xludf.DUMMYFUNCTION("""COMPUTED_VALUE"""),"CIEP 172 NELSON RODRIGUES")</f>
      </c>
      <c r="D197" s="10">
        <f>IFERROR(__xludf.DUMMYFUNCTION("""COMPUTED_VALUE"""),0.7722)</f>
      </c>
      <c r="E197" s="11">
        <f>IFERROR(__xludf.DUMMYFUNCTION("""COMPUTED_VALUE"""),150.08)</f>
      </c>
      <c r="F197" s="10">
        <f>IFERROR(__xludf.DUMMYFUNCTION("""COMPUTED_VALUE"""),0.4889)</f>
      </c>
      <c r="G197" s="11">
        <f>IFERROR(__xludf.DUMMYFUNCTION("""COMPUTED_VALUE"""),367.36)</f>
      </c>
      <c r="H197" s="10">
        <f>IFERROR(__xludf.DUMMYFUNCTION("""COMPUTED_VALUE"""),0.5778)</f>
      </c>
      <c r="I197" s="11">
        <f>IFERROR(__xludf.DUMMYFUNCTION("""COMPUTED_VALUE"""),365.0)</f>
      </c>
      <c r="J197" s="10">
        <f>IFERROR(__xludf.DUMMYFUNCTION("""COMPUTED_VALUE"""),0.5722)</f>
      </c>
      <c r="K197" s="11">
        <f>IFERROR(__xludf.DUMMYFUNCTION("""COMPUTED_VALUE"""),236.5)</f>
      </c>
      <c r="L197" s="10">
        <f>IFERROR(__xludf.DUMMYFUNCTION("""COMPUTED_VALUE"""),0.6444)</f>
      </c>
      <c r="M197" s="11">
        <f>IFERROR(__xludf.DUMMYFUNCTION("""COMPUTED_VALUE"""),359.31)</f>
      </c>
      <c r="N197" s="10">
        <f>IFERROR(__xludf.DUMMYFUNCTION("""COMPUTED_VALUE"""),0.5889)</f>
      </c>
      <c r="O197" s="11">
        <f>IFERROR(__xludf.DUMMYFUNCTION("""COMPUTED_VALUE"""),384.15)</f>
      </c>
      <c r="P197" s="12"/>
      <c r="Q197" s="12"/>
      <c r="R197" s="15"/>
      <c r="S197" s="12"/>
      <c r="T197" s="12"/>
      <c r="U197" s="12"/>
      <c r="V197" s="12"/>
      <c r="W197" s="12"/>
      <c r="X197" s="12"/>
      <c r="Y197" s="12"/>
      <c r="Z197" s="12"/>
    </row>
    <row x14ac:dyDescent="0.25" r="198" customHeight="1" ht="15.75">
      <c r="A198" s="8">
        <f>IFERROR(__xludf.DUMMYFUNCTION("""COMPUTED_VALUE"""),26058.0)</f>
      </c>
      <c r="B198" s="9">
        <f>IFERROR(__xludf.DUMMYFUNCTION("""COMPUTED_VALUE"""),"METROPOLITANA I")</f>
      </c>
      <c r="C198" s="9">
        <f>IFERROR(__xludf.DUMMYFUNCTION("""COMPUTED_VALUE"""),"CIEP 188 MARIANO FLOR CAVALCANTE")</f>
      </c>
      <c r="D198" s="10">
        <f>IFERROR(__xludf.DUMMYFUNCTION("""COMPUTED_VALUE"""),0.9)</f>
      </c>
      <c r="E198" s="11">
        <f>IFERROR(__xludf.DUMMYFUNCTION("""COMPUTED_VALUE"""),196.44)</f>
      </c>
      <c r="F198" s="10">
        <f>IFERROR(__xludf.DUMMYFUNCTION("""COMPUTED_VALUE"""),0.98)</f>
      </c>
      <c r="G198" s="11">
        <f>IFERROR(__xludf.DUMMYFUNCTION("""COMPUTED_VALUE"""),256.33)</f>
      </c>
      <c r="H198" s="10">
        <f>IFERROR(__xludf.DUMMYFUNCTION("""COMPUTED_VALUE"""),0.82)</f>
      </c>
      <c r="I198" s="11">
        <f>IFERROR(__xludf.DUMMYFUNCTION("""COMPUTED_VALUE"""),463.0)</f>
      </c>
      <c r="J198" s="10">
        <f>IFERROR(__xludf.DUMMYFUNCTION("""COMPUTED_VALUE"""),0.84)</f>
      </c>
      <c r="K198" s="11">
        <f>IFERROR(__xludf.DUMMYFUNCTION("""COMPUTED_VALUE"""),317.07)</f>
      </c>
      <c r="L198" s="10">
        <f>IFERROR(__xludf.DUMMYFUNCTION("""COMPUTED_VALUE"""),0.82)</f>
      </c>
      <c r="M198" s="11">
        <f>IFERROR(__xludf.DUMMYFUNCTION("""COMPUTED_VALUE"""),386.0)</f>
      </c>
      <c r="N198" s="10">
        <f>IFERROR(__xludf.DUMMYFUNCTION("""COMPUTED_VALUE"""),0.82)</f>
      </c>
      <c r="O198" s="11">
        <f>IFERROR(__xludf.DUMMYFUNCTION("""COMPUTED_VALUE"""),419.51)</f>
      </c>
      <c r="P198" s="12"/>
      <c r="Q198" s="12"/>
      <c r="R198" s="15"/>
      <c r="S198" s="12"/>
      <c r="T198" s="12"/>
      <c r="U198" s="12"/>
      <c r="V198" s="12"/>
      <c r="W198" s="12"/>
      <c r="X198" s="12"/>
      <c r="Y198" s="12"/>
      <c r="Z198" s="12"/>
    </row>
    <row x14ac:dyDescent="0.25" r="199" customHeight="1" ht="15.75">
      <c r="A199" s="8">
        <f>IFERROR(__xludf.DUMMYFUNCTION("""COMPUTED_VALUE"""),26059.0)</f>
      </c>
      <c r="B199" s="9">
        <f>IFERROR(__xludf.DUMMYFUNCTION("""COMPUTED_VALUE"""),"METROPOLITANA I")</f>
      </c>
      <c r="C199" s="9">
        <f>IFERROR(__xludf.DUMMYFUNCTION("""COMPUTED_VALUE"""),"CIEP 196 SÃO TEODORO")</f>
      </c>
      <c r="D199" s="10">
        <f>IFERROR(__xludf.DUMMYFUNCTION("""COMPUTED_VALUE"""),0.8902)</f>
      </c>
      <c r="E199" s="11">
        <f>IFERROR(__xludf.DUMMYFUNCTION("""COMPUTED_VALUE"""),301.37)</f>
      </c>
      <c r="F199" s="10">
        <f>IFERROR(__xludf.DUMMYFUNCTION("""COMPUTED_VALUE"""),0.7561)</f>
      </c>
      <c r="G199" s="11">
        <f>IFERROR(__xludf.DUMMYFUNCTION("""COMPUTED_VALUE"""),421.75)</f>
      </c>
      <c r="H199" s="10">
        <f>IFERROR(__xludf.DUMMYFUNCTION("""COMPUTED_VALUE"""),0.6161)</f>
      </c>
      <c r="I199" s="11">
        <f>IFERROR(__xludf.DUMMYFUNCTION("""COMPUTED_VALUE"""),411.42)</f>
      </c>
      <c r="J199" s="10">
        <f>IFERROR(__xludf.DUMMYFUNCTION("""COMPUTED_VALUE"""),0.9483)</f>
      </c>
      <c r="K199" s="11">
        <f>IFERROR(__xludf.DUMMYFUNCTION("""COMPUTED_VALUE"""),325.71)</f>
      </c>
      <c r="L199" s="10">
        <f>IFERROR(__xludf.DUMMYFUNCTION("""COMPUTED_VALUE"""),0.5804)</f>
      </c>
      <c r="M199" s="11">
        <f>IFERROR(__xludf.DUMMYFUNCTION("""COMPUTED_VALUE"""),438.47)</f>
      </c>
      <c r="N199" s="10">
        <f>IFERROR(__xludf.DUMMYFUNCTION("""COMPUTED_VALUE"""),0.5)</f>
      </c>
      <c r="O199" s="11">
        <f>IFERROR(__xludf.DUMMYFUNCTION("""COMPUTED_VALUE"""),431.82)</f>
      </c>
      <c r="P199" s="12"/>
      <c r="Q199" s="12"/>
      <c r="R199" s="15"/>
      <c r="S199" s="12"/>
      <c r="T199" s="12"/>
      <c r="U199" s="12"/>
      <c r="V199" s="12"/>
      <c r="W199" s="12"/>
      <c r="X199" s="12"/>
      <c r="Y199" s="12"/>
      <c r="Z199" s="12"/>
    </row>
    <row x14ac:dyDescent="0.25" r="200" customHeight="1" ht="15.75">
      <c r="A200" s="8">
        <f>IFERROR(__xludf.DUMMYFUNCTION("""COMPUTED_VALUE"""),26060.0)</f>
      </c>
      <c r="B200" s="9">
        <f>IFERROR(__xludf.DUMMYFUNCTION("""COMPUTED_VALUE"""),"METROPOLITANA I")</f>
      </c>
      <c r="C200" s="9">
        <f>IFERROR(__xludf.DUMMYFUNCTION("""COMPUTED_VALUE"""),"CIEP 200 PROFESSOR TERLI FIORAVANTE DA ROCHA")</f>
      </c>
      <c r="D200" s="10">
        <f>IFERROR(__xludf.DUMMYFUNCTION("""COMPUTED_VALUE"""),0.8452)</f>
      </c>
      <c r="E200" s="11">
        <f>IFERROR(__xludf.DUMMYFUNCTION("""COMPUTED_VALUE"""),272.08)</f>
      </c>
      <c r="F200" s="10">
        <f>IFERROR(__xludf.DUMMYFUNCTION("""COMPUTED_VALUE"""),0.7937)</f>
      </c>
      <c r="G200" s="11">
        <f>IFERROR(__xludf.DUMMYFUNCTION("""COMPUTED_VALUE"""),407.27)</f>
      </c>
      <c r="H200" s="10">
        <f>IFERROR(__xludf.DUMMYFUNCTION("""COMPUTED_VALUE"""),0.7341)</f>
      </c>
      <c r="I200" s="11">
        <f>IFERROR(__xludf.DUMMYFUNCTION("""COMPUTED_VALUE"""),464.0)</f>
      </c>
      <c r="J200" s="10">
        <f>IFERROR(__xludf.DUMMYFUNCTION("""COMPUTED_VALUE"""),0.5675)</f>
      </c>
      <c r="K200" s="11">
        <f>IFERROR(__xludf.DUMMYFUNCTION("""COMPUTED_VALUE"""),377.65)</f>
      </c>
      <c r="L200" s="10">
        <f>IFERROR(__xludf.DUMMYFUNCTION("""COMPUTED_VALUE"""),0.6786)</f>
      </c>
      <c r="M200" s="11">
        <f>IFERROR(__xludf.DUMMYFUNCTION("""COMPUTED_VALUE"""),417.99)</f>
      </c>
      <c r="N200" s="10">
        <f>IFERROR(__xludf.DUMMYFUNCTION("""COMPUTED_VALUE"""),0.6865)</f>
      </c>
      <c r="O200" s="11">
        <f>IFERROR(__xludf.DUMMYFUNCTION("""COMPUTED_VALUE"""),440.0)</f>
      </c>
      <c r="P200" s="12"/>
      <c r="Q200" s="12"/>
      <c r="R200" s="15"/>
      <c r="S200" s="12"/>
      <c r="T200" s="12"/>
      <c r="U200" s="12"/>
      <c r="V200" s="12"/>
      <c r="W200" s="12"/>
      <c r="X200" s="12"/>
      <c r="Y200" s="12"/>
      <c r="Z200" s="12"/>
    </row>
    <row x14ac:dyDescent="0.25" r="201" customHeight="1" ht="15.75">
      <c r="A201" s="8">
        <f>IFERROR(__xludf.DUMMYFUNCTION("""COMPUTED_VALUE"""),26002.0)</f>
      </c>
      <c r="B201" s="9">
        <f>IFERROR(__xludf.DUMMYFUNCTION("""COMPUTED_VALUE"""),"METROPOLITANA I")</f>
      </c>
      <c r="C201" s="9">
        <f>IFERROR(__xludf.DUMMYFUNCTION("""COMPUTED_VALUE"""),"CIEP 206 PROFESSORA CYRENE MORAES COSTA")</f>
      </c>
      <c r="D201" s="10">
        <f>IFERROR(__xludf.DUMMYFUNCTION("""COMPUTED_VALUE"""),0.617)</f>
      </c>
      <c r="E201" s="11">
        <f>IFERROR(__xludf.DUMMYFUNCTION("""COMPUTED_VALUE"""),125.29)</f>
      </c>
      <c r="F201" s="10">
        <f>IFERROR(__xludf.DUMMYFUNCTION("""COMPUTED_VALUE"""),0.5106)</f>
      </c>
      <c r="G201" s="11">
        <f>IFERROR(__xludf.DUMMYFUNCTION("""COMPUTED_VALUE"""),324.17)</f>
      </c>
      <c r="H201" s="10">
        <f>IFERROR(__xludf.DUMMYFUNCTION("""COMPUTED_VALUE"""),0.3333)</f>
      </c>
      <c r="I201" s="11">
        <f>IFERROR(__xludf.DUMMYFUNCTION("""COMPUTED_VALUE"""),320.85)</f>
      </c>
      <c r="J201" s="10">
        <f>IFERROR(__xludf.DUMMYFUNCTION("""COMPUTED_VALUE"""),0.65)</f>
      </c>
      <c r="K201" s="11">
        <f>IFERROR(__xludf.DUMMYFUNCTION("""COMPUTED_VALUE"""),229.8)</f>
      </c>
      <c r="L201" s="10">
        <f>IFERROR(__xludf.DUMMYFUNCTION("""COMPUTED_VALUE"""),0.2908)</f>
      </c>
      <c r="M201" s="11">
        <f>IFERROR(__xludf.DUMMYFUNCTION("""COMPUTED_VALUE"""),364.88)</f>
      </c>
      <c r="N201" s="10">
        <f>IFERROR(__xludf.DUMMYFUNCTION("""COMPUTED_VALUE"""),0.3404)</f>
      </c>
      <c r="O201" s="11">
        <f>IFERROR(__xludf.DUMMYFUNCTION("""COMPUTED_VALUE"""),341.21)</f>
      </c>
      <c r="P201" s="12"/>
      <c r="Q201" s="12"/>
      <c r="R201" s="15"/>
      <c r="S201" s="12"/>
      <c r="T201" s="12"/>
      <c r="U201" s="12"/>
      <c r="V201" s="12"/>
      <c r="W201" s="12"/>
      <c r="X201" s="12"/>
      <c r="Y201" s="12"/>
      <c r="Z201" s="12"/>
    </row>
    <row x14ac:dyDescent="0.25" r="202" customHeight="1" ht="15.75">
      <c r="A202" s="8">
        <f>IFERROR(__xludf.DUMMYFUNCTION("""COMPUTED_VALUE"""),26003.0)</f>
      </c>
      <c r="B202" s="9">
        <f>IFERROR(__xludf.DUMMYFUNCTION("""COMPUTED_VALUE"""),"METROPOLITANA I")</f>
      </c>
      <c r="C202" s="9">
        <f>IFERROR(__xludf.DUMMYFUNCTION("""COMPUTED_VALUE"""),"CIEP 207 GILSON AMADO")</f>
      </c>
      <c r="D202" s="10">
        <f>IFERROR(__xludf.DUMMYFUNCTION("""COMPUTED_VALUE"""),0.7854)</f>
      </c>
      <c r="E202" s="11">
        <f>IFERROR(__xludf.DUMMYFUNCTION("""COMPUTED_VALUE"""),89.37)</f>
      </c>
      <c r="F202" s="10">
        <f>IFERROR(__xludf.DUMMYFUNCTION("""COMPUTED_VALUE"""),0.0324)</f>
      </c>
      <c r="G202" s="11">
        <f>IFERROR(__xludf.DUMMYFUNCTION("""COMPUTED_VALUE"""),37.14)</f>
      </c>
      <c r="H202" s="10">
        <f>IFERROR(__xludf.DUMMYFUNCTION("""COMPUTED_VALUE"""),0.9494)</f>
      </c>
      <c r="I202" s="11">
        <f>IFERROR(__xludf.DUMMYFUNCTION("""COMPUTED_VALUE"""),141.98)</f>
      </c>
      <c r="J202" s="10">
        <f>IFERROR(__xludf.DUMMYFUNCTION("""COMPUTED_VALUE"""),0.8704)</f>
      </c>
      <c r="K202" s="11">
        <f>IFERROR(__xludf.DUMMYFUNCTION("""COMPUTED_VALUE"""),58.43)</f>
      </c>
      <c r="L202" s="10">
        <f>IFERROR(__xludf.DUMMYFUNCTION("""COMPUTED_VALUE"""),0.8644)</f>
      </c>
      <c r="M202" s="11">
        <f>IFERROR(__xludf.DUMMYFUNCTION("""COMPUTED_VALUE"""),128.62)</f>
      </c>
      <c r="N202" s="10">
        <f>IFERROR(__xludf.DUMMYFUNCTION("""COMPUTED_VALUE"""),0.8401)</f>
      </c>
      <c r="O202" s="11">
        <f>IFERROR(__xludf.DUMMYFUNCTION("""COMPUTED_VALUE"""),134.47)</f>
      </c>
      <c r="P202" s="12"/>
      <c r="Q202" s="12"/>
      <c r="R202" s="15"/>
      <c r="S202" s="12"/>
      <c r="T202" s="12"/>
      <c r="U202" s="12"/>
      <c r="V202" s="12"/>
      <c r="W202" s="12"/>
      <c r="X202" s="12"/>
      <c r="Y202" s="12"/>
      <c r="Z202" s="12"/>
    </row>
    <row x14ac:dyDescent="0.25" r="203" customHeight="1" ht="15.75">
      <c r="A203" s="8">
        <f>IFERROR(__xludf.DUMMYFUNCTION("""COMPUTED_VALUE"""),26061.0)</f>
      </c>
      <c r="B203" s="9">
        <f>IFERROR(__xludf.DUMMYFUNCTION("""COMPUTED_VALUE"""),"METROPOLITANA I")</f>
      </c>
      <c r="C203" s="9">
        <f>IFERROR(__xludf.DUMMYFUNCTION("""COMPUTED_VALUE"""),"CIEP 216 PREFEITO JUAREZ ANTUNES")</f>
      </c>
      <c r="D203" s="10">
        <f>IFERROR(__xludf.DUMMYFUNCTION("""COMPUTED_VALUE"""),0.7607)</f>
      </c>
      <c r="E203" s="11">
        <f>IFERROR(__xludf.DUMMYFUNCTION("""COMPUTED_VALUE"""),221.25)</f>
      </c>
      <c r="F203" s="10">
        <f>IFERROR(__xludf.DUMMYFUNCTION("""COMPUTED_VALUE"""),0.4663)</f>
      </c>
      <c r="G203" s="11">
        <f>IFERROR(__xludf.DUMMYFUNCTION("""COMPUTED_VALUE"""),398.3)</f>
      </c>
      <c r="H203" s="10">
        <f>IFERROR(__xludf.DUMMYFUNCTION("""COMPUTED_VALUE"""),0.4055)</f>
      </c>
      <c r="I203" s="11">
        <f>IFERROR(__xludf.DUMMYFUNCTION("""COMPUTED_VALUE"""),406.82)</f>
      </c>
      <c r="J203" s="10">
        <f>IFERROR(__xludf.DUMMYFUNCTION("""COMPUTED_VALUE"""),0.3704)</f>
      </c>
      <c r="K203" s="11">
        <f>IFERROR(__xludf.DUMMYFUNCTION("""COMPUTED_VALUE"""),"----")</f>
      </c>
      <c r="L203" s="10">
        <f>IFERROR(__xludf.DUMMYFUNCTION("""COMPUTED_VALUE"""),0.6452)</f>
      </c>
      <c r="M203" s="11">
        <f>IFERROR(__xludf.DUMMYFUNCTION("""COMPUTED_VALUE"""),331.42)</f>
      </c>
      <c r="N203" s="10">
        <f>IFERROR(__xludf.DUMMYFUNCTION("""COMPUTED_VALUE"""),0.4055)</f>
      </c>
      <c r="O203" s="11">
        <f>IFERROR(__xludf.DUMMYFUNCTION("""COMPUTED_VALUE"""),412.73)</f>
      </c>
      <c r="P203" s="12"/>
      <c r="Q203" s="12"/>
      <c r="R203" s="15"/>
      <c r="S203" s="12"/>
      <c r="T203" s="12"/>
      <c r="U203" s="12"/>
      <c r="V203" s="12"/>
      <c r="W203" s="12"/>
      <c r="X203" s="12"/>
      <c r="Y203" s="12"/>
      <c r="Z203" s="12"/>
    </row>
    <row x14ac:dyDescent="0.25" r="204" customHeight="1" ht="15.75">
      <c r="A204" s="8">
        <f>IFERROR(__xludf.DUMMYFUNCTION("""COMPUTED_VALUE"""),26062.0)</f>
      </c>
      <c r="B204" s="9">
        <f>IFERROR(__xludf.DUMMYFUNCTION("""COMPUTED_VALUE"""),"METROPOLITANA I")</f>
      </c>
      <c r="C204" s="9">
        <f>IFERROR(__xludf.DUMMYFUNCTION("""COMPUTED_VALUE"""),"CIEP 317 AURELIO BUARQUE DE HOLANDA")</f>
      </c>
      <c r="D204" s="10">
        <f>IFERROR(__xludf.DUMMYFUNCTION("""COMPUTED_VALUE"""),0.8232)</f>
      </c>
      <c r="E204" s="11">
        <f>IFERROR(__xludf.DUMMYFUNCTION("""COMPUTED_VALUE"""),204.96)</f>
      </c>
      <c r="F204" s="10">
        <f>IFERROR(__xludf.DUMMYFUNCTION("""COMPUTED_VALUE"""),0.7988)</f>
      </c>
      <c r="G204" s="11">
        <f>IFERROR(__xludf.DUMMYFUNCTION("""COMPUTED_VALUE"""),330.76)</f>
      </c>
      <c r="H204" s="10">
        <f>IFERROR(__xludf.DUMMYFUNCTION("""COMPUTED_VALUE"""),0.4719)</f>
      </c>
      <c r="I204" s="11">
        <f>IFERROR(__xludf.DUMMYFUNCTION("""COMPUTED_VALUE"""),360.8)</f>
      </c>
      <c r="J204" s="10">
        <f>IFERROR(__xludf.DUMMYFUNCTION("""COMPUTED_VALUE"""),0.7364)</f>
      </c>
      <c r="K204" s="11">
        <f>IFERROR(__xludf.DUMMYFUNCTION("""COMPUTED_VALUE"""),266.64)</f>
      </c>
      <c r="L204" s="10">
        <f>IFERROR(__xludf.DUMMYFUNCTION("""COMPUTED_VALUE"""),0.6104)</f>
      </c>
      <c r="M204" s="11">
        <f>IFERROR(__xludf.DUMMYFUNCTION("""COMPUTED_VALUE"""),340.67)</f>
      </c>
      <c r="N204" s="10">
        <f>IFERROR(__xludf.DUMMYFUNCTION("""COMPUTED_VALUE"""),0.5152)</f>
      </c>
      <c r="O204" s="11">
        <f>IFERROR(__xludf.DUMMYFUNCTION("""COMPUTED_VALUE"""),394.39)</f>
      </c>
      <c r="P204" s="12"/>
      <c r="Q204" s="12"/>
      <c r="R204" s="15"/>
      <c r="S204" s="12"/>
      <c r="T204" s="12"/>
      <c r="U204" s="12"/>
      <c r="V204" s="12"/>
      <c r="W204" s="12"/>
      <c r="X204" s="12"/>
      <c r="Y204" s="12"/>
      <c r="Z204" s="12"/>
    </row>
    <row x14ac:dyDescent="0.25" r="205" customHeight="1" ht="15.75">
      <c r="A205" s="8">
        <f>IFERROR(__xludf.DUMMYFUNCTION("""COMPUTED_VALUE"""),26063.0)</f>
      </c>
      <c r="B205" s="9">
        <f>IFERROR(__xludf.DUMMYFUNCTION("""COMPUTED_VALUE"""),"METROPOLITANA I")</f>
      </c>
      <c r="C205" s="9">
        <f>IFERROR(__xludf.DUMMYFUNCTION("""COMPUTED_VALUE"""),"CIEP 324 MAHATMA GANDHI")</f>
      </c>
      <c r="D205" s="10">
        <f>IFERROR(__xludf.DUMMYFUNCTION("""COMPUTED_VALUE"""),0.8507)</f>
      </c>
      <c r="E205" s="11">
        <f>IFERROR(__xludf.DUMMYFUNCTION("""COMPUTED_VALUE"""),187.13)</f>
      </c>
      <c r="F205" s="10">
        <f>IFERROR(__xludf.DUMMYFUNCTION("""COMPUTED_VALUE"""),0.9776)</f>
      </c>
      <c r="G205" s="11">
        <f>IFERROR(__xludf.DUMMYFUNCTION("""COMPUTED_VALUE"""),317.51)</f>
      </c>
      <c r="H205" s="10">
        <f>IFERROR(__xludf.DUMMYFUNCTION("""COMPUTED_VALUE"""),0.9244)</f>
      </c>
      <c r="I205" s="11">
        <f>IFERROR(__xludf.DUMMYFUNCTION("""COMPUTED_VALUE"""),257.36)</f>
      </c>
      <c r="J205" s="10">
        <f>IFERROR(__xludf.DUMMYFUNCTION("""COMPUTED_VALUE"""),1.0)</f>
      </c>
      <c r="K205" s="11">
        <f>IFERROR(__xludf.DUMMYFUNCTION("""COMPUTED_VALUE"""),293.24)</f>
      </c>
      <c r="L205" s="10">
        <f>IFERROR(__xludf.DUMMYFUNCTION("""COMPUTED_VALUE"""),0.907)</f>
      </c>
      <c r="M205" s="11">
        <f>IFERROR(__xludf.DUMMYFUNCTION("""COMPUTED_VALUE"""),296.16)</f>
      </c>
      <c r="N205" s="10">
        <f>IFERROR(__xludf.DUMMYFUNCTION("""COMPUTED_VALUE"""),0.9767)</f>
      </c>
      <c r="O205" s="11">
        <f>IFERROR(__xludf.DUMMYFUNCTION("""COMPUTED_VALUE"""),279.29)</f>
      </c>
      <c r="P205" s="12"/>
      <c r="Q205" s="12"/>
      <c r="R205" s="15"/>
      <c r="S205" s="12"/>
      <c r="T205" s="12"/>
      <c r="U205" s="12"/>
      <c r="V205" s="12"/>
      <c r="W205" s="12"/>
      <c r="X205" s="12"/>
      <c r="Y205" s="12"/>
      <c r="Z205" s="12"/>
    </row>
    <row x14ac:dyDescent="0.25" r="206" customHeight="1" ht="15.75">
      <c r="A206" s="8">
        <f>IFERROR(__xludf.DUMMYFUNCTION("""COMPUTED_VALUE"""),26064.0)</f>
      </c>
      <c r="B206" s="9">
        <f>IFERROR(__xludf.DUMMYFUNCTION("""COMPUTED_VALUE"""),"METROPOLITANA I")</f>
      </c>
      <c r="C206" s="9">
        <f>IFERROR(__xludf.DUMMYFUNCTION("""COMPUTED_VALUE"""),"CIEP 333 CACILDA BECKER")</f>
      </c>
      <c r="D206" s="10">
        <f>IFERROR(__xludf.DUMMYFUNCTION("""COMPUTED_VALUE"""),0.5437)</f>
      </c>
      <c r="E206" s="11">
        <f>IFERROR(__xludf.DUMMYFUNCTION("""COMPUTED_VALUE"""),127.5)</f>
      </c>
      <c r="F206" s="10">
        <f>IFERROR(__xludf.DUMMYFUNCTION("""COMPUTED_VALUE"""),0.4612)</f>
      </c>
      <c r="G206" s="11">
        <f>IFERROR(__xludf.DUMMYFUNCTION("""COMPUTED_VALUE"""),347.46)</f>
      </c>
      <c r="H206" s="10">
        <f>IFERROR(__xludf.DUMMYFUNCTION("""COMPUTED_VALUE"""),0.4366)</f>
      </c>
      <c r="I206" s="11">
        <f>IFERROR(__xludf.DUMMYFUNCTION("""COMPUTED_VALUE"""),337.12)</f>
      </c>
      <c r="J206" s="10">
        <f>IFERROR(__xludf.DUMMYFUNCTION("""COMPUTED_VALUE"""),0.5286)</f>
      </c>
      <c r="K206" s="11">
        <f>IFERROR(__xludf.DUMMYFUNCTION("""COMPUTED_VALUE"""),215.54)</f>
      </c>
      <c r="L206" s="10">
        <f>IFERROR(__xludf.DUMMYFUNCTION("""COMPUTED_VALUE"""),0.3545)</f>
      </c>
      <c r="M206" s="11">
        <f>IFERROR(__xludf.DUMMYFUNCTION("""COMPUTED_VALUE"""),358.45)</f>
      </c>
      <c r="N206" s="10">
        <f>IFERROR(__xludf.DUMMYFUNCTION("""COMPUTED_VALUE"""),0.4328)</f>
      </c>
      <c r="O206" s="11">
        <f>IFERROR(__xludf.DUMMYFUNCTION("""COMPUTED_VALUE"""),341.03)</f>
      </c>
      <c r="P206" s="12"/>
      <c r="Q206" s="12"/>
      <c r="R206" s="15"/>
      <c r="S206" s="12"/>
      <c r="T206" s="12"/>
      <c r="U206" s="12"/>
      <c r="V206" s="12"/>
      <c r="W206" s="12"/>
      <c r="X206" s="12"/>
      <c r="Y206" s="12"/>
      <c r="Z206" s="12"/>
    </row>
    <row x14ac:dyDescent="0.25" r="207" customHeight="1" ht="15.75">
      <c r="A207" s="8">
        <f>IFERROR(__xludf.DUMMYFUNCTION("""COMPUTED_VALUE"""),26065.0)</f>
      </c>
      <c r="B207" s="9">
        <f>IFERROR(__xludf.DUMMYFUNCTION("""COMPUTED_VALUE"""),"METROPOLITANA I")</f>
      </c>
      <c r="C207" s="9">
        <f>IFERROR(__xludf.DUMMYFUNCTION("""COMPUTED_VALUE"""),"CIEP 334 MOACYR JOSE PEREIRA GERK")</f>
      </c>
      <c r="D207" s="10">
        <f>IFERROR(__xludf.DUMMYFUNCTION("""COMPUTED_VALUE"""),0.7778)</f>
      </c>
      <c r="E207" s="11">
        <f>IFERROR(__xludf.DUMMYFUNCTION("""COMPUTED_VALUE"""),118.1)</f>
      </c>
      <c r="F207" s="10">
        <f>IFERROR(__xludf.DUMMYFUNCTION("""COMPUTED_VALUE"""),0.6852)</f>
      </c>
      <c r="G207" s="11">
        <f>IFERROR(__xludf.DUMMYFUNCTION("""COMPUTED_VALUE"""),270.27)</f>
      </c>
      <c r="H207" s="10">
        <f>IFERROR(__xludf.DUMMYFUNCTION("""COMPUTED_VALUE"""),0.7407)</f>
      </c>
      <c r="I207" s="11">
        <f>IFERROR(__xludf.DUMMYFUNCTION("""COMPUTED_VALUE"""),351.0)</f>
      </c>
      <c r="J207" s="10">
        <f>IFERROR(__xludf.DUMMYFUNCTION("""COMPUTED_VALUE"""),0.6667)</f>
      </c>
      <c r="K207" s="11">
        <f>IFERROR(__xludf.DUMMYFUNCTION("""COMPUTED_VALUE"""),314.44)</f>
      </c>
      <c r="L207" s="10">
        <f>IFERROR(__xludf.DUMMYFUNCTION("""COMPUTED_VALUE"""),0.7778)</f>
      </c>
      <c r="M207" s="11">
        <f>IFERROR(__xludf.DUMMYFUNCTION("""COMPUTED_VALUE"""),343.81)</f>
      </c>
      <c r="N207" s="10">
        <f>IFERROR(__xludf.DUMMYFUNCTION("""COMPUTED_VALUE"""),0.6852)</f>
      </c>
      <c r="O207" s="11">
        <f>IFERROR(__xludf.DUMMYFUNCTION("""COMPUTED_VALUE"""),377.3)</f>
      </c>
      <c r="P207" s="12"/>
      <c r="Q207" s="12"/>
      <c r="R207" s="15"/>
      <c r="S207" s="12"/>
      <c r="T207" s="12"/>
      <c r="U207" s="12"/>
      <c r="V207" s="12"/>
      <c r="W207" s="12"/>
      <c r="X207" s="12"/>
      <c r="Y207" s="12"/>
      <c r="Z207" s="12"/>
    </row>
    <row x14ac:dyDescent="0.25" r="208" customHeight="1" ht="15.75">
      <c r="A208" s="8">
        <f>IFERROR(__xludf.DUMMYFUNCTION("""COMPUTED_VALUE"""),26092.0)</f>
      </c>
      <c r="B208" s="9">
        <f>IFERROR(__xludf.DUMMYFUNCTION("""COMPUTED_VALUE"""),"METROPOLITANA I")</f>
      </c>
      <c r="C208" s="9">
        <f>IFERROR(__xludf.DUMMYFUNCTION("""COMPUTED_VALUE"""),"CIEP 335 PROFESSOR JOAQUIM DE FREITAS")</f>
      </c>
      <c r="D208" s="10">
        <f>IFERROR(__xludf.DUMMYFUNCTION("""COMPUTED_VALUE"""),1.0)</f>
      </c>
      <c r="E208" s="11">
        <f>IFERROR(__xludf.DUMMYFUNCTION("""COMPUTED_VALUE"""),240.63)</f>
      </c>
      <c r="F208" s="10">
        <f>IFERROR(__xludf.DUMMYFUNCTION("""COMPUTED_VALUE"""),1.0)</f>
      </c>
      <c r="G208" s="11">
        <f>IFERROR(__xludf.DUMMYFUNCTION("""COMPUTED_VALUE"""),249.47)</f>
      </c>
      <c r="H208" s="10">
        <f>IFERROR(__xludf.DUMMYFUNCTION("""COMPUTED_VALUE"""),0.6962)</f>
      </c>
      <c r="I208" s="11">
        <f>IFERROR(__xludf.DUMMYFUNCTION("""COMPUTED_VALUE"""),349.09)</f>
      </c>
      <c r="J208" s="10">
        <f>IFERROR(__xludf.DUMMYFUNCTION("""COMPUTED_VALUE"""),0.8101)</f>
      </c>
      <c r="K208" s="11">
        <f>IFERROR(__xludf.DUMMYFUNCTION("""COMPUTED_VALUE"""),309.15)</f>
      </c>
      <c r="L208" s="10">
        <f>IFERROR(__xludf.DUMMYFUNCTION("""COMPUTED_VALUE"""),0.6456)</f>
      </c>
      <c r="M208" s="11">
        <f>IFERROR(__xludf.DUMMYFUNCTION("""COMPUTED_VALUE"""),388.24)</f>
      </c>
      <c r="N208" s="10">
        <f>IFERROR(__xludf.DUMMYFUNCTION("""COMPUTED_VALUE"""),0.7089)</f>
      </c>
      <c r="O208" s="11">
        <f>IFERROR(__xludf.DUMMYFUNCTION("""COMPUTED_VALUE"""),400.74)</f>
      </c>
      <c r="P208" s="12"/>
      <c r="Q208" s="12"/>
      <c r="R208" s="15"/>
      <c r="S208" s="12"/>
      <c r="T208" s="12"/>
      <c r="U208" s="12"/>
      <c r="V208" s="12"/>
      <c r="W208" s="12"/>
      <c r="X208" s="12"/>
      <c r="Y208" s="12"/>
      <c r="Z208" s="12"/>
    </row>
    <row x14ac:dyDescent="0.25" r="209" customHeight="1" ht="15.75">
      <c r="A209" s="8">
        <f>IFERROR(__xludf.DUMMYFUNCTION("""COMPUTED_VALUE"""),26093.0)</f>
      </c>
      <c r="B209" s="9">
        <f>IFERROR(__xludf.DUMMYFUNCTION("""COMPUTED_VALUE"""),"METROPOLITANA I")</f>
      </c>
      <c r="C209" s="9">
        <f>IFERROR(__xludf.DUMMYFUNCTION("""COMPUTED_VALUE"""),"CIEP 341 SEBASTIÃO PEREIRA PORTES")</f>
      </c>
      <c r="D209" s="10">
        <f>IFERROR(__xludf.DUMMYFUNCTION("""COMPUTED_VALUE"""),0.9202)</f>
      </c>
      <c r="E209" s="11">
        <f>IFERROR(__xludf.DUMMYFUNCTION("""COMPUTED_VALUE"""),314.67)</f>
      </c>
      <c r="F209" s="10">
        <f>IFERROR(__xludf.DUMMYFUNCTION("""COMPUTED_VALUE"""),0.9571)</f>
      </c>
      <c r="G209" s="11">
        <f>IFERROR(__xludf.DUMMYFUNCTION("""COMPUTED_VALUE"""),388.31)</f>
      </c>
      <c r="H209" s="10">
        <f>IFERROR(__xludf.DUMMYFUNCTION("""COMPUTED_VALUE"""),0.8037)</f>
      </c>
      <c r="I209" s="11">
        <f>IFERROR(__xludf.DUMMYFUNCTION("""COMPUTED_VALUE"""),480.31)</f>
      </c>
      <c r="J209" s="10">
        <f>IFERROR(__xludf.DUMMYFUNCTION("""COMPUTED_VALUE"""),0.9018)</f>
      </c>
      <c r="K209" s="11">
        <f>IFERROR(__xludf.DUMMYFUNCTION("""COMPUTED_VALUE"""),428.0)</f>
      </c>
      <c r="L209" s="10">
        <f>IFERROR(__xludf.DUMMYFUNCTION("""COMPUTED_VALUE"""),0.7791)</f>
      </c>
      <c r="M209" s="11">
        <f>IFERROR(__xludf.DUMMYFUNCTION("""COMPUTED_VALUE"""),537.95)</f>
      </c>
      <c r="N209" s="10">
        <f>IFERROR(__xludf.DUMMYFUNCTION("""COMPUTED_VALUE"""),0.7607)</f>
      </c>
      <c r="O209" s="11">
        <f>IFERROR(__xludf.DUMMYFUNCTION("""COMPUTED_VALUE"""),519.03)</f>
      </c>
      <c r="P209" s="12"/>
      <c r="Q209" s="12"/>
      <c r="R209" s="15"/>
      <c r="S209" s="12"/>
      <c r="T209" s="12"/>
      <c r="U209" s="12"/>
      <c r="V209" s="12"/>
      <c r="W209" s="12"/>
      <c r="X209" s="12"/>
      <c r="Y209" s="12"/>
      <c r="Z209" s="12"/>
    </row>
    <row x14ac:dyDescent="0.25" r="210" customHeight="1" ht="15.75">
      <c r="A210" s="8">
        <f>IFERROR(__xludf.DUMMYFUNCTION("""COMPUTED_VALUE"""),26094.0)</f>
      </c>
      <c r="B210" s="9">
        <f>IFERROR(__xludf.DUMMYFUNCTION("""COMPUTED_VALUE"""),"METROPOLITANA I")</f>
      </c>
      <c r="C210" s="9">
        <f>IFERROR(__xludf.DUMMYFUNCTION("""COMPUTED_VALUE"""),"CIEP 344 ADONIRAN BARBOSA")</f>
      </c>
      <c r="D210" s="10">
        <f>IFERROR(__xludf.DUMMYFUNCTION("""COMPUTED_VALUE"""),0.6829)</f>
      </c>
      <c r="E210" s="11">
        <f>IFERROR(__xludf.DUMMYFUNCTION("""COMPUTED_VALUE"""),128.0)</f>
      </c>
      <c r="F210" s="10">
        <f>IFERROR(__xludf.DUMMYFUNCTION("""COMPUTED_VALUE"""),0.5854)</f>
      </c>
      <c r="G210" s="11">
        <f>IFERROR(__xludf.DUMMYFUNCTION("""COMPUTED_VALUE"""),252.5)</f>
      </c>
      <c r="H210" s="10">
        <f>IFERROR(__xludf.DUMMYFUNCTION("""COMPUTED_VALUE"""),0.561)</f>
      </c>
      <c r="I210" s="11">
        <f>IFERROR(__xludf.DUMMYFUNCTION("""COMPUTED_VALUE"""),273.64)</f>
      </c>
      <c r="J210" s="10">
        <f>IFERROR(__xludf.DUMMYFUNCTION("""COMPUTED_VALUE"""),0.6951)</f>
      </c>
      <c r="K210" s="11">
        <f>IFERROR(__xludf.DUMMYFUNCTION("""COMPUTED_VALUE"""),230.55)</f>
      </c>
      <c r="L210" s="10">
        <f>IFERROR(__xludf.DUMMYFUNCTION("""COMPUTED_VALUE"""),0.6463)</f>
      </c>
      <c r="M210" s="11">
        <f>IFERROR(__xludf.DUMMYFUNCTION("""COMPUTED_VALUE"""),313.08)</f>
      </c>
      <c r="N210" s="10">
        <f>IFERROR(__xludf.DUMMYFUNCTION("""COMPUTED_VALUE"""),0.5)</f>
      </c>
      <c r="O210" s="11">
        <f>IFERROR(__xludf.DUMMYFUNCTION("""COMPUTED_VALUE"""),292.0)</f>
      </c>
      <c r="P210" s="12"/>
      <c r="Q210" s="12"/>
      <c r="R210" s="15"/>
      <c r="S210" s="12"/>
      <c r="T210" s="12"/>
      <c r="U210" s="12"/>
      <c r="V210" s="12"/>
      <c r="W210" s="12"/>
      <c r="X210" s="12"/>
      <c r="Y210" s="12"/>
      <c r="Z210" s="12"/>
    </row>
    <row x14ac:dyDescent="0.25" r="211" customHeight="1" ht="15.75">
      <c r="A211" s="8">
        <f>IFERROR(__xludf.DUMMYFUNCTION("""COMPUTED_VALUE"""),26066.0)</f>
      </c>
      <c r="B211" s="9">
        <f>IFERROR(__xludf.DUMMYFUNCTION("""COMPUTED_VALUE"""),"METROPOLITANA I")</f>
      </c>
      <c r="C211" s="9">
        <f>IFERROR(__xludf.DUMMYFUNCTION("""COMPUTED_VALUE"""),"CIEP 345 Y-JUCA PIRAMA - BRASIL-SUECIA")</f>
      </c>
      <c r="D211" s="10">
        <f>IFERROR(__xludf.DUMMYFUNCTION("""COMPUTED_VALUE"""),1.0)</f>
      </c>
      <c r="E211" s="11">
        <f>IFERROR(__xludf.DUMMYFUNCTION("""COMPUTED_VALUE"""),384.0)</f>
      </c>
      <c r="F211" s="10">
        <f>IFERROR(__xludf.DUMMYFUNCTION("""COMPUTED_VALUE"""),1.0)</f>
      </c>
      <c r="G211" s="11">
        <f>IFERROR(__xludf.DUMMYFUNCTION("""COMPUTED_VALUE"""),408.0)</f>
      </c>
      <c r="H211" s="10">
        <f>IFERROR(__xludf.DUMMYFUNCTION("""COMPUTED_VALUE"""),1.0)</f>
      </c>
      <c r="I211" s="11">
        <f>IFERROR(__xludf.DUMMYFUNCTION("""COMPUTED_VALUE"""),544.0)</f>
      </c>
      <c r="J211" s="10">
        <f>IFERROR(__xludf.DUMMYFUNCTION("""COMPUTED_VALUE"""),1.0)</f>
      </c>
      <c r="K211" s="11">
        <f>IFERROR(__xludf.DUMMYFUNCTION("""COMPUTED_VALUE"""),436.0)</f>
      </c>
      <c r="L211" s="10">
        <f>IFERROR(__xludf.DUMMYFUNCTION("""COMPUTED_VALUE"""),1.0)</f>
      </c>
      <c r="M211" s="11">
        <f>IFERROR(__xludf.DUMMYFUNCTION("""COMPUTED_VALUE"""),496.0)</f>
      </c>
      <c r="N211" s="10">
        <f>IFERROR(__xludf.DUMMYFUNCTION("""COMPUTED_VALUE"""),1.0)</f>
      </c>
      <c r="O211" s="11">
        <f>IFERROR(__xludf.DUMMYFUNCTION("""COMPUTED_VALUE"""),488.0)</f>
      </c>
      <c r="P211" s="12"/>
      <c r="Q211" s="12"/>
      <c r="R211" s="15"/>
      <c r="S211" s="12"/>
      <c r="T211" s="12"/>
      <c r="U211" s="12"/>
      <c r="V211" s="12"/>
      <c r="W211" s="12"/>
      <c r="X211" s="12"/>
      <c r="Y211" s="12"/>
      <c r="Z211" s="12"/>
    </row>
    <row x14ac:dyDescent="0.25" r="212" customHeight="1" ht="15.75">
      <c r="A212" s="8">
        <f>IFERROR(__xludf.DUMMYFUNCTION("""COMPUTED_VALUE"""),26095.0)</f>
      </c>
      <c r="B212" s="9">
        <f>IFERROR(__xludf.DUMMYFUNCTION("""COMPUTED_VALUE"""),"METROPOLITANA I")</f>
      </c>
      <c r="C212" s="9">
        <f>IFERROR(__xludf.DUMMYFUNCTION("""COMPUTED_VALUE"""),"CIEP 346 BELARMINO ALFREDO DOS SANTOS")</f>
      </c>
      <c r="D212" s="10">
        <f>IFERROR(__xludf.DUMMYFUNCTION("""COMPUTED_VALUE"""),0.6933)</f>
      </c>
      <c r="E212" s="11">
        <f>IFERROR(__xludf.DUMMYFUNCTION("""COMPUTED_VALUE"""),210.37)</f>
      </c>
      <c r="F212" s="10">
        <f>IFERROR(__xludf.DUMMYFUNCTION("""COMPUTED_VALUE"""),0.5)</f>
      </c>
      <c r="G212" s="11">
        <f>IFERROR(__xludf.DUMMYFUNCTION("""COMPUTED_VALUE"""),343.45)</f>
      </c>
      <c r="H212" s="10">
        <f>IFERROR(__xludf.DUMMYFUNCTION("""COMPUTED_VALUE"""),0.29)</f>
      </c>
      <c r="I212" s="11">
        <f>IFERROR(__xludf.DUMMYFUNCTION("""COMPUTED_VALUE"""),381.54)</f>
      </c>
      <c r="J212" s="10">
        <f>IFERROR(__xludf.DUMMYFUNCTION("""COMPUTED_VALUE"""),0.3693)</f>
      </c>
      <c r="K212" s="11">
        <f>IFERROR(__xludf.DUMMYFUNCTION("""COMPUTED_VALUE"""),364.49)</f>
      </c>
      <c r="L212" s="10">
        <f>IFERROR(__xludf.DUMMYFUNCTION("""COMPUTED_VALUE"""),0.2491)</f>
      </c>
      <c r="M212" s="11">
        <f>IFERROR(__xludf.DUMMYFUNCTION("""COMPUTED_VALUE"""),370.66)</f>
      </c>
      <c r="N212" s="10">
        <f>IFERROR(__xludf.DUMMYFUNCTION("""COMPUTED_VALUE"""),0.1822)</f>
      </c>
      <c r="O212" s="11">
        <f>IFERROR(__xludf.DUMMYFUNCTION("""COMPUTED_VALUE"""),429.2)</f>
      </c>
      <c r="P212" s="12"/>
      <c r="Q212" s="12"/>
      <c r="R212" s="15"/>
      <c r="S212" s="12"/>
      <c r="T212" s="12"/>
      <c r="U212" s="12"/>
      <c r="V212" s="12"/>
      <c r="W212" s="12"/>
      <c r="X212" s="12"/>
      <c r="Y212" s="12"/>
      <c r="Z212" s="12"/>
    </row>
    <row x14ac:dyDescent="0.25" r="213" customHeight="1" ht="15.75">
      <c r="A213" s="8">
        <f>IFERROR(__xludf.DUMMYFUNCTION("""COMPUTED_VALUE"""),26067.0)</f>
      </c>
      <c r="B213" s="9">
        <f>IFERROR(__xludf.DUMMYFUNCTION("""COMPUTED_VALUE"""),"METROPOLITANA I")</f>
      </c>
      <c r="C213" s="9">
        <f>IFERROR(__xludf.DUMMYFUNCTION("""COMPUTED_VALUE"""),"CIEP 351 MINISTRO SALGADO FILHO")</f>
      </c>
      <c r="D213" s="10">
        <f>IFERROR(__xludf.DUMMYFUNCTION("""COMPUTED_VALUE"""),0.5)</f>
      </c>
      <c r="E213" s="11">
        <f>IFERROR(__xludf.DUMMYFUNCTION("""COMPUTED_VALUE"""),184.52)</f>
      </c>
      <c r="F213" s="10">
        <f>IFERROR(__xludf.DUMMYFUNCTION("""COMPUTED_VALUE"""),0.5323)</f>
      </c>
      <c r="G213" s="11">
        <f>IFERROR(__xludf.DUMMYFUNCTION("""COMPUTED_VALUE"""),308.75)</f>
      </c>
      <c r="H213" s="10">
        <f>IFERROR(__xludf.DUMMYFUNCTION("""COMPUTED_VALUE"""),0.7769)</f>
      </c>
      <c r="I213" s="11">
        <f>IFERROR(__xludf.DUMMYFUNCTION("""COMPUTED_VALUE"""),370.0)</f>
      </c>
      <c r="J213" s="10">
        <f>IFERROR(__xludf.DUMMYFUNCTION("""COMPUTED_VALUE"""),0.8099)</f>
      </c>
      <c r="K213" s="11">
        <f>IFERROR(__xludf.DUMMYFUNCTION("""COMPUTED_VALUE"""),265.05)</f>
      </c>
      <c r="L213" s="10">
        <f>IFERROR(__xludf.DUMMYFUNCTION("""COMPUTED_VALUE"""),0.7273)</f>
      </c>
      <c r="M213" s="11">
        <f>IFERROR(__xludf.DUMMYFUNCTION("""COMPUTED_VALUE"""),329.55)</f>
      </c>
      <c r="N213" s="10">
        <f>IFERROR(__xludf.DUMMYFUNCTION("""COMPUTED_VALUE"""),0.7934)</f>
      </c>
      <c r="O213" s="11">
        <f>IFERROR(__xludf.DUMMYFUNCTION("""COMPUTED_VALUE"""),330.11)</f>
      </c>
      <c r="P213" s="12"/>
      <c r="Q213" s="12"/>
      <c r="R213" s="15"/>
      <c r="S213" s="12"/>
      <c r="T213" s="12"/>
      <c r="U213" s="12"/>
      <c r="V213" s="12"/>
      <c r="W213" s="12"/>
      <c r="X213" s="12"/>
      <c r="Y213" s="12"/>
      <c r="Z213" s="12"/>
    </row>
    <row x14ac:dyDescent="0.25" r="214" customHeight="1" ht="15.75">
      <c r="A214" s="8">
        <f>IFERROR(__xludf.DUMMYFUNCTION("""COMPUTED_VALUE"""),26068.0)</f>
      </c>
      <c r="B214" s="9">
        <f>IFERROR(__xludf.DUMMYFUNCTION("""COMPUTED_VALUE"""),"METROPOLITANA I")</f>
      </c>
      <c r="C214" s="9">
        <f>IFERROR(__xludf.DUMMYFUNCTION("""COMPUTED_VALUE"""),"CIEP 352 SENADOR SEVERO GOMES")</f>
      </c>
      <c r="D214" s="10">
        <f>IFERROR(__xludf.DUMMYFUNCTION("""COMPUTED_VALUE"""),0.8761)</f>
      </c>
      <c r="E214" s="11">
        <f>IFERROR(__xludf.DUMMYFUNCTION("""COMPUTED_VALUE"""),126.82)</f>
      </c>
      <c r="F214" s="10">
        <f>IFERROR(__xludf.DUMMYFUNCTION("""COMPUTED_VALUE"""),0.2345)</f>
      </c>
      <c r="G214" s="11">
        <f>IFERROR(__xludf.DUMMYFUNCTION("""COMPUTED_VALUE"""),382.5)</f>
      </c>
      <c r="H214" s="10">
        <f>IFERROR(__xludf.DUMMYFUNCTION("""COMPUTED_VALUE"""),0.4381)</f>
      </c>
      <c r="I214" s="11">
        <f>IFERROR(__xludf.DUMMYFUNCTION("""COMPUTED_VALUE"""),413.62)</f>
      </c>
      <c r="J214" s="10">
        <f>IFERROR(__xludf.DUMMYFUNCTION("""COMPUTED_VALUE"""),0.4956)</f>
      </c>
      <c r="K214" s="11">
        <f>IFERROR(__xludf.DUMMYFUNCTION("""COMPUTED_VALUE"""),331.11)</f>
      </c>
      <c r="L214" s="10">
        <f>IFERROR(__xludf.DUMMYFUNCTION("""COMPUTED_VALUE"""),0.3363)</f>
      </c>
      <c r="M214" s="11">
        <f>IFERROR(__xludf.DUMMYFUNCTION("""COMPUTED_VALUE"""),341.05)</f>
      </c>
      <c r="N214" s="10">
        <f>IFERROR(__xludf.DUMMYFUNCTION("""COMPUTED_VALUE"""),0.3142)</f>
      </c>
      <c r="O214" s="11">
        <f>IFERROR(__xludf.DUMMYFUNCTION("""COMPUTED_VALUE"""),406.57)</f>
      </c>
      <c r="P214" s="12"/>
      <c r="Q214" s="12"/>
      <c r="R214" s="15"/>
      <c r="S214" s="12"/>
      <c r="T214" s="12"/>
      <c r="U214" s="12"/>
      <c r="V214" s="12"/>
      <c r="W214" s="12"/>
      <c r="X214" s="12"/>
      <c r="Y214" s="12"/>
      <c r="Z214" s="12"/>
    </row>
    <row x14ac:dyDescent="0.25" r="215" customHeight="1" ht="15.75">
      <c r="A215" s="8">
        <f>IFERROR(__xludf.DUMMYFUNCTION("""COMPUTED_VALUE"""),26069.0)</f>
      </c>
      <c r="B215" s="9">
        <f>IFERROR(__xludf.DUMMYFUNCTION("""COMPUTED_VALUE"""),"METROPOLITANA I")</f>
      </c>
      <c r="C215" s="9">
        <f>IFERROR(__xludf.DUMMYFUNCTION("""COMPUTED_VALUE"""),"CIEP 354 MARTINS PENA")</f>
      </c>
      <c r="D215" s="10">
        <f>IFERROR(__xludf.DUMMYFUNCTION("""COMPUTED_VALUE"""),0.6856)</f>
      </c>
      <c r="E215" s="11">
        <f>IFERROR(__xludf.DUMMYFUNCTION("""COMPUTED_VALUE"""),151.33)</f>
      </c>
      <c r="F215" s="10">
        <f>IFERROR(__xludf.DUMMYFUNCTION("""COMPUTED_VALUE"""),0.5853)</f>
      </c>
      <c r="G215" s="11">
        <f>IFERROR(__xludf.DUMMYFUNCTION("""COMPUTED_VALUE"""),290.34)</f>
      </c>
      <c r="H215" s="10">
        <f>IFERROR(__xludf.DUMMYFUNCTION("""COMPUTED_VALUE"""),0.6154)</f>
      </c>
      <c r="I215" s="11">
        <f>IFERROR(__xludf.DUMMYFUNCTION("""COMPUTED_VALUE"""),412.46)</f>
      </c>
      <c r="J215" s="10">
        <f>IFERROR(__xludf.DUMMYFUNCTION("""COMPUTED_VALUE"""),0.5719)</f>
      </c>
      <c r="K215" s="11">
        <f>IFERROR(__xludf.DUMMYFUNCTION("""COMPUTED_VALUE"""),218.1)</f>
      </c>
      <c r="L215" s="10">
        <f>IFERROR(__xludf.DUMMYFUNCTION("""COMPUTED_VALUE"""),0.5753)</f>
      </c>
      <c r="M215" s="11">
        <f>IFERROR(__xludf.DUMMYFUNCTION("""COMPUTED_VALUE"""),315.27)</f>
      </c>
      <c r="N215" s="10">
        <f>IFERROR(__xludf.DUMMYFUNCTION("""COMPUTED_VALUE"""),0.5117)</f>
      </c>
      <c r="O215" s="11">
        <f>IFERROR(__xludf.DUMMYFUNCTION("""COMPUTED_VALUE"""),384.9)</f>
      </c>
      <c r="P215" s="12"/>
      <c r="Q215" s="12"/>
      <c r="R215" s="15"/>
      <c r="S215" s="12"/>
      <c r="T215" s="12"/>
      <c r="U215" s="12"/>
      <c r="V215" s="12"/>
      <c r="W215" s="12"/>
      <c r="X215" s="12"/>
      <c r="Y215" s="12"/>
      <c r="Z215" s="12"/>
    </row>
    <row x14ac:dyDescent="0.25" r="216" customHeight="1" ht="15.75">
      <c r="A216" s="8">
        <f>IFERROR(__xludf.DUMMYFUNCTION("""COMPUTED_VALUE"""),26096.0)</f>
      </c>
      <c r="B216" s="9">
        <f>IFERROR(__xludf.DUMMYFUNCTION("""COMPUTED_VALUE"""),"METROPOLITANA I")</f>
      </c>
      <c r="C216" s="9">
        <f>IFERROR(__xludf.DUMMYFUNCTION("""COMPUTED_VALUE"""),"CIEP 355 ROQUETE PINTO")</f>
      </c>
      <c r="D216" s="10">
        <f>IFERROR(__xludf.DUMMYFUNCTION("""COMPUTED_VALUE"""),0.971)</f>
      </c>
      <c r="E216" s="11">
        <f>IFERROR(__xludf.DUMMYFUNCTION("""COMPUTED_VALUE"""),224.1)</f>
      </c>
      <c r="F216" s="10">
        <f>IFERROR(__xludf.DUMMYFUNCTION("""COMPUTED_VALUE"""),0.9813)</f>
      </c>
      <c r="G216" s="11">
        <f>IFERROR(__xludf.DUMMYFUNCTION("""COMPUTED_VALUE"""),289.85)</f>
      </c>
      <c r="H216" s="10">
        <f>IFERROR(__xludf.DUMMYFUNCTION("""COMPUTED_VALUE"""),0.9177)</f>
      </c>
      <c r="I216" s="11">
        <f>IFERROR(__xludf.DUMMYFUNCTION("""COMPUTED_VALUE"""),361.0)</f>
      </c>
      <c r="J216" s="10">
        <f>IFERROR(__xludf.DUMMYFUNCTION("""COMPUTED_VALUE"""),0.8557)</f>
      </c>
      <c r="K216" s="11">
        <f>IFERROR(__xludf.DUMMYFUNCTION("""COMPUTED_VALUE"""),345.24)</f>
      </c>
      <c r="L216" s="10">
        <f>IFERROR(__xludf.DUMMYFUNCTION("""COMPUTED_VALUE"""),0.7313)</f>
      </c>
      <c r="M216" s="11">
        <f>IFERROR(__xludf.DUMMYFUNCTION("""COMPUTED_VALUE"""),419.15)</f>
      </c>
      <c r="N216" s="10">
        <f>IFERROR(__xludf.DUMMYFUNCTION("""COMPUTED_VALUE"""),0.6673)</f>
      </c>
      <c r="O216" s="11">
        <f>IFERROR(__xludf.DUMMYFUNCTION("""COMPUTED_VALUE"""),442.79)</f>
      </c>
      <c r="P216" s="12"/>
      <c r="Q216" s="12"/>
      <c r="R216" s="15"/>
      <c r="S216" s="12"/>
      <c r="T216" s="12"/>
      <c r="U216" s="12"/>
      <c r="V216" s="12"/>
      <c r="W216" s="12"/>
      <c r="X216" s="12"/>
      <c r="Y216" s="12"/>
      <c r="Z216" s="12"/>
    </row>
    <row x14ac:dyDescent="0.25" r="217" customHeight="1" ht="15.75">
      <c r="A217" s="8">
        <f>IFERROR(__xludf.DUMMYFUNCTION("""COMPUTED_VALUE"""),26070.0)</f>
      </c>
      <c r="B217" s="9">
        <f>IFERROR(__xludf.DUMMYFUNCTION("""COMPUTED_VALUE"""),"METROPOLITANA I")</f>
      </c>
      <c r="C217" s="9">
        <f>IFERROR(__xludf.DUMMYFUNCTION("""COMPUTED_VALUE"""),"CIEP 356 AUGUSTO RUSCHI")</f>
      </c>
      <c r="D217" s="10">
        <f>IFERROR(__xludf.DUMMYFUNCTION("""COMPUTED_VALUE"""),0.6853)</f>
      </c>
      <c r="E217" s="11">
        <f>IFERROR(__xludf.DUMMYFUNCTION("""COMPUTED_VALUE"""),165.07)</f>
      </c>
      <c r="F217" s="10">
        <f>IFERROR(__xludf.DUMMYFUNCTION("""COMPUTED_VALUE"""),0.5228)</f>
      </c>
      <c r="G217" s="11">
        <f>IFERROR(__xludf.DUMMYFUNCTION("""COMPUTED_VALUE"""),368.57)</f>
      </c>
      <c r="H217" s="10">
        <f>IFERROR(__xludf.DUMMYFUNCTION("""COMPUTED_VALUE"""),0.4822)</f>
      </c>
      <c r="I217" s="11">
        <f>IFERROR(__xludf.DUMMYFUNCTION("""COMPUTED_VALUE"""),376.74)</f>
      </c>
      <c r="J217" s="10">
        <f>IFERROR(__xludf.DUMMYFUNCTION("""COMPUTED_VALUE"""),0.6244)</f>
      </c>
      <c r="K217" s="11">
        <f>IFERROR(__xludf.DUMMYFUNCTION("""COMPUTED_VALUE"""),222.06)</f>
      </c>
      <c r="L217" s="10">
        <f>IFERROR(__xludf.DUMMYFUNCTION("""COMPUTED_VALUE"""),0.5076)</f>
      </c>
      <c r="M217" s="11">
        <f>IFERROR(__xludf.DUMMYFUNCTION("""COMPUTED_VALUE"""),384.17)</f>
      </c>
      <c r="N217" s="10">
        <f>IFERROR(__xludf.DUMMYFUNCTION("""COMPUTED_VALUE"""),0.4975)</f>
      </c>
      <c r="O217" s="11">
        <f>IFERROR(__xludf.DUMMYFUNCTION("""COMPUTED_VALUE"""),373.19)</f>
      </c>
      <c r="P217" s="12"/>
      <c r="Q217" s="12"/>
      <c r="R217" s="15"/>
      <c r="S217" s="12"/>
      <c r="T217" s="12"/>
      <c r="U217" s="12"/>
      <c r="V217" s="12"/>
      <c r="W217" s="12"/>
      <c r="X217" s="12"/>
      <c r="Y217" s="12"/>
      <c r="Z217" s="12"/>
    </row>
    <row x14ac:dyDescent="0.25" r="218" customHeight="1" ht="15.75">
      <c r="A218" s="8">
        <f>IFERROR(__xludf.DUMMYFUNCTION("""COMPUTED_VALUE"""),26071.0)</f>
      </c>
      <c r="B218" s="9">
        <f>IFERROR(__xludf.DUMMYFUNCTION("""COMPUTED_VALUE"""),"METROPOLITANA I")</f>
      </c>
      <c r="C218" s="9">
        <f>IFERROR(__xludf.DUMMYFUNCTION("""COMPUTED_VALUE"""),"CIEP 358 ALBERTO PASQUALINI")</f>
      </c>
      <c r="D218" s="10">
        <f>IFERROR(__xludf.DUMMYFUNCTION("""COMPUTED_VALUE"""),0.8565)</f>
      </c>
      <c r="E218" s="11">
        <f>IFERROR(__xludf.DUMMYFUNCTION("""COMPUTED_VALUE"""),330.46)</f>
      </c>
      <c r="F218" s="10">
        <f>IFERROR(__xludf.DUMMYFUNCTION("""COMPUTED_VALUE"""),0.6746)</f>
      </c>
      <c r="G218" s="11">
        <f>IFERROR(__xludf.DUMMYFUNCTION("""COMPUTED_VALUE"""),430.86)</f>
      </c>
      <c r="H218" s="10">
        <f>IFERROR(__xludf.DUMMYFUNCTION("""COMPUTED_VALUE"""),0.7177)</f>
      </c>
      <c r="I218" s="11">
        <f>IFERROR(__xludf.DUMMYFUNCTION("""COMPUTED_VALUE"""),457.99)</f>
      </c>
      <c r="J218" s="10">
        <f>IFERROR(__xludf.DUMMYFUNCTION("""COMPUTED_VALUE"""),0.6938)</f>
      </c>
      <c r="K218" s="11">
        <f>IFERROR(__xludf.DUMMYFUNCTION("""COMPUTED_VALUE"""),408.82)</f>
      </c>
      <c r="L218" s="10">
        <f>IFERROR(__xludf.DUMMYFUNCTION("""COMPUTED_VALUE"""),0.7129)</f>
      </c>
      <c r="M218" s="11">
        <f>IFERROR(__xludf.DUMMYFUNCTION("""COMPUTED_VALUE"""),441.89)</f>
      </c>
      <c r="N218" s="10">
        <f>IFERROR(__xludf.DUMMYFUNCTION("""COMPUTED_VALUE"""),0.6364)</f>
      </c>
      <c r="O218" s="11">
        <f>IFERROR(__xludf.DUMMYFUNCTION("""COMPUTED_VALUE"""),460.0)</f>
      </c>
      <c r="P218" s="12"/>
      <c r="Q218" s="12"/>
      <c r="R218" s="15"/>
      <c r="S218" s="12"/>
      <c r="T218" s="12"/>
      <c r="U218" s="12"/>
      <c r="V218" s="12"/>
      <c r="W218" s="12"/>
      <c r="X218" s="12"/>
      <c r="Y218" s="12"/>
      <c r="Z218" s="12"/>
    </row>
    <row x14ac:dyDescent="0.25" r="219" customHeight="1" ht="15.75">
      <c r="A219" s="8">
        <f>IFERROR(__xludf.DUMMYFUNCTION("""COMPUTED_VALUE"""),26072.0)</f>
      </c>
      <c r="B219" s="9">
        <f>IFERROR(__xludf.DUMMYFUNCTION("""COMPUTED_VALUE"""),"METROPOLITANA I")</f>
      </c>
      <c r="C219" s="9">
        <f>IFERROR(__xludf.DUMMYFUNCTION("""COMPUTED_VALUE"""),"CIEP 359 CHARLES PERRAULT")</f>
      </c>
      <c r="D219" s="10">
        <f>IFERROR(__xludf.DUMMYFUNCTION("""COMPUTED_VALUE"""),0.4581)</f>
      </c>
      <c r="E219" s="11">
        <f>IFERROR(__xludf.DUMMYFUNCTION("""COMPUTED_VALUE"""),156.1)</f>
      </c>
      <c r="F219" s="10">
        <f>IFERROR(__xludf.DUMMYFUNCTION("""COMPUTED_VALUE"""),0.6816)</f>
      </c>
      <c r="G219" s="11">
        <f>IFERROR(__xludf.DUMMYFUNCTION("""COMPUTED_VALUE"""),420.17)</f>
      </c>
      <c r="H219" s="10">
        <f>IFERROR(__xludf.DUMMYFUNCTION("""COMPUTED_VALUE"""),0.7486)</f>
      </c>
      <c r="I219" s="11">
        <f>IFERROR(__xludf.DUMMYFUNCTION("""COMPUTED_VALUE"""),433.94)</f>
      </c>
      <c r="J219" s="10">
        <f>IFERROR(__xludf.DUMMYFUNCTION("""COMPUTED_VALUE"""),0.7318)</f>
      </c>
      <c r="K219" s="11">
        <f>IFERROR(__xludf.DUMMYFUNCTION("""COMPUTED_VALUE"""),342.64)</f>
      </c>
      <c r="L219" s="10">
        <f>IFERROR(__xludf.DUMMYFUNCTION("""COMPUTED_VALUE"""),0.6425)</f>
      </c>
      <c r="M219" s="11">
        <f>IFERROR(__xludf.DUMMYFUNCTION("""COMPUTED_VALUE"""),387.02)</f>
      </c>
      <c r="N219" s="10">
        <f>IFERROR(__xludf.DUMMYFUNCTION("""COMPUTED_VALUE"""),0.7374)</f>
      </c>
      <c r="O219" s="11">
        <f>IFERROR(__xludf.DUMMYFUNCTION("""COMPUTED_VALUE"""),393.59)</f>
      </c>
      <c r="P219" s="12"/>
      <c r="Q219" s="12"/>
      <c r="R219" s="15"/>
      <c r="S219" s="12"/>
      <c r="T219" s="12"/>
      <c r="U219" s="12"/>
      <c r="V219" s="12"/>
      <c r="W219" s="12"/>
      <c r="X219" s="12"/>
      <c r="Y219" s="12"/>
      <c r="Z219" s="12"/>
    </row>
    <row x14ac:dyDescent="0.25" r="220" customHeight="1" ht="15.75">
      <c r="A220" s="8">
        <f>IFERROR(__xludf.DUMMYFUNCTION("""COMPUTED_VALUE"""),26073.0)</f>
      </c>
      <c r="B220" s="9">
        <f>IFERROR(__xludf.DUMMYFUNCTION("""COMPUTED_VALUE"""),"METROPOLITANA I")</f>
      </c>
      <c r="C220" s="9">
        <f>IFERROR(__xludf.DUMMYFUNCTION("""COMPUTED_VALUE"""),"CIEP 365 ASA BRANCA")</f>
      </c>
      <c r="D220" s="10">
        <f>IFERROR(__xludf.DUMMYFUNCTION("""COMPUTED_VALUE"""),0.6538)</f>
      </c>
      <c r="E220" s="11">
        <f>IFERROR(__xludf.DUMMYFUNCTION("""COMPUTED_VALUE"""),296.47)</f>
      </c>
      <c r="F220" s="10">
        <f>IFERROR(__xludf.DUMMYFUNCTION("""COMPUTED_VALUE"""),0.7308)</f>
      </c>
      <c r="G220" s="11">
        <f>IFERROR(__xludf.DUMMYFUNCTION("""COMPUTED_VALUE"""),305.26)</f>
      </c>
      <c r="H220" s="10">
        <f>IFERROR(__xludf.DUMMYFUNCTION("""COMPUTED_VALUE"""),0.6154)</f>
      </c>
      <c r="I220" s="11">
        <f>IFERROR(__xludf.DUMMYFUNCTION("""COMPUTED_VALUE"""),349.33)</f>
      </c>
      <c r="J220" s="10">
        <f>IFERROR(__xludf.DUMMYFUNCTION("""COMPUTED_VALUE"""),0.6538)</f>
      </c>
      <c r="K220" s="11">
        <f>IFERROR(__xludf.DUMMYFUNCTION("""COMPUTED_VALUE"""),244.71)</f>
      </c>
      <c r="L220" s="10">
        <f>IFERROR(__xludf.DUMMYFUNCTION("""COMPUTED_VALUE"""),0.5769)</f>
      </c>
      <c r="M220" s="11">
        <f>IFERROR(__xludf.DUMMYFUNCTION("""COMPUTED_VALUE"""),325.33)</f>
      </c>
      <c r="N220" s="10">
        <f>IFERROR(__xludf.DUMMYFUNCTION("""COMPUTED_VALUE"""),0.5769)</f>
      </c>
      <c r="O220" s="11">
        <f>IFERROR(__xludf.DUMMYFUNCTION("""COMPUTED_VALUE"""),370.67)</f>
      </c>
      <c r="P220" s="12"/>
      <c r="Q220" s="12"/>
      <c r="R220" s="15"/>
      <c r="S220" s="12"/>
      <c r="T220" s="12"/>
      <c r="U220" s="12"/>
      <c r="V220" s="12"/>
      <c r="W220" s="12"/>
      <c r="X220" s="12"/>
      <c r="Y220" s="12"/>
      <c r="Z220" s="12"/>
    </row>
    <row x14ac:dyDescent="0.25" r="221" customHeight="1" ht="15.75">
      <c r="A221" s="8">
        <f>IFERROR(__xludf.DUMMYFUNCTION("""COMPUTED_VALUE"""),26074.0)</f>
      </c>
      <c r="B221" s="9">
        <f>IFERROR(__xludf.DUMMYFUNCTION("""COMPUTED_VALUE"""),"METROPOLITANA I")</f>
      </c>
      <c r="C221" s="9">
        <f>IFERROR(__xludf.DUMMYFUNCTION("""COMPUTED_VALUE"""),"CIEP 383 MAXIMO GORKI")</f>
      </c>
      <c r="D221" s="10">
        <f>IFERROR(__xludf.DUMMYFUNCTION("""COMPUTED_VALUE"""),0.6857)</f>
      </c>
      <c r="E221" s="11">
        <f>IFERROR(__xludf.DUMMYFUNCTION("""COMPUTED_VALUE"""),100.14)</f>
      </c>
      <c r="F221" s="10">
        <f>IFERROR(__xludf.DUMMYFUNCTION("""COMPUTED_VALUE"""),0.5)</f>
      </c>
      <c r="G221" s="11">
        <f>IFERROR(__xludf.DUMMYFUNCTION("""COMPUTED_VALUE"""),318.41)</f>
      </c>
      <c r="H221" s="10">
        <f>IFERROR(__xludf.DUMMYFUNCTION("""COMPUTED_VALUE"""),0.4825)</f>
      </c>
      <c r="I221" s="11">
        <f>IFERROR(__xludf.DUMMYFUNCTION("""COMPUTED_VALUE"""),342.74)</f>
      </c>
      <c r="J221" s="10">
        <f>IFERROR(__xludf.DUMMYFUNCTION("""COMPUTED_VALUE"""),0.1324)</f>
      </c>
      <c r="K221" s="11">
        <f>IFERROR(__xludf.DUMMYFUNCTION("""COMPUTED_VALUE"""),"----")</f>
      </c>
      <c r="L221" s="10">
        <f>IFERROR(__xludf.DUMMYFUNCTION("""COMPUTED_VALUE"""),0.3268)</f>
      </c>
      <c r="M221" s="11">
        <f>IFERROR(__xludf.DUMMYFUNCTION("""COMPUTED_VALUE"""),"----")</f>
      </c>
      <c r="N221" s="10">
        <f>IFERROR(__xludf.DUMMYFUNCTION("""COMPUTED_VALUE"""),0.463)</f>
      </c>
      <c r="O221" s="11">
        <f>IFERROR(__xludf.DUMMYFUNCTION("""COMPUTED_VALUE"""),333.46)</f>
      </c>
      <c r="P221" s="12"/>
      <c r="Q221" s="12"/>
      <c r="R221" s="15"/>
      <c r="S221" s="12"/>
      <c r="T221" s="12"/>
      <c r="U221" s="12"/>
      <c r="V221" s="12"/>
      <c r="W221" s="12"/>
      <c r="X221" s="12"/>
      <c r="Y221" s="12"/>
      <c r="Z221" s="12"/>
    </row>
    <row x14ac:dyDescent="0.25" r="222" customHeight="1" ht="15.75">
      <c r="A222" s="8">
        <f>IFERROR(__xludf.DUMMYFUNCTION("""COMPUTED_VALUE"""),26075.0)</f>
      </c>
      <c r="B222" s="9">
        <f>IFERROR(__xludf.DUMMYFUNCTION("""COMPUTED_VALUE"""),"METROPOLITANA I")</f>
      </c>
      <c r="C222" s="9">
        <f>IFERROR(__xludf.DUMMYFUNCTION("""COMPUTED_VALUE"""),"CIEP 387 HANS CRISTIAN ANDERSEN")</f>
      </c>
      <c r="D222" s="10">
        <f>IFERROR(__xludf.DUMMYFUNCTION("""COMPUTED_VALUE"""),0.6545)</f>
      </c>
      <c r="E222" s="11">
        <f>IFERROR(__xludf.DUMMYFUNCTION("""COMPUTED_VALUE"""),"----")</f>
      </c>
      <c r="F222" s="10">
        <f>IFERROR(__xludf.DUMMYFUNCTION("""COMPUTED_VALUE"""),0.6727)</f>
      </c>
      <c r="G222" s="11">
        <f>IFERROR(__xludf.DUMMYFUNCTION("""COMPUTED_VALUE"""),341.34)</f>
      </c>
      <c r="H222" s="10">
        <f>IFERROR(__xludf.DUMMYFUNCTION("""COMPUTED_VALUE"""),0.4)</f>
      </c>
      <c r="I222" s="11">
        <f>IFERROR(__xludf.DUMMYFUNCTION("""COMPUTED_VALUE"""),438.57)</f>
      </c>
      <c r="J222" s="10">
        <f>IFERROR(__xludf.DUMMYFUNCTION("""COMPUTED_VALUE"""),0.7442)</f>
      </c>
      <c r="K222" s="11">
        <f>IFERROR(__xludf.DUMMYFUNCTION("""COMPUTED_VALUE"""),358.67)</f>
      </c>
      <c r="L222" s="10">
        <f>IFERROR(__xludf.DUMMYFUNCTION("""COMPUTED_VALUE"""),0.4714)</f>
      </c>
      <c r="M222" s="11">
        <f>IFERROR(__xludf.DUMMYFUNCTION("""COMPUTED_VALUE"""),"----")</f>
      </c>
      <c r="N222" s="10">
        <f>IFERROR(__xludf.DUMMYFUNCTION("""COMPUTED_VALUE"""),0.5)</f>
      </c>
      <c r="O222" s="11">
        <f>IFERROR(__xludf.DUMMYFUNCTION("""COMPUTED_VALUE"""),469.79)</f>
      </c>
      <c r="P222" s="12"/>
      <c r="Q222" s="12"/>
      <c r="R222" s="15"/>
      <c r="S222" s="12"/>
      <c r="T222" s="12"/>
      <c r="U222" s="12"/>
      <c r="V222" s="12"/>
      <c r="W222" s="12"/>
      <c r="X222" s="12"/>
      <c r="Y222" s="12"/>
      <c r="Z222" s="12"/>
    </row>
    <row x14ac:dyDescent="0.25" r="223" customHeight="1" ht="15.75">
      <c r="A223" s="8">
        <f>IFERROR(__xludf.DUMMYFUNCTION("""COMPUTED_VALUE"""),26076.0)</f>
      </c>
      <c r="B223" s="9">
        <f>IFERROR(__xludf.DUMMYFUNCTION("""COMPUTED_VALUE"""),"METROPOLITANA I")</f>
      </c>
      <c r="C223" s="9">
        <f>IFERROR(__xludf.DUMMYFUNCTION("""COMPUTED_VALUE"""),"CIEP 390 CHAO DE ESTRELAS")</f>
      </c>
      <c r="D223" s="10">
        <f>IFERROR(__xludf.DUMMYFUNCTION("""COMPUTED_VALUE"""),0.9318)</f>
      </c>
      <c r="E223" s="11">
        <f>IFERROR(__xludf.DUMMYFUNCTION("""COMPUTED_VALUE"""),192.23)</f>
      </c>
      <c r="F223" s="10">
        <f>IFERROR(__xludf.DUMMYFUNCTION("""COMPUTED_VALUE"""),0.9513)</f>
      </c>
      <c r="G223" s="11">
        <f>IFERROR(__xludf.DUMMYFUNCTION("""COMPUTED_VALUE"""),213.84)</f>
      </c>
      <c r="H223" s="10">
        <f>IFERROR(__xludf.DUMMYFUNCTION("""COMPUTED_VALUE"""),0.9448)</f>
      </c>
      <c r="I223" s="11">
        <f>IFERROR(__xludf.DUMMYFUNCTION("""COMPUTED_VALUE"""),249.52)</f>
      </c>
      <c r="J223" s="10">
        <f>IFERROR(__xludf.DUMMYFUNCTION("""COMPUTED_VALUE"""),0.9903)</f>
      </c>
      <c r="K223" s="11">
        <f>IFERROR(__xludf.DUMMYFUNCTION("""COMPUTED_VALUE"""),180.07)</f>
      </c>
      <c r="L223" s="10">
        <f>IFERROR(__xludf.DUMMYFUNCTION("""COMPUTED_VALUE"""),0.9968)</f>
      </c>
      <c r="M223" s="11">
        <f>IFERROR(__xludf.DUMMYFUNCTION("""COMPUTED_VALUE"""),196.73)</f>
      </c>
      <c r="N223" s="10">
        <f>IFERROR(__xludf.DUMMYFUNCTION("""COMPUTED_VALUE"""),0.9968)</f>
      </c>
      <c r="O223" s="11">
        <f>IFERROR(__xludf.DUMMYFUNCTION("""COMPUTED_VALUE"""),206.95)</f>
      </c>
      <c r="P223" s="12"/>
      <c r="Q223" s="12"/>
      <c r="R223" s="15"/>
      <c r="S223" s="12"/>
      <c r="T223" s="12"/>
      <c r="U223" s="12"/>
      <c r="V223" s="12"/>
      <c r="W223" s="12"/>
      <c r="X223" s="12"/>
      <c r="Y223" s="12"/>
      <c r="Z223" s="12"/>
    </row>
    <row x14ac:dyDescent="0.25" r="224" customHeight="1" ht="15.75">
      <c r="A224" s="8">
        <f>IFERROR(__xludf.DUMMYFUNCTION("""COMPUTED_VALUE"""),26077.0)</f>
      </c>
      <c r="B224" s="9">
        <f>IFERROR(__xludf.DUMMYFUNCTION("""COMPUTED_VALUE"""),"METROPOLITANA I")</f>
      </c>
      <c r="C224" s="9">
        <f>IFERROR(__xludf.DUMMYFUNCTION("""COMPUTED_VALUE"""),"CIEP 394 VEREADOR CÂNDIDO AUGUSTO RIBEIRO NETO")</f>
      </c>
      <c r="D224" s="10">
        <f>IFERROR(__xludf.DUMMYFUNCTION("""COMPUTED_VALUE"""),0.7651)</f>
      </c>
      <c r="E224" s="11">
        <f>IFERROR(__xludf.DUMMYFUNCTION("""COMPUTED_VALUE"""),236.02)</f>
      </c>
      <c r="F224" s="10">
        <f>IFERROR(__xludf.DUMMYFUNCTION("""COMPUTED_VALUE"""),0.6406)</f>
      </c>
      <c r="G224" s="11">
        <f>IFERROR(__xludf.DUMMYFUNCTION("""COMPUTED_VALUE"""),334.86)</f>
      </c>
      <c r="H224" s="10">
        <f>IFERROR(__xludf.DUMMYFUNCTION("""COMPUTED_VALUE"""),0.5278)</f>
      </c>
      <c r="I224" s="11">
        <f>IFERROR(__xludf.DUMMYFUNCTION("""COMPUTED_VALUE"""),373.54)</f>
      </c>
      <c r="J224" s="10">
        <f>IFERROR(__xludf.DUMMYFUNCTION("""COMPUTED_VALUE"""),0.6261)</f>
      </c>
      <c r="K224" s="11">
        <f>IFERROR(__xludf.DUMMYFUNCTION("""COMPUTED_VALUE"""),258.43)</f>
      </c>
      <c r="L224" s="10">
        <f>IFERROR(__xludf.DUMMYFUNCTION("""COMPUTED_VALUE"""),0.3763)</f>
      </c>
      <c r="M224" s="11">
        <f>IFERROR(__xludf.DUMMYFUNCTION("""COMPUTED_VALUE"""),344.46)</f>
      </c>
      <c r="N224" s="10">
        <f>IFERROR(__xludf.DUMMYFUNCTION("""COMPUTED_VALUE"""),0.5126)</f>
      </c>
      <c r="O224" s="11">
        <f>IFERROR(__xludf.DUMMYFUNCTION("""COMPUTED_VALUE"""),380.47)</f>
      </c>
      <c r="P224" s="12"/>
      <c r="Q224" s="12"/>
      <c r="R224" s="15"/>
      <c r="S224" s="12"/>
      <c r="T224" s="12"/>
      <c r="U224" s="12"/>
      <c r="V224" s="12"/>
      <c r="W224" s="12"/>
      <c r="X224" s="12"/>
      <c r="Y224" s="12"/>
      <c r="Z224" s="12"/>
    </row>
    <row x14ac:dyDescent="0.25" r="225" customHeight="1" ht="15.75">
      <c r="A225" s="8">
        <f>IFERROR(__xludf.DUMMYFUNCTION("""COMPUTED_VALUE"""),26078.0)</f>
      </c>
      <c r="B225" s="9">
        <f>IFERROR(__xludf.DUMMYFUNCTION("""COMPUTED_VALUE"""),"METROPOLITANA I")</f>
      </c>
      <c r="C225" s="9">
        <f>IFERROR(__xludf.DUMMYFUNCTION("""COMPUTED_VALUE"""),"CIEP 395 LUIZ HENRIQUE REZENDE NOVAES")</f>
      </c>
      <c r="D225" s="10">
        <f>IFERROR(__xludf.DUMMYFUNCTION("""COMPUTED_VALUE"""),1.0)</f>
      </c>
      <c r="E225" s="11">
        <f>IFERROR(__xludf.DUMMYFUNCTION("""COMPUTED_VALUE"""),74.15)</f>
      </c>
      <c r="F225" s="10">
        <f>IFERROR(__xludf.DUMMYFUNCTION("""COMPUTED_VALUE"""),0.9756)</f>
      </c>
      <c r="G225" s="11">
        <f>IFERROR(__xludf.DUMMYFUNCTION("""COMPUTED_VALUE"""),230.27)</f>
      </c>
      <c r="H225" s="10">
        <f>IFERROR(__xludf.DUMMYFUNCTION("""COMPUTED_VALUE"""),0.6585)</f>
      </c>
      <c r="I225" s="11">
        <f>IFERROR(__xludf.DUMMYFUNCTION("""COMPUTED_VALUE"""),372.8)</f>
      </c>
      <c r="J225" s="10">
        <f>IFERROR(__xludf.DUMMYFUNCTION("""COMPUTED_VALUE"""),0.878)</f>
      </c>
      <c r="K225" s="11">
        <f>IFERROR(__xludf.DUMMYFUNCTION("""COMPUTED_VALUE"""),132.22)</f>
      </c>
      <c r="L225" s="10">
        <f>IFERROR(__xludf.DUMMYFUNCTION("""COMPUTED_VALUE"""),0.6585)</f>
      </c>
      <c r="M225" s="11">
        <f>IFERROR(__xludf.DUMMYFUNCTION("""COMPUTED_VALUE"""),393.85)</f>
      </c>
      <c r="N225" s="10">
        <f>IFERROR(__xludf.DUMMYFUNCTION("""COMPUTED_VALUE"""),0.6098)</f>
      </c>
      <c r="O225" s="11">
        <f>IFERROR(__xludf.DUMMYFUNCTION("""COMPUTED_VALUE"""),424.0)</f>
      </c>
      <c r="P225" s="12"/>
      <c r="Q225" s="12"/>
      <c r="R225" s="15"/>
      <c r="S225" s="12"/>
      <c r="T225" s="12"/>
      <c r="U225" s="12"/>
      <c r="V225" s="12"/>
      <c r="W225" s="12"/>
      <c r="X225" s="12"/>
      <c r="Y225" s="12"/>
      <c r="Z225" s="12"/>
    </row>
    <row x14ac:dyDescent="0.25" r="226" customHeight="1" ht="15.75">
      <c r="A226" s="8">
        <f>IFERROR(__xludf.DUMMYFUNCTION("""COMPUTED_VALUE"""),26097.0)</f>
      </c>
      <c r="B226" s="9">
        <f>IFERROR(__xludf.DUMMYFUNCTION("""COMPUTED_VALUE"""),"METROPOLITANA I")</f>
      </c>
      <c r="C226" s="9">
        <f>IFERROR(__xludf.DUMMYFUNCTION("""COMPUTED_VALUE"""),"CIEP 396 LUIZ PEIXOTO")</f>
      </c>
      <c r="D226" s="10">
        <f>IFERROR(__xludf.DUMMYFUNCTION("""COMPUTED_VALUE"""),0.8547)</f>
      </c>
      <c r="E226" s="11">
        <f>IFERROR(__xludf.DUMMYFUNCTION("""COMPUTED_VALUE"""),187.22)</f>
      </c>
      <c r="F226" s="10">
        <f>IFERROR(__xludf.DUMMYFUNCTION("""COMPUTED_VALUE"""),0.9721)</f>
      </c>
      <c r="G226" s="11">
        <f>IFERROR(__xludf.DUMMYFUNCTION("""COMPUTED_VALUE"""),244.52)</f>
      </c>
      <c r="H226" s="10">
        <f>IFERROR(__xludf.DUMMYFUNCTION("""COMPUTED_VALUE"""),0.648)</f>
      </c>
      <c r="I226" s="11">
        <f>IFERROR(__xludf.DUMMYFUNCTION("""COMPUTED_VALUE"""),359.3)</f>
      </c>
      <c r="J226" s="10">
        <f>IFERROR(__xludf.DUMMYFUNCTION("""COMPUTED_VALUE"""),0.6927)</f>
      </c>
      <c r="K226" s="11">
        <f>IFERROR(__xludf.DUMMYFUNCTION("""COMPUTED_VALUE"""),180.65)</f>
      </c>
      <c r="L226" s="10">
        <f>IFERROR(__xludf.DUMMYFUNCTION("""COMPUTED_VALUE"""),0.6034)</f>
      </c>
      <c r="M226" s="11">
        <f>IFERROR(__xludf.DUMMYFUNCTION("""COMPUTED_VALUE"""),389.81)</f>
      </c>
      <c r="N226" s="10">
        <f>IFERROR(__xludf.DUMMYFUNCTION("""COMPUTED_VALUE"""),0.5419)</f>
      </c>
      <c r="O226" s="11">
        <f>IFERROR(__xludf.DUMMYFUNCTION("""COMPUTED_VALUE"""),411.06)</f>
      </c>
      <c r="P226" s="12"/>
      <c r="Q226" s="12"/>
      <c r="R226" s="15"/>
      <c r="S226" s="12"/>
      <c r="T226" s="12"/>
      <c r="U226" s="12"/>
      <c r="V226" s="12"/>
      <c r="W226" s="12"/>
      <c r="X226" s="12"/>
      <c r="Y226" s="12"/>
      <c r="Z226" s="12"/>
    </row>
    <row x14ac:dyDescent="0.25" r="227" customHeight="1" ht="15.75">
      <c r="A227" s="8">
        <f>IFERROR(__xludf.DUMMYFUNCTION("""COMPUTED_VALUE"""),26004.0)</f>
      </c>
      <c r="B227" s="9">
        <f>IFERROR(__xludf.DUMMYFUNCTION("""COMPUTED_VALUE"""),"METROPOLITANA I")</f>
      </c>
      <c r="C227" s="9">
        <f>IFERROR(__xludf.DUMMYFUNCTION("""COMPUTED_VALUE"""),"CIEP 402 APARICIO TORELLI")</f>
      </c>
      <c r="D227" s="10">
        <f>IFERROR(__xludf.DUMMYFUNCTION("""COMPUTED_VALUE"""),0.9695)</f>
      </c>
      <c r="E227" s="11">
        <f>IFERROR(__xludf.DUMMYFUNCTION("""COMPUTED_VALUE"""),129.75)</f>
      </c>
      <c r="F227" s="10">
        <f>IFERROR(__xludf.DUMMYFUNCTION("""COMPUTED_VALUE"""),0.967)</f>
      </c>
      <c r="G227" s="11">
        <f>IFERROR(__xludf.DUMMYFUNCTION("""COMPUTED_VALUE"""),142.32)</f>
      </c>
      <c r="H227" s="10">
        <f>IFERROR(__xludf.DUMMYFUNCTION("""COMPUTED_VALUE"""),0.8736)</f>
      </c>
      <c r="I227" s="11">
        <f>IFERROR(__xludf.DUMMYFUNCTION("""COMPUTED_VALUE"""),191.48)</f>
      </c>
      <c r="J227" s="10">
        <f>IFERROR(__xludf.DUMMYFUNCTION("""COMPUTED_VALUE"""),0.8988)</f>
      </c>
      <c r="K227" s="11">
        <f>IFERROR(__xludf.DUMMYFUNCTION("""COMPUTED_VALUE"""),"----")</f>
      </c>
      <c r="L227" s="10">
        <f>IFERROR(__xludf.DUMMYFUNCTION("""COMPUTED_VALUE"""),0.9287)</f>
      </c>
      <c r="M227" s="11">
        <f>IFERROR(__xludf.DUMMYFUNCTION("""COMPUTED_VALUE"""),146.49)</f>
      </c>
      <c r="N227" s="10">
        <f>IFERROR(__xludf.DUMMYFUNCTION("""COMPUTED_VALUE"""),0.9149)</f>
      </c>
      <c r="O227" s="11">
        <f>IFERROR(__xludf.DUMMYFUNCTION("""COMPUTED_VALUE"""),105.56)</f>
      </c>
      <c r="P227" s="12"/>
      <c r="Q227" s="12"/>
      <c r="R227" s="15"/>
      <c r="S227" s="12"/>
      <c r="T227" s="12"/>
      <c r="U227" s="12"/>
      <c r="V227" s="12"/>
      <c r="W227" s="12"/>
      <c r="X227" s="12"/>
      <c r="Y227" s="12"/>
      <c r="Z227" s="12"/>
    </row>
    <row x14ac:dyDescent="0.25" r="228" customHeight="1" ht="15.75">
      <c r="A228" s="8">
        <f>IFERROR(__xludf.DUMMYFUNCTION("""COMPUTED_VALUE"""),26085.0)</f>
      </c>
      <c r="B228" s="9">
        <f>IFERROR(__xludf.DUMMYFUNCTION("""COMPUTED_VALUE"""),"METROPOLITANA I")</f>
      </c>
      <c r="C228" s="9">
        <f>IFERROR(__xludf.DUMMYFUNCTION("""COMPUTED_VALUE"""),"IE RANGEL PESTANA")</f>
      </c>
      <c r="D228" s="10">
        <f>IFERROR(__xludf.DUMMYFUNCTION("""COMPUTED_VALUE"""),0.7862)</f>
      </c>
      <c r="E228" s="11">
        <f>IFERROR(__xludf.DUMMYFUNCTION("""COMPUTED_VALUE"""),335.72)</f>
      </c>
      <c r="F228" s="10">
        <f>IFERROR(__xludf.DUMMYFUNCTION("""COMPUTED_VALUE"""),0.0101)</f>
      </c>
      <c r="G228" s="11">
        <f>IFERROR(__xludf.DUMMYFUNCTION("""COMPUTED_VALUE"""),"----")</f>
      </c>
      <c r="H228" s="10">
        <f>IFERROR(__xludf.DUMMYFUNCTION("""COMPUTED_VALUE"""),0.6849)</f>
      </c>
      <c r="I228" s="11">
        <f>IFERROR(__xludf.DUMMYFUNCTION("""COMPUTED_VALUE"""),484.29)</f>
      </c>
      <c r="J228" s="10">
        <f>IFERROR(__xludf.DUMMYFUNCTION("""COMPUTED_VALUE"""),0.6277)</f>
      </c>
      <c r="K228" s="11">
        <f>IFERROR(__xludf.DUMMYFUNCTION("""COMPUTED_VALUE"""),"----")</f>
      </c>
      <c r="L228" s="10">
        <f>IFERROR(__xludf.DUMMYFUNCTION("""COMPUTED_VALUE"""),0.6053)</f>
      </c>
      <c r="M228" s="11">
        <f>IFERROR(__xludf.DUMMYFUNCTION("""COMPUTED_VALUE"""),407.79)</f>
      </c>
      <c r="N228" s="10">
        <f>IFERROR(__xludf.DUMMYFUNCTION("""COMPUTED_VALUE"""),0.6615)</f>
      </c>
      <c r="O228" s="11">
        <f>IFERROR(__xludf.DUMMYFUNCTION("""COMPUTED_VALUE"""),403.3)</f>
      </c>
      <c r="P228" s="12"/>
      <c r="Q228" s="12"/>
      <c r="R228" s="15"/>
      <c r="S228" s="12"/>
      <c r="T228" s="12"/>
      <c r="U228" s="12"/>
      <c r="V228" s="12"/>
      <c r="W228" s="12"/>
      <c r="X228" s="12"/>
      <c r="Y228" s="12"/>
      <c r="Z228" s="12"/>
    </row>
    <row x14ac:dyDescent="0.25" r="229" customHeight="1" ht="15.75">
      <c r="A229" s="8">
        <f>IFERROR(__xludf.DUMMYFUNCTION("""COMPUTED_VALUE"""),25667.0)</f>
      </c>
      <c r="B229" s="9">
        <f>IFERROR(__xludf.DUMMYFUNCTION("""COMPUTED_VALUE"""),"METROPOLITANA II")</f>
      </c>
      <c r="C229" s="9">
        <f>IFERROR(__xludf.DUMMYFUNCTION("""COMPUTED_VALUE"""),"CE ALECRIM")</f>
      </c>
      <c r="D229" s="10">
        <f>IFERROR(__xludf.DUMMYFUNCTION("""COMPUTED_VALUE"""),0.9101)</f>
      </c>
      <c r="E229" s="11">
        <f>IFERROR(__xludf.DUMMYFUNCTION("""COMPUTED_VALUE"""),244.94)</f>
      </c>
      <c r="F229" s="10">
        <f>IFERROR(__xludf.DUMMYFUNCTION("""COMPUTED_VALUE"""),0.764)</f>
      </c>
      <c r="G229" s="11">
        <f>IFERROR(__xludf.DUMMYFUNCTION("""COMPUTED_VALUE"""),357.06)</f>
      </c>
      <c r="H229" s="10">
        <f>IFERROR(__xludf.DUMMYFUNCTION("""COMPUTED_VALUE"""),0.764)</f>
      </c>
      <c r="I229" s="11">
        <f>IFERROR(__xludf.DUMMYFUNCTION("""COMPUTED_VALUE"""),356.97)</f>
      </c>
      <c r="J229" s="10">
        <f>IFERROR(__xludf.DUMMYFUNCTION("""COMPUTED_VALUE"""),0.7303)</f>
      </c>
      <c r="K229" s="11">
        <f>IFERROR(__xludf.DUMMYFUNCTION("""COMPUTED_VALUE"""),298.13)</f>
      </c>
      <c r="L229" s="10">
        <f>IFERROR(__xludf.DUMMYFUNCTION("""COMPUTED_VALUE"""),0.7865)</f>
      </c>
      <c r="M229" s="11">
        <f>IFERROR(__xludf.DUMMYFUNCTION("""COMPUTED_VALUE"""),369.14)</f>
      </c>
      <c r="N229" s="10">
        <f>IFERROR(__xludf.DUMMYFUNCTION("""COMPUTED_VALUE"""),0.809)</f>
      </c>
      <c r="O229" s="11">
        <f>IFERROR(__xludf.DUMMYFUNCTION("""COMPUTED_VALUE"""),396.06)</f>
      </c>
      <c r="P229" s="12"/>
      <c r="Q229" s="12"/>
      <c r="R229" s="15"/>
      <c r="S229" s="12"/>
      <c r="T229" s="12"/>
      <c r="U229" s="12"/>
      <c r="V229" s="12"/>
      <c r="W229" s="12"/>
      <c r="X229" s="12"/>
      <c r="Y229" s="12"/>
      <c r="Z229" s="12"/>
    </row>
    <row x14ac:dyDescent="0.25" r="230" customHeight="1" ht="15.75">
      <c r="A230" s="8">
        <f>IFERROR(__xludf.DUMMYFUNCTION("""COMPUTED_VALUE"""),25668.0)</f>
      </c>
      <c r="B230" s="9">
        <f>IFERROR(__xludf.DUMMYFUNCTION("""COMPUTED_VALUE"""),"METROPOLITANA II")</f>
      </c>
      <c r="C230" s="9">
        <f>IFERROR(__xludf.DUMMYFUNCTION("""COMPUTED_VALUE"""),"CE AMANDA VELASCO")</f>
      </c>
      <c r="D230" s="10">
        <f>IFERROR(__xludf.DUMMYFUNCTION("""COMPUTED_VALUE"""),0.9638)</f>
      </c>
      <c r="E230" s="11">
        <f>IFERROR(__xludf.DUMMYFUNCTION("""COMPUTED_VALUE"""),163.02)</f>
      </c>
      <c r="F230" s="10">
        <f>IFERROR(__xludf.DUMMYFUNCTION("""COMPUTED_VALUE"""),0.6703)</f>
      </c>
      <c r="G230" s="11">
        <f>IFERROR(__xludf.DUMMYFUNCTION("""COMPUTED_VALUE"""),364.64)</f>
      </c>
      <c r="H230" s="10">
        <f>IFERROR(__xludf.DUMMYFUNCTION("""COMPUTED_VALUE"""),0.7464)</f>
      </c>
      <c r="I230" s="11">
        <f>IFERROR(__xludf.DUMMYFUNCTION("""COMPUTED_VALUE"""),380.39)</f>
      </c>
      <c r="J230" s="10">
        <f>IFERROR(__xludf.DUMMYFUNCTION("""COMPUTED_VALUE"""),0.7862)</f>
      </c>
      <c r="K230" s="11">
        <f>IFERROR(__xludf.DUMMYFUNCTION("""COMPUTED_VALUE"""),319.8)</f>
      </c>
      <c r="L230" s="10">
        <f>IFERROR(__xludf.DUMMYFUNCTION("""COMPUTED_VALUE"""),0.7681)</f>
      </c>
      <c r="M230" s="11">
        <f>IFERROR(__xludf.DUMMYFUNCTION("""COMPUTED_VALUE"""),348.82)</f>
      </c>
      <c r="N230" s="10">
        <f>IFERROR(__xludf.DUMMYFUNCTION("""COMPUTED_VALUE"""),0.7609)</f>
      </c>
      <c r="O230" s="11">
        <f>IFERROR(__xludf.DUMMYFUNCTION("""COMPUTED_VALUE"""),364.62)</f>
      </c>
      <c r="P230" s="12"/>
      <c r="Q230" s="12"/>
      <c r="R230" s="15"/>
      <c r="S230" s="12"/>
      <c r="T230" s="12"/>
      <c r="U230" s="12"/>
      <c r="V230" s="12"/>
      <c r="W230" s="12"/>
      <c r="X230" s="12"/>
      <c r="Y230" s="12"/>
      <c r="Z230" s="12"/>
    </row>
    <row x14ac:dyDescent="0.25" r="231" customHeight="1" ht="15.75">
      <c r="A231" s="8">
        <f>IFERROR(__xludf.DUMMYFUNCTION("""COMPUTED_VALUE"""),25743.0)</f>
      </c>
      <c r="B231" s="9">
        <f>IFERROR(__xludf.DUMMYFUNCTION("""COMPUTED_VALUE"""),"METROPOLITANA II")</f>
      </c>
      <c r="C231" s="9">
        <f>IFERROR(__xludf.DUMMYFUNCTION("""COMPUTED_VALUE"""),"CE ANTONIO FRANCISCO LEAL")</f>
      </c>
      <c r="D231" s="10">
        <f>IFERROR(__xludf.DUMMYFUNCTION("""COMPUTED_VALUE"""),0.7103)</f>
      </c>
      <c r="E231" s="11">
        <f>IFERROR(__xludf.DUMMYFUNCTION("""COMPUTED_VALUE"""),195.53)</f>
      </c>
      <c r="F231" s="10">
        <f>IFERROR(__xludf.DUMMYFUNCTION("""COMPUTED_VALUE"""),0.5327)</f>
      </c>
      <c r="G231" s="11">
        <f>IFERROR(__xludf.DUMMYFUNCTION("""COMPUTED_VALUE"""),"----")</f>
      </c>
      <c r="H231" s="10">
        <f>IFERROR(__xludf.DUMMYFUNCTION("""COMPUTED_VALUE"""),0.4398)</f>
      </c>
      <c r="I231" s="11">
        <f>IFERROR(__xludf.DUMMYFUNCTION("""COMPUTED_VALUE"""),422.13)</f>
      </c>
      <c r="J231" s="10">
        <f>IFERROR(__xludf.DUMMYFUNCTION("""COMPUTED_VALUE"""),0.6696)</f>
      </c>
      <c r="K231" s="11">
        <f>IFERROR(__xludf.DUMMYFUNCTION("""COMPUTED_VALUE"""),276.64)</f>
      </c>
      <c r="L231" s="10">
        <f>IFERROR(__xludf.DUMMYFUNCTION("""COMPUTED_VALUE"""),0.5934)</f>
      </c>
      <c r="M231" s="11">
        <f>IFERROR(__xludf.DUMMYFUNCTION("""COMPUTED_VALUE"""),361.09)</f>
      </c>
      <c r="N231" s="10">
        <f>IFERROR(__xludf.DUMMYFUNCTION("""COMPUTED_VALUE"""),0.6307)</f>
      </c>
      <c r="O231" s="11">
        <f>IFERROR(__xludf.DUMMYFUNCTION("""COMPUTED_VALUE"""),"----")</f>
      </c>
      <c r="P231" s="12"/>
      <c r="Q231" s="12"/>
      <c r="R231" s="15"/>
      <c r="S231" s="12"/>
      <c r="T231" s="12"/>
      <c r="U231" s="12"/>
      <c r="V231" s="12"/>
      <c r="W231" s="12"/>
      <c r="X231" s="12"/>
      <c r="Y231" s="12"/>
      <c r="Z231" s="12"/>
    </row>
    <row x14ac:dyDescent="0.25" r="232" customHeight="1" ht="15.75">
      <c r="A232" s="8">
        <f>IFERROR(__xludf.DUMMYFUNCTION("""COMPUTED_VALUE"""),25669.0)</f>
      </c>
      <c r="B232" s="9">
        <f>IFERROR(__xludf.DUMMYFUNCTION("""COMPUTED_VALUE"""),"METROPOLITANA II")</f>
      </c>
      <c r="C232" s="9">
        <f>IFERROR(__xludf.DUMMYFUNCTION("""COMPUTED_VALUE"""),"CE ARMANDO GONCALVES")</f>
      </c>
      <c r="D232" s="10">
        <f>IFERROR(__xludf.DUMMYFUNCTION("""COMPUTED_VALUE"""),0.7033)</f>
      </c>
      <c r="E232" s="11">
        <f>IFERROR(__xludf.DUMMYFUNCTION("""COMPUTED_VALUE"""),157.14)</f>
      </c>
      <c r="F232" s="10">
        <f>IFERROR(__xludf.DUMMYFUNCTION("""COMPUTED_VALUE"""),0.4451)</f>
      </c>
      <c r="G232" s="11">
        <f>IFERROR(__xludf.DUMMYFUNCTION("""COMPUTED_VALUE"""),276.05)</f>
      </c>
      <c r="H232" s="10">
        <f>IFERROR(__xludf.DUMMYFUNCTION("""COMPUTED_VALUE"""),0.522)</f>
      </c>
      <c r="I232" s="11">
        <f>IFERROR(__xludf.DUMMYFUNCTION("""COMPUTED_VALUE"""),367.39)</f>
      </c>
      <c r="J232" s="10">
        <f>IFERROR(__xludf.DUMMYFUNCTION("""COMPUTED_VALUE"""),0.5385)</f>
      </c>
      <c r="K232" s="11">
        <f>IFERROR(__xludf.DUMMYFUNCTION("""COMPUTED_VALUE"""),218.97)</f>
      </c>
      <c r="L232" s="10">
        <f>IFERROR(__xludf.DUMMYFUNCTION("""COMPUTED_VALUE"""),0.5275)</f>
      </c>
      <c r="M232" s="11">
        <f>IFERROR(__xludf.DUMMYFUNCTION("""COMPUTED_VALUE"""),280.0)</f>
      </c>
      <c r="N232" s="10">
        <f>IFERROR(__xludf.DUMMYFUNCTION("""COMPUTED_VALUE"""),0.4615)</f>
      </c>
      <c r="O232" s="11">
        <f>IFERROR(__xludf.DUMMYFUNCTION("""COMPUTED_VALUE"""),281.9)</f>
      </c>
      <c r="P232" s="12"/>
      <c r="Q232" s="12"/>
      <c r="R232" s="15"/>
      <c r="S232" s="12"/>
      <c r="T232" s="12"/>
      <c r="U232" s="12"/>
      <c r="V232" s="12"/>
      <c r="W232" s="12"/>
      <c r="X232" s="12"/>
      <c r="Y232" s="12"/>
      <c r="Z232" s="12"/>
    </row>
    <row x14ac:dyDescent="0.25" r="233" customHeight="1" ht="15.75">
      <c r="A233" s="8">
        <f>IFERROR(__xludf.DUMMYFUNCTION("""COMPUTED_VALUE"""),25670.0)</f>
      </c>
      <c r="B233" s="9">
        <f>IFERROR(__xludf.DUMMYFUNCTION("""COMPUTED_VALUE"""),"METROPOLITANA II")</f>
      </c>
      <c r="C233" s="9">
        <f>IFERROR(__xludf.DUMMYFUNCTION("""COMPUTED_VALUE"""),"CE AUGUSTO CEZÁRIO DIAZ ANDRÉ")</f>
      </c>
      <c r="D233" s="10">
        <f>IFERROR(__xludf.DUMMYFUNCTION("""COMPUTED_VALUE"""),0.8675)</f>
      </c>
      <c r="E233" s="11">
        <f>IFERROR(__xludf.DUMMYFUNCTION("""COMPUTED_VALUE"""),311.0)</f>
      </c>
      <c r="F233" s="10">
        <f>IFERROR(__xludf.DUMMYFUNCTION("""COMPUTED_VALUE"""),0.6225)</f>
      </c>
      <c r="G233" s="11">
        <f>IFERROR(__xludf.DUMMYFUNCTION("""COMPUTED_VALUE"""),442.78)</f>
      </c>
      <c r="H233" s="10">
        <f>IFERROR(__xludf.DUMMYFUNCTION("""COMPUTED_VALUE"""),0.7417)</f>
      </c>
      <c r="I233" s="11">
        <f>IFERROR(__xludf.DUMMYFUNCTION("""COMPUTED_VALUE"""),478.37)</f>
      </c>
      <c r="J233" s="10">
        <f>IFERROR(__xludf.DUMMYFUNCTION("""COMPUTED_VALUE"""),0.5497)</f>
      </c>
      <c r="K233" s="11">
        <f>IFERROR(__xludf.DUMMYFUNCTION("""COMPUTED_VALUE"""),418.38)</f>
      </c>
      <c r="L233" s="10">
        <f>IFERROR(__xludf.DUMMYFUNCTION("""COMPUTED_VALUE"""),0.6325)</f>
      </c>
      <c r="M233" s="11">
        <f>IFERROR(__xludf.DUMMYFUNCTION("""COMPUTED_VALUE"""),512.04)</f>
      </c>
      <c r="N233" s="10">
        <f>IFERROR(__xludf.DUMMYFUNCTION("""COMPUTED_VALUE"""),0.6391)</f>
      </c>
      <c r="O233" s="11">
        <f>IFERROR(__xludf.DUMMYFUNCTION("""COMPUTED_VALUE"""),516.84)</f>
      </c>
      <c r="P233" s="12"/>
      <c r="Q233" s="12"/>
      <c r="R233" s="15"/>
      <c r="S233" s="12"/>
      <c r="T233" s="12"/>
      <c r="U233" s="12"/>
      <c r="V233" s="12"/>
      <c r="W233" s="12"/>
      <c r="X233" s="12"/>
      <c r="Y233" s="12"/>
      <c r="Z233" s="12"/>
    </row>
    <row x14ac:dyDescent="0.25" r="234" customHeight="1" ht="15.75">
      <c r="A234" s="8">
        <f>IFERROR(__xludf.DUMMYFUNCTION("""COMPUTED_VALUE"""),25671.0)</f>
      </c>
      <c r="B234" s="9">
        <f>IFERROR(__xludf.DUMMYFUNCTION("""COMPUTED_VALUE"""),"METROPOLITANA II")</f>
      </c>
      <c r="C234" s="9">
        <f>IFERROR(__xludf.DUMMYFUNCTION("""COMPUTED_VALUE"""),"CE CAPITÃO OSWALDO ORNELLAS")</f>
      </c>
      <c r="D234" s="10">
        <f>IFERROR(__xludf.DUMMYFUNCTION("""COMPUTED_VALUE"""),0.8408)</f>
      </c>
      <c r="E234" s="11">
        <f>IFERROR(__xludf.DUMMYFUNCTION("""COMPUTED_VALUE"""),210.36)</f>
      </c>
      <c r="F234" s="10">
        <f>IFERROR(__xludf.DUMMYFUNCTION("""COMPUTED_VALUE"""),0.6269)</f>
      </c>
      <c r="G234" s="11">
        <f>IFERROR(__xludf.DUMMYFUNCTION("""COMPUTED_VALUE"""),418.21)</f>
      </c>
      <c r="H234" s="10">
        <f>IFERROR(__xludf.DUMMYFUNCTION("""COMPUTED_VALUE"""),0.6418)</f>
      </c>
      <c r="I234" s="11">
        <f>IFERROR(__xludf.DUMMYFUNCTION("""COMPUTED_VALUE"""),406.61)</f>
      </c>
      <c r="J234" s="10">
        <f>IFERROR(__xludf.DUMMYFUNCTION("""COMPUTED_VALUE"""),0.6667)</f>
      </c>
      <c r="K234" s="11">
        <f>IFERROR(__xludf.DUMMYFUNCTION("""COMPUTED_VALUE"""),248.62)</f>
      </c>
      <c r="L234" s="10">
        <f>IFERROR(__xludf.DUMMYFUNCTION("""COMPUTED_VALUE"""),0.5572)</f>
      </c>
      <c r="M234" s="11">
        <f>IFERROR(__xludf.DUMMYFUNCTION("""COMPUTED_VALUE"""),322.52)</f>
      </c>
      <c r="N234" s="10">
        <f>IFERROR(__xludf.DUMMYFUNCTION("""COMPUTED_VALUE"""),0.5672)</f>
      </c>
      <c r="O234" s="11">
        <f>IFERROR(__xludf.DUMMYFUNCTION("""COMPUTED_VALUE"""),324.6)</f>
      </c>
      <c r="P234" s="12"/>
      <c r="Q234" s="12"/>
      <c r="R234" s="15"/>
      <c r="S234" s="12"/>
      <c r="T234" s="12"/>
      <c r="U234" s="12"/>
      <c r="V234" s="12"/>
      <c r="W234" s="12"/>
      <c r="X234" s="12"/>
      <c r="Y234" s="12"/>
      <c r="Z234" s="12"/>
    </row>
    <row x14ac:dyDescent="0.25" r="235" customHeight="1" ht="15.75">
      <c r="A235" s="8">
        <f>IFERROR(__xludf.DUMMYFUNCTION("""COMPUTED_VALUE"""),25672.0)</f>
      </c>
      <c r="B235" s="9">
        <f>IFERROR(__xludf.DUMMYFUNCTION("""COMPUTED_VALUE"""),"METROPOLITANA II")</f>
      </c>
      <c r="C235" s="9">
        <f>IFERROR(__xludf.DUMMYFUNCTION("""COMPUTED_VALUE"""),"CE COMENDADOR VALENTIM DOS SANTOS DINIZ")</f>
      </c>
      <c r="D235" s="10">
        <f>IFERROR(__xludf.DUMMYFUNCTION("""COMPUTED_VALUE"""),0.8571)</f>
      </c>
      <c r="E235" s="11">
        <f>IFERROR(__xludf.DUMMYFUNCTION("""COMPUTED_VALUE"""),435.38)</f>
      </c>
      <c r="F235" s="10">
        <f>IFERROR(__xludf.DUMMYFUNCTION("""COMPUTED_VALUE"""),0.8242)</f>
      </c>
      <c r="G235" s="11">
        <f>IFERROR(__xludf.DUMMYFUNCTION("""COMPUTED_VALUE"""),489.07)</f>
      </c>
      <c r="H235" s="10">
        <f>IFERROR(__xludf.DUMMYFUNCTION("""COMPUTED_VALUE"""),0.8022)</f>
      </c>
      <c r="I235" s="11">
        <f>IFERROR(__xludf.DUMMYFUNCTION("""COMPUTED_VALUE"""),524.38)</f>
      </c>
      <c r="J235" s="10">
        <f>IFERROR(__xludf.DUMMYFUNCTION("""COMPUTED_VALUE"""),0.8242)</f>
      </c>
      <c r="K235" s="11">
        <f>IFERROR(__xludf.DUMMYFUNCTION("""COMPUTED_VALUE"""),479.47)</f>
      </c>
      <c r="L235" s="10">
        <f>IFERROR(__xludf.DUMMYFUNCTION("""COMPUTED_VALUE"""),0.7033)</f>
      </c>
      <c r="M235" s="11">
        <f>IFERROR(__xludf.DUMMYFUNCTION("""COMPUTED_VALUE"""),524.38)</f>
      </c>
      <c r="N235" s="10">
        <f>IFERROR(__xludf.DUMMYFUNCTION("""COMPUTED_VALUE"""),0.7582)</f>
      </c>
      <c r="O235" s="11">
        <f>IFERROR(__xludf.DUMMYFUNCTION("""COMPUTED_VALUE"""),535.07)</f>
      </c>
      <c r="P235" s="12"/>
      <c r="Q235" s="12"/>
      <c r="R235" s="15"/>
      <c r="S235" s="12"/>
      <c r="T235" s="12"/>
      <c r="U235" s="12"/>
      <c r="V235" s="12"/>
      <c r="W235" s="12"/>
      <c r="X235" s="12"/>
      <c r="Y235" s="12"/>
      <c r="Z235" s="12"/>
    </row>
    <row x14ac:dyDescent="0.25" r="236" customHeight="1" ht="15.75">
      <c r="A236" s="8">
        <f>IFERROR(__xludf.DUMMYFUNCTION("""COMPUTED_VALUE"""),25673.0)</f>
      </c>
      <c r="B236" s="9">
        <f>IFERROR(__xludf.DUMMYFUNCTION("""COMPUTED_VALUE"""),"METROPOLITANA II")</f>
      </c>
      <c r="C236" s="9">
        <f>IFERROR(__xludf.DUMMYFUNCTION("""COMPUTED_VALUE"""),"CE CORONEL FRANCISCO LIMA")</f>
      </c>
      <c r="D236" s="10">
        <f>IFERROR(__xludf.DUMMYFUNCTION("""COMPUTED_VALUE"""),0.9699)</f>
      </c>
      <c r="E236" s="11">
        <f>IFERROR(__xludf.DUMMYFUNCTION("""COMPUTED_VALUE"""),255.59)</f>
      </c>
      <c r="F236" s="10">
        <f>IFERROR(__xludf.DUMMYFUNCTION("""COMPUTED_VALUE"""),0.8496)</f>
      </c>
      <c r="G236" s="11">
        <f>IFERROR(__xludf.DUMMYFUNCTION("""COMPUTED_VALUE"""),322.16)</f>
      </c>
      <c r="H236" s="10">
        <f>IFERROR(__xludf.DUMMYFUNCTION("""COMPUTED_VALUE"""),0.7669)</f>
      </c>
      <c r="I236" s="11">
        <f>IFERROR(__xludf.DUMMYFUNCTION("""COMPUTED_VALUE"""),350.5)</f>
      </c>
      <c r="J236" s="10">
        <f>IFERROR(__xludf.DUMMYFUNCTION("""COMPUTED_VALUE"""),0.6842)</f>
      </c>
      <c r="K236" s="11">
        <f>IFERROR(__xludf.DUMMYFUNCTION("""COMPUTED_VALUE"""),289.44)</f>
      </c>
      <c r="L236" s="10">
        <f>IFERROR(__xludf.DUMMYFUNCTION("""COMPUTED_VALUE"""),0.7218)</f>
      </c>
      <c r="M236" s="11">
        <f>IFERROR(__xludf.DUMMYFUNCTION("""COMPUTED_VALUE"""),408.75)</f>
      </c>
      <c r="N236" s="10">
        <f>IFERROR(__xludf.DUMMYFUNCTION("""COMPUTED_VALUE"""),0.7519)</f>
      </c>
      <c r="O236" s="11">
        <f>IFERROR(__xludf.DUMMYFUNCTION("""COMPUTED_VALUE"""),317.11)</f>
      </c>
      <c r="P236" s="12"/>
      <c r="Q236" s="12"/>
      <c r="R236" s="15"/>
      <c r="S236" s="12"/>
      <c r="T236" s="12"/>
      <c r="U236" s="12"/>
      <c r="V236" s="12"/>
      <c r="W236" s="12"/>
      <c r="X236" s="12"/>
      <c r="Y236" s="12"/>
      <c r="Z236" s="12"/>
    </row>
    <row x14ac:dyDescent="0.25" r="237" customHeight="1" ht="15.75">
      <c r="A237" s="8">
        <f>IFERROR(__xludf.DUMMYFUNCTION("""COMPUTED_VALUE"""),25674.0)</f>
      </c>
      <c r="B237" s="9">
        <f>IFERROR(__xludf.DUMMYFUNCTION("""COMPUTED_VALUE"""),"METROPOLITANA II")</f>
      </c>
      <c r="C237" s="9">
        <f>IFERROR(__xludf.DUMMYFUNCTION("""COMPUTED_VALUE"""),"CE CORONEL JOAO TARCISIO BUENO")</f>
      </c>
      <c r="D237" s="10">
        <f>IFERROR(__xludf.DUMMYFUNCTION("""COMPUTED_VALUE"""),0.7034)</f>
      </c>
      <c r="E237" s="11">
        <f>IFERROR(__xludf.DUMMYFUNCTION("""COMPUTED_VALUE"""),151.33)</f>
      </c>
      <c r="F237" s="10">
        <f>IFERROR(__xludf.DUMMYFUNCTION("""COMPUTED_VALUE"""),0.6864)</f>
      </c>
      <c r="G237" s="11">
        <f>IFERROR(__xludf.DUMMYFUNCTION("""COMPUTED_VALUE"""),330.37)</f>
      </c>
      <c r="H237" s="10">
        <f>IFERROR(__xludf.DUMMYFUNCTION("""COMPUTED_VALUE"""),0.4892)</f>
      </c>
      <c r="I237" s="11">
        <f>IFERROR(__xludf.DUMMYFUNCTION("""COMPUTED_VALUE"""),371.77)</f>
      </c>
      <c r="J237" s="10">
        <f>IFERROR(__xludf.DUMMYFUNCTION("""COMPUTED_VALUE"""),0.6496)</f>
      </c>
      <c r="K237" s="11">
        <f>IFERROR(__xludf.DUMMYFUNCTION("""COMPUTED_VALUE"""),314.28)</f>
      </c>
      <c r="L237" s="10">
        <f>IFERROR(__xludf.DUMMYFUNCTION("""COMPUTED_VALUE"""),0.5252)</f>
      </c>
      <c r="M237" s="11">
        <f>IFERROR(__xludf.DUMMYFUNCTION("""COMPUTED_VALUE"""),334.93)</f>
      </c>
      <c r="N237" s="10">
        <f>IFERROR(__xludf.DUMMYFUNCTION("""COMPUTED_VALUE"""),0.3957)</f>
      </c>
      <c r="O237" s="11">
        <f>IFERROR(__xludf.DUMMYFUNCTION("""COMPUTED_VALUE"""),367.39)</f>
      </c>
      <c r="P237" s="12"/>
      <c r="Q237" s="12"/>
      <c r="R237" s="15"/>
      <c r="S237" s="12"/>
      <c r="T237" s="12"/>
      <c r="U237" s="12"/>
      <c r="V237" s="12"/>
      <c r="W237" s="12"/>
      <c r="X237" s="12"/>
      <c r="Y237" s="12"/>
      <c r="Z237" s="12"/>
    </row>
    <row x14ac:dyDescent="0.25" r="238" customHeight="1" ht="15.75">
      <c r="A238" s="8">
        <f>IFERROR(__xludf.DUMMYFUNCTION("""COMPUTED_VALUE"""),25675.0)</f>
      </c>
      <c r="B238" s="9">
        <f>IFERROR(__xludf.DUMMYFUNCTION("""COMPUTED_VALUE"""),"METROPOLITANA II")</f>
      </c>
      <c r="C238" s="9">
        <f>IFERROR(__xludf.DUMMYFUNCTION("""COMPUTED_VALUE"""),"CE CORONEL PM MARCUS JARDIM")</f>
      </c>
      <c r="D238" s="10">
        <f>IFERROR(__xludf.DUMMYFUNCTION("""COMPUTED_VALUE"""),0.9552)</f>
      </c>
      <c r="E238" s="11">
        <f>IFERROR(__xludf.DUMMYFUNCTION("""COMPUTED_VALUE"""),449.38)</f>
      </c>
      <c r="F238" s="10">
        <f>IFERROR(__xludf.DUMMYFUNCTION("""COMPUTED_VALUE"""),0.8881)</f>
      </c>
      <c r="G238" s="11">
        <f>IFERROR(__xludf.DUMMYFUNCTION("""COMPUTED_VALUE"""),542.86)</f>
      </c>
      <c r="H238" s="10">
        <f>IFERROR(__xludf.DUMMYFUNCTION("""COMPUTED_VALUE"""),0.8657)</f>
      </c>
      <c r="I238" s="11">
        <f>IFERROR(__xludf.DUMMYFUNCTION("""COMPUTED_VALUE"""),572.76)</f>
      </c>
      <c r="J238" s="10">
        <f>IFERROR(__xludf.DUMMYFUNCTION("""COMPUTED_VALUE"""),0.8955)</f>
      </c>
      <c r="K238" s="11">
        <f>IFERROR(__xludf.DUMMYFUNCTION("""COMPUTED_VALUE"""),522.0)</f>
      </c>
      <c r="L238" s="10">
        <f>IFERROR(__xludf.DUMMYFUNCTION("""COMPUTED_VALUE"""),0.8433)</f>
      </c>
      <c r="M238" s="11">
        <f>IFERROR(__xludf.DUMMYFUNCTION("""COMPUTED_VALUE"""),586.19)</f>
      </c>
      <c r="N238" s="10">
        <f>IFERROR(__xludf.DUMMYFUNCTION("""COMPUTED_VALUE"""),0.8955)</f>
      </c>
      <c r="O238" s="11">
        <f>IFERROR(__xludf.DUMMYFUNCTION("""COMPUTED_VALUE"""),563.0)</f>
      </c>
      <c r="P238" s="12"/>
      <c r="Q238" s="12"/>
      <c r="R238" s="15"/>
      <c r="S238" s="12"/>
      <c r="T238" s="12"/>
      <c r="U238" s="12"/>
      <c r="V238" s="12"/>
      <c r="W238" s="12"/>
      <c r="X238" s="12"/>
      <c r="Y238" s="12"/>
      <c r="Z238" s="12"/>
    </row>
    <row x14ac:dyDescent="0.25" r="239" customHeight="1" ht="15.75">
      <c r="A239" s="8">
        <f>IFERROR(__xludf.DUMMYFUNCTION("""COMPUTED_VALUE"""),25676.0)</f>
      </c>
      <c r="B239" s="9">
        <f>IFERROR(__xludf.DUMMYFUNCTION("""COMPUTED_VALUE"""),"METROPOLITANA II")</f>
      </c>
      <c r="C239" s="9">
        <f>IFERROR(__xludf.DUMMYFUNCTION("""COMPUTED_VALUE"""),"CE CORONEL SERRADO")</f>
      </c>
      <c r="D239" s="10">
        <f>IFERROR(__xludf.DUMMYFUNCTION("""COMPUTED_VALUE"""),0.5833)</f>
      </c>
      <c r="E239" s="11">
        <f>IFERROR(__xludf.DUMMYFUNCTION("""COMPUTED_VALUE"""),152.01)</f>
      </c>
      <c r="F239" s="10">
        <f>IFERROR(__xludf.DUMMYFUNCTION("""COMPUTED_VALUE"""),0.5926)</f>
      </c>
      <c r="G239" s="11">
        <f>IFERROR(__xludf.DUMMYFUNCTION("""COMPUTED_VALUE"""),344.38)</f>
      </c>
      <c r="H239" s="10">
        <f>IFERROR(__xludf.DUMMYFUNCTION("""COMPUTED_VALUE"""),0.4918)</f>
      </c>
      <c r="I239" s="11">
        <f>IFERROR(__xludf.DUMMYFUNCTION("""COMPUTED_VALUE"""),401.31)</f>
      </c>
      <c r="J239" s="10">
        <f>IFERROR(__xludf.DUMMYFUNCTION("""COMPUTED_VALUE"""),0.4808)</f>
      </c>
      <c r="K239" s="11">
        <f>IFERROR(__xludf.DUMMYFUNCTION("""COMPUTED_VALUE"""),289.46)</f>
      </c>
      <c r="L239" s="10">
        <f>IFERROR(__xludf.DUMMYFUNCTION("""COMPUTED_VALUE"""),0.3852)</f>
      </c>
      <c r="M239" s="11">
        <f>IFERROR(__xludf.DUMMYFUNCTION("""COMPUTED_VALUE"""),385.88)</f>
      </c>
      <c r="N239" s="10">
        <f>IFERROR(__xludf.DUMMYFUNCTION("""COMPUTED_VALUE"""),0.3361)</f>
      </c>
      <c r="O239" s="11">
        <f>IFERROR(__xludf.DUMMYFUNCTION("""COMPUTED_VALUE"""),387.07)</f>
      </c>
      <c r="P239" s="12"/>
      <c r="Q239" s="12"/>
      <c r="R239" s="15"/>
      <c r="S239" s="12"/>
      <c r="T239" s="12"/>
      <c r="U239" s="12"/>
      <c r="V239" s="12"/>
      <c r="W239" s="12"/>
      <c r="X239" s="12"/>
      <c r="Y239" s="12"/>
      <c r="Z239" s="12"/>
    </row>
    <row x14ac:dyDescent="0.25" r="240" customHeight="1" ht="15.75">
      <c r="A240" s="8">
        <f>IFERROR(__xludf.DUMMYFUNCTION("""COMPUTED_VALUE"""),25677.0)</f>
      </c>
      <c r="B240" s="9">
        <f>IFERROR(__xludf.DUMMYFUNCTION("""COMPUTED_VALUE"""),"METROPOLITANA II")</f>
      </c>
      <c r="C240" s="9">
        <f>IFERROR(__xludf.DUMMYFUNCTION("""COMPUTED_VALUE"""),"CE DESEMBARGADOR FERREIRA PINTO")</f>
      </c>
      <c r="D240" s="10">
        <f>IFERROR(__xludf.DUMMYFUNCTION("""COMPUTED_VALUE"""),0.6)</f>
      </c>
      <c r="E240" s="11">
        <f>IFERROR(__xludf.DUMMYFUNCTION("""COMPUTED_VALUE"""),218.61)</f>
      </c>
      <c r="F240" s="10">
        <f>IFERROR(__xludf.DUMMYFUNCTION("""COMPUTED_VALUE"""),0.8)</f>
      </c>
      <c r="G240" s="11">
        <f>IFERROR(__xludf.DUMMYFUNCTION("""COMPUTED_VALUE"""),400.93)</f>
      </c>
      <c r="H240" s="10">
        <f>IFERROR(__xludf.DUMMYFUNCTION("""COMPUTED_VALUE"""),0.7176)</f>
      </c>
      <c r="I240" s="11">
        <f>IFERROR(__xludf.DUMMYFUNCTION("""COMPUTED_VALUE"""),391.93)</f>
      </c>
      <c r="J240" s="10">
        <f>IFERROR(__xludf.DUMMYFUNCTION("""COMPUTED_VALUE"""),0.7824)</f>
      </c>
      <c r="K240" s="11">
        <f>IFERROR(__xludf.DUMMYFUNCTION("""COMPUTED_VALUE"""),320.0)</f>
      </c>
      <c r="L240" s="10">
        <f>IFERROR(__xludf.DUMMYFUNCTION("""COMPUTED_VALUE"""),0.8118)</f>
      </c>
      <c r="M240" s="11">
        <f>IFERROR(__xludf.DUMMYFUNCTION("""COMPUTED_VALUE"""),451.43)</f>
      </c>
      <c r="N240" s="10">
        <f>IFERROR(__xludf.DUMMYFUNCTION("""COMPUTED_VALUE"""),0.7)</f>
      </c>
      <c r="O240" s="11">
        <f>IFERROR(__xludf.DUMMYFUNCTION("""COMPUTED_VALUE"""),471.79)</f>
      </c>
      <c r="P240" s="12"/>
      <c r="Q240" s="12"/>
      <c r="R240" s="15"/>
      <c r="S240" s="12"/>
      <c r="T240" s="12"/>
      <c r="U240" s="12"/>
      <c r="V240" s="12"/>
      <c r="W240" s="12"/>
      <c r="X240" s="12"/>
      <c r="Y240" s="12"/>
      <c r="Z240" s="12"/>
    </row>
    <row x14ac:dyDescent="0.25" r="241" customHeight="1" ht="15.75">
      <c r="A241" s="8">
        <f>IFERROR(__xludf.DUMMYFUNCTION("""COMPUTED_VALUE"""),25678.0)</f>
      </c>
      <c r="B241" s="9">
        <f>IFERROR(__xludf.DUMMYFUNCTION("""COMPUTED_VALUE"""),"METROPOLITANA II")</f>
      </c>
      <c r="C241" s="9">
        <f>IFERROR(__xludf.DUMMYFUNCTION("""COMPUTED_VALUE"""),"CE DOM ANTÔNIO DE ALMEIDA MORAES JUNIOR")</f>
      </c>
      <c r="D241" s="10">
        <f>IFERROR(__xludf.DUMMYFUNCTION("""COMPUTED_VALUE"""),0.8784)</f>
      </c>
      <c r="E241" s="11">
        <f>IFERROR(__xludf.DUMMYFUNCTION("""COMPUTED_VALUE"""),434.72)</f>
      </c>
      <c r="F241" s="10">
        <f>IFERROR(__xludf.DUMMYFUNCTION("""COMPUTED_VALUE"""),0.0)</f>
      </c>
      <c r="G241" s="11">
        <f>IFERROR(__xludf.DUMMYFUNCTION("""COMPUTED_VALUE"""),"----")</f>
      </c>
      <c r="H241" s="10">
        <f>IFERROR(__xludf.DUMMYFUNCTION("""COMPUTED_VALUE"""),0.8108)</f>
      </c>
      <c r="I241" s="11">
        <f>IFERROR(__xludf.DUMMYFUNCTION("""COMPUTED_VALUE"""),397.97)</f>
      </c>
      <c r="J241" s="10">
        <f>IFERROR(__xludf.DUMMYFUNCTION("""COMPUTED_VALUE"""),0.8108)</f>
      </c>
      <c r="K241" s="11">
        <f>IFERROR(__xludf.DUMMYFUNCTION("""COMPUTED_VALUE"""),250.77)</f>
      </c>
      <c r="L241" s="10">
        <f>IFERROR(__xludf.DUMMYFUNCTION("""COMPUTED_VALUE"""),0.8243)</f>
      </c>
      <c r="M241" s="11">
        <f>IFERROR(__xludf.DUMMYFUNCTION("""COMPUTED_VALUE"""),470.16)</f>
      </c>
      <c r="N241" s="10">
        <f>IFERROR(__xludf.DUMMYFUNCTION("""COMPUTED_VALUE"""),0.7432)</f>
      </c>
      <c r="O241" s="11">
        <f>IFERROR(__xludf.DUMMYFUNCTION("""COMPUTED_VALUE"""),277.04)</f>
      </c>
      <c r="P241" s="12"/>
      <c r="Q241" s="12"/>
      <c r="R241" s="15"/>
      <c r="S241" s="12"/>
      <c r="T241" s="12"/>
      <c r="U241" s="12"/>
      <c r="V241" s="12"/>
      <c r="W241" s="12"/>
      <c r="X241" s="12"/>
      <c r="Y241" s="12"/>
      <c r="Z241" s="12"/>
    </row>
    <row x14ac:dyDescent="0.25" r="242" customHeight="1" ht="15.75">
      <c r="A242" s="8">
        <f>IFERROR(__xludf.DUMMYFUNCTION("""COMPUTED_VALUE"""),25679.0)</f>
      </c>
      <c r="B242" s="9">
        <f>IFERROR(__xludf.DUMMYFUNCTION("""COMPUTED_VALUE"""),"METROPOLITANA II")</f>
      </c>
      <c r="C242" s="9">
        <f>IFERROR(__xludf.DUMMYFUNCTION("""COMPUTED_VALUE"""),"CE DÔRVAL FERREIRA DA CUNHA")</f>
      </c>
      <c r="D242" s="10">
        <f>IFERROR(__xludf.DUMMYFUNCTION("""COMPUTED_VALUE"""),0.7244)</f>
      </c>
      <c r="E242" s="11">
        <f>IFERROR(__xludf.DUMMYFUNCTION("""COMPUTED_VALUE"""),250.0)</f>
      </c>
      <c r="F242" s="10">
        <f>IFERROR(__xludf.DUMMYFUNCTION("""COMPUTED_VALUE"""),0.5513)</f>
      </c>
      <c r="G242" s="11">
        <f>IFERROR(__xludf.DUMMYFUNCTION("""COMPUTED_VALUE"""),389.05)</f>
      </c>
      <c r="H242" s="10">
        <f>IFERROR(__xludf.DUMMYFUNCTION("""COMPUTED_VALUE"""),0.7308)</f>
      </c>
      <c r="I242" s="11">
        <f>IFERROR(__xludf.DUMMYFUNCTION("""COMPUTED_VALUE"""),467.72)</f>
      </c>
      <c r="J242" s="10">
        <f>IFERROR(__xludf.DUMMYFUNCTION("""COMPUTED_VALUE"""),0.6218)</f>
      </c>
      <c r="K242" s="11">
        <f>IFERROR(__xludf.DUMMYFUNCTION("""COMPUTED_VALUE"""),"----")</f>
      </c>
      <c r="L242" s="10">
        <f>IFERROR(__xludf.DUMMYFUNCTION("""COMPUTED_VALUE"""),0.7308)</f>
      </c>
      <c r="M242" s="11">
        <f>IFERROR(__xludf.DUMMYFUNCTION("""COMPUTED_VALUE"""),492.11)</f>
      </c>
      <c r="N242" s="10">
        <f>IFERROR(__xludf.DUMMYFUNCTION("""COMPUTED_VALUE"""),0.4936)</f>
      </c>
      <c r="O242" s="11">
        <f>IFERROR(__xludf.DUMMYFUNCTION("""COMPUTED_VALUE"""),412.63)</f>
      </c>
      <c r="P242" s="12"/>
      <c r="Q242" s="12"/>
      <c r="R242" s="15"/>
      <c r="S242" s="12"/>
      <c r="T242" s="12"/>
      <c r="U242" s="12"/>
      <c r="V242" s="12"/>
      <c r="W242" s="12"/>
      <c r="X242" s="12"/>
      <c r="Y242" s="12"/>
      <c r="Z242" s="12"/>
    </row>
    <row x14ac:dyDescent="0.25" r="243" customHeight="1" ht="15.75">
      <c r="A243" s="8">
        <f>IFERROR(__xludf.DUMMYFUNCTION("""COMPUTED_VALUE"""),25680.0)</f>
      </c>
      <c r="B243" s="9">
        <f>IFERROR(__xludf.DUMMYFUNCTION("""COMPUTED_VALUE"""),"METROPOLITANA II")</f>
      </c>
      <c r="C243" s="9">
        <f>IFERROR(__xludf.DUMMYFUNCTION("""COMPUTED_VALUE"""),"CE DOUTOR ADINO XAVIER")</f>
      </c>
      <c r="D243" s="10">
        <f>IFERROR(__xludf.DUMMYFUNCTION("""COMPUTED_VALUE"""),0.6532)</f>
      </c>
      <c r="E243" s="11">
        <f>IFERROR(__xludf.DUMMYFUNCTION("""COMPUTED_VALUE"""),"----")</f>
      </c>
      <c r="F243" s="10">
        <f>IFERROR(__xludf.DUMMYFUNCTION("""COMPUTED_VALUE"""),0.7053)</f>
      </c>
      <c r="G243" s="11">
        <f>IFERROR(__xludf.DUMMYFUNCTION("""COMPUTED_VALUE"""),369.69)</f>
      </c>
      <c r="H243" s="10">
        <f>IFERROR(__xludf.DUMMYFUNCTION("""COMPUTED_VALUE"""),0.4663)</f>
      </c>
      <c r="I243" s="11">
        <f>IFERROR(__xludf.DUMMYFUNCTION("""COMPUTED_VALUE"""),377.26)</f>
      </c>
      <c r="J243" s="10">
        <f>IFERROR(__xludf.DUMMYFUNCTION("""COMPUTED_VALUE"""),0.476)</f>
      </c>
      <c r="K243" s="11">
        <f>IFERROR(__xludf.DUMMYFUNCTION("""COMPUTED_VALUE"""),284.81)</f>
      </c>
      <c r="L243" s="10">
        <f>IFERROR(__xludf.DUMMYFUNCTION("""COMPUTED_VALUE"""),0.5183)</f>
      </c>
      <c r="M243" s="11">
        <f>IFERROR(__xludf.DUMMYFUNCTION("""COMPUTED_VALUE"""),393.74)</f>
      </c>
      <c r="N243" s="10">
        <f>IFERROR(__xludf.DUMMYFUNCTION("""COMPUTED_VALUE"""),0.432)</f>
      </c>
      <c r="O243" s="11">
        <f>IFERROR(__xludf.DUMMYFUNCTION("""COMPUTED_VALUE"""),401.77)</f>
      </c>
      <c r="P243" s="12"/>
      <c r="Q243" s="12"/>
      <c r="R243" s="15"/>
      <c r="S243" s="12"/>
      <c r="T243" s="12"/>
      <c r="U243" s="12"/>
      <c r="V243" s="12"/>
      <c r="W243" s="12"/>
      <c r="X243" s="12"/>
      <c r="Y243" s="12"/>
      <c r="Z243" s="12"/>
    </row>
    <row x14ac:dyDescent="0.25" r="244" customHeight="1" ht="15.75">
      <c r="A244" s="8">
        <f>IFERROR(__xludf.DUMMYFUNCTION("""COMPUTED_VALUE"""),25681.0)</f>
      </c>
      <c r="B244" s="9">
        <f>IFERROR(__xludf.DUMMYFUNCTION("""COMPUTED_VALUE"""),"METROPOLITANA II")</f>
      </c>
      <c r="C244" s="9">
        <f>IFERROR(__xludf.DUMMYFUNCTION("""COMPUTED_VALUE"""),"CE DOUTOR ARMANDO SA COUTO")</f>
      </c>
      <c r="D244" s="10">
        <f>IFERROR(__xludf.DUMMYFUNCTION("""COMPUTED_VALUE"""),0.8701)</f>
      </c>
      <c r="E244" s="11">
        <f>IFERROR(__xludf.DUMMYFUNCTION("""COMPUTED_VALUE"""),374.55)</f>
      </c>
      <c r="F244" s="10">
        <f>IFERROR(__xludf.DUMMYFUNCTION("""COMPUTED_VALUE"""),0.7403)</f>
      </c>
      <c r="G244" s="11">
        <f>IFERROR(__xludf.DUMMYFUNCTION("""COMPUTED_VALUE"""),449.29)</f>
      </c>
      <c r="H244" s="10">
        <f>IFERROR(__xludf.DUMMYFUNCTION("""COMPUTED_VALUE"""),0.8442)</f>
      </c>
      <c r="I244" s="11">
        <f>IFERROR(__xludf.DUMMYFUNCTION("""COMPUTED_VALUE"""),472.5)</f>
      </c>
      <c r="J244" s="10">
        <f>IFERROR(__xludf.DUMMYFUNCTION("""COMPUTED_VALUE"""),0.8701)</f>
      </c>
      <c r="K244" s="11">
        <f>IFERROR(__xludf.DUMMYFUNCTION("""COMPUTED_VALUE"""),380.9)</f>
      </c>
      <c r="L244" s="10">
        <f>IFERROR(__xludf.DUMMYFUNCTION("""COMPUTED_VALUE"""),0.8831)</f>
      </c>
      <c r="M244" s="11">
        <f>IFERROR(__xludf.DUMMYFUNCTION("""COMPUTED_VALUE"""),533.53)</f>
      </c>
      <c r="N244" s="10">
        <f>IFERROR(__xludf.DUMMYFUNCTION("""COMPUTED_VALUE"""),0.8571)</f>
      </c>
      <c r="O244" s="11">
        <f>IFERROR(__xludf.DUMMYFUNCTION("""COMPUTED_VALUE"""),529.23)</f>
      </c>
      <c r="P244" s="12"/>
      <c r="Q244" s="12"/>
      <c r="R244" s="15"/>
      <c r="S244" s="12"/>
      <c r="T244" s="12"/>
      <c r="U244" s="12"/>
      <c r="V244" s="12"/>
      <c r="W244" s="12"/>
      <c r="X244" s="12"/>
      <c r="Y244" s="12"/>
      <c r="Z244" s="12"/>
    </row>
    <row x14ac:dyDescent="0.25" r="245" customHeight="1" ht="15.75">
      <c r="A245" s="8">
        <f>IFERROR(__xludf.DUMMYFUNCTION("""COMPUTED_VALUE"""),25682.0)</f>
      </c>
      <c r="B245" s="9">
        <f>IFERROR(__xludf.DUMMYFUNCTION("""COMPUTED_VALUE"""),"METROPOLITANA II")</f>
      </c>
      <c r="C245" s="9">
        <f>IFERROR(__xludf.DUMMYFUNCTION("""COMPUTED_VALUE"""),"CE DOUTOR HUMBERTO SOEIRO DE CARVALHO")</f>
      </c>
      <c r="D245" s="10">
        <f>IFERROR(__xludf.DUMMYFUNCTION("""COMPUTED_VALUE"""),0.5455)</f>
      </c>
      <c r="E245" s="11">
        <f>IFERROR(__xludf.DUMMYFUNCTION("""COMPUTED_VALUE"""),362.35)</f>
      </c>
      <c r="F245" s="10">
        <f>IFERROR(__xludf.DUMMYFUNCTION("""COMPUTED_VALUE"""),0.6477)</f>
      </c>
      <c r="G245" s="11">
        <f>IFERROR(__xludf.DUMMYFUNCTION("""COMPUTED_VALUE"""),421.75)</f>
      </c>
      <c r="H245" s="10">
        <f>IFERROR(__xludf.DUMMYFUNCTION("""COMPUTED_VALUE"""),0.6591)</f>
      </c>
      <c r="I245" s="11">
        <f>IFERROR(__xludf.DUMMYFUNCTION("""COMPUTED_VALUE"""),458.62)</f>
      </c>
      <c r="J245" s="10">
        <f>IFERROR(__xludf.DUMMYFUNCTION("""COMPUTED_VALUE"""),0.6477)</f>
      </c>
      <c r="K245" s="11">
        <f>IFERROR(__xludf.DUMMYFUNCTION("""COMPUTED_VALUE"""),340.71)</f>
      </c>
      <c r="L245" s="10">
        <f>IFERROR(__xludf.DUMMYFUNCTION("""COMPUTED_VALUE"""),0.5568)</f>
      </c>
      <c r="M245" s="11">
        <f>IFERROR(__xludf.DUMMYFUNCTION("""COMPUTED_VALUE"""),428.57)</f>
      </c>
      <c r="N245" s="10">
        <f>IFERROR(__xludf.DUMMYFUNCTION("""COMPUTED_VALUE"""),0.6591)</f>
      </c>
      <c r="O245" s="11">
        <f>IFERROR(__xludf.DUMMYFUNCTION("""COMPUTED_VALUE"""),428.28)</f>
      </c>
      <c r="P245" s="12"/>
      <c r="Q245" s="12"/>
      <c r="R245" s="15"/>
      <c r="S245" s="12"/>
      <c r="T245" s="12"/>
      <c r="U245" s="12"/>
      <c r="V245" s="12"/>
      <c r="W245" s="12"/>
      <c r="X245" s="12"/>
      <c r="Y245" s="12"/>
      <c r="Z245" s="12"/>
    </row>
    <row x14ac:dyDescent="0.25" r="246" customHeight="1" ht="15.75">
      <c r="A246" s="8">
        <f>IFERROR(__xludf.DUMMYFUNCTION("""COMPUTED_VALUE"""),25651.0)</f>
      </c>
      <c r="B246" s="9">
        <f>IFERROR(__xludf.DUMMYFUNCTION("""COMPUTED_VALUE"""),"METROPOLITANA II")</f>
      </c>
      <c r="C246" s="9">
        <f>IFERROR(__xludf.DUMMYFUNCTION("""COMPUTED_VALUE"""),"CE DOUTOR MOACYR MEIRELLES PADILHA")</f>
      </c>
      <c r="D246" s="10">
        <f>IFERROR(__xludf.DUMMYFUNCTION("""COMPUTED_VALUE"""),0.5164)</f>
      </c>
      <c r="E246" s="11">
        <f>IFERROR(__xludf.DUMMYFUNCTION("""COMPUTED_VALUE"""),174.26)</f>
      </c>
      <c r="F246" s="10">
        <f>IFERROR(__xludf.DUMMYFUNCTION("""COMPUTED_VALUE"""),0.4016)</f>
      </c>
      <c r="G246" s="11">
        <f>IFERROR(__xludf.DUMMYFUNCTION("""COMPUTED_VALUE"""),330.53)</f>
      </c>
      <c r="H246" s="10">
        <f>IFERROR(__xludf.DUMMYFUNCTION("""COMPUTED_VALUE"""),0.6189)</f>
      </c>
      <c r="I246" s="11">
        <f>IFERROR(__xludf.DUMMYFUNCTION("""COMPUTED_VALUE"""),427.76)</f>
      </c>
      <c r="J246" s="10">
        <f>IFERROR(__xludf.DUMMYFUNCTION("""COMPUTED_VALUE"""),0.5287)</f>
      </c>
      <c r="K246" s="11">
        <f>IFERROR(__xludf.DUMMYFUNCTION("""COMPUTED_VALUE"""),334.4)</f>
      </c>
      <c r="L246" s="10">
        <f>IFERROR(__xludf.DUMMYFUNCTION("""COMPUTED_VALUE"""),0.5123)</f>
      </c>
      <c r="M246" s="11">
        <f>IFERROR(__xludf.DUMMYFUNCTION("""COMPUTED_VALUE"""),397.38)</f>
      </c>
      <c r="N246" s="10">
        <f>IFERROR(__xludf.DUMMYFUNCTION("""COMPUTED_VALUE"""),0.4672)</f>
      </c>
      <c r="O246" s="11">
        <f>IFERROR(__xludf.DUMMYFUNCTION("""COMPUTED_VALUE"""),409.09)</f>
      </c>
      <c r="P246" s="12"/>
      <c r="Q246" s="12"/>
      <c r="R246" s="15"/>
      <c r="S246" s="12"/>
      <c r="T246" s="12"/>
      <c r="U246" s="12"/>
      <c r="V246" s="12"/>
      <c r="W246" s="12"/>
      <c r="X246" s="12"/>
      <c r="Y246" s="12"/>
      <c r="Z246" s="12"/>
    </row>
    <row x14ac:dyDescent="0.25" r="247" customHeight="1" ht="15.75">
      <c r="A247" s="8">
        <f>IFERROR(__xludf.DUMMYFUNCTION("""COMPUTED_VALUE"""),25683.0)</f>
      </c>
      <c r="B247" s="9">
        <f>IFERROR(__xludf.DUMMYFUNCTION("""COMPUTED_VALUE"""),"METROPOLITANA II")</f>
      </c>
      <c r="C247" s="9">
        <f>IFERROR(__xludf.DUMMYFUNCTION("""COMPUTED_VALUE"""),"CE DOUTOR RODOLPHO SIQUEIRA")</f>
      </c>
      <c r="D247" s="10">
        <f>IFERROR(__xludf.DUMMYFUNCTION("""COMPUTED_VALUE"""),0.9725)</f>
      </c>
      <c r="E247" s="11">
        <f>IFERROR(__xludf.DUMMYFUNCTION("""COMPUTED_VALUE"""),294.46)</f>
      </c>
      <c r="F247" s="10">
        <f>IFERROR(__xludf.DUMMYFUNCTION("""COMPUTED_VALUE"""),0.6978)</f>
      </c>
      <c r="G247" s="11">
        <f>IFERROR(__xludf.DUMMYFUNCTION("""COMPUTED_VALUE"""),424.57)</f>
      </c>
      <c r="H247" s="10">
        <f>IFERROR(__xludf.DUMMYFUNCTION("""COMPUTED_VALUE"""),0.489)</f>
      </c>
      <c r="I247" s="11">
        <f>IFERROR(__xludf.DUMMYFUNCTION("""COMPUTED_VALUE"""),453.03)</f>
      </c>
      <c r="J247" s="10">
        <f>IFERROR(__xludf.DUMMYFUNCTION("""COMPUTED_VALUE"""),0.7033)</f>
      </c>
      <c r="K247" s="11">
        <f>IFERROR(__xludf.DUMMYFUNCTION("""COMPUTED_VALUE"""),400.0)</f>
      </c>
      <c r="L247" s="10">
        <f>IFERROR(__xludf.DUMMYFUNCTION("""COMPUTED_VALUE"""),0.7088)</f>
      </c>
      <c r="M247" s="11">
        <f>IFERROR(__xludf.DUMMYFUNCTION("""COMPUTED_VALUE"""),416.69)</f>
      </c>
      <c r="N247" s="10">
        <f>IFERROR(__xludf.DUMMYFUNCTION("""COMPUTED_VALUE"""),0.7088)</f>
      </c>
      <c r="O247" s="11">
        <f>IFERROR(__xludf.DUMMYFUNCTION("""COMPUTED_VALUE"""),405.04)</f>
      </c>
      <c r="P247" s="12"/>
      <c r="Q247" s="12"/>
      <c r="R247" s="15"/>
      <c r="S247" s="12"/>
      <c r="T247" s="12"/>
      <c r="U247" s="12"/>
      <c r="V247" s="12"/>
      <c r="W247" s="12"/>
      <c r="X247" s="12"/>
      <c r="Y247" s="12"/>
      <c r="Z247" s="12"/>
    </row>
    <row x14ac:dyDescent="0.25" r="248" customHeight="1" ht="15.75">
      <c r="A248" s="8">
        <f>IFERROR(__xludf.DUMMYFUNCTION("""COMPUTED_VALUE"""),25684.0)</f>
      </c>
      <c r="B248" s="9">
        <f>IFERROR(__xludf.DUMMYFUNCTION("""COMPUTED_VALUE"""),"METROPOLITANA II")</f>
      </c>
      <c r="C248" s="9">
        <f>IFERROR(__xludf.DUMMYFUNCTION("""COMPUTED_VALUE"""),"CE ELIZA MARIA DUTRA")</f>
      </c>
      <c r="D248" s="10">
        <f>IFERROR(__xludf.DUMMYFUNCTION("""COMPUTED_VALUE"""),0.7424)</f>
      </c>
      <c r="E248" s="11">
        <f>IFERROR(__xludf.DUMMYFUNCTION("""COMPUTED_VALUE"""),186.54)</f>
      </c>
      <c r="F248" s="10">
        <f>IFERROR(__xludf.DUMMYFUNCTION("""COMPUTED_VALUE"""),0.6515)</f>
      </c>
      <c r="G248" s="11">
        <f>IFERROR(__xludf.DUMMYFUNCTION("""COMPUTED_VALUE"""),334.79)</f>
      </c>
      <c r="H248" s="10">
        <f>IFERROR(__xludf.DUMMYFUNCTION("""COMPUTED_VALUE"""),0.4749)</f>
      </c>
      <c r="I248" s="11">
        <f>IFERROR(__xludf.DUMMYFUNCTION("""COMPUTED_VALUE"""),374.61)</f>
      </c>
      <c r="J248" s="10">
        <f>IFERROR(__xludf.DUMMYFUNCTION("""COMPUTED_VALUE"""),0.698)</f>
      </c>
      <c r="K248" s="11">
        <f>IFERROR(__xludf.DUMMYFUNCTION("""COMPUTED_VALUE"""),326.09)</f>
      </c>
      <c r="L248" s="10">
        <f>IFERROR(__xludf.DUMMYFUNCTION("""COMPUTED_VALUE"""),0.5307)</f>
      </c>
      <c r="M248" s="11">
        <f>IFERROR(__xludf.DUMMYFUNCTION("""COMPUTED_VALUE"""),400.86)</f>
      </c>
      <c r="N248" s="10">
        <f>IFERROR(__xludf.DUMMYFUNCTION("""COMPUTED_VALUE"""),0.5754)</f>
      </c>
      <c r="O248" s="11">
        <f>IFERROR(__xludf.DUMMYFUNCTION("""COMPUTED_VALUE"""),364.24)</f>
      </c>
      <c r="P248" s="12"/>
      <c r="Q248" s="12"/>
      <c r="R248" s="15"/>
      <c r="S248" s="12"/>
      <c r="T248" s="12"/>
      <c r="U248" s="12"/>
      <c r="V248" s="12"/>
      <c r="W248" s="12"/>
      <c r="X248" s="12"/>
      <c r="Y248" s="12"/>
      <c r="Z248" s="12"/>
    </row>
    <row x14ac:dyDescent="0.25" r="249" customHeight="1" ht="15.75">
      <c r="A249" s="8">
        <f>IFERROR(__xludf.DUMMYFUNCTION("""COMPUTED_VALUE"""),25652.0)</f>
      </c>
      <c r="B249" s="9">
        <f>IFERROR(__xludf.DUMMYFUNCTION("""COMPUTED_VALUE"""),"METROPOLITANA II")</f>
      </c>
      <c r="C249" s="9">
        <f>IFERROR(__xludf.DUMMYFUNCTION("""COMPUTED_VALUE"""),"CE FRANCESCA CAREY")</f>
      </c>
      <c r="D249" s="10">
        <f>IFERROR(__xludf.DUMMYFUNCTION("""COMPUTED_VALUE"""),0.8889)</f>
      </c>
      <c r="E249" s="11">
        <f>IFERROR(__xludf.DUMMYFUNCTION("""COMPUTED_VALUE"""),196.25)</f>
      </c>
      <c r="F249" s="10">
        <f>IFERROR(__xludf.DUMMYFUNCTION("""COMPUTED_VALUE"""),0.6806)</f>
      </c>
      <c r="G249" s="11">
        <f>IFERROR(__xludf.DUMMYFUNCTION("""COMPUTED_VALUE"""),312.87)</f>
      </c>
      <c r="H249" s="10">
        <f>IFERROR(__xludf.DUMMYFUNCTION("""COMPUTED_VALUE"""),0.4884)</f>
      </c>
      <c r="I249" s="11">
        <f>IFERROR(__xludf.DUMMYFUNCTION("""COMPUTED_VALUE"""),384.84)</f>
      </c>
      <c r="J249" s="10">
        <f>IFERROR(__xludf.DUMMYFUNCTION("""COMPUTED_VALUE"""),0.5802)</f>
      </c>
      <c r="K249" s="11">
        <f>IFERROR(__xludf.DUMMYFUNCTION("""COMPUTED_VALUE"""),278.92)</f>
      </c>
      <c r="L249" s="10">
        <f>IFERROR(__xludf.DUMMYFUNCTION("""COMPUTED_VALUE"""),0.6279)</f>
      </c>
      <c r="M249" s="11">
        <f>IFERROR(__xludf.DUMMYFUNCTION("""COMPUTED_VALUE"""),317.77)</f>
      </c>
      <c r="N249" s="10">
        <f>IFERROR(__xludf.DUMMYFUNCTION("""COMPUTED_VALUE"""),0.5349)</f>
      </c>
      <c r="O249" s="11">
        <f>IFERROR(__xludf.DUMMYFUNCTION("""COMPUTED_VALUE"""),343.72)</f>
      </c>
      <c r="P249" s="12"/>
      <c r="Q249" s="12"/>
      <c r="R249" s="15"/>
      <c r="S249" s="12"/>
      <c r="T249" s="12"/>
      <c r="U249" s="12"/>
      <c r="V249" s="12"/>
      <c r="W249" s="12"/>
      <c r="X249" s="12"/>
      <c r="Y249" s="12"/>
      <c r="Z249" s="12"/>
    </row>
    <row x14ac:dyDescent="0.25" r="250" customHeight="1" ht="15.75">
      <c r="A250" s="8">
        <f>IFERROR(__xludf.DUMMYFUNCTION("""COMPUTED_VALUE"""),25685.0)</f>
      </c>
      <c r="B250" s="9">
        <f>IFERROR(__xludf.DUMMYFUNCTION("""COMPUTED_VALUE"""),"METROPOLITANA II")</f>
      </c>
      <c r="C250" s="9">
        <f>IFERROR(__xludf.DUMMYFUNCTION("""COMPUTED_VALUE"""),"CE FREDERICO AZEVEDO")</f>
      </c>
      <c r="D250" s="10">
        <f>IFERROR(__xludf.DUMMYFUNCTION("""COMPUTED_VALUE"""),0.7079)</f>
      </c>
      <c r="E250" s="11">
        <f>IFERROR(__xludf.DUMMYFUNCTION("""COMPUTED_VALUE"""),211.64)</f>
      </c>
      <c r="F250" s="10">
        <f>IFERROR(__xludf.DUMMYFUNCTION("""COMPUTED_VALUE"""),0.5094)</f>
      </c>
      <c r="G250" s="11">
        <f>IFERROR(__xludf.DUMMYFUNCTION("""COMPUTED_VALUE"""),336.11)</f>
      </c>
      <c r="H250" s="10">
        <f>IFERROR(__xludf.DUMMYFUNCTION("""COMPUTED_VALUE"""),0.4729)</f>
      </c>
      <c r="I250" s="11">
        <f>IFERROR(__xludf.DUMMYFUNCTION("""COMPUTED_VALUE"""),421.91)</f>
      </c>
      <c r="J250" s="10">
        <f>IFERROR(__xludf.DUMMYFUNCTION("""COMPUTED_VALUE"""),0.6214)</f>
      </c>
      <c r="K250" s="11">
        <f>IFERROR(__xludf.DUMMYFUNCTION("""COMPUTED_VALUE"""),274.57)</f>
      </c>
      <c r="L250" s="10">
        <f>IFERROR(__xludf.DUMMYFUNCTION("""COMPUTED_VALUE"""),0.4096)</f>
      </c>
      <c r="M250" s="11">
        <f>IFERROR(__xludf.DUMMYFUNCTION("""COMPUTED_VALUE"""),363.53)</f>
      </c>
      <c r="N250" s="10">
        <f>IFERROR(__xludf.DUMMYFUNCTION("""COMPUTED_VALUE"""),0.488)</f>
      </c>
      <c r="O250" s="11">
        <f>IFERROR(__xludf.DUMMYFUNCTION("""COMPUTED_VALUE"""),375.76)</f>
      </c>
      <c r="P250" s="12"/>
      <c r="Q250" s="12"/>
      <c r="R250" s="15"/>
      <c r="S250" s="12"/>
      <c r="T250" s="12"/>
      <c r="U250" s="12"/>
      <c r="V250" s="12"/>
      <c r="W250" s="12"/>
      <c r="X250" s="12"/>
      <c r="Y250" s="12"/>
      <c r="Z250" s="12"/>
    </row>
    <row x14ac:dyDescent="0.25" r="251" customHeight="1" ht="15.75">
      <c r="A251" s="8">
        <f>IFERROR(__xludf.DUMMYFUNCTION("""COMPUTED_VALUE"""),25686.0)</f>
      </c>
      <c r="B251" s="9">
        <f>IFERROR(__xludf.DUMMYFUNCTION("""COMPUTED_VALUE"""),"METROPOLITANA II")</f>
      </c>
      <c r="C251" s="9">
        <f>IFERROR(__xludf.DUMMYFUNCTION("""COMPUTED_VALUE"""),"CE ISMAEL BRANCO")</f>
      </c>
      <c r="D251" s="10">
        <f>IFERROR(__xludf.DUMMYFUNCTION("""COMPUTED_VALUE"""),0.675)</f>
      </c>
      <c r="E251" s="11">
        <f>IFERROR(__xludf.DUMMYFUNCTION("""COMPUTED_VALUE"""),145.53)</f>
      </c>
      <c r="F251" s="10">
        <f>IFERROR(__xludf.DUMMYFUNCTION("""COMPUTED_VALUE"""),0.5375)</f>
      </c>
      <c r="G251" s="11">
        <f>IFERROR(__xludf.DUMMYFUNCTION("""COMPUTED_VALUE"""),316.77)</f>
      </c>
      <c r="H251" s="10">
        <f>IFERROR(__xludf.DUMMYFUNCTION("""COMPUTED_VALUE"""),0.4597)</f>
      </c>
      <c r="I251" s="11">
        <f>IFERROR(__xludf.DUMMYFUNCTION("""COMPUTED_VALUE"""),364.6)</f>
      </c>
      <c r="J251" s="10">
        <f>IFERROR(__xludf.DUMMYFUNCTION("""COMPUTED_VALUE"""),0.5213)</f>
      </c>
      <c r="K251" s="11">
        <f>IFERROR(__xludf.DUMMYFUNCTION("""COMPUTED_VALUE"""),343.85)</f>
      </c>
      <c r="L251" s="10">
        <f>IFERROR(__xludf.DUMMYFUNCTION("""COMPUTED_VALUE"""),0.4597)</f>
      </c>
      <c r="M251" s="11">
        <f>IFERROR(__xludf.DUMMYFUNCTION("""COMPUTED_VALUE"""),351.73)</f>
      </c>
      <c r="N251" s="10">
        <f>IFERROR(__xludf.DUMMYFUNCTION("""COMPUTED_VALUE"""),0.3886)</f>
      </c>
      <c r="O251" s="11">
        <f>IFERROR(__xludf.DUMMYFUNCTION("""COMPUTED_VALUE"""),380.49)</f>
      </c>
      <c r="P251" s="12"/>
      <c r="Q251" s="12"/>
      <c r="R251" s="15"/>
      <c r="S251" s="12"/>
      <c r="T251" s="12"/>
      <c r="U251" s="12"/>
      <c r="V251" s="12"/>
      <c r="W251" s="12"/>
      <c r="X251" s="12"/>
      <c r="Y251" s="12"/>
      <c r="Z251" s="12"/>
    </row>
    <row x14ac:dyDescent="0.25" r="252" customHeight="1" ht="15.75">
      <c r="A252" s="8">
        <f>IFERROR(__xludf.DUMMYFUNCTION("""COMPUTED_VALUE"""),25653.0)</f>
      </c>
      <c r="B252" s="9">
        <f>IFERROR(__xludf.DUMMYFUNCTION("""COMPUTED_VALUE"""),"METROPOLITANA II")</f>
      </c>
      <c r="C252" s="9">
        <f>IFERROR(__xludf.DUMMYFUNCTION("""COMPUTED_VALUE"""),"CE JOVINA AMARAL DE OLIVEIRA")</f>
      </c>
      <c r="D252" s="10">
        <f>IFERROR(__xludf.DUMMYFUNCTION("""COMPUTED_VALUE"""),1.0)</f>
      </c>
      <c r="E252" s="11">
        <f>IFERROR(__xludf.DUMMYFUNCTION("""COMPUTED_VALUE"""),233.85)</f>
      </c>
      <c r="F252" s="10">
        <f>IFERROR(__xludf.DUMMYFUNCTION("""COMPUTED_VALUE"""),0.8077)</f>
      </c>
      <c r="G252" s="11">
        <f>IFERROR(__xludf.DUMMYFUNCTION("""COMPUTED_VALUE"""),380.95)</f>
      </c>
      <c r="H252" s="10">
        <f>IFERROR(__xludf.DUMMYFUNCTION("""COMPUTED_VALUE"""),0.9231)</f>
      </c>
      <c r="I252" s="11">
        <f>IFERROR(__xludf.DUMMYFUNCTION("""COMPUTED_VALUE"""),465.0)</f>
      </c>
      <c r="J252" s="10">
        <f>IFERROR(__xludf.DUMMYFUNCTION("""COMPUTED_VALUE"""),0.9231)</f>
      </c>
      <c r="K252" s="11">
        <f>IFERROR(__xludf.DUMMYFUNCTION("""COMPUTED_VALUE"""),436.52)</f>
      </c>
      <c r="L252" s="10">
        <f>IFERROR(__xludf.DUMMYFUNCTION("""COMPUTED_VALUE"""),0.9615)</f>
      </c>
      <c r="M252" s="11">
        <f>IFERROR(__xludf.DUMMYFUNCTION("""COMPUTED_VALUE"""),489.6)</f>
      </c>
      <c r="N252" s="10">
        <f>IFERROR(__xludf.DUMMYFUNCTION("""COMPUTED_VALUE"""),0.8846)</f>
      </c>
      <c r="O252" s="11">
        <f>IFERROR(__xludf.DUMMYFUNCTION("""COMPUTED_VALUE"""),502.61)</f>
      </c>
      <c r="P252" s="12"/>
      <c r="Q252" s="12"/>
      <c r="R252" s="15"/>
      <c r="S252" s="12"/>
      <c r="T252" s="12"/>
      <c r="U252" s="12"/>
      <c r="V252" s="12"/>
      <c r="W252" s="12"/>
      <c r="X252" s="12"/>
      <c r="Y252" s="12"/>
      <c r="Z252" s="12"/>
    </row>
    <row x14ac:dyDescent="0.25" r="253" customHeight="1" ht="15.75">
      <c r="A253" s="8">
        <f>IFERROR(__xludf.DUMMYFUNCTION("""COMPUTED_VALUE"""),25687.0)</f>
      </c>
      <c r="B253" s="9">
        <f>IFERROR(__xludf.DUMMYFUNCTION("""COMPUTED_VALUE"""),"METROPOLITANA II")</f>
      </c>
      <c r="C253" s="9">
        <f>IFERROR(__xludf.DUMMYFUNCTION("""COMPUTED_VALUE"""),"CE LAURO CORREA")</f>
      </c>
      <c r="D253" s="10">
        <f>IFERROR(__xludf.DUMMYFUNCTION("""COMPUTED_VALUE"""),0.7278)</f>
      </c>
      <c r="E253" s="11">
        <f>IFERROR(__xludf.DUMMYFUNCTION("""COMPUTED_VALUE"""),213.85)</f>
      </c>
      <c r="F253" s="10">
        <f>IFERROR(__xludf.DUMMYFUNCTION("""COMPUTED_VALUE"""),0.6391)</f>
      </c>
      <c r="G253" s="11">
        <f>IFERROR(__xludf.DUMMYFUNCTION("""COMPUTED_VALUE"""),418.73)</f>
      </c>
      <c r="H253" s="10">
        <f>IFERROR(__xludf.DUMMYFUNCTION("""COMPUTED_VALUE"""),0.4742)</f>
      </c>
      <c r="I253" s="11">
        <f>IFERROR(__xludf.DUMMYFUNCTION("""COMPUTED_VALUE"""),425.66)</f>
      </c>
      <c r="J253" s="10">
        <f>IFERROR(__xludf.DUMMYFUNCTION("""COMPUTED_VALUE"""),0.5618)</f>
      </c>
      <c r="K253" s="11">
        <f>IFERROR(__xludf.DUMMYFUNCTION("""COMPUTED_VALUE"""),378.84)</f>
      </c>
      <c r="L253" s="10">
        <f>IFERROR(__xludf.DUMMYFUNCTION("""COMPUTED_VALUE"""),0.6546)</f>
      </c>
      <c r="M253" s="11">
        <f>IFERROR(__xludf.DUMMYFUNCTION("""COMPUTED_VALUE"""),443.24)</f>
      </c>
      <c r="N253" s="10">
        <f>IFERROR(__xludf.DUMMYFUNCTION("""COMPUTED_VALUE"""),0.634)</f>
      </c>
      <c r="O253" s="11">
        <f>IFERROR(__xludf.DUMMYFUNCTION("""COMPUTED_VALUE"""),412.51)</f>
      </c>
      <c r="P253" s="12"/>
      <c r="Q253" s="12"/>
      <c r="R253" s="15"/>
      <c r="S253" s="12"/>
      <c r="T253" s="12"/>
      <c r="U253" s="12"/>
      <c r="V253" s="12"/>
      <c r="W253" s="12"/>
      <c r="X253" s="12"/>
      <c r="Y253" s="12"/>
      <c r="Z253" s="12"/>
    </row>
    <row x14ac:dyDescent="0.25" r="254" customHeight="1" ht="15.75">
      <c r="A254" s="8">
        <f>IFERROR(__xludf.DUMMYFUNCTION("""COMPUTED_VALUE"""),25688.0)</f>
      </c>
      <c r="B254" s="9">
        <f>IFERROR(__xludf.DUMMYFUNCTION("""COMPUTED_VALUE"""),"METROPOLITANA II")</f>
      </c>
      <c r="C254" s="9">
        <f>IFERROR(__xludf.DUMMYFUNCTION("""COMPUTED_VALUE"""),"CE MARIO TAMBORINDEGUY")</f>
      </c>
      <c r="D254" s="10">
        <f>IFERROR(__xludf.DUMMYFUNCTION("""COMPUTED_VALUE"""),0.4318)</f>
      </c>
      <c r="E254" s="11">
        <f>IFERROR(__xludf.DUMMYFUNCTION("""COMPUTED_VALUE"""),"----")</f>
      </c>
      <c r="F254" s="10">
        <f>IFERROR(__xludf.DUMMYFUNCTION("""COMPUTED_VALUE"""),0.5227)</f>
      </c>
      <c r="G254" s="11">
        <f>IFERROR(__xludf.DUMMYFUNCTION("""COMPUTED_VALUE"""),368.17)</f>
      </c>
      <c r="H254" s="10">
        <f>IFERROR(__xludf.DUMMYFUNCTION("""COMPUTED_VALUE"""),0.4017)</f>
      </c>
      <c r="I254" s="11">
        <f>IFERROR(__xludf.DUMMYFUNCTION("""COMPUTED_VALUE"""),388.31)</f>
      </c>
      <c r="J254" s="10">
        <f>IFERROR(__xludf.DUMMYFUNCTION("""COMPUTED_VALUE"""),0.6271)</f>
      </c>
      <c r="K254" s="11">
        <f>IFERROR(__xludf.DUMMYFUNCTION("""COMPUTED_VALUE"""),305.45)</f>
      </c>
      <c r="L254" s="10">
        <f>IFERROR(__xludf.DUMMYFUNCTION("""COMPUTED_VALUE"""),0.4103)</f>
      </c>
      <c r="M254" s="11">
        <f>IFERROR(__xludf.DUMMYFUNCTION("""COMPUTED_VALUE"""),365.11)</f>
      </c>
      <c r="N254" s="10">
        <f>IFERROR(__xludf.DUMMYFUNCTION("""COMPUTED_VALUE"""),0.3333)</f>
      </c>
      <c r="O254" s="11">
        <f>IFERROR(__xludf.DUMMYFUNCTION("""COMPUTED_VALUE"""),344.61)</f>
      </c>
      <c r="P254" s="12"/>
      <c r="Q254" s="12"/>
      <c r="R254" s="15"/>
      <c r="S254" s="12"/>
      <c r="T254" s="12"/>
      <c r="U254" s="12"/>
      <c r="V254" s="12"/>
      <c r="W254" s="12"/>
      <c r="X254" s="12"/>
      <c r="Y254" s="12"/>
      <c r="Z254" s="12"/>
    </row>
    <row x14ac:dyDescent="0.25" r="255" customHeight="1" ht="15.75">
      <c r="A255" s="8">
        <f>IFERROR(__xludf.DUMMYFUNCTION("""COMPUTED_VALUE"""),25689.0)</f>
      </c>
      <c r="B255" s="9">
        <f>IFERROR(__xludf.DUMMYFUNCTION("""COMPUTED_VALUE"""),"METROPOLITANA II")</f>
      </c>
      <c r="C255" s="9">
        <f>IFERROR(__xludf.DUMMYFUNCTION("""COMPUTED_VALUE"""),"CE MAUA")</f>
      </c>
      <c r="D255" s="10">
        <f>IFERROR(__xludf.DUMMYFUNCTION("""COMPUTED_VALUE"""),0.9862)</f>
      </c>
      <c r="E255" s="11">
        <f>IFERROR(__xludf.DUMMYFUNCTION("""COMPUTED_VALUE"""),315.8)</f>
      </c>
      <c r="F255" s="10">
        <f>IFERROR(__xludf.DUMMYFUNCTION("""COMPUTED_VALUE"""),0.731)</f>
      </c>
      <c r="G255" s="11">
        <f>IFERROR(__xludf.DUMMYFUNCTION("""COMPUTED_VALUE"""),425.28)</f>
      </c>
      <c r="H255" s="10">
        <f>IFERROR(__xludf.DUMMYFUNCTION("""COMPUTED_VALUE"""),0.6966)</f>
      </c>
      <c r="I255" s="11">
        <f>IFERROR(__xludf.DUMMYFUNCTION("""COMPUTED_VALUE"""),469.7)</f>
      </c>
      <c r="J255" s="10">
        <f>IFERROR(__xludf.DUMMYFUNCTION("""COMPUTED_VALUE"""),0.7517)</f>
      </c>
      <c r="K255" s="11">
        <f>IFERROR(__xludf.DUMMYFUNCTION("""COMPUTED_VALUE"""),422.32)</f>
      </c>
      <c r="L255" s="10">
        <f>IFERROR(__xludf.DUMMYFUNCTION("""COMPUTED_VALUE"""),0.7862)</f>
      </c>
      <c r="M255" s="11">
        <f>IFERROR(__xludf.DUMMYFUNCTION("""COMPUTED_VALUE"""),494.87)</f>
      </c>
      <c r="N255" s="10">
        <f>IFERROR(__xludf.DUMMYFUNCTION("""COMPUTED_VALUE"""),0.6828)</f>
      </c>
      <c r="O255" s="11">
        <f>IFERROR(__xludf.DUMMYFUNCTION("""COMPUTED_VALUE"""),477.17)</f>
      </c>
      <c r="P255" s="12"/>
      <c r="Q255" s="12"/>
      <c r="R255" s="15"/>
      <c r="S255" s="12"/>
      <c r="T255" s="12"/>
      <c r="U255" s="12"/>
      <c r="V255" s="12"/>
      <c r="W255" s="12"/>
      <c r="X255" s="12"/>
      <c r="Y255" s="12"/>
      <c r="Z255" s="12"/>
    </row>
    <row x14ac:dyDescent="0.25" r="256" customHeight="1" ht="15.75">
      <c r="A256" s="8">
        <f>IFERROR(__xludf.DUMMYFUNCTION("""COMPUTED_VALUE"""),25690.0)</f>
      </c>
      <c r="B256" s="9">
        <f>IFERROR(__xludf.DUMMYFUNCTION("""COMPUTED_VALUE"""),"METROPOLITANA II")</f>
      </c>
      <c r="C256" s="9">
        <f>IFERROR(__xludf.DUMMYFUNCTION("""COMPUTED_VALUE"""),"CE MELCHIADES PICANÇO")</f>
      </c>
      <c r="D256" s="10">
        <f>IFERROR(__xludf.DUMMYFUNCTION("""COMPUTED_VALUE"""),0.9452)</f>
      </c>
      <c r="E256" s="11">
        <f>IFERROR(__xludf.DUMMYFUNCTION("""COMPUTED_VALUE"""),165.5)</f>
      </c>
      <c r="F256" s="10">
        <f>IFERROR(__xludf.DUMMYFUNCTION("""COMPUTED_VALUE"""),0.9863)</f>
      </c>
      <c r="G256" s="11">
        <f>IFERROR(__xludf.DUMMYFUNCTION("""COMPUTED_VALUE"""),216.24)</f>
      </c>
      <c r="H256" s="10">
        <f>IFERROR(__xludf.DUMMYFUNCTION("""COMPUTED_VALUE"""),0.4686)</f>
      </c>
      <c r="I256" s="11">
        <f>IFERROR(__xludf.DUMMYFUNCTION("""COMPUTED_VALUE"""),337.88)</f>
      </c>
      <c r="J256" s="10">
        <f>IFERROR(__xludf.DUMMYFUNCTION("""COMPUTED_VALUE"""),0.6037)</f>
      </c>
      <c r="K256" s="11">
        <f>IFERROR(__xludf.DUMMYFUNCTION("""COMPUTED_VALUE"""),234.53)</f>
      </c>
      <c r="L256" s="10">
        <f>IFERROR(__xludf.DUMMYFUNCTION("""COMPUTED_VALUE"""),0.4286)</f>
      </c>
      <c r="M256" s="11">
        <f>IFERROR(__xludf.DUMMYFUNCTION("""COMPUTED_VALUE"""),"----")</f>
      </c>
      <c r="N256" s="10">
        <f>IFERROR(__xludf.DUMMYFUNCTION("""COMPUTED_VALUE"""),0.52)</f>
      </c>
      <c r="O256" s="11">
        <f>IFERROR(__xludf.DUMMYFUNCTION("""COMPUTED_VALUE"""),300.83)</f>
      </c>
      <c r="P256" s="12"/>
      <c r="Q256" s="12"/>
      <c r="R256" s="15"/>
      <c r="S256" s="12"/>
      <c r="T256" s="12"/>
      <c r="U256" s="12"/>
      <c r="V256" s="12"/>
      <c r="W256" s="12"/>
      <c r="X256" s="12"/>
      <c r="Y256" s="12"/>
      <c r="Z256" s="12"/>
    </row>
    <row x14ac:dyDescent="0.25" r="257" customHeight="1" ht="15.75">
      <c r="A257" s="8">
        <f>IFERROR(__xludf.DUMMYFUNCTION("""COMPUTED_VALUE"""),25691.0)</f>
      </c>
      <c r="B257" s="9">
        <f>IFERROR(__xludf.DUMMYFUNCTION("""COMPUTED_VALUE"""),"METROPOLITANA II")</f>
      </c>
      <c r="C257" s="9">
        <f>IFERROR(__xludf.DUMMYFUNCTION("""COMPUTED_VALUE"""),"CE MINISTRO JOSE DE MOURA E SILVA")</f>
      </c>
      <c r="D257" s="10">
        <f>IFERROR(__xludf.DUMMYFUNCTION("""COMPUTED_VALUE"""),0.8073)</f>
      </c>
      <c r="E257" s="11">
        <f>IFERROR(__xludf.DUMMYFUNCTION("""COMPUTED_VALUE"""),330.91)</f>
      </c>
      <c r="F257" s="10">
        <f>IFERROR(__xludf.DUMMYFUNCTION("""COMPUTED_VALUE"""),0.6972)</f>
      </c>
      <c r="G257" s="11">
        <f>IFERROR(__xludf.DUMMYFUNCTION("""COMPUTED_VALUE"""),541.69)</f>
      </c>
      <c r="H257" s="10">
        <f>IFERROR(__xludf.DUMMYFUNCTION("""COMPUTED_VALUE"""),0.4407)</f>
      </c>
      <c r="I257" s="11">
        <f>IFERROR(__xludf.DUMMYFUNCTION("""COMPUTED_VALUE"""),511.79)</f>
      </c>
      <c r="J257" s="10">
        <f>IFERROR(__xludf.DUMMYFUNCTION("""COMPUTED_VALUE"""),0.6491)</f>
      </c>
      <c r="K257" s="11">
        <f>IFERROR(__xludf.DUMMYFUNCTION("""COMPUTED_VALUE"""),536.04)</f>
      </c>
      <c r="L257" s="10">
        <f>IFERROR(__xludf.DUMMYFUNCTION("""COMPUTED_VALUE"""),0.3446)</f>
      </c>
      <c r="M257" s="11">
        <f>IFERROR(__xludf.DUMMYFUNCTION("""COMPUTED_VALUE"""),"----")</f>
      </c>
      <c r="N257" s="10">
        <f>IFERROR(__xludf.DUMMYFUNCTION("""COMPUTED_VALUE"""),0.322)</f>
      </c>
      <c r="O257" s="11">
        <f>IFERROR(__xludf.DUMMYFUNCTION("""COMPUTED_VALUE"""),"----")</f>
      </c>
      <c r="P257" s="12"/>
      <c r="Q257" s="12"/>
      <c r="R257" s="15"/>
      <c r="S257" s="12"/>
      <c r="T257" s="12"/>
      <c r="U257" s="12"/>
      <c r="V257" s="12"/>
      <c r="W257" s="12"/>
      <c r="X257" s="12"/>
      <c r="Y257" s="12"/>
      <c r="Z257" s="12"/>
    </row>
    <row x14ac:dyDescent="0.25" r="258" customHeight="1" ht="15.75">
      <c r="A258" s="8">
        <f>IFERROR(__xludf.DUMMYFUNCTION("""COMPUTED_VALUE"""),25692.0)</f>
      </c>
      <c r="B258" s="9">
        <f>IFERROR(__xludf.DUMMYFUNCTION("""COMPUTED_VALUE"""),"METROPOLITANA II")</f>
      </c>
      <c r="C258" s="9">
        <f>IFERROR(__xludf.DUMMYFUNCTION("""COMPUTED_VALUE"""),"CE MONSENHOR BARENCO COELHO")</f>
      </c>
      <c r="D258" s="10">
        <f>IFERROR(__xludf.DUMMYFUNCTION("""COMPUTED_VALUE"""),0.6538)</f>
      </c>
      <c r="E258" s="11">
        <f>IFERROR(__xludf.DUMMYFUNCTION("""COMPUTED_VALUE"""),169.52)</f>
      </c>
      <c r="F258" s="10">
        <f>IFERROR(__xludf.DUMMYFUNCTION("""COMPUTED_VALUE"""),0.4519)</f>
      </c>
      <c r="G258" s="11">
        <f>IFERROR(__xludf.DUMMYFUNCTION("""COMPUTED_VALUE"""),"----")</f>
      </c>
      <c r="H258" s="10">
        <f>IFERROR(__xludf.DUMMYFUNCTION("""COMPUTED_VALUE"""),0.4431)</f>
      </c>
      <c r="I258" s="11">
        <f>IFERROR(__xludf.DUMMYFUNCTION("""COMPUTED_VALUE"""),324.33)</f>
      </c>
      <c r="J258" s="10">
        <f>IFERROR(__xludf.DUMMYFUNCTION("""COMPUTED_VALUE"""),0.6338)</f>
      </c>
      <c r="K258" s="11">
        <f>IFERROR(__xludf.DUMMYFUNCTION("""COMPUTED_VALUE"""),233.64)</f>
      </c>
      <c r="L258" s="10">
        <f>IFERROR(__xludf.DUMMYFUNCTION("""COMPUTED_VALUE"""),0.4824)</f>
      </c>
      <c r="M258" s="11">
        <f>IFERROR(__xludf.DUMMYFUNCTION("""COMPUTED_VALUE"""),418.54)</f>
      </c>
      <c r="N258" s="10">
        <f>IFERROR(__xludf.DUMMYFUNCTION("""COMPUTED_VALUE"""),0.5373)</f>
      </c>
      <c r="O258" s="11">
        <f>IFERROR(__xludf.DUMMYFUNCTION("""COMPUTED_VALUE"""),415.56)</f>
      </c>
      <c r="P258" s="12"/>
      <c r="Q258" s="12"/>
      <c r="R258" s="15"/>
      <c r="S258" s="12"/>
      <c r="T258" s="12"/>
      <c r="U258" s="12"/>
      <c r="V258" s="12"/>
      <c r="W258" s="12"/>
      <c r="X258" s="12"/>
      <c r="Y258" s="12"/>
      <c r="Z258" s="12"/>
    </row>
    <row x14ac:dyDescent="0.25" r="259" customHeight="1" ht="15.75">
      <c r="A259" s="8">
        <f>IFERROR(__xludf.DUMMYFUNCTION("""COMPUTED_VALUE"""),25693.0)</f>
      </c>
      <c r="B259" s="9">
        <f>IFERROR(__xludf.DUMMYFUNCTION("""COMPUTED_VALUE"""),"METROPOLITANA II")</f>
      </c>
      <c r="C259" s="9">
        <f>IFERROR(__xludf.DUMMYFUNCTION("""COMPUTED_VALUE"""),"CE NILO PEÇANHA")</f>
      </c>
      <c r="D259" s="10">
        <f>IFERROR(__xludf.DUMMYFUNCTION("""COMPUTED_VALUE"""),0.7993)</f>
      </c>
      <c r="E259" s="11">
        <f>IFERROR(__xludf.DUMMYFUNCTION("""COMPUTED_VALUE"""),324.15)</f>
      </c>
      <c r="F259" s="10">
        <f>IFERROR(__xludf.DUMMYFUNCTION("""COMPUTED_VALUE"""),0.7125)</f>
      </c>
      <c r="G259" s="11">
        <f>IFERROR(__xludf.DUMMYFUNCTION("""COMPUTED_VALUE"""),370.67)</f>
      </c>
      <c r="H259" s="10">
        <f>IFERROR(__xludf.DUMMYFUNCTION("""COMPUTED_VALUE"""),0.7505)</f>
      </c>
      <c r="I259" s="11">
        <f>IFERROR(__xludf.DUMMYFUNCTION("""COMPUTED_VALUE"""),427.92)</f>
      </c>
      <c r="J259" s="10">
        <f>IFERROR(__xludf.DUMMYFUNCTION("""COMPUTED_VALUE"""),0.6221)</f>
      </c>
      <c r="K259" s="11">
        <f>IFERROR(__xludf.DUMMYFUNCTION("""COMPUTED_VALUE"""),332.89)</f>
      </c>
      <c r="L259" s="10">
        <f>IFERROR(__xludf.DUMMYFUNCTION("""COMPUTED_VALUE"""),0.6673)</f>
      </c>
      <c r="M259" s="11">
        <f>IFERROR(__xludf.DUMMYFUNCTION("""COMPUTED_VALUE"""),443.8)</f>
      </c>
      <c r="N259" s="10">
        <f>IFERROR(__xludf.DUMMYFUNCTION("""COMPUTED_VALUE"""),0.6528)</f>
      </c>
      <c r="O259" s="11">
        <f>IFERROR(__xludf.DUMMYFUNCTION("""COMPUTED_VALUE"""),457.95)</f>
      </c>
      <c r="P259" s="12"/>
      <c r="Q259" s="12"/>
      <c r="R259" s="15"/>
      <c r="S259" s="12"/>
      <c r="T259" s="12"/>
      <c r="U259" s="12"/>
      <c r="V259" s="12"/>
      <c r="W259" s="12"/>
      <c r="X259" s="12"/>
      <c r="Y259" s="12"/>
      <c r="Z259" s="12"/>
    </row>
    <row x14ac:dyDescent="0.25" r="260" customHeight="1" ht="15.75">
      <c r="A260" s="8">
        <f>IFERROR(__xludf.DUMMYFUNCTION("""COMPUTED_VALUE"""),25694.0)</f>
      </c>
      <c r="B260" s="9">
        <f>IFERROR(__xludf.DUMMYFUNCTION("""COMPUTED_VALUE"""),"METROPOLITANA II")</f>
      </c>
      <c r="C260" s="9">
        <f>IFERROR(__xludf.DUMMYFUNCTION("""COMPUTED_VALUE"""),"CE PADRE MANUEL DA NÓBREGA")</f>
      </c>
      <c r="D260" s="10">
        <f>IFERROR(__xludf.DUMMYFUNCTION("""COMPUTED_VALUE"""),0.975)</f>
      </c>
      <c r="E260" s="11">
        <f>IFERROR(__xludf.DUMMYFUNCTION("""COMPUTED_VALUE"""),224.96)</f>
      </c>
      <c r="F260" s="10">
        <f>IFERROR(__xludf.DUMMYFUNCTION("""COMPUTED_VALUE"""),0.675)</f>
      </c>
      <c r="G260" s="11">
        <f>IFERROR(__xludf.DUMMYFUNCTION("""COMPUTED_VALUE"""),384.3)</f>
      </c>
      <c r="H260" s="10">
        <f>IFERROR(__xludf.DUMMYFUNCTION("""COMPUTED_VALUE"""),0.6667)</f>
      </c>
      <c r="I260" s="11">
        <f>IFERROR(__xludf.DUMMYFUNCTION("""COMPUTED_VALUE"""),448.61)</f>
      </c>
      <c r="J260" s="10">
        <f>IFERROR(__xludf.DUMMYFUNCTION("""COMPUTED_VALUE"""),0.7583)</f>
      </c>
      <c r="K260" s="11">
        <f>IFERROR(__xludf.DUMMYFUNCTION("""COMPUTED_VALUE"""),401.41)</f>
      </c>
      <c r="L260" s="10">
        <f>IFERROR(__xludf.DUMMYFUNCTION("""COMPUTED_VALUE"""),0.725)</f>
      </c>
      <c r="M260" s="11">
        <f>IFERROR(__xludf.DUMMYFUNCTION("""COMPUTED_VALUE"""),434.94)</f>
      </c>
      <c r="N260" s="10">
        <f>IFERROR(__xludf.DUMMYFUNCTION("""COMPUTED_VALUE"""),0.6167)</f>
      </c>
      <c r="O260" s="11">
        <f>IFERROR(__xludf.DUMMYFUNCTION("""COMPUTED_VALUE"""),430.68)</f>
      </c>
      <c r="P260" s="12"/>
      <c r="Q260" s="12"/>
      <c r="R260" s="15"/>
      <c r="S260" s="12"/>
      <c r="T260" s="12"/>
      <c r="U260" s="12"/>
      <c r="V260" s="12"/>
      <c r="W260" s="12"/>
      <c r="X260" s="12"/>
      <c r="Y260" s="12"/>
      <c r="Z260" s="12"/>
    </row>
    <row x14ac:dyDescent="0.25" r="261" customHeight="1" ht="15.75">
      <c r="A261" s="8">
        <f>IFERROR(__xludf.DUMMYFUNCTION("""COMPUTED_VALUE"""),25695.0)</f>
      </c>
      <c r="B261" s="9">
        <f>IFERROR(__xludf.DUMMYFUNCTION("""COMPUTED_VALUE"""),"METROPOLITANA II")</f>
      </c>
      <c r="C261" s="9">
        <f>IFERROR(__xludf.DUMMYFUNCTION("""COMPUTED_VALUE"""),"CE PANDIA CALOGERAS")</f>
      </c>
      <c r="D261" s="10">
        <f>IFERROR(__xludf.DUMMYFUNCTION("""COMPUTED_VALUE"""),0.9412)</f>
      </c>
      <c r="E261" s="11">
        <f>IFERROR(__xludf.DUMMYFUNCTION("""COMPUTED_VALUE"""),205.44)</f>
      </c>
      <c r="F261" s="10">
        <f>IFERROR(__xludf.DUMMYFUNCTION("""COMPUTED_VALUE"""),0.4412)</f>
      </c>
      <c r="G261" s="11">
        <f>IFERROR(__xludf.DUMMYFUNCTION("""COMPUTED_VALUE"""),416.41)</f>
      </c>
      <c r="H261" s="10">
        <f>IFERROR(__xludf.DUMMYFUNCTION("""COMPUTED_VALUE"""),0.4312)</f>
      </c>
      <c r="I261" s="11">
        <f>IFERROR(__xludf.DUMMYFUNCTION("""COMPUTED_VALUE"""),"----")</f>
      </c>
      <c r="J261" s="10">
        <f>IFERROR(__xludf.DUMMYFUNCTION("""COMPUTED_VALUE"""),0.7529)</f>
      </c>
      <c r="K261" s="11">
        <f>IFERROR(__xludf.DUMMYFUNCTION("""COMPUTED_VALUE"""),340.76)</f>
      </c>
      <c r="L261" s="10">
        <f>IFERROR(__xludf.DUMMYFUNCTION("""COMPUTED_VALUE"""),0.4568)</f>
      </c>
      <c r="M261" s="11">
        <f>IFERROR(__xludf.DUMMYFUNCTION("""COMPUTED_VALUE"""),436.43)</f>
      </c>
      <c r="N261" s="10">
        <f>IFERROR(__xludf.DUMMYFUNCTION("""COMPUTED_VALUE"""),0.4361)</f>
      </c>
      <c r="O261" s="11">
        <f>IFERROR(__xludf.DUMMYFUNCTION("""COMPUTED_VALUE"""),471.25)</f>
      </c>
      <c r="P261" s="12"/>
      <c r="Q261" s="12"/>
      <c r="R261" s="15"/>
      <c r="S261" s="12"/>
      <c r="T261" s="12"/>
      <c r="U261" s="12"/>
      <c r="V261" s="12"/>
      <c r="W261" s="12"/>
      <c r="X261" s="12"/>
      <c r="Y261" s="12"/>
      <c r="Z261" s="12"/>
    </row>
    <row x14ac:dyDescent="0.25" r="262" customHeight="1" ht="15.75">
      <c r="A262" s="8">
        <f>IFERROR(__xludf.DUMMYFUNCTION("""COMPUTED_VALUE"""),25696.0)</f>
      </c>
      <c r="B262" s="9">
        <f>IFERROR(__xludf.DUMMYFUNCTION("""COMPUTED_VALUE"""),"METROPOLITANA II")</f>
      </c>
      <c r="C262" s="9">
        <f>IFERROR(__xludf.DUMMYFUNCTION("""COMPUTED_VALUE"""),"CE PAULINO PINHEIRO BAPTISTA")</f>
      </c>
      <c r="D262" s="10">
        <f>IFERROR(__xludf.DUMMYFUNCTION("""COMPUTED_VALUE"""),0.5804)</f>
      </c>
      <c r="E262" s="11">
        <f>IFERROR(__xludf.DUMMYFUNCTION("""COMPUTED_VALUE"""),218.05)</f>
      </c>
      <c r="F262" s="10">
        <f>IFERROR(__xludf.DUMMYFUNCTION("""COMPUTED_VALUE"""),0.6294)</f>
      </c>
      <c r="G262" s="11">
        <f>IFERROR(__xludf.DUMMYFUNCTION("""COMPUTED_VALUE"""),308.76)</f>
      </c>
      <c r="H262" s="10">
        <f>IFERROR(__xludf.DUMMYFUNCTION("""COMPUTED_VALUE"""),0.5594)</f>
      </c>
      <c r="I262" s="11">
        <f>IFERROR(__xludf.DUMMYFUNCTION("""COMPUTED_VALUE"""),381.27)</f>
      </c>
      <c r="J262" s="10">
        <f>IFERROR(__xludf.DUMMYFUNCTION("""COMPUTED_VALUE"""),0.5594)</f>
      </c>
      <c r="K262" s="11">
        <f>IFERROR(__xludf.DUMMYFUNCTION("""COMPUTED_VALUE"""),246.15)</f>
      </c>
      <c r="L262" s="10">
        <f>IFERROR(__xludf.DUMMYFUNCTION("""COMPUTED_VALUE"""),0.6154)</f>
      </c>
      <c r="M262" s="11">
        <f>IFERROR(__xludf.DUMMYFUNCTION("""COMPUTED_VALUE"""),327.53)</f>
      </c>
      <c r="N262" s="10">
        <f>IFERROR(__xludf.DUMMYFUNCTION("""COMPUTED_VALUE"""),0.6084)</f>
      </c>
      <c r="O262" s="11">
        <f>IFERROR(__xludf.DUMMYFUNCTION("""COMPUTED_VALUE"""),365.18)</f>
      </c>
      <c r="P262" s="12"/>
      <c r="Q262" s="12"/>
      <c r="R262" s="15"/>
      <c r="S262" s="12"/>
      <c r="T262" s="12"/>
      <c r="U262" s="12"/>
      <c r="V262" s="12"/>
      <c r="W262" s="12"/>
      <c r="X262" s="12"/>
      <c r="Y262" s="12"/>
      <c r="Z262" s="12"/>
    </row>
    <row x14ac:dyDescent="0.25" r="263" customHeight="1" ht="15.75">
      <c r="A263" s="8">
        <f>IFERROR(__xludf.DUMMYFUNCTION("""COMPUTED_VALUE"""),25697.0)</f>
      </c>
      <c r="B263" s="9">
        <f>IFERROR(__xludf.DUMMYFUNCTION("""COMPUTED_VALUE"""),"METROPOLITANA II")</f>
      </c>
      <c r="C263" s="9">
        <f>IFERROR(__xludf.DUMMYFUNCTION("""COMPUTED_VALUE"""),"CE PROFESSOR FRANCISCO DE PAULA ACHILLES")</f>
      </c>
      <c r="D263" s="10">
        <f>IFERROR(__xludf.DUMMYFUNCTION("""COMPUTED_VALUE"""),0.8235)</f>
      </c>
      <c r="E263" s="11">
        <f>IFERROR(__xludf.DUMMYFUNCTION("""COMPUTED_VALUE"""),263.81)</f>
      </c>
      <c r="F263" s="10">
        <f>IFERROR(__xludf.DUMMYFUNCTION("""COMPUTED_VALUE"""),0.8039)</f>
      </c>
      <c r="G263" s="11">
        <f>IFERROR(__xludf.DUMMYFUNCTION("""COMPUTED_VALUE"""),352.2)</f>
      </c>
      <c r="H263" s="10">
        <f>IFERROR(__xludf.DUMMYFUNCTION("""COMPUTED_VALUE"""),0.0)</f>
      </c>
      <c r="I263" s="11">
        <f>IFERROR(__xludf.DUMMYFUNCTION("""COMPUTED_VALUE"""),"----")</f>
      </c>
      <c r="J263" s="10">
        <f>IFERROR(__xludf.DUMMYFUNCTION("""COMPUTED_VALUE"""),0.7255)</f>
      </c>
      <c r="K263" s="11">
        <f>IFERROR(__xludf.DUMMYFUNCTION("""COMPUTED_VALUE"""),400.0)</f>
      </c>
      <c r="L263" s="10">
        <f>IFERROR(__xludf.DUMMYFUNCTION("""COMPUTED_VALUE"""),0.8039)</f>
      </c>
      <c r="M263" s="11">
        <f>IFERROR(__xludf.DUMMYFUNCTION("""COMPUTED_VALUE"""),496.59)</f>
      </c>
      <c r="N263" s="10">
        <f>IFERROR(__xludf.DUMMYFUNCTION("""COMPUTED_VALUE"""),0.8824)</f>
      </c>
      <c r="O263" s="11">
        <f>IFERROR(__xludf.DUMMYFUNCTION("""COMPUTED_VALUE"""),481.78)</f>
      </c>
      <c r="P263" s="12"/>
      <c r="Q263" s="12"/>
      <c r="R263" s="15"/>
      <c r="S263" s="12"/>
      <c r="T263" s="12"/>
      <c r="U263" s="12"/>
      <c r="V263" s="12"/>
      <c r="W263" s="12"/>
      <c r="X263" s="12"/>
      <c r="Y263" s="12"/>
      <c r="Z263" s="12"/>
    </row>
    <row x14ac:dyDescent="0.25" r="264" customHeight="1" ht="15.75">
      <c r="A264" s="8">
        <f>IFERROR(__xludf.DUMMYFUNCTION("""COMPUTED_VALUE"""),25698.0)</f>
      </c>
      <c r="B264" s="9">
        <f>IFERROR(__xludf.DUMMYFUNCTION("""COMPUTED_VALUE"""),"METROPOLITANA II")</f>
      </c>
      <c r="C264" s="9">
        <f>IFERROR(__xludf.DUMMYFUNCTION("""COMPUTED_VALUE"""),"CE PROFESSORA ABIGAIL CARDOSO")</f>
      </c>
      <c r="D264" s="10">
        <f>IFERROR(__xludf.DUMMYFUNCTION("""COMPUTED_VALUE"""),0.6)</f>
      </c>
      <c r="E264" s="11">
        <f>IFERROR(__xludf.DUMMYFUNCTION("""COMPUTED_VALUE"""),217.78)</f>
      </c>
      <c r="F264" s="10">
        <f>IFERROR(__xludf.DUMMYFUNCTION("""COMPUTED_VALUE"""),0.6667)</f>
      </c>
      <c r="G264" s="11">
        <f>IFERROR(__xludf.DUMMYFUNCTION("""COMPUTED_VALUE"""),360.0)</f>
      </c>
      <c r="H264" s="10">
        <f>IFERROR(__xludf.DUMMYFUNCTION("""COMPUTED_VALUE"""),0.24)</f>
      </c>
      <c r="I264" s="11">
        <f>IFERROR(__xludf.DUMMYFUNCTION("""COMPUTED_VALUE"""),0.0)</f>
      </c>
      <c r="J264" s="10">
        <f>IFERROR(__xludf.DUMMYFUNCTION("""COMPUTED_VALUE"""),0.8)</f>
      </c>
      <c r="K264" s="11">
        <f>IFERROR(__xludf.DUMMYFUNCTION("""COMPUTED_VALUE"""),93.33)</f>
      </c>
      <c r="L264" s="10">
        <f>IFERROR(__xludf.DUMMYFUNCTION("""COMPUTED_VALUE"""),0.28)</f>
      </c>
      <c r="M264" s="11">
        <f>IFERROR(__xludf.DUMMYFUNCTION("""COMPUTED_VALUE"""),422.86)</f>
      </c>
      <c r="N264" s="10">
        <f>IFERROR(__xludf.DUMMYFUNCTION("""COMPUTED_VALUE"""),0.32)</f>
      </c>
      <c r="O264" s="11">
        <f>IFERROR(__xludf.DUMMYFUNCTION("""COMPUTED_VALUE"""),315.0)</f>
      </c>
      <c r="P264" s="12"/>
      <c r="Q264" s="12"/>
      <c r="R264" s="15"/>
      <c r="S264" s="12"/>
      <c r="T264" s="12"/>
      <c r="U264" s="12"/>
      <c r="V264" s="12"/>
      <c r="W264" s="12"/>
      <c r="X264" s="12"/>
      <c r="Y264" s="12"/>
      <c r="Z264" s="12"/>
    </row>
    <row x14ac:dyDescent="0.25" r="265" customHeight="1" ht="15.75">
      <c r="A265" s="8">
        <f>IFERROR(__xludf.DUMMYFUNCTION("""COMPUTED_VALUE"""),25699.0)</f>
      </c>
      <c r="B265" s="9">
        <f>IFERROR(__xludf.DUMMYFUNCTION("""COMPUTED_VALUE"""),"METROPOLITANA II")</f>
      </c>
      <c r="C265" s="9">
        <f>IFERROR(__xludf.DUMMYFUNCTION("""COMPUTED_VALUE"""),"CE PROFESSORA ADELIA MARTINS")</f>
      </c>
      <c r="D265" s="10">
        <f>IFERROR(__xludf.DUMMYFUNCTION("""COMPUTED_VALUE"""),0.7838)</f>
      </c>
      <c r="E265" s="11">
        <f>IFERROR(__xludf.DUMMYFUNCTION("""COMPUTED_VALUE"""),182.76)</f>
      </c>
      <c r="F265" s="10">
        <f>IFERROR(__xludf.DUMMYFUNCTION("""COMPUTED_VALUE"""),0.7162)</f>
      </c>
      <c r="G265" s="11">
        <f>IFERROR(__xludf.DUMMYFUNCTION("""COMPUTED_VALUE"""),342.78)</f>
      </c>
      <c r="H265" s="10">
        <f>IFERROR(__xludf.DUMMYFUNCTION("""COMPUTED_VALUE"""),0.4854)</f>
      </c>
      <c r="I265" s="11">
        <f>IFERROR(__xludf.DUMMYFUNCTION("""COMPUTED_VALUE"""),416.8)</f>
      </c>
      <c r="J265" s="10">
        <f>IFERROR(__xludf.DUMMYFUNCTION("""COMPUTED_VALUE"""),0.5753)</f>
      </c>
      <c r="K265" s="11">
        <f>IFERROR(__xludf.DUMMYFUNCTION("""COMPUTED_VALUE"""),"----")</f>
      </c>
      <c r="L265" s="10">
        <f>IFERROR(__xludf.DUMMYFUNCTION("""COMPUTED_VALUE"""),0.4175)</f>
      </c>
      <c r="M265" s="11">
        <f>IFERROR(__xludf.DUMMYFUNCTION("""COMPUTED_VALUE"""),366.02)</f>
      </c>
      <c r="N265" s="10">
        <f>IFERROR(__xludf.DUMMYFUNCTION("""COMPUTED_VALUE"""),0.5631)</f>
      </c>
      <c r="O265" s="11">
        <f>IFERROR(__xludf.DUMMYFUNCTION("""COMPUTED_VALUE"""),372.42)</f>
      </c>
      <c r="P265" s="12"/>
      <c r="Q265" s="12"/>
      <c r="R265" s="15"/>
      <c r="S265" s="12"/>
      <c r="T265" s="12"/>
      <c r="U265" s="12"/>
      <c r="V265" s="12"/>
      <c r="W265" s="12"/>
      <c r="X265" s="12"/>
      <c r="Y265" s="12"/>
      <c r="Z265" s="12"/>
    </row>
    <row x14ac:dyDescent="0.25" r="266" customHeight="1" ht="15.75">
      <c r="A266" s="8">
        <f>IFERROR(__xludf.DUMMYFUNCTION("""COMPUTED_VALUE"""),25700.0)</f>
      </c>
      <c r="B266" s="9">
        <f>IFERROR(__xludf.DUMMYFUNCTION("""COMPUTED_VALUE"""),"METROPOLITANA II")</f>
      </c>
      <c r="C266" s="9">
        <f>IFERROR(__xludf.DUMMYFUNCTION("""COMPUTED_VALUE"""),"CE PROFESSORA ANTONIETA PALMEIRA")</f>
      </c>
      <c r="D266" s="10">
        <f>IFERROR(__xludf.DUMMYFUNCTION("""COMPUTED_VALUE"""),0.7805)</f>
      </c>
      <c r="E266" s="11">
        <f>IFERROR(__xludf.DUMMYFUNCTION("""COMPUTED_VALUE"""),262.56)</f>
      </c>
      <c r="F266" s="10">
        <f>IFERROR(__xludf.DUMMYFUNCTION("""COMPUTED_VALUE"""),0.4808)</f>
      </c>
      <c r="G266" s="11">
        <f>IFERROR(__xludf.DUMMYFUNCTION("""COMPUTED_VALUE"""),406.41)</f>
      </c>
      <c r="H266" s="10">
        <f>IFERROR(__xludf.DUMMYFUNCTION("""COMPUTED_VALUE"""),0.5065)</f>
      </c>
      <c r="I266" s="11">
        <f>IFERROR(__xludf.DUMMYFUNCTION("""COMPUTED_VALUE"""),358.44)</f>
      </c>
      <c r="J266" s="10">
        <f>IFERROR(__xludf.DUMMYFUNCTION("""COMPUTED_VALUE"""),0.8285)</f>
      </c>
      <c r="K266" s="11">
        <f>IFERROR(__xludf.DUMMYFUNCTION("""COMPUTED_VALUE"""),206.86)</f>
      </c>
      <c r="L266" s="10">
        <f>IFERROR(__xludf.DUMMYFUNCTION("""COMPUTED_VALUE"""),0.0033)</f>
      </c>
      <c r="M266" s="11">
        <f>IFERROR(__xludf.DUMMYFUNCTION("""COMPUTED_VALUE"""),"----")</f>
      </c>
      <c r="N266" s="10">
        <f>IFERROR(__xludf.DUMMYFUNCTION("""COMPUTED_VALUE"""),0.0)</f>
      </c>
      <c r="O266" s="11">
        <f>IFERROR(__xludf.DUMMYFUNCTION("""COMPUTED_VALUE"""),"----")</f>
      </c>
      <c r="P266" s="12"/>
      <c r="Q266" s="12"/>
      <c r="R266" s="15"/>
      <c r="S266" s="12"/>
      <c r="T266" s="12"/>
      <c r="U266" s="12"/>
      <c r="V266" s="12"/>
      <c r="W266" s="12"/>
      <c r="X266" s="12"/>
      <c r="Y266" s="12"/>
      <c r="Z266" s="12"/>
    </row>
    <row x14ac:dyDescent="0.25" r="267" customHeight="1" ht="15.75">
      <c r="A267" s="8">
        <f>IFERROR(__xludf.DUMMYFUNCTION("""COMPUTED_VALUE"""),25701.0)</f>
      </c>
      <c r="B267" s="9">
        <f>IFERROR(__xludf.DUMMYFUNCTION("""COMPUTED_VALUE"""),"METROPOLITANA II")</f>
      </c>
      <c r="C267" s="9">
        <f>IFERROR(__xludf.DUMMYFUNCTION("""COMPUTED_VALUE"""),"CE PROFESSORA DALILA DE OLIVEIRA COSTA")</f>
      </c>
      <c r="D267" s="10">
        <f>IFERROR(__xludf.DUMMYFUNCTION("""COMPUTED_VALUE"""),0.8797)</f>
      </c>
      <c r="E267" s="11">
        <f>IFERROR(__xludf.DUMMYFUNCTION("""COMPUTED_VALUE"""),184.53)</f>
      </c>
      <c r="F267" s="10">
        <f>IFERROR(__xludf.DUMMYFUNCTION("""COMPUTED_VALUE"""),0.9684)</f>
      </c>
      <c r="G267" s="11">
        <f>IFERROR(__xludf.DUMMYFUNCTION("""COMPUTED_VALUE"""),247.11)</f>
      </c>
      <c r="H267" s="10">
        <f>IFERROR(__xludf.DUMMYFUNCTION("""COMPUTED_VALUE"""),0.6266)</f>
      </c>
      <c r="I267" s="11">
        <f>IFERROR(__xludf.DUMMYFUNCTION("""COMPUTED_VALUE"""),407.08)</f>
      </c>
      <c r="J267" s="10">
        <f>IFERROR(__xludf.DUMMYFUNCTION("""COMPUTED_VALUE"""),0.6456)</f>
      </c>
      <c r="K267" s="11">
        <f>IFERROR(__xludf.DUMMYFUNCTION("""COMPUTED_VALUE"""),226.14)</f>
      </c>
      <c r="L267" s="10">
        <f>IFERROR(__xludf.DUMMYFUNCTION("""COMPUTED_VALUE"""),0.6962)</f>
      </c>
      <c r="M267" s="11">
        <f>IFERROR(__xludf.DUMMYFUNCTION("""COMPUTED_VALUE"""),325.19)</f>
      </c>
      <c r="N267" s="10">
        <f>IFERROR(__xludf.DUMMYFUNCTION("""COMPUTED_VALUE"""),0.7089)</f>
      </c>
      <c r="O267" s="11">
        <f>IFERROR(__xludf.DUMMYFUNCTION("""COMPUTED_VALUE"""),394.55)</f>
      </c>
      <c r="P267" s="12"/>
      <c r="Q267" s="12"/>
      <c r="R267" s="15"/>
      <c r="S267" s="12"/>
      <c r="T267" s="12"/>
      <c r="U267" s="12"/>
      <c r="V267" s="12"/>
      <c r="W267" s="12"/>
      <c r="X267" s="12"/>
      <c r="Y267" s="12"/>
      <c r="Z267" s="12"/>
    </row>
    <row x14ac:dyDescent="0.25" r="268" customHeight="1" ht="15.75">
      <c r="A268" s="8">
        <f>IFERROR(__xludf.DUMMYFUNCTION("""COMPUTED_VALUE"""),25654.0)</f>
      </c>
      <c r="B268" s="9">
        <f>IFERROR(__xludf.DUMMYFUNCTION("""COMPUTED_VALUE"""),"METROPOLITANA II")</f>
      </c>
      <c r="C268" s="9">
        <f>IFERROR(__xludf.DUMMYFUNCTION("""COMPUTED_VALUE"""),"CE PROFESSORA HILKA DE ARAÚJO PEÇANHA")</f>
      </c>
      <c r="D268" s="10">
        <f>IFERROR(__xludf.DUMMYFUNCTION("""COMPUTED_VALUE"""),0.8907)</f>
      </c>
      <c r="E268" s="11">
        <f>IFERROR(__xludf.DUMMYFUNCTION("""COMPUTED_VALUE"""),341.98)</f>
      </c>
      <c r="F268" s="10">
        <f>IFERROR(__xludf.DUMMYFUNCTION("""COMPUTED_VALUE"""),0.8852)</f>
      </c>
      <c r="G268" s="11">
        <f>IFERROR(__xludf.DUMMYFUNCTION("""COMPUTED_VALUE"""),427.41)</f>
      </c>
      <c r="H268" s="10">
        <f>IFERROR(__xludf.DUMMYFUNCTION("""COMPUTED_VALUE"""),0.8306)</f>
      </c>
      <c r="I268" s="11">
        <f>IFERROR(__xludf.DUMMYFUNCTION("""COMPUTED_VALUE"""),482.12)</f>
      </c>
      <c r="J268" s="10">
        <f>IFERROR(__xludf.DUMMYFUNCTION("""COMPUTED_VALUE"""),0.7869)</f>
      </c>
      <c r="K268" s="11">
        <f>IFERROR(__xludf.DUMMYFUNCTION("""COMPUTED_VALUE"""),395.68)</f>
      </c>
      <c r="L268" s="10">
        <f>IFERROR(__xludf.DUMMYFUNCTION("""COMPUTED_VALUE"""),0.7978)</f>
      </c>
      <c r="M268" s="11">
        <f>IFERROR(__xludf.DUMMYFUNCTION("""COMPUTED_VALUE"""),469.86)</f>
      </c>
      <c r="N268" s="10">
        <f>IFERROR(__xludf.DUMMYFUNCTION("""COMPUTED_VALUE"""),0.8142)</f>
      </c>
      <c r="O268" s="11">
        <f>IFERROR(__xludf.DUMMYFUNCTION("""COMPUTED_VALUE"""),453.33)</f>
      </c>
      <c r="P268" s="12"/>
      <c r="Q268" s="12"/>
      <c r="R268" s="15"/>
      <c r="S268" s="12"/>
      <c r="T268" s="12"/>
      <c r="U268" s="12"/>
      <c r="V268" s="12"/>
      <c r="W268" s="12"/>
      <c r="X268" s="12"/>
      <c r="Y268" s="12"/>
      <c r="Z268" s="12"/>
    </row>
    <row x14ac:dyDescent="0.25" r="269" customHeight="1" ht="15.75">
      <c r="A269" s="8">
        <f>IFERROR(__xludf.DUMMYFUNCTION("""COMPUTED_VALUE"""),25702.0)</f>
      </c>
      <c r="B269" s="9">
        <f>IFERROR(__xludf.DUMMYFUNCTION("""COMPUTED_VALUE"""),"METROPOLITANA II")</f>
      </c>
      <c r="C269" s="9">
        <f>IFERROR(__xludf.DUMMYFUNCTION("""COMPUTED_VALUE"""),"CE PROFESSORA LUIZA HONORIA DO PRADO")</f>
      </c>
      <c r="D269" s="10">
        <f>IFERROR(__xludf.DUMMYFUNCTION("""COMPUTED_VALUE"""),0.8182)</f>
      </c>
      <c r="E269" s="11">
        <f>IFERROR(__xludf.DUMMYFUNCTION("""COMPUTED_VALUE"""),22.22)</f>
      </c>
      <c r="F269" s="10">
        <f>IFERROR(__xludf.DUMMYFUNCTION("""COMPUTED_VALUE"""),0.5455)</f>
      </c>
      <c r="G269" s="11">
        <f>IFERROR(__xludf.DUMMYFUNCTION("""COMPUTED_VALUE"""),326.67)</f>
      </c>
      <c r="H269" s="10">
        <f>IFERROR(__xludf.DUMMYFUNCTION("""COMPUTED_VALUE"""),0.2632)</f>
      </c>
      <c r="I269" s="11">
        <f>IFERROR(__xludf.DUMMYFUNCTION("""COMPUTED_VALUE"""),260.0)</f>
      </c>
      <c r="J269" s="10">
        <f>IFERROR(__xludf.DUMMYFUNCTION("""COMPUTED_VALUE"""),0.7407)</f>
      </c>
      <c r="K269" s="11">
        <f>IFERROR(__xludf.DUMMYFUNCTION("""COMPUTED_VALUE"""),354.0)</f>
      </c>
      <c r="L269" s="10">
        <f>IFERROR(__xludf.DUMMYFUNCTION("""COMPUTED_VALUE"""),0.3158)</f>
      </c>
      <c r="M269" s="11">
        <f>IFERROR(__xludf.DUMMYFUNCTION("""COMPUTED_VALUE"""),350.0)</f>
      </c>
      <c r="N269" s="10">
        <f>IFERROR(__xludf.DUMMYFUNCTION("""COMPUTED_VALUE"""),0.2368)</f>
      </c>
      <c r="O269" s="11">
        <f>IFERROR(__xludf.DUMMYFUNCTION("""COMPUTED_VALUE"""),320.0)</f>
      </c>
      <c r="P269" s="12"/>
      <c r="Q269" s="12"/>
      <c r="R269" s="15"/>
      <c r="S269" s="12"/>
      <c r="T269" s="12"/>
      <c r="U269" s="12"/>
      <c r="V269" s="12"/>
      <c r="W269" s="12"/>
      <c r="X269" s="12"/>
      <c r="Y269" s="12"/>
      <c r="Z269" s="12"/>
    </row>
    <row x14ac:dyDescent="0.25" r="270" customHeight="1" ht="15.75">
      <c r="A270" s="8">
        <f>IFERROR(__xludf.DUMMYFUNCTION("""COMPUTED_VALUE"""),25655.0)</f>
      </c>
      <c r="B270" s="9">
        <f>IFERROR(__xludf.DUMMYFUNCTION("""COMPUTED_VALUE"""),"METROPOLITANA II")</f>
      </c>
      <c r="C270" s="9">
        <f>IFERROR(__xludf.DUMMYFUNCTION("""COMPUTED_VALUE"""),"CE PROFESSORA MARIA INOCÊNCIA FERREIRA")</f>
      </c>
      <c r="D270" s="10">
        <f>IFERROR(__xludf.DUMMYFUNCTION("""COMPUTED_VALUE"""),0.7143)</f>
      </c>
      <c r="E270" s="11">
        <f>IFERROR(__xludf.DUMMYFUNCTION("""COMPUTED_VALUE"""),229.82)</f>
      </c>
      <c r="F270" s="10">
        <f>IFERROR(__xludf.DUMMYFUNCTION("""COMPUTED_VALUE"""),0.5839)</f>
      </c>
      <c r="G270" s="11">
        <f>IFERROR(__xludf.DUMMYFUNCTION("""COMPUTED_VALUE"""),391.49)</f>
      </c>
      <c r="H270" s="10">
        <f>IFERROR(__xludf.DUMMYFUNCTION("""COMPUTED_VALUE"""),0.7143)</f>
      </c>
      <c r="I270" s="11">
        <f>IFERROR(__xludf.DUMMYFUNCTION("""COMPUTED_VALUE"""),427.96)</f>
      </c>
      <c r="J270" s="10">
        <f>IFERROR(__xludf.DUMMYFUNCTION("""COMPUTED_VALUE"""),0.6646)</f>
      </c>
      <c r="K270" s="11">
        <f>IFERROR(__xludf.DUMMYFUNCTION("""COMPUTED_VALUE"""),365.83)</f>
      </c>
      <c r="L270" s="10">
        <f>IFERROR(__xludf.DUMMYFUNCTION("""COMPUTED_VALUE"""),0.5776)</f>
      </c>
      <c r="M270" s="11">
        <f>IFERROR(__xludf.DUMMYFUNCTION("""COMPUTED_VALUE"""),424.52)</f>
      </c>
      <c r="N270" s="10">
        <f>IFERROR(__xludf.DUMMYFUNCTION("""COMPUTED_VALUE"""),0.528)</f>
      </c>
      <c r="O270" s="11">
        <f>IFERROR(__xludf.DUMMYFUNCTION("""COMPUTED_VALUE"""),439.06)</f>
      </c>
      <c r="P270" s="12"/>
      <c r="Q270" s="12"/>
      <c r="R270" s="15"/>
      <c r="S270" s="12"/>
      <c r="T270" s="12"/>
      <c r="U270" s="12"/>
      <c r="V270" s="12"/>
      <c r="W270" s="12"/>
      <c r="X270" s="12"/>
      <c r="Y270" s="12"/>
      <c r="Z270" s="12"/>
    </row>
    <row x14ac:dyDescent="0.25" r="271" customHeight="1" ht="15.75">
      <c r="A271" s="8">
        <f>IFERROR(__xludf.DUMMYFUNCTION("""COMPUTED_VALUE"""),25703.0)</f>
      </c>
      <c r="B271" s="9">
        <f>IFERROR(__xludf.DUMMYFUNCTION("""COMPUTED_VALUE"""),"METROPOLITANA II")</f>
      </c>
      <c r="C271" s="9">
        <f>IFERROR(__xludf.DUMMYFUNCTION("""COMPUTED_VALUE"""),"CE PROFESSORA ODYSSEA SILVEIRA DE SIQUEIRA")</f>
      </c>
      <c r="D271" s="10">
        <f>IFERROR(__xludf.DUMMYFUNCTION("""COMPUTED_VALUE"""),0.7692)</f>
      </c>
      <c r="E271" s="11">
        <f>IFERROR(__xludf.DUMMYFUNCTION("""COMPUTED_VALUE"""),311.04)</f>
      </c>
      <c r="F271" s="10">
        <f>IFERROR(__xludf.DUMMYFUNCTION("""COMPUTED_VALUE"""),0.6484)</f>
      </c>
      <c r="G271" s="11">
        <f>IFERROR(__xludf.DUMMYFUNCTION("""COMPUTED_VALUE"""),460.69)</f>
      </c>
      <c r="H271" s="10">
        <f>IFERROR(__xludf.DUMMYFUNCTION("""COMPUTED_VALUE"""),0.6593)</f>
      </c>
      <c r="I271" s="11">
        <f>IFERROR(__xludf.DUMMYFUNCTION("""COMPUTED_VALUE"""),445.33)</f>
      </c>
      <c r="J271" s="10">
        <f>IFERROR(__xludf.DUMMYFUNCTION("""COMPUTED_VALUE"""),0.6374)</f>
      </c>
      <c r="K271" s="11">
        <f>IFERROR(__xludf.DUMMYFUNCTION("""COMPUTED_VALUE"""),361.38)</f>
      </c>
      <c r="L271" s="10">
        <f>IFERROR(__xludf.DUMMYFUNCTION("""COMPUTED_VALUE"""),0.6923)</f>
      </c>
      <c r="M271" s="11">
        <f>IFERROR(__xludf.DUMMYFUNCTION("""COMPUTED_VALUE"""),473.02)</f>
      </c>
      <c r="N271" s="10">
        <f>IFERROR(__xludf.DUMMYFUNCTION("""COMPUTED_VALUE"""),0.5275)</f>
      </c>
      <c r="O271" s="11">
        <f>IFERROR(__xludf.DUMMYFUNCTION("""COMPUTED_VALUE"""),473.33)</f>
      </c>
      <c r="P271" s="12"/>
      <c r="Q271" s="12"/>
      <c r="R271" s="15"/>
      <c r="S271" s="12"/>
      <c r="T271" s="12"/>
      <c r="U271" s="12"/>
      <c r="V271" s="12"/>
      <c r="W271" s="12"/>
      <c r="X271" s="12"/>
      <c r="Y271" s="12"/>
      <c r="Z271" s="12"/>
    </row>
    <row x14ac:dyDescent="0.25" r="272" customHeight="1" ht="15.75">
      <c r="A272" s="8">
        <f>IFERROR(__xludf.DUMMYFUNCTION("""COMPUTED_VALUE"""),25656.0)</f>
      </c>
      <c r="B272" s="9">
        <f>IFERROR(__xludf.DUMMYFUNCTION("""COMPUTED_VALUE"""),"METROPOLITANA II")</f>
      </c>
      <c r="C272" s="9">
        <f>IFERROR(__xludf.DUMMYFUNCTION("""COMPUTED_VALUE"""),"CE SALVADOR DE MENDONÇA")</f>
      </c>
      <c r="D272" s="10">
        <f>IFERROR(__xludf.DUMMYFUNCTION("""COMPUTED_VALUE"""),0.9903)</f>
      </c>
      <c r="E272" s="11">
        <f>IFERROR(__xludf.DUMMYFUNCTION("""COMPUTED_VALUE"""),251.07)</f>
      </c>
      <c r="F272" s="10">
        <f>IFERROR(__xludf.DUMMYFUNCTION("""COMPUTED_VALUE"""),0.7419)</f>
      </c>
      <c r="G272" s="11">
        <f>IFERROR(__xludf.DUMMYFUNCTION("""COMPUTED_VALUE"""),442.3)</f>
      </c>
      <c r="H272" s="10">
        <f>IFERROR(__xludf.DUMMYFUNCTION("""COMPUTED_VALUE"""),0.8161)</f>
      </c>
      <c r="I272" s="11">
        <f>IFERROR(__xludf.DUMMYFUNCTION("""COMPUTED_VALUE"""),447.13)</f>
      </c>
      <c r="J272" s="10">
        <f>IFERROR(__xludf.DUMMYFUNCTION("""COMPUTED_VALUE"""),0.7323)</f>
      </c>
      <c r="K272" s="11">
        <f>IFERROR(__xludf.DUMMYFUNCTION("""COMPUTED_VALUE"""),388.7)</f>
      </c>
      <c r="L272" s="10">
        <f>IFERROR(__xludf.DUMMYFUNCTION("""COMPUTED_VALUE"""),0.6774)</f>
      </c>
      <c r="M272" s="11">
        <f>IFERROR(__xludf.DUMMYFUNCTION("""COMPUTED_VALUE"""),440.39)</f>
      </c>
      <c r="N272" s="10">
        <f>IFERROR(__xludf.DUMMYFUNCTION("""COMPUTED_VALUE"""),0.7194)</f>
      </c>
      <c r="O272" s="11">
        <f>IFERROR(__xludf.DUMMYFUNCTION("""COMPUTED_VALUE"""),448.11)</f>
      </c>
      <c r="P272" s="12"/>
      <c r="Q272" s="12"/>
      <c r="R272" s="15"/>
      <c r="S272" s="12"/>
      <c r="T272" s="12"/>
      <c r="U272" s="12"/>
      <c r="V272" s="12"/>
      <c r="W272" s="12"/>
      <c r="X272" s="12"/>
      <c r="Y272" s="12"/>
      <c r="Z272" s="12"/>
    </row>
    <row x14ac:dyDescent="0.25" r="273" customHeight="1" ht="15.75">
      <c r="A273" s="8">
        <f>IFERROR(__xludf.DUMMYFUNCTION("""COMPUTED_VALUE"""),25704.0)</f>
      </c>
      <c r="B273" s="9">
        <f>IFERROR(__xludf.DUMMYFUNCTION("""COMPUTED_VALUE"""),"METROPOLITANA II")</f>
      </c>
      <c r="C273" s="9">
        <f>IFERROR(__xludf.DUMMYFUNCTION("""COMPUTED_VALUE"""),"CE SANTOS DIAS")</f>
      </c>
      <c r="D273" s="10">
        <f>IFERROR(__xludf.DUMMYFUNCTION("""COMPUTED_VALUE"""),0.8069)</f>
      </c>
      <c r="E273" s="11">
        <f>IFERROR(__xludf.DUMMYFUNCTION("""COMPUTED_VALUE"""),335.21)</f>
      </c>
      <c r="F273" s="10">
        <f>IFERROR(__xludf.DUMMYFUNCTION("""COMPUTED_VALUE"""),0.599)</f>
      </c>
      <c r="G273" s="11">
        <f>IFERROR(__xludf.DUMMYFUNCTION("""COMPUTED_VALUE"""),435.04)</f>
      </c>
      <c r="H273" s="10">
        <f>IFERROR(__xludf.DUMMYFUNCTION("""COMPUTED_VALUE"""),0.6386)</f>
      </c>
      <c r="I273" s="11">
        <f>IFERROR(__xludf.DUMMYFUNCTION("""COMPUTED_VALUE"""),503.57)</f>
      </c>
      <c r="J273" s="10">
        <f>IFERROR(__xludf.DUMMYFUNCTION("""COMPUTED_VALUE"""),0.6832)</f>
      </c>
      <c r="K273" s="11">
        <f>IFERROR(__xludf.DUMMYFUNCTION("""COMPUTED_VALUE"""),456.25)</f>
      </c>
      <c r="L273" s="10">
        <f>IFERROR(__xludf.DUMMYFUNCTION("""COMPUTED_VALUE"""),0.7079)</f>
      </c>
      <c r="M273" s="11">
        <f>IFERROR(__xludf.DUMMYFUNCTION("""COMPUTED_VALUE"""),468.53)</f>
      </c>
      <c r="N273" s="10">
        <f>IFERROR(__xludf.DUMMYFUNCTION("""COMPUTED_VALUE"""),0.6139)</f>
      </c>
      <c r="O273" s="11">
        <f>IFERROR(__xludf.DUMMYFUNCTION("""COMPUTED_VALUE"""),479.03)</f>
      </c>
      <c r="P273" s="12"/>
      <c r="Q273" s="12"/>
      <c r="R273" s="15"/>
      <c r="S273" s="12"/>
      <c r="T273" s="12"/>
      <c r="U273" s="12"/>
      <c r="V273" s="12"/>
      <c r="W273" s="12"/>
      <c r="X273" s="12"/>
      <c r="Y273" s="12"/>
      <c r="Z273" s="12"/>
    </row>
    <row x14ac:dyDescent="0.25" r="274" customHeight="1" ht="15.75">
      <c r="A274" s="8">
        <f>IFERROR(__xludf.DUMMYFUNCTION("""COMPUTED_VALUE"""),25705.0)</f>
      </c>
      <c r="B274" s="9">
        <f>IFERROR(__xludf.DUMMYFUNCTION("""COMPUTED_VALUE"""),"METROPOLITANA II")</f>
      </c>
      <c r="C274" s="9">
        <f>IFERROR(__xludf.DUMMYFUNCTION("""COMPUTED_VALUE"""),"CE SUBTENENTE PM MARCO ANTONIO GRIPP")</f>
      </c>
      <c r="D274" s="10">
        <f>IFERROR(__xludf.DUMMYFUNCTION("""COMPUTED_VALUE"""),0.9623)</f>
      </c>
      <c r="E274" s="11">
        <f>IFERROR(__xludf.DUMMYFUNCTION("""COMPUTED_VALUE"""),408.63)</f>
      </c>
      <c r="F274" s="10">
        <f>IFERROR(__xludf.DUMMYFUNCTION("""COMPUTED_VALUE"""),0.9434)</f>
      </c>
      <c r="G274" s="11">
        <f>IFERROR(__xludf.DUMMYFUNCTION("""COMPUTED_VALUE"""),485.6)</f>
      </c>
      <c r="H274" s="10">
        <f>IFERROR(__xludf.DUMMYFUNCTION("""COMPUTED_VALUE"""),0.8868)</f>
      </c>
      <c r="I274" s="11">
        <f>IFERROR(__xludf.DUMMYFUNCTION("""COMPUTED_VALUE"""),518.3)</f>
      </c>
      <c r="J274" s="10">
        <f>IFERROR(__xludf.DUMMYFUNCTION("""COMPUTED_VALUE"""),0.9245)</f>
      </c>
      <c r="K274" s="11">
        <f>IFERROR(__xludf.DUMMYFUNCTION("""COMPUTED_VALUE"""),482.45)</f>
      </c>
      <c r="L274" s="10">
        <f>IFERROR(__xludf.DUMMYFUNCTION("""COMPUTED_VALUE"""),0.9245)</f>
      </c>
      <c r="M274" s="11">
        <f>IFERROR(__xludf.DUMMYFUNCTION("""COMPUTED_VALUE"""),503.67)</f>
      </c>
      <c r="N274" s="10">
        <f>IFERROR(__xludf.DUMMYFUNCTION("""COMPUTED_VALUE"""),0.9245)</f>
      </c>
      <c r="O274" s="11">
        <f>IFERROR(__xludf.DUMMYFUNCTION("""COMPUTED_VALUE"""),554.29)</f>
      </c>
      <c r="P274" s="12"/>
      <c r="Q274" s="12"/>
      <c r="R274" s="15"/>
      <c r="S274" s="12"/>
      <c r="T274" s="12"/>
      <c r="U274" s="12"/>
      <c r="V274" s="12"/>
      <c r="W274" s="12"/>
      <c r="X274" s="12"/>
      <c r="Y274" s="12"/>
      <c r="Z274" s="12"/>
    </row>
    <row x14ac:dyDescent="0.25" r="275" customHeight="1" ht="15.75">
      <c r="A275" s="8">
        <f>IFERROR(__xludf.DUMMYFUNCTION("""COMPUTED_VALUE"""),25706.0)</f>
      </c>
      <c r="B275" s="9">
        <f>IFERROR(__xludf.DUMMYFUNCTION("""COMPUTED_VALUE"""),"METROPOLITANA II")</f>
      </c>
      <c r="C275" s="9">
        <f>IFERROR(__xludf.DUMMYFUNCTION("""COMPUTED_VALUE"""),"CE TRASILBO FILGUEIRAS")</f>
      </c>
      <c r="D275" s="10">
        <f>IFERROR(__xludf.DUMMYFUNCTION("""COMPUTED_VALUE"""),0.6371)</f>
      </c>
      <c r="E275" s="11">
        <f>IFERROR(__xludf.DUMMYFUNCTION("""COMPUTED_VALUE"""),168.39)</f>
      </c>
      <c r="F275" s="10">
        <f>IFERROR(__xludf.DUMMYFUNCTION("""COMPUTED_VALUE"""),0.6344)</f>
      </c>
      <c r="G275" s="11">
        <f>IFERROR(__xludf.DUMMYFUNCTION("""COMPUTED_VALUE"""),285.94)</f>
      </c>
      <c r="H275" s="10">
        <f>IFERROR(__xludf.DUMMYFUNCTION("""COMPUTED_VALUE"""),0.5433)</f>
      </c>
      <c r="I275" s="11">
        <f>IFERROR(__xludf.DUMMYFUNCTION("""COMPUTED_VALUE"""),385.0)</f>
      </c>
      <c r="J275" s="10">
        <f>IFERROR(__xludf.DUMMYFUNCTION("""COMPUTED_VALUE"""),0.3802)</f>
      </c>
      <c r="K275" s="11">
        <f>IFERROR(__xludf.DUMMYFUNCTION("""COMPUTED_VALUE"""),231.33)</f>
      </c>
      <c r="L275" s="10">
        <f>IFERROR(__xludf.DUMMYFUNCTION("""COMPUTED_VALUE"""),0.4871)</f>
      </c>
      <c r="M275" s="11">
        <f>IFERROR(__xludf.DUMMYFUNCTION("""COMPUTED_VALUE"""),363.29)</f>
      </c>
      <c r="N275" s="10">
        <f>IFERROR(__xludf.DUMMYFUNCTION("""COMPUTED_VALUE"""),0.5785)</f>
      </c>
      <c r="O275" s="11">
        <f>IFERROR(__xludf.DUMMYFUNCTION("""COMPUTED_VALUE"""),399.81)</f>
      </c>
      <c r="P275" s="12"/>
      <c r="Q275" s="12"/>
      <c r="R275" s="15"/>
      <c r="S275" s="12"/>
      <c r="T275" s="12"/>
      <c r="U275" s="12"/>
      <c r="V275" s="12"/>
      <c r="W275" s="12"/>
      <c r="X275" s="12"/>
      <c r="Y275" s="12"/>
      <c r="Z275" s="12"/>
    </row>
    <row x14ac:dyDescent="0.25" r="276" customHeight="1" ht="15.75">
      <c r="A276" s="8">
        <f>IFERROR(__xludf.DUMMYFUNCTION("""COMPUTED_VALUE"""),25707.0)</f>
      </c>
      <c r="B276" s="9">
        <f>IFERROR(__xludf.DUMMYFUNCTION("""COMPUTED_VALUE"""),"METROPOLITANA II")</f>
      </c>
      <c r="C276" s="9">
        <f>IFERROR(__xludf.DUMMYFUNCTION("""COMPUTED_VALUE"""),"CE VILA GUARANI")</f>
      </c>
      <c r="D276" s="10">
        <f>IFERROR(__xludf.DUMMYFUNCTION("""COMPUTED_VALUE"""),0.5778)</f>
      </c>
      <c r="E276" s="11">
        <f>IFERROR(__xludf.DUMMYFUNCTION("""COMPUTED_VALUE"""),89.23)</f>
      </c>
      <c r="F276" s="10">
        <f>IFERROR(__xludf.DUMMYFUNCTION("""COMPUTED_VALUE"""),0.5778)</f>
      </c>
      <c r="G276" s="11">
        <f>IFERROR(__xludf.DUMMYFUNCTION("""COMPUTED_VALUE"""),303.08)</f>
      </c>
      <c r="H276" s="10">
        <f>IFERROR(__xludf.DUMMYFUNCTION("""COMPUTED_VALUE"""),0.6667)</f>
      </c>
      <c r="I276" s="11">
        <f>IFERROR(__xludf.DUMMYFUNCTION("""COMPUTED_VALUE"""),382.67)</f>
      </c>
      <c r="J276" s="10">
        <f>IFERROR(__xludf.DUMMYFUNCTION("""COMPUTED_VALUE"""),0.7333)</f>
      </c>
      <c r="K276" s="11">
        <f>IFERROR(__xludf.DUMMYFUNCTION("""COMPUTED_VALUE"""),224.0)</f>
      </c>
      <c r="L276" s="10">
        <f>IFERROR(__xludf.DUMMYFUNCTION("""COMPUTED_VALUE"""),0.5556)</f>
      </c>
      <c r="M276" s="11">
        <f>IFERROR(__xludf.DUMMYFUNCTION("""COMPUTED_VALUE"""),380.0)</f>
      </c>
      <c r="N276" s="10">
        <f>IFERROR(__xludf.DUMMYFUNCTION("""COMPUTED_VALUE"""),0.5778)</f>
      </c>
      <c r="O276" s="11">
        <f>IFERROR(__xludf.DUMMYFUNCTION("""COMPUTED_VALUE"""),403.08)</f>
      </c>
      <c r="P276" s="12"/>
      <c r="Q276" s="12"/>
      <c r="R276" s="15"/>
      <c r="S276" s="12"/>
      <c r="T276" s="12"/>
      <c r="U276" s="12"/>
      <c r="V276" s="12"/>
      <c r="W276" s="12"/>
      <c r="X276" s="12"/>
      <c r="Y276" s="12"/>
      <c r="Z276" s="12"/>
    </row>
    <row x14ac:dyDescent="0.25" r="277" customHeight="1" ht="15.75">
      <c r="A277" s="8">
        <f>IFERROR(__xludf.DUMMYFUNCTION("""COMPUTED_VALUE"""),25657.0)</f>
      </c>
      <c r="B277" s="9">
        <f>IFERROR(__xludf.DUMMYFUNCTION("""COMPUTED_VALUE"""),"METROPOLITANA II")</f>
      </c>
      <c r="C277" s="9">
        <f>IFERROR(__xludf.DUMMYFUNCTION("""COMPUTED_VALUE"""),"CE VISCONDE DE ITABORAÍ")</f>
      </c>
      <c r="D277" s="10">
        <f>IFERROR(__xludf.DUMMYFUNCTION("""COMPUTED_VALUE"""),0.6671)</f>
      </c>
      <c r="E277" s="11">
        <f>IFERROR(__xludf.DUMMYFUNCTION("""COMPUTED_VALUE"""),292.37)</f>
      </c>
      <c r="F277" s="10">
        <f>IFERROR(__xludf.DUMMYFUNCTION("""COMPUTED_VALUE"""),0.4161)</f>
      </c>
      <c r="G277" s="11">
        <f>IFERROR(__xludf.DUMMYFUNCTION("""COMPUTED_VALUE"""),476.85)</f>
      </c>
      <c r="H277" s="10">
        <f>IFERROR(__xludf.DUMMYFUNCTION("""COMPUTED_VALUE"""),0.6221)</f>
      </c>
      <c r="I277" s="11">
        <f>IFERROR(__xludf.DUMMYFUNCTION("""COMPUTED_VALUE"""),432.7)</f>
      </c>
      <c r="J277" s="10">
        <f>IFERROR(__xludf.DUMMYFUNCTION("""COMPUTED_VALUE"""),0.6082)</f>
      </c>
      <c r="K277" s="11">
        <f>IFERROR(__xludf.DUMMYFUNCTION("""COMPUTED_VALUE"""),326.72)</f>
      </c>
      <c r="L277" s="10">
        <f>IFERROR(__xludf.DUMMYFUNCTION("""COMPUTED_VALUE"""),0.5789)</f>
      </c>
      <c r="M277" s="11">
        <f>IFERROR(__xludf.DUMMYFUNCTION("""COMPUTED_VALUE"""),371.5)</f>
      </c>
      <c r="N277" s="10">
        <f>IFERROR(__xludf.DUMMYFUNCTION("""COMPUTED_VALUE"""),0.6158)</f>
      </c>
      <c r="O277" s="11">
        <f>IFERROR(__xludf.DUMMYFUNCTION("""COMPUTED_VALUE"""),320.98)</f>
      </c>
      <c r="P277" s="12"/>
      <c r="Q277" s="12"/>
      <c r="R277" s="15"/>
      <c r="S277" s="12"/>
      <c r="T277" s="12"/>
      <c r="U277" s="12"/>
      <c r="V277" s="12"/>
      <c r="W277" s="12"/>
      <c r="X277" s="12"/>
      <c r="Y277" s="12"/>
      <c r="Z277" s="12"/>
    </row>
    <row x14ac:dyDescent="0.25" r="278" customHeight="1" ht="15.75">
      <c r="A278" s="8">
        <f>IFERROR(__xludf.DUMMYFUNCTION("""COMPUTED_VALUE"""),25708.0)</f>
      </c>
      <c r="B278" s="9">
        <f>IFERROR(__xludf.DUMMYFUNCTION("""COMPUTED_VALUE"""),"METROPOLITANA II")</f>
      </c>
      <c r="C278" s="9">
        <f>IFERROR(__xludf.DUMMYFUNCTION("""COMPUTED_VALUE"""),"CE VITAL BRASIL")</f>
      </c>
      <c r="D278" s="10">
        <f>IFERROR(__xludf.DUMMYFUNCTION("""COMPUTED_VALUE"""),1.0)</f>
      </c>
      <c r="E278" s="11">
        <f>IFERROR(__xludf.DUMMYFUNCTION("""COMPUTED_VALUE"""),231.62)</f>
      </c>
      <c r="F278" s="10">
        <f>IFERROR(__xludf.DUMMYFUNCTION("""COMPUTED_VALUE"""),0.9905)</f>
      </c>
      <c r="G278" s="11">
        <f>IFERROR(__xludf.DUMMYFUNCTION("""COMPUTED_VALUE"""),219.57)</f>
      </c>
      <c r="H278" s="10">
        <f>IFERROR(__xludf.DUMMYFUNCTION("""COMPUTED_VALUE"""),0.4961)</f>
      </c>
      <c r="I278" s="11">
        <f>IFERROR(__xludf.DUMMYFUNCTION("""COMPUTED_VALUE"""),427.3)</f>
      </c>
      <c r="J278" s="10">
        <f>IFERROR(__xludf.DUMMYFUNCTION("""COMPUTED_VALUE"""),0.6589)</f>
      </c>
      <c r="K278" s="11">
        <f>IFERROR(__xludf.DUMMYFUNCTION("""COMPUTED_VALUE"""),317.0)</f>
      </c>
      <c r="L278" s="10">
        <f>IFERROR(__xludf.DUMMYFUNCTION("""COMPUTED_VALUE"""),0.7287)</f>
      </c>
      <c r="M278" s="11">
        <f>IFERROR(__xludf.DUMMYFUNCTION("""COMPUTED_VALUE"""),396.48)</f>
      </c>
      <c r="N278" s="10">
        <f>IFERROR(__xludf.DUMMYFUNCTION("""COMPUTED_VALUE"""),0.7829)</f>
      </c>
      <c r="O278" s="11">
        <f>IFERROR(__xludf.DUMMYFUNCTION("""COMPUTED_VALUE"""),432.4)</f>
      </c>
      <c r="P278" s="12"/>
      <c r="Q278" s="12"/>
      <c r="R278" s="15"/>
      <c r="S278" s="12"/>
      <c r="T278" s="12"/>
      <c r="U278" s="12"/>
      <c r="V278" s="12"/>
      <c r="W278" s="12"/>
      <c r="X278" s="12"/>
      <c r="Y278" s="12"/>
      <c r="Z278" s="12"/>
    </row>
    <row x14ac:dyDescent="0.25" r="279" customHeight="1" ht="15.75">
      <c r="A279" s="8">
        <f>IFERROR(__xludf.DUMMYFUNCTION("""COMPUTED_VALUE"""),25709.0)</f>
      </c>
      <c r="B279" s="9">
        <f>IFERROR(__xludf.DUMMYFUNCTION("""COMPUTED_VALUE"""),"METROPOLITANA II")</f>
      </c>
      <c r="C279" s="9">
        <f>IFERROR(__xludf.DUMMYFUNCTION("""COMPUTED_VALUE"""),"CE WALTER ORLANDINE")</f>
      </c>
      <c r="D279" s="10">
        <f>IFERROR(__xludf.DUMMYFUNCTION("""COMPUTED_VALUE"""),0.6316)</f>
      </c>
      <c r="E279" s="11">
        <f>IFERROR(__xludf.DUMMYFUNCTION("""COMPUTED_VALUE"""),369.7)</f>
      </c>
      <c r="F279" s="10">
        <f>IFERROR(__xludf.DUMMYFUNCTION("""COMPUTED_VALUE"""),0.6066)</f>
      </c>
      <c r="G279" s="11">
        <f>IFERROR(__xludf.DUMMYFUNCTION("""COMPUTED_VALUE"""),427.27)</f>
      </c>
      <c r="H279" s="10">
        <f>IFERROR(__xludf.DUMMYFUNCTION("""COMPUTED_VALUE"""),0.5961)</f>
      </c>
      <c r="I279" s="11">
        <f>IFERROR(__xludf.DUMMYFUNCTION("""COMPUTED_VALUE"""),324.36)</f>
      </c>
      <c r="J279" s="10">
        <f>IFERROR(__xludf.DUMMYFUNCTION("""COMPUTED_VALUE"""),0.4658)</f>
      </c>
      <c r="K279" s="11">
        <f>IFERROR(__xludf.DUMMYFUNCTION("""COMPUTED_VALUE"""),279.88)</f>
      </c>
      <c r="L279" s="10">
        <f>IFERROR(__xludf.DUMMYFUNCTION("""COMPUTED_VALUE"""),0.6711)</f>
      </c>
      <c r="M279" s="11">
        <f>IFERROR(__xludf.DUMMYFUNCTION("""COMPUTED_VALUE"""),319.37)</f>
      </c>
      <c r="N279" s="10">
        <f>IFERROR(__xludf.DUMMYFUNCTION("""COMPUTED_VALUE"""),0.575)</f>
      </c>
      <c r="O279" s="11">
        <f>IFERROR(__xludf.DUMMYFUNCTION("""COMPUTED_VALUE"""),261.43)</f>
      </c>
      <c r="P279" s="12"/>
      <c r="Q279" s="12"/>
      <c r="R279" s="15"/>
      <c r="S279" s="12"/>
      <c r="T279" s="12"/>
      <c r="U279" s="12"/>
      <c r="V279" s="12"/>
      <c r="W279" s="12"/>
      <c r="X279" s="12"/>
      <c r="Y279" s="12"/>
      <c r="Z279" s="12"/>
    </row>
    <row x14ac:dyDescent="0.25" r="280" customHeight="1" ht="15.75">
      <c r="A280" s="8">
        <f>IFERROR(__xludf.DUMMYFUNCTION("""COMPUTED_VALUE"""),25712.0)</f>
      </c>
      <c r="B280" s="9">
        <f>IFERROR(__xludf.DUMMYFUNCTION("""COMPUTED_VALUE"""),"METROPOLITANA II")</f>
      </c>
      <c r="C280" s="9">
        <f>IFERROR(__xludf.DUMMYFUNCTION("""COMPUTED_VALUE"""),"CIEP 050 PABLO NERUDA")</f>
      </c>
      <c r="D280" s="10">
        <f>IFERROR(__xludf.DUMMYFUNCTION("""COMPUTED_VALUE"""),0.7396)</f>
      </c>
      <c r="E280" s="11">
        <f>IFERROR(__xludf.DUMMYFUNCTION("""COMPUTED_VALUE"""),194.37)</f>
      </c>
      <c r="F280" s="10">
        <f>IFERROR(__xludf.DUMMYFUNCTION("""COMPUTED_VALUE"""),0.6875)</f>
      </c>
      <c r="G280" s="11">
        <f>IFERROR(__xludf.DUMMYFUNCTION("""COMPUTED_VALUE"""),341.82)</f>
      </c>
      <c r="H280" s="10">
        <f>IFERROR(__xludf.DUMMYFUNCTION("""COMPUTED_VALUE"""),0.7083)</f>
      </c>
      <c r="I280" s="11">
        <f>IFERROR(__xludf.DUMMYFUNCTION("""COMPUTED_VALUE"""),361.19)</f>
      </c>
      <c r="J280" s="10">
        <f>IFERROR(__xludf.DUMMYFUNCTION("""COMPUTED_VALUE"""),0.5833)</f>
      </c>
      <c r="K280" s="11">
        <f>IFERROR(__xludf.DUMMYFUNCTION("""COMPUTED_VALUE"""),250.0)</f>
      </c>
      <c r="L280" s="10">
        <f>IFERROR(__xludf.DUMMYFUNCTION("""COMPUTED_VALUE"""),0.4688)</f>
      </c>
      <c r="M280" s="11">
        <f>IFERROR(__xludf.DUMMYFUNCTION("""COMPUTED_VALUE"""),310.91)</f>
      </c>
      <c r="N280" s="10">
        <f>IFERROR(__xludf.DUMMYFUNCTION("""COMPUTED_VALUE"""),0.5938)</f>
      </c>
      <c r="O280" s="11">
        <f>IFERROR(__xludf.DUMMYFUNCTION("""COMPUTED_VALUE"""),352.14)</f>
      </c>
      <c r="P280" s="12"/>
      <c r="Q280" s="12"/>
      <c r="R280" s="15"/>
      <c r="S280" s="12"/>
      <c r="T280" s="12"/>
      <c r="U280" s="12"/>
      <c r="V280" s="12"/>
      <c r="W280" s="12"/>
      <c r="X280" s="12"/>
      <c r="Y280" s="12"/>
      <c r="Z280" s="12"/>
    </row>
    <row x14ac:dyDescent="0.25" r="281" customHeight="1" ht="15.75">
      <c r="A281" s="8">
        <f>IFERROR(__xludf.DUMMYFUNCTION("""COMPUTED_VALUE"""),25713.0)</f>
      </c>
      <c r="B281" s="9">
        <f>IFERROR(__xludf.DUMMYFUNCTION("""COMPUTED_VALUE"""),"METROPOLITANA II")</f>
      </c>
      <c r="C281" s="9">
        <f>IFERROR(__xludf.DUMMYFUNCTION("""COMPUTED_VALUE"""),"CIEP 052 PROFESSORA ROMANDA GOUVEIA GONÇALVES")</f>
      </c>
      <c r="D281" s="10">
        <f>IFERROR(__xludf.DUMMYFUNCTION("""COMPUTED_VALUE"""),0.6944)</f>
      </c>
      <c r="E281" s="11">
        <f>IFERROR(__xludf.DUMMYFUNCTION("""COMPUTED_VALUE"""),454.4)</f>
      </c>
      <c r="F281" s="10">
        <f>IFERROR(__xludf.DUMMYFUNCTION("""COMPUTED_VALUE"""),0.7222)</f>
      </c>
      <c r="G281" s="11">
        <f>IFERROR(__xludf.DUMMYFUNCTION("""COMPUTED_VALUE"""),423.08)</f>
      </c>
      <c r="H281" s="10">
        <f>IFERROR(__xludf.DUMMYFUNCTION("""COMPUTED_VALUE"""),0.4)</f>
      </c>
      <c r="I281" s="11">
        <f>IFERROR(__xludf.DUMMYFUNCTION("""COMPUTED_VALUE"""),472.0)</f>
      </c>
      <c r="J281" s="10">
        <f>IFERROR(__xludf.DUMMYFUNCTION("""COMPUTED_VALUE"""),0.55)</f>
      </c>
      <c r="K281" s="11">
        <f>IFERROR(__xludf.DUMMYFUNCTION("""COMPUTED_VALUE"""),308.83)</f>
      </c>
      <c r="L281" s="10">
        <f>IFERROR(__xludf.DUMMYFUNCTION("""COMPUTED_VALUE"""),0.4)</f>
      </c>
      <c r="M281" s="11">
        <f>IFERROR(__xludf.DUMMYFUNCTION("""COMPUTED_VALUE"""),"----")</f>
      </c>
      <c r="N281" s="10">
        <f>IFERROR(__xludf.DUMMYFUNCTION("""COMPUTED_VALUE"""),0.0)</f>
      </c>
      <c r="O281" s="11">
        <f>IFERROR(__xludf.DUMMYFUNCTION("""COMPUTED_VALUE"""),"----")</f>
      </c>
      <c r="P281" s="12"/>
      <c r="Q281" s="12"/>
      <c r="R281" s="15"/>
      <c r="S281" s="12"/>
      <c r="T281" s="12"/>
      <c r="U281" s="12"/>
      <c r="V281" s="12"/>
      <c r="W281" s="12"/>
      <c r="X281" s="12"/>
      <c r="Y281" s="12"/>
      <c r="Z281" s="12"/>
    </row>
    <row x14ac:dyDescent="0.25" r="282" customHeight="1" ht="15.75">
      <c r="A282" s="8">
        <f>IFERROR(__xludf.DUMMYFUNCTION("""COMPUTED_VALUE"""),25714.0)</f>
      </c>
      <c r="B282" s="9">
        <f>IFERROR(__xludf.DUMMYFUNCTION("""COMPUTED_VALUE"""),"METROPOLITANA II")</f>
      </c>
      <c r="C282" s="9">
        <f>IFERROR(__xludf.DUMMYFUNCTION("""COMPUTED_VALUE"""),"CIEP 121 PROFESSOR JOADELIO CODECO")</f>
      </c>
      <c r="D282" s="10">
        <f>IFERROR(__xludf.DUMMYFUNCTION("""COMPUTED_VALUE"""),0.9532)</f>
      </c>
      <c r="E282" s="11">
        <f>IFERROR(__xludf.DUMMYFUNCTION("""COMPUTED_VALUE"""),136.93)</f>
      </c>
      <c r="F282" s="10">
        <f>IFERROR(__xludf.DUMMYFUNCTION("""COMPUTED_VALUE"""),0.7251)</f>
      </c>
      <c r="G282" s="11">
        <f>IFERROR(__xludf.DUMMYFUNCTION("""COMPUTED_VALUE"""),332.86)</f>
      </c>
      <c r="H282" s="10">
        <f>IFERROR(__xludf.DUMMYFUNCTION("""COMPUTED_VALUE"""),0.5728)</f>
      </c>
      <c r="I282" s="11">
        <f>IFERROR(__xludf.DUMMYFUNCTION("""COMPUTED_VALUE"""),374.21)</f>
      </c>
      <c r="J282" s="10">
        <f>IFERROR(__xludf.DUMMYFUNCTION("""COMPUTED_VALUE"""),0.6703)</f>
      </c>
      <c r="K282" s="11">
        <f>IFERROR(__xludf.DUMMYFUNCTION("""COMPUTED_VALUE"""),292.58)</f>
      </c>
      <c r="L282" s="10">
        <f>IFERROR(__xludf.DUMMYFUNCTION("""COMPUTED_VALUE"""),0.6009)</f>
      </c>
      <c r="M282" s="11">
        <f>IFERROR(__xludf.DUMMYFUNCTION("""COMPUTED_VALUE"""),383.02)</f>
      </c>
      <c r="N282" s="10">
        <f>IFERROR(__xludf.DUMMYFUNCTION("""COMPUTED_VALUE"""),0.6338)</f>
      </c>
      <c r="O282" s="11">
        <f>IFERROR(__xludf.DUMMYFUNCTION("""COMPUTED_VALUE"""),395.93)</f>
      </c>
      <c r="P282" s="12"/>
      <c r="Q282" s="12"/>
      <c r="R282" s="15"/>
      <c r="S282" s="12"/>
      <c r="T282" s="12"/>
      <c r="U282" s="12"/>
      <c r="V282" s="12"/>
      <c r="W282" s="12"/>
      <c r="X282" s="12"/>
      <c r="Y282" s="12"/>
      <c r="Z282" s="12"/>
    </row>
    <row x14ac:dyDescent="0.25" r="283" customHeight="1" ht="15.75">
      <c r="A283" s="8">
        <f>IFERROR(__xludf.DUMMYFUNCTION("""COMPUTED_VALUE"""),25715.0)</f>
      </c>
      <c r="B283" s="9">
        <f>IFERROR(__xludf.DUMMYFUNCTION("""COMPUTED_VALUE"""),"METROPOLITANA II")</f>
      </c>
      <c r="C283" s="9">
        <f>IFERROR(__xludf.DUMMYFUNCTION("""COMPUTED_VALUE"""),"CIEP 122 ERMEZINDA DIONISIO NECCO")</f>
      </c>
      <c r="D283" s="10">
        <f>IFERROR(__xludf.DUMMYFUNCTION("""COMPUTED_VALUE"""),0.6484)</f>
      </c>
      <c r="E283" s="11">
        <f>IFERROR(__xludf.DUMMYFUNCTION("""COMPUTED_VALUE"""),304.17)</f>
      </c>
      <c r="F283" s="10">
        <f>IFERROR(__xludf.DUMMYFUNCTION("""COMPUTED_VALUE"""),0.4795)</f>
      </c>
      <c r="G283" s="11">
        <f>IFERROR(__xludf.DUMMYFUNCTION("""COMPUTED_VALUE"""),410.9)</f>
      </c>
      <c r="H283" s="10">
        <f>IFERROR(__xludf.DUMMYFUNCTION("""COMPUTED_VALUE"""),0.449)</f>
      </c>
      <c r="I283" s="11">
        <f>IFERROR(__xludf.DUMMYFUNCTION("""COMPUTED_VALUE"""),396.06)</f>
      </c>
      <c r="J283" s="10">
        <f>IFERROR(__xludf.DUMMYFUNCTION("""COMPUTED_VALUE"""),0.4495)</f>
      </c>
      <c r="K283" s="11">
        <f>IFERROR(__xludf.DUMMYFUNCTION("""COMPUTED_VALUE"""),"----")</f>
      </c>
      <c r="L283" s="10">
        <f>IFERROR(__xludf.DUMMYFUNCTION("""COMPUTED_VALUE"""),0.4)</f>
      </c>
      <c r="M283" s="11">
        <f>IFERROR(__xludf.DUMMYFUNCTION("""COMPUTED_VALUE"""),410.2)</f>
      </c>
      <c r="N283" s="10">
        <f>IFERROR(__xludf.DUMMYFUNCTION("""COMPUTED_VALUE"""),0.3143)</f>
      </c>
      <c r="O283" s="11">
        <f>IFERROR(__xludf.DUMMYFUNCTION("""COMPUTED_VALUE"""),432.21)</f>
      </c>
      <c r="P283" s="12"/>
      <c r="Q283" s="12"/>
      <c r="R283" s="15"/>
      <c r="S283" s="12"/>
      <c r="T283" s="12"/>
      <c r="U283" s="12"/>
      <c r="V283" s="12"/>
      <c r="W283" s="12"/>
      <c r="X283" s="12"/>
      <c r="Y283" s="12"/>
      <c r="Z283" s="12"/>
    </row>
    <row x14ac:dyDescent="0.25" r="284" customHeight="1" ht="15.75">
      <c r="A284" s="8">
        <f>IFERROR(__xludf.DUMMYFUNCTION("""COMPUTED_VALUE"""),25716.0)</f>
      </c>
      <c r="B284" s="9">
        <f>IFERROR(__xludf.DUMMYFUNCTION("""COMPUTED_VALUE"""),"METROPOLITANA II")</f>
      </c>
      <c r="C284" s="9">
        <f>IFERROR(__xludf.DUMMYFUNCTION("""COMPUTED_VALUE"""),"CIEP 126 ALMEDORINA AZEREDO")</f>
      </c>
      <c r="D284" s="10">
        <f>IFERROR(__xludf.DUMMYFUNCTION("""COMPUTED_VALUE"""),0.5)</f>
      </c>
      <c r="E284" s="11">
        <f>IFERROR(__xludf.DUMMYFUNCTION("""COMPUTED_VALUE"""),256.77)</f>
      </c>
      <c r="F284" s="10">
        <f>IFERROR(__xludf.DUMMYFUNCTION("""COMPUTED_VALUE"""),0.2419)</f>
      </c>
      <c r="G284" s="11">
        <f>IFERROR(__xludf.DUMMYFUNCTION("""COMPUTED_VALUE"""),306.42)</f>
      </c>
      <c r="H284" s="10">
        <f>IFERROR(__xludf.DUMMYFUNCTION("""COMPUTED_VALUE"""),0.4505)</f>
      </c>
      <c r="I284" s="11">
        <f>IFERROR(__xludf.DUMMYFUNCTION("""COMPUTED_VALUE"""),407.92)</f>
      </c>
      <c r="J284" s="10">
        <f>IFERROR(__xludf.DUMMYFUNCTION("""COMPUTED_VALUE"""),0.4824)</f>
      </c>
      <c r="K284" s="11">
        <f>IFERROR(__xludf.DUMMYFUNCTION("""COMPUTED_VALUE"""),292.03)</f>
      </c>
      <c r="L284" s="10">
        <f>IFERROR(__xludf.DUMMYFUNCTION("""COMPUTED_VALUE"""),0.2252)</f>
      </c>
      <c r="M284" s="11">
        <f>IFERROR(__xludf.DUMMYFUNCTION("""COMPUTED_VALUE"""),"----")</f>
      </c>
      <c r="N284" s="10">
        <f>IFERROR(__xludf.DUMMYFUNCTION("""COMPUTED_VALUE"""),0.2252)</f>
      </c>
      <c r="O284" s="11">
        <f>IFERROR(__xludf.DUMMYFUNCTION("""COMPUTED_VALUE"""),"----")</f>
      </c>
      <c r="P284" s="12"/>
      <c r="Q284" s="12"/>
      <c r="R284" s="15"/>
      <c r="S284" s="12"/>
      <c r="T284" s="12"/>
      <c r="U284" s="12"/>
      <c r="V284" s="12"/>
      <c r="W284" s="12"/>
      <c r="X284" s="12"/>
      <c r="Y284" s="12"/>
      <c r="Z284" s="12"/>
    </row>
    <row x14ac:dyDescent="0.25" r="285" customHeight="1" ht="15.75">
      <c r="A285" s="8">
        <f>IFERROR(__xludf.DUMMYFUNCTION("""COMPUTED_VALUE"""),25659.0)</f>
      </c>
      <c r="B285" s="9">
        <f>IFERROR(__xludf.DUMMYFUNCTION("""COMPUTED_VALUE"""),"METROPOLITANA II")</f>
      </c>
      <c r="C285" s="9">
        <f>IFERROR(__xludf.DUMMYFUNCTION("""COMPUTED_VALUE"""),"CIEP 129 JOSE MARIA NANCI")</f>
      </c>
      <c r="D285" s="10">
        <f>IFERROR(__xludf.DUMMYFUNCTION("""COMPUTED_VALUE"""),0.9755)</f>
      </c>
      <c r="E285" s="11">
        <f>IFERROR(__xludf.DUMMYFUNCTION("""COMPUTED_VALUE"""),194.77)</f>
      </c>
      <c r="F285" s="10">
        <f>IFERROR(__xludf.DUMMYFUNCTION("""COMPUTED_VALUE"""),0.9608)</f>
      </c>
      <c r="G285" s="11">
        <f>IFERROR(__xludf.DUMMYFUNCTION("""COMPUTED_VALUE"""),239.2)</f>
      </c>
      <c r="H285" s="10">
        <f>IFERROR(__xludf.DUMMYFUNCTION("""COMPUTED_VALUE"""),0.6029)</f>
      </c>
      <c r="I285" s="11">
        <f>IFERROR(__xludf.DUMMYFUNCTION("""COMPUTED_VALUE"""),357.39)</f>
      </c>
      <c r="J285" s="10">
        <f>IFERROR(__xludf.DUMMYFUNCTION("""COMPUTED_VALUE"""),0.623)</f>
      </c>
      <c r="K285" s="11">
        <f>IFERROR(__xludf.DUMMYFUNCTION("""COMPUTED_VALUE"""),312.91)</f>
      </c>
      <c r="L285" s="10">
        <f>IFERROR(__xludf.DUMMYFUNCTION("""COMPUTED_VALUE"""),0.5478)</f>
      </c>
      <c r="M285" s="11">
        <f>IFERROR(__xludf.DUMMYFUNCTION("""COMPUTED_VALUE"""),432.4)</f>
      </c>
      <c r="N285" s="10">
        <f>IFERROR(__xludf.DUMMYFUNCTION("""COMPUTED_VALUE"""),0.5956)</f>
      </c>
      <c r="O285" s="11">
        <f>IFERROR(__xludf.DUMMYFUNCTION("""COMPUTED_VALUE"""),420.97)</f>
      </c>
      <c r="P285" s="12"/>
      <c r="Q285" s="12"/>
      <c r="R285" s="15"/>
      <c r="S285" s="12"/>
      <c r="T285" s="12"/>
      <c r="U285" s="12"/>
      <c r="V285" s="12"/>
      <c r="W285" s="12"/>
      <c r="X285" s="12"/>
      <c r="Y285" s="12"/>
      <c r="Z285" s="12"/>
    </row>
    <row x14ac:dyDescent="0.25" r="286" customHeight="1" ht="15.75">
      <c r="A286" s="8">
        <f>IFERROR(__xludf.DUMMYFUNCTION("""COMPUTED_VALUE"""),25660.0)</f>
      </c>
      <c r="B286" s="9">
        <f>IFERROR(__xludf.DUMMYFUNCTION("""COMPUTED_VALUE"""),"METROPOLITANA II")</f>
      </c>
      <c r="C286" s="9">
        <f>IFERROR(__xludf.DUMMYFUNCTION("""COMPUTED_VALUE"""),"CIEP 130 DOUTOR ELIAS DE MIRANDA SARAIVA")</f>
      </c>
      <c r="D286" s="10">
        <f>IFERROR(__xludf.DUMMYFUNCTION("""COMPUTED_VALUE"""),0.8282)</f>
      </c>
      <c r="E286" s="11">
        <f>IFERROR(__xludf.DUMMYFUNCTION("""COMPUTED_VALUE"""),306.44)</f>
      </c>
      <c r="F286" s="10">
        <f>IFERROR(__xludf.DUMMYFUNCTION("""COMPUTED_VALUE"""),0.6706)</f>
      </c>
      <c r="G286" s="11">
        <f>IFERROR(__xludf.DUMMYFUNCTION("""COMPUTED_VALUE"""),390.25)</f>
      </c>
      <c r="H286" s="10">
        <f>IFERROR(__xludf.DUMMYFUNCTION("""COMPUTED_VALUE"""),0.7624)</f>
      </c>
      <c r="I286" s="11">
        <f>IFERROR(__xludf.DUMMYFUNCTION("""COMPUTED_VALUE"""),418.0)</f>
      </c>
      <c r="J286" s="10">
        <f>IFERROR(__xludf.DUMMYFUNCTION("""COMPUTED_VALUE"""),0.6047)</f>
      </c>
      <c r="K286" s="11">
        <f>IFERROR(__xludf.DUMMYFUNCTION("""COMPUTED_VALUE"""),310.24)</f>
      </c>
      <c r="L286" s="10">
        <f>IFERROR(__xludf.DUMMYFUNCTION("""COMPUTED_VALUE"""),0.5929)</f>
      </c>
      <c r="M286" s="11">
        <f>IFERROR(__xludf.DUMMYFUNCTION("""COMPUTED_VALUE"""),440.64)</f>
      </c>
      <c r="N286" s="10">
        <f>IFERROR(__xludf.DUMMYFUNCTION("""COMPUTED_VALUE"""),0.6306)</f>
      </c>
      <c r="O286" s="11">
        <f>IFERROR(__xludf.DUMMYFUNCTION("""COMPUTED_VALUE"""),438.8)</f>
      </c>
      <c r="P286" s="12"/>
      <c r="Q286" s="12"/>
      <c r="R286" s="15"/>
      <c r="S286" s="12"/>
      <c r="T286" s="12"/>
      <c r="U286" s="12"/>
      <c r="V286" s="12"/>
      <c r="W286" s="12"/>
      <c r="X286" s="12"/>
      <c r="Y286" s="12"/>
      <c r="Z286" s="12"/>
    </row>
    <row x14ac:dyDescent="0.25" r="287" customHeight="1" ht="15.75">
      <c r="A287" s="8">
        <f>IFERROR(__xludf.DUMMYFUNCTION("""COMPUTED_VALUE"""),25717.0)</f>
      </c>
      <c r="B287" s="9">
        <f>IFERROR(__xludf.DUMMYFUNCTION("""COMPUTED_VALUE"""),"METROPOLITANA II")</f>
      </c>
      <c r="C287" s="9">
        <f>IFERROR(__xludf.DUMMYFUNCTION("""COMPUTED_VALUE"""),"CIEP 238 DOUTOR ILTON FARIA DA COSTA")</f>
      </c>
      <c r="D287" s="10">
        <f>IFERROR(__xludf.DUMMYFUNCTION("""COMPUTED_VALUE"""),0.9572)</f>
      </c>
      <c r="E287" s="11">
        <f>IFERROR(__xludf.DUMMYFUNCTION("""COMPUTED_VALUE"""),157.54)</f>
      </c>
      <c r="F287" s="10">
        <f>IFERROR(__xludf.DUMMYFUNCTION("""COMPUTED_VALUE"""),0.6578)</f>
      </c>
      <c r="G287" s="11">
        <f>IFERROR(__xludf.DUMMYFUNCTION("""COMPUTED_VALUE"""),366.02)</f>
      </c>
      <c r="H287" s="10">
        <f>IFERROR(__xludf.DUMMYFUNCTION("""COMPUTED_VALUE"""),0.6239)</f>
      </c>
      <c r="I287" s="11">
        <f>IFERROR(__xludf.DUMMYFUNCTION("""COMPUTED_VALUE"""),439.72)</f>
      </c>
      <c r="J287" s="10">
        <f>IFERROR(__xludf.DUMMYFUNCTION("""COMPUTED_VALUE"""),0.7919)</f>
      </c>
      <c r="K287" s="11">
        <f>IFERROR(__xludf.DUMMYFUNCTION("""COMPUTED_VALUE"""),295.39)</f>
      </c>
      <c r="L287" s="10">
        <f>IFERROR(__xludf.DUMMYFUNCTION("""COMPUTED_VALUE"""),0.6947)</f>
      </c>
      <c r="M287" s="11">
        <f>IFERROR(__xludf.DUMMYFUNCTION("""COMPUTED_VALUE"""),391.22)</f>
      </c>
      <c r="N287" s="10">
        <f>IFERROR(__xludf.DUMMYFUNCTION("""COMPUTED_VALUE"""),0.646)</f>
      </c>
      <c r="O287" s="11">
        <f>IFERROR(__xludf.DUMMYFUNCTION("""COMPUTED_VALUE"""),434.94)</f>
      </c>
      <c r="P287" s="12"/>
      <c r="Q287" s="12"/>
      <c r="R287" s="15"/>
      <c r="S287" s="12"/>
      <c r="T287" s="12"/>
      <c r="U287" s="12"/>
      <c r="V287" s="12"/>
      <c r="W287" s="12"/>
      <c r="X287" s="12"/>
      <c r="Y287" s="12"/>
      <c r="Z287" s="12"/>
    </row>
    <row x14ac:dyDescent="0.25" r="288" customHeight="1" ht="15.75">
      <c r="A288" s="8">
        <f>IFERROR(__xludf.DUMMYFUNCTION("""COMPUTED_VALUE"""),25718.0)</f>
      </c>
      <c r="B288" s="9">
        <f>IFERROR(__xludf.DUMMYFUNCTION("""COMPUTED_VALUE"""),"METROPOLITANA II")</f>
      </c>
      <c r="C288" s="9">
        <f>IFERROR(__xludf.DUMMYFUNCTION("""COMPUTED_VALUE"""),"CIEP 239 PROFESSORA ELZA VIANNA FIALHO")</f>
      </c>
      <c r="D288" s="10">
        <f>IFERROR(__xludf.DUMMYFUNCTION("""COMPUTED_VALUE"""),0.7213)</f>
      </c>
      <c r="E288" s="11">
        <f>IFERROR(__xludf.DUMMYFUNCTION("""COMPUTED_VALUE"""),222.25)</f>
      </c>
      <c r="F288" s="10">
        <f>IFERROR(__xludf.DUMMYFUNCTION("""COMPUTED_VALUE"""),0.388)</f>
      </c>
      <c r="G288" s="11">
        <f>IFERROR(__xludf.DUMMYFUNCTION("""COMPUTED_VALUE"""),419.48)</f>
      </c>
      <c r="H288" s="10">
        <f>IFERROR(__xludf.DUMMYFUNCTION("""COMPUTED_VALUE"""),0.5021)</f>
      </c>
      <c r="I288" s="11">
        <f>IFERROR(__xludf.DUMMYFUNCTION("""COMPUTED_VALUE"""),437.68)</f>
      </c>
      <c r="J288" s="10">
        <f>IFERROR(__xludf.DUMMYFUNCTION("""COMPUTED_VALUE"""),0.47)</f>
      </c>
      <c r="K288" s="11">
        <f>IFERROR(__xludf.DUMMYFUNCTION("""COMPUTED_VALUE"""),309.97)</f>
      </c>
      <c r="L288" s="10">
        <f>IFERROR(__xludf.DUMMYFUNCTION("""COMPUTED_VALUE"""),0.4599)</f>
      </c>
      <c r="M288" s="11">
        <f>IFERROR(__xludf.DUMMYFUNCTION("""COMPUTED_VALUE"""),380.27)</f>
      </c>
      <c r="N288" s="10">
        <f>IFERROR(__xludf.DUMMYFUNCTION("""COMPUTED_VALUE"""),0.5021)</f>
      </c>
      <c r="O288" s="11">
        <f>IFERROR(__xludf.DUMMYFUNCTION("""COMPUTED_VALUE"""),406.73)</f>
      </c>
      <c r="P288" s="12"/>
      <c r="Q288" s="12"/>
      <c r="R288" s="15"/>
      <c r="S288" s="12"/>
      <c r="T288" s="12"/>
      <c r="U288" s="12"/>
      <c r="V288" s="12"/>
      <c r="W288" s="12"/>
      <c r="X288" s="12"/>
      <c r="Y288" s="12"/>
      <c r="Z288" s="12"/>
    </row>
    <row x14ac:dyDescent="0.25" r="289" customHeight="1" ht="15.75">
      <c r="A289" s="8">
        <f>IFERROR(__xludf.DUMMYFUNCTION("""COMPUTED_VALUE"""),25719.0)</f>
      </c>
      <c r="B289" s="9">
        <f>IFERROR(__xludf.DUMMYFUNCTION("""COMPUTED_VALUE"""),"METROPOLITANA II")</f>
      </c>
      <c r="C289" s="9">
        <f>IFERROR(__xludf.DUMMYFUNCTION("""COMPUTED_VALUE"""),"CIEP 240 PROFESSOR HAROLDO TEIXEIRA VALLADAO")</f>
      </c>
      <c r="D289" s="10">
        <f>IFERROR(__xludf.DUMMYFUNCTION("""COMPUTED_VALUE"""),0.8409)</f>
      </c>
      <c r="E289" s="11">
        <f>IFERROR(__xludf.DUMMYFUNCTION("""COMPUTED_VALUE"""),307.02)</f>
      </c>
      <c r="F289" s="10">
        <f>IFERROR(__xludf.DUMMYFUNCTION("""COMPUTED_VALUE"""),0.9773)</f>
      </c>
      <c r="G289" s="11">
        <f>IFERROR(__xludf.DUMMYFUNCTION("""COMPUTED_VALUE"""),330.66)</f>
      </c>
      <c r="H289" s="10">
        <f>IFERROR(__xludf.DUMMYFUNCTION("""COMPUTED_VALUE"""),0.7188)</f>
      </c>
      <c r="I289" s="11">
        <f>IFERROR(__xludf.DUMMYFUNCTION("""COMPUTED_VALUE"""),469.29)</f>
      </c>
      <c r="J289" s="10">
        <f>IFERROR(__xludf.DUMMYFUNCTION("""COMPUTED_VALUE"""),0.5738)</f>
      </c>
      <c r="K289" s="11">
        <f>IFERROR(__xludf.DUMMYFUNCTION("""COMPUTED_VALUE"""),297.24)</f>
      </c>
      <c r="L289" s="10">
        <f>IFERROR(__xludf.DUMMYFUNCTION("""COMPUTED_VALUE"""),0.75)</f>
      </c>
      <c r="M289" s="11">
        <f>IFERROR(__xludf.DUMMYFUNCTION("""COMPUTED_VALUE"""),378.56)</f>
      </c>
      <c r="N289" s="10">
        <f>IFERROR(__xludf.DUMMYFUNCTION("""COMPUTED_VALUE"""),0.7031)</f>
      </c>
      <c r="O289" s="11">
        <f>IFERROR(__xludf.DUMMYFUNCTION("""COMPUTED_VALUE"""),370.67)</f>
      </c>
      <c r="P289" s="12"/>
      <c r="Q289" s="12"/>
      <c r="R289" s="15"/>
      <c r="S289" s="12"/>
      <c r="T289" s="12"/>
      <c r="U289" s="12"/>
      <c r="V289" s="12"/>
      <c r="W289" s="12"/>
      <c r="X289" s="12"/>
      <c r="Y289" s="12"/>
      <c r="Z289" s="12"/>
    </row>
    <row x14ac:dyDescent="0.25" r="290" customHeight="1" ht="15.75">
      <c r="A290" s="8">
        <f>IFERROR(__xludf.DUMMYFUNCTION("""COMPUTED_VALUE"""),25720.0)</f>
      </c>
      <c r="B290" s="9">
        <f>IFERROR(__xludf.DUMMYFUNCTION("""COMPUTED_VALUE"""),"METROPOLITANA II")</f>
      </c>
      <c r="C290" s="9">
        <f>IFERROR(__xludf.DUMMYFUNCTION("""COMPUTED_VALUE"""),"CIEP 246 PROFESSORA ADALGISA CABRAL DE FARIA")</f>
      </c>
      <c r="D290" s="10">
        <f>IFERROR(__xludf.DUMMYFUNCTION("""COMPUTED_VALUE"""),0.8947)</f>
      </c>
      <c r="E290" s="11">
        <f>IFERROR(__xludf.DUMMYFUNCTION("""COMPUTED_VALUE"""),117.35)</f>
      </c>
      <c r="F290" s="10">
        <f>IFERROR(__xludf.DUMMYFUNCTION("""COMPUTED_VALUE"""),0.5789)</f>
      </c>
      <c r="G290" s="11">
        <f>IFERROR(__xludf.DUMMYFUNCTION("""COMPUTED_VALUE"""),340.98)</f>
      </c>
      <c r="H290" s="10">
        <f>IFERROR(__xludf.DUMMYFUNCTION("""COMPUTED_VALUE"""),0.4878)</f>
      </c>
      <c r="I290" s="11">
        <f>IFERROR(__xludf.DUMMYFUNCTION("""COMPUTED_VALUE"""),361.27)</f>
      </c>
      <c r="J290" s="10">
        <f>IFERROR(__xludf.DUMMYFUNCTION("""COMPUTED_VALUE"""),0.6066)</f>
      </c>
      <c r="K290" s="11">
        <f>IFERROR(__xludf.DUMMYFUNCTION("""COMPUTED_VALUE"""),230.5)</f>
      </c>
      <c r="L290" s="10">
        <f>IFERROR(__xludf.DUMMYFUNCTION("""COMPUTED_VALUE"""),0.5122)</f>
      </c>
      <c r="M290" s="11">
        <f>IFERROR(__xludf.DUMMYFUNCTION("""COMPUTED_VALUE"""),344.38)</f>
      </c>
      <c r="N290" s="10">
        <f>IFERROR(__xludf.DUMMYFUNCTION("""COMPUTED_VALUE"""),0.5024)</f>
      </c>
      <c r="O290" s="11">
        <f>IFERROR(__xludf.DUMMYFUNCTION("""COMPUTED_VALUE"""),344.82)</f>
      </c>
      <c r="P290" s="12"/>
      <c r="Q290" s="12"/>
      <c r="R290" s="15"/>
      <c r="S290" s="12"/>
      <c r="T290" s="12"/>
      <c r="U290" s="12"/>
      <c r="V290" s="12"/>
      <c r="W290" s="12"/>
      <c r="X290" s="12"/>
      <c r="Y290" s="12"/>
      <c r="Z290" s="12"/>
    </row>
    <row x14ac:dyDescent="0.25" r="291" customHeight="1" ht="15.75">
      <c r="A291" s="8">
        <f>IFERROR(__xludf.DUMMYFUNCTION("""COMPUTED_VALUE"""),25721.0)</f>
      </c>
      <c r="B291" s="9">
        <f>IFERROR(__xludf.DUMMYFUNCTION("""COMPUTED_VALUE"""),"METROPOLITANA II")</f>
      </c>
      <c r="C291" s="9">
        <f>IFERROR(__xludf.DUMMYFUNCTION("""COMPUTED_VALUE"""),"CIEP 248 PROFESSOR TULIO RODRIGUES PERLINGEIRO")</f>
      </c>
      <c r="D291" s="10">
        <f>IFERROR(__xludf.DUMMYFUNCTION("""COMPUTED_VALUE"""),1.0)</f>
      </c>
      <c r="E291" s="11">
        <f>IFERROR(__xludf.DUMMYFUNCTION("""COMPUTED_VALUE"""),200.0)</f>
      </c>
      <c r="F291" s="10">
        <f>IFERROR(__xludf.DUMMYFUNCTION("""COMPUTED_VALUE"""),0.7015)</f>
      </c>
      <c r="G291" s="11">
        <f>IFERROR(__xludf.DUMMYFUNCTION("""COMPUTED_VALUE"""),330.67)</f>
      </c>
      <c r="H291" s="10">
        <f>IFERROR(__xludf.DUMMYFUNCTION("""COMPUTED_VALUE"""),0.7463)</f>
      </c>
      <c r="I291" s="11">
        <f>IFERROR(__xludf.DUMMYFUNCTION("""COMPUTED_VALUE"""),340.0)</f>
      </c>
      <c r="J291" s="10">
        <f>IFERROR(__xludf.DUMMYFUNCTION("""COMPUTED_VALUE"""),0.7761)</f>
      </c>
      <c r="K291" s="11">
        <f>IFERROR(__xludf.DUMMYFUNCTION("""COMPUTED_VALUE"""),321.0)</f>
      </c>
      <c r="L291" s="10">
        <f>IFERROR(__xludf.DUMMYFUNCTION("""COMPUTED_VALUE"""),0.791)</f>
      </c>
      <c r="M291" s="11">
        <f>IFERROR(__xludf.DUMMYFUNCTION("""COMPUTED_VALUE"""),358.46)</f>
      </c>
      <c r="N291" s="10">
        <f>IFERROR(__xludf.DUMMYFUNCTION("""COMPUTED_VALUE"""),0.7612)</f>
      </c>
      <c r="O291" s="11">
        <f>IFERROR(__xludf.DUMMYFUNCTION("""COMPUTED_VALUE"""),396.0)</f>
      </c>
      <c r="P291" s="12"/>
      <c r="Q291" s="12"/>
      <c r="R291" s="15"/>
      <c r="S291" s="12"/>
      <c r="T291" s="12"/>
      <c r="U291" s="12"/>
      <c r="V291" s="12"/>
      <c r="W291" s="12"/>
      <c r="X291" s="12"/>
      <c r="Y291" s="12"/>
      <c r="Z291" s="12"/>
    </row>
    <row x14ac:dyDescent="0.25" r="292" customHeight="1" ht="15.75">
      <c r="A292" s="8">
        <f>IFERROR(__xludf.DUMMYFUNCTION("""COMPUTED_VALUE"""),25722.0)</f>
      </c>
      <c r="B292" s="9">
        <f>IFERROR(__xludf.DUMMYFUNCTION("""COMPUTED_VALUE"""),"METROPOLITANA II")</f>
      </c>
      <c r="C292" s="9">
        <f>IFERROR(__xludf.DUMMYFUNCTION("""COMPUTED_VALUE"""),"CIEP 249 PASTOR WALDEMAR ZARRO")</f>
      </c>
      <c r="D292" s="10">
        <f>IFERROR(__xludf.DUMMYFUNCTION("""COMPUTED_VALUE"""),0.7206)</f>
      </c>
      <c r="E292" s="11">
        <f>IFERROR(__xludf.DUMMYFUNCTION("""COMPUTED_VALUE"""),200.55)</f>
      </c>
      <c r="F292" s="10">
        <f>IFERROR(__xludf.DUMMYFUNCTION("""COMPUTED_VALUE"""),0.5101)</f>
      </c>
      <c r="G292" s="11">
        <f>IFERROR(__xludf.DUMMYFUNCTION("""COMPUTED_VALUE"""),"----")</f>
      </c>
      <c r="H292" s="10">
        <f>IFERROR(__xludf.DUMMYFUNCTION("""COMPUTED_VALUE"""),0.6498)</f>
      </c>
      <c r="I292" s="11">
        <f>IFERROR(__xludf.DUMMYFUNCTION("""COMPUTED_VALUE"""),315.2)</f>
      </c>
      <c r="J292" s="10">
        <f>IFERROR(__xludf.DUMMYFUNCTION("""COMPUTED_VALUE"""),0.6367)</f>
      </c>
      <c r="K292" s="11">
        <f>IFERROR(__xludf.DUMMYFUNCTION("""COMPUTED_VALUE"""),226.64)</f>
      </c>
      <c r="L292" s="10">
        <f>IFERROR(__xludf.DUMMYFUNCTION("""COMPUTED_VALUE"""),0.5185)</f>
      </c>
      <c r="M292" s="11">
        <f>IFERROR(__xludf.DUMMYFUNCTION("""COMPUTED_VALUE"""),369.99)</f>
      </c>
      <c r="N292" s="10">
        <f>IFERROR(__xludf.DUMMYFUNCTION("""COMPUTED_VALUE"""),0.4377)</f>
      </c>
      <c r="O292" s="11">
        <f>IFERROR(__xludf.DUMMYFUNCTION("""COMPUTED_VALUE"""),373.17)</f>
      </c>
      <c r="P292" s="12"/>
      <c r="Q292" s="12"/>
      <c r="R292" s="15"/>
      <c r="S292" s="12"/>
      <c r="T292" s="12"/>
      <c r="U292" s="12"/>
      <c r="V292" s="12"/>
      <c r="W292" s="12"/>
      <c r="X292" s="12"/>
      <c r="Y292" s="12"/>
      <c r="Z292" s="12"/>
    </row>
    <row x14ac:dyDescent="0.25" r="293" customHeight="1" ht="15.75">
      <c r="A293" s="8">
        <f>IFERROR(__xludf.DUMMYFUNCTION("""COMPUTED_VALUE"""),25744.0)</f>
      </c>
      <c r="B293" s="9">
        <f>IFERROR(__xludf.DUMMYFUNCTION("""COMPUTED_VALUE"""),"METROPOLITANA II")</f>
      </c>
      <c r="C293" s="9">
        <f>IFERROR(__xludf.DUMMYFUNCTION("""COMPUTED_VALUE"""),"CIEP 252 JOAO BAPTISTA CAFFARO")</f>
      </c>
      <c r="D293" s="10">
        <f>IFERROR(__xludf.DUMMYFUNCTION("""COMPUTED_VALUE"""),0.7857)</f>
      </c>
      <c r="E293" s="11">
        <f>IFERROR(__xludf.DUMMYFUNCTION("""COMPUTED_VALUE"""),338.99)</f>
      </c>
      <c r="F293" s="10">
        <f>IFERROR(__xludf.DUMMYFUNCTION("""COMPUTED_VALUE"""),0.6905)</f>
      </c>
      <c r="G293" s="11">
        <f>IFERROR(__xludf.DUMMYFUNCTION("""COMPUTED_VALUE"""),425.62)</f>
      </c>
      <c r="H293" s="10">
        <f>IFERROR(__xludf.DUMMYFUNCTION("""COMPUTED_VALUE"""),0.6801)</f>
      </c>
      <c r="I293" s="11">
        <f>IFERROR(__xludf.DUMMYFUNCTION("""COMPUTED_VALUE"""),461.04)</f>
      </c>
      <c r="J293" s="10">
        <f>IFERROR(__xludf.DUMMYFUNCTION("""COMPUTED_VALUE"""),0.6259)</f>
      </c>
      <c r="K293" s="11">
        <f>IFERROR(__xludf.DUMMYFUNCTION("""COMPUTED_VALUE"""),386.58)</f>
      </c>
      <c r="L293" s="10">
        <f>IFERROR(__xludf.DUMMYFUNCTION("""COMPUTED_VALUE"""),0.7019)</f>
      </c>
      <c r="M293" s="11">
        <f>IFERROR(__xludf.DUMMYFUNCTION("""COMPUTED_VALUE"""),429.92)</f>
      </c>
      <c r="N293" s="10">
        <f>IFERROR(__xludf.DUMMYFUNCTION("""COMPUTED_VALUE"""),0.382)</f>
      </c>
      <c r="O293" s="11">
        <f>IFERROR(__xludf.DUMMYFUNCTION("""COMPUTED_VALUE"""),366.28)</f>
      </c>
      <c r="P293" s="12"/>
      <c r="Q293" s="12"/>
      <c r="R293" s="15"/>
      <c r="S293" s="12"/>
      <c r="T293" s="12"/>
      <c r="U293" s="12"/>
      <c r="V293" s="12"/>
      <c r="W293" s="12"/>
      <c r="X293" s="12"/>
      <c r="Y293" s="12"/>
      <c r="Z293" s="12"/>
    </row>
    <row x14ac:dyDescent="0.25" r="294" customHeight="1" ht="15.75">
      <c r="A294" s="8">
        <f>IFERROR(__xludf.DUMMYFUNCTION("""COMPUTED_VALUE"""),25723.0)</f>
      </c>
      <c r="B294" s="9">
        <f>IFERROR(__xludf.DUMMYFUNCTION("""COMPUTED_VALUE"""),"METROPOLITANA II")</f>
      </c>
      <c r="C294" s="9">
        <f>IFERROR(__xludf.DUMMYFUNCTION("""COMPUTED_VALUE"""),"CIEP 306 DEPUTADO DAVID QUINDERÉ")</f>
      </c>
      <c r="D294" s="10">
        <f>IFERROR(__xludf.DUMMYFUNCTION("""COMPUTED_VALUE"""),0.717)</f>
      </c>
      <c r="E294" s="11">
        <f>IFERROR(__xludf.DUMMYFUNCTION("""COMPUTED_VALUE"""),384.13)</f>
      </c>
      <c r="F294" s="10">
        <f>IFERROR(__xludf.DUMMYFUNCTION("""COMPUTED_VALUE"""),0.717)</f>
      </c>
      <c r="G294" s="11">
        <f>IFERROR(__xludf.DUMMYFUNCTION("""COMPUTED_VALUE"""),418.66)</f>
      </c>
      <c r="H294" s="10">
        <f>IFERROR(__xludf.DUMMYFUNCTION("""COMPUTED_VALUE"""),0.557)</f>
      </c>
      <c r="I294" s="11">
        <f>IFERROR(__xludf.DUMMYFUNCTION("""COMPUTED_VALUE"""),402.29)</f>
      </c>
      <c r="J294" s="10">
        <f>IFERROR(__xludf.DUMMYFUNCTION("""COMPUTED_VALUE"""),0.6418)</f>
      </c>
      <c r="K294" s="11">
        <f>IFERROR(__xludf.DUMMYFUNCTION("""COMPUTED_VALUE"""),288.37)</f>
      </c>
      <c r="L294" s="10">
        <f>IFERROR(__xludf.DUMMYFUNCTION("""COMPUTED_VALUE"""),0.5063)</f>
      </c>
      <c r="M294" s="11">
        <f>IFERROR(__xludf.DUMMYFUNCTION("""COMPUTED_VALUE"""),450.0)</f>
      </c>
      <c r="N294" s="10">
        <f>IFERROR(__xludf.DUMMYFUNCTION("""COMPUTED_VALUE"""),0.557)</f>
      </c>
      <c r="O294" s="11">
        <f>IFERROR(__xludf.DUMMYFUNCTION("""COMPUTED_VALUE"""),410.0)</f>
      </c>
      <c r="P294" s="12"/>
      <c r="Q294" s="12"/>
      <c r="R294" s="15"/>
      <c r="S294" s="12"/>
      <c r="T294" s="12"/>
      <c r="U294" s="12"/>
      <c r="V294" s="12"/>
      <c r="W294" s="12"/>
      <c r="X294" s="12"/>
      <c r="Y294" s="12"/>
      <c r="Z294" s="12"/>
    </row>
    <row x14ac:dyDescent="0.25" r="295" customHeight="1" ht="15.75">
      <c r="A295" s="8">
        <f>IFERROR(__xludf.DUMMYFUNCTION("""COMPUTED_VALUE"""),25661.0)</f>
      </c>
      <c r="B295" s="9">
        <f>IFERROR(__xludf.DUMMYFUNCTION("""COMPUTED_VALUE"""),"METROPOLITANA II")</f>
      </c>
      <c r="C295" s="9">
        <f>IFERROR(__xludf.DUMMYFUNCTION("""COMPUTED_VALUE"""),"CIEP 308 PASCOAL CARLOS MAGNO")</f>
      </c>
      <c r="D295" s="10">
        <f>IFERROR(__xludf.DUMMYFUNCTION("""COMPUTED_VALUE"""),0.7941)</f>
      </c>
      <c r="E295" s="11">
        <f>IFERROR(__xludf.DUMMYFUNCTION("""COMPUTED_VALUE"""),195.77)</f>
      </c>
      <c r="F295" s="10">
        <f>IFERROR(__xludf.DUMMYFUNCTION("""COMPUTED_VALUE"""),0.5924)</f>
      </c>
      <c r="G295" s="11">
        <f>IFERROR(__xludf.DUMMYFUNCTION("""COMPUTED_VALUE"""),332.06)</f>
      </c>
      <c r="H295" s="10">
        <f>IFERROR(__xludf.DUMMYFUNCTION("""COMPUTED_VALUE"""),0.5126)</f>
      </c>
      <c r="I295" s="11">
        <f>IFERROR(__xludf.DUMMYFUNCTION("""COMPUTED_VALUE"""),400.21)</f>
      </c>
      <c r="J295" s="10">
        <f>IFERROR(__xludf.DUMMYFUNCTION("""COMPUTED_VALUE"""),0.4304)</f>
      </c>
      <c r="K295" s="11">
        <f>IFERROR(__xludf.DUMMYFUNCTION("""COMPUTED_VALUE"""),320.65)</f>
      </c>
      <c r="L295" s="10">
        <f>IFERROR(__xludf.DUMMYFUNCTION("""COMPUTED_VALUE"""),0.6282)</f>
      </c>
      <c r="M295" s="11">
        <f>IFERROR(__xludf.DUMMYFUNCTION("""COMPUTED_VALUE"""),364.33)</f>
      </c>
      <c r="N295" s="10">
        <f>IFERROR(__xludf.DUMMYFUNCTION("""COMPUTED_VALUE"""),0.5704)</f>
      </c>
      <c r="O295" s="11">
        <f>IFERROR(__xludf.DUMMYFUNCTION("""COMPUTED_VALUE"""),370.62)</f>
      </c>
      <c r="P295" s="12"/>
      <c r="Q295" s="12"/>
      <c r="R295" s="15"/>
      <c r="S295" s="12"/>
      <c r="T295" s="12"/>
      <c r="U295" s="12"/>
      <c r="V295" s="12"/>
      <c r="W295" s="12"/>
      <c r="X295" s="12"/>
      <c r="Y295" s="12"/>
      <c r="Z295" s="12"/>
    </row>
    <row x14ac:dyDescent="0.25" r="296" customHeight="1" ht="15.75">
      <c r="A296" s="8">
        <f>IFERROR(__xludf.DUMMYFUNCTION("""COMPUTED_VALUE"""),25724.0)</f>
      </c>
      <c r="B296" s="9">
        <f>IFERROR(__xludf.DUMMYFUNCTION("""COMPUTED_VALUE"""),"METROPOLITANA II")</f>
      </c>
      <c r="C296" s="9">
        <f>IFERROR(__xludf.DUMMYFUNCTION("""COMPUTED_VALUE"""),"CIEP 309 ZUZU ANGEL - BRASIL-COLÔMBIA")</f>
      </c>
      <c r="D296" s="10">
        <f>IFERROR(__xludf.DUMMYFUNCTION("""COMPUTED_VALUE"""),0.74)</f>
      </c>
      <c r="E296" s="11">
        <f>IFERROR(__xludf.DUMMYFUNCTION("""COMPUTED_VALUE"""),225.41)</f>
      </c>
      <c r="F296" s="10">
        <f>IFERROR(__xludf.DUMMYFUNCTION("""COMPUTED_VALUE"""),0.5)</f>
      </c>
      <c r="G296" s="11">
        <f>IFERROR(__xludf.DUMMYFUNCTION("""COMPUTED_VALUE"""),413.6)</f>
      </c>
      <c r="H296" s="10">
        <f>IFERROR(__xludf.DUMMYFUNCTION("""COMPUTED_VALUE"""),0.319)</f>
      </c>
      <c r="I296" s="11">
        <f>IFERROR(__xludf.DUMMYFUNCTION("""COMPUTED_VALUE"""),445.97)</f>
      </c>
      <c r="J296" s="10">
        <f>IFERROR(__xludf.DUMMYFUNCTION("""COMPUTED_VALUE"""),0.64)</f>
      </c>
      <c r="K296" s="11">
        <f>IFERROR(__xludf.DUMMYFUNCTION("""COMPUTED_VALUE"""),331.4)</f>
      </c>
      <c r="L296" s="10">
        <f>IFERROR(__xludf.DUMMYFUNCTION("""COMPUTED_VALUE"""),0.4143)</f>
      </c>
      <c r="M296" s="11">
        <f>IFERROR(__xludf.DUMMYFUNCTION("""COMPUTED_VALUE"""),407.82)</f>
      </c>
      <c r="N296" s="10">
        <f>IFERROR(__xludf.DUMMYFUNCTION("""COMPUTED_VALUE"""),0.4143)</f>
      </c>
      <c r="O296" s="11">
        <f>IFERROR(__xludf.DUMMYFUNCTION("""COMPUTED_VALUE"""),402.3)</f>
      </c>
      <c r="P296" s="12"/>
      <c r="Q296" s="12"/>
      <c r="R296" s="15"/>
      <c r="S296" s="12"/>
      <c r="T296" s="12"/>
      <c r="U296" s="12"/>
      <c r="V296" s="12"/>
      <c r="W296" s="12"/>
      <c r="X296" s="12"/>
      <c r="Y296" s="12"/>
      <c r="Z296" s="12"/>
    </row>
    <row x14ac:dyDescent="0.25" r="297" customHeight="1" ht="15.75">
      <c r="A297" s="8">
        <f>IFERROR(__xludf.DUMMYFUNCTION("""COMPUTED_VALUE"""),25725.0)</f>
      </c>
      <c r="B297" s="9">
        <f>IFERROR(__xludf.DUMMYFUNCTION("""COMPUTED_VALUE"""),"METROPOLITANA II")</f>
      </c>
      <c r="C297" s="9">
        <f>IFERROR(__xludf.DUMMYFUNCTION("""COMPUTED_VALUE"""),"CIEP 408 SERGIO CARDOSO")</f>
      </c>
      <c r="D297" s="10">
        <f>IFERROR(__xludf.DUMMYFUNCTION("""COMPUTED_VALUE"""),0.9474)</f>
      </c>
      <c r="E297" s="11">
        <f>IFERROR(__xludf.DUMMYFUNCTION("""COMPUTED_VALUE"""),91.11)</f>
      </c>
      <c r="F297" s="10">
        <f>IFERROR(__xludf.DUMMYFUNCTION("""COMPUTED_VALUE"""),0.6842)</f>
      </c>
      <c r="G297" s="11">
        <f>IFERROR(__xludf.DUMMYFUNCTION("""COMPUTED_VALUE"""),16.0)</f>
      </c>
      <c r="H297" s="10">
        <f>IFERROR(__xludf.DUMMYFUNCTION("""COMPUTED_VALUE"""),0.7895)</f>
      </c>
      <c r="I297" s="11">
        <f>IFERROR(__xludf.DUMMYFUNCTION("""COMPUTED_VALUE"""),237.33)</f>
      </c>
      <c r="J297" s="10">
        <f>IFERROR(__xludf.DUMMYFUNCTION("""COMPUTED_VALUE"""),0.4737)</f>
      </c>
      <c r="K297" s="11">
        <f>IFERROR(__xludf.DUMMYFUNCTION("""COMPUTED_VALUE"""),186.67)</f>
      </c>
      <c r="L297" s="10">
        <f>IFERROR(__xludf.DUMMYFUNCTION("""COMPUTED_VALUE"""),0.6842)</f>
      </c>
      <c r="M297" s="11">
        <f>IFERROR(__xludf.DUMMYFUNCTION("""COMPUTED_VALUE"""),289.23)</f>
      </c>
      <c r="N297" s="10">
        <f>IFERROR(__xludf.DUMMYFUNCTION("""COMPUTED_VALUE"""),0.5789)</f>
      </c>
      <c r="O297" s="11">
        <f>IFERROR(__xludf.DUMMYFUNCTION("""COMPUTED_VALUE"""),458.18)</f>
      </c>
      <c r="P297" s="12"/>
      <c r="Q297" s="12"/>
      <c r="R297" s="15"/>
      <c r="S297" s="12"/>
      <c r="T297" s="12"/>
      <c r="U297" s="12"/>
      <c r="V297" s="12"/>
      <c r="W297" s="12"/>
      <c r="X297" s="12"/>
      <c r="Y297" s="12"/>
      <c r="Z297" s="12"/>
    </row>
    <row x14ac:dyDescent="0.25" r="298" customHeight="1" ht="15.75">
      <c r="A298" s="8">
        <f>IFERROR(__xludf.DUMMYFUNCTION("""COMPUTED_VALUE"""),25726.0)</f>
      </c>
      <c r="B298" s="9">
        <f>IFERROR(__xludf.DUMMYFUNCTION("""COMPUTED_VALUE"""),"METROPOLITANA II")</f>
      </c>
      <c r="C298" s="9">
        <f>IFERROR(__xludf.DUMMYFUNCTION("""COMPUTED_VALUE"""),"CIEP 409 PROFESSORA ALAIDE DE FIGUEREDO SANTOS")</f>
      </c>
      <c r="D298" s="10">
        <f>IFERROR(__xludf.DUMMYFUNCTION("""COMPUTED_VALUE"""),0.7283)</f>
      </c>
      <c r="E298" s="11">
        <f>IFERROR(__xludf.DUMMYFUNCTION("""COMPUTED_VALUE"""),197.46)</f>
      </c>
      <c r="F298" s="10">
        <f>IFERROR(__xludf.DUMMYFUNCTION("""COMPUTED_VALUE"""),0.6647)</f>
      </c>
      <c r="G298" s="11">
        <f>IFERROR(__xludf.DUMMYFUNCTION("""COMPUTED_VALUE"""),350.83)</f>
      </c>
      <c r="H298" s="10">
        <f>IFERROR(__xludf.DUMMYFUNCTION("""COMPUTED_VALUE"""),0.5896)</f>
      </c>
      <c r="I298" s="11">
        <f>IFERROR(__xludf.DUMMYFUNCTION("""COMPUTED_VALUE"""),374.26)</f>
      </c>
      <c r="J298" s="10">
        <f>IFERROR(__xludf.DUMMYFUNCTION("""COMPUTED_VALUE"""),0.4624)</f>
      </c>
      <c r="K298" s="11">
        <f>IFERROR(__xludf.DUMMYFUNCTION("""COMPUTED_VALUE"""),286.49)</f>
      </c>
      <c r="L298" s="10">
        <f>IFERROR(__xludf.DUMMYFUNCTION("""COMPUTED_VALUE"""),0.7861)</f>
      </c>
      <c r="M298" s="11">
        <f>IFERROR(__xludf.DUMMYFUNCTION("""COMPUTED_VALUE"""),416.0)</f>
      </c>
      <c r="N298" s="10">
        <f>IFERROR(__xludf.DUMMYFUNCTION("""COMPUTED_VALUE"""),0.7052)</f>
      </c>
      <c r="O298" s="11">
        <f>IFERROR(__xludf.DUMMYFUNCTION("""COMPUTED_VALUE"""),450.77)</f>
      </c>
      <c r="P298" s="12"/>
      <c r="Q298" s="12"/>
      <c r="R298" s="15"/>
      <c r="S298" s="12"/>
      <c r="T298" s="12"/>
      <c r="U298" s="12"/>
      <c r="V298" s="12"/>
      <c r="W298" s="12"/>
      <c r="X298" s="12"/>
      <c r="Y298" s="12"/>
      <c r="Z298" s="12"/>
    </row>
    <row x14ac:dyDescent="0.25" r="299" customHeight="1" ht="15.75">
      <c r="A299" s="8">
        <f>IFERROR(__xludf.DUMMYFUNCTION("""COMPUTED_VALUE"""),25727.0)</f>
      </c>
      <c r="B299" s="9">
        <f>IFERROR(__xludf.DUMMYFUNCTION("""COMPUTED_VALUE"""),"METROPOLITANA II")</f>
      </c>
      <c r="C299" s="9">
        <f>IFERROR(__xludf.DUMMYFUNCTION("""COMPUTED_VALUE"""),"CIEP 410 PATRÍCIA GALVÃO-PAGU")</f>
      </c>
      <c r="D299" s="10">
        <f>IFERROR(__xludf.DUMMYFUNCTION("""COMPUTED_VALUE"""),0.991)</f>
      </c>
      <c r="E299" s="11">
        <f>IFERROR(__xludf.DUMMYFUNCTION("""COMPUTED_VALUE"""),244.73)</f>
      </c>
      <c r="F299" s="10">
        <f>IFERROR(__xludf.DUMMYFUNCTION("""COMPUTED_VALUE"""),1.0)</f>
      </c>
      <c r="G299" s="11">
        <f>IFERROR(__xludf.DUMMYFUNCTION("""COMPUTED_VALUE"""),399.25)</f>
      </c>
      <c r="H299" s="10">
        <f>IFERROR(__xludf.DUMMYFUNCTION("""COMPUTED_VALUE"""),1.0)</f>
      </c>
      <c r="I299" s="11">
        <f>IFERROR(__xludf.DUMMYFUNCTION("""COMPUTED_VALUE"""),376.23)</f>
      </c>
      <c r="J299" s="10">
        <f>IFERROR(__xludf.DUMMYFUNCTION("""COMPUTED_VALUE"""),1.0)</f>
      </c>
      <c r="K299" s="11">
        <f>IFERROR(__xludf.DUMMYFUNCTION("""COMPUTED_VALUE"""),278.87)</f>
      </c>
      <c r="L299" s="10">
        <f>IFERROR(__xludf.DUMMYFUNCTION("""COMPUTED_VALUE"""),0.8739)</f>
      </c>
      <c r="M299" s="11">
        <f>IFERROR(__xludf.DUMMYFUNCTION("""COMPUTED_VALUE"""),466.25)</f>
      </c>
      <c r="N299" s="10">
        <f>IFERROR(__xludf.DUMMYFUNCTION("""COMPUTED_VALUE"""),0.8559)</f>
      </c>
      <c r="O299" s="11">
        <f>IFERROR(__xludf.DUMMYFUNCTION("""COMPUTED_VALUE"""),476.99)</f>
      </c>
      <c r="P299" s="12"/>
      <c r="Q299" s="12"/>
      <c r="R299" s="15"/>
      <c r="S299" s="12"/>
      <c r="T299" s="12"/>
      <c r="U299" s="12"/>
      <c r="V299" s="12"/>
      <c r="W299" s="12"/>
      <c r="X299" s="12"/>
      <c r="Y299" s="12"/>
      <c r="Z299" s="12"/>
    </row>
    <row x14ac:dyDescent="0.25" r="300" customHeight="1" ht="15.75">
      <c r="A300" s="8">
        <f>IFERROR(__xludf.DUMMYFUNCTION("""COMPUTED_VALUE"""),25728.0)</f>
      </c>
      <c r="B300" s="9">
        <f>IFERROR(__xludf.DUMMYFUNCTION("""COMPUTED_VALUE"""),"METROPOLITANA II")</f>
      </c>
      <c r="C300" s="9">
        <f>IFERROR(__xludf.DUMMYFUNCTION("""COMPUTED_VALUE"""),"CIEP 412 DOUTOR ZERBINI")</f>
      </c>
      <c r="D300" s="10">
        <f>IFERROR(__xludf.DUMMYFUNCTION("""COMPUTED_VALUE"""),0.8438)</f>
      </c>
      <c r="E300" s="11">
        <f>IFERROR(__xludf.DUMMYFUNCTION("""COMPUTED_VALUE"""),342.61)</f>
      </c>
      <c r="F300" s="10">
        <f>IFERROR(__xludf.DUMMYFUNCTION("""COMPUTED_VALUE"""),0.6563)</f>
      </c>
      <c r="G300" s="11">
        <f>IFERROR(__xludf.DUMMYFUNCTION("""COMPUTED_VALUE"""),373.33)</f>
      </c>
      <c r="H300" s="10">
        <f>IFERROR(__xludf.DUMMYFUNCTION("""COMPUTED_VALUE"""),0.75)</f>
      </c>
      <c r="I300" s="11">
        <f>IFERROR(__xludf.DUMMYFUNCTION("""COMPUTED_VALUE"""),380.0)</f>
      </c>
      <c r="J300" s="10">
        <f>IFERROR(__xludf.DUMMYFUNCTION("""COMPUTED_VALUE"""),0.8438)</f>
      </c>
      <c r="K300" s="11">
        <f>IFERROR(__xludf.DUMMYFUNCTION("""COMPUTED_VALUE"""),369.23)</f>
      </c>
      <c r="L300" s="10">
        <f>IFERROR(__xludf.DUMMYFUNCTION("""COMPUTED_VALUE"""),0.75)</f>
      </c>
      <c r="M300" s="11">
        <f>IFERROR(__xludf.DUMMYFUNCTION("""COMPUTED_VALUE"""),320.0)</f>
      </c>
      <c r="N300" s="10">
        <f>IFERROR(__xludf.DUMMYFUNCTION("""COMPUTED_VALUE"""),0.6875)</f>
      </c>
      <c r="O300" s="11">
        <f>IFERROR(__xludf.DUMMYFUNCTION("""COMPUTED_VALUE"""),372.73)</f>
      </c>
      <c r="P300" s="12"/>
      <c r="Q300" s="12"/>
      <c r="R300" s="15"/>
      <c r="S300" s="12"/>
      <c r="T300" s="12"/>
      <c r="U300" s="12"/>
      <c r="V300" s="12"/>
      <c r="W300" s="12"/>
      <c r="X300" s="12"/>
      <c r="Y300" s="12"/>
      <c r="Z300" s="12"/>
    </row>
    <row x14ac:dyDescent="0.25" r="301" customHeight="1" ht="15.75">
      <c r="A301" s="8">
        <f>IFERROR(__xludf.DUMMYFUNCTION("""COMPUTED_VALUE"""),25729.0)</f>
      </c>
      <c r="B301" s="9">
        <f>IFERROR(__xludf.DUMMYFUNCTION("""COMPUTED_VALUE"""),"METROPOLITANA II")</f>
      </c>
      <c r="C301" s="9">
        <f>IFERROR(__xludf.DUMMYFUNCTION("""COMPUTED_VALUE"""),"CIEP 413 ADAO PEREIRA NUNES BRASIL MEXICO")</f>
      </c>
      <c r="D301" s="10">
        <f>IFERROR(__xludf.DUMMYFUNCTION("""COMPUTED_VALUE"""),0.8382)</f>
      </c>
      <c r="E301" s="11">
        <f>IFERROR(__xludf.DUMMYFUNCTION("""COMPUTED_VALUE"""),"----")</f>
      </c>
      <c r="F301" s="10">
        <f>IFERROR(__xludf.DUMMYFUNCTION("""COMPUTED_VALUE"""),1.0)</f>
      </c>
      <c r="G301" s="11">
        <f>IFERROR(__xludf.DUMMYFUNCTION("""COMPUTED_VALUE"""),434.69)</f>
      </c>
      <c r="H301" s="10">
        <f>IFERROR(__xludf.DUMMYFUNCTION("""COMPUTED_VALUE"""),0.7622)</f>
      </c>
      <c r="I301" s="11">
        <f>IFERROR(__xludf.DUMMYFUNCTION("""COMPUTED_VALUE"""),514.83)</f>
      </c>
      <c r="J301" s="10">
        <f>IFERROR(__xludf.DUMMYFUNCTION("""COMPUTED_VALUE"""),0.8815)</f>
      </c>
      <c r="K301" s="11">
        <f>IFERROR(__xludf.DUMMYFUNCTION("""COMPUTED_VALUE"""),515.71)</f>
      </c>
      <c r="L301" s="10">
        <f>IFERROR(__xludf.DUMMYFUNCTION("""COMPUTED_VALUE"""),0.7832)</f>
      </c>
      <c r="M301" s="11">
        <f>IFERROR(__xludf.DUMMYFUNCTION("""COMPUTED_VALUE"""),"----")</f>
      </c>
      <c r="N301" s="10">
        <f>IFERROR(__xludf.DUMMYFUNCTION("""COMPUTED_VALUE"""),0.8042)</f>
      </c>
      <c r="O301" s="11">
        <f>IFERROR(__xludf.DUMMYFUNCTION("""COMPUTED_VALUE"""),"----")</f>
      </c>
      <c r="P301" s="12"/>
      <c r="Q301" s="12"/>
      <c r="R301" s="15"/>
      <c r="S301" s="12"/>
      <c r="T301" s="12"/>
      <c r="U301" s="12"/>
      <c r="V301" s="12"/>
      <c r="W301" s="12"/>
      <c r="X301" s="12"/>
      <c r="Y301" s="12"/>
      <c r="Z301" s="12"/>
    </row>
    <row x14ac:dyDescent="0.25" r="302" customHeight="1" ht="15.75">
      <c r="A302" s="8">
        <f>IFERROR(__xludf.DUMMYFUNCTION("""COMPUTED_VALUE"""),25662.0)</f>
      </c>
      <c r="B302" s="9">
        <f>IFERROR(__xludf.DUMMYFUNCTION("""COMPUTED_VALUE"""),"METROPOLITANA II")</f>
      </c>
      <c r="C302" s="9">
        <f>IFERROR(__xludf.DUMMYFUNCTION("""COMPUTED_VALUE"""),"CIEP 415 MIGUEL DE CERVANTES")</f>
      </c>
      <c r="D302" s="10">
        <f>IFERROR(__xludf.DUMMYFUNCTION("""COMPUTED_VALUE"""),0.8625)</f>
      </c>
      <c r="E302" s="11">
        <f>IFERROR(__xludf.DUMMYFUNCTION("""COMPUTED_VALUE"""),143.98)</f>
      </c>
      <c r="F302" s="10">
        <f>IFERROR(__xludf.DUMMYFUNCTION("""COMPUTED_VALUE"""),0.566)</f>
      </c>
      <c r="G302" s="11">
        <f>IFERROR(__xludf.DUMMYFUNCTION("""COMPUTED_VALUE"""),308.39)</f>
      </c>
      <c r="H302" s="10">
        <f>IFERROR(__xludf.DUMMYFUNCTION("""COMPUTED_VALUE"""),0.5171)</f>
      </c>
      <c r="I302" s="11">
        <f>IFERROR(__xludf.DUMMYFUNCTION("""COMPUTED_VALUE"""),366.31)</f>
      </c>
      <c r="J302" s="10">
        <f>IFERROR(__xludf.DUMMYFUNCTION("""COMPUTED_VALUE"""),0.626)</f>
      </c>
      <c r="K302" s="11">
        <f>IFERROR(__xludf.DUMMYFUNCTION("""COMPUTED_VALUE"""),341.51)</f>
      </c>
      <c r="L302" s="10">
        <f>IFERROR(__xludf.DUMMYFUNCTION("""COMPUTED_VALUE"""),0.3537)</f>
      </c>
      <c r="M302" s="11">
        <f>IFERROR(__xludf.DUMMYFUNCTION("""COMPUTED_VALUE"""),"----")</f>
      </c>
      <c r="N302" s="10">
        <f>IFERROR(__xludf.DUMMYFUNCTION("""COMPUTED_VALUE"""),0.3707)</f>
      </c>
      <c r="O302" s="11">
        <f>IFERROR(__xludf.DUMMYFUNCTION("""COMPUTED_VALUE"""),"----")</f>
      </c>
      <c r="P302" s="12"/>
      <c r="Q302" s="12"/>
      <c r="R302" s="15"/>
      <c r="S302" s="12"/>
      <c r="T302" s="12"/>
      <c r="U302" s="12"/>
      <c r="V302" s="12"/>
      <c r="W302" s="12"/>
      <c r="X302" s="12"/>
      <c r="Y302" s="12"/>
      <c r="Z302" s="12"/>
    </row>
    <row x14ac:dyDescent="0.25" r="303" customHeight="1" ht="15.75">
      <c r="A303" s="8">
        <f>IFERROR(__xludf.DUMMYFUNCTION("""COMPUTED_VALUE"""),25730.0)</f>
      </c>
      <c r="B303" s="9">
        <f>IFERROR(__xludf.DUMMYFUNCTION("""COMPUTED_VALUE"""),"METROPOLITANA II")</f>
      </c>
      <c r="C303" s="9">
        <f>IFERROR(__xludf.DUMMYFUNCTION("""COMPUTED_VALUE"""),"CIEP 421 DEPUTADA CRISTINA TAVARES")</f>
      </c>
      <c r="D303" s="10">
        <f>IFERROR(__xludf.DUMMYFUNCTION("""COMPUTED_VALUE"""),0.9412)</f>
      </c>
      <c r="E303" s="11">
        <f>IFERROR(__xludf.DUMMYFUNCTION("""COMPUTED_VALUE"""),177.33)</f>
      </c>
      <c r="F303" s="10">
        <f>IFERROR(__xludf.DUMMYFUNCTION("""COMPUTED_VALUE"""),0.8529)</f>
      </c>
      <c r="G303" s="11">
        <f>IFERROR(__xludf.DUMMYFUNCTION("""COMPUTED_VALUE"""),362.96)</f>
      </c>
      <c r="H303" s="10">
        <f>IFERROR(__xludf.DUMMYFUNCTION("""COMPUTED_VALUE"""),0.7353)</f>
      </c>
      <c r="I303" s="11">
        <f>IFERROR(__xludf.DUMMYFUNCTION("""COMPUTED_VALUE"""),416.0)</f>
      </c>
      <c r="J303" s="10">
        <f>IFERROR(__xludf.DUMMYFUNCTION("""COMPUTED_VALUE"""),0.8529)</f>
      </c>
      <c r="K303" s="11">
        <f>IFERROR(__xludf.DUMMYFUNCTION("""COMPUTED_VALUE"""),360.0)</f>
      </c>
      <c r="L303" s="10">
        <f>IFERROR(__xludf.DUMMYFUNCTION("""COMPUTED_VALUE"""),0.7647)</f>
      </c>
      <c r="M303" s="11">
        <f>IFERROR(__xludf.DUMMYFUNCTION("""COMPUTED_VALUE"""),384.62)</f>
      </c>
      <c r="N303" s="10">
        <f>IFERROR(__xludf.DUMMYFUNCTION("""COMPUTED_VALUE"""),0.7941)</f>
      </c>
      <c r="O303" s="11">
        <f>IFERROR(__xludf.DUMMYFUNCTION("""COMPUTED_VALUE"""),525.93)</f>
      </c>
      <c r="P303" s="12"/>
      <c r="Q303" s="12"/>
      <c r="R303" s="15"/>
      <c r="S303" s="12"/>
      <c r="T303" s="12"/>
      <c r="U303" s="12"/>
      <c r="V303" s="12"/>
      <c r="W303" s="12"/>
      <c r="X303" s="12"/>
      <c r="Y303" s="12"/>
      <c r="Z303" s="12"/>
    </row>
    <row x14ac:dyDescent="0.25" r="304" customHeight="1" ht="15.75">
      <c r="A304" s="8">
        <f>IFERROR(__xludf.DUMMYFUNCTION("""COMPUTED_VALUE"""),25731.0)</f>
      </c>
      <c r="B304" s="9">
        <f>IFERROR(__xludf.DUMMYFUNCTION("""COMPUTED_VALUE"""),"METROPOLITANA II")</f>
      </c>
      <c r="C304" s="9">
        <f>IFERROR(__xludf.DUMMYFUNCTION("""COMPUTED_VALUE"""),"CIEP 422 NICANOR FERREIRA NUNES")</f>
      </c>
      <c r="D304" s="10">
        <f>IFERROR(__xludf.DUMMYFUNCTION("""COMPUTED_VALUE"""),0.9091)</f>
      </c>
      <c r="E304" s="11">
        <f>IFERROR(__xludf.DUMMYFUNCTION("""COMPUTED_VALUE"""),396.0)</f>
      </c>
      <c r="F304" s="10">
        <f>IFERROR(__xludf.DUMMYFUNCTION("""COMPUTED_VALUE"""),0.9091)</f>
      </c>
      <c r="G304" s="11">
        <f>IFERROR(__xludf.DUMMYFUNCTION("""COMPUTED_VALUE"""),484.0)</f>
      </c>
      <c r="H304" s="10">
        <f>IFERROR(__xludf.DUMMYFUNCTION("""COMPUTED_VALUE"""),0.8636)</f>
      </c>
      <c r="I304" s="11">
        <f>IFERROR(__xludf.DUMMYFUNCTION("""COMPUTED_VALUE"""),511.58)</f>
      </c>
      <c r="J304" s="10">
        <f>IFERROR(__xludf.DUMMYFUNCTION("""COMPUTED_VALUE"""),0.6818)</f>
      </c>
      <c r="K304" s="11">
        <f>IFERROR(__xludf.DUMMYFUNCTION("""COMPUTED_VALUE"""),469.33)</f>
      </c>
      <c r="L304" s="10">
        <f>IFERROR(__xludf.DUMMYFUNCTION("""COMPUTED_VALUE"""),0.7273)</f>
      </c>
      <c r="M304" s="11">
        <f>IFERROR(__xludf.DUMMYFUNCTION("""COMPUTED_VALUE"""),492.5)</f>
      </c>
      <c r="N304" s="10">
        <f>IFERROR(__xludf.DUMMYFUNCTION("""COMPUTED_VALUE"""),0.7273)</f>
      </c>
      <c r="O304" s="11">
        <f>IFERROR(__xludf.DUMMYFUNCTION("""COMPUTED_VALUE"""),457.5)</f>
      </c>
      <c r="P304" s="12"/>
      <c r="Q304" s="12"/>
      <c r="R304" s="15"/>
      <c r="S304" s="12"/>
      <c r="T304" s="12"/>
      <c r="U304" s="12"/>
      <c r="V304" s="12"/>
      <c r="W304" s="12"/>
      <c r="X304" s="12"/>
      <c r="Y304" s="12"/>
      <c r="Z304" s="12"/>
    </row>
    <row x14ac:dyDescent="0.25" r="305" customHeight="1" ht="15.75">
      <c r="A305" s="8">
        <f>IFERROR(__xludf.DUMMYFUNCTION("""COMPUTED_VALUE"""),25732.0)</f>
      </c>
      <c r="B305" s="9">
        <f>IFERROR(__xludf.DUMMYFUNCTION("""COMPUTED_VALUE"""),"METROPOLITANA II")</f>
      </c>
      <c r="C305" s="9">
        <f>IFERROR(__xludf.DUMMYFUNCTION("""COMPUTED_VALUE"""),"CIEP 423 MORA GUIMARAES")</f>
      </c>
      <c r="D305" s="10">
        <f>IFERROR(__xludf.DUMMYFUNCTION("""COMPUTED_VALUE"""),0.8776)</f>
      </c>
      <c r="E305" s="11">
        <f>IFERROR(__xludf.DUMMYFUNCTION("""COMPUTED_VALUE"""),238.14)</f>
      </c>
      <c r="F305" s="10">
        <f>IFERROR(__xludf.DUMMYFUNCTION("""COMPUTED_VALUE"""),0.6531)</f>
      </c>
      <c r="G305" s="11">
        <f>IFERROR(__xludf.DUMMYFUNCTION("""COMPUTED_VALUE"""),348.97)</f>
      </c>
      <c r="H305" s="10">
        <f>IFERROR(__xludf.DUMMYFUNCTION("""COMPUTED_VALUE"""),0.7347)</f>
      </c>
      <c r="I305" s="11">
        <f>IFERROR(__xludf.DUMMYFUNCTION("""COMPUTED_VALUE"""),371.43)</f>
      </c>
      <c r="J305" s="10">
        <f>IFERROR(__xludf.DUMMYFUNCTION("""COMPUTED_VALUE"""),0.8571)</f>
      </c>
      <c r="K305" s="11">
        <f>IFERROR(__xludf.DUMMYFUNCTION("""COMPUTED_VALUE"""),344.52)</f>
      </c>
      <c r="L305" s="10">
        <f>IFERROR(__xludf.DUMMYFUNCTION("""COMPUTED_VALUE"""),0.7959)</f>
      </c>
      <c r="M305" s="11">
        <f>IFERROR(__xludf.DUMMYFUNCTION("""COMPUTED_VALUE"""),349.47)</f>
      </c>
      <c r="N305" s="10">
        <f>IFERROR(__xludf.DUMMYFUNCTION("""COMPUTED_VALUE"""),0.8163)</f>
      </c>
      <c r="O305" s="11">
        <f>IFERROR(__xludf.DUMMYFUNCTION("""COMPUTED_VALUE"""),418.38)</f>
      </c>
      <c r="P305" s="12"/>
      <c r="Q305" s="12"/>
      <c r="R305" s="15"/>
      <c r="S305" s="12"/>
      <c r="T305" s="12"/>
      <c r="U305" s="12"/>
      <c r="V305" s="12"/>
      <c r="W305" s="12"/>
      <c r="X305" s="12"/>
      <c r="Y305" s="12"/>
      <c r="Z305" s="12"/>
    </row>
    <row x14ac:dyDescent="0.25" r="306" customHeight="1" ht="15.75">
      <c r="A306" s="8">
        <f>IFERROR(__xludf.DUMMYFUNCTION("""COMPUTED_VALUE"""),25663.0)</f>
      </c>
      <c r="B306" s="9">
        <f>IFERROR(__xludf.DUMMYFUNCTION("""COMPUTED_VALUE"""),"METROPOLITANA II")</f>
      </c>
      <c r="C306" s="9">
        <f>IFERROR(__xludf.DUMMYFUNCTION("""COMPUTED_VALUE"""),"CIEP 424 PEDRO AMORIM")</f>
      </c>
      <c r="D306" s="10">
        <f>IFERROR(__xludf.DUMMYFUNCTION("""COMPUTED_VALUE"""),0.8475)</f>
      </c>
      <c r="E306" s="11">
        <f>IFERROR(__xludf.DUMMYFUNCTION("""COMPUTED_VALUE"""),216.0)</f>
      </c>
      <c r="F306" s="10">
        <f>IFERROR(__xludf.DUMMYFUNCTION("""COMPUTED_VALUE"""),0.661)</f>
      </c>
      <c r="G306" s="11">
        <f>IFERROR(__xludf.DUMMYFUNCTION("""COMPUTED_VALUE"""),379.59)</f>
      </c>
      <c r="H306" s="10">
        <f>IFERROR(__xludf.DUMMYFUNCTION("""COMPUTED_VALUE"""),0.557)</f>
      </c>
      <c r="I306" s="11">
        <f>IFERROR(__xludf.DUMMYFUNCTION("""COMPUTED_VALUE"""),460.0)</f>
      </c>
      <c r="J306" s="10">
        <f>IFERROR(__xludf.DUMMYFUNCTION("""COMPUTED_VALUE"""),0.7381)</f>
      </c>
      <c r="K306" s="11">
        <f>IFERROR(__xludf.DUMMYFUNCTION("""COMPUTED_VALUE"""),366.9)</f>
      </c>
      <c r="L306" s="10">
        <f>IFERROR(__xludf.DUMMYFUNCTION("""COMPUTED_VALUE"""),0.4937)</f>
      </c>
      <c r="M306" s="11">
        <f>IFERROR(__xludf.DUMMYFUNCTION("""COMPUTED_VALUE"""),441.25)</f>
      </c>
      <c r="N306" s="10">
        <f>IFERROR(__xludf.DUMMYFUNCTION("""COMPUTED_VALUE"""),0.5063)</f>
      </c>
      <c r="O306" s="11">
        <f>IFERROR(__xludf.DUMMYFUNCTION("""COMPUTED_VALUE"""),451.0)</f>
      </c>
      <c r="P306" s="12"/>
      <c r="Q306" s="12"/>
      <c r="R306" s="15"/>
      <c r="S306" s="12"/>
      <c r="T306" s="12"/>
      <c r="U306" s="12"/>
      <c r="V306" s="12"/>
      <c r="W306" s="12"/>
      <c r="X306" s="12"/>
      <c r="Y306" s="12"/>
      <c r="Z306" s="12"/>
    </row>
    <row x14ac:dyDescent="0.25" r="307" customHeight="1" ht="15.75">
      <c r="A307" s="8">
        <f>IFERROR(__xludf.DUMMYFUNCTION("""COMPUTED_VALUE"""),25664.0)</f>
      </c>
      <c r="B307" s="9">
        <f>IFERROR(__xludf.DUMMYFUNCTION("""COMPUTED_VALUE"""),"METROPOLITANA II")</f>
      </c>
      <c r="C307" s="9">
        <f>IFERROR(__xludf.DUMMYFUNCTION("""COMPUTED_VALUE"""),"CIEP 426 EDUARDO RIBEIRO DE CARVALHO")</f>
      </c>
      <c r="D307" s="10">
        <f>IFERROR(__xludf.DUMMYFUNCTION("""COMPUTED_VALUE"""),1.0)</f>
      </c>
      <c r="E307" s="11">
        <f>IFERROR(__xludf.DUMMYFUNCTION("""COMPUTED_VALUE"""),193.57)</f>
      </c>
      <c r="F307" s="10">
        <f>IFERROR(__xludf.DUMMYFUNCTION("""COMPUTED_VALUE"""),0.7544)</f>
      </c>
      <c r="G307" s="11">
        <f>IFERROR(__xludf.DUMMYFUNCTION("""COMPUTED_VALUE"""),416.74)</f>
      </c>
      <c r="H307" s="10">
        <f>IFERROR(__xludf.DUMMYFUNCTION("""COMPUTED_VALUE"""),0.7544)</f>
      </c>
      <c r="I307" s="11">
        <f>IFERROR(__xludf.DUMMYFUNCTION("""COMPUTED_VALUE"""),459.53)</f>
      </c>
      <c r="J307" s="10">
        <f>IFERROR(__xludf.DUMMYFUNCTION("""COMPUTED_VALUE"""),0.6316)</f>
      </c>
      <c r="K307" s="11">
        <f>IFERROR(__xludf.DUMMYFUNCTION("""COMPUTED_VALUE"""),384.0)</f>
      </c>
      <c r="L307" s="10">
        <f>IFERROR(__xludf.DUMMYFUNCTION("""COMPUTED_VALUE"""),0.614)</f>
      </c>
      <c r="M307" s="11">
        <f>IFERROR(__xludf.DUMMYFUNCTION("""COMPUTED_VALUE"""),413.71)</f>
      </c>
      <c r="N307" s="10">
        <f>IFERROR(__xludf.DUMMYFUNCTION("""COMPUTED_VALUE"""),0.4211)</f>
      </c>
      <c r="O307" s="11">
        <f>IFERROR(__xludf.DUMMYFUNCTION("""COMPUTED_VALUE"""),450.0)</f>
      </c>
      <c r="P307" s="12"/>
      <c r="Q307" s="12"/>
      <c r="R307" s="15"/>
      <c r="S307" s="12"/>
      <c r="T307" s="12"/>
      <c r="U307" s="12"/>
      <c r="V307" s="12"/>
      <c r="W307" s="12"/>
      <c r="X307" s="12"/>
      <c r="Y307" s="12"/>
      <c r="Z307" s="12"/>
    </row>
    <row x14ac:dyDescent="0.25" r="308" customHeight="1" ht="15.75">
      <c r="A308" s="8">
        <f>IFERROR(__xludf.DUMMYFUNCTION("""COMPUTED_VALUE"""),25733.0)</f>
      </c>
      <c r="B308" s="9">
        <f>IFERROR(__xludf.DUMMYFUNCTION("""COMPUTED_VALUE"""),"METROPOLITANA II")</f>
      </c>
      <c r="C308" s="9">
        <f>IFERROR(__xludf.DUMMYFUNCTION("""COMPUTED_VALUE"""),"CIEP 430 CARLOS MARIGHELLA")</f>
      </c>
      <c r="D308" s="10">
        <f>IFERROR(__xludf.DUMMYFUNCTION("""COMPUTED_VALUE"""),0.7885)</f>
      </c>
      <c r="E308" s="11">
        <f>IFERROR(__xludf.DUMMYFUNCTION("""COMPUTED_VALUE"""),63.41)</f>
      </c>
      <c r="F308" s="10">
        <f>IFERROR(__xludf.DUMMYFUNCTION("""COMPUTED_VALUE"""),0.1538)</f>
      </c>
      <c r="G308" s="11">
        <f>IFERROR(__xludf.DUMMYFUNCTION("""COMPUTED_VALUE"""),320.0)</f>
      </c>
      <c r="H308" s="10">
        <f>IFERROR(__xludf.DUMMYFUNCTION("""COMPUTED_VALUE"""),0.5769)</f>
      </c>
      <c r="I308" s="11">
        <f>IFERROR(__xludf.DUMMYFUNCTION("""COMPUTED_VALUE"""),334.67)</f>
      </c>
      <c r="J308" s="10">
        <f>IFERROR(__xludf.DUMMYFUNCTION("""COMPUTED_VALUE"""),0.6731)</f>
      </c>
      <c r="K308" s="11">
        <f>IFERROR(__xludf.DUMMYFUNCTION("""COMPUTED_VALUE"""),198.86)</f>
      </c>
      <c r="L308" s="10">
        <f>IFERROR(__xludf.DUMMYFUNCTION("""COMPUTED_VALUE"""),0.6346)</f>
      </c>
      <c r="M308" s="11">
        <f>IFERROR(__xludf.DUMMYFUNCTION("""COMPUTED_VALUE"""),390.3)</f>
      </c>
      <c r="N308" s="10">
        <f>IFERROR(__xludf.DUMMYFUNCTION("""COMPUTED_VALUE"""),0.6538)</f>
      </c>
      <c r="O308" s="11">
        <f>IFERROR(__xludf.DUMMYFUNCTION("""COMPUTED_VALUE"""),343.53)</f>
      </c>
      <c r="P308" s="12"/>
      <c r="Q308" s="12"/>
      <c r="R308" s="15"/>
      <c r="S308" s="12"/>
      <c r="T308" s="12"/>
      <c r="U308" s="12"/>
      <c r="V308" s="12"/>
      <c r="W308" s="12"/>
      <c r="X308" s="12"/>
      <c r="Y308" s="12"/>
      <c r="Z308" s="12"/>
    </row>
    <row x14ac:dyDescent="0.25" r="309" customHeight="1" ht="15.75">
      <c r="A309" s="8">
        <f>IFERROR(__xludf.DUMMYFUNCTION("""COMPUTED_VALUE"""),25734.0)</f>
      </c>
      <c r="B309" s="9">
        <f>IFERROR(__xludf.DUMMYFUNCTION("""COMPUTED_VALUE"""),"METROPOLITANA II")</f>
      </c>
      <c r="C309" s="9">
        <f>IFERROR(__xludf.DUMMYFUNCTION("""COMPUTED_VALUE"""),"CIEP 439 LUIZ GONZAGA JUNIOR - GONZAGUINHA")</f>
      </c>
      <c r="D309" s="10">
        <f>IFERROR(__xludf.DUMMYFUNCTION("""COMPUTED_VALUE"""),0.9643)</f>
      </c>
      <c r="E309" s="11">
        <f>IFERROR(__xludf.DUMMYFUNCTION("""COMPUTED_VALUE"""),147.5)</f>
      </c>
      <c r="F309" s="10">
        <f>IFERROR(__xludf.DUMMYFUNCTION("""COMPUTED_VALUE"""),0.9881)</f>
      </c>
      <c r="G309" s="11">
        <f>IFERROR(__xludf.DUMMYFUNCTION("""COMPUTED_VALUE"""),186.5)</f>
      </c>
      <c r="H309" s="10">
        <f>IFERROR(__xludf.DUMMYFUNCTION("""COMPUTED_VALUE"""),0.8095)</f>
      </c>
      <c r="I309" s="11">
        <f>IFERROR(__xludf.DUMMYFUNCTION("""COMPUTED_VALUE"""),392.94)</f>
      </c>
      <c r="J309" s="10">
        <f>IFERROR(__xludf.DUMMYFUNCTION("""COMPUTED_VALUE"""),0.9167)</f>
      </c>
      <c r="K309" s="11">
        <f>IFERROR(__xludf.DUMMYFUNCTION("""COMPUTED_VALUE"""),302.67)</f>
      </c>
      <c r="L309" s="10">
        <f>IFERROR(__xludf.DUMMYFUNCTION("""COMPUTED_VALUE"""),0.8333)</f>
      </c>
      <c r="M309" s="11">
        <f>IFERROR(__xludf.DUMMYFUNCTION("""COMPUTED_VALUE"""),365.37)</f>
      </c>
      <c r="N309" s="10">
        <f>IFERROR(__xludf.DUMMYFUNCTION("""COMPUTED_VALUE"""),0.869)</f>
      </c>
      <c r="O309" s="11">
        <f>IFERROR(__xludf.DUMMYFUNCTION("""COMPUTED_VALUE"""),361.13)</f>
      </c>
      <c r="P309" s="12"/>
      <c r="Q309" s="12"/>
      <c r="R309" s="15"/>
      <c r="S309" s="12"/>
      <c r="T309" s="12"/>
      <c r="U309" s="12"/>
      <c r="V309" s="12"/>
      <c r="W309" s="12"/>
      <c r="X309" s="12"/>
      <c r="Y309" s="12"/>
      <c r="Z309" s="12"/>
    </row>
    <row x14ac:dyDescent="0.25" r="310" customHeight="1" ht="15.75">
      <c r="A310" s="8">
        <f>IFERROR(__xludf.DUMMYFUNCTION("""COMPUTED_VALUE"""),25735.0)</f>
      </c>
      <c r="B310" s="9">
        <f>IFERROR(__xludf.DUMMYFUNCTION("""COMPUTED_VALUE"""),"METROPOLITANA II")</f>
      </c>
      <c r="C310" s="9">
        <f>IFERROR(__xludf.DUMMYFUNCTION("""COMPUTED_VALUE"""),"CIEP 440 MAJOR JOAQUIM DE AZEVEDO COUTINHO")</f>
      </c>
      <c r="D310" s="10">
        <f>IFERROR(__xludf.DUMMYFUNCTION("""COMPUTED_VALUE"""),0.8667)</f>
      </c>
      <c r="E310" s="11">
        <f>IFERROR(__xludf.DUMMYFUNCTION("""COMPUTED_VALUE"""),190.77)</f>
      </c>
      <c r="F310" s="10">
        <f>IFERROR(__xludf.DUMMYFUNCTION("""COMPUTED_VALUE"""),0.4)</f>
      </c>
      <c r="G310" s="11">
        <f>IFERROR(__xludf.DUMMYFUNCTION("""COMPUTED_VALUE"""),306.67)</f>
      </c>
      <c r="H310" s="10">
        <f>IFERROR(__xludf.DUMMYFUNCTION("""COMPUTED_VALUE"""),0.5333)</f>
      </c>
      <c r="I310" s="11">
        <f>IFERROR(__xludf.DUMMYFUNCTION("""COMPUTED_VALUE"""),490.0)</f>
      </c>
      <c r="J310" s="10">
        <f>IFERROR(__xludf.DUMMYFUNCTION("""COMPUTED_VALUE"""),0.6)</f>
      </c>
      <c r="K310" s="11">
        <f>IFERROR(__xludf.DUMMYFUNCTION("""COMPUTED_VALUE"""),226.67)</f>
      </c>
      <c r="L310" s="10">
        <f>IFERROR(__xludf.DUMMYFUNCTION("""COMPUTED_VALUE"""),0.5333)</f>
      </c>
      <c r="M310" s="11">
        <f>IFERROR(__xludf.DUMMYFUNCTION("""COMPUTED_VALUE"""),510.0)</f>
      </c>
      <c r="N310" s="10">
        <f>IFERROR(__xludf.DUMMYFUNCTION("""COMPUTED_VALUE"""),0.4)</f>
      </c>
      <c r="O310" s="11">
        <f>IFERROR(__xludf.DUMMYFUNCTION("""COMPUTED_VALUE"""),553.33)</f>
      </c>
      <c r="P310" s="12"/>
      <c r="Q310" s="12"/>
      <c r="R310" s="15"/>
      <c r="S310" s="12"/>
      <c r="T310" s="12"/>
      <c r="U310" s="12"/>
      <c r="V310" s="12"/>
      <c r="W310" s="12"/>
      <c r="X310" s="12"/>
      <c r="Y310" s="12"/>
      <c r="Z310" s="12"/>
    </row>
    <row x14ac:dyDescent="0.25" r="311" customHeight="1" ht="15.75">
      <c r="A311" s="8">
        <f>IFERROR(__xludf.DUMMYFUNCTION("""COMPUTED_VALUE"""),25665.0)</f>
      </c>
      <c r="B311" s="9">
        <f>IFERROR(__xludf.DUMMYFUNCTION("""COMPUTED_VALUE"""),"METROPOLITANA II")</f>
      </c>
      <c r="C311" s="9">
        <f>IFERROR(__xludf.DUMMYFUNCTION("""COMPUTED_VALUE"""),"CIEP 451 ELIZA ANTONIA RAINHO DIAS")</f>
      </c>
      <c r="D311" s="10">
        <f>IFERROR(__xludf.DUMMYFUNCTION("""COMPUTED_VALUE"""),0.583)</f>
      </c>
      <c r="E311" s="11">
        <f>IFERROR(__xludf.DUMMYFUNCTION("""COMPUTED_VALUE"""),163.11)</f>
      </c>
      <c r="F311" s="10">
        <f>IFERROR(__xludf.DUMMYFUNCTION("""COMPUTED_VALUE"""),0.2389)</f>
      </c>
      <c r="G311" s="11">
        <f>IFERROR(__xludf.DUMMYFUNCTION("""COMPUTED_VALUE"""),307.61)</f>
      </c>
      <c r="H311" s="10">
        <f>IFERROR(__xludf.DUMMYFUNCTION("""COMPUTED_VALUE"""),0.2895)</f>
      </c>
      <c r="I311" s="11">
        <f>IFERROR(__xludf.DUMMYFUNCTION("""COMPUTED_VALUE"""),349.35)</f>
      </c>
      <c r="J311" s="10">
        <f>IFERROR(__xludf.DUMMYFUNCTION("""COMPUTED_VALUE"""),0.36)</f>
      </c>
      <c r="K311" s="11">
        <f>IFERROR(__xludf.DUMMYFUNCTION("""COMPUTED_VALUE"""),271.45)</f>
      </c>
      <c r="L311" s="10">
        <f>IFERROR(__xludf.DUMMYFUNCTION("""COMPUTED_VALUE"""),0.2105)</f>
      </c>
      <c r="M311" s="11">
        <f>IFERROR(__xludf.DUMMYFUNCTION("""COMPUTED_VALUE"""),356.51)</f>
      </c>
      <c r="N311" s="10">
        <f>IFERROR(__xludf.DUMMYFUNCTION("""COMPUTED_VALUE"""),0.2481)</f>
      </c>
      <c r="O311" s="11">
        <f>IFERROR(__xludf.DUMMYFUNCTION("""COMPUTED_VALUE"""),369.27)</f>
      </c>
      <c r="P311" s="12"/>
      <c r="Q311" s="12"/>
      <c r="R311" s="15"/>
      <c r="S311" s="12"/>
      <c r="T311" s="12"/>
      <c r="U311" s="12"/>
      <c r="V311" s="12"/>
      <c r="W311" s="12"/>
      <c r="X311" s="12"/>
      <c r="Y311" s="12"/>
      <c r="Z311" s="12"/>
    </row>
    <row x14ac:dyDescent="0.25" r="312" customHeight="1" ht="15.75">
      <c r="A312" s="8">
        <f>IFERROR(__xludf.DUMMYFUNCTION("""COMPUTED_VALUE"""),25666.0)</f>
      </c>
      <c r="B312" s="9">
        <f>IFERROR(__xludf.DUMMYFUNCTION("""COMPUTED_VALUE"""),"METROPOLITANA II")</f>
      </c>
      <c r="C312" s="9">
        <f>IFERROR(__xludf.DUMMYFUNCTION("""COMPUTED_VALUE"""),"CIEP 453 DOUTOR MILTON RODRIGUES ROCHA")</f>
      </c>
      <c r="D312" s="10">
        <f>IFERROR(__xludf.DUMMYFUNCTION("""COMPUTED_VALUE"""),0.6543)</f>
      </c>
      <c r="E312" s="11">
        <f>IFERROR(__xludf.DUMMYFUNCTION("""COMPUTED_VALUE"""),261.66)</f>
      </c>
      <c r="F312" s="10">
        <f>IFERROR(__xludf.DUMMYFUNCTION("""COMPUTED_VALUE"""),0.5935)</f>
      </c>
      <c r="G312" s="11">
        <f>IFERROR(__xludf.DUMMYFUNCTION("""COMPUTED_VALUE"""),353.97)</f>
      </c>
      <c r="H312" s="10">
        <f>IFERROR(__xludf.DUMMYFUNCTION("""COMPUTED_VALUE"""),0.5027)</f>
      </c>
      <c r="I312" s="11">
        <f>IFERROR(__xludf.DUMMYFUNCTION("""COMPUTED_VALUE"""),422.41)</f>
      </c>
      <c r="J312" s="10">
        <f>IFERROR(__xludf.DUMMYFUNCTION("""COMPUTED_VALUE"""),0.4737)</f>
      </c>
      <c r="K312" s="11">
        <f>IFERROR(__xludf.DUMMYFUNCTION("""COMPUTED_VALUE"""),322.11)</f>
      </c>
      <c r="L312" s="10">
        <f>IFERROR(__xludf.DUMMYFUNCTION("""COMPUTED_VALUE"""),0.543)</f>
      </c>
      <c r="M312" s="11">
        <f>IFERROR(__xludf.DUMMYFUNCTION("""COMPUTED_VALUE"""),368.34)</f>
      </c>
      <c r="N312" s="10">
        <f>IFERROR(__xludf.DUMMYFUNCTION("""COMPUTED_VALUE"""),0.5521)</f>
      </c>
      <c r="O312" s="11">
        <f>IFERROR(__xludf.DUMMYFUNCTION("""COMPUTED_VALUE"""),374.45)</f>
      </c>
      <c r="P312" s="12"/>
      <c r="Q312" s="12"/>
      <c r="R312" s="15"/>
      <c r="S312" s="12"/>
      <c r="T312" s="12"/>
      <c r="U312" s="12"/>
      <c r="V312" s="12"/>
      <c r="W312" s="12"/>
      <c r="X312" s="12"/>
      <c r="Y312" s="12"/>
      <c r="Z312" s="12"/>
    </row>
    <row x14ac:dyDescent="0.25" r="313" customHeight="1" ht="15.75">
      <c r="A313" s="8">
        <f>IFERROR(__xludf.DUMMYFUNCTION("""COMPUTED_VALUE"""),25736.0)</f>
      </c>
      <c r="B313" s="9">
        <f>IFERROR(__xludf.DUMMYFUNCTION("""COMPUTED_VALUE"""),"METROPOLITANA II")</f>
      </c>
      <c r="C313" s="9">
        <f>IFERROR(__xludf.DUMMYFUNCTION("""COMPUTED_VALUE"""),"CIEP 513 GEORGE SAVALLA GOMES - PALHACO CAREQUINHA")</f>
      </c>
      <c r="D313" s="10">
        <f>IFERROR(__xludf.DUMMYFUNCTION("""COMPUTED_VALUE"""),0.8696)</f>
      </c>
      <c r="E313" s="11">
        <f>IFERROR(__xludf.DUMMYFUNCTION("""COMPUTED_VALUE"""),167.06)</f>
      </c>
      <c r="F313" s="10">
        <f>IFERROR(__xludf.DUMMYFUNCTION("""COMPUTED_VALUE"""),0.6522)</f>
      </c>
      <c r="G313" s="11">
        <f>IFERROR(__xludf.DUMMYFUNCTION("""COMPUTED_VALUE"""),342.07)</f>
      </c>
      <c r="H313" s="10">
        <f>IFERROR(__xludf.DUMMYFUNCTION("""COMPUTED_VALUE"""),0.6304)</f>
      </c>
      <c r="I313" s="11">
        <f>IFERROR(__xludf.DUMMYFUNCTION("""COMPUTED_VALUE"""),407.14)</f>
      </c>
      <c r="J313" s="10">
        <f>IFERROR(__xludf.DUMMYFUNCTION("""COMPUTED_VALUE"""),0.7609)</f>
      </c>
      <c r="K313" s="11">
        <f>IFERROR(__xludf.DUMMYFUNCTION("""COMPUTED_VALUE"""),316.0)</f>
      </c>
      <c r="L313" s="10">
        <f>IFERROR(__xludf.DUMMYFUNCTION("""COMPUTED_VALUE"""),0.6739)</f>
      </c>
      <c r="M313" s="11">
        <f>IFERROR(__xludf.DUMMYFUNCTION("""COMPUTED_VALUE"""),396.13)</f>
      </c>
      <c r="N313" s="10">
        <f>IFERROR(__xludf.DUMMYFUNCTION("""COMPUTED_VALUE"""),0.0)</f>
      </c>
      <c r="O313" s="11">
        <f>IFERROR(__xludf.DUMMYFUNCTION("""COMPUTED_VALUE"""),"----")</f>
      </c>
      <c r="P313" s="12"/>
      <c r="Q313" s="12"/>
      <c r="R313" s="15"/>
      <c r="S313" s="12"/>
      <c r="T313" s="12"/>
      <c r="U313" s="12"/>
      <c r="V313" s="12"/>
      <c r="W313" s="12"/>
      <c r="X313" s="12"/>
      <c r="Y313" s="12"/>
      <c r="Z313" s="12"/>
    </row>
    <row x14ac:dyDescent="0.25" r="314" customHeight="1" ht="15.75">
      <c r="A314" s="8">
        <f>IFERROR(__xludf.DUMMYFUNCTION("""COMPUTED_VALUE"""),25742.0)</f>
      </c>
      <c r="B314" s="9">
        <f>IFERROR(__xludf.DUMMYFUNCTION("""COMPUTED_VALUE"""),"METROPOLITANA II")</f>
      </c>
      <c r="C314" s="9">
        <f>IFERROR(__xludf.DUMMYFUNCTION("""COMPUTED_VALUE"""),"IE CLELIA NANCI")</f>
      </c>
      <c r="D314" s="10">
        <f>IFERROR(__xludf.DUMMYFUNCTION("""COMPUTED_VALUE"""),0.4921)</f>
      </c>
      <c r="E314" s="11">
        <f>IFERROR(__xludf.DUMMYFUNCTION("""COMPUTED_VALUE"""),319.83)</f>
      </c>
      <c r="F314" s="10">
        <f>IFERROR(__xludf.DUMMYFUNCTION("""COMPUTED_VALUE"""),0.5657)</f>
      </c>
      <c r="G314" s="11">
        <f>IFERROR(__xludf.DUMMYFUNCTION("""COMPUTED_VALUE"""),423.85)</f>
      </c>
      <c r="H314" s="10">
        <f>IFERROR(__xludf.DUMMYFUNCTION("""COMPUTED_VALUE"""),0.5482)</f>
      </c>
      <c r="I314" s="11">
        <f>IFERROR(__xludf.DUMMYFUNCTION("""COMPUTED_VALUE"""),444.97)</f>
      </c>
      <c r="J314" s="10">
        <f>IFERROR(__xludf.DUMMYFUNCTION("""COMPUTED_VALUE"""),0.7898)</f>
      </c>
      <c r="K314" s="11">
        <f>IFERROR(__xludf.DUMMYFUNCTION("""COMPUTED_VALUE"""),296.39)</f>
      </c>
      <c r="L314" s="10">
        <f>IFERROR(__xludf.DUMMYFUNCTION("""COMPUTED_VALUE"""),0.5622)</f>
      </c>
      <c r="M314" s="11">
        <f>IFERROR(__xludf.DUMMYFUNCTION("""COMPUTED_VALUE"""),451.91)</f>
      </c>
      <c r="N314" s="10">
        <f>IFERROR(__xludf.DUMMYFUNCTION("""COMPUTED_VALUE"""),0.007)</f>
      </c>
      <c r="O314" s="11">
        <f>IFERROR(__xludf.DUMMYFUNCTION("""COMPUTED_VALUE"""),350.0)</f>
      </c>
      <c r="P314" s="12"/>
      <c r="Q314" s="12"/>
      <c r="R314" s="15"/>
      <c r="S314" s="12"/>
      <c r="T314" s="12"/>
      <c r="U314" s="12"/>
      <c r="V314" s="12"/>
      <c r="W314" s="12"/>
      <c r="X314" s="12"/>
      <c r="Y314" s="12"/>
      <c r="Z314" s="12"/>
    </row>
    <row x14ac:dyDescent="0.25" r="315" customHeight="1" ht="15.75">
      <c r="A315" s="8">
        <f>IFERROR(__xludf.DUMMYFUNCTION("""COMPUTED_VALUE"""),25437.0)</f>
      </c>
      <c r="B315" s="9">
        <f>IFERROR(__xludf.DUMMYFUNCTION("""COMPUTED_VALUE"""),"METROPOLITANA III")</f>
      </c>
      <c r="C315" s="9">
        <f>IFERROR(__xludf.DUMMYFUNCTION("""COMPUTED_VALUE"""),"CAIC THEOPHILO DE SOUZA PINTO")</f>
      </c>
      <c r="D315" s="10">
        <f>IFERROR(__xludf.DUMMYFUNCTION("""COMPUTED_VALUE"""),0.7114)</f>
      </c>
      <c r="E315" s="11">
        <f>IFERROR(__xludf.DUMMYFUNCTION("""COMPUTED_VALUE"""),150.02)</f>
      </c>
      <c r="F315" s="10">
        <f>IFERROR(__xludf.DUMMYFUNCTION("""COMPUTED_VALUE"""),0.5948)</f>
      </c>
      <c r="G315" s="11">
        <f>IFERROR(__xludf.DUMMYFUNCTION("""COMPUTED_VALUE"""),298.78)</f>
      </c>
      <c r="H315" s="10">
        <f>IFERROR(__xludf.DUMMYFUNCTION("""COMPUTED_VALUE"""),0.5252)</f>
      </c>
      <c r="I315" s="11">
        <f>IFERROR(__xludf.DUMMYFUNCTION("""COMPUTED_VALUE"""),"----")</f>
      </c>
      <c r="J315" s="10">
        <f>IFERROR(__xludf.DUMMYFUNCTION("""COMPUTED_VALUE"""),0.6355)</f>
      </c>
      <c r="K315" s="11">
        <f>IFERROR(__xludf.DUMMYFUNCTION("""COMPUTED_VALUE"""),197.41)</f>
      </c>
      <c r="L315" s="10">
        <f>IFERROR(__xludf.DUMMYFUNCTION("""COMPUTED_VALUE"""),0.504)</f>
      </c>
      <c r="M315" s="11">
        <f>IFERROR(__xludf.DUMMYFUNCTION("""COMPUTED_VALUE"""),340.45)</f>
      </c>
      <c r="N315" s="10">
        <f>IFERROR(__xludf.DUMMYFUNCTION("""COMPUTED_VALUE"""),0.5252)</f>
      </c>
      <c r="O315" s="11">
        <f>IFERROR(__xludf.DUMMYFUNCTION("""COMPUTED_VALUE"""),374.15)</f>
      </c>
      <c r="P315" s="12"/>
      <c r="Q315" s="12"/>
      <c r="R315" s="15"/>
      <c r="S315" s="12"/>
      <c r="T315" s="12"/>
      <c r="U315" s="12"/>
      <c r="V315" s="12"/>
      <c r="W315" s="12"/>
      <c r="X315" s="12"/>
      <c r="Y315" s="12"/>
      <c r="Z315" s="12"/>
    </row>
    <row x14ac:dyDescent="0.25" r="316" customHeight="1" ht="15.75">
      <c r="A316" s="8">
        <f>IFERROR(__xludf.DUMMYFUNCTION("""COMPUTED_VALUE"""),25438.0)</f>
      </c>
      <c r="B316" s="9">
        <f>IFERROR(__xludf.DUMMYFUNCTION("""COMPUTED_VALUE"""),"METROPOLITANA III")</f>
      </c>
      <c r="C316" s="9">
        <f>IFERROR(__xludf.DUMMYFUNCTION("""COMPUTED_VALUE"""),"CE ACARI")</f>
      </c>
      <c r="D316" s="10">
        <f>IFERROR(__xludf.DUMMYFUNCTION("""COMPUTED_VALUE"""),0.6538)</f>
      </c>
      <c r="E316" s="11">
        <f>IFERROR(__xludf.DUMMYFUNCTION("""COMPUTED_VALUE"""),93.33)</f>
      </c>
      <c r="F316" s="10">
        <f>IFERROR(__xludf.DUMMYFUNCTION("""COMPUTED_VALUE"""),0.6346)</f>
      </c>
      <c r="G316" s="11">
        <f>IFERROR(__xludf.DUMMYFUNCTION("""COMPUTED_VALUE"""),299.39)</f>
      </c>
      <c r="H316" s="10">
        <f>IFERROR(__xludf.DUMMYFUNCTION("""COMPUTED_VALUE"""),0.5)</f>
      </c>
      <c r="I316" s="11">
        <f>IFERROR(__xludf.DUMMYFUNCTION("""COMPUTED_VALUE"""),380.8)</f>
      </c>
      <c r="J316" s="10">
        <f>IFERROR(__xludf.DUMMYFUNCTION("""COMPUTED_VALUE"""),0.7308)</f>
      </c>
      <c r="K316" s="11">
        <f>IFERROR(__xludf.DUMMYFUNCTION("""COMPUTED_VALUE"""),284.44)</f>
      </c>
      <c r="L316" s="10">
        <f>IFERROR(__xludf.DUMMYFUNCTION("""COMPUTED_VALUE"""),0.7115)</f>
      </c>
      <c r="M316" s="11">
        <f>IFERROR(__xludf.DUMMYFUNCTION("""COMPUTED_VALUE"""),317.84)</f>
      </c>
      <c r="N316" s="10">
        <f>IFERROR(__xludf.DUMMYFUNCTION("""COMPUTED_VALUE"""),0.5577)</f>
      </c>
      <c r="O316" s="11">
        <f>IFERROR(__xludf.DUMMYFUNCTION("""COMPUTED_VALUE"""),340.74)</f>
      </c>
      <c r="P316" s="12"/>
      <c r="Q316" s="12"/>
      <c r="R316" s="15"/>
      <c r="S316" s="12"/>
      <c r="T316" s="12"/>
      <c r="U316" s="12"/>
      <c r="V316" s="12"/>
      <c r="W316" s="12"/>
      <c r="X316" s="12"/>
      <c r="Y316" s="12"/>
      <c r="Z316" s="12"/>
    </row>
    <row x14ac:dyDescent="0.25" r="317" customHeight="1" ht="15.75">
      <c r="A317" s="8">
        <f>IFERROR(__xludf.DUMMYFUNCTION("""COMPUTED_VALUE"""),25439.0)</f>
      </c>
      <c r="B317" s="9">
        <f>IFERROR(__xludf.DUMMYFUNCTION("""COMPUTED_VALUE"""),"METROPOLITANA III")</f>
      </c>
      <c r="C317" s="9">
        <f>IFERROR(__xludf.DUMMYFUNCTION("""COMPUTED_VALUE"""),"CE ADLAI STEVENSON")</f>
      </c>
      <c r="D317" s="10">
        <f>IFERROR(__xludf.DUMMYFUNCTION("""COMPUTED_VALUE"""),0.5769)</f>
      </c>
      <c r="E317" s="11">
        <f>IFERROR(__xludf.DUMMYFUNCTION("""COMPUTED_VALUE"""),292.31)</f>
      </c>
      <c r="F317" s="10">
        <f>IFERROR(__xludf.DUMMYFUNCTION("""COMPUTED_VALUE"""),0.5577)</f>
      </c>
      <c r="G317" s="11">
        <f>IFERROR(__xludf.DUMMYFUNCTION("""COMPUTED_VALUE"""),417.93)</f>
      </c>
      <c r="H317" s="10">
        <f>IFERROR(__xludf.DUMMYFUNCTION("""COMPUTED_VALUE"""),0.4615)</f>
      </c>
      <c r="I317" s="11">
        <f>IFERROR(__xludf.DUMMYFUNCTION("""COMPUTED_VALUE"""),481.67)</f>
      </c>
      <c r="J317" s="10">
        <f>IFERROR(__xludf.DUMMYFUNCTION("""COMPUTED_VALUE"""),0.6154)</f>
      </c>
      <c r="K317" s="11">
        <f>IFERROR(__xludf.DUMMYFUNCTION("""COMPUTED_VALUE"""),318.71)</f>
      </c>
      <c r="L317" s="10">
        <f>IFERROR(__xludf.DUMMYFUNCTION("""COMPUTED_VALUE"""),0.4615)</f>
      </c>
      <c r="M317" s="11">
        <f>IFERROR(__xludf.DUMMYFUNCTION("""COMPUTED_VALUE"""),500.0)</f>
      </c>
      <c r="N317" s="10">
        <f>IFERROR(__xludf.DUMMYFUNCTION("""COMPUTED_VALUE"""),0.3077)</f>
      </c>
      <c r="O317" s="11">
        <f>IFERROR(__xludf.DUMMYFUNCTION("""COMPUTED_VALUE"""),487.5)</f>
      </c>
      <c r="P317" s="12"/>
      <c r="Q317" s="12"/>
      <c r="R317" s="15"/>
      <c r="S317" s="12"/>
      <c r="T317" s="12"/>
      <c r="U317" s="12"/>
      <c r="V317" s="12"/>
      <c r="W317" s="12"/>
      <c r="X317" s="12"/>
      <c r="Y317" s="12"/>
      <c r="Z317" s="12"/>
    </row>
    <row x14ac:dyDescent="0.25" r="318" customHeight="1" ht="15.75">
      <c r="A318" s="8">
        <f>IFERROR(__xludf.DUMMYFUNCTION("""COMPUTED_VALUE"""),25440.0)</f>
      </c>
      <c r="B318" s="9">
        <f>IFERROR(__xludf.DUMMYFUNCTION("""COMPUTED_VALUE"""),"METROPOLITANA III")</f>
      </c>
      <c r="C318" s="9">
        <f>IFERROR(__xludf.DUMMYFUNCTION("""COMPUTED_VALUE"""),"CE AGRIPINO GRIECO")</f>
      </c>
      <c r="D318" s="10">
        <f>IFERROR(__xludf.DUMMYFUNCTION("""COMPUTED_VALUE"""),0.8984)</f>
      </c>
      <c r="E318" s="11">
        <f>IFERROR(__xludf.DUMMYFUNCTION("""COMPUTED_VALUE"""),132.48)</f>
      </c>
      <c r="F318" s="10">
        <f>IFERROR(__xludf.DUMMYFUNCTION("""COMPUTED_VALUE"""),0.5187)</f>
      </c>
      <c r="G318" s="11">
        <f>IFERROR(__xludf.DUMMYFUNCTION("""COMPUTED_VALUE"""),360.83)</f>
      </c>
      <c r="H318" s="10">
        <f>IFERROR(__xludf.DUMMYFUNCTION("""COMPUTED_VALUE"""),0.6257)</f>
      </c>
      <c r="I318" s="11">
        <f>IFERROR(__xludf.DUMMYFUNCTION("""COMPUTED_VALUE"""),379.48)</f>
      </c>
      <c r="J318" s="10">
        <f>IFERROR(__xludf.DUMMYFUNCTION("""COMPUTED_VALUE"""),0.6096)</f>
      </c>
      <c r="K318" s="11">
        <f>IFERROR(__xludf.DUMMYFUNCTION("""COMPUTED_VALUE"""),231.93)</f>
      </c>
      <c r="L318" s="10">
        <f>IFERROR(__xludf.DUMMYFUNCTION("""COMPUTED_VALUE"""),0.5187)</f>
      </c>
      <c r="M318" s="11">
        <f>IFERROR(__xludf.DUMMYFUNCTION("""COMPUTED_VALUE"""),350.93)</f>
      </c>
      <c r="N318" s="10">
        <f>IFERROR(__xludf.DUMMYFUNCTION("""COMPUTED_VALUE"""),0.4492)</f>
      </c>
      <c r="O318" s="11">
        <f>IFERROR(__xludf.DUMMYFUNCTION("""COMPUTED_VALUE"""),384.29)</f>
      </c>
      <c r="P318" s="12"/>
      <c r="Q318" s="12"/>
      <c r="R318" s="15"/>
      <c r="S318" s="12"/>
      <c r="T318" s="12"/>
      <c r="U318" s="12"/>
      <c r="V318" s="12"/>
      <c r="W318" s="12"/>
      <c r="X318" s="12"/>
      <c r="Y318" s="12"/>
      <c r="Z318" s="12"/>
    </row>
    <row x14ac:dyDescent="0.25" r="319" customHeight="1" ht="15.75">
      <c r="A319" s="8">
        <f>IFERROR(__xludf.DUMMYFUNCTION("""COMPUTED_VALUE"""),25441.0)</f>
      </c>
      <c r="B319" s="9">
        <f>IFERROR(__xludf.DUMMYFUNCTION("""COMPUTED_VALUE"""),"METROPOLITANA III")</f>
      </c>
      <c r="C319" s="9">
        <f>IFERROR(__xludf.DUMMYFUNCTION("""COMPUTED_VALUE"""),"CE AMAPA")</f>
      </c>
      <c r="D319" s="10">
        <f>IFERROR(__xludf.DUMMYFUNCTION("""COMPUTED_VALUE"""),0.6351)</f>
      </c>
      <c r="E319" s="11">
        <f>IFERROR(__xludf.DUMMYFUNCTION("""COMPUTED_VALUE"""),77.44)</f>
      </c>
      <c r="F319" s="10">
        <f>IFERROR(__xludf.DUMMYFUNCTION("""COMPUTED_VALUE"""),0.4459)</f>
      </c>
      <c r="G319" s="11">
        <f>IFERROR(__xludf.DUMMYFUNCTION("""COMPUTED_VALUE"""),319.82)</f>
      </c>
      <c r="H319" s="10">
        <f>IFERROR(__xludf.DUMMYFUNCTION("""COMPUTED_VALUE"""),0.3776)</f>
      </c>
      <c r="I319" s="11">
        <f>IFERROR(__xludf.DUMMYFUNCTION("""COMPUTED_VALUE"""),387.03)</f>
      </c>
      <c r="J319" s="10">
        <f>IFERROR(__xludf.DUMMYFUNCTION("""COMPUTED_VALUE"""),0.7895)</f>
      </c>
      <c r="K319" s="11">
        <f>IFERROR(__xludf.DUMMYFUNCTION("""COMPUTED_VALUE"""),290.67)</f>
      </c>
      <c r="L319" s="10">
        <f>IFERROR(__xludf.DUMMYFUNCTION("""COMPUTED_VALUE"""),0.602)</f>
      </c>
      <c r="M319" s="11">
        <f>IFERROR(__xludf.DUMMYFUNCTION("""COMPUTED_VALUE"""),336.95)</f>
      </c>
      <c r="N319" s="10">
        <f>IFERROR(__xludf.DUMMYFUNCTION("""COMPUTED_VALUE"""),0.5306)</f>
      </c>
      <c r="O319" s="11">
        <f>IFERROR(__xludf.DUMMYFUNCTION("""COMPUTED_VALUE"""),371.54)</f>
      </c>
      <c r="P319" s="12"/>
      <c r="Q319" s="12"/>
      <c r="R319" s="15"/>
      <c r="S319" s="12"/>
      <c r="T319" s="12"/>
      <c r="U319" s="12"/>
      <c r="V319" s="12"/>
      <c r="W319" s="12"/>
      <c r="X319" s="12"/>
      <c r="Y319" s="12"/>
      <c r="Z319" s="12"/>
    </row>
    <row x14ac:dyDescent="0.25" r="320" customHeight="1" ht="15.75">
      <c r="A320" s="8">
        <f>IFERROR(__xludf.DUMMYFUNCTION("""COMPUTED_VALUE"""),25442.0)</f>
      </c>
      <c r="B320" s="9">
        <f>IFERROR(__xludf.DUMMYFUNCTION("""COMPUTED_VALUE"""),"METROPOLITANA III")</f>
      </c>
      <c r="C320" s="9">
        <f>IFERROR(__xludf.DUMMYFUNCTION("""COMPUTED_VALUE"""),"CE ANITA GARIBALDI")</f>
      </c>
      <c r="D320" s="10">
        <f>IFERROR(__xludf.DUMMYFUNCTION("""COMPUTED_VALUE"""),0.7783)</f>
      </c>
      <c r="E320" s="11">
        <f>IFERROR(__xludf.DUMMYFUNCTION("""COMPUTED_VALUE"""),183.03)</f>
      </c>
      <c r="F320" s="10">
        <f>IFERROR(__xludf.DUMMYFUNCTION("""COMPUTED_VALUE"""),0.6244)</f>
      </c>
      <c r="G320" s="11">
        <f>IFERROR(__xludf.DUMMYFUNCTION("""COMPUTED_VALUE"""),361.44)</f>
      </c>
      <c r="H320" s="10">
        <f>IFERROR(__xludf.DUMMYFUNCTION("""COMPUTED_VALUE"""),0.4106)</f>
      </c>
      <c r="I320" s="11">
        <f>IFERROR(__xludf.DUMMYFUNCTION("""COMPUTED_VALUE"""),320.3)</f>
      </c>
      <c r="J320" s="10">
        <f>IFERROR(__xludf.DUMMYFUNCTION("""COMPUTED_VALUE"""),0.6268)</f>
      </c>
      <c r="K320" s="11">
        <f>IFERROR(__xludf.DUMMYFUNCTION("""COMPUTED_VALUE"""),361.15)</f>
      </c>
      <c r="L320" s="10">
        <f>IFERROR(__xludf.DUMMYFUNCTION("""COMPUTED_VALUE"""),0.4512)</f>
      </c>
      <c r="M320" s="11">
        <f>IFERROR(__xludf.DUMMYFUNCTION("""COMPUTED_VALUE"""),405.05)</f>
      </c>
      <c r="N320" s="10">
        <f>IFERROR(__xludf.DUMMYFUNCTION("""COMPUTED_VALUE"""),0.5)</f>
      </c>
      <c r="O320" s="11">
        <f>IFERROR(__xludf.DUMMYFUNCTION("""COMPUTED_VALUE"""),417.18)</f>
      </c>
      <c r="P320" s="12"/>
      <c r="Q320" s="12"/>
      <c r="R320" s="15"/>
      <c r="S320" s="12"/>
      <c r="T320" s="12"/>
      <c r="U320" s="12"/>
      <c r="V320" s="12"/>
      <c r="W320" s="12"/>
      <c r="X320" s="12"/>
      <c r="Y320" s="12"/>
      <c r="Z320" s="12"/>
    </row>
    <row x14ac:dyDescent="0.25" r="321" customHeight="1" ht="15.75">
      <c r="A321" s="8">
        <f>IFERROR(__xludf.DUMMYFUNCTION("""COMPUTED_VALUE"""),25443.0)</f>
      </c>
      <c r="B321" s="9">
        <f>IFERROR(__xludf.DUMMYFUNCTION("""COMPUTED_VALUE"""),"METROPOLITANA III")</f>
      </c>
      <c r="C321" s="9">
        <f>IFERROR(__xludf.DUMMYFUNCTION("""COMPUTED_VALUE"""),"CE ANTÔNIO HOUAISS")</f>
      </c>
      <c r="D321" s="10">
        <f>IFERROR(__xludf.DUMMYFUNCTION("""COMPUTED_VALUE"""),0.6148)</f>
      </c>
      <c r="E321" s="11">
        <f>IFERROR(__xludf.DUMMYFUNCTION("""COMPUTED_VALUE"""),"----")</f>
      </c>
      <c r="F321" s="10">
        <f>IFERROR(__xludf.DUMMYFUNCTION("""COMPUTED_VALUE"""),0.5642)</f>
      </c>
      <c r="G321" s="11">
        <f>IFERROR(__xludf.DUMMYFUNCTION("""COMPUTED_VALUE"""),296.59)</f>
      </c>
      <c r="H321" s="10">
        <f>IFERROR(__xludf.DUMMYFUNCTION("""COMPUTED_VALUE"""),0.5758)</f>
      </c>
      <c r="I321" s="11">
        <f>IFERROR(__xludf.DUMMYFUNCTION("""COMPUTED_VALUE"""),301.27)</f>
      </c>
      <c r="J321" s="10">
        <f>IFERROR(__xludf.DUMMYFUNCTION("""COMPUTED_VALUE"""),0.5461)</f>
      </c>
      <c r="K321" s="11">
        <f>IFERROR(__xludf.DUMMYFUNCTION("""COMPUTED_VALUE"""),203.81)</f>
      </c>
      <c r="L321" s="10">
        <f>IFERROR(__xludf.DUMMYFUNCTION("""COMPUTED_VALUE"""),0.5401)</f>
      </c>
      <c r="M321" s="11">
        <f>IFERROR(__xludf.DUMMYFUNCTION("""COMPUTED_VALUE"""),267.46)</f>
      </c>
      <c r="N321" s="10">
        <f>IFERROR(__xludf.DUMMYFUNCTION("""COMPUTED_VALUE"""),0.5062)</f>
      </c>
      <c r="O321" s="11">
        <f>IFERROR(__xludf.DUMMYFUNCTION("""COMPUTED_VALUE"""),273.47)</f>
      </c>
      <c r="P321" s="12"/>
      <c r="Q321" s="12"/>
      <c r="R321" s="15"/>
      <c r="S321" s="12"/>
      <c r="T321" s="12"/>
      <c r="U321" s="12"/>
      <c r="V321" s="12"/>
      <c r="W321" s="12"/>
      <c r="X321" s="12"/>
      <c r="Y321" s="12"/>
      <c r="Z321" s="12"/>
    </row>
    <row x14ac:dyDescent="0.25" r="322" customHeight="1" ht="15.75">
      <c r="A322" s="8">
        <f>IFERROR(__xludf.DUMMYFUNCTION("""COMPUTED_VALUE"""),25444.0)</f>
      </c>
      <c r="B322" s="9">
        <f>IFERROR(__xludf.DUMMYFUNCTION("""COMPUTED_VALUE"""),"METROPOLITANA III")</f>
      </c>
      <c r="C322" s="9">
        <f>IFERROR(__xludf.DUMMYFUNCTION("""COMPUTED_VALUE"""),"CE BAHIA")</f>
      </c>
      <c r="D322" s="10">
        <f>IFERROR(__xludf.DUMMYFUNCTION("""COMPUTED_VALUE"""),0.7039)</f>
      </c>
      <c r="E322" s="11">
        <f>IFERROR(__xludf.DUMMYFUNCTION("""COMPUTED_VALUE"""),64.72)</f>
      </c>
      <c r="F322" s="10">
        <f>IFERROR(__xludf.DUMMYFUNCTION("""COMPUTED_VALUE"""),0.9539)</f>
      </c>
      <c r="G322" s="11">
        <f>IFERROR(__xludf.DUMMYFUNCTION("""COMPUTED_VALUE"""),163.69)</f>
      </c>
      <c r="H322" s="10">
        <f>IFERROR(__xludf.DUMMYFUNCTION("""COMPUTED_VALUE"""),0.442)</f>
      </c>
      <c r="I322" s="11">
        <f>IFERROR(__xludf.DUMMYFUNCTION("""COMPUTED_VALUE"""),239.54)</f>
      </c>
      <c r="J322" s="10">
        <f>IFERROR(__xludf.DUMMYFUNCTION("""COMPUTED_VALUE"""),0.5605)</f>
      </c>
      <c r="K322" s="11">
        <f>IFERROR(__xludf.DUMMYFUNCTION("""COMPUTED_VALUE"""),173.52)</f>
      </c>
      <c r="L322" s="10">
        <f>IFERROR(__xludf.DUMMYFUNCTION("""COMPUTED_VALUE"""),0.4568)</f>
      </c>
      <c r="M322" s="11">
        <f>IFERROR(__xludf.DUMMYFUNCTION("""COMPUTED_VALUE"""),255.65)</f>
      </c>
      <c r="N322" s="10">
        <f>IFERROR(__xludf.DUMMYFUNCTION("""COMPUTED_VALUE"""),0.0074)</f>
      </c>
      <c r="O322" s="11">
        <f>IFERROR(__xludf.DUMMYFUNCTION("""COMPUTED_VALUE"""),253.33)</f>
      </c>
      <c r="P322" s="12"/>
      <c r="Q322" s="12"/>
      <c r="R322" s="15"/>
      <c r="S322" s="12"/>
      <c r="T322" s="12"/>
      <c r="U322" s="12"/>
      <c r="V322" s="12"/>
      <c r="W322" s="12"/>
      <c r="X322" s="12"/>
      <c r="Y322" s="12"/>
      <c r="Z322" s="12"/>
    </row>
    <row x14ac:dyDescent="0.25" r="323" customHeight="1" ht="15.75">
      <c r="A323" s="8">
        <f>IFERROR(__xludf.DUMMYFUNCTION("""COMPUTED_VALUE"""),25445.0)</f>
      </c>
      <c r="B323" s="9">
        <f>IFERROR(__xludf.DUMMYFUNCTION("""COMPUTED_VALUE"""),"METROPOLITANA III")</f>
      </c>
      <c r="C323" s="9">
        <f>IFERROR(__xludf.DUMMYFUNCTION("""COMPUTED_VALUE"""),"CE BARAO DE MACAUBAS")</f>
      </c>
      <c r="D323" s="10">
        <f>IFERROR(__xludf.DUMMYFUNCTION("""COMPUTED_VALUE"""),0.2514)</f>
      </c>
      <c r="E323" s="11">
        <f>IFERROR(__xludf.DUMMYFUNCTION("""COMPUTED_VALUE"""),189.09)</f>
      </c>
      <c r="F323" s="10">
        <f>IFERROR(__xludf.DUMMYFUNCTION("""COMPUTED_VALUE"""),0.1886)</f>
      </c>
      <c r="G323" s="11">
        <f>IFERROR(__xludf.DUMMYFUNCTION("""COMPUTED_VALUE"""),304.94)</f>
      </c>
      <c r="H323" s="10">
        <f>IFERROR(__xludf.DUMMYFUNCTION("""COMPUTED_VALUE"""),0.3465)</f>
      </c>
      <c r="I323" s="11">
        <f>IFERROR(__xludf.DUMMYFUNCTION("""COMPUTED_VALUE"""),420.74)</f>
      </c>
      <c r="J323" s="10">
        <f>IFERROR(__xludf.DUMMYFUNCTION("""COMPUTED_VALUE"""),0.7059)</f>
      </c>
      <c r="K323" s="11">
        <f>IFERROR(__xludf.DUMMYFUNCTION("""COMPUTED_VALUE"""),220.22)</f>
      </c>
      <c r="L323" s="10">
        <f>IFERROR(__xludf.DUMMYFUNCTION("""COMPUTED_VALUE"""),0.3509)</f>
      </c>
      <c r="M323" s="11">
        <f>IFERROR(__xludf.DUMMYFUNCTION("""COMPUTED_VALUE"""),345.0)</f>
      </c>
      <c r="N323" s="10">
        <f>IFERROR(__xludf.DUMMYFUNCTION("""COMPUTED_VALUE"""),0.4211)</f>
      </c>
      <c r="O323" s="11">
        <f>IFERROR(__xludf.DUMMYFUNCTION("""COMPUTED_VALUE"""),377.15)</f>
      </c>
      <c r="P323" s="12"/>
      <c r="Q323" s="12"/>
      <c r="R323" s="15"/>
      <c r="S323" s="12"/>
      <c r="T323" s="12"/>
      <c r="U323" s="12"/>
      <c r="V323" s="12"/>
      <c r="W323" s="12"/>
      <c r="X323" s="12"/>
      <c r="Y323" s="12"/>
      <c r="Z323" s="12"/>
    </row>
    <row x14ac:dyDescent="0.25" r="324" customHeight="1" ht="15.75">
      <c r="A324" s="8">
        <f>IFERROR(__xludf.DUMMYFUNCTION("""COMPUTED_VALUE"""),25446.0)</f>
      </c>
      <c r="B324" s="9">
        <f>IFERROR(__xludf.DUMMYFUNCTION("""COMPUTED_VALUE"""),"METROPOLITANA III")</f>
      </c>
      <c r="C324" s="9">
        <f>IFERROR(__xludf.DUMMYFUNCTION("""COMPUTED_VALUE"""),"CE BELGICA")</f>
      </c>
      <c r="D324" s="10">
        <f>IFERROR(__xludf.DUMMYFUNCTION("""COMPUTED_VALUE"""),0.6639)</f>
      </c>
      <c r="E324" s="11">
        <f>IFERROR(__xludf.DUMMYFUNCTION("""COMPUTED_VALUE"""),176.84)</f>
      </c>
      <c r="F324" s="10">
        <f>IFERROR(__xludf.DUMMYFUNCTION("""COMPUTED_VALUE"""),0.9622)</f>
      </c>
      <c r="G324" s="11">
        <f>IFERROR(__xludf.DUMMYFUNCTION("""COMPUTED_VALUE"""),207.21)</f>
      </c>
      <c r="H324" s="10">
        <f>IFERROR(__xludf.DUMMYFUNCTION("""COMPUTED_VALUE"""),0.584)</f>
      </c>
      <c r="I324" s="11">
        <f>IFERROR(__xludf.DUMMYFUNCTION("""COMPUTED_VALUE"""),397.35)</f>
      </c>
      <c r="J324" s="10">
        <f>IFERROR(__xludf.DUMMYFUNCTION("""COMPUTED_VALUE"""),0.5672)</f>
      </c>
      <c r="K324" s="11">
        <f>IFERROR(__xludf.DUMMYFUNCTION("""COMPUTED_VALUE"""),179.21)</f>
      </c>
      <c r="L324" s="10">
        <f>IFERROR(__xludf.DUMMYFUNCTION("""COMPUTED_VALUE"""),0.4874)</f>
      </c>
      <c r="M324" s="11">
        <f>IFERROR(__xludf.DUMMYFUNCTION("""COMPUTED_VALUE"""),391.5)</f>
      </c>
      <c r="N324" s="10">
        <f>IFERROR(__xludf.DUMMYFUNCTION("""COMPUTED_VALUE"""),0.4832)</f>
      </c>
      <c r="O324" s="11">
        <f>IFERROR(__xludf.DUMMYFUNCTION("""COMPUTED_VALUE"""),402.96)</f>
      </c>
      <c r="P324" s="12"/>
      <c r="Q324" s="12"/>
      <c r="R324" s="15"/>
      <c r="S324" s="12"/>
      <c r="T324" s="12"/>
      <c r="U324" s="12"/>
      <c r="V324" s="12"/>
      <c r="W324" s="12"/>
      <c r="X324" s="12"/>
      <c r="Y324" s="12"/>
      <c r="Z324" s="12"/>
    </row>
    <row x14ac:dyDescent="0.25" r="325" customHeight="1" ht="15.75">
      <c r="A325" s="8">
        <f>IFERROR(__xludf.DUMMYFUNCTION("""COMPUTED_VALUE"""),25447.0)</f>
      </c>
      <c r="B325" s="9">
        <f>IFERROR(__xludf.DUMMYFUNCTION("""COMPUTED_VALUE"""),"METROPOLITANA III")</f>
      </c>
      <c r="C325" s="9">
        <f>IFERROR(__xludf.DUMMYFUNCTION("""COMPUTED_VALUE"""),"CE BERNARDO DE VASCONCELOS")</f>
      </c>
      <c r="D325" s="10">
        <f>IFERROR(__xludf.DUMMYFUNCTION("""COMPUTED_VALUE"""),0.6647)</f>
      </c>
      <c r="E325" s="11">
        <f>IFERROR(__xludf.DUMMYFUNCTION("""COMPUTED_VALUE"""),142.86)</f>
      </c>
      <c r="F325" s="10">
        <f>IFERROR(__xludf.DUMMYFUNCTION("""COMPUTED_VALUE"""),0.9595)</f>
      </c>
      <c r="G325" s="11">
        <f>IFERROR(__xludf.DUMMYFUNCTION("""COMPUTED_VALUE"""),141.09)</f>
      </c>
      <c r="H325" s="10">
        <f>IFERROR(__xludf.DUMMYFUNCTION("""COMPUTED_VALUE"""),0.9364)</f>
      </c>
      <c r="I325" s="11">
        <f>IFERROR(__xludf.DUMMYFUNCTION("""COMPUTED_VALUE"""),169.88)</f>
      </c>
      <c r="J325" s="10">
        <f>IFERROR(__xludf.DUMMYFUNCTION("""COMPUTED_VALUE"""),0.6243)</f>
      </c>
      <c r="K325" s="11">
        <f>IFERROR(__xludf.DUMMYFUNCTION("""COMPUTED_VALUE"""),156.5)</f>
      </c>
      <c r="L325" s="10">
        <f>IFERROR(__xludf.DUMMYFUNCTION("""COMPUTED_VALUE"""),0.5087)</f>
      </c>
      <c r="M325" s="11">
        <f>IFERROR(__xludf.DUMMYFUNCTION("""COMPUTED_VALUE"""),317.67)</f>
      </c>
      <c r="N325" s="10">
        <f>IFERROR(__xludf.DUMMYFUNCTION("""COMPUTED_VALUE"""),0.9942)</f>
      </c>
      <c r="O325" s="11">
        <f>IFERROR(__xludf.DUMMYFUNCTION("""COMPUTED_VALUE"""),222.09)</f>
      </c>
      <c r="P325" s="12"/>
      <c r="Q325" s="12"/>
      <c r="R325" s="15"/>
      <c r="S325" s="12"/>
      <c r="T325" s="12"/>
      <c r="U325" s="12"/>
      <c r="V325" s="12"/>
      <c r="W325" s="12"/>
      <c r="X325" s="12"/>
      <c r="Y325" s="12"/>
      <c r="Z325" s="12"/>
    </row>
    <row x14ac:dyDescent="0.25" r="326" customHeight="1" ht="15.75">
      <c r="A326" s="8">
        <f>IFERROR(__xludf.DUMMYFUNCTION("""COMPUTED_VALUE"""),25448.0)</f>
      </c>
      <c r="B326" s="9">
        <f>IFERROR(__xludf.DUMMYFUNCTION("""COMPUTED_VALUE"""),"METROPOLITANA III")</f>
      </c>
      <c r="C326" s="9">
        <f>IFERROR(__xludf.DUMMYFUNCTION("""COMPUTED_VALUE"""),"CE BOLIVAR")</f>
      </c>
      <c r="D326" s="10">
        <f>IFERROR(__xludf.DUMMYFUNCTION("""COMPUTED_VALUE"""),0.6429)</f>
      </c>
      <c r="E326" s="11">
        <f>IFERROR(__xludf.DUMMYFUNCTION("""COMPUTED_VALUE"""),148.15)</f>
      </c>
      <c r="F326" s="10">
        <f>IFERROR(__xludf.DUMMYFUNCTION("""COMPUTED_VALUE"""),0.4762)</f>
      </c>
      <c r="G326" s="11">
        <f>IFERROR(__xludf.DUMMYFUNCTION("""COMPUTED_VALUE"""),214.74)</f>
      </c>
      <c r="H326" s="10">
        <f>IFERROR(__xludf.DUMMYFUNCTION("""COMPUTED_VALUE"""),0.6429)</f>
      </c>
      <c r="I326" s="11">
        <f>IFERROR(__xludf.DUMMYFUNCTION("""COMPUTED_VALUE"""),295.38)</f>
      </c>
      <c r="J326" s="10">
        <f>IFERROR(__xludf.DUMMYFUNCTION("""COMPUTED_VALUE"""),0.7381)</f>
      </c>
      <c r="K326" s="11">
        <f>IFERROR(__xludf.DUMMYFUNCTION("""COMPUTED_VALUE"""),247.74)</f>
      </c>
      <c r="L326" s="10">
        <f>IFERROR(__xludf.DUMMYFUNCTION("""COMPUTED_VALUE"""),0.6667)</f>
      </c>
      <c r="M326" s="11">
        <f>IFERROR(__xludf.DUMMYFUNCTION("""COMPUTED_VALUE"""),362.86)</f>
      </c>
      <c r="N326" s="10">
        <f>IFERROR(__xludf.DUMMYFUNCTION("""COMPUTED_VALUE"""),0.5714)</f>
      </c>
      <c r="O326" s="11">
        <f>IFERROR(__xludf.DUMMYFUNCTION("""COMPUTED_VALUE"""),341.82)</f>
      </c>
      <c r="P326" s="12"/>
      <c r="Q326" s="12"/>
      <c r="R326" s="15"/>
      <c r="S326" s="12"/>
      <c r="T326" s="12"/>
      <c r="U326" s="12"/>
      <c r="V326" s="12"/>
      <c r="W326" s="12"/>
      <c r="X326" s="12"/>
      <c r="Y326" s="12"/>
      <c r="Z326" s="12"/>
    </row>
    <row x14ac:dyDescent="0.25" r="327" customHeight="1" ht="15.75">
      <c r="A327" s="8">
        <f>IFERROR(__xludf.DUMMYFUNCTION("""COMPUTED_VALUE"""),25449.0)</f>
      </c>
      <c r="B327" s="9">
        <f>IFERROR(__xludf.DUMMYFUNCTION("""COMPUTED_VALUE"""),"METROPOLITANA III")</f>
      </c>
      <c r="C327" s="9">
        <f>IFERROR(__xludf.DUMMYFUNCTION("""COMPUTED_VALUE"""),"CE BRANT HORTA")</f>
      </c>
      <c r="D327" s="10">
        <f>IFERROR(__xludf.DUMMYFUNCTION("""COMPUTED_VALUE"""),0.9552)</f>
      </c>
      <c r="E327" s="11">
        <f>IFERROR(__xludf.DUMMYFUNCTION("""COMPUTED_VALUE"""),180.28)</f>
      </c>
      <c r="F327" s="10">
        <f>IFERROR(__xludf.DUMMYFUNCTION("""COMPUTED_VALUE"""),0.9701)</f>
      </c>
      <c r="G327" s="11">
        <f>IFERROR(__xludf.DUMMYFUNCTION("""COMPUTED_VALUE"""),218.52)</f>
      </c>
      <c r="H327" s="10">
        <f>IFERROR(__xludf.DUMMYFUNCTION("""COMPUTED_VALUE"""),0.6627)</f>
      </c>
      <c r="I327" s="11">
        <f>IFERROR(__xludf.DUMMYFUNCTION("""COMPUTED_VALUE"""),281.45)</f>
      </c>
      <c r="J327" s="10">
        <f>IFERROR(__xludf.DUMMYFUNCTION("""COMPUTED_VALUE"""),0.9394)</f>
      </c>
      <c r="K327" s="11">
        <f>IFERROR(__xludf.DUMMYFUNCTION("""COMPUTED_VALUE"""),289.03)</f>
      </c>
      <c r="L327" s="10">
        <f>IFERROR(__xludf.DUMMYFUNCTION("""COMPUTED_VALUE"""),0.759)</f>
      </c>
      <c r="M327" s="11">
        <f>IFERROR(__xludf.DUMMYFUNCTION("""COMPUTED_VALUE"""),252.06)</f>
      </c>
      <c r="N327" s="10">
        <f>IFERROR(__xludf.DUMMYFUNCTION("""COMPUTED_VALUE"""),0.5904)</f>
      </c>
      <c r="O327" s="11">
        <f>IFERROR(__xludf.DUMMYFUNCTION("""COMPUTED_VALUE"""),409.79)</f>
      </c>
      <c r="P327" s="12"/>
      <c r="Q327" s="12"/>
      <c r="R327" s="15"/>
      <c r="S327" s="12"/>
      <c r="T327" s="12"/>
      <c r="U327" s="12"/>
      <c r="V327" s="12"/>
      <c r="W327" s="12"/>
      <c r="X327" s="12"/>
      <c r="Y327" s="12"/>
      <c r="Z327" s="12"/>
    </row>
    <row x14ac:dyDescent="0.25" r="328" customHeight="1" ht="15.75">
      <c r="A328" s="8">
        <f>IFERROR(__xludf.DUMMYFUNCTION("""COMPUTED_VALUE"""),25450.0)</f>
      </c>
      <c r="B328" s="9">
        <f>IFERROR(__xludf.DUMMYFUNCTION("""COMPUTED_VALUE"""),"METROPOLITANA III")</f>
      </c>
      <c r="C328" s="9">
        <f>IFERROR(__xludf.DUMMYFUNCTION("""COMPUTED_VALUE"""),"CE CARDEAL ARCOVERDE")</f>
      </c>
      <c r="D328" s="10">
        <f>IFERROR(__xludf.DUMMYFUNCTION("""COMPUTED_VALUE"""),0.7)</f>
      </c>
      <c r="E328" s="11">
        <f>IFERROR(__xludf.DUMMYFUNCTION("""COMPUTED_VALUE"""),121.33)</f>
      </c>
      <c r="F328" s="10">
        <f>IFERROR(__xludf.DUMMYFUNCTION("""COMPUTED_VALUE"""),0.6222)</f>
      </c>
      <c r="G328" s="11">
        <f>IFERROR(__xludf.DUMMYFUNCTION("""COMPUTED_VALUE"""),383.57)</f>
      </c>
      <c r="H328" s="10">
        <f>IFERROR(__xludf.DUMMYFUNCTION("""COMPUTED_VALUE"""),0.7111)</f>
      </c>
      <c r="I328" s="11">
        <f>IFERROR(__xludf.DUMMYFUNCTION("""COMPUTED_VALUE"""),361.31)</f>
      </c>
      <c r="J328" s="10">
        <f>IFERROR(__xludf.DUMMYFUNCTION("""COMPUTED_VALUE"""),0.5889)</f>
      </c>
      <c r="K328" s="11">
        <f>IFERROR(__xludf.DUMMYFUNCTION("""COMPUTED_VALUE"""),168.33)</f>
      </c>
      <c r="L328" s="10">
        <f>IFERROR(__xludf.DUMMYFUNCTION("""COMPUTED_VALUE"""),0.5667)</f>
      </c>
      <c r="M328" s="11">
        <f>IFERROR(__xludf.DUMMYFUNCTION("""COMPUTED_VALUE"""),385.6)</f>
      </c>
      <c r="N328" s="10">
        <f>IFERROR(__xludf.DUMMYFUNCTION("""COMPUTED_VALUE"""),0.4111)</f>
      </c>
      <c r="O328" s="11">
        <f>IFERROR(__xludf.DUMMYFUNCTION("""COMPUTED_VALUE"""),390.27)</f>
      </c>
      <c r="P328" s="12"/>
      <c r="Q328" s="12"/>
      <c r="R328" s="15"/>
      <c r="S328" s="12"/>
      <c r="T328" s="12"/>
      <c r="U328" s="12"/>
      <c r="V328" s="12"/>
      <c r="W328" s="12"/>
      <c r="X328" s="12"/>
      <c r="Y328" s="12"/>
      <c r="Z328" s="12"/>
    </row>
    <row x14ac:dyDescent="0.25" r="329" customHeight="1" ht="15.75">
      <c r="A329" s="8">
        <f>IFERROR(__xludf.DUMMYFUNCTION("""COMPUTED_VALUE"""),25451.0)</f>
      </c>
      <c r="B329" s="9">
        <f>IFERROR(__xludf.DUMMYFUNCTION("""COMPUTED_VALUE"""),"METROPOLITANA III")</f>
      </c>
      <c r="C329" s="9">
        <f>IFERROR(__xludf.DUMMYFUNCTION("""COMPUTED_VALUE"""),"CE CENTRAL DO BRASIL")</f>
      </c>
      <c r="D329" s="10">
        <f>IFERROR(__xludf.DUMMYFUNCTION("""COMPUTED_VALUE"""),0.4201)</f>
      </c>
      <c r="E329" s="11">
        <f>IFERROR(__xludf.DUMMYFUNCTION("""COMPUTED_VALUE"""),274.3)</f>
      </c>
      <c r="F329" s="10">
        <f>IFERROR(__xludf.DUMMYFUNCTION("""COMPUTED_VALUE"""),0.0425)</f>
      </c>
      <c r="G329" s="11">
        <f>IFERROR(__xludf.DUMMYFUNCTION("""COMPUTED_VALUE"""),424.24)</f>
      </c>
      <c r="H329" s="10">
        <f>IFERROR(__xludf.DUMMYFUNCTION("""COMPUTED_VALUE"""),0.3119)</f>
      </c>
      <c r="I329" s="11">
        <f>IFERROR(__xludf.DUMMYFUNCTION("""COMPUTED_VALUE"""),400.66)</f>
      </c>
      <c r="J329" s="10">
        <f>IFERROR(__xludf.DUMMYFUNCTION("""COMPUTED_VALUE"""),0.0103)</f>
      </c>
      <c r="K329" s="11">
        <f>IFERROR(__xludf.DUMMYFUNCTION("""COMPUTED_VALUE"""),251.43)</f>
      </c>
      <c r="L329" s="10">
        <f>IFERROR(__xludf.DUMMYFUNCTION("""COMPUTED_VALUE"""),0.4227)</f>
      </c>
      <c r="M329" s="11">
        <f>IFERROR(__xludf.DUMMYFUNCTION("""COMPUTED_VALUE"""),429.78)</f>
      </c>
      <c r="N329" s="10">
        <f>IFERROR(__xludf.DUMMYFUNCTION("""COMPUTED_VALUE"""),0.2732)</f>
      </c>
      <c r="O329" s="11">
        <f>IFERROR(__xludf.DUMMYFUNCTION("""COMPUTED_VALUE"""),369.1)</f>
      </c>
      <c r="P329" s="12"/>
      <c r="Q329" s="12"/>
      <c r="R329" s="15"/>
      <c r="S329" s="12"/>
      <c r="T329" s="12"/>
      <c r="U329" s="12"/>
      <c r="V329" s="12"/>
      <c r="W329" s="12"/>
      <c r="X329" s="12"/>
      <c r="Y329" s="12"/>
      <c r="Z329" s="12"/>
    </row>
    <row x14ac:dyDescent="0.25" r="330" customHeight="1" ht="15.75">
      <c r="A330" s="8">
        <f>IFERROR(__xludf.DUMMYFUNCTION("""COMPUTED_VALUE"""),25452.0)</f>
      </c>
      <c r="B330" s="9">
        <f>IFERROR(__xludf.DUMMYFUNCTION("""COMPUTED_VALUE"""),"METROPOLITANA III")</f>
      </c>
      <c r="C330" s="9">
        <f>IFERROR(__xludf.DUMMYFUNCTION("""COMPUTED_VALUE"""),"CE CHARLES CHAPLIN")</f>
      </c>
      <c r="D330" s="10">
        <f>IFERROR(__xludf.DUMMYFUNCTION("""COMPUTED_VALUE"""),0.4545)</f>
      </c>
      <c r="E330" s="11">
        <f>IFERROR(__xludf.DUMMYFUNCTION("""COMPUTED_VALUE"""),109.47)</f>
      </c>
      <c r="F330" s="10">
        <f>IFERROR(__xludf.DUMMYFUNCTION("""COMPUTED_VALUE"""),0.4545)</f>
      </c>
      <c r="G330" s="11">
        <f>IFERROR(__xludf.DUMMYFUNCTION("""COMPUTED_VALUE"""),364.0)</f>
      </c>
      <c r="H330" s="10">
        <f>IFERROR(__xludf.DUMMYFUNCTION("""COMPUTED_VALUE"""),0.3636)</f>
      </c>
      <c r="I330" s="11">
        <f>IFERROR(__xludf.DUMMYFUNCTION("""COMPUTED_VALUE"""),347.5)</f>
      </c>
      <c r="J330" s="10">
        <f>IFERROR(__xludf.DUMMYFUNCTION("""COMPUTED_VALUE"""),0.4318)</f>
      </c>
      <c r="K330" s="11">
        <f>IFERROR(__xludf.DUMMYFUNCTION("""COMPUTED_VALUE"""),200.0)</f>
      </c>
      <c r="L330" s="10">
        <f>IFERROR(__xludf.DUMMYFUNCTION("""COMPUTED_VALUE"""),0.25)</f>
      </c>
      <c r="M330" s="11">
        <f>IFERROR(__xludf.DUMMYFUNCTION("""COMPUTED_VALUE"""),290.91)</f>
      </c>
      <c r="N330" s="10">
        <f>IFERROR(__xludf.DUMMYFUNCTION("""COMPUTED_VALUE"""),0.3182)</f>
      </c>
      <c r="O330" s="11">
        <f>IFERROR(__xludf.DUMMYFUNCTION("""COMPUTED_VALUE"""),382.86)</f>
      </c>
      <c r="P330" s="12"/>
      <c r="Q330" s="12"/>
      <c r="R330" s="15"/>
      <c r="S330" s="12"/>
      <c r="T330" s="12"/>
      <c r="U330" s="12"/>
      <c r="V330" s="12"/>
      <c r="W330" s="12"/>
      <c r="X330" s="12"/>
      <c r="Y330" s="12"/>
      <c r="Z330" s="12"/>
    </row>
    <row x14ac:dyDescent="0.25" r="331" customHeight="1" ht="15.75">
      <c r="A331" s="8">
        <f>IFERROR(__xludf.DUMMYFUNCTION("""COMPUTED_VALUE"""),25453.0)</f>
      </c>
      <c r="B331" s="9">
        <f>IFERROR(__xludf.DUMMYFUNCTION("""COMPUTED_VALUE"""),"METROPOLITANA III")</f>
      </c>
      <c r="C331" s="9">
        <f>IFERROR(__xludf.DUMMYFUNCTION("""COMPUTED_VALUE"""),"CE CHILE")</f>
      </c>
      <c r="D331" s="10">
        <f>IFERROR(__xludf.DUMMYFUNCTION("""COMPUTED_VALUE"""),0.6688)</f>
      </c>
      <c r="E331" s="11">
        <f>IFERROR(__xludf.DUMMYFUNCTION("""COMPUTED_VALUE"""),123.46)</f>
      </c>
      <c r="F331" s="10">
        <f>IFERROR(__xludf.DUMMYFUNCTION("""COMPUTED_VALUE"""),0.8535)</f>
      </c>
      <c r="G331" s="11">
        <f>IFERROR(__xludf.DUMMYFUNCTION("""COMPUTED_VALUE"""),262.86)</f>
      </c>
      <c r="H331" s="10">
        <f>IFERROR(__xludf.DUMMYFUNCTION("""COMPUTED_VALUE"""),0.707)</f>
      </c>
      <c r="I331" s="11">
        <f>IFERROR(__xludf.DUMMYFUNCTION("""COMPUTED_VALUE"""),377.41)</f>
      </c>
      <c r="J331" s="10">
        <f>IFERROR(__xludf.DUMMYFUNCTION("""COMPUTED_VALUE"""),0.6624)</f>
      </c>
      <c r="K331" s="11">
        <f>IFERROR(__xludf.DUMMYFUNCTION("""COMPUTED_VALUE"""),252.44)</f>
      </c>
      <c r="L331" s="10">
        <f>IFERROR(__xludf.DUMMYFUNCTION("""COMPUTED_VALUE"""),0.5414)</f>
      </c>
      <c r="M331" s="11">
        <f>IFERROR(__xludf.DUMMYFUNCTION("""COMPUTED_VALUE"""),431.33)</f>
      </c>
      <c r="N331" s="10">
        <f>IFERROR(__xludf.DUMMYFUNCTION("""COMPUTED_VALUE"""),0.6242)</f>
      </c>
      <c r="O331" s="11">
        <f>IFERROR(__xludf.DUMMYFUNCTION("""COMPUTED_VALUE"""),420.21)</f>
      </c>
      <c r="P331" s="12"/>
      <c r="Q331" s="12"/>
      <c r="R331" s="15"/>
      <c r="S331" s="12"/>
      <c r="T331" s="12"/>
      <c r="U331" s="12"/>
      <c r="V331" s="12"/>
      <c r="W331" s="12"/>
      <c r="X331" s="12"/>
      <c r="Y331" s="12"/>
      <c r="Z331" s="12"/>
    </row>
    <row x14ac:dyDescent="0.25" r="332" customHeight="1" ht="15.75">
      <c r="A332" s="8">
        <f>IFERROR(__xludf.DUMMYFUNCTION("""COMPUTED_VALUE"""),25454.0)</f>
      </c>
      <c r="B332" s="9">
        <f>IFERROR(__xludf.DUMMYFUNCTION("""COMPUTED_VALUE"""),"METROPOLITANA III")</f>
      </c>
      <c r="C332" s="9">
        <f>IFERROR(__xludf.DUMMYFUNCTION("""COMPUTED_VALUE"""),"CE CIDADE DE LISBOA")</f>
      </c>
      <c r="D332" s="10">
        <f>IFERROR(__xludf.DUMMYFUNCTION("""COMPUTED_VALUE"""),0.7431)</f>
      </c>
      <c r="E332" s="11">
        <f>IFERROR(__xludf.DUMMYFUNCTION("""COMPUTED_VALUE"""),162.96)</f>
      </c>
      <c r="F332" s="10">
        <f>IFERROR(__xludf.DUMMYFUNCTION("""COMPUTED_VALUE"""),0.4495)</f>
      </c>
      <c r="G332" s="11">
        <f>IFERROR(__xludf.DUMMYFUNCTION("""COMPUTED_VALUE"""),291.43)</f>
      </c>
      <c r="H332" s="10">
        <f>IFERROR(__xludf.DUMMYFUNCTION("""COMPUTED_VALUE"""),0.465)</f>
      </c>
      <c r="I332" s="11">
        <f>IFERROR(__xludf.DUMMYFUNCTION("""COMPUTED_VALUE"""),350.68)</f>
      </c>
      <c r="J332" s="10">
        <f>IFERROR(__xludf.DUMMYFUNCTION("""COMPUTED_VALUE"""),0.7222)</f>
      </c>
      <c r="K332" s="11">
        <f>IFERROR(__xludf.DUMMYFUNCTION("""COMPUTED_VALUE"""),216.38)</f>
      </c>
      <c r="L332" s="10">
        <f>IFERROR(__xludf.DUMMYFUNCTION("""COMPUTED_VALUE"""),0.2038)</f>
      </c>
      <c r="M332" s="11">
        <f>IFERROR(__xludf.DUMMYFUNCTION("""COMPUTED_VALUE"""),"----")</f>
      </c>
      <c r="N332" s="10">
        <f>IFERROR(__xludf.DUMMYFUNCTION("""COMPUTED_VALUE"""),0.3885)</f>
      </c>
      <c r="O332" s="11">
        <f>IFERROR(__xludf.DUMMYFUNCTION("""COMPUTED_VALUE"""),314.21)</f>
      </c>
      <c r="P332" s="12"/>
      <c r="Q332" s="12"/>
      <c r="R332" s="15"/>
      <c r="S332" s="12"/>
      <c r="T332" s="12"/>
      <c r="U332" s="12"/>
      <c r="V332" s="12"/>
      <c r="W332" s="12"/>
      <c r="X332" s="12"/>
      <c r="Y332" s="12"/>
      <c r="Z332" s="12"/>
    </row>
    <row x14ac:dyDescent="0.25" r="333" customHeight="1" ht="15.75">
      <c r="A333" s="8">
        <f>IFERROR(__xludf.DUMMYFUNCTION("""COMPUTED_VALUE"""),25455.0)</f>
      </c>
      <c r="B333" s="9">
        <f>IFERROR(__xludf.DUMMYFUNCTION("""COMPUTED_VALUE"""),"METROPOLITANA III")</f>
      </c>
      <c r="C333" s="9">
        <f>IFERROR(__xludf.DUMMYFUNCTION("""COMPUTED_VALUE"""),"CE COMPOSITOR MANACEIA JOSE DE ANDRADE")</f>
      </c>
      <c r="D333" s="10">
        <f>IFERROR(__xludf.DUMMYFUNCTION("""COMPUTED_VALUE"""),0.922)</f>
      </c>
      <c r="E333" s="11">
        <f>IFERROR(__xludf.DUMMYFUNCTION("""COMPUTED_VALUE"""),121.08)</f>
      </c>
      <c r="F333" s="10">
        <f>IFERROR(__xludf.DUMMYFUNCTION("""COMPUTED_VALUE"""),0.9716)</f>
      </c>
      <c r="G333" s="11">
        <f>IFERROR(__xludf.DUMMYFUNCTION("""COMPUTED_VALUE"""),216.79)</f>
      </c>
      <c r="H333" s="10">
        <f>IFERROR(__xludf.DUMMYFUNCTION("""COMPUTED_VALUE"""),0.9935)</f>
      </c>
      <c r="I333" s="11">
        <f>IFERROR(__xludf.DUMMYFUNCTION("""COMPUTED_VALUE"""),242.78)</f>
      </c>
      <c r="J333" s="10">
        <f>IFERROR(__xludf.DUMMYFUNCTION("""COMPUTED_VALUE"""),0.9967)</f>
      </c>
      <c r="K333" s="11">
        <f>IFERROR(__xludf.DUMMYFUNCTION("""COMPUTED_VALUE"""),128.82)</f>
      </c>
      <c r="L333" s="10">
        <f>IFERROR(__xludf.DUMMYFUNCTION("""COMPUTED_VALUE"""),1.0)</f>
      </c>
      <c r="M333" s="11">
        <f>IFERROR(__xludf.DUMMYFUNCTION("""COMPUTED_VALUE"""),162.48)</f>
      </c>
      <c r="N333" s="10">
        <f>IFERROR(__xludf.DUMMYFUNCTION("""COMPUTED_VALUE"""),0.9967)</f>
      </c>
      <c r="O333" s="11">
        <f>IFERROR(__xludf.DUMMYFUNCTION("""COMPUTED_VALUE"""),136.99)</f>
      </c>
      <c r="P333" s="12"/>
      <c r="Q333" s="12"/>
      <c r="R333" s="15"/>
      <c r="S333" s="12"/>
      <c r="T333" s="12"/>
      <c r="U333" s="12"/>
      <c r="V333" s="12"/>
      <c r="W333" s="12"/>
      <c r="X333" s="12"/>
      <c r="Y333" s="12"/>
      <c r="Z333" s="12"/>
    </row>
    <row x14ac:dyDescent="0.25" r="334" customHeight="1" ht="15.75">
      <c r="A334" s="8">
        <f>IFERROR(__xludf.DUMMYFUNCTION("""COMPUTED_VALUE"""),25456.0)</f>
      </c>
      <c r="B334" s="9">
        <f>IFERROR(__xludf.DUMMYFUNCTION("""COMPUTED_VALUE"""),"METROPOLITANA III")</f>
      </c>
      <c r="C334" s="9">
        <f>IFERROR(__xludf.DUMMYFUNCTION("""COMPUTED_VALUE"""),"CE CONDE AFONSO CELSO")</f>
      </c>
      <c r="D334" s="10">
        <f>IFERROR(__xludf.DUMMYFUNCTION("""COMPUTED_VALUE"""),0.7317)</f>
      </c>
      <c r="E334" s="11">
        <f>IFERROR(__xludf.DUMMYFUNCTION("""COMPUTED_VALUE"""),195.17)</f>
      </c>
      <c r="F334" s="10">
        <f>IFERROR(__xludf.DUMMYFUNCTION("""COMPUTED_VALUE"""),0.5122)</f>
      </c>
      <c r="G334" s="11">
        <f>IFERROR(__xludf.DUMMYFUNCTION("""COMPUTED_VALUE"""),341.46)</f>
      </c>
      <c r="H334" s="10">
        <f>IFERROR(__xludf.DUMMYFUNCTION("""COMPUTED_VALUE"""),0.4512)</f>
      </c>
      <c r="I334" s="11">
        <f>IFERROR(__xludf.DUMMYFUNCTION("""COMPUTED_VALUE"""),343.33)</f>
      </c>
      <c r="J334" s="10">
        <f>IFERROR(__xludf.DUMMYFUNCTION("""COMPUTED_VALUE"""),0.6707)</f>
      </c>
      <c r="K334" s="11">
        <f>IFERROR(__xludf.DUMMYFUNCTION("""COMPUTED_VALUE"""),345.45)</f>
      </c>
      <c r="L334" s="10">
        <f>IFERROR(__xludf.DUMMYFUNCTION("""COMPUTED_VALUE"""),0.561)</f>
      </c>
      <c r="M334" s="11">
        <f>IFERROR(__xludf.DUMMYFUNCTION("""COMPUTED_VALUE"""),360.89)</f>
      </c>
      <c r="N334" s="10">
        <f>IFERROR(__xludf.DUMMYFUNCTION("""COMPUTED_VALUE"""),0.4878)</f>
      </c>
      <c r="O334" s="11">
        <f>IFERROR(__xludf.DUMMYFUNCTION("""COMPUTED_VALUE"""),373.0)</f>
      </c>
      <c r="P334" s="12"/>
      <c r="Q334" s="12"/>
      <c r="R334" s="15"/>
      <c r="S334" s="12"/>
      <c r="T334" s="12"/>
      <c r="U334" s="12"/>
      <c r="V334" s="12"/>
      <c r="W334" s="12"/>
      <c r="X334" s="12"/>
      <c r="Y334" s="12"/>
      <c r="Z334" s="12"/>
    </row>
    <row x14ac:dyDescent="0.25" r="335" customHeight="1" ht="15.75">
      <c r="A335" s="8">
        <f>IFERROR(__xludf.DUMMYFUNCTION("""COMPUTED_VALUE"""),25457.0)</f>
      </c>
      <c r="B335" s="9">
        <f>IFERROR(__xludf.DUMMYFUNCTION("""COMPUTED_VALUE"""),"METROPOLITANA III")</f>
      </c>
      <c r="C335" s="9">
        <f>IFERROR(__xludf.DUMMYFUNCTION("""COMPUTED_VALUE"""),"CE CONDE DE AGROLONGO")</f>
      </c>
      <c r="D335" s="10">
        <f>IFERROR(__xludf.DUMMYFUNCTION("""COMPUTED_VALUE"""),0.5556)</f>
      </c>
      <c r="E335" s="11">
        <f>IFERROR(__xludf.DUMMYFUNCTION("""COMPUTED_VALUE"""),148.21)</f>
      </c>
      <c r="F335" s="10">
        <f>IFERROR(__xludf.DUMMYFUNCTION("""COMPUTED_VALUE"""),0.537)</f>
      </c>
      <c r="G335" s="11">
        <f>IFERROR(__xludf.DUMMYFUNCTION("""COMPUTED_VALUE"""),452.41)</f>
      </c>
      <c r="H335" s="10">
        <f>IFERROR(__xludf.DUMMYFUNCTION("""COMPUTED_VALUE"""),0.3846)</f>
      </c>
      <c r="I335" s="11">
        <f>IFERROR(__xludf.DUMMYFUNCTION("""COMPUTED_VALUE"""),396.57)</f>
      </c>
      <c r="J335" s="10">
        <f>IFERROR(__xludf.DUMMYFUNCTION("""COMPUTED_VALUE"""),0.5921)</f>
      </c>
      <c r="K335" s="11">
        <f>IFERROR(__xludf.DUMMYFUNCTION("""COMPUTED_VALUE"""),232.0)</f>
      </c>
      <c r="L335" s="10">
        <f>IFERROR(__xludf.DUMMYFUNCTION("""COMPUTED_VALUE"""),0.4286)</f>
      </c>
      <c r="M335" s="11">
        <f>IFERROR(__xludf.DUMMYFUNCTION("""COMPUTED_VALUE"""),370.25)</f>
      </c>
      <c r="N335" s="10">
        <f>IFERROR(__xludf.DUMMYFUNCTION("""COMPUTED_VALUE"""),0.3187)</f>
      </c>
      <c r="O335" s="11">
        <f>IFERROR(__xludf.DUMMYFUNCTION("""COMPUTED_VALUE"""),393.1)</f>
      </c>
      <c r="P335" s="12"/>
      <c r="Q335" s="12"/>
      <c r="R335" s="15"/>
      <c r="S335" s="12"/>
      <c r="T335" s="12"/>
      <c r="U335" s="12"/>
      <c r="V335" s="12"/>
      <c r="W335" s="12"/>
      <c r="X335" s="12"/>
      <c r="Y335" s="12"/>
      <c r="Z335" s="12"/>
    </row>
    <row x14ac:dyDescent="0.25" r="336" customHeight="1" ht="15.75">
      <c r="A336" s="8">
        <f>IFERROR(__xludf.DUMMYFUNCTION("""COMPUTED_VALUE"""),25458.0)</f>
      </c>
      <c r="B336" s="9">
        <f>IFERROR(__xludf.DUMMYFUNCTION("""COMPUTED_VALUE"""),"METROPOLITANA III")</f>
      </c>
      <c r="C336" s="9">
        <f>IFERROR(__xludf.DUMMYFUNCTION("""COMPUTED_VALUE"""),"CE CONDE PEREIRA CARNEIRO")</f>
      </c>
      <c r="D336" s="10">
        <f>IFERROR(__xludf.DUMMYFUNCTION("""COMPUTED_VALUE"""),0.4309)</f>
      </c>
      <c r="E336" s="11">
        <f>IFERROR(__xludf.DUMMYFUNCTION("""COMPUTED_VALUE"""),68.46)</f>
      </c>
      <c r="F336" s="10">
        <f>IFERROR(__xludf.DUMMYFUNCTION("""COMPUTED_VALUE"""),0.4878)</f>
      </c>
      <c r="G336" s="11">
        <f>IFERROR(__xludf.DUMMYFUNCTION("""COMPUTED_VALUE"""),320.0)</f>
      </c>
      <c r="H336" s="10">
        <f>IFERROR(__xludf.DUMMYFUNCTION("""COMPUTED_VALUE"""),0.3008)</f>
      </c>
      <c r="I336" s="11">
        <f>IFERROR(__xludf.DUMMYFUNCTION("""COMPUTED_VALUE"""),0.0)</f>
      </c>
      <c r="J336" s="10">
        <f>IFERROR(__xludf.DUMMYFUNCTION("""COMPUTED_VALUE"""),0.5691)</f>
      </c>
      <c r="K336" s="11">
        <f>IFERROR(__xludf.DUMMYFUNCTION("""COMPUTED_VALUE"""),243.45)</f>
      </c>
      <c r="L336" s="10">
        <f>IFERROR(__xludf.DUMMYFUNCTION("""COMPUTED_VALUE"""),0.4228)</f>
      </c>
      <c r="M336" s="11">
        <f>IFERROR(__xludf.DUMMYFUNCTION("""COMPUTED_VALUE"""),259.23)</f>
      </c>
      <c r="N336" s="10">
        <f>IFERROR(__xludf.DUMMYFUNCTION("""COMPUTED_VALUE"""),0.4472)</f>
      </c>
      <c r="O336" s="11">
        <f>IFERROR(__xludf.DUMMYFUNCTION("""COMPUTED_VALUE"""),350.77)</f>
      </c>
      <c r="P336" s="12"/>
      <c r="Q336" s="12"/>
      <c r="R336" s="15"/>
      <c r="S336" s="12"/>
      <c r="T336" s="12"/>
      <c r="U336" s="12"/>
      <c r="V336" s="12"/>
      <c r="W336" s="12"/>
      <c r="X336" s="12"/>
      <c r="Y336" s="12"/>
      <c r="Z336" s="12"/>
    </row>
    <row x14ac:dyDescent="0.25" r="337" customHeight="1" ht="15.75">
      <c r="A337" s="8">
        <f>IFERROR(__xludf.DUMMYFUNCTION("""COMPUTED_VALUE"""),25459.0)</f>
      </c>
      <c r="B337" s="9">
        <f>IFERROR(__xludf.DUMMYFUNCTION("""COMPUTED_VALUE"""),"METROPOLITANA III")</f>
      </c>
      <c r="C337" s="9">
        <f>IFERROR(__xludf.DUMMYFUNCTION("""COMPUTED_VALUE"""),"CE CUBA")</f>
      </c>
      <c r="D337" s="10">
        <f>IFERROR(__xludf.DUMMYFUNCTION("""COMPUTED_VALUE"""),0.7761)</f>
      </c>
      <c r="E337" s="11">
        <f>IFERROR(__xludf.DUMMYFUNCTION("""COMPUTED_VALUE"""),104.62)</f>
      </c>
      <c r="F337" s="10">
        <f>IFERROR(__xludf.DUMMYFUNCTION("""COMPUTED_VALUE"""),0.6866)</f>
      </c>
      <c r="G337" s="11">
        <f>IFERROR(__xludf.DUMMYFUNCTION("""COMPUTED_VALUE"""),304.19)</f>
      </c>
      <c r="H337" s="10">
        <f>IFERROR(__xludf.DUMMYFUNCTION("""COMPUTED_VALUE"""),0.7463)</f>
      </c>
      <c r="I337" s="11">
        <f>IFERROR(__xludf.DUMMYFUNCTION("""COMPUTED_VALUE"""),369.6)</f>
      </c>
      <c r="J337" s="10">
        <f>IFERROR(__xludf.DUMMYFUNCTION("""COMPUTED_VALUE"""),0.6866)</f>
      </c>
      <c r="K337" s="11">
        <f>IFERROR(__xludf.DUMMYFUNCTION("""COMPUTED_VALUE"""),230.7)</f>
      </c>
      <c r="L337" s="10">
        <f>IFERROR(__xludf.DUMMYFUNCTION("""COMPUTED_VALUE"""),0.6119)</f>
      </c>
      <c r="M337" s="11">
        <f>IFERROR(__xludf.DUMMYFUNCTION("""COMPUTED_VALUE"""),382.0)</f>
      </c>
      <c r="N337" s="10">
        <f>IFERROR(__xludf.DUMMYFUNCTION("""COMPUTED_VALUE"""),0.5672)</f>
      </c>
      <c r="O337" s="11">
        <f>IFERROR(__xludf.DUMMYFUNCTION("""COMPUTED_VALUE"""),332.63)</f>
      </c>
      <c r="P337" s="12"/>
      <c r="Q337" s="12"/>
      <c r="R337" s="15"/>
      <c r="S337" s="12"/>
      <c r="T337" s="12"/>
      <c r="U337" s="12"/>
      <c r="V337" s="12"/>
      <c r="W337" s="12"/>
      <c r="X337" s="12"/>
      <c r="Y337" s="12"/>
      <c r="Z337" s="12"/>
    </row>
    <row x14ac:dyDescent="0.25" r="338" customHeight="1" ht="15.75">
      <c r="A338" s="8">
        <f>IFERROR(__xludf.DUMMYFUNCTION("""COMPUTED_VALUE"""),25460.0)</f>
      </c>
      <c r="B338" s="9">
        <f>IFERROR(__xludf.DUMMYFUNCTION("""COMPUTED_VALUE"""),"METROPOLITANA III")</f>
      </c>
      <c r="C338" s="9">
        <f>IFERROR(__xludf.DUMMYFUNCTION("""COMPUTED_VALUE"""),"CE CYRO MONTEIRO")</f>
      </c>
      <c r="D338" s="10">
        <f>IFERROR(__xludf.DUMMYFUNCTION("""COMPUTED_VALUE"""),0.1951)</f>
      </c>
      <c r="E338" s="11">
        <f>IFERROR(__xludf.DUMMYFUNCTION("""COMPUTED_VALUE"""),181.33)</f>
      </c>
      <c r="F338" s="10">
        <f>IFERROR(__xludf.DUMMYFUNCTION("""COMPUTED_VALUE"""),0.2073)</f>
      </c>
      <c r="G338" s="11">
        <f>IFERROR(__xludf.DUMMYFUNCTION("""COMPUTED_VALUE"""),340.0)</f>
      </c>
      <c r="H338" s="10">
        <f>IFERROR(__xludf.DUMMYFUNCTION("""COMPUTED_VALUE"""),0.0874)</f>
      </c>
      <c r="I338" s="11">
        <f>IFERROR(__xludf.DUMMYFUNCTION("""COMPUTED_VALUE"""),357.5)</f>
      </c>
      <c r="J338" s="10">
        <f>IFERROR(__xludf.DUMMYFUNCTION("""COMPUTED_VALUE"""),0.4356)</f>
      </c>
      <c r="K338" s="11">
        <f>IFERROR(__xludf.DUMMYFUNCTION("""COMPUTED_VALUE"""),289.47)</f>
      </c>
      <c r="L338" s="10">
        <f>IFERROR(__xludf.DUMMYFUNCTION("""COMPUTED_VALUE"""),0.0874)</f>
      </c>
      <c r="M338" s="11">
        <f>IFERROR(__xludf.DUMMYFUNCTION("""COMPUTED_VALUE"""),315.0)</f>
      </c>
      <c r="N338" s="10">
        <f>IFERROR(__xludf.DUMMYFUNCTION("""COMPUTED_VALUE"""),0.1967)</f>
      </c>
      <c r="O338" s="11">
        <f>IFERROR(__xludf.DUMMYFUNCTION("""COMPUTED_VALUE"""),317.78)</f>
      </c>
      <c r="P338" s="12"/>
      <c r="Q338" s="12"/>
      <c r="R338" s="15"/>
      <c r="S338" s="12"/>
      <c r="T338" s="12"/>
      <c r="U338" s="12"/>
      <c r="V338" s="12"/>
      <c r="W338" s="12"/>
      <c r="X338" s="12"/>
      <c r="Y338" s="12"/>
      <c r="Z338" s="12"/>
    </row>
    <row x14ac:dyDescent="0.25" r="339" customHeight="1" ht="15.75">
      <c r="A339" s="8">
        <f>IFERROR(__xludf.DUMMYFUNCTION("""COMPUTED_VALUE"""),25461.0)</f>
      </c>
      <c r="B339" s="9">
        <f>IFERROR(__xludf.DUMMYFUNCTION("""COMPUTED_VALUE"""),"METROPOLITANA III")</f>
      </c>
      <c r="C339" s="9">
        <f>IFERROR(__xludf.DUMMYFUNCTION("""COMPUTED_VALUE"""),"CE DEPUTADO PEDRO FERNANDES")</f>
      </c>
      <c r="D339" s="10">
        <f>IFERROR(__xludf.DUMMYFUNCTION("""COMPUTED_VALUE"""),0.9273)</f>
      </c>
      <c r="E339" s="11">
        <f>IFERROR(__xludf.DUMMYFUNCTION("""COMPUTED_VALUE"""),111.57)</f>
      </c>
      <c r="F339" s="10">
        <f>IFERROR(__xludf.DUMMYFUNCTION("""COMPUTED_VALUE"""),0.8794)</f>
      </c>
      <c r="G339" s="11">
        <f>IFERROR(__xludf.DUMMYFUNCTION("""COMPUTED_VALUE"""),211.13)</f>
      </c>
      <c r="H339" s="10">
        <f>IFERROR(__xludf.DUMMYFUNCTION("""COMPUTED_VALUE"""),0.4534)</f>
      </c>
      <c r="I339" s="11">
        <f>IFERROR(__xludf.DUMMYFUNCTION("""COMPUTED_VALUE"""),228.65)</f>
      </c>
      <c r="J339" s="10">
        <f>IFERROR(__xludf.DUMMYFUNCTION("""COMPUTED_VALUE"""),0.5804)</f>
      </c>
      <c r="K339" s="11">
        <f>IFERROR(__xludf.DUMMYFUNCTION("""COMPUTED_VALUE"""),230.39)</f>
      </c>
      <c r="L339" s="10">
        <f>IFERROR(__xludf.DUMMYFUNCTION("""COMPUTED_VALUE"""),0.5305)</f>
      </c>
      <c r="M339" s="11">
        <f>IFERROR(__xludf.DUMMYFUNCTION("""COMPUTED_VALUE"""),399.5)</f>
      </c>
      <c r="N339" s="10">
        <f>IFERROR(__xludf.DUMMYFUNCTION("""COMPUTED_VALUE"""),0.545)</f>
      </c>
      <c r="O339" s="11">
        <f>IFERROR(__xludf.DUMMYFUNCTION("""COMPUTED_VALUE"""),400.12)</f>
      </c>
      <c r="P339" s="12"/>
      <c r="Q339" s="12"/>
      <c r="R339" s="15"/>
      <c r="S339" s="12"/>
      <c r="T339" s="12"/>
      <c r="U339" s="12"/>
      <c r="V339" s="12"/>
      <c r="W339" s="12"/>
      <c r="X339" s="12"/>
      <c r="Y339" s="12"/>
      <c r="Z339" s="12"/>
    </row>
    <row x14ac:dyDescent="0.25" r="340" customHeight="1" ht="15.75">
      <c r="A340" s="8">
        <f>IFERROR(__xludf.DUMMYFUNCTION("""COMPUTED_VALUE"""),25462.0)</f>
      </c>
      <c r="B340" s="9">
        <f>IFERROR(__xludf.DUMMYFUNCTION("""COMPUTED_VALUE"""),"METROPOLITANA III")</f>
      </c>
      <c r="C340" s="9">
        <f>IFERROR(__xludf.DUMMYFUNCTION("""COMPUTED_VALUE"""),"CE DOM HELDER CAMARA")</f>
      </c>
      <c r="D340" s="10">
        <f>IFERROR(__xludf.DUMMYFUNCTION("""COMPUTED_VALUE"""),0.5753)</f>
      </c>
      <c r="E340" s="11">
        <f>IFERROR(__xludf.DUMMYFUNCTION("""COMPUTED_VALUE"""),175.64)</f>
      </c>
      <c r="F340" s="10">
        <f>IFERROR(__xludf.DUMMYFUNCTION("""COMPUTED_VALUE"""),0.5635)</f>
      </c>
      <c r="G340" s="11">
        <f>IFERROR(__xludf.DUMMYFUNCTION("""COMPUTED_VALUE"""),415.42)</f>
      </c>
      <c r="H340" s="10">
        <f>IFERROR(__xludf.DUMMYFUNCTION("""COMPUTED_VALUE"""),0.4215)</f>
      </c>
      <c r="I340" s="11">
        <f>IFERROR(__xludf.DUMMYFUNCTION("""COMPUTED_VALUE"""),425.82)</f>
      </c>
      <c r="J340" s="10">
        <f>IFERROR(__xludf.DUMMYFUNCTION("""COMPUTED_VALUE"""),0.5701)</f>
      </c>
      <c r="K340" s="11">
        <f>IFERROR(__xludf.DUMMYFUNCTION("""COMPUTED_VALUE"""),197.16)</f>
      </c>
      <c r="L340" s="10">
        <f>IFERROR(__xludf.DUMMYFUNCTION("""COMPUTED_VALUE"""),0.5897)</f>
      </c>
      <c r="M340" s="11">
        <f>IFERROR(__xludf.DUMMYFUNCTION("""COMPUTED_VALUE"""),417.0)</f>
      </c>
      <c r="N340" s="10">
        <f>IFERROR(__xludf.DUMMYFUNCTION("""COMPUTED_VALUE"""),0.4744)</f>
      </c>
      <c r="O340" s="11">
        <f>IFERROR(__xludf.DUMMYFUNCTION("""COMPUTED_VALUE"""),444.59)</f>
      </c>
      <c r="P340" s="12"/>
      <c r="Q340" s="12"/>
      <c r="R340" s="15"/>
      <c r="S340" s="12"/>
      <c r="T340" s="12"/>
      <c r="U340" s="12"/>
      <c r="V340" s="12"/>
      <c r="W340" s="12"/>
      <c r="X340" s="12"/>
      <c r="Y340" s="12"/>
      <c r="Z340" s="12"/>
    </row>
    <row x14ac:dyDescent="0.25" r="341" customHeight="1" ht="15.75">
      <c r="A341" s="8">
        <f>IFERROR(__xludf.DUMMYFUNCTION("""COMPUTED_VALUE"""),25463.0)</f>
      </c>
      <c r="B341" s="9">
        <f>IFERROR(__xludf.DUMMYFUNCTION("""COMPUTED_VALUE"""),"METROPOLITANA III")</f>
      </c>
      <c r="C341" s="9">
        <f>IFERROR(__xludf.DUMMYFUNCTION("""COMPUTED_VALUE"""),"CE DUNSHEE DE ABRANCHES")</f>
      </c>
      <c r="D341" s="10">
        <f>IFERROR(__xludf.DUMMYFUNCTION("""COMPUTED_VALUE"""),0.7071)</f>
      </c>
      <c r="E341" s="11">
        <f>IFERROR(__xludf.DUMMYFUNCTION("""COMPUTED_VALUE"""),145.42)</f>
      </c>
      <c r="F341" s="10">
        <f>IFERROR(__xludf.DUMMYFUNCTION("""COMPUTED_VALUE"""),0.6286)</f>
      </c>
      <c r="G341" s="11">
        <f>IFERROR(__xludf.DUMMYFUNCTION("""COMPUTED_VALUE"""),306.05)</f>
      </c>
      <c r="H341" s="10">
        <f>IFERROR(__xludf.DUMMYFUNCTION("""COMPUTED_VALUE"""),0.6429)</f>
      </c>
      <c r="I341" s="11">
        <f>IFERROR(__xludf.DUMMYFUNCTION("""COMPUTED_VALUE"""),351.01)</f>
      </c>
      <c r="J341" s="10">
        <f>IFERROR(__xludf.DUMMYFUNCTION("""COMPUTED_VALUE"""),0.6786)</f>
      </c>
      <c r="K341" s="11">
        <f>IFERROR(__xludf.DUMMYFUNCTION("""COMPUTED_VALUE"""),271.9)</f>
      </c>
      <c r="L341" s="10">
        <f>IFERROR(__xludf.DUMMYFUNCTION("""COMPUTED_VALUE"""),0.5714)</f>
      </c>
      <c r="M341" s="11">
        <f>IFERROR(__xludf.DUMMYFUNCTION("""COMPUTED_VALUE"""),368.21)</f>
      </c>
      <c r="N341" s="10">
        <f>IFERROR(__xludf.DUMMYFUNCTION("""COMPUTED_VALUE"""),0.5929)</f>
      </c>
      <c r="O341" s="11">
        <f>IFERROR(__xludf.DUMMYFUNCTION("""COMPUTED_VALUE"""),392.77)</f>
      </c>
      <c r="P341" s="12"/>
      <c r="Q341" s="12"/>
      <c r="R341" s="15"/>
      <c r="S341" s="12"/>
      <c r="T341" s="12"/>
      <c r="U341" s="12"/>
      <c r="V341" s="12"/>
      <c r="W341" s="12"/>
      <c r="X341" s="12"/>
      <c r="Y341" s="12"/>
      <c r="Z341" s="12"/>
    </row>
    <row x14ac:dyDescent="0.25" r="342" customHeight="1" ht="15.75">
      <c r="A342" s="8">
        <f>IFERROR(__xludf.DUMMYFUNCTION("""COMPUTED_VALUE"""),25464.0)</f>
      </c>
      <c r="B342" s="9">
        <f>IFERROR(__xludf.DUMMYFUNCTION("""COMPUTED_VALUE"""),"METROPOLITANA III")</f>
      </c>
      <c r="C342" s="9">
        <f>IFERROR(__xludf.DUMMYFUNCTION("""COMPUTED_VALUE"""),"CE EMBAIXADOR BARROS HURTADO")</f>
      </c>
      <c r="D342" s="10">
        <f>IFERROR(__xludf.DUMMYFUNCTION("""COMPUTED_VALUE"""),0.625)</f>
      </c>
      <c r="E342" s="11">
        <f>IFERROR(__xludf.DUMMYFUNCTION("""COMPUTED_VALUE"""),112.59)</f>
      </c>
      <c r="F342" s="10">
        <f>IFERROR(__xludf.DUMMYFUNCTION("""COMPUTED_VALUE"""),0.5625)</f>
      </c>
      <c r="G342" s="11">
        <f>IFERROR(__xludf.DUMMYFUNCTION("""COMPUTED_VALUE"""),302.22)</f>
      </c>
      <c r="H342" s="10">
        <f>IFERROR(__xludf.DUMMYFUNCTION("""COMPUTED_VALUE"""),0.3733)</f>
      </c>
      <c r="I342" s="11">
        <f>IFERROR(__xludf.DUMMYFUNCTION("""COMPUTED_VALUE"""),297.14)</f>
      </c>
      <c r="J342" s="10">
        <f>IFERROR(__xludf.DUMMYFUNCTION("""COMPUTED_VALUE"""),0.619)</f>
      </c>
      <c r="K342" s="11">
        <f>IFERROR(__xludf.DUMMYFUNCTION("""COMPUTED_VALUE"""),213.44)</f>
      </c>
      <c r="L342" s="10">
        <f>IFERROR(__xludf.DUMMYFUNCTION("""COMPUTED_VALUE"""),0.3733)</f>
      </c>
      <c r="M342" s="11">
        <f>IFERROR(__xludf.DUMMYFUNCTION("""COMPUTED_VALUE"""),345.72)</f>
      </c>
      <c r="N342" s="10">
        <f>IFERROR(__xludf.DUMMYFUNCTION("""COMPUTED_VALUE"""),0.3733)</f>
      </c>
      <c r="O342" s="11">
        <f>IFERROR(__xludf.DUMMYFUNCTION("""COMPUTED_VALUE"""),127.14)</f>
      </c>
      <c r="P342" s="12"/>
      <c r="Q342" s="12"/>
      <c r="R342" s="15"/>
      <c r="S342" s="12"/>
      <c r="T342" s="12"/>
      <c r="U342" s="12"/>
      <c r="V342" s="12"/>
      <c r="W342" s="12"/>
      <c r="X342" s="12"/>
      <c r="Y342" s="12"/>
      <c r="Z342" s="12"/>
    </row>
    <row x14ac:dyDescent="0.25" r="343" customHeight="1" ht="15.75">
      <c r="A343" s="8">
        <f>IFERROR(__xludf.DUMMYFUNCTION("""COMPUTED_VALUE"""),25465.0)</f>
      </c>
      <c r="B343" s="9">
        <f>IFERROR(__xludf.DUMMYFUNCTION("""COMPUTED_VALUE"""),"METROPOLITANA III")</f>
      </c>
      <c r="C343" s="9">
        <f>IFERROR(__xludf.DUMMYFUNCTION("""COMPUTED_VALUE"""),"CE FRANCISCO JOBIM")</f>
      </c>
      <c r="D343" s="10">
        <f>IFERROR(__xludf.DUMMYFUNCTION("""COMPUTED_VALUE"""),0.5238)</f>
      </c>
      <c r="E343" s="11">
        <f>IFERROR(__xludf.DUMMYFUNCTION("""COMPUTED_VALUE"""),268.59)</f>
      </c>
      <c r="F343" s="10">
        <f>IFERROR(__xludf.DUMMYFUNCTION("""COMPUTED_VALUE"""),0.5)</f>
      </c>
      <c r="G343" s="11">
        <f>IFERROR(__xludf.DUMMYFUNCTION("""COMPUTED_VALUE"""),430.48)</f>
      </c>
      <c r="H343" s="10">
        <f>IFERROR(__xludf.DUMMYFUNCTION("""COMPUTED_VALUE"""),0.375)</f>
      </c>
      <c r="I343" s="11">
        <f>IFERROR(__xludf.DUMMYFUNCTION("""COMPUTED_VALUE"""),445.0)</f>
      </c>
      <c r="J343" s="10">
        <f>IFERROR(__xludf.DUMMYFUNCTION("""COMPUTED_VALUE"""),0.5128)</f>
      </c>
      <c r="K343" s="11">
        <f>IFERROR(__xludf.DUMMYFUNCTION("""COMPUTED_VALUE"""),206.0)</f>
      </c>
      <c r="L343" s="10">
        <f>IFERROR(__xludf.DUMMYFUNCTION("""COMPUTED_VALUE"""),0.3594)</f>
      </c>
      <c r="M343" s="11">
        <f>IFERROR(__xludf.DUMMYFUNCTION("""COMPUTED_VALUE"""),351.31)</f>
      </c>
      <c r="N343" s="10">
        <f>IFERROR(__xludf.DUMMYFUNCTION("""COMPUTED_VALUE"""),0.4063)</f>
      </c>
      <c r="O343" s="11">
        <f>IFERROR(__xludf.DUMMYFUNCTION("""COMPUTED_VALUE"""),415.38)</f>
      </c>
      <c r="P343" s="12"/>
      <c r="Q343" s="12"/>
      <c r="R343" s="15"/>
      <c r="S343" s="12"/>
      <c r="T343" s="12"/>
      <c r="U343" s="12"/>
      <c r="V343" s="12"/>
      <c r="W343" s="12"/>
      <c r="X343" s="12"/>
      <c r="Y343" s="12"/>
      <c r="Z343" s="12"/>
    </row>
    <row x14ac:dyDescent="0.25" r="344" customHeight="1" ht="15.75">
      <c r="A344" s="8">
        <f>IFERROR(__xludf.DUMMYFUNCTION("""COMPUTED_VALUE"""),25466.0)</f>
      </c>
      <c r="B344" s="9">
        <f>IFERROR(__xludf.DUMMYFUNCTION("""COMPUTED_VALUE"""),"METROPOLITANA III")</f>
      </c>
      <c r="C344" s="9">
        <f>IFERROR(__xludf.DUMMYFUNCTION("""COMPUTED_VALUE"""),"CE FRANCISCO PALHETA")</f>
      </c>
      <c r="D344" s="10">
        <f>IFERROR(__xludf.DUMMYFUNCTION("""COMPUTED_VALUE"""),0.6061)</f>
      </c>
      <c r="E344" s="11">
        <f>IFERROR(__xludf.DUMMYFUNCTION("""COMPUTED_VALUE"""),140.0)</f>
      </c>
      <c r="F344" s="10">
        <f>IFERROR(__xludf.DUMMYFUNCTION("""COMPUTED_VALUE"""),0.7374)</f>
      </c>
      <c r="G344" s="11">
        <f>IFERROR(__xludf.DUMMYFUNCTION("""COMPUTED_VALUE"""),202.22)</f>
      </c>
      <c r="H344" s="10">
        <f>IFERROR(__xludf.DUMMYFUNCTION("""COMPUTED_VALUE"""),0.5152)</f>
      </c>
      <c r="I344" s="11">
        <f>IFERROR(__xludf.DUMMYFUNCTION("""COMPUTED_VALUE"""),400.0)</f>
      </c>
      <c r="J344" s="10">
        <f>IFERROR(__xludf.DUMMYFUNCTION("""COMPUTED_VALUE"""),0.6162)</f>
      </c>
      <c r="K344" s="11">
        <f>IFERROR(__xludf.DUMMYFUNCTION("""COMPUTED_VALUE"""),261.89)</f>
      </c>
      <c r="L344" s="10">
        <f>IFERROR(__xludf.DUMMYFUNCTION("""COMPUTED_VALUE"""),0.5051)</f>
      </c>
      <c r="M344" s="11">
        <f>IFERROR(__xludf.DUMMYFUNCTION("""COMPUTED_VALUE"""),367.35)</f>
      </c>
      <c r="N344" s="10">
        <f>IFERROR(__xludf.DUMMYFUNCTION("""COMPUTED_VALUE"""),0.5657)</f>
      </c>
      <c r="O344" s="11">
        <f>IFERROR(__xludf.DUMMYFUNCTION("""COMPUTED_VALUE"""),317.09)</f>
      </c>
      <c r="P344" s="12"/>
      <c r="Q344" s="12"/>
      <c r="R344" s="15"/>
      <c r="S344" s="12"/>
      <c r="T344" s="12"/>
      <c r="U344" s="12"/>
      <c r="V344" s="12"/>
      <c r="W344" s="12"/>
      <c r="X344" s="12"/>
      <c r="Y344" s="12"/>
      <c r="Z344" s="12"/>
    </row>
    <row x14ac:dyDescent="0.25" r="345" customHeight="1" ht="15.75">
      <c r="A345" s="8">
        <f>IFERROR(__xludf.DUMMYFUNCTION("""COMPUTED_VALUE"""),25467.0)</f>
      </c>
      <c r="B345" s="9">
        <f>IFERROR(__xludf.DUMMYFUNCTION("""COMPUTED_VALUE"""),"METROPOLITANA III")</f>
      </c>
      <c r="C345" s="9">
        <f>IFERROR(__xludf.DUMMYFUNCTION("""COMPUTED_VALUE"""),"CE GENERAL OSORIO")</f>
      </c>
      <c r="D345" s="10">
        <f>IFERROR(__xludf.DUMMYFUNCTION("""COMPUTED_VALUE"""),0.5)</f>
      </c>
      <c r="E345" s="11">
        <f>IFERROR(__xludf.DUMMYFUNCTION("""COMPUTED_VALUE"""),44.85)</f>
      </c>
      <c r="F345" s="10">
        <f>IFERROR(__xludf.DUMMYFUNCTION("""COMPUTED_VALUE"""),0.3485)</f>
      </c>
      <c r="G345" s="11">
        <f>IFERROR(__xludf.DUMMYFUNCTION("""COMPUTED_VALUE"""),253.91)</f>
      </c>
      <c r="H345" s="10">
        <f>IFERROR(__xludf.DUMMYFUNCTION("""COMPUTED_VALUE"""),0.0893)</f>
      </c>
      <c r="I345" s="11">
        <f>IFERROR(__xludf.DUMMYFUNCTION("""COMPUTED_VALUE"""),368.0)</f>
      </c>
      <c r="J345" s="10">
        <f>IFERROR(__xludf.DUMMYFUNCTION("""COMPUTED_VALUE"""),0.5)</f>
      </c>
      <c r="K345" s="11">
        <f>IFERROR(__xludf.DUMMYFUNCTION("""COMPUTED_VALUE"""),122.0)</f>
      </c>
      <c r="L345" s="10">
        <f>IFERROR(__xludf.DUMMYFUNCTION("""COMPUTED_VALUE"""),0.244)</f>
      </c>
      <c r="M345" s="11">
        <f>IFERROR(__xludf.DUMMYFUNCTION("""COMPUTED_VALUE"""),307.0)</f>
      </c>
      <c r="N345" s="10">
        <f>IFERROR(__xludf.DUMMYFUNCTION("""COMPUTED_VALUE"""),0.256)</f>
      </c>
      <c r="O345" s="11">
        <f>IFERROR(__xludf.DUMMYFUNCTION("""COMPUTED_VALUE"""),324.65)</f>
      </c>
      <c r="P345" s="12"/>
      <c r="Q345" s="12"/>
      <c r="R345" s="15"/>
      <c r="S345" s="12"/>
      <c r="T345" s="12"/>
      <c r="U345" s="12"/>
      <c r="V345" s="12"/>
      <c r="W345" s="12"/>
      <c r="X345" s="12"/>
      <c r="Y345" s="12"/>
      <c r="Z345" s="12"/>
    </row>
    <row x14ac:dyDescent="0.25" r="346" customHeight="1" ht="15.75">
      <c r="A346" s="8">
        <f>IFERROR(__xludf.DUMMYFUNCTION("""COMPUTED_VALUE"""),25468.0)</f>
      </c>
      <c r="B346" s="9">
        <f>IFERROR(__xludf.DUMMYFUNCTION("""COMPUTED_VALUE"""),"METROPOLITANA III")</f>
      </c>
      <c r="C346" s="9">
        <f>IFERROR(__xludf.DUMMYFUNCTION("""COMPUTED_VALUE"""),"CE GOMES FREIRE DE ANDRADE")</f>
      </c>
      <c r="D346" s="10">
        <f>IFERROR(__xludf.DUMMYFUNCTION("""COMPUTED_VALUE"""),0.7179)</f>
      </c>
      <c r="E346" s="11">
        <f>IFERROR(__xludf.DUMMYFUNCTION("""COMPUTED_VALUE"""),208.84)</f>
      </c>
      <c r="F346" s="10">
        <f>IFERROR(__xludf.DUMMYFUNCTION("""COMPUTED_VALUE"""),0.6314)</f>
      </c>
      <c r="G346" s="11">
        <f>IFERROR(__xludf.DUMMYFUNCTION("""COMPUTED_VALUE"""),376.67)</f>
      </c>
      <c r="H346" s="10">
        <f>IFERROR(__xludf.DUMMYFUNCTION("""COMPUTED_VALUE"""),0.6452)</f>
      </c>
      <c r="I346" s="11">
        <f>IFERROR(__xludf.DUMMYFUNCTION("""COMPUTED_VALUE"""),406.9)</f>
      </c>
      <c r="J346" s="10">
        <f>IFERROR(__xludf.DUMMYFUNCTION("""COMPUTED_VALUE"""),0.6784)</f>
      </c>
      <c r="K346" s="11">
        <f>IFERROR(__xludf.DUMMYFUNCTION("""COMPUTED_VALUE"""),283.88)</f>
      </c>
      <c r="L346" s="10">
        <f>IFERROR(__xludf.DUMMYFUNCTION("""COMPUTED_VALUE"""),0.6186)</f>
      </c>
      <c r="M346" s="11">
        <f>IFERROR(__xludf.DUMMYFUNCTION("""COMPUTED_VALUE"""),379.12)</f>
      </c>
      <c r="N346" s="10">
        <f>IFERROR(__xludf.DUMMYFUNCTION("""COMPUTED_VALUE"""),0.5971)</f>
      </c>
      <c r="O346" s="11">
        <f>IFERROR(__xludf.DUMMYFUNCTION("""COMPUTED_VALUE"""),396.21)</f>
      </c>
      <c r="P346" s="12"/>
      <c r="Q346" s="12"/>
      <c r="R346" s="15"/>
      <c r="S346" s="12"/>
      <c r="T346" s="12"/>
      <c r="U346" s="12"/>
      <c r="V346" s="12"/>
      <c r="W346" s="12"/>
      <c r="X346" s="12"/>
      <c r="Y346" s="12"/>
      <c r="Z346" s="12"/>
    </row>
    <row x14ac:dyDescent="0.25" r="347" customHeight="1" ht="15.75">
      <c r="A347" s="8">
        <f>IFERROR(__xludf.DUMMYFUNCTION("""COMPUTED_VALUE"""),25469.0)</f>
      </c>
      <c r="B347" s="9">
        <f>IFERROR(__xludf.DUMMYFUNCTION("""COMPUTED_VALUE"""),"METROPOLITANA III")</f>
      </c>
      <c r="C347" s="9">
        <f>IFERROR(__xludf.DUMMYFUNCTION("""COMPUTED_VALUE"""),"CE GRACILIANO RAMOS")</f>
      </c>
      <c r="D347" s="10">
        <f>IFERROR(__xludf.DUMMYFUNCTION("""COMPUTED_VALUE"""),0.46)</f>
      </c>
      <c r="E347" s="11">
        <f>IFERROR(__xludf.DUMMYFUNCTION("""COMPUTED_VALUE"""),178.09)</f>
      </c>
      <c r="F347" s="10">
        <f>IFERROR(__xludf.DUMMYFUNCTION("""COMPUTED_VALUE"""),0.34)</f>
      </c>
      <c r="G347" s="11">
        <f>IFERROR(__xludf.DUMMYFUNCTION("""COMPUTED_VALUE"""),312.94)</f>
      </c>
      <c r="H347" s="10">
        <f>IFERROR(__xludf.DUMMYFUNCTION("""COMPUTED_VALUE"""),0.2958)</f>
      </c>
      <c r="I347" s="11">
        <f>IFERROR(__xludf.DUMMYFUNCTION("""COMPUTED_VALUE"""),354.16)</f>
      </c>
      <c r="J347" s="10">
        <f>IFERROR(__xludf.DUMMYFUNCTION("""COMPUTED_VALUE"""),0.5085)</f>
      </c>
      <c r="K347" s="11">
        <f>IFERROR(__xludf.DUMMYFUNCTION("""COMPUTED_VALUE"""),380.24)</f>
      </c>
      <c r="L347" s="10">
        <f>IFERROR(__xludf.DUMMYFUNCTION("""COMPUTED_VALUE"""),0.2535)</f>
      </c>
      <c r="M347" s="11">
        <f>IFERROR(__xludf.DUMMYFUNCTION("""COMPUTED_VALUE"""),326.67)</f>
      </c>
      <c r="N347" s="10">
        <f>IFERROR(__xludf.DUMMYFUNCTION("""COMPUTED_VALUE"""),0.3803)</f>
      </c>
      <c r="O347" s="11">
        <f>IFERROR(__xludf.DUMMYFUNCTION("""COMPUTED_VALUE"""),379.26)</f>
      </c>
      <c r="P347" s="12"/>
      <c r="Q347" s="12"/>
      <c r="R347" s="15"/>
      <c r="S347" s="12"/>
      <c r="T347" s="12"/>
      <c r="U347" s="12"/>
      <c r="V347" s="12"/>
      <c r="W347" s="12"/>
      <c r="X347" s="12"/>
      <c r="Y347" s="12"/>
      <c r="Z347" s="12"/>
    </row>
    <row x14ac:dyDescent="0.25" r="348" customHeight="1" ht="15.75">
      <c r="A348" s="8">
        <f>IFERROR(__xludf.DUMMYFUNCTION("""COMPUTED_VALUE"""),25470.0)</f>
      </c>
      <c r="B348" s="9">
        <f>IFERROR(__xludf.DUMMYFUNCTION("""COMPUTED_VALUE"""),"METROPOLITANA III")</f>
      </c>
      <c r="C348" s="9">
        <f>IFERROR(__xludf.DUMMYFUNCTION("""COMPUTED_VALUE"""),"CE GUADALUPE")</f>
      </c>
      <c r="D348" s="10">
        <f>IFERROR(__xludf.DUMMYFUNCTION("""COMPUTED_VALUE"""),0.6286)</f>
      </c>
      <c r="E348" s="11">
        <f>IFERROR(__xludf.DUMMYFUNCTION("""COMPUTED_VALUE"""),103.38)</f>
      </c>
      <c r="F348" s="10">
        <f>IFERROR(__xludf.DUMMYFUNCTION("""COMPUTED_VALUE"""),0.5571)</f>
      </c>
      <c r="G348" s="11">
        <f>IFERROR(__xludf.DUMMYFUNCTION("""COMPUTED_VALUE"""),187.69)</f>
      </c>
      <c r="H348" s="10">
        <f>IFERROR(__xludf.DUMMYFUNCTION("""COMPUTED_VALUE"""),0.3465)</f>
      </c>
      <c r="I348" s="11">
        <f>IFERROR(__xludf.DUMMYFUNCTION("""COMPUTED_VALUE"""),275.43)</f>
      </c>
      <c r="J348" s="10">
        <f>IFERROR(__xludf.DUMMYFUNCTION("""COMPUTED_VALUE"""),0.4938)</f>
      </c>
      <c r="K348" s="11">
        <f>IFERROR(__xludf.DUMMYFUNCTION("""COMPUTED_VALUE"""),276.0)</f>
      </c>
      <c r="L348" s="10">
        <f>IFERROR(__xludf.DUMMYFUNCTION("""COMPUTED_VALUE"""),0.1188)</f>
      </c>
      <c r="M348" s="11">
        <f>IFERROR(__xludf.DUMMYFUNCTION("""COMPUTED_VALUE"""),450.0)</f>
      </c>
      <c r="N348" s="10">
        <f>IFERROR(__xludf.DUMMYFUNCTION("""COMPUTED_VALUE"""),0.2772)</f>
      </c>
      <c r="O348" s="11">
        <f>IFERROR(__xludf.DUMMYFUNCTION("""COMPUTED_VALUE"""),341.43)</f>
      </c>
      <c r="P348" s="12"/>
      <c r="Q348" s="12"/>
      <c r="R348" s="15"/>
      <c r="S348" s="12"/>
      <c r="T348" s="12"/>
      <c r="U348" s="12"/>
      <c r="V348" s="12"/>
      <c r="W348" s="12"/>
      <c r="X348" s="12"/>
      <c r="Y348" s="12"/>
      <c r="Z348" s="12"/>
    </row>
    <row x14ac:dyDescent="0.25" r="349" customHeight="1" ht="15.75">
      <c r="A349" s="8">
        <f>IFERROR(__xludf.DUMMYFUNCTION("""COMPUTED_VALUE"""),25471.0)</f>
      </c>
      <c r="B349" s="9">
        <f>IFERROR(__xludf.DUMMYFUNCTION("""COMPUTED_VALUE"""),"METROPOLITANA III")</f>
      </c>
      <c r="C349" s="9">
        <f>IFERROR(__xludf.DUMMYFUNCTION("""COMPUTED_VALUE"""),"CE HEITOR LIRA")</f>
      </c>
      <c r="D349" s="10">
        <f>IFERROR(__xludf.DUMMYFUNCTION("""COMPUTED_VALUE"""),0.6811)</f>
      </c>
      <c r="E349" s="11">
        <f>IFERROR(__xludf.DUMMYFUNCTION("""COMPUTED_VALUE"""),355.12)</f>
      </c>
      <c r="F349" s="10">
        <f>IFERROR(__xludf.DUMMYFUNCTION("""COMPUTED_VALUE"""),0.7075)</f>
      </c>
      <c r="G349" s="11">
        <f>IFERROR(__xludf.DUMMYFUNCTION("""COMPUTED_VALUE"""),427.25)</f>
      </c>
      <c r="H349" s="10">
        <f>IFERROR(__xludf.DUMMYFUNCTION("""COMPUTED_VALUE"""),0.6134)</f>
      </c>
      <c r="I349" s="11">
        <f>IFERROR(__xludf.DUMMYFUNCTION("""COMPUTED_VALUE"""),459.45)</f>
      </c>
      <c r="J349" s="10">
        <f>IFERROR(__xludf.DUMMYFUNCTION("""COMPUTED_VALUE"""),0.7893)</f>
      </c>
      <c r="K349" s="11">
        <f>IFERROR(__xludf.DUMMYFUNCTION("""COMPUTED_VALUE"""),370.88)</f>
      </c>
      <c r="L349" s="10">
        <f>IFERROR(__xludf.DUMMYFUNCTION("""COMPUTED_VALUE"""),0.6011)</f>
      </c>
      <c r="M349" s="11">
        <f>IFERROR(__xludf.DUMMYFUNCTION("""COMPUTED_VALUE"""),495.79)</f>
      </c>
      <c r="N349" s="10">
        <f>IFERROR(__xludf.DUMMYFUNCTION("""COMPUTED_VALUE"""),0.761)</f>
      </c>
      <c r="O349" s="11">
        <f>IFERROR(__xludf.DUMMYFUNCTION("""COMPUTED_VALUE"""),397.42)</f>
      </c>
      <c r="P349" s="12"/>
      <c r="Q349" s="12"/>
      <c r="R349" s="15"/>
      <c r="S349" s="12"/>
      <c r="T349" s="12"/>
      <c r="U349" s="12"/>
      <c r="V349" s="12"/>
      <c r="W349" s="12"/>
      <c r="X349" s="12"/>
      <c r="Y349" s="12"/>
      <c r="Z349" s="12"/>
    </row>
    <row x14ac:dyDescent="0.25" r="350" customHeight="1" ht="15.75">
      <c r="A350" s="8">
        <f>IFERROR(__xludf.DUMMYFUNCTION("""COMPUTED_VALUE"""),25472.0)</f>
      </c>
      <c r="B350" s="9">
        <f>IFERROR(__xludf.DUMMYFUNCTION("""COMPUTED_VALUE"""),"METROPOLITANA III")</f>
      </c>
      <c r="C350" s="9">
        <f>IFERROR(__xludf.DUMMYFUNCTION("""COMPUTED_VALUE"""),"CE HISPANO BRASILEIRO JOAO CABRAL DE MELO NETO")</f>
      </c>
      <c r="D350" s="10">
        <f>IFERROR(__xludf.DUMMYFUNCTION("""COMPUTED_VALUE"""),0.9253)</f>
      </c>
      <c r="E350" s="11">
        <f>IFERROR(__xludf.DUMMYFUNCTION("""COMPUTED_VALUE"""),357.52)</f>
      </c>
      <c r="F350" s="10">
        <f>IFERROR(__xludf.DUMMYFUNCTION("""COMPUTED_VALUE"""),0.8333)</f>
      </c>
      <c r="G350" s="11">
        <f>IFERROR(__xludf.DUMMYFUNCTION("""COMPUTED_VALUE"""),506.94)</f>
      </c>
      <c r="H350" s="10">
        <f>IFERROR(__xludf.DUMMYFUNCTION("""COMPUTED_VALUE"""),0.9425)</f>
      </c>
      <c r="I350" s="11">
        <f>IFERROR(__xludf.DUMMYFUNCTION("""COMPUTED_VALUE"""),520.5)</f>
      </c>
      <c r="J350" s="10">
        <f>IFERROR(__xludf.DUMMYFUNCTION("""COMPUTED_VALUE"""),0.8908)</f>
      </c>
      <c r="K350" s="11">
        <f>IFERROR(__xludf.DUMMYFUNCTION("""COMPUTED_VALUE"""),287.58)</f>
      </c>
      <c r="L350" s="10">
        <f>IFERROR(__xludf.DUMMYFUNCTION("""COMPUTED_VALUE"""),0.7126)</f>
      </c>
      <c r="M350" s="11">
        <f>IFERROR(__xludf.DUMMYFUNCTION("""COMPUTED_VALUE"""),448.85)</f>
      </c>
      <c r="N350" s="10">
        <f>IFERROR(__xludf.DUMMYFUNCTION("""COMPUTED_VALUE"""),0.6954)</f>
      </c>
      <c r="O350" s="11">
        <f>IFERROR(__xludf.DUMMYFUNCTION("""COMPUTED_VALUE"""),348.57)</f>
      </c>
      <c r="P350" s="12"/>
      <c r="Q350" s="12"/>
      <c r="R350" s="15"/>
      <c r="S350" s="12"/>
      <c r="T350" s="12"/>
      <c r="U350" s="12"/>
      <c r="V350" s="12"/>
      <c r="W350" s="12"/>
      <c r="X350" s="12"/>
      <c r="Y350" s="12"/>
      <c r="Z350" s="12"/>
    </row>
    <row x14ac:dyDescent="0.25" r="351" customHeight="1" ht="15.75">
      <c r="A351" s="8">
        <f>IFERROR(__xludf.DUMMYFUNCTION("""COMPUTED_VALUE"""),25473.0)</f>
      </c>
      <c r="B351" s="9">
        <f>IFERROR(__xludf.DUMMYFUNCTION("""COMPUTED_VALUE"""),"METROPOLITANA III")</f>
      </c>
      <c r="C351" s="9">
        <f>IFERROR(__xludf.DUMMYFUNCTION("""COMPUTED_VALUE"""),"CE ITALIA")</f>
      </c>
      <c r="D351" s="10">
        <f>IFERROR(__xludf.DUMMYFUNCTION("""COMPUTED_VALUE"""),0.5828)</f>
      </c>
      <c r="E351" s="11">
        <f>IFERROR(__xludf.DUMMYFUNCTION("""COMPUTED_VALUE"""),120.43)</f>
      </c>
      <c r="F351" s="10">
        <f>IFERROR(__xludf.DUMMYFUNCTION("""COMPUTED_VALUE"""),0.5337)</f>
      </c>
      <c r="G351" s="11">
        <f>IFERROR(__xludf.DUMMYFUNCTION("""COMPUTED_VALUE"""),344.83)</f>
      </c>
      <c r="H351" s="10">
        <f>IFERROR(__xludf.DUMMYFUNCTION("""COMPUTED_VALUE"""),0.5644)</f>
      </c>
      <c r="I351" s="11">
        <f>IFERROR(__xludf.DUMMYFUNCTION("""COMPUTED_VALUE"""),369.57)</f>
      </c>
      <c r="J351" s="10">
        <f>IFERROR(__xludf.DUMMYFUNCTION("""COMPUTED_VALUE"""),0.5337)</f>
      </c>
      <c r="K351" s="11">
        <f>IFERROR(__xludf.DUMMYFUNCTION("""COMPUTED_VALUE"""),347.25)</f>
      </c>
      <c r="L351" s="10">
        <f>IFERROR(__xludf.DUMMYFUNCTION("""COMPUTED_VALUE"""),0.4663)</f>
      </c>
      <c r="M351" s="11">
        <f>IFERROR(__xludf.DUMMYFUNCTION("""COMPUTED_VALUE"""),373.16)</f>
      </c>
      <c r="N351" s="10">
        <f>IFERROR(__xludf.DUMMYFUNCTION("""COMPUTED_VALUE"""),0.4663)</f>
      </c>
      <c r="O351" s="11">
        <f>IFERROR(__xludf.DUMMYFUNCTION("""COMPUTED_VALUE"""),384.74)</f>
      </c>
      <c r="P351" s="12"/>
      <c r="Q351" s="12"/>
      <c r="R351" s="15"/>
      <c r="S351" s="12"/>
      <c r="T351" s="12"/>
      <c r="U351" s="12"/>
      <c r="V351" s="12"/>
      <c r="W351" s="12"/>
      <c r="X351" s="12"/>
      <c r="Y351" s="12"/>
      <c r="Z351" s="12"/>
    </row>
    <row x14ac:dyDescent="0.25" r="352" customHeight="1" ht="15.75">
      <c r="A352" s="8">
        <f>IFERROR(__xludf.DUMMYFUNCTION("""COMPUTED_VALUE"""),25474.0)</f>
      </c>
      <c r="B352" s="9">
        <f>IFERROR(__xludf.DUMMYFUNCTION("""COMPUTED_VALUE"""),"METROPOLITANA III")</f>
      </c>
      <c r="C352" s="9">
        <f>IFERROR(__xludf.DUMMYFUNCTION("""COMPUTED_VALUE"""),"CE JOAO KOPKE")</f>
      </c>
      <c r="D352" s="10">
        <f>IFERROR(__xludf.DUMMYFUNCTION("""COMPUTED_VALUE"""),0.6731)</f>
      </c>
      <c r="E352" s="11">
        <f>IFERROR(__xludf.DUMMYFUNCTION("""COMPUTED_VALUE"""),94.85)</f>
      </c>
      <c r="F352" s="10">
        <f>IFERROR(__xludf.DUMMYFUNCTION("""COMPUTED_VALUE"""),0.5)</f>
      </c>
      <c r="G352" s="11">
        <f>IFERROR(__xludf.DUMMYFUNCTION("""COMPUTED_VALUE"""),307.31)</f>
      </c>
      <c r="H352" s="10">
        <f>IFERROR(__xludf.DUMMYFUNCTION("""COMPUTED_VALUE"""),0.4412)</f>
      </c>
      <c r="I352" s="11">
        <f>IFERROR(__xludf.DUMMYFUNCTION("""COMPUTED_VALUE"""),321.33)</f>
      </c>
      <c r="J352" s="10">
        <f>IFERROR(__xludf.DUMMYFUNCTION("""COMPUTED_VALUE"""),0.5789)</f>
      </c>
      <c r="K352" s="11">
        <f>IFERROR(__xludf.DUMMYFUNCTION("""COMPUTED_VALUE"""),138.45)</f>
      </c>
      <c r="L352" s="10">
        <f>IFERROR(__xludf.DUMMYFUNCTION("""COMPUTED_VALUE"""),0.3529)</f>
      </c>
      <c r="M352" s="11">
        <f>IFERROR(__xludf.DUMMYFUNCTION("""COMPUTED_VALUE"""),311.58)</f>
      </c>
      <c r="N352" s="10">
        <f>IFERROR(__xludf.DUMMYFUNCTION("""COMPUTED_VALUE"""),0.2059)</f>
      </c>
      <c r="O352" s="11">
        <f>IFERROR(__xludf.DUMMYFUNCTION("""COMPUTED_VALUE"""),349.39)</f>
      </c>
      <c r="P352" s="12"/>
      <c r="Q352" s="12"/>
      <c r="R352" s="15"/>
      <c r="S352" s="12"/>
      <c r="T352" s="12"/>
      <c r="U352" s="12"/>
      <c r="V352" s="12"/>
      <c r="W352" s="12"/>
      <c r="X352" s="12"/>
      <c r="Y352" s="12"/>
      <c r="Z352" s="12"/>
    </row>
    <row x14ac:dyDescent="0.25" r="353" customHeight="1" ht="15.75">
      <c r="A353" s="8">
        <f>IFERROR(__xludf.DUMMYFUNCTION("""COMPUTED_VALUE"""),25475.0)</f>
      </c>
      <c r="B353" s="9">
        <f>IFERROR(__xludf.DUMMYFUNCTION("""COMPUTED_VALUE"""),"METROPOLITANA III")</f>
      </c>
      <c r="C353" s="9">
        <f>IFERROR(__xludf.DUMMYFUNCTION("""COMPUTED_VALUE"""),"CE JOAO MARQUES DOS REIS")</f>
      </c>
      <c r="D353" s="10">
        <f>IFERROR(__xludf.DUMMYFUNCTION("""COMPUTED_VALUE"""),0.4048)</f>
      </c>
      <c r="E353" s="11">
        <f>IFERROR(__xludf.DUMMYFUNCTION("""COMPUTED_VALUE"""),230.98)</f>
      </c>
      <c r="F353" s="10">
        <f>IFERROR(__xludf.DUMMYFUNCTION("""COMPUTED_VALUE"""),0.4167)</f>
      </c>
      <c r="G353" s="11">
        <f>IFERROR(__xludf.DUMMYFUNCTION("""COMPUTED_VALUE"""),293.71)</f>
      </c>
      <c r="H353" s="10">
        <f>IFERROR(__xludf.DUMMYFUNCTION("""COMPUTED_VALUE"""),0.3182)</f>
      </c>
      <c r="I353" s="11">
        <f>IFERROR(__xludf.DUMMYFUNCTION("""COMPUTED_VALUE"""),398.86)</f>
      </c>
      <c r="J353" s="10">
        <f>IFERROR(__xludf.DUMMYFUNCTION("""COMPUTED_VALUE"""),0.6588)</f>
      </c>
      <c r="K353" s="11">
        <f>IFERROR(__xludf.DUMMYFUNCTION("""COMPUTED_VALUE"""),261.76)</f>
      </c>
      <c r="L353" s="10">
        <f>IFERROR(__xludf.DUMMYFUNCTION("""COMPUTED_VALUE"""),0.3636)</f>
      </c>
      <c r="M353" s="11">
        <f>IFERROR(__xludf.DUMMYFUNCTION("""COMPUTED_VALUE"""),329.0)</f>
      </c>
      <c r="N353" s="10">
        <f>IFERROR(__xludf.DUMMYFUNCTION("""COMPUTED_VALUE"""),0.4)</f>
      </c>
      <c r="O353" s="11">
        <f>IFERROR(__xludf.DUMMYFUNCTION("""COMPUTED_VALUE"""),374.55)</f>
      </c>
      <c r="P353" s="12"/>
      <c r="Q353" s="12"/>
      <c r="R353" s="15"/>
      <c r="S353" s="12"/>
      <c r="T353" s="12"/>
      <c r="U353" s="12"/>
      <c r="V353" s="12"/>
      <c r="W353" s="12"/>
      <c r="X353" s="12"/>
      <c r="Y353" s="12"/>
      <c r="Z353" s="12"/>
    </row>
    <row x14ac:dyDescent="0.25" r="354" customHeight="1" ht="15.75">
      <c r="A354" s="8">
        <f>IFERROR(__xludf.DUMMYFUNCTION("""COMPUTED_VALUE"""),25476.0)</f>
      </c>
      <c r="B354" s="9">
        <f>IFERROR(__xludf.DUMMYFUNCTION("""COMPUTED_VALUE"""),"METROPOLITANA III")</f>
      </c>
      <c r="C354" s="9">
        <f>IFERROR(__xludf.DUMMYFUNCTION("""COMPUTED_VALUE"""),"CE JORNALISTA RODOLFO FERNANDES")</f>
      </c>
      <c r="D354" s="10">
        <f>IFERROR(__xludf.DUMMYFUNCTION("""COMPUTED_VALUE"""),0.9037)</f>
      </c>
      <c r="E354" s="11">
        <f>IFERROR(__xludf.DUMMYFUNCTION("""COMPUTED_VALUE"""),98.54)</f>
      </c>
      <c r="F354" s="10">
        <f>IFERROR(__xludf.DUMMYFUNCTION("""COMPUTED_VALUE"""),0.345)</f>
      </c>
      <c r="G354" s="11">
        <f>IFERROR(__xludf.DUMMYFUNCTION("""COMPUTED_VALUE"""),285.93)</f>
      </c>
      <c r="H354" s="10">
        <f>IFERROR(__xludf.DUMMYFUNCTION("""COMPUTED_VALUE"""),0.3779)</f>
      </c>
      <c r="I354" s="11">
        <f>IFERROR(__xludf.DUMMYFUNCTION("""COMPUTED_VALUE"""),319.88)</f>
      </c>
      <c r="J354" s="10">
        <f>IFERROR(__xludf.DUMMYFUNCTION("""COMPUTED_VALUE"""),0.4155)</f>
      </c>
      <c r="K354" s="11">
        <f>IFERROR(__xludf.DUMMYFUNCTION("""COMPUTED_VALUE"""),225.83)</f>
      </c>
      <c r="L354" s="10">
        <f>IFERROR(__xludf.DUMMYFUNCTION("""COMPUTED_VALUE"""),0.2932)</f>
      </c>
      <c r="M354" s="11">
        <f>IFERROR(__xludf.DUMMYFUNCTION("""COMPUTED_VALUE"""),322.45)</f>
      </c>
      <c r="N354" s="10">
        <f>IFERROR(__xludf.DUMMYFUNCTION("""COMPUTED_VALUE"""),0.171)</f>
      </c>
      <c r="O354" s="11">
        <f>IFERROR(__xludf.DUMMYFUNCTION("""COMPUTED_VALUE"""),384.0)</f>
      </c>
      <c r="P354" s="12"/>
      <c r="Q354" s="12"/>
      <c r="R354" s="15"/>
      <c r="S354" s="12"/>
      <c r="T354" s="12"/>
      <c r="U354" s="12"/>
      <c r="V354" s="12"/>
      <c r="W354" s="12"/>
      <c r="X354" s="12"/>
      <c r="Y354" s="12"/>
      <c r="Z354" s="12"/>
    </row>
    <row x14ac:dyDescent="0.25" r="355" customHeight="1" ht="15.75">
      <c r="A355" s="8">
        <f>IFERROR(__xludf.DUMMYFUNCTION("""COMPUTED_VALUE"""),25477.0)</f>
      </c>
      <c r="B355" s="9">
        <f>IFERROR(__xludf.DUMMYFUNCTION("""COMPUTED_VALUE"""),"METROPOLITANA III")</f>
      </c>
      <c r="C355" s="9">
        <f>IFERROR(__xludf.DUMMYFUNCTION("""COMPUTED_VALUE"""),"CE JORNALISTA TIM LOPES")</f>
      </c>
      <c r="D355" s="10">
        <f>IFERROR(__xludf.DUMMYFUNCTION("""COMPUTED_VALUE"""),0.6894)</f>
      </c>
      <c r="E355" s="11">
        <f>IFERROR(__xludf.DUMMYFUNCTION("""COMPUTED_VALUE"""),278.61)</f>
      </c>
      <c r="F355" s="10">
        <f>IFERROR(__xludf.DUMMYFUNCTION("""COMPUTED_VALUE"""),0.672)</f>
      </c>
      <c r="G355" s="11">
        <f>IFERROR(__xludf.DUMMYFUNCTION("""COMPUTED_VALUE"""),318.44)</f>
      </c>
      <c r="H355" s="10">
        <f>IFERROR(__xludf.DUMMYFUNCTION("""COMPUTED_VALUE"""),0.5641)</f>
      </c>
      <c r="I355" s="11">
        <f>IFERROR(__xludf.DUMMYFUNCTION("""COMPUTED_VALUE"""),387.16)</f>
      </c>
      <c r="J355" s="10">
        <f>IFERROR(__xludf.DUMMYFUNCTION("""COMPUTED_VALUE"""),0.4688)</f>
      </c>
      <c r="K355" s="11">
        <f>IFERROR(__xludf.DUMMYFUNCTION("""COMPUTED_VALUE"""),366.38)</f>
      </c>
      <c r="L355" s="10">
        <f>IFERROR(__xludf.DUMMYFUNCTION("""COMPUTED_VALUE"""),0.3501)</f>
      </c>
      <c r="M355" s="11">
        <f>IFERROR(__xludf.DUMMYFUNCTION("""COMPUTED_VALUE"""),369.72)</f>
      </c>
      <c r="N355" s="10">
        <f>IFERROR(__xludf.DUMMYFUNCTION("""COMPUTED_VALUE"""),0.5252)</f>
      </c>
      <c r="O355" s="11">
        <f>IFERROR(__xludf.DUMMYFUNCTION("""COMPUTED_VALUE"""),373.44)</f>
      </c>
      <c r="P355" s="12"/>
      <c r="Q355" s="12"/>
      <c r="R355" s="15"/>
      <c r="S355" s="12"/>
      <c r="T355" s="12"/>
      <c r="U355" s="12"/>
      <c r="V355" s="12"/>
      <c r="W355" s="12"/>
      <c r="X355" s="12"/>
      <c r="Y355" s="12"/>
      <c r="Z355" s="12"/>
    </row>
    <row x14ac:dyDescent="0.25" r="356" customHeight="1" ht="15.75">
      <c r="A356" s="8">
        <f>IFERROR(__xludf.DUMMYFUNCTION("""COMPUTED_VALUE"""),25478.0)</f>
      </c>
      <c r="B356" s="9">
        <f>IFERROR(__xludf.DUMMYFUNCTION("""COMPUTED_VALUE"""),"METROPOLITANA III")</f>
      </c>
      <c r="C356" s="9">
        <f>IFERROR(__xludf.DUMMYFUNCTION("""COMPUTED_VALUE"""),"CE JOSE EDUARDO DE MACEDO SOARES")</f>
      </c>
      <c r="D356" s="10">
        <f>IFERROR(__xludf.DUMMYFUNCTION("""COMPUTED_VALUE"""),0.9151)</f>
      </c>
      <c r="E356" s="11">
        <f>IFERROR(__xludf.DUMMYFUNCTION("""COMPUTED_VALUE"""),67.08)</f>
      </c>
      <c r="F356" s="10">
        <f>IFERROR(__xludf.DUMMYFUNCTION("""COMPUTED_VALUE"""),0.2547)</f>
      </c>
      <c r="G356" s="11">
        <f>IFERROR(__xludf.DUMMYFUNCTION("""COMPUTED_VALUE"""),300.0)</f>
      </c>
      <c r="H356" s="10">
        <f>IFERROR(__xludf.DUMMYFUNCTION("""COMPUTED_VALUE"""),0.5283)</f>
      </c>
      <c r="I356" s="11">
        <f>IFERROR(__xludf.DUMMYFUNCTION("""COMPUTED_VALUE"""),262.86)</f>
      </c>
      <c r="J356" s="10">
        <f>IFERROR(__xludf.DUMMYFUNCTION("""COMPUTED_VALUE"""),0.6321)</f>
      </c>
      <c r="K356" s="11">
        <f>IFERROR(__xludf.DUMMYFUNCTION("""COMPUTED_VALUE"""),116.92)</f>
      </c>
      <c r="L356" s="10">
        <f>IFERROR(__xludf.DUMMYFUNCTION("""COMPUTED_VALUE"""),0.6698)</f>
      </c>
      <c r="M356" s="11">
        <f>IFERROR(__xludf.DUMMYFUNCTION("""COMPUTED_VALUE"""),323.38)</f>
      </c>
      <c r="N356" s="10">
        <f>IFERROR(__xludf.DUMMYFUNCTION("""COMPUTED_VALUE"""),0.5189)</f>
      </c>
      <c r="O356" s="11">
        <f>IFERROR(__xludf.DUMMYFUNCTION("""COMPUTED_VALUE"""),311.27)</f>
      </c>
      <c r="P356" s="12"/>
      <c r="Q356" s="12"/>
      <c r="R356" s="15"/>
      <c r="S356" s="12"/>
      <c r="T356" s="12"/>
      <c r="U356" s="12"/>
      <c r="V356" s="12"/>
      <c r="W356" s="12"/>
      <c r="X356" s="12"/>
      <c r="Y356" s="12"/>
      <c r="Z356" s="12"/>
    </row>
    <row x14ac:dyDescent="0.25" r="357" customHeight="1" ht="15.75">
      <c r="A357" s="8">
        <f>IFERROR(__xludf.DUMMYFUNCTION("""COMPUTED_VALUE"""),25479.0)</f>
      </c>
      <c r="B357" s="9">
        <f>IFERROR(__xludf.DUMMYFUNCTION("""COMPUTED_VALUE"""),"METROPOLITANA III")</f>
      </c>
      <c r="C357" s="9">
        <f>IFERROR(__xludf.DUMMYFUNCTION("""COMPUTED_VALUE"""),"CE JOSE MARTI")</f>
      </c>
      <c r="D357" s="10">
        <f>IFERROR(__xludf.DUMMYFUNCTION("""COMPUTED_VALUE"""),0.5057)</f>
      </c>
      <c r="E357" s="11">
        <f>IFERROR(__xludf.DUMMYFUNCTION("""COMPUTED_VALUE"""),179.53)</f>
      </c>
      <c r="F357" s="10">
        <f>IFERROR(__xludf.DUMMYFUNCTION("""COMPUTED_VALUE"""),0.5287)</f>
      </c>
      <c r="G357" s="11">
        <f>IFERROR(__xludf.DUMMYFUNCTION("""COMPUTED_VALUE"""),376.89)</f>
      </c>
      <c r="H357" s="10">
        <f>IFERROR(__xludf.DUMMYFUNCTION("""COMPUTED_VALUE"""),0.3793)</f>
      </c>
      <c r="I357" s="11">
        <f>IFERROR(__xludf.DUMMYFUNCTION("""COMPUTED_VALUE"""),396.25)</f>
      </c>
      <c r="J357" s="10">
        <f>IFERROR(__xludf.DUMMYFUNCTION("""COMPUTED_VALUE"""),0.4713)</f>
      </c>
      <c r="K357" s="11">
        <f>IFERROR(__xludf.DUMMYFUNCTION("""COMPUTED_VALUE"""),388.0)</f>
      </c>
      <c r="L357" s="10">
        <f>IFERROR(__xludf.DUMMYFUNCTION("""COMPUTED_VALUE"""),0.3333)</f>
      </c>
      <c r="M357" s="11">
        <f>IFERROR(__xludf.DUMMYFUNCTION("""COMPUTED_VALUE"""),438.62)</f>
      </c>
      <c r="N357" s="10">
        <f>IFERROR(__xludf.DUMMYFUNCTION("""COMPUTED_VALUE"""),0.4943)</f>
      </c>
      <c r="O357" s="11">
        <f>IFERROR(__xludf.DUMMYFUNCTION("""COMPUTED_VALUE"""),378.6)</f>
      </c>
      <c r="P357" s="12"/>
      <c r="Q357" s="12"/>
      <c r="R357" s="15"/>
      <c r="S357" s="12"/>
      <c r="T357" s="12"/>
      <c r="U357" s="12"/>
      <c r="V357" s="12"/>
      <c r="W357" s="12"/>
      <c r="X357" s="12"/>
      <c r="Y357" s="12"/>
      <c r="Z357" s="12"/>
    </row>
    <row x14ac:dyDescent="0.25" r="358" customHeight="1" ht="15.75">
      <c r="A358" s="8">
        <f>IFERROR(__xludf.DUMMYFUNCTION("""COMPUTED_VALUE"""),25480.0)</f>
      </c>
      <c r="B358" s="9">
        <f>IFERROR(__xludf.DUMMYFUNCTION("""COMPUTED_VALUE"""),"METROPOLITANA III")</f>
      </c>
      <c r="C358" s="9">
        <f>IFERROR(__xludf.DUMMYFUNCTION("""COMPUTED_VALUE"""),"CE JOSUE DE CASTRO")</f>
      </c>
      <c r="D358" s="10">
        <f>IFERROR(__xludf.DUMMYFUNCTION("""COMPUTED_VALUE"""),0.4926)</f>
      </c>
      <c r="E358" s="11">
        <f>IFERROR(__xludf.DUMMYFUNCTION("""COMPUTED_VALUE"""),139.66)</f>
      </c>
      <c r="F358" s="10">
        <f>IFERROR(__xludf.DUMMYFUNCTION("""COMPUTED_VALUE"""),0.4338)</f>
      </c>
      <c r="G358" s="11">
        <f>IFERROR(__xludf.DUMMYFUNCTION("""COMPUTED_VALUE"""),286.9)</f>
      </c>
      <c r="H358" s="10">
        <f>IFERROR(__xludf.DUMMYFUNCTION("""COMPUTED_VALUE"""),0.3824)</f>
      </c>
      <c r="I358" s="11">
        <f>IFERROR(__xludf.DUMMYFUNCTION("""COMPUTED_VALUE"""),391.2)</f>
      </c>
      <c r="J358" s="10">
        <f>IFERROR(__xludf.DUMMYFUNCTION("""COMPUTED_VALUE"""),0.3382)</f>
      </c>
      <c r="K358" s="11">
        <f>IFERROR(__xludf.DUMMYFUNCTION("""COMPUTED_VALUE"""),131.71)</f>
      </c>
      <c r="L358" s="10">
        <f>IFERROR(__xludf.DUMMYFUNCTION("""COMPUTED_VALUE"""),0.4559)</f>
      </c>
      <c r="M358" s="11">
        <f>IFERROR(__xludf.DUMMYFUNCTION("""COMPUTED_VALUE"""),349.68)</f>
      </c>
      <c r="N358" s="10">
        <f>IFERROR(__xludf.DUMMYFUNCTION("""COMPUTED_VALUE"""),0.2353)</f>
      </c>
      <c r="O358" s="11">
        <f>IFERROR(__xludf.DUMMYFUNCTION("""COMPUTED_VALUE"""),307.5)</f>
      </c>
      <c r="P358" s="12"/>
      <c r="Q358" s="12"/>
      <c r="R358" s="15"/>
      <c r="S358" s="12"/>
      <c r="T358" s="12"/>
      <c r="U358" s="12"/>
      <c r="V358" s="12"/>
      <c r="W358" s="12"/>
      <c r="X358" s="12"/>
      <c r="Y358" s="12"/>
      <c r="Z358" s="12"/>
    </row>
    <row x14ac:dyDescent="0.25" r="359" customHeight="1" ht="15.75">
      <c r="A359" s="8">
        <f>IFERROR(__xludf.DUMMYFUNCTION("""COMPUTED_VALUE"""),25481.0)</f>
      </c>
      <c r="B359" s="9">
        <f>IFERROR(__xludf.DUMMYFUNCTION("""COMPUTED_VALUE"""),"METROPOLITANA III")</f>
      </c>
      <c r="C359" s="9">
        <f>IFERROR(__xludf.DUMMYFUNCTION("""COMPUTED_VALUE"""),"CE LAURO SODRE")</f>
      </c>
      <c r="D359" s="10">
        <f>IFERROR(__xludf.DUMMYFUNCTION("""COMPUTED_VALUE"""),0.7843)</f>
      </c>
      <c r="E359" s="11">
        <f>IFERROR(__xludf.DUMMYFUNCTION("""COMPUTED_VALUE"""),263.7)</f>
      </c>
      <c r="F359" s="10">
        <f>IFERROR(__xludf.DUMMYFUNCTION("""COMPUTED_VALUE"""),0.8039)</f>
      </c>
      <c r="G359" s="11">
        <f>IFERROR(__xludf.DUMMYFUNCTION("""COMPUTED_VALUE"""),349.27)</f>
      </c>
      <c r="H359" s="10">
        <f>IFERROR(__xludf.DUMMYFUNCTION("""COMPUTED_VALUE"""),0.4568)</f>
      </c>
      <c r="I359" s="11">
        <f>IFERROR(__xludf.DUMMYFUNCTION("""COMPUTED_VALUE"""),345.95)</f>
      </c>
      <c r="J359" s="10">
        <f>IFERROR(__xludf.DUMMYFUNCTION("""COMPUTED_VALUE"""),0.746)</f>
      </c>
      <c r="K359" s="11">
        <f>IFERROR(__xludf.DUMMYFUNCTION("""COMPUTED_VALUE"""),312.11)</f>
      </c>
      <c r="L359" s="10">
        <f>IFERROR(__xludf.DUMMYFUNCTION("""COMPUTED_VALUE"""),0.4691)</f>
      </c>
      <c r="M359" s="11">
        <f>IFERROR(__xludf.DUMMYFUNCTION("""COMPUTED_VALUE"""),283.16)</f>
      </c>
      <c r="N359" s="10">
        <f>IFERROR(__xludf.DUMMYFUNCTION("""COMPUTED_VALUE"""),0.5679)</f>
      </c>
      <c r="O359" s="11">
        <f>IFERROR(__xludf.DUMMYFUNCTION("""COMPUTED_VALUE"""),408.24)</f>
      </c>
      <c r="P359" s="12"/>
      <c r="Q359" s="12"/>
      <c r="R359" s="15"/>
      <c r="S359" s="12"/>
      <c r="T359" s="12"/>
      <c r="U359" s="12"/>
      <c r="V359" s="12"/>
      <c r="W359" s="12"/>
      <c r="X359" s="12"/>
      <c r="Y359" s="12"/>
      <c r="Z359" s="12"/>
    </row>
    <row x14ac:dyDescent="0.25" r="360" customHeight="1" ht="15.75">
      <c r="A360" s="8">
        <f>IFERROR(__xludf.DUMMYFUNCTION("""COMPUTED_VALUE"""),25482.0)</f>
      </c>
      <c r="B360" s="9">
        <f>IFERROR(__xludf.DUMMYFUNCTION("""COMPUTED_VALUE"""),"METROPOLITANA III")</f>
      </c>
      <c r="C360" s="9">
        <f>IFERROR(__xludf.DUMMYFUNCTION("""COMPUTED_VALUE"""),"CE LEONEL AZEVEDO")</f>
      </c>
      <c r="D360" s="10">
        <f>IFERROR(__xludf.DUMMYFUNCTION("""COMPUTED_VALUE"""),0.6643)</f>
      </c>
      <c r="E360" s="11">
        <f>IFERROR(__xludf.DUMMYFUNCTION("""COMPUTED_VALUE"""),133.87)</f>
      </c>
      <c r="F360" s="10">
        <f>IFERROR(__xludf.DUMMYFUNCTION("""COMPUTED_VALUE"""),0.3)</f>
      </c>
      <c r="G360" s="11">
        <f>IFERROR(__xludf.DUMMYFUNCTION("""COMPUTED_VALUE"""),364.08)</f>
      </c>
      <c r="H360" s="10">
        <f>IFERROR(__xludf.DUMMYFUNCTION("""COMPUTED_VALUE"""),0.2876)</f>
      </c>
      <c r="I360" s="11">
        <f>IFERROR(__xludf.DUMMYFUNCTION("""COMPUTED_VALUE"""),455.16)</f>
      </c>
      <c r="J360" s="10">
        <f>IFERROR(__xludf.DUMMYFUNCTION("""COMPUTED_VALUE"""),0.2103)</f>
      </c>
      <c r="K360" s="11">
        <f>IFERROR(__xludf.DUMMYFUNCTION("""COMPUTED_VALUE"""),"----")</f>
      </c>
      <c r="L360" s="10">
        <f>IFERROR(__xludf.DUMMYFUNCTION("""COMPUTED_VALUE"""),0.2743)</f>
      </c>
      <c r="M360" s="11">
        <f>IFERROR(__xludf.DUMMYFUNCTION("""COMPUTED_VALUE"""),428.39)</f>
      </c>
      <c r="N360" s="10">
        <f>IFERROR(__xludf.DUMMYFUNCTION("""COMPUTED_VALUE"""),0.2301)</f>
      </c>
      <c r="O360" s="11">
        <f>IFERROR(__xludf.DUMMYFUNCTION("""COMPUTED_VALUE"""),152.31)</f>
      </c>
      <c r="P360" s="12"/>
      <c r="Q360" s="12"/>
      <c r="R360" s="15"/>
      <c r="S360" s="12"/>
      <c r="T360" s="12"/>
      <c r="U360" s="12"/>
      <c r="V360" s="12"/>
      <c r="W360" s="12"/>
      <c r="X360" s="12"/>
      <c r="Y360" s="12"/>
      <c r="Z360" s="12"/>
    </row>
    <row x14ac:dyDescent="0.25" r="361" customHeight="1" ht="15.75">
      <c r="A361" s="8">
        <f>IFERROR(__xludf.DUMMYFUNCTION("""COMPUTED_VALUE"""),25483.0)</f>
      </c>
      <c r="B361" s="9">
        <f>IFERROR(__xludf.DUMMYFUNCTION("""COMPUTED_VALUE"""),"METROPOLITANA III")</f>
      </c>
      <c r="C361" s="9">
        <f>IFERROR(__xludf.DUMMYFUNCTION("""COMPUTED_VALUE"""),"CE LUIZ DE CAMOES")</f>
      </c>
      <c r="D361" s="10">
        <f>IFERROR(__xludf.DUMMYFUNCTION("""COMPUTED_VALUE"""),0.7481)</f>
      </c>
      <c r="E361" s="11">
        <f>IFERROR(__xludf.DUMMYFUNCTION("""COMPUTED_VALUE"""),128.98)</f>
      </c>
      <c r="F361" s="10">
        <f>IFERROR(__xludf.DUMMYFUNCTION("""COMPUTED_VALUE"""),0.5802)</f>
      </c>
      <c r="G361" s="11">
        <f>IFERROR(__xludf.DUMMYFUNCTION("""COMPUTED_VALUE"""),344.21)</f>
      </c>
      <c r="H361" s="10">
        <f>IFERROR(__xludf.DUMMYFUNCTION("""COMPUTED_VALUE"""),0.5344)</f>
      </c>
      <c r="I361" s="11">
        <f>IFERROR(__xludf.DUMMYFUNCTION("""COMPUTED_VALUE"""),0.0)</f>
      </c>
      <c r="J361" s="10">
        <f>IFERROR(__xludf.DUMMYFUNCTION("""COMPUTED_VALUE"""),0.6947)</f>
      </c>
      <c r="K361" s="11">
        <f>IFERROR(__xludf.DUMMYFUNCTION("""COMPUTED_VALUE"""),257.98)</f>
      </c>
      <c r="L361" s="10">
        <f>IFERROR(__xludf.DUMMYFUNCTION("""COMPUTED_VALUE"""),0.6107)</f>
      </c>
      <c r="M361" s="11">
        <f>IFERROR(__xludf.DUMMYFUNCTION("""COMPUTED_VALUE"""),342.0)</f>
      </c>
      <c r="N361" s="10">
        <f>IFERROR(__xludf.DUMMYFUNCTION("""COMPUTED_VALUE"""),0.5191)</f>
      </c>
      <c r="O361" s="11">
        <f>IFERROR(__xludf.DUMMYFUNCTION("""COMPUTED_VALUE"""),359.39)</f>
      </c>
      <c r="P361" s="12"/>
      <c r="Q361" s="12"/>
      <c r="R361" s="15"/>
      <c r="S361" s="12"/>
      <c r="T361" s="12"/>
      <c r="U361" s="12"/>
      <c r="V361" s="12"/>
      <c r="W361" s="12"/>
      <c r="X361" s="12"/>
      <c r="Y361" s="12"/>
      <c r="Z361" s="12"/>
    </row>
    <row x14ac:dyDescent="0.25" r="362" customHeight="1" ht="15.75">
      <c r="A362" s="8">
        <f>IFERROR(__xludf.DUMMYFUNCTION("""COMPUTED_VALUE"""),25484.0)</f>
      </c>
      <c r="B362" s="9">
        <f>IFERROR(__xludf.DUMMYFUNCTION("""COMPUTED_VALUE"""),"METROPOLITANA III")</f>
      </c>
      <c r="C362" s="9">
        <f>IFERROR(__xludf.DUMMYFUNCTION("""COMPUTED_VALUE"""),"CE MARANHAO")</f>
      </c>
      <c r="D362" s="10">
        <f>IFERROR(__xludf.DUMMYFUNCTION("""COMPUTED_VALUE"""),0.686)</f>
      </c>
      <c r="E362" s="11">
        <f>IFERROR(__xludf.DUMMYFUNCTION("""COMPUTED_VALUE"""),112.68)</f>
      </c>
      <c r="F362" s="10">
        <f>IFERROR(__xludf.DUMMYFUNCTION("""COMPUTED_VALUE"""),0.2893)</f>
      </c>
      <c r="G362" s="11">
        <f>IFERROR(__xludf.DUMMYFUNCTION("""COMPUTED_VALUE"""),280.0)</f>
      </c>
      <c r="H362" s="10">
        <f>IFERROR(__xludf.DUMMYFUNCTION("""COMPUTED_VALUE"""),0.4793)</f>
      </c>
      <c r="I362" s="11">
        <f>IFERROR(__xludf.DUMMYFUNCTION("""COMPUTED_VALUE"""),402.11)</f>
      </c>
      <c r="J362" s="10">
        <f>IFERROR(__xludf.DUMMYFUNCTION("""COMPUTED_VALUE"""),0.6942)</f>
      </c>
      <c r="K362" s="11">
        <f>IFERROR(__xludf.DUMMYFUNCTION("""COMPUTED_VALUE"""),0.0)</f>
      </c>
      <c r="L362" s="10">
        <f>IFERROR(__xludf.DUMMYFUNCTION("""COMPUTED_VALUE"""),0.4711)</f>
      </c>
      <c r="M362" s="11">
        <f>IFERROR(__xludf.DUMMYFUNCTION("""COMPUTED_VALUE"""),382.14)</f>
      </c>
      <c r="N362" s="10">
        <f>IFERROR(__xludf.DUMMYFUNCTION("""COMPUTED_VALUE"""),0.4545)</f>
      </c>
      <c r="O362" s="11">
        <f>IFERROR(__xludf.DUMMYFUNCTION("""COMPUTED_VALUE"""),385.45)</f>
      </c>
      <c r="P362" s="12"/>
      <c r="Q362" s="12"/>
      <c r="R362" s="15"/>
      <c r="S362" s="12"/>
      <c r="T362" s="12"/>
      <c r="U362" s="12"/>
      <c r="V362" s="12"/>
      <c r="W362" s="12"/>
      <c r="X362" s="12"/>
      <c r="Y362" s="12"/>
      <c r="Z362" s="12"/>
    </row>
    <row x14ac:dyDescent="0.25" r="363" customHeight="1" ht="15.75">
      <c r="A363" s="8">
        <f>IFERROR(__xludf.DUMMYFUNCTION("""COMPUTED_VALUE"""),25485.0)</f>
      </c>
      <c r="B363" s="9">
        <f>IFERROR(__xludf.DUMMYFUNCTION("""COMPUTED_VALUE"""),"METROPOLITANA III")</f>
      </c>
      <c r="C363" s="9">
        <f>IFERROR(__xludf.DUMMYFUNCTION("""COMPUTED_VALUE"""),"CE MARECHAL JOAO BAPTISTA DE MATTOS")</f>
      </c>
      <c r="D363" s="10">
        <f>IFERROR(__xludf.DUMMYFUNCTION("""COMPUTED_VALUE"""),0.012)</f>
      </c>
      <c r="E363" s="11">
        <f>IFERROR(__xludf.DUMMYFUNCTION("""COMPUTED_VALUE"""),260.0)</f>
      </c>
      <c r="F363" s="10">
        <f>IFERROR(__xludf.DUMMYFUNCTION("""COMPUTED_VALUE"""),0.658)</f>
      </c>
      <c r="G363" s="11">
        <f>IFERROR(__xludf.DUMMYFUNCTION("""COMPUTED_VALUE"""),344.8)</f>
      </c>
      <c r="H363" s="10">
        <f>IFERROR(__xludf.DUMMYFUNCTION("""COMPUTED_VALUE"""),0.57)</f>
      </c>
      <c r="I363" s="11">
        <f>IFERROR(__xludf.DUMMYFUNCTION("""COMPUTED_VALUE"""),357.81)</f>
      </c>
      <c r="J363" s="10">
        <f>IFERROR(__xludf.DUMMYFUNCTION("""COMPUTED_VALUE"""),0.638)</f>
      </c>
      <c r="K363" s="11">
        <f>IFERROR(__xludf.DUMMYFUNCTION("""COMPUTED_VALUE"""),171.07)</f>
      </c>
      <c r="L363" s="10">
        <f>IFERROR(__xludf.DUMMYFUNCTION("""COMPUTED_VALUE"""),0.616)</f>
      </c>
      <c r="M363" s="11">
        <f>IFERROR(__xludf.DUMMYFUNCTION("""COMPUTED_VALUE"""),268.51)</f>
      </c>
      <c r="N363" s="10">
        <f>IFERROR(__xludf.DUMMYFUNCTION("""COMPUTED_VALUE"""),0.513)</f>
      </c>
      <c r="O363" s="11">
        <f>IFERROR(__xludf.DUMMYFUNCTION("""COMPUTED_VALUE"""),310.29)</f>
      </c>
      <c r="P363" s="12"/>
      <c r="Q363" s="12"/>
      <c r="R363" s="15"/>
      <c r="S363" s="12"/>
      <c r="T363" s="12"/>
      <c r="U363" s="12"/>
      <c r="V363" s="12"/>
      <c r="W363" s="12"/>
      <c r="X363" s="12"/>
      <c r="Y363" s="12"/>
      <c r="Z363" s="12"/>
    </row>
    <row x14ac:dyDescent="0.25" r="364" customHeight="1" ht="15.75">
      <c r="A364" s="8">
        <f>IFERROR(__xludf.DUMMYFUNCTION("""COMPUTED_VALUE"""),25486.0)</f>
      </c>
      <c r="B364" s="9">
        <f>IFERROR(__xludf.DUMMYFUNCTION("""COMPUTED_VALUE"""),"METROPOLITANA III")</f>
      </c>
      <c r="C364" s="9">
        <f>IFERROR(__xludf.DUMMYFUNCTION("""COMPUTED_VALUE"""),"CE MARQUES REBELO")</f>
      </c>
      <c r="D364" s="10">
        <f>IFERROR(__xludf.DUMMYFUNCTION("""COMPUTED_VALUE"""),0.6574)</f>
      </c>
      <c r="E364" s="11">
        <f>IFERROR(__xludf.DUMMYFUNCTION("""COMPUTED_VALUE"""),174.08)</f>
      </c>
      <c r="F364" s="10">
        <f>IFERROR(__xludf.DUMMYFUNCTION("""COMPUTED_VALUE"""),0.8889)</f>
      </c>
      <c r="G364" s="11">
        <f>IFERROR(__xludf.DUMMYFUNCTION("""COMPUTED_VALUE"""),252.5)</f>
      </c>
      <c r="H364" s="10">
        <f>IFERROR(__xludf.DUMMYFUNCTION("""COMPUTED_VALUE"""),0.4627)</f>
      </c>
      <c r="I364" s="11">
        <f>IFERROR(__xludf.DUMMYFUNCTION("""COMPUTED_VALUE"""),343.66)</f>
      </c>
      <c r="J364" s="10">
        <f>IFERROR(__xludf.DUMMYFUNCTION("""COMPUTED_VALUE"""),0.6379)</f>
      </c>
      <c r="K364" s="11">
        <f>IFERROR(__xludf.DUMMYFUNCTION("""COMPUTED_VALUE"""),130.53)</f>
      </c>
      <c r="L364" s="10">
        <f>IFERROR(__xludf.DUMMYFUNCTION("""COMPUTED_VALUE"""),0.6493)</f>
      </c>
      <c r="M364" s="11">
        <f>IFERROR(__xludf.DUMMYFUNCTION("""COMPUTED_VALUE"""),376.38)</f>
      </c>
      <c r="N364" s="10">
        <f>IFERROR(__xludf.DUMMYFUNCTION("""COMPUTED_VALUE"""),0.5896)</f>
      </c>
      <c r="O364" s="11">
        <f>IFERROR(__xludf.DUMMYFUNCTION("""COMPUTED_VALUE"""),391.36)</f>
      </c>
      <c r="P364" s="12"/>
      <c r="Q364" s="12"/>
      <c r="R364" s="15"/>
      <c r="S364" s="12"/>
      <c r="T364" s="12"/>
      <c r="U364" s="12"/>
      <c r="V364" s="12"/>
      <c r="W364" s="12"/>
      <c r="X364" s="12"/>
      <c r="Y364" s="12"/>
      <c r="Z364" s="12"/>
    </row>
    <row x14ac:dyDescent="0.25" r="365" customHeight="1" ht="15.75">
      <c r="A365" s="8">
        <f>IFERROR(__xludf.DUMMYFUNCTION("""COMPUTED_VALUE"""),25487.0)</f>
      </c>
      <c r="B365" s="9">
        <f>IFERROR(__xludf.DUMMYFUNCTION("""COMPUTED_VALUE"""),"METROPOLITANA III")</f>
      </c>
      <c r="C365" s="9">
        <f>IFERROR(__xludf.DUMMYFUNCTION("""COMPUTED_VALUE"""),"CE MATO GROSSO")</f>
      </c>
      <c r="D365" s="10">
        <f>IFERROR(__xludf.DUMMYFUNCTION("""COMPUTED_VALUE"""),0.6967)</f>
      </c>
      <c r="E365" s="11">
        <f>IFERROR(__xludf.DUMMYFUNCTION("""COMPUTED_VALUE"""),245.53)</f>
      </c>
      <c r="F365" s="10">
        <f>IFERROR(__xludf.DUMMYFUNCTION("""COMPUTED_VALUE"""),0.6259)</f>
      </c>
      <c r="G365" s="11">
        <f>IFERROR(__xludf.DUMMYFUNCTION("""COMPUTED_VALUE"""),391.06)</f>
      </c>
      <c r="H365" s="10">
        <f>IFERROR(__xludf.DUMMYFUNCTION("""COMPUTED_VALUE"""),0.609)</f>
      </c>
      <c r="I365" s="11">
        <f>IFERROR(__xludf.DUMMYFUNCTION("""COMPUTED_VALUE"""),430.6)</f>
      </c>
      <c r="J365" s="10">
        <f>IFERROR(__xludf.DUMMYFUNCTION("""COMPUTED_VALUE"""),0.7273)</f>
      </c>
      <c r="K365" s="11">
        <f>IFERROR(__xludf.DUMMYFUNCTION("""COMPUTED_VALUE"""),287.95)</f>
      </c>
      <c r="L365" s="10">
        <f>IFERROR(__xludf.DUMMYFUNCTION("""COMPUTED_VALUE"""),0.6524)</f>
      </c>
      <c r="M365" s="11">
        <f>IFERROR(__xludf.DUMMYFUNCTION("""COMPUTED_VALUE"""),385.87)</f>
      </c>
      <c r="N365" s="10">
        <f>IFERROR(__xludf.DUMMYFUNCTION("""COMPUTED_VALUE"""),0.6217)</f>
      </c>
      <c r="O365" s="11">
        <f>IFERROR(__xludf.DUMMYFUNCTION("""COMPUTED_VALUE"""),406.55)</f>
      </c>
      <c r="P365" s="12"/>
      <c r="Q365" s="12"/>
      <c r="R365" s="15"/>
      <c r="S365" s="12"/>
      <c r="T365" s="12"/>
      <c r="U365" s="12"/>
      <c r="V365" s="12"/>
      <c r="W365" s="12"/>
      <c r="X365" s="12"/>
      <c r="Y365" s="12"/>
      <c r="Z365" s="12"/>
    </row>
    <row x14ac:dyDescent="0.25" r="366" customHeight="1" ht="15.75">
      <c r="A366" s="8">
        <f>IFERROR(__xludf.DUMMYFUNCTION("""COMPUTED_VALUE"""),25488.0)</f>
      </c>
      <c r="B366" s="9">
        <f>IFERROR(__xludf.DUMMYFUNCTION("""COMPUTED_VALUE"""),"METROPOLITANA III")</f>
      </c>
      <c r="C366" s="9">
        <f>IFERROR(__xludf.DUMMYFUNCTION("""COMPUTED_VALUE"""),"CE MAX FLEIUSS")</f>
      </c>
      <c r="D366" s="10">
        <f>IFERROR(__xludf.DUMMYFUNCTION("""COMPUTED_VALUE"""),0.5942)</f>
      </c>
      <c r="E366" s="11">
        <f>IFERROR(__xludf.DUMMYFUNCTION("""COMPUTED_VALUE"""),138.0)</f>
      </c>
      <c r="F366" s="10">
        <f>IFERROR(__xludf.DUMMYFUNCTION("""COMPUTED_VALUE"""),0.2464)</f>
      </c>
      <c r="G366" s="11">
        <f>IFERROR(__xludf.DUMMYFUNCTION("""COMPUTED_VALUE"""),322.35)</f>
      </c>
      <c r="H366" s="10">
        <f>IFERROR(__xludf.DUMMYFUNCTION("""COMPUTED_VALUE"""),0.3768)</f>
      </c>
      <c r="I366" s="11">
        <f>IFERROR(__xludf.DUMMYFUNCTION("""COMPUTED_VALUE"""),327.69)</f>
      </c>
      <c r="J366" s="10">
        <f>IFERROR(__xludf.DUMMYFUNCTION("""COMPUTED_VALUE"""),0.3913)</f>
      </c>
      <c r="K366" s="11">
        <f>IFERROR(__xludf.DUMMYFUNCTION("""COMPUTED_VALUE"""),400.0)</f>
      </c>
      <c r="L366" s="10">
        <f>IFERROR(__xludf.DUMMYFUNCTION("""COMPUTED_VALUE"""),0.3043)</f>
      </c>
      <c r="M366" s="11">
        <f>IFERROR(__xludf.DUMMYFUNCTION("""COMPUTED_VALUE"""),354.29)</f>
      </c>
      <c r="N366" s="10">
        <f>IFERROR(__xludf.DUMMYFUNCTION("""COMPUTED_VALUE"""),0.2754)</f>
      </c>
      <c r="O366" s="11">
        <f>IFERROR(__xludf.DUMMYFUNCTION("""COMPUTED_VALUE"""),450.53)</f>
      </c>
      <c r="P366" s="12"/>
      <c r="Q366" s="12"/>
      <c r="R366" s="15"/>
      <c r="S366" s="12"/>
      <c r="T366" s="12"/>
      <c r="U366" s="12"/>
      <c r="V366" s="12"/>
      <c r="W366" s="12"/>
      <c r="X366" s="12"/>
      <c r="Y366" s="12"/>
      <c r="Z366" s="12"/>
    </row>
    <row x14ac:dyDescent="0.25" r="367" customHeight="1" ht="15.75">
      <c r="A367" s="8">
        <f>IFERROR(__xludf.DUMMYFUNCTION("""COMPUTED_VALUE"""),25489.0)</f>
      </c>
      <c r="B367" s="9">
        <f>IFERROR(__xludf.DUMMYFUNCTION("""COMPUTED_VALUE"""),"METROPOLITANA III")</f>
      </c>
      <c r="C367" s="9">
        <f>IFERROR(__xludf.DUMMYFUNCTION("""COMPUTED_VALUE"""),"CE MINISTRO OROZIMBO NONATO")</f>
      </c>
      <c r="D367" s="10">
        <f>IFERROR(__xludf.DUMMYFUNCTION("""COMPUTED_VALUE"""),0.4359)</f>
      </c>
      <c r="E367" s="11">
        <f>IFERROR(__xludf.DUMMYFUNCTION("""COMPUTED_VALUE"""),262.5)</f>
      </c>
      <c r="F367" s="10">
        <f>IFERROR(__xludf.DUMMYFUNCTION("""COMPUTED_VALUE"""),0.5641)</f>
      </c>
      <c r="G367" s="11">
        <f>IFERROR(__xludf.DUMMYFUNCTION("""COMPUTED_VALUE"""),309.09)</f>
      </c>
      <c r="H367" s="10">
        <f>IFERROR(__xludf.DUMMYFUNCTION("""COMPUTED_VALUE"""),0.4103)</f>
      </c>
      <c r="I367" s="11">
        <f>IFERROR(__xludf.DUMMYFUNCTION("""COMPUTED_VALUE"""),365.33)</f>
      </c>
      <c r="J367" s="10">
        <f>IFERROR(__xludf.DUMMYFUNCTION("""COMPUTED_VALUE"""),0.5897)</f>
      </c>
      <c r="K367" s="11">
        <f>IFERROR(__xludf.DUMMYFUNCTION("""COMPUTED_VALUE"""),321.82)</f>
      </c>
      <c r="L367" s="10">
        <f>IFERROR(__xludf.DUMMYFUNCTION("""COMPUTED_VALUE"""),0.5641)</f>
      </c>
      <c r="M367" s="11">
        <f>IFERROR(__xludf.DUMMYFUNCTION("""COMPUTED_VALUE"""),345.45)</f>
      </c>
      <c r="N367" s="10">
        <f>IFERROR(__xludf.DUMMYFUNCTION("""COMPUTED_VALUE"""),0.4615)</f>
      </c>
      <c r="O367" s="11">
        <f>IFERROR(__xludf.DUMMYFUNCTION("""COMPUTED_VALUE"""),400.0)</f>
      </c>
      <c r="P367" s="12"/>
      <c r="Q367" s="12"/>
      <c r="R367" s="15"/>
      <c r="S367" s="12"/>
      <c r="T367" s="12"/>
      <c r="U367" s="12"/>
      <c r="V367" s="12"/>
      <c r="W367" s="12"/>
      <c r="X367" s="12"/>
      <c r="Y367" s="12"/>
      <c r="Z367" s="12"/>
    </row>
    <row x14ac:dyDescent="0.25" r="368" customHeight="1" ht="15.75">
      <c r="A368" s="8">
        <f>IFERROR(__xludf.DUMMYFUNCTION("""COMPUTED_VALUE"""),25490.0)</f>
      </c>
      <c r="B368" s="9">
        <f>IFERROR(__xludf.DUMMYFUNCTION("""COMPUTED_VALUE"""),"METROPOLITANA III")</f>
      </c>
      <c r="C368" s="9">
        <f>IFERROR(__xludf.DUMMYFUNCTION("""COMPUTED_VALUE"""),"CE NUNO ALVARES PEREIRA")</f>
      </c>
      <c r="D368" s="10">
        <f>IFERROR(__xludf.DUMMYFUNCTION("""COMPUTED_VALUE"""),0.6933)</f>
      </c>
      <c r="E368" s="11">
        <f>IFERROR(__xludf.DUMMYFUNCTION("""COMPUTED_VALUE"""),140.39)</f>
      </c>
      <c r="F368" s="10">
        <f>IFERROR(__xludf.DUMMYFUNCTION("""COMPUTED_VALUE"""),0.5867)</f>
      </c>
      <c r="G368" s="11">
        <f>IFERROR(__xludf.DUMMYFUNCTION("""COMPUTED_VALUE"""),391.63)</f>
      </c>
      <c r="H368" s="10">
        <f>IFERROR(__xludf.DUMMYFUNCTION("""COMPUTED_VALUE"""),0.52)</f>
      </c>
      <c r="I368" s="11">
        <f>IFERROR(__xludf.DUMMYFUNCTION("""COMPUTED_VALUE"""),420.0)</f>
      </c>
      <c r="J368" s="10">
        <f>IFERROR(__xludf.DUMMYFUNCTION("""COMPUTED_VALUE"""),0.4933)</f>
      </c>
      <c r="K368" s="11">
        <f>IFERROR(__xludf.DUMMYFUNCTION("""COMPUTED_VALUE"""),210.0)</f>
      </c>
      <c r="L368" s="10">
        <f>IFERROR(__xludf.DUMMYFUNCTION("""COMPUTED_VALUE"""),0.52)</f>
      </c>
      <c r="M368" s="11">
        <f>IFERROR(__xludf.DUMMYFUNCTION("""COMPUTED_VALUE"""),325.26)</f>
      </c>
      <c r="N368" s="10">
        <f>IFERROR(__xludf.DUMMYFUNCTION("""COMPUTED_VALUE"""),0.6)</f>
      </c>
      <c r="O368" s="11">
        <f>IFERROR(__xludf.DUMMYFUNCTION("""COMPUTED_VALUE"""),322.67)</f>
      </c>
      <c r="P368" s="12"/>
      <c r="Q368" s="12"/>
      <c r="R368" s="15"/>
      <c r="S368" s="12"/>
      <c r="T368" s="12"/>
      <c r="U368" s="12"/>
      <c r="V368" s="12"/>
      <c r="W368" s="12"/>
      <c r="X368" s="12"/>
      <c r="Y368" s="12"/>
      <c r="Z368" s="12"/>
    </row>
    <row x14ac:dyDescent="0.25" r="369" customHeight="1" ht="15.75">
      <c r="A369" s="8">
        <f>IFERROR(__xludf.DUMMYFUNCTION("""COMPUTED_VALUE"""),25491.0)</f>
      </c>
      <c r="B369" s="9">
        <f>IFERROR(__xludf.DUMMYFUNCTION("""COMPUTED_VALUE"""),"METROPOLITANA III")</f>
      </c>
      <c r="C369" s="9">
        <f>IFERROR(__xludf.DUMMYFUNCTION("""COMPUTED_VALUE"""),"CE OLAVO JOSINO DE SALLES")</f>
      </c>
      <c r="D369" s="10">
        <f>IFERROR(__xludf.DUMMYFUNCTION("""COMPUTED_VALUE"""),0.6743)</f>
      </c>
      <c r="E369" s="11">
        <f>IFERROR(__xludf.DUMMYFUNCTION("""COMPUTED_VALUE"""),81.37)</f>
      </c>
      <c r="F369" s="10">
        <f>IFERROR(__xludf.DUMMYFUNCTION("""COMPUTED_VALUE"""),0.7771)</f>
      </c>
      <c r="G369" s="11">
        <f>IFERROR(__xludf.DUMMYFUNCTION("""COMPUTED_VALUE"""),332.82)</f>
      </c>
      <c r="H369" s="10">
        <f>IFERROR(__xludf.DUMMYFUNCTION("""COMPUTED_VALUE"""),0.5657)</f>
      </c>
      <c r="I369" s="11">
        <f>IFERROR(__xludf.DUMMYFUNCTION("""COMPUTED_VALUE"""),373.61)</f>
      </c>
      <c r="J369" s="10">
        <f>IFERROR(__xludf.DUMMYFUNCTION("""COMPUTED_VALUE"""),0.7543)</f>
      </c>
      <c r="K369" s="11">
        <f>IFERROR(__xludf.DUMMYFUNCTION("""COMPUTED_VALUE"""),189.69)</f>
      </c>
      <c r="L369" s="10">
        <f>IFERROR(__xludf.DUMMYFUNCTION("""COMPUTED_VALUE"""),0.4971)</f>
      </c>
      <c r="M369" s="11">
        <f>IFERROR(__xludf.DUMMYFUNCTION("""COMPUTED_VALUE"""),325.12)</f>
      </c>
      <c r="N369" s="10">
        <f>IFERROR(__xludf.DUMMYFUNCTION("""COMPUTED_VALUE"""),0.6114)</f>
      </c>
      <c r="O369" s="11">
        <f>IFERROR(__xludf.DUMMYFUNCTION("""COMPUTED_VALUE"""),367.55)</f>
      </c>
      <c r="P369" s="12"/>
      <c r="Q369" s="12"/>
      <c r="R369" s="15"/>
      <c r="S369" s="12"/>
      <c r="T369" s="12"/>
      <c r="U369" s="12"/>
      <c r="V369" s="12"/>
      <c r="W369" s="12"/>
      <c r="X369" s="12"/>
      <c r="Y369" s="12"/>
      <c r="Z369" s="12"/>
    </row>
    <row x14ac:dyDescent="0.25" r="370" customHeight="1" ht="15.75">
      <c r="A370" s="8">
        <f>IFERROR(__xludf.DUMMYFUNCTION("""COMPUTED_VALUE"""),25492.0)</f>
      </c>
      <c r="B370" s="9">
        <f>IFERROR(__xludf.DUMMYFUNCTION("""COMPUTED_VALUE"""),"METROPOLITANA III")</f>
      </c>
      <c r="C370" s="9">
        <f>IFERROR(__xludf.DUMMYFUNCTION("""COMPUTED_VALUE"""),"CE OLEGARIO MARIANO")</f>
      </c>
      <c r="D370" s="10">
        <f>IFERROR(__xludf.DUMMYFUNCTION("""COMPUTED_VALUE"""),0.5857)</f>
      </c>
      <c r="E370" s="11">
        <f>IFERROR(__xludf.DUMMYFUNCTION("""COMPUTED_VALUE"""),91.41)</f>
      </c>
      <c r="F370" s="10">
        <f>IFERROR(__xludf.DUMMYFUNCTION("""COMPUTED_VALUE"""),0.5714)</f>
      </c>
      <c r="G370" s="11">
        <f>IFERROR(__xludf.DUMMYFUNCTION("""COMPUTED_VALUE"""),328.5)</f>
      </c>
      <c r="H370" s="10">
        <f>IFERROR(__xludf.DUMMYFUNCTION("""COMPUTED_VALUE"""),0.5911)</f>
      </c>
      <c r="I370" s="11">
        <f>IFERROR(__xludf.DUMMYFUNCTION("""COMPUTED_VALUE"""),339.64)</f>
      </c>
      <c r="J370" s="10">
        <f>IFERROR(__xludf.DUMMYFUNCTION("""COMPUTED_VALUE"""),0.5625)</f>
      </c>
      <c r="K370" s="11">
        <f>IFERROR(__xludf.DUMMYFUNCTION("""COMPUTED_VALUE"""),208.34)</f>
      </c>
      <c r="L370" s="10">
        <f>IFERROR(__xludf.DUMMYFUNCTION("""COMPUTED_VALUE"""),0.3005)</f>
      </c>
      <c r="M370" s="11">
        <f>IFERROR(__xludf.DUMMYFUNCTION("""COMPUTED_VALUE"""),"----")</f>
      </c>
      <c r="N370" s="10">
        <f>IFERROR(__xludf.DUMMYFUNCTION("""COMPUTED_VALUE"""),0.4926)</f>
      </c>
      <c r="O370" s="11">
        <f>IFERROR(__xludf.DUMMYFUNCTION("""COMPUTED_VALUE"""),349.43)</f>
      </c>
      <c r="P370" s="12"/>
      <c r="Q370" s="12"/>
      <c r="R370" s="15"/>
      <c r="S370" s="12"/>
      <c r="T370" s="12"/>
      <c r="U370" s="12"/>
      <c r="V370" s="12"/>
      <c r="W370" s="12"/>
      <c r="X370" s="12"/>
      <c r="Y370" s="12"/>
      <c r="Z370" s="12"/>
    </row>
    <row x14ac:dyDescent="0.25" r="371" customHeight="1" ht="15.75">
      <c r="A371" s="8">
        <f>IFERROR(__xludf.DUMMYFUNCTION("""COMPUTED_VALUE"""),25493.0)</f>
      </c>
      <c r="B371" s="9">
        <f>IFERROR(__xludf.DUMMYFUNCTION("""COMPUTED_VALUE"""),"METROPOLITANA III")</f>
      </c>
      <c r="C371" s="9">
        <f>IFERROR(__xludf.DUMMYFUNCTION("""COMPUTED_VALUE"""),"CE OLGA BENARIO PRESTES")</f>
      </c>
      <c r="D371" s="10">
        <f>IFERROR(__xludf.DUMMYFUNCTION("""COMPUTED_VALUE"""),0.791)</f>
      </c>
      <c r="E371" s="11">
        <f>IFERROR(__xludf.DUMMYFUNCTION("""COMPUTED_VALUE"""),222.82)</f>
      </c>
      <c r="F371" s="10">
        <f>IFERROR(__xludf.DUMMYFUNCTION("""COMPUTED_VALUE"""),0.848)</f>
      </c>
      <c r="G371" s="11">
        <f>IFERROR(__xludf.DUMMYFUNCTION("""COMPUTED_VALUE"""),374.7)</f>
      </c>
      <c r="H371" s="10">
        <f>IFERROR(__xludf.DUMMYFUNCTION("""COMPUTED_VALUE"""),0.7928)</f>
      </c>
      <c r="I371" s="11">
        <f>IFERROR(__xludf.DUMMYFUNCTION("""COMPUTED_VALUE"""),487.71)</f>
      </c>
      <c r="J371" s="10">
        <f>IFERROR(__xludf.DUMMYFUNCTION("""COMPUTED_VALUE"""),0.6987)</f>
      </c>
      <c r="K371" s="11">
        <f>IFERROR(__xludf.DUMMYFUNCTION("""COMPUTED_VALUE"""),371.33)</f>
      </c>
      <c r="L371" s="10">
        <f>IFERROR(__xludf.DUMMYFUNCTION("""COMPUTED_VALUE"""),0.7308)</f>
      </c>
      <c r="M371" s="11">
        <f>IFERROR(__xludf.DUMMYFUNCTION("""COMPUTED_VALUE"""),452.14)</f>
      </c>
      <c r="N371" s="10">
        <f>IFERROR(__xludf.DUMMYFUNCTION("""COMPUTED_VALUE"""),0.7117)</f>
      </c>
      <c r="O371" s="11">
        <f>IFERROR(__xludf.DUMMYFUNCTION("""COMPUTED_VALUE"""),454.98)</f>
      </c>
      <c r="P371" s="12"/>
      <c r="Q371" s="12"/>
      <c r="R371" s="15"/>
      <c r="S371" s="12"/>
      <c r="T371" s="12"/>
      <c r="U371" s="12"/>
      <c r="V371" s="12"/>
      <c r="W371" s="12"/>
      <c r="X371" s="12"/>
      <c r="Y371" s="12"/>
      <c r="Z371" s="12"/>
    </row>
    <row x14ac:dyDescent="0.25" r="372" customHeight="1" ht="15.75">
      <c r="A372" s="8">
        <f>IFERROR(__xludf.DUMMYFUNCTION("""COMPUTED_VALUE"""),25494.0)</f>
      </c>
      <c r="B372" s="9">
        <f>IFERROR(__xludf.DUMMYFUNCTION("""COMPUTED_VALUE"""),"METROPOLITANA III")</f>
      </c>
      <c r="C372" s="9">
        <f>IFERROR(__xludf.DUMMYFUNCTION("""COMPUTED_VALUE"""),"CE OLIMPIA DO COUTO")</f>
      </c>
      <c r="D372" s="10">
        <f>IFERROR(__xludf.DUMMYFUNCTION("""COMPUTED_VALUE"""),0.6717)</f>
      </c>
      <c r="E372" s="11">
        <f>IFERROR(__xludf.DUMMYFUNCTION("""COMPUTED_VALUE"""),153.9)</f>
      </c>
      <c r="F372" s="10">
        <f>IFERROR(__xludf.DUMMYFUNCTION("""COMPUTED_VALUE"""),0.634)</f>
      </c>
      <c r="G372" s="11">
        <f>IFERROR(__xludf.DUMMYFUNCTION("""COMPUTED_VALUE"""),286.47)</f>
      </c>
      <c r="H372" s="10">
        <f>IFERROR(__xludf.DUMMYFUNCTION("""COMPUTED_VALUE"""),0.5887)</f>
      </c>
      <c r="I372" s="11">
        <f>IFERROR(__xludf.DUMMYFUNCTION("""COMPUTED_VALUE"""),339.74)</f>
      </c>
      <c r="J372" s="10">
        <f>IFERROR(__xludf.DUMMYFUNCTION("""COMPUTED_VALUE"""),0.7509)</f>
      </c>
      <c r="K372" s="11">
        <f>IFERROR(__xludf.DUMMYFUNCTION("""COMPUTED_VALUE"""),242.5)</f>
      </c>
      <c r="L372" s="10">
        <f>IFERROR(__xludf.DUMMYFUNCTION("""COMPUTED_VALUE"""),0.5849)</f>
      </c>
      <c r="M372" s="11">
        <f>IFERROR(__xludf.DUMMYFUNCTION("""COMPUTED_VALUE"""),280.26)</f>
      </c>
      <c r="N372" s="10">
        <f>IFERROR(__xludf.DUMMYFUNCTION("""COMPUTED_VALUE"""),0.5321)</f>
      </c>
      <c r="O372" s="11">
        <f>IFERROR(__xludf.DUMMYFUNCTION("""COMPUTED_VALUE"""),332.37)</f>
      </c>
      <c r="P372" s="12"/>
      <c r="Q372" s="12"/>
      <c r="R372" s="15"/>
      <c r="S372" s="12"/>
      <c r="T372" s="12"/>
      <c r="U372" s="12"/>
      <c r="V372" s="12"/>
      <c r="W372" s="12"/>
      <c r="X372" s="12"/>
      <c r="Y372" s="12"/>
      <c r="Z372" s="12"/>
    </row>
    <row x14ac:dyDescent="0.25" r="373" customHeight="1" ht="15.75">
      <c r="A373" s="8">
        <f>IFERROR(__xludf.DUMMYFUNCTION("""COMPUTED_VALUE"""),25495.0)</f>
      </c>
      <c r="B373" s="9">
        <f>IFERROR(__xludf.DUMMYFUNCTION("""COMPUTED_VALUE"""),"METROPOLITANA III")</f>
      </c>
      <c r="C373" s="9">
        <f>IFERROR(__xludf.DUMMYFUNCTION("""COMPUTED_VALUE"""),"CE OLINTO DA GAMA BOTELHO")</f>
      </c>
      <c r="D373" s="10">
        <f>IFERROR(__xludf.DUMMYFUNCTION("""COMPUTED_VALUE"""),0.6446)</f>
      </c>
      <c r="E373" s="11">
        <f>IFERROR(__xludf.DUMMYFUNCTION("""COMPUTED_VALUE"""),270.39)</f>
      </c>
      <c r="F373" s="10">
        <f>IFERROR(__xludf.DUMMYFUNCTION("""COMPUTED_VALUE"""),0.5462)</f>
      </c>
      <c r="G373" s="11">
        <f>IFERROR(__xludf.DUMMYFUNCTION("""COMPUTED_VALUE"""),404.81)</f>
      </c>
      <c r="H373" s="10">
        <f>IFERROR(__xludf.DUMMYFUNCTION("""COMPUTED_VALUE"""),0.6386)</f>
      </c>
      <c r="I373" s="11">
        <f>IFERROR(__xludf.DUMMYFUNCTION("""COMPUTED_VALUE"""),391.85)</f>
      </c>
      <c r="J373" s="10">
        <f>IFERROR(__xludf.DUMMYFUNCTION("""COMPUTED_VALUE"""),0.5823)</f>
      </c>
      <c r="K373" s="11">
        <f>IFERROR(__xludf.DUMMYFUNCTION("""COMPUTED_VALUE"""),317.3)</f>
      </c>
      <c r="L373" s="10">
        <f>IFERROR(__xludf.DUMMYFUNCTION("""COMPUTED_VALUE"""),0.5984)</f>
      </c>
      <c r="M373" s="11">
        <f>IFERROR(__xludf.DUMMYFUNCTION("""COMPUTED_VALUE"""),303.54)</f>
      </c>
      <c r="N373" s="10">
        <f>IFERROR(__xludf.DUMMYFUNCTION("""COMPUTED_VALUE"""),0.6044)</f>
      </c>
      <c r="O373" s="11">
        <f>IFERROR(__xludf.DUMMYFUNCTION("""COMPUTED_VALUE"""),305.14)</f>
      </c>
      <c r="P373" s="12"/>
      <c r="Q373" s="12"/>
      <c r="R373" s="15"/>
      <c r="S373" s="12"/>
      <c r="T373" s="12"/>
      <c r="U373" s="12"/>
      <c r="V373" s="12"/>
      <c r="W373" s="12"/>
      <c r="X373" s="12"/>
      <c r="Y373" s="12"/>
      <c r="Z373" s="12"/>
    </row>
    <row x14ac:dyDescent="0.25" r="374" customHeight="1" ht="15.75">
      <c r="A374" s="8">
        <f>IFERROR(__xludf.DUMMYFUNCTION("""COMPUTED_VALUE"""),25496.0)</f>
      </c>
      <c r="B374" s="9">
        <f>IFERROR(__xludf.DUMMYFUNCTION("""COMPUTED_VALUE"""),"METROPOLITANA III")</f>
      </c>
      <c r="C374" s="9">
        <f>IFERROR(__xludf.DUMMYFUNCTION("""COMPUTED_VALUE"""),"CE OSWALDO TEIXEIRA")</f>
      </c>
      <c r="D374" s="10">
        <f>IFERROR(__xludf.DUMMYFUNCTION("""COMPUTED_VALUE"""),0.4021)</f>
      </c>
      <c r="E374" s="11">
        <f>IFERROR(__xludf.DUMMYFUNCTION("""COMPUTED_VALUE"""),143.83)</f>
      </c>
      <c r="F374" s="10">
        <f>IFERROR(__xludf.DUMMYFUNCTION("""COMPUTED_VALUE"""),0.5155)</f>
      </c>
      <c r="G374" s="11">
        <f>IFERROR(__xludf.DUMMYFUNCTION("""COMPUTED_VALUE"""),"----")</f>
      </c>
      <c r="H374" s="10">
        <f>IFERROR(__xludf.DUMMYFUNCTION("""COMPUTED_VALUE"""),0.4423)</f>
      </c>
      <c r="I374" s="11">
        <f>IFERROR(__xludf.DUMMYFUNCTION("""COMPUTED_VALUE"""),"----")</f>
      </c>
      <c r="J374" s="10">
        <f>IFERROR(__xludf.DUMMYFUNCTION("""COMPUTED_VALUE"""),0.6813)</f>
      </c>
      <c r="K374" s="11">
        <f>IFERROR(__xludf.DUMMYFUNCTION("""COMPUTED_VALUE"""),"----")</f>
      </c>
      <c r="L374" s="10">
        <f>IFERROR(__xludf.DUMMYFUNCTION("""COMPUTED_VALUE"""),0.5096)</f>
      </c>
      <c r="M374" s="11">
        <f>IFERROR(__xludf.DUMMYFUNCTION("""COMPUTED_VALUE"""),399.24)</f>
      </c>
      <c r="N374" s="10">
        <f>IFERROR(__xludf.DUMMYFUNCTION("""COMPUTED_VALUE"""),0.5192)</f>
      </c>
      <c r="O374" s="11">
        <f>IFERROR(__xludf.DUMMYFUNCTION("""COMPUTED_VALUE"""),395.55)</f>
      </c>
      <c r="P374" s="12"/>
      <c r="Q374" s="12"/>
      <c r="R374" s="15"/>
      <c r="S374" s="12"/>
      <c r="T374" s="12"/>
      <c r="U374" s="12"/>
      <c r="V374" s="12"/>
      <c r="W374" s="12"/>
      <c r="X374" s="12"/>
      <c r="Y374" s="12"/>
      <c r="Z374" s="12"/>
    </row>
    <row x14ac:dyDescent="0.25" r="375" customHeight="1" ht="15.75">
      <c r="A375" s="8">
        <f>IFERROR(__xludf.DUMMYFUNCTION("""COMPUTED_VALUE"""),25497.0)</f>
      </c>
      <c r="B375" s="9">
        <f>IFERROR(__xludf.DUMMYFUNCTION("""COMPUTED_VALUE"""),"METROPOLITANA III")</f>
      </c>
      <c r="C375" s="9">
        <f>IFERROR(__xludf.DUMMYFUNCTION("""COMPUTED_VALUE"""),"CE PARAIBA")</f>
      </c>
      <c r="D375" s="10">
        <f>IFERROR(__xludf.DUMMYFUNCTION("""COMPUTED_VALUE"""),0.5581)</f>
      </c>
      <c r="E375" s="11">
        <f>IFERROR(__xludf.DUMMYFUNCTION("""COMPUTED_VALUE"""),125.22)</f>
      </c>
      <c r="F375" s="10">
        <f>IFERROR(__xludf.DUMMYFUNCTION("""COMPUTED_VALUE"""),0.5581)</f>
      </c>
      <c r="G375" s="11">
        <f>IFERROR(__xludf.DUMMYFUNCTION("""COMPUTED_VALUE"""),401.74)</f>
      </c>
      <c r="H375" s="10">
        <f>IFERROR(__xludf.DUMMYFUNCTION("""COMPUTED_VALUE"""),0.6512)</f>
      </c>
      <c r="I375" s="11">
        <f>IFERROR(__xludf.DUMMYFUNCTION("""COMPUTED_VALUE"""),345.71)</f>
      </c>
      <c r="J375" s="10">
        <f>IFERROR(__xludf.DUMMYFUNCTION("""COMPUTED_VALUE"""),0.5349)</f>
      </c>
      <c r="K375" s="11">
        <f>IFERROR(__xludf.DUMMYFUNCTION("""COMPUTED_VALUE"""),265.45)</f>
      </c>
      <c r="L375" s="10">
        <f>IFERROR(__xludf.DUMMYFUNCTION("""COMPUTED_VALUE"""),0.3023)</f>
      </c>
      <c r="M375" s="11">
        <f>IFERROR(__xludf.DUMMYFUNCTION("""COMPUTED_VALUE"""),353.85)</f>
      </c>
      <c r="N375" s="10">
        <f>IFERROR(__xludf.DUMMYFUNCTION("""COMPUTED_VALUE"""),0.4651)</f>
      </c>
      <c r="O375" s="11">
        <f>IFERROR(__xludf.DUMMYFUNCTION("""COMPUTED_VALUE"""),357.89)</f>
      </c>
      <c r="P375" s="12"/>
      <c r="Q375" s="12"/>
      <c r="R375" s="15"/>
      <c r="S375" s="12"/>
      <c r="T375" s="12"/>
      <c r="U375" s="12"/>
      <c r="V375" s="12"/>
      <c r="W375" s="12"/>
      <c r="X375" s="12"/>
      <c r="Y375" s="12"/>
      <c r="Z375" s="12"/>
    </row>
    <row x14ac:dyDescent="0.25" r="376" customHeight="1" ht="15.75">
      <c r="A376" s="8">
        <f>IFERROR(__xludf.DUMMYFUNCTION("""COMPUTED_VALUE"""),25498.0)</f>
      </c>
      <c r="B376" s="9">
        <f>IFERROR(__xludf.DUMMYFUNCTION("""COMPUTED_VALUE"""),"METROPOLITANA III")</f>
      </c>
      <c r="C376" s="9">
        <f>IFERROR(__xludf.DUMMYFUNCTION("""COMPUTED_VALUE"""),"CE PARANA")</f>
      </c>
      <c r="D376" s="10">
        <f>IFERROR(__xludf.DUMMYFUNCTION("""COMPUTED_VALUE"""),0.5682)</f>
      </c>
      <c r="E376" s="11">
        <f>IFERROR(__xludf.DUMMYFUNCTION("""COMPUTED_VALUE"""),68.09)</f>
      </c>
      <c r="F376" s="10">
        <f>IFERROR(__xludf.DUMMYFUNCTION("""COMPUTED_VALUE"""),0.5114)</f>
      </c>
      <c r="G376" s="11">
        <f>IFERROR(__xludf.DUMMYFUNCTION("""COMPUTED_VALUE"""),328.89)</f>
      </c>
      <c r="H376" s="10">
        <f>IFERROR(__xludf.DUMMYFUNCTION("""COMPUTED_VALUE"""),0.6136)</f>
      </c>
      <c r="I376" s="11">
        <f>IFERROR(__xludf.DUMMYFUNCTION("""COMPUTED_VALUE"""),391.85)</f>
      </c>
      <c r="J376" s="10">
        <f>IFERROR(__xludf.DUMMYFUNCTION("""COMPUTED_VALUE"""),0.6136)</f>
      </c>
      <c r="K376" s="11">
        <f>IFERROR(__xludf.DUMMYFUNCTION("""COMPUTED_VALUE"""),332.38)</f>
      </c>
      <c r="L376" s="10">
        <f>IFERROR(__xludf.DUMMYFUNCTION("""COMPUTED_VALUE"""),0.6136)</f>
      </c>
      <c r="M376" s="11">
        <f>IFERROR(__xludf.DUMMYFUNCTION("""COMPUTED_VALUE"""),409.23)</f>
      </c>
      <c r="N376" s="10">
        <f>IFERROR(__xludf.DUMMYFUNCTION("""COMPUTED_VALUE"""),0.6818)</f>
      </c>
      <c r="O376" s="11">
        <f>IFERROR(__xludf.DUMMYFUNCTION("""COMPUTED_VALUE"""),444.83)</f>
      </c>
      <c r="P376" s="12"/>
      <c r="Q376" s="12"/>
      <c r="R376" s="15"/>
      <c r="S376" s="12"/>
      <c r="T376" s="12"/>
      <c r="U376" s="12"/>
      <c r="V376" s="12"/>
      <c r="W376" s="12"/>
      <c r="X376" s="12"/>
      <c r="Y376" s="12"/>
      <c r="Z376" s="12"/>
    </row>
    <row x14ac:dyDescent="0.25" r="377" customHeight="1" ht="15.75">
      <c r="A377" s="8">
        <f>IFERROR(__xludf.DUMMYFUNCTION("""COMPUTED_VALUE"""),25499.0)</f>
      </c>
      <c r="B377" s="9">
        <f>IFERROR(__xludf.DUMMYFUNCTION("""COMPUTED_VALUE"""),"METROPOLITANA III")</f>
      </c>
      <c r="C377" s="9">
        <f>IFERROR(__xludf.DUMMYFUNCTION("""COMPUTED_VALUE"""),"CE PASTOR MIRANDA PINTO")</f>
      </c>
      <c r="D377" s="10">
        <f>IFERROR(__xludf.DUMMYFUNCTION("""COMPUTED_VALUE"""),0.5833)</f>
      </c>
      <c r="E377" s="11">
        <f>IFERROR(__xludf.DUMMYFUNCTION("""COMPUTED_VALUE"""),160.0)</f>
      </c>
      <c r="F377" s="10">
        <f>IFERROR(__xludf.DUMMYFUNCTION("""COMPUTED_VALUE"""),0.5833)</f>
      </c>
      <c r="G377" s="11">
        <f>IFERROR(__xludf.DUMMYFUNCTION("""COMPUTED_VALUE"""),367.62)</f>
      </c>
      <c r="H377" s="10">
        <f>IFERROR(__xludf.DUMMYFUNCTION("""COMPUTED_VALUE"""),0.2742)</f>
      </c>
      <c r="I377" s="11">
        <f>IFERROR(__xludf.DUMMYFUNCTION("""COMPUTED_VALUE"""),398.82)</f>
      </c>
      <c r="J377" s="10">
        <f>IFERROR(__xludf.DUMMYFUNCTION("""COMPUTED_VALUE"""),0.5098)</f>
      </c>
      <c r="K377" s="11">
        <f>IFERROR(__xludf.DUMMYFUNCTION("""COMPUTED_VALUE"""),326.77)</f>
      </c>
      <c r="L377" s="10">
        <f>IFERROR(__xludf.DUMMYFUNCTION("""COMPUTED_VALUE"""),0.4032)</f>
      </c>
      <c r="M377" s="11">
        <f>IFERROR(__xludf.DUMMYFUNCTION("""COMPUTED_VALUE"""),457.87)</f>
      </c>
      <c r="N377" s="10">
        <f>IFERROR(__xludf.DUMMYFUNCTION("""COMPUTED_VALUE"""),0.3871)</f>
      </c>
      <c r="O377" s="11">
        <f>IFERROR(__xludf.DUMMYFUNCTION("""COMPUTED_VALUE"""),466.67)</f>
      </c>
      <c r="P377" s="12"/>
      <c r="Q377" s="12"/>
      <c r="R377" s="15"/>
      <c r="S377" s="12"/>
      <c r="T377" s="12"/>
      <c r="U377" s="12"/>
      <c r="V377" s="12"/>
      <c r="W377" s="12"/>
      <c r="X377" s="12"/>
      <c r="Y377" s="12"/>
      <c r="Z377" s="12"/>
    </row>
    <row x14ac:dyDescent="0.25" r="378" customHeight="1" ht="15.75">
      <c r="A378" s="8">
        <f>IFERROR(__xludf.DUMMYFUNCTION("""COMPUTED_VALUE"""),25500.0)</f>
      </c>
      <c r="B378" s="9">
        <f>IFERROR(__xludf.DUMMYFUNCTION("""COMPUTED_VALUE"""),"METROPOLITANA III")</f>
      </c>
      <c r="C378" s="9">
        <f>IFERROR(__xludf.DUMMYFUNCTION("""COMPUTED_VALUE"""),"CE PAULO FREIRE")</f>
      </c>
      <c r="D378" s="10">
        <f>IFERROR(__xludf.DUMMYFUNCTION("""COMPUTED_VALUE"""),0.7591)</f>
      </c>
      <c r="E378" s="11">
        <f>IFERROR(__xludf.DUMMYFUNCTION("""COMPUTED_VALUE"""),223.33)</f>
      </c>
      <c r="F378" s="10">
        <f>IFERROR(__xludf.DUMMYFUNCTION("""COMPUTED_VALUE"""),0.7591)</f>
      </c>
      <c r="G378" s="11">
        <f>IFERROR(__xludf.DUMMYFUNCTION("""COMPUTED_VALUE"""),375.15)</f>
      </c>
      <c r="H378" s="10">
        <f>IFERROR(__xludf.DUMMYFUNCTION("""COMPUTED_VALUE"""),0.7226)</f>
      </c>
      <c r="I378" s="11">
        <f>IFERROR(__xludf.DUMMYFUNCTION("""COMPUTED_VALUE"""),404.65)</f>
      </c>
      <c r="J378" s="10">
        <f>IFERROR(__xludf.DUMMYFUNCTION("""COMPUTED_VALUE"""),0.7007)</f>
      </c>
      <c r="K378" s="11">
        <f>IFERROR(__xludf.DUMMYFUNCTION("""COMPUTED_VALUE"""),199.55)</f>
      </c>
      <c r="L378" s="10">
        <f>IFERROR(__xludf.DUMMYFUNCTION("""COMPUTED_VALUE"""),0.792)</f>
      </c>
      <c r="M378" s="11">
        <f>IFERROR(__xludf.DUMMYFUNCTION("""COMPUTED_VALUE"""),363.55)</f>
      </c>
      <c r="N378" s="10">
        <f>IFERROR(__xludf.DUMMYFUNCTION("""COMPUTED_VALUE"""),0.6679)</f>
      </c>
      <c r="O378" s="11">
        <f>IFERROR(__xludf.DUMMYFUNCTION("""COMPUTED_VALUE"""),387.62)</f>
      </c>
      <c r="P378" s="12"/>
      <c r="Q378" s="12"/>
      <c r="R378" s="15"/>
      <c r="S378" s="12"/>
      <c r="T378" s="12"/>
      <c r="U378" s="12"/>
      <c r="V378" s="12"/>
      <c r="W378" s="12"/>
      <c r="X378" s="12"/>
      <c r="Y378" s="12"/>
      <c r="Z378" s="12"/>
    </row>
    <row x14ac:dyDescent="0.25" r="379" customHeight="1" ht="15.75">
      <c r="A379" s="8">
        <f>IFERROR(__xludf.DUMMYFUNCTION("""COMPUTED_VALUE"""),25501.0)</f>
      </c>
      <c r="B379" s="9">
        <f>IFERROR(__xludf.DUMMYFUNCTION("""COMPUTED_VALUE"""),"METROPOLITANA III")</f>
      </c>
      <c r="C379" s="9">
        <f>IFERROR(__xludf.DUMMYFUNCTION("""COMPUTED_VALUE"""),"CE PERNAMBUCO")</f>
      </c>
      <c r="D379" s="10">
        <f>IFERROR(__xludf.DUMMYFUNCTION("""COMPUTED_VALUE"""),0.6196)</f>
      </c>
      <c r="E379" s="11">
        <f>IFERROR(__xludf.DUMMYFUNCTION("""COMPUTED_VALUE"""),127.13)</f>
      </c>
      <c r="F379" s="10">
        <f>IFERROR(__xludf.DUMMYFUNCTION("""COMPUTED_VALUE"""),0.5399)</f>
      </c>
      <c r="G379" s="11">
        <f>IFERROR(__xludf.DUMMYFUNCTION("""COMPUTED_VALUE"""),278.7)</f>
      </c>
      <c r="H379" s="10">
        <f>IFERROR(__xludf.DUMMYFUNCTION("""COMPUTED_VALUE"""),0.2977)</f>
      </c>
      <c r="I379" s="11">
        <f>IFERROR(__xludf.DUMMYFUNCTION("""COMPUTED_VALUE"""),374.37)</f>
      </c>
      <c r="J379" s="10">
        <f>IFERROR(__xludf.DUMMYFUNCTION("""COMPUTED_VALUE"""),0.6034)</f>
      </c>
      <c r="K379" s="11">
        <f>IFERROR(__xludf.DUMMYFUNCTION("""COMPUTED_VALUE"""),284.34)</f>
      </c>
      <c r="L379" s="10">
        <f>IFERROR(__xludf.DUMMYFUNCTION("""COMPUTED_VALUE"""),0.3488)</f>
      </c>
      <c r="M379" s="11">
        <f>IFERROR(__xludf.DUMMYFUNCTION("""COMPUTED_VALUE"""),"----")</f>
      </c>
      <c r="N379" s="10">
        <f>IFERROR(__xludf.DUMMYFUNCTION("""COMPUTED_VALUE"""),0.3116)</f>
      </c>
      <c r="O379" s="11">
        <f>IFERROR(__xludf.DUMMYFUNCTION("""COMPUTED_VALUE"""),406.73)</f>
      </c>
      <c r="P379" s="12"/>
      <c r="Q379" s="12"/>
      <c r="R379" s="15"/>
      <c r="S379" s="12"/>
      <c r="T379" s="12"/>
      <c r="U379" s="12"/>
      <c r="V379" s="12"/>
      <c r="W379" s="12"/>
      <c r="X379" s="12"/>
      <c r="Y379" s="12"/>
      <c r="Z379" s="12"/>
    </row>
    <row x14ac:dyDescent="0.25" r="380" customHeight="1" ht="15.75">
      <c r="A380" s="8">
        <f>IFERROR(__xludf.DUMMYFUNCTION("""COMPUTED_VALUE"""),25502.0)</f>
      </c>
      <c r="B380" s="9">
        <f>IFERROR(__xludf.DUMMYFUNCTION("""COMPUTED_VALUE"""),"METROPOLITANA III")</f>
      </c>
      <c r="C380" s="9">
        <f>IFERROR(__xludf.DUMMYFUNCTION("""COMPUTED_VALUE"""),"CE PREFEITO MENDES DE MORAES")</f>
      </c>
      <c r="D380" s="10">
        <f>IFERROR(__xludf.DUMMYFUNCTION("""COMPUTED_VALUE"""),0.6862)</f>
      </c>
      <c r="E380" s="11">
        <f>IFERROR(__xludf.DUMMYFUNCTION("""COMPUTED_VALUE"""),231.38)</f>
      </c>
      <c r="F380" s="10">
        <f>IFERROR(__xludf.DUMMYFUNCTION("""COMPUTED_VALUE"""),0.6964)</f>
      </c>
      <c r="G380" s="11">
        <f>IFERROR(__xludf.DUMMYFUNCTION("""COMPUTED_VALUE"""),352.19)</f>
      </c>
      <c r="H380" s="10">
        <f>IFERROR(__xludf.DUMMYFUNCTION("""COMPUTED_VALUE"""),0.6824)</f>
      </c>
      <c r="I380" s="11">
        <f>IFERROR(__xludf.DUMMYFUNCTION("""COMPUTED_VALUE"""),291.28)</f>
      </c>
      <c r="J380" s="10">
        <f>IFERROR(__xludf.DUMMYFUNCTION("""COMPUTED_VALUE"""),0.3469)</f>
      </c>
      <c r="K380" s="11">
        <f>IFERROR(__xludf.DUMMYFUNCTION("""COMPUTED_VALUE"""),221.3)</f>
      </c>
      <c r="L380" s="10">
        <f>IFERROR(__xludf.DUMMYFUNCTION("""COMPUTED_VALUE"""),0.5816)</f>
      </c>
      <c r="M380" s="11">
        <f>IFERROR(__xludf.DUMMYFUNCTION("""COMPUTED_VALUE"""),196.19)</f>
      </c>
      <c r="N380" s="10">
        <f>IFERROR(__xludf.DUMMYFUNCTION("""COMPUTED_VALUE"""),0.8367)</f>
      </c>
      <c r="O380" s="11">
        <f>IFERROR(__xludf.DUMMYFUNCTION("""COMPUTED_VALUE"""),76.15)</f>
      </c>
      <c r="P380" s="12"/>
      <c r="Q380" s="12"/>
      <c r="R380" s="15"/>
      <c r="S380" s="12"/>
      <c r="T380" s="12"/>
      <c r="U380" s="12"/>
      <c r="V380" s="12"/>
      <c r="W380" s="12"/>
      <c r="X380" s="12"/>
      <c r="Y380" s="12"/>
      <c r="Z380" s="12"/>
    </row>
    <row x14ac:dyDescent="0.25" r="381" customHeight="1" ht="15.75">
      <c r="A381" s="8">
        <f>IFERROR(__xludf.DUMMYFUNCTION("""COMPUTED_VALUE"""),25503.0)</f>
      </c>
      <c r="B381" s="9">
        <f>IFERROR(__xludf.DUMMYFUNCTION("""COMPUTED_VALUE"""),"METROPOLITANA III")</f>
      </c>
      <c r="C381" s="9">
        <f>IFERROR(__xludf.DUMMYFUNCTION("""COMPUTED_VALUE"""),"CE PROFESSOR AUGUSTO MOTTA")</f>
      </c>
      <c r="D381" s="10">
        <f>IFERROR(__xludf.DUMMYFUNCTION("""COMPUTED_VALUE"""),0.3692)</f>
      </c>
      <c r="E381" s="11">
        <f>IFERROR(__xludf.DUMMYFUNCTION("""COMPUTED_VALUE"""),127.5)</f>
      </c>
      <c r="F381" s="10">
        <f>IFERROR(__xludf.DUMMYFUNCTION("""COMPUTED_VALUE"""),0.4)</f>
      </c>
      <c r="G381" s="11">
        <f>IFERROR(__xludf.DUMMYFUNCTION("""COMPUTED_VALUE"""),335.38)</f>
      </c>
      <c r="H381" s="10">
        <f>IFERROR(__xludf.DUMMYFUNCTION("""COMPUTED_VALUE"""),0.3231)</f>
      </c>
      <c r="I381" s="11">
        <f>IFERROR(__xludf.DUMMYFUNCTION("""COMPUTED_VALUE"""),205.71)</f>
      </c>
      <c r="J381" s="10">
        <f>IFERROR(__xludf.DUMMYFUNCTION("""COMPUTED_VALUE"""),0.3538)</f>
      </c>
      <c r="K381" s="11">
        <f>IFERROR(__xludf.DUMMYFUNCTION("""COMPUTED_VALUE"""),22.61)</f>
      </c>
      <c r="L381" s="10">
        <f>IFERROR(__xludf.DUMMYFUNCTION("""COMPUTED_VALUE"""),0.3538)</f>
      </c>
      <c r="M381" s="11">
        <f>IFERROR(__xludf.DUMMYFUNCTION("""COMPUTED_VALUE"""),318.26)</f>
      </c>
      <c r="N381" s="10">
        <f>IFERROR(__xludf.DUMMYFUNCTION("""COMPUTED_VALUE"""),0.4)</f>
      </c>
      <c r="O381" s="11">
        <f>IFERROR(__xludf.DUMMYFUNCTION("""COMPUTED_VALUE"""),332.8)</f>
      </c>
      <c r="P381" s="12"/>
      <c r="Q381" s="12"/>
      <c r="R381" s="15"/>
      <c r="S381" s="12"/>
      <c r="T381" s="12"/>
      <c r="U381" s="12"/>
      <c r="V381" s="12"/>
      <c r="W381" s="12"/>
      <c r="X381" s="12"/>
      <c r="Y381" s="12"/>
      <c r="Z381" s="12"/>
    </row>
    <row x14ac:dyDescent="0.25" r="382" customHeight="1" ht="15.75">
      <c r="A382" s="8">
        <f>IFERROR(__xludf.DUMMYFUNCTION("""COMPUTED_VALUE"""),25504.0)</f>
      </c>
      <c r="B382" s="9">
        <f>IFERROR(__xludf.DUMMYFUNCTION("""COMPUTED_VALUE"""),"METROPOLITANA III")</f>
      </c>
      <c r="C382" s="9">
        <f>IFERROR(__xludf.DUMMYFUNCTION("""COMPUTED_VALUE"""),"CE PROFESSOR CLOVIS MONTEIRO")</f>
      </c>
      <c r="D382" s="10">
        <f>IFERROR(__xludf.DUMMYFUNCTION("""COMPUTED_VALUE"""),0.6058)</f>
      </c>
      <c r="E382" s="11">
        <f>IFERROR(__xludf.DUMMYFUNCTION("""COMPUTED_VALUE"""),213.89)</f>
      </c>
      <c r="F382" s="10">
        <f>IFERROR(__xludf.DUMMYFUNCTION("""COMPUTED_VALUE"""),0.4923)</f>
      </c>
      <c r="G382" s="11">
        <f>IFERROR(__xludf.DUMMYFUNCTION("""COMPUTED_VALUE"""),372.56)</f>
      </c>
      <c r="H382" s="10">
        <f>IFERROR(__xludf.DUMMYFUNCTION("""COMPUTED_VALUE"""),0.4237)</f>
      </c>
      <c r="I382" s="11">
        <f>IFERROR(__xludf.DUMMYFUNCTION("""COMPUTED_VALUE"""),354.76)</f>
      </c>
      <c r="J382" s="10">
        <f>IFERROR(__xludf.DUMMYFUNCTION("""COMPUTED_VALUE"""),0.5247)</f>
      </c>
      <c r="K382" s="11">
        <f>IFERROR(__xludf.DUMMYFUNCTION("""COMPUTED_VALUE"""),"----")</f>
      </c>
      <c r="L382" s="10">
        <f>IFERROR(__xludf.DUMMYFUNCTION("""COMPUTED_VALUE"""),0.3658)</f>
      </c>
      <c r="M382" s="11">
        <f>IFERROR(__xludf.DUMMYFUNCTION("""COMPUTED_VALUE"""),379.15)</f>
      </c>
      <c r="N382" s="10">
        <f>IFERROR(__xludf.DUMMYFUNCTION("""COMPUTED_VALUE"""),0.4619)</f>
      </c>
      <c r="O382" s="11">
        <f>IFERROR(__xludf.DUMMYFUNCTION("""COMPUTED_VALUE"""),388.52)</f>
      </c>
      <c r="P382" s="12"/>
      <c r="Q382" s="12"/>
      <c r="R382" s="15"/>
      <c r="S382" s="12"/>
      <c r="T382" s="12"/>
      <c r="U382" s="12"/>
      <c r="V382" s="12"/>
      <c r="W382" s="12"/>
      <c r="X382" s="12"/>
      <c r="Y382" s="12"/>
      <c r="Z382" s="12"/>
    </row>
    <row x14ac:dyDescent="0.25" r="383" customHeight="1" ht="15.75">
      <c r="A383" s="8">
        <f>IFERROR(__xludf.DUMMYFUNCTION("""COMPUTED_VALUE"""),25505.0)</f>
      </c>
      <c r="B383" s="9">
        <f>IFERROR(__xludf.DUMMYFUNCTION("""COMPUTED_VALUE"""),"METROPOLITANA III")</f>
      </c>
      <c r="C383" s="9">
        <f>IFERROR(__xludf.DUMMYFUNCTION("""COMPUTED_VALUE"""),"CE PROFESSOR HORACIO MACEDO")</f>
      </c>
      <c r="D383" s="10">
        <f>IFERROR(__xludf.DUMMYFUNCTION("""COMPUTED_VALUE"""),0.8824)</f>
      </c>
      <c r="E383" s="11">
        <f>IFERROR(__xludf.DUMMYFUNCTION("""COMPUTED_VALUE"""),409.56)</f>
      </c>
      <c r="F383" s="10">
        <f>IFERROR(__xludf.DUMMYFUNCTION("""COMPUTED_VALUE"""),0.875)</f>
      </c>
      <c r="G383" s="11">
        <f>IFERROR(__xludf.DUMMYFUNCTION("""COMPUTED_VALUE"""),497.63)</f>
      </c>
      <c r="H383" s="10">
        <f>IFERROR(__xludf.DUMMYFUNCTION("""COMPUTED_VALUE"""),0.8309)</f>
      </c>
      <c r="I383" s="11">
        <f>IFERROR(__xludf.DUMMYFUNCTION("""COMPUTED_VALUE"""),463.72)</f>
      </c>
      <c r="J383" s="10">
        <f>IFERROR(__xludf.DUMMYFUNCTION("""COMPUTED_VALUE"""),0.7574)</f>
      </c>
      <c r="K383" s="11">
        <f>IFERROR(__xludf.DUMMYFUNCTION("""COMPUTED_VALUE"""),420.58)</f>
      </c>
      <c r="L383" s="10">
        <f>IFERROR(__xludf.DUMMYFUNCTION("""COMPUTED_VALUE"""),0.7279)</f>
      </c>
      <c r="M383" s="11">
        <f>IFERROR(__xludf.DUMMYFUNCTION("""COMPUTED_VALUE"""),517.55)</f>
      </c>
      <c r="N383" s="10">
        <f>IFERROR(__xludf.DUMMYFUNCTION("""COMPUTED_VALUE"""),0.6176)</f>
      </c>
      <c r="O383" s="11">
        <f>IFERROR(__xludf.DUMMYFUNCTION("""COMPUTED_VALUE"""),531.57)</f>
      </c>
      <c r="P383" s="12"/>
      <c r="Q383" s="12"/>
      <c r="R383" s="15"/>
      <c r="S383" s="12"/>
      <c r="T383" s="12"/>
      <c r="U383" s="12"/>
      <c r="V383" s="12"/>
      <c r="W383" s="12"/>
      <c r="X383" s="12"/>
      <c r="Y383" s="12"/>
      <c r="Z383" s="12"/>
    </row>
    <row x14ac:dyDescent="0.25" r="384" customHeight="1" ht="15.75">
      <c r="A384" s="8">
        <f>IFERROR(__xludf.DUMMYFUNCTION("""COMPUTED_VALUE"""),25506.0)</f>
      </c>
      <c r="B384" s="9">
        <f>IFERROR(__xludf.DUMMYFUNCTION("""COMPUTED_VALUE"""),"METROPOLITANA III")</f>
      </c>
      <c r="C384" s="9">
        <f>IFERROR(__xludf.DUMMYFUNCTION("""COMPUTED_VALUE"""),"CE PROFESSOR JOAO BORGES DE MORAES")</f>
      </c>
      <c r="D384" s="10">
        <f>IFERROR(__xludf.DUMMYFUNCTION("""COMPUTED_VALUE"""),0.9627)</f>
      </c>
      <c r="E384" s="11">
        <f>IFERROR(__xludf.DUMMYFUNCTION("""COMPUTED_VALUE"""),202.38)</f>
      </c>
      <c r="F384" s="10">
        <f>IFERROR(__xludf.DUMMYFUNCTION("""COMPUTED_VALUE"""),0.0062)</f>
      </c>
      <c r="G384" s="11">
        <f>IFERROR(__xludf.DUMMYFUNCTION("""COMPUTED_VALUE"""),0.0)</f>
      </c>
      <c r="H384" s="10">
        <f>IFERROR(__xludf.DUMMYFUNCTION("""COMPUTED_VALUE"""),0.9938)</f>
      </c>
      <c r="I384" s="11">
        <f>IFERROR(__xludf.DUMMYFUNCTION("""COMPUTED_VALUE"""),277.74)</f>
      </c>
      <c r="J384" s="10">
        <f>IFERROR(__xludf.DUMMYFUNCTION("""COMPUTED_VALUE"""),0.2547)</f>
      </c>
      <c r="K384" s="11">
        <f>IFERROR(__xludf.DUMMYFUNCTION("""COMPUTED_VALUE"""),234.87)</f>
      </c>
      <c r="L384" s="10">
        <f>IFERROR(__xludf.DUMMYFUNCTION("""COMPUTED_VALUE"""),0.0124)</f>
      </c>
      <c r="M384" s="11">
        <f>IFERROR(__xludf.DUMMYFUNCTION("""COMPUTED_VALUE"""),260.0)</f>
      </c>
      <c r="N384" s="10">
        <f>IFERROR(__xludf.DUMMYFUNCTION("""COMPUTED_VALUE"""),0.5901)</f>
      </c>
      <c r="O384" s="11">
        <f>IFERROR(__xludf.DUMMYFUNCTION("""COMPUTED_VALUE"""),260.0)</f>
      </c>
      <c r="P384" s="12"/>
      <c r="Q384" s="12"/>
      <c r="R384" s="15"/>
      <c r="S384" s="12"/>
      <c r="T384" s="12"/>
      <c r="U384" s="12"/>
      <c r="V384" s="12"/>
      <c r="W384" s="12"/>
      <c r="X384" s="12"/>
      <c r="Y384" s="12"/>
      <c r="Z384" s="12"/>
    </row>
    <row x14ac:dyDescent="0.25" r="385" customHeight="1" ht="15.75">
      <c r="A385" s="8">
        <f>IFERROR(__xludf.DUMMYFUNCTION("""COMPUTED_VALUE"""),25507.0)</f>
      </c>
      <c r="B385" s="9">
        <f>IFERROR(__xludf.DUMMYFUNCTION("""COMPUTED_VALUE"""),"METROPOLITANA III")</f>
      </c>
      <c r="C385" s="9">
        <f>IFERROR(__xludf.DUMMYFUNCTION("""COMPUTED_VALUE"""),"CE PROFESSOR JOEL DE OLIVEIRA")</f>
      </c>
      <c r="D385" s="10">
        <f>IFERROR(__xludf.DUMMYFUNCTION("""COMPUTED_VALUE"""),0.9297)</f>
      </c>
      <c r="E385" s="11">
        <f>IFERROR(__xludf.DUMMYFUNCTION("""COMPUTED_VALUE"""),174.65)</f>
      </c>
      <c r="F385" s="10">
        <f>IFERROR(__xludf.DUMMYFUNCTION("""COMPUTED_VALUE"""),0.9453)</f>
      </c>
      <c r="G385" s="11">
        <f>IFERROR(__xludf.DUMMYFUNCTION("""COMPUTED_VALUE"""),237.78)</f>
      </c>
      <c r="H385" s="10">
        <f>IFERROR(__xludf.DUMMYFUNCTION("""COMPUTED_VALUE"""),0.5417)</f>
      </c>
      <c r="I385" s="11">
        <f>IFERROR(__xludf.DUMMYFUNCTION("""COMPUTED_VALUE"""),388.32)</f>
      </c>
      <c r="J385" s="10">
        <f>IFERROR(__xludf.DUMMYFUNCTION("""COMPUTED_VALUE"""),0.5807)</f>
      </c>
      <c r="K385" s="11">
        <f>IFERROR(__xludf.DUMMYFUNCTION("""COMPUTED_VALUE"""),320.52)</f>
      </c>
      <c r="L385" s="10">
        <f>IFERROR(__xludf.DUMMYFUNCTION("""COMPUTED_VALUE"""),0.4948)</f>
      </c>
      <c r="M385" s="11">
        <f>IFERROR(__xludf.DUMMYFUNCTION("""COMPUTED_VALUE"""),367.02)</f>
      </c>
      <c r="N385" s="10">
        <f>IFERROR(__xludf.DUMMYFUNCTION("""COMPUTED_VALUE"""),0.5156)</f>
      </c>
      <c r="O385" s="11">
        <f>IFERROR(__xludf.DUMMYFUNCTION("""COMPUTED_VALUE"""),419.18)</f>
      </c>
      <c r="P385" s="12"/>
      <c r="Q385" s="12"/>
      <c r="R385" s="15"/>
      <c r="S385" s="12"/>
      <c r="T385" s="12"/>
      <c r="U385" s="12"/>
      <c r="V385" s="12"/>
      <c r="W385" s="12"/>
      <c r="X385" s="12"/>
      <c r="Y385" s="12"/>
      <c r="Z385" s="12"/>
    </row>
    <row x14ac:dyDescent="0.25" r="386" customHeight="1" ht="15.75">
      <c r="A386" s="8">
        <f>IFERROR(__xludf.DUMMYFUNCTION("""COMPUTED_VALUE"""),25508.0)</f>
      </c>
      <c r="B386" s="9">
        <f>IFERROR(__xludf.DUMMYFUNCTION("""COMPUTED_VALUE"""),"METROPOLITANA III")</f>
      </c>
      <c r="C386" s="9">
        <f>IFERROR(__xludf.DUMMYFUNCTION("""COMPUTED_VALUE"""),"CE PROFESSOR JOSE ACCIOLI")</f>
      </c>
      <c r="D386" s="10">
        <f>IFERROR(__xludf.DUMMYFUNCTION("""COMPUTED_VALUE"""),0.9963)</f>
      </c>
      <c r="E386" s="11">
        <f>IFERROR(__xludf.DUMMYFUNCTION("""COMPUTED_VALUE"""),289.1)</f>
      </c>
      <c r="F386" s="10">
        <f>IFERROR(__xludf.DUMMYFUNCTION("""COMPUTED_VALUE"""),0.9963)</f>
      </c>
      <c r="G386" s="11">
        <f>IFERROR(__xludf.DUMMYFUNCTION("""COMPUTED_VALUE"""),425.67)</f>
      </c>
      <c r="H386" s="10">
        <f>IFERROR(__xludf.DUMMYFUNCTION("""COMPUTED_VALUE"""),0.7778)</f>
      </c>
      <c r="I386" s="11">
        <f>IFERROR(__xludf.DUMMYFUNCTION("""COMPUTED_VALUE"""),495.05)</f>
      </c>
      <c r="J386" s="10">
        <f>IFERROR(__xludf.DUMMYFUNCTION("""COMPUTED_VALUE"""),0.6889)</f>
      </c>
      <c r="K386" s="11">
        <f>IFERROR(__xludf.DUMMYFUNCTION("""COMPUTED_VALUE"""),407.83)</f>
      </c>
      <c r="L386" s="10">
        <f>IFERROR(__xludf.DUMMYFUNCTION("""COMPUTED_VALUE"""),0.5407)</f>
      </c>
      <c r="M386" s="11">
        <f>IFERROR(__xludf.DUMMYFUNCTION("""COMPUTED_VALUE"""),484.38)</f>
      </c>
      <c r="N386" s="10">
        <f>IFERROR(__xludf.DUMMYFUNCTION("""COMPUTED_VALUE"""),0.563)</f>
      </c>
      <c r="O386" s="11">
        <f>IFERROR(__xludf.DUMMYFUNCTION("""COMPUTED_VALUE"""),498.68)</f>
      </c>
      <c r="P386" s="12"/>
      <c r="Q386" s="12"/>
      <c r="R386" s="15"/>
      <c r="S386" s="12"/>
      <c r="T386" s="12"/>
      <c r="U386" s="12"/>
      <c r="V386" s="12"/>
      <c r="W386" s="12"/>
      <c r="X386" s="12"/>
      <c r="Y386" s="12"/>
      <c r="Z386" s="12"/>
    </row>
    <row x14ac:dyDescent="0.25" r="387" customHeight="1" ht="15.75">
      <c r="A387" s="8">
        <f>IFERROR(__xludf.DUMMYFUNCTION("""COMPUTED_VALUE"""),25509.0)</f>
      </c>
      <c r="B387" s="9">
        <f>IFERROR(__xludf.DUMMYFUNCTION("""COMPUTED_VALUE"""),"METROPOLITANA III")</f>
      </c>
      <c r="C387" s="9">
        <f>IFERROR(__xludf.DUMMYFUNCTION("""COMPUTED_VALUE"""),"CE PROFESSOR JOSE DE SOUZA MARQUES")</f>
      </c>
      <c r="D387" s="10">
        <f>IFERROR(__xludf.DUMMYFUNCTION("""COMPUTED_VALUE"""),0.7147)</f>
      </c>
      <c r="E387" s="11">
        <f>IFERROR(__xludf.DUMMYFUNCTION("""COMPUTED_VALUE"""),203.38)</f>
      </c>
      <c r="F387" s="10">
        <f>IFERROR(__xludf.DUMMYFUNCTION("""COMPUTED_VALUE"""),0.6144)</f>
      </c>
      <c r="G387" s="11">
        <f>IFERROR(__xludf.DUMMYFUNCTION("""COMPUTED_VALUE"""),326.11)</f>
      </c>
      <c r="H387" s="10">
        <f>IFERROR(__xludf.DUMMYFUNCTION("""COMPUTED_VALUE"""),0.6024)</f>
      </c>
      <c r="I387" s="11">
        <f>IFERROR(__xludf.DUMMYFUNCTION("""COMPUTED_VALUE"""),326.63)</f>
      </c>
      <c r="J387" s="10">
        <f>IFERROR(__xludf.DUMMYFUNCTION("""COMPUTED_VALUE"""),0.7339)</f>
      </c>
      <c r="K387" s="11">
        <f>IFERROR(__xludf.DUMMYFUNCTION("""COMPUTED_VALUE"""),186.73)</f>
      </c>
      <c r="L387" s="10">
        <f>IFERROR(__xludf.DUMMYFUNCTION("""COMPUTED_VALUE"""),0.6361)</f>
      </c>
      <c r="M387" s="11">
        <f>IFERROR(__xludf.DUMMYFUNCTION("""COMPUTED_VALUE"""),365.22)</f>
      </c>
      <c r="N387" s="10">
        <f>IFERROR(__xludf.DUMMYFUNCTION("""COMPUTED_VALUE"""),0.5627)</f>
      </c>
      <c r="O387" s="11">
        <f>IFERROR(__xludf.DUMMYFUNCTION("""COMPUTED_VALUE"""),336.83)</f>
      </c>
      <c r="P387" s="12"/>
      <c r="Q387" s="12"/>
      <c r="R387" s="15"/>
      <c r="S387" s="12"/>
      <c r="T387" s="12"/>
      <c r="U387" s="12"/>
      <c r="V387" s="12"/>
      <c r="W387" s="12"/>
      <c r="X387" s="12"/>
      <c r="Y387" s="12"/>
      <c r="Z387" s="12"/>
    </row>
    <row x14ac:dyDescent="0.25" r="388" customHeight="1" ht="15.75">
      <c r="A388" s="8">
        <f>IFERROR(__xludf.DUMMYFUNCTION("""COMPUTED_VALUE"""),25510.0)</f>
      </c>
      <c r="B388" s="9">
        <f>IFERROR(__xludf.DUMMYFUNCTION("""COMPUTED_VALUE"""),"METROPOLITANA III")</f>
      </c>
      <c r="C388" s="9">
        <f>IFERROR(__xludf.DUMMYFUNCTION("""COMPUTED_VALUE"""),"CE PROFESSOR MANUEL MAURICIO DE ALBUQUERQUE")</f>
      </c>
      <c r="D388" s="10">
        <f>IFERROR(__xludf.DUMMYFUNCTION("""COMPUTED_VALUE"""),0.5348)</f>
      </c>
      <c r="E388" s="11">
        <f>IFERROR(__xludf.DUMMYFUNCTION("""COMPUTED_VALUE"""),53.23)</f>
      </c>
      <c r="F388" s="10">
        <f>IFERROR(__xludf.DUMMYFUNCTION("""COMPUTED_VALUE"""),0.5128)</f>
      </c>
      <c r="G388" s="11">
        <f>IFERROR(__xludf.DUMMYFUNCTION("""COMPUTED_VALUE"""),233.67)</f>
      </c>
      <c r="H388" s="10">
        <f>IFERROR(__xludf.DUMMYFUNCTION("""COMPUTED_VALUE"""),0.3443)</f>
      </c>
      <c r="I388" s="11">
        <f>IFERROR(__xludf.DUMMYFUNCTION("""COMPUTED_VALUE"""),225.53)</f>
      </c>
      <c r="J388" s="10">
        <f>IFERROR(__xludf.DUMMYFUNCTION("""COMPUTED_VALUE"""),0.2198)</f>
      </c>
      <c r="K388" s="11">
        <f>IFERROR(__xludf.DUMMYFUNCTION("""COMPUTED_VALUE"""),67.5)</f>
      </c>
      <c r="L388" s="10">
        <f>IFERROR(__xludf.DUMMYFUNCTION("""COMPUTED_VALUE"""),0.2308)</f>
      </c>
      <c r="M388" s="11">
        <f>IFERROR(__xludf.DUMMYFUNCTION("""COMPUTED_VALUE"""),193.02)</f>
      </c>
      <c r="N388" s="10">
        <f>IFERROR(__xludf.DUMMYFUNCTION("""COMPUTED_VALUE"""),0.0403)</f>
      </c>
      <c r="O388" s="11">
        <f>IFERROR(__xludf.DUMMYFUNCTION("""COMPUTED_VALUE"""),309.09)</f>
      </c>
      <c r="P388" s="12"/>
      <c r="Q388" s="12"/>
      <c r="R388" s="15"/>
      <c r="S388" s="12"/>
      <c r="T388" s="12"/>
      <c r="U388" s="12"/>
      <c r="V388" s="12"/>
      <c r="W388" s="12"/>
      <c r="X388" s="12"/>
      <c r="Y388" s="12"/>
      <c r="Z388" s="12"/>
    </row>
    <row x14ac:dyDescent="0.25" r="389" customHeight="1" ht="15.75">
      <c r="A389" s="8">
        <f>IFERROR(__xludf.DUMMYFUNCTION("""COMPUTED_VALUE"""),25511.0)</f>
      </c>
      <c r="B389" s="9">
        <f>IFERROR(__xludf.DUMMYFUNCTION("""COMPUTED_VALUE"""),"METROPOLITANA III")</f>
      </c>
      <c r="C389" s="9">
        <f>IFERROR(__xludf.DUMMYFUNCTION("""COMPUTED_VALUE"""),"CE PROFESSOR SOUSA DA SILVEIRA")</f>
      </c>
      <c r="D389" s="10">
        <f>IFERROR(__xludf.DUMMYFUNCTION("""COMPUTED_VALUE"""),0.5714)</f>
      </c>
      <c r="E389" s="11">
        <f>IFERROR(__xludf.DUMMYFUNCTION("""COMPUTED_VALUE"""),150.88)</f>
      </c>
      <c r="F389" s="10">
        <f>IFERROR(__xludf.DUMMYFUNCTION("""COMPUTED_VALUE"""),0.581)</f>
      </c>
      <c r="G389" s="11">
        <f>IFERROR(__xludf.DUMMYFUNCTION("""COMPUTED_VALUE"""),282.03)</f>
      </c>
      <c r="H389" s="10">
        <f>IFERROR(__xludf.DUMMYFUNCTION("""COMPUTED_VALUE"""),0.419)</f>
      </c>
      <c r="I389" s="11">
        <f>IFERROR(__xludf.DUMMYFUNCTION("""COMPUTED_VALUE"""),338.18)</f>
      </c>
      <c r="J389" s="10">
        <f>IFERROR(__xludf.DUMMYFUNCTION("""COMPUTED_VALUE"""),0.5143)</f>
      </c>
      <c r="K389" s="11">
        <f>IFERROR(__xludf.DUMMYFUNCTION("""COMPUTED_VALUE"""),306.15)</f>
      </c>
      <c r="L389" s="10">
        <f>IFERROR(__xludf.DUMMYFUNCTION("""COMPUTED_VALUE"""),0.4476)</f>
      </c>
      <c r="M389" s="11">
        <f>IFERROR(__xludf.DUMMYFUNCTION("""COMPUTED_VALUE"""),445.96)</f>
      </c>
      <c r="N389" s="10">
        <f>IFERROR(__xludf.DUMMYFUNCTION("""COMPUTED_VALUE"""),0.4571)</f>
      </c>
      <c r="O389" s="11">
        <f>IFERROR(__xludf.DUMMYFUNCTION("""COMPUTED_VALUE"""),402.5)</f>
      </c>
      <c r="P389" s="12"/>
      <c r="Q389" s="12"/>
      <c r="R389" s="15"/>
      <c r="S389" s="12"/>
      <c r="T389" s="12"/>
      <c r="U389" s="12"/>
      <c r="V389" s="12"/>
      <c r="W389" s="12"/>
      <c r="X389" s="12"/>
      <c r="Y389" s="12"/>
      <c r="Z389" s="12"/>
    </row>
    <row x14ac:dyDescent="0.25" r="390" customHeight="1" ht="15.75">
      <c r="A390" s="8">
        <f>IFERROR(__xludf.DUMMYFUNCTION("""COMPUTED_VALUE"""),25512.0)</f>
      </c>
      <c r="B390" s="9">
        <f>IFERROR(__xludf.DUMMYFUNCTION("""COMPUTED_VALUE"""),"METROPOLITANA III")</f>
      </c>
      <c r="C390" s="9">
        <f>IFERROR(__xludf.DUMMYFUNCTION("""COMPUTED_VALUE"""),"CE PROFESSORA DIUMA MADEIRA SALLES DE SOUZA")</f>
      </c>
      <c r="D390" s="10">
        <f>IFERROR(__xludf.DUMMYFUNCTION("""COMPUTED_VALUE"""),0.5775)</f>
      </c>
      <c r="E390" s="11">
        <f>IFERROR(__xludf.DUMMYFUNCTION("""COMPUTED_VALUE"""),152.96)</f>
      </c>
      <c r="F390" s="10">
        <f>IFERROR(__xludf.DUMMYFUNCTION("""COMPUTED_VALUE"""),0.531)</f>
      </c>
      <c r="G390" s="11">
        <f>IFERROR(__xludf.DUMMYFUNCTION("""COMPUTED_VALUE"""),364.41)</f>
      </c>
      <c r="H390" s="10">
        <f>IFERROR(__xludf.DUMMYFUNCTION("""COMPUTED_VALUE"""),0.3858)</f>
      </c>
      <c r="I390" s="11">
        <f>IFERROR(__xludf.DUMMYFUNCTION("""COMPUTED_VALUE"""),345.2)</f>
      </c>
      <c r="J390" s="10">
        <f>IFERROR(__xludf.DUMMYFUNCTION("""COMPUTED_VALUE"""),0.5506)</f>
      </c>
      <c r="K390" s="11">
        <f>IFERROR(__xludf.DUMMYFUNCTION("""COMPUTED_VALUE"""),240.0)</f>
      </c>
      <c r="L390" s="10">
        <f>IFERROR(__xludf.DUMMYFUNCTION("""COMPUTED_VALUE"""),0.3483)</f>
      </c>
      <c r="M390" s="11">
        <f>IFERROR(__xludf.DUMMYFUNCTION("""COMPUTED_VALUE"""),260.65)</f>
      </c>
      <c r="N390" s="10">
        <f>IFERROR(__xludf.DUMMYFUNCTION("""COMPUTED_VALUE"""),0.3034)</f>
      </c>
      <c r="O390" s="11">
        <f>IFERROR(__xludf.DUMMYFUNCTION("""COMPUTED_VALUE"""),315.44)</f>
      </c>
      <c r="P390" s="12"/>
      <c r="Q390" s="12"/>
      <c r="R390" s="15"/>
      <c r="S390" s="12"/>
      <c r="T390" s="12"/>
      <c r="U390" s="12"/>
      <c r="V390" s="12"/>
      <c r="W390" s="12"/>
      <c r="X390" s="12"/>
      <c r="Y390" s="12"/>
      <c r="Z390" s="12"/>
    </row>
    <row x14ac:dyDescent="0.25" r="391" customHeight="1" ht="15.75">
      <c r="A391" s="8">
        <f>IFERROR(__xludf.DUMMYFUNCTION("""COMPUTED_VALUE"""),25513.0)</f>
      </c>
      <c r="B391" s="9">
        <f>IFERROR(__xludf.DUMMYFUNCTION("""COMPUTED_VALUE"""),"METROPOLITANA III")</f>
      </c>
      <c r="C391" s="9">
        <f>IFERROR(__xludf.DUMMYFUNCTION("""COMPUTED_VALUE"""),"CE PROFESSORA ELIANE MARTINS DANTAS BRASIL ALEMANHA")</f>
      </c>
      <c r="D391" s="10">
        <f>IFERROR(__xludf.DUMMYFUNCTION("""COMPUTED_VALUE"""),0.86)</f>
      </c>
      <c r="E391" s="11">
        <f>IFERROR(__xludf.DUMMYFUNCTION("""COMPUTED_VALUE"""),425.74)</f>
      </c>
      <c r="F391" s="10">
        <f>IFERROR(__xludf.DUMMYFUNCTION("""COMPUTED_VALUE"""),0.9)</f>
      </c>
      <c r="G391" s="11">
        <f>IFERROR(__xludf.DUMMYFUNCTION("""COMPUTED_VALUE"""),437.61)</f>
      </c>
      <c r="H391" s="10">
        <f>IFERROR(__xludf.DUMMYFUNCTION("""COMPUTED_VALUE"""),0.8333)</f>
      </c>
      <c r="I391" s="11">
        <f>IFERROR(__xludf.DUMMYFUNCTION("""COMPUTED_VALUE"""),498.24)</f>
      </c>
      <c r="J391" s="10">
        <f>IFERROR(__xludf.DUMMYFUNCTION("""COMPUTED_VALUE"""),0.8933)</f>
      </c>
      <c r="K391" s="11">
        <f>IFERROR(__xludf.DUMMYFUNCTION("""COMPUTED_VALUE"""),413.75)</f>
      </c>
      <c r="L391" s="10">
        <f>IFERROR(__xludf.DUMMYFUNCTION("""COMPUTED_VALUE"""),0.8067)</f>
      </c>
      <c r="M391" s="11">
        <f>IFERROR(__xludf.DUMMYFUNCTION("""COMPUTED_VALUE"""),546.45)</f>
      </c>
      <c r="N391" s="10">
        <f>IFERROR(__xludf.DUMMYFUNCTION("""COMPUTED_VALUE"""),0.68)</f>
      </c>
      <c r="O391" s="11">
        <f>IFERROR(__xludf.DUMMYFUNCTION("""COMPUTED_VALUE"""),540.39)</f>
      </c>
      <c r="P391" s="12"/>
      <c r="Q391" s="12"/>
      <c r="R391" s="15"/>
      <c r="S391" s="12"/>
      <c r="T391" s="12"/>
      <c r="U391" s="12"/>
      <c r="V391" s="12"/>
      <c r="W391" s="12"/>
      <c r="X391" s="12"/>
      <c r="Y391" s="12"/>
      <c r="Z391" s="12"/>
    </row>
    <row x14ac:dyDescent="0.25" r="392" customHeight="1" ht="15.75">
      <c r="A392" s="8">
        <f>IFERROR(__xludf.DUMMYFUNCTION("""COMPUTED_VALUE"""),25514.0)</f>
      </c>
      <c r="B392" s="9">
        <f>IFERROR(__xludf.DUMMYFUNCTION("""COMPUTED_VALUE"""),"METROPOLITANA III")</f>
      </c>
      <c r="C392" s="9">
        <f>IFERROR(__xludf.DUMMYFUNCTION("""COMPUTED_VALUE"""),"CE PROFESSORA LUIZA MARINHO")</f>
      </c>
      <c r="D392" s="10">
        <f>IFERROR(__xludf.DUMMYFUNCTION("""COMPUTED_VALUE"""),0.7396)</f>
      </c>
      <c r="E392" s="11">
        <f>IFERROR(__xludf.DUMMYFUNCTION("""COMPUTED_VALUE"""),196.65)</f>
      </c>
      <c r="F392" s="10">
        <f>IFERROR(__xludf.DUMMYFUNCTION("""COMPUTED_VALUE"""),0.5087)</f>
      </c>
      <c r="G392" s="11">
        <f>IFERROR(__xludf.DUMMYFUNCTION("""COMPUTED_VALUE"""),292.69)</f>
      </c>
      <c r="H392" s="10">
        <f>IFERROR(__xludf.DUMMYFUNCTION("""COMPUTED_VALUE"""),0.4591)</f>
      </c>
      <c r="I392" s="11">
        <f>IFERROR(__xludf.DUMMYFUNCTION("""COMPUTED_VALUE"""),356.68)</f>
      </c>
      <c r="J392" s="10">
        <f>IFERROR(__xludf.DUMMYFUNCTION("""COMPUTED_VALUE"""),0.6456)</f>
      </c>
      <c r="K392" s="11">
        <f>IFERROR(__xludf.DUMMYFUNCTION("""COMPUTED_VALUE"""),170.28)</f>
      </c>
      <c r="L392" s="10">
        <f>IFERROR(__xludf.DUMMYFUNCTION("""COMPUTED_VALUE"""),0.4738)</f>
      </c>
      <c r="M392" s="11">
        <f>IFERROR(__xludf.DUMMYFUNCTION("""COMPUTED_VALUE"""),319.53)</f>
      </c>
      <c r="N392" s="10">
        <f>IFERROR(__xludf.DUMMYFUNCTION("""COMPUTED_VALUE"""),0.5691)</f>
      </c>
      <c r="O392" s="11">
        <f>IFERROR(__xludf.DUMMYFUNCTION("""COMPUTED_VALUE"""),328.67)</f>
      </c>
      <c r="P392" s="12"/>
      <c r="Q392" s="12"/>
      <c r="R392" s="15"/>
      <c r="S392" s="12"/>
      <c r="T392" s="12"/>
      <c r="U392" s="12"/>
      <c r="V392" s="12"/>
      <c r="W392" s="12"/>
      <c r="X392" s="12"/>
      <c r="Y392" s="12"/>
      <c r="Z392" s="12"/>
    </row>
    <row x14ac:dyDescent="0.25" r="393" customHeight="1" ht="15.75">
      <c r="A393" s="8">
        <f>IFERROR(__xludf.DUMMYFUNCTION("""COMPUTED_VALUE"""),25515.0)</f>
      </c>
      <c r="B393" s="9">
        <f>IFERROR(__xludf.DUMMYFUNCTION("""COMPUTED_VALUE"""),"METROPOLITANA III")</f>
      </c>
      <c r="C393" s="9">
        <f>IFERROR(__xludf.DUMMYFUNCTION("""COMPUTED_VALUE"""),"CE PROFESSORA MARIA DE LOURDES DE OLIVEIRA LAVOR - TIA LAVOR")</f>
      </c>
      <c r="D393" s="10">
        <f>IFERROR(__xludf.DUMMYFUNCTION("""COMPUTED_VALUE"""),0.6549)</f>
      </c>
      <c r="E393" s="11">
        <f>IFERROR(__xludf.DUMMYFUNCTION("""COMPUTED_VALUE"""),204.95)</f>
      </c>
      <c r="F393" s="10">
        <f>IFERROR(__xludf.DUMMYFUNCTION("""COMPUTED_VALUE"""),0.6075)</f>
      </c>
      <c r="G393" s="11">
        <f>IFERROR(__xludf.DUMMYFUNCTION("""COMPUTED_VALUE"""),378.9)</f>
      </c>
      <c r="H393" s="10">
        <f>IFERROR(__xludf.DUMMYFUNCTION("""COMPUTED_VALUE"""),0.5319)</f>
      </c>
      <c r="I393" s="11">
        <f>IFERROR(__xludf.DUMMYFUNCTION("""COMPUTED_VALUE"""),376.29)</f>
      </c>
      <c r="J393" s="10">
        <f>IFERROR(__xludf.DUMMYFUNCTION("""COMPUTED_VALUE"""),0.5314)</f>
      </c>
      <c r="K393" s="11">
        <f>IFERROR(__xludf.DUMMYFUNCTION("""COMPUTED_VALUE"""),253.7)</f>
      </c>
      <c r="L393" s="10">
        <f>IFERROR(__xludf.DUMMYFUNCTION("""COMPUTED_VALUE"""),0.5319)</f>
      </c>
      <c r="M393" s="11">
        <f>IFERROR(__xludf.DUMMYFUNCTION("""COMPUTED_VALUE"""),387.96)</f>
      </c>
      <c r="N393" s="10">
        <f>IFERROR(__xludf.DUMMYFUNCTION("""COMPUTED_VALUE"""),0.3951)</f>
      </c>
      <c r="O393" s="11">
        <f>IFERROR(__xludf.DUMMYFUNCTION("""COMPUTED_VALUE"""),371.85)</f>
      </c>
      <c r="P393" s="12"/>
      <c r="Q393" s="12"/>
      <c r="R393" s="15"/>
      <c r="S393" s="12"/>
      <c r="T393" s="12"/>
      <c r="U393" s="12"/>
      <c r="V393" s="12"/>
      <c r="W393" s="12"/>
      <c r="X393" s="12"/>
      <c r="Y393" s="12"/>
      <c r="Z393" s="12"/>
    </row>
    <row x14ac:dyDescent="0.25" r="394" customHeight="1" ht="15.75">
      <c r="A394" s="8">
        <f>IFERROR(__xludf.DUMMYFUNCTION("""COMPUTED_VALUE"""),25516.0)</f>
      </c>
      <c r="B394" s="9">
        <f>IFERROR(__xludf.DUMMYFUNCTION("""COMPUTED_VALUE"""),"METROPOLITANA III")</f>
      </c>
      <c r="C394" s="9">
        <f>IFERROR(__xludf.DUMMYFUNCTION("""COMPUTED_VALUE"""),"CE PROFESSORA MARIA NAZARETH CAVALCANTI SILVA")</f>
      </c>
      <c r="D394" s="10">
        <f>IFERROR(__xludf.DUMMYFUNCTION("""COMPUTED_VALUE"""),0.6253)</f>
      </c>
      <c r="E394" s="11">
        <f>IFERROR(__xludf.DUMMYFUNCTION("""COMPUTED_VALUE"""),190.3)</f>
      </c>
      <c r="F394" s="10">
        <f>IFERROR(__xludf.DUMMYFUNCTION("""COMPUTED_VALUE"""),0.4612)</f>
      </c>
      <c r="G394" s="11">
        <f>IFERROR(__xludf.DUMMYFUNCTION("""COMPUTED_VALUE"""),357.49)</f>
      </c>
      <c r="H394" s="10">
        <f>IFERROR(__xludf.DUMMYFUNCTION("""COMPUTED_VALUE"""),0.5021)</f>
      </c>
      <c r="I394" s="11">
        <f>IFERROR(__xludf.DUMMYFUNCTION("""COMPUTED_VALUE"""),310.19)</f>
      </c>
      <c r="J394" s="10">
        <f>IFERROR(__xludf.DUMMYFUNCTION("""COMPUTED_VALUE"""),0.5151)</f>
      </c>
      <c r="K394" s="11">
        <f>IFERROR(__xludf.DUMMYFUNCTION("""COMPUTED_VALUE"""),236.88)</f>
      </c>
      <c r="L394" s="10">
        <f>IFERROR(__xludf.DUMMYFUNCTION("""COMPUTED_VALUE"""),0.5417)</f>
      </c>
      <c r="M394" s="11">
        <f>IFERROR(__xludf.DUMMYFUNCTION("""COMPUTED_VALUE"""),254.53)</f>
      </c>
      <c r="N394" s="10">
        <f>IFERROR(__xludf.DUMMYFUNCTION("""COMPUTED_VALUE"""),0.5458)</f>
      </c>
      <c r="O394" s="11">
        <f>IFERROR(__xludf.DUMMYFUNCTION("""COMPUTED_VALUE"""),309.77)</f>
      </c>
      <c r="P394" s="12"/>
      <c r="Q394" s="12"/>
      <c r="R394" s="15"/>
      <c r="S394" s="12"/>
      <c r="T394" s="12"/>
      <c r="U394" s="12"/>
      <c r="V394" s="12"/>
      <c r="W394" s="12"/>
      <c r="X394" s="12"/>
      <c r="Y394" s="12"/>
      <c r="Z394" s="12"/>
    </row>
    <row x14ac:dyDescent="0.25" r="395" customHeight="1" ht="15.75">
      <c r="A395" s="8">
        <f>IFERROR(__xludf.DUMMYFUNCTION("""COMPUTED_VALUE"""),25517.0)</f>
      </c>
      <c r="B395" s="9">
        <f>IFERROR(__xludf.DUMMYFUNCTION("""COMPUTED_VALUE"""),"METROPOLITANA III")</f>
      </c>
      <c r="C395" s="9">
        <f>IFERROR(__xludf.DUMMYFUNCTION("""COMPUTED_VALUE"""),"CE PROFESSORA SONIA REGINA SCUDESE DESSIMONI PINTO")</f>
      </c>
      <c r="D395" s="10">
        <f>IFERROR(__xludf.DUMMYFUNCTION("""COMPUTED_VALUE"""),0.757)</f>
      </c>
      <c r="E395" s="11">
        <f>IFERROR(__xludf.DUMMYFUNCTION("""COMPUTED_VALUE"""),228.32)</f>
      </c>
      <c r="F395" s="10">
        <f>IFERROR(__xludf.DUMMYFUNCTION("""COMPUTED_VALUE"""),0.7477)</f>
      </c>
      <c r="G395" s="11">
        <f>IFERROR(__xludf.DUMMYFUNCTION("""COMPUTED_VALUE"""),377.22)</f>
      </c>
      <c r="H395" s="10">
        <f>IFERROR(__xludf.DUMMYFUNCTION("""COMPUTED_VALUE"""),0.6308)</f>
      </c>
      <c r="I395" s="11">
        <f>IFERROR(__xludf.DUMMYFUNCTION("""COMPUTED_VALUE"""),448.18)</f>
      </c>
      <c r="J395" s="10">
        <f>IFERROR(__xludf.DUMMYFUNCTION("""COMPUTED_VALUE"""),0.6589)</f>
      </c>
      <c r="K395" s="11">
        <f>IFERROR(__xludf.DUMMYFUNCTION("""COMPUTED_VALUE"""),257.73)</f>
      </c>
      <c r="L395" s="10">
        <f>IFERROR(__xludf.DUMMYFUNCTION("""COMPUTED_VALUE"""),0.6121)</f>
      </c>
      <c r="M395" s="11">
        <f>IFERROR(__xludf.DUMMYFUNCTION("""COMPUTED_VALUE"""),426.36)</f>
      </c>
      <c r="N395" s="10">
        <f>IFERROR(__xludf.DUMMYFUNCTION("""COMPUTED_VALUE"""),0.6262)</f>
      </c>
      <c r="O395" s="11">
        <f>IFERROR(__xludf.DUMMYFUNCTION("""COMPUTED_VALUE"""),433.43)</f>
      </c>
      <c r="P395" s="12"/>
      <c r="Q395" s="12"/>
      <c r="R395" s="15"/>
      <c r="S395" s="12"/>
      <c r="T395" s="12"/>
      <c r="U395" s="12"/>
      <c r="V395" s="12"/>
      <c r="W395" s="12"/>
      <c r="X395" s="12"/>
      <c r="Y395" s="12"/>
      <c r="Z395" s="12"/>
    </row>
    <row x14ac:dyDescent="0.25" r="396" customHeight="1" ht="15.75">
      <c r="A396" s="8">
        <f>IFERROR(__xludf.DUMMYFUNCTION("""COMPUTED_VALUE"""),25518.0)</f>
      </c>
      <c r="B396" s="9">
        <f>IFERROR(__xludf.DUMMYFUNCTION("""COMPUTED_VALUE"""),"METROPOLITANA III")</f>
      </c>
      <c r="C396" s="9">
        <f>IFERROR(__xludf.DUMMYFUNCTION("""COMPUTED_VALUE"""),"CE REPUBLICA DE ANGOLA")</f>
      </c>
      <c r="D396" s="10">
        <f>IFERROR(__xludf.DUMMYFUNCTION("""COMPUTED_VALUE"""),0.4189)</f>
      </c>
      <c r="E396" s="11">
        <f>IFERROR(__xludf.DUMMYFUNCTION("""COMPUTED_VALUE"""),102.27)</f>
      </c>
      <c r="F396" s="10">
        <f>IFERROR(__xludf.DUMMYFUNCTION("""COMPUTED_VALUE"""),0.4662)</f>
      </c>
      <c r="G396" s="11">
        <f>IFERROR(__xludf.DUMMYFUNCTION("""COMPUTED_VALUE"""),347.24)</f>
      </c>
      <c r="H396" s="10">
        <f>IFERROR(__xludf.DUMMYFUNCTION("""COMPUTED_VALUE"""),0.3235)</f>
      </c>
      <c r="I396" s="11">
        <f>IFERROR(__xludf.DUMMYFUNCTION("""COMPUTED_VALUE"""),436.73)</f>
      </c>
      <c r="J396" s="10">
        <f>IFERROR(__xludf.DUMMYFUNCTION("""COMPUTED_VALUE"""),0.619)</f>
      </c>
      <c r="K396" s="11">
        <f>IFERROR(__xludf.DUMMYFUNCTION("""COMPUTED_VALUE"""),217.19)</f>
      </c>
      <c r="L396" s="10">
        <f>IFERROR(__xludf.DUMMYFUNCTION("""COMPUTED_VALUE"""),0.3882)</f>
      </c>
      <c r="M396" s="11">
        <f>IFERROR(__xludf.DUMMYFUNCTION("""COMPUTED_VALUE"""),371.51)</f>
      </c>
      <c r="N396" s="10">
        <f>IFERROR(__xludf.DUMMYFUNCTION("""COMPUTED_VALUE"""),0.4471)</f>
      </c>
      <c r="O396" s="11">
        <f>IFERROR(__xludf.DUMMYFUNCTION("""COMPUTED_VALUE"""),332.41)</f>
      </c>
      <c r="P396" s="12"/>
      <c r="Q396" s="12"/>
      <c r="R396" s="15"/>
      <c r="S396" s="12"/>
      <c r="T396" s="12"/>
      <c r="U396" s="12"/>
      <c r="V396" s="12"/>
      <c r="W396" s="12"/>
      <c r="X396" s="12"/>
      <c r="Y396" s="12"/>
      <c r="Z396" s="12"/>
    </row>
    <row x14ac:dyDescent="0.25" r="397" customHeight="1" ht="15.75">
      <c r="A397" s="8">
        <f>IFERROR(__xludf.DUMMYFUNCTION("""COMPUTED_VALUE"""),25519.0)</f>
      </c>
      <c r="B397" s="9">
        <f>IFERROR(__xludf.DUMMYFUNCTION("""COMPUTED_VALUE"""),"METROPOLITANA III")</f>
      </c>
      <c r="C397" s="9">
        <f>IFERROR(__xludf.DUMMYFUNCTION("""COMPUTED_VALUE"""),"CE REPUBLICA DE GUINE BISSAU")</f>
      </c>
      <c r="D397" s="10">
        <f>IFERROR(__xludf.DUMMYFUNCTION("""COMPUTED_VALUE"""),0.9541)</f>
      </c>
      <c r="E397" s="11">
        <f>IFERROR(__xludf.DUMMYFUNCTION("""COMPUTED_VALUE"""),71.2)</f>
      </c>
      <c r="F397" s="10">
        <f>IFERROR(__xludf.DUMMYFUNCTION("""COMPUTED_VALUE"""),0.6684)</f>
      </c>
      <c r="G397" s="11">
        <f>IFERROR(__xludf.DUMMYFUNCTION("""COMPUTED_VALUE"""),289.16)</f>
      </c>
      <c r="H397" s="10">
        <f>IFERROR(__xludf.DUMMYFUNCTION("""COMPUTED_VALUE"""),0.6036)</f>
      </c>
      <c r="I397" s="11">
        <f>IFERROR(__xludf.DUMMYFUNCTION("""COMPUTED_VALUE"""),291.87)</f>
      </c>
      <c r="J397" s="10">
        <f>IFERROR(__xludf.DUMMYFUNCTION("""COMPUTED_VALUE"""),0.65)</f>
      </c>
      <c r="K397" s="11">
        <f>IFERROR(__xludf.DUMMYFUNCTION("""COMPUTED_VALUE"""),158.99)</f>
      </c>
      <c r="L397" s="10">
        <f>IFERROR(__xludf.DUMMYFUNCTION("""COMPUTED_VALUE"""),0.5811)</f>
      </c>
      <c r="M397" s="11">
        <f>IFERROR(__xludf.DUMMYFUNCTION("""COMPUTED_VALUE"""),265.55)</f>
      </c>
      <c r="N397" s="10">
        <f>IFERROR(__xludf.DUMMYFUNCTION("""COMPUTED_VALUE"""),0.0135)</f>
      </c>
      <c r="O397" s="11">
        <f>IFERROR(__xludf.DUMMYFUNCTION("""COMPUTED_VALUE"""),"----")</f>
      </c>
      <c r="P397" s="12"/>
      <c r="Q397" s="12"/>
      <c r="R397" s="15"/>
      <c r="S397" s="12"/>
      <c r="T397" s="12"/>
      <c r="U397" s="12"/>
      <c r="V397" s="12"/>
      <c r="W397" s="12"/>
      <c r="X397" s="12"/>
      <c r="Y397" s="12"/>
      <c r="Z397" s="12"/>
    </row>
    <row x14ac:dyDescent="0.25" r="398" customHeight="1" ht="15.75">
      <c r="A398" s="8">
        <f>IFERROR(__xludf.DUMMYFUNCTION("""COMPUTED_VALUE"""),25520.0)</f>
      </c>
      <c r="B398" s="9">
        <f>IFERROR(__xludf.DUMMYFUNCTION("""COMPUTED_VALUE"""),"METROPOLITANA III")</f>
      </c>
      <c r="C398" s="9">
        <f>IFERROR(__xludf.DUMMYFUNCTION("""COMPUTED_VALUE"""),"CE REPUBLICA DO PERU")</f>
      </c>
      <c r="D398" s="10">
        <f>IFERROR(__xludf.DUMMYFUNCTION("""COMPUTED_VALUE"""),0.4762)</f>
      </c>
      <c r="E398" s="11">
        <f>IFERROR(__xludf.DUMMYFUNCTION("""COMPUTED_VALUE"""),133.33)</f>
      </c>
      <c r="F398" s="10">
        <f>IFERROR(__xludf.DUMMYFUNCTION("""COMPUTED_VALUE"""),0.381)</f>
      </c>
      <c r="G398" s="11">
        <f>IFERROR(__xludf.DUMMYFUNCTION("""COMPUTED_VALUE"""),280.0)</f>
      </c>
      <c r="H398" s="10">
        <f>IFERROR(__xludf.DUMMYFUNCTION("""COMPUTED_VALUE"""),0.2143)</f>
      </c>
      <c r="I398" s="11">
        <f>IFERROR(__xludf.DUMMYFUNCTION("""COMPUTED_VALUE"""),333.33)</f>
      </c>
      <c r="J398" s="10">
        <f>IFERROR(__xludf.DUMMYFUNCTION("""COMPUTED_VALUE"""),0.4857)</f>
      </c>
      <c r="K398" s="11">
        <f>IFERROR(__xludf.DUMMYFUNCTION("""COMPUTED_VALUE"""),152.94)</f>
      </c>
      <c r="L398" s="10">
        <f>IFERROR(__xludf.DUMMYFUNCTION("""COMPUTED_VALUE"""),0.0893)</f>
      </c>
      <c r="M398" s="11">
        <f>IFERROR(__xludf.DUMMYFUNCTION("""COMPUTED_VALUE"""),40.0)</f>
      </c>
      <c r="N398" s="10">
        <f>IFERROR(__xludf.DUMMYFUNCTION("""COMPUTED_VALUE"""),0.3571)</f>
      </c>
      <c r="O398" s="11">
        <f>IFERROR(__xludf.DUMMYFUNCTION("""COMPUTED_VALUE"""),372.0)</f>
      </c>
      <c r="P398" s="12"/>
      <c r="Q398" s="12"/>
      <c r="R398" s="15"/>
      <c r="S398" s="12"/>
      <c r="T398" s="12"/>
      <c r="U398" s="12"/>
      <c r="V398" s="12"/>
      <c r="W398" s="12"/>
      <c r="X398" s="12"/>
      <c r="Y398" s="12"/>
      <c r="Z398" s="12"/>
    </row>
    <row x14ac:dyDescent="0.25" r="399" customHeight="1" ht="15.75">
      <c r="A399" s="8">
        <f>IFERROR(__xludf.DUMMYFUNCTION("""COMPUTED_VALUE"""),25521.0)</f>
      </c>
      <c r="B399" s="9">
        <f>IFERROR(__xludf.DUMMYFUNCTION("""COMPUTED_VALUE"""),"METROPOLITANA III")</f>
      </c>
      <c r="C399" s="9">
        <f>IFERROR(__xludf.DUMMYFUNCTION("""COMPUTED_VALUE"""),"CE RODRIGO OTÁVIO FILHO")</f>
      </c>
      <c r="D399" s="10">
        <f>IFERROR(__xludf.DUMMYFUNCTION("""COMPUTED_VALUE"""),0.4907)</f>
      </c>
      <c r="E399" s="11">
        <f>IFERROR(__xludf.DUMMYFUNCTION("""COMPUTED_VALUE"""),157.14)</f>
      </c>
      <c r="F399" s="10">
        <f>IFERROR(__xludf.DUMMYFUNCTION("""COMPUTED_VALUE"""),0.9342)</f>
      </c>
      <c r="G399" s="11">
        <f>IFERROR(__xludf.DUMMYFUNCTION("""COMPUTED_VALUE"""),205.46)</f>
      </c>
      <c r="H399" s="10">
        <f>IFERROR(__xludf.DUMMYFUNCTION("""COMPUTED_VALUE"""),0.9815)</f>
      </c>
      <c r="I399" s="11">
        <f>IFERROR(__xludf.DUMMYFUNCTION("""COMPUTED_VALUE"""),219.58)</f>
      </c>
      <c r="J399" s="10">
        <f>IFERROR(__xludf.DUMMYFUNCTION("""COMPUTED_VALUE"""),0.6712)</f>
      </c>
      <c r="K399" s="11">
        <f>IFERROR(__xludf.DUMMYFUNCTION("""COMPUTED_VALUE"""),272.76)</f>
      </c>
      <c r="L399" s="10">
        <f>IFERROR(__xludf.DUMMYFUNCTION("""COMPUTED_VALUE"""),0.5076)</f>
      </c>
      <c r="M399" s="11">
        <f>IFERROR(__xludf.DUMMYFUNCTION("""COMPUTED_VALUE"""),321.08)</f>
      </c>
      <c r="N399" s="10">
        <f>IFERROR(__xludf.DUMMYFUNCTION("""COMPUTED_VALUE"""),0.4722)</f>
      </c>
      <c r="O399" s="11">
        <f>IFERROR(__xludf.DUMMYFUNCTION("""COMPUTED_VALUE"""),277.39)</f>
      </c>
      <c r="P399" s="12"/>
      <c r="Q399" s="12"/>
      <c r="R399" s="15"/>
      <c r="S399" s="12"/>
      <c r="T399" s="12"/>
      <c r="U399" s="12"/>
      <c r="V399" s="12"/>
      <c r="W399" s="12"/>
      <c r="X399" s="12"/>
      <c r="Y399" s="12"/>
      <c r="Z399" s="12"/>
    </row>
    <row x14ac:dyDescent="0.25" r="400" customHeight="1" ht="15.75">
      <c r="A400" s="8">
        <f>IFERROR(__xludf.DUMMYFUNCTION("""COMPUTED_VALUE"""),25522.0)</f>
      </c>
      <c r="B400" s="9">
        <f>IFERROR(__xludf.DUMMYFUNCTION("""COMPUTED_VALUE"""),"METROPOLITANA III")</f>
      </c>
      <c r="C400" s="9">
        <f>IFERROR(__xludf.DUMMYFUNCTION("""COMPUTED_VALUE"""),"CE ROSA LUXEMBURGO")</f>
      </c>
      <c r="D400" s="10">
        <f>IFERROR(__xludf.DUMMYFUNCTION("""COMPUTED_VALUE"""),0.6506)</f>
      </c>
      <c r="E400" s="11">
        <f>IFERROR(__xludf.DUMMYFUNCTION("""COMPUTED_VALUE"""),117.35)</f>
      </c>
      <c r="F400" s="10">
        <f>IFERROR(__xludf.DUMMYFUNCTION("""COMPUTED_VALUE"""),0.4337)</f>
      </c>
      <c r="G400" s="11">
        <f>IFERROR(__xludf.DUMMYFUNCTION("""COMPUTED_VALUE"""),330.0)</f>
      </c>
      <c r="H400" s="10">
        <f>IFERROR(__xludf.DUMMYFUNCTION("""COMPUTED_VALUE"""),0.2396)</f>
      </c>
      <c r="I400" s="11">
        <f>IFERROR(__xludf.DUMMYFUNCTION("""COMPUTED_VALUE"""),389.56)</f>
      </c>
      <c r="J400" s="10">
        <f>IFERROR(__xludf.DUMMYFUNCTION("""COMPUTED_VALUE"""),0.4091)</f>
      </c>
      <c r="K400" s="11">
        <f>IFERROR(__xludf.DUMMYFUNCTION("""COMPUTED_VALUE"""),107.69)</f>
      </c>
      <c r="L400" s="10">
        <f>IFERROR(__xludf.DUMMYFUNCTION("""COMPUTED_VALUE"""),0.3125)</f>
      </c>
      <c r="M400" s="11">
        <f>IFERROR(__xludf.DUMMYFUNCTION("""COMPUTED_VALUE"""),278.67)</f>
      </c>
      <c r="N400" s="10">
        <f>IFERROR(__xludf.DUMMYFUNCTION("""COMPUTED_VALUE"""),0.2396)</f>
      </c>
      <c r="O400" s="11">
        <f>IFERROR(__xludf.DUMMYFUNCTION("""COMPUTED_VALUE"""),321.74)</f>
      </c>
      <c r="P400" s="12"/>
      <c r="Q400" s="12"/>
      <c r="R400" s="15"/>
      <c r="S400" s="12"/>
      <c r="T400" s="12"/>
      <c r="U400" s="12"/>
      <c r="V400" s="12"/>
      <c r="W400" s="12"/>
      <c r="X400" s="12"/>
      <c r="Y400" s="12"/>
      <c r="Z400" s="12"/>
    </row>
    <row x14ac:dyDescent="0.25" r="401" customHeight="1" ht="15.75">
      <c r="A401" s="8">
        <f>IFERROR(__xludf.DUMMYFUNCTION("""COMPUTED_VALUE"""),25523.0)</f>
      </c>
      <c r="B401" s="9">
        <f>IFERROR(__xludf.DUMMYFUNCTION("""COMPUTED_VALUE"""),"METROPOLITANA III")</f>
      </c>
      <c r="C401" s="9">
        <f>IFERROR(__xludf.DUMMYFUNCTION("""COMPUTED_VALUE"""),"CE ROTARY")</f>
      </c>
      <c r="D401" s="10">
        <f>IFERROR(__xludf.DUMMYFUNCTION("""COMPUTED_VALUE"""),0.413)</f>
      </c>
      <c r="E401" s="11">
        <f>IFERROR(__xludf.DUMMYFUNCTION("""COMPUTED_VALUE"""),56.14)</f>
      </c>
      <c r="F401" s="10">
        <f>IFERROR(__xludf.DUMMYFUNCTION("""COMPUTED_VALUE"""),0.2609)</f>
      </c>
      <c r="G401" s="11">
        <f>IFERROR(__xludf.DUMMYFUNCTION("""COMPUTED_VALUE"""),503.34)</f>
      </c>
      <c r="H401" s="10">
        <f>IFERROR(__xludf.DUMMYFUNCTION("""COMPUTED_VALUE"""),0.1538)</f>
      </c>
      <c r="I401" s="11">
        <f>IFERROR(__xludf.DUMMYFUNCTION("""COMPUTED_VALUE"""),360.0)</f>
      </c>
      <c r="J401" s="10">
        <f>IFERROR(__xludf.DUMMYFUNCTION("""COMPUTED_VALUE"""),0.0)</f>
      </c>
      <c r="K401" s="11">
        <f>IFERROR(__xludf.DUMMYFUNCTION("""COMPUTED_VALUE"""),"----")</f>
      </c>
      <c r="L401" s="10">
        <f>IFERROR(__xludf.DUMMYFUNCTION("""COMPUTED_VALUE"""),0.2462)</f>
      </c>
      <c r="M401" s="11">
        <f>IFERROR(__xludf.DUMMYFUNCTION("""COMPUTED_VALUE"""),397.5)</f>
      </c>
      <c r="N401" s="10">
        <f>IFERROR(__xludf.DUMMYFUNCTION("""COMPUTED_VALUE"""),0.3692)</f>
      </c>
      <c r="O401" s="11">
        <f>IFERROR(__xludf.DUMMYFUNCTION("""COMPUTED_VALUE"""),336.67)</f>
      </c>
      <c r="P401" s="12"/>
      <c r="Q401" s="12"/>
      <c r="R401" s="15"/>
      <c r="S401" s="12"/>
      <c r="T401" s="12"/>
      <c r="U401" s="12"/>
      <c r="V401" s="12"/>
      <c r="W401" s="12"/>
      <c r="X401" s="12"/>
      <c r="Y401" s="12"/>
      <c r="Z401" s="12"/>
    </row>
    <row x14ac:dyDescent="0.25" r="402" customHeight="1" ht="15.75">
      <c r="A402" s="8">
        <f>IFERROR(__xludf.DUMMYFUNCTION("""COMPUTED_VALUE"""),25524.0)</f>
      </c>
      <c r="B402" s="9">
        <f>IFERROR(__xludf.DUMMYFUNCTION("""COMPUTED_VALUE"""),"METROPOLITANA III")</f>
      </c>
      <c r="C402" s="9">
        <f>IFERROR(__xludf.DUMMYFUNCTION("""COMPUTED_VALUE"""),"CE RUY BARBOSA")</f>
      </c>
      <c r="D402" s="10">
        <f>IFERROR(__xludf.DUMMYFUNCTION("""COMPUTED_VALUE"""),0.9467)</f>
      </c>
      <c r="E402" s="11">
        <f>IFERROR(__xludf.DUMMYFUNCTION("""COMPUTED_VALUE"""),168.07)</f>
      </c>
      <c r="F402" s="10">
        <f>IFERROR(__xludf.DUMMYFUNCTION("""COMPUTED_VALUE"""),0.98)</f>
      </c>
      <c r="G402" s="11">
        <f>IFERROR(__xludf.DUMMYFUNCTION("""COMPUTED_VALUE"""),234.88)</f>
      </c>
      <c r="H402" s="10">
        <f>IFERROR(__xludf.DUMMYFUNCTION("""COMPUTED_VALUE"""),0.3733)</f>
      </c>
      <c r="I402" s="11">
        <f>IFERROR(__xludf.DUMMYFUNCTION("""COMPUTED_VALUE"""),390.13)</f>
      </c>
      <c r="J402" s="10">
        <f>IFERROR(__xludf.DUMMYFUNCTION("""COMPUTED_VALUE"""),0.7304)</f>
      </c>
      <c r="K402" s="11">
        <f>IFERROR(__xludf.DUMMYFUNCTION("""COMPUTED_VALUE"""),291.5)</f>
      </c>
      <c r="L402" s="10">
        <f>IFERROR(__xludf.DUMMYFUNCTION("""COMPUTED_VALUE"""),0.3226)</f>
      </c>
      <c r="M402" s="11">
        <f>IFERROR(__xludf.DUMMYFUNCTION("""COMPUTED_VALUE"""),"----")</f>
      </c>
      <c r="N402" s="10">
        <f>IFERROR(__xludf.DUMMYFUNCTION("""COMPUTED_VALUE"""),0.3641)</f>
      </c>
      <c r="O402" s="11">
        <f>IFERROR(__xludf.DUMMYFUNCTION("""COMPUTED_VALUE"""),374.68)</f>
      </c>
      <c r="P402" s="12"/>
      <c r="Q402" s="12"/>
      <c r="R402" s="15"/>
      <c r="S402" s="12"/>
      <c r="T402" s="12"/>
      <c r="U402" s="12"/>
      <c r="V402" s="12"/>
      <c r="W402" s="12"/>
      <c r="X402" s="12"/>
      <c r="Y402" s="12"/>
      <c r="Z402" s="12"/>
    </row>
    <row x14ac:dyDescent="0.25" r="403" customHeight="1" ht="15.75">
      <c r="A403" s="8">
        <f>IFERROR(__xludf.DUMMYFUNCTION("""COMPUTED_VALUE"""),25525.0)</f>
      </c>
      <c r="B403" s="9">
        <f>IFERROR(__xludf.DUMMYFUNCTION("""COMPUTED_VALUE"""),"METROPOLITANA III")</f>
      </c>
      <c r="C403" s="9">
        <f>IFERROR(__xludf.DUMMYFUNCTION("""COMPUTED_VALUE"""),"CE SANTOS DUMONT")</f>
      </c>
      <c r="D403" s="10">
        <f>IFERROR(__xludf.DUMMYFUNCTION("""COMPUTED_VALUE"""),0.732)</f>
      </c>
      <c r="E403" s="11">
        <f>IFERROR(__xludf.DUMMYFUNCTION("""COMPUTED_VALUE"""),208.45)</f>
      </c>
      <c r="F403" s="10">
        <f>IFERROR(__xludf.DUMMYFUNCTION("""COMPUTED_VALUE"""),0.701)</f>
      </c>
      <c r="G403" s="11">
        <f>IFERROR(__xludf.DUMMYFUNCTION("""COMPUTED_VALUE"""),358.79)</f>
      </c>
      <c r="H403" s="10">
        <f>IFERROR(__xludf.DUMMYFUNCTION("""COMPUTED_VALUE"""),0.5876)</f>
      </c>
      <c r="I403" s="11">
        <f>IFERROR(__xludf.DUMMYFUNCTION("""COMPUTED_VALUE"""),350.0)</f>
      </c>
      <c r="J403" s="10">
        <f>IFERROR(__xludf.DUMMYFUNCTION("""COMPUTED_VALUE"""),0.6392)</f>
      </c>
      <c r="K403" s="11">
        <f>IFERROR(__xludf.DUMMYFUNCTION("""COMPUTED_VALUE"""),276.23)</f>
      </c>
      <c r="L403" s="10">
        <f>IFERROR(__xludf.DUMMYFUNCTION("""COMPUTED_VALUE"""),0.5361)</f>
      </c>
      <c r="M403" s="11">
        <f>IFERROR(__xludf.DUMMYFUNCTION("""COMPUTED_VALUE"""),367.69)</f>
      </c>
      <c r="N403" s="10">
        <f>IFERROR(__xludf.DUMMYFUNCTION("""COMPUTED_VALUE"""),0.5567)</f>
      </c>
      <c r="O403" s="11">
        <f>IFERROR(__xludf.DUMMYFUNCTION("""COMPUTED_VALUE"""),390.19)</f>
      </c>
      <c r="P403" s="12"/>
      <c r="Q403" s="12"/>
      <c r="R403" s="15"/>
      <c r="S403" s="12"/>
      <c r="T403" s="12"/>
      <c r="U403" s="12"/>
      <c r="V403" s="12"/>
      <c r="W403" s="12"/>
      <c r="X403" s="12"/>
      <c r="Y403" s="12"/>
      <c r="Z403" s="12"/>
    </row>
    <row x14ac:dyDescent="0.25" r="404" customHeight="1" ht="15.75">
      <c r="A404" s="8">
        <f>IFERROR(__xludf.DUMMYFUNCTION("""COMPUTED_VALUE"""),25526.0)</f>
      </c>
      <c r="B404" s="9">
        <f>IFERROR(__xludf.DUMMYFUNCTION("""COMPUTED_VALUE"""),"METROPOLITANA III")</f>
      </c>
      <c r="C404" s="9">
        <f>IFERROR(__xludf.DUMMYFUNCTION("""COMPUTED_VALUE"""),"CE SAO JOAO BATISTA")</f>
      </c>
      <c r="D404" s="10">
        <f>IFERROR(__xludf.DUMMYFUNCTION("""COMPUTED_VALUE"""),0.2963)</f>
      </c>
      <c r="E404" s="11">
        <f>IFERROR(__xludf.DUMMYFUNCTION("""COMPUTED_VALUE"""),"----")</f>
      </c>
      <c r="F404" s="10">
        <f>IFERROR(__xludf.DUMMYFUNCTION("""COMPUTED_VALUE"""),0.037)</f>
      </c>
      <c r="G404" s="11">
        <f>IFERROR(__xludf.DUMMYFUNCTION("""COMPUTED_VALUE"""),160.0)</f>
      </c>
      <c r="H404" s="10">
        <f>IFERROR(__xludf.DUMMYFUNCTION("""COMPUTED_VALUE"""),0.1)</f>
      </c>
      <c r="I404" s="11">
        <f>IFERROR(__xludf.DUMMYFUNCTION("""COMPUTED_VALUE"""),313.33)</f>
      </c>
      <c r="J404" s="10">
        <f>IFERROR(__xludf.DUMMYFUNCTION("""COMPUTED_VALUE"""),0.6667)</f>
      </c>
      <c r="K404" s="11">
        <f>IFERROR(__xludf.DUMMYFUNCTION("""COMPUTED_VALUE"""),300.0)</f>
      </c>
      <c r="L404" s="10">
        <f>IFERROR(__xludf.DUMMYFUNCTION("""COMPUTED_VALUE"""),0.2167)</f>
      </c>
      <c r="M404" s="11">
        <f>IFERROR(__xludf.DUMMYFUNCTION("""COMPUTED_VALUE"""),289.23)</f>
      </c>
      <c r="N404" s="10">
        <f>IFERROR(__xludf.DUMMYFUNCTION("""COMPUTED_VALUE"""),0.2333)</f>
      </c>
      <c r="O404" s="11">
        <f>IFERROR(__xludf.DUMMYFUNCTION("""COMPUTED_VALUE"""),342.86)</f>
      </c>
      <c r="P404" s="12"/>
      <c r="Q404" s="12"/>
      <c r="R404" s="15"/>
      <c r="S404" s="12"/>
      <c r="T404" s="12"/>
      <c r="U404" s="12"/>
      <c r="V404" s="12"/>
      <c r="W404" s="12"/>
      <c r="X404" s="12"/>
      <c r="Y404" s="12"/>
      <c r="Z404" s="12"/>
    </row>
    <row x14ac:dyDescent="0.25" r="405" customHeight="1" ht="15.75">
      <c r="A405" s="8">
        <f>IFERROR(__xludf.DUMMYFUNCTION("""COMPUTED_VALUE"""),25527.0)</f>
      </c>
      <c r="B405" s="9">
        <f>IFERROR(__xludf.DUMMYFUNCTION("""COMPUTED_VALUE"""),"METROPOLITANA III")</f>
      </c>
      <c r="C405" s="9">
        <f>IFERROR(__xludf.DUMMYFUNCTION("""COMPUTED_VALUE"""),"CE SENADOR FRANCISCO GALLOTTI")</f>
      </c>
      <c r="D405" s="10">
        <f>IFERROR(__xludf.DUMMYFUNCTION("""COMPUTED_VALUE"""),0.4444)</f>
      </c>
      <c r="E405" s="11">
        <f>IFERROR(__xludf.DUMMYFUNCTION("""COMPUTED_VALUE"""),0.0)</f>
      </c>
      <c r="F405" s="10">
        <f>IFERROR(__xludf.DUMMYFUNCTION("""COMPUTED_VALUE"""),0.0)</f>
      </c>
      <c r="G405" s="11">
        <f>IFERROR(__xludf.DUMMYFUNCTION("""COMPUTED_VALUE"""),"----")</f>
      </c>
      <c r="H405" s="10">
        <f>IFERROR(__xludf.DUMMYFUNCTION("""COMPUTED_VALUE"""),0.1364)</f>
      </c>
      <c r="I405" s="11">
        <f>IFERROR(__xludf.DUMMYFUNCTION("""COMPUTED_VALUE"""),173.33)</f>
      </c>
      <c r="J405" s="10">
        <f>IFERROR(__xludf.DUMMYFUNCTION("""COMPUTED_VALUE"""),0.25)</f>
      </c>
      <c r="K405" s="11">
        <f>IFERROR(__xludf.DUMMYFUNCTION("""COMPUTED_VALUE"""),320.0)</f>
      </c>
      <c r="L405" s="10">
        <f>IFERROR(__xludf.DUMMYFUNCTION("""COMPUTED_VALUE"""),0.0909)</f>
      </c>
      <c r="M405" s="11">
        <f>IFERROR(__xludf.DUMMYFUNCTION("""COMPUTED_VALUE"""),380.0)</f>
      </c>
      <c r="N405" s="10">
        <f>IFERROR(__xludf.DUMMYFUNCTION("""COMPUTED_VALUE"""),0.3182)</f>
      </c>
      <c r="O405" s="11">
        <f>IFERROR(__xludf.DUMMYFUNCTION("""COMPUTED_VALUE"""),337.14)</f>
      </c>
      <c r="P405" s="12"/>
      <c r="Q405" s="12"/>
      <c r="R405" s="15"/>
      <c r="S405" s="12"/>
      <c r="T405" s="12"/>
      <c r="U405" s="12"/>
      <c r="V405" s="12"/>
      <c r="W405" s="12"/>
      <c r="X405" s="12"/>
      <c r="Y405" s="12"/>
      <c r="Z405" s="12"/>
    </row>
    <row x14ac:dyDescent="0.25" r="406" customHeight="1" ht="15.75">
      <c r="A406" s="8">
        <f>IFERROR(__xludf.DUMMYFUNCTION("""COMPUTED_VALUE"""),25528.0)</f>
      </c>
      <c r="B406" s="9">
        <f>IFERROR(__xludf.DUMMYFUNCTION("""COMPUTED_VALUE"""),"METROPOLITANA III")</f>
      </c>
      <c r="C406" s="9">
        <f>IFERROR(__xludf.DUMMYFUNCTION("""COMPUTED_VALUE"""),"CE TENENTE GENERAL NAPION")</f>
      </c>
      <c r="D406" s="10">
        <f>IFERROR(__xludf.DUMMYFUNCTION("""COMPUTED_VALUE"""),0.9804)</f>
      </c>
      <c r="E406" s="11">
        <f>IFERROR(__xludf.DUMMYFUNCTION("""COMPUTED_VALUE"""),197.6)</f>
      </c>
      <c r="F406" s="10">
        <f>IFERROR(__xludf.DUMMYFUNCTION("""COMPUTED_VALUE"""),0.6961)</f>
      </c>
      <c r="G406" s="11">
        <f>IFERROR(__xludf.DUMMYFUNCTION("""COMPUTED_VALUE"""),347.83)</f>
      </c>
      <c r="H406" s="10">
        <f>IFERROR(__xludf.DUMMYFUNCTION("""COMPUTED_VALUE"""),0.6373)</f>
      </c>
      <c r="I406" s="11">
        <f>IFERROR(__xludf.DUMMYFUNCTION("""COMPUTED_VALUE"""),386.14)</f>
      </c>
      <c r="J406" s="10">
        <f>IFERROR(__xludf.DUMMYFUNCTION("""COMPUTED_VALUE"""),0.701)</f>
      </c>
      <c r="K406" s="11">
        <f>IFERROR(__xludf.DUMMYFUNCTION("""COMPUTED_VALUE"""),307.63)</f>
      </c>
      <c r="L406" s="10">
        <f>IFERROR(__xludf.DUMMYFUNCTION("""COMPUTED_VALUE"""),0.652)</f>
      </c>
      <c r="M406" s="11">
        <f>IFERROR(__xludf.DUMMYFUNCTION("""COMPUTED_VALUE"""),427.79)</f>
      </c>
      <c r="N406" s="10">
        <f>IFERROR(__xludf.DUMMYFUNCTION("""COMPUTED_VALUE"""),0.6618)</f>
      </c>
      <c r="O406" s="11">
        <f>IFERROR(__xludf.DUMMYFUNCTION("""COMPUTED_VALUE"""),464.0)</f>
      </c>
      <c r="P406" s="12"/>
      <c r="Q406" s="12"/>
      <c r="R406" s="15"/>
      <c r="S406" s="12"/>
      <c r="T406" s="12"/>
      <c r="U406" s="12"/>
      <c r="V406" s="12"/>
      <c r="W406" s="12"/>
      <c r="X406" s="12"/>
      <c r="Y406" s="12"/>
      <c r="Z406" s="12"/>
    </row>
    <row x14ac:dyDescent="0.25" r="407" customHeight="1" ht="15.75">
      <c r="A407" s="8">
        <f>IFERROR(__xludf.DUMMYFUNCTION("""COMPUTED_VALUE"""),25529.0)</f>
      </c>
      <c r="B407" s="9">
        <f>IFERROR(__xludf.DUMMYFUNCTION("""COMPUTED_VALUE"""),"METROPOLITANA III")</f>
      </c>
      <c r="C407" s="9">
        <f>IFERROR(__xludf.DUMMYFUNCTION("""COMPUTED_VALUE"""),"CE TERESA CRISTINA")</f>
      </c>
      <c r="D407" s="10">
        <f>IFERROR(__xludf.DUMMYFUNCTION("""COMPUTED_VALUE"""),0.7647)</f>
      </c>
      <c r="E407" s="11">
        <f>IFERROR(__xludf.DUMMYFUNCTION("""COMPUTED_VALUE"""),153.84)</f>
      </c>
      <c r="F407" s="10">
        <f>IFERROR(__xludf.DUMMYFUNCTION("""COMPUTED_VALUE"""),0.7647)</f>
      </c>
      <c r="G407" s="11">
        <f>IFERROR(__xludf.DUMMYFUNCTION("""COMPUTED_VALUE"""),373.37)</f>
      </c>
      <c r="H407" s="10">
        <f>IFERROR(__xludf.DUMMYFUNCTION("""COMPUTED_VALUE"""),0.4719)</f>
      </c>
      <c r="I407" s="11">
        <f>IFERROR(__xludf.DUMMYFUNCTION("""COMPUTED_VALUE"""),395.13)</f>
      </c>
      <c r="J407" s="10">
        <f>IFERROR(__xludf.DUMMYFUNCTION("""COMPUTED_VALUE"""),0.7432)</f>
      </c>
      <c r="K407" s="11">
        <f>IFERROR(__xludf.DUMMYFUNCTION("""COMPUTED_VALUE"""),354.4)</f>
      </c>
      <c r="L407" s="10">
        <f>IFERROR(__xludf.DUMMYFUNCTION("""COMPUTED_VALUE"""),0.4944)</f>
      </c>
      <c r="M407" s="11">
        <f>IFERROR(__xludf.DUMMYFUNCTION("""COMPUTED_VALUE"""),371.82)</f>
      </c>
      <c r="N407" s="10">
        <f>IFERROR(__xludf.DUMMYFUNCTION("""COMPUTED_VALUE"""),0.573)</f>
      </c>
      <c r="O407" s="11">
        <f>IFERROR(__xludf.DUMMYFUNCTION("""COMPUTED_VALUE"""),406.27)</f>
      </c>
      <c r="P407" s="12"/>
      <c r="Q407" s="12"/>
      <c r="R407" s="15"/>
      <c r="S407" s="12"/>
      <c r="T407" s="12"/>
      <c r="U407" s="12"/>
      <c r="V407" s="12"/>
      <c r="W407" s="12"/>
      <c r="X407" s="12"/>
      <c r="Y407" s="12"/>
      <c r="Z407" s="12"/>
    </row>
    <row x14ac:dyDescent="0.25" r="408" customHeight="1" ht="15.75">
      <c r="A408" s="8">
        <f>IFERROR(__xludf.DUMMYFUNCTION("""COMPUTED_VALUE"""),25530.0)</f>
      </c>
      <c r="B408" s="9">
        <f>IFERROR(__xludf.DUMMYFUNCTION("""COMPUTED_VALUE"""),"METROPOLITANA III")</f>
      </c>
      <c r="C408" s="9">
        <f>IFERROR(__xludf.DUMMYFUNCTION("""COMPUTED_VALUE"""),"CE VIRGILIO DE MELO FRANCO")</f>
      </c>
      <c r="D408" s="10">
        <f>IFERROR(__xludf.DUMMYFUNCTION("""COMPUTED_VALUE"""),0.811)</f>
      </c>
      <c r="E408" s="11">
        <f>IFERROR(__xludf.DUMMYFUNCTION("""COMPUTED_VALUE"""),278.03)</f>
      </c>
      <c r="F408" s="10">
        <f>IFERROR(__xludf.DUMMYFUNCTION("""COMPUTED_VALUE"""),0.6929)</f>
      </c>
      <c r="G408" s="11">
        <f>IFERROR(__xludf.DUMMYFUNCTION("""COMPUTED_VALUE"""),354.55)</f>
      </c>
      <c r="H408" s="10">
        <f>IFERROR(__xludf.DUMMYFUNCTION("""COMPUTED_VALUE"""),0.6573)</f>
      </c>
      <c r="I408" s="11">
        <f>IFERROR(__xludf.DUMMYFUNCTION("""COMPUTED_VALUE"""),452.45)</f>
      </c>
      <c r="J408" s="10">
        <f>IFERROR(__xludf.DUMMYFUNCTION("""COMPUTED_VALUE"""),0.7323)</f>
      </c>
      <c r="K408" s="11">
        <f>IFERROR(__xludf.DUMMYFUNCTION("""COMPUTED_VALUE"""),417.66)</f>
      </c>
      <c r="L408" s="10">
        <f>IFERROR(__xludf.DUMMYFUNCTION("""COMPUTED_VALUE"""),0.6713)</f>
      </c>
      <c r="M408" s="11">
        <f>IFERROR(__xludf.DUMMYFUNCTION("""COMPUTED_VALUE"""),484.17)</f>
      </c>
      <c r="N408" s="10">
        <f>IFERROR(__xludf.DUMMYFUNCTION("""COMPUTED_VALUE"""),0.6503)</f>
      </c>
      <c r="O408" s="11">
        <f>IFERROR(__xludf.DUMMYFUNCTION("""COMPUTED_VALUE"""),479.48)</f>
      </c>
      <c r="P408" s="12"/>
      <c r="Q408" s="12"/>
      <c r="R408" s="15"/>
      <c r="S408" s="12"/>
      <c r="T408" s="12"/>
      <c r="U408" s="12"/>
      <c r="V408" s="12"/>
      <c r="W408" s="12"/>
      <c r="X408" s="12"/>
      <c r="Y408" s="12"/>
      <c r="Z408" s="12"/>
    </row>
    <row x14ac:dyDescent="0.25" r="409" customHeight="1" ht="15.75">
      <c r="A409" s="8">
        <f>IFERROR(__xludf.DUMMYFUNCTION("""COMPUTED_VALUE"""),25531.0)</f>
      </c>
      <c r="B409" s="9">
        <f>IFERROR(__xludf.DUMMYFUNCTION("""COMPUTED_VALUE"""),"METROPOLITANA III")</f>
      </c>
      <c r="C409" s="9">
        <f>IFERROR(__xludf.DUMMYFUNCTION("""COMPUTED_VALUE"""),"CE VISCONDE DE CAIRU")</f>
      </c>
      <c r="D409" s="10">
        <f>IFERROR(__xludf.DUMMYFUNCTION("""COMPUTED_VALUE"""),0.5898)</f>
      </c>
      <c r="E409" s="11">
        <f>IFERROR(__xludf.DUMMYFUNCTION("""COMPUTED_VALUE"""),222.92)</f>
      </c>
      <c r="F409" s="10">
        <f>IFERROR(__xludf.DUMMYFUNCTION("""COMPUTED_VALUE"""),0.6)</f>
      </c>
      <c r="G409" s="11">
        <f>IFERROR(__xludf.DUMMYFUNCTION("""COMPUTED_VALUE"""),364.52)</f>
      </c>
      <c r="H409" s="10">
        <f>IFERROR(__xludf.DUMMYFUNCTION("""COMPUTED_VALUE"""),0.4712)</f>
      </c>
      <c r="I409" s="11">
        <f>IFERROR(__xludf.DUMMYFUNCTION("""COMPUTED_VALUE"""),377.65)</f>
      </c>
      <c r="J409" s="10">
        <f>IFERROR(__xludf.DUMMYFUNCTION("""COMPUTED_VALUE"""),0.6271)</f>
      </c>
      <c r="K409" s="11">
        <f>IFERROR(__xludf.DUMMYFUNCTION("""COMPUTED_VALUE"""),297.33)</f>
      </c>
      <c r="L409" s="10">
        <f>IFERROR(__xludf.DUMMYFUNCTION("""COMPUTED_VALUE"""),0.5593)</f>
      </c>
      <c r="M409" s="11">
        <f>IFERROR(__xludf.DUMMYFUNCTION("""COMPUTED_VALUE"""),366.37)</f>
      </c>
      <c r="N409" s="10">
        <f>IFERROR(__xludf.DUMMYFUNCTION("""COMPUTED_VALUE"""),0.3763)</f>
      </c>
      <c r="O409" s="11">
        <f>IFERROR(__xludf.DUMMYFUNCTION("""COMPUTED_VALUE"""),427.17)</f>
      </c>
      <c r="P409" s="12"/>
      <c r="Q409" s="12"/>
      <c r="R409" s="15"/>
      <c r="S409" s="12"/>
      <c r="T409" s="12"/>
      <c r="U409" s="12"/>
      <c r="V409" s="12"/>
      <c r="W409" s="12"/>
      <c r="X409" s="12"/>
      <c r="Y409" s="12"/>
      <c r="Z409" s="12"/>
    </row>
    <row x14ac:dyDescent="0.25" r="410" customHeight="1" ht="15.75">
      <c r="A410" s="8">
        <f>IFERROR(__xludf.DUMMYFUNCTION("""COMPUTED_VALUE"""),25532.0)</f>
      </c>
      <c r="B410" s="9">
        <f>IFERROR(__xludf.DUMMYFUNCTION("""COMPUTED_VALUE"""),"METROPOLITANA III")</f>
      </c>
      <c r="C410" s="9">
        <f>IFERROR(__xludf.DUMMYFUNCTION("""COMPUTED_VALUE"""),"CE WALDEMIRO POTSCH")</f>
      </c>
      <c r="D410" s="10">
        <f>IFERROR(__xludf.DUMMYFUNCTION("""COMPUTED_VALUE"""),0.2373)</f>
      </c>
      <c r="E410" s="11">
        <f>IFERROR(__xludf.DUMMYFUNCTION("""COMPUTED_VALUE"""),368.89)</f>
      </c>
      <c r="F410" s="10">
        <f>IFERROR(__xludf.DUMMYFUNCTION("""COMPUTED_VALUE"""),0.4407)</f>
      </c>
      <c r="G410" s="11">
        <f>IFERROR(__xludf.DUMMYFUNCTION("""COMPUTED_VALUE"""),210.77)</f>
      </c>
      <c r="H410" s="10">
        <f>IFERROR(__xludf.DUMMYFUNCTION("""COMPUTED_VALUE"""),0.4576)</f>
      </c>
      <c r="I410" s="11">
        <f>IFERROR(__xludf.DUMMYFUNCTION("""COMPUTED_VALUE"""),392.0)</f>
      </c>
      <c r="J410" s="10">
        <f>IFERROR(__xludf.DUMMYFUNCTION("""COMPUTED_VALUE"""),0.3898)</f>
      </c>
      <c r="K410" s="11">
        <f>IFERROR(__xludf.DUMMYFUNCTION("""COMPUTED_VALUE"""),331.76)</f>
      </c>
      <c r="L410" s="10">
        <f>IFERROR(__xludf.DUMMYFUNCTION("""COMPUTED_VALUE"""),0.2373)</f>
      </c>
      <c r="M410" s="11">
        <f>IFERROR(__xludf.DUMMYFUNCTION("""COMPUTED_VALUE"""),371.43)</f>
      </c>
      <c r="N410" s="10">
        <f>IFERROR(__xludf.DUMMYFUNCTION("""COMPUTED_VALUE"""),0.6102)</f>
      </c>
      <c r="O410" s="11">
        <f>IFERROR(__xludf.DUMMYFUNCTION("""COMPUTED_VALUE"""),450.29)</f>
      </c>
      <c r="P410" s="12"/>
      <c r="Q410" s="12"/>
      <c r="R410" s="15"/>
      <c r="S410" s="12"/>
      <c r="T410" s="12"/>
      <c r="U410" s="12"/>
      <c r="V410" s="12"/>
      <c r="W410" s="12"/>
      <c r="X410" s="12"/>
      <c r="Y410" s="12"/>
      <c r="Z410" s="12"/>
    </row>
    <row x14ac:dyDescent="0.25" r="411" customHeight="1" ht="15.75">
      <c r="A411" s="8">
        <f>IFERROR(__xludf.DUMMYFUNCTION("""COMPUTED_VALUE"""),25536.0)</f>
      </c>
      <c r="B411" s="9">
        <f>IFERROR(__xludf.DUMMYFUNCTION("""COMPUTED_VALUE"""),"METROPOLITANA III")</f>
      </c>
      <c r="C411" s="9">
        <f>IFERROR(__xludf.DUMMYFUNCTION("""COMPUTED_VALUE"""),"CIEP 092 FEDERICO FELLINI")</f>
      </c>
      <c r="D411" s="10">
        <f>IFERROR(__xludf.DUMMYFUNCTION("""COMPUTED_VALUE"""),0.5065)</f>
      </c>
      <c r="E411" s="11">
        <f>IFERROR(__xludf.DUMMYFUNCTION("""COMPUTED_VALUE"""),192.58)</f>
      </c>
      <c r="F411" s="10">
        <f>IFERROR(__xludf.DUMMYFUNCTION("""COMPUTED_VALUE"""),0.4199)</f>
      </c>
      <c r="G411" s="11">
        <f>IFERROR(__xludf.DUMMYFUNCTION("""COMPUTED_VALUE"""),"----")</f>
      </c>
      <c r="H411" s="10">
        <f>IFERROR(__xludf.DUMMYFUNCTION("""COMPUTED_VALUE"""),0.4615)</f>
      </c>
      <c r="I411" s="11">
        <f>IFERROR(__xludf.DUMMYFUNCTION("""COMPUTED_VALUE"""),369.3)</f>
      </c>
      <c r="J411" s="10">
        <f>IFERROR(__xludf.DUMMYFUNCTION("""COMPUTED_VALUE"""),0.6375)</f>
      </c>
      <c r="K411" s="11">
        <f>IFERROR(__xludf.DUMMYFUNCTION("""COMPUTED_VALUE"""),222.91)</f>
      </c>
      <c r="L411" s="10">
        <f>IFERROR(__xludf.DUMMYFUNCTION("""COMPUTED_VALUE"""),0.4271)</f>
      </c>
      <c r="M411" s="11">
        <f>IFERROR(__xludf.DUMMYFUNCTION("""COMPUTED_VALUE"""),"----")</f>
      </c>
      <c r="N411" s="10">
        <f>IFERROR(__xludf.DUMMYFUNCTION("""COMPUTED_VALUE"""),0.3563)</f>
      </c>
      <c r="O411" s="11">
        <f>IFERROR(__xludf.DUMMYFUNCTION("""COMPUTED_VALUE"""),"----")</f>
      </c>
      <c r="P411" s="12"/>
      <c r="Q411" s="12"/>
      <c r="R411" s="15"/>
      <c r="S411" s="12"/>
      <c r="T411" s="12"/>
      <c r="U411" s="12"/>
      <c r="V411" s="12"/>
      <c r="W411" s="12"/>
      <c r="X411" s="12"/>
      <c r="Y411" s="12"/>
      <c r="Z411" s="12"/>
    </row>
    <row x14ac:dyDescent="0.25" r="412" customHeight="1" ht="15.75">
      <c r="A412" s="8">
        <f>IFERROR(__xludf.DUMMYFUNCTION("""COMPUTED_VALUE"""),25537.0)</f>
      </c>
      <c r="B412" s="9">
        <f>IFERROR(__xludf.DUMMYFUNCTION("""COMPUTED_VALUE"""),"METROPOLITANA III")</f>
      </c>
      <c r="C412" s="9">
        <f>IFERROR(__xludf.DUMMYFUNCTION("""COMPUTED_VALUE"""),"CIEP 173 RAINHA NZINGA DE ANGOLA")</f>
      </c>
      <c r="D412" s="10">
        <f>IFERROR(__xludf.DUMMYFUNCTION("""COMPUTED_VALUE"""),0.2286)</f>
      </c>
      <c r="E412" s="11">
        <f>IFERROR(__xludf.DUMMYFUNCTION("""COMPUTED_VALUE"""),175.11)</f>
      </c>
      <c r="F412" s="10">
        <f>IFERROR(__xludf.DUMMYFUNCTION("""COMPUTED_VALUE"""),0.5667)</f>
      </c>
      <c r="G412" s="11">
        <f>IFERROR(__xludf.DUMMYFUNCTION("""COMPUTED_VALUE"""),277.17)</f>
      </c>
      <c r="H412" s="10">
        <f>IFERROR(__xludf.DUMMYFUNCTION("""COMPUTED_VALUE"""),0.2333)</f>
      </c>
      <c r="I412" s="11">
        <f>IFERROR(__xludf.DUMMYFUNCTION("""COMPUTED_VALUE"""),338.6)</f>
      </c>
      <c r="J412" s="10">
        <f>IFERROR(__xludf.DUMMYFUNCTION("""COMPUTED_VALUE"""),0.4571)</f>
      </c>
      <c r="K412" s="11">
        <f>IFERROR(__xludf.DUMMYFUNCTION("""COMPUTED_VALUE"""),254.69)</f>
      </c>
      <c r="L412" s="10">
        <f>IFERROR(__xludf.DUMMYFUNCTION("""COMPUTED_VALUE"""),0.3381)</f>
      </c>
      <c r="M412" s="11">
        <f>IFERROR(__xludf.DUMMYFUNCTION("""COMPUTED_VALUE"""),254.93)</f>
      </c>
      <c r="N412" s="10">
        <f>IFERROR(__xludf.DUMMYFUNCTION("""COMPUTED_VALUE"""),0.3857)</f>
      </c>
      <c r="O412" s="11">
        <f>IFERROR(__xludf.DUMMYFUNCTION("""COMPUTED_VALUE"""),270.3)</f>
      </c>
      <c r="P412" s="12"/>
      <c r="Q412" s="12"/>
      <c r="R412" s="15"/>
      <c r="S412" s="12"/>
      <c r="T412" s="12"/>
      <c r="U412" s="12"/>
      <c r="V412" s="12"/>
      <c r="W412" s="12"/>
      <c r="X412" s="12"/>
      <c r="Y412" s="12"/>
      <c r="Z412" s="12"/>
    </row>
    <row x14ac:dyDescent="0.25" r="413" customHeight="1" ht="15.75">
      <c r="A413" s="8">
        <f>IFERROR(__xludf.DUMMYFUNCTION("""COMPUTED_VALUE"""),25538.0)</f>
      </c>
      <c r="B413" s="9">
        <f>IFERROR(__xludf.DUMMYFUNCTION("""COMPUTED_VALUE"""),"METROPOLITANA III")</f>
      </c>
      <c r="C413" s="9">
        <f>IFERROR(__xludf.DUMMYFUNCTION("""COMPUTED_VALUE"""),"CIEP 195 ANIBAL MACHADO")</f>
      </c>
      <c r="D413" s="10">
        <f>IFERROR(__xludf.DUMMYFUNCTION("""COMPUTED_VALUE"""),0.88)</f>
      </c>
      <c r="E413" s="11">
        <f>IFERROR(__xludf.DUMMYFUNCTION("""COMPUTED_VALUE"""),163.64)</f>
      </c>
      <c r="F413" s="10">
        <f>IFERROR(__xludf.DUMMYFUNCTION("""COMPUTED_VALUE"""),0.8)</f>
      </c>
      <c r="G413" s="11">
        <f>IFERROR(__xludf.DUMMYFUNCTION("""COMPUTED_VALUE"""),374.0)</f>
      </c>
      <c r="H413" s="10">
        <f>IFERROR(__xludf.DUMMYFUNCTION("""COMPUTED_VALUE"""),0.5745)</f>
      </c>
      <c r="I413" s="11">
        <f>IFERROR(__xludf.DUMMYFUNCTION("""COMPUTED_VALUE"""),368.89)</f>
      </c>
      <c r="J413" s="10">
        <f>IFERROR(__xludf.DUMMYFUNCTION("""COMPUTED_VALUE"""),0.775)</f>
      </c>
      <c r="K413" s="11">
        <f>IFERROR(__xludf.DUMMYFUNCTION("""COMPUTED_VALUE"""),335.73)</f>
      </c>
      <c r="L413" s="10">
        <f>IFERROR(__xludf.DUMMYFUNCTION("""COMPUTED_VALUE"""),0.5319)</f>
      </c>
      <c r="M413" s="11">
        <f>IFERROR(__xludf.DUMMYFUNCTION("""COMPUTED_VALUE"""),360.85)</f>
      </c>
      <c r="N413" s="10">
        <f>IFERROR(__xludf.DUMMYFUNCTION("""COMPUTED_VALUE"""),0.6809)</f>
      </c>
      <c r="O413" s="11">
        <f>IFERROR(__xludf.DUMMYFUNCTION("""COMPUTED_VALUE"""),385.25)</f>
      </c>
      <c r="P413" s="12"/>
      <c r="Q413" s="12"/>
      <c r="R413" s="15"/>
      <c r="S413" s="12"/>
      <c r="T413" s="12"/>
      <c r="U413" s="12"/>
      <c r="V413" s="12"/>
      <c r="W413" s="12"/>
      <c r="X413" s="12"/>
      <c r="Y413" s="12"/>
      <c r="Z413" s="12"/>
    </row>
    <row x14ac:dyDescent="0.25" r="414" customHeight="1" ht="15.75">
      <c r="A414" s="8">
        <f>IFERROR(__xludf.DUMMYFUNCTION("""COMPUTED_VALUE"""),25539.0)</f>
      </c>
      <c r="B414" s="9">
        <f>IFERROR(__xludf.DUMMYFUNCTION("""COMPUTED_VALUE"""),"METROPOLITANA III")</f>
      </c>
      <c r="C414" s="9">
        <f>IFERROR(__xludf.DUMMYFUNCTION("""COMPUTED_VALUE"""),"CIEP 323 MARIA WERNECK DE CASTRO")</f>
      </c>
      <c r="D414" s="10">
        <f>IFERROR(__xludf.DUMMYFUNCTION("""COMPUTED_VALUE"""),0.6202)</f>
      </c>
      <c r="E414" s="11">
        <f>IFERROR(__xludf.DUMMYFUNCTION("""COMPUTED_VALUE"""),232.59)</f>
      </c>
      <c r="F414" s="10">
        <f>IFERROR(__xludf.DUMMYFUNCTION("""COMPUTED_VALUE"""),0.5736)</f>
      </c>
      <c r="G414" s="11">
        <f>IFERROR(__xludf.DUMMYFUNCTION("""COMPUTED_VALUE"""),351.82)</f>
      </c>
      <c r="H414" s="10">
        <f>IFERROR(__xludf.DUMMYFUNCTION("""COMPUTED_VALUE"""),0.3975)</f>
      </c>
      <c r="I414" s="11">
        <f>IFERROR(__xludf.DUMMYFUNCTION("""COMPUTED_VALUE"""),391.49)</f>
      </c>
      <c r="J414" s="10">
        <f>IFERROR(__xludf.DUMMYFUNCTION("""COMPUTED_VALUE"""),0.6245)</f>
      </c>
      <c r="K414" s="11">
        <f>IFERROR(__xludf.DUMMYFUNCTION("""COMPUTED_VALUE"""),283.72)</f>
      </c>
      <c r="L414" s="10">
        <f>IFERROR(__xludf.DUMMYFUNCTION("""COMPUTED_VALUE"""),0.489)</f>
      </c>
      <c r="M414" s="11">
        <f>IFERROR(__xludf.DUMMYFUNCTION("""COMPUTED_VALUE"""),380.45)</f>
      </c>
      <c r="N414" s="10">
        <f>IFERROR(__xludf.DUMMYFUNCTION("""COMPUTED_VALUE"""),0.4543)</f>
      </c>
      <c r="O414" s="11">
        <f>IFERROR(__xludf.DUMMYFUNCTION("""COMPUTED_VALUE"""),387.34)</f>
      </c>
      <c r="P414" s="12"/>
      <c r="Q414" s="12"/>
      <c r="R414" s="15"/>
      <c r="S414" s="12"/>
      <c r="T414" s="12"/>
      <c r="U414" s="12"/>
      <c r="V414" s="12"/>
      <c r="W414" s="12"/>
      <c r="X414" s="12"/>
      <c r="Y414" s="12"/>
      <c r="Z414" s="12"/>
    </row>
    <row x14ac:dyDescent="0.25" r="415" customHeight="1" ht="15.75">
      <c r="A415" s="8">
        <f>IFERROR(__xludf.DUMMYFUNCTION("""COMPUTED_VALUE"""),25540.0)</f>
      </c>
      <c r="B415" s="9">
        <f>IFERROR(__xludf.DUMMYFUNCTION("""COMPUTED_VALUE"""),"METROPOLITANA III")</f>
      </c>
      <c r="C415" s="9">
        <f>IFERROR(__xludf.DUMMYFUNCTION("""COMPUTED_VALUE"""),"CIEP 326 PROFESSOR CESAR PERNETTA")</f>
      </c>
      <c r="D415" s="10">
        <f>IFERROR(__xludf.DUMMYFUNCTION("""COMPUTED_VALUE"""),0.6519)</f>
      </c>
      <c r="E415" s="11">
        <f>IFERROR(__xludf.DUMMYFUNCTION("""COMPUTED_VALUE"""),166.26)</f>
      </c>
      <c r="F415" s="10">
        <f>IFERROR(__xludf.DUMMYFUNCTION("""COMPUTED_VALUE"""),0.9389)</f>
      </c>
      <c r="G415" s="11">
        <f>IFERROR(__xludf.DUMMYFUNCTION("""COMPUTED_VALUE"""),153.1)</f>
      </c>
      <c r="H415" s="10">
        <f>IFERROR(__xludf.DUMMYFUNCTION("""COMPUTED_VALUE"""),0.8697)</f>
      </c>
      <c r="I415" s="11">
        <f>IFERROR(__xludf.DUMMYFUNCTION("""COMPUTED_VALUE"""),143.83)</f>
      </c>
      <c r="J415" s="10">
        <f>IFERROR(__xludf.DUMMYFUNCTION("""COMPUTED_VALUE"""),0.9951)</f>
      </c>
      <c r="K415" s="11">
        <f>IFERROR(__xludf.DUMMYFUNCTION("""COMPUTED_VALUE"""),150.76)</f>
      </c>
      <c r="L415" s="10">
        <f>IFERROR(__xludf.DUMMYFUNCTION("""COMPUTED_VALUE"""),0.8526)</f>
      </c>
      <c r="M415" s="11">
        <f>IFERROR(__xludf.DUMMYFUNCTION("""COMPUTED_VALUE"""),153.16)</f>
      </c>
      <c r="N415" s="10">
        <f>IFERROR(__xludf.DUMMYFUNCTION("""COMPUTED_VALUE"""),0.9487)</f>
      </c>
      <c r="O415" s="11">
        <f>IFERROR(__xludf.DUMMYFUNCTION("""COMPUTED_VALUE"""),137.33)</f>
      </c>
      <c r="P415" s="12"/>
      <c r="Q415" s="12"/>
      <c r="R415" s="15"/>
      <c r="S415" s="12"/>
      <c r="T415" s="12"/>
      <c r="U415" s="12"/>
      <c r="V415" s="12"/>
      <c r="W415" s="12"/>
      <c r="X415" s="12"/>
      <c r="Y415" s="12"/>
      <c r="Z415" s="12"/>
    </row>
    <row x14ac:dyDescent="0.25" r="416" customHeight="1" ht="15.75">
      <c r="A416" s="8">
        <f>IFERROR(__xludf.DUMMYFUNCTION("""COMPUTED_VALUE"""),25541.0)</f>
      </c>
      <c r="B416" s="9">
        <f>IFERROR(__xludf.DUMMYFUNCTION("""COMPUTED_VALUE"""),"METROPOLITANA III")</f>
      </c>
      <c r="C416" s="9">
        <f>IFERROR(__xludf.DUMMYFUNCTION("""COMPUTED_VALUE"""),"CIEP 339 MARIO TAMBORINDEGUY")</f>
      </c>
      <c r="D416" s="10">
        <f>IFERROR(__xludf.DUMMYFUNCTION("""COMPUTED_VALUE"""),0.7232)</f>
      </c>
      <c r="E416" s="11">
        <f>IFERROR(__xludf.DUMMYFUNCTION("""COMPUTED_VALUE"""),160.46)</f>
      </c>
      <c r="F416" s="10">
        <f>IFERROR(__xludf.DUMMYFUNCTION("""COMPUTED_VALUE"""),0.5669)</f>
      </c>
      <c r="G416" s="11">
        <f>IFERROR(__xludf.DUMMYFUNCTION("""COMPUTED_VALUE"""),351.54)</f>
      </c>
      <c r="H416" s="10">
        <f>IFERROR(__xludf.DUMMYFUNCTION("""COMPUTED_VALUE"""),0.7194)</f>
      </c>
      <c r="I416" s="11">
        <f>IFERROR(__xludf.DUMMYFUNCTION("""COMPUTED_VALUE"""),415.66)</f>
      </c>
      <c r="J416" s="10">
        <f>IFERROR(__xludf.DUMMYFUNCTION("""COMPUTED_VALUE"""),0.5725)</f>
      </c>
      <c r="K416" s="11">
        <f>IFERROR(__xludf.DUMMYFUNCTION("""COMPUTED_VALUE"""),362.11)</f>
      </c>
      <c r="L416" s="10">
        <f>IFERROR(__xludf.DUMMYFUNCTION("""COMPUTED_VALUE"""),0.6234)</f>
      </c>
      <c r="M416" s="11">
        <f>IFERROR(__xludf.DUMMYFUNCTION("""COMPUTED_VALUE"""),442.67)</f>
      </c>
      <c r="N416" s="10">
        <f>IFERROR(__xludf.DUMMYFUNCTION("""COMPUTED_VALUE"""),0.5009)</f>
      </c>
      <c r="O416" s="11">
        <f>IFERROR(__xludf.DUMMYFUNCTION("""COMPUTED_VALUE"""),443.94)</f>
      </c>
      <c r="P416" s="12"/>
      <c r="Q416" s="12"/>
      <c r="R416" s="15"/>
      <c r="S416" s="12"/>
      <c r="T416" s="12"/>
      <c r="U416" s="12"/>
      <c r="V416" s="12"/>
      <c r="W416" s="12"/>
      <c r="X416" s="12"/>
      <c r="Y416" s="12"/>
      <c r="Z416" s="12"/>
    </row>
    <row x14ac:dyDescent="0.25" r="417" customHeight="1" ht="15.75">
      <c r="A417" s="8">
        <f>IFERROR(__xludf.DUMMYFUNCTION("""COMPUTED_VALUE"""),25542.0)</f>
      </c>
      <c r="B417" s="9">
        <f>IFERROR(__xludf.DUMMYFUNCTION("""COMPUTED_VALUE"""),"METROPOLITANA III")</f>
      </c>
      <c r="C417" s="9">
        <f>IFERROR(__xludf.DUMMYFUNCTION("""COMPUTED_VALUE"""),"CIEP 379 RAUL SEIXAS")</f>
      </c>
      <c r="D417" s="10">
        <f>IFERROR(__xludf.DUMMYFUNCTION("""COMPUTED_VALUE"""),0.7133)</f>
      </c>
      <c r="E417" s="11">
        <f>IFERROR(__xludf.DUMMYFUNCTION("""COMPUTED_VALUE"""),263.07)</f>
      </c>
      <c r="F417" s="10">
        <f>IFERROR(__xludf.DUMMYFUNCTION("""COMPUTED_VALUE"""),0.6014)</f>
      </c>
      <c r="G417" s="11">
        <f>IFERROR(__xludf.DUMMYFUNCTION("""COMPUTED_VALUE"""),299.5)</f>
      </c>
      <c r="H417" s="10">
        <f>IFERROR(__xludf.DUMMYFUNCTION("""COMPUTED_VALUE"""),0.4074)</f>
      </c>
      <c r="I417" s="11">
        <f>IFERROR(__xludf.DUMMYFUNCTION("""COMPUTED_VALUE"""),"----")</f>
      </c>
      <c r="J417" s="10">
        <f>IFERROR(__xludf.DUMMYFUNCTION("""COMPUTED_VALUE"""),0.3105)</f>
      </c>
      <c r="K417" s="11">
        <f>IFERROR(__xludf.DUMMYFUNCTION("""COMPUTED_VALUE"""),240.0)</f>
      </c>
      <c r="L417" s="10">
        <f>IFERROR(__xludf.DUMMYFUNCTION("""COMPUTED_VALUE"""),0.4012)</f>
      </c>
      <c r="M417" s="11">
        <f>IFERROR(__xludf.DUMMYFUNCTION("""COMPUTED_VALUE"""),334.87)</f>
      </c>
      <c r="N417" s="10">
        <f>IFERROR(__xludf.DUMMYFUNCTION("""COMPUTED_VALUE"""),0.213)</f>
      </c>
      <c r="O417" s="11">
        <f>IFERROR(__xludf.DUMMYFUNCTION("""COMPUTED_VALUE"""),"----")</f>
      </c>
      <c r="P417" s="12"/>
      <c r="Q417" s="12"/>
      <c r="R417" s="15"/>
      <c r="S417" s="12"/>
      <c r="T417" s="12"/>
      <c r="U417" s="12"/>
      <c r="V417" s="12"/>
      <c r="W417" s="12"/>
      <c r="X417" s="12"/>
      <c r="Y417" s="12"/>
      <c r="Z417" s="12"/>
    </row>
    <row x14ac:dyDescent="0.25" r="418" customHeight="1" ht="15.75">
      <c r="A418" s="8">
        <f>IFERROR(__xludf.DUMMYFUNCTION("""COMPUTED_VALUE"""),25543.0)</f>
      </c>
      <c r="B418" s="9">
        <f>IFERROR(__xludf.DUMMYFUNCTION("""COMPUTED_VALUE"""),"METROPOLITANA III")</f>
      </c>
      <c r="C418" s="9">
        <f>IFERROR(__xludf.DUMMYFUNCTION("""COMPUTED_VALUE"""),"IE CARMELA DUTRA")</f>
      </c>
      <c r="D418" s="10">
        <f>IFERROR(__xludf.DUMMYFUNCTION("""COMPUTED_VALUE"""),0.6218)</f>
      </c>
      <c r="E418" s="11">
        <f>IFERROR(__xludf.DUMMYFUNCTION("""COMPUTED_VALUE"""),326.32)</f>
      </c>
      <c r="F418" s="10">
        <f>IFERROR(__xludf.DUMMYFUNCTION("""COMPUTED_VALUE"""),0.409)</f>
      </c>
      <c r="G418" s="11">
        <f>IFERROR(__xludf.DUMMYFUNCTION("""COMPUTED_VALUE"""),421.07)</f>
      </c>
      <c r="H418" s="10">
        <f>IFERROR(__xludf.DUMMYFUNCTION("""COMPUTED_VALUE"""),0.5013)</f>
      </c>
      <c r="I418" s="11">
        <f>IFERROR(__xludf.DUMMYFUNCTION("""COMPUTED_VALUE"""),492.35)</f>
      </c>
      <c r="J418" s="10">
        <f>IFERROR(__xludf.DUMMYFUNCTION("""COMPUTED_VALUE"""),0.4717)</f>
      </c>
      <c r="K418" s="11">
        <f>IFERROR(__xludf.DUMMYFUNCTION("""COMPUTED_VALUE"""),337.84)</f>
      </c>
      <c r="L418" s="10">
        <f>IFERROR(__xludf.DUMMYFUNCTION("""COMPUTED_VALUE"""),0.7354)</f>
      </c>
      <c r="M418" s="11">
        <f>IFERROR(__xludf.DUMMYFUNCTION("""COMPUTED_VALUE"""),321.25)</f>
      </c>
      <c r="N418" s="10">
        <f>IFERROR(__xludf.DUMMYFUNCTION("""COMPUTED_VALUE"""),0.4326)</f>
      </c>
      <c r="O418" s="11">
        <f>IFERROR(__xludf.DUMMYFUNCTION("""COMPUTED_VALUE"""),466.47)</f>
      </c>
      <c r="P418" s="12"/>
      <c r="Q418" s="12"/>
      <c r="R418" s="15"/>
      <c r="S418" s="12"/>
      <c r="T418" s="12"/>
      <c r="U418" s="12"/>
      <c r="V418" s="12"/>
      <c r="W418" s="12"/>
      <c r="X418" s="12"/>
      <c r="Y418" s="12"/>
      <c r="Z418" s="12"/>
    </row>
    <row x14ac:dyDescent="0.25" r="419" customHeight="1" ht="15.75">
      <c r="A419" s="8">
        <f>IFERROR(__xludf.DUMMYFUNCTION("""COMPUTED_VALUE"""),25555.0)</f>
      </c>
      <c r="B419" s="9">
        <f>IFERROR(__xludf.DUMMYFUNCTION("""COMPUTED_VALUE"""),"METROPOLITANA IV")</f>
      </c>
      <c r="C419" s="9">
        <f>IFERROR(__xludf.DUMMYFUNCTION("""COMPUTED_VALUE"""),"CAIC NACOES UNIDAS")</f>
      </c>
      <c r="D419" s="10">
        <f>IFERROR(__xludf.DUMMYFUNCTION("""COMPUTED_VALUE"""),0.5668)</f>
      </c>
      <c r="E419" s="11">
        <f>IFERROR(__xludf.DUMMYFUNCTION("""COMPUTED_VALUE"""),132.83)</f>
      </c>
      <c r="F419" s="10">
        <f>IFERROR(__xludf.DUMMYFUNCTION("""COMPUTED_VALUE"""),0.0187)</f>
      </c>
      <c r="G419" s="11">
        <f>IFERROR(__xludf.DUMMYFUNCTION("""COMPUTED_VALUE"""),300.0)</f>
      </c>
      <c r="H419" s="10">
        <f>IFERROR(__xludf.DUMMYFUNCTION("""COMPUTED_VALUE"""),0.5508)</f>
      </c>
      <c r="I419" s="11">
        <f>IFERROR(__xludf.DUMMYFUNCTION("""COMPUTED_VALUE"""),353.92)</f>
      </c>
      <c r="J419" s="10">
        <f>IFERROR(__xludf.DUMMYFUNCTION("""COMPUTED_VALUE"""),0.0053)</f>
      </c>
      <c r="K419" s="11">
        <f>IFERROR(__xludf.DUMMYFUNCTION("""COMPUTED_VALUE"""),240.0)</f>
      </c>
      <c r="L419" s="10">
        <f>IFERROR(__xludf.DUMMYFUNCTION("""COMPUTED_VALUE"""),0.4626)</f>
      </c>
      <c r="M419" s="11">
        <f>IFERROR(__xludf.DUMMYFUNCTION("""COMPUTED_VALUE"""),338.12)</f>
      </c>
      <c r="N419" s="10">
        <f>IFERROR(__xludf.DUMMYFUNCTION("""COMPUTED_VALUE"""),0.0)</f>
      </c>
      <c r="O419" s="11">
        <f>IFERROR(__xludf.DUMMYFUNCTION("""COMPUTED_VALUE"""),"----")</f>
      </c>
      <c r="P419" s="12"/>
      <c r="Q419" s="12"/>
      <c r="R419" s="15"/>
      <c r="S419" s="12"/>
      <c r="T419" s="12"/>
      <c r="U419" s="12"/>
      <c r="V419" s="12"/>
      <c r="W419" s="12"/>
      <c r="X419" s="12"/>
      <c r="Y419" s="12"/>
      <c r="Z419" s="12"/>
    </row>
    <row x14ac:dyDescent="0.25" r="420" customHeight="1" ht="15.75">
      <c r="A420" s="8">
        <f>IFERROR(__xludf.DUMMYFUNCTION("""COMPUTED_VALUE"""),25556.0)</f>
      </c>
      <c r="B420" s="9">
        <f>IFERROR(__xludf.DUMMYFUNCTION("""COMPUTED_VALUE"""),"METROPOLITANA IV")</f>
      </c>
      <c r="C420" s="9">
        <f>IFERROR(__xludf.DUMMYFUNCTION("""COMPUTED_VALUE"""),"CE AGOSTINHO NETO")</f>
      </c>
      <c r="D420" s="10">
        <f>IFERROR(__xludf.DUMMYFUNCTION("""COMPUTED_VALUE"""),0.6387)</f>
      </c>
      <c r="E420" s="11">
        <f>IFERROR(__xludf.DUMMYFUNCTION("""COMPUTED_VALUE"""),93.74)</f>
      </c>
      <c r="F420" s="10">
        <f>IFERROR(__xludf.DUMMYFUNCTION("""COMPUTED_VALUE"""),0.5677)</f>
      </c>
      <c r="G420" s="11">
        <f>IFERROR(__xludf.DUMMYFUNCTION("""COMPUTED_VALUE"""),230.0)</f>
      </c>
      <c r="H420" s="10">
        <f>IFERROR(__xludf.DUMMYFUNCTION("""COMPUTED_VALUE"""),0.372)</f>
      </c>
      <c r="I420" s="11">
        <f>IFERROR(__xludf.DUMMYFUNCTION("""COMPUTED_VALUE"""),255.11)</f>
      </c>
      <c r="J420" s="10">
        <f>IFERROR(__xludf.DUMMYFUNCTION("""COMPUTED_VALUE"""),0.5556)</f>
      </c>
      <c r="K420" s="11">
        <f>IFERROR(__xludf.DUMMYFUNCTION("""COMPUTED_VALUE"""),134.39)</f>
      </c>
      <c r="L420" s="10">
        <f>IFERROR(__xludf.DUMMYFUNCTION("""COMPUTED_VALUE"""),0.3865)</f>
      </c>
      <c r="M420" s="11">
        <f>IFERROR(__xludf.DUMMYFUNCTION("""COMPUTED_VALUE"""),255.74)</f>
      </c>
      <c r="N420" s="10">
        <f>IFERROR(__xludf.DUMMYFUNCTION("""COMPUTED_VALUE"""),0.2077)</f>
      </c>
      <c r="O420" s="11">
        <f>IFERROR(__xludf.DUMMYFUNCTION("""COMPUTED_VALUE"""),333.95)</f>
      </c>
      <c r="P420" s="12"/>
      <c r="Q420" s="12"/>
      <c r="R420" s="15"/>
      <c r="S420" s="12"/>
      <c r="T420" s="12"/>
      <c r="U420" s="12"/>
      <c r="V420" s="12"/>
      <c r="W420" s="12"/>
      <c r="X420" s="12"/>
      <c r="Y420" s="12"/>
      <c r="Z420" s="12"/>
    </row>
    <row x14ac:dyDescent="0.25" r="421" customHeight="1" ht="15.75">
      <c r="A421" s="8">
        <f>IFERROR(__xludf.DUMMYFUNCTION("""COMPUTED_VALUE"""),25557.0)</f>
      </c>
      <c r="B421" s="9">
        <f>IFERROR(__xludf.DUMMYFUNCTION("""COMPUTED_VALUE"""),"METROPOLITANA IV")</f>
      </c>
      <c r="C421" s="9">
        <f>IFERROR(__xludf.DUMMYFUNCTION("""COMPUTED_VALUE"""),"CE ALDEBARA")</f>
      </c>
      <c r="D421" s="10">
        <f>IFERROR(__xludf.DUMMYFUNCTION("""COMPUTED_VALUE"""),0.8448)</f>
      </c>
      <c r="E421" s="11">
        <f>IFERROR(__xludf.DUMMYFUNCTION("""COMPUTED_VALUE"""),81.01)</f>
      </c>
      <c r="F421" s="10">
        <f>IFERROR(__xludf.DUMMYFUNCTION("""COMPUTED_VALUE"""),0.4885)</f>
      </c>
      <c r="G421" s="11">
        <f>IFERROR(__xludf.DUMMYFUNCTION("""COMPUTED_VALUE"""),280.3)</f>
      </c>
      <c r="H421" s="10">
        <f>IFERROR(__xludf.DUMMYFUNCTION("""COMPUTED_VALUE"""),0.5441)</f>
      </c>
      <c r="I421" s="11">
        <f>IFERROR(__xludf.DUMMYFUNCTION("""COMPUTED_VALUE"""),"----")</f>
      </c>
      <c r="J421" s="10">
        <f>IFERROR(__xludf.DUMMYFUNCTION("""COMPUTED_VALUE"""),0.7232)</f>
      </c>
      <c r="K421" s="11">
        <f>IFERROR(__xludf.DUMMYFUNCTION("""COMPUTED_VALUE"""),156.71)</f>
      </c>
      <c r="L421" s="10">
        <f>IFERROR(__xludf.DUMMYFUNCTION("""COMPUTED_VALUE"""),0.4804)</f>
      </c>
      <c r="M421" s="11">
        <f>IFERROR(__xludf.DUMMYFUNCTION("""COMPUTED_VALUE"""),299.42)</f>
      </c>
      <c r="N421" s="10">
        <f>IFERROR(__xludf.DUMMYFUNCTION("""COMPUTED_VALUE"""),0.5049)</f>
      </c>
      <c r="O421" s="11">
        <f>IFERROR(__xludf.DUMMYFUNCTION("""COMPUTED_VALUE"""),"----")</f>
      </c>
      <c r="P421" s="12"/>
      <c r="Q421" s="12"/>
      <c r="R421" s="15"/>
      <c r="S421" s="12"/>
      <c r="T421" s="12"/>
      <c r="U421" s="12"/>
      <c r="V421" s="12"/>
      <c r="W421" s="12"/>
      <c r="X421" s="12"/>
      <c r="Y421" s="12"/>
      <c r="Z421" s="12"/>
    </row>
    <row x14ac:dyDescent="0.25" r="422" customHeight="1" ht="15.75">
      <c r="A422" s="8">
        <f>IFERROR(__xludf.DUMMYFUNCTION("""COMPUTED_VALUE"""),25641.0)</f>
      </c>
      <c r="B422" s="9">
        <f>IFERROR(__xludf.DUMMYFUNCTION("""COMPUTED_VALUE"""),"METROPOLITANA IV")</f>
      </c>
      <c r="C422" s="9">
        <f>IFERROR(__xludf.DUMMYFUNCTION("""COMPUTED_VALUE"""),"CE ALICE DE SOUZA BRUNO")</f>
      </c>
      <c r="D422" s="10">
        <f>IFERROR(__xludf.DUMMYFUNCTION("""COMPUTED_VALUE"""),0.8519)</f>
      </c>
      <c r="E422" s="11">
        <f>IFERROR(__xludf.DUMMYFUNCTION("""COMPUTED_VALUE"""),346.08)</f>
      </c>
      <c r="F422" s="10">
        <f>IFERROR(__xludf.DUMMYFUNCTION("""COMPUTED_VALUE"""),0.9877)</f>
      </c>
      <c r="G422" s="11">
        <f>IFERROR(__xludf.DUMMYFUNCTION("""COMPUTED_VALUE"""),406.93)</f>
      </c>
      <c r="H422" s="10">
        <f>IFERROR(__xludf.DUMMYFUNCTION("""COMPUTED_VALUE"""),0.8298)</f>
      </c>
      <c r="I422" s="11">
        <f>IFERROR(__xludf.DUMMYFUNCTION("""COMPUTED_VALUE"""),386.67)</f>
      </c>
      <c r="J422" s="10">
        <f>IFERROR(__xludf.DUMMYFUNCTION("""COMPUTED_VALUE"""),0.8889)</f>
      </c>
      <c r="K422" s="11">
        <f>IFERROR(__xludf.DUMMYFUNCTION("""COMPUTED_VALUE"""),323.5)</f>
      </c>
      <c r="L422" s="10">
        <f>IFERROR(__xludf.DUMMYFUNCTION("""COMPUTED_VALUE"""),0.883)</f>
      </c>
      <c r="M422" s="11">
        <f>IFERROR(__xludf.DUMMYFUNCTION("""COMPUTED_VALUE"""),388.42)</f>
      </c>
      <c r="N422" s="10">
        <f>IFERROR(__xludf.DUMMYFUNCTION("""COMPUTED_VALUE"""),0.883)</f>
      </c>
      <c r="O422" s="11">
        <f>IFERROR(__xludf.DUMMYFUNCTION("""COMPUTED_VALUE"""),332.53)</f>
      </c>
      <c r="P422" s="12"/>
      <c r="Q422" s="12"/>
      <c r="R422" s="15"/>
      <c r="S422" s="12"/>
      <c r="T422" s="12"/>
      <c r="U422" s="12"/>
      <c r="V422" s="12"/>
      <c r="W422" s="12"/>
      <c r="X422" s="12"/>
      <c r="Y422" s="12"/>
      <c r="Z422" s="12"/>
    </row>
    <row x14ac:dyDescent="0.25" r="423" customHeight="1" ht="15.75">
      <c r="A423" s="8">
        <f>IFERROR(__xludf.DUMMYFUNCTION("""COMPUTED_VALUE"""),25558.0)</f>
      </c>
      <c r="B423" s="9">
        <f>IFERROR(__xludf.DUMMYFUNCTION("""COMPUTED_VALUE"""),"METROPOLITANA IV")</f>
      </c>
      <c r="C423" s="9">
        <f>IFERROR(__xludf.DUMMYFUNCTION("""COMPUTED_VALUE"""),"CE ALMIRANTE FRONTIN")</f>
      </c>
      <c r="D423" s="10">
        <f>IFERROR(__xludf.DUMMYFUNCTION("""COMPUTED_VALUE"""),0.5818)</f>
      </c>
      <c r="E423" s="11">
        <f>IFERROR(__xludf.DUMMYFUNCTION("""COMPUTED_VALUE"""),150.25)</f>
      </c>
      <c r="F423" s="10">
        <f>IFERROR(__xludf.DUMMYFUNCTION("""COMPUTED_VALUE"""),0.3273)</f>
      </c>
      <c r="G423" s="11">
        <f>IFERROR(__xludf.DUMMYFUNCTION("""COMPUTED_VALUE"""),343.33)</f>
      </c>
      <c r="H423" s="10">
        <f>IFERROR(__xludf.DUMMYFUNCTION("""COMPUTED_VALUE"""),0.1928)</f>
      </c>
      <c r="I423" s="11">
        <f>IFERROR(__xludf.DUMMYFUNCTION("""COMPUTED_VALUE"""),386.25)</f>
      </c>
      <c r="J423" s="10">
        <f>IFERROR(__xludf.DUMMYFUNCTION("""COMPUTED_VALUE"""),0.5948)</f>
      </c>
      <c r="K423" s="11">
        <f>IFERROR(__xludf.DUMMYFUNCTION("""COMPUTED_VALUE"""),260.87)</f>
      </c>
      <c r="L423" s="10">
        <f>IFERROR(__xludf.DUMMYFUNCTION("""COMPUTED_VALUE"""),0.2711)</f>
      </c>
      <c r="M423" s="11">
        <f>IFERROR(__xludf.DUMMYFUNCTION("""COMPUTED_VALUE"""),410.7)</f>
      </c>
      <c r="N423" s="10">
        <f>IFERROR(__xludf.DUMMYFUNCTION("""COMPUTED_VALUE"""),0.2771)</f>
      </c>
      <c r="O423" s="11">
        <f>IFERROR(__xludf.DUMMYFUNCTION("""COMPUTED_VALUE"""),431.31)</f>
      </c>
      <c r="P423" s="12"/>
      <c r="Q423" s="12"/>
      <c r="R423" s="15"/>
      <c r="S423" s="12"/>
      <c r="T423" s="12"/>
      <c r="U423" s="12"/>
      <c r="V423" s="12"/>
      <c r="W423" s="12"/>
      <c r="X423" s="12"/>
      <c r="Y423" s="12"/>
      <c r="Z423" s="12"/>
    </row>
    <row x14ac:dyDescent="0.25" r="424" customHeight="1" ht="15.75">
      <c r="A424" s="8">
        <f>IFERROR(__xludf.DUMMYFUNCTION("""COMPUTED_VALUE"""),25642.0)</f>
      </c>
      <c r="B424" s="9">
        <f>IFERROR(__xludf.DUMMYFUNCTION("""COMPUTED_VALUE"""),"METROPOLITANA IV")</f>
      </c>
      <c r="C424" s="9">
        <f>IFERROR(__xludf.DUMMYFUNCTION("""COMPUTED_VALUE"""),"CE ALVARINA DE CARVALHO JANOTTI")</f>
      </c>
      <c r="D424" s="10">
        <f>IFERROR(__xludf.DUMMYFUNCTION("""COMPUTED_VALUE"""),0.8851)</f>
      </c>
      <c r="E424" s="11">
        <f>IFERROR(__xludf.DUMMYFUNCTION("""COMPUTED_VALUE"""),133.49)</f>
      </c>
      <c r="F424" s="10">
        <f>IFERROR(__xludf.DUMMYFUNCTION("""COMPUTED_VALUE"""),0.6207)</f>
      </c>
      <c r="G424" s="11">
        <f>IFERROR(__xludf.DUMMYFUNCTION("""COMPUTED_VALUE"""),375.97)</f>
      </c>
      <c r="H424" s="10">
        <f>IFERROR(__xludf.DUMMYFUNCTION("""COMPUTED_VALUE"""),0.5)</f>
      </c>
      <c r="I424" s="11">
        <f>IFERROR(__xludf.DUMMYFUNCTION("""COMPUTED_VALUE"""),427.31)</f>
      </c>
      <c r="J424" s="10">
        <f>IFERROR(__xludf.DUMMYFUNCTION("""COMPUTED_VALUE"""),0.8235)</f>
      </c>
      <c r="K424" s="11">
        <f>IFERROR(__xludf.DUMMYFUNCTION("""COMPUTED_VALUE"""),368.0)</f>
      </c>
      <c r="L424" s="10">
        <f>IFERROR(__xludf.DUMMYFUNCTION("""COMPUTED_VALUE"""),0.5408)</f>
      </c>
      <c r="M424" s="11">
        <f>IFERROR(__xludf.DUMMYFUNCTION("""COMPUTED_VALUE"""),"----")</f>
      </c>
      <c r="N424" s="10">
        <f>IFERROR(__xludf.DUMMYFUNCTION("""COMPUTED_VALUE"""),0.602)</f>
      </c>
      <c r="O424" s="11">
        <f>IFERROR(__xludf.DUMMYFUNCTION("""COMPUTED_VALUE"""),"----")</f>
      </c>
      <c r="P424" s="12"/>
      <c r="Q424" s="12"/>
      <c r="R424" s="15"/>
      <c r="S424" s="12"/>
      <c r="T424" s="12"/>
      <c r="U424" s="12"/>
      <c r="V424" s="12"/>
      <c r="W424" s="12"/>
      <c r="X424" s="12"/>
      <c r="Y424" s="12"/>
      <c r="Z424" s="12"/>
    </row>
    <row x14ac:dyDescent="0.25" r="425" customHeight="1" ht="15.75">
      <c r="A425" s="8">
        <f>IFERROR(__xludf.DUMMYFUNCTION("""COMPUTED_VALUE"""),25559.0)</f>
      </c>
      <c r="B425" s="9">
        <f>IFERROR(__xludf.DUMMYFUNCTION("""COMPUTED_VALUE"""),"METROPOLITANA IV")</f>
      </c>
      <c r="C425" s="9">
        <f>IFERROR(__xludf.DUMMYFUNCTION("""COMPUTED_VALUE"""),"CE AMAZONAS")</f>
      </c>
      <c r="D425" s="10">
        <f>IFERROR(__xludf.DUMMYFUNCTION("""COMPUTED_VALUE"""),0.9547)</f>
      </c>
      <c r="E425" s="11">
        <f>IFERROR(__xludf.DUMMYFUNCTION("""COMPUTED_VALUE"""),108.61)</f>
      </c>
      <c r="F425" s="10">
        <f>IFERROR(__xludf.DUMMYFUNCTION("""COMPUTED_VALUE"""),0.9717)</f>
      </c>
      <c r="G425" s="11">
        <f>IFERROR(__xludf.DUMMYFUNCTION("""COMPUTED_VALUE"""),269.88)</f>
      </c>
      <c r="H425" s="10">
        <f>IFERROR(__xludf.DUMMYFUNCTION("""COMPUTED_VALUE"""),0.6742)</f>
      </c>
      <c r="I425" s="11">
        <f>IFERROR(__xludf.DUMMYFUNCTION("""COMPUTED_VALUE"""),390.56)</f>
      </c>
      <c r="J425" s="10">
        <f>IFERROR(__xludf.DUMMYFUNCTION("""COMPUTED_VALUE"""),0.5694)</f>
      </c>
      <c r="K425" s="11">
        <f>IFERROR(__xludf.DUMMYFUNCTION("""COMPUTED_VALUE"""),241.87)</f>
      </c>
      <c r="L425" s="10">
        <f>IFERROR(__xludf.DUMMYFUNCTION("""COMPUTED_VALUE"""),0.5751)</f>
      </c>
      <c r="M425" s="11">
        <f>IFERROR(__xludf.DUMMYFUNCTION("""COMPUTED_VALUE"""),371.06)</f>
      </c>
      <c r="N425" s="10">
        <f>IFERROR(__xludf.DUMMYFUNCTION("""COMPUTED_VALUE"""),0.6091)</f>
      </c>
      <c r="O425" s="11">
        <f>IFERROR(__xludf.DUMMYFUNCTION("""COMPUTED_VALUE"""),357.57)</f>
      </c>
      <c r="P425" s="12"/>
      <c r="Q425" s="12"/>
      <c r="R425" s="15"/>
      <c r="S425" s="12"/>
      <c r="T425" s="12"/>
      <c r="U425" s="12"/>
      <c r="V425" s="12"/>
      <c r="W425" s="12"/>
      <c r="X425" s="12"/>
      <c r="Y425" s="12"/>
      <c r="Z425" s="12"/>
    </row>
    <row x14ac:dyDescent="0.25" r="426" customHeight="1" ht="15.75">
      <c r="A426" s="8">
        <f>IFERROR(__xludf.DUMMYFUNCTION("""COMPUTED_VALUE"""),25643.0)</f>
      </c>
      <c r="B426" s="9">
        <f>IFERROR(__xludf.DUMMYFUNCTION("""COMPUTED_VALUE"""),"METROPOLITANA IV")</f>
      </c>
      <c r="C426" s="9">
        <f>IFERROR(__xludf.DUMMYFUNCTION("""COMPUTED_VALUE"""),"CE BANANAL")</f>
      </c>
      <c r="D426" s="10">
        <f>IFERROR(__xludf.DUMMYFUNCTION("""COMPUTED_VALUE"""),0.8947)</f>
      </c>
      <c r="E426" s="11">
        <f>IFERROR(__xludf.DUMMYFUNCTION("""COMPUTED_VALUE"""),198.14)</f>
      </c>
      <c r="F426" s="10">
        <f>IFERROR(__xludf.DUMMYFUNCTION("""COMPUTED_VALUE"""),0.5614)</f>
      </c>
      <c r="G426" s="11">
        <f>IFERROR(__xludf.DUMMYFUNCTION("""COMPUTED_VALUE"""),280.0)</f>
      </c>
      <c r="H426" s="10">
        <f>IFERROR(__xludf.DUMMYFUNCTION("""COMPUTED_VALUE"""),0.6316)</f>
      </c>
      <c r="I426" s="11">
        <f>IFERROR(__xludf.DUMMYFUNCTION("""COMPUTED_VALUE"""),338.29)</f>
      </c>
      <c r="J426" s="10">
        <f>IFERROR(__xludf.DUMMYFUNCTION("""COMPUTED_VALUE"""),0.7368)</f>
      </c>
      <c r="K426" s="11">
        <f>IFERROR(__xludf.DUMMYFUNCTION("""COMPUTED_VALUE"""),261.0)</f>
      </c>
      <c r="L426" s="10">
        <f>IFERROR(__xludf.DUMMYFUNCTION("""COMPUTED_VALUE"""),0.614)</f>
      </c>
      <c r="M426" s="11">
        <f>IFERROR(__xludf.DUMMYFUNCTION("""COMPUTED_VALUE"""),333.71)</f>
      </c>
      <c r="N426" s="10">
        <f>IFERROR(__xludf.DUMMYFUNCTION("""COMPUTED_VALUE"""),0.0)</f>
      </c>
      <c r="O426" s="11">
        <f>IFERROR(__xludf.DUMMYFUNCTION("""COMPUTED_VALUE"""),"----")</f>
      </c>
      <c r="P426" s="12"/>
      <c r="Q426" s="12"/>
      <c r="R426" s="15"/>
      <c r="S426" s="12"/>
      <c r="T426" s="12"/>
      <c r="U426" s="12"/>
      <c r="V426" s="12"/>
      <c r="W426" s="12"/>
      <c r="X426" s="12"/>
      <c r="Y426" s="12"/>
      <c r="Z426" s="12"/>
    </row>
    <row x14ac:dyDescent="0.25" r="427" customHeight="1" ht="15.75">
      <c r="A427" s="8">
        <f>IFERROR(__xludf.DUMMYFUNCTION("""COMPUTED_VALUE"""),25560.0)</f>
      </c>
      <c r="B427" s="9">
        <f>IFERROR(__xludf.DUMMYFUNCTION("""COMPUTED_VALUE"""),"METROPOLITANA IV")</f>
      </c>
      <c r="C427" s="9">
        <f>IFERROR(__xludf.DUMMYFUNCTION("""COMPUTED_VALUE"""),"CE BANGU")</f>
      </c>
      <c r="D427" s="10">
        <f>IFERROR(__xludf.DUMMYFUNCTION("""COMPUTED_VALUE"""),0.4848)</f>
      </c>
      <c r="E427" s="11">
        <f>IFERROR(__xludf.DUMMYFUNCTION("""COMPUTED_VALUE"""),134.11)</f>
      </c>
      <c r="F427" s="10">
        <f>IFERROR(__xludf.DUMMYFUNCTION("""COMPUTED_VALUE"""),0.4338)</f>
      </c>
      <c r="G427" s="11">
        <f>IFERROR(__xludf.DUMMYFUNCTION("""COMPUTED_VALUE"""),335.31)</f>
      </c>
      <c r="H427" s="10">
        <f>IFERROR(__xludf.DUMMYFUNCTION("""COMPUTED_VALUE"""),0.4341)</f>
      </c>
      <c r="I427" s="11">
        <f>IFERROR(__xludf.DUMMYFUNCTION("""COMPUTED_VALUE"""),391.59)</f>
      </c>
      <c r="J427" s="10">
        <f>IFERROR(__xludf.DUMMYFUNCTION("""COMPUTED_VALUE"""),0.4712)</f>
      </c>
      <c r="K427" s="11">
        <f>IFERROR(__xludf.DUMMYFUNCTION("""COMPUTED_VALUE"""),189.39)</f>
      </c>
      <c r="L427" s="10">
        <f>IFERROR(__xludf.DUMMYFUNCTION("""COMPUTED_VALUE"""),0.3931)</f>
      </c>
      <c r="M427" s="11">
        <f>IFERROR(__xludf.DUMMYFUNCTION("""COMPUTED_VALUE"""),383.96)</f>
      </c>
      <c r="N427" s="10">
        <f>IFERROR(__xludf.DUMMYFUNCTION("""COMPUTED_VALUE"""),0.4441)</f>
      </c>
      <c r="O427" s="11">
        <f>IFERROR(__xludf.DUMMYFUNCTION("""COMPUTED_VALUE"""),390.63)</f>
      </c>
      <c r="P427" s="12"/>
      <c r="Q427" s="12"/>
      <c r="R427" s="15"/>
      <c r="S427" s="12"/>
      <c r="T427" s="12"/>
      <c r="U427" s="12"/>
      <c r="V427" s="12"/>
      <c r="W427" s="12"/>
      <c r="X427" s="12"/>
      <c r="Y427" s="12"/>
      <c r="Z427" s="12"/>
    </row>
    <row x14ac:dyDescent="0.25" r="428" customHeight="1" ht="15.75">
      <c r="A428" s="8">
        <f>IFERROR(__xludf.DUMMYFUNCTION("""COMPUTED_VALUE"""),25561.0)</f>
      </c>
      <c r="B428" s="9">
        <f>IFERROR(__xludf.DUMMYFUNCTION("""COMPUTED_VALUE"""),"METROPOLITANA IV")</f>
      </c>
      <c r="C428" s="9">
        <f>IFERROR(__xludf.DUMMYFUNCTION("""COMPUTED_VALUE"""),"CE BARÃO DE ITARARÉ")</f>
      </c>
      <c r="D428" s="10">
        <f>IFERROR(__xludf.DUMMYFUNCTION("""COMPUTED_VALUE"""),0.6053)</f>
      </c>
      <c r="E428" s="11">
        <f>IFERROR(__xludf.DUMMYFUNCTION("""COMPUTED_VALUE"""),80.0)</f>
      </c>
      <c r="F428" s="10">
        <f>IFERROR(__xludf.DUMMYFUNCTION("""COMPUTED_VALUE"""),0.4474)</f>
      </c>
      <c r="G428" s="11">
        <f>IFERROR(__xludf.DUMMYFUNCTION("""COMPUTED_VALUE"""),287.06)</f>
      </c>
      <c r="H428" s="10">
        <f>IFERROR(__xludf.DUMMYFUNCTION("""COMPUTED_VALUE"""),0.1205)</f>
      </c>
      <c r="I428" s="11">
        <f>IFERROR(__xludf.DUMMYFUNCTION("""COMPUTED_VALUE"""),280.0)</f>
      </c>
      <c r="J428" s="10">
        <f>IFERROR(__xludf.DUMMYFUNCTION("""COMPUTED_VALUE"""),0.8889)</f>
      </c>
      <c r="K428" s="11">
        <f>IFERROR(__xludf.DUMMYFUNCTION("""COMPUTED_VALUE"""),207.78)</f>
      </c>
      <c r="L428" s="10">
        <f>IFERROR(__xludf.DUMMYFUNCTION("""COMPUTED_VALUE"""),0.0)</f>
      </c>
      <c r="M428" s="11">
        <f>IFERROR(__xludf.DUMMYFUNCTION("""COMPUTED_VALUE"""),"----")</f>
      </c>
      <c r="N428" s="10">
        <f>IFERROR(__xludf.DUMMYFUNCTION("""COMPUTED_VALUE"""),0.3494)</f>
      </c>
      <c r="O428" s="11">
        <f>IFERROR(__xludf.DUMMYFUNCTION("""COMPUTED_VALUE"""),331.03)</f>
      </c>
      <c r="P428" s="12"/>
      <c r="Q428" s="12"/>
      <c r="R428" s="15"/>
      <c r="S428" s="12"/>
      <c r="T428" s="12"/>
      <c r="U428" s="12"/>
      <c r="V428" s="12"/>
      <c r="W428" s="12"/>
      <c r="X428" s="12"/>
      <c r="Y428" s="12"/>
      <c r="Z428" s="12"/>
    </row>
    <row x14ac:dyDescent="0.25" r="429" customHeight="1" ht="15.75">
      <c r="A429" s="8">
        <f>IFERROR(__xludf.DUMMYFUNCTION("""COMPUTED_VALUE"""),25562.0)</f>
      </c>
      <c r="B429" s="9">
        <f>IFERROR(__xludf.DUMMYFUNCTION("""COMPUTED_VALUE"""),"METROPOLITANA IV")</f>
      </c>
      <c r="C429" s="9">
        <f>IFERROR(__xludf.DUMMYFUNCTION("""COMPUTED_VALUE"""),"CE BARÃO DE SANTA MARGARIDA")</f>
      </c>
      <c r="D429" s="10">
        <f>IFERROR(__xludf.DUMMYFUNCTION("""COMPUTED_VALUE"""),0.4)</f>
      </c>
      <c r="E429" s="11">
        <f>IFERROR(__xludf.DUMMYFUNCTION("""COMPUTED_VALUE"""),112.38)</f>
      </c>
      <c r="F429" s="10">
        <f>IFERROR(__xludf.DUMMYFUNCTION("""COMPUTED_VALUE"""),0.2833)</f>
      </c>
      <c r="G429" s="11">
        <f>IFERROR(__xludf.DUMMYFUNCTION("""COMPUTED_VALUE"""),385.88)</f>
      </c>
      <c r="H429" s="10">
        <f>IFERROR(__xludf.DUMMYFUNCTION("""COMPUTED_VALUE"""),0.0833)</f>
      </c>
      <c r="I429" s="11">
        <f>IFERROR(__xludf.DUMMYFUNCTION("""COMPUTED_VALUE"""),342.5)</f>
      </c>
      <c r="J429" s="10">
        <f>IFERROR(__xludf.DUMMYFUNCTION("""COMPUTED_VALUE"""),0.3222)</f>
      </c>
      <c r="K429" s="11">
        <f>IFERROR(__xludf.DUMMYFUNCTION("""COMPUTED_VALUE"""),443.64)</f>
      </c>
      <c r="L429" s="10">
        <f>IFERROR(__xludf.DUMMYFUNCTION("""COMPUTED_VALUE"""),0.1823)</f>
      </c>
      <c r="M429" s="11">
        <f>IFERROR(__xludf.DUMMYFUNCTION("""COMPUTED_VALUE"""),333.71)</f>
      </c>
      <c r="N429" s="10">
        <f>IFERROR(__xludf.DUMMYFUNCTION("""COMPUTED_VALUE"""),0.3125)</f>
      </c>
      <c r="O429" s="11">
        <f>IFERROR(__xludf.DUMMYFUNCTION("""COMPUTED_VALUE"""),330.17)</f>
      </c>
      <c r="P429" s="12"/>
      <c r="Q429" s="12"/>
      <c r="R429" s="15"/>
      <c r="S429" s="12"/>
      <c r="T429" s="12"/>
      <c r="U429" s="12"/>
      <c r="V429" s="12"/>
      <c r="W429" s="12"/>
      <c r="X429" s="12"/>
      <c r="Y429" s="12"/>
      <c r="Z429" s="12"/>
    </row>
    <row x14ac:dyDescent="0.25" r="430" customHeight="1" ht="15.75">
      <c r="A430" s="8">
        <f>IFERROR(__xludf.DUMMYFUNCTION("""COMPUTED_VALUE"""),25644.0)</f>
      </c>
      <c r="B430" s="9">
        <f>IFERROR(__xludf.DUMMYFUNCTION("""COMPUTED_VALUE"""),"METROPOLITANA IV")</f>
      </c>
      <c r="C430" s="9">
        <f>IFERROR(__xludf.DUMMYFUNCTION("""COMPUTED_VALUE"""),"CE BARAO DE TEFE")</f>
      </c>
      <c r="D430" s="10">
        <f>IFERROR(__xludf.DUMMYFUNCTION("""COMPUTED_VALUE"""),0.8143)</f>
      </c>
      <c r="E430" s="11">
        <f>IFERROR(__xludf.DUMMYFUNCTION("""COMPUTED_VALUE"""),255.55)</f>
      </c>
      <c r="F430" s="10">
        <f>IFERROR(__xludf.DUMMYFUNCTION("""COMPUTED_VALUE"""),0.7131)</f>
      </c>
      <c r="G430" s="11">
        <f>IFERROR(__xludf.DUMMYFUNCTION("""COMPUTED_VALUE"""),433.0)</f>
      </c>
      <c r="H430" s="10">
        <f>IFERROR(__xludf.DUMMYFUNCTION("""COMPUTED_VALUE"""),0.6088)</f>
      </c>
      <c r="I430" s="11">
        <f>IFERROR(__xludf.DUMMYFUNCTION("""COMPUTED_VALUE"""),505.63)</f>
      </c>
      <c r="J430" s="10">
        <f>IFERROR(__xludf.DUMMYFUNCTION("""COMPUTED_VALUE"""),0.7619)</f>
      </c>
      <c r="K430" s="11">
        <f>IFERROR(__xludf.DUMMYFUNCTION("""COMPUTED_VALUE"""),361.01)</f>
      </c>
      <c r="L430" s="10">
        <f>IFERROR(__xludf.DUMMYFUNCTION("""COMPUTED_VALUE"""),0.551)</f>
      </c>
      <c r="M430" s="11">
        <f>IFERROR(__xludf.DUMMYFUNCTION("""COMPUTED_VALUE"""),478.03)</f>
      </c>
      <c r="N430" s="10">
        <f>IFERROR(__xludf.DUMMYFUNCTION("""COMPUTED_VALUE"""),0.5068)</f>
      </c>
      <c r="O430" s="11">
        <f>IFERROR(__xludf.DUMMYFUNCTION("""COMPUTED_VALUE"""),464.43)</f>
      </c>
      <c r="P430" s="12"/>
      <c r="Q430" s="12"/>
      <c r="R430" s="15"/>
      <c r="S430" s="12"/>
      <c r="T430" s="12"/>
      <c r="U430" s="12"/>
      <c r="V430" s="12"/>
      <c r="W430" s="12"/>
      <c r="X430" s="12"/>
      <c r="Y430" s="12"/>
      <c r="Z430" s="12"/>
    </row>
    <row x14ac:dyDescent="0.25" r="431" customHeight="1" ht="15.75">
      <c r="A431" s="8">
        <f>IFERROR(__xludf.DUMMYFUNCTION("""COMPUTED_VALUE"""),25563.0)</f>
      </c>
      <c r="B431" s="9">
        <f>IFERROR(__xludf.DUMMYFUNCTION("""COMPUTED_VALUE"""),"METROPOLITANA IV")</f>
      </c>
      <c r="C431" s="9">
        <f>IFERROR(__xludf.DUMMYFUNCTION("""COMPUTED_VALUE"""),"CE BARAO DO RIO BRANCO")</f>
      </c>
      <c r="D431" s="10">
        <f>IFERROR(__xludf.DUMMYFUNCTION("""COMPUTED_VALUE"""),0.8831)</f>
      </c>
      <c r="E431" s="11">
        <f>IFERROR(__xludf.DUMMYFUNCTION("""COMPUTED_VALUE"""),209.52)</f>
      </c>
      <c r="F431" s="10">
        <f>IFERROR(__xludf.DUMMYFUNCTION("""COMPUTED_VALUE"""),0.9601)</f>
      </c>
      <c r="G431" s="11">
        <f>IFERROR(__xludf.DUMMYFUNCTION("""COMPUTED_VALUE"""),296.7)</f>
      </c>
      <c r="H431" s="10">
        <f>IFERROR(__xludf.DUMMYFUNCTION("""COMPUTED_VALUE"""),0.6195)</f>
      </c>
      <c r="I431" s="11">
        <f>IFERROR(__xludf.DUMMYFUNCTION("""COMPUTED_VALUE"""),408.85)</f>
      </c>
      <c r="J431" s="10">
        <f>IFERROR(__xludf.DUMMYFUNCTION("""COMPUTED_VALUE"""),0.6254)</f>
      </c>
      <c r="K431" s="11">
        <f>IFERROR(__xludf.DUMMYFUNCTION("""COMPUTED_VALUE"""),297.68)</f>
      </c>
      <c r="L431" s="10">
        <f>IFERROR(__xludf.DUMMYFUNCTION("""COMPUTED_VALUE"""),0.5483)</f>
      </c>
      <c r="M431" s="11">
        <f>IFERROR(__xludf.DUMMYFUNCTION("""COMPUTED_VALUE"""),385.92)</f>
      </c>
      <c r="N431" s="10">
        <f>IFERROR(__xludf.DUMMYFUNCTION("""COMPUTED_VALUE"""),0.587)</f>
      </c>
      <c r="O431" s="11">
        <f>IFERROR(__xludf.DUMMYFUNCTION("""COMPUTED_VALUE"""),415.99)</f>
      </c>
      <c r="P431" s="12"/>
      <c r="Q431" s="12"/>
      <c r="R431" s="15"/>
      <c r="S431" s="12"/>
      <c r="T431" s="12"/>
      <c r="U431" s="12"/>
      <c r="V431" s="12"/>
      <c r="W431" s="12"/>
      <c r="X431" s="12"/>
      <c r="Y431" s="12"/>
      <c r="Z431" s="12"/>
    </row>
    <row x14ac:dyDescent="0.25" r="432" customHeight="1" ht="15.75">
      <c r="A432" s="8">
        <f>IFERROR(__xludf.DUMMYFUNCTION("""COMPUTED_VALUE"""),25564.0)</f>
      </c>
      <c r="B432" s="9">
        <f>IFERROR(__xludf.DUMMYFUNCTION("""COMPUTED_VALUE"""),"METROPOLITANA IV")</f>
      </c>
      <c r="C432" s="9">
        <f>IFERROR(__xludf.DUMMYFUNCTION("""COMPUTED_VALUE"""),"CE BARONESA DE SAAVEDRA")</f>
      </c>
      <c r="D432" s="10">
        <f>IFERROR(__xludf.DUMMYFUNCTION("""COMPUTED_VALUE"""),0.8475)</f>
      </c>
      <c r="E432" s="11">
        <f>IFERROR(__xludf.DUMMYFUNCTION("""COMPUTED_VALUE"""),119.58)</f>
      </c>
      <c r="F432" s="10">
        <f>IFERROR(__xludf.DUMMYFUNCTION("""COMPUTED_VALUE"""),0.0)</f>
      </c>
      <c r="G432" s="11">
        <f>IFERROR(__xludf.DUMMYFUNCTION("""COMPUTED_VALUE"""),"----")</f>
      </c>
      <c r="H432" s="10">
        <f>IFERROR(__xludf.DUMMYFUNCTION("""COMPUTED_VALUE"""),0.5042)</f>
      </c>
      <c r="I432" s="11">
        <f>IFERROR(__xludf.DUMMYFUNCTION("""COMPUTED_VALUE"""),170.0)</f>
      </c>
      <c r="J432" s="10">
        <f>IFERROR(__xludf.DUMMYFUNCTION("""COMPUTED_VALUE"""),0.7051)</f>
      </c>
      <c r="K432" s="11">
        <f>IFERROR(__xludf.DUMMYFUNCTION("""COMPUTED_VALUE"""),103.9)</f>
      </c>
      <c r="L432" s="10">
        <f>IFERROR(__xludf.DUMMYFUNCTION("""COMPUTED_VALUE"""),0.6303)</f>
      </c>
      <c r="M432" s="11">
        <f>IFERROR(__xludf.DUMMYFUNCTION("""COMPUTED_VALUE"""),150.62)</f>
      </c>
      <c r="N432" s="10">
        <f>IFERROR(__xludf.DUMMYFUNCTION("""COMPUTED_VALUE"""),0.6303)</f>
      </c>
      <c r="O432" s="11">
        <f>IFERROR(__xludf.DUMMYFUNCTION("""COMPUTED_VALUE"""),128.37)</f>
      </c>
      <c r="P432" s="12"/>
      <c r="Q432" s="12"/>
      <c r="R432" s="15"/>
      <c r="S432" s="12"/>
      <c r="T432" s="12"/>
      <c r="U432" s="12"/>
      <c r="V432" s="12"/>
      <c r="W432" s="12"/>
      <c r="X432" s="12"/>
      <c r="Y432" s="12"/>
      <c r="Z432" s="12"/>
    </row>
    <row x14ac:dyDescent="0.25" r="433" customHeight="1" ht="15.75">
      <c r="A433" s="8">
        <f>IFERROR(__xludf.DUMMYFUNCTION("""COMPUTED_VALUE"""),25565.0)</f>
      </c>
      <c r="B433" s="9">
        <f>IFERROR(__xludf.DUMMYFUNCTION("""COMPUTED_VALUE"""),"METROPOLITANA IV")</f>
      </c>
      <c r="C433" s="9">
        <f>IFERROR(__xludf.DUMMYFUNCTION("""COMPUTED_VALUE"""),"CE CARLOS ARNOLDO ABRUZZINI DA FONSECA")</f>
      </c>
      <c r="D433" s="10">
        <f>IFERROR(__xludf.DUMMYFUNCTION("""COMPUTED_VALUE"""),0.6141)</f>
      </c>
      <c r="E433" s="11">
        <f>IFERROR(__xludf.DUMMYFUNCTION("""COMPUTED_VALUE"""),142.22)</f>
      </c>
      <c r="F433" s="10">
        <f>IFERROR(__xludf.DUMMYFUNCTION("""COMPUTED_VALUE"""),0.5058)</f>
      </c>
      <c r="G433" s="11">
        <f>IFERROR(__xludf.DUMMYFUNCTION("""COMPUTED_VALUE"""),285.67)</f>
      </c>
      <c r="H433" s="10">
        <f>IFERROR(__xludf.DUMMYFUNCTION("""COMPUTED_VALUE"""),0.3573)</f>
      </c>
      <c r="I433" s="11">
        <f>IFERROR(__xludf.DUMMYFUNCTION("""COMPUTED_VALUE"""),346.73)</f>
      </c>
      <c r="J433" s="10">
        <f>IFERROR(__xludf.DUMMYFUNCTION("""COMPUTED_VALUE"""),0.3836)</f>
      </c>
      <c r="K433" s="11">
        <f>IFERROR(__xludf.DUMMYFUNCTION("""COMPUTED_VALUE"""),178.48)</f>
      </c>
      <c r="L433" s="10">
        <f>IFERROR(__xludf.DUMMYFUNCTION("""COMPUTED_VALUE"""),0.4587)</f>
      </c>
      <c r="M433" s="11">
        <f>IFERROR(__xludf.DUMMYFUNCTION("""COMPUTED_VALUE"""),311.73)</f>
      </c>
      <c r="N433" s="10">
        <f>IFERROR(__xludf.DUMMYFUNCTION("""COMPUTED_VALUE"""),0.4758)</f>
      </c>
      <c r="O433" s="11">
        <f>IFERROR(__xludf.DUMMYFUNCTION("""COMPUTED_VALUE"""),346.14)</f>
      </c>
      <c r="P433" s="12"/>
      <c r="Q433" s="12"/>
      <c r="R433" s="15"/>
      <c r="S433" s="12"/>
      <c r="T433" s="12"/>
      <c r="U433" s="12"/>
      <c r="V433" s="12"/>
      <c r="W433" s="12"/>
      <c r="X433" s="12"/>
      <c r="Y433" s="12"/>
      <c r="Z433" s="12"/>
    </row>
    <row x14ac:dyDescent="0.25" r="434" customHeight="1" ht="15.75">
      <c r="A434" s="8">
        <f>IFERROR(__xludf.DUMMYFUNCTION("""COMPUTED_VALUE"""),25566.0)</f>
      </c>
      <c r="B434" s="9">
        <f>IFERROR(__xludf.DUMMYFUNCTION("""COMPUTED_VALUE"""),"METROPOLITANA IV")</f>
      </c>
      <c r="C434" s="9">
        <f>IFERROR(__xludf.DUMMYFUNCTION("""COMPUTED_VALUE"""),"CE CARLOS MAGNO NAZARETH CERQUEIRA")</f>
      </c>
      <c r="D434" s="10">
        <f>IFERROR(__xludf.DUMMYFUNCTION("""COMPUTED_VALUE"""),0.9525)</f>
      </c>
      <c r="E434" s="11">
        <f>IFERROR(__xludf.DUMMYFUNCTION("""COMPUTED_VALUE"""),52.18)</f>
      </c>
      <c r="F434" s="10">
        <f>IFERROR(__xludf.DUMMYFUNCTION("""COMPUTED_VALUE"""),0.5119)</f>
      </c>
      <c r="G434" s="11">
        <f>IFERROR(__xludf.DUMMYFUNCTION("""COMPUTED_VALUE"""),275.72)</f>
      </c>
      <c r="H434" s="10">
        <f>IFERROR(__xludf.DUMMYFUNCTION("""COMPUTED_VALUE"""),0.533)</f>
      </c>
      <c r="I434" s="11">
        <f>IFERROR(__xludf.DUMMYFUNCTION("""COMPUTED_VALUE"""),309.2)</f>
      </c>
      <c r="J434" s="10">
        <f>IFERROR(__xludf.DUMMYFUNCTION("""COMPUTED_VALUE"""),0.4644)</f>
      </c>
      <c r="K434" s="11">
        <f>IFERROR(__xludf.DUMMYFUNCTION("""COMPUTED_VALUE"""),174.37)</f>
      </c>
      <c r="L434" s="10">
        <f>IFERROR(__xludf.DUMMYFUNCTION("""COMPUTED_VALUE"""),0.4406)</f>
      </c>
      <c r="M434" s="11">
        <f>IFERROR(__xludf.DUMMYFUNCTION("""COMPUTED_VALUE"""),279.27)</f>
      </c>
      <c r="N434" s="10">
        <f>IFERROR(__xludf.DUMMYFUNCTION("""COMPUTED_VALUE"""),0.343)</f>
      </c>
      <c r="O434" s="11">
        <f>IFERROR(__xludf.DUMMYFUNCTION("""COMPUTED_VALUE"""),295.43)</f>
      </c>
      <c r="P434" s="12"/>
      <c r="Q434" s="12"/>
      <c r="R434" s="15"/>
      <c r="S434" s="12"/>
      <c r="T434" s="12"/>
      <c r="U434" s="12"/>
      <c r="V434" s="12"/>
      <c r="W434" s="12"/>
      <c r="X434" s="12"/>
      <c r="Y434" s="12"/>
      <c r="Z434" s="12"/>
    </row>
    <row x14ac:dyDescent="0.25" r="435" customHeight="1" ht="15.75">
      <c r="A435" s="8">
        <f>IFERROR(__xludf.DUMMYFUNCTION("""COMPUTED_VALUE"""),25567.0)</f>
      </c>
      <c r="B435" s="9">
        <f>IFERROR(__xludf.DUMMYFUNCTION("""COMPUTED_VALUE"""),"METROPOLITANA IV")</f>
      </c>
      <c r="C435" s="9">
        <f>IFERROR(__xludf.DUMMYFUNCTION("""COMPUTED_VALUE"""),"CE CHARLES DICKENS")</f>
      </c>
      <c r="D435" s="10">
        <f>IFERROR(__xludf.DUMMYFUNCTION("""COMPUTED_VALUE"""),0.5135)</f>
      </c>
      <c r="E435" s="11">
        <f>IFERROR(__xludf.DUMMYFUNCTION("""COMPUTED_VALUE"""),231.11)</f>
      </c>
      <c r="F435" s="10">
        <f>IFERROR(__xludf.DUMMYFUNCTION("""COMPUTED_VALUE"""),0.3784)</f>
      </c>
      <c r="G435" s="11">
        <f>IFERROR(__xludf.DUMMYFUNCTION("""COMPUTED_VALUE"""),434.29)</f>
      </c>
      <c r="H435" s="10">
        <f>IFERROR(__xludf.DUMMYFUNCTION("""COMPUTED_VALUE"""),0.069)</f>
      </c>
      <c r="I435" s="11">
        <f>IFERROR(__xludf.DUMMYFUNCTION("""COMPUTED_VALUE"""),366.67)</f>
      </c>
      <c r="J435" s="10">
        <f>IFERROR(__xludf.DUMMYFUNCTION("""COMPUTED_VALUE"""),0.68)</f>
      </c>
      <c r="K435" s="11">
        <f>IFERROR(__xludf.DUMMYFUNCTION("""COMPUTED_VALUE"""),350.59)</f>
      </c>
      <c r="L435" s="10">
        <f>IFERROR(__xludf.DUMMYFUNCTION("""COMPUTED_VALUE"""),0.2989)</f>
      </c>
      <c r="M435" s="11">
        <f>IFERROR(__xludf.DUMMYFUNCTION("""COMPUTED_VALUE"""),416.92)</f>
      </c>
      <c r="N435" s="10">
        <f>IFERROR(__xludf.DUMMYFUNCTION("""COMPUTED_VALUE"""),0.2989)</f>
      </c>
      <c r="O435" s="11">
        <f>IFERROR(__xludf.DUMMYFUNCTION("""COMPUTED_VALUE"""),475.38)</f>
      </c>
      <c r="P435" s="12"/>
      <c r="Q435" s="12"/>
      <c r="R435" s="15"/>
      <c r="S435" s="12"/>
      <c r="T435" s="12"/>
      <c r="U435" s="12"/>
      <c r="V435" s="12"/>
      <c r="W435" s="12"/>
      <c r="X435" s="12"/>
      <c r="Y435" s="12"/>
      <c r="Z435" s="12"/>
    </row>
    <row x14ac:dyDescent="0.25" r="436" customHeight="1" ht="15.75">
      <c r="A436" s="8">
        <f>IFERROR(__xludf.DUMMYFUNCTION("""COMPUTED_VALUE"""),25544.0)</f>
      </c>
      <c r="B436" s="9">
        <f>IFERROR(__xludf.DUMMYFUNCTION("""COMPUTED_VALUE"""),"METROPOLITANA IV")</f>
      </c>
      <c r="C436" s="9">
        <f>IFERROR(__xludf.DUMMYFUNCTION("""COMPUTED_VALUE"""),"CE CLODOMIRO VASCONCELOS")</f>
      </c>
      <c r="D436" s="10">
        <f>IFERROR(__xludf.DUMMYFUNCTION("""COMPUTED_VALUE"""),0.7844)</f>
      </c>
      <c r="E436" s="11">
        <f>IFERROR(__xludf.DUMMYFUNCTION("""COMPUTED_VALUE"""),276.73)</f>
      </c>
      <c r="F436" s="10">
        <f>IFERROR(__xludf.DUMMYFUNCTION("""COMPUTED_VALUE"""),0.6486)</f>
      </c>
      <c r="G436" s="11">
        <f>IFERROR(__xludf.DUMMYFUNCTION("""COMPUTED_VALUE"""),429.58)</f>
      </c>
      <c r="H436" s="10">
        <f>IFERROR(__xludf.DUMMYFUNCTION("""COMPUTED_VALUE"""),0.7009)</f>
      </c>
      <c r="I436" s="11">
        <f>IFERROR(__xludf.DUMMYFUNCTION("""COMPUTED_VALUE"""),431.72)</f>
      </c>
      <c r="J436" s="10">
        <f>IFERROR(__xludf.DUMMYFUNCTION("""COMPUTED_VALUE"""),0.6034)</f>
      </c>
      <c r="K436" s="11">
        <f>IFERROR(__xludf.DUMMYFUNCTION("""COMPUTED_VALUE"""),316.25)</f>
      </c>
      <c r="L436" s="10">
        <f>IFERROR(__xludf.DUMMYFUNCTION("""COMPUTED_VALUE"""),0.5863)</f>
      </c>
      <c r="M436" s="11">
        <f>IFERROR(__xludf.DUMMYFUNCTION("""COMPUTED_VALUE"""),410.67)</f>
      </c>
      <c r="N436" s="10">
        <f>IFERROR(__xludf.DUMMYFUNCTION("""COMPUTED_VALUE"""),0.6821)</f>
      </c>
      <c r="O436" s="11">
        <f>IFERROR(__xludf.DUMMYFUNCTION("""COMPUTED_VALUE"""),448.08)</f>
      </c>
      <c r="P436" s="12"/>
      <c r="Q436" s="12"/>
      <c r="R436" s="15"/>
      <c r="S436" s="12"/>
      <c r="T436" s="12"/>
      <c r="U436" s="12"/>
      <c r="V436" s="12"/>
      <c r="W436" s="12"/>
      <c r="X436" s="12"/>
      <c r="Y436" s="12"/>
      <c r="Z436" s="12"/>
    </row>
    <row x14ac:dyDescent="0.25" r="437" customHeight="1" ht="15.75">
      <c r="A437" s="8">
        <f>IFERROR(__xludf.DUMMYFUNCTION("""COMPUTED_VALUE"""),25568.0)</f>
      </c>
      <c r="B437" s="9">
        <f>IFERROR(__xludf.DUMMYFUNCTION("""COMPUTED_VALUE"""),"METROPOLITANA IV")</f>
      </c>
      <c r="C437" s="9">
        <f>IFERROR(__xludf.DUMMYFUNCTION("""COMPUTED_VALUE"""),"CE COELHO NETO")</f>
      </c>
      <c r="D437" s="10">
        <f>IFERROR(__xludf.DUMMYFUNCTION("""COMPUTED_VALUE"""),0.75)</f>
      </c>
      <c r="E437" s="11">
        <f>IFERROR(__xludf.DUMMYFUNCTION("""COMPUTED_VALUE"""),270.51)</f>
      </c>
      <c r="F437" s="10">
        <f>IFERROR(__xludf.DUMMYFUNCTION("""COMPUTED_VALUE"""),0.7262)</f>
      </c>
      <c r="G437" s="11">
        <f>IFERROR(__xludf.DUMMYFUNCTION("""COMPUTED_VALUE"""),434.0)</f>
      </c>
      <c r="H437" s="10">
        <f>IFERROR(__xludf.DUMMYFUNCTION("""COMPUTED_VALUE"""),0.4524)</f>
      </c>
      <c r="I437" s="11">
        <f>IFERROR(__xludf.DUMMYFUNCTION("""COMPUTED_VALUE"""),395.79)</f>
      </c>
      <c r="J437" s="10">
        <f>IFERROR(__xludf.DUMMYFUNCTION("""COMPUTED_VALUE"""),0.631)</f>
      </c>
      <c r="K437" s="11">
        <f>IFERROR(__xludf.DUMMYFUNCTION("""COMPUTED_VALUE"""),379.13)</f>
      </c>
      <c r="L437" s="10">
        <f>IFERROR(__xludf.DUMMYFUNCTION("""COMPUTED_VALUE"""),0.5238)</f>
      </c>
      <c r="M437" s="11">
        <f>IFERROR(__xludf.DUMMYFUNCTION("""COMPUTED_VALUE"""),438.14)</f>
      </c>
      <c r="N437" s="10">
        <f>IFERROR(__xludf.DUMMYFUNCTION("""COMPUTED_VALUE"""),0.3929)</f>
      </c>
      <c r="O437" s="11">
        <f>IFERROR(__xludf.DUMMYFUNCTION("""COMPUTED_VALUE"""),464.24)</f>
      </c>
      <c r="P437" s="12"/>
      <c r="Q437" s="12"/>
      <c r="R437" s="15"/>
      <c r="S437" s="12"/>
      <c r="T437" s="12"/>
      <c r="U437" s="12"/>
      <c r="V437" s="12"/>
      <c r="W437" s="12"/>
      <c r="X437" s="12"/>
      <c r="Y437" s="12"/>
      <c r="Z437" s="12"/>
    </row>
    <row x14ac:dyDescent="0.25" r="438" customHeight="1" ht="15.75">
      <c r="A438" s="8">
        <f>IFERROR(__xludf.DUMMYFUNCTION("""COMPUTED_VALUE"""),25569.0)</f>
      </c>
      <c r="B438" s="9">
        <f>IFERROR(__xludf.DUMMYFUNCTION("""COMPUTED_VALUE"""),"METROPOLITANA IV")</f>
      </c>
      <c r="C438" s="9">
        <f>IFERROR(__xludf.DUMMYFUNCTION("""COMPUTED_VALUE"""),"CE COLLECCHIO")</f>
      </c>
      <c r="D438" s="10">
        <f>IFERROR(__xludf.DUMMYFUNCTION("""COMPUTED_VALUE"""),0.6482)</f>
      </c>
      <c r="E438" s="11">
        <f>IFERROR(__xludf.DUMMYFUNCTION("""COMPUTED_VALUE"""),137.14)</f>
      </c>
      <c r="F438" s="10">
        <f>IFERROR(__xludf.DUMMYFUNCTION("""COMPUTED_VALUE"""),0.505)</f>
      </c>
      <c r="G438" s="11">
        <f>IFERROR(__xludf.DUMMYFUNCTION("""COMPUTED_VALUE"""),318.2)</f>
      </c>
      <c r="H438" s="10">
        <f>IFERROR(__xludf.DUMMYFUNCTION("""COMPUTED_VALUE"""),0.3957)</f>
      </c>
      <c r="I438" s="11">
        <f>IFERROR(__xludf.DUMMYFUNCTION("""COMPUTED_VALUE"""),396.81)</f>
      </c>
      <c r="J438" s="10">
        <f>IFERROR(__xludf.DUMMYFUNCTION("""COMPUTED_VALUE"""),0.3674)</f>
      </c>
      <c r="K438" s="11">
        <f>IFERROR(__xludf.DUMMYFUNCTION("""COMPUTED_VALUE"""),207.9)</f>
      </c>
      <c r="L438" s="10">
        <f>IFERROR(__xludf.DUMMYFUNCTION("""COMPUTED_VALUE"""),0.3191)</f>
      </c>
      <c r="M438" s="11">
        <f>IFERROR(__xludf.DUMMYFUNCTION("""COMPUTED_VALUE"""),329.64)</f>
      </c>
      <c r="N438" s="10">
        <f>IFERROR(__xludf.DUMMYFUNCTION("""COMPUTED_VALUE"""),0.0085)</f>
      </c>
      <c r="O438" s="11">
        <f>IFERROR(__xludf.DUMMYFUNCTION("""COMPUTED_VALUE"""),433.33)</f>
      </c>
      <c r="P438" s="12"/>
      <c r="Q438" s="12"/>
      <c r="R438" s="15"/>
      <c r="S438" s="12"/>
      <c r="T438" s="12"/>
      <c r="U438" s="12"/>
      <c r="V438" s="12"/>
      <c r="W438" s="12"/>
      <c r="X438" s="12"/>
      <c r="Y438" s="12"/>
      <c r="Z438" s="12"/>
    </row>
    <row x14ac:dyDescent="0.25" r="439" customHeight="1" ht="15.75">
      <c r="A439" s="8">
        <f>IFERROR(__xludf.DUMMYFUNCTION("""COMPUTED_VALUE"""),25570.0)</f>
      </c>
      <c r="B439" s="9">
        <f>IFERROR(__xludf.DUMMYFUNCTION("""COMPUTED_VALUE"""),"METROPOLITANA IV")</f>
      </c>
      <c r="C439" s="9">
        <f>IFERROR(__xludf.DUMMYFUNCTION("""COMPUTED_VALUE"""),"CE CORA CORALINA")</f>
      </c>
      <c r="D439" s="10">
        <f>IFERROR(__xludf.DUMMYFUNCTION("""COMPUTED_VALUE"""),0.5667)</f>
      </c>
      <c r="E439" s="11">
        <f>IFERROR(__xludf.DUMMYFUNCTION("""COMPUTED_VALUE"""),160.62)</f>
      </c>
      <c r="F439" s="10">
        <f>IFERROR(__xludf.DUMMYFUNCTION("""COMPUTED_VALUE"""),0.4333)</f>
      </c>
      <c r="G439" s="11">
        <f>IFERROR(__xludf.DUMMYFUNCTION("""COMPUTED_VALUE"""),312.8)</f>
      </c>
      <c r="H439" s="10">
        <f>IFERROR(__xludf.DUMMYFUNCTION("""COMPUTED_VALUE"""),0.4)</f>
      </c>
      <c r="I439" s="11">
        <f>IFERROR(__xludf.DUMMYFUNCTION("""COMPUTED_VALUE"""),346.36)</f>
      </c>
      <c r="J439" s="10">
        <f>IFERROR(__xludf.DUMMYFUNCTION("""COMPUTED_VALUE"""),0.3583)</f>
      </c>
      <c r="K439" s="11">
        <f>IFERROR(__xludf.DUMMYFUNCTION("""COMPUTED_VALUE"""),72.2)</f>
      </c>
      <c r="L439" s="10">
        <f>IFERROR(__xludf.DUMMYFUNCTION("""COMPUTED_VALUE"""),0.2417)</f>
      </c>
      <c r="M439" s="11">
        <f>IFERROR(__xludf.DUMMYFUNCTION("""COMPUTED_VALUE"""),445.93)</f>
      </c>
      <c r="N439" s="10">
        <f>IFERROR(__xludf.DUMMYFUNCTION("""COMPUTED_VALUE"""),0.325)</f>
      </c>
      <c r="O439" s="11">
        <f>IFERROR(__xludf.DUMMYFUNCTION("""COMPUTED_VALUE"""),361.08)</f>
      </c>
      <c r="P439" s="12"/>
      <c r="Q439" s="12"/>
      <c r="R439" s="15"/>
      <c r="S439" s="12"/>
      <c r="T439" s="12"/>
      <c r="U439" s="12"/>
      <c r="V439" s="12"/>
      <c r="W439" s="12"/>
      <c r="X439" s="12"/>
      <c r="Y439" s="12"/>
      <c r="Z439" s="12"/>
    </row>
    <row x14ac:dyDescent="0.25" r="440" customHeight="1" ht="15.75">
      <c r="A440" s="8">
        <f>IFERROR(__xludf.DUMMYFUNCTION("""COMPUTED_VALUE"""),25571.0)</f>
      </c>
      <c r="B440" s="9">
        <f>IFERROR(__xludf.DUMMYFUNCTION("""COMPUTED_VALUE"""),"METROPOLITANA IV")</f>
      </c>
      <c r="C440" s="9">
        <f>IFERROR(__xludf.DUMMYFUNCTION("""COMPUTED_VALUE"""),"CE CRISTOVAO COLOMBO")</f>
      </c>
      <c r="D440" s="10">
        <f>IFERROR(__xludf.DUMMYFUNCTION("""COMPUTED_VALUE"""),0.3846)</f>
      </c>
      <c r="E440" s="11">
        <f>IFERROR(__xludf.DUMMYFUNCTION("""COMPUTED_VALUE"""),60.0)</f>
      </c>
      <c r="F440" s="10">
        <f>IFERROR(__xludf.DUMMYFUNCTION("""COMPUTED_VALUE"""),0.2692)</f>
      </c>
      <c r="G440" s="11">
        <f>IFERROR(__xludf.DUMMYFUNCTION("""COMPUTED_VALUE"""),434.29)</f>
      </c>
      <c r="H440" s="10">
        <f>IFERROR(__xludf.DUMMYFUNCTION("""COMPUTED_VALUE"""),0.1594)</f>
      </c>
      <c r="I440" s="11">
        <f>IFERROR(__xludf.DUMMYFUNCTION("""COMPUTED_VALUE"""),240.0)</f>
      </c>
      <c r="J440" s="10">
        <f>IFERROR(__xludf.DUMMYFUNCTION("""COMPUTED_VALUE"""),0.3333)</f>
      </c>
      <c r="K440" s="11">
        <f>IFERROR(__xludf.DUMMYFUNCTION("""COMPUTED_VALUE"""),114.29)</f>
      </c>
      <c r="L440" s="10">
        <f>IFERROR(__xludf.DUMMYFUNCTION("""COMPUTED_VALUE"""),0.3043)</f>
      </c>
      <c r="M440" s="11">
        <f>IFERROR(__xludf.DUMMYFUNCTION("""COMPUTED_VALUE"""),238.1)</f>
      </c>
      <c r="N440" s="10">
        <f>IFERROR(__xludf.DUMMYFUNCTION("""COMPUTED_VALUE"""),0.3043)</f>
      </c>
      <c r="O440" s="11">
        <f>IFERROR(__xludf.DUMMYFUNCTION("""COMPUTED_VALUE"""),293.33)</f>
      </c>
      <c r="P440" s="12"/>
      <c r="Q440" s="12"/>
      <c r="R440" s="15"/>
      <c r="S440" s="12"/>
      <c r="T440" s="12"/>
      <c r="U440" s="12"/>
      <c r="V440" s="12"/>
      <c r="W440" s="12"/>
      <c r="X440" s="12"/>
      <c r="Y440" s="12"/>
      <c r="Z440" s="12"/>
    </row>
    <row x14ac:dyDescent="0.25" r="441" customHeight="1" ht="15.75">
      <c r="A441" s="8">
        <f>IFERROR(__xludf.DUMMYFUNCTION("""COMPUTED_VALUE"""),25572.0)</f>
      </c>
      <c r="B441" s="9">
        <f>IFERROR(__xludf.DUMMYFUNCTION("""COMPUTED_VALUE"""),"METROPOLITANA IV")</f>
      </c>
      <c r="C441" s="9">
        <f>IFERROR(__xludf.DUMMYFUNCTION("""COMPUTED_VALUE"""),"CE DALVA DE OLIVEIRA")</f>
      </c>
      <c r="D441" s="10">
        <f>IFERROR(__xludf.DUMMYFUNCTION("""COMPUTED_VALUE"""),0.7053)</f>
      </c>
      <c r="E441" s="11">
        <f>IFERROR(__xludf.DUMMYFUNCTION("""COMPUTED_VALUE"""),257.14)</f>
      </c>
      <c r="F441" s="10">
        <f>IFERROR(__xludf.DUMMYFUNCTION("""COMPUTED_VALUE"""),0.6947)</f>
      </c>
      <c r="G441" s="11">
        <f>IFERROR(__xludf.DUMMYFUNCTION("""COMPUTED_VALUE"""),357.54)</f>
      </c>
      <c r="H441" s="10">
        <f>IFERROR(__xludf.DUMMYFUNCTION("""COMPUTED_VALUE"""),0.5043)</f>
      </c>
      <c r="I441" s="11">
        <f>IFERROR(__xludf.DUMMYFUNCTION("""COMPUTED_VALUE"""),331.72)</f>
      </c>
      <c r="J441" s="10">
        <f>IFERROR(__xludf.DUMMYFUNCTION("""COMPUTED_VALUE"""),0.5128)</f>
      </c>
      <c r="K441" s="11">
        <f>IFERROR(__xludf.DUMMYFUNCTION("""COMPUTED_VALUE"""),184.67)</f>
      </c>
      <c r="L441" s="10">
        <f>IFERROR(__xludf.DUMMYFUNCTION("""COMPUTED_VALUE"""),0.5214)</f>
      </c>
      <c r="M441" s="11">
        <f>IFERROR(__xludf.DUMMYFUNCTION("""COMPUTED_VALUE"""),352.79)</f>
      </c>
      <c r="N441" s="10">
        <f>IFERROR(__xludf.DUMMYFUNCTION("""COMPUTED_VALUE"""),0.4103)</f>
      </c>
      <c r="O441" s="11">
        <f>IFERROR(__xludf.DUMMYFUNCTION("""COMPUTED_VALUE"""),377.5)</f>
      </c>
      <c r="P441" s="12"/>
      <c r="Q441" s="12"/>
      <c r="R441" s="15"/>
      <c r="S441" s="12"/>
      <c r="T441" s="12"/>
      <c r="U441" s="12"/>
      <c r="V441" s="12"/>
      <c r="W441" s="12"/>
      <c r="X441" s="12"/>
      <c r="Y441" s="12"/>
      <c r="Z441" s="12"/>
    </row>
    <row x14ac:dyDescent="0.25" r="442" customHeight="1" ht="15.75">
      <c r="A442" s="8">
        <f>IFERROR(__xludf.DUMMYFUNCTION("""COMPUTED_VALUE"""),25573.0)</f>
      </c>
      <c r="B442" s="9">
        <f>IFERROR(__xludf.DUMMYFUNCTION("""COMPUTED_VALUE"""),"METROPOLITANA IV")</f>
      </c>
      <c r="C442" s="9">
        <f>IFERROR(__xludf.DUMMYFUNCTION("""COMPUTED_VALUE"""),"CE DEBORAH MENDES DE MORAES")</f>
      </c>
      <c r="D442" s="10">
        <f>IFERROR(__xludf.DUMMYFUNCTION("""COMPUTED_VALUE"""),0.8258)</f>
      </c>
      <c r="E442" s="11">
        <f>IFERROR(__xludf.DUMMYFUNCTION("""COMPUTED_VALUE"""),219.58)</f>
      </c>
      <c r="F442" s="10">
        <f>IFERROR(__xludf.DUMMYFUNCTION("""COMPUTED_VALUE"""),0.7568)</f>
      </c>
      <c r="G442" s="11">
        <f>IFERROR(__xludf.DUMMYFUNCTION("""COMPUTED_VALUE"""),343.77)</f>
      </c>
      <c r="H442" s="10">
        <f>IFERROR(__xludf.DUMMYFUNCTION("""COMPUTED_VALUE"""),0.6443)</f>
      </c>
      <c r="I442" s="11">
        <f>IFERROR(__xludf.DUMMYFUNCTION("""COMPUTED_VALUE"""),415.41)</f>
      </c>
      <c r="J442" s="10">
        <f>IFERROR(__xludf.DUMMYFUNCTION("""COMPUTED_VALUE"""),0.7047)</f>
      </c>
      <c r="K442" s="11">
        <f>IFERROR(__xludf.DUMMYFUNCTION("""COMPUTED_VALUE"""),327.87)</f>
      </c>
      <c r="L442" s="10">
        <f>IFERROR(__xludf.DUMMYFUNCTION("""COMPUTED_VALUE"""),0.6639)</f>
      </c>
      <c r="M442" s="11">
        <f>IFERROR(__xludf.DUMMYFUNCTION("""COMPUTED_VALUE"""),358.81)</f>
      </c>
      <c r="N442" s="10">
        <f>IFERROR(__xludf.DUMMYFUNCTION("""COMPUTED_VALUE"""),0.5721)</f>
      </c>
      <c r="O442" s="11">
        <f>IFERROR(__xludf.DUMMYFUNCTION("""COMPUTED_VALUE"""),409.44)</f>
      </c>
      <c r="P442" s="12"/>
      <c r="Q442" s="12"/>
      <c r="R442" s="15"/>
      <c r="S442" s="12"/>
      <c r="T442" s="12"/>
      <c r="U442" s="12"/>
      <c r="V442" s="12"/>
      <c r="W442" s="12"/>
      <c r="X442" s="12"/>
      <c r="Y442" s="12"/>
      <c r="Z442" s="12"/>
    </row>
    <row x14ac:dyDescent="0.25" r="443" customHeight="1" ht="15.75">
      <c r="A443" s="8">
        <f>IFERROR(__xludf.DUMMYFUNCTION("""COMPUTED_VALUE"""),25574.0)</f>
      </c>
      <c r="B443" s="9">
        <f>IFERROR(__xludf.DUMMYFUNCTION("""COMPUTED_VALUE"""),"METROPOLITANA IV")</f>
      </c>
      <c r="C443" s="9">
        <f>IFERROR(__xludf.DUMMYFUNCTION("""COMPUTED_VALUE"""),"CE DOUTOR ALBERT SABIN")</f>
      </c>
      <c r="D443" s="10">
        <f>IFERROR(__xludf.DUMMYFUNCTION("""COMPUTED_VALUE"""),0.6363)</f>
      </c>
      <c r="E443" s="11">
        <f>IFERROR(__xludf.DUMMYFUNCTION("""COMPUTED_VALUE"""),269.34)</f>
      </c>
      <c r="F443" s="10">
        <f>IFERROR(__xludf.DUMMYFUNCTION("""COMPUTED_VALUE"""),0.6016)</f>
      </c>
      <c r="G443" s="11">
        <f>IFERROR(__xludf.DUMMYFUNCTION("""COMPUTED_VALUE"""),374.48)</f>
      </c>
      <c r="H443" s="10">
        <f>IFERROR(__xludf.DUMMYFUNCTION("""COMPUTED_VALUE"""),0.678)</f>
      </c>
      <c r="I443" s="11">
        <f>IFERROR(__xludf.DUMMYFUNCTION("""COMPUTED_VALUE"""),447.33)</f>
      </c>
      <c r="J443" s="10">
        <f>IFERROR(__xludf.DUMMYFUNCTION("""COMPUTED_VALUE"""),0.467)</f>
      </c>
      <c r="K443" s="11">
        <f>IFERROR(__xludf.DUMMYFUNCTION("""COMPUTED_VALUE"""),301.83)</f>
      </c>
      <c r="L443" s="10">
        <f>IFERROR(__xludf.DUMMYFUNCTION("""COMPUTED_VALUE"""),0.4991)</f>
      </c>
      <c r="M443" s="11">
        <f>IFERROR(__xludf.DUMMYFUNCTION("""COMPUTED_VALUE"""),396.65)</f>
      </c>
      <c r="N443" s="10">
        <f>IFERROR(__xludf.DUMMYFUNCTION("""COMPUTED_VALUE"""),0.5833)</f>
      </c>
      <c r="O443" s="11">
        <f>IFERROR(__xludf.DUMMYFUNCTION("""COMPUTED_VALUE"""),414.63)</f>
      </c>
      <c r="P443" s="12"/>
      <c r="Q443" s="12"/>
      <c r="R443" s="15"/>
      <c r="S443" s="12"/>
      <c r="T443" s="12"/>
      <c r="U443" s="12"/>
      <c r="V443" s="12"/>
      <c r="W443" s="12"/>
      <c r="X443" s="12"/>
      <c r="Y443" s="12"/>
      <c r="Z443" s="12"/>
    </row>
    <row x14ac:dyDescent="0.25" r="444" customHeight="1" ht="15.75">
      <c r="A444" s="8">
        <f>IFERROR(__xludf.DUMMYFUNCTION("""COMPUTED_VALUE"""),25575.0)</f>
      </c>
      <c r="B444" s="9">
        <f>IFERROR(__xludf.DUMMYFUNCTION("""COMPUTED_VALUE"""),"METROPOLITANA IV")</f>
      </c>
      <c r="C444" s="9">
        <f>IFERROR(__xludf.DUMMYFUNCTION("""COMPUTED_VALUE"""),"CE ENGENHEIRO JOAO THOME")</f>
      </c>
      <c r="D444" s="10">
        <f>IFERROR(__xludf.DUMMYFUNCTION("""COMPUTED_VALUE"""),0.6054)</f>
      </c>
      <c r="E444" s="11">
        <f>IFERROR(__xludf.DUMMYFUNCTION("""COMPUTED_VALUE"""),149.76)</f>
      </c>
      <c r="F444" s="10">
        <f>IFERROR(__xludf.DUMMYFUNCTION("""COMPUTED_VALUE"""),0.5102)</f>
      </c>
      <c r="G444" s="11">
        <f>IFERROR(__xludf.DUMMYFUNCTION("""COMPUTED_VALUE"""),338.67)</f>
      </c>
      <c r="H444" s="10">
        <f>IFERROR(__xludf.DUMMYFUNCTION("""COMPUTED_VALUE"""),0.5568)</f>
      </c>
      <c r="I444" s="11">
        <f>IFERROR(__xludf.DUMMYFUNCTION("""COMPUTED_VALUE"""),437.14)</f>
      </c>
      <c r="J444" s="10">
        <f>IFERROR(__xludf.DUMMYFUNCTION("""COMPUTED_VALUE"""),0.4148)</f>
      </c>
      <c r="K444" s="11">
        <f>IFERROR(__xludf.DUMMYFUNCTION("""COMPUTED_VALUE"""),308.06)</f>
      </c>
      <c r="L444" s="10">
        <f>IFERROR(__xludf.DUMMYFUNCTION("""COMPUTED_VALUE"""),0.4375)</f>
      </c>
      <c r="M444" s="11">
        <f>IFERROR(__xludf.DUMMYFUNCTION("""COMPUTED_VALUE"""),406.23)</f>
      </c>
      <c r="N444" s="10">
        <f>IFERROR(__xludf.DUMMYFUNCTION("""COMPUTED_VALUE"""),0.5)</f>
      </c>
      <c r="O444" s="11">
        <f>IFERROR(__xludf.DUMMYFUNCTION("""COMPUTED_VALUE"""),431.82)</f>
      </c>
      <c r="P444" s="12"/>
      <c r="Q444" s="12"/>
      <c r="R444" s="15"/>
      <c r="S444" s="12"/>
      <c r="T444" s="12"/>
      <c r="U444" s="12"/>
      <c r="V444" s="12"/>
      <c r="W444" s="12"/>
      <c r="X444" s="12"/>
      <c r="Y444" s="12"/>
      <c r="Z444" s="12"/>
    </row>
    <row x14ac:dyDescent="0.25" r="445" customHeight="1" ht="15.75">
      <c r="A445" s="8">
        <f>IFERROR(__xludf.DUMMYFUNCTION("""COMPUTED_VALUE"""),25576.0)</f>
      </c>
      <c r="B445" s="9">
        <f>IFERROR(__xludf.DUMMYFUNCTION("""COMPUTED_VALUE"""),"METROPOLITANA IV")</f>
      </c>
      <c r="C445" s="9">
        <f>IFERROR(__xludf.DUMMYFUNCTION("""COMPUTED_VALUE"""),"CE ERICH WALTER HEINE")</f>
      </c>
      <c r="D445" s="10">
        <f>IFERROR(__xludf.DUMMYFUNCTION("""COMPUTED_VALUE"""),0.45)</f>
      </c>
      <c r="E445" s="11">
        <f>IFERROR(__xludf.DUMMYFUNCTION("""COMPUTED_VALUE"""),459.26)</f>
      </c>
      <c r="F445" s="10">
        <f>IFERROR(__xludf.DUMMYFUNCTION("""COMPUTED_VALUE"""),0.7917)</f>
      </c>
      <c r="G445" s="11">
        <f>IFERROR(__xludf.DUMMYFUNCTION("""COMPUTED_VALUE"""),435.19)</f>
      </c>
      <c r="H445" s="10">
        <f>IFERROR(__xludf.DUMMYFUNCTION("""COMPUTED_VALUE"""),0.85)</f>
      </c>
      <c r="I445" s="11">
        <f>IFERROR(__xludf.DUMMYFUNCTION("""COMPUTED_VALUE"""),461.77)</f>
      </c>
      <c r="J445" s="10">
        <f>IFERROR(__xludf.DUMMYFUNCTION("""COMPUTED_VALUE"""),0.7444)</f>
      </c>
      <c r="K445" s="11">
        <f>IFERROR(__xludf.DUMMYFUNCTION("""COMPUTED_VALUE"""),422.43)</f>
      </c>
      <c r="L445" s="10">
        <f>IFERROR(__xludf.DUMMYFUNCTION("""COMPUTED_VALUE"""),0.6556)</f>
      </c>
      <c r="M445" s="11">
        <f>IFERROR(__xludf.DUMMYFUNCTION("""COMPUTED_VALUE"""),419.23)</f>
      </c>
      <c r="N445" s="10">
        <f>IFERROR(__xludf.DUMMYFUNCTION("""COMPUTED_VALUE"""),0.8694)</f>
      </c>
      <c r="O445" s="11">
        <f>IFERROR(__xludf.DUMMYFUNCTION("""COMPUTED_VALUE"""),411.03)</f>
      </c>
      <c r="P445" s="12"/>
      <c r="Q445" s="12"/>
      <c r="R445" s="15"/>
      <c r="S445" s="12"/>
      <c r="T445" s="12"/>
      <c r="U445" s="12"/>
      <c r="V445" s="12"/>
      <c r="W445" s="12"/>
      <c r="X445" s="12"/>
      <c r="Y445" s="12"/>
      <c r="Z445" s="12"/>
    </row>
    <row x14ac:dyDescent="0.25" r="446" customHeight="1" ht="15.75">
      <c r="A446" s="8">
        <f>IFERROR(__xludf.DUMMYFUNCTION("""COMPUTED_VALUE"""),25577.0)</f>
      </c>
      <c r="B446" s="9">
        <f>IFERROR(__xludf.DUMMYFUNCTION("""COMPUTED_VALUE"""),"METROPOLITANA IV")</f>
      </c>
      <c r="C446" s="9">
        <f>IFERROR(__xludf.DUMMYFUNCTION("""COMPUTED_VALUE"""),"CE ESTADO DE ISRAEL")</f>
      </c>
      <c r="D446" s="10">
        <f>IFERROR(__xludf.DUMMYFUNCTION("""COMPUTED_VALUE"""),0.4091)</f>
      </c>
      <c r="E446" s="11">
        <f>IFERROR(__xludf.DUMMYFUNCTION("""COMPUTED_VALUE"""),91.11)</f>
      </c>
      <c r="F446" s="10">
        <f>IFERROR(__xludf.DUMMYFUNCTION("""COMPUTED_VALUE"""),0.1364)</f>
      </c>
      <c r="G446" s="11">
        <f>IFERROR(__xludf.DUMMYFUNCTION("""COMPUTED_VALUE"""),366.67)</f>
      </c>
      <c r="H446" s="10">
        <f>IFERROR(__xludf.DUMMYFUNCTION("""COMPUTED_VALUE"""),0.0864)</f>
      </c>
      <c r="I446" s="11">
        <f>IFERROR(__xludf.DUMMYFUNCTION("""COMPUTED_VALUE"""),291.43)</f>
      </c>
      <c r="J446" s="10">
        <f>IFERROR(__xludf.DUMMYFUNCTION("""COMPUTED_VALUE"""),"----")</f>
      </c>
      <c r="K446" s="11">
        <f>IFERROR(__xludf.DUMMYFUNCTION("""COMPUTED_VALUE"""),"----")</f>
      </c>
      <c r="L446" s="10">
        <f>IFERROR(__xludf.DUMMYFUNCTION("""COMPUTED_VALUE"""),0.0988)</f>
      </c>
      <c r="M446" s="11">
        <f>IFERROR(__xludf.DUMMYFUNCTION("""COMPUTED_VALUE"""),540.0)</f>
      </c>
      <c r="N446" s="10">
        <f>IFERROR(__xludf.DUMMYFUNCTION("""COMPUTED_VALUE"""),0.2346)</f>
      </c>
      <c r="O446" s="11">
        <f>IFERROR(__xludf.DUMMYFUNCTION("""COMPUTED_VALUE"""),309.47)</f>
      </c>
      <c r="P446" s="12"/>
      <c r="Q446" s="12"/>
      <c r="R446" s="15"/>
      <c r="S446" s="12"/>
      <c r="T446" s="12"/>
      <c r="U446" s="12"/>
      <c r="V446" s="12"/>
      <c r="W446" s="12"/>
      <c r="X446" s="12"/>
      <c r="Y446" s="12"/>
      <c r="Z446" s="12"/>
    </row>
    <row x14ac:dyDescent="0.25" r="447" customHeight="1" ht="15.75">
      <c r="A447" s="8">
        <f>IFERROR(__xludf.DUMMYFUNCTION("""COMPUTED_VALUE"""),25578.0)</f>
      </c>
      <c r="B447" s="9">
        <f>IFERROR(__xludf.DUMMYFUNCTION("""COMPUTED_VALUE"""),"METROPOLITANA IV")</f>
      </c>
      <c r="C447" s="9">
        <f>IFERROR(__xludf.DUMMYFUNCTION("""COMPUTED_VALUE"""),"CE FRANCISCO CALDEIRA DE ALVARENGA")</f>
      </c>
      <c r="D447" s="10">
        <f>IFERROR(__xludf.DUMMYFUNCTION("""COMPUTED_VALUE"""),0.9292)</f>
      </c>
      <c r="E447" s="11">
        <f>IFERROR(__xludf.DUMMYFUNCTION("""COMPUTED_VALUE"""),148.39)</f>
      </c>
      <c r="F447" s="10">
        <f>IFERROR(__xludf.DUMMYFUNCTION("""COMPUTED_VALUE"""),0.6293)</f>
      </c>
      <c r="G447" s="11">
        <f>IFERROR(__xludf.DUMMYFUNCTION("""COMPUTED_VALUE"""),277.21)</f>
      </c>
      <c r="H447" s="10">
        <f>IFERROR(__xludf.DUMMYFUNCTION("""COMPUTED_VALUE"""),0.5997)</f>
      </c>
      <c r="I447" s="11">
        <f>IFERROR(__xludf.DUMMYFUNCTION("""COMPUTED_VALUE"""),418.78)</f>
      </c>
      <c r="J447" s="10">
        <f>IFERROR(__xludf.DUMMYFUNCTION("""COMPUTED_VALUE"""),0.5898)</f>
      </c>
      <c r="K447" s="11">
        <f>IFERROR(__xludf.DUMMYFUNCTION("""COMPUTED_VALUE"""),242.29)</f>
      </c>
      <c r="L447" s="10">
        <f>IFERROR(__xludf.DUMMYFUNCTION("""COMPUTED_VALUE"""),0.6079)</f>
      </c>
      <c r="M447" s="11">
        <f>IFERROR(__xludf.DUMMYFUNCTION("""COMPUTED_VALUE"""),377.57)</f>
      </c>
      <c r="N447" s="10">
        <f>IFERROR(__xludf.DUMMYFUNCTION("""COMPUTED_VALUE"""),0.0033)</f>
      </c>
      <c r="O447" s="11">
        <f>IFERROR(__xludf.DUMMYFUNCTION("""COMPUTED_VALUE"""),440.0)</f>
      </c>
      <c r="P447" s="12"/>
      <c r="Q447" s="12"/>
      <c r="R447" s="15"/>
      <c r="S447" s="12"/>
      <c r="T447" s="12"/>
      <c r="U447" s="12"/>
      <c r="V447" s="12"/>
      <c r="W447" s="12"/>
      <c r="X447" s="12"/>
      <c r="Y447" s="12"/>
      <c r="Z447" s="12"/>
    </row>
    <row x14ac:dyDescent="0.25" r="448" customHeight="1" ht="15.75">
      <c r="A448" s="8">
        <f>IFERROR(__xludf.DUMMYFUNCTION("""COMPUTED_VALUE"""),25579.0)</f>
      </c>
      <c r="B448" s="9">
        <f>IFERROR(__xludf.DUMMYFUNCTION("""COMPUTED_VALUE"""),"METROPOLITANA IV")</f>
      </c>
      <c r="C448" s="9">
        <f>IFERROR(__xludf.DUMMYFUNCTION("""COMPUTED_VALUE"""),"CE FREIRE ALLEMAO")</f>
      </c>
      <c r="D448" s="10">
        <f>IFERROR(__xludf.DUMMYFUNCTION("""COMPUTED_VALUE"""),0.5)</f>
      </c>
      <c r="E448" s="11">
        <f>IFERROR(__xludf.DUMMYFUNCTION("""COMPUTED_VALUE"""),177.65)</f>
      </c>
      <c r="F448" s="10">
        <f>IFERROR(__xludf.DUMMYFUNCTION("""COMPUTED_VALUE"""),0.5588)</f>
      </c>
      <c r="G448" s="11">
        <f>IFERROR(__xludf.DUMMYFUNCTION("""COMPUTED_VALUE"""),375.42)</f>
      </c>
      <c r="H448" s="10">
        <f>IFERROR(__xludf.DUMMYFUNCTION("""COMPUTED_VALUE"""),0.2162)</f>
      </c>
      <c r="I448" s="11">
        <f>IFERROR(__xludf.DUMMYFUNCTION("""COMPUTED_VALUE"""),420.95)</f>
      </c>
      <c r="J448" s="10">
        <f>IFERROR(__xludf.DUMMYFUNCTION("""COMPUTED_VALUE"""),0.4432)</f>
      </c>
      <c r="K448" s="11">
        <f>IFERROR(__xludf.DUMMYFUNCTION("""COMPUTED_VALUE"""),213.46)</f>
      </c>
      <c r="L448" s="10">
        <f>IFERROR(__xludf.DUMMYFUNCTION("""COMPUTED_VALUE"""),0.4234)</f>
      </c>
      <c r="M448" s="11">
        <f>IFERROR(__xludf.DUMMYFUNCTION("""COMPUTED_VALUE"""),377.76)</f>
      </c>
      <c r="N448" s="10">
        <f>IFERROR(__xludf.DUMMYFUNCTION("""COMPUTED_VALUE"""),0.2883)</f>
      </c>
      <c r="O448" s="11">
        <f>IFERROR(__xludf.DUMMYFUNCTION("""COMPUTED_VALUE"""),373.28)</f>
      </c>
      <c r="P448" s="12"/>
      <c r="Q448" s="12"/>
      <c r="R448" s="15"/>
      <c r="S448" s="12"/>
      <c r="T448" s="12"/>
      <c r="U448" s="12"/>
      <c r="V448" s="12"/>
      <c r="W448" s="12"/>
      <c r="X448" s="12"/>
      <c r="Y448" s="12"/>
      <c r="Z448" s="12"/>
    </row>
    <row x14ac:dyDescent="0.25" r="449" customHeight="1" ht="15.75">
      <c r="A449" s="8">
        <f>IFERROR(__xludf.DUMMYFUNCTION("""COMPUTED_VALUE"""),25580.0)</f>
      </c>
      <c r="B449" s="9">
        <f>IFERROR(__xludf.DUMMYFUNCTION("""COMPUTED_VALUE"""),"METROPOLITANA IV")</f>
      </c>
      <c r="C449" s="9">
        <f>IFERROR(__xludf.DUMMYFUNCTION("""COMPUTED_VALUE"""),"CE GANDHI")</f>
      </c>
      <c r="D449" s="10">
        <f>IFERROR(__xludf.DUMMYFUNCTION("""COMPUTED_VALUE"""),0.7703)</f>
      </c>
      <c r="E449" s="11">
        <f>IFERROR(__xludf.DUMMYFUNCTION("""COMPUTED_VALUE"""),94.96)</f>
      </c>
      <c r="F449" s="10">
        <f>IFERROR(__xludf.DUMMYFUNCTION("""COMPUTED_VALUE"""),0.4211)</f>
      </c>
      <c r="G449" s="11">
        <f>IFERROR(__xludf.DUMMYFUNCTION("""COMPUTED_VALUE"""),190.95)</f>
      </c>
      <c r="H449" s="10">
        <f>IFERROR(__xludf.DUMMYFUNCTION("""COMPUTED_VALUE"""),0.3147)</f>
      </c>
      <c r="I449" s="11">
        <f>IFERROR(__xludf.DUMMYFUNCTION("""COMPUTED_VALUE"""),280.51)</f>
      </c>
      <c r="J449" s="10">
        <f>IFERROR(__xludf.DUMMYFUNCTION("""COMPUTED_VALUE"""),0.605)</f>
      </c>
      <c r="K449" s="11">
        <f>IFERROR(__xludf.DUMMYFUNCTION("""COMPUTED_VALUE"""),155.1)</f>
      </c>
      <c r="L449" s="10">
        <f>IFERROR(__xludf.DUMMYFUNCTION("""COMPUTED_VALUE"""),0.3825)</f>
      </c>
      <c r="M449" s="11">
        <f>IFERROR(__xludf.DUMMYFUNCTION("""COMPUTED_VALUE"""),270.73)</f>
      </c>
      <c r="N449" s="10">
        <f>IFERROR(__xludf.DUMMYFUNCTION("""COMPUTED_VALUE"""),0.3386)</f>
      </c>
      <c r="O449" s="11">
        <f>IFERROR(__xludf.DUMMYFUNCTION("""COMPUTED_VALUE"""),333.01)</f>
      </c>
      <c r="P449" s="12"/>
      <c r="Q449" s="12"/>
      <c r="R449" s="15"/>
      <c r="S449" s="12"/>
      <c r="T449" s="12"/>
      <c r="U449" s="12"/>
      <c r="V449" s="12"/>
      <c r="W449" s="12"/>
      <c r="X449" s="12"/>
      <c r="Y449" s="12"/>
      <c r="Z449" s="12"/>
    </row>
    <row x14ac:dyDescent="0.25" r="450" customHeight="1" ht="15.75">
      <c r="A450" s="8">
        <f>IFERROR(__xludf.DUMMYFUNCTION("""COMPUTED_VALUE"""),25581.0)</f>
      </c>
      <c r="B450" s="9">
        <f>IFERROR(__xludf.DUMMYFUNCTION("""COMPUTED_VALUE"""),"METROPOLITANA IV")</f>
      </c>
      <c r="C450" s="9">
        <f>IFERROR(__xludf.DUMMYFUNCTION("""COMPUTED_VALUE"""),"CE GEORGE WASHINGTON")</f>
      </c>
      <c r="D450" s="10">
        <f>IFERROR(__xludf.DUMMYFUNCTION("""COMPUTED_VALUE"""),0.6415)</f>
      </c>
      <c r="E450" s="11">
        <f>IFERROR(__xludf.DUMMYFUNCTION("""COMPUTED_VALUE"""),123.53)</f>
      </c>
      <c r="F450" s="10">
        <f>IFERROR(__xludf.DUMMYFUNCTION("""COMPUTED_VALUE"""),0.566)</f>
      </c>
      <c r="G450" s="11">
        <f>IFERROR(__xludf.DUMMYFUNCTION("""COMPUTED_VALUE"""),320.0)</f>
      </c>
      <c r="H450" s="10">
        <f>IFERROR(__xludf.DUMMYFUNCTION("""COMPUTED_VALUE"""),0.5472)</f>
      </c>
      <c r="I450" s="11">
        <f>IFERROR(__xludf.DUMMYFUNCTION("""COMPUTED_VALUE"""),241.43)</f>
      </c>
      <c r="J450" s="10">
        <f>IFERROR(__xludf.DUMMYFUNCTION("""COMPUTED_VALUE"""),0.6226)</f>
      </c>
      <c r="K450" s="11">
        <f>IFERROR(__xludf.DUMMYFUNCTION("""COMPUTED_VALUE"""),270.97)</f>
      </c>
      <c r="L450" s="10">
        <f>IFERROR(__xludf.DUMMYFUNCTION("""COMPUTED_VALUE"""),0.4717)</f>
      </c>
      <c r="M450" s="11">
        <f>IFERROR(__xludf.DUMMYFUNCTION("""COMPUTED_VALUE"""),320.0)</f>
      </c>
      <c r="N450" s="10">
        <f>IFERROR(__xludf.DUMMYFUNCTION("""COMPUTED_VALUE"""),0.4151)</f>
      </c>
      <c r="O450" s="11">
        <f>IFERROR(__xludf.DUMMYFUNCTION("""COMPUTED_VALUE"""),401.9)</f>
      </c>
      <c r="P450" s="12"/>
      <c r="Q450" s="12"/>
      <c r="R450" s="15"/>
      <c r="S450" s="12"/>
      <c r="T450" s="12"/>
      <c r="U450" s="12"/>
      <c r="V450" s="12"/>
      <c r="W450" s="12"/>
      <c r="X450" s="12"/>
      <c r="Y450" s="12"/>
      <c r="Z450" s="12"/>
    </row>
    <row x14ac:dyDescent="0.25" r="451" customHeight="1" ht="15.75">
      <c r="A451" s="8">
        <f>IFERROR(__xludf.DUMMYFUNCTION("""COMPUTED_VALUE"""),25582.0)</f>
      </c>
      <c r="B451" s="9">
        <f>IFERROR(__xludf.DUMMYFUNCTION("""COMPUTED_VALUE"""),"METROPOLITANA IV")</f>
      </c>
      <c r="C451" s="9">
        <f>IFERROR(__xludf.DUMMYFUNCTION("""COMPUTED_VALUE"""),"CE HEBE CAMARGO")</f>
      </c>
      <c r="D451" s="10">
        <f>IFERROR(__xludf.DUMMYFUNCTION("""COMPUTED_VALUE"""),0.947)</f>
      </c>
      <c r="E451" s="11">
        <f>IFERROR(__xludf.DUMMYFUNCTION("""COMPUTED_VALUE"""),236.1)</f>
      </c>
      <c r="F451" s="10">
        <f>IFERROR(__xludf.DUMMYFUNCTION("""COMPUTED_VALUE"""),0.9697)</f>
      </c>
      <c r="G451" s="11">
        <f>IFERROR(__xludf.DUMMYFUNCTION("""COMPUTED_VALUE"""),414.71)</f>
      </c>
      <c r="H451" s="10">
        <f>IFERROR(__xludf.DUMMYFUNCTION("""COMPUTED_VALUE"""),0.8523)</f>
      </c>
      <c r="I451" s="11">
        <f>IFERROR(__xludf.DUMMYFUNCTION("""COMPUTED_VALUE"""),498.04)</f>
      </c>
      <c r="J451" s="10">
        <f>IFERROR(__xludf.DUMMYFUNCTION("""COMPUTED_VALUE"""),0.9356)</f>
      </c>
      <c r="K451" s="11">
        <f>IFERROR(__xludf.DUMMYFUNCTION("""COMPUTED_VALUE"""),400.0)</f>
      </c>
      <c r="L451" s="10">
        <f>IFERROR(__xludf.DUMMYFUNCTION("""COMPUTED_VALUE"""),0.9356)</f>
      </c>
      <c r="M451" s="11">
        <f>IFERROR(__xludf.DUMMYFUNCTION("""COMPUTED_VALUE"""),497.59)</f>
      </c>
      <c r="N451" s="10">
        <f>IFERROR(__xludf.DUMMYFUNCTION("""COMPUTED_VALUE"""),0.9773)</f>
      </c>
      <c r="O451" s="11">
        <f>IFERROR(__xludf.DUMMYFUNCTION("""COMPUTED_VALUE"""),392.22)</f>
      </c>
      <c r="P451" s="12"/>
      <c r="Q451" s="12"/>
      <c r="R451" s="15"/>
      <c r="S451" s="12"/>
      <c r="T451" s="12"/>
      <c r="U451" s="12"/>
      <c r="V451" s="12"/>
      <c r="W451" s="12"/>
      <c r="X451" s="12"/>
      <c r="Y451" s="12"/>
      <c r="Z451" s="12"/>
    </row>
    <row x14ac:dyDescent="0.25" r="452" customHeight="1" ht="15.75">
      <c r="A452" s="8">
        <f>IFERROR(__xludf.DUMMYFUNCTION("""COMPUTED_VALUE"""),25583.0)</f>
      </c>
      <c r="B452" s="9">
        <f>IFERROR(__xludf.DUMMYFUNCTION("""COMPUTED_VALUE"""),"METROPOLITANA IV")</f>
      </c>
      <c r="C452" s="9">
        <f>IFERROR(__xludf.DUMMYFUNCTION("""COMPUTED_VALUE"""),"CE IRINEU JOSE FERREIRA")</f>
      </c>
      <c r="D452" s="10">
        <f>IFERROR(__xludf.DUMMYFUNCTION("""COMPUTED_VALUE"""),0.6836)</f>
      </c>
      <c r="E452" s="11">
        <f>IFERROR(__xludf.DUMMYFUNCTION("""COMPUTED_VALUE"""),195.83)</f>
      </c>
      <c r="F452" s="10">
        <f>IFERROR(__xludf.DUMMYFUNCTION("""COMPUTED_VALUE"""),0.6818)</f>
      </c>
      <c r="G452" s="11">
        <f>IFERROR(__xludf.DUMMYFUNCTION("""COMPUTED_VALUE"""),353.21)</f>
      </c>
      <c r="H452" s="10">
        <f>IFERROR(__xludf.DUMMYFUNCTION("""COMPUTED_VALUE"""),0.6276)</f>
      </c>
      <c r="I452" s="11">
        <f>IFERROR(__xludf.DUMMYFUNCTION("""COMPUTED_VALUE"""),388.06)</f>
      </c>
      <c r="J452" s="10">
        <f>IFERROR(__xludf.DUMMYFUNCTION("""COMPUTED_VALUE"""),0.6626)</f>
      </c>
      <c r="K452" s="11">
        <f>IFERROR(__xludf.DUMMYFUNCTION("""COMPUTED_VALUE"""),304.76)</f>
      </c>
      <c r="L452" s="10">
        <f>IFERROR(__xludf.DUMMYFUNCTION("""COMPUTED_VALUE"""),0.6888)</f>
      </c>
      <c r="M452" s="11">
        <f>IFERROR(__xludf.DUMMYFUNCTION("""COMPUTED_VALUE"""),361.86)</f>
      </c>
      <c r="N452" s="10">
        <f>IFERROR(__xludf.DUMMYFUNCTION("""COMPUTED_VALUE"""),0.5769)</f>
      </c>
      <c r="O452" s="11">
        <f>IFERROR(__xludf.DUMMYFUNCTION("""COMPUTED_VALUE"""),381.35)</f>
      </c>
      <c r="P452" s="12"/>
      <c r="Q452" s="12"/>
      <c r="R452" s="15"/>
      <c r="S452" s="12"/>
      <c r="T452" s="12"/>
      <c r="U452" s="12"/>
      <c r="V452" s="12"/>
      <c r="W452" s="12"/>
      <c r="X452" s="12"/>
      <c r="Y452" s="12"/>
      <c r="Z452" s="12"/>
    </row>
    <row x14ac:dyDescent="0.25" r="453" customHeight="1" ht="15.75">
      <c r="A453" s="8">
        <f>IFERROR(__xludf.DUMMYFUNCTION("""COMPUTED_VALUE"""),25584.0)</f>
      </c>
      <c r="B453" s="9">
        <f>IFERROR(__xludf.DUMMYFUNCTION("""COMPUTED_VALUE"""),"METROPOLITANA IV")</f>
      </c>
      <c r="C453" s="9">
        <f>IFERROR(__xludf.DUMMYFUNCTION("""COMPUTED_VALUE"""),"CE JOAO PROENCA")</f>
      </c>
      <c r="D453" s="10">
        <f>IFERROR(__xludf.DUMMYFUNCTION("""COMPUTED_VALUE"""),0.521)</f>
      </c>
      <c r="E453" s="11">
        <f>IFERROR(__xludf.DUMMYFUNCTION("""COMPUTED_VALUE"""),106.98)</f>
      </c>
      <c r="F453" s="10">
        <f>IFERROR(__xludf.DUMMYFUNCTION("""COMPUTED_VALUE"""),0.3473)</f>
      </c>
      <c r="G453" s="11">
        <f>IFERROR(__xludf.DUMMYFUNCTION("""COMPUTED_VALUE"""),260.35)</f>
      </c>
      <c r="H453" s="10">
        <f>IFERROR(__xludf.DUMMYFUNCTION("""COMPUTED_VALUE"""),0.3832)</f>
      </c>
      <c r="I453" s="11">
        <f>IFERROR(__xludf.DUMMYFUNCTION("""COMPUTED_VALUE"""),383.75)</f>
      </c>
      <c r="J453" s="10">
        <f>IFERROR(__xludf.DUMMYFUNCTION("""COMPUTED_VALUE"""),0.497)</f>
      </c>
      <c r="K453" s="11">
        <f>IFERROR(__xludf.DUMMYFUNCTION("""COMPUTED_VALUE"""),277.5)</f>
      </c>
      <c r="L453" s="10">
        <f>IFERROR(__xludf.DUMMYFUNCTION("""COMPUTED_VALUE"""),0.4192)</f>
      </c>
      <c r="M453" s="11">
        <f>IFERROR(__xludf.DUMMYFUNCTION("""COMPUTED_VALUE"""),396.0)</f>
      </c>
      <c r="N453" s="10">
        <f>IFERROR(__xludf.DUMMYFUNCTION("""COMPUTED_VALUE"""),0.4251)</f>
      </c>
      <c r="O453" s="11">
        <f>IFERROR(__xludf.DUMMYFUNCTION("""COMPUTED_VALUE"""),411.43)</f>
      </c>
      <c r="P453" s="12"/>
      <c r="Q453" s="12"/>
      <c r="R453" s="15"/>
      <c r="S453" s="12"/>
      <c r="T453" s="12"/>
      <c r="U453" s="12"/>
      <c r="V453" s="12"/>
      <c r="W453" s="12"/>
      <c r="X453" s="12"/>
      <c r="Y453" s="12"/>
      <c r="Z453" s="12"/>
    </row>
    <row x14ac:dyDescent="0.25" r="454" customHeight="1" ht="15.75">
      <c r="A454" s="8">
        <f>IFERROR(__xludf.DUMMYFUNCTION("""COMPUTED_VALUE"""),25585.0)</f>
      </c>
      <c r="B454" s="9">
        <f>IFERROR(__xludf.DUMMYFUNCTION("""COMPUTED_VALUE"""),"METROPOLITANA IV")</f>
      </c>
      <c r="C454" s="9">
        <f>IFERROR(__xludf.DUMMYFUNCTION("""COMPUTED_VALUE"""),"CE JOAO SALIM MIGUEL")</f>
      </c>
      <c r="D454" s="10">
        <f>IFERROR(__xludf.DUMMYFUNCTION("""COMPUTED_VALUE"""),0.9858)</f>
      </c>
      <c r="E454" s="11">
        <f>IFERROR(__xludf.DUMMYFUNCTION("""COMPUTED_VALUE"""),246.44)</f>
      </c>
      <c r="F454" s="10">
        <f>IFERROR(__xludf.DUMMYFUNCTION("""COMPUTED_VALUE"""),0.9929)</f>
      </c>
      <c r="G454" s="11">
        <f>IFERROR(__xludf.DUMMYFUNCTION("""COMPUTED_VALUE"""),380.77)</f>
      </c>
      <c r="H454" s="10">
        <f>IFERROR(__xludf.DUMMYFUNCTION("""COMPUTED_VALUE"""),0.8345)</f>
      </c>
      <c r="I454" s="11">
        <f>IFERROR(__xludf.DUMMYFUNCTION("""COMPUTED_VALUE"""),466.86)</f>
      </c>
      <c r="J454" s="10">
        <f>IFERROR(__xludf.DUMMYFUNCTION("""COMPUTED_VALUE"""),0.7423)</f>
      </c>
      <c r="K454" s="11">
        <f>IFERROR(__xludf.DUMMYFUNCTION("""COMPUTED_VALUE"""),441.66)</f>
      </c>
      <c r="L454" s="10">
        <f>IFERROR(__xludf.DUMMYFUNCTION("""COMPUTED_VALUE"""),0.4515)</f>
      </c>
      <c r="M454" s="11">
        <f>IFERROR(__xludf.DUMMYFUNCTION("""COMPUTED_VALUE"""),492.15)</f>
      </c>
      <c r="N454" s="10">
        <f>IFERROR(__xludf.DUMMYFUNCTION("""COMPUTED_VALUE"""),0.6927)</f>
      </c>
      <c r="O454" s="11">
        <f>IFERROR(__xludf.DUMMYFUNCTION("""COMPUTED_VALUE"""),445.66)</f>
      </c>
      <c r="P454" s="12"/>
      <c r="Q454" s="12"/>
      <c r="R454" s="15"/>
      <c r="S454" s="12"/>
      <c r="T454" s="12"/>
      <c r="U454" s="12"/>
      <c r="V454" s="12"/>
      <c r="W454" s="12"/>
      <c r="X454" s="12"/>
      <c r="Y454" s="12"/>
      <c r="Z454" s="12"/>
    </row>
    <row x14ac:dyDescent="0.25" r="455" customHeight="1" ht="15.75">
      <c r="A455" s="8">
        <f>IFERROR(__xludf.DUMMYFUNCTION("""COMPUTED_VALUE"""),25586.0)</f>
      </c>
      <c r="B455" s="9">
        <f>IFERROR(__xludf.DUMMYFUNCTION("""COMPUTED_VALUE"""),"METROPOLITANA IV")</f>
      </c>
      <c r="C455" s="9">
        <f>IFERROR(__xludf.DUMMYFUNCTION("""COMPUTED_VALUE"""),"CE JORGE ZARUR")</f>
      </c>
      <c r="D455" s="10">
        <f>IFERROR(__xludf.DUMMYFUNCTION("""COMPUTED_VALUE"""),0.8301)</f>
      </c>
      <c r="E455" s="11">
        <f>IFERROR(__xludf.DUMMYFUNCTION("""COMPUTED_VALUE"""),179.53)</f>
      </c>
      <c r="F455" s="10">
        <f>IFERROR(__xludf.DUMMYFUNCTION("""COMPUTED_VALUE"""),0.671)</f>
      </c>
      <c r="G455" s="11">
        <f>IFERROR(__xludf.DUMMYFUNCTION("""COMPUTED_VALUE"""),356.29)</f>
      </c>
      <c r="H455" s="10">
        <f>IFERROR(__xludf.DUMMYFUNCTION("""COMPUTED_VALUE"""),0.6144)</f>
      </c>
      <c r="I455" s="11">
        <f>IFERROR(__xludf.DUMMYFUNCTION("""COMPUTED_VALUE"""),399.12)</f>
      </c>
      <c r="J455" s="10">
        <f>IFERROR(__xludf.DUMMYFUNCTION("""COMPUTED_VALUE"""),0.6453)</f>
      </c>
      <c r="K455" s="11">
        <f>IFERROR(__xludf.DUMMYFUNCTION("""COMPUTED_VALUE"""),334.53)</f>
      </c>
      <c r="L455" s="10">
        <f>IFERROR(__xludf.DUMMYFUNCTION("""COMPUTED_VALUE"""),0.5728)</f>
      </c>
      <c r="M455" s="11">
        <f>IFERROR(__xludf.DUMMYFUNCTION("""COMPUTED_VALUE"""),390.24)</f>
      </c>
      <c r="N455" s="10">
        <f>IFERROR(__xludf.DUMMYFUNCTION("""COMPUTED_VALUE"""),0.0038)</f>
      </c>
      <c r="O455" s="11">
        <f>IFERROR(__xludf.DUMMYFUNCTION("""COMPUTED_VALUE"""),"----")</f>
      </c>
      <c r="P455" s="12"/>
      <c r="Q455" s="12"/>
      <c r="R455" s="15"/>
      <c r="S455" s="12"/>
      <c r="T455" s="12"/>
      <c r="U455" s="12"/>
      <c r="V455" s="12"/>
      <c r="W455" s="12"/>
      <c r="X455" s="12"/>
      <c r="Y455" s="12"/>
      <c r="Z455" s="12"/>
    </row>
    <row x14ac:dyDescent="0.25" r="456" customHeight="1" ht="15.75">
      <c r="A456" s="8">
        <f>IFERROR(__xludf.DUMMYFUNCTION("""COMPUTED_VALUE"""),25587.0)</f>
      </c>
      <c r="B456" s="9">
        <f>IFERROR(__xludf.DUMMYFUNCTION("""COMPUTED_VALUE"""),"METROPOLITANA IV")</f>
      </c>
      <c r="C456" s="9">
        <f>IFERROR(__xludf.DUMMYFUNCTION("""COMPUTED_VALUE"""),"CE JORNALISTA ARTUR DA TAVOLA")</f>
      </c>
      <c r="D456" s="10">
        <f>IFERROR(__xludf.DUMMYFUNCTION("""COMPUTED_VALUE"""),0.7975)</f>
      </c>
      <c r="E456" s="11">
        <f>IFERROR(__xludf.DUMMYFUNCTION("""COMPUTED_VALUE"""),220.42)</f>
      </c>
      <c r="F456" s="10">
        <f>IFERROR(__xludf.DUMMYFUNCTION("""COMPUTED_VALUE"""),0.6962)</f>
      </c>
      <c r="G456" s="11">
        <f>IFERROR(__xludf.DUMMYFUNCTION("""COMPUTED_VALUE"""),359.26)</f>
      </c>
      <c r="H456" s="10">
        <f>IFERROR(__xludf.DUMMYFUNCTION("""COMPUTED_VALUE"""),0.6404)</f>
      </c>
      <c r="I456" s="11">
        <f>IFERROR(__xludf.DUMMYFUNCTION("""COMPUTED_VALUE"""),397.67)</f>
      </c>
      <c r="J456" s="10">
        <f>IFERROR(__xludf.DUMMYFUNCTION("""COMPUTED_VALUE"""),0.742)</f>
      </c>
      <c r="K456" s="11">
        <f>IFERROR(__xludf.DUMMYFUNCTION("""COMPUTED_VALUE"""),253.39)</f>
      </c>
      <c r="L456" s="10">
        <f>IFERROR(__xludf.DUMMYFUNCTION("""COMPUTED_VALUE"""),0.6057)</f>
      </c>
      <c r="M456" s="11">
        <f>IFERROR(__xludf.DUMMYFUNCTION("""COMPUTED_VALUE"""),407.5)</f>
      </c>
      <c r="N456" s="10">
        <f>IFERROR(__xludf.DUMMYFUNCTION("""COMPUTED_VALUE"""),0.5457)</f>
      </c>
      <c r="O456" s="11">
        <f>IFERROR(__xludf.DUMMYFUNCTION("""COMPUTED_VALUE"""),406.48)</f>
      </c>
      <c r="P456" s="12"/>
      <c r="Q456" s="12"/>
      <c r="R456" s="15"/>
      <c r="S456" s="12"/>
      <c r="T456" s="12"/>
      <c r="U456" s="12"/>
      <c r="V456" s="12"/>
      <c r="W456" s="12"/>
      <c r="X456" s="12"/>
      <c r="Y456" s="12"/>
      <c r="Z456" s="12"/>
    </row>
    <row x14ac:dyDescent="0.25" r="457" customHeight="1" ht="15.75">
      <c r="A457" s="8">
        <f>IFERROR(__xludf.DUMMYFUNCTION("""COMPUTED_VALUE"""),25545.0)</f>
      </c>
      <c r="B457" s="9">
        <f>IFERROR(__xludf.DUMMYFUNCTION("""COMPUTED_VALUE"""),"METROPOLITANA IV")</f>
      </c>
      <c r="C457" s="9">
        <f>IFERROR(__xludf.DUMMYFUNCTION("""COMPUTED_VALUE"""),"CE JOSE MARIA DE BRITO BRASIL JAPAO")</f>
      </c>
      <c r="D457" s="10">
        <f>IFERROR(__xludf.DUMMYFUNCTION("""COMPUTED_VALUE"""),0.6538)</f>
      </c>
      <c r="E457" s="11">
        <f>IFERROR(__xludf.DUMMYFUNCTION("""COMPUTED_VALUE"""),304.47)</f>
      </c>
      <c r="F457" s="10">
        <f>IFERROR(__xludf.DUMMYFUNCTION("""COMPUTED_VALUE"""),0.6462)</f>
      </c>
      <c r="G457" s="11">
        <f>IFERROR(__xludf.DUMMYFUNCTION("""COMPUTED_VALUE"""),519.52)</f>
      </c>
      <c r="H457" s="10">
        <f>IFERROR(__xludf.DUMMYFUNCTION("""COMPUTED_VALUE"""),0.7385)</f>
      </c>
      <c r="I457" s="11">
        <f>IFERROR(__xludf.DUMMYFUNCTION("""COMPUTED_VALUE"""),517.45)</f>
      </c>
      <c r="J457" s="10">
        <f>IFERROR(__xludf.DUMMYFUNCTION("""COMPUTED_VALUE"""),0.6923)</f>
      </c>
      <c r="K457" s="11">
        <f>IFERROR(__xludf.DUMMYFUNCTION("""COMPUTED_VALUE"""),391.91)</f>
      </c>
      <c r="L457" s="10">
        <f>IFERROR(__xludf.DUMMYFUNCTION("""COMPUTED_VALUE"""),0.7538)</f>
      </c>
      <c r="M457" s="11">
        <f>IFERROR(__xludf.DUMMYFUNCTION("""COMPUTED_VALUE"""),520.0)</f>
      </c>
      <c r="N457" s="10">
        <f>IFERROR(__xludf.DUMMYFUNCTION("""COMPUTED_VALUE"""),0.7154)</f>
      </c>
      <c r="O457" s="11">
        <f>IFERROR(__xludf.DUMMYFUNCTION("""COMPUTED_VALUE"""),541.3)</f>
      </c>
      <c r="P457" s="12"/>
      <c r="Q457" s="12"/>
      <c r="R457" s="15"/>
      <c r="S457" s="12"/>
      <c r="T457" s="12"/>
      <c r="U457" s="12"/>
      <c r="V457" s="12"/>
      <c r="W457" s="12"/>
      <c r="X457" s="12"/>
      <c r="Y457" s="12"/>
      <c r="Z457" s="12"/>
    </row>
    <row x14ac:dyDescent="0.25" r="458" customHeight="1" ht="15.75">
      <c r="A458" s="8">
        <f>IFERROR(__xludf.DUMMYFUNCTION("""COMPUTED_VALUE"""),25588.0)</f>
      </c>
      <c r="B458" s="9">
        <f>IFERROR(__xludf.DUMMYFUNCTION("""COMPUTED_VALUE"""),"METROPOLITANA IV")</f>
      </c>
      <c r="C458" s="9">
        <f>IFERROR(__xludf.DUMMYFUNCTION("""COMPUTED_VALUE"""),"CE JUREMA PECANHA GIRAUD")</f>
      </c>
      <c r="D458" s="10">
        <f>IFERROR(__xludf.DUMMYFUNCTION("""COMPUTED_VALUE"""),0.5568)</f>
      </c>
      <c r="E458" s="11">
        <f>IFERROR(__xludf.DUMMYFUNCTION("""COMPUTED_VALUE"""),224.06)</f>
      </c>
      <c r="F458" s="10">
        <f>IFERROR(__xludf.DUMMYFUNCTION("""COMPUTED_VALUE"""),0.3466)</f>
      </c>
      <c r="G458" s="11">
        <f>IFERROR(__xludf.DUMMYFUNCTION("""COMPUTED_VALUE"""),369.56)</f>
      </c>
      <c r="H458" s="10">
        <f>IFERROR(__xludf.DUMMYFUNCTION("""COMPUTED_VALUE"""),0.3206)</f>
      </c>
      <c r="I458" s="11">
        <f>IFERROR(__xludf.DUMMYFUNCTION("""COMPUTED_VALUE"""),"----")</f>
      </c>
      <c r="J458" s="10">
        <f>IFERROR(__xludf.DUMMYFUNCTION("""COMPUTED_VALUE"""),0.4365)</f>
      </c>
      <c r="K458" s="11">
        <f>IFERROR(__xludf.DUMMYFUNCTION("""COMPUTED_VALUE"""),340.15)</f>
      </c>
      <c r="L458" s="10">
        <f>IFERROR(__xludf.DUMMYFUNCTION("""COMPUTED_VALUE"""),0.0144)</f>
      </c>
      <c r="M458" s="11">
        <f>IFERROR(__xludf.DUMMYFUNCTION("""COMPUTED_VALUE"""),"----")</f>
      </c>
      <c r="N458" s="10">
        <f>IFERROR(__xludf.DUMMYFUNCTION("""COMPUTED_VALUE"""),0.0)</f>
      </c>
      <c r="O458" s="11">
        <f>IFERROR(__xludf.DUMMYFUNCTION("""COMPUTED_VALUE"""),"----")</f>
      </c>
      <c r="P458" s="12"/>
      <c r="Q458" s="12"/>
      <c r="R458" s="15"/>
      <c r="S458" s="12"/>
      <c r="T458" s="12"/>
      <c r="U458" s="12"/>
      <c r="V458" s="12"/>
      <c r="W458" s="12"/>
      <c r="X458" s="12"/>
      <c r="Y458" s="12"/>
      <c r="Z458" s="12"/>
    </row>
    <row x14ac:dyDescent="0.25" r="459" customHeight="1" ht="15.75">
      <c r="A459" s="8">
        <f>IFERROR(__xludf.DUMMYFUNCTION("""COMPUTED_VALUE"""),25589.0)</f>
      </c>
      <c r="B459" s="9">
        <f>IFERROR(__xludf.DUMMYFUNCTION("""COMPUTED_VALUE"""),"METROPOLITANA IV")</f>
      </c>
      <c r="C459" s="9">
        <f>IFERROR(__xludf.DUMMYFUNCTION("""COMPUTED_VALUE"""),"CE LEOPOLDINA DA SILVEIRA")</f>
      </c>
      <c r="D459" s="10">
        <f>IFERROR(__xludf.DUMMYFUNCTION("""COMPUTED_VALUE"""),0.9363)</f>
      </c>
      <c r="E459" s="11">
        <f>IFERROR(__xludf.DUMMYFUNCTION("""COMPUTED_VALUE"""),151.38)</f>
      </c>
      <c r="F459" s="10">
        <f>IFERROR(__xludf.DUMMYFUNCTION("""COMPUTED_VALUE"""),0.9639)</f>
      </c>
      <c r="G459" s="11">
        <f>IFERROR(__xludf.DUMMYFUNCTION("""COMPUTED_VALUE"""),266.55)</f>
      </c>
      <c r="H459" s="10">
        <f>IFERROR(__xludf.DUMMYFUNCTION("""COMPUTED_VALUE"""),0.6378)</f>
      </c>
      <c r="I459" s="11">
        <f>IFERROR(__xludf.DUMMYFUNCTION("""COMPUTED_VALUE"""),392.43)</f>
      </c>
      <c r="J459" s="10">
        <f>IFERROR(__xludf.DUMMYFUNCTION("""COMPUTED_VALUE"""),0.8897)</f>
      </c>
      <c r="K459" s="11">
        <f>IFERROR(__xludf.DUMMYFUNCTION("""COMPUTED_VALUE"""),209.71)</f>
      </c>
      <c r="L459" s="10">
        <f>IFERROR(__xludf.DUMMYFUNCTION("""COMPUTED_VALUE"""),0.5608)</f>
      </c>
      <c r="M459" s="11">
        <f>IFERROR(__xludf.DUMMYFUNCTION("""COMPUTED_VALUE"""),368.14)</f>
      </c>
      <c r="N459" s="10">
        <f>IFERROR(__xludf.DUMMYFUNCTION("""COMPUTED_VALUE"""),0.2614)</f>
      </c>
      <c r="O459" s="11">
        <f>IFERROR(__xludf.DUMMYFUNCTION("""COMPUTED_VALUE"""),393.38)</f>
      </c>
      <c r="P459" s="12"/>
      <c r="Q459" s="12"/>
      <c r="R459" s="15"/>
      <c r="S459" s="12"/>
      <c r="T459" s="12"/>
      <c r="U459" s="12"/>
      <c r="V459" s="12"/>
      <c r="W459" s="12"/>
      <c r="X459" s="12"/>
      <c r="Y459" s="12"/>
      <c r="Z459" s="12"/>
    </row>
    <row x14ac:dyDescent="0.25" r="460" customHeight="1" ht="15.75">
      <c r="A460" s="8">
        <f>IFERROR(__xludf.DUMMYFUNCTION("""COMPUTED_VALUE"""),25590.0)</f>
      </c>
      <c r="B460" s="9">
        <f>IFERROR(__xludf.DUMMYFUNCTION("""COMPUTED_VALUE"""),"METROPOLITANA IV")</f>
      </c>
      <c r="C460" s="9">
        <f>IFERROR(__xludf.DUMMYFUNCTION("""COMPUTED_VALUE"""),"CE LIBERDADE")</f>
      </c>
      <c r="D460" s="10">
        <f>IFERROR(__xludf.DUMMYFUNCTION("""COMPUTED_VALUE"""),0.6868)</f>
      </c>
      <c r="E460" s="11">
        <f>IFERROR(__xludf.DUMMYFUNCTION("""COMPUTED_VALUE"""),153.97)</f>
      </c>
      <c r="F460" s="10">
        <f>IFERROR(__xludf.DUMMYFUNCTION("""COMPUTED_VALUE"""),0.5201)</f>
      </c>
      <c r="G460" s="11">
        <f>IFERROR(__xludf.DUMMYFUNCTION("""COMPUTED_VALUE"""),207.01)</f>
      </c>
      <c r="H460" s="10">
        <f>IFERROR(__xludf.DUMMYFUNCTION("""COMPUTED_VALUE"""),0.4397)</f>
      </c>
      <c r="I460" s="11">
        <f>IFERROR(__xludf.DUMMYFUNCTION("""COMPUTED_VALUE"""),284.53)</f>
      </c>
      <c r="J460" s="10">
        <f>IFERROR(__xludf.DUMMYFUNCTION("""COMPUTED_VALUE"""),0.4339)</f>
      </c>
      <c r="K460" s="11">
        <f>IFERROR(__xludf.DUMMYFUNCTION("""COMPUTED_VALUE"""),142.02)</f>
      </c>
      <c r="L460" s="10">
        <f>IFERROR(__xludf.DUMMYFUNCTION("""COMPUTED_VALUE"""),0.3075)</f>
      </c>
      <c r="M460" s="11">
        <f>IFERROR(__xludf.DUMMYFUNCTION("""COMPUTED_VALUE"""),259.81)</f>
      </c>
      <c r="N460" s="10">
        <f>IFERROR(__xludf.DUMMYFUNCTION("""COMPUTED_VALUE"""),0.2184)</f>
      </c>
      <c r="O460" s="11">
        <f>IFERROR(__xludf.DUMMYFUNCTION("""COMPUTED_VALUE"""),330.67)</f>
      </c>
      <c r="P460" s="12"/>
      <c r="Q460" s="12"/>
      <c r="R460" s="15"/>
      <c r="S460" s="12"/>
      <c r="T460" s="12"/>
      <c r="U460" s="12"/>
      <c r="V460" s="12"/>
      <c r="W460" s="12"/>
      <c r="X460" s="12"/>
      <c r="Y460" s="12"/>
      <c r="Z460" s="12"/>
    </row>
    <row x14ac:dyDescent="0.25" r="461" customHeight="1" ht="15.75">
      <c r="A461" s="8">
        <f>IFERROR(__xludf.DUMMYFUNCTION("""COMPUTED_VALUE"""),25591.0)</f>
      </c>
      <c r="B461" s="9">
        <f>IFERROR(__xludf.DUMMYFUNCTION("""COMPUTED_VALUE"""),"METROPOLITANA IV")</f>
      </c>
      <c r="C461" s="9">
        <f>IFERROR(__xludf.DUMMYFUNCTION("""COMPUTED_VALUE"""),"CE MADRE TERESA DE CALCUTA")</f>
      </c>
      <c r="D461" s="10">
        <f>IFERROR(__xludf.DUMMYFUNCTION("""COMPUTED_VALUE"""),0.9685)</f>
      </c>
      <c r="E461" s="11">
        <f>IFERROR(__xludf.DUMMYFUNCTION("""COMPUTED_VALUE"""),189.45)</f>
      </c>
      <c r="F461" s="10">
        <f>IFERROR(__xludf.DUMMYFUNCTION("""COMPUTED_VALUE"""),0.9799)</f>
      </c>
      <c r="G461" s="11">
        <f>IFERROR(__xludf.DUMMYFUNCTION("""COMPUTED_VALUE"""),212.44)</f>
      </c>
      <c r="H461" s="10">
        <f>IFERROR(__xludf.DUMMYFUNCTION("""COMPUTED_VALUE"""),0.6762)</f>
      </c>
      <c r="I461" s="11">
        <f>IFERROR(__xludf.DUMMYFUNCTION("""COMPUTED_VALUE"""),368.71)</f>
      </c>
      <c r="J461" s="10">
        <f>IFERROR(__xludf.DUMMYFUNCTION("""COMPUTED_VALUE"""),0.6705)</f>
      </c>
      <c r="K461" s="11">
        <f>IFERROR(__xludf.DUMMYFUNCTION("""COMPUTED_VALUE"""),228.18)</f>
      </c>
      <c r="L461" s="10">
        <f>IFERROR(__xludf.DUMMYFUNCTION("""COMPUTED_VALUE"""),0.6648)</f>
      </c>
      <c r="M461" s="11">
        <f>IFERROR(__xludf.DUMMYFUNCTION("""COMPUTED_VALUE"""),380.04)</f>
      </c>
      <c r="N461" s="10">
        <f>IFERROR(__xludf.DUMMYFUNCTION("""COMPUTED_VALUE"""),0.288)</f>
      </c>
      <c r="O461" s="11">
        <f>IFERROR(__xludf.DUMMYFUNCTION("""COMPUTED_VALUE"""),305.1)</f>
      </c>
      <c r="P461" s="12"/>
      <c r="Q461" s="12"/>
      <c r="R461" s="15"/>
      <c r="S461" s="12"/>
      <c r="T461" s="12"/>
      <c r="U461" s="12"/>
      <c r="V461" s="12"/>
      <c r="W461" s="12"/>
      <c r="X461" s="12"/>
      <c r="Y461" s="12"/>
      <c r="Z461" s="12"/>
    </row>
    <row x14ac:dyDescent="0.25" r="462" customHeight="1" ht="15.75">
      <c r="A462" s="8">
        <f>IFERROR(__xludf.DUMMYFUNCTION("""COMPUTED_VALUE"""),25592.0)</f>
      </c>
      <c r="B462" s="9">
        <f>IFERROR(__xludf.DUMMYFUNCTION("""COMPUTED_VALUE"""),"METROPOLITANA IV")</f>
      </c>
      <c r="C462" s="9">
        <f>IFERROR(__xludf.DUMMYFUNCTION("""COMPUTED_VALUE"""),"CE MARECHAL RONDON")</f>
      </c>
      <c r="D462" s="10">
        <f>IFERROR(__xludf.DUMMYFUNCTION("""COMPUTED_VALUE"""),0.5567)</f>
      </c>
      <c r="E462" s="11">
        <f>IFERROR(__xludf.DUMMYFUNCTION("""COMPUTED_VALUE"""),84.71)</f>
      </c>
      <c r="F462" s="10">
        <f>IFERROR(__xludf.DUMMYFUNCTION("""COMPUTED_VALUE"""),0.4926)</f>
      </c>
      <c r="G462" s="11">
        <f>IFERROR(__xludf.DUMMYFUNCTION("""COMPUTED_VALUE"""),306.0)</f>
      </c>
      <c r="H462" s="10">
        <f>IFERROR(__xludf.DUMMYFUNCTION("""COMPUTED_VALUE"""),0.4167)</f>
      </c>
      <c r="I462" s="11">
        <f>IFERROR(__xludf.DUMMYFUNCTION("""COMPUTED_VALUE"""),345.14)</f>
      </c>
      <c r="J462" s="10">
        <f>IFERROR(__xludf.DUMMYFUNCTION("""COMPUTED_VALUE"""),0.5816)</f>
      </c>
      <c r="K462" s="11">
        <f>IFERROR(__xludf.DUMMYFUNCTION("""COMPUTED_VALUE"""),"----")</f>
      </c>
      <c r="L462" s="10">
        <f>IFERROR(__xludf.DUMMYFUNCTION("""COMPUTED_VALUE"""),0.3684)</f>
      </c>
      <c r="M462" s="11">
        <f>IFERROR(__xludf.DUMMYFUNCTION("""COMPUTED_VALUE"""),360.6)</f>
      </c>
      <c r="N462" s="10">
        <f>IFERROR(__xludf.DUMMYFUNCTION("""COMPUTED_VALUE"""),0.0)</f>
      </c>
      <c r="O462" s="11">
        <f>IFERROR(__xludf.DUMMYFUNCTION("""COMPUTED_VALUE"""),"----")</f>
      </c>
      <c r="P462" s="12"/>
      <c r="Q462" s="12"/>
      <c r="R462" s="15"/>
      <c r="S462" s="12"/>
      <c r="T462" s="12"/>
      <c r="U462" s="12"/>
      <c r="V462" s="12"/>
      <c r="W462" s="12"/>
      <c r="X462" s="12"/>
      <c r="Y462" s="12"/>
      <c r="Z462" s="12"/>
    </row>
    <row x14ac:dyDescent="0.25" r="463" customHeight="1" ht="15.75">
      <c r="A463" s="8">
        <f>IFERROR(__xludf.DUMMYFUNCTION("""COMPUTED_VALUE"""),25593.0)</f>
      </c>
      <c r="B463" s="9">
        <f>IFERROR(__xludf.DUMMYFUNCTION("""COMPUTED_VALUE"""),"METROPOLITANA IV")</f>
      </c>
      <c r="C463" s="9">
        <f>IFERROR(__xludf.DUMMYFUNCTION("""COMPUTED_VALUE"""),"CE MARIETA CUNHA DA SILVA")</f>
      </c>
      <c r="D463" s="10">
        <f>IFERROR(__xludf.DUMMYFUNCTION("""COMPUTED_VALUE"""),0.6988)</f>
      </c>
      <c r="E463" s="11">
        <f>IFERROR(__xludf.DUMMYFUNCTION("""COMPUTED_VALUE"""),193.33)</f>
      </c>
      <c r="F463" s="10">
        <f>IFERROR(__xludf.DUMMYFUNCTION("""COMPUTED_VALUE"""),0.6596)</f>
      </c>
      <c r="G463" s="11">
        <f>IFERROR(__xludf.DUMMYFUNCTION("""COMPUTED_VALUE"""),297.43)</f>
      </c>
      <c r="H463" s="10">
        <f>IFERROR(__xludf.DUMMYFUNCTION("""COMPUTED_VALUE"""),0.5663)</f>
      </c>
      <c r="I463" s="11">
        <f>IFERROR(__xludf.DUMMYFUNCTION("""COMPUTED_VALUE"""),354.65)</f>
      </c>
      <c r="J463" s="10">
        <f>IFERROR(__xludf.DUMMYFUNCTION("""COMPUTED_VALUE"""),0.5843)</f>
      </c>
      <c r="K463" s="11">
        <f>IFERROR(__xludf.DUMMYFUNCTION("""COMPUTED_VALUE"""),216.22)</f>
      </c>
      <c r="L463" s="10">
        <f>IFERROR(__xludf.DUMMYFUNCTION("""COMPUTED_VALUE"""),0.3765)</f>
      </c>
      <c r="M463" s="11">
        <f>IFERROR(__xludf.DUMMYFUNCTION("""COMPUTED_VALUE"""),333.76)</f>
      </c>
      <c r="N463" s="10">
        <f>IFERROR(__xludf.DUMMYFUNCTION("""COMPUTED_VALUE"""),0.006)</f>
      </c>
      <c r="O463" s="11">
        <f>IFERROR(__xludf.DUMMYFUNCTION("""COMPUTED_VALUE"""),400.0)</f>
      </c>
      <c r="P463" s="12"/>
      <c r="Q463" s="12"/>
      <c r="R463" s="15"/>
      <c r="S463" s="12"/>
      <c r="T463" s="12"/>
      <c r="U463" s="12"/>
      <c r="V463" s="12"/>
      <c r="W463" s="12"/>
      <c r="X463" s="12"/>
      <c r="Y463" s="12"/>
      <c r="Z463" s="12"/>
    </row>
    <row x14ac:dyDescent="0.25" r="464" customHeight="1" ht="15.75">
      <c r="A464" s="8">
        <f>IFERROR(__xludf.DUMMYFUNCTION("""COMPUTED_VALUE"""),25594.0)</f>
      </c>
      <c r="B464" s="9">
        <f>IFERROR(__xludf.DUMMYFUNCTION("""COMPUTED_VALUE"""),"METROPOLITANA IV")</f>
      </c>
      <c r="C464" s="9">
        <f>IFERROR(__xludf.DUMMYFUNCTION("""COMPUTED_VALUE"""),"CE MILTON CAMPOS")</f>
      </c>
      <c r="D464" s="10">
        <f>IFERROR(__xludf.DUMMYFUNCTION("""COMPUTED_VALUE"""),0.5524)</f>
      </c>
      <c r="E464" s="11">
        <f>IFERROR(__xludf.DUMMYFUNCTION("""COMPUTED_VALUE"""),99.59)</f>
      </c>
      <c r="F464" s="10">
        <f>IFERROR(__xludf.DUMMYFUNCTION("""COMPUTED_VALUE"""),0.381)</f>
      </c>
      <c r="G464" s="11">
        <f>IFERROR(__xludf.DUMMYFUNCTION("""COMPUTED_VALUE"""),323.0)</f>
      </c>
      <c r="H464" s="10">
        <f>IFERROR(__xludf.DUMMYFUNCTION("""COMPUTED_VALUE"""),0.4233)</f>
      </c>
      <c r="I464" s="11">
        <f>IFERROR(__xludf.DUMMYFUNCTION("""COMPUTED_VALUE"""),385.17)</f>
      </c>
      <c r="J464" s="10">
        <f>IFERROR(__xludf.DUMMYFUNCTION("""COMPUTED_VALUE"""),0.3243)</f>
      </c>
      <c r="K464" s="11">
        <f>IFERROR(__xludf.DUMMYFUNCTION("""COMPUTED_VALUE"""),284.06)</f>
      </c>
      <c r="L464" s="10">
        <f>IFERROR(__xludf.DUMMYFUNCTION("""COMPUTED_VALUE"""),0.3175)</f>
      </c>
      <c r="M464" s="11">
        <f>IFERROR(__xludf.DUMMYFUNCTION("""COMPUTED_VALUE"""),384.85)</f>
      </c>
      <c r="N464" s="10">
        <f>IFERROR(__xludf.DUMMYFUNCTION("""COMPUTED_VALUE"""),0.3439)</f>
      </c>
      <c r="O464" s="11">
        <f>IFERROR(__xludf.DUMMYFUNCTION("""COMPUTED_VALUE"""),400.23)</f>
      </c>
      <c r="P464" s="12"/>
      <c r="Q464" s="12"/>
      <c r="R464" s="15"/>
      <c r="S464" s="12"/>
      <c r="T464" s="12"/>
      <c r="U464" s="12"/>
      <c r="V464" s="12"/>
      <c r="W464" s="12"/>
      <c r="X464" s="12"/>
      <c r="Y464" s="12"/>
      <c r="Z464" s="12"/>
    </row>
    <row x14ac:dyDescent="0.25" r="465" customHeight="1" ht="15.75">
      <c r="A465" s="8">
        <f>IFERROR(__xludf.DUMMYFUNCTION("""COMPUTED_VALUE"""),25595.0)</f>
      </c>
      <c r="B465" s="9">
        <f>IFERROR(__xludf.DUMMYFUNCTION("""COMPUTED_VALUE"""),"METROPOLITANA IV")</f>
      </c>
      <c r="C465" s="9">
        <f>IFERROR(__xludf.DUMMYFUNCTION("""COMPUTED_VALUE"""),"CE MINISTRO MARCOS FREIRE")</f>
      </c>
      <c r="D465" s="10">
        <f>IFERROR(__xludf.DUMMYFUNCTION("""COMPUTED_VALUE"""),0.5281)</f>
      </c>
      <c r="E465" s="11">
        <f>IFERROR(__xludf.DUMMYFUNCTION("""COMPUTED_VALUE"""),85.33)</f>
      </c>
      <c r="F465" s="10">
        <f>IFERROR(__xludf.DUMMYFUNCTION("""COMPUTED_VALUE"""),0.3315)</f>
      </c>
      <c r="G465" s="11">
        <f>IFERROR(__xludf.DUMMYFUNCTION("""COMPUTED_VALUE"""),273.68)</f>
      </c>
      <c r="H465" s="10">
        <f>IFERROR(__xludf.DUMMYFUNCTION("""COMPUTED_VALUE"""),0.3579)</f>
      </c>
      <c r="I465" s="11">
        <f>IFERROR(__xludf.DUMMYFUNCTION("""COMPUTED_VALUE"""),250.0)</f>
      </c>
      <c r="J465" s="10">
        <f>IFERROR(__xludf.DUMMYFUNCTION("""COMPUTED_VALUE"""),0.3421)</f>
      </c>
      <c r="K465" s="11">
        <f>IFERROR(__xludf.DUMMYFUNCTION("""COMPUTED_VALUE"""),68.31)</f>
      </c>
      <c r="L465" s="10">
        <f>IFERROR(__xludf.DUMMYFUNCTION("""COMPUTED_VALUE"""),0.3158)</f>
      </c>
      <c r="M465" s="11">
        <f>IFERROR(__xludf.DUMMYFUNCTION("""COMPUTED_VALUE"""),260.69)</f>
      </c>
      <c r="N465" s="10">
        <f>IFERROR(__xludf.DUMMYFUNCTION("""COMPUTED_VALUE"""),0.4263)</f>
      </c>
      <c r="O465" s="11">
        <f>IFERROR(__xludf.DUMMYFUNCTION("""COMPUTED_VALUE"""),281.5)</f>
      </c>
      <c r="P465" s="12"/>
      <c r="Q465" s="12"/>
      <c r="R465" s="15"/>
      <c r="S465" s="12"/>
      <c r="T465" s="12"/>
      <c r="U465" s="12"/>
      <c r="V465" s="12"/>
      <c r="W465" s="12"/>
      <c r="X465" s="12"/>
      <c r="Y465" s="12"/>
      <c r="Z465" s="12"/>
    </row>
    <row x14ac:dyDescent="0.25" r="466" customHeight="1" ht="15.75">
      <c r="A466" s="8">
        <f>IFERROR(__xludf.DUMMYFUNCTION("""COMPUTED_VALUE"""),25596.0)</f>
      </c>
      <c r="B466" s="9">
        <f>IFERROR(__xludf.DUMMYFUNCTION("""COMPUTED_VALUE"""),"METROPOLITANA IV")</f>
      </c>
      <c r="C466" s="9">
        <f>IFERROR(__xludf.DUMMYFUNCTION("""COMPUTED_VALUE"""),"CE MISSIONÁRIO MÁRIO WAY")</f>
      </c>
      <c r="D466" s="10">
        <f>IFERROR(__xludf.DUMMYFUNCTION("""COMPUTED_VALUE"""),0.8327)</f>
      </c>
      <c r="E466" s="11">
        <f>IFERROR(__xludf.DUMMYFUNCTION("""COMPUTED_VALUE"""),265.84)</f>
      </c>
      <c r="F466" s="10">
        <f>IFERROR(__xludf.DUMMYFUNCTION("""COMPUTED_VALUE"""),0.9269)</f>
      </c>
      <c r="G466" s="11">
        <f>IFERROR(__xludf.DUMMYFUNCTION("""COMPUTED_VALUE"""),270.81)</f>
      </c>
      <c r="H466" s="10">
        <f>IFERROR(__xludf.DUMMYFUNCTION("""COMPUTED_VALUE"""),0.6322)</f>
      </c>
      <c r="I466" s="11">
        <f>IFERROR(__xludf.DUMMYFUNCTION("""COMPUTED_VALUE"""),371.8)</f>
      </c>
      <c r="J466" s="10">
        <f>IFERROR(__xludf.DUMMYFUNCTION("""COMPUTED_VALUE"""),0.5617)</f>
      </c>
      <c r="K466" s="11">
        <f>IFERROR(__xludf.DUMMYFUNCTION("""COMPUTED_VALUE"""),299.16)</f>
      </c>
      <c r="L466" s="10">
        <f>IFERROR(__xludf.DUMMYFUNCTION("""COMPUTED_VALUE"""),0.4577)</f>
      </c>
      <c r="M466" s="11">
        <f>IFERROR(__xludf.DUMMYFUNCTION("""COMPUTED_VALUE"""),331.98)</f>
      </c>
      <c r="N466" s="10">
        <f>IFERROR(__xludf.DUMMYFUNCTION("""COMPUTED_VALUE"""),0.4256)</f>
      </c>
      <c r="O466" s="11">
        <f>IFERROR(__xludf.DUMMYFUNCTION("""COMPUTED_VALUE"""),"----")</f>
      </c>
      <c r="P466" s="12"/>
      <c r="Q466" s="12"/>
      <c r="R466" s="15"/>
      <c r="S466" s="12"/>
      <c r="T466" s="12"/>
      <c r="U466" s="12"/>
      <c r="V466" s="12"/>
      <c r="W466" s="12"/>
      <c r="X466" s="12"/>
      <c r="Y466" s="12"/>
      <c r="Z466" s="12"/>
    </row>
    <row x14ac:dyDescent="0.25" r="467" customHeight="1" ht="15.75">
      <c r="A467" s="8">
        <f>IFERROR(__xludf.DUMMYFUNCTION("""COMPUTED_VALUE"""),25597.0)</f>
      </c>
      <c r="B467" s="9">
        <f>IFERROR(__xludf.DUMMYFUNCTION("""COMPUTED_VALUE"""),"METROPOLITANA IV")</f>
      </c>
      <c r="C467" s="9">
        <f>IFERROR(__xludf.DUMMYFUNCTION("""COMPUTED_VALUE"""),"CE MOACYR PADILHA")</f>
      </c>
      <c r="D467" s="10">
        <f>IFERROR(__xludf.DUMMYFUNCTION("""COMPUTED_VALUE"""),0.3304)</f>
      </c>
      <c r="E467" s="11">
        <f>IFERROR(__xludf.DUMMYFUNCTION("""COMPUTED_VALUE"""),240.0)</f>
      </c>
      <c r="F467" s="10">
        <f>IFERROR(__xludf.DUMMYFUNCTION("""COMPUTED_VALUE"""),0.0261)</f>
      </c>
      <c r="G467" s="11">
        <f>IFERROR(__xludf.DUMMYFUNCTION("""COMPUTED_VALUE"""),0.0)</f>
      </c>
      <c r="H467" s="10">
        <f>IFERROR(__xludf.DUMMYFUNCTION("""COMPUTED_VALUE"""),0.4348)</f>
      </c>
      <c r="I467" s="11">
        <f>IFERROR(__xludf.DUMMYFUNCTION("""COMPUTED_VALUE"""),265.6)</f>
      </c>
      <c r="J467" s="10">
        <f>IFERROR(__xludf.DUMMYFUNCTION("""COMPUTED_VALUE"""),0.4957)</f>
      </c>
      <c r="K467" s="11">
        <f>IFERROR(__xludf.DUMMYFUNCTION("""COMPUTED_VALUE"""),203.64)</f>
      </c>
      <c r="L467" s="10">
        <f>IFERROR(__xludf.DUMMYFUNCTION("""COMPUTED_VALUE"""),0.1391)</f>
      </c>
      <c r="M467" s="11">
        <f>IFERROR(__xludf.DUMMYFUNCTION("""COMPUTED_VALUE"""),452.5)</f>
      </c>
      <c r="N467" s="10">
        <f>IFERROR(__xludf.DUMMYFUNCTION("""COMPUTED_VALUE"""),0.0087)</f>
      </c>
      <c r="O467" s="11">
        <f>IFERROR(__xludf.DUMMYFUNCTION("""COMPUTED_VALUE"""),600.0)</f>
      </c>
      <c r="P467" s="12"/>
      <c r="Q467" s="12"/>
      <c r="R467" s="15"/>
      <c r="S467" s="12"/>
      <c r="T467" s="12"/>
      <c r="U467" s="12"/>
      <c r="V467" s="12"/>
      <c r="W467" s="12"/>
      <c r="X467" s="12"/>
      <c r="Y467" s="12"/>
      <c r="Z467" s="12"/>
    </row>
    <row x14ac:dyDescent="0.25" r="468" customHeight="1" ht="15.75">
      <c r="A468" s="8">
        <f>IFERROR(__xludf.DUMMYFUNCTION("""COMPUTED_VALUE"""),25598.0)</f>
      </c>
      <c r="B468" s="9">
        <f>IFERROR(__xludf.DUMMYFUNCTION("""COMPUTED_VALUE"""),"METROPOLITANA IV")</f>
      </c>
      <c r="C468" s="9">
        <f>IFERROR(__xludf.DUMMYFUNCTION("""COMPUTED_VALUE"""),"CE MONSENHOR MIGUEL DE SANTA MARIA MOCHON")</f>
      </c>
      <c r="D468" s="10">
        <f>IFERROR(__xludf.DUMMYFUNCTION("""COMPUTED_VALUE"""),0.6959)</f>
      </c>
      <c r="E468" s="11">
        <f>IFERROR(__xludf.DUMMYFUNCTION("""COMPUTED_VALUE"""),307.8)</f>
      </c>
      <c r="F468" s="10">
        <f>IFERROR(__xludf.DUMMYFUNCTION("""COMPUTED_VALUE"""),0.6959)</f>
      </c>
      <c r="G468" s="11">
        <f>IFERROR(__xludf.DUMMYFUNCTION("""COMPUTED_VALUE"""),368.55)</f>
      </c>
      <c r="H468" s="10">
        <f>IFERROR(__xludf.DUMMYFUNCTION("""COMPUTED_VALUE"""),0.655)</f>
      </c>
      <c r="I468" s="11">
        <f>IFERROR(__xludf.DUMMYFUNCTION("""COMPUTED_VALUE"""),419.29)</f>
      </c>
      <c r="J468" s="10">
        <f>IFERROR(__xludf.DUMMYFUNCTION("""COMPUTED_VALUE"""),0.731)</f>
      </c>
      <c r="K468" s="11">
        <f>IFERROR(__xludf.DUMMYFUNCTION("""COMPUTED_VALUE"""),362.26)</f>
      </c>
      <c r="L468" s="10">
        <f>IFERROR(__xludf.DUMMYFUNCTION("""COMPUTED_VALUE"""),0.6491)</f>
      </c>
      <c r="M468" s="11">
        <f>IFERROR(__xludf.DUMMYFUNCTION("""COMPUTED_VALUE"""),444.07)</f>
      </c>
      <c r="N468" s="10">
        <f>IFERROR(__xludf.DUMMYFUNCTION("""COMPUTED_VALUE"""),0.7076)</f>
      </c>
      <c r="O468" s="11">
        <f>IFERROR(__xludf.DUMMYFUNCTION("""COMPUTED_VALUE"""),476.33)</f>
      </c>
      <c r="P468" s="12"/>
      <c r="Q468" s="12"/>
      <c r="R468" s="15"/>
      <c r="S468" s="12"/>
      <c r="T468" s="12"/>
      <c r="U468" s="12"/>
      <c r="V468" s="12"/>
      <c r="W468" s="12"/>
      <c r="X468" s="12"/>
      <c r="Y468" s="12"/>
      <c r="Z468" s="12"/>
    </row>
    <row x14ac:dyDescent="0.25" r="469" customHeight="1" ht="15.75">
      <c r="A469" s="8">
        <f>IFERROR(__xludf.DUMMYFUNCTION("""COMPUTED_VALUE"""),25599.0)</f>
      </c>
      <c r="B469" s="9">
        <f>IFERROR(__xludf.DUMMYFUNCTION("""COMPUTED_VALUE"""),"METROPOLITANA IV")</f>
      </c>
      <c r="C469" s="9">
        <f>IFERROR(__xludf.DUMMYFUNCTION("""COMPUTED_VALUE"""),"CE MONTEIRO LOBATO")</f>
      </c>
      <c r="D469" s="10">
        <f>IFERROR(__xludf.DUMMYFUNCTION("""COMPUTED_VALUE"""),0.2034)</f>
      </c>
      <c r="E469" s="11">
        <f>IFERROR(__xludf.DUMMYFUNCTION("""COMPUTED_VALUE"""),260.0)</f>
      </c>
      <c r="F469" s="10">
        <f>IFERROR(__xludf.DUMMYFUNCTION("""COMPUTED_VALUE"""),0.2712)</f>
      </c>
      <c r="G469" s="11">
        <f>IFERROR(__xludf.DUMMYFUNCTION("""COMPUTED_VALUE"""),360.0)</f>
      </c>
      <c r="H469" s="10">
        <f>IFERROR(__xludf.DUMMYFUNCTION("""COMPUTED_VALUE"""),0.1811)</f>
      </c>
      <c r="I469" s="11">
        <f>IFERROR(__xludf.DUMMYFUNCTION("""COMPUTED_VALUE"""),309.57)</f>
      </c>
      <c r="J469" s="10">
        <f>IFERROR(__xludf.DUMMYFUNCTION("""COMPUTED_VALUE"""),0.6471)</f>
      </c>
      <c r="K469" s="11">
        <f>IFERROR(__xludf.DUMMYFUNCTION("""COMPUTED_VALUE"""),185.0)</f>
      </c>
      <c r="L469" s="10">
        <f>IFERROR(__xludf.DUMMYFUNCTION("""COMPUTED_VALUE"""),0.189)</f>
      </c>
      <c r="M469" s="11">
        <f>IFERROR(__xludf.DUMMYFUNCTION("""COMPUTED_VALUE"""),251.67)</f>
      </c>
      <c r="N469" s="10">
        <f>IFERROR(__xludf.DUMMYFUNCTION("""COMPUTED_VALUE"""),0.2283)</f>
      </c>
      <c r="O469" s="11">
        <f>IFERROR(__xludf.DUMMYFUNCTION("""COMPUTED_VALUE"""),318.62)</f>
      </c>
      <c r="P469" s="12"/>
      <c r="Q469" s="12"/>
      <c r="R469" s="15"/>
      <c r="S469" s="12"/>
      <c r="T469" s="12"/>
      <c r="U469" s="12"/>
      <c r="V469" s="12"/>
      <c r="W469" s="12"/>
      <c r="X469" s="12"/>
      <c r="Y469" s="12"/>
      <c r="Z469" s="12"/>
    </row>
    <row x14ac:dyDescent="0.25" r="470" customHeight="1" ht="15.75">
      <c r="A470" s="8">
        <f>IFERROR(__xludf.DUMMYFUNCTION("""COMPUTED_VALUE"""),25600.0)</f>
      </c>
      <c r="B470" s="9">
        <f>IFERROR(__xludf.DUMMYFUNCTION("""COMPUTED_VALUE"""),"METROPOLITANA IV")</f>
      </c>
      <c r="C470" s="9">
        <f>IFERROR(__xludf.DUMMYFUNCTION("""COMPUTED_VALUE"""),"CE NICARAGUA")</f>
      </c>
      <c r="D470" s="10">
        <f>IFERROR(__xludf.DUMMYFUNCTION("""COMPUTED_VALUE"""),0.5615)</f>
      </c>
      <c r="E470" s="11">
        <f>IFERROR(__xludf.DUMMYFUNCTION("""COMPUTED_VALUE"""),35.33)</f>
      </c>
      <c r="F470" s="10">
        <f>IFERROR(__xludf.DUMMYFUNCTION("""COMPUTED_VALUE"""),0.5692)</f>
      </c>
      <c r="G470" s="11">
        <f>IFERROR(__xludf.DUMMYFUNCTION("""COMPUTED_VALUE"""),233.71)</f>
      </c>
      <c r="H470" s="10">
        <f>IFERROR(__xludf.DUMMYFUNCTION("""COMPUTED_VALUE"""),0.4077)</f>
      </c>
      <c r="I470" s="11">
        <f>IFERROR(__xludf.DUMMYFUNCTION("""COMPUTED_VALUE"""),257.69)</f>
      </c>
      <c r="J470" s="10">
        <f>IFERROR(__xludf.DUMMYFUNCTION("""COMPUTED_VALUE"""),0.4077)</f>
      </c>
      <c r="K470" s="11">
        <f>IFERROR(__xludf.DUMMYFUNCTION("""COMPUTED_VALUE"""),109.8)</f>
      </c>
      <c r="L470" s="10">
        <f>IFERROR(__xludf.DUMMYFUNCTION("""COMPUTED_VALUE"""),0.4154)</f>
      </c>
      <c r="M470" s="11">
        <f>IFERROR(__xludf.DUMMYFUNCTION("""COMPUTED_VALUE"""),231.85)</f>
      </c>
      <c r="N470" s="10">
        <f>IFERROR(__xludf.DUMMYFUNCTION("""COMPUTED_VALUE"""),0.4154)</f>
      </c>
      <c r="O470" s="11">
        <f>IFERROR(__xludf.DUMMYFUNCTION("""COMPUTED_VALUE"""),276.3)</f>
      </c>
      <c r="P470" s="12"/>
      <c r="Q470" s="12"/>
      <c r="R470" s="15"/>
      <c r="S470" s="12"/>
      <c r="T470" s="12"/>
      <c r="U470" s="12"/>
      <c r="V470" s="12"/>
      <c r="W470" s="12"/>
      <c r="X470" s="12"/>
      <c r="Y470" s="12"/>
      <c r="Z470" s="12"/>
    </row>
    <row x14ac:dyDescent="0.25" r="471" customHeight="1" ht="15.75">
      <c r="A471" s="8">
        <f>IFERROR(__xludf.DUMMYFUNCTION("""COMPUTED_VALUE"""),25601.0)</f>
      </c>
      <c r="B471" s="9">
        <f>IFERROR(__xludf.DUMMYFUNCTION("""COMPUTED_VALUE"""),"METROPOLITANA IV")</f>
      </c>
      <c r="C471" s="9">
        <f>IFERROR(__xludf.DUMMYFUNCTION("""COMPUTED_VALUE"""),"CE PESTALOZZI")</f>
      </c>
      <c r="D471" s="10">
        <f>IFERROR(__xludf.DUMMYFUNCTION("""COMPUTED_VALUE"""),0.6493)</f>
      </c>
      <c r="E471" s="11">
        <f>IFERROR(__xludf.DUMMYFUNCTION("""COMPUTED_VALUE"""),71.11)</f>
      </c>
      <c r="F471" s="10">
        <f>IFERROR(__xludf.DUMMYFUNCTION("""COMPUTED_VALUE"""),0.5187)</f>
      </c>
      <c r="G471" s="11">
        <f>IFERROR(__xludf.DUMMYFUNCTION("""COMPUTED_VALUE"""),360.3)</f>
      </c>
      <c r="H471" s="10">
        <f>IFERROR(__xludf.DUMMYFUNCTION("""COMPUTED_VALUE"""),0.2724)</f>
      </c>
      <c r="I471" s="11">
        <f>IFERROR(__xludf.DUMMYFUNCTION("""COMPUTED_VALUE"""),417.65)</f>
      </c>
      <c r="J471" s="10">
        <f>IFERROR(__xludf.DUMMYFUNCTION("""COMPUTED_VALUE"""),0.2985)</f>
      </c>
      <c r="K471" s="11">
        <f>IFERROR(__xludf.DUMMYFUNCTION("""COMPUTED_VALUE"""),69.38)</f>
      </c>
      <c r="L471" s="10">
        <f>IFERROR(__xludf.DUMMYFUNCTION("""COMPUTED_VALUE"""),0.2239)</f>
      </c>
      <c r="M471" s="11">
        <f>IFERROR(__xludf.DUMMYFUNCTION("""COMPUTED_VALUE"""),421.69)</f>
      </c>
      <c r="N471" s="10">
        <f>IFERROR(__xludf.DUMMYFUNCTION("""COMPUTED_VALUE"""),0.0112)</f>
      </c>
      <c r="O471" s="11">
        <f>IFERROR(__xludf.DUMMYFUNCTION("""COMPUTED_VALUE"""),346.67)</f>
      </c>
      <c r="P471" s="12"/>
      <c r="Q471" s="12"/>
      <c r="R471" s="15"/>
      <c r="S471" s="12"/>
      <c r="T471" s="12"/>
      <c r="U471" s="12"/>
      <c r="V471" s="12"/>
      <c r="W471" s="12"/>
      <c r="X471" s="12"/>
      <c r="Y471" s="12"/>
      <c r="Z471" s="12"/>
    </row>
    <row x14ac:dyDescent="0.25" r="472" customHeight="1" ht="15.75">
      <c r="A472" s="8">
        <f>IFERROR(__xludf.DUMMYFUNCTION("""COMPUTED_VALUE"""),25645.0)</f>
      </c>
      <c r="B472" s="9">
        <f>IFERROR(__xludf.DUMMYFUNCTION("""COMPUTED_VALUE"""),"METROPOLITANA IV")</f>
      </c>
      <c r="C472" s="9">
        <f>IFERROR(__xludf.DUMMYFUNCTION("""COMPUTED_VALUE"""),"CE PIRANEMA")</f>
      </c>
      <c r="D472" s="10">
        <f>IFERROR(__xludf.DUMMYFUNCTION("""COMPUTED_VALUE"""),0.9464)</f>
      </c>
      <c r="E472" s="11">
        <f>IFERROR(__xludf.DUMMYFUNCTION("""COMPUTED_VALUE"""),304.4)</f>
      </c>
      <c r="F472" s="10">
        <f>IFERROR(__xludf.DUMMYFUNCTION("""COMPUTED_VALUE"""),0.375)</f>
      </c>
      <c r="G472" s="11">
        <f>IFERROR(__xludf.DUMMYFUNCTION("""COMPUTED_VALUE"""),"----")</f>
      </c>
      <c r="H472" s="10">
        <f>IFERROR(__xludf.DUMMYFUNCTION("""COMPUTED_VALUE"""),0.6752)</f>
      </c>
      <c r="I472" s="11">
        <f>IFERROR(__xludf.DUMMYFUNCTION("""COMPUTED_VALUE"""),471.26)</f>
      </c>
      <c r="J472" s="10">
        <f>IFERROR(__xludf.DUMMYFUNCTION("""COMPUTED_VALUE"""),0.8611)</f>
      </c>
      <c r="K472" s="11">
        <f>IFERROR(__xludf.DUMMYFUNCTION("""COMPUTED_VALUE"""),364.78)</f>
      </c>
      <c r="L472" s="10">
        <f>IFERROR(__xludf.DUMMYFUNCTION("""COMPUTED_VALUE"""),0.6239)</f>
      </c>
      <c r="M472" s="11">
        <f>IFERROR(__xludf.DUMMYFUNCTION("""COMPUTED_VALUE"""),445.03)</f>
      </c>
      <c r="N472" s="10">
        <f>IFERROR(__xludf.DUMMYFUNCTION("""COMPUTED_VALUE"""),0.6752)</f>
      </c>
      <c r="O472" s="11">
        <f>IFERROR(__xludf.DUMMYFUNCTION("""COMPUTED_VALUE"""),"----")</f>
      </c>
      <c r="P472" s="12"/>
      <c r="Q472" s="12"/>
      <c r="R472" s="15"/>
      <c r="S472" s="12"/>
      <c r="T472" s="12"/>
      <c r="U472" s="12"/>
      <c r="V472" s="12"/>
      <c r="W472" s="12"/>
      <c r="X472" s="12"/>
      <c r="Y472" s="12"/>
      <c r="Z472" s="12"/>
    </row>
    <row x14ac:dyDescent="0.25" r="473" customHeight="1" ht="15.75">
      <c r="A473" s="8">
        <f>IFERROR(__xludf.DUMMYFUNCTION("""COMPUTED_VALUE"""),25602.0)</f>
      </c>
      <c r="B473" s="9">
        <f>IFERROR(__xludf.DUMMYFUNCTION("""COMPUTED_VALUE"""),"METROPOLITANA IV")</f>
      </c>
      <c r="C473" s="9">
        <f>IFERROR(__xludf.DUMMYFUNCTION("""COMPUTED_VALUE"""),"CE PRESIDENTE ANTONIO CARLOS")</f>
      </c>
      <c r="D473" s="10">
        <f>IFERROR(__xludf.DUMMYFUNCTION("""COMPUTED_VALUE"""),0.5946)</f>
      </c>
      <c r="E473" s="11">
        <f>IFERROR(__xludf.DUMMYFUNCTION("""COMPUTED_VALUE"""),158.64)</f>
      </c>
      <c r="F473" s="10">
        <f>IFERROR(__xludf.DUMMYFUNCTION("""COMPUTED_VALUE"""),0.9189)</f>
      </c>
      <c r="G473" s="11">
        <f>IFERROR(__xludf.DUMMYFUNCTION("""COMPUTED_VALUE"""),184.06)</f>
      </c>
      <c r="H473" s="10">
        <f>IFERROR(__xludf.DUMMYFUNCTION("""COMPUTED_VALUE"""),0.3851)</f>
      </c>
      <c r="I473" s="11">
        <f>IFERROR(__xludf.DUMMYFUNCTION("""COMPUTED_VALUE"""),315.71)</f>
      </c>
      <c r="J473" s="10">
        <f>IFERROR(__xludf.DUMMYFUNCTION("""COMPUTED_VALUE"""),0.4662)</f>
      </c>
      <c r="K473" s="11">
        <f>IFERROR(__xludf.DUMMYFUNCTION("""COMPUTED_VALUE"""),267.27)</f>
      </c>
      <c r="L473" s="10">
        <f>IFERROR(__xludf.DUMMYFUNCTION("""COMPUTED_VALUE"""),0.4527)</f>
      </c>
      <c r="M473" s="11">
        <f>IFERROR(__xludf.DUMMYFUNCTION("""COMPUTED_VALUE"""),328.89)</f>
      </c>
      <c r="N473" s="10">
        <f>IFERROR(__xludf.DUMMYFUNCTION("""COMPUTED_VALUE"""),0.5068)</f>
      </c>
      <c r="O473" s="11">
        <f>IFERROR(__xludf.DUMMYFUNCTION("""COMPUTED_VALUE"""),330.96)</f>
      </c>
      <c r="P473" s="12"/>
      <c r="Q473" s="12"/>
      <c r="R473" s="15"/>
      <c r="S473" s="12"/>
      <c r="T473" s="12"/>
      <c r="U473" s="12"/>
      <c r="V473" s="12"/>
      <c r="W473" s="12"/>
      <c r="X473" s="12"/>
      <c r="Y473" s="12"/>
      <c r="Z473" s="12"/>
    </row>
    <row x14ac:dyDescent="0.25" r="474" customHeight="1" ht="15.75">
      <c r="A474" s="8">
        <f>IFERROR(__xludf.DUMMYFUNCTION("""COMPUTED_VALUE"""),25646.0)</f>
      </c>
      <c r="B474" s="9">
        <f>IFERROR(__xludf.DUMMYFUNCTION("""COMPUTED_VALUE"""),"METROPOLITANA IV")</f>
      </c>
      <c r="C474" s="9">
        <f>IFERROR(__xludf.DUMMYFUNCTION("""COMPUTED_VALUE"""),"CE PRESIDENTE DUTRA")</f>
      </c>
      <c r="D474" s="10">
        <f>IFERROR(__xludf.DUMMYFUNCTION("""COMPUTED_VALUE"""),0.9617)</f>
      </c>
      <c r="E474" s="11">
        <f>IFERROR(__xludf.DUMMYFUNCTION("""COMPUTED_VALUE"""),226.95)</f>
      </c>
      <c r="F474" s="10">
        <f>IFERROR(__xludf.DUMMYFUNCTION("""COMPUTED_VALUE"""),0.7316)</f>
      </c>
      <c r="G474" s="11">
        <f>IFERROR(__xludf.DUMMYFUNCTION("""COMPUTED_VALUE"""),451.59)</f>
      </c>
      <c r="H474" s="10">
        <f>IFERROR(__xludf.DUMMYFUNCTION("""COMPUTED_VALUE"""),0.6431)</f>
      </c>
      <c r="I474" s="11">
        <f>IFERROR(__xludf.DUMMYFUNCTION("""COMPUTED_VALUE"""),480.75)</f>
      </c>
      <c r="J474" s="10">
        <f>IFERROR(__xludf.DUMMYFUNCTION("""COMPUTED_VALUE"""),0.5133)</f>
      </c>
      <c r="K474" s="11">
        <f>IFERROR(__xludf.DUMMYFUNCTION("""COMPUTED_VALUE"""),400.0)</f>
      </c>
      <c r="L474" s="10">
        <f>IFERROR(__xludf.DUMMYFUNCTION("""COMPUTED_VALUE"""),0.705)</f>
      </c>
      <c r="M474" s="11">
        <f>IFERROR(__xludf.DUMMYFUNCTION("""COMPUTED_VALUE"""),470.59)</f>
      </c>
      <c r="N474" s="10">
        <f>IFERROR(__xludf.DUMMYFUNCTION("""COMPUTED_VALUE"""),0.5664)</f>
      </c>
      <c r="O474" s="11">
        <f>IFERROR(__xludf.DUMMYFUNCTION("""COMPUTED_VALUE"""),502.32)</f>
      </c>
      <c r="P474" s="12"/>
      <c r="Q474" s="12"/>
      <c r="R474" s="15"/>
      <c r="S474" s="12"/>
      <c r="T474" s="12"/>
      <c r="U474" s="12"/>
      <c r="V474" s="12"/>
      <c r="W474" s="12"/>
      <c r="X474" s="12"/>
      <c r="Y474" s="12"/>
      <c r="Z474" s="12"/>
    </row>
    <row x14ac:dyDescent="0.25" r="475" customHeight="1" ht="15.75">
      <c r="A475" s="8">
        <f>IFERROR(__xludf.DUMMYFUNCTION("""COMPUTED_VALUE"""),25603.0)</f>
      </c>
      <c r="B475" s="9">
        <f>IFERROR(__xludf.DUMMYFUNCTION("""COMPUTED_VALUE"""),"METROPOLITANA IV")</f>
      </c>
      <c r="C475" s="9">
        <f>IFERROR(__xludf.DUMMYFUNCTION("""COMPUTED_VALUE"""),"CE PROFESSOR DALTRO SANTOS")</f>
      </c>
      <c r="D475" s="10">
        <f>IFERROR(__xludf.DUMMYFUNCTION("""COMPUTED_VALUE"""),0.6356)</f>
      </c>
      <c r="E475" s="11">
        <f>IFERROR(__xludf.DUMMYFUNCTION("""COMPUTED_VALUE"""),101.25)</f>
      </c>
      <c r="F475" s="10">
        <f>IFERROR(__xludf.DUMMYFUNCTION("""COMPUTED_VALUE"""),0.0085)</f>
      </c>
      <c r="G475" s="11">
        <f>IFERROR(__xludf.DUMMYFUNCTION("""COMPUTED_VALUE"""),0.0)</f>
      </c>
      <c r="H475" s="10">
        <f>IFERROR(__xludf.DUMMYFUNCTION("""COMPUTED_VALUE"""),0.4153)</f>
      </c>
      <c r="I475" s="11">
        <f>IFERROR(__xludf.DUMMYFUNCTION("""COMPUTED_VALUE"""),356.67)</f>
      </c>
      <c r="J475" s="10">
        <f>IFERROR(__xludf.DUMMYFUNCTION("""COMPUTED_VALUE"""),0.5254)</f>
      </c>
      <c r="K475" s="11">
        <f>IFERROR(__xludf.DUMMYFUNCTION("""COMPUTED_VALUE"""),36.15)</f>
      </c>
      <c r="L475" s="10">
        <f>IFERROR(__xludf.DUMMYFUNCTION("""COMPUTED_VALUE"""),0.5339)</f>
      </c>
      <c r="M475" s="11">
        <f>IFERROR(__xludf.DUMMYFUNCTION("""COMPUTED_VALUE"""),359.35)</f>
      </c>
      <c r="N475" s="10">
        <f>IFERROR(__xludf.DUMMYFUNCTION("""COMPUTED_VALUE"""),0.4068)</f>
      </c>
      <c r="O475" s="11">
        <f>IFERROR(__xludf.DUMMYFUNCTION("""COMPUTED_VALUE"""),359.13)</f>
      </c>
      <c r="P475" s="12"/>
      <c r="Q475" s="12"/>
      <c r="R475" s="15"/>
      <c r="S475" s="12"/>
      <c r="T475" s="12"/>
      <c r="U475" s="12"/>
      <c r="V475" s="12"/>
      <c r="W475" s="12"/>
      <c r="X475" s="12"/>
      <c r="Y475" s="12"/>
      <c r="Z475" s="12"/>
    </row>
    <row x14ac:dyDescent="0.25" r="476" customHeight="1" ht="15.75">
      <c r="A476" s="8">
        <f>IFERROR(__xludf.DUMMYFUNCTION("""COMPUTED_VALUE"""),25604.0)</f>
      </c>
      <c r="B476" s="9">
        <f>IFERROR(__xludf.DUMMYFUNCTION("""COMPUTED_VALUE"""),"METROPOLITANA IV")</f>
      </c>
      <c r="C476" s="9">
        <f>IFERROR(__xludf.DUMMYFUNCTION("""COMPUTED_VALUE"""),"CE PROFESSOR FERNANDO ANTONIO RAJA GABAGLIA")</f>
      </c>
      <c r="D476" s="10">
        <f>IFERROR(__xludf.DUMMYFUNCTION("""COMPUTED_VALUE"""),0.9437)</f>
      </c>
      <c r="E476" s="11">
        <f>IFERROR(__xludf.DUMMYFUNCTION("""COMPUTED_VALUE"""),175.86)</f>
      </c>
      <c r="F476" s="10">
        <f>IFERROR(__xludf.DUMMYFUNCTION("""COMPUTED_VALUE"""),0.6735)</f>
      </c>
      <c r="G476" s="11">
        <f>IFERROR(__xludf.DUMMYFUNCTION("""COMPUTED_VALUE"""),"----")</f>
      </c>
      <c r="H476" s="10">
        <f>IFERROR(__xludf.DUMMYFUNCTION("""COMPUTED_VALUE"""),0.6225)</f>
      </c>
      <c r="I476" s="11">
        <f>IFERROR(__xludf.DUMMYFUNCTION("""COMPUTED_VALUE"""),429.13)</f>
      </c>
      <c r="J476" s="10">
        <f>IFERROR(__xludf.DUMMYFUNCTION("""COMPUTED_VALUE"""),0.6709)</f>
      </c>
      <c r="K476" s="11">
        <f>IFERROR(__xludf.DUMMYFUNCTION("""COMPUTED_VALUE"""),330.79)</f>
      </c>
      <c r="L476" s="10">
        <f>IFERROR(__xludf.DUMMYFUNCTION("""COMPUTED_VALUE"""),0.6559)</f>
      </c>
      <c r="M476" s="11">
        <f>IFERROR(__xludf.DUMMYFUNCTION("""COMPUTED_VALUE"""),403.75)</f>
      </c>
      <c r="N476" s="10">
        <f>IFERROR(__xludf.DUMMYFUNCTION("""COMPUTED_VALUE"""),0.5755)</f>
      </c>
      <c r="O476" s="11">
        <f>IFERROR(__xludf.DUMMYFUNCTION("""COMPUTED_VALUE"""),"----")</f>
      </c>
      <c r="P476" s="12"/>
      <c r="Q476" s="12"/>
      <c r="R476" s="15"/>
      <c r="S476" s="12"/>
      <c r="T476" s="12"/>
      <c r="U476" s="12"/>
      <c r="V476" s="12"/>
      <c r="W476" s="12"/>
      <c r="X476" s="12"/>
      <c r="Y476" s="12"/>
      <c r="Z476" s="12"/>
    </row>
    <row x14ac:dyDescent="0.25" r="477" customHeight="1" ht="15.75">
      <c r="A477" s="8">
        <f>IFERROR(__xludf.DUMMYFUNCTION("""COMPUTED_VALUE"""),25605.0)</f>
      </c>
      <c r="B477" s="9">
        <f>IFERROR(__xludf.DUMMYFUNCTION("""COMPUTED_VALUE"""),"METROPOLITANA IV")</f>
      </c>
      <c r="C477" s="9">
        <f>IFERROR(__xludf.DUMMYFUNCTION("""COMPUTED_VALUE"""),"CE PROFESSOR GONCALVES")</f>
      </c>
      <c r="D477" s="10">
        <f>IFERROR(__xludf.DUMMYFUNCTION("""COMPUTED_VALUE"""),0.439)</f>
      </c>
      <c r="E477" s="11">
        <f>IFERROR(__xludf.DUMMYFUNCTION("""COMPUTED_VALUE"""),20.0)</f>
      </c>
      <c r="F477" s="10">
        <f>IFERROR(__xludf.DUMMYFUNCTION("""COMPUTED_VALUE"""),0.2195)</f>
      </c>
      <c r="G477" s="11">
        <f>IFERROR(__xludf.DUMMYFUNCTION("""COMPUTED_VALUE"""),333.33)</f>
      </c>
      <c r="H477" s="10">
        <f>IFERROR(__xludf.DUMMYFUNCTION("""COMPUTED_VALUE"""),0.12)</f>
      </c>
      <c r="I477" s="11">
        <f>IFERROR(__xludf.DUMMYFUNCTION("""COMPUTED_VALUE"""),434.67)</f>
      </c>
      <c r="J477" s="10">
        <f>IFERROR(__xludf.DUMMYFUNCTION("""COMPUTED_VALUE"""),0.5238)</f>
      </c>
      <c r="K477" s="11">
        <f>IFERROR(__xludf.DUMMYFUNCTION("""COMPUTED_VALUE"""),380.49)</f>
      </c>
      <c r="L477" s="10">
        <f>IFERROR(__xludf.DUMMYFUNCTION("""COMPUTED_VALUE"""),0.168)</f>
      </c>
      <c r="M477" s="11">
        <f>IFERROR(__xludf.DUMMYFUNCTION("""COMPUTED_VALUE"""),318.1)</f>
      </c>
      <c r="N477" s="10">
        <f>IFERROR(__xludf.DUMMYFUNCTION("""COMPUTED_VALUE"""),0.264)</f>
      </c>
      <c r="O477" s="11">
        <f>IFERROR(__xludf.DUMMYFUNCTION("""COMPUTED_VALUE"""),366.06)</f>
      </c>
      <c r="P477" s="12"/>
      <c r="Q477" s="12"/>
      <c r="R477" s="15"/>
      <c r="S477" s="12"/>
      <c r="T477" s="12"/>
      <c r="U477" s="12"/>
      <c r="V477" s="12"/>
      <c r="W477" s="12"/>
      <c r="X477" s="12"/>
      <c r="Y477" s="12"/>
      <c r="Z477" s="12"/>
    </row>
    <row x14ac:dyDescent="0.25" r="478" customHeight="1" ht="15.75">
      <c r="A478" s="8">
        <f>IFERROR(__xludf.DUMMYFUNCTION("""COMPUTED_VALUE"""),25546.0)</f>
      </c>
      <c r="B478" s="9">
        <f>IFERROR(__xludf.DUMMYFUNCTION("""COMPUTED_VALUE"""),"METROPOLITANA IV")</f>
      </c>
      <c r="C478" s="9">
        <f>IFERROR(__xludf.DUMMYFUNCTION("""COMPUTED_VALUE"""),"CE PROFESSOR NEY CIDADE PALMEIRO")</f>
      </c>
      <c r="D478" s="10">
        <f>IFERROR(__xludf.DUMMYFUNCTION("""COMPUTED_VALUE"""),0.8664)</f>
      </c>
      <c r="E478" s="11">
        <f>IFERROR(__xludf.DUMMYFUNCTION("""COMPUTED_VALUE"""),349.96)</f>
      </c>
      <c r="F478" s="10">
        <f>IFERROR(__xludf.DUMMYFUNCTION("""COMPUTED_VALUE"""),0.8412)</f>
      </c>
      <c r="G478" s="11">
        <f>IFERROR(__xludf.DUMMYFUNCTION("""COMPUTED_VALUE"""),307.36)</f>
      </c>
      <c r="H478" s="10">
        <f>IFERROR(__xludf.DUMMYFUNCTION("""COMPUTED_VALUE"""),0.657)</f>
      </c>
      <c r="I478" s="11">
        <f>IFERROR(__xludf.DUMMYFUNCTION("""COMPUTED_VALUE"""),452.51)</f>
      </c>
      <c r="J478" s="10">
        <f>IFERROR(__xludf.DUMMYFUNCTION("""COMPUTED_VALUE"""),0.7762)</f>
      </c>
      <c r="K478" s="11">
        <f>IFERROR(__xludf.DUMMYFUNCTION("""COMPUTED_VALUE"""),361.31)</f>
      </c>
      <c r="L478" s="10">
        <f>IFERROR(__xludf.DUMMYFUNCTION("""COMPUTED_VALUE"""),0.6715)</f>
      </c>
      <c r="M478" s="11">
        <f>IFERROR(__xludf.DUMMYFUNCTION("""COMPUTED_VALUE"""),448.7)</f>
      </c>
      <c r="N478" s="10">
        <f>IFERROR(__xludf.DUMMYFUNCTION("""COMPUTED_VALUE"""),0.5993)</f>
      </c>
      <c r="O478" s="11">
        <f>IFERROR(__xludf.DUMMYFUNCTION("""COMPUTED_VALUE"""),409.4)</f>
      </c>
      <c r="P478" s="12"/>
      <c r="Q478" s="12"/>
      <c r="R478" s="15"/>
      <c r="S478" s="12"/>
      <c r="T478" s="12"/>
      <c r="U478" s="12"/>
      <c r="V478" s="12"/>
      <c r="W478" s="12"/>
      <c r="X478" s="12"/>
      <c r="Y478" s="12"/>
      <c r="Z478" s="12"/>
    </row>
    <row x14ac:dyDescent="0.25" r="479" customHeight="1" ht="15.75">
      <c r="A479" s="8">
        <f>IFERROR(__xludf.DUMMYFUNCTION("""COMPUTED_VALUE"""),25606.0)</f>
      </c>
      <c r="B479" s="9">
        <f>IFERROR(__xludf.DUMMYFUNCTION("""COMPUTED_VALUE"""),"METROPOLITANA IV")</f>
      </c>
      <c r="C479" s="9">
        <f>IFERROR(__xludf.DUMMYFUNCTION("""COMPUTED_VALUE"""),"CE PROFESSOR OZEAS GOMES LARANGEIRAS")</f>
      </c>
      <c r="D479" s="10">
        <f>IFERROR(__xludf.DUMMYFUNCTION("""COMPUTED_VALUE"""),0.6257)</f>
      </c>
      <c r="E479" s="11">
        <f>IFERROR(__xludf.DUMMYFUNCTION("""COMPUTED_VALUE"""),120.75)</f>
      </c>
      <c r="F479" s="10">
        <f>IFERROR(__xludf.DUMMYFUNCTION("""COMPUTED_VALUE"""),0.6754)</f>
      </c>
      <c r="G479" s="11">
        <f>IFERROR(__xludf.DUMMYFUNCTION("""COMPUTED_VALUE"""),323.36)</f>
      </c>
      <c r="H479" s="10">
        <f>IFERROR(__xludf.DUMMYFUNCTION("""COMPUTED_VALUE"""),0.6784)</f>
      </c>
      <c r="I479" s="11">
        <f>IFERROR(__xludf.DUMMYFUNCTION("""COMPUTED_VALUE"""),362.1)</f>
      </c>
      <c r="J479" s="10">
        <f>IFERROR(__xludf.DUMMYFUNCTION("""COMPUTED_VALUE"""),0.6871)</f>
      </c>
      <c r="K479" s="11">
        <f>IFERROR(__xludf.DUMMYFUNCTION("""COMPUTED_VALUE"""),196.41)</f>
      </c>
      <c r="L479" s="10">
        <f>IFERROR(__xludf.DUMMYFUNCTION("""COMPUTED_VALUE"""),0.5819)</f>
      </c>
      <c r="M479" s="11">
        <f>IFERROR(__xludf.DUMMYFUNCTION("""COMPUTED_VALUE"""),323.08)</f>
      </c>
      <c r="N479" s="10">
        <f>IFERROR(__xludf.DUMMYFUNCTION("""COMPUTED_VALUE"""),0.6199)</f>
      </c>
      <c r="O479" s="11">
        <f>IFERROR(__xludf.DUMMYFUNCTION("""COMPUTED_VALUE"""),338.64)</f>
      </c>
      <c r="P479" s="12"/>
      <c r="Q479" s="12"/>
      <c r="R479" s="15"/>
      <c r="S479" s="12"/>
      <c r="T479" s="12"/>
      <c r="U479" s="12"/>
      <c r="V479" s="12"/>
      <c r="W479" s="12"/>
      <c r="X479" s="12"/>
      <c r="Y479" s="12"/>
      <c r="Z479" s="12"/>
    </row>
    <row x14ac:dyDescent="0.25" r="480" customHeight="1" ht="15.75">
      <c r="A480" s="8">
        <f>IFERROR(__xludf.DUMMYFUNCTION("""COMPUTED_VALUE"""),25647.0)</f>
      </c>
      <c r="B480" s="9">
        <f>IFERROR(__xludf.DUMMYFUNCTION("""COMPUTED_VALUE"""),"METROPOLITANA IV")</f>
      </c>
      <c r="C480" s="9">
        <f>IFERROR(__xludf.DUMMYFUNCTION("""COMPUTED_VALUE"""),"CE PROFESSOR ROBERTO LYRA")</f>
      </c>
      <c r="D480" s="10">
        <f>IFERROR(__xludf.DUMMYFUNCTION("""COMPUTED_VALUE"""),0.7027)</f>
      </c>
      <c r="E480" s="11">
        <f>IFERROR(__xludf.DUMMYFUNCTION("""COMPUTED_VALUE"""),224.83)</f>
      </c>
      <c r="F480" s="10">
        <f>IFERROR(__xludf.DUMMYFUNCTION("""COMPUTED_VALUE"""),0.4556)</f>
      </c>
      <c r="G480" s="11">
        <f>IFERROR(__xludf.DUMMYFUNCTION("""COMPUTED_VALUE"""),340.84)</f>
      </c>
      <c r="H480" s="10">
        <f>IFERROR(__xludf.DUMMYFUNCTION("""COMPUTED_VALUE"""),0.5174)</f>
      </c>
      <c r="I480" s="11">
        <f>IFERROR(__xludf.DUMMYFUNCTION("""COMPUTED_VALUE"""),368.55)</f>
      </c>
      <c r="J480" s="10">
        <f>IFERROR(__xludf.DUMMYFUNCTION("""COMPUTED_VALUE"""),0.6602)</f>
      </c>
      <c r="K480" s="11">
        <f>IFERROR(__xludf.DUMMYFUNCTION("""COMPUTED_VALUE"""),332.46)</f>
      </c>
      <c r="L480" s="10">
        <f>IFERROR(__xludf.DUMMYFUNCTION("""COMPUTED_VALUE"""),0.583)</f>
      </c>
      <c r="M480" s="11">
        <f>IFERROR(__xludf.DUMMYFUNCTION("""COMPUTED_VALUE"""),400.53)</f>
      </c>
      <c r="N480" s="10">
        <f>IFERROR(__xludf.DUMMYFUNCTION("""COMPUTED_VALUE"""),0.5714)</f>
      </c>
      <c r="O480" s="11">
        <f>IFERROR(__xludf.DUMMYFUNCTION("""COMPUTED_VALUE"""),386.21)</f>
      </c>
      <c r="P480" s="12"/>
      <c r="Q480" s="12"/>
      <c r="R480" s="15"/>
      <c r="S480" s="12"/>
      <c r="T480" s="12"/>
      <c r="U480" s="12"/>
      <c r="V480" s="12"/>
      <c r="W480" s="12"/>
      <c r="X480" s="12"/>
      <c r="Y480" s="12"/>
      <c r="Z480" s="12"/>
    </row>
    <row x14ac:dyDescent="0.25" r="481" customHeight="1" ht="15.75">
      <c r="A481" s="8">
        <f>IFERROR(__xludf.DUMMYFUNCTION("""COMPUTED_VALUE"""),25607.0)</f>
      </c>
      <c r="B481" s="9">
        <f>IFERROR(__xludf.DUMMYFUNCTION("""COMPUTED_VALUE"""),"METROPOLITANA IV")</f>
      </c>
      <c r="C481" s="9">
        <f>IFERROR(__xludf.DUMMYFUNCTION("""COMPUTED_VALUE"""),"CE PROFESSOR VIEIRA FAZENDA")</f>
      </c>
      <c r="D481" s="10">
        <f>IFERROR(__xludf.DUMMYFUNCTION("""COMPUTED_VALUE"""),0.8182)</f>
      </c>
      <c r="E481" s="11">
        <f>IFERROR(__xludf.DUMMYFUNCTION("""COMPUTED_VALUE"""),135.47)</f>
      </c>
      <c r="F481" s="10">
        <f>IFERROR(__xludf.DUMMYFUNCTION("""COMPUTED_VALUE"""),0.6515)</f>
      </c>
      <c r="G481" s="11">
        <f>IFERROR(__xludf.DUMMYFUNCTION("""COMPUTED_VALUE"""),321.88)</f>
      </c>
      <c r="H481" s="10">
        <f>IFERROR(__xludf.DUMMYFUNCTION("""COMPUTED_VALUE"""),0.5833)</f>
      </c>
      <c r="I481" s="11">
        <f>IFERROR(__xludf.DUMMYFUNCTION("""COMPUTED_VALUE"""),363.64)</f>
      </c>
      <c r="J481" s="10">
        <f>IFERROR(__xludf.DUMMYFUNCTION("""COMPUTED_VALUE"""),0.7348)</f>
      </c>
      <c r="K481" s="11">
        <f>IFERROR(__xludf.DUMMYFUNCTION("""COMPUTED_VALUE"""),284.73)</f>
      </c>
      <c r="L481" s="10">
        <f>IFERROR(__xludf.DUMMYFUNCTION("""COMPUTED_VALUE"""),0.5682)</f>
      </c>
      <c r="M481" s="11">
        <f>IFERROR(__xludf.DUMMYFUNCTION("""COMPUTED_VALUE"""),349.87)</f>
      </c>
      <c r="N481" s="10">
        <f>IFERROR(__xludf.DUMMYFUNCTION("""COMPUTED_VALUE"""),0.6515)</f>
      </c>
      <c r="O481" s="11">
        <f>IFERROR(__xludf.DUMMYFUNCTION("""COMPUTED_VALUE"""),353.88)</f>
      </c>
      <c r="P481" s="12"/>
      <c r="Q481" s="12"/>
      <c r="R481" s="15"/>
      <c r="S481" s="12"/>
      <c r="T481" s="12"/>
      <c r="U481" s="12"/>
      <c r="V481" s="12"/>
      <c r="W481" s="12"/>
      <c r="X481" s="12"/>
      <c r="Y481" s="12"/>
      <c r="Z481" s="12"/>
    </row>
    <row x14ac:dyDescent="0.25" r="482" customHeight="1" ht="15.75">
      <c r="A482" s="8">
        <f>IFERROR(__xludf.DUMMYFUNCTION("""COMPUTED_VALUE"""),25648.0)</f>
      </c>
      <c r="B482" s="9">
        <f>IFERROR(__xludf.DUMMYFUNCTION("""COMPUTED_VALUE"""),"METROPOLITANA IV")</f>
      </c>
      <c r="C482" s="9">
        <f>IFERROR(__xludf.DUMMYFUNCTION("""COMPUTED_VALUE"""),"CE PROFESSOR WALDEMAR RAYTHE")</f>
      </c>
      <c r="D482" s="10">
        <f>IFERROR(__xludf.DUMMYFUNCTION("""COMPUTED_VALUE"""),0.7389)</f>
      </c>
      <c r="E482" s="11">
        <f>IFERROR(__xludf.DUMMYFUNCTION("""COMPUTED_VALUE"""),116.79)</f>
      </c>
      <c r="F482" s="10">
        <f>IFERROR(__xludf.DUMMYFUNCTION("""COMPUTED_VALUE"""),0.5032)</f>
      </c>
      <c r="G482" s="11">
        <f>IFERROR(__xludf.DUMMYFUNCTION("""COMPUTED_VALUE"""),314.74)</f>
      </c>
      <c r="H482" s="10">
        <f>IFERROR(__xludf.DUMMYFUNCTION("""COMPUTED_VALUE"""),0.3758)</f>
      </c>
      <c r="I482" s="11">
        <f>IFERROR(__xludf.DUMMYFUNCTION("""COMPUTED_VALUE"""),374.24)</f>
      </c>
      <c r="J482" s="10">
        <f>IFERROR(__xludf.DUMMYFUNCTION("""COMPUTED_VALUE"""),0.4904)</f>
      </c>
      <c r="K482" s="11">
        <f>IFERROR(__xludf.DUMMYFUNCTION("""COMPUTED_VALUE"""),312.35)</f>
      </c>
      <c r="L482" s="10">
        <f>IFERROR(__xludf.DUMMYFUNCTION("""COMPUTED_VALUE"""),0.5032)</f>
      </c>
      <c r="M482" s="11">
        <f>IFERROR(__xludf.DUMMYFUNCTION("""COMPUTED_VALUE"""),394.87)</f>
      </c>
      <c r="N482" s="10">
        <f>IFERROR(__xludf.DUMMYFUNCTION("""COMPUTED_VALUE"""),0.4713)</f>
      </c>
      <c r="O482" s="11">
        <f>IFERROR(__xludf.DUMMYFUNCTION("""COMPUTED_VALUE"""),346.67)</f>
      </c>
      <c r="P482" s="12"/>
      <c r="Q482" s="12"/>
      <c r="R482" s="15"/>
      <c r="S482" s="12"/>
      <c r="T482" s="12"/>
      <c r="U482" s="12"/>
      <c r="V482" s="12"/>
      <c r="W482" s="12"/>
      <c r="X482" s="12"/>
      <c r="Y482" s="12"/>
      <c r="Z482" s="12"/>
    </row>
    <row x14ac:dyDescent="0.25" r="483" customHeight="1" ht="15.75">
      <c r="A483" s="8">
        <f>IFERROR(__xludf.DUMMYFUNCTION("""COMPUTED_VALUE"""),25608.0)</f>
      </c>
      <c r="B483" s="9">
        <f>IFERROR(__xludf.DUMMYFUNCTION("""COMPUTED_VALUE"""),"METROPOLITANA IV")</f>
      </c>
      <c r="C483" s="9">
        <f>IFERROR(__xludf.DUMMYFUNCTION("""COMPUTED_VALUE"""),"CE PROFESSORA ALBA CANIZARES DO NASCIMENTO")</f>
      </c>
      <c r="D483" s="10">
        <f>IFERROR(__xludf.DUMMYFUNCTION("""COMPUTED_VALUE"""),0.1857)</f>
      </c>
      <c r="E483" s="11">
        <f>IFERROR(__xludf.DUMMYFUNCTION("""COMPUTED_VALUE"""),150.0)</f>
      </c>
      <c r="F483" s="10">
        <f>IFERROR(__xludf.DUMMYFUNCTION("""COMPUTED_VALUE"""),0.4357)</f>
      </c>
      <c r="G483" s="11">
        <f>IFERROR(__xludf.DUMMYFUNCTION("""COMPUTED_VALUE"""),260.35)</f>
      </c>
      <c r="H483" s="10">
        <f>IFERROR(__xludf.DUMMYFUNCTION("""COMPUTED_VALUE"""),0.4071)</f>
      </c>
      <c r="I483" s="11">
        <f>IFERROR(__xludf.DUMMYFUNCTION("""COMPUTED_VALUE"""),382.55)</f>
      </c>
      <c r="J483" s="10">
        <f>IFERROR(__xludf.DUMMYFUNCTION("""COMPUTED_VALUE"""),0.2357)</f>
      </c>
      <c r="K483" s="11">
        <f>IFERROR(__xludf.DUMMYFUNCTION("""COMPUTED_VALUE"""),320.0)</f>
      </c>
      <c r="L483" s="10">
        <f>IFERROR(__xludf.DUMMYFUNCTION("""COMPUTED_VALUE"""),0.0214)</f>
      </c>
      <c r="M483" s="11">
        <f>IFERROR(__xludf.DUMMYFUNCTION("""COMPUTED_VALUE"""),180.0)</f>
      </c>
      <c r="N483" s="10">
        <f>IFERROR(__xludf.DUMMYFUNCTION("""COMPUTED_VALUE"""),0.4214)</f>
      </c>
      <c r="O483" s="11">
        <f>IFERROR(__xludf.DUMMYFUNCTION("""COMPUTED_VALUE"""),364.44)</f>
      </c>
      <c r="P483" s="12"/>
      <c r="Q483" s="12"/>
      <c r="R483" s="15"/>
      <c r="S483" s="12"/>
      <c r="T483" s="12"/>
      <c r="U483" s="12"/>
      <c r="V483" s="12"/>
      <c r="W483" s="12"/>
      <c r="X483" s="12"/>
      <c r="Y483" s="12"/>
      <c r="Z483" s="12"/>
    </row>
    <row x14ac:dyDescent="0.25" r="484" customHeight="1" ht="15.75">
      <c r="A484" s="8">
        <f>IFERROR(__xludf.DUMMYFUNCTION("""COMPUTED_VALUE"""),25547.0)</f>
      </c>
      <c r="B484" s="9">
        <f>IFERROR(__xludf.DUMMYFUNCTION("""COMPUTED_VALUE"""),"METROPOLITANA IV")</f>
      </c>
      <c r="C484" s="9">
        <f>IFERROR(__xludf.DUMMYFUNCTION("""COMPUTED_VALUE"""),"CE PROFESSORA ELIANA DE ALMEIDA SANTOS")</f>
      </c>
      <c r="D484" s="10">
        <f>IFERROR(__xludf.DUMMYFUNCTION("""COMPUTED_VALUE"""),0.7898)</f>
      </c>
      <c r="E484" s="11">
        <f>IFERROR(__xludf.DUMMYFUNCTION("""COMPUTED_VALUE"""),206.7)</f>
      </c>
      <c r="F484" s="10">
        <f>IFERROR(__xludf.DUMMYFUNCTION("""COMPUTED_VALUE"""),0.6477)</f>
      </c>
      <c r="G484" s="11">
        <f>IFERROR(__xludf.DUMMYFUNCTION("""COMPUTED_VALUE"""),332.65)</f>
      </c>
      <c r="H484" s="10">
        <f>IFERROR(__xludf.DUMMYFUNCTION("""COMPUTED_VALUE"""),0.7062)</f>
      </c>
      <c r="I484" s="11">
        <f>IFERROR(__xludf.DUMMYFUNCTION("""COMPUTED_VALUE"""),308.62)</f>
      </c>
      <c r="J484" s="10">
        <f>IFERROR(__xludf.DUMMYFUNCTION("""COMPUTED_VALUE"""),0.8012)</f>
      </c>
      <c r="K484" s="11">
        <f>IFERROR(__xludf.DUMMYFUNCTION("""COMPUTED_VALUE"""),312.01)</f>
      </c>
      <c r="L484" s="10">
        <f>IFERROR(__xludf.DUMMYFUNCTION("""COMPUTED_VALUE"""),0.7371)</f>
      </c>
      <c r="M484" s="11">
        <f>IFERROR(__xludf.DUMMYFUNCTION("""COMPUTED_VALUE"""),400.93)</f>
      </c>
      <c r="N484" s="10">
        <f>IFERROR(__xludf.DUMMYFUNCTION("""COMPUTED_VALUE"""),0.4845)</f>
      </c>
      <c r="O484" s="11">
        <f>IFERROR(__xludf.DUMMYFUNCTION("""COMPUTED_VALUE"""),"----")</f>
      </c>
      <c r="P484" s="12"/>
      <c r="Q484" s="12"/>
      <c r="R484" s="15"/>
      <c r="S484" s="12"/>
      <c r="T484" s="12"/>
      <c r="U484" s="12"/>
      <c r="V484" s="12"/>
      <c r="W484" s="12"/>
      <c r="X484" s="12"/>
      <c r="Y484" s="12"/>
      <c r="Z484" s="12"/>
    </row>
    <row x14ac:dyDescent="0.25" r="485" customHeight="1" ht="15.75">
      <c r="A485" s="8">
        <f>IFERROR(__xludf.DUMMYFUNCTION("""COMPUTED_VALUE"""),25609.0)</f>
      </c>
      <c r="B485" s="9">
        <f>IFERROR(__xludf.DUMMYFUNCTION("""COMPUTED_VALUE"""),"METROPOLITANA IV")</f>
      </c>
      <c r="C485" s="9">
        <f>IFERROR(__xludf.DUMMYFUNCTION("""COMPUTED_VALUE"""),"CE PROFESSORA JEANNETTE DE SOUZA COELHO MANNARINO")</f>
      </c>
      <c r="D485" s="10">
        <f>IFERROR(__xludf.DUMMYFUNCTION("""COMPUTED_VALUE"""),0.856)</f>
      </c>
      <c r="E485" s="11">
        <f>IFERROR(__xludf.DUMMYFUNCTION("""COMPUTED_VALUE"""),174.47)</f>
      </c>
      <c r="F485" s="10">
        <f>IFERROR(__xludf.DUMMYFUNCTION("""COMPUTED_VALUE"""),0.9081)</f>
      </c>
      <c r="G485" s="11">
        <f>IFERROR(__xludf.DUMMYFUNCTION("""COMPUTED_VALUE"""),241.27)</f>
      </c>
      <c r="H485" s="10">
        <f>IFERROR(__xludf.DUMMYFUNCTION("""COMPUTED_VALUE"""),0.6066)</f>
      </c>
      <c r="I485" s="11">
        <f>IFERROR(__xludf.DUMMYFUNCTION("""COMPUTED_VALUE"""),"----")</f>
      </c>
      <c r="J485" s="10">
        <f>IFERROR(__xludf.DUMMYFUNCTION("""COMPUTED_VALUE"""),0.253)</f>
      </c>
      <c r="K485" s="11">
        <f>IFERROR(__xludf.DUMMYFUNCTION("""COMPUTED_VALUE"""),272.6)</f>
      </c>
      <c r="L485" s="10">
        <f>IFERROR(__xludf.DUMMYFUNCTION("""COMPUTED_VALUE"""),0.6778)</f>
      </c>
      <c r="M485" s="11">
        <f>IFERROR(__xludf.DUMMYFUNCTION("""COMPUTED_VALUE"""),237.8)</f>
      </c>
      <c r="N485" s="10">
        <f>IFERROR(__xludf.DUMMYFUNCTION("""COMPUTED_VALUE"""),0.7658)</f>
      </c>
      <c r="O485" s="11">
        <f>IFERROR(__xludf.DUMMYFUNCTION("""COMPUTED_VALUE"""),214.33)</f>
      </c>
      <c r="P485" s="12"/>
      <c r="Q485" s="12"/>
      <c r="R485" s="15"/>
      <c r="S485" s="12"/>
      <c r="T485" s="12"/>
      <c r="U485" s="12"/>
      <c r="V485" s="12"/>
      <c r="W485" s="12"/>
      <c r="X485" s="12"/>
      <c r="Y485" s="12"/>
      <c r="Z485" s="12"/>
    </row>
    <row x14ac:dyDescent="0.25" r="486" customHeight="1" ht="15.75">
      <c r="A486" s="8">
        <f>IFERROR(__xludf.DUMMYFUNCTION("""COMPUTED_VALUE"""),25548.0)</f>
      </c>
      <c r="B486" s="9">
        <f>IFERROR(__xludf.DUMMYFUNCTION("""COMPUTED_VALUE"""),"METROPOLITANA IV")</f>
      </c>
      <c r="C486" s="9">
        <f>IFERROR(__xludf.DUMMYFUNCTION("""COMPUTED_VALUE"""),"CE PROFESSORA MARIA IZABEL DO COUTO BRANDAO")</f>
      </c>
      <c r="D486" s="10">
        <f>IFERROR(__xludf.DUMMYFUNCTION("""COMPUTED_VALUE"""),0.6949)</f>
      </c>
      <c r="E486" s="11">
        <f>IFERROR(__xludf.DUMMYFUNCTION("""COMPUTED_VALUE"""),270.23)</f>
      </c>
      <c r="F486" s="10">
        <f>IFERROR(__xludf.DUMMYFUNCTION("""COMPUTED_VALUE"""),0.9831)</f>
      </c>
      <c r="G486" s="11">
        <f>IFERROR(__xludf.DUMMYFUNCTION("""COMPUTED_VALUE"""),233.86)</f>
      </c>
      <c r="H486" s="10">
        <f>IFERROR(__xludf.DUMMYFUNCTION("""COMPUTED_VALUE"""),0.8248)</f>
      </c>
      <c r="I486" s="11">
        <f>IFERROR(__xludf.DUMMYFUNCTION("""COMPUTED_VALUE"""),267.7)</f>
      </c>
      <c r="J486" s="10">
        <f>IFERROR(__xludf.DUMMYFUNCTION("""COMPUTED_VALUE"""),0.6444)</f>
      </c>
      <c r="K486" s="11">
        <f>IFERROR(__xludf.DUMMYFUNCTION("""COMPUTED_VALUE"""),247.7)</f>
      </c>
      <c r="L486" s="10">
        <f>IFERROR(__xludf.DUMMYFUNCTION("""COMPUTED_VALUE"""),0.635)</f>
      </c>
      <c r="M486" s="11">
        <f>IFERROR(__xludf.DUMMYFUNCTION("""COMPUTED_VALUE"""),364.13)</f>
      </c>
      <c r="N486" s="10">
        <f>IFERROR(__xludf.DUMMYFUNCTION("""COMPUTED_VALUE"""),0.4964)</f>
      </c>
      <c r="O486" s="11">
        <f>IFERROR(__xludf.DUMMYFUNCTION("""COMPUTED_VALUE"""),408.72)</f>
      </c>
      <c r="P486" s="12"/>
      <c r="Q486" s="12"/>
      <c r="R486" s="15"/>
      <c r="S486" s="12"/>
      <c r="T486" s="12"/>
      <c r="U486" s="12"/>
      <c r="V486" s="12"/>
      <c r="W486" s="12"/>
      <c r="X486" s="12"/>
      <c r="Y486" s="12"/>
      <c r="Z486" s="12"/>
    </row>
    <row x14ac:dyDescent="0.25" r="487" customHeight="1" ht="15.75">
      <c r="A487" s="8">
        <f>IFERROR(__xludf.DUMMYFUNCTION("""COMPUTED_VALUE"""),25610.0)</f>
      </c>
      <c r="B487" s="9">
        <f>IFERROR(__xludf.DUMMYFUNCTION("""COMPUTED_VALUE"""),"METROPOLITANA IV")</f>
      </c>
      <c r="C487" s="9">
        <f>IFERROR(__xludf.DUMMYFUNCTION("""COMPUTED_VALUE"""),"CE PROFESSORA VANIA DO AMARAL MATIAS EDDE")</f>
      </c>
      <c r="D487" s="10">
        <f>IFERROR(__xludf.DUMMYFUNCTION("""COMPUTED_VALUE"""),0.7279)</f>
      </c>
      <c r="E487" s="11">
        <f>IFERROR(__xludf.DUMMYFUNCTION("""COMPUTED_VALUE"""),246.46)</f>
      </c>
      <c r="F487" s="10">
        <f>IFERROR(__xludf.DUMMYFUNCTION("""COMPUTED_VALUE"""),0.6164)</f>
      </c>
      <c r="G487" s="11">
        <f>IFERROR(__xludf.DUMMYFUNCTION("""COMPUTED_VALUE"""),376.85)</f>
      </c>
      <c r="H487" s="10">
        <f>IFERROR(__xludf.DUMMYFUNCTION("""COMPUTED_VALUE"""),0.6311)</f>
      </c>
      <c r="I487" s="11">
        <f>IFERROR(__xludf.DUMMYFUNCTION("""COMPUTED_VALUE"""),391.24)</f>
      </c>
      <c r="J487" s="10">
        <f>IFERROR(__xludf.DUMMYFUNCTION("""COMPUTED_VALUE"""),0.5705)</f>
      </c>
      <c r="K487" s="11">
        <f>IFERROR(__xludf.DUMMYFUNCTION("""COMPUTED_VALUE"""),298.44)</f>
      </c>
      <c r="L487" s="10">
        <f>IFERROR(__xludf.DUMMYFUNCTION("""COMPUTED_VALUE"""),0.5738)</f>
      </c>
      <c r="M487" s="11">
        <f>IFERROR(__xludf.DUMMYFUNCTION("""COMPUTED_VALUE"""),390.29)</f>
      </c>
      <c r="N487" s="10">
        <f>IFERROR(__xludf.DUMMYFUNCTION("""COMPUTED_VALUE"""),0.5787)</f>
      </c>
      <c r="O487" s="11">
        <f>IFERROR(__xludf.DUMMYFUNCTION("""COMPUTED_VALUE"""),365.47)</f>
      </c>
      <c r="P487" s="12"/>
      <c r="Q487" s="12"/>
      <c r="R487" s="15"/>
      <c r="S487" s="12"/>
      <c r="T487" s="12"/>
      <c r="U487" s="12"/>
      <c r="V487" s="12"/>
      <c r="W487" s="12"/>
      <c r="X487" s="12"/>
      <c r="Y487" s="12"/>
      <c r="Z487" s="12"/>
    </row>
    <row x14ac:dyDescent="0.25" r="488" customHeight="1" ht="15.75">
      <c r="A488" s="8">
        <f>IFERROR(__xludf.DUMMYFUNCTION("""COMPUTED_VALUE"""),25611.0)</f>
      </c>
      <c r="B488" s="9">
        <f>IFERROR(__xludf.DUMMYFUNCTION("""COMPUTED_VALUE"""),"METROPOLITANA IV")</f>
      </c>
      <c r="C488" s="9">
        <f>IFERROR(__xludf.DUMMYFUNCTION("""COMPUTED_VALUE"""),"CE PROFESSORA VILMA ATANAZIO")</f>
      </c>
      <c r="D488" s="10">
        <f>IFERROR(__xludf.DUMMYFUNCTION("""COMPUTED_VALUE"""),0.9389)</f>
      </c>
      <c r="E488" s="11">
        <f>IFERROR(__xludf.DUMMYFUNCTION("""COMPUTED_VALUE"""),233.5)</f>
      </c>
      <c r="F488" s="10">
        <f>IFERROR(__xludf.DUMMYFUNCTION("""COMPUTED_VALUE"""),0.9729)</f>
      </c>
      <c r="G488" s="11">
        <f>IFERROR(__xludf.DUMMYFUNCTION("""COMPUTED_VALUE"""),277.63)</f>
      </c>
      <c r="H488" s="10">
        <f>IFERROR(__xludf.DUMMYFUNCTION("""COMPUTED_VALUE"""),0.6855)</f>
      </c>
      <c r="I488" s="11">
        <f>IFERROR(__xludf.DUMMYFUNCTION("""COMPUTED_VALUE"""),382.21)</f>
      </c>
      <c r="J488" s="10">
        <f>IFERROR(__xludf.DUMMYFUNCTION("""COMPUTED_VALUE"""),0.5498)</f>
      </c>
      <c r="K488" s="11">
        <f>IFERROR(__xludf.DUMMYFUNCTION("""COMPUTED_VALUE"""),308.86)</f>
      </c>
      <c r="L488" s="10">
        <f>IFERROR(__xludf.DUMMYFUNCTION("""COMPUTED_VALUE"""),0.638)</f>
      </c>
      <c r="M488" s="11">
        <f>IFERROR(__xludf.DUMMYFUNCTION("""COMPUTED_VALUE"""),410.53)</f>
      </c>
      <c r="N488" s="10">
        <f>IFERROR(__xludf.DUMMYFUNCTION("""COMPUTED_VALUE"""),0.7285)</f>
      </c>
      <c r="O488" s="11">
        <f>IFERROR(__xludf.DUMMYFUNCTION("""COMPUTED_VALUE"""),417.38)</f>
      </c>
      <c r="P488" s="12"/>
      <c r="Q488" s="12"/>
      <c r="R488" s="15"/>
      <c r="S488" s="12"/>
      <c r="T488" s="12"/>
      <c r="U488" s="12"/>
      <c r="V488" s="12"/>
      <c r="W488" s="12"/>
      <c r="X488" s="12"/>
      <c r="Y488" s="12"/>
      <c r="Z488" s="12"/>
    </row>
    <row x14ac:dyDescent="0.25" r="489" customHeight="1" ht="15.75">
      <c r="A489" s="8">
        <f>IFERROR(__xludf.DUMMYFUNCTION("""COMPUTED_VALUE"""),25612.0)</f>
      </c>
      <c r="B489" s="9">
        <f>IFERROR(__xludf.DUMMYFUNCTION("""COMPUTED_VALUE"""),"METROPOLITANA IV")</f>
      </c>
      <c r="C489" s="9">
        <f>IFERROR(__xludf.DUMMYFUNCTION("""COMPUTED_VALUE"""),"CE RAINHA VITORIA")</f>
      </c>
      <c r="D489" s="10">
        <f>IFERROR(__xludf.DUMMYFUNCTION("""COMPUTED_VALUE"""),0.7931)</f>
      </c>
      <c r="E489" s="11">
        <f>IFERROR(__xludf.DUMMYFUNCTION("""COMPUTED_VALUE"""),72.17)</f>
      </c>
      <c r="F489" s="10">
        <f>IFERROR(__xludf.DUMMYFUNCTION("""COMPUTED_VALUE"""),0.4828)</f>
      </c>
      <c r="G489" s="11">
        <f>IFERROR(__xludf.DUMMYFUNCTION("""COMPUTED_VALUE"""),278.46)</f>
      </c>
      <c r="H489" s="10">
        <f>IFERROR(__xludf.DUMMYFUNCTION("""COMPUTED_VALUE"""),0.431)</f>
      </c>
      <c r="I489" s="11">
        <f>IFERROR(__xludf.DUMMYFUNCTION("""COMPUTED_VALUE"""),291.2)</f>
      </c>
      <c r="J489" s="10">
        <f>IFERROR(__xludf.DUMMYFUNCTION("""COMPUTED_VALUE"""),0.4655)</f>
      </c>
      <c r="K489" s="11">
        <f>IFERROR(__xludf.DUMMYFUNCTION("""COMPUTED_VALUE"""),380.0)</f>
      </c>
      <c r="L489" s="10">
        <f>IFERROR(__xludf.DUMMYFUNCTION("""COMPUTED_VALUE"""),0.4655)</f>
      </c>
      <c r="M489" s="11">
        <f>IFERROR(__xludf.DUMMYFUNCTION("""COMPUTED_VALUE"""),430.77)</f>
      </c>
      <c r="N489" s="10">
        <f>IFERROR(__xludf.DUMMYFUNCTION("""COMPUTED_VALUE"""),0.4483)</f>
      </c>
      <c r="O489" s="11">
        <f>IFERROR(__xludf.DUMMYFUNCTION("""COMPUTED_VALUE"""),366.4)</f>
      </c>
      <c r="P489" s="12"/>
      <c r="Q489" s="12"/>
      <c r="R489" s="15"/>
      <c r="S489" s="12"/>
      <c r="T489" s="12"/>
      <c r="U489" s="12"/>
      <c r="V489" s="12"/>
      <c r="W489" s="12"/>
      <c r="X489" s="12"/>
      <c r="Y489" s="12"/>
      <c r="Z489" s="12"/>
    </row>
    <row x14ac:dyDescent="0.25" r="490" customHeight="1" ht="15.75">
      <c r="A490" s="8">
        <f>IFERROR(__xludf.DUMMYFUNCTION("""COMPUTED_VALUE"""),25613.0)</f>
      </c>
      <c r="B490" s="9">
        <f>IFERROR(__xludf.DUMMYFUNCTION("""COMPUTED_VALUE"""),"METROPOLITANA IV")</f>
      </c>
      <c r="C490" s="9">
        <f>IFERROR(__xludf.DUMMYFUNCTION("""COMPUTED_VALUE"""),"CE RAMIZ GALVAO")</f>
      </c>
      <c r="D490" s="10">
        <f>IFERROR(__xludf.DUMMYFUNCTION("""COMPUTED_VALUE"""),0.488)</f>
      </c>
      <c r="E490" s="11">
        <f>IFERROR(__xludf.DUMMYFUNCTION("""COMPUTED_VALUE"""),155.33)</f>
      </c>
      <c r="F490" s="10">
        <f>IFERROR(__xludf.DUMMYFUNCTION("""COMPUTED_VALUE"""),0.456)</f>
      </c>
      <c r="G490" s="11">
        <f>IFERROR(__xludf.DUMMYFUNCTION("""COMPUTED_VALUE"""),289.29)</f>
      </c>
      <c r="H490" s="10">
        <f>IFERROR(__xludf.DUMMYFUNCTION("""COMPUTED_VALUE"""),0.376)</f>
      </c>
      <c r="I490" s="11">
        <f>IFERROR(__xludf.DUMMYFUNCTION("""COMPUTED_VALUE"""),326.81)</f>
      </c>
      <c r="J490" s="10">
        <f>IFERROR(__xludf.DUMMYFUNCTION("""COMPUTED_VALUE"""),0.424)</f>
      </c>
      <c r="K490" s="11">
        <f>IFERROR(__xludf.DUMMYFUNCTION("""COMPUTED_VALUE"""),264.52)</f>
      </c>
      <c r="L490" s="10">
        <f>IFERROR(__xludf.DUMMYFUNCTION("""COMPUTED_VALUE"""),0.36)</f>
      </c>
      <c r="M490" s="11">
        <f>IFERROR(__xludf.DUMMYFUNCTION("""COMPUTED_VALUE"""),316.44)</f>
      </c>
      <c r="N490" s="10">
        <f>IFERROR(__xludf.DUMMYFUNCTION("""COMPUTED_VALUE"""),0.472)</f>
      </c>
      <c r="O490" s="11">
        <f>IFERROR(__xludf.DUMMYFUNCTION("""COMPUTED_VALUE"""),300.34)</f>
      </c>
      <c r="P490" s="12"/>
      <c r="Q490" s="12"/>
      <c r="R490" s="15"/>
      <c r="S490" s="12"/>
      <c r="T490" s="12"/>
      <c r="U490" s="12"/>
      <c r="V490" s="12"/>
      <c r="W490" s="12"/>
      <c r="X490" s="12"/>
      <c r="Y490" s="12"/>
      <c r="Z490" s="12"/>
    </row>
    <row x14ac:dyDescent="0.25" r="491" customHeight="1" ht="15.75">
      <c r="A491" s="8">
        <f>IFERROR(__xludf.DUMMYFUNCTION("""COMPUTED_VALUE"""),25614.0)</f>
      </c>
      <c r="B491" s="9">
        <f>IFERROR(__xludf.DUMMYFUNCTION("""COMPUTED_VALUE"""),"METROPOLITANA IV")</f>
      </c>
      <c r="C491" s="9">
        <f>IFERROR(__xludf.DUMMYFUNCTION("""COMPUTED_VALUE"""),"CE RAYMUNDO CORRÊA")</f>
      </c>
      <c r="D491" s="10">
        <f>IFERROR(__xludf.DUMMYFUNCTION("""COMPUTED_VALUE"""),0.4894)</f>
      </c>
      <c r="E491" s="11">
        <f>IFERROR(__xludf.DUMMYFUNCTION("""COMPUTED_VALUE"""),0.0)</f>
      </c>
      <c r="F491" s="10">
        <f>IFERROR(__xludf.DUMMYFUNCTION("""COMPUTED_VALUE"""),0.383)</f>
      </c>
      <c r="G491" s="11">
        <f>IFERROR(__xludf.DUMMYFUNCTION("""COMPUTED_VALUE"""),93.33)</f>
      </c>
      <c r="H491" s="10">
        <f>IFERROR(__xludf.DUMMYFUNCTION("""COMPUTED_VALUE"""),0.1508)</f>
      </c>
      <c r="I491" s="11">
        <f>IFERROR(__xludf.DUMMYFUNCTION("""COMPUTED_VALUE"""),187.37)</f>
      </c>
      <c r="J491" s="10">
        <f>IFERROR(__xludf.DUMMYFUNCTION("""COMPUTED_VALUE"""),0.5696)</f>
      </c>
      <c r="K491" s="11">
        <f>IFERROR(__xludf.DUMMYFUNCTION("""COMPUTED_VALUE"""),105.0)</f>
      </c>
      <c r="L491" s="10">
        <f>IFERROR(__xludf.DUMMYFUNCTION("""COMPUTED_VALUE"""),0.1984)</f>
      </c>
      <c r="M491" s="11">
        <f>IFERROR(__xludf.DUMMYFUNCTION("""COMPUTED_VALUE"""),305.6)</f>
      </c>
      <c r="N491" s="10">
        <f>IFERROR(__xludf.DUMMYFUNCTION("""COMPUTED_VALUE"""),0.2143)</f>
      </c>
      <c r="O491" s="11">
        <f>IFERROR(__xludf.DUMMYFUNCTION("""COMPUTED_VALUE"""),99.26)</f>
      </c>
      <c r="P491" s="12"/>
      <c r="Q491" s="12"/>
      <c r="R491" s="15"/>
      <c r="S491" s="12"/>
      <c r="T491" s="12"/>
      <c r="U491" s="12"/>
      <c r="V491" s="12"/>
      <c r="W491" s="12"/>
      <c r="X491" s="12"/>
      <c r="Y491" s="12"/>
      <c r="Z491" s="12"/>
    </row>
    <row x14ac:dyDescent="0.25" r="492" customHeight="1" ht="15.75">
      <c r="A492" s="8">
        <f>IFERROR(__xludf.DUMMYFUNCTION("""COMPUTED_VALUE"""),25615.0)</f>
      </c>
      <c r="B492" s="9">
        <f>IFERROR(__xludf.DUMMYFUNCTION("""COMPUTED_VALUE"""),"METROPOLITANA IV")</f>
      </c>
      <c r="C492" s="9">
        <f>IFERROR(__xludf.DUMMYFUNCTION("""COMPUTED_VALUE"""),"CE REPUBLICA DE MOCAMBIQUE")</f>
      </c>
      <c r="D492" s="10">
        <f>IFERROR(__xludf.DUMMYFUNCTION("""COMPUTED_VALUE"""),0.709)</f>
      </c>
      <c r="E492" s="11">
        <f>IFERROR(__xludf.DUMMYFUNCTION("""COMPUTED_VALUE"""),167.58)</f>
      </c>
      <c r="F492" s="10">
        <f>IFERROR(__xludf.DUMMYFUNCTION("""COMPUTED_VALUE"""),0.5821)</f>
      </c>
      <c r="G492" s="11">
        <f>IFERROR(__xludf.DUMMYFUNCTION("""COMPUTED_VALUE"""),303.86)</f>
      </c>
      <c r="H492" s="10">
        <f>IFERROR(__xludf.DUMMYFUNCTION("""COMPUTED_VALUE"""),0.3371)</f>
      </c>
      <c r="I492" s="11">
        <f>IFERROR(__xludf.DUMMYFUNCTION("""COMPUTED_VALUE"""),329.95)</f>
      </c>
      <c r="J492" s="10">
        <f>IFERROR(__xludf.DUMMYFUNCTION("""COMPUTED_VALUE"""),0.5379)</f>
      </c>
      <c r="K492" s="11">
        <f>IFERROR(__xludf.DUMMYFUNCTION("""COMPUTED_VALUE"""),300.24)</f>
      </c>
      <c r="L492" s="10">
        <f>IFERROR(__xludf.DUMMYFUNCTION("""COMPUTED_VALUE"""),0.3315)</f>
      </c>
      <c r="M492" s="11">
        <f>IFERROR(__xludf.DUMMYFUNCTION("""COMPUTED_VALUE"""),341.69)</f>
      </c>
      <c r="N492" s="10">
        <f>IFERROR(__xludf.DUMMYFUNCTION("""COMPUTED_VALUE"""),0.3764)</f>
      </c>
      <c r="O492" s="11">
        <f>IFERROR(__xludf.DUMMYFUNCTION("""COMPUTED_VALUE"""),351.32)</f>
      </c>
      <c r="P492" s="12"/>
      <c r="Q492" s="12"/>
      <c r="R492" s="15"/>
      <c r="S492" s="12"/>
      <c r="T492" s="12"/>
      <c r="U492" s="12"/>
      <c r="V492" s="12"/>
      <c r="W492" s="12"/>
      <c r="X492" s="12"/>
      <c r="Y492" s="12"/>
      <c r="Z492" s="12"/>
    </row>
    <row x14ac:dyDescent="0.25" r="493" customHeight="1" ht="15.75">
      <c r="A493" s="8">
        <f>IFERROR(__xludf.DUMMYFUNCTION("""COMPUTED_VALUE"""),25616.0)</f>
      </c>
      <c r="B493" s="9">
        <f>IFERROR(__xludf.DUMMYFUNCTION("""COMPUTED_VALUE"""),"METROPOLITANA IV")</f>
      </c>
      <c r="C493" s="9">
        <f>IFERROR(__xludf.DUMMYFUNCTION("""COMPUTED_VALUE"""),"CE ROSARIA TROTTA")</f>
      </c>
      <c r="D493" s="10">
        <f>IFERROR(__xludf.DUMMYFUNCTION("""COMPUTED_VALUE"""),0.4459)</f>
      </c>
      <c r="E493" s="11">
        <f>IFERROR(__xludf.DUMMYFUNCTION("""COMPUTED_VALUE"""),53.33)</f>
      </c>
      <c r="F493" s="10">
        <f>IFERROR(__xludf.DUMMYFUNCTION("""COMPUTED_VALUE"""),0.4662)</f>
      </c>
      <c r="G493" s="11">
        <f>IFERROR(__xludf.DUMMYFUNCTION("""COMPUTED_VALUE"""),402.32)</f>
      </c>
      <c r="H493" s="10">
        <f>IFERROR(__xludf.DUMMYFUNCTION("""COMPUTED_VALUE"""),0.3851)</f>
      </c>
      <c r="I493" s="11">
        <f>IFERROR(__xludf.DUMMYFUNCTION("""COMPUTED_VALUE"""),289.82)</f>
      </c>
      <c r="J493" s="10">
        <f>IFERROR(__xludf.DUMMYFUNCTION("""COMPUTED_VALUE"""),0.3243)</f>
      </c>
      <c r="K493" s="11">
        <f>IFERROR(__xludf.DUMMYFUNCTION("""COMPUTED_VALUE"""),142.61)</f>
      </c>
      <c r="L493" s="10">
        <f>IFERROR(__xludf.DUMMYFUNCTION("""COMPUTED_VALUE"""),0.3716)</f>
      </c>
      <c r="M493" s="11">
        <f>IFERROR(__xludf.DUMMYFUNCTION("""COMPUTED_VALUE"""),292.59)</f>
      </c>
      <c r="N493" s="10">
        <f>IFERROR(__xludf.DUMMYFUNCTION("""COMPUTED_VALUE"""),0.4324)</f>
      </c>
      <c r="O493" s="11">
        <f>IFERROR(__xludf.DUMMYFUNCTION("""COMPUTED_VALUE"""),320.0)</f>
      </c>
      <c r="P493" s="12"/>
      <c r="Q493" s="12"/>
      <c r="R493" s="15"/>
      <c r="S493" s="12"/>
      <c r="T493" s="12"/>
      <c r="U493" s="12"/>
      <c r="V493" s="12"/>
      <c r="W493" s="12"/>
      <c r="X493" s="12"/>
      <c r="Y493" s="12"/>
      <c r="Z493" s="12"/>
    </row>
    <row x14ac:dyDescent="0.25" r="494" customHeight="1" ht="15.75">
      <c r="A494" s="8">
        <f>IFERROR(__xludf.DUMMYFUNCTION("""COMPUTED_VALUE"""),25549.0)</f>
      </c>
      <c r="B494" s="9">
        <f>IFERROR(__xludf.DUMMYFUNCTION("""COMPUTED_VALUE"""),"METROPOLITANA IV")</f>
      </c>
      <c r="C494" s="9">
        <f>IFERROR(__xludf.DUMMYFUNCTION("""COMPUTED_VALUE"""),"CE SANDRA ROLDAN BARBOZA")</f>
      </c>
      <c r="D494" s="10">
        <f>IFERROR(__xludf.DUMMYFUNCTION("""COMPUTED_VALUE"""),0.6299)</f>
      </c>
      <c r="E494" s="11">
        <f>IFERROR(__xludf.DUMMYFUNCTION("""COMPUTED_VALUE"""),380.83)</f>
      </c>
      <c r="F494" s="10">
        <f>IFERROR(__xludf.DUMMYFUNCTION("""COMPUTED_VALUE"""),0.4764)</f>
      </c>
      <c r="G494" s="11">
        <f>IFERROR(__xludf.DUMMYFUNCTION("""COMPUTED_VALUE"""),387.33)</f>
      </c>
      <c r="H494" s="10">
        <f>IFERROR(__xludf.DUMMYFUNCTION("""COMPUTED_VALUE"""),0.4843)</f>
      </c>
      <c r="I494" s="11">
        <f>IFERROR(__xludf.DUMMYFUNCTION("""COMPUTED_VALUE"""),448.52)</f>
      </c>
      <c r="J494" s="10">
        <f>IFERROR(__xludf.DUMMYFUNCTION("""COMPUTED_VALUE"""),0.5591)</f>
      </c>
      <c r="K494" s="11">
        <f>IFERROR(__xludf.DUMMYFUNCTION("""COMPUTED_VALUE"""),389.2)</f>
      </c>
      <c r="L494" s="10">
        <f>IFERROR(__xludf.DUMMYFUNCTION("""COMPUTED_VALUE"""),0.4685)</f>
      </c>
      <c r="M494" s="11">
        <f>IFERROR(__xludf.DUMMYFUNCTION("""COMPUTED_VALUE"""),452.77)</f>
      </c>
      <c r="N494" s="10">
        <f>IFERROR(__xludf.DUMMYFUNCTION("""COMPUTED_VALUE"""),0.4449)</f>
      </c>
      <c r="O494" s="11">
        <f>IFERROR(__xludf.DUMMYFUNCTION("""COMPUTED_VALUE"""),433.87)</f>
      </c>
      <c r="P494" s="12"/>
      <c r="Q494" s="12"/>
      <c r="R494" s="15"/>
      <c r="S494" s="12"/>
      <c r="T494" s="12"/>
      <c r="U494" s="12"/>
      <c r="V494" s="12"/>
      <c r="W494" s="12"/>
      <c r="X494" s="12"/>
      <c r="Y494" s="12"/>
      <c r="Z494" s="12"/>
    </row>
    <row x14ac:dyDescent="0.25" r="495" customHeight="1" ht="15.75">
      <c r="A495" s="8">
        <f>IFERROR(__xludf.DUMMYFUNCTION("""COMPUTED_VALUE"""),25617.0)</f>
      </c>
      <c r="B495" s="9">
        <f>IFERROR(__xludf.DUMMYFUNCTION("""COMPUTED_VALUE"""),"METROPOLITANA IV")</f>
      </c>
      <c r="C495" s="9">
        <f>IFERROR(__xludf.DUMMYFUNCTION("""COMPUTED_VALUE"""),"CE STUART EDGAR ANGEL JONES")</f>
      </c>
      <c r="D495" s="10">
        <f>IFERROR(__xludf.DUMMYFUNCTION("""COMPUTED_VALUE"""),0.7084)</f>
      </c>
      <c r="E495" s="11">
        <f>IFERROR(__xludf.DUMMYFUNCTION("""COMPUTED_VALUE"""),200.45)</f>
      </c>
      <c r="F495" s="10">
        <f>IFERROR(__xludf.DUMMYFUNCTION("""COMPUTED_VALUE"""),0.5025)</f>
      </c>
      <c r="G495" s="11">
        <f>IFERROR(__xludf.DUMMYFUNCTION("""COMPUTED_VALUE"""),351.97)</f>
      </c>
      <c r="H495" s="10">
        <f>IFERROR(__xludf.DUMMYFUNCTION("""COMPUTED_VALUE"""),0.4548)</f>
      </c>
      <c r="I495" s="11">
        <f>IFERROR(__xludf.DUMMYFUNCTION("""COMPUTED_VALUE"""),399.03)</f>
      </c>
      <c r="J495" s="10">
        <f>IFERROR(__xludf.DUMMYFUNCTION("""COMPUTED_VALUE"""),0.4701)</f>
      </c>
      <c r="K495" s="11">
        <f>IFERROR(__xludf.DUMMYFUNCTION("""COMPUTED_VALUE"""),279.13)</f>
      </c>
      <c r="L495" s="10">
        <f>IFERROR(__xludf.DUMMYFUNCTION("""COMPUTED_VALUE"""),0.337)</f>
      </c>
      <c r="M495" s="11">
        <f>IFERROR(__xludf.DUMMYFUNCTION("""COMPUTED_VALUE"""),362.51)</f>
      </c>
      <c r="N495" s="10">
        <f>IFERROR(__xludf.DUMMYFUNCTION("""COMPUTED_VALUE"""),0.4174)</f>
      </c>
      <c r="O495" s="11">
        <f>IFERROR(__xludf.DUMMYFUNCTION("""COMPUTED_VALUE"""),400.65)</f>
      </c>
      <c r="P495" s="12"/>
      <c r="Q495" s="12"/>
      <c r="R495" s="15"/>
      <c r="S495" s="12"/>
      <c r="T495" s="12"/>
      <c r="U495" s="12"/>
      <c r="V495" s="12"/>
      <c r="W495" s="12"/>
      <c r="X495" s="12"/>
      <c r="Y495" s="12"/>
      <c r="Z495" s="12"/>
    </row>
    <row x14ac:dyDescent="0.25" r="496" customHeight="1" ht="15.75">
      <c r="A496" s="8">
        <f>IFERROR(__xludf.DUMMYFUNCTION("""COMPUTED_VALUE"""),25618.0)</f>
      </c>
      <c r="B496" s="9">
        <f>IFERROR(__xludf.DUMMYFUNCTION("""COMPUTED_VALUE"""),"METROPOLITANA IV")</f>
      </c>
      <c r="C496" s="9">
        <f>IFERROR(__xludf.DUMMYFUNCTION("""COMPUTED_VALUE"""),"CE VIRIATO CORREA")</f>
      </c>
      <c r="D496" s="10">
        <f>IFERROR(__xludf.DUMMYFUNCTION("""COMPUTED_VALUE"""),0.8557)</f>
      </c>
      <c r="E496" s="11">
        <f>IFERROR(__xludf.DUMMYFUNCTION("""COMPUTED_VALUE"""),22.62)</f>
      </c>
      <c r="F496" s="10">
        <f>IFERROR(__xludf.DUMMYFUNCTION("""COMPUTED_VALUE"""),0.433)</f>
      </c>
      <c r="G496" s="11">
        <f>IFERROR(__xludf.DUMMYFUNCTION("""COMPUTED_VALUE"""),260.34)</f>
      </c>
      <c r="H496" s="10">
        <f>IFERROR(__xludf.DUMMYFUNCTION("""COMPUTED_VALUE"""),0.2345)</f>
      </c>
      <c r="I496" s="11">
        <f>IFERROR(__xludf.DUMMYFUNCTION("""COMPUTED_VALUE"""),359.89)</f>
      </c>
      <c r="J496" s="10">
        <f>IFERROR(__xludf.DUMMYFUNCTION("""COMPUTED_VALUE"""),0.3491)</f>
      </c>
      <c r="K496" s="11">
        <f>IFERROR(__xludf.DUMMYFUNCTION("""COMPUTED_VALUE"""),305.95)</f>
      </c>
      <c r="L496" s="10">
        <f>IFERROR(__xludf.DUMMYFUNCTION("""COMPUTED_VALUE"""),0.0)</f>
      </c>
      <c r="M496" s="11">
        <f>IFERROR(__xludf.DUMMYFUNCTION("""COMPUTED_VALUE"""),"----")</f>
      </c>
      <c r="N496" s="10">
        <f>IFERROR(__xludf.DUMMYFUNCTION("""COMPUTED_VALUE"""),0.0)</f>
      </c>
      <c r="O496" s="11">
        <f>IFERROR(__xludf.DUMMYFUNCTION("""COMPUTED_VALUE"""),"----")</f>
      </c>
      <c r="P496" s="12"/>
      <c r="Q496" s="12"/>
      <c r="R496" s="15"/>
      <c r="S496" s="12"/>
      <c r="T496" s="12"/>
      <c r="U496" s="12"/>
      <c r="V496" s="12"/>
      <c r="W496" s="12"/>
      <c r="X496" s="12"/>
      <c r="Y496" s="12"/>
      <c r="Z496" s="12"/>
    </row>
    <row x14ac:dyDescent="0.25" r="497" customHeight="1" ht="15.75">
      <c r="A497" s="8">
        <f>IFERROR(__xludf.DUMMYFUNCTION("""COMPUTED_VALUE"""),25620.0)</f>
      </c>
      <c r="B497" s="9">
        <f>IFERROR(__xludf.DUMMYFUNCTION("""COMPUTED_VALUE"""),"METROPOLITANA IV")</f>
      </c>
      <c r="C497" s="9">
        <f>IFERROR(__xludf.DUMMYFUNCTION("""COMPUTED_VALUE"""),"CIE MIECIMO DA SILVA")</f>
      </c>
      <c r="D497" s="10">
        <f>IFERROR(__xludf.DUMMYFUNCTION("""COMPUTED_VALUE"""),0.9469)</f>
      </c>
      <c r="E497" s="11">
        <f>IFERROR(__xludf.DUMMYFUNCTION("""COMPUTED_VALUE"""),431.59)</f>
      </c>
      <c r="F497" s="10">
        <f>IFERROR(__xludf.DUMMYFUNCTION("""COMPUTED_VALUE"""),0.9912)</f>
      </c>
      <c r="G497" s="11">
        <f>IFERROR(__xludf.DUMMYFUNCTION("""COMPUTED_VALUE"""),412.48)</f>
      </c>
      <c r="H497" s="10">
        <f>IFERROR(__xludf.DUMMYFUNCTION("""COMPUTED_VALUE"""),1.0)</f>
      </c>
      <c r="I497" s="11">
        <f>IFERROR(__xludf.DUMMYFUNCTION("""COMPUTED_VALUE"""),465.5)</f>
      </c>
      <c r="J497" s="10">
        <f>IFERROR(__xludf.DUMMYFUNCTION("""COMPUTED_VALUE"""),0.8696)</f>
      </c>
      <c r="K497" s="11">
        <f>IFERROR(__xludf.DUMMYFUNCTION("""COMPUTED_VALUE"""),413.33)</f>
      </c>
      <c r="L497" s="10">
        <f>IFERROR(__xludf.DUMMYFUNCTION("""COMPUTED_VALUE"""),1.0)</f>
      </c>
      <c r="M497" s="11">
        <f>IFERROR(__xludf.DUMMYFUNCTION("""COMPUTED_VALUE"""),374.9)</f>
      </c>
      <c r="N497" s="10">
        <f>IFERROR(__xludf.DUMMYFUNCTION("""COMPUTED_VALUE"""),0.9933)</f>
      </c>
      <c r="O497" s="11">
        <f>IFERROR(__xludf.DUMMYFUNCTION("""COMPUTED_VALUE"""),332.84)</f>
      </c>
      <c r="P497" s="12"/>
      <c r="Q497" s="12"/>
      <c r="R497" s="15"/>
      <c r="S497" s="12"/>
      <c r="T497" s="12"/>
      <c r="U497" s="12"/>
      <c r="V497" s="12"/>
      <c r="W497" s="12"/>
      <c r="X497" s="12"/>
      <c r="Y497" s="12"/>
      <c r="Z497" s="12"/>
    </row>
    <row x14ac:dyDescent="0.25" r="498" customHeight="1" ht="15.75">
      <c r="A498" s="8">
        <f>IFERROR(__xludf.DUMMYFUNCTION("""COMPUTED_VALUE"""),25551.0)</f>
      </c>
      <c r="B498" s="9">
        <f>IFERROR(__xludf.DUMMYFUNCTION("""COMPUTED_VALUE"""),"METROPOLITANA IV")</f>
      </c>
      <c r="C498" s="9">
        <f>IFERROR(__xludf.DUMMYFUNCTION("""COMPUTED_VALUE"""),"CIEP 048 DJALMA MARANHAO")</f>
      </c>
      <c r="D498" s="10">
        <f>IFERROR(__xludf.DUMMYFUNCTION("""COMPUTED_VALUE"""),0.6769)</f>
      </c>
      <c r="E498" s="11">
        <f>IFERROR(__xludf.DUMMYFUNCTION("""COMPUTED_VALUE"""),244.24)</f>
      </c>
      <c r="F498" s="10">
        <f>IFERROR(__xludf.DUMMYFUNCTION("""COMPUTED_VALUE"""),0.5692)</f>
      </c>
      <c r="G498" s="11">
        <f>IFERROR(__xludf.DUMMYFUNCTION("""COMPUTED_VALUE"""),412.43)</f>
      </c>
      <c r="H498" s="10">
        <f>IFERROR(__xludf.DUMMYFUNCTION("""COMPUTED_VALUE"""),0.4437)</f>
      </c>
      <c r="I498" s="11">
        <f>IFERROR(__xludf.DUMMYFUNCTION("""COMPUTED_VALUE"""),442.62)</f>
      </c>
      <c r="J498" s="10">
        <f>IFERROR(__xludf.DUMMYFUNCTION("""COMPUTED_VALUE"""),0.5263)</f>
      </c>
      <c r="K498" s="11">
        <f>IFERROR(__xludf.DUMMYFUNCTION("""COMPUTED_VALUE"""),354.0)</f>
      </c>
      <c r="L498" s="10">
        <f>IFERROR(__xludf.DUMMYFUNCTION("""COMPUTED_VALUE"""),0.4437)</f>
      </c>
      <c r="M498" s="11">
        <f>IFERROR(__xludf.DUMMYFUNCTION("""COMPUTED_VALUE"""),375.52)</f>
      </c>
      <c r="N498" s="10">
        <f>IFERROR(__xludf.DUMMYFUNCTION("""COMPUTED_VALUE"""),0.4172)</f>
      </c>
      <c r="O498" s="11">
        <f>IFERROR(__xludf.DUMMYFUNCTION("""COMPUTED_VALUE"""),399.37)</f>
      </c>
      <c r="P498" s="12"/>
      <c r="Q498" s="12"/>
      <c r="R498" s="15"/>
      <c r="S498" s="12"/>
      <c r="T498" s="12"/>
      <c r="U498" s="12"/>
      <c r="V498" s="12"/>
      <c r="W498" s="12"/>
      <c r="X498" s="12"/>
      <c r="Y498" s="12"/>
      <c r="Z498" s="12"/>
    </row>
    <row x14ac:dyDescent="0.25" r="499" customHeight="1" ht="15.75">
      <c r="A499" s="8">
        <f>IFERROR(__xludf.DUMMYFUNCTION("""COMPUTED_VALUE"""),25649.0)</f>
      </c>
      <c r="B499" s="9">
        <f>IFERROR(__xludf.DUMMYFUNCTION("""COMPUTED_VALUE"""),"METROPOLITANA IV")</f>
      </c>
      <c r="C499" s="9">
        <f>IFERROR(__xludf.DUMMYFUNCTION("""COMPUTED_VALUE"""),"CIEP 155 MARIA JOAQUINA DE OLIVEIRA")</f>
      </c>
      <c r="D499" s="10">
        <f>IFERROR(__xludf.DUMMYFUNCTION("""COMPUTED_VALUE"""),0.9776)</f>
      </c>
      <c r="E499" s="11">
        <f>IFERROR(__xludf.DUMMYFUNCTION("""COMPUTED_VALUE"""),153.36)</f>
      </c>
      <c r="F499" s="10">
        <f>IFERROR(__xludf.DUMMYFUNCTION("""COMPUTED_VALUE"""),0.9679)</f>
      </c>
      <c r="G499" s="11">
        <f>IFERROR(__xludf.DUMMYFUNCTION("""COMPUTED_VALUE"""),212.76)</f>
      </c>
      <c r="H499" s="10">
        <f>IFERROR(__xludf.DUMMYFUNCTION("""COMPUTED_VALUE"""),0.4825)</f>
      </c>
      <c r="I499" s="11">
        <f>IFERROR(__xludf.DUMMYFUNCTION("""COMPUTED_VALUE"""),417.9)</f>
      </c>
      <c r="J499" s="10">
        <f>IFERROR(__xludf.DUMMYFUNCTION("""COMPUTED_VALUE"""),0.5269)</f>
      </c>
      <c r="K499" s="11">
        <f>IFERROR(__xludf.DUMMYFUNCTION("""COMPUTED_VALUE"""),240.22)</f>
      </c>
      <c r="L499" s="10">
        <f>IFERROR(__xludf.DUMMYFUNCTION("""COMPUTED_VALUE"""),0.4367)</f>
      </c>
      <c r="M499" s="11">
        <f>IFERROR(__xludf.DUMMYFUNCTION("""COMPUTED_VALUE"""),443.45)</f>
      </c>
      <c r="N499" s="10">
        <f>IFERROR(__xludf.DUMMYFUNCTION("""COMPUTED_VALUE"""),0.4151)</f>
      </c>
      <c r="O499" s="11">
        <f>IFERROR(__xludf.DUMMYFUNCTION("""COMPUTED_VALUE"""),429.6)</f>
      </c>
      <c r="P499" s="12"/>
      <c r="Q499" s="12"/>
      <c r="R499" s="15"/>
      <c r="S499" s="12"/>
      <c r="T499" s="12"/>
      <c r="U499" s="12"/>
      <c r="V499" s="12"/>
      <c r="W499" s="12"/>
      <c r="X499" s="12"/>
      <c r="Y499" s="12"/>
      <c r="Z499" s="12"/>
    </row>
    <row x14ac:dyDescent="0.25" r="500" customHeight="1" ht="15.75">
      <c r="A500" s="8">
        <f>IFERROR(__xludf.DUMMYFUNCTION("""COMPUTED_VALUE"""),25650.0)</f>
      </c>
      <c r="B500" s="9">
        <f>IFERROR(__xludf.DUMMYFUNCTION("""COMPUTED_VALUE"""),"METROPOLITANA IV")</f>
      </c>
      <c r="C500" s="9">
        <f>IFERROR(__xludf.DUMMYFUNCTION("""COMPUTED_VALUE"""),"CIEP 156 DOUTOR ALBERT SABIN")</f>
      </c>
      <c r="D500" s="10">
        <f>IFERROR(__xludf.DUMMYFUNCTION("""COMPUTED_VALUE"""),0.6237)</f>
      </c>
      <c r="E500" s="11">
        <f>IFERROR(__xludf.DUMMYFUNCTION("""COMPUTED_VALUE"""),320.25)</f>
      </c>
      <c r="F500" s="10">
        <f>IFERROR(__xludf.DUMMYFUNCTION("""COMPUTED_VALUE"""),0.4678)</f>
      </c>
      <c r="G500" s="11">
        <f>IFERROR(__xludf.DUMMYFUNCTION("""COMPUTED_VALUE"""),406.72)</f>
      </c>
      <c r="H500" s="10">
        <f>IFERROR(__xludf.DUMMYFUNCTION("""COMPUTED_VALUE"""),0.5288)</f>
      </c>
      <c r="I500" s="11">
        <f>IFERROR(__xludf.DUMMYFUNCTION("""COMPUTED_VALUE"""),466.41)</f>
      </c>
      <c r="J500" s="10">
        <f>IFERROR(__xludf.DUMMYFUNCTION("""COMPUTED_VALUE"""),0.4678)</f>
      </c>
      <c r="K500" s="11">
        <f>IFERROR(__xludf.DUMMYFUNCTION("""COMPUTED_VALUE"""),351.45)</f>
      </c>
      <c r="L500" s="10">
        <f>IFERROR(__xludf.DUMMYFUNCTION("""COMPUTED_VALUE"""),0.5729)</f>
      </c>
      <c r="M500" s="11">
        <f>IFERROR(__xludf.DUMMYFUNCTION("""COMPUTED_VALUE"""),414.91)</f>
      </c>
      <c r="N500" s="10">
        <f>IFERROR(__xludf.DUMMYFUNCTION("""COMPUTED_VALUE"""),0.4983)</f>
      </c>
      <c r="O500" s="11">
        <f>IFERROR(__xludf.DUMMYFUNCTION("""COMPUTED_VALUE"""),427.21)</f>
      </c>
      <c r="P500" s="12"/>
      <c r="Q500" s="12"/>
      <c r="R500" s="15"/>
      <c r="S500" s="12"/>
      <c r="T500" s="12"/>
      <c r="U500" s="12"/>
      <c r="V500" s="12"/>
      <c r="W500" s="12"/>
      <c r="X500" s="12"/>
      <c r="Y500" s="12"/>
      <c r="Z500" s="12"/>
    </row>
    <row x14ac:dyDescent="0.25" r="501" customHeight="1" ht="15.75">
      <c r="A501" s="8">
        <f>IFERROR(__xludf.DUMMYFUNCTION("""COMPUTED_VALUE"""),25621.0)</f>
      </c>
      <c r="B501" s="9">
        <f>IFERROR(__xludf.DUMMYFUNCTION("""COMPUTED_VALUE"""),"METROPOLITANA IV")</f>
      </c>
      <c r="C501" s="9">
        <f>IFERROR(__xludf.DUMMYFUNCTION("""COMPUTED_VALUE"""),"CIEP 165 BRIGADEIRO SERGIO CARVALHO")</f>
      </c>
      <c r="D501" s="10">
        <f>IFERROR(__xludf.DUMMYFUNCTION("""COMPUTED_VALUE"""),0.4556)</f>
      </c>
      <c r="E501" s="11">
        <f>IFERROR(__xludf.DUMMYFUNCTION("""COMPUTED_VALUE"""),"----")</f>
      </c>
      <c r="F501" s="10">
        <f>IFERROR(__xludf.DUMMYFUNCTION("""COMPUTED_VALUE"""),0.619)</f>
      </c>
      <c r="G501" s="11">
        <f>IFERROR(__xludf.DUMMYFUNCTION("""COMPUTED_VALUE"""),361.05)</f>
      </c>
      <c r="H501" s="10">
        <f>IFERROR(__xludf.DUMMYFUNCTION("""COMPUTED_VALUE"""),0.5054)</f>
      </c>
      <c r="I501" s="11">
        <f>IFERROR(__xludf.DUMMYFUNCTION("""COMPUTED_VALUE"""),400.85)</f>
      </c>
      <c r="J501" s="10">
        <f>IFERROR(__xludf.DUMMYFUNCTION("""COMPUTED_VALUE"""),0.5402)</f>
      </c>
      <c r="K501" s="11">
        <f>IFERROR(__xludf.DUMMYFUNCTION("""COMPUTED_VALUE"""),278.26)</f>
      </c>
      <c r="L501" s="10">
        <f>IFERROR(__xludf.DUMMYFUNCTION("""COMPUTED_VALUE"""),0.3718)</f>
      </c>
      <c r="M501" s="11">
        <f>IFERROR(__xludf.DUMMYFUNCTION("""COMPUTED_VALUE"""),"----")</f>
      </c>
      <c r="N501" s="10">
        <f>IFERROR(__xludf.DUMMYFUNCTION("""COMPUTED_VALUE"""),0.0126)</f>
      </c>
      <c r="O501" s="11">
        <f>IFERROR(__xludf.DUMMYFUNCTION("""COMPUTED_VALUE"""),331.43)</f>
      </c>
      <c r="P501" s="12"/>
      <c r="Q501" s="12"/>
      <c r="R501" s="15"/>
      <c r="S501" s="12"/>
      <c r="T501" s="12"/>
      <c r="U501" s="12"/>
      <c r="V501" s="12"/>
      <c r="W501" s="12"/>
      <c r="X501" s="12"/>
      <c r="Y501" s="12"/>
      <c r="Z501" s="12"/>
    </row>
    <row x14ac:dyDescent="0.25" r="502" customHeight="1" ht="15.75">
      <c r="A502" s="8">
        <f>IFERROR(__xludf.DUMMYFUNCTION("""COMPUTED_VALUE"""),25622.0)</f>
      </c>
      <c r="B502" s="9">
        <f>IFERROR(__xludf.DUMMYFUNCTION("""COMPUTED_VALUE"""),"METROPOLITANA IV")</f>
      </c>
      <c r="C502" s="9">
        <f>IFERROR(__xludf.DUMMYFUNCTION("""COMPUTED_VALUE"""),"CIEP 183 JOÃO VITTA")</f>
      </c>
      <c r="D502" s="10">
        <f>IFERROR(__xludf.DUMMYFUNCTION("""COMPUTED_VALUE"""),0.6475)</f>
      </c>
      <c r="E502" s="11">
        <f>IFERROR(__xludf.DUMMYFUNCTION("""COMPUTED_VALUE"""),124.97)</f>
      </c>
      <c r="F502" s="10">
        <f>IFERROR(__xludf.DUMMYFUNCTION("""COMPUTED_VALUE"""),0.5007)</f>
      </c>
      <c r="G502" s="11">
        <f>IFERROR(__xludf.DUMMYFUNCTION("""COMPUTED_VALUE"""),281.27)</f>
      </c>
      <c r="H502" s="10">
        <f>IFERROR(__xludf.DUMMYFUNCTION("""COMPUTED_VALUE"""),0.4903)</f>
      </c>
      <c r="I502" s="11">
        <f>IFERROR(__xludf.DUMMYFUNCTION("""COMPUTED_VALUE"""),321.31)</f>
      </c>
      <c r="J502" s="10">
        <f>IFERROR(__xludf.DUMMYFUNCTION("""COMPUTED_VALUE"""),0.4797)</f>
      </c>
      <c r="K502" s="11">
        <f>IFERROR(__xludf.DUMMYFUNCTION("""COMPUTED_VALUE"""),270.96)</f>
      </c>
      <c r="L502" s="10">
        <f>IFERROR(__xludf.DUMMYFUNCTION("""COMPUTED_VALUE"""),0.3692)</f>
      </c>
      <c r="M502" s="11">
        <f>IFERROR(__xludf.DUMMYFUNCTION("""COMPUTED_VALUE"""),342.77)</f>
      </c>
      <c r="N502" s="10">
        <f>IFERROR(__xludf.DUMMYFUNCTION("""COMPUTED_VALUE"""),0.391)</f>
      </c>
      <c r="O502" s="11">
        <f>IFERROR(__xludf.DUMMYFUNCTION("""COMPUTED_VALUE"""),359.47)</f>
      </c>
      <c r="P502" s="12"/>
      <c r="Q502" s="12"/>
      <c r="R502" s="15"/>
      <c r="S502" s="12"/>
      <c r="T502" s="12"/>
      <c r="U502" s="12"/>
      <c r="V502" s="12"/>
      <c r="W502" s="12"/>
      <c r="X502" s="12"/>
      <c r="Y502" s="12"/>
      <c r="Z502" s="12"/>
    </row>
    <row x14ac:dyDescent="0.25" r="503" customHeight="1" ht="15.75">
      <c r="A503" s="8">
        <f>IFERROR(__xludf.DUMMYFUNCTION("""COMPUTED_VALUE"""),25623.0)</f>
      </c>
      <c r="B503" s="9">
        <f>IFERROR(__xludf.DUMMYFUNCTION("""COMPUTED_VALUE"""),"METROPOLITANA IV")</f>
      </c>
      <c r="C503" s="9">
        <f>IFERROR(__xludf.DUMMYFUNCTION("""COMPUTED_VALUE"""),"CIEP 223 OLYMPIO MARQUES DOS SANTOS")</f>
      </c>
      <c r="D503" s="10">
        <f>IFERROR(__xludf.DUMMYFUNCTION("""COMPUTED_VALUE"""),0.6918)</f>
      </c>
      <c r="E503" s="11">
        <f>IFERROR(__xludf.DUMMYFUNCTION("""COMPUTED_VALUE"""),293.9)</f>
      </c>
      <c r="F503" s="10">
        <f>IFERROR(__xludf.DUMMYFUNCTION("""COMPUTED_VALUE"""),0.6205)</f>
      </c>
      <c r="G503" s="11">
        <f>IFERROR(__xludf.DUMMYFUNCTION("""COMPUTED_VALUE"""),365.52)</f>
      </c>
      <c r="H503" s="10">
        <f>IFERROR(__xludf.DUMMYFUNCTION("""COMPUTED_VALUE"""),0.4775)</f>
      </c>
      <c r="I503" s="11">
        <f>IFERROR(__xludf.DUMMYFUNCTION("""COMPUTED_VALUE"""),"----")</f>
      </c>
      <c r="J503" s="10">
        <f>IFERROR(__xludf.DUMMYFUNCTION("""COMPUTED_VALUE"""),0.4556)</f>
      </c>
      <c r="K503" s="11">
        <f>IFERROR(__xludf.DUMMYFUNCTION("""COMPUTED_VALUE"""),320.19)</f>
      </c>
      <c r="L503" s="10">
        <f>IFERROR(__xludf.DUMMYFUNCTION("""COMPUTED_VALUE"""),0.485)</f>
      </c>
      <c r="M503" s="11">
        <f>IFERROR(__xludf.DUMMYFUNCTION("""COMPUTED_VALUE"""),421.16)</f>
      </c>
      <c r="N503" s="10">
        <f>IFERROR(__xludf.DUMMYFUNCTION("""COMPUTED_VALUE"""),0.3352)</f>
      </c>
      <c r="O503" s="11">
        <f>IFERROR(__xludf.DUMMYFUNCTION("""COMPUTED_VALUE"""),402.91)</f>
      </c>
      <c r="P503" s="12"/>
      <c r="Q503" s="12"/>
      <c r="R503" s="15"/>
      <c r="S503" s="12"/>
      <c r="T503" s="12"/>
      <c r="U503" s="12"/>
      <c r="V503" s="12"/>
      <c r="W503" s="12"/>
      <c r="X503" s="12"/>
      <c r="Y503" s="12"/>
      <c r="Z503" s="12"/>
    </row>
    <row x14ac:dyDescent="0.25" r="504" customHeight="1" ht="15.75">
      <c r="A504" s="8">
        <f>IFERROR(__xludf.DUMMYFUNCTION("""COMPUTED_VALUE"""),25624.0)</f>
      </c>
      <c r="B504" s="9">
        <f>IFERROR(__xludf.DUMMYFUNCTION("""COMPUTED_VALUE"""),"METROPOLITANA IV")</f>
      </c>
      <c r="C504" s="9">
        <f>IFERROR(__xludf.DUMMYFUNCTION("""COMPUTED_VALUE"""),"CIEP 224 TARSO DE CASTRO")</f>
      </c>
      <c r="D504" s="10">
        <f>IFERROR(__xludf.DUMMYFUNCTION("""COMPUTED_VALUE"""),0.4862)</f>
      </c>
      <c r="E504" s="11">
        <f>IFERROR(__xludf.DUMMYFUNCTION("""COMPUTED_VALUE"""),95.96)</f>
      </c>
      <c r="F504" s="10">
        <f>IFERROR(__xludf.DUMMYFUNCTION("""COMPUTED_VALUE"""),0.453)</f>
      </c>
      <c r="G504" s="11">
        <f>IFERROR(__xludf.DUMMYFUNCTION("""COMPUTED_VALUE"""),277.92)</f>
      </c>
      <c r="H504" s="10">
        <f>IFERROR(__xludf.DUMMYFUNCTION("""COMPUTED_VALUE"""),0.5148)</f>
      </c>
      <c r="I504" s="11">
        <f>IFERROR(__xludf.DUMMYFUNCTION("""COMPUTED_VALUE"""),333.54)</f>
      </c>
      <c r="J504" s="10">
        <f>IFERROR(__xludf.DUMMYFUNCTION("""COMPUTED_VALUE"""),0.6154)</f>
      </c>
      <c r="K504" s="11">
        <f>IFERROR(__xludf.DUMMYFUNCTION("""COMPUTED_VALUE"""),211.95)</f>
      </c>
      <c r="L504" s="10">
        <f>IFERROR(__xludf.DUMMYFUNCTION("""COMPUTED_VALUE"""),0.4601)</f>
      </c>
      <c r="M504" s="11">
        <f>IFERROR(__xludf.DUMMYFUNCTION("""COMPUTED_VALUE"""),293.54)</f>
      </c>
      <c r="N504" s="10">
        <f>IFERROR(__xludf.DUMMYFUNCTION("""COMPUTED_VALUE"""),0.4579)</f>
      </c>
      <c r="O504" s="11">
        <f>IFERROR(__xludf.DUMMYFUNCTION("""COMPUTED_VALUE"""),350.55)</f>
      </c>
      <c r="P504" s="12"/>
      <c r="Q504" s="12"/>
      <c r="R504" s="15"/>
      <c r="S504" s="12"/>
      <c r="T504" s="12"/>
      <c r="U504" s="12"/>
      <c r="V504" s="12"/>
      <c r="W504" s="12"/>
      <c r="X504" s="12"/>
      <c r="Y504" s="12"/>
      <c r="Z504" s="12"/>
    </row>
    <row x14ac:dyDescent="0.25" r="505" customHeight="1" ht="15.75">
      <c r="A505" s="8">
        <f>IFERROR(__xludf.DUMMYFUNCTION("""COMPUTED_VALUE"""),25625.0)</f>
      </c>
      <c r="B505" s="9">
        <f>IFERROR(__xludf.DUMMYFUNCTION("""COMPUTED_VALUE"""),"METROPOLITANA IV")</f>
      </c>
      <c r="C505" s="9">
        <f>IFERROR(__xludf.DUMMYFUNCTION("""COMPUTED_VALUE"""),"CIEP 225 MARIO QUINTANA")</f>
      </c>
      <c r="D505" s="10">
        <f>IFERROR(__xludf.DUMMYFUNCTION("""COMPUTED_VALUE"""),0.751)</f>
      </c>
      <c r="E505" s="11">
        <f>IFERROR(__xludf.DUMMYFUNCTION("""COMPUTED_VALUE"""),247.6)</f>
      </c>
      <c r="F505" s="10">
        <f>IFERROR(__xludf.DUMMYFUNCTION("""COMPUTED_VALUE"""),0.6831)</f>
      </c>
      <c r="G505" s="11">
        <f>IFERROR(__xludf.DUMMYFUNCTION("""COMPUTED_VALUE"""),331.47)</f>
      </c>
      <c r="H505" s="10">
        <f>IFERROR(__xludf.DUMMYFUNCTION("""COMPUTED_VALUE"""),0.8422)</f>
      </c>
      <c r="I505" s="11">
        <f>IFERROR(__xludf.DUMMYFUNCTION("""COMPUTED_VALUE"""),283.66)</f>
      </c>
      <c r="J505" s="10">
        <f>IFERROR(__xludf.DUMMYFUNCTION("""COMPUTED_VALUE"""),0.6978)</f>
      </c>
      <c r="K505" s="11">
        <f>IFERROR(__xludf.DUMMYFUNCTION("""COMPUTED_VALUE"""),191.41)</f>
      </c>
      <c r="L505" s="10">
        <f>IFERROR(__xludf.DUMMYFUNCTION("""COMPUTED_VALUE"""),0.6102)</f>
      </c>
      <c r="M505" s="11">
        <f>IFERROR(__xludf.DUMMYFUNCTION("""COMPUTED_VALUE"""),393.4)</f>
      </c>
      <c r="N505" s="10">
        <f>IFERROR(__xludf.DUMMYFUNCTION("""COMPUTED_VALUE"""),0.4793)</f>
      </c>
      <c r="O505" s="11">
        <f>IFERROR(__xludf.DUMMYFUNCTION("""COMPUTED_VALUE"""),386.68)</f>
      </c>
      <c r="P505" s="12"/>
      <c r="Q505" s="12"/>
      <c r="R505" s="15"/>
      <c r="S505" s="12"/>
      <c r="T505" s="12"/>
      <c r="U505" s="12"/>
      <c r="V505" s="12"/>
      <c r="W505" s="12"/>
      <c r="X505" s="12"/>
      <c r="Y505" s="12"/>
      <c r="Z505" s="12"/>
    </row>
    <row x14ac:dyDescent="0.25" r="506" customHeight="1" ht="15.75">
      <c r="A506" s="8">
        <f>IFERROR(__xludf.DUMMYFUNCTION("""COMPUTED_VALUE"""),25626.0)</f>
      </c>
      <c r="B506" s="9">
        <f>IFERROR(__xludf.DUMMYFUNCTION("""COMPUTED_VALUE"""),"METROPOLITANA IV")</f>
      </c>
      <c r="C506" s="9">
        <f>IFERROR(__xludf.DUMMYFUNCTION("""COMPUTED_VALUE"""),"CIEP 244 OSWALDO ARANHA")</f>
      </c>
      <c r="D506" s="10">
        <f>IFERROR(__xludf.DUMMYFUNCTION("""COMPUTED_VALUE"""),0.6093)</f>
      </c>
      <c r="E506" s="11">
        <f>IFERROR(__xludf.DUMMYFUNCTION("""COMPUTED_VALUE"""),213.6)</f>
      </c>
      <c r="F506" s="10">
        <f>IFERROR(__xludf.DUMMYFUNCTION("""COMPUTED_VALUE"""),0.6181)</f>
      </c>
      <c r="G506" s="11">
        <f>IFERROR(__xludf.DUMMYFUNCTION("""COMPUTED_VALUE"""),336.2)</f>
      </c>
      <c r="H506" s="10">
        <f>IFERROR(__xludf.DUMMYFUNCTION("""COMPUTED_VALUE"""),0.5412)</f>
      </c>
      <c r="I506" s="11">
        <f>IFERROR(__xludf.DUMMYFUNCTION("""COMPUTED_VALUE"""),394.92)</f>
      </c>
      <c r="J506" s="10">
        <f>IFERROR(__xludf.DUMMYFUNCTION("""COMPUTED_VALUE"""),0.487)</f>
      </c>
      <c r="K506" s="11">
        <f>IFERROR(__xludf.DUMMYFUNCTION("""COMPUTED_VALUE"""),302.68)</f>
      </c>
      <c r="L506" s="10">
        <f>IFERROR(__xludf.DUMMYFUNCTION("""COMPUTED_VALUE"""),0.3763)</f>
      </c>
      <c r="M506" s="11">
        <f>IFERROR(__xludf.DUMMYFUNCTION("""COMPUTED_VALUE"""),"----")</f>
      </c>
      <c r="N506" s="10">
        <f>IFERROR(__xludf.DUMMYFUNCTION("""COMPUTED_VALUE"""),0.3531)</f>
      </c>
      <c r="O506" s="11">
        <f>IFERROR(__xludf.DUMMYFUNCTION("""COMPUTED_VALUE"""),"----")</f>
      </c>
      <c r="P506" s="12"/>
      <c r="Q506" s="12"/>
      <c r="R506" s="15"/>
      <c r="S506" s="12"/>
      <c r="T506" s="12"/>
      <c r="U506" s="12"/>
      <c r="V506" s="12"/>
      <c r="W506" s="12"/>
      <c r="X506" s="12"/>
      <c r="Y506" s="12"/>
      <c r="Z506" s="12"/>
    </row>
    <row x14ac:dyDescent="0.25" r="507" customHeight="1" ht="15.75">
      <c r="A507" s="8">
        <f>IFERROR(__xludf.DUMMYFUNCTION("""COMPUTED_VALUE"""),25627.0)</f>
      </c>
      <c r="B507" s="9">
        <f>IFERROR(__xludf.DUMMYFUNCTION("""COMPUTED_VALUE"""),"METROPOLITANA IV")</f>
      </c>
      <c r="C507" s="9">
        <f>IFERROR(__xludf.DUMMYFUNCTION("""COMPUTED_VALUE"""),"CIEP 305 HEITOR DOS PRAZERES")</f>
      </c>
      <c r="D507" s="10">
        <f>IFERROR(__xludf.DUMMYFUNCTION("""COMPUTED_VALUE"""),0.589)</f>
      </c>
      <c r="E507" s="11">
        <f>IFERROR(__xludf.DUMMYFUNCTION("""COMPUTED_VALUE"""),"----")</f>
      </c>
      <c r="F507" s="10">
        <f>IFERROR(__xludf.DUMMYFUNCTION("""COMPUTED_VALUE"""),0.5012)</f>
      </c>
      <c r="G507" s="11">
        <f>IFERROR(__xludf.DUMMYFUNCTION("""COMPUTED_VALUE"""),347.39)</f>
      </c>
      <c r="H507" s="10">
        <f>IFERROR(__xludf.DUMMYFUNCTION("""COMPUTED_VALUE"""),0.5101)</f>
      </c>
      <c r="I507" s="11">
        <f>IFERROR(__xludf.DUMMYFUNCTION("""COMPUTED_VALUE"""),387.38)</f>
      </c>
      <c r="J507" s="10">
        <f>IFERROR(__xludf.DUMMYFUNCTION("""COMPUTED_VALUE"""),0.4878)</f>
      </c>
      <c r="K507" s="11">
        <f>IFERROR(__xludf.DUMMYFUNCTION("""COMPUTED_VALUE"""),230.2)</f>
      </c>
      <c r="L507" s="10">
        <f>IFERROR(__xludf.DUMMYFUNCTION("""COMPUTED_VALUE"""),0.3938)</f>
      </c>
      <c r="M507" s="11">
        <f>IFERROR(__xludf.DUMMYFUNCTION("""COMPUTED_VALUE"""),332.22)</f>
      </c>
      <c r="N507" s="10">
        <f>IFERROR(__xludf.DUMMYFUNCTION("""COMPUTED_VALUE"""),0.393)</f>
      </c>
      <c r="O507" s="11">
        <f>IFERROR(__xludf.DUMMYFUNCTION("""COMPUTED_VALUE"""),357.49)</f>
      </c>
      <c r="P507" s="12"/>
      <c r="Q507" s="12"/>
      <c r="R507" s="15"/>
      <c r="S507" s="12"/>
      <c r="T507" s="12"/>
      <c r="U507" s="12"/>
      <c r="V507" s="12"/>
      <c r="W507" s="12"/>
      <c r="X507" s="12"/>
      <c r="Y507" s="12"/>
      <c r="Z507" s="12"/>
    </row>
    <row x14ac:dyDescent="0.25" r="508" customHeight="1" ht="15.75">
      <c r="A508" s="8">
        <f>IFERROR(__xludf.DUMMYFUNCTION("""COMPUTED_VALUE"""),25628.0)</f>
      </c>
      <c r="B508" s="9">
        <f>IFERROR(__xludf.DUMMYFUNCTION("""COMPUTED_VALUE"""),"METROPOLITANA IV")</f>
      </c>
      <c r="C508" s="9">
        <f>IFERROR(__xludf.DUMMYFUNCTION("""COMPUTED_VALUE"""),"CIEP 311 DEPUTADO BOCAYUVA CUNHA")</f>
      </c>
      <c r="D508" s="10">
        <f>IFERROR(__xludf.DUMMYFUNCTION("""COMPUTED_VALUE"""),0.6311)</f>
      </c>
      <c r="E508" s="11">
        <f>IFERROR(__xludf.DUMMYFUNCTION("""COMPUTED_VALUE"""),156.18)</f>
      </c>
      <c r="F508" s="10">
        <f>IFERROR(__xludf.DUMMYFUNCTION("""COMPUTED_VALUE"""),0.4918)</f>
      </c>
      <c r="G508" s="11">
        <f>IFERROR(__xludf.DUMMYFUNCTION("""COMPUTED_VALUE"""),315.5)</f>
      </c>
      <c r="H508" s="10">
        <f>IFERROR(__xludf.DUMMYFUNCTION("""COMPUTED_VALUE"""),0.4461)</f>
      </c>
      <c r="I508" s="11">
        <f>IFERROR(__xludf.DUMMYFUNCTION("""COMPUTED_VALUE"""),354.67)</f>
      </c>
      <c r="J508" s="10">
        <f>IFERROR(__xludf.DUMMYFUNCTION("""COMPUTED_VALUE"""),0.5027)</f>
      </c>
      <c r="K508" s="11">
        <f>IFERROR(__xludf.DUMMYFUNCTION("""COMPUTED_VALUE"""),306.6)</f>
      </c>
      <c r="L508" s="10">
        <f>IFERROR(__xludf.DUMMYFUNCTION("""COMPUTED_VALUE"""),0.4429)</f>
      </c>
      <c r="M508" s="11">
        <f>IFERROR(__xludf.DUMMYFUNCTION("""COMPUTED_VALUE"""),363.89)</f>
      </c>
      <c r="N508" s="10">
        <f>IFERROR(__xludf.DUMMYFUNCTION("""COMPUTED_VALUE"""),0.4222)</f>
      </c>
      <c r="O508" s="11">
        <f>IFERROR(__xludf.DUMMYFUNCTION("""COMPUTED_VALUE"""),394.86)</f>
      </c>
      <c r="P508" s="12"/>
      <c r="Q508" s="12"/>
      <c r="R508" s="15"/>
      <c r="S508" s="12"/>
      <c r="T508" s="12"/>
      <c r="U508" s="12"/>
      <c r="V508" s="12"/>
      <c r="W508" s="12"/>
      <c r="X508" s="12"/>
      <c r="Y508" s="12"/>
      <c r="Z508" s="12"/>
    </row>
    <row x14ac:dyDescent="0.25" r="509" customHeight="1" ht="15.75">
      <c r="A509" s="8">
        <f>IFERROR(__xludf.DUMMYFUNCTION("""COMPUTED_VALUE"""),25629.0)</f>
      </c>
      <c r="B509" s="9">
        <f>IFERROR(__xludf.DUMMYFUNCTION("""COMPUTED_VALUE"""),"METROPOLITANA IV")</f>
      </c>
      <c r="C509" s="9">
        <f>IFERROR(__xludf.DUMMYFUNCTION("""COMPUTED_VALUE"""),"CIEP 312 RAUL RYFF")</f>
      </c>
      <c r="D509" s="10">
        <f>IFERROR(__xludf.DUMMYFUNCTION("""COMPUTED_VALUE"""),0.6655)</f>
      </c>
      <c r="E509" s="11">
        <f>IFERROR(__xludf.DUMMYFUNCTION("""COMPUTED_VALUE"""),260.44)</f>
      </c>
      <c r="F509" s="10">
        <f>IFERROR(__xludf.DUMMYFUNCTION("""COMPUTED_VALUE"""),0.4518)</f>
      </c>
      <c r="G509" s="11">
        <f>IFERROR(__xludf.DUMMYFUNCTION("""COMPUTED_VALUE"""),371.23)</f>
      </c>
      <c r="H509" s="10">
        <f>IFERROR(__xludf.DUMMYFUNCTION("""COMPUTED_VALUE"""),0.5539)</f>
      </c>
      <c r="I509" s="11">
        <f>IFERROR(__xludf.DUMMYFUNCTION("""COMPUTED_VALUE"""),412.05)</f>
      </c>
      <c r="J509" s="10">
        <f>IFERROR(__xludf.DUMMYFUNCTION("""COMPUTED_VALUE"""),0.5402)</f>
      </c>
      <c r="K509" s="11">
        <f>IFERROR(__xludf.DUMMYFUNCTION("""COMPUTED_VALUE"""),80.0)</f>
      </c>
      <c r="L509" s="10">
        <f>IFERROR(__xludf.DUMMYFUNCTION("""COMPUTED_VALUE"""),0.4977)</f>
      </c>
      <c r="M509" s="11">
        <f>IFERROR(__xludf.DUMMYFUNCTION("""COMPUTED_VALUE"""),414.24)</f>
      </c>
      <c r="N509" s="10">
        <f>IFERROR(__xludf.DUMMYFUNCTION("""COMPUTED_VALUE"""),0.3384)</f>
      </c>
      <c r="O509" s="11">
        <f>IFERROR(__xludf.DUMMYFUNCTION("""COMPUTED_VALUE"""),"----")</f>
      </c>
      <c r="P509" s="12"/>
      <c r="Q509" s="12"/>
      <c r="R509" s="15"/>
      <c r="S509" s="12"/>
      <c r="T509" s="12"/>
      <c r="U509" s="12"/>
      <c r="V509" s="12"/>
      <c r="W509" s="12"/>
      <c r="X509" s="12"/>
      <c r="Y509" s="12"/>
      <c r="Z509" s="12"/>
    </row>
    <row x14ac:dyDescent="0.25" r="510" customHeight="1" ht="15.75">
      <c r="A510" s="8">
        <f>IFERROR(__xludf.DUMMYFUNCTION("""COMPUTED_VALUE"""),25630.0)</f>
      </c>
      <c r="B510" s="9">
        <f>IFERROR(__xludf.DUMMYFUNCTION("""COMPUTED_VALUE"""),"METROPOLITANA IV")</f>
      </c>
      <c r="C510" s="9">
        <f>IFERROR(__xludf.DUMMYFUNCTION("""COMPUTED_VALUE"""),"CIEP 313 RUBEM BRAGA")</f>
      </c>
      <c r="D510" s="10">
        <f>IFERROR(__xludf.DUMMYFUNCTION("""COMPUTED_VALUE"""),0.5467)</f>
      </c>
      <c r="E510" s="11">
        <f>IFERROR(__xludf.DUMMYFUNCTION("""COMPUTED_VALUE"""),97.88)</f>
      </c>
      <c r="F510" s="10">
        <f>IFERROR(__xludf.DUMMYFUNCTION("""COMPUTED_VALUE"""),0.2267)</f>
      </c>
      <c r="G510" s="11">
        <f>IFERROR(__xludf.DUMMYFUNCTION("""COMPUTED_VALUE"""),286.67)</f>
      </c>
      <c r="H510" s="10">
        <f>IFERROR(__xludf.DUMMYFUNCTION("""COMPUTED_VALUE"""),0.3059)</f>
      </c>
      <c r="I510" s="11">
        <f>IFERROR(__xludf.DUMMYFUNCTION("""COMPUTED_VALUE"""),365.48)</f>
      </c>
      <c r="J510" s="10">
        <f>IFERROR(__xludf.DUMMYFUNCTION("""COMPUTED_VALUE"""),0.2878)</f>
      </c>
      <c r="K510" s="11">
        <f>IFERROR(__xludf.DUMMYFUNCTION("""COMPUTED_VALUE"""),"----")</f>
      </c>
      <c r="L510" s="10">
        <f>IFERROR(__xludf.DUMMYFUNCTION("""COMPUTED_VALUE"""),0.2863)</f>
      </c>
      <c r="M510" s="11">
        <f>IFERROR(__xludf.DUMMYFUNCTION("""COMPUTED_VALUE"""),426.53)</f>
      </c>
      <c r="N510" s="10">
        <f>IFERROR(__xludf.DUMMYFUNCTION("""COMPUTED_VALUE"""),0.0)</f>
      </c>
      <c r="O510" s="11">
        <f>IFERROR(__xludf.DUMMYFUNCTION("""COMPUTED_VALUE"""),"----")</f>
      </c>
      <c r="P510" s="12"/>
      <c r="Q510" s="12"/>
      <c r="R510" s="15"/>
      <c r="S510" s="12"/>
      <c r="T510" s="12"/>
      <c r="U510" s="12"/>
      <c r="V510" s="12"/>
      <c r="W510" s="12"/>
      <c r="X510" s="12"/>
      <c r="Y510" s="12"/>
      <c r="Z510" s="12"/>
    </row>
    <row x14ac:dyDescent="0.25" r="511" customHeight="1" ht="15.75">
      <c r="A511" s="8">
        <f>IFERROR(__xludf.DUMMYFUNCTION("""COMPUTED_VALUE"""),25552.0)</f>
      </c>
      <c r="B511" s="9">
        <f>IFERROR(__xludf.DUMMYFUNCTION("""COMPUTED_VALUE"""),"METROPOLITANA IV")</f>
      </c>
      <c r="C511" s="9">
        <f>IFERROR(__xludf.DUMMYFUNCTION("""COMPUTED_VALUE"""),"CIEP 329 JUAN MARTINHO CARRASCO")</f>
      </c>
      <c r="D511" s="10">
        <f>IFERROR(__xludf.DUMMYFUNCTION("""COMPUTED_VALUE"""),0.7752)</f>
      </c>
      <c r="E511" s="11">
        <f>IFERROR(__xludf.DUMMYFUNCTION("""COMPUTED_VALUE"""),248.0)</f>
      </c>
      <c r="F511" s="10">
        <f>IFERROR(__xludf.DUMMYFUNCTION("""COMPUTED_VALUE"""),0.7202)</f>
      </c>
      <c r="G511" s="11">
        <f>IFERROR(__xludf.DUMMYFUNCTION("""COMPUTED_VALUE"""),373.33)</f>
      </c>
      <c r="H511" s="10">
        <f>IFERROR(__xludf.DUMMYFUNCTION("""COMPUTED_VALUE"""),0.7661)</f>
      </c>
      <c r="I511" s="11">
        <f>IFERROR(__xludf.DUMMYFUNCTION("""COMPUTED_VALUE"""),434.6)</f>
      </c>
      <c r="J511" s="10">
        <f>IFERROR(__xludf.DUMMYFUNCTION("""COMPUTED_VALUE"""),0.578)</f>
      </c>
      <c r="K511" s="11">
        <f>IFERROR(__xludf.DUMMYFUNCTION("""COMPUTED_VALUE"""),306.09)</f>
      </c>
      <c r="L511" s="10">
        <f>IFERROR(__xludf.DUMMYFUNCTION("""COMPUTED_VALUE"""),0.6147)</f>
      </c>
      <c r="M511" s="11">
        <f>IFERROR(__xludf.DUMMYFUNCTION("""COMPUTED_VALUE"""),390.53)</f>
      </c>
      <c r="N511" s="10">
        <f>IFERROR(__xludf.DUMMYFUNCTION("""COMPUTED_VALUE"""),0.4633)</f>
      </c>
      <c r="O511" s="11">
        <f>IFERROR(__xludf.DUMMYFUNCTION("""COMPUTED_VALUE"""),432.87)</f>
      </c>
      <c r="P511" s="12"/>
      <c r="Q511" s="12"/>
      <c r="R511" s="15"/>
      <c r="S511" s="12"/>
      <c r="T511" s="12"/>
      <c r="U511" s="12"/>
      <c r="V511" s="12"/>
      <c r="W511" s="12"/>
      <c r="X511" s="12"/>
      <c r="Y511" s="12"/>
      <c r="Z511" s="12"/>
    </row>
    <row x14ac:dyDescent="0.25" r="512" customHeight="1" ht="15.75">
      <c r="A512" s="8">
        <f>IFERROR(__xludf.DUMMYFUNCTION("""COMPUTED_VALUE"""),25631.0)</f>
      </c>
      <c r="B512" s="9">
        <f>IFERROR(__xludf.DUMMYFUNCTION("""COMPUTED_VALUE"""),"METROPOLITANA IV")</f>
      </c>
      <c r="C512" s="9">
        <f>IFERROR(__xludf.DUMMYFUNCTION("""COMPUTED_VALUE"""),"CIEP 336 OCTAVIO MALTA")</f>
      </c>
      <c r="D512" s="10">
        <f>IFERROR(__xludf.DUMMYFUNCTION("""COMPUTED_VALUE"""),0.5924)</f>
      </c>
      <c r="E512" s="11">
        <f>IFERROR(__xludf.DUMMYFUNCTION("""COMPUTED_VALUE"""),157.76)</f>
      </c>
      <c r="F512" s="10">
        <f>IFERROR(__xludf.DUMMYFUNCTION("""COMPUTED_VALUE"""),0.5035)</f>
      </c>
      <c r="G512" s="11">
        <f>IFERROR(__xludf.DUMMYFUNCTION("""COMPUTED_VALUE"""),329.63)</f>
      </c>
      <c r="H512" s="10">
        <f>IFERROR(__xludf.DUMMYFUNCTION("""COMPUTED_VALUE"""),0.4099)</f>
      </c>
      <c r="I512" s="11">
        <f>IFERROR(__xludf.DUMMYFUNCTION("""COMPUTED_VALUE"""),346.82)</f>
      </c>
      <c r="J512" s="10">
        <f>IFERROR(__xludf.DUMMYFUNCTION("""COMPUTED_VALUE"""),0.5612)</f>
      </c>
      <c r="K512" s="11">
        <f>IFERROR(__xludf.DUMMYFUNCTION("""COMPUTED_VALUE"""),231.64)</f>
      </c>
      <c r="L512" s="10">
        <f>IFERROR(__xludf.DUMMYFUNCTION("""COMPUTED_VALUE"""),0.3672)</f>
      </c>
      <c r="M512" s="11">
        <f>IFERROR(__xludf.DUMMYFUNCTION("""COMPUTED_VALUE"""),353.63)</f>
      </c>
      <c r="N512" s="10">
        <f>IFERROR(__xludf.DUMMYFUNCTION("""COMPUTED_VALUE"""),0.3279)</f>
      </c>
      <c r="O512" s="11">
        <f>IFERROR(__xludf.DUMMYFUNCTION("""COMPUTED_VALUE"""),349.35)</f>
      </c>
      <c r="P512" s="12"/>
      <c r="Q512" s="12"/>
      <c r="R512" s="15"/>
      <c r="S512" s="12"/>
      <c r="T512" s="12"/>
      <c r="U512" s="12"/>
      <c r="V512" s="12"/>
      <c r="W512" s="12"/>
      <c r="X512" s="12"/>
      <c r="Y512" s="12"/>
      <c r="Z512" s="12"/>
    </row>
    <row x14ac:dyDescent="0.25" r="513" customHeight="1" ht="15.75">
      <c r="A513" s="8">
        <f>IFERROR(__xludf.DUMMYFUNCTION("""COMPUTED_VALUE"""),25632.0)</f>
      </c>
      <c r="B513" s="9">
        <f>IFERROR(__xludf.DUMMYFUNCTION("""COMPUTED_VALUE"""),"METROPOLITANA IV")</f>
      </c>
      <c r="C513" s="9">
        <f>IFERROR(__xludf.DUMMYFUNCTION("""COMPUTED_VALUE"""),"CIEP 362 ROBERTO BURLE MARX")</f>
      </c>
      <c r="D513" s="10">
        <f>IFERROR(__xludf.DUMMYFUNCTION("""COMPUTED_VALUE"""),0.6603)</f>
      </c>
      <c r="E513" s="11">
        <f>IFERROR(__xludf.DUMMYFUNCTION("""COMPUTED_VALUE"""),239.48)</f>
      </c>
      <c r="F513" s="10">
        <f>IFERROR(__xludf.DUMMYFUNCTION("""COMPUTED_VALUE"""),0.6392)</f>
      </c>
      <c r="G513" s="11">
        <f>IFERROR(__xludf.DUMMYFUNCTION("""COMPUTED_VALUE"""),363.22)</f>
      </c>
      <c r="H513" s="10">
        <f>IFERROR(__xludf.DUMMYFUNCTION("""COMPUTED_VALUE"""),0.5127)</f>
      </c>
      <c r="I513" s="11">
        <f>IFERROR(__xludf.DUMMYFUNCTION("""COMPUTED_VALUE"""),411.93)</f>
      </c>
      <c r="J513" s="10">
        <f>IFERROR(__xludf.DUMMYFUNCTION("""COMPUTED_VALUE"""),0.5422)</f>
      </c>
      <c r="K513" s="11">
        <f>IFERROR(__xludf.DUMMYFUNCTION("""COMPUTED_VALUE"""),359.08)</f>
      </c>
      <c r="L513" s="10">
        <f>IFERROR(__xludf.DUMMYFUNCTION("""COMPUTED_VALUE"""),0.4114)</f>
      </c>
      <c r="M513" s="11">
        <f>IFERROR(__xludf.DUMMYFUNCTION("""COMPUTED_VALUE"""),439.58)</f>
      </c>
      <c r="N513" s="10">
        <f>IFERROR(__xludf.DUMMYFUNCTION("""COMPUTED_VALUE"""),0.4536)</f>
      </c>
      <c r="O513" s="11">
        <f>IFERROR(__xludf.DUMMYFUNCTION("""COMPUTED_VALUE"""),333.01)</f>
      </c>
      <c r="P513" s="12"/>
      <c r="Q513" s="12"/>
      <c r="R513" s="15"/>
      <c r="S513" s="12"/>
      <c r="T513" s="12"/>
      <c r="U513" s="12"/>
      <c r="V513" s="12"/>
      <c r="W513" s="12"/>
      <c r="X513" s="12"/>
      <c r="Y513" s="12"/>
      <c r="Z513" s="12"/>
    </row>
    <row x14ac:dyDescent="0.25" r="514" customHeight="1" ht="15.75">
      <c r="A514" s="8">
        <f>IFERROR(__xludf.DUMMYFUNCTION("""COMPUTED_VALUE"""),25553.0)</f>
      </c>
      <c r="B514" s="9">
        <f>IFERROR(__xludf.DUMMYFUNCTION("""COMPUTED_VALUE"""),"METROPOLITANA IV")</f>
      </c>
      <c r="C514" s="9">
        <f>IFERROR(__xludf.DUMMYFUNCTION("""COMPUTED_VALUE"""),"CIEP 368 JOAO CONCEICAO CANUTO")</f>
      </c>
      <c r="D514" s="10">
        <f>IFERROR(__xludf.DUMMYFUNCTION("""COMPUTED_VALUE"""),0.8286)</f>
      </c>
      <c r="E514" s="11">
        <f>IFERROR(__xludf.DUMMYFUNCTION("""COMPUTED_VALUE"""),308.9)</f>
      </c>
      <c r="F514" s="10">
        <f>IFERROR(__xludf.DUMMYFUNCTION("""COMPUTED_VALUE"""),0.5476)</f>
      </c>
      <c r="G514" s="11">
        <f>IFERROR(__xludf.DUMMYFUNCTION("""COMPUTED_VALUE"""),398.58)</f>
      </c>
      <c r="H514" s="10">
        <f>IFERROR(__xludf.DUMMYFUNCTION("""COMPUTED_VALUE"""),0.6753)</f>
      </c>
      <c r="I514" s="11">
        <f>IFERROR(__xludf.DUMMYFUNCTION("""COMPUTED_VALUE"""),461.56)</f>
      </c>
      <c r="J514" s="10">
        <f>IFERROR(__xludf.DUMMYFUNCTION("""COMPUTED_VALUE"""),0.6407)</f>
      </c>
      <c r="K514" s="11">
        <f>IFERROR(__xludf.DUMMYFUNCTION("""COMPUTED_VALUE"""),274.41)</f>
      </c>
      <c r="L514" s="10">
        <f>IFERROR(__xludf.DUMMYFUNCTION("""COMPUTED_VALUE"""),0.6364)</f>
      </c>
      <c r="M514" s="11">
        <f>IFERROR(__xludf.DUMMYFUNCTION("""COMPUTED_VALUE"""),410.88)</f>
      </c>
      <c r="N514" s="10">
        <f>IFERROR(__xludf.DUMMYFUNCTION("""COMPUTED_VALUE"""),0.619)</f>
      </c>
      <c r="O514" s="11">
        <f>IFERROR(__xludf.DUMMYFUNCTION("""COMPUTED_VALUE"""),387.43)</f>
      </c>
      <c r="P514" s="12"/>
      <c r="Q514" s="12"/>
      <c r="R514" s="15"/>
      <c r="S514" s="12"/>
      <c r="T514" s="12"/>
      <c r="U514" s="12"/>
      <c r="V514" s="12"/>
      <c r="W514" s="12"/>
      <c r="X514" s="12"/>
      <c r="Y514" s="12"/>
      <c r="Z514" s="12"/>
    </row>
    <row x14ac:dyDescent="0.25" r="515" customHeight="1" ht="15.75">
      <c r="A515" s="8">
        <f>IFERROR(__xludf.DUMMYFUNCTION("""COMPUTED_VALUE"""),25633.0)</f>
      </c>
      <c r="B515" s="9">
        <f>IFERROR(__xludf.DUMMYFUNCTION("""COMPUTED_VALUE"""),"METROPOLITANA IV")</f>
      </c>
      <c r="C515" s="9">
        <f>IFERROR(__xludf.DUMMYFUNCTION("""COMPUTED_VALUE"""),"CIEP 382 ASPIRANTE FRANCISCO MEGA")</f>
      </c>
      <c r="D515" s="10">
        <f>IFERROR(__xludf.DUMMYFUNCTION("""COMPUTED_VALUE"""),0.6826)</f>
      </c>
      <c r="E515" s="11">
        <f>IFERROR(__xludf.DUMMYFUNCTION("""COMPUTED_VALUE"""),243.51)</f>
      </c>
      <c r="F515" s="10">
        <f>IFERROR(__xludf.DUMMYFUNCTION("""COMPUTED_VALUE"""),0.5422)</f>
      </c>
      <c r="G515" s="11">
        <f>IFERROR(__xludf.DUMMYFUNCTION("""COMPUTED_VALUE"""),"----")</f>
      </c>
      <c r="H515" s="10">
        <f>IFERROR(__xludf.DUMMYFUNCTION("""COMPUTED_VALUE"""),0.4679)</f>
      </c>
      <c r="I515" s="11">
        <f>IFERROR(__xludf.DUMMYFUNCTION("""COMPUTED_VALUE"""),422.39)</f>
      </c>
      <c r="J515" s="10">
        <f>IFERROR(__xludf.DUMMYFUNCTION("""COMPUTED_VALUE"""),0.5581)</f>
      </c>
      <c r="K515" s="11">
        <f>IFERROR(__xludf.DUMMYFUNCTION("""COMPUTED_VALUE"""),246.58)</f>
      </c>
      <c r="L515" s="10">
        <f>IFERROR(__xludf.DUMMYFUNCTION("""COMPUTED_VALUE"""),0.4385)</f>
      </c>
      <c r="M515" s="11">
        <f>IFERROR(__xludf.DUMMYFUNCTION("""COMPUTED_VALUE"""),"----")</f>
      </c>
      <c r="N515" s="10">
        <f>IFERROR(__xludf.DUMMYFUNCTION("""COMPUTED_VALUE"""),0.3833)</f>
      </c>
      <c r="O515" s="11">
        <f>IFERROR(__xludf.DUMMYFUNCTION("""COMPUTED_VALUE"""),"----")</f>
      </c>
      <c r="P515" s="12"/>
      <c r="Q515" s="12"/>
      <c r="R515" s="15"/>
      <c r="S515" s="12"/>
      <c r="T515" s="12"/>
      <c r="U515" s="12"/>
      <c r="V515" s="12"/>
      <c r="W515" s="12"/>
      <c r="X515" s="12"/>
      <c r="Y515" s="12"/>
      <c r="Z515" s="12"/>
    </row>
    <row x14ac:dyDescent="0.25" r="516" customHeight="1" ht="15.75">
      <c r="A516" s="8">
        <f>IFERROR(__xludf.DUMMYFUNCTION("""COMPUTED_VALUE"""),25634.0)</f>
      </c>
      <c r="B516" s="9">
        <f>IFERROR(__xludf.DUMMYFUNCTION("""COMPUTED_VALUE"""),"METROPOLITANA IV")</f>
      </c>
      <c r="C516" s="9">
        <f>IFERROR(__xludf.DUMMYFUNCTION("""COMPUTED_VALUE"""),"CIEP 386 GUILHERME DA SILVEIRA FILHO")</f>
      </c>
      <c r="D516" s="10">
        <f>IFERROR(__xludf.DUMMYFUNCTION("""COMPUTED_VALUE"""),0.6943)</f>
      </c>
      <c r="E516" s="11">
        <f>IFERROR(__xludf.DUMMYFUNCTION("""COMPUTED_VALUE"""),214.03)</f>
      </c>
      <c r="F516" s="10">
        <f>IFERROR(__xludf.DUMMYFUNCTION("""COMPUTED_VALUE"""),0.5945)</f>
      </c>
      <c r="G516" s="11">
        <f>IFERROR(__xludf.DUMMYFUNCTION("""COMPUTED_VALUE"""),335.58)</f>
      </c>
      <c r="H516" s="10">
        <f>IFERROR(__xludf.DUMMYFUNCTION("""COMPUTED_VALUE"""),0.5585)</f>
      </c>
      <c r="I516" s="11">
        <f>IFERROR(__xludf.DUMMYFUNCTION("""COMPUTED_VALUE"""),338.73)</f>
      </c>
      <c r="J516" s="10">
        <f>IFERROR(__xludf.DUMMYFUNCTION("""COMPUTED_VALUE"""),0.5566)</f>
      </c>
      <c r="K516" s="11">
        <f>IFERROR(__xludf.DUMMYFUNCTION("""COMPUTED_VALUE"""),226.83)</f>
      </c>
      <c r="L516" s="10">
        <f>IFERROR(__xludf.DUMMYFUNCTION("""COMPUTED_VALUE"""),0.5497)</f>
      </c>
      <c r="M516" s="11">
        <f>IFERROR(__xludf.DUMMYFUNCTION("""COMPUTED_VALUE"""),333.77)</f>
      </c>
      <c r="N516" s="10">
        <f>IFERROR(__xludf.DUMMYFUNCTION("""COMPUTED_VALUE"""),0.5713)</f>
      </c>
      <c r="O516" s="11">
        <f>IFERROR(__xludf.DUMMYFUNCTION("""COMPUTED_VALUE"""),366.3)</f>
      </c>
      <c r="P516" s="12"/>
      <c r="Q516" s="12"/>
      <c r="R516" s="15"/>
      <c r="S516" s="12"/>
      <c r="T516" s="12"/>
      <c r="U516" s="12"/>
      <c r="V516" s="12"/>
      <c r="W516" s="12"/>
      <c r="X516" s="12"/>
      <c r="Y516" s="12"/>
      <c r="Z516" s="12"/>
    </row>
    <row x14ac:dyDescent="0.25" r="517" customHeight="1" ht="15.75">
      <c r="A517" s="8">
        <f>IFERROR(__xludf.DUMMYFUNCTION("""COMPUTED_VALUE"""),25635.0)</f>
      </c>
      <c r="B517" s="9">
        <f>IFERROR(__xludf.DUMMYFUNCTION("""COMPUTED_VALUE"""),"METROPOLITANA IV")</f>
      </c>
      <c r="C517" s="9">
        <f>IFERROR(__xludf.DUMMYFUNCTION("""COMPUTED_VALUE"""),"CIEP 392 MARIO DE ANDRADE")</f>
      </c>
      <c r="D517" s="10">
        <f>IFERROR(__xludf.DUMMYFUNCTION("""COMPUTED_VALUE"""),0.7333)</f>
      </c>
      <c r="E517" s="11">
        <f>IFERROR(__xludf.DUMMYFUNCTION("""COMPUTED_VALUE"""),207.75)</f>
      </c>
      <c r="F517" s="10">
        <f>IFERROR(__xludf.DUMMYFUNCTION("""COMPUTED_VALUE"""),0.4681)</f>
      </c>
      <c r="G517" s="11">
        <f>IFERROR(__xludf.DUMMYFUNCTION("""COMPUTED_VALUE"""),351.29)</f>
      </c>
      <c r="H517" s="10">
        <f>IFERROR(__xludf.DUMMYFUNCTION("""COMPUTED_VALUE"""),0.5288)</f>
      </c>
      <c r="I517" s="11">
        <f>IFERROR(__xludf.DUMMYFUNCTION("""COMPUTED_VALUE"""),398.47)</f>
      </c>
      <c r="J517" s="10">
        <f>IFERROR(__xludf.DUMMYFUNCTION("""COMPUTED_VALUE"""),0.5907)</f>
      </c>
      <c r="K517" s="11">
        <f>IFERROR(__xludf.DUMMYFUNCTION("""COMPUTED_VALUE"""),261.4)</f>
      </c>
      <c r="L517" s="10">
        <f>IFERROR(__xludf.DUMMYFUNCTION("""COMPUTED_VALUE"""),0.4825)</f>
      </c>
      <c r="M517" s="11">
        <f>IFERROR(__xludf.DUMMYFUNCTION("""COMPUTED_VALUE"""),357.31)</f>
      </c>
      <c r="N517" s="10">
        <f>IFERROR(__xludf.DUMMYFUNCTION("""COMPUTED_VALUE"""),0.5288)</f>
      </c>
      <c r="O517" s="11">
        <f>IFERROR(__xludf.DUMMYFUNCTION("""COMPUTED_VALUE"""),364.18)</f>
      </c>
      <c r="P517" s="12"/>
      <c r="Q517" s="12"/>
      <c r="R517" s="15"/>
      <c r="S517" s="12"/>
      <c r="T517" s="12"/>
      <c r="U517" s="12"/>
      <c r="V517" s="12"/>
      <c r="W517" s="12"/>
      <c r="X517" s="12"/>
      <c r="Y517" s="12"/>
      <c r="Z517" s="12"/>
    </row>
    <row x14ac:dyDescent="0.25" r="518" customHeight="1" ht="15.75">
      <c r="A518" s="8">
        <f>IFERROR(__xludf.DUMMYFUNCTION("""COMPUTED_VALUE"""),25636.0)</f>
      </c>
      <c r="B518" s="9">
        <f>IFERROR(__xludf.DUMMYFUNCTION("""COMPUTED_VALUE"""),"METROPOLITANA IV")</f>
      </c>
      <c r="C518" s="9">
        <f>IFERROR(__xludf.DUMMYFUNCTION("""COMPUTED_VALUE"""),"CIEP 418 ANTONIO CARLOS BERNARDES - MUSSUM")</f>
      </c>
      <c r="D518" s="10">
        <f>IFERROR(__xludf.DUMMYFUNCTION("""COMPUTED_VALUE"""),0.6667)</f>
      </c>
      <c r="E518" s="11">
        <f>IFERROR(__xludf.DUMMYFUNCTION("""COMPUTED_VALUE"""),164.55)</f>
      </c>
      <c r="F518" s="10">
        <f>IFERROR(__xludf.DUMMYFUNCTION("""COMPUTED_VALUE"""),0.8)</f>
      </c>
      <c r="G518" s="11">
        <f>IFERROR(__xludf.DUMMYFUNCTION("""COMPUTED_VALUE"""),395.77)</f>
      </c>
      <c r="H518" s="10">
        <f>IFERROR(__xludf.DUMMYFUNCTION("""COMPUTED_VALUE"""),0.4302)</f>
      </c>
      <c r="I518" s="11">
        <f>IFERROR(__xludf.DUMMYFUNCTION("""COMPUTED_VALUE"""),381.87)</f>
      </c>
      <c r="J518" s="10">
        <f>IFERROR(__xludf.DUMMYFUNCTION("""COMPUTED_VALUE"""),0.6027)</f>
      </c>
      <c r="K518" s="11">
        <f>IFERROR(__xludf.DUMMYFUNCTION("""COMPUTED_VALUE"""),331.66)</f>
      </c>
      <c r="L518" s="10">
        <f>IFERROR(__xludf.DUMMYFUNCTION("""COMPUTED_VALUE"""),0.4884)</f>
      </c>
      <c r="M518" s="11">
        <f>IFERROR(__xludf.DUMMYFUNCTION("""COMPUTED_VALUE"""),400.52)</f>
      </c>
      <c r="N518" s="10">
        <f>IFERROR(__xludf.DUMMYFUNCTION("""COMPUTED_VALUE"""),0.5349)</f>
      </c>
      <c r="O518" s="11">
        <f>IFERROR(__xludf.DUMMYFUNCTION("""COMPUTED_VALUE"""),394.78)</f>
      </c>
      <c r="P518" s="12"/>
      <c r="Q518" s="12"/>
      <c r="R518" s="15"/>
      <c r="S518" s="12"/>
      <c r="T518" s="12"/>
      <c r="U518" s="12"/>
      <c r="V518" s="12"/>
      <c r="W518" s="12"/>
      <c r="X518" s="12"/>
      <c r="Y518" s="12"/>
      <c r="Z518" s="12"/>
    </row>
    <row x14ac:dyDescent="0.25" r="519" customHeight="1" ht="15.75">
      <c r="A519" s="8">
        <f>IFERROR(__xludf.DUMMYFUNCTION("""COMPUTED_VALUE"""),25637.0)</f>
      </c>
      <c r="B519" s="9">
        <f>IFERROR(__xludf.DUMMYFUNCTION("""COMPUTED_VALUE"""),"METROPOLITANA IV")</f>
      </c>
      <c r="C519" s="9">
        <f>IFERROR(__xludf.DUMMYFUNCTION("""COMPUTED_VALUE"""),"CIEP 432 ALBERTO CAVALCANTI")</f>
      </c>
      <c r="D519" s="10">
        <f>IFERROR(__xludf.DUMMYFUNCTION("""COMPUTED_VALUE"""),0.7302)</f>
      </c>
      <c r="E519" s="11">
        <f>IFERROR(__xludf.DUMMYFUNCTION("""COMPUTED_VALUE"""),148.94)</f>
      </c>
      <c r="F519" s="10">
        <f>IFERROR(__xludf.DUMMYFUNCTION("""COMPUTED_VALUE"""),0.5278)</f>
      </c>
      <c r="G519" s="11">
        <f>IFERROR(__xludf.DUMMYFUNCTION("""COMPUTED_VALUE"""),321.55)</f>
      </c>
      <c r="H519" s="10">
        <f>IFERROR(__xludf.DUMMYFUNCTION("""COMPUTED_VALUE"""),0.5992)</f>
      </c>
      <c r="I519" s="11">
        <f>IFERROR(__xludf.DUMMYFUNCTION("""COMPUTED_VALUE"""),395.03)</f>
      </c>
      <c r="J519" s="10">
        <f>IFERROR(__xludf.DUMMYFUNCTION("""COMPUTED_VALUE"""),0.4603)</f>
      </c>
      <c r="K519" s="11">
        <f>IFERROR(__xludf.DUMMYFUNCTION("""COMPUTED_VALUE"""),244.95)</f>
      </c>
      <c r="L519" s="10">
        <f>IFERROR(__xludf.DUMMYFUNCTION("""COMPUTED_VALUE"""),0.5476)</f>
      </c>
      <c r="M519" s="11">
        <f>IFERROR(__xludf.DUMMYFUNCTION("""COMPUTED_VALUE"""),368.47)</f>
      </c>
      <c r="N519" s="10">
        <f>IFERROR(__xludf.DUMMYFUNCTION("""COMPUTED_VALUE"""),0.6786)</f>
      </c>
      <c r="O519" s="11">
        <f>IFERROR(__xludf.DUMMYFUNCTION("""COMPUTED_VALUE"""),405.48)</f>
      </c>
      <c r="P519" s="12"/>
      <c r="Q519" s="12"/>
      <c r="R519" s="15"/>
      <c r="S519" s="12"/>
      <c r="T519" s="12"/>
      <c r="U519" s="12"/>
      <c r="V519" s="12"/>
      <c r="W519" s="12"/>
      <c r="X519" s="12"/>
      <c r="Y519" s="12"/>
      <c r="Z519" s="12"/>
    </row>
    <row x14ac:dyDescent="0.25" r="520" customHeight="1" ht="15.75">
      <c r="A520" s="8">
        <f>IFERROR(__xludf.DUMMYFUNCTION("""COMPUTED_VALUE"""),25638.0)</f>
      </c>
      <c r="B520" s="9">
        <f>IFERROR(__xludf.DUMMYFUNCTION("""COMPUTED_VALUE"""),"METROPOLITANA IV")</f>
      </c>
      <c r="C520" s="9">
        <f>IFERROR(__xludf.DUMMYFUNCTION("""COMPUTED_VALUE"""),"CIEP 433 TOGO RENAN SOARES KANELA")</f>
      </c>
      <c r="D520" s="10">
        <f>IFERROR(__xludf.DUMMYFUNCTION("""COMPUTED_VALUE"""),0.5701)</f>
      </c>
      <c r="E520" s="11">
        <f>IFERROR(__xludf.DUMMYFUNCTION("""COMPUTED_VALUE"""),202.05)</f>
      </c>
      <c r="F520" s="10">
        <f>IFERROR(__xludf.DUMMYFUNCTION("""COMPUTED_VALUE"""),0.6092)</f>
      </c>
      <c r="G520" s="11">
        <f>IFERROR(__xludf.DUMMYFUNCTION("""COMPUTED_VALUE"""),297.34)</f>
      </c>
      <c r="H520" s="10">
        <f>IFERROR(__xludf.DUMMYFUNCTION("""COMPUTED_VALUE"""),0.5431)</f>
      </c>
      <c r="I520" s="11">
        <f>IFERROR(__xludf.DUMMYFUNCTION("""COMPUTED_VALUE"""),381.25)</f>
      </c>
      <c r="J520" s="10">
        <f>IFERROR(__xludf.DUMMYFUNCTION("""COMPUTED_VALUE"""),0.4852)</f>
      </c>
      <c r="K520" s="11">
        <f>IFERROR(__xludf.DUMMYFUNCTION("""COMPUTED_VALUE"""),222.95)</f>
      </c>
      <c r="L520" s="10">
        <f>IFERROR(__xludf.DUMMYFUNCTION("""COMPUTED_VALUE"""),0.4744)</f>
      </c>
      <c r="M520" s="11">
        <f>IFERROR(__xludf.DUMMYFUNCTION("""COMPUTED_VALUE"""),340.11)</f>
      </c>
      <c r="N520" s="10">
        <f>IFERROR(__xludf.DUMMYFUNCTION("""COMPUTED_VALUE"""),0.3019)</f>
      </c>
      <c r="O520" s="11">
        <f>IFERROR(__xludf.DUMMYFUNCTION("""COMPUTED_VALUE"""),326.15)</f>
      </c>
      <c r="P520" s="12"/>
      <c r="Q520" s="12"/>
      <c r="R520" s="15"/>
      <c r="S520" s="12"/>
      <c r="T520" s="12"/>
      <c r="U520" s="12"/>
      <c r="V520" s="12"/>
      <c r="W520" s="12"/>
      <c r="X520" s="12"/>
      <c r="Y520" s="12"/>
      <c r="Z520" s="12"/>
    </row>
    <row x14ac:dyDescent="0.25" r="521" customHeight="1" ht="15.75">
      <c r="A521" s="8">
        <f>IFERROR(__xludf.DUMMYFUNCTION("""COMPUTED_VALUE"""),25639.0)</f>
      </c>
      <c r="B521" s="9">
        <f>IFERROR(__xludf.DUMMYFUNCTION("""COMPUTED_VALUE"""),"METROPOLITANA IV")</f>
      </c>
      <c r="C521" s="9">
        <f>IFERROR(__xludf.DUMMYFUNCTION("""COMPUTED_VALUE"""),"CIEP 435 HELIO PELLEGRINO")</f>
      </c>
      <c r="D521" s="10">
        <f>IFERROR(__xludf.DUMMYFUNCTION("""COMPUTED_VALUE"""),0.7649)</f>
      </c>
      <c r="E521" s="11">
        <f>IFERROR(__xludf.DUMMYFUNCTION("""COMPUTED_VALUE"""),214.24)</f>
      </c>
      <c r="F521" s="10">
        <f>IFERROR(__xludf.DUMMYFUNCTION("""COMPUTED_VALUE"""),0.6718)</f>
      </c>
      <c r="G521" s="11">
        <f>IFERROR(__xludf.DUMMYFUNCTION("""COMPUTED_VALUE"""),366.71)</f>
      </c>
      <c r="H521" s="10">
        <f>IFERROR(__xludf.DUMMYFUNCTION("""COMPUTED_VALUE"""),0.6382)</f>
      </c>
      <c r="I521" s="11">
        <f>IFERROR(__xludf.DUMMYFUNCTION("""COMPUTED_VALUE"""),395.47)</f>
      </c>
      <c r="J521" s="10">
        <f>IFERROR(__xludf.DUMMYFUNCTION("""COMPUTED_VALUE"""),0.6672)</f>
      </c>
      <c r="K521" s="11">
        <f>IFERROR(__xludf.DUMMYFUNCTION("""COMPUTED_VALUE"""),188.29)</f>
      </c>
      <c r="L521" s="10">
        <f>IFERROR(__xludf.DUMMYFUNCTION("""COMPUTED_VALUE"""),0.6275)</f>
      </c>
      <c r="M521" s="11">
        <f>IFERROR(__xludf.DUMMYFUNCTION("""COMPUTED_VALUE"""),393.55)</f>
      </c>
      <c r="N521" s="10">
        <f>IFERROR(__xludf.DUMMYFUNCTION("""COMPUTED_VALUE"""),0.5664)</f>
      </c>
      <c r="O521" s="11">
        <f>IFERROR(__xludf.DUMMYFUNCTION("""COMPUTED_VALUE"""),322.67)</f>
      </c>
      <c r="P521" s="12"/>
      <c r="Q521" s="12"/>
      <c r="R521" s="15"/>
      <c r="S521" s="12"/>
      <c r="T521" s="12"/>
      <c r="U521" s="12"/>
      <c r="V521" s="12"/>
      <c r="W521" s="12"/>
      <c r="X521" s="12"/>
      <c r="Y521" s="12"/>
      <c r="Z521" s="12"/>
    </row>
    <row x14ac:dyDescent="0.25" r="522" customHeight="1" ht="15.75">
      <c r="A522" s="8">
        <f>IFERROR(__xludf.DUMMYFUNCTION("""COMPUTED_VALUE"""),25554.0)</f>
      </c>
      <c r="B522" s="9">
        <f>IFERROR(__xludf.DUMMYFUNCTION("""COMPUTED_VALUE"""),"METROPOLITANA IV")</f>
      </c>
      <c r="C522" s="9">
        <f>IFERROR(__xludf.DUMMYFUNCTION("""COMPUTED_VALUE"""),"CIEP 498 IRMÃ DULCE")</f>
      </c>
      <c r="D522" s="10">
        <f>IFERROR(__xludf.DUMMYFUNCTION("""COMPUTED_VALUE"""),0.6781)</f>
      </c>
      <c r="E522" s="11">
        <f>IFERROR(__xludf.DUMMYFUNCTION("""COMPUTED_VALUE"""),174.19)</f>
      </c>
      <c r="F522" s="10">
        <f>IFERROR(__xludf.DUMMYFUNCTION("""COMPUTED_VALUE"""),0.5938)</f>
      </c>
      <c r="G522" s="11">
        <f>IFERROR(__xludf.DUMMYFUNCTION("""COMPUTED_VALUE"""),347.37)</f>
      </c>
      <c r="H522" s="10">
        <f>IFERROR(__xludf.DUMMYFUNCTION("""COMPUTED_VALUE"""),0.4961)</f>
      </c>
      <c r="I522" s="11">
        <f>IFERROR(__xludf.DUMMYFUNCTION("""COMPUTED_VALUE"""),415.98)</f>
      </c>
      <c r="J522" s="10">
        <f>IFERROR(__xludf.DUMMYFUNCTION("""COMPUTED_VALUE"""),0.5103)</f>
      </c>
      <c r="K522" s="11">
        <f>IFERROR(__xludf.DUMMYFUNCTION("""COMPUTED_VALUE"""),298.48)</f>
      </c>
      <c r="L522" s="10">
        <f>IFERROR(__xludf.DUMMYFUNCTION("""COMPUTED_VALUE"""),0.4444)</f>
      </c>
      <c r="M522" s="11">
        <f>IFERROR(__xludf.DUMMYFUNCTION("""COMPUTED_VALUE"""),383.62)</f>
      </c>
      <c r="N522" s="10">
        <f>IFERROR(__xludf.DUMMYFUNCTION("""COMPUTED_VALUE"""),0.3514)</f>
      </c>
      <c r="O522" s="11">
        <f>IFERROR(__xludf.DUMMYFUNCTION("""COMPUTED_VALUE"""),348.44)</f>
      </c>
      <c r="P522" s="12"/>
      <c r="Q522" s="12"/>
      <c r="R522" s="15"/>
      <c r="S522" s="12"/>
      <c r="T522" s="12"/>
      <c r="U522" s="12"/>
      <c r="V522" s="12"/>
      <c r="W522" s="12"/>
      <c r="X522" s="12"/>
      <c r="Y522" s="12"/>
      <c r="Z522" s="12"/>
    </row>
    <row x14ac:dyDescent="0.25" r="523" customHeight="1" ht="15.75">
      <c r="A523" s="8">
        <f>IFERROR(__xludf.DUMMYFUNCTION("""COMPUTED_VALUE"""),25640.0)</f>
      </c>
      <c r="B523" s="9">
        <f>IFERROR(__xludf.DUMMYFUNCTION("""COMPUTED_VALUE"""),"METROPOLITANA IV")</f>
      </c>
      <c r="C523" s="9">
        <f>IFERROR(__xludf.DUMMYFUNCTION("""COMPUTED_VALUE"""),"IE SARAH KUBITSCHEK")</f>
      </c>
      <c r="D523" s="10">
        <f>IFERROR(__xludf.DUMMYFUNCTION("""COMPUTED_VALUE"""),0.9033)</f>
      </c>
      <c r="E523" s="11">
        <f>IFERROR(__xludf.DUMMYFUNCTION("""COMPUTED_VALUE"""),417.93)</f>
      </c>
      <c r="F523" s="10">
        <f>IFERROR(__xludf.DUMMYFUNCTION("""COMPUTED_VALUE"""),0.779)</f>
      </c>
      <c r="G523" s="11">
        <f>IFERROR(__xludf.DUMMYFUNCTION("""COMPUTED_VALUE"""),468.8)</f>
      </c>
      <c r="H523" s="10">
        <f>IFERROR(__xludf.DUMMYFUNCTION("""COMPUTED_VALUE"""),0.7374)</f>
      </c>
      <c r="I523" s="11">
        <f>IFERROR(__xludf.DUMMYFUNCTION("""COMPUTED_VALUE"""),506.95)</f>
      </c>
      <c r="J523" s="10">
        <f>IFERROR(__xludf.DUMMYFUNCTION("""COMPUTED_VALUE"""),0.7925)</f>
      </c>
      <c r="K523" s="11">
        <f>IFERROR(__xludf.DUMMYFUNCTION("""COMPUTED_VALUE"""),445.09)</f>
      </c>
      <c r="L523" s="10">
        <f>IFERROR(__xludf.DUMMYFUNCTION("""COMPUTED_VALUE"""),0.6588)</f>
      </c>
      <c r="M523" s="11">
        <f>IFERROR(__xludf.DUMMYFUNCTION("""COMPUTED_VALUE"""),509.62)</f>
      </c>
      <c r="N523" s="10">
        <f>IFERROR(__xludf.DUMMYFUNCTION("""COMPUTED_VALUE"""),0.7112)</f>
      </c>
      <c r="O523" s="11">
        <f>IFERROR(__xludf.DUMMYFUNCTION("""COMPUTED_VALUE"""),494.93)</f>
      </c>
      <c r="P523" s="12"/>
      <c r="Q523" s="12"/>
      <c r="R523" s="15"/>
      <c r="S523" s="12"/>
      <c r="T523" s="12"/>
      <c r="U523" s="12"/>
      <c r="V523" s="12"/>
      <c r="W523" s="12"/>
      <c r="X523" s="12"/>
      <c r="Y523" s="12"/>
      <c r="Z523" s="12"/>
    </row>
    <row x14ac:dyDescent="0.25" r="524" customHeight="1" ht="15.75">
      <c r="A524" s="8">
        <f>IFERROR(__xludf.DUMMYFUNCTION("""COMPUTED_VALUE"""),25809.0)</f>
      </c>
      <c r="B524" s="9">
        <f>IFERROR(__xludf.DUMMYFUNCTION("""COMPUTED_VALUE"""),"METROPOLITANA V")</f>
      </c>
      <c r="C524" s="9">
        <f>IFERROR(__xludf.DUMMYFUNCTION("""COMPUTED_VALUE"""),"CE ABDALA CHAMA")</f>
      </c>
      <c r="D524" s="10">
        <f>IFERROR(__xludf.DUMMYFUNCTION("""COMPUTED_VALUE"""),0.7712)</f>
      </c>
      <c r="E524" s="11">
        <f>IFERROR(__xludf.DUMMYFUNCTION("""COMPUTED_VALUE"""),269.69)</f>
      </c>
      <c r="F524" s="10">
        <f>IFERROR(__xludf.DUMMYFUNCTION("""COMPUTED_VALUE"""),0.2797)</f>
      </c>
      <c r="G524" s="11">
        <f>IFERROR(__xludf.DUMMYFUNCTION("""COMPUTED_VALUE"""),429.09)</f>
      </c>
      <c r="H524" s="10">
        <f>IFERROR(__xludf.DUMMYFUNCTION("""COMPUTED_VALUE"""),0.5556)</f>
      </c>
      <c r="I524" s="11">
        <f>IFERROR(__xludf.DUMMYFUNCTION("""COMPUTED_VALUE"""),459.74)</f>
      </c>
      <c r="J524" s="10">
        <f>IFERROR(__xludf.DUMMYFUNCTION("""COMPUTED_VALUE"""),0.5155)</f>
      </c>
      <c r="K524" s="11">
        <f>IFERROR(__xludf.DUMMYFUNCTION("""COMPUTED_VALUE"""),415.29)</f>
      </c>
      <c r="L524" s="10">
        <f>IFERROR(__xludf.DUMMYFUNCTION("""COMPUTED_VALUE"""),0.5556)</f>
      </c>
      <c r="M524" s="11">
        <f>IFERROR(__xludf.DUMMYFUNCTION("""COMPUTED_VALUE"""),407.47)</f>
      </c>
      <c r="N524" s="10">
        <f>IFERROR(__xludf.DUMMYFUNCTION("""COMPUTED_VALUE"""),0.563)</f>
      </c>
      <c r="O524" s="11">
        <f>IFERROR(__xludf.DUMMYFUNCTION("""COMPUTED_VALUE"""),453.16)</f>
      </c>
      <c r="P524" s="12"/>
      <c r="Q524" s="12"/>
      <c r="R524" s="15"/>
      <c r="S524" s="12"/>
      <c r="T524" s="12"/>
      <c r="U524" s="12"/>
      <c r="V524" s="12"/>
      <c r="W524" s="12"/>
      <c r="X524" s="12"/>
      <c r="Y524" s="12"/>
      <c r="Z524" s="12"/>
    </row>
    <row x14ac:dyDescent="0.25" r="525" customHeight="1" ht="15.75">
      <c r="A525" s="8">
        <f>IFERROR(__xludf.DUMMYFUNCTION("""COMPUTED_VALUE"""),25810.0)</f>
      </c>
      <c r="B525" s="9">
        <f>IFERROR(__xludf.DUMMYFUNCTION("""COMPUTED_VALUE"""),"METROPOLITANA V")</f>
      </c>
      <c r="C525" s="9">
        <f>IFERROR(__xludf.DUMMYFUNCTION("""COMPUTED_VALUE"""),"CE ADELINA CASTRO")</f>
      </c>
      <c r="D525" s="10">
        <f>IFERROR(__xludf.DUMMYFUNCTION("""COMPUTED_VALUE"""),0.785)</f>
      </c>
      <c r="E525" s="11">
        <f>IFERROR(__xludf.DUMMYFUNCTION("""COMPUTED_VALUE"""),294.15)</f>
      </c>
      <c r="F525" s="10">
        <f>IFERROR(__xludf.DUMMYFUNCTION("""COMPUTED_VALUE"""),0.725)</f>
      </c>
      <c r="G525" s="11">
        <f>IFERROR(__xludf.DUMMYFUNCTION("""COMPUTED_VALUE"""),345.4)</f>
      </c>
      <c r="H525" s="10">
        <f>IFERROR(__xludf.DUMMYFUNCTION("""COMPUTED_VALUE"""),0.79)</f>
      </c>
      <c r="I525" s="11">
        <f>IFERROR(__xludf.DUMMYFUNCTION("""COMPUTED_VALUE"""),413.33)</f>
      </c>
      <c r="J525" s="10">
        <f>IFERROR(__xludf.DUMMYFUNCTION("""COMPUTED_VALUE"""),0.645)</f>
      </c>
      <c r="K525" s="11">
        <f>IFERROR(__xludf.DUMMYFUNCTION("""COMPUTED_VALUE"""),290.16)</f>
      </c>
      <c r="L525" s="10">
        <f>IFERROR(__xludf.DUMMYFUNCTION("""COMPUTED_VALUE"""),0.615)</f>
      </c>
      <c r="M525" s="11">
        <f>IFERROR(__xludf.DUMMYFUNCTION("""COMPUTED_VALUE"""),352.07)</f>
      </c>
      <c r="N525" s="10">
        <f>IFERROR(__xludf.DUMMYFUNCTION("""COMPUTED_VALUE"""),0.655)</f>
      </c>
      <c r="O525" s="11">
        <f>IFERROR(__xludf.DUMMYFUNCTION("""COMPUTED_VALUE"""),437.83)</f>
      </c>
      <c r="P525" s="12"/>
      <c r="Q525" s="12"/>
      <c r="R525" s="15"/>
      <c r="S525" s="12"/>
      <c r="T525" s="12"/>
      <c r="U525" s="12"/>
      <c r="V525" s="12"/>
      <c r="W525" s="12"/>
      <c r="X525" s="12"/>
      <c r="Y525" s="12"/>
      <c r="Z525" s="12"/>
    </row>
    <row x14ac:dyDescent="0.25" r="526" customHeight="1" ht="15.75">
      <c r="A526" s="8">
        <f>IFERROR(__xludf.DUMMYFUNCTION("""COMPUTED_VALUE"""),25811.0)</f>
      </c>
      <c r="B526" s="9">
        <f>IFERROR(__xludf.DUMMYFUNCTION("""COMPUTED_VALUE"""),"METROPOLITANA V")</f>
      </c>
      <c r="C526" s="9">
        <f>IFERROR(__xludf.DUMMYFUNCTION("""COMPUTED_VALUE"""),"CE ALEMY TAVARES DA SILVA")</f>
      </c>
      <c r="D526" s="10">
        <f>IFERROR(__xludf.DUMMYFUNCTION("""COMPUTED_VALUE"""),0.816)</f>
      </c>
      <c r="E526" s="11">
        <f>IFERROR(__xludf.DUMMYFUNCTION("""COMPUTED_VALUE"""),194.29)</f>
      </c>
      <c r="F526" s="10">
        <f>IFERROR(__xludf.DUMMYFUNCTION("""COMPUTED_VALUE"""),0.72)</f>
      </c>
      <c r="G526" s="11">
        <f>IFERROR(__xludf.DUMMYFUNCTION("""COMPUTED_VALUE"""),411.82)</f>
      </c>
      <c r="H526" s="10">
        <f>IFERROR(__xludf.DUMMYFUNCTION("""COMPUTED_VALUE"""),0.624)</f>
      </c>
      <c r="I526" s="11">
        <f>IFERROR(__xludf.DUMMYFUNCTION("""COMPUTED_VALUE"""),468.05)</f>
      </c>
      <c r="J526" s="10">
        <f>IFERROR(__xludf.DUMMYFUNCTION("""COMPUTED_VALUE"""),0.688)</f>
      </c>
      <c r="K526" s="11">
        <f>IFERROR(__xludf.DUMMYFUNCTION("""COMPUTED_VALUE"""),340.92)</f>
      </c>
      <c r="L526" s="10">
        <f>IFERROR(__xludf.DUMMYFUNCTION("""COMPUTED_VALUE"""),0.736)</f>
      </c>
      <c r="M526" s="11">
        <f>IFERROR(__xludf.DUMMYFUNCTION("""COMPUTED_VALUE"""),360.0)</f>
      </c>
      <c r="N526" s="10">
        <f>IFERROR(__xludf.DUMMYFUNCTION("""COMPUTED_VALUE"""),0.704)</f>
      </c>
      <c r="O526" s="11">
        <f>IFERROR(__xludf.DUMMYFUNCTION("""COMPUTED_VALUE"""),341.82)</f>
      </c>
      <c r="P526" s="12"/>
      <c r="Q526" s="12"/>
      <c r="R526" s="15"/>
      <c r="S526" s="12"/>
      <c r="T526" s="12"/>
      <c r="U526" s="12"/>
      <c r="V526" s="12"/>
      <c r="W526" s="12"/>
      <c r="X526" s="12"/>
      <c r="Y526" s="12"/>
      <c r="Z526" s="12"/>
    </row>
    <row x14ac:dyDescent="0.25" r="527" customHeight="1" ht="15.75">
      <c r="A527" s="8">
        <f>IFERROR(__xludf.DUMMYFUNCTION("""COMPUTED_VALUE"""),25812.0)</f>
      </c>
      <c r="B527" s="9">
        <f>IFERROR(__xludf.DUMMYFUNCTION("""COMPUTED_VALUE"""),"METROPOLITANA V")</f>
      </c>
      <c r="C527" s="9">
        <f>IFERROR(__xludf.DUMMYFUNCTION("""COMPUTED_VALUE"""),"CE ALEXANDER GRAHAM BELL")</f>
      </c>
      <c r="D527" s="10">
        <f>IFERROR(__xludf.DUMMYFUNCTION("""COMPUTED_VALUE"""),0.6858)</f>
      </c>
      <c r="E527" s="11">
        <f>IFERROR(__xludf.DUMMYFUNCTION("""COMPUTED_VALUE"""),291.86)</f>
      </c>
      <c r="F527" s="10">
        <f>IFERROR(__xludf.DUMMYFUNCTION("""COMPUTED_VALUE"""),0.6146)</f>
      </c>
      <c r="G527" s="11">
        <f>IFERROR(__xludf.DUMMYFUNCTION("""COMPUTED_VALUE"""),345.51)</f>
      </c>
      <c r="H527" s="10">
        <f>IFERROR(__xludf.DUMMYFUNCTION("""COMPUTED_VALUE"""),0.4931)</f>
      </c>
      <c r="I527" s="11">
        <f>IFERROR(__xludf.DUMMYFUNCTION("""COMPUTED_VALUE"""),436.01)</f>
      </c>
      <c r="J527" s="10">
        <f>IFERROR(__xludf.DUMMYFUNCTION("""COMPUTED_VALUE"""),0.2101)</f>
      </c>
      <c r="K527" s="11">
        <f>IFERROR(__xludf.DUMMYFUNCTION("""COMPUTED_VALUE"""),419.82)</f>
      </c>
      <c r="L527" s="10">
        <f>IFERROR(__xludf.DUMMYFUNCTION("""COMPUTED_VALUE"""),0.3698)</f>
      </c>
      <c r="M527" s="11">
        <f>IFERROR(__xludf.DUMMYFUNCTION("""COMPUTED_VALUE"""),431.54)</f>
      </c>
      <c r="N527" s="10">
        <f>IFERROR(__xludf.DUMMYFUNCTION("""COMPUTED_VALUE"""),0.309)</f>
      </c>
      <c r="O527" s="11">
        <f>IFERROR(__xludf.DUMMYFUNCTION("""COMPUTED_VALUE"""),453.87)</f>
      </c>
      <c r="P527" s="12"/>
      <c r="Q527" s="12"/>
      <c r="R527" s="15"/>
      <c r="S527" s="12"/>
      <c r="T527" s="12"/>
      <c r="U527" s="12"/>
      <c r="V527" s="12"/>
      <c r="W527" s="12"/>
      <c r="X527" s="12"/>
      <c r="Y527" s="12"/>
      <c r="Z527" s="12"/>
    </row>
    <row x14ac:dyDescent="0.25" r="528" customHeight="1" ht="15.75">
      <c r="A528" s="8">
        <f>IFERROR(__xludf.DUMMYFUNCTION("""COMPUTED_VALUE"""),25813.0)</f>
      </c>
      <c r="B528" s="9">
        <f>IFERROR(__xludf.DUMMYFUNCTION("""COMPUTED_VALUE"""),"METROPOLITANA V")</f>
      </c>
      <c r="C528" s="9">
        <f>IFERROR(__xludf.DUMMYFUNCTION("""COMPUTED_VALUE"""),"CE ALVARO NEGROMONTE")</f>
      </c>
      <c r="D528" s="10">
        <f>IFERROR(__xludf.DUMMYFUNCTION("""COMPUTED_VALUE"""),0.5469)</f>
      </c>
      <c r="E528" s="11">
        <f>IFERROR(__xludf.DUMMYFUNCTION("""COMPUTED_VALUE"""),299.4)</f>
      </c>
      <c r="F528" s="10">
        <f>IFERROR(__xludf.DUMMYFUNCTION("""COMPUTED_VALUE"""),0.6857)</f>
      </c>
      <c r="G528" s="11">
        <f>IFERROR(__xludf.DUMMYFUNCTION("""COMPUTED_VALUE"""),463.76)</f>
      </c>
      <c r="H528" s="10">
        <f>IFERROR(__xludf.DUMMYFUNCTION("""COMPUTED_VALUE"""),0.6571)</f>
      </c>
      <c r="I528" s="11">
        <f>IFERROR(__xludf.DUMMYFUNCTION("""COMPUTED_VALUE"""),456.5)</f>
      </c>
      <c r="J528" s="10">
        <f>IFERROR(__xludf.DUMMYFUNCTION("""COMPUTED_VALUE"""),0.5755)</f>
      </c>
      <c r="K528" s="11">
        <f>IFERROR(__xludf.DUMMYFUNCTION("""COMPUTED_VALUE"""),313.13)</f>
      </c>
      <c r="L528" s="10">
        <f>IFERROR(__xludf.DUMMYFUNCTION("""COMPUTED_VALUE"""),0.6041)</f>
      </c>
      <c r="M528" s="11">
        <f>IFERROR(__xludf.DUMMYFUNCTION("""COMPUTED_VALUE"""),441.92)</f>
      </c>
      <c r="N528" s="10">
        <f>IFERROR(__xludf.DUMMYFUNCTION("""COMPUTED_VALUE"""),0.6286)</f>
      </c>
      <c r="O528" s="11">
        <f>IFERROR(__xludf.DUMMYFUNCTION("""COMPUTED_VALUE"""),441.56)</f>
      </c>
      <c r="P528" s="12"/>
      <c r="Q528" s="12"/>
      <c r="R528" s="15"/>
      <c r="S528" s="12"/>
      <c r="T528" s="12"/>
      <c r="U528" s="12"/>
      <c r="V528" s="12"/>
      <c r="W528" s="12"/>
      <c r="X528" s="12"/>
      <c r="Y528" s="12"/>
      <c r="Z528" s="12"/>
    </row>
    <row x14ac:dyDescent="0.25" r="529" customHeight="1" ht="15.75">
      <c r="A529" s="8">
        <f>IFERROR(__xludf.DUMMYFUNCTION("""COMPUTED_VALUE"""),25814.0)</f>
      </c>
      <c r="B529" s="9">
        <f>IFERROR(__xludf.DUMMYFUNCTION("""COMPUTED_VALUE"""),"METROPOLITANA V")</f>
      </c>
      <c r="C529" s="9">
        <f>IFERROR(__xludf.DUMMYFUNCTION("""COMPUTED_VALUE"""),"CE AURA BARRETO")</f>
      </c>
      <c r="D529" s="10">
        <f>IFERROR(__xludf.DUMMYFUNCTION("""COMPUTED_VALUE"""),0.9825)</f>
      </c>
      <c r="E529" s="11">
        <f>IFERROR(__xludf.DUMMYFUNCTION("""COMPUTED_VALUE"""),266.9)</f>
      </c>
      <c r="F529" s="10">
        <f>IFERROR(__xludf.DUMMYFUNCTION("""COMPUTED_VALUE"""),0.731)</f>
      </c>
      <c r="G529" s="11">
        <f>IFERROR(__xludf.DUMMYFUNCTION("""COMPUTED_VALUE"""),411.52)</f>
      </c>
      <c r="H529" s="10">
        <f>IFERROR(__xludf.DUMMYFUNCTION("""COMPUTED_VALUE"""),0.7778)</f>
      </c>
      <c r="I529" s="11">
        <f>IFERROR(__xludf.DUMMYFUNCTION("""COMPUTED_VALUE"""),430.77)</f>
      </c>
      <c r="J529" s="10">
        <f>IFERROR(__xludf.DUMMYFUNCTION("""COMPUTED_VALUE"""),0.7368)</f>
      </c>
      <c r="K529" s="11">
        <f>IFERROR(__xludf.DUMMYFUNCTION("""COMPUTED_VALUE"""),441.4)</f>
      </c>
      <c r="L529" s="10">
        <f>IFERROR(__xludf.DUMMYFUNCTION("""COMPUTED_VALUE"""),0.6901)</f>
      </c>
      <c r="M529" s="11">
        <f>IFERROR(__xludf.DUMMYFUNCTION("""COMPUTED_VALUE"""),468.47)</f>
      </c>
      <c r="N529" s="10">
        <f>IFERROR(__xludf.DUMMYFUNCTION("""COMPUTED_VALUE"""),0.731)</f>
      </c>
      <c r="O529" s="11">
        <f>IFERROR(__xludf.DUMMYFUNCTION("""COMPUTED_VALUE"""),449.76)</f>
      </c>
      <c r="P529" s="12"/>
      <c r="Q529" s="12"/>
      <c r="R529" s="15"/>
      <c r="S529" s="12"/>
      <c r="T529" s="12"/>
      <c r="U529" s="12"/>
      <c r="V529" s="12"/>
      <c r="W529" s="12"/>
      <c r="X529" s="12"/>
      <c r="Y529" s="12"/>
      <c r="Z529" s="12"/>
    </row>
    <row x14ac:dyDescent="0.25" r="530" customHeight="1" ht="15.75">
      <c r="A530" s="8">
        <f>IFERROR(__xludf.DUMMYFUNCTION("""COMPUTED_VALUE"""),25815.0)</f>
      </c>
      <c r="B530" s="9">
        <f>IFERROR(__xludf.DUMMYFUNCTION("""COMPUTED_VALUE"""),"METROPOLITANA V")</f>
      </c>
      <c r="C530" s="9">
        <f>IFERROR(__xludf.DUMMYFUNCTION("""COMPUTED_VALUE"""),"CE BARAO DE MAUA")</f>
      </c>
      <c r="D530" s="10">
        <f>IFERROR(__xludf.DUMMYFUNCTION("""COMPUTED_VALUE"""),0.866)</f>
      </c>
      <c r="E530" s="11">
        <f>IFERROR(__xludf.DUMMYFUNCTION("""COMPUTED_VALUE"""),240.93)</f>
      </c>
      <c r="F530" s="10">
        <f>IFERROR(__xludf.DUMMYFUNCTION("""COMPUTED_VALUE"""),0.683)</f>
      </c>
      <c r="G530" s="11">
        <f>IFERROR(__xludf.DUMMYFUNCTION("""COMPUTED_VALUE"""),445.68)</f>
      </c>
      <c r="H530" s="10">
        <f>IFERROR(__xludf.DUMMYFUNCTION("""COMPUTED_VALUE"""),0.5)</f>
      </c>
      <c r="I530" s="11">
        <f>IFERROR(__xludf.DUMMYFUNCTION("""COMPUTED_VALUE"""),458.01)</f>
      </c>
      <c r="J530" s="10">
        <f>IFERROR(__xludf.DUMMYFUNCTION("""COMPUTED_VALUE"""),0.6408)</f>
      </c>
      <c r="K530" s="11">
        <f>IFERROR(__xludf.DUMMYFUNCTION("""COMPUTED_VALUE"""),429.54)</f>
      </c>
      <c r="L530" s="10">
        <f>IFERROR(__xludf.DUMMYFUNCTION("""COMPUTED_VALUE"""),0.6205)</f>
      </c>
      <c r="M530" s="11">
        <f>IFERROR(__xludf.DUMMYFUNCTION("""COMPUTED_VALUE"""),467.94)</f>
      </c>
      <c r="N530" s="10">
        <f>IFERROR(__xludf.DUMMYFUNCTION("""COMPUTED_VALUE"""),0.5179)</f>
      </c>
      <c r="O530" s="11">
        <f>IFERROR(__xludf.DUMMYFUNCTION("""COMPUTED_VALUE"""),444.75)</f>
      </c>
      <c r="P530" s="12"/>
      <c r="Q530" s="12"/>
      <c r="R530" s="15"/>
      <c r="S530" s="12"/>
      <c r="T530" s="12"/>
      <c r="U530" s="12"/>
      <c r="V530" s="12"/>
      <c r="W530" s="12"/>
      <c r="X530" s="12"/>
      <c r="Y530" s="12"/>
      <c r="Z530" s="12"/>
    </row>
    <row x14ac:dyDescent="0.25" r="531" customHeight="1" ht="15.75">
      <c r="A531" s="8">
        <f>IFERROR(__xludf.DUMMYFUNCTION("""COMPUTED_VALUE"""),25816.0)</f>
      </c>
      <c r="B531" s="9">
        <f>IFERROR(__xludf.DUMMYFUNCTION("""COMPUTED_VALUE"""),"METROPOLITANA V")</f>
      </c>
      <c r="C531" s="9">
        <f>IFERROR(__xludf.DUMMYFUNCTION("""COMPUTED_VALUE"""),"CE CIRCULO OPERARIO")</f>
      </c>
      <c r="D531" s="10">
        <f>IFERROR(__xludf.DUMMYFUNCTION("""COMPUTED_VALUE"""),0.7135)</f>
      </c>
      <c r="E531" s="11">
        <f>IFERROR(__xludf.DUMMYFUNCTION("""COMPUTED_VALUE"""),384.32)</f>
      </c>
      <c r="F531" s="10">
        <f>IFERROR(__xludf.DUMMYFUNCTION("""COMPUTED_VALUE"""),0.6467)</f>
      </c>
      <c r="G531" s="11">
        <f>IFERROR(__xludf.DUMMYFUNCTION("""COMPUTED_VALUE"""),438.34)</f>
      </c>
      <c r="H531" s="10">
        <f>IFERROR(__xludf.DUMMYFUNCTION("""COMPUTED_VALUE"""),0.6292)</f>
      </c>
      <c r="I531" s="11">
        <f>IFERROR(__xludf.DUMMYFUNCTION("""COMPUTED_VALUE"""),461.36)</f>
      </c>
      <c r="J531" s="10">
        <f>IFERROR(__xludf.DUMMYFUNCTION("""COMPUTED_VALUE"""),0.5079)</f>
      </c>
      <c r="K531" s="11">
        <f>IFERROR(__xludf.DUMMYFUNCTION("""COMPUTED_VALUE"""),430.91)</f>
      </c>
      <c r="L531" s="10">
        <f>IFERROR(__xludf.DUMMYFUNCTION("""COMPUTED_VALUE"""),0.4815)</f>
      </c>
      <c r="M531" s="11">
        <f>IFERROR(__xludf.DUMMYFUNCTION("""COMPUTED_VALUE"""),439.71)</f>
      </c>
      <c r="N531" s="10">
        <f>IFERROR(__xludf.DUMMYFUNCTION("""COMPUTED_VALUE"""),0.4745)</f>
      </c>
      <c r="O531" s="11">
        <f>IFERROR(__xludf.DUMMYFUNCTION("""COMPUTED_VALUE"""),471.76)</f>
      </c>
      <c r="P531" s="12"/>
      <c r="Q531" s="12"/>
      <c r="R531" s="15"/>
      <c r="S531" s="12"/>
      <c r="T531" s="12"/>
      <c r="U531" s="12"/>
      <c r="V531" s="12"/>
      <c r="W531" s="12"/>
      <c r="X531" s="12"/>
      <c r="Y531" s="12"/>
      <c r="Z531" s="12"/>
    </row>
    <row x14ac:dyDescent="0.25" r="532" customHeight="1" ht="15.75">
      <c r="A532" s="8">
        <f>IFERROR(__xludf.DUMMYFUNCTION("""COMPUTED_VALUE"""),25817.0)</f>
      </c>
      <c r="B532" s="9">
        <f>IFERROR(__xludf.DUMMYFUNCTION("""COMPUTED_VALUE"""),"METROPOLITANA V")</f>
      </c>
      <c r="C532" s="9">
        <f>IFERROR(__xludf.DUMMYFUNCTION("""COMPUTED_VALUE"""),"CE DOUTOR ALFREDO BACKER")</f>
      </c>
      <c r="D532" s="10">
        <f>IFERROR(__xludf.DUMMYFUNCTION("""COMPUTED_VALUE"""),0.8904)</f>
      </c>
      <c r="E532" s="11">
        <f>IFERROR(__xludf.DUMMYFUNCTION("""COMPUTED_VALUE"""),399.01)</f>
      </c>
      <c r="F532" s="10">
        <f>IFERROR(__xludf.DUMMYFUNCTION("""COMPUTED_VALUE"""),0.7205)</f>
      </c>
      <c r="G532" s="11">
        <f>IFERROR(__xludf.DUMMYFUNCTION("""COMPUTED_VALUE"""),460.84)</f>
      </c>
      <c r="H532" s="10">
        <f>IFERROR(__xludf.DUMMYFUNCTION("""COMPUTED_VALUE"""),0.7205)</f>
      </c>
      <c r="I532" s="11">
        <f>IFERROR(__xludf.DUMMYFUNCTION("""COMPUTED_VALUE"""),520.31)</f>
      </c>
      <c r="J532" s="10">
        <f>IFERROR(__xludf.DUMMYFUNCTION("""COMPUTED_VALUE"""),0.7014)</f>
      </c>
      <c r="K532" s="11">
        <f>IFERROR(__xludf.DUMMYFUNCTION("""COMPUTED_VALUE"""),442.77)</f>
      </c>
      <c r="L532" s="10">
        <f>IFERROR(__xludf.DUMMYFUNCTION("""COMPUTED_VALUE"""),0.7205)</f>
      </c>
      <c r="M532" s="11">
        <f>IFERROR(__xludf.DUMMYFUNCTION("""COMPUTED_VALUE"""),487.88)</f>
      </c>
      <c r="N532" s="10">
        <f>IFERROR(__xludf.DUMMYFUNCTION("""COMPUTED_VALUE"""),0.589)</f>
      </c>
      <c r="O532" s="11">
        <f>IFERROR(__xludf.DUMMYFUNCTION("""COMPUTED_VALUE"""),422.29)</f>
      </c>
      <c r="P532" s="12"/>
      <c r="Q532" s="12"/>
      <c r="R532" s="15"/>
      <c r="S532" s="12"/>
      <c r="T532" s="12"/>
      <c r="U532" s="12"/>
      <c r="V532" s="12"/>
      <c r="W532" s="12"/>
      <c r="X532" s="12"/>
      <c r="Y532" s="12"/>
      <c r="Z532" s="12"/>
    </row>
    <row x14ac:dyDescent="0.25" r="533" customHeight="1" ht="15.75">
      <c r="A533" s="8">
        <f>IFERROR(__xludf.DUMMYFUNCTION("""COMPUTED_VALUE"""),25818.0)</f>
      </c>
      <c r="B533" s="9">
        <f>IFERROR(__xludf.DUMMYFUNCTION("""COMPUTED_VALUE"""),"METROPOLITANA V")</f>
      </c>
      <c r="C533" s="9">
        <f>IFERROR(__xludf.DUMMYFUNCTION("""COMPUTED_VALUE"""),"CE DOUTOR IGNACIO BEZERRA DE MENEZES")</f>
      </c>
      <c r="D533" s="10">
        <f>IFERROR(__xludf.DUMMYFUNCTION("""COMPUTED_VALUE"""),0.7809)</f>
      </c>
      <c r="E533" s="11">
        <f>IFERROR(__xludf.DUMMYFUNCTION("""COMPUTED_VALUE"""),170.43)</f>
      </c>
      <c r="F533" s="10">
        <f>IFERROR(__xludf.DUMMYFUNCTION("""COMPUTED_VALUE"""),0.6067)</f>
      </c>
      <c r="G533" s="11">
        <f>IFERROR(__xludf.DUMMYFUNCTION("""COMPUTED_VALUE"""),334.23)</f>
      </c>
      <c r="H533" s="10">
        <f>IFERROR(__xludf.DUMMYFUNCTION("""COMPUTED_VALUE"""),0.6067)</f>
      </c>
      <c r="I533" s="11">
        <f>IFERROR(__xludf.DUMMYFUNCTION("""COMPUTED_VALUE"""),354.34)</f>
      </c>
      <c r="J533" s="10">
        <f>IFERROR(__xludf.DUMMYFUNCTION("""COMPUTED_VALUE"""),0.5787)</f>
      </c>
      <c r="K533" s="11">
        <f>IFERROR(__xludf.DUMMYFUNCTION("""COMPUTED_VALUE"""),330.51)</f>
      </c>
      <c r="L533" s="10">
        <f>IFERROR(__xludf.DUMMYFUNCTION("""COMPUTED_VALUE"""),0.6124)</f>
      </c>
      <c r="M533" s="11">
        <f>IFERROR(__xludf.DUMMYFUNCTION("""COMPUTED_VALUE"""),406.3)</f>
      </c>
      <c r="N533" s="10">
        <f>IFERROR(__xludf.DUMMYFUNCTION("""COMPUTED_VALUE"""),0.3596)</f>
      </c>
      <c r="O533" s="11">
        <f>IFERROR(__xludf.DUMMYFUNCTION("""COMPUTED_VALUE"""),382.95)</f>
      </c>
      <c r="P533" s="12"/>
      <c r="Q533" s="12"/>
      <c r="R533" s="15"/>
      <c r="S533" s="12"/>
      <c r="T533" s="12"/>
      <c r="U533" s="12"/>
      <c r="V533" s="12"/>
      <c r="W533" s="12"/>
      <c r="X533" s="12"/>
      <c r="Y533" s="12"/>
      <c r="Z533" s="12"/>
    </row>
    <row x14ac:dyDescent="0.25" r="534" customHeight="1" ht="15.75">
      <c r="A534" s="8">
        <f>IFERROR(__xludf.DUMMYFUNCTION("""COMPUTED_VALUE"""),25819.0)</f>
      </c>
      <c r="B534" s="9">
        <f>IFERROR(__xludf.DUMMYFUNCTION("""COMPUTED_VALUE"""),"METROPOLITANA V")</f>
      </c>
      <c r="C534" s="9">
        <f>IFERROR(__xludf.DUMMYFUNCTION("""COMPUTED_VALUE"""),"CE DULCE PETRI")</f>
      </c>
      <c r="D534" s="10">
        <f>IFERROR(__xludf.DUMMYFUNCTION("""COMPUTED_VALUE"""),0.8265)</f>
      </c>
      <c r="E534" s="11">
        <f>IFERROR(__xludf.DUMMYFUNCTION("""COMPUTED_VALUE"""),262.5)</f>
      </c>
      <c r="F534" s="10">
        <f>IFERROR(__xludf.DUMMYFUNCTION("""COMPUTED_VALUE"""),0.8571)</f>
      </c>
      <c r="G534" s="11">
        <f>IFERROR(__xludf.DUMMYFUNCTION("""COMPUTED_VALUE"""),404.39)</f>
      </c>
      <c r="H534" s="10">
        <f>IFERROR(__xludf.DUMMYFUNCTION("""COMPUTED_VALUE"""),0.7551)</f>
      </c>
      <c r="I534" s="11">
        <f>IFERROR(__xludf.DUMMYFUNCTION("""COMPUTED_VALUE"""),396.22)</f>
      </c>
      <c r="J534" s="10">
        <f>IFERROR(__xludf.DUMMYFUNCTION("""COMPUTED_VALUE"""),0.6531)</f>
      </c>
      <c r="K534" s="11">
        <f>IFERROR(__xludf.DUMMYFUNCTION("""COMPUTED_VALUE"""),265.33)</f>
      </c>
      <c r="L534" s="10">
        <f>IFERROR(__xludf.DUMMYFUNCTION("""COMPUTED_VALUE"""),0.5714)</f>
      </c>
      <c r="M534" s="11">
        <f>IFERROR(__xludf.DUMMYFUNCTION("""COMPUTED_VALUE"""),518.57)</f>
      </c>
      <c r="N534" s="10">
        <f>IFERROR(__xludf.DUMMYFUNCTION("""COMPUTED_VALUE"""),0.602)</f>
      </c>
      <c r="O534" s="11">
        <f>IFERROR(__xludf.DUMMYFUNCTION("""COMPUTED_VALUE"""),534.24)</f>
      </c>
      <c r="P534" s="12"/>
      <c r="Q534" s="12"/>
      <c r="R534" s="15"/>
      <c r="S534" s="12"/>
      <c r="T534" s="12"/>
      <c r="U534" s="12"/>
      <c r="V534" s="12"/>
      <c r="W534" s="12"/>
      <c r="X534" s="12"/>
      <c r="Y534" s="12"/>
      <c r="Z534" s="12"/>
    </row>
    <row x14ac:dyDescent="0.25" r="535" customHeight="1" ht="15.75">
      <c r="A535" s="8">
        <f>IFERROR(__xludf.DUMMYFUNCTION("""COMPUTED_VALUE"""),25820.0)</f>
      </c>
      <c r="B535" s="9">
        <f>IFERROR(__xludf.DUMMYFUNCTION("""COMPUTED_VALUE"""),"METROPOLITANA V")</f>
      </c>
      <c r="C535" s="9">
        <f>IFERROR(__xludf.DUMMYFUNCTION("""COMPUTED_VALUE"""),"CE DUQUE DE CAXIAS")</f>
      </c>
      <c r="D535" s="10">
        <f>IFERROR(__xludf.DUMMYFUNCTION("""COMPUTED_VALUE"""),0.7735)</f>
      </c>
      <c r="E535" s="11">
        <f>IFERROR(__xludf.DUMMYFUNCTION("""COMPUTED_VALUE"""),247.3)</f>
      </c>
      <c r="F535" s="10">
        <f>IFERROR(__xludf.DUMMYFUNCTION("""COMPUTED_VALUE"""),0.7535)</f>
      </c>
      <c r="G535" s="11">
        <f>IFERROR(__xludf.DUMMYFUNCTION("""COMPUTED_VALUE"""),366.99)</f>
      </c>
      <c r="H535" s="10">
        <f>IFERROR(__xludf.DUMMYFUNCTION("""COMPUTED_VALUE"""),0.7675)</f>
      </c>
      <c r="I535" s="11">
        <f>IFERROR(__xludf.DUMMYFUNCTION("""COMPUTED_VALUE"""),394.63)</f>
      </c>
      <c r="J535" s="10">
        <f>IFERROR(__xludf.DUMMYFUNCTION("""COMPUTED_VALUE"""),0.7435)</f>
      </c>
      <c r="K535" s="11">
        <f>IFERROR(__xludf.DUMMYFUNCTION("""COMPUTED_VALUE"""),316.14)</f>
      </c>
      <c r="L535" s="10">
        <f>IFERROR(__xludf.DUMMYFUNCTION("""COMPUTED_VALUE"""),0.7234)</f>
      </c>
      <c r="M535" s="11">
        <f>IFERROR(__xludf.DUMMYFUNCTION("""COMPUTED_VALUE"""),438.88)</f>
      </c>
      <c r="N535" s="10">
        <f>IFERROR(__xludf.DUMMYFUNCTION("""COMPUTED_VALUE"""),0.6613)</f>
      </c>
      <c r="O535" s="11">
        <f>IFERROR(__xludf.DUMMYFUNCTION("""COMPUTED_VALUE"""),335.12)</f>
      </c>
      <c r="P535" s="12"/>
      <c r="Q535" s="12"/>
      <c r="R535" s="15"/>
      <c r="S535" s="12"/>
      <c r="T535" s="12"/>
      <c r="U535" s="12"/>
      <c r="V535" s="12"/>
      <c r="W535" s="12"/>
      <c r="X535" s="12"/>
      <c r="Y535" s="12"/>
      <c r="Z535" s="12"/>
    </row>
    <row x14ac:dyDescent="0.25" r="536" customHeight="1" ht="15.75">
      <c r="A536" s="8">
        <f>IFERROR(__xludf.DUMMYFUNCTION("""COMPUTED_VALUE"""),25821.0)</f>
      </c>
      <c r="B536" s="9">
        <f>IFERROR(__xludf.DUMMYFUNCTION("""COMPUTED_VALUE"""),"METROPOLITANA V")</f>
      </c>
      <c r="C536" s="9">
        <f>IFERROR(__xludf.DUMMYFUNCTION("""COMPUTED_VALUE"""),"CE EMBAIXADOR RAUL FERNANDES")</f>
      </c>
      <c r="D536" s="10">
        <f>IFERROR(__xludf.DUMMYFUNCTION("""COMPUTED_VALUE"""),0.7987)</f>
      </c>
      <c r="E536" s="11">
        <f>IFERROR(__xludf.DUMMYFUNCTION("""COMPUTED_VALUE"""),275.2)</f>
      </c>
      <c r="F536" s="10">
        <f>IFERROR(__xludf.DUMMYFUNCTION("""COMPUTED_VALUE"""),0.4161)</f>
      </c>
      <c r="G536" s="11">
        <f>IFERROR(__xludf.DUMMYFUNCTION("""COMPUTED_VALUE"""),421.64)</f>
      </c>
      <c r="H536" s="10">
        <f>IFERROR(__xludf.DUMMYFUNCTION("""COMPUTED_VALUE"""),0.6309)</f>
      </c>
      <c r="I536" s="11">
        <f>IFERROR(__xludf.DUMMYFUNCTION("""COMPUTED_VALUE"""),436.96)</f>
      </c>
      <c r="J536" s="10">
        <f>IFERROR(__xludf.DUMMYFUNCTION("""COMPUTED_VALUE"""),0.7181)</f>
      </c>
      <c r="K536" s="11">
        <f>IFERROR(__xludf.DUMMYFUNCTION("""COMPUTED_VALUE"""),301.89)</f>
      </c>
      <c r="L536" s="10">
        <f>IFERROR(__xludf.DUMMYFUNCTION("""COMPUTED_VALUE"""),0.6242)</f>
      </c>
      <c r="M536" s="11">
        <f>IFERROR(__xludf.DUMMYFUNCTION("""COMPUTED_VALUE"""),486.52)</f>
      </c>
      <c r="N536" s="10">
        <f>IFERROR(__xludf.DUMMYFUNCTION("""COMPUTED_VALUE"""),0.698)</f>
      </c>
      <c r="O536" s="11">
        <f>IFERROR(__xludf.DUMMYFUNCTION("""COMPUTED_VALUE"""),530.0)</f>
      </c>
      <c r="P536" s="12"/>
      <c r="Q536" s="12"/>
      <c r="R536" s="15"/>
      <c r="S536" s="12"/>
      <c r="T536" s="12"/>
      <c r="U536" s="12"/>
      <c r="V536" s="12"/>
      <c r="W536" s="12"/>
      <c r="X536" s="12"/>
      <c r="Y536" s="12"/>
      <c r="Z536" s="12"/>
    </row>
    <row x14ac:dyDescent="0.25" r="537" customHeight="1" ht="15.75">
      <c r="A537" s="8">
        <f>IFERROR(__xludf.DUMMYFUNCTION("""COMPUTED_VALUE"""),25822.0)</f>
      </c>
      <c r="B537" s="9">
        <f>IFERROR(__xludf.DUMMYFUNCTION("""COMPUTED_VALUE"""),"METROPOLITANA V")</f>
      </c>
      <c r="C537" s="9">
        <f>IFERROR(__xludf.DUMMYFUNCTION("""COMPUTED_VALUE"""),"CE EUCLIDES DA CUNHA")</f>
      </c>
      <c r="D537" s="10">
        <f>IFERROR(__xludf.DUMMYFUNCTION("""COMPUTED_VALUE"""),0.4348)</f>
      </c>
      <c r="E537" s="11">
        <f>IFERROR(__xludf.DUMMYFUNCTION("""COMPUTED_VALUE"""),106.67)</f>
      </c>
      <c r="F537" s="10">
        <f>IFERROR(__xludf.DUMMYFUNCTION("""COMPUTED_VALUE"""),0.4348)</f>
      </c>
      <c r="G537" s="11">
        <f>IFERROR(__xludf.DUMMYFUNCTION("""COMPUTED_VALUE"""),488.0)</f>
      </c>
      <c r="H537" s="10">
        <f>IFERROR(__xludf.DUMMYFUNCTION("""COMPUTED_VALUE"""),0.1897)</f>
      </c>
      <c r="I537" s="11">
        <f>IFERROR(__xludf.DUMMYFUNCTION("""COMPUTED_VALUE"""),141.82)</f>
      </c>
      <c r="J537" s="10">
        <f>IFERROR(__xludf.DUMMYFUNCTION("""COMPUTED_VALUE"""),"----")</f>
      </c>
      <c r="K537" s="11">
        <f>IFERROR(__xludf.DUMMYFUNCTION("""COMPUTED_VALUE"""),"----")</f>
      </c>
      <c r="L537" s="10">
        <f>IFERROR(__xludf.DUMMYFUNCTION("""COMPUTED_VALUE"""),0.2586)</f>
      </c>
      <c r="M537" s="11">
        <f>IFERROR(__xludf.DUMMYFUNCTION("""COMPUTED_VALUE"""),297.14)</f>
      </c>
      <c r="N537" s="10">
        <f>IFERROR(__xludf.DUMMYFUNCTION("""COMPUTED_VALUE"""),0.0)</f>
      </c>
      <c r="O537" s="11">
        <f>IFERROR(__xludf.DUMMYFUNCTION("""COMPUTED_VALUE"""),"----")</f>
      </c>
      <c r="P537" s="12"/>
      <c r="Q537" s="12"/>
      <c r="R537" s="15"/>
      <c r="S537" s="12"/>
      <c r="T537" s="12"/>
      <c r="U537" s="12"/>
      <c r="V537" s="12"/>
      <c r="W537" s="12"/>
      <c r="X537" s="12"/>
      <c r="Y537" s="12"/>
      <c r="Z537" s="12"/>
    </row>
    <row x14ac:dyDescent="0.25" r="538" customHeight="1" ht="15.75">
      <c r="A538" s="8">
        <f>IFERROR(__xludf.DUMMYFUNCTION("""COMPUTED_VALUE"""),25823.0)</f>
      </c>
      <c r="B538" s="9">
        <f>IFERROR(__xludf.DUMMYFUNCTION("""COMPUTED_VALUE"""),"METROPOLITANA V")</f>
      </c>
      <c r="C538" s="9">
        <f>IFERROR(__xludf.DUMMYFUNCTION("""COMPUTED_VALUE"""),"CE EVANGELINA PORTO DA MOTTA")</f>
      </c>
      <c r="D538" s="10">
        <f>IFERROR(__xludf.DUMMYFUNCTION("""COMPUTED_VALUE"""),0.735)</f>
      </c>
      <c r="E538" s="11">
        <f>IFERROR(__xludf.DUMMYFUNCTION("""COMPUTED_VALUE"""),192.44)</f>
      </c>
      <c r="F538" s="10">
        <f>IFERROR(__xludf.DUMMYFUNCTION("""COMPUTED_VALUE"""),0.6325)</f>
      </c>
      <c r="G538" s="11">
        <f>IFERROR(__xludf.DUMMYFUNCTION("""COMPUTED_VALUE"""),394.01)</f>
      </c>
      <c r="H538" s="10">
        <f>IFERROR(__xludf.DUMMYFUNCTION("""COMPUTED_VALUE"""),0.7137)</f>
      </c>
      <c r="I538" s="11">
        <f>IFERROR(__xludf.DUMMYFUNCTION("""COMPUTED_VALUE"""),372.52)</f>
      </c>
      <c r="J538" s="10">
        <f>IFERROR(__xludf.DUMMYFUNCTION("""COMPUTED_VALUE"""),0.6795)</f>
      </c>
      <c r="K538" s="11">
        <f>IFERROR(__xludf.DUMMYFUNCTION("""COMPUTED_VALUE"""),288.07)</f>
      </c>
      <c r="L538" s="10">
        <f>IFERROR(__xludf.DUMMYFUNCTION("""COMPUTED_VALUE"""),0.5256)</f>
      </c>
      <c r="M538" s="11">
        <f>IFERROR(__xludf.DUMMYFUNCTION("""COMPUTED_VALUE"""),432.4)</f>
      </c>
      <c r="N538" s="10">
        <f>IFERROR(__xludf.DUMMYFUNCTION("""COMPUTED_VALUE"""),0.3462)</f>
      </c>
      <c r="O538" s="11">
        <f>IFERROR(__xludf.DUMMYFUNCTION("""COMPUTED_VALUE"""),407.0)</f>
      </c>
      <c r="P538" s="12"/>
      <c r="Q538" s="12"/>
      <c r="R538" s="15"/>
      <c r="S538" s="12"/>
      <c r="T538" s="12"/>
      <c r="U538" s="12"/>
      <c r="V538" s="12"/>
      <c r="W538" s="12"/>
      <c r="X538" s="12"/>
      <c r="Y538" s="12"/>
      <c r="Z538" s="12"/>
    </row>
    <row x14ac:dyDescent="0.25" r="539" customHeight="1" ht="15.75">
      <c r="A539" s="8">
        <f>IFERROR(__xludf.DUMMYFUNCTION("""COMPUTED_VALUE"""),25824.0)</f>
      </c>
      <c r="B539" s="9">
        <f>IFERROR(__xludf.DUMMYFUNCTION("""COMPUTED_VALUE"""),"METROPOLITANA V")</f>
      </c>
      <c r="C539" s="9">
        <f>IFERROR(__xludf.DUMMYFUNCTION("""COMPUTED_VALUE"""),"CE FERNANDO FIGUEIREDO")</f>
      </c>
      <c r="D539" s="10">
        <f>IFERROR(__xludf.DUMMYFUNCTION("""COMPUTED_VALUE"""),0.7131)</f>
      </c>
      <c r="E539" s="11">
        <f>IFERROR(__xludf.DUMMYFUNCTION("""COMPUTED_VALUE"""),172.3)</f>
      </c>
      <c r="F539" s="10">
        <f>IFERROR(__xludf.DUMMYFUNCTION("""COMPUTED_VALUE"""),0.5576)</f>
      </c>
      <c r="G539" s="11">
        <f>IFERROR(__xludf.DUMMYFUNCTION("""COMPUTED_VALUE"""),321.36)</f>
      </c>
      <c r="H539" s="10">
        <f>IFERROR(__xludf.DUMMYFUNCTION("""COMPUTED_VALUE"""),0.5859)</f>
      </c>
      <c r="I539" s="11">
        <f>IFERROR(__xludf.DUMMYFUNCTION("""COMPUTED_VALUE"""),401.83)</f>
      </c>
      <c r="J539" s="10">
        <f>IFERROR(__xludf.DUMMYFUNCTION("""COMPUTED_VALUE"""),0.5313)</f>
      </c>
      <c r="K539" s="11">
        <f>IFERROR(__xludf.DUMMYFUNCTION("""COMPUTED_VALUE"""),234.29)</f>
      </c>
      <c r="L539" s="10">
        <f>IFERROR(__xludf.DUMMYFUNCTION("""COMPUTED_VALUE"""),0.5071)</f>
      </c>
      <c r="M539" s="11">
        <f>IFERROR(__xludf.DUMMYFUNCTION("""COMPUTED_VALUE"""),430.89)</f>
      </c>
      <c r="N539" s="10">
        <f>IFERROR(__xludf.DUMMYFUNCTION("""COMPUTED_VALUE"""),0.4828)</f>
      </c>
      <c r="O539" s="11">
        <f>IFERROR(__xludf.DUMMYFUNCTION("""COMPUTED_VALUE"""),408.73)</f>
      </c>
      <c r="P539" s="12"/>
      <c r="Q539" s="12"/>
      <c r="R539" s="15"/>
      <c r="S539" s="12"/>
      <c r="T539" s="12"/>
      <c r="U539" s="12"/>
      <c r="V539" s="12"/>
      <c r="W539" s="12"/>
      <c r="X539" s="12"/>
      <c r="Y539" s="12"/>
      <c r="Z539" s="12"/>
    </row>
    <row x14ac:dyDescent="0.25" r="540" customHeight="1" ht="15.75">
      <c r="A540" s="8">
        <f>IFERROR(__xludf.DUMMYFUNCTION("""COMPUTED_VALUE"""),25825.0)</f>
      </c>
      <c r="B540" s="9">
        <f>IFERROR(__xludf.DUMMYFUNCTION("""COMPUTED_VALUE"""),"METROPOLITANA V")</f>
      </c>
      <c r="C540" s="9">
        <f>IFERROR(__xludf.DUMMYFUNCTION("""COMPUTED_VALUE"""),"CE FIDELIS MEDEIROS")</f>
      </c>
      <c r="D540" s="10">
        <f>IFERROR(__xludf.DUMMYFUNCTION("""COMPUTED_VALUE"""),0.7524)</f>
      </c>
      <c r="E540" s="11">
        <f>IFERROR(__xludf.DUMMYFUNCTION("""COMPUTED_VALUE"""),238.46)</f>
      </c>
      <c r="F540" s="10">
        <f>IFERROR(__xludf.DUMMYFUNCTION("""COMPUTED_VALUE"""),0.5048)</f>
      </c>
      <c r="G540" s="11">
        <f>IFERROR(__xludf.DUMMYFUNCTION("""COMPUTED_VALUE"""),365.49)</f>
      </c>
      <c r="H540" s="10">
        <f>IFERROR(__xludf.DUMMYFUNCTION("""COMPUTED_VALUE"""),0.1524)</f>
      </c>
      <c r="I540" s="11">
        <f>IFERROR(__xludf.DUMMYFUNCTION("""COMPUTED_VALUE"""),372.5)</f>
      </c>
      <c r="J540" s="10">
        <f>IFERROR(__xludf.DUMMYFUNCTION("""COMPUTED_VALUE"""),0.6095)</f>
      </c>
      <c r="K540" s="11">
        <f>IFERROR(__xludf.DUMMYFUNCTION("""COMPUTED_VALUE"""),473.9)</f>
      </c>
      <c r="L540" s="10">
        <f>IFERROR(__xludf.DUMMYFUNCTION("""COMPUTED_VALUE"""),0.6571)</f>
      </c>
      <c r="M540" s="11">
        <f>IFERROR(__xludf.DUMMYFUNCTION("""COMPUTED_VALUE"""),401.79)</f>
      </c>
      <c r="N540" s="10">
        <f>IFERROR(__xludf.DUMMYFUNCTION("""COMPUTED_VALUE"""),0.0)</f>
      </c>
      <c r="O540" s="11">
        <f>IFERROR(__xludf.DUMMYFUNCTION("""COMPUTED_VALUE"""),"----")</f>
      </c>
      <c r="P540" s="12"/>
      <c r="Q540" s="12"/>
      <c r="R540" s="15"/>
      <c r="S540" s="12"/>
      <c r="T540" s="12"/>
      <c r="U540" s="12"/>
      <c r="V540" s="12"/>
      <c r="W540" s="12"/>
      <c r="X540" s="12"/>
      <c r="Y540" s="12"/>
      <c r="Z540" s="12"/>
    </row>
    <row x14ac:dyDescent="0.25" r="541" customHeight="1" ht="15.75">
      <c r="A541" s="8">
        <f>IFERROR(__xludf.DUMMYFUNCTION("""COMPUTED_VALUE"""),25826.0)</f>
      </c>
      <c r="B541" s="9">
        <f>IFERROR(__xludf.DUMMYFUNCTION("""COMPUTED_VALUE"""),"METROPOLITANA V")</f>
      </c>
      <c r="C541" s="9">
        <f>IFERROR(__xludf.DUMMYFUNCTION("""COMPUTED_VALUE"""),"CE FREI HENRIQUE DE COIMBRA")</f>
      </c>
      <c r="D541" s="10">
        <f>IFERROR(__xludf.DUMMYFUNCTION("""COMPUTED_VALUE"""),0.8034)</f>
      </c>
      <c r="E541" s="11">
        <f>IFERROR(__xludf.DUMMYFUNCTION("""COMPUTED_VALUE"""),363.83)</f>
      </c>
      <c r="F541" s="10">
        <f>IFERROR(__xludf.DUMMYFUNCTION("""COMPUTED_VALUE"""),0.7094)</f>
      </c>
      <c r="G541" s="11">
        <f>IFERROR(__xludf.DUMMYFUNCTION("""COMPUTED_VALUE"""),407.5)</f>
      </c>
      <c r="H541" s="10">
        <f>IFERROR(__xludf.DUMMYFUNCTION("""COMPUTED_VALUE"""),0.6838)</f>
      </c>
      <c r="I541" s="11">
        <f>IFERROR(__xludf.DUMMYFUNCTION("""COMPUTED_VALUE"""),427.0)</f>
      </c>
      <c r="J541" s="10">
        <f>IFERROR(__xludf.DUMMYFUNCTION("""COMPUTED_VALUE"""),0.6923)</f>
      </c>
      <c r="K541" s="11">
        <f>IFERROR(__xludf.DUMMYFUNCTION("""COMPUTED_VALUE"""),495.0)</f>
      </c>
      <c r="L541" s="10">
        <f>IFERROR(__xludf.DUMMYFUNCTION("""COMPUTED_VALUE"""),0.7521)</f>
      </c>
      <c r="M541" s="11">
        <f>IFERROR(__xludf.DUMMYFUNCTION("""COMPUTED_VALUE"""),470.0)</f>
      </c>
      <c r="N541" s="10">
        <f>IFERROR(__xludf.DUMMYFUNCTION("""COMPUTED_VALUE"""),0.6581)</f>
      </c>
      <c r="O541" s="11">
        <f>IFERROR(__xludf.DUMMYFUNCTION("""COMPUTED_VALUE"""),415.26)</f>
      </c>
      <c r="P541" s="12"/>
      <c r="Q541" s="12"/>
      <c r="R541" s="15"/>
      <c r="S541" s="12"/>
      <c r="T541" s="12"/>
      <c r="U541" s="12"/>
      <c r="V541" s="12"/>
      <c r="W541" s="12"/>
      <c r="X541" s="12"/>
      <c r="Y541" s="12"/>
      <c r="Z541" s="12"/>
    </row>
    <row x14ac:dyDescent="0.25" r="542" customHeight="1" ht="15.75">
      <c r="A542" s="8">
        <f>IFERROR(__xludf.DUMMYFUNCTION("""COMPUTED_VALUE"""),25827.0)</f>
      </c>
      <c r="B542" s="9">
        <f>IFERROR(__xludf.DUMMYFUNCTION("""COMPUTED_VALUE"""),"METROPOLITANA V")</f>
      </c>
      <c r="C542" s="9">
        <f>IFERROR(__xludf.DUMMYFUNCTION("""COMPUTED_VALUE"""),"CE GETÚLIO VARGAS")</f>
      </c>
      <c r="D542" s="10">
        <f>IFERROR(__xludf.DUMMYFUNCTION("""COMPUTED_VALUE"""),0.8571)</f>
      </c>
      <c r="E542" s="11">
        <f>IFERROR(__xludf.DUMMYFUNCTION("""COMPUTED_VALUE"""),384.93)</f>
      </c>
      <c r="F542" s="10">
        <f>IFERROR(__xludf.DUMMYFUNCTION("""COMPUTED_VALUE"""),0.7029)</f>
      </c>
      <c r="G542" s="11">
        <f>IFERROR(__xludf.DUMMYFUNCTION("""COMPUTED_VALUE"""),469.48)</f>
      </c>
      <c r="H542" s="10">
        <f>IFERROR(__xludf.DUMMYFUNCTION("""COMPUTED_VALUE"""),0.701)</f>
      </c>
      <c r="I542" s="11">
        <f>IFERROR(__xludf.DUMMYFUNCTION("""COMPUTED_VALUE"""),482.35)</f>
      </c>
      <c r="J542" s="10">
        <f>IFERROR(__xludf.DUMMYFUNCTION("""COMPUTED_VALUE"""),0.8364)</f>
      </c>
      <c r="K542" s="11">
        <f>IFERROR(__xludf.DUMMYFUNCTION("""COMPUTED_VALUE"""),455.18)</f>
      </c>
      <c r="L542" s="10">
        <f>IFERROR(__xludf.DUMMYFUNCTION("""COMPUTED_VALUE"""),0.6907)</f>
      </c>
      <c r="M542" s="11">
        <f>IFERROR(__xludf.DUMMYFUNCTION("""COMPUTED_VALUE"""),472.87)</f>
      </c>
      <c r="N542" s="10">
        <f>IFERROR(__xludf.DUMMYFUNCTION("""COMPUTED_VALUE"""),0.634)</f>
      </c>
      <c r="O542" s="11">
        <f>IFERROR(__xludf.DUMMYFUNCTION("""COMPUTED_VALUE"""),465.04)</f>
      </c>
      <c r="P542" s="12"/>
      <c r="Q542" s="12"/>
      <c r="R542" s="15"/>
      <c r="S542" s="12"/>
      <c r="T542" s="12"/>
      <c r="U542" s="12"/>
      <c r="V542" s="12"/>
      <c r="W542" s="12"/>
      <c r="X542" s="12"/>
      <c r="Y542" s="12"/>
      <c r="Z542" s="12"/>
    </row>
    <row x14ac:dyDescent="0.25" r="543" customHeight="1" ht="15.75">
      <c r="A543" s="8">
        <f>IFERROR(__xludf.DUMMYFUNCTION("""COMPUTED_VALUE"""),25828.0)</f>
      </c>
      <c r="B543" s="9">
        <f>IFERROR(__xludf.DUMMYFUNCTION("""COMPUTED_VALUE"""),"METROPOLITANA V")</f>
      </c>
      <c r="C543" s="9">
        <f>IFERROR(__xludf.DUMMYFUNCTION("""COMPUTED_VALUE"""),"CE GUADALAJARA")</f>
      </c>
      <c r="D543" s="10">
        <f>IFERROR(__xludf.DUMMYFUNCTION("""COMPUTED_VALUE"""),0.5484)</f>
      </c>
      <c r="E543" s="11">
        <f>IFERROR(__xludf.DUMMYFUNCTION("""COMPUTED_VALUE"""),179.66)</f>
      </c>
      <c r="F543" s="10">
        <f>IFERROR(__xludf.DUMMYFUNCTION("""COMPUTED_VALUE"""),0.4055)</f>
      </c>
      <c r="G543" s="11">
        <f>IFERROR(__xludf.DUMMYFUNCTION("""COMPUTED_VALUE"""),302.84)</f>
      </c>
      <c r="H543" s="10">
        <f>IFERROR(__xludf.DUMMYFUNCTION("""COMPUTED_VALUE"""),0.3554)</f>
      </c>
      <c r="I543" s="11">
        <f>IFERROR(__xludf.DUMMYFUNCTION("""COMPUTED_VALUE"""),399.61)</f>
      </c>
      <c r="J543" s="10">
        <f>IFERROR(__xludf.DUMMYFUNCTION("""COMPUTED_VALUE"""),0.4416)</f>
      </c>
      <c r="K543" s="11">
        <f>IFERROR(__xludf.DUMMYFUNCTION("""COMPUTED_VALUE"""),303.8)</f>
      </c>
      <c r="L543" s="10">
        <f>IFERROR(__xludf.DUMMYFUNCTION("""COMPUTED_VALUE"""),0.2021)</f>
      </c>
      <c r="M543" s="11">
        <f>IFERROR(__xludf.DUMMYFUNCTION("""COMPUTED_VALUE"""),397.93)</f>
      </c>
      <c r="N543" s="10">
        <f>IFERROR(__xludf.DUMMYFUNCTION("""COMPUTED_VALUE"""),0.2404)</f>
      </c>
      <c r="O543" s="11">
        <f>IFERROR(__xludf.DUMMYFUNCTION("""COMPUTED_VALUE"""),403.91)</f>
      </c>
      <c r="P543" s="12"/>
      <c r="Q543" s="12"/>
      <c r="R543" s="15"/>
      <c r="S543" s="12"/>
      <c r="T543" s="12"/>
      <c r="U543" s="12"/>
      <c r="V543" s="12"/>
      <c r="W543" s="12"/>
      <c r="X543" s="12"/>
      <c r="Y543" s="12"/>
      <c r="Z543" s="12"/>
    </row>
    <row x14ac:dyDescent="0.25" r="544" customHeight="1" ht="15.75">
      <c r="A544" s="8">
        <f>IFERROR(__xludf.DUMMYFUNCTION("""COMPUTED_VALUE"""),25829.0)</f>
      </c>
      <c r="B544" s="9">
        <f>IFERROR(__xludf.DUMMYFUNCTION("""COMPUTED_VALUE"""),"METROPOLITANA V")</f>
      </c>
      <c r="C544" s="9">
        <f>IFERROR(__xludf.DUMMYFUNCTION("""COMPUTED_VALUE"""),"CE HELIO RANGEL")</f>
      </c>
      <c r="D544" s="10">
        <f>IFERROR(__xludf.DUMMYFUNCTION("""COMPUTED_VALUE"""),0.7557)</f>
      </c>
      <c r="E544" s="11">
        <f>IFERROR(__xludf.DUMMYFUNCTION("""COMPUTED_VALUE"""),221.95)</f>
      </c>
      <c r="F544" s="10">
        <f>IFERROR(__xludf.DUMMYFUNCTION("""COMPUTED_VALUE"""),0.6364)</f>
      </c>
      <c r="G544" s="11">
        <f>IFERROR(__xludf.DUMMYFUNCTION("""COMPUTED_VALUE"""),362.45)</f>
      </c>
      <c r="H544" s="10">
        <f>IFERROR(__xludf.DUMMYFUNCTION("""COMPUTED_VALUE"""),0.551)</f>
      </c>
      <c r="I544" s="11">
        <f>IFERROR(__xludf.DUMMYFUNCTION("""COMPUTED_VALUE"""),420.02)</f>
      </c>
      <c r="J544" s="10">
        <f>IFERROR(__xludf.DUMMYFUNCTION("""COMPUTED_VALUE"""),0.7624)</f>
      </c>
      <c r="K544" s="11">
        <f>IFERROR(__xludf.DUMMYFUNCTION("""COMPUTED_VALUE"""),288.64)</f>
      </c>
      <c r="L544" s="10">
        <f>IFERROR(__xludf.DUMMYFUNCTION("""COMPUTED_VALUE"""),0.5959)</f>
      </c>
      <c r="M544" s="11">
        <f>IFERROR(__xludf.DUMMYFUNCTION("""COMPUTED_VALUE"""),401.41)</f>
      </c>
      <c r="N544" s="10">
        <f>IFERROR(__xludf.DUMMYFUNCTION("""COMPUTED_VALUE"""),0.5796)</f>
      </c>
      <c r="O544" s="11">
        <f>IFERROR(__xludf.DUMMYFUNCTION("""COMPUTED_VALUE"""),388.56)</f>
      </c>
      <c r="P544" s="12"/>
      <c r="Q544" s="12"/>
      <c r="R544" s="15"/>
      <c r="S544" s="12"/>
      <c r="T544" s="12"/>
      <c r="U544" s="12"/>
      <c r="V544" s="12"/>
      <c r="W544" s="12"/>
      <c r="X544" s="12"/>
      <c r="Y544" s="12"/>
      <c r="Z544" s="12"/>
    </row>
    <row x14ac:dyDescent="0.25" r="545" customHeight="1" ht="15.75">
      <c r="A545" s="8">
        <f>IFERROR(__xludf.DUMMYFUNCTION("""COMPUTED_VALUE"""),25830.0)</f>
      </c>
      <c r="B545" s="9">
        <f>IFERROR(__xludf.DUMMYFUNCTION("""COMPUTED_VALUE"""),"METROPOLITANA V")</f>
      </c>
      <c r="C545" s="9">
        <f>IFERROR(__xludf.DUMMYFUNCTION("""COMPUTED_VALUE"""),"CE HERBERT MOSES")</f>
      </c>
      <c r="D545" s="10">
        <f>IFERROR(__xludf.DUMMYFUNCTION("""COMPUTED_VALUE"""),0.9557)</f>
      </c>
      <c r="E545" s="11">
        <f>IFERROR(__xludf.DUMMYFUNCTION("""COMPUTED_VALUE"""),230.54)</f>
      </c>
      <c r="F545" s="10">
        <f>IFERROR(__xludf.DUMMYFUNCTION("""COMPUTED_VALUE"""),0.9684)</f>
      </c>
      <c r="G545" s="11">
        <f>IFERROR(__xludf.DUMMYFUNCTION("""COMPUTED_VALUE"""),316.64)</f>
      </c>
      <c r="H545" s="10">
        <f>IFERROR(__xludf.DUMMYFUNCTION("""COMPUTED_VALUE"""),1.0)</f>
      </c>
      <c r="I545" s="11">
        <f>IFERROR(__xludf.DUMMYFUNCTION("""COMPUTED_VALUE"""),378.85)</f>
      </c>
      <c r="J545" s="10">
        <f>IFERROR(__xludf.DUMMYFUNCTION("""COMPUTED_VALUE"""),1.0)</f>
      </c>
      <c r="K545" s="11">
        <f>IFERROR(__xludf.DUMMYFUNCTION("""COMPUTED_VALUE"""),256.62)</f>
      </c>
      <c r="L545" s="10">
        <f>IFERROR(__xludf.DUMMYFUNCTION("""COMPUTED_VALUE"""),0.9937)</f>
      </c>
      <c r="M545" s="11">
        <f>IFERROR(__xludf.DUMMYFUNCTION("""COMPUTED_VALUE"""),293.25)</f>
      </c>
      <c r="N545" s="10">
        <f>IFERROR(__xludf.DUMMYFUNCTION("""COMPUTED_VALUE"""),0.9747)</f>
      </c>
      <c r="O545" s="11">
        <f>IFERROR(__xludf.DUMMYFUNCTION("""COMPUTED_VALUE"""),289.87)</f>
      </c>
      <c r="P545" s="12"/>
      <c r="Q545" s="12"/>
      <c r="R545" s="15"/>
      <c r="S545" s="12"/>
      <c r="T545" s="12"/>
      <c r="U545" s="12"/>
      <c r="V545" s="12"/>
      <c r="W545" s="12"/>
      <c r="X545" s="12"/>
      <c r="Y545" s="12"/>
      <c r="Z545" s="12"/>
    </row>
    <row x14ac:dyDescent="0.25" r="546" customHeight="1" ht="15.75">
      <c r="A546" s="8">
        <f>IFERROR(__xludf.DUMMYFUNCTION("""COMPUTED_VALUE"""),25831.0)</f>
      </c>
      <c r="B546" s="9">
        <f>IFERROR(__xludf.DUMMYFUNCTION("""COMPUTED_VALUE"""),"METROPOLITANA V")</f>
      </c>
      <c r="C546" s="9">
        <f>IFERROR(__xludf.DUMMYFUNCTION("""COMPUTED_VALUE"""),"CE HERVALINA DINIZ PIRES")</f>
      </c>
      <c r="D546" s="10">
        <f>IFERROR(__xludf.DUMMYFUNCTION("""COMPUTED_VALUE"""),0.6866)</f>
      </c>
      <c r="E546" s="11">
        <f>IFERROR(__xludf.DUMMYFUNCTION("""COMPUTED_VALUE"""),101.34)</f>
      </c>
      <c r="F546" s="10">
        <f>IFERROR(__xludf.DUMMYFUNCTION("""COMPUTED_VALUE"""),0.6269)</f>
      </c>
      <c r="G546" s="11">
        <f>IFERROR(__xludf.DUMMYFUNCTION("""COMPUTED_VALUE"""),425.71)</f>
      </c>
      <c r="H546" s="10">
        <f>IFERROR(__xludf.DUMMYFUNCTION("""COMPUTED_VALUE"""),0.5)</f>
      </c>
      <c r="I546" s="11">
        <f>IFERROR(__xludf.DUMMYFUNCTION("""COMPUTED_VALUE"""),435.0)</f>
      </c>
      <c r="J546" s="10">
        <f>IFERROR(__xludf.DUMMYFUNCTION("""COMPUTED_VALUE"""),0.7692)</f>
      </c>
      <c r="K546" s="11">
        <f>IFERROR(__xludf.DUMMYFUNCTION("""COMPUTED_VALUE"""),"----")</f>
      </c>
      <c r="L546" s="10">
        <f>IFERROR(__xludf.DUMMYFUNCTION("""COMPUTED_VALUE"""),0.5)</f>
      </c>
      <c r="M546" s="11">
        <f>IFERROR(__xludf.DUMMYFUNCTION("""COMPUTED_VALUE"""),"----")</f>
      </c>
      <c r="N546" s="10">
        <f>IFERROR(__xludf.DUMMYFUNCTION("""COMPUTED_VALUE"""),0.525)</f>
      </c>
      <c r="O546" s="11">
        <f>IFERROR(__xludf.DUMMYFUNCTION("""COMPUTED_VALUE"""),"----")</f>
      </c>
      <c r="P546" s="12"/>
      <c r="Q546" s="12"/>
      <c r="R546" s="15"/>
      <c r="S546" s="12"/>
      <c r="T546" s="12"/>
      <c r="U546" s="12"/>
      <c r="V546" s="12"/>
      <c r="W546" s="12"/>
      <c r="X546" s="12"/>
      <c r="Y546" s="12"/>
      <c r="Z546" s="12"/>
    </row>
    <row x14ac:dyDescent="0.25" r="547" customHeight="1" ht="15.75">
      <c r="A547" s="8">
        <f>IFERROR(__xludf.DUMMYFUNCTION("""COMPUTED_VALUE"""),25832.0)</f>
      </c>
      <c r="B547" s="9">
        <f>IFERROR(__xludf.DUMMYFUNCTION("""COMPUTED_VALUE"""),"METROPOLITANA V")</f>
      </c>
      <c r="C547" s="9">
        <f>IFERROR(__xludf.DUMMYFUNCTION("""COMPUTED_VALUE"""),"CE IRINEU MARINHO")</f>
      </c>
      <c r="D547" s="10">
        <f>IFERROR(__xludf.DUMMYFUNCTION("""COMPUTED_VALUE"""),0.592)</f>
      </c>
      <c r="E547" s="11">
        <f>IFERROR(__xludf.DUMMYFUNCTION("""COMPUTED_VALUE"""),154.59)</f>
      </c>
      <c r="F547" s="10">
        <f>IFERROR(__xludf.DUMMYFUNCTION("""COMPUTED_VALUE"""),0.648)</f>
      </c>
      <c r="G547" s="11">
        <f>IFERROR(__xludf.DUMMYFUNCTION("""COMPUTED_VALUE"""),247.5)</f>
      </c>
      <c r="H547" s="10">
        <f>IFERROR(__xludf.DUMMYFUNCTION("""COMPUTED_VALUE"""),0.544)</f>
      </c>
      <c r="I547" s="11">
        <f>IFERROR(__xludf.DUMMYFUNCTION("""COMPUTED_VALUE"""),256.72)</f>
      </c>
      <c r="J547" s="10">
        <f>IFERROR(__xludf.DUMMYFUNCTION("""COMPUTED_VALUE"""),0.744)</f>
      </c>
      <c r="K547" s="11">
        <f>IFERROR(__xludf.DUMMYFUNCTION("""COMPUTED_VALUE"""),132.47)</f>
      </c>
      <c r="L547" s="10">
        <f>IFERROR(__xludf.DUMMYFUNCTION("""COMPUTED_VALUE"""),0.576)</f>
      </c>
      <c r="M547" s="11">
        <f>IFERROR(__xludf.DUMMYFUNCTION("""COMPUTED_VALUE"""),252.78)</f>
      </c>
      <c r="N547" s="10">
        <f>IFERROR(__xludf.DUMMYFUNCTION("""COMPUTED_VALUE"""),0.576)</f>
      </c>
      <c r="O547" s="11">
        <f>IFERROR(__xludf.DUMMYFUNCTION("""COMPUTED_VALUE"""),245.56)</f>
      </c>
      <c r="P547" s="12"/>
      <c r="Q547" s="12"/>
      <c r="R547" s="15"/>
      <c r="S547" s="12"/>
      <c r="T547" s="12"/>
      <c r="U547" s="12"/>
      <c r="V547" s="12"/>
      <c r="W547" s="12"/>
      <c r="X547" s="12"/>
      <c r="Y547" s="12"/>
      <c r="Z547" s="12"/>
    </row>
    <row x14ac:dyDescent="0.25" r="548" customHeight="1" ht="15.75">
      <c r="A548" s="8">
        <f>IFERROR(__xludf.DUMMYFUNCTION("""COMPUTED_VALUE"""),25833.0)</f>
      </c>
      <c r="B548" s="9">
        <f>IFERROR(__xludf.DUMMYFUNCTION("""COMPUTED_VALUE"""),"METROPOLITANA V")</f>
      </c>
      <c r="C548" s="9">
        <f>IFERROR(__xludf.DUMMYFUNCTION("""COMPUTED_VALUE"""),"CE LARA VILLELA")</f>
      </c>
      <c r="D548" s="10">
        <f>IFERROR(__xludf.DUMMYFUNCTION("""COMPUTED_VALUE"""),0.5278)</f>
      </c>
      <c r="E548" s="11">
        <f>IFERROR(__xludf.DUMMYFUNCTION("""COMPUTED_VALUE"""),360.0)</f>
      </c>
      <c r="F548" s="10">
        <f>IFERROR(__xludf.DUMMYFUNCTION("""COMPUTED_VALUE"""),0.3889)</f>
      </c>
      <c r="G548" s="11">
        <f>IFERROR(__xludf.DUMMYFUNCTION("""COMPUTED_VALUE"""),365.71)</f>
      </c>
      <c r="H548" s="10">
        <f>IFERROR(__xludf.DUMMYFUNCTION("""COMPUTED_VALUE"""),0.1915)</f>
      </c>
      <c r="I548" s="11">
        <f>IFERROR(__xludf.DUMMYFUNCTION("""COMPUTED_VALUE"""),232.94)</f>
      </c>
      <c r="J548" s="10">
        <f>IFERROR(__xludf.DUMMYFUNCTION("""COMPUTED_VALUE"""),0.6897)</f>
      </c>
      <c r="K548" s="11">
        <f>IFERROR(__xludf.DUMMYFUNCTION("""COMPUTED_VALUE"""),200.0)</f>
      </c>
      <c r="L548" s="10">
        <f>IFERROR(__xludf.DUMMYFUNCTION("""COMPUTED_VALUE"""),0.2553)</f>
      </c>
      <c r="M548" s="11">
        <f>IFERROR(__xludf.DUMMYFUNCTION("""COMPUTED_VALUE"""),330.0)</f>
      </c>
      <c r="N548" s="10">
        <f>IFERROR(__xludf.DUMMYFUNCTION("""COMPUTED_VALUE"""),0.266)</f>
      </c>
      <c r="O548" s="11">
        <f>IFERROR(__xludf.DUMMYFUNCTION("""COMPUTED_VALUE"""),294.4)</f>
      </c>
      <c r="P548" s="12"/>
      <c r="Q548" s="12"/>
      <c r="R548" s="15"/>
      <c r="S548" s="12"/>
      <c r="T548" s="12"/>
      <c r="U548" s="12"/>
      <c r="V548" s="12"/>
      <c r="W548" s="12"/>
      <c r="X548" s="12"/>
      <c r="Y548" s="12"/>
      <c r="Z548" s="12"/>
    </row>
    <row x14ac:dyDescent="0.25" r="549" customHeight="1" ht="15.75">
      <c r="A549" s="8">
        <f>IFERROR(__xludf.DUMMYFUNCTION("""COMPUTED_VALUE"""),25834.0)</f>
      </c>
      <c r="B549" s="9">
        <f>IFERROR(__xludf.DUMMYFUNCTION("""COMPUTED_VALUE"""),"METROPOLITANA V")</f>
      </c>
      <c r="C549" s="9">
        <f>IFERROR(__xludf.DUMMYFUNCTION("""COMPUTED_VALUE"""),"CE LIA MARCIA GONÇALVES PANARO")</f>
      </c>
      <c r="D549" s="10">
        <f>IFERROR(__xludf.DUMMYFUNCTION("""COMPUTED_VALUE"""),0.9461)</f>
      </c>
      <c r="E549" s="11">
        <f>IFERROR(__xludf.DUMMYFUNCTION("""COMPUTED_VALUE"""),237.7)</f>
      </c>
      <c r="F549" s="10">
        <f>IFERROR(__xludf.DUMMYFUNCTION("""COMPUTED_VALUE"""),0.9811)</f>
      </c>
      <c r="G549" s="11">
        <f>IFERROR(__xludf.DUMMYFUNCTION("""COMPUTED_VALUE"""),293.3)</f>
      </c>
      <c r="H549" s="10">
        <f>IFERROR(__xludf.DUMMYFUNCTION("""COMPUTED_VALUE"""),0.7035)</f>
      </c>
      <c r="I549" s="11">
        <f>IFERROR(__xludf.DUMMYFUNCTION("""COMPUTED_VALUE"""),450.66)</f>
      </c>
      <c r="J549" s="10">
        <f>IFERROR(__xludf.DUMMYFUNCTION("""COMPUTED_VALUE"""),0.7008)</f>
      </c>
      <c r="K549" s="11">
        <f>IFERROR(__xludf.DUMMYFUNCTION("""COMPUTED_VALUE"""),327.34)</f>
      </c>
      <c r="L549" s="10">
        <f>IFERROR(__xludf.DUMMYFUNCTION("""COMPUTED_VALUE"""),0.6442)</f>
      </c>
      <c r="M549" s="11">
        <f>IFERROR(__xludf.DUMMYFUNCTION("""COMPUTED_VALUE"""),409.15)</f>
      </c>
      <c r="N549" s="10">
        <f>IFERROR(__xludf.DUMMYFUNCTION("""COMPUTED_VALUE"""),0.6361)</f>
      </c>
      <c r="O549" s="11">
        <f>IFERROR(__xludf.DUMMYFUNCTION("""COMPUTED_VALUE"""),383.32)</f>
      </c>
      <c r="P549" s="12"/>
      <c r="Q549" s="12"/>
      <c r="R549" s="15"/>
      <c r="S549" s="12"/>
      <c r="T549" s="12"/>
      <c r="U549" s="12"/>
      <c r="V549" s="12"/>
      <c r="W549" s="12"/>
      <c r="X549" s="12"/>
      <c r="Y549" s="12"/>
      <c r="Z549" s="12"/>
    </row>
    <row x14ac:dyDescent="0.25" r="550" customHeight="1" ht="15.75">
      <c r="A550" s="8">
        <f>IFERROR(__xludf.DUMMYFUNCTION("""COMPUTED_VALUE"""),25835.0)</f>
      </c>
      <c r="B550" s="9">
        <f>IFERROR(__xludf.DUMMYFUNCTION("""COMPUTED_VALUE"""),"METROPOLITANA V")</f>
      </c>
      <c r="C550" s="9">
        <f>IFERROR(__xludf.DUMMYFUNCTION("""COMPUTED_VALUE"""),"CE MANOEL BANDEIRA")</f>
      </c>
      <c r="D550" s="10">
        <f>IFERROR(__xludf.DUMMYFUNCTION("""COMPUTED_VALUE"""),0.8675)</f>
      </c>
      <c r="E550" s="11">
        <f>IFERROR(__xludf.DUMMYFUNCTION("""COMPUTED_VALUE"""),262.29)</f>
      </c>
      <c r="F550" s="10">
        <f>IFERROR(__xludf.DUMMYFUNCTION("""COMPUTED_VALUE"""),0.759)</f>
      </c>
      <c r="G550" s="11">
        <f>IFERROR(__xludf.DUMMYFUNCTION("""COMPUTED_VALUE"""),475.48)</f>
      </c>
      <c r="H550" s="10">
        <f>IFERROR(__xludf.DUMMYFUNCTION("""COMPUTED_VALUE"""),0.7952)</f>
      </c>
      <c r="I550" s="11">
        <f>IFERROR(__xludf.DUMMYFUNCTION("""COMPUTED_VALUE"""),507.08)</f>
      </c>
      <c r="J550" s="10">
        <f>IFERROR(__xludf.DUMMYFUNCTION("""COMPUTED_VALUE"""),0.7711)</f>
      </c>
      <c r="K550" s="11">
        <f>IFERROR(__xludf.DUMMYFUNCTION("""COMPUTED_VALUE"""),441.97)</f>
      </c>
      <c r="L550" s="10">
        <f>IFERROR(__xludf.DUMMYFUNCTION("""COMPUTED_VALUE"""),0.7831)</f>
      </c>
      <c r="M550" s="11">
        <f>IFERROR(__xludf.DUMMYFUNCTION("""COMPUTED_VALUE"""),474.84)</f>
      </c>
      <c r="N550" s="10">
        <f>IFERROR(__xludf.DUMMYFUNCTION("""COMPUTED_VALUE"""),0.7711)</f>
      </c>
      <c r="O550" s="11">
        <f>IFERROR(__xludf.DUMMYFUNCTION("""COMPUTED_VALUE"""),520.0)</f>
      </c>
      <c r="P550" s="12"/>
      <c r="Q550" s="12"/>
      <c r="R550" s="15"/>
      <c r="S550" s="12"/>
      <c r="T550" s="12"/>
      <c r="U550" s="12"/>
      <c r="V550" s="12"/>
      <c r="W550" s="12"/>
      <c r="X550" s="12"/>
      <c r="Y550" s="12"/>
      <c r="Z550" s="12"/>
    </row>
    <row x14ac:dyDescent="0.25" r="551" customHeight="1" ht="15.75">
      <c r="A551" s="8">
        <f>IFERROR(__xludf.DUMMYFUNCTION("""COMPUTED_VALUE"""),25836.0)</f>
      </c>
      <c r="B551" s="9">
        <f>IFERROR(__xludf.DUMMYFUNCTION("""COMPUTED_VALUE"""),"METROPOLITANA V")</f>
      </c>
      <c r="C551" s="9">
        <f>IFERROR(__xludf.DUMMYFUNCTION("""COMPUTED_VALUE"""),"CE MARECHAL RONDON")</f>
      </c>
      <c r="D551" s="10">
        <f>IFERROR(__xludf.DUMMYFUNCTION("""COMPUTED_VALUE"""),0.6832)</f>
      </c>
      <c r="E551" s="11">
        <f>IFERROR(__xludf.DUMMYFUNCTION("""COMPUTED_VALUE"""),193.13)</f>
      </c>
      <c r="F551" s="10">
        <f>IFERROR(__xludf.DUMMYFUNCTION("""COMPUTED_VALUE"""),0.646)</f>
      </c>
      <c r="G551" s="11">
        <f>IFERROR(__xludf.DUMMYFUNCTION("""COMPUTED_VALUE"""),359.56)</f>
      </c>
      <c r="H551" s="10">
        <f>IFERROR(__xludf.DUMMYFUNCTION("""COMPUTED_VALUE"""),0.4845)</f>
      </c>
      <c r="I551" s="11">
        <f>IFERROR(__xludf.DUMMYFUNCTION("""COMPUTED_VALUE"""),443.24)</f>
      </c>
      <c r="J551" s="10">
        <f>IFERROR(__xludf.DUMMYFUNCTION("""COMPUTED_VALUE"""),0.559)</f>
      </c>
      <c r="K551" s="11">
        <f>IFERROR(__xludf.DUMMYFUNCTION("""COMPUTED_VALUE"""),301.18)</f>
      </c>
      <c r="L551" s="10">
        <f>IFERROR(__xludf.DUMMYFUNCTION("""COMPUTED_VALUE"""),0.5093)</f>
      </c>
      <c r="M551" s="11">
        <f>IFERROR(__xludf.DUMMYFUNCTION("""COMPUTED_VALUE"""),453.51)</f>
      </c>
      <c r="N551" s="10">
        <f>IFERROR(__xludf.DUMMYFUNCTION("""COMPUTED_VALUE"""),0.4907)</f>
      </c>
      <c r="O551" s="11">
        <f>IFERROR(__xludf.DUMMYFUNCTION("""COMPUTED_VALUE"""),436.84)</f>
      </c>
      <c r="P551" s="12"/>
      <c r="Q551" s="12"/>
      <c r="R551" s="15"/>
      <c r="S551" s="12"/>
      <c r="T551" s="12"/>
      <c r="U551" s="12"/>
      <c r="V551" s="12"/>
      <c r="W551" s="12"/>
      <c r="X551" s="12"/>
      <c r="Y551" s="12"/>
      <c r="Z551" s="12"/>
    </row>
    <row x14ac:dyDescent="0.25" r="552" customHeight="1" ht="15.75">
      <c r="A552" s="8">
        <f>IFERROR(__xludf.DUMMYFUNCTION("""COMPUTED_VALUE"""),25837.0)</f>
      </c>
      <c r="B552" s="9">
        <f>IFERROR(__xludf.DUMMYFUNCTION("""COMPUTED_VALUE"""),"METROPOLITANA V")</f>
      </c>
      <c r="C552" s="9">
        <f>IFERROR(__xludf.DUMMYFUNCTION("""COMPUTED_VALUE"""),"CE MIGUEL COUTO")</f>
      </c>
      <c r="D552" s="10">
        <f>IFERROR(__xludf.DUMMYFUNCTION("""COMPUTED_VALUE"""),0.94)</f>
      </c>
      <c r="E552" s="11">
        <f>IFERROR(__xludf.DUMMYFUNCTION("""COMPUTED_VALUE"""),287.83)</f>
      </c>
      <c r="F552" s="10">
        <f>IFERROR(__xludf.DUMMYFUNCTION("""COMPUTED_VALUE"""),0.96)</f>
      </c>
      <c r="G552" s="11">
        <f>IFERROR(__xludf.DUMMYFUNCTION("""COMPUTED_VALUE"""),321.74)</f>
      </c>
      <c r="H552" s="10">
        <f>IFERROR(__xludf.DUMMYFUNCTION("""COMPUTED_VALUE"""),0.99)</f>
      </c>
      <c r="I552" s="11">
        <f>IFERROR(__xludf.DUMMYFUNCTION("""COMPUTED_VALUE"""),275.92)</f>
      </c>
      <c r="J552" s="10">
        <f>IFERROR(__xludf.DUMMYFUNCTION("""COMPUTED_VALUE"""),1.0)</f>
      </c>
      <c r="K552" s="11">
        <f>IFERROR(__xludf.DUMMYFUNCTION("""COMPUTED_VALUE"""),210.0)</f>
      </c>
      <c r="L552" s="10">
        <f>IFERROR(__xludf.DUMMYFUNCTION("""COMPUTED_VALUE"""),1.0)</f>
      </c>
      <c r="M552" s="11">
        <f>IFERROR(__xludf.DUMMYFUNCTION("""COMPUTED_VALUE"""),302.0)</f>
      </c>
      <c r="N552" s="10">
        <f>IFERROR(__xludf.DUMMYFUNCTION("""COMPUTED_VALUE"""),0.9)</f>
      </c>
      <c r="O552" s="11">
        <f>IFERROR(__xludf.DUMMYFUNCTION("""COMPUTED_VALUE"""),353.78)</f>
      </c>
      <c r="P552" s="12"/>
      <c r="Q552" s="12"/>
      <c r="R552" s="15"/>
      <c r="S552" s="12"/>
      <c r="T552" s="12"/>
      <c r="U552" s="12"/>
      <c r="V552" s="12"/>
      <c r="W552" s="12"/>
      <c r="X552" s="12"/>
      <c r="Y552" s="12"/>
      <c r="Z552" s="12"/>
    </row>
    <row x14ac:dyDescent="0.25" r="553" customHeight="1" ht="15.75">
      <c r="A553" s="8">
        <f>IFERROR(__xludf.DUMMYFUNCTION("""COMPUTED_VALUE"""),25838.0)</f>
      </c>
      <c r="B553" s="9">
        <f>IFERROR(__xludf.DUMMYFUNCTION("""COMPUTED_VALUE"""),"METROPOLITANA V")</f>
      </c>
      <c r="C553" s="9">
        <f>IFERROR(__xludf.DUMMYFUNCTION("""COMPUTED_VALUE"""),"CE MINAS GERAIS")</f>
      </c>
      <c r="D553" s="10">
        <f>IFERROR(__xludf.DUMMYFUNCTION("""COMPUTED_VALUE"""),0.6314)</f>
      </c>
      <c r="E553" s="11">
        <f>IFERROR(__xludf.DUMMYFUNCTION("""COMPUTED_VALUE"""),313.29)</f>
      </c>
      <c r="F553" s="10">
        <f>IFERROR(__xludf.DUMMYFUNCTION("""COMPUTED_VALUE"""),0.5466)</f>
      </c>
      <c r="G553" s="11">
        <f>IFERROR(__xludf.DUMMYFUNCTION("""COMPUTED_VALUE"""),343.28)</f>
      </c>
      <c r="H553" s="10">
        <f>IFERROR(__xludf.DUMMYFUNCTION("""COMPUTED_VALUE"""),0.5169)</f>
      </c>
      <c r="I553" s="11">
        <f>IFERROR(__xludf.DUMMYFUNCTION("""COMPUTED_VALUE"""),361.32)</f>
      </c>
      <c r="J553" s="10">
        <f>IFERROR(__xludf.DUMMYFUNCTION("""COMPUTED_VALUE"""),0.6398)</f>
      </c>
      <c r="K553" s="11">
        <f>IFERROR(__xludf.DUMMYFUNCTION("""COMPUTED_VALUE"""),256.06)</f>
      </c>
      <c r="L553" s="10">
        <f>IFERROR(__xludf.DUMMYFUNCTION("""COMPUTED_VALUE"""),0.7034)</f>
      </c>
      <c r="M553" s="11">
        <f>IFERROR(__xludf.DUMMYFUNCTION("""COMPUTED_VALUE"""),367.55)</f>
      </c>
      <c r="N553" s="10">
        <f>IFERROR(__xludf.DUMMYFUNCTION("""COMPUTED_VALUE"""),0.5297)</f>
      </c>
      <c r="O553" s="11">
        <f>IFERROR(__xludf.DUMMYFUNCTION("""COMPUTED_VALUE"""),397.36)</f>
      </c>
      <c r="P553" s="12"/>
      <c r="Q553" s="12"/>
      <c r="R553" s="15"/>
      <c r="S553" s="12"/>
      <c r="T553" s="12"/>
      <c r="U553" s="12"/>
      <c r="V553" s="12"/>
      <c r="W553" s="12"/>
      <c r="X553" s="12"/>
      <c r="Y553" s="12"/>
      <c r="Z553" s="12"/>
    </row>
    <row x14ac:dyDescent="0.25" r="554" customHeight="1" ht="15.75">
      <c r="A554" s="8">
        <f>IFERROR(__xludf.DUMMYFUNCTION("""COMPUTED_VALUE"""),25839.0)</f>
      </c>
      <c r="B554" s="9">
        <f>IFERROR(__xludf.DUMMYFUNCTION("""COMPUTED_VALUE"""),"METROPOLITANA V")</f>
      </c>
      <c r="C554" s="9">
        <f>IFERROR(__xludf.DUMMYFUNCTION("""COMPUTED_VALUE"""),"CE MONTEIRO LOBATO")</f>
      </c>
      <c r="D554" s="10">
        <f>IFERROR(__xludf.DUMMYFUNCTION("""COMPUTED_VALUE"""),0.9578)</f>
      </c>
      <c r="E554" s="11">
        <f>IFERROR(__xludf.DUMMYFUNCTION("""COMPUTED_VALUE"""),300.67)</f>
      </c>
      <c r="F554" s="10">
        <f>IFERROR(__xludf.DUMMYFUNCTION("""COMPUTED_VALUE"""),0.9699)</f>
      </c>
      <c r="G554" s="11">
        <f>IFERROR(__xludf.DUMMYFUNCTION("""COMPUTED_VALUE"""),305.22)</f>
      </c>
      <c r="H554" s="10">
        <f>IFERROR(__xludf.DUMMYFUNCTION("""COMPUTED_VALUE"""),1.0)</f>
      </c>
      <c r="I554" s="11">
        <f>IFERROR(__xludf.DUMMYFUNCTION("""COMPUTED_VALUE"""),340.0)</f>
      </c>
      <c r="J554" s="10">
        <f>IFERROR(__xludf.DUMMYFUNCTION("""COMPUTED_VALUE"""),0.7771)</f>
      </c>
      <c r="K554" s="11">
        <f>IFERROR(__xludf.DUMMYFUNCTION("""COMPUTED_VALUE"""),426.67)</f>
      </c>
      <c r="L554" s="10">
        <f>IFERROR(__xludf.DUMMYFUNCTION("""COMPUTED_VALUE"""),0.6928)</f>
      </c>
      <c r="M554" s="11">
        <f>IFERROR(__xludf.DUMMYFUNCTION("""COMPUTED_VALUE"""),502.46)</f>
      </c>
      <c r="N554" s="10">
        <f>IFERROR(__xludf.DUMMYFUNCTION("""COMPUTED_VALUE"""),0.6988)</f>
      </c>
      <c r="O554" s="11">
        <f>IFERROR(__xludf.DUMMYFUNCTION("""COMPUTED_VALUE"""),537.7)</f>
      </c>
      <c r="P554" s="12"/>
      <c r="Q554" s="12"/>
      <c r="R554" s="15"/>
      <c r="S554" s="12"/>
      <c r="T554" s="12"/>
      <c r="U554" s="12"/>
      <c r="V554" s="12"/>
      <c r="W554" s="12"/>
      <c r="X554" s="12"/>
      <c r="Y554" s="12"/>
      <c r="Z554" s="12"/>
    </row>
    <row x14ac:dyDescent="0.25" r="555" customHeight="1" ht="15.75">
      <c r="A555" s="8">
        <f>IFERROR(__xludf.DUMMYFUNCTION("""COMPUTED_VALUE"""),25840.0)</f>
      </c>
      <c r="B555" s="9">
        <f>IFERROR(__xludf.DUMMYFUNCTION("""COMPUTED_VALUE"""),"METROPOLITANA V")</f>
      </c>
      <c r="C555" s="9">
        <f>IFERROR(__xludf.DUMMYFUNCTION("""COMPUTED_VALUE"""),"CE NOVA AMÉRICA")</f>
      </c>
      <c r="D555" s="10">
        <f>IFERROR(__xludf.DUMMYFUNCTION("""COMPUTED_VALUE"""),0.8255)</f>
      </c>
      <c r="E555" s="11">
        <f>IFERROR(__xludf.DUMMYFUNCTION("""COMPUTED_VALUE"""),246.95)</f>
      </c>
      <c r="F555" s="10">
        <f>IFERROR(__xludf.DUMMYFUNCTION("""COMPUTED_VALUE"""),0.7234)</f>
      </c>
      <c r="G555" s="11">
        <f>IFERROR(__xludf.DUMMYFUNCTION("""COMPUTED_VALUE"""),367.81)</f>
      </c>
      <c r="H555" s="10">
        <f>IFERROR(__xludf.DUMMYFUNCTION("""COMPUTED_VALUE"""),0.5985)</f>
      </c>
      <c r="I555" s="11">
        <f>IFERROR(__xludf.DUMMYFUNCTION("""COMPUTED_VALUE"""),446.84)</f>
      </c>
      <c r="J555" s="10">
        <f>IFERROR(__xludf.DUMMYFUNCTION("""COMPUTED_VALUE"""),0.6553)</f>
      </c>
      <c r="K555" s="11">
        <f>IFERROR(__xludf.DUMMYFUNCTION("""COMPUTED_VALUE"""),381.18)</f>
      </c>
      <c r="L555" s="10">
        <f>IFERROR(__xludf.DUMMYFUNCTION("""COMPUTED_VALUE"""),0.6136)</f>
      </c>
      <c r="M555" s="11">
        <f>IFERROR(__xludf.DUMMYFUNCTION("""COMPUTED_VALUE"""),391.11)</f>
      </c>
      <c r="N555" s="10">
        <f>IFERROR(__xludf.DUMMYFUNCTION("""COMPUTED_VALUE"""),0.572)</f>
      </c>
      <c r="O555" s="11">
        <f>IFERROR(__xludf.DUMMYFUNCTION("""COMPUTED_VALUE"""),407.68)</f>
      </c>
      <c r="P555" s="12"/>
      <c r="Q555" s="12"/>
      <c r="R555" s="15"/>
      <c r="S555" s="12"/>
      <c r="T555" s="12"/>
      <c r="U555" s="12"/>
      <c r="V555" s="12"/>
      <c r="W555" s="12"/>
      <c r="X555" s="12"/>
      <c r="Y555" s="12"/>
      <c r="Z555" s="12"/>
    </row>
    <row x14ac:dyDescent="0.25" r="556" customHeight="1" ht="15.75">
      <c r="A556" s="8">
        <f>IFERROR(__xludf.DUMMYFUNCTION("""COMPUTED_VALUE"""),25841.0)</f>
      </c>
      <c r="B556" s="9">
        <f>IFERROR(__xludf.DUMMYFUNCTION("""COMPUTED_VALUE"""),"METROPOLITANA V")</f>
      </c>
      <c r="C556" s="9">
        <f>IFERROR(__xludf.DUMMYFUNCTION("""COMPUTED_VALUE"""),"CE OPERARIO JOAO VICENTE")</f>
      </c>
      <c r="D556" s="10">
        <f>IFERROR(__xludf.DUMMYFUNCTION("""COMPUTED_VALUE"""),0.8603)</f>
      </c>
      <c r="E556" s="11">
        <f>IFERROR(__xludf.DUMMYFUNCTION("""COMPUTED_VALUE"""),150.61)</f>
      </c>
      <c r="F556" s="10">
        <f>IFERROR(__xludf.DUMMYFUNCTION("""COMPUTED_VALUE"""),0.6691)</f>
      </c>
      <c r="G556" s="11">
        <f>IFERROR(__xludf.DUMMYFUNCTION("""COMPUTED_VALUE"""),337.53)</f>
      </c>
      <c r="H556" s="10">
        <f>IFERROR(__xludf.DUMMYFUNCTION("""COMPUTED_VALUE"""),0.8162)</f>
      </c>
      <c r="I556" s="11">
        <f>IFERROR(__xludf.DUMMYFUNCTION("""COMPUTED_VALUE"""),373.7)</f>
      </c>
      <c r="J556" s="10">
        <f>IFERROR(__xludf.DUMMYFUNCTION("""COMPUTED_VALUE"""),0.6691)</f>
      </c>
      <c r="K556" s="11">
        <f>IFERROR(__xludf.DUMMYFUNCTION("""COMPUTED_VALUE"""),371.43)</f>
      </c>
      <c r="L556" s="10">
        <f>IFERROR(__xludf.DUMMYFUNCTION("""COMPUTED_VALUE"""),0.5074)</f>
      </c>
      <c r="M556" s="11">
        <f>IFERROR(__xludf.DUMMYFUNCTION("""COMPUTED_VALUE"""),320.0)</f>
      </c>
      <c r="N556" s="10">
        <f>IFERROR(__xludf.DUMMYFUNCTION("""COMPUTED_VALUE"""),0.5809)</f>
      </c>
      <c r="O556" s="11">
        <f>IFERROR(__xludf.DUMMYFUNCTION("""COMPUTED_VALUE"""),348.35)</f>
      </c>
      <c r="P556" s="12"/>
      <c r="Q556" s="12"/>
      <c r="R556" s="15"/>
      <c r="S556" s="12"/>
      <c r="T556" s="12"/>
      <c r="U556" s="12"/>
      <c r="V556" s="12"/>
      <c r="W556" s="12"/>
      <c r="X556" s="12"/>
      <c r="Y556" s="12"/>
      <c r="Z556" s="12"/>
    </row>
    <row x14ac:dyDescent="0.25" r="557" customHeight="1" ht="15.75">
      <c r="A557" s="8">
        <f>IFERROR(__xludf.DUMMYFUNCTION("""COMPUTED_VALUE"""),25842.0)</f>
      </c>
      <c r="B557" s="9">
        <f>IFERROR(__xludf.DUMMYFUNCTION("""COMPUTED_VALUE"""),"METROPOLITANA V")</f>
      </c>
      <c r="C557" s="9">
        <f>IFERROR(__xludf.DUMMYFUNCTION("""COMPUTED_VALUE"""),"CE PADRE ANCHIETA")</f>
      </c>
      <c r="D557" s="10">
        <f>IFERROR(__xludf.DUMMYFUNCTION("""COMPUTED_VALUE"""),0.7957)</f>
      </c>
      <c r="E557" s="11">
        <f>IFERROR(__xludf.DUMMYFUNCTION("""COMPUTED_VALUE"""),263.67)</f>
      </c>
      <c r="F557" s="10">
        <f>IFERROR(__xludf.DUMMYFUNCTION("""COMPUTED_VALUE"""),0.6452)</f>
      </c>
      <c r="G557" s="11">
        <f>IFERROR(__xludf.DUMMYFUNCTION("""COMPUTED_VALUE"""),404.37)</f>
      </c>
      <c r="H557" s="10">
        <f>IFERROR(__xludf.DUMMYFUNCTION("""COMPUTED_VALUE"""),0.7339)</f>
      </c>
      <c r="I557" s="11">
        <f>IFERROR(__xludf.DUMMYFUNCTION("""COMPUTED_VALUE"""),420.37)</f>
      </c>
      <c r="J557" s="10">
        <f>IFERROR(__xludf.DUMMYFUNCTION("""COMPUTED_VALUE"""),0.7473)</f>
      </c>
      <c r="K557" s="11">
        <f>IFERROR(__xludf.DUMMYFUNCTION("""COMPUTED_VALUE"""),382.4)</f>
      </c>
      <c r="L557" s="10">
        <f>IFERROR(__xludf.DUMMYFUNCTION("""COMPUTED_VALUE"""),0.6425)</f>
      </c>
      <c r="M557" s="11">
        <f>IFERROR(__xludf.DUMMYFUNCTION("""COMPUTED_VALUE"""),461.68)</f>
      </c>
      <c r="N557" s="10">
        <f>IFERROR(__xludf.DUMMYFUNCTION("""COMPUTED_VALUE"""),0.6505)</f>
      </c>
      <c r="O557" s="11">
        <f>IFERROR(__xludf.DUMMYFUNCTION("""COMPUTED_VALUE"""),436.69)</f>
      </c>
      <c r="P557" s="12"/>
      <c r="Q557" s="12"/>
      <c r="R557" s="15"/>
      <c r="S557" s="12"/>
      <c r="T557" s="12"/>
      <c r="U557" s="12"/>
      <c r="V557" s="12"/>
      <c r="W557" s="12"/>
      <c r="X557" s="12"/>
      <c r="Y557" s="12"/>
      <c r="Z557" s="12"/>
    </row>
    <row x14ac:dyDescent="0.25" r="558" customHeight="1" ht="15.75">
      <c r="A558" s="8">
        <f>IFERROR(__xludf.DUMMYFUNCTION("""COMPUTED_VALUE"""),25843.0)</f>
      </c>
      <c r="B558" s="9">
        <f>IFERROR(__xludf.DUMMYFUNCTION("""COMPUTED_VALUE"""),"METROPOLITANA V")</f>
      </c>
      <c r="C558" s="9">
        <f>IFERROR(__xludf.DUMMYFUNCTION("""COMPUTED_VALUE"""),"CE PARADA ANGÉLICA")</f>
      </c>
      <c r="D558" s="10">
        <f>IFERROR(__xludf.DUMMYFUNCTION("""COMPUTED_VALUE"""),0.7806)</f>
      </c>
      <c r="E558" s="11">
        <f>IFERROR(__xludf.DUMMYFUNCTION("""COMPUTED_VALUE"""),239.01)</f>
      </c>
      <c r="F558" s="10">
        <f>IFERROR(__xludf.DUMMYFUNCTION("""COMPUTED_VALUE"""),0.6786)</f>
      </c>
      <c r="G558" s="11">
        <f>IFERROR(__xludf.DUMMYFUNCTION("""COMPUTED_VALUE"""),388.58)</f>
      </c>
      <c r="H558" s="10">
        <f>IFERROR(__xludf.DUMMYFUNCTION("""COMPUTED_VALUE"""),0.5771)</f>
      </c>
      <c r="I558" s="11">
        <f>IFERROR(__xludf.DUMMYFUNCTION("""COMPUTED_VALUE"""),409.94)</f>
      </c>
      <c r="J558" s="10">
        <f>IFERROR(__xludf.DUMMYFUNCTION("""COMPUTED_VALUE"""),0.7692)</f>
      </c>
      <c r="K558" s="11">
        <f>IFERROR(__xludf.DUMMYFUNCTION("""COMPUTED_VALUE"""),307.58)</f>
      </c>
      <c r="L558" s="10">
        <f>IFERROR(__xludf.DUMMYFUNCTION("""COMPUTED_VALUE"""),0.595)</f>
      </c>
      <c r="M558" s="11">
        <f>IFERROR(__xludf.DUMMYFUNCTION("""COMPUTED_VALUE"""),380.28)</f>
      </c>
      <c r="N558" s="10">
        <f>IFERROR(__xludf.DUMMYFUNCTION("""COMPUTED_VALUE"""),0.5161)</f>
      </c>
      <c r="O558" s="11">
        <f>IFERROR(__xludf.DUMMYFUNCTION("""COMPUTED_VALUE"""),405.56)</f>
      </c>
      <c r="P558" s="12"/>
      <c r="Q558" s="12"/>
      <c r="R558" s="15"/>
      <c r="S558" s="12"/>
      <c r="T558" s="12"/>
      <c r="U558" s="12"/>
      <c r="V558" s="12"/>
      <c r="W558" s="12"/>
      <c r="X558" s="12"/>
      <c r="Y558" s="12"/>
      <c r="Z558" s="12"/>
    </row>
    <row x14ac:dyDescent="0.25" r="559" customHeight="1" ht="15.75">
      <c r="A559" s="8">
        <f>IFERROR(__xludf.DUMMYFUNCTION("""COMPUTED_VALUE"""),25844.0)</f>
      </c>
      <c r="B559" s="9">
        <f>IFERROR(__xludf.DUMMYFUNCTION("""COMPUTED_VALUE"""),"METROPOLITANA V")</f>
      </c>
      <c r="C559" s="9">
        <f>IFERROR(__xludf.DUMMYFUNCTION("""COMPUTED_VALUE"""),"CE PATRONO DUQUE DE CAXIAS")</f>
      </c>
      <c r="D559" s="10">
        <f>IFERROR(__xludf.DUMMYFUNCTION("""COMPUTED_VALUE"""),0.8067)</f>
      </c>
      <c r="E559" s="11">
        <f>IFERROR(__xludf.DUMMYFUNCTION("""COMPUTED_VALUE"""),306.27)</f>
      </c>
      <c r="F559" s="10">
        <f>IFERROR(__xludf.DUMMYFUNCTION("""COMPUTED_VALUE"""),0.8333)</f>
      </c>
      <c r="G559" s="11">
        <f>IFERROR(__xludf.DUMMYFUNCTION("""COMPUTED_VALUE"""),320.86)</f>
      </c>
      <c r="H559" s="10">
        <f>IFERROR(__xludf.DUMMYFUNCTION("""COMPUTED_VALUE"""),0.5198)</f>
      </c>
      <c r="I559" s="11">
        <f>IFERROR(__xludf.DUMMYFUNCTION("""COMPUTED_VALUE"""),427.76)</f>
      </c>
      <c r="J559" s="10">
        <f>IFERROR(__xludf.DUMMYFUNCTION("""COMPUTED_VALUE"""),0.703)</f>
      </c>
      <c r="K559" s="11">
        <f>IFERROR(__xludf.DUMMYFUNCTION("""COMPUTED_VALUE"""),394.37)</f>
      </c>
      <c r="L559" s="10">
        <f>IFERROR(__xludf.DUMMYFUNCTION("""COMPUTED_VALUE"""),0.3929)</f>
      </c>
      <c r="M559" s="11">
        <f>IFERROR(__xludf.DUMMYFUNCTION("""COMPUTED_VALUE"""),400.41)</f>
      </c>
      <c r="N559" s="10">
        <f>IFERROR(__xludf.DUMMYFUNCTION("""COMPUTED_VALUE"""),0.4643)</f>
      </c>
      <c r="O559" s="11">
        <f>IFERROR(__xludf.DUMMYFUNCTION("""COMPUTED_VALUE"""),406.99)</f>
      </c>
      <c r="P559" s="12"/>
      <c r="Q559" s="12"/>
      <c r="R559" s="15"/>
      <c r="S559" s="12"/>
      <c r="T559" s="12"/>
      <c r="U559" s="12"/>
      <c r="V559" s="12"/>
      <c r="W559" s="12"/>
      <c r="X559" s="12"/>
      <c r="Y559" s="12"/>
      <c r="Z559" s="12"/>
    </row>
    <row x14ac:dyDescent="0.25" r="560" customHeight="1" ht="15.75">
      <c r="A560" s="8">
        <f>IFERROR(__xludf.DUMMYFUNCTION("""COMPUTED_VALUE"""),25845.0)</f>
      </c>
      <c r="B560" s="9">
        <f>IFERROR(__xludf.DUMMYFUNCTION("""COMPUTED_VALUE"""),"METROPOLITANA V")</f>
      </c>
      <c r="C560" s="9">
        <f>IFERROR(__xludf.DUMMYFUNCTION("""COMPUTED_VALUE"""),"CE PROFESSOR FRANCISCO PORTUGAL NEVES")</f>
      </c>
      <c r="D560" s="10">
        <f>IFERROR(__xludf.DUMMYFUNCTION("""COMPUTED_VALUE"""),0.7232)</f>
      </c>
      <c r="E560" s="11">
        <f>IFERROR(__xludf.DUMMYFUNCTION("""COMPUTED_VALUE"""),235.54)</f>
      </c>
      <c r="F560" s="10">
        <f>IFERROR(__xludf.DUMMYFUNCTION("""COMPUTED_VALUE"""),0.624)</f>
      </c>
      <c r="G560" s="11">
        <f>IFERROR(__xludf.DUMMYFUNCTION("""COMPUTED_VALUE"""),384.27)</f>
      </c>
      <c r="H560" s="10">
        <f>IFERROR(__xludf.DUMMYFUNCTION("""COMPUTED_VALUE"""),0.611)</f>
      </c>
      <c r="I560" s="11">
        <f>IFERROR(__xludf.DUMMYFUNCTION("""COMPUTED_VALUE"""),443.28)</f>
      </c>
      <c r="J560" s="10">
        <f>IFERROR(__xludf.DUMMYFUNCTION("""COMPUTED_VALUE"""),0.5875)</f>
      </c>
      <c r="K560" s="11">
        <f>IFERROR(__xludf.DUMMYFUNCTION("""COMPUTED_VALUE"""),339.14)</f>
      </c>
      <c r="L560" s="10">
        <f>IFERROR(__xludf.DUMMYFUNCTION("""COMPUTED_VALUE"""),0.4804)</f>
      </c>
      <c r="M560" s="11">
        <f>IFERROR(__xludf.DUMMYFUNCTION("""COMPUTED_VALUE"""),436.94)</f>
      </c>
      <c r="N560" s="10">
        <f>IFERROR(__xludf.DUMMYFUNCTION("""COMPUTED_VALUE"""),0.5822)</f>
      </c>
      <c r="O560" s="11">
        <f>IFERROR(__xludf.DUMMYFUNCTION("""COMPUTED_VALUE"""),425.82)</f>
      </c>
      <c r="P560" s="12"/>
      <c r="Q560" s="12"/>
      <c r="R560" s="15"/>
      <c r="S560" s="12"/>
      <c r="T560" s="12"/>
      <c r="U560" s="12"/>
      <c r="V560" s="12"/>
      <c r="W560" s="12"/>
      <c r="X560" s="12"/>
      <c r="Y560" s="12"/>
      <c r="Z560" s="12"/>
    </row>
    <row x14ac:dyDescent="0.25" r="561" customHeight="1" ht="15.75">
      <c r="A561" s="8">
        <f>IFERROR(__xludf.DUMMYFUNCTION("""COMPUTED_VALUE"""),25846.0)</f>
      </c>
      <c r="B561" s="9">
        <f>IFERROR(__xludf.DUMMYFUNCTION("""COMPUTED_VALUE"""),"METROPOLITANA V")</f>
      </c>
      <c r="C561" s="9">
        <f>IFERROR(__xludf.DUMMYFUNCTION("""COMPUTED_VALUE"""),"CE PROFESSOR JOSE DE SOUZA HERDY")</f>
      </c>
      <c r="D561" s="10">
        <f>IFERROR(__xludf.DUMMYFUNCTION("""COMPUTED_VALUE"""),0.7952)</f>
      </c>
      <c r="E561" s="11">
        <f>IFERROR(__xludf.DUMMYFUNCTION("""COMPUTED_VALUE"""),234.01)</f>
      </c>
      <c r="F561" s="10">
        <f>IFERROR(__xludf.DUMMYFUNCTION("""COMPUTED_VALUE"""),0.6619)</f>
      </c>
      <c r="G561" s="11">
        <f>IFERROR(__xludf.DUMMYFUNCTION("""COMPUTED_VALUE"""),390.14)</f>
      </c>
      <c r="H561" s="10">
        <f>IFERROR(__xludf.DUMMYFUNCTION("""COMPUTED_VALUE"""),0.4675)</f>
      </c>
      <c r="I561" s="11">
        <f>IFERROR(__xludf.DUMMYFUNCTION("""COMPUTED_VALUE"""),395.35)</f>
      </c>
      <c r="J561" s="10">
        <f>IFERROR(__xludf.DUMMYFUNCTION("""COMPUTED_VALUE"""),0.7743)</f>
      </c>
      <c r="K561" s="11">
        <f>IFERROR(__xludf.DUMMYFUNCTION("""COMPUTED_VALUE"""),366.21)</f>
      </c>
      <c r="L561" s="10">
        <f>IFERROR(__xludf.DUMMYFUNCTION("""COMPUTED_VALUE"""),0.5163)</f>
      </c>
      <c r="M561" s="11">
        <f>IFERROR(__xludf.DUMMYFUNCTION("""COMPUTED_VALUE"""),429.06)</f>
      </c>
      <c r="N561" s="10">
        <f>IFERROR(__xludf.DUMMYFUNCTION("""COMPUTED_VALUE"""),0.5813)</f>
      </c>
      <c r="O561" s="11">
        <f>IFERROR(__xludf.DUMMYFUNCTION("""COMPUTED_VALUE"""),427.07)</f>
      </c>
      <c r="P561" s="12"/>
      <c r="Q561" s="12"/>
      <c r="R561" s="15"/>
      <c r="S561" s="12"/>
      <c r="T561" s="12"/>
      <c r="U561" s="12"/>
      <c r="V561" s="12"/>
      <c r="W561" s="12"/>
      <c r="X561" s="12"/>
      <c r="Y561" s="12"/>
      <c r="Z561" s="12"/>
    </row>
    <row x14ac:dyDescent="0.25" r="562" customHeight="1" ht="15.75">
      <c r="A562" s="8">
        <f>IFERROR(__xludf.DUMMYFUNCTION("""COMPUTED_VALUE"""),25847.0)</f>
      </c>
      <c r="B562" s="9">
        <f>IFERROR(__xludf.DUMMYFUNCTION("""COMPUTED_VALUE"""),"METROPOLITANA V")</f>
      </c>
      <c r="C562" s="9">
        <f>IFERROR(__xludf.DUMMYFUNCTION("""COMPUTED_VALUE"""),"CE PROFESSORA MINERVINA BARBOSA DE CASTRO")</f>
      </c>
      <c r="D562" s="10">
        <f>IFERROR(__xludf.DUMMYFUNCTION("""COMPUTED_VALUE"""),0.9949)</f>
      </c>
      <c r="E562" s="11">
        <f>IFERROR(__xludf.DUMMYFUNCTION("""COMPUTED_VALUE"""),258.46)</f>
      </c>
      <c r="F562" s="10">
        <f>IFERROR(__xludf.DUMMYFUNCTION("""COMPUTED_VALUE"""),0.9898)</f>
      </c>
      <c r="G562" s="11">
        <f>IFERROR(__xludf.DUMMYFUNCTION("""COMPUTED_VALUE"""),341.76)</f>
      </c>
      <c r="H562" s="10">
        <f>IFERROR(__xludf.DUMMYFUNCTION("""COMPUTED_VALUE"""),0.551)</f>
      </c>
      <c r="I562" s="11">
        <f>IFERROR(__xludf.DUMMYFUNCTION("""COMPUTED_VALUE"""),427.04)</f>
      </c>
      <c r="J562" s="10">
        <f>IFERROR(__xludf.DUMMYFUNCTION("""COMPUTED_VALUE"""),0.7704)</f>
      </c>
      <c r="K562" s="11">
        <f>IFERROR(__xludf.DUMMYFUNCTION("""COMPUTED_VALUE"""),318.5)</f>
      </c>
      <c r="L562" s="10">
        <f>IFERROR(__xludf.DUMMYFUNCTION("""COMPUTED_VALUE"""),0.7755)</f>
      </c>
      <c r="M562" s="11">
        <f>IFERROR(__xludf.DUMMYFUNCTION("""COMPUTED_VALUE"""),404.21)</f>
      </c>
      <c r="N562" s="10">
        <f>IFERROR(__xludf.DUMMYFUNCTION("""COMPUTED_VALUE"""),0.4235)</f>
      </c>
      <c r="O562" s="11">
        <f>IFERROR(__xludf.DUMMYFUNCTION("""COMPUTED_VALUE"""),422.22)</f>
      </c>
      <c r="P562" s="12"/>
      <c r="Q562" s="12"/>
      <c r="R562" s="15"/>
      <c r="S562" s="12"/>
      <c r="T562" s="12"/>
      <c r="U562" s="12"/>
      <c r="V562" s="12"/>
      <c r="W562" s="12"/>
      <c r="X562" s="12"/>
      <c r="Y562" s="12"/>
      <c r="Z562" s="12"/>
    </row>
    <row x14ac:dyDescent="0.25" r="563" customHeight="1" ht="15.75">
      <c r="A563" s="8">
        <f>IFERROR(__xludf.DUMMYFUNCTION("""COMPUTED_VALUE"""),25848.0)</f>
      </c>
      <c r="B563" s="9">
        <f>IFERROR(__xludf.DUMMYFUNCTION("""COMPUTED_VALUE"""),"METROPOLITANA V")</f>
      </c>
      <c r="C563" s="9">
        <f>IFERROR(__xludf.DUMMYFUNCTION("""COMPUTED_VALUE"""),"CE PROFESSORA NORMA TOOP URUGUAY")</f>
      </c>
      <c r="D563" s="10">
        <f>IFERROR(__xludf.DUMMYFUNCTION("""COMPUTED_VALUE"""),0.7917)</f>
      </c>
      <c r="E563" s="11">
        <f>IFERROR(__xludf.DUMMYFUNCTION("""COMPUTED_VALUE"""),229.38)</f>
      </c>
      <c r="F563" s="10">
        <f>IFERROR(__xludf.DUMMYFUNCTION("""COMPUTED_VALUE"""),0.6875)</f>
      </c>
      <c r="G563" s="11">
        <f>IFERROR(__xludf.DUMMYFUNCTION("""COMPUTED_VALUE"""),356.6)</f>
      </c>
      <c r="H563" s="10">
        <f>IFERROR(__xludf.DUMMYFUNCTION("""COMPUTED_VALUE"""),0.5972)</f>
      </c>
      <c r="I563" s="11">
        <f>IFERROR(__xludf.DUMMYFUNCTION("""COMPUTED_VALUE"""),382.59)</f>
      </c>
      <c r="J563" s="10">
        <f>IFERROR(__xludf.DUMMYFUNCTION("""COMPUTED_VALUE"""),0.6389)</f>
      </c>
      <c r="K563" s="11">
        <f>IFERROR(__xludf.DUMMYFUNCTION("""COMPUTED_VALUE"""),355.07)</f>
      </c>
      <c r="L563" s="10">
        <f>IFERROR(__xludf.DUMMYFUNCTION("""COMPUTED_VALUE"""),0.7014)</f>
      </c>
      <c r="M563" s="11">
        <f>IFERROR(__xludf.DUMMYFUNCTION("""COMPUTED_VALUE"""),374.43)</f>
      </c>
      <c r="N563" s="10">
        <f>IFERROR(__xludf.DUMMYFUNCTION("""COMPUTED_VALUE"""),0.6528)</f>
      </c>
      <c r="O563" s="11">
        <f>IFERROR(__xludf.DUMMYFUNCTION("""COMPUTED_VALUE"""),372.75)</f>
      </c>
      <c r="P563" s="12"/>
      <c r="Q563" s="12"/>
      <c r="R563" s="15"/>
      <c r="S563" s="12"/>
      <c r="T563" s="12"/>
      <c r="U563" s="12"/>
      <c r="V563" s="12"/>
      <c r="W563" s="12"/>
      <c r="X563" s="12"/>
      <c r="Y563" s="12"/>
      <c r="Z563" s="12"/>
    </row>
    <row x14ac:dyDescent="0.25" r="564" customHeight="1" ht="15.75">
      <c r="A564" s="8">
        <f>IFERROR(__xludf.DUMMYFUNCTION("""COMPUTED_VALUE"""),25849.0)</f>
      </c>
      <c r="B564" s="9">
        <f>IFERROR(__xludf.DUMMYFUNCTION("""COMPUTED_VALUE"""),"METROPOLITANA V")</f>
      </c>
      <c r="C564" s="9">
        <f>IFERROR(__xludf.DUMMYFUNCTION("""COMPUTED_VALUE"""),"CE PROFESSORA VERA LUCIA TAVARES ROMAO")</f>
      </c>
      <c r="D564" s="10">
        <f>IFERROR(__xludf.DUMMYFUNCTION("""COMPUTED_VALUE"""),0.8339)</f>
      </c>
      <c r="E564" s="11">
        <f>IFERROR(__xludf.DUMMYFUNCTION("""COMPUTED_VALUE"""),318.94)</f>
      </c>
      <c r="F564" s="10">
        <f>IFERROR(__xludf.DUMMYFUNCTION("""COMPUTED_VALUE"""),0.6771)</f>
      </c>
      <c r="G564" s="11">
        <f>IFERROR(__xludf.DUMMYFUNCTION("""COMPUTED_VALUE"""),417.25)</f>
      </c>
      <c r="H564" s="10">
        <f>IFERROR(__xludf.DUMMYFUNCTION("""COMPUTED_VALUE"""),0.9749)</f>
      </c>
      <c r="I564" s="11">
        <f>IFERROR(__xludf.DUMMYFUNCTION("""COMPUTED_VALUE"""),382.61)</f>
      </c>
      <c r="J564" s="10">
        <f>IFERROR(__xludf.DUMMYFUNCTION("""COMPUTED_VALUE"""),0.7743)</f>
      </c>
      <c r="K564" s="11">
        <f>IFERROR(__xludf.DUMMYFUNCTION("""COMPUTED_VALUE"""),411.19)</f>
      </c>
      <c r="L564" s="10">
        <f>IFERROR(__xludf.DUMMYFUNCTION("""COMPUTED_VALUE"""),0.6959)</f>
      </c>
      <c r="M564" s="11">
        <f>IFERROR(__xludf.DUMMYFUNCTION("""COMPUTED_VALUE"""),482.19)</f>
      </c>
      <c r="N564" s="10">
        <f>IFERROR(__xludf.DUMMYFUNCTION("""COMPUTED_VALUE"""),0.7962)</f>
      </c>
      <c r="O564" s="11">
        <f>IFERROR(__xludf.DUMMYFUNCTION("""COMPUTED_VALUE"""),491.61)</f>
      </c>
      <c r="P564" s="12"/>
      <c r="Q564" s="12"/>
      <c r="R564" s="15"/>
      <c r="S564" s="12"/>
      <c r="T564" s="12"/>
      <c r="U564" s="12"/>
      <c r="V564" s="12"/>
      <c r="W564" s="12"/>
      <c r="X564" s="12"/>
      <c r="Y564" s="12"/>
      <c r="Z564" s="12"/>
    </row>
    <row x14ac:dyDescent="0.25" r="565" customHeight="1" ht="15.75">
      <c r="A565" s="8">
        <f>IFERROR(__xludf.DUMMYFUNCTION("""COMPUTED_VALUE"""),25850.0)</f>
      </c>
      <c r="B565" s="9">
        <f>IFERROR(__xludf.DUMMYFUNCTION("""COMPUTED_VALUE"""),"METROPOLITANA V")</f>
      </c>
      <c r="C565" s="9">
        <f>IFERROR(__xludf.DUMMYFUNCTION("""COMPUTED_VALUE"""),"CE RUI BARBOSA")</f>
      </c>
      <c r="D565" s="10">
        <f>IFERROR(__xludf.DUMMYFUNCTION("""COMPUTED_VALUE"""),0.7532)</f>
      </c>
      <c r="E565" s="11">
        <f>IFERROR(__xludf.DUMMYFUNCTION("""COMPUTED_VALUE"""),239.3)</f>
      </c>
      <c r="F565" s="10">
        <f>IFERROR(__xludf.DUMMYFUNCTION("""COMPUTED_VALUE"""),0.6299)</f>
      </c>
      <c r="G565" s="11">
        <f>IFERROR(__xludf.DUMMYFUNCTION("""COMPUTED_VALUE"""),415.91)</f>
      </c>
      <c r="H565" s="10">
        <f>IFERROR(__xludf.DUMMYFUNCTION("""COMPUTED_VALUE"""),0.6039)</f>
      </c>
      <c r="I565" s="11">
        <f>IFERROR(__xludf.DUMMYFUNCTION("""COMPUTED_VALUE"""),469.33)</f>
      </c>
      <c r="J565" s="10">
        <f>IFERROR(__xludf.DUMMYFUNCTION("""COMPUTED_VALUE"""),0.6104)</f>
      </c>
      <c r="K565" s="11">
        <f>IFERROR(__xludf.DUMMYFUNCTION("""COMPUTED_VALUE"""),384.62)</f>
      </c>
      <c r="L565" s="10">
        <f>IFERROR(__xludf.DUMMYFUNCTION("""COMPUTED_VALUE"""),0.4805)</f>
      </c>
      <c r="M565" s="11">
        <f>IFERROR(__xludf.DUMMYFUNCTION("""COMPUTED_VALUE"""),438.87)</f>
      </c>
      <c r="N565" s="10">
        <f>IFERROR(__xludf.DUMMYFUNCTION("""COMPUTED_VALUE"""),0.013)</f>
      </c>
      <c r="O565" s="11">
        <f>IFERROR(__xludf.DUMMYFUNCTION("""COMPUTED_VALUE"""),380.0)</f>
      </c>
      <c r="P565" s="12"/>
      <c r="Q565" s="12"/>
      <c r="R565" s="15"/>
      <c r="S565" s="12"/>
      <c r="T565" s="12"/>
      <c r="U565" s="12"/>
      <c r="V565" s="12"/>
      <c r="W565" s="12"/>
      <c r="X565" s="12"/>
      <c r="Y565" s="12"/>
      <c r="Z565" s="12"/>
    </row>
    <row x14ac:dyDescent="0.25" r="566" customHeight="1" ht="15.75">
      <c r="A566" s="8">
        <f>IFERROR(__xludf.DUMMYFUNCTION("""COMPUTED_VALUE"""),25851.0)</f>
      </c>
      <c r="B566" s="9">
        <f>IFERROR(__xludf.DUMMYFUNCTION("""COMPUTED_VALUE"""),"METROPOLITANA V")</f>
      </c>
      <c r="C566" s="9">
        <f>IFERROR(__xludf.DUMMYFUNCTION("""COMPUTED_VALUE"""),"CE SANTO ANTONIO")</f>
      </c>
      <c r="D566" s="10">
        <f>IFERROR(__xludf.DUMMYFUNCTION("""COMPUTED_VALUE"""),0.7049)</f>
      </c>
      <c r="E566" s="11">
        <f>IFERROR(__xludf.DUMMYFUNCTION("""COMPUTED_VALUE"""),307.46)</f>
      </c>
      <c r="F566" s="10">
        <f>IFERROR(__xludf.DUMMYFUNCTION("""COMPUTED_VALUE"""),0.5943)</f>
      </c>
      <c r="G566" s="11">
        <f>IFERROR(__xludf.DUMMYFUNCTION("""COMPUTED_VALUE"""),412.78)</f>
      </c>
      <c r="H566" s="10">
        <f>IFERROR(__xludf.DUMMYFUNCTION("""COMPUTED_VALUE"""),0.5492)</f>
      </c>
      <c r="I566" s="11">
        <f>IFERROR(__xludf.DUMMYFUNCTION("""COMPUTED_VALUE"""),423.88)</f>
      </c>
      <c r="J566" s="10">
        <f>IFERROR(__xludf.DUMMYFUNCTION("""COMPUTED_VALUE"""),0.627)</f>
      </c>
      <c r="K566" s="11">
        <f>IFERROR(__xludf.DUMMYFUNCTION("""COMPUTED_VALUE"""),323.47)</f>
      </c>
      <c r="L566" s="10">
        <f>IFERROR(__xludf.DUMMYFUNCTION("""COMPUTED_VALUE"""),0.5082)</f>
      </c>
      <c r="M566" s="11">
        <f>IFERROR(__xludf.DUMMYFUNCTION("""COMPUTED_VALUE"""),437.74)</f>
      </c>
      <c r="N566" s="10">
        <f>IFERROR(__xludf.DUMMYFUNCTION("""COMPUTED_VALUE"""),0.5)</f>
      </c>
      <c r="O566" s="11">
        <f>IFERROR(__xludf.DUMMYFUNCTION("""COMPUTED_VALUE"""),433.72)</f>
      </c>
      <c r="P566" s="12"/>
      <c r="Q566" s="12"/>
      <c r="R566" s="15"/>
      <c r="S566" s="12"/>
      <c r="T566" s="12"/>
      <c r="U566" s="12"/>
      <c r="V566" s="12"/>
      <c r="W566" s="12"/>
      <c r="X566" s="12"/>
      <c r="Y566" s="12"/>
      <c r="Z566" s="12"/>
    </row>
    <row x14ac:dyDescent="0.25" r="567" customHeight="1" ht="15.75">
      <c r="A567" s="8">
        <f>IFERROR(__xludf.DUMMYFUNCTION("""COMPUTED_VALUE"""),25852.0)</f>
      </c>
      <c r="B567" s="9">
        <f>IFERROR(__xludf.DUMMYFUNCTION("""COMPUTED_VALUE"""),"METROPOLITANA V")</f>
      </c>
      <c r="C567" s="9">
        <f>IFERROR(__xludf.DUMMYFUNCTION("""COMPUTED_VALUE"""),"CE SANTO INACIO")</f>
      </c>
      <c r="D567" s="10">
        <f>IFERROR(__xludf.DUMMYFUNCTION("""COMPUTED_VALUE"""),0.8727)</f>
      </c>
      <c r="E567" s="11">
        <f>IFERROR(__xludf.DUMMYFUNCTION("""COMPUTED_VALUE"""),262.1)</f>
      </c>
      <c r="F567" s="10">
        <f>IFERROR(__xludf.DUMMYFUNCTION("""COMPUTED_VALUE"""),0.7879)</f>
      </c>
      <c r="G567" s="11">
        <f>IFERROR(__xludf.DUMMYFUNCTION("""COMPUTED_VALUE"""),339.06)</f>
      </c>
      <c r="H567" s="10">
        <f>IFERROR(__xludf.DUMMYFUNCTION("""COMPUTED_VALUE"""),0.6788)</f>
      </c>
      <c r="I567" s="11">
        <f>IFERROR(__xludf.DUMMYFUNCTION("""COMPUTED_VALUE"""),430.46)</f>
      </c>
      <c r="J567" s="10">
        <f>IFERROR(__xludf.DUMMYFUNCTION("""COMPUTED_VALUE"""),0.5818)</f>
      </c>
      <c r="K567" s="11">
        <f>IFERROR(__xludf.DUMMYFUNCTION("""COMPUTED_VALUE"""),346.67)</f>
      </c>
      <c r="L567" s="10">
        <f>IFERROR(__xludf.DUMMYFUNCTION("""COMPUTED_VALUE"""),0.6848)</f>
      </c>
      <c r="M567" s="11">
        <f>IFERROR(__xludf.DUMMYFUNCTION("""COMPUTED_VALUE"""),394.23)</f>
      </c>
      <c r="N567" s="10">
        <f>IFERROR(__xludf.DUMMYFUNCTION("""COMPUTED_VALUE"""),0.6848)</f>
      </c>
      <c r="O567" s="11">
        <f>IFERROR(__xludf.DUMMYFUNCTION("""COMPUTED_VALUE"""),462.91)</f>
      </c>
      <c r="P567" s="12"/>
      <c r="Q567" s="12"/>
      <c r="R567" s="15"/>
      <c r="S567" s="12"/>
      <c r="T567" s="12"/>
      <c r="U567" s="12"/>
      <c r="V567" s="12"/>
      <c r="W567" s="12"/>
      <c r="X567" s="12"/>
      <c r="Y567" s="12"/>
      <c r="Z567" s="12"/>
    </row>
    <row x14ac:dyDescent="0.25" r="568" customHeight="1" ht="15.75">
      <c r="A568" s="8">
        <f>IFERROR(__xludf.DUMMYFUNCTION("""COMPUTED_VALUE"""),25853.0)</f>
      </c>
      <c r="B568" s="9">
        <f>IFERROR(__xludf.DUMMYFUNCTION("""COMPUTED_VALUE"""),"METROPOLITANA V")</f>
      </c>
      <c r="C568" s="9">
        <f>IFERROR(__xludf.DUMMYFUNCTION("""COMPUTED_VALUE"""),"CE SAO BENTO")</f>
      </c>
      <c r="D568" s="10">
        <f>IFERROR(__xludf.DUMMYFUNCTION("""COMPUTED_VALUE"""),0.963)</f>
      </c>
      <c r="E568" s="11">
        <f>IFERROR(__xludf.DUMMYFUNCTION("""COMPUTED_VALUE"""),232.96)</f>
      </c>
      <c r="F568" s="10">
        <f>IFERROR(__xludf.DUMMYFUNCTION("""COMPUTED_VALUE"""),0.6491)</f>
      </c>
      <c r="G568" s="11">
        <f>IFERROR(__xludf.DUMMYFUNCTION("""COMPUTED_VALUE"""),414.72)</f>
      </c>
      <c r="H568" s="10">
        <f>IFERROR(__xludf.DUMMYFUNCTION("""COMPUTED_VALUE"""),0.6901)</f>
      </c>
      <c r="I568" s="11">
        <f>IFERROR(__xludf.DUMMYFUNCTION("""COMPUTED_VALUE"""),458.11)</f>
      </c>
      <c r="J568" s="10">
        <f>IFERROR(__xludf.DUMMYFUNCTION("""COMPUTED_VALUE"""),0.6764)</f>
      </c>
      <c r="K568" s="11">
        <f>IFERROR(__xludf.DUMMYFUNCTION("""COMPUTED_VALUE"""),366.2)</f>
      </c>
      <c r="L568" s="10">
        <f>IFERROR(__xludf.DUMMYFUNCTION("""COMPUTED_VALUE"""),0.6335)</f>
      </c>
      <c r="M568" s="11">
        <f>IFERROR(__xludf.DUMMYFUNCTION("""COMPUTED_VALUE"""),417.02)</f>
      </c>
      <c r="N568" s="10">
        <f>IFERROR(__xludf.DUMMYFUNCTION("""COMPUTED_VALUE"""),0.6355)</f>
      </c>
      <c r="O568" s="11">
        <f>IFERROR(__xludf.DUMMYFUNCTION("""COMPUTED_VALUE"""),432.57)</f>
      </c>
      <c r="P568" s="12"/>
      <c r="Q568" s="12"/>
      <c r="R568" s="15"/>
      <c r="S568" s="12"/>
      <c r="T568" s="12"/>
      <c r="U568" s="12"/>
      <c r="V568" s="12"/>
      <c r="W568" s="12"/>
      <c r="X568" s="12"/>
      <c r="Y568" s="12"/>
      <c r="Z568" s="12"/>
    </row>
    <row x14ac:dyDescent="0.25" r="569" customHeight="1" ht="15.75">
      <c r="A569" s="8">
        <f>IFERROR(__xludf.DUMMYFUNCTION("""COMPUTED_VALUE"""),25854.0)</f>
      </c>
      <c r="B569" s="9">
        <f>IFERROR(__xludf.DUMMYFUNCTION("""COMPUTED_VALUE"""),"METROPOLITANA V")</f>
      </c>
      <c r="C569" s="9">
        <f>IFERROR(__xludf.DUMMYFUNCTION("""COMPUTED_VALUE"""),"CE VINICIUS DE MORAES")</f>
      </c>
      <c r="D569" s="10">
        <f>IFERROR(__xludf.DUMMYFUNCTION("""COMPUTED_VALUE"""),0.9302)</f>
      </c>
      <c r="E569" s="11">
        <f>IFERROR(__xludf.DUMMYFUNCTION("""COMPUTED_VALUE"""),211.2)</f>
      </c>
      <c r="F569" s="10">
        <f>IFERROR(__xludf.DUMMYFUNCTION("""COMPUTED_VALUE"""),0.7209)</f>
      </c>
      <c r="G569" s="11">
        <f>IFERROR(__xludf.DUMMYFUNCTION("""COMPUTED_VALUE"""),334.43)</f>
      </c>
      <c r="H569" s="10">
        <f>IFERROR(__xludf.DUMMYFUNCTION("""COMPUTED_VALUE"""),0.6628)</f>
      </c>
      <c r="I569" s="11">
        <f>IFERROR(__xludf.DUMMYFUNCTION("""COMPUTED_VALUE"""),371.93)</f>
      </c>
      <c r="J569" s="10">
        <f>IFERROR(__xludf.DUMMYFUNCTION("""COMPUTED_VALUE"""),0.6395)</f>
      </c>
      <c r="K569" s="11">
        <f>IFERROR(__xludf.DUMMYFUNCTION("""COMPUTED_VALUE"""),265.93)</f>
      </c>
      <c r="L569" s="10">
        <f>IFERROR(__xludf.DUMMYFUNCTION("""COMPUTED_VALUE"""),0.5116)</f>
      </c>
      <c r="M569" s="11">
        <f>IFERROR(__xludf.DUMMYFUNCTION("""COMPUTED_VALUE"""),367.27)</f>
      </c>
      <c r="N569" s="10">
        <f>IFERROR(__xludf.DUMMYFUNCTION("""COMPUTED_VALUE"""),0.6279)</f>
      </c>
      <c r="O569" s="11">
        <f>IFERROR(__xludf.DUMMYFUNCTION("""COMPUTED_VALUE"""),392.59)</f>
      </c>
      <c r="P569" s="12"/>
      <c r="Q569" s="12"/>
      <c r="R569" s="15"/>
      <c r="S569" s="12"/>
      <c r="T569" s="12"/>
      <c r="U569" s="12"/>
      <c r="V569" s="12"/>
      <c r="W569" s="12"/>
      <c r="X569" s="12"/>
      <c r="Y569" s="12"/>
      <c r="Z569" s="12"/>
    </row>
    <row x14ac:dyDescent="0.25" r="570" customHeight="1" ht="15.75">
      <c r="A570" s="8">
        <f>IFERROR(__xludf.DUMMYFUNCTION("""COMPUTED_VALUE"""),25855.0)</f>
      </c>
      <c r="B570" s="9">
        <f>IFERROR(__xludf.DUMMYFUNCTION("""COMPUTED_VALUE"""),"METROPOLITANA V")</f>
      </c>
      <c r="C570" s="9">
        <f>IFERROR(__xludf.DUMMYFUNCTION("""COMPUTED_VALUE"""),"CE ZUMBI DOS PALMARES")</f>
      </c>
      <c r="D570" s="10">
        <f>IFERROR(__xludf.DUMMYFUNCTION("""COMPUTED_VALUE"""),0.6053)</f>
      </c>
      <c r="E570" s="11">
        <f>IFERROR(__xludf.DUMMYFUNCTION("""COMPUTED_VALUE"""),"----")</f>
      </c>
      <c r="F570" s="10">
        <f>IFERROR(__xludf.DUMMYFUNCTION("""COMPUTED_VALUE"""),0.4211)</f>
      </c>
      <c r="G570" s="11">
        <f>IFERROR(__xludf.DUMMYFUNCTION("""COMPUTED_VALUE"""),447.95)</f>
      </c>
      <c r="H570" s="10">
        <f>IFERROR(__xludf.DUMMYFUNCTION("""COMPUTED_VALUE"""),0.3804)</f>
      </c>
      <c r="I570" s="11">
        <f>IFERROR(__xludf.DUMMYFUNCTION("""COMPUTED_VALUE"""),451.31)</f>
      </c>
      <c r="J570" s="10">
        <f>IFERROR(__xludf.DUMMYFUNCTION("""COMPUTED_VALUE"""),0.4024)</f>
      </c>
      <c r="K570" s="11">
        <f>IFERROR(__xludf.DUMMYFUNCTION("""COMPUTED_VALUE"""),247.26)</f>
      </c>
      <c r="L570" s="10">
        <f>IFERROR(__xludf.DUMMYFUNCTION("""COMPUTED_VALUE"""),0.4891)</f>
      </c>
      <c r="M570" s="11">
        <f>IFERROR(__xludf.DUMMYFUNCTION("""COMPUTED_VALUE"""),394.67)</f>
      </c>
      <c r="N570" s="10">
        <f>IFERROR(__xludf.DUMMYFUNCTION("""COMPUTED_VALUE"""),0.3913)</f>
      </c>
      <c r="O570" s="11">
        <f>IFERROR(__xludf.DUMMYFUNCTION("""COMPUTED_VALUE"""),359.81)</f>
      </c>
      <c r="P570" s="12"/>
      <c r="Q570" s="12"/>
      <c r="R570" s="15"/>
      <c r="S570" s="12"/>
      <c r="T570" s="12"/>
      <c r="U570" s="12"/>
      <c r="V570" s="12"/>
      <c r="W570" s="12"/>
      <c r="X570" s="12"/>
      <c r="Y570" s="12"/>
      <c r="Z570" s="12"/>
    </row>
    <row x14ac:dyDescent="0.25" r="571" customHeight="1" ht="15.75">
      <c r="A571" s="8">
        <f>IFERROR(__xludf.DUMMYFUNCTION("""COMPUTED_VALUE"""),25857.0)</f>
      </c>
      <c r="B571" s="9">
        <f>IFERROR(__xludf.DUMMYFUNCTION("""COMPUTED_VALUE"""),"METROPOLITANA V")</f>
      </c>
      <c r="C571" s="9">
        <f>IFERROR(__xludf.DUMMYFUNCTION("""COMPUTED_VALUE"""),"CIEP 031 LIRIO DO LAGUNA")</f>
      </c>
      <c r="D571" s="10">
        <f>IFERROR(__xludf.DUMMYFUNCTION("""COMPUTED_VALUE"""),0.428)</f>
      </c>
      <c r="E571" s="11">
        <f>IFERROR(__xludf.DUMMYFUNCTION("""COMPUTED_VALUE"""),95.56)</f>
      </c>
      <c r="F571" s="10">
        <f>IFERROR(__xludf.DUMMYFUNCTION("""COMPUTED_VALUE"""),0.465)</f>
      </c>
      <c r="G571" s="11">
        <f>IFERROR(__xludf.DUMMYFUNCTION("""COMPUTED_VALUE"""),291.33)</f>
      </c>
      <c r="H571" s="10">
        <f>IFERROR(__xludf.DUMMYFUNCTION("""COMPUTED_VALUE"""),0.2658)</f>
      </c>
      <c r="I571" s="11">
        <f>IFERROR(__xludf.DUMMYFUNCTION("""COMPUTED_VALUE"""),256.7)</f>
      </c>
      <c r="J571" s="10">
        <f>IFERROR(__xludf.DUMMYFUNCTION("""COMPUTED_VALUE"""),0.2751)</f>
      </c>
      <c r="K571" s="11">
        <f>IFERROR(__xludf.DUMMYFUNCTION("""COMPUTED_VALUE"""),"----")</f>
      </c>
      <c r="L571" s="10">
        <f>IFERROR(__xludf.DUMMYFUNCTION("""COMPUTED_VALUE"""),0.2595)</f>
      </c>
      <c r="M571" s="11">
        <f>IFERROR(__xludf.DUMMYFUNCTION("""COMPUTED_VALUE"""),330.0)</f>
      </c>
      <c r="N571" s="10">
        <f>IFERROR(__xludf.DUMMYFUNCTION("""COMPUTED_VALUE"""),0.2437)</f>
      </c>
      <c r="O571" s="11">
        <f>IFERROR(__xludf.DUMMYFUNCTION("""COMPUTED_VALUE"""),363.12)</f>
      </c>
      <c r="P571" s="12"/>
      <c r="Q571" s="12"/>
      <c r="R571" s="15"/>
      <c r="S571" s="12"/>
      <c r="T571" s="12"/>
      <c r="U571" s="12"/>
      <c r="V571" s="12"/>
      <c r="W571" s="12"/>
      <c r="X571" s="12"/>
      <c r="Y571" s="12"/>
      <c r="Z571" s="12"/>
    </row>
    <row x14ac:dyDescent="0.25" r="572" customHeight="1" ht="15.75">
      <c r="A572" s="8">
        <f>IFERROR(__xludf.DUMMYFUNCTION("""COMPUTED_VALUE"""),25858.0)</f>
      </c>
      <c r="B572" s="9">
        <f>IFERROR(__xludf.DUMMYFUNCTION("""COMPUTED_VALUE"""),"METROPOLITANA V")</f>
      </c>
      <c r="C572" s="9">
        <f>IFERROR(__xludf.DUMMYFUNCTION("""COMPUTED_VALUE"""),"CIEP 032 CORA CORALINA")</f>
      </c>
      <c r="D572" s="10">
        <f>IFERROR(__xludf.DUMMYFUNCTION("""COMPUTED_VALUE"""),0.8421)</f>
      </c>
      <c r="E572" s="11">
        <f>IFERROR(__xludf.DUMMYFUNCTION("""COMPUTED_VALUE"""),181.54)</f>
      </c>
      <c r="F572" s="10">
        <f>IFERROR(__xludf.DUMMYFUNCTION("""COMPUTED_VALUE"""),0.6648)</f>
      </c>
      <c r="G572" s="11">
        <f>IFERROR(__xludf.DUMMYFUNCTION("""COMPUTED_VALUE"""),327.38)</f>
      </c>
      <c r="H572" s="10">
        <f>IFERROR(__xludf.DUMMYFUNCTION("""COMPUTED_VALUE"""),0.5682)</f>
      </c>
      <c r="I572" s="11">
        <f>IFERROR(__xludf.DUMMYFUNCTION("""COMPUTED_VALUE"""),388.78)</f>
      </c>
      <c r="J572" s="10">
        <f>IFERROR(__xludf.DUMMYFUNCTION("""COMPUTED_VALUE"""),0.6604)</f>
      </c>
      <c r="K572" s="11">
        <f>IFERROR(__xludf.DUMMYFUNCTION("""COMPUTED_VALUE"""),264.45)</f>
      </c>
      <c r="L572" s="10">
        <f>IFERROR(__xludf.DUMMYFUNCTION("""COMPUTED_VALUE"""),0.5429)</f>
      </c>
      <c r="M572" s="11">
        <f>IFERROR(__xludf.DUMMYFUNCTION("""COMPUTED_VALUE"""),383.71)</f>
      </c>
      <c r="N572" s="10">
        <f>IFERROR(__xludf.DUMMYFUNCTION("""COMPUTED_VALUE"""),0.5404)</f>
      </c>
      <c r="O572" s="11">
        <f>IFERROR(__xludf.DUMMYFUNCTION("""COMPUTED_VALUE"""),389.1)</f>
      </c>
      <c r="P572" s="12"/>
      <c r="Q572" s="12"/>
      <c r="R572" s="15"/>
      <c r="S572" s="12"/>
      <c r="T572" s="12"/>
      <c r="U572" s="12"/>
      <c r="V572" s="12"/>
      <c r="W572" s="12"/>
      <c r="X572" s="12"/>
      <c r="Y572" s="12"/>
      <c r="Z572" s="12"/>
    </row>
    <row x14ac:dyDescent="0.25" r="573" customHeight="1" ht="15.75">
      <c r="A573" s="8">
        <f>IFERROR(__xludf.DUMMYFUNCTION("""COMPUTED_VALUE"""),25860.0)</f>
      </c>
      <c r="B573" s="9">
        <f>IFERROR(__xludf.DUMMYFUNCTION("""COMPUTED_VALUE"""),"METROPOLITANA V")</f>
      </c>
      <c r="C573" s="9">
        <f>IFERROR(__xludf.DUMMYFUNCTION("""COMPUTED_VALUE"""),"CIEP 087 CLEMENTINA DE JESUS")</f>
      </c>
      <c r="D573" s="10">
        <f>IFERROR(__xludf.DUMMYFUNCTION("""COMPUTED_VALUE"""),0.8088)</f>
      </c>
      <c r="E573" s="11">
        <f>IFERROR(__xludf.DUMMYFUNCTION("""COMPUTED_VALUE"""),105.28)</f>
      </c>
      <c r="F573" s="10">
        <f>IFERROR(__xludf.DUMMYFUNCTION("""COMPUTED_VALUE"""),0.652)</f>
      </c>
      <c r="G573" s="11">
        <f>IFERROR(__xludf.DUMMYFUNCTION("""COMPUTED_VALUE"""),350.3)</f>
      </c>
      <c r="H573" s="10">
        <f>IFERROR(__xludf.DUMMYFUNCTION("""COMPUTED_VALUE"""),0.5735)</f>
      </c>
      <c r="I573" s="11">
        <f>IFERROR(__xludf.DUMMYFUNCTION("""COMPUTED_VALUE"""),359.29)</f>
      </c>
      <c r="J573" s="10">
        <f>IFERROR(__xludf.DUMMYFUNCTION("""COMPUTED_VALUE"""),0.6078)</f>
      </c>
      <c r="K573" s="11">
        <f>IFERROR(__xludf.DUMMYFUNCTION("""COMPUTED_VALUE"""),279.22)</f>
      </c>
      <c r="L573" s="10">
        <f>IFERROR(__xludf.DUMMYFUNCTION("""COMPUTED_VALUE"""),0.5441)</f>
      </c>
      <c r="M573" s="11">
        <f>IFERROR(__xludf.DUMMYFUNCTION("""COMPUTED_VALUE"""),378.55)</f>
      </c>
      <c r="N573" s="10">
        <f>IFERROR(__xludf.DUMMYFUNCTION("""COMPUTED_VALUE"""),0.0049)</f>
      </c>
      <c r="O573" s="11">
        <f>IFERROR(__xludf.DUMMYFUNCTION("""COMPUTED_VALUE"""),360.0)</f>
      </c>
      <c r="P573" s="12"/>
      <c r="Q573" s="12"/>
      <c r="R573" s="15"/>
      <c r="S573" s="12"/>
      <c r="T573" s="12"/>
      <c r="U573" s="12"/>
      <c r="V573" s="12"/>
      <c r="W573" s="12"/>
      <c r="X573" s="12"/>
      <c r="Y573" s="12"/>
      <c r="Z573" s="12"/>
    </row>
    <row x14ac:dyDescent="0.25" r="574" customHeight="1" ht="15.75">
      <c r="A574" s="8">
        <f>IFERROR(__xludf.DUMMYFUNCTION("""COMPUTED_VALUE"""),25861.0)</f>
      </c>
      <c r="B574" s="9">
        <f>IFERROR(__xludf.DUMMYFUNCTION("""COMPUTED_VALUE"""),"METROPOLITANA V")</f>
      </c>
      <c r="C574" s="9">
        <f>IFERROR(__xludf.DUMMYFUNCTION("""COMPUTED_VALUE"""),"CIEP 089 GRACILIANO RAMOS")</f>
      </c>
      <c r="D574" s="10">
        <f>IFERROR(__xludf.DUMMYFUNCTION("""COMPUTED_VALUE"""),0.9243)</f>
      </c>
      <c r="E574" s="11">
        <f>IFERROR(__xludf.DUMMYFUNCTION("""COMPUTED_VALUE"""),151.67)</f>
      </c>
      <c r="F574" s="10">
        <f>IFERROR(__xludf.DUMMYFUNCTION("""COMPUTED_VALUE"""),0.4353)</f>
      </c>
      <c r="G574" s="11">
        <f>IFERROR(__xludf.DUMMYFUNCTION("""COMPUTED_VALUE"""),330.27)</f>
      </c>
      <c r="H574" s="10">
        <f>IFERROR(__xludf.DUMMYFUNCTION("""COMPUTED_VALUE"""),0.4208)</f>
      </c>
      <c r="I574" s="11">
        <f>IFERROR(__xludf.DUMMYFUNCTION("""COMPUTED_VALUE"""),436.61)</f>
      </c>
      <c r="J574" s="10">
        <f>IFERROR(__xludf.DUMMYFUNCTION("""COMPUTED_VALUE"""),0.479)</f>
      </c>
      <c r="K574" s="11">
        <f>IFERROR(__xludf.DUMMYFUNCTION("""COMPUTED_VALUE"""),239.65)</f>
      </c>
      <c r="L574" s="10">
        <f>IFERROR(__xludf.DUMMYFUNCTION("""COMPUTED_VALUE"""),0.413)</f>
      </c>
      <c r="M574" s="11">
        <f>IFERROR(__xludf.DUMMYFUNCTION("""COMPUTED_VALUE"""),423.64)</f>
      </c>
      <c r="N574" s="10">
        <f>IFERROR(__xludf.DUMMYFUNCTION("""COMPUTED_VALUE"""),0.3117)</f>
      </c>
      <c r="O574" s="11">
        <f>IFERROR(__xludf.DUMMYFUNCTION("""COMPUTED_VALUE"""),"----")</f>
      </c>
      <c r="P574" s="12"/>
      <c r="Q574" s="12"/>
      <c r="R574" s="15"/>
      <c r="S574" s="12"/>
      <c r="T574" s="12"/>
      <c r="U574" s="12"/>
      <c r="V574" s="12"/>
      <c r="W574" s="12"/>
      <c r="X574" s="12"/>
      <c r="Y574" s="12"/>
      <c r="Z574" s="12"/>
    </row>
    <row x14ac:dyDescent="0.25" r="575" customHeight="1" ht="15.75">
      <c r="A575" s="8">
        <f>IFERROR(__xludf.DUMMYFUNCTION("""COMPUTED_VALUE"""),25862.0)</f>
      </c>
      <c r="B575" s="9">
        <f>IFERROR(__xludf.DUMMYFUNCTION("""COMPUTED_VALUE"""),"METROPOLITANA V")</f>
      </c>
      <c r="C575" s="9">
        <f>IFERROR(__xludf.DUMMYFUNCTION("""COMPUTED_VALUE"""),"CIEP 098 PROFESSORA HILDA DO CARMO SIQUEIRA")</f>
      </c>
      <c r="D575" s="10">
        <f>IFERROR(__xludf.DUMMYFUNCTION("""COMPUTED_VALUE"""),0.9444)</f>
      </c>
      <c r="E575" s="11">
        <f>IFERROR(__xludf.DUMMYFUNCTION("""COMPUTED_VALUE"""),237.58)</f>
      </c>
      <c r="F575" s="10">
        <f>IFERROR(__xludf.DUMMYFUNCTION("""COMPUTED_VALUE"""),0.6111)</f>
      </c>
      <c r="G575" s="11">
        <f>IFERROR(__xludf.DUMMYFUNCTION("""COMPUTED_VALUE"""),503.64)</f>
      </c>
      <c r="H575" s="10">
        <f>IFERROR(__xludf.DUMMYFUNCTION("""COMPUTED_VALUE"""),0.6944)</f>
      </c>
      <c r="I575" s="11">
        <f>IFERROR(__xludf.DUMMYFUNCTION("""COMPUTED_VALUE"""),435.2)</f>
      </c>
      <c r="J575" s="10">
        <f>IFERROR(__xludf.DUMMYFUNCTION("""COMPUTED_VALUE"""),0.7778)</f>
      </c>
      <c r="K575" s="11">
        <f>IFERROR(__xludf.DUMMYFUNCTION("""COMPUTED_VALUE"""),564.29)</f>
      </c>
      <c r="L575" s="10">
        <f>IFERROR(__xludf.DUMMYFUNCTION("""COMPUTED_VALUE"""),0.75)</f>
      </c>
      <c r="M575" s="11">
        <f>IFERROR(__xludf.DUMMYFUNCTION("""COMPUTED_VALUE"""),536.3)</f>
      </c>
      <c r="N575" s="10">
        <f>IFERROR(__xludf.DUMMYFUNCTION("""COMPUTED_VALUE"""),0.75)</f>
      </c>
      <c r="O575" s="11">
        <f>IFERROR(__xludf.DUMMYFUNCTION("""COMPUTED_VALUE"""),573.33)</f>
      </c>
      <c r="P575" s="12"/>
      <c r="Q575" s="12"/>
      <c r="R575" s="15"/>
      <c r="S575" s="12"/>
      <c r="T575" s="12"/>
      <c r="U575" s="12"/>
      <c r="V575" s="12"/>
      <c r="W575" s="12"/>
      <c r="X575" s="12"/>
      <c r="Y575" s="12"/>
      <c r="Z575" s="12"/>
    </row>
    <row x14ac:dyDescent="0.25" r="576" customHeight="1" ht="15.75">
      <c r="A576" s="8">
        <f>IFERROR(__xludf.DUMMYFUNCTION("""COMPUTED_VALUE"""),25863.0)</f>
      </c>
      <c r="B576" s="9">
        <f>IFERROR(__xludf.DUMMYFUNCTION("""COMPUTED_VALUE"""),"METROPOLITANA V")</f>
      </c>
      <c r="C576" s="9">
        <f>IFERROR(__xludf.DUMMYFUNCTION("""COMPUTED_VALUE"""),"CIEP 118 VEREADOR VILSON CAMPOS DE MACEDO")</f>
      </c>
      <c r="D576" s="10">
        <f>IFERROR(__xludf.DUMMYFUNCTION("""COMPUTED_VALUE"""),0.6021)</f>
      </c>
      <c r="E576" s="11">
        <f>IFERROR(__xludf.DUMMYFUNCTION("""COMPUTED_VALUE"""),191.71)</f>
      </c>
      <c r="F576" s="10">
        <f>IFERROR(__xludf.DUMMYFUNCTION("""COMPUTED_VALUE"""),0.5352)</f>
      </c>
      <c r="G576" s="11">
        <f>IFERROR(__xludf.DUMMYFUNCTION("""COMPUTED_VALUE"""),325.31)</f>
      </c>
      <c r="H576" s="10">
        <f>IFERROR(__xludf.DUMMYFUNCTION("""COMPUTED_VALUE"""),0.6825)</f>
      </c>
      <c r="I576" s="11">
        <f>IFERROR(__xludf.DUMMYFUNCTION("""COMPUTED_VALUE"""),234.41)</f>
      </c>
      <c r="J576" s="10">
        <f>IFERROR(__xludf.DUMMYFUNCTION("""COMPUTED_VALUE"""),0.6121)</f>
      </c>
      <c r="K576" s="11">
        <f>IFERROR(__xludf.DUMMYFUNCTION("""COMPUTED_VALUE"""),301.93)</f>
      </c>
      <c r="L576" s="10">
        <f>IFERROR(__xludf.DUMMYFUNCTION("""COMPUTED_VALUE"""),0.3519)</f>
      </c>
      <c r="M576" s="11">
        <f>IFERROR(__xludf.DUMMYFUNCTION("""COMPUTED_VALUE"""),345.27)</f>
      </c>
      <c r="N576" s="10">
        <f>IFERROR(__xludf.DUMMYFUNCTION("""COMPUTED_VALUE"""),0.5794)</f>
      </c>
      <c r="O576" s="11">
        <f>IFERROR(__xludf.DUMMYFUNCTION("""COMPUTED_VALUE"""),340.87)</f>
      </c>
      <c r="P576" s="12"/>
      <c r="Q576" s="12"/>
      <c r="R576" s="15"/>
      <c r="S576" s="12"/>
      <c r="T576" s="12"/>
      <c r="U576" s="12"/>
      <c r="V576" s="12"/>
      <c r="W576" s="12"/>
      <c r="X576" s="12"/>
      <c r="Y576" s="12"/>
      <c r="Z576" s="12"/>
    </row>
    <row x14ac:dyDescent="0.25" r="577" customHeight="1" ht="15.75">
      <c r="A577" s="8">
        <f>IFERROR(__xludf.DUMMYFUNCTION("""COMPUTED_VALUE"""),25864.0)</f>
      </c>
      <c r="B577" s="9">
        <f>IFERROR(__xludf.DUMMYFUNCTION("""COMPUTED_VALUE"""),"METROPOLITANA V")</f>
      </c>
      <c r="C577" s="9">
        <f>IFERROR(__xludf.DUMMYFUNCTION("""COMPUTED_VALUE"""),"CIEP 131 PROFESSORA ARMANDA ALVARO ALBERTO")</f>
      </c>
      <c r="D577" s="10">
        <f>IFERROR(__xludf.DUMMYFUNCTION("""COMPUTED_VALUE"""),0.9227)</f>
      </c>
      <c r="E577" s="11">
        <f>IFERROR(__xludf.DUMMYFUNCTION("""COMPUTED_VALUE"""),151.8)</f>
      </c>
      <c r="F577" s="10">
        <f>IFERROR(__xludf.DUMMYFUNCTION("""COMPUTED_VALUE"""),0.6094)</f>
      </c>
      <c r="G577" s="11">
        <f>IFERROR(__xludf.DUMMYFUNCTION("""COMPUTED_VALUE"""),336.69)</f>
      </c>
      <c r="H577" s="10">
        <f>IFERROR(__xludf.DUMMYFUNCTION("""COMPUTED_VALUE"""),0.6009)</f>
      </c>
      <c r="I577" s="11">
        <f>IFERROR(__xludf.DUMMYFUNCTION("""COMPUTED_VALUE"""),360.58)</f>
      </c>
      <c r="J577" s="10">
        <f>IFERROR(__xludf.DUMMYFUNCTION("""COMPUTED_VALUE"""),0.5365)</f>
      </c>
      <c r="K577" s="11">
        <f>IFERROR(__xludf.DUMMYFUNCTION("""COMPUTED_VALUE"""),255.81)</f>
      </c>
      <c r="L577" s="10">
        <f>IFERROR(__xludf.DUMMYFUNCTION("""COMPUTED_VALUE"""),0.4506)</f>
      </c>
      <c r="M577" s="11">
        <f>IFERROR(__xludf.DUMMYFUNCTION("""COMPUTED_VALUE"""),360.0)</f>
      </c>
      <c r="N577" s="10">
        <f>IFERROR(__xludf.DUMMYFUNCTION("""COMPUTED_VALUE"""),0.4335)</f>
      </c>
      <c r="O577" s="11">
        <f>IFERROR(__xludf.DUMMYFUNCTION("""COMPUTED_VALUE"""),363.23)</f>
      </c>
      <c r="P577" s="12"/>
      <c r="Q577" s="12"/>
      <c r="R577" s="15"/>
      <c r="S577" s="12"/>
      <c r="T577" s="12"/>
      <c r="U577" s="12"/>
      <c r="V577" s="12"/>
      <c r="W577" s="12"/>
      <c r="X577" s="12"/>
      <c r="Y577" s="12"/>
      <c r="Z577" s="12"/>
    </row>
    <row x14ac:dyDescent="0.25" r="578" customHeight="1" ht="15.75">
      <c r="A578" s="8">
        <f>IFERROR(__xludf.DUMMYFUNCTION("""COMPUTED_VALUE"""),25865.0)</f>
      </c>
      <c r="B578" s="9">
        <f>IFERROR(__xludf.DUMMYFUNCTION("""COMPUTED_VALUE"""),"METROPOLITANA V")</f>
      </c>
      <c r="C578" s="9">
        <f>IFERROR(__xludf.DUMMYFUNCTION("""COMPUTED_VALUE"""),"CIEP 171 JOSE AMERICO PESSANHA")</f>
      </c>
      <c r="D578" s="10">
        <f>IFERROR(__xludf.DUMMYFUNCTION("""COMPUTED_VALUE"""),0.7079)</f>
      </c>
      <c r="E578" s="11">
        <f>IFERROR(__xludf.DUMMYFUNCTION("""COMPUTED_VALUE"""),133.33)</f>
      </c>
      <c r="F578" s="10">
        <f>IFERROR(__xludf.DUMMYFUNCTION("""COMPUTED_VALUE"""),0.573)</f>
      </c>
      <c r="G578" s="11">
        <f>IFERROR(__xludf.DUMMYFUNCTION("""COMPUTED_VALUE"""),336.67)</f>
      </c>
      <c r="H578" s="10">
        <f>IFERROR(__xludf.DUMMYFUNCTION("""COMPUTED_VALUE"""),0.573)</f>
      </c>
      <c r="I578" s="11">
        <f>IFERROR(__xludf.DUMMYFUNCTION("""COMPUTED_VALUE"""),379.2)</f>
      </c>
      <c r="J578" s="10">
        <f>IFERROR(__xludf.DUMMYFUNCTION("""COMPUTED_VALUE"""),0.5393)</f>
      </c>
      <c r="K578" s="11">
        <f>IFERROR(__xludf.DUMMYFUNCTION("""COMPUTED_VALUE"""),161.7)</f>
      </c>
      <c r="L578" s="10">
        <f>IFERROR(__xludf.DUMMYFUNCTION("""COMPUTED_VALUE"""),0.5281)</f>
      </c>
      <c r="M578" s="11">
        <f>IFERROR(__xludf.DUMMYFUNCTION("""COMPUTED_VALUE"""),333.91)</f>
      </c>
      <c r="N578" s="10">
        <f>IFERROR(__xludf.DUMMYFUNCTION("""COMPUTED_VALUE"""),0.0)</f>
      </c>
      <c r="O578" s="11">
        <f>IFERROR(__xludf.DUMMYFUNCTION("""COMPUTED_VALUE"""),"----")</f>
      </c>
      <c r="P578" s="12"/>
      <c r="Q578" s="12"/>
      <c r="R578" s="15"/>
      <c r="S578" s="12"/>
      <c r="T578" s="12"/>
      <c r="U578" s="12"/>
      <c r="V578" s="12"/>
      <c r="W578" s="12"/>
      <c r="X578" s="12"/>
      <c r="Y578" s="12"/>
      <c r="Z578" s="12"/>
    </row>
    <row x14ac:dyDescent="0.25" r="579" customHeight="1" ht="15.75">
      <c r="A579" s="8">
        <f>IFERROR(__xludf.DUMMYFUNCTION("""COMPUTED_VALUE"""),25866.0)</f>
      </c>
      <c r="B579" s="9">
        <f>IFERROR(__xludf.DUMMYFUNCTION("""COMPUTED_VALUE"""),"METROPOLITANA V")</f>
      </c>
      <c r="C579" s="9">
        <f>IFERROR(__xludf.DUMMYFUNCTION("""COMPUTED_VALUE"""),"CIEP 176 CHICO MENDES")</f>
      </c>
      <c r="D579" s="10">
        <f>IFERROR(__xludf.DUMMYFUNCTION("""COMPUTED_VALUE"""),0.7692)</f>
      </c>
      <c r="E579" s="11">
        <f>IFERROR(__xludf.DUMMYFUNCTION("""COMPUTED_VALUE"""),249.66)</f>
      </c>
      <c r="F579" s="10">
        <f>IFERROR(__xludf.DUMMYFUNCTION("""COMPUTED_VALUE"""),0.8718)</f>
      </c>
      <c r="G579" s="11">
        <f>IFERROR(__xludf.DUMMYFUNCTION("""COMPUTED_VALUE"""),518.82)</f>
      </c>
      <c r="H579" s="10">
        <f>IFERROR(__xludf.DUMMYFUNCTION("""COMPUTED_VALUE"""),0.8462)</f>
      </c>
      <c r="I579" s="11">
        <f>IFERROR(__xludf.DUMMYFUNCTION("""COMPUTED_VALUE"""),501.82)</f>
      </c>
      <c r="J579" s="10">
        <f>IFERROR(__xludf.DUMMYFUNCTION("""COMPUTED_VALUE"""),0.8974)</f>
      </c>
      <c r="K579" s="11">
        <f>IFERROR(__xludf.DUMMYFUNCTION("""COMPUTED_VALUE"""),396.47)</f>
      </c>
      <c r="L579" s="10">
        <f>IFERROR(__xludf.DUMMYFUNCTION("""COMPUTED_VALUE"""),0.7692)</f>
      </c>
      <c r="M579" s="11">
        <f>IFERROR(__xludf.DUMMYFUNCTION("""COMPUTED_VALUE"""),504.0)</f>
      </c>
      <c r="N579" s="10">
        <f>IFERROR(__xludf.DUMMYFUNCTION("""COMPUTED_VALUE"""),0.8718)</f>
      </c>
      <c r="O579" s="11">
        <f>IFERROR(__xludf.DUMMYFUNCTION("""COMPUTED_VALUE"""),484.85)</f>
      </c>
      <c r="P579" s="12"/>
      <c r="Q579" s="12"/>
      <c r="R579" s="15"/>
      <c r="S579" s="12"/>
      <c r="T579" s="12"/>
      <c r="U579" s="12"/>
      <c r="V579" s="12"/>
      <c r="W579" s="12"/>
      <c r="X579" s="12"/>
      <c r="Y579" s="12"/>
      <c r="Z579" s="12"/>
    </row>
    <row x14ac:dyDescent="0.25" r="580" customHeight="1" ht="15.75">
      <c r="A580" s="8">
        <f>IFERROR(__xludf.DUMMYFUNCTION("""COMPUTED_VALUE"""),25867.0)</f>
      </c>
      <c r="B580" s="9">
        <f>IFERROR(__xludf.DUMMYFUNCTION("""COMPUTED_VALUE"""),"METROPOLITANA V")</f>
      </c>
      <c r="C580" s="9">
        <f>IFERROR(__xludf.DUMMYFUNCTION("""COMPUTED_VALUE"""),"CIEP 198 PROFESSORA ROZA FERREIRA DE MATTOS")</f>
      </c>
      <c r="D580" s="10">
        <f>IFERROR(__xludf.DUMMYFUNCTION("""COMPUTED_VALUE"""),0.6812)</f>
      </c>
      <c r="E580" s="11">
        <f>IFERROR(__xludf.DUMMYFUNCTION("""COMPUTED_VALUE"""),177.02)</f>
      </c>
      <c r="F580" s="10">
        <f>IFERROR(__xludf.DUMMYFUNCTION("""COMPUTED_VALUE"""),0.7101)</f>
      </c>
      <c r="G580" s="11">
        <f>IFERROR(__xludf.DUMMYFUNCTION("""COMPUTED_VALUE"""),364.93)</f>
      </c>
      <c r="H580" s="10">
        <f>IFERROR(__xludf.DUMMYFUNCTION("""COMPUTED_VALUE"""),0.4343)</f>
      </c>
      <c r="I580" s="11">
        <f>IFERROR(__xludf.DUMMYFUNCTION("""COMPUTED_VALUE"""),384.19)</f>
      </c>
      <c r="J580" s="10">
        <f>IFERROR(__xludf.DUMMYFUNCTION("""COMPUTED_VALUE"""),0.6984)</f>
      </c>
      <c r="K580" s="11">
        <f>IFERROR(__xludf.DUMMYFUNCTION("""COMPUTED_VALUE"""),"----")</f>
      </c>
      <c r="L580" s="10">
        <f>IFERROR(__xludf.DUMMYFUNCTION("""COMPUTED_VALUE"""),0.4848)</f>
      </c>
      <c r="M580" s="11">
        <f>IFERROR(__xludf.DUMMYFUNCTION("""COMPUTED_VALUE"""),310.0)</f>
      </c>
      <c r="N580" s="10">
        <f>IFERROR(__xludf.DUMMYFUNCTION("""COMPUTED_VALUE"""),0.0101)</f>
      </c>
      <c r="O580" s="11">
        <f>IFERROR(__xludf.DUMMYFUNCTION("""COMPUTED_VALUE"""),"----")</f>
      </c>
      <c r="P580" s="12"/>
      <c r="Q580" s="12"/>
      <c r="R580" s="15"/>
      <c r="S580" s="12"/>
      <c r="T580" s="12"/>
      <c r="U580" s="12"/>
      <c r="V580" s="12"/>
      <c r="W580" s="12"/>
      <c r="X580" s="12"/>
      <c r="Y580" s="12"/>
      <c r="Z580" s="12"/>
    </row>
    <row x14ac:dyDescent="0.25" r="581" customHeight="1" ht="15.75">
      <c r="A581" s="8">
        <f>IFERROR(__xludf.DUMMYFUNCTION("""COMPUTED_VALUE"""),25868.0)</f>
      </c>
      <c r="B581" s="9">
        <f>IFERROR(__xludf.DUMMYFUNCTION("""COMPUTED_VALUE"""),"METROPOLITANA V")</f>
      </c>
      <c r="C581" s="9">
        <f>IFERROR(__xludf.DUMMYFUNCTION("""COMPUTED_VALUE"""),"CIEP 199 GINÁSIO PÚBLICO CHARLES CHAPLIN")</f>
      </c>
      <c r="D581" s="10">
        <f>IFERROR(__xludf.DUMMYFUNCTION("""COMPUTED_VALUE"""),0.5551)</f>
      </c>
      <c r="E581" s="11">
        <f>IFERROR(__xludf.DUMMYFUNCTION("""COMPUTED_VALUE"""),335.87)</f>
      </c>
      <c r="F581" s="10">
        <f>IFERROR(__xludf.DUMMYFUNCTION("""COMPUTED_VALUE"""),0.5242)</f>
      </c>
      <c r="G581" s="11">
        <f>IFERROR(__xludf.DUMMYFUNCTION("""COMPUTED_VALUE"""),415.41)</f>
      </c>
      <c r="H581" s="10">
        <f>IFERROR(__xludf.DUMMYFUNCTION("""COMPUTED_VALUE"""),0.2727)</f>
      </c>
      <c r="I581" s="11">
        <f>IFERROR(__xludf.DUMMYFUNCTION("""COMPUTED_VALUE"""),385.79)</f>
      </c>
      <c r="J581" s="10">
        <f>IFERROR(__xludf.DUMMYFUNCTION("""COMPUTED_VALUE"""),0.6634)</f>
      </c>
      <c r="K581" s="11">
        <f>IFERROR(__xludf.DUMMYFUNCTION("""COMPUTED_VALUE"""),353.68)</f>
      </c>
      <c r="L581" s="10">
        <f>IFERROR(__xludf.DUMMYFUNCTION("""COMPUTED_VALUE"""),0.428)</f>
      </c>
      <c r="M581" s="11">
        <f>IFERROR(__xludf.DUMMYFUNCTION("""COMPUTED_VALUE"""),419.99)</f>
      </c>
      <c r="N581" s="10">
        <f>IFERROR(__xludf.DUMMYFUNCTION("""COMPUTED_VALUE"""),0.2462)</f>
      </c>
      <c r="O581" s="11">
        <f>IFERROR(__xludf.DUMMYFUNCTION("""COMPUTED_VALUE"""),421.54)</f>
      </c>
      <c r="P581" s="12"/>
      <c r="Q581" s="12"/>
      <c r="R581" s="15"/>
      <c r="S581" s="12"/>
      <c r="T581" s="12"/>
      <c r="U581" s="12"/>
      <c r="V581" s="12"/>
      <c r="W581" s="12"/>
      <c r="X581" s="12"/>
      <c r="Y581" s="12"/>
      <c r="Z581" s="12"/>
    </row>
    <row x14ac:dyDescent="0.25" r="582" customHeight="1" ht="15.75">
      <c r="A582" s="8">
        <f>IFERROR(__xludf.DUMMYFUNCTION("""COMPUTED_VALUE"""),25869.0)</f>
      </c>
      <c r="B582" s="9">
        <f>IFERROR(__xludf.DUMMYFUNCTION("""COMPUTED_VALUE"""),"METROPOLITANA V")</f>
      </c>
      <c r="C582" s="9">
        <f>IFERROR(__xludf.DUMMYFUNCTION("""COMPUTED_VALUE"""),"CIEP 201 AARAO STEINBRUCH")</f>
      </c>
      <c r="D582" s="10">
        <f>IFERROR(__xludf.DUMMYFUNCTION("""COMPUTED_VALUE"""),0.4931)</f>
      </c>
      <c r="E582" s="11">
        <f>IFERROR(__xludf.DUMMYFUNCTION("""COMPUTED_VALUE"""),240.0)</f>
      </c>
      <c r="F582" s="10">
        <f>IFERROR(__xludf.DUMMYFUNCTION("""COMPUTED_VALUE"""),0.3806)</f>
      </c>
      <c r="G582" s="11">
        <f>IFERROR(__xludf.DUMMYFUNCTION("""COMPUTED_VALUE"""),402.07)</f>
      </c>
      <c r="H582" s="10">
        <f>IFERROR(__xludf.DUMMYFUNCTION("""COMPUTED_VALUE"""),0.4056)</f>
      </c>
      <c r="I582" s="11">
        <f>IFERROR(__xludf.DUMMYFUNCTION("""COMPUTED_VALUE"""),421.4)</f>
      </c>
      <c r="J582" s="10">
        <f>IFERROR(__xludf.DUMMYFUNCTION("""COMPUTED_VALUE"""),0.4903)</f>
      </c>
      <c r="K582" s="11">
        <f>IFERROR(__xludf.DUMMYFUNCTION("""COMPUTED_VALUE"""),370.81)</f>
      </c>
      <c r="L582" s="10">
        <f>IFERROR(__xludf.DUMMYFUNCTION("""COMPUTED_VALUE"""),0.2917)</f>
      </c>
      <c r="M582" s="11">
        <f>IFERROR(__xludf.DUMMYFUNCTION("""COMPUTED_VALUE"""),384.47)</f>
      </c>
      <c r="N582" s="10">
        <f>IFERROR(__xludf.DUMMYFUNCTION("""COMPUTED_VALUE"""),0.2403)</f>
      </c>
      <c r="O582" s="11">
        <f>IFERROR(__xludf.DUMMYFUNCTION("""COMPUTED_VALUE"""),414.1)</f>
      </c>
      <c r="P582" s="12"/>
      <c r="Q582" s="12"/>
      <c r="R582" s="15"/>
      <c r="S582" s="12"/>
      <c r="T582" s="12"/>
      <c r="U582" s="12"/>
      <c r="V582" s="12"/>
      <c r="W582" s="12"/>
      <c r="X582" s="12"/>
      <c r="Y582" s="12"/>
      <c r="Z582" s="12"/>
    </row>
    <row x14ac:dyDescent="0.25" r="583" customHeight="1" ht="15.75">
      <c r="A583" s="8">
        <f>IFERROR(__xludf.DUMMYFUNCTION("""COMPUTED_VALUE"""),25870.0)</f>
      </c>
      <c r="B583" s="9">
        <f>IFERROR(__xludf.DUMMYFUNCTION("""COMPUTED_VALUE"""),"METROPOLITANA V")</f>
      </c>
      <c r="C583" s="9">
        <f>IFERROR(__xludf.DUMMYFUNCTION("""COMPUTED_VALUE"""),"CIEP 208 ALCEU AMOROSO LIMA")</f>
      </c>
      <c r="D583" s="10">
        <f>IFERROR(__xludf.DUMMYFUNCTION("""COMPUTED_VALUE"""),0.8405)</f>
      </c>
      <c r="E583" s="11">
        <f>IFERROR(__xludf.DUMMYFUNCTION("""COMPUTED_VALUE"""),159.71)</f>
      </c>
      <c r="F583" s="10">
        <f>IFERROR(__xludf.DUMMYFUNCTION("""COMPUTED_VALUE"""),0.589)</f>
      </c>
      <c r="G583" s="11">
        <f>IFERROR(__xludf.DUMMYFUNCTION("""COMPUTED_VALUE"""),362.53)</f>
      </c>
      <c r="H583" s="10">
        <f>IFERROR(__xludf.DUMMYFUNCTION("""COMPUTED_VALUE"""),0.4969)</f>
      </c>
      <c r="I583" s="11">
        <f>IFERROR(__xludf.DUMMYFUNCTION("""COMPUTED_VALUE"""),427.16)</f>
      </c>
      <c r="J583" s="10">
        <f>IFERROR(__xludf.DUMMYFUNCTION("""COMPUTED_VALUE"""),0.4847)</f>
      </c>
      <c r="K583" s="11">
        <f>IFERROR(__xludf.DUMMYFUNCTION("""COMPUTED_VALUE"""),276.41)</f>
      </c>
      <c r="L583" s="10">
        <f>IFERROR(__xludf.DUMMYFUNCTION("""COMPUTED_VALUE"""),0.319)</f>
      </c>
      <c r="M583" s="11">
        <f>IFERROR(__xludf.DUMMYFUNCTION("""COMPUTED_VALUE"""),360.78)</f>
      </c>
      <c r="N583" s="10">
        <f>IFERROR(__xludf.DUMMYFUNCTION("""COMPUTED_VALUE"""),0.4724)</f>
      </c>
      <c r="O583" s="11">
        <f>IFERROR(__xludf.DUMMYFUNCTION("""COMPUTED_VALUE"""),350.0)</f>
      </c>
      <c r="P583" s="12"/>
      <c r="Q583" s="12"/>
      <c r="R583" s="15"/>
      <c r="S583" s="12"/>
      <c r="T583" s="12"/>
      <c r="U583" s="12"/>
      <c r="V583" s="12"/>
      <c r="W583" s="12"/>
      <c r="X583" s="12"/>
      <c r="Y583" s="12"/>
      <c r="Z583" s="12"/>
    </row>
    <row x14ac:dyDescent="0.25" r="584" customHeight="1" ht="15.75">
      <c r="A584" s="8">
        <f>IFERROR(__xludf.DUMMYFUNCTION("""COMPUTED_VALUE"""),25872.0)</f>
      </c>
      <c r="B584" s="9">
        <f>IFERROR(__xludf.DUMMYFUNCTION("""COMPUTED_VALUE"""),"METROPOLITANA V")</f>
      </c>
      <c r="C584" s="9">
        <f>IFERROR(__xludf.DUMMYFUNCTION("""COMPUTED_VALUE"""),"CIEP 218 MINISTRO HERMES LIMA BRASIL-TURQUIA")</f>
      </c>
      <c r="D584" s="10">
        <f>IFERROR(__xludf.DUMMYFUNCTION("""COMPUTED_VALUE"""),1.0)</f>
      </c>
      <c r="E584" s="11">
        <f>IFERROR(__xludf.DUMMYFUNCTION("""COMPUTED_VALUE"""),428.89)</f>
      </c>
      <c r="F584" s="10">
        <f>IFERROR(__xludf.DUMMYFUNCTION("""COMPUTED_VALUE"""),0.9829)</f>
      </c>
      <c r="G584" s="11">
        <f>IFERROR(__xludf.DUMMYFUNCTION("""COMPUTED_VALUE"""),520.52)</f>
      </c>
      <c r="H584" s="10">
        <f>IFERROR(__xludf.DUMMYFUNCTION("""COMPUTED_VALUE"""),0.9145)</f>
      </c>
      <c r="I584" s="11">
        <f>IFERROR(__xludf.DUMMYFUNCTION("""COMPUTED_VALUE"""),550.42)</f>
      </c>
      <c r="J584" s="10">
        <f>IFERROR(__xludf.DUMMYFUNCTION("""COMPUTED_VALUE"""),0.9744)</f>
      </c>
      <c r="K584" s="11">
        <f>IFERROR(__xludf.DUMMYFUNCTION("""COMPUTED_VALUE"""),472.04)</f>
      </c>
      <c r="L584" s="10">
        <f>IFERROR(__xludf.DUMMYFUNCTION("""COMPUTED_VALUE"""),0.9615)</f>
      </c>
      <c r="M584" s="11">
        <f>IFERROR(__xludf.DUMMYFUNCTION("""COMPUTED_VALUE"""),555.36)</f>
      </c>
      <c r="N584" s="10">
        <f>IFERROR(__xludf.DUMMYFUNCTION("""COMPUTED_VALUE"""),0.9316)</f>
      </c>
      <c r="O584" s="11">
        <f>IFERROR(__xludf.DUMMYFUNCTION("""COMPUTED_VALUE"""),546.73)</f>
      </c>
      <c r="P584" s="12"/>
      <c r="Q584" s="12"/>
      <c r="R584" s="15"/>
      <c r="S584" s="12"/>
      <c r="T584" s="12"/>
      <c r="U584" s="12"/>
      <c r="V584" s="12"/>
      <c r="W584" s="12"/>
      <c r="X584" s="12"/>
      <c r="Y584" s="12"/>
      <c r="Z584" s="12"/>
    </row>
    <row x14ac:dyDescent="0.25" r="585" customHeight="1" ht="15.75">
      <c r="A585" s="8">
        <f>IFERROR(__xludf.DUMMYFUNCTION("""COMPUTED_VALUE"""),25873.0)</f>
      </c>
      <c r="B585" s="9">
        <f>IFERROR(__xludf.DUMMYFUNCTION("""COMPUTED_VALUE"""),"METROPOLITANA V")</f>
      </c>
      <c r="C585" s="9">
        <f>IFERROR(__xludf.DUMMYFUNCTION("""COMPUTED_VALUE"""),"CIEP 226 PORTO DA ESTRELA")</f>
      </c>
      <c r="D585" s="10">
        <f>IFERROR(__xludf.DUMMYFUNCTION("""COMPUTED_VALUE"""),0.8824)</f>
      </c>
      <c r="E585" s="11">
        <f>IFERROR(__xludf.DUMMYFUNCTION("""COMPUTED_VALUE"""),213.33)</f>
      </c>
      <c r="F585" s="10">
        <f>IFERROR(__xludf.DUMMYFUNCTION("""COMPUTED_VALUE"""),0.6667)</f>
      </c>
      <c r="G585" s="11">
        <f>IFERROR(__xludf.DUMMYFUNCTION("""COMPUTED_VALUE"""),376.47)</f>
      </c>
      <c r="H585" s="10">
        <f>IFERROR(__xludf.DUMMYFUNCTION("""COMPUTED_VALUE"""),0.6667)</f>
      </c>
      <c r="I585" s="11">
        <f>IFERROR(__xludf.DUMMYFUNCTION("""COMPUTED_VALUE"""),389.41)</f>
      </c>
      <c r="J585" s="10">
        <f>IFERROR(__xludf.DUMMYFUNCTION("""COMPUTED_VALUE"""),0.7451)</f>
      </c>
      <c r="K585" s="11">
        <f>IFERROR(__xludf.DUMMYFUNCTION("""COMPUTED_VALUE"""),303.78)</f>
      </c>
      <c r="L585" s="10">
        <f>IFERROR(__xludf.DUMMYFUNCTION("""COMPUTED_VALUE"""),0.6667)</f>
      </c>
      <c r="M585" s="11">
        <f>IFERROR(__xludf.DUMMYFUNCTION("""COMPUTED_VALUE"""),383.53)</f>
      </c>
      <c r="N585" s="10">
        <f>IFERROR(__xludf.DUMMYFUNCTION("""COMPUTED_VALUE"""),0.6667)</f>
      </c>
      <c r="O585" s="11">
        <f>IFERROR(__xludf.DUMMYFUNCTION("""COMPUTED_VALUE"""),390.59)</f>
      </c>
      <c r="P585" s="12"/>
      <c r="Q585" s="12"/>
      <c r="R585" s="15"/>
      <c r="S585" s="12"/>
      <c r="T585" s="12"/>
      <c r="U585" s="12"/>
      <c r="V585" s="12"/>
      <c r="W585" s="12"/>
      <c r="X585" s="12"/>
      <c r="Y585" s="12"/>
      <c r="Z585" s="12"/>
    </row>
    <row x14ac:dyDescent="0.25" r="586" customHeight="1" ht="15.75">
      <c r="A586" s="8">
        <f>IFERROR(__xludf.DUMMYFUNCTION("""COMPUTED_VALUE"""),25874.0)</f>
      </c>
      <c r="B586" s="9">
        <f>IFERROR(__xludf.DUMMYFUNCTION("""COMPUTED_VALUE"""),"METROPOLITANA V")</f>
      </c>
      <c r="C586" s="9">
        <f>IFERROR(__xludf.DUMMYFUNCTION("""COMPUTED_VALUE"""),"CIEP 228 DARCY VARGAS")</f>
      </c>
      <c r="D586" s="10">
        <f>IFERROR(__xludf.DUMMYFUNCTION("""COMPUTED_VALUE"""),0.649)</f>
      </c>
      <c r="E586" s="11">
        <f>IFERROR(__xludf.DUMMYFUNCTION("""COMPUTED_VALUE"""),170.67)</f>
      </c>
      <c r="F586" s="10">
        <f>IFERROR(__xludf.DUMMYFUNCTION("""COMPUTED_VALUE"""),0.5433)</f>
      </c>
      <c r="G586" s="11">
        <f>IFERROR(__xludf.DUMMYFUNCTION("""COMPUTED_VALUE"""),335.5)</f>
      </c>
      <c r="H586" s="10">
        <f>IFERROR(__xludf.DUMMYFUNCTION("""COMPUTED_VALUE"""),0.5625)</f>
      </c>
      <c r="I586" s="11">
        <f>IFERROR(__xludf.DUMMYFUNCTION("""COMPUTED_VALUE"""),357.58)</f>
      </c>
      <c r="J586" s="10">
        <f>IFERROR(__xludf.DUMMYFUNCTION("""COMPUTED_VALUE"""),0.4519)</f>
      </c>
      <c r="K586" s="11">
        <f>IFERROR(__xludf.DUMMYFUNCTION("""COMPUTED_VALUE"""),234.82)</f>
      </c>
      <c r="L586" s="10">
        <f>IFERROR(__xludf.DUMMYFUNCTION("""COMPUTED_VALUE"""),0.5673)</f>
      </c>
      <c r="M586" s="11">
        <f>IFERROR(__xludf.DUMMYFUNCTION("""COMPUTED_VALUE"""),289.48)</f>
      </c>
      <c r="N586" s="10">
        <f>IFERROR(__xludf.DUMMYFUNCTION("""COMPUTED_VALUE"""),0.5144)</f>
      </c>
      <c r="O586" s="11">
        <f>IFERROR(__xludf.DUMMYFUNCTION("""COMPUTED_VALUE"""),356.26)</f>
      </c>
      <c r="P586" s="12"/>
      <c r="Q586" s="12"/>
      <c r="R586" s="15"/>
      <c r="S586" s="12"/>
      <c r="T586" s="12"/>
      <c r="U586" s="12"/>
      <c r="V586" s="12"/>
      <c r="W586" s="12"/>
      <c r="X586" s="12"/>
      <c r="Y586" s="12"/>
      <c r="Z586" s="12"/>
    </row>
    <row x14ac:dyDescent="0.25" r="587" customHeight="1" ht="15.75">
      <c r="A587" s="8">
        <f>IFERROR(__xludf.DUMMYFUNCTION("""COMPUTED_VALUE"""),25875.0)</f>
      </c>
      <c r="B587" s="9">
        <f>IFERROR(__xludf.DUMMYFUNCTION("""COMPUTED_VALUE"""),"METROPOLITANA V")</f>
      </c>
      <c r="C587" s="9">
        <f>IFERROR(__xludf.DUMMYFUNCTION("""COMPUTED_VALUE"""),"CIEP 229 CANDIDO PORTINARI")</f>
      </c>
      <c r="D587" s="10">
        <f>IFERROR(__xludf.DUMMYFUNCTION("""COMPUTED_VALUE"""),0.9227)</f>
      </c>
      <c r="E587" s="11">
        <f>IFERROR(__xludf.DUMMYFUNCTION("""COMPUTED_VALUE"""),106.47)</f>
      </c>
      <c r="F587" s="10">
        <f>IFERROR(__xludf.DUMMYFUNCTION("""COMPUTED_VALUE"""),0.6652)</f>
      </c>
      <c r="G587" s="11">
        <f>IFERROR(__xludf.DUMMYFUNCTION("""COMPUTED_VALUE"""),290.98)</f>
      </c>
      <c r="H587" s="10">
        <f>IFERROR(__xludf.DUMMYFUNCTION("""COMPUTED_VALUE"""),0.5714)</f>
      </c>
      <c r="I587" s="11">
        <f>IFERROR(__xludf.DUMMYFUNCTION("""COMPUTED_VALUE"""),375.27)</f>
      </c>
      <c r="J587" s="10">
        <f>IFERROR(__xludf.DUMMYFUNCTION("""COMPUTED_VALUE"""),0.5741)</f>
      </c>
      <c r="K587" s="11">
        <f>IFERROR(__xludf.DUMMYFUNCTION("""COMPUTED_VALUE"""),"----")</f>
      </c>
      <c r="L587" s="10">
        <f>IFERROR(__xludf.DUMMYFUNCTION("""COMPUTED_VALUE"""),0.527)</f>
      </c>
      <c r="M587" s="11">
        <f>IFERROR(__xludf.DUMMYFUNCTION("""COMPUTED_VALUE"""),363.59)</f>
      </c>
      <c r="N587" s="10">
        <f>IFERROR(__xludf.DUMMYFUNCTION("""COMPUTED_VALUE"""),0.0032)</f>
      </c>
      <c r="O587" s="11">
        <f>IFERROR(__xludf.DUMMYFUNCTION("""COMPUTED_VALUE"""),"----")</f>
      </c>
      <c r="P587" s="12"/>
      <c r="Q587" s="12"/>
      <c r="R587" s="15"/>
      <c r="S587" s="12"/>
      <c r="T587" s="12"/>
      <c r="U587" s="12"/>
      <c r="V587" s="12"/>
      <c r="W587" s="12"/>
      <c r="X587" s="12"/>
      <c r="Y587" s="12"/>
      <c r="Z587" s="12"/>
    </row>
    <row x14ac:dyDescent="0.25" r="588" customHeight="1" ht="15.75">
      <c r="A588" s="8">
        <f>IFERROR(__xludf.DUMMYFUNCTION("""COMPUTED_VALUE"""),25876.0)</f>
      </c>
      <c r="B588" s="9">
        <f>IFERROR(__xludf.DUMMYFUNCTION("""COMPUTED_VALUE"""),"METROPOLITANA V")</f>
      </c>
      <c r="C588" s="9">
        <f>IFERROR(__xludf.DUMMYFUNCTION("""COMPUTED_VALUE"""),"CIEP 320 ERCILIA ANTONIA DA SILVA")</f>
      </c>
      <c r="D588" s="10">
        <f>IFERROR(__xludf.DUMMYFUNCTION("""COMPUTED_VALUE"""),0.9451)</f>
      </c>
      <c r="E588" s="11">
        <f>IFERROR(__xludf.DUMMYFUNCTION("""COMPUTED_VALUE"""),153.38)</f>
      </c>
      <c r="F588" s="10">
        <f>IFERROR(__xludf.DUMMYFUNCTION("""COMPUTED_VALUE"""),0.4695)</f>
      </c>
      <c r="G588" s="11">
        <f>IFERROR(__xludf.DUMMYFUNCTION("""COMPUTED_VALUE"""),378.01)</f>
      </c>
      <c r="H588" s="10">
        <f>IFERROR(__xludf.DUMMYFUNCTION("""COMPUTED_VALUE"""),0.436)</f>
      </c>
      <c r="I588" s="11">
        <f>IFERROR(__xludf.DUMMYFUNCTION("""COMPUTED_VALUE"""),429.64)</f>
      </c>
      <c r="J588" s="10">
        <f>IFERROR(__xludf.DUMMYFUNCTION("""COMPUTED_VALUE"""),0.5579)</f>
      </c>
      <c r="K588" s="11">
        <f>IFERROR(__xludf.DUMMYFUNCTION("""COMPUTED_VALUE"""),216.48)</f>
      </c>
      <c r="L588" s="10">
        <f>IFERROR(__xludf.DUMMYFUNCTION("""COMPUTED_VALUE"""),0.4787)</f>
      </c>
      <c r="M588" s="11">
        <f>IFERROR(__xludf.DUMMYFUNCTION("""COMPUTED_VALUE"""),435.32)</f>
      </c>
      <c r="N588" s="10">
        <f>IFERROR(__xludf.DUMMYFUNCTION("""COMPUTED_VALUE"""),0.436)</f>
      </c>
      <c r="O588" s="11">
        <f>IFERROR(__xludf.DUMMYFUNCTION("""COMPUTED_VALUE"""),450.14)</f>
      </c>
      <c r="P588" s="12"/>
      <c r="Q588" s="12"/>
      <c r="R588" s="15"/>
      <c r="S588" s="12"/>
      <c r="T588" s="12"/>
      <c r="U588" s="12"/>
      <c r="V588" s="12"/>
      <c r="W588" s="12"/>
      <c r="X588" s="12"/>
      <c r="Y588" s="12"/>
      <c r="Z588" s="12"/>
    </row>
    <row x14ac:dyDescent="0.25" r="589" customHeight="1" ht="15.75">
      <c r="A589" s="8">
        <f>IFERROR(__xludf.DUMMYFUNCTION("""COMPUTED_VALUE"""),25877.0)</f>
      </c>
      <c r="B589" s="9">
        <f>IFERROR(__xludf.DUMMYFUNCTION("""COMPUTED_VALUE"""),"METROPOLITANA V")</f>
      </c>
      <c r="C589" s="9">
        <f>IFERROR(__xludf.DUMMYFUNCTION("""COMPUTED_VALUE"""),"CIEP 340 PROFESSORA LAIS MARTINS")</f>
      </c>
      <c r="D589" s="10">
        <f>IFERROR(__xludf.DUMMYFUNCTION("""COMPUTED_VALUE"""),0.8238)</f>
      </c>
      <c r="E589" s="11">
        <f>IFERROR(__xludf.DUMMYFUNCTION("""COMPUTED_VALUE"""),321.61)</f>
      </c>
      <c r="F589" s="10">
        <f>IFERROR(__xludf.DUMMYFUNCTION("""COMPUTED_VALUE"""),0.6311)</f>
      </c>
      <c r="G589" s="11">
        <f>IFERROR(__xludf.DUMMYFUNCTION("""COMPUTED_VALUE"""),407.27)</f>
      </c>
      <c r="H589" s="10">
        <f>IFERROR(__xludf.DUMMYFUNCTION("""COMPUTED_VALUE"""),0.7283)</f>
      </c>
      <c r="I589" s="11">
        <f>IFERROR(__xludf.DUMMYFUNCTION("""COMPUTED_VALUE"""),478.99)</f>
      </c>
      <c r="J589" s="10">
        <f>IFERROR(__xludf.DUMMYFUNCTION("""COMPUTED_VALUE"""),0.6775)</f>
      </c>
      <c r="K589" s="11">
        <f>IFERROR(__xludf.DUMMYFUNCTION("""COMPUTED_VALUE"""),408.6)</f>
      </c>
      <c r="L589" s="10">
        <f>IFERROR(__xludf.DUMMYFUNCTION("""COMPUTED_VALUE"""),0.5181)</f>
      </c>
      <c r="M589" s="11">
        <f>IFERROR(__xludf.DUMMYFUNCTION("""COMPUTED_VALUE"""),445.39)</f>
      </c>
      <c r="N589" s="10">
        <f>IFERROR(__xludf.DUMMYFUNCTION("""COMPUTED_VALUE"""),0.5652)</f>
      </c>
      <c r="O589" s="11">
        <f>IFERROR(__xludf.DUMMYFUNCTION("""COMPUTED_VALUE"""),474.1)</f>
      </c>
      <c r="P589" s="12"/>
      <c r="Q589" s="12"/>
      <c r="R589" s="15"/>
      <c r="S589" s="12"/>
      <c r="T589" s="12"/>
      <c r="U589" s="12"/>
      <c r="V589" s="12"/>
      <c r="W589" s="12"/>
      <c r="X589" s="12"/>
      <c r="Y589" s="12"/>
      <c r="Z589" s="12"/>
    </row>
    <row x14ac:dyDescent="0.25" r="590" customHeight="1" ht="15.75">
      <c r="A590" s="8">
        <f>IFERROR(__xludf.DUMMYFUNCTION("""COMPUTED_VALUE"""),25878.0)</f>
      </c>
      <c r="B590" s="9">
        <f>IFERROR(__xludf.DUMMYFUNCTION("""COMPUTED_VALUE"""),"METROPOLITANA V")</f>
      </c>
      <c r="C590" s="9">
        <f>IFERROR(__xludf.DUMMYFUNCTION("""COMPUTED_VALUE"""),"CIEP 348 EUGENIA MOREYRA")</f>
      </c>
      <c r="D590" s="10">
        <f>IFERROR(__xludf.DUMMYFUNCTION("""COMPUTED_VALUE"""),0.7727)</f>
      </c>
      <c r="E590" s="11">
        <f>IFERROR(__xludf.DUMMYFUNCTION("""COMPUTED_VALUE"""),206.93)</f>
      </c>
      <c r="F590" s="10">
        <f>IFERROR(__xludf.DUMMYFUNCTION("""COMPUTED_VALUE"""),0.601)</f>
      </c>
      <c r="G590" s="11">
        <f>IFERROR(__xludf.DUMMYFUNCTION("""COMPUTED_VALUE"""),355.09)</f>
      </c>
      <c r="H590" s="10">
        <f>IFERROR(__xludf.DUMMYFUNCTION("""COMPUTED_VALUE"""),0.7323)</f>
      </c>
      <c r="I590" s="11">
        <f>IFERROR(__xludf.DUMMYFUNCTION("""COMPUTED_VALUE"""),410.07)</f>
      </c>
      <c r="J590" s="10">
        <f>IFERROR(__xludf.DUMMYFUNCTION("""COMPUTED_VALUE"""),0.6263)</f>
      </c>
      <c r="K590" s="11">
        <f>IFERROR(__xludf.DUMMYFUNCTION("""COMPUTED_VALUE"""),264.0)</f>
      </c>
      <c r="L590" s="10">
        <f>IFERROR(__xludf.DUMMYFUNCTION("""COMPUTED_VALUE"""),0.6364)</f>
      </c>
      <c r="M590" s="11">
        <f>IFERROR(__xludf.DUMMYFUNCTION("""COMPUTED_VALUE"""),393.6)</f>
      </c>
      <c r="N590" s="10">
        <f>IFERROR(__xludf.DUMMYFUNCTION("""COMPUTED_VALUE"""),0.5556)</f>
      </c>
      <c r="O590" s="11">
        <f>IFERROR(__xludf.DUMMYFUNCTION("""COMPUTED_VALUE"""),416.51)</f>
      </c>
      <c r="P590" s="12"/>
      <c r="Q590" s="12"/>
      <c r="R590" s="15"/>
      <c r="S590" s="12"/>
      <c r="T590" s="12"/>
      <c r="U590" s="12"/>
      <c r="V590" s="12"/>
      <c r="W590" s="12"/>
      <c r="X590" s="12"/>
      <c r="Y590" s="12"/>
      <c r="Z590" s="12"/>
    </row>
    <row x14ac:dyDescent="0.25" r="591" customHeight="1" ht="15.75">
      <c r="A591" s="8">
        <f>IFERROR(__xludf.DUMMYFUNCTION("""COMPUTED_VALUE"""),25879.0)</f>
      </c>
      <c r="B591" s="9">
        <f>IFERROR(__xludf.DUMMYFUNCTION("""COMPUTED_VALUE"""),"METROPOLITANA V")</f>
      </c>
      <c r="C591" s="9">
        <f>IFERROR(__xludf.DUMMYFUNCTION("""COMPUTED_VALUE"""),"CIEP 350 TULIO ROBERTO QUINTILIANO CARDOSO")</f>
      </c>
      <c r="D591" s="10">
        <f>IFERROR(__xludf.DUMMYFUNCTION("""COMPUTED_VALUE"""),0.9405)</f>
      </c>
      <c r="E591" s="11">
        <f>IFERROR(__xludf.DUMMYFUNCTION("""COMPUTED_VALUE"""),213.16)</f>
      </c>
      <c r="F591" s="10">
        <f>IFERROR(__xludf.DUMMYFUNCTION("""COMPUTED_VALUE"""),0.7024)</f>
      </c>
      <c r="G591" s="11">
        <f>IFERROR(__xludf.DUMMYFUNCTION("""COMPUTED_VALUE"""),360.34)</f>
      </c>
      <c r="H591" s="10">
        <f>IFERROR(__xludf.DUMMYFUNCTION("""COMPUTED_VALUE"""),0.6845)</f>
      </c>
      <c r="I591" s="11">
        <f>IFERROR(__xludf.DUMMYFUNCTION("""COMPUTED_VALUE"""),361.04)</f>
      </c>
      <c r="J591" s="10">
        <f>IFERROR(__xludf.DUMMYFUNCTION("""COMPUTED_VALUE"""),0.8274)</f>
      </c>
      <c r="K591" s="11">
        <f>IFERROR(__xludf.DUMMYFUNCTION("""COMPUTED_VALUE"""),264.89)</f>
      </c>
      <c r="L591" s="10">
        <f>IFERROR(__xludf.DUMMYFUNCTION("""COMPUTED_VALUE"""),0.6964)</f>
      </c>
      <c r="M591" s="11">
        <f>IFERROR(__xludf.DUMMYFUNCTION("""COMPUTED_VALUE"""),331.62)</f>
      </c>
      <c r="N591" s="10">
        <f>IFERROR(__xludf.DUMMYFUNCTION("""COMPUTED_VALUE"""),0.6667)</f>
      </c>
      <c r="O591" s="11">
        <f>IFERROR(__xludf.DUMMYFUNCTION("""COMPUTED_VALUE"""),323.67)</f>
      </c>
      <c r="P591" s="12"/>
      <c r="Q591" s="12"/>
      <c r="R591" s="15"/>
      <c r="S591" s="12"/>
      <c r="T591" s="12"/>
      <c r="U591" s="12"/>
      <c r="V591" s="12"/>
      <c r="W591" s="12"/>
      <c r="X591" s="12"/>
      <c r="Y591" s="12"/>
      <c r="Z591" s="12"/>
    </row>
    <row x14ac:dyDescent="0.25" r="592" customHeight="1" ht="15.75">
      <c r="A592" s="8">
        <f>IFERROR(__xludf.DUMMYFUNCTION("""COMPUTED_VALUE"""),25880.0)</f>
      </c>
      <c r="B592" s="9">
        <f>IFERROR(__xludf.DUMMYFUNCTION("""COMPUTED_VALUE"""),"METROPOLITANA V")</f>
      </c>
      <c r="C592" s="9">
        <f>IFERROR(__xludf.DUMMYFUNCTION("""COMPUTED_VALUE"""),"CIEP 369 JORNALISTA SANDRO MOREYRA")</f>
      </c>
      <c r="D592" s="10">
        <f>IFERROR(__xludf.DUMMYFUNCTION("""COMPUTED_VALUE"""),0.7794)</f>
      </c>
      <c r="E592" s="11">
        <f>IFERROR(__xludf.DUMMYFUNCTION("""COMPUTED_VALUE"""),263.03)</f>
      </c>
      <c r="F592" s="10">
        <f>IFERROR(__xludf.DUMMYFUNCTION("""COMPUTED_VALUE"""),0.5301)</f>
      </c>
      <c r="G592" s="11">
        <f>IFERROR(__xludf.DUMMYFUNCTION("""COMPUTED_VALUE"""),368.37)</f>
      </c>
      <c r="H592" s="10">
        <f>IFERROR(__xludf.DUMMYFUNCTION("""COMPUTED_VALUE"""),0.8065)</f>
      </c>
      <c r="I592" s="11">
        <f>IFERROR(__xludf.DUMMYFUNCTION("""COMPUTED_VALUE"""),281.41)</f>
      </c>
      <c r="J592" s="10">
        <f>IFERROR(__xludf.DUMMYFUNCTION("""COMPUTED_VALUE"""),0.5762)</f>
      </c>
      <c r="K592" s="11">
        <f>IFERROR(__xludf.DUMMYFUNCTION("""COMPUTED_VALUE"""),361.66)</f>
      </c>
      <c r="L592" s="10">
        <f>IFERROR(__xludf.DUMMYFUNCTION("""COMPUTED_VALUE"""),0.3623)</f>
      </c>
      <c r="M592" s="11">
        <f>IFERROR(__xludf.DUMMYFUNCTION("""COMPUTED_VALUE"""),446.9)</f>
      </c>
      <c r="N592" s="10">
        <f>IFERROR(__xludf.DUMMYFUNCTION("""COMPUTED_VALUE"""),0.6576)</f>
      </c>
      <c r="O592" s="11">
        <f>IFERROR(__xludf.DUMMYFUNCTION("""COMPUTED_VALUE"""),277.89)</f>
      </c>
      <c r="P592" s="12"/>
      <c r="Q592" s="12"/>
      <c r="R592" s="15"/>
      <c r="S592" s="12"/>
      <c r="T592" s="12"/>
      <c r="U592" s="12"/>
      <c r="V592" s="12"/>
      <c r="W592" s="12"/>
      <c r="X592" s="12"/>
      <c r="Y592" s="12"/>
      <c r="Z592" s="12"/>
    </row>
    <row x14ac:dyDescent="0.25" r="593" customHeight="1" ht="15.75">
      <c r="A593" s="8">
        <f>IFERROR(__xludf.DUMMYFUNCTION("""COMPUTED_VALUE"""),25881.0)</f>
      </c>
      <c r="B593" s="9">
        <f>IFERROR(__xludf.DUMMYFUNCTION("""COMPUTED_VALUE"""),"METROPOLITANA V")</f>
      </c>
      <c r="C593" s="9">
        <f>IFERROR(__xludf.DUMMYFUNCTION("""COMPUTED_VALUE"""),"CIEP 370 PROFESSOR SYLVIO GNECCO DE CARVALHO - BRASIL-MÉXICO")</f>
      </c>
      <c r="D593" s="10">
        <f>IFERROR(__xludf.DUMMYFUNCTION("""COMPUTED_VALUE"""),0.6538)</f>
      </c>
      <c r="E593" s="11">
        <f>IFERROR(__xludf.DUMMYFUNCTION("""COMPUTED_VALUE"""),152.94)</f>
      </c>
      <c r="F593" s="10">
        <f>IFERROR(__xludf.DUMMYFUNCTION("""COMPUTED_VALUE"""),0.6154)</f>
      </c>
      <c r="G593" s="11">
        <f>IFERROR(__xludf.DUMMYFUNCTION("""COMPUTED_VALUE"""),360.84)</f>
      </c>
      <c r="H593" s="10">
        <f>IFERROR(__xludf.DUMMYFUNCTION("""COMPUTED_VALUE"""),0.4048)</f>
      </c>
      <c r="I593" s="11">
        <f>IFERROR(__xludf.DUMMYFUNCTION("""COMPUTED_VALUE"""),329.41)</f>
      </c>
      <c r="J593" s="10">
        <f>IFERROR(__xludf.DUMMYFUNCTION("""COMPUTED_VALUE"""),0.6818)</f>
      </c>
      <c r="K593" s="11">
        <f>IFERROR(__xludf.DUMMYFUNCTION("""COMPUTED_VALUE"""),306.66)</f>
      </c>
      <c r="L593" s="10">
        <f>IFERROR(__xludf.DUMMYFUNCTION("""COMPUTED_VALUE"""),0.2381)</f>
      </c>
      <c r="M593" s="11">
        <f>IFERROR(__xludf.DUMMYFUNCTION("""COMPUTED_VALUE"""),404.0)</f>
      </c>
      <c r="N593" s="10">
        <f>IFERROR(__xludf.DUMMYFUNCTION("""COMPUTED_VALUE"""),0.2381)</f>
      </c>
      <c r="O593" s="11">
        <f>IFERROR(__xludf.DUMMYFUNCTION("""COMPUTED_VALUE"""),"----")</f>
      </c>
      <c r="P593" s="12"/>
      <c r="Q593" s="12"/>
      <c r="R593" s="15"/>
      <c r="S593" s="12"/>
      <c r="T593" s="12"/>
      <c r="U593" s="12"/>
      <c r="V593" s="12"/>
      <c r="W593" s="12"/>
      <c r="X593" s="12"/>
      <c r="Y593" s="12"/>
      <c r="Z593" s="12"/>
    </row>
    <row x14ac:dyDescent="0.25" r="594" customHeight="1" ht="15.75">
      <c r="A594" s="8">
        <f>IFERROR(__xludf.DUMMYFUNCTION("""COMPUTED_VALUE"""),25882.0)</f>
      </c>
      <c r="B594" s="9">
        <f>IFERROR(__xludf.DUMMYFUNCTION("""COMPUTED_VALUE"""),"METROPOLITANA V")</f>
      </c>
      <c r="C594" s="9">
        <f>IFERROR(__xludf.DUMMYFUNCTION("""COMPUTED_VALUE"""),"CIEP 404 CLARICE LISPECTOR")</f>
      </c>
      <c r="D594" s="10">
        <f>IFERROR(__xludf.DUMMYFUNCTION("""COMPUTED_VALUE"""),0.892)</f>
      </c>
      <c r="E594" s="11">
        <f>IFERROR(__xludf.DUMMYFUNCTION("""COMPUTED_VALUE"""),195.03)</f>
      </c>
      <c r="F594" s="10">
        <f>IFERROR(__xludf.DUMMYFUNCTION("""COMPUTED_VALUE"""),0.6244)</f>
      </c>
      <c r="G594" s="11">
        <f>IFERROR(__xludf.DUMMYFUNCTION("""COMPUTED_VALUE"""),391.82)</f>
      </c>
      <c r="H594" s="10">
        <f>IFERROR(__xludf.DUMMYFUNCTION("""COMPUTED_VALUE"""),0.6385)</f>
      </c>
      <c r="I594" s="11">
        <f>IFERROR(__xludf.DUMMYFUNCTION("""COMPUTED_VALUE"""),452.06)</f>
      </c>
      <c r="J594" s="10">
        <f>IFERROR(__xludf.DUMMYFUNCTION("""COMPUTED_VALUE"""),0.5634)</f>
      </c>
      <c r="K594" s="11">
        <f>IFERROR(__xludf.DUMMYFUNCTION("""COMPUTED_VALUE"""),345.52)</f>
      </c>
      <c r="L594" s="10">
        <f>IFERROR(__xludf.DUMMYFUNCTION("""COMPUTED_VALUE"""),0.4413)</f>
      </c>
      <c r="M594" s="11">
        <f>IFERROR(__xludf.DUMMYFUNCTION("""COMPUTED_VALUE"""),434.78)</f>
      </c>
      <c r="N594" s="10">
        <f>IFERROR(__xludf.DUMMYFUNCTION("""COMPUTED_VALUE"""),0.4648)</f>
      </c>
      <c r="O594" s="11">
        <f>IFERROR(__xludf.DUMMYFUNCTION("""COMPUTED_VALUE"""),427.07)</f>
      </c>
      <c r="P594" s="12"/>
      <c r="Q594" s="12"/>
      <c r="R594" s="15"/>
      <c r="S594" s="12"/>
      <c r="T594" s="12"/>
      <c r="U594" s="12"/>
      <c r="V594" s="12"/>
      <c r="W594" s="12"/>
      <c r="X594" s="12"/>
      <c r="Y594" s="12"/>
      <c r="Z594" s="12"/>
    </row>
    <row x14ac:dyDescent="0.25" r="595" customHeight="1" ht="15.75">
      <c r="A595" s="8">
        <f>IFERROR(__xludf.DUMMYFUNCTION("""COMPUTED_VALUE"""),25883.0)</f>
      </c>
      <c r="B595" s="9">
        <f>IFERROR(__xludf.DUMMYFUNCTION("""COMPUTED_VALUE"""),"METROPOLITANA V")</f>
      </c>
      <c r="C595" s="9">
        <f>IFERROR(__xludf.DUMMYFUNCTION("""COMPUTED_VALUE"""),"CIEP 434 PROFESSORA MARIA JOSE MACHADO")</f>
      </c>
      <c r="D595" s="10">
        <f>IFERROR(__xludf.DUMMYFUNCTION("""COMPUTED_VALUE"""),0.6815)</f>
      </c>
      <c r="E595" s="11">
        <f>IFERROR(__xludf.DUMMYFUNCTION("""COMPUTED_VALUE"""),108.41)</f>
      </c>
      <c r="F595" s="10">
        <f>IFERROR(__xludf.DUMMYFUNCTION("""COMPUTED_VALUE"""),0.586)</f>
      </c>
      <c r="G595" s="11">
        <f>IFERROR(__xludf.DUMMYFUNCTION("""COMPUTED_VALUE"""),348.76)</f>
      </c>
      <c r="H595" s="10">
        <f>IFERROR(__xludf.DUMMYFUNCTION("""COMPUTED_VALUE"""),0.5605)</f>
      </c>
      <c r="I595" s="11">
        <f>IFERROR(__xludf.DUMMYFUNCTION("""COMPUTED_VALUE"""),407.53)</f>
      </c>
      <c r="J595" s="10">
        <f>IFERROR(__xludf.DUMMYFUNCTION("""COMPUTED_VALUE"""),0.6178)</f>
      </c>
      <c r="K595" s="11">
        <f>IFERROR(__xludf.DUMMYFUNCTION("""COMPUTED_VALUE"""),274.84)</f>
      </c>
      <c r="L595" s="10">
        <f>IFERROR(__xludf.DUMMYFUNCTION("""COMPUTED_VALUE"""),0.5669)</f>
      </c>
      <c r="M595" s="11">
        <f>IFERROR(__xludf.DUMMYFUNCTION("""COMPUTED_VALUE"""),404.49)</f>
      </c>
      <c r="N595" s="10">
        <f>IFERROR(__xludf.DUMMYFUNCTION("""COMPUTED_VALUE"""),0.4968)</f>
      </c>
      <c r="O595" s="11">
        <f>IFERROR(__xludf.DUMMYFUNCTION("""COMPUTED_VALUE"""),435.84)</f>
      </c>
      <c r="P595" s="12"/>
      <c r="Q595" s="12"/>
      <c r="R595" s="15"/>
      <c r="S595" s="12"/>
      <c r="T595" s="12"/>
      <c r="U595" s="12"/>
      <c r="V595" s="12"/>
      <c r="W595" s="12"/>
      <c r="X595" s="12"/>
      <c r="Y595" s="12"/>
      <c r="Z595" s="12"/>
    </row>
    <row x14ac:dyDescent="0.25" r="596" customHeight="1" ht="15.75">
      <c r="A596" s="8">
        <f>IFERROR(__xludf.DUMMYFUNCTION("""COMPUTED_VALUE"""),25884.0)</f>
      </c>
      <c r="B596" s="9">
        <f>IFERROR(__xludf.DUMMYFUNCTION("""COMPUTED_VALUE"""),"METROPOLITANA V")</f>
      </c>
      <c r="C596" s="9">
        <f>IFERROR(__xludf.DUMMYFUNCTION("""COMPUTED_VALUE"""),"CIEP 476 ELIAS LAZARONI")</f>
      </c>
      <c r="D596" s="10">
        <f>IFERROR(__xludf.DUMMYFUNCTION("""COMPUTED_VALUE"""),0.7175)</f>
      </c>
      <c r="E596" s="11">
        <f>IFERROR(__xludf.DUMMYFUNCTION("""COMPUTED_VALUE"""),215.05)</f>
      </c>
      <c r="F596" s="10">
        <f>IFERROR(__xludf.DUMMYFUNCTION("""COMPUTED_VALUE"""),0.6014)</f>
      </c>
      <c r="G596" s="11">
        <f>IFERROR(__xludf.DUMMYFUNCTION("""COMPUTED_VALUE"""),348.14)</f>
      </c>
      <c r="H596" s="10">
        <f>IFERROR(__xludf.DUMMYFUNCTION("""COMPUTED_VALUE"""),0.6082)</f>
      </c>
      <c r="I596" s="11">
        <f>IFERROR(__xludf.DUMMYFUNCTION("""COMPUTED_VALUE"""),408.37)</f>
      </c>
      <c r="J596" s="10">
        <f>IFERROR(__xludf.DUMMYFUNCTION("""COMPUTED_VALUE"""),0.6583)</f>
      </c>
      <c r="K596" s="11">
        <f>IFERROR(__xludf.DUMMYFUNCTION("""COMPUTED_VALUE"""),267.23)</f>
      </c>
      <c r="L596" s="10">
        <f>IFERROR(__xludf.DUMMYFUNCTION("""COMPUTED_VALUE"""),0.6173)</f>
      </c>
      <c r="M596" s="11">
        <f>IFERROR(__xludf.DUMMYFUNCTION("""COMPUTED_VALUE"""),339.39)</f>
      </c>
      <c r="N596" s="10">
        <f>IFERROR(__xludf.DUMMYFUNCTION("""COMPUTED_VALUE"""),0.5171)</f>
      </c>
      <c r="O596" s="11">
        <f>IFERROR(__xludf.DUMMYFUNCTION("""COMPUTED_VALUE"""),356.04)</f>
      </c>
      <c r="P596" s="12"/>
      <c r="Q596" s="12"/>
      <c r="R596" s="15"/>
      <c r="S596" s="12"/>
      <c r="T596" s="12"/>
      <c r="U596" s="12"/>
      <c r="V596" s="12"/>
      <c r="W596" s="12"/>
      <c r="X596" s="12"/>
      <c r="Y596" s="12"/>
      <c r="Z596" s="12"/>
    </row>
    <row x14ac:dyDescent="0.25" r="597" customHeight="1" ht="15.75">
      <c r="A597" s="8">
        <f>IFERROR(__xludf.DUMMYFUNCTION("""COMPUTED_VALUE"""),25885.0)</f>
      </c>
      <c r="B597" s="9">
        <f>IFERROR(__xludf.DUMMYFUNCTION("""COMPUTED_VALUE"""),"METROPOLITANA V")</f>
      </c>
      <c r="C597" s="9">
        <f>IFERROR(__xludf.DUMMYFUNCTION("""COMPUTED_VALUE"""),"CIEP FILINTO MULLER - BRASIL-CHINA")</f>
      </c>
      <c r="D597" s="10">
        <f>IFERROR(__xludf.DUMMYFUNCTION("""COMPUTED_VALUE"""),1.0)</f>
      </c>
      <c r="E597" s="11">
        <f>IFERROR(__xludf.DUMMYFUNCTION("""COMPUTED_VALUE"""),465.26)</f>
      </c>
      <c r="F597" s="10">
        <f>IFERROR(__xludf.DUMMYFUNCTION("""COMPUTED_VALUE"""),0.9737)</f>
      </c>
      <c r="G597" s="11">
        <f>IFERROR(__xludf.DUMMYFUNCTION("""COMPUTED_VALUE"""),494.05)</f>
      </c>
      <c r="H597" s="10">
        <f>IFERROR(__xludf.DUMMYFUNCTION("""COMPUTED_VALUE"""),0.9737)</f>
      </c>
      <c r="I597" s="11">
        <f>IFERROR(__xludf.DUMMYFUNCTION("""COMPUTED_VALUE"""),543.78)</f>
      </c>
      <c r="J597" s="10">
        <f>IFERROR(__xludf.DUMMYFUNCTION("""COMPUTED_VALUE"""),0.9737)</f>
      </c>
      <c r="K597" s="11">
        <f>IFERROR(__xludf.DUMMYFUNCTION("""COMPUTED_VALUE"""),501.62)</f>
      </c>
      <c r="L597" s="10">
        <f>IFERROR(__xludf.DUMMYFUNCTION("""COMPUTED_VALUE"""),0.9211)</f>
      </c>
      <c r="M597" s="11">
        <f>IFERROR(__xludf.DUMMYFUNCTION("""COMPUTED_VALUE"""),532.57)</f>
      </c>
      <c r="N597" s="10">
        <f>IFERROR(__xludf.DUMMYFUNCTION("""COMPUTED_VALUE"""),0.9474)</f>
      </c>
      <c r="O597" s="11">
        <f>IFERROR(__xludf.DUMMYFUNCTION("""COMPUTED_VALUE"""),533.33)</f>
      </c>
      <c r="P597" s="12"/>
      <c r="Q597" s="12"/>
      <c r="R597" s="15"/>
      <c r="S597" s="12"/>
      <c r="T597" s="12"/>
      <c r="U597" s="12"/>
      <c r="V597" s="12"/>
      <c r="W597" s="12"/>
      <c r="X597" s="12"/>
      <c r="Y597" s="12"/>
      <c r="Z597" s="12"/>
    </row>
    <row x14ac:dyDescent="0.25" r="598" customHeight="1" ht="15.75">
      <c r="A598" s="8">
        <f>IFERROR(__xludf.DUMMYFUNCTION("""COMPUTED_VALUE"""),25893.0)</f>
      </c>
      <c r="B598" s="9">
        <f>IFERROR(__xludf.DUMMYFUNCTION("""COMPUTED_VALUE"""),"METROPOLITANA V")</f>
      </c>
      <c r="C598" s="9">
        <f>IFERROR(__xludf.DUMMYFUNCTION("""COMPUTED_VALUE"""),"IE GOVERNADOR ROBERTO SILVEIRA")</f>
      </c>
      <c r="D598" s="10">
        <f>IFERROR(__xludf.DUMMYFUNCTION("""COMPUTED_VALUE"""),0.9231)</f>
      </c>
      <c r="E598" s="11">
        <f>IFERROR(__xludf.DUMMYFUNCTION("""COMPUTED_VALUE"""),290.34)</f>
      </c>
      <c r="F598" s="10">
        <f>IFERROR(__xludf.DUMMYFUNCTION("""COMPUTED_VALUE"""),0.7089)</f>
      </c>
      <c r="G598" s="11">
        <f>IFERROR(__xludf.DUMMYFUNCTION("""COMPUTED_VALUE"""),435.98)</f>
      </c>
      <c r="H598" s="10">
        <f>IFERROR(__xludf.DUMMYFUNCTION("""COMPUTED_VALUE"""),0.6821)</f>
      </c>
      <c r="I598" s="11">
        <f>IFERROR(__xludf.DUMMYFUNCTION("""COMPUTED_VALUE"""),423.67)</f>
      </c>
      <c r="J598" s="10">
        <f>IFERROR(__xludf.DUMMYFUNCTION("""COMPUTED_VALUE"""),0.7311)</f>
      </c>
      <c r="K598" s="11">
        <f>IFERROR(__xludf.DUMMYFUNCTION("""COMPUTED_VALUE"""),379.55)</f>
      </c>
      <c r="L598" s="10">
        <f>IFERROR(__xludf.DUMMYFUNCTION("""COMPUTED_VALUE"""),0.7451)</f>
      </c>
      <c r="M598" s="11">
        <f>IFERROR(__xludf.DUMMYFUNCTION("""COMPUTED_VALUE"""),433.19)</f>
      </c>
      <c r="N598" s="10">
        <f>IFERROR(__xludf.DUMMYFUNCTION("""COMPUTED_VALUE"""),0.7325)</f>
      </c>
      <c r="O598" s="11">
        <f>IFERROR(__xludf.DUMMYFUNCTION("""COMPUTED_VALUE"""),430.95)</f>
      </c>
      <c r="P598" s="12"/>
      <c r="Q598" s="12"/>
      <c r="R598" s="15"/>
      <c r="S598" s="12"/>
      <c r="T598" s="12"/>
      <c r="U598" s="12"/>
      <c r="V598" s="12"/>
      <c r="W598" s="12"/>
      <c r="X598" s="12"/>
      <c r="Y598" s="12"/>
      <c r="Z598" s="12"/>
    </row>
    <row x14ac:dyDescent="0.25" r="599" customHeight="1" ht="15.75">
      <c r="A599" s="8">
        <f>IFERROR(__xludf.DUMMYFUNCTION("""COMPUTED_VALUE"""),25363.0)</f>
      </c>
      <c r="B599" s="9">
        <f>IFERROR(__xludf.DUMMYFUNCTION("""COMPUTED_VALUE"""),"METROPOLITANA VI")</f>
      </c>
      <c r="C599" s="9">
        <f>IFERROR(__xludf.DUMMYFUNCTION("""COMPUTED_VALUE"""),"CAIC EUCLYDES DA CUNHA")</f>
      </c>
      <c r="D599" s="10">
        <f>IFERROR(__xludf.DUMMYFUNCTION("""COMPUTED_VALUE"""),0.9493)</f>
      </c>
      <c r="E599" s="11">
        <f>IFERROR(__xludf.DUMMYFUNCTION("""COMPUTED_VALUE"""),109.6)</f>
      </c>
      <c r="F599" s="10">
        <f>IFERROR(__xludf.DUMMYFUNCTION("""COMPUTED_VALUE"""),0.9698)</f>
      </c>
      <c r="G599" s="11">
        <f>IFERROR(__xludf.DUMMYFUNCTION("""COMPUTED_VALUE"""),208.08)</f>
      </c>
      <c r="H599" s="10">
        <f>IFERROR(__xludf.DUMMYFUNCTION("""COMPUTED_VALUE"""),0.361)</f>
      </c>
      <c r="I599" s="11">
        <f>IFERROR(__xludf.DUMMYFUNCTION("""COMPUTED_VALUE"""),"----")</f>
      </c>
      <c r="J599" s="10">
        <f>IFERROR(__xludf.DUMMYFUNCTION("""COMPUTED_VALUE"""),0.4225)</f>
      </c>
      <c r="K599" s="11">
        <f>IFERROR(__xludf.DUMMYFUNCTION("""COMPUTED_VALUE"""),230.92)</f>
      </c>
      <c r="L599" s="10">
        <f>IFERROR(__xludf.DUMMYFUNCTION("""COMPUTED_VALUE"""),0.4314)</f>
      </c>
      <c r="M599" s="11">
        <f>IFERROR(__xludf.DUMMYFUNCTION("""COMPUTED_VALUE"""),228.7)</f>
      </c>
      <c r="N599" s="10">
        <f>IFERROR(__xludf.DUMMYFUNCTION("""COMPUTED_VALUE"""),0.4433)</f>
      </c>
      <c r="O599" s="11">
        <f>IFERROR(__xludf.DUMMYFUNCTION("""COMPUTED_VALUE"""),278.03)</f>
      </c>
      <c r="P599" s="12"/>
      <c r="Q599" s="12"/>
      <c r="R599" s="15"/>
      <c r="S599" s="12"/>
      <c r="T599" s="12"/>
      <c r="U599" s="12"/>
      <c r="V599" s="12"/>
      <c r="W599" s="12"/>
      <c r="X599" s="12"/>
      <c r="Y599" s="12"/>
      <c r="Z599" s="12"/>
    </row>
    <row x14ac:dyDescent="0.25" r="600" customHeight="1" ht="15.75">
      <c r="A600" s="8">
        <f>IFERROR(__xludf.DUMMYFUNCTION("""COMPUTED_VALUE"""),25364.0)</f>
      </c>
      <c r="B600" s="9">
        <f>IFERROR(__xludf.DUMMYFUNCTION("""COMPUTED_VALUE"""),"METROPOLITANA VI")</f>
      </c>
      <c r="C600" s="9">
        <f>IFERROR(__xludf.DUMMYFUNCTION("""COMPUTED_VALUE"""),"CE ADALGISA MONTEIRO")</f>
      </c>
      <c r="D600" s="10">
        <f>IFERROR(__xludf.DUMMYFUNCTION("""COMPUTED_VALUE"""),0.6557)</f>
      </c>
      <c r="E600" s="11">
        <f>IFERROR(__xludf.DUMMYFUNCTION("""COMPUTED_VALUE"""),153.73)</f>
      </c>
      <c r="F600" s="10">
        <f>IFERROR(__xludf.DUMMYFUNCTION("""COMPUTED_VALUE"""),0.5897)</f>
      </c>
      <c r="G600" s="11">
        <f>IFERROR(__xludf.DUMMYFUNCTION("""COMPUTED_VALUE"""),342.0)</f>
      </c>
      <c r="H600" s="10">
        <f>IFERROR(__xludf.DUMMYFUNCTION("""COMPUTED_VALUE"""),0.5165)</f>
      </c>
      <c r="I600" s="11">
        <f>IFERROR(__xludf.DUMMYFUNCTION("""COMPUTED_VALUE"""),343.43)</f>
      </c>
      <c r="J600" s="10">
        <f>IFERROR(__xludf.DUMMYFUNCTION("""COMPUTED_VALUE"""),0.5897)</f>
      </c>
      <c r="K600" s="11">
        <f>IFERROR(__xludf.DUMMYFUNCTION("""COMPUTED_VALUE"""),233.21)</f>
      </c>
      <c r="L600" s="10">
        <f>IFERROR(__xludf.DUMMYFUNCTION("""COMPUTED_VALUE"""),0.5018)</f>
      </c>
      <c r="M600" s="11">
        <f>IFERROR(__xludf.DUMMYFUNCTION("""COMPUTED_VALUE"""),350.66)</f>
      </c>
      <c r="N600" s="10">
        <f>IFERROR(__xludf.DUMMYFUNCTION("""COMPUTED_VALUE"""),0.0)</f>
      </c>
      <c r="O600" s="11">
        <f>IFERROR(__xludf.DUMMYFUNCTION("""COMPUTED_VALUE"""),"----")</f>
      </c>
      <c r="P600" s="12"/>
      <c r="Q600" s="12"/>
      <c r="R600" s="15"/>
      <c r="S600" s="12"/>
      <c r="T600" s="12"/>
      <c r="U600" s="12"/>
      <c r="V600" s="12"/>
      <c r="W600" s="12"/>
      <c r="X600" s="12"/>
      <c r="Y600" s="12"/>
      <c r="Z600" s="12"/>
    </row>
    <row x14ac:dyDescent="0.25" r="601" customHeight="1" ht="15.75">
      <c r="A601" s="8">
        <f>IFERROR(__xludf.DUMMYFUNCTION("""COMPUTED_VALUE"""),25365.0)</f>
      </c>
      <c r="B601" s="9">
        <f>IFERROR(__xludf.DUMMYFUNCTION("""COMPUTED_VALUE"""),"METROPOLITANA VI")</f>
      </c>
      <c r="C601" s="9">
        <f>IFERROR(__xludf.DUMMYFUNCTION("""COMPUTED_VALUE"""),"CE AFONSO PENA")</f>
      </c>
      <c r="D601" s="10">
        <f>IFERROR(__xludf.DUMMYFUNCTION("""COMPUTED_VALUE"""),0.7983)</f>
      </c>
      <c r="E601" s="11">
        <f>IFERROR(__xludf.DUMMYFUNCTION("""COMPUTED_VALUE"""),285.36)</f>
      </c>
      <c r="F601" s="10">
        <f>IFERROR(__xludf.DUMMYFUNCTION("""COMPUTED_VALUE"""),0.6513)</f>
      </c>
      <c r="G601" s="11">
        <f>IFERROR(__xludf.DUMMYFUNCTION("""COMPUTED_VALUE"""),381.35)</f>
      </c>
      <c r="H601" s="10">
        <f>IFERROR(__xludf.DUMMYFUNCTION("""COMPUTED_VALUE"""),0.6686)</f>
      </c>
      <c r="I601" s="11">
        <f>IFERROR(__xludf.DUMMYFUNCTION("""COMPUTED_VALUE"""),429.34)</f>
      </c>
      <c r="J601" s="10">
        <f>IFERROR(__xludf.DUMMYFUNCTION("""COMPUTED_VALUE"""),0.5735)</f>
      </c>
      <c r="K601" s="11">
        <f>IFERROR(__xludf.DUMMYFUNCTION("""COMPUTED_VALUE"""),362.14)</f>
      </c>
      <c r="L601" s="10">
        <f>IFERROR(__xludf.DUMMYFUNCTION("""COMPUTED_VALUE"""),0.6513)</f>
      </c>
      <c r="M601" s="11">
        <f>IFERROR(__xludf.DUMMYFUNCTION("""COMPUTED_VALUE"""),359.28)</f>
      </c>
      <c r="N601" s="10">
        <f>IFERROR(__xludf.DUMMYFUNCTION("""COMPUTED_VALUE"""),0.0058)</f>
      </c>
      <c r="O601" s="11">
        <f>IFERROR(__xludf.DUMMYFUNCTION("""COMPUTED_VALUE"""),260.0)</f>
      </c>
      <c r="P601" s="12"/>
      <c r="Q601" s="12"/>
      <c r="R601" s="15"/>
      <c r="S601" s="12"/>
      <c r="T601" s="12"/>
      <c r="U601" s="12"/>
      <c r="V601" s="12"/>
      <c r="W601" s="12"/>
      <c r="X601" s="12"/>
      <c r="Y601" s="12"/>
      <c r="Z601" s="12"/>
    </row>
    <row x14ac:dyDescent="0.25" r="602" customHeight="1" ht="15.75">
      <c r="A602" s="8">
        <f>IFERROR(__xludf.DUMMYFUNCTION("""COMPUTED_VALUE"""),25366.0)</f>
      </c>
      <c r="B602" s="9">
        <f>IFERROR(__xludf.DUMMYFUNCTION("""COMPUTED_VALUE"""),"METROPOLITANA VI")</f>
      </c>
      <c r="C602" s="9">
        <f>IFERROR(__xludf.DUMMYFUNCTION("""COMPUTED_VALUE"""),"CE ALBERTO RANGEL")</f>
      </c>
      <c r="D602" s="10">
        <f>IFERROR(__xludf.DUMMYFUNCTION("""COMPUTED_VALUE"""),0.4118)</f>
      </c>
      <c r="E602" s="11">
        <f>IFERROR(__xludf.DUMMYFUNCTION("""COMPUTED_VALUE"""),71.43)</f>
      </c>
      <c r="F602" s="10">
        <f>IFERROR(__xludf.DUMMYFUNCTION("""COMPUTED_VALUE"""),0.2059)</f>
      </c>
      <c r="G602" s="11">
        <f>IFERROR(__xludf.DUMMYFUNCTION("""COMPUTED_VALUE"""),325.71)</f>
      </c>
      <c r="H602" s="10">
        <f>IFERROR(__xludf.DUMMYFUNCTION("""COMPUTED_VALUE"""),0.2118)</f>
      </c>
      <c r="I602" s="11">
        <f>IFERROR(__xludf.DUMMYFUNCTION("""COMPUTED_VALUE"""),357.78)</f>
      </c>
      <c r="J602" s="10">
        <f>IFERROR(__xludf.DUMMYFUNCTION("""COMPUTED_VALUE"""),0.6471)</f>
      </c>
      <c r="K602" s="11">
        <f>IFERROR(__xludf.DUMMYFUNCTION("""COMPUTED_VALUE"""),210.91)</f>
      </c>
      <c r="L602" s="10">
        <f>IFERROR(__xludf.DUMMYFUNCTION("""COMPUTED_VALUE"""),0.2706)</f>
      </c>
      <c r="M602" s="11">
        <f>IFERROR(__xludf.DUMMYFUNCTION("""COMPUTED_VALUE"""),313.04)</f>
      </c>
      <c r="N602" s="10">
        <f>IFERROR(__xludf.DUMMYFUNCTION("""COMPUTED_VALUE"""),0.2118)</f>
      </c>
      <c r="O602" s="11">
        <f>IFERROR(__xludf.DUMMYFUNCTION("""COMPUTED_VALUE"""),400.0)</f>
      </c>
      <c r="P602" s="12"/>
      <c r="Q602" s="12"/>
      <c r="R602" s="15"/>
      <c r="S602" s="12"/>
      <c r="T602" s="12"/>
      <c r="U602" s="12"/>
      <c r="V602" s="12"/>
      <c r="W602" s="12"/>
      <c r="X602" s="12"/>
      <c r="Y602" s="12"/>
      <c r="Z602" s="12"/>
    </row>
    <row x14ac:dyDescent="0.25" r="603" customHeight="1" ht="15.75">
      <c r="A603" s="8">
        <f>IFERROR(__xludf.DUMMYFUNCTION("""COMPUTED_VALUE"""),25367.0)</f>
      </c>
      <c r="B603" s="9">
        <f>IFERROR(__xludf.DUMMYFUNCTION("""COMPUTED_VALUE"""),"METROPOLITANA VI")</f>
      </c>
      <c r="C603" s="9">
        <f>IFERROR(__xludf.DUMMYFUNCTION("""COMPUTED_VALUE"""),"CE ALINA DE BRITO")</f>
      </c>
      <c r="D603" s="10">
        <f>IFERROR(__xludf.DUMMYFUNCTION("""COMPUTED_VALUE"""),0.6613)</f>
      </c>
      <c r="E603" s="11">
        <f>IFERROR(__xludf.DUMMYFUNCTION("""COMPUTED_VALUE"""),60.9)</f>
      </c>
      <c r="F603" s="10">
        <f>IFERROR(__xludf.DUMMYFUNCTION("""COMPUTED_VALUE"""),0.4677)</f>
      </c>
      <c r="G603" s="11">
        <f>IFERROR(__xludf.DUMMYFUNCTION("""COMPUTED_VALUE"""),315.21)</f>
      </c>
      <c r="H603" s="10">
        <f>IFERROR(__xludf.DUMMYFUNCTION("""COMPUTED_VALUE"""),0.4097)</f>
      </c>
      <c r="I603" s="11">
        <f>IFERROR(__xludf.DUMMYFUNCTION("""COMPUTED_VALUE"""),340.0)</f>
      </c>
      <c r="J603" s="10">
        <f>IFERROR(__xludf.DUMMYFUNCTION("""COMPUTED_VALUE"""),0.5258)</f>
      </c>
      <c r="K603" s="11">
        <f>IFERROR(__xludf.DUMMYFUNCTION("""COMPUTED_VALUE"""),272.97)</f>
      </c>
      <c r="L603" s="10">
        <f>IFERROR(__xludf.DUMMYFUNCTION("""COMPUTED_VALUE"""),0.4194)</f>
      </c>
      <c r="M603" s="11">
        <f>IFERROR(__xludf.DUMMYFUNCTION("""COMPUTED_VALUE"""),393.18)</f>
      </c>
      <c r="N603" s="10">
        <f>IFERROR(__xludf.DUMMYFUNCTION("""COMPUTED_VALUE"""),0.0)</f>
      </c>
      <c r="O603" s="11">
        <f>IFERROR(__xludf.DUMMYFUNCTION("""COMPUTED_VALUE"""),"----")</f>
      </c>
      <c r="P603" s="12"/>
      <c r="Q603" s="12"/>
      <c r="R603" s="15"/>
      <c r="S603" s="12"/>
      <c r="T603" s="12"/>
      <c r="U603" s="12"/>
      <c r="V603" s="12"/>
      <c r="W603" s="12"/>
      <c r="X603" s="12"/>
      <c r="Y603" s="12"/>
      <c r="Z603" s="12"/>
    </row>
    <row x14ac:dyDescent="0.25" r="604" customHeight="1" ht="15.75">
      <c r="A604" s="8">
        <f>IFERROR(__xludf.DUMMYFUNCTION("""COMPUTED_VALUE"""),25368.0)</f>
      </c>
      <c r="B604" s="9">
        <f>IFERROR(__xludf.DUMMYFUNCTION("""COMPUTED_VALUE"""),"METROPOLITANA VI")</f>
      </c>
      <c r="C604" s="9">
        <f>IFERROR(__xludf.DUMMYFUNCTION("""COMPUTED_VALUE"""),"CE ALMIRANTE TAMANDARE")</f>
      </c>
      <c r="D604" s="10">
        <f>IFERROR(__xludf.DUMMYFUNCTION("""COMPUTED_VALUE"""),0.3636)</f>
      </c>
      <c r="E604" s="11">
        <f>IFERROR(__xludf.DUMMYFUNCTION("""COMPUTED_VALUE"""),78.4)</f>
      </c>
      <c r="F604" s="10">
        <f>IFERROR(__xludf.DUMMYFUNCTION("""COMPUTED_VALUE"""),0.2955)</f>
      </c>
      <c r="G604" s="11">
        <f>IFERROR(__xludf.DUMMYFUNCTION("""COMPUTED_VALUE"""),310.4)</f>
      </c>
      <c r="H604" s="10">
        <f>IFERROR(__xludf.DUMMYFUNCTION("""COMPUTED_VALUE"""),0.1932)</f>
      </c>
      <c r="I604" s="11">
        <f>IFERROR(__xludf.DUMMYFUNCTION("""COMPUTED_VALUE"""),324.71)</f>
      </c>
      <c r="J604" s="10">
        <f>IFERROR(__xludf.DUMMYFUNCTION("""COMPUTED_VALUE"""),0.2273)</f>
      </c>
      <c r="K604" s="11">
        <f>IFERROR(__xludf.DUMMYFUNCTION("""COMPUTED_VALUE"""),288.42)</f>
      </c>
      <c r="L604" s="10">
        <f>IFERROR(__xludf.DUMMYFUNCTION("""COMPUTED_VALUE"""),0.2273)</f>
      </c>
      <c r="M604" s="11">
        <f>IFERROR(__xludf.DUMMYFUNCTION("""COMPUTED_VALUE"""),252.63)</f>
      </c>
      <c r="N604" s="10">
        <f>IFERROR(__xludf.DUMMYFUNCTION("""COMPUTED_VALUE"""),0.0)</f>
      </c>
      <c r="O604" s="11">
        <f>IFERROR(__xludf.DUMMYFUNCTION("""COMPUTED_VALUE"""),"----")</f>
      </c>
      <c r="P604" s="12"/>
      <c r="Q604" s="12"/>
      <c r="R604" s="15"/>
      <c r="S604" s="12"/>
      <c r="T604" s="12"/>
      <c r="U604" s="12"/>
      <c r="V604" s="12"/>
      <c r="W604" s="12"/>
      <c r="X604" s="12"/>
      <c r="Y604" s="12"/>
      <c r="Z604" s="12"/>
    </row>
    <row x14ac:dyDescent="0.25" r="605" customHeight="1" ht="15.75">
      <c r="A605" s="8">
        <f>IFERROR(__xludf.DUMMYFUNCTION("""COMPUTED_VALUE"""),25369.0)</f>
      </c>
      <c r="B605" s="9">
        <f>IFERROR(__xludf.DUMMYFUNCTION("""COMPUTED_VALUE"""),"METROPOLITANA VI")</f>
      </c>
      <c r="C605" s="9">
        <f>IFERROR(__xludf.DUMMYFUNCTION("""COMPUTED_VALUE"""),"CE ANDRE MAUROIS")</f>
      </c>
      <c r="D605" s="10">
        <f>IFERROR(__xludf.DUMMYFUNCTION("""COMPUTED_VALUE"""),0.3094)</f>
      </c>
      <c r="E605" s="11">
        <f>IFERROR(__xludf.DUMMYFUNCTION("""COMPUTED_VALUE"""),"----")</f>
      </c>
      <c r="F605" s="10">
        <f>IFERROR(__xludf.DUMMYFUNCTION("""COMPUTED_VALUE"""),0.5925)</f>
      </c>
      <c r="G605" s="11">
        <f>IFERROR(__xludf.DUMMYFUNCTION("""COMPUTED_VALUE"""),431.63)</f>
      </c>
      <c r="H605" s="10">
        <f>IFERROR(__xludf.DUMMYFUNCTION("""COMPUTED_VALUE"""),0.3881)</f>
      </c>
      <c r="I605" s="11">
        <f>IFERROR(__xludf.DUMMYFUNCTION("""COMPUTED_VALUE"""),495.79)</f>
      </c>
      <c r="J605" s="10">
        <f>IFERROR(__xludf.DUMMYFUNCTION("""COMPUTED_VALUE"""),0.5979)</f>
      </c>
      <c r="K605" s="11">
        <f>IFERROR(__xludf.DUMMYFUNCTION("""COMPUTED_VALUE"""),380.96)</f>
      </c>
      <c r="L605" s="10">
        <f>IFERROR(__xludf.DUMMYFUNCTION("""COMPUTED_VALUE"""),0.3143)</f>
      </c>
      <c r="M605" s="11">
        <f>IFERROR(__xludf.DUMMYFUNCTION("""COMPUTED_VALUE"""),424.05)</f>
      </c>
      <c r="N605" s="10">
        <f>IFERROR(__xludf.DUMMYFUNCTION("""COMPUTED_VALUE"""),0.0)</f>
      </c>
      <c r="O605" s="11">
        <f>IFERROR(__xludf.DUMMYFUNCTION("""COMPUTED_VALUE"""),"----")</f>
      </c>
      <c r="P605" s="12"/>
      <c r="Q605" s="12"/>
      <c r="R605" s="15"/>
      <c r="S605" s="12"/>
      <c r="T605" s="12"/>
      <c r="U605" s="12"/>
      <c r="V605" s="12"/>
      <c r="W605" s="12"/>
      <c r="X605" s="12"/>
      <c r="Y605" s="12"/>
      <c r="Z605" s="12"/>
    </row>
    <row x14ac:dyDescent="0.25" r="606" customHeight="1" ht="15.75">
      <c r="A606" s="8">
        <f>IFERROR(__xludf.DUMMYFUNCTION("""COMPUTED_VALUE"""),25370.0)</f>
      </c>
      <c r="B606" s="9">
        <f>IFERROR(__xludf.DUMMYFUNCTION("""COMPUTED_VALUE"""),"METROPOLITANA VI")</f>
      </c>
      <c r="C606" s="9">
        <f>IFERROR(__xludf.DUMMYFUNCTION("""COMPUTED_VALUE"""),"CE ANTONIO PRADO JUNIOR")</f>
      </c>
      <c r="D606" s="10">
        <f>IFERROR(__xludf.DUMMYFUNCTION("""COMPUTED_VALUE"""),0.6652)</f>
      </c>
      <c r="E606" s="11">
        <f>IFERROR(__xludf.DUMMYFUNCTION("""COMPUTED_VALUE"""),305.94)</f>
      </c>
      <c r="F606" s="10">
        <f>IFERROR(__xludf.DUMMYFUNCTION("""COMPUTED_VALUE"""),0.6024)</f>
      </c>
      <c r="G606" s="11">
        <f>IFERROR(__xludf.DUMMYFUNCTION("""COMPUTED_VALUE"""),364.1)</f>
      </c>
      <c r="H606" s="10">
        <f>IFERROR(__xludf.DUMMYFUNCTION("""COMPUTED_VALUE"""),0.5327)</f>
      </c>
      <c r="I606" s="11">
        <f>IFERROR(__xludf.DUMMYFUNCTION("""COMPUTED_VALUE"""),"----")</f>
      </c>
      <c r="J606" s="10">
        <f>IFERROR(__xludf.DUMMYFUNCTION("""COMPUTED_VALUE"""),0.3034)</f>
      </c>
      <c r="K606" s="11">
        <f>IFERROR(__xludf.DUMMYFUNCTION("""COMPUTED_VALUE"""),250.69)</f>
      </c>
      <c r="L606" s="10">
        <f>IFERROR(__xludf.DUMMYFUNCTION("""COMPUTED_VALUE"""),0.5776)</f>
      </c>
      <c r="M606" s="11">
        <f>IFERROR(__xludf.DUMMYFUNCTION("""COMPUTED_VALUE"""),342.68)</f>
      </c>
      <c r="N606" s="10">
        <f>IFERROR(__xludf.DUMMYFUNCTION("""COMPUTED_VALUE"""),0.0029)</f>
      </c>
      <c r="O606" s="11">
        <f>IFERROR(__xludf.DUMMYFUNCTION("""COMPUTED_VALUE"""),"----")</f>
      </c>
      <c r="P606" s="12"/>
      <c r="Q606" s="12"/>
      <c r="R606" s="15"/>
      <c r="S606" s="12"/>
      <c r="T606" s="12"/>
      <c r="U606" s="12"/>
      <c r="V606" s="12"/>
      <c r="W606" s="12"/>
      <c r="X606" s="12"/>
      <c r="Y606" s="12"/>
      <c r="Z606" s="12"/>
    </row>
    <row x14ac:dyDescent="0.25" r="607" customHeight="1" ht="15.75">
      <c r="A607" s="8">
        <f>IFERROR(__xludf.DUMMYFUNCTION("""COMPUTED_VALUE"""),25373.0)</f>
      </c>
      <c r="B607" s="9">
        <f>IFERROR(__xludf.DUMMYFUNCTION("""COMPUTED_VALUE"""),"METROPOLITANA VI")</f>
      </c>
      <c r="C607" s="9">
        <f>IFERROR(__xludf.DUMMYFUNCTION("""COMPUTED_VALUE"""),"CE BRIGADEIRO SCHORCHT")</f>
      </c>
      <c r="D607" s="10">
        <f>IFERROR(__xludf.DUMMYFUNCTION("""COMPUTED_VALUE"""),0.4867)</f>
      </c>
      <c r="E607" s="11">
        <f>IFERROR(__xludf.DUMMYFUNCTION("""COMPUTED_VALUE"""),228.27)</f>
      </c>
      <c r="F607" s="10">
        <f>IFERROR(__xludf.DUMMYFUNCTION("""COMPUTED_VALUE"""),0.5683)</f>
      </c>
      <c r="G607" s="11">
        <f>IFERROR(__xludf.DUMMYFUNCTION("""COMPUTED_VALUE"""),312.91)</f>
      </c>
      <c r="H607" s="10">
        <f>IFERROR(__xludf.DUMMYFUNCTION("""COMPUTED_VALUE"""),0.5293)</f>
      </c>
      <c r="I607" s="11">
        <f>IFERROR(__xludf.DUMMYFUNCTION("""COMPUTED_VALUE"""),333.48)</f>
      </c>
      <c r="J607" s="10">
        <f>IFERROR(__xludf.DUMMYFUNCTION("""COMPUTED_VALUE"""),0.5031)</f>
      </c>
      <c r="K607" s="11">
        <f>IFERROR(__xludf.DUMMYFUNCTION("""COMPUTED_VALUE"""),194.97)</f>
      </c>
      <c r="L607" s="10">
        <f>IFERROR(__xludf.DUMMYFUNCTION("""COMPUTED_VALUE"""),0.3322)</f>
      </c>
      <c r="M607" s="11">
        <f>IFERROR(__xludf.DUMMYFUNCTION("""COMPUTED_VALUE"""),332.73)</f>
      </c>
      <c r="N607" s="10">
        <f>IFERROR(__xludf.DUMMYFUNCTION("""COMPUTED_VALUE"""),9.0E-4)</f>
      </c>
      <c r="O607" s="11">
        <f>IFERROR(__xludf.DUMMYFUNCTION("""COMPUTED_VALUE"""),"----")</f>
      </c>
      <c r="P607" s="12"/>
      <c r="Q607" s="12"/>
      <c r="R607" s="15"/>
      <c r="S607" s="12"/>
      <c r="T607" s="12"/>
      <c r="U607" s="12"/>
      <c r="V607" s="12"/>
      <c r="W607" s="12"/>
      <c r="X607" s="12"/>
      <c r="Y607" s="12"/>
      <c r="Z607" s="12"/>
    </row>
    <row x14ac:dyDescent="0.25" r="608" customHeight="1" ht="15.75">
      <c r="A608" s="8">
        <f>IFERROR(__xludf.DUMMYFUNCTION("""COMPUTED_VALUE"""),25374.0)</f>
      </c>
      <c r="B608" s="9">
        <f>IFERROR(__xludf.DUMMYFUNCTION("""COMPUTED_VALUE"""),"METROPOLITANA VI")</f>
      </c>
      <c r="C608" s="9">
        <f>IFERROR(__xludf.DUMMYFUNCTION("""COMPUTED_VALUE"""),"CE CARDEAL DOM EUGENIO DE ARAUJO SALES")</f>
      </c>
      <c r="D608" s="10">
        <f>IFERROR(__xludf.DUMMYFUNCTION("""COMPUTED_VALUE"""),0.2095)</f>
      </c>
      <c r="E608" s="11">
        <f>IFERROR(__xludf.DUMMYFUNCTION("""COMPUTED_VALUE"""),6.32)</f>
      </c>
      <c r="F608" s="10">
        <f>IFERROR(__xludf.DUMMYFUNCTION("""COMPUTED_VALUE"""),0.0)</f>
      </c>
      <c r="G608" s="11">
        <f>IFERROR(__xludf.DUMMYFUNCTION("""COMPUTED_VALUE"""),"----")</f>
      </c>
      <c r="H608" s="10">
        <f>IFERROR(__xludf.DUMMYFUNCTION("""COMPUTED_VALUE"""),0.4088)</f>
      </c>
      <c r="I608" s="11">
        <f>IFERROR(__xludf.DUMMYFUNCTION("""COMPUTED_VALUE"""),234.38)</f>
      </c>
      <c r="J608" s="10">
        <f>IFERROR(__xludf.DUMMYFUNCTION("""COMPUTED_VALUE"""),0.4764)</f>
      </c>
      <c r="K608" s="11">
        <f>IFERROR(__xludf.DUMMYFUNCTION("""COMPUTED_VALUE"""),69.04)</f>
      </c>
      <c r="L608" s="10">
        <f>IFERROR(__xludf.DUMMYFUNCTION("""COMPUTED_VALUE"""),0.0034)</f>
      </c>
      <c r="M608" s="11">
        <f>IFERROR(__xludf.DUMMYFUNCTION("""COMPUTED_VALUE"""),440.0)</f>
      </c>
      <c r="N608" s="10">
        <f>IFERROR(__xludf.DUMMYFUNCTION("""COMPUTED_VALUE"""),0.3851)</f>
      </c>
      <c r="O608" s="11">
        <f>IFERROR(__xludf.DUMMYFUNCTION("""COMPUTED_VALUE"""),330.62)</f>
      </c>
      <c r="P608" s="12"/>
      <c r="Q608" s="12"/>
      <c r="R608" s="15"/>
      <c r="S608" s="12"/>
      <c r="T608" s="12"/>
      <c r="U608" s="12"/>
      <c r="V608" s="12"/>
      <c r="W608" s="12"/>
      <c r="X608" s="12"/>
      <c r="Y608" s="12"/>
      <c r="Z608" s="12"/>
    </row>
    <row x14ac:dyDescent="0.25" r="609" customHeight="1" ht="15.75">
      <c r="A609" s="8">
        <f>IFERROR(__xludf.DUMMYFUNCTION("""COMPUTED_VALUE"""),25375.0)</f>
      </c>
      <c r="B609" s="9">
        <f>IFERROR(__xludf.DUMMYFUNCTION("""COMPUTED_VALUE"""),"METROPOLITANA VI")</f>
      </c>
      <c r="C609" s="9">
        <f>IFERROR(__xludf.DUMMYFUNCTION("""COMPUTED_VALUE"""),"CE CARLOS LACERDA")</f>
      </c>
      <c r="D609" s="10">
        <f>IFERROR(__xludf.DUMMYFUNCTION("""COMPUTED_VALUE"""),0.6821)</f>
      </c>
      <c r="E609" s="11">
        <f>IFERROR(__xludf.DUMMYFUNCTION("""COMPUTED_VALUE"""),117.52)</f>
      </c>
      <c r="F609" s="10">
        <f>IFERROR(__xludf.DUMMYFUNCTION("""COMPUTED_VALUE"""),0.659)</f>
      </c>
      <c r="G609" s="11">
        <f>IFERROR(__xludf.DUMMYFUNCTION("""COMPUTED_VALUE"""),309.82)</f>
      </c>
      <c r="H609" s="10">
        <f>IFERROR(__xludf.DUMMYFUNCTION("""COMPUTED_VALUE"""),0.6301)</f>
      </c>
      <c r="I609" s="11">
        <f>IFERROR(__xludf.DUMMYFUNCTION("""COMPUTED_VALUE"""),391.85)</f>
      </c>
      <c r="J609" s="10">
        <f>IFERROR(__xludf.DUMMYFUNCTION("""COMPUTED_VALUE"""),0.6243)</f>
      </c>
      <c r="K609" s="11">
        <f>IFERROR(__xludf.DUMMYFUNCTION("""COMPUTED_VALUE"""),286.32)</f>
      </c>
      <c r="L609" s="10">
        <f>IFERROR(__xludf.DUMMYFUNCTION("""COMPUTED_VALUE"""),0.4855)</f>
      </c>
      <c r="M609" s="11">
        <f>IFERROR(__xludf.DUMMYFUNCTION("""COMPUTED_VALUE"""),343.81)</f>
      </c>
      <c r="N609" s="10">
        <f>IFERROR(__xludf.DUMMYFUNCTION("""COMPUTED_VALUE"""),0.0)</f>
      </c>
      <c r="O609" s="11">
        <f>IFERROR(__xludf.DUMMYFUNCTION("""COMPUTED_VALUE"""),"----")</f>
      </c>
      <c r="P609" s="12"/>
      <c r="Q609" s="12"/>
      <c r="R609" s="15"/>
      <c r="S609" s="12"/>
      <c r="T609" s="12"/>
      <c r="U609" s="12"/>
      <c r="V609" s="12"/>
      <c r="W609" s="12"/>
      <c r="X609" s="12"/>
      <c r="Y609" s="12"/>
      <c r="Z609" s="12"/>
    </row>
    <row x14ac:dyDescent="0.25" r="610" customHeight="1" ht="15.75">
      <c r="A610" s="8">
        <f>IFERROR(__xludf.DUMMYFUNCTION("""COMPUTED_VALUE"""),25376.0)</f>
      </c>
      <c r="B610" s="9">
        <f>IFERROR(__xludf.DUMMYFUNCTION("""COMPUTED_VALUE"""),"METROPOLITANA VI")</f>
      </c>
      <c r="C610" s="9">
        <f>IFERROR(__xludf.DUMMYFUNCTION("""COMPUTED_VALUE"""),"CE CASTELNUOVO")</f>
      </c>
      <c r="D610" s="10">
        <f>IFERROR(__xludf.DUMMYFUNCTION("""COMPUTED_VALUE"""),0.7607)</f>
      </c>
      <c r="E610" s="11">
        <f>IFERROR(__xludf.DUMMYFUNCTION("""COMPUTED_VALUE"""),90.61)</f>
      </c>
      <c r="F610" s="10">
        <f>IFERROR(__xludf.DUMMYFUNCTION("""COMPUTED_VALUE"""),0.3419)</f>
      </c>
      <c r="G610" s="11">
        <f>IFERROR(__xludf.DUMMYFUNCTION("""COMPUTED_VALUE"""),274.0)</f>
      </c>
      <c r="H610" s="10">
        <f>IFERROR(__xludf.DUMMYFUNCTION("""COMPUTED_VALUE"""),0.1768)</f>
      </c>
      <c r="I610" s="11">
        <f>IFERROR(__xludf.DUMMYFUNCTION("""COMPUTED_VALUE"""),434.48)</f>
      </c>
      <c r="J610" s="10">
        <f>IFERROR(__xludf.DUMMYFUNCTION("""COMPUTED_VALUE"""),0.026)</f>
      </c>
      <c r="K610" s="11">
        <f>IFERROR(__xludf.DUMMYFUNCTION("""COMPUTED_VALUE"""),0.0)</f>
      </c>
      <c r="L610" s="10">
        <f>IFERROR(__xludf.DUMMYFUNCTION("""COMPUTED_VALUE"""),0.1829)</f>
      </c>
      <c r="M610" s="11">
        <f>IFERROR(__xludf.DUMMYFUNCTION("""COMPUTED_VALUE"""),338.67)</f>
      </c>
      <c r="N610" s="10">
        <f>IFERROR(__xludf.DUMMYFUNCTION("""COMPUTED_VALUE"""),0.0)</f>
      </c>
      <c r="O610" s="11">
        <f>IFERROR(__xludf.DUMMYFUNCTION("""COMPUTED_VALUE"""),"----")</f>
      </c>
      <c r="P610" s="12"/>
      <c r="Q610" s="12"/>
      <c r="R610" s="15"/>
      <c r="S610" s="12"/>
      <c r="T610" s="12"/>
      <c r="U610" s="12"/>
      <c r="V610" s="12"/>
      <c r="W610" s="12"/>
      <c r="X610" s="12"/>
      <c r="Y610" s="12"/>
      <c r="Z610" s="12"/>
    </row>
    <row x14ac:dyDescent="0.25" r="611" customHeight="1" ht="15.75">
      <c r="A611" s="8">
        <f>IFERROR(__xludf.DUMMYFUNCTION("""COMPUTED_VALUE"""),25377.0)</f>
      </c>
      <c r="B611" s="9">
        <f>IFERROR(__xludf.DUMMYFUNCTION("""COMPUTED_VALUE"""),"METROPOLITANA VI")</f>
      </c>
      <c r="C611" s="9">
        <f>IFERROR(__xludf.DUMMYFUNCTION("""COMPUTED_VALUE"""),"CE CHICO ANYSIO")</f>
      </c>
      <c r="D611" s="10">
        <f>IFERROR(__xludf.DUMMYFUNCTION("""COMPUTED_VALUE"""),0.8579)</f>
      </c>
      <c r="E611" s="11">
        <f>IFERROR(__xludf.DUMMYFUNCTION("""COMPUTED_VALUE"""),448.99)</f>
      </c>
      <c r="F611" s="10">
        <f>IFERROR(__xludf.DUMMYFUNCTION("""COMPUTED_VALUE"""),0.8122)</f>
      </c>
      <c r="G611" s="11">
        <f>IFERROR(__xludf.DUMMYFUNCTION("""COMPUTED_VALUE"""),478.49)</f>
      </c>
      <c r="H611" s="10">
        <f>IFERROR(__xludf.DUMMYFUNCTION("""COMPUTED_VALUE"""),0.6447)</f>
      </c>
      <c r="I611" s="11">
        <f>IFERROR(__xludf.DUMMYFUNCTION("""COMPUTED_VALUE"""),492.38)</f>
      </c>
      <c r="J611" s="10">
        <f>IFERROR(__xludf.DUMMYFUNCTION("""COMPUTED_VALUE"""),0.7513)</f>
      </c>
      <c r="K611" s="11">
        <f>IFERROR(__xludf.DUMMYFUNCTION("""COMPUTED_VALUE"""),470.32)</f>
      </c>
      <c r="L611" s="10">
        <f>IFERROR(__xludf.DUMMYFUNCTION("""COMPUTED_VALUE"""),0.6751)</f>
      </c>
      <c r="M611" s="11">
        <f>IFERROR(__xludf.DUMMYFUNCTION("""COMPUTED_VALUE"""),530.61)</f>
      </c>
      <c r="N611" s="10">
        <f>IFERROR(__xludf.DUMMYFUNCTION("""COMPUTED_VALUE"""),0.0051)</f>
      </c>
      <c r="O611" s="11">
        <f>IFERROR(__xludf.DUMMYFUNCTION("""COMPUTED_VALUE"""),600.0)</f>
      </c>
      <c r="P611" s="12"/>
      <c r="Q611" s="12"/>
      <c r="R611" s="15"/>
      <c r="S611" s="12"/>
      <c r="T611" s="12"/>
      <c r="U611" s="12"/>
      <c r="V611" s="12"/>
      <c r="W611" s="12"/>
      <c r="X611" s="12"/>
      <c r="Y611" s="12"/>
      <c r="Z611" s="12"/>
    </row>
    <row x14ac:dyDescent="0.25" r="612" customHeight="1" ht="15.75">
      <c r="A612" s="8">
        <f>IFERROR(__xludf.DUMMYFUNCTION("""COMPUTED_VALUE"""),25378.0)</f>
      </c>
      <c r="B612" s="9">
        <f>IFERROR(__xludf.DUMMYFUNCTION("""COMPUTED_VALUE"""),"METROPOLITANA VI")</f>
      </c>
      <c r="C612" s="9">
        <f>IFERROR(__xludf.DUMMYFUNCTION("""COMPUTED_VALUE"""),"CE CHIQUINHA GONZAGA")</f>
      </c>
      <c r="D612" s="10">
        <f>IFERROR(__xludf.DUMMYFUNCTION("""COMPUTED_VALUE"""),0.9273)</f>
      </c>
      <c r="E612" s="11">
        <f>IFERROR(__xludf.DUMMYFUNCTION("""COMPUTED_VALUE"""),207.41)</f>
      </c>
      <c r="F612" s="10">
        <f>IFERROR(__xludf.DUMMYFUNCTION("""COMPUTED_VALUE"""),0.5545)</f>
      </c>
      <c r="G612" s="11">
        <f>IFERROR(__xludf.DUMMYFUNCTION("""COMPUTED_VALUE"""),305.57)</f>
      </c>
      <c r="H612" s="10">
        <f>IFERROR(__xludf.DUMMYFUNCTION("""COMPUTED_VALUE"""),0.5545)</f>
      </c>
      <c r="I612" s="11">
        <f>IFERROR(__xludf.DUMMYFUNCTION("""COMPUTED_VALUE"""),400.0)</f>
      </c>
      <c r="J612" s="10">
        <f>IFERROR(__xludf.DUMMYFUNCTION("""COMPUTED_VALUE"""),0.4636)</f>
      </c>
      <c r="K612" s="11">
        <f>IFERROR(__xludf.DUMMYFUNCTION("""COMPUTED_VALUE"""),327.83)</f>
      </c>
      <c r="L612" s="10">
        <f>IFERROR(__xludf.DUMMYFUNCTION("""COMPUTED_VALUE"""),0.4727)</f>
      </c>
      <c r="M612" s="11">
        <f>IFERROR(__xludf.DUMMYFUNCTION("""COMPUTED_VALUE"""),306.92)</f>
      </c>
      <c r="N612" s="10">
        <f>IFERROR(__xludf.DUMMYFUNCTION("""COMPUTED_VALUE"""),0.0)</f>
      </c>
      <c r="O612" s="11">
        <f>IFERROR(__xludf.DUMMYFUNCTION("""COMPUTED_VALUE"""),"----")</f>
      </c>
      <c r="P612" s="12"/>
      <c r="Q612" s="12"/>
      <c r="R612" s="15"/>
      <c r="S612" s="12"/>
      <c r="T612" s="12"/>
      <c r="U612" s="12"/>
      <c r="V612" s="12"/>
      <c r="W612" s="12"/>
      <c r="X612" s="12"/>
      <c r="Y612" s="12"/>
      <c r="Z612" s="12"/>
    </row>
    <row x14ac:dyDescent="0.25" r="613" customHeight="1" ht="15.75">
      <c r="A613" s="8">
        <f>IFERROR(__xludf.DUMMYFUNCTION("""COMPUTED_VALUE"""),25379.0)</f>
      </c>
      <c r="B613" s="9">
        <f>IFERROR(__xludf.DUMMYFUNCTION("""COMPUTED_VALUE"""),"METROPOLITANA VI")</f>
      </c>
      <c r="C613" s="9">
        <f>IFERROR(__xludf.DUMMYFUNCTION("""COMPUTED_VALUE"""),"CE COMPOSITOR LUIZ CARLOS DA VILA")</f>
      </c>
      <c r="D613" s="10">
        <f>IFERROR(__xludf.DUMMYFUNCTION("""COMPUTED_VALUE"""),0.6485)</f>
      </c>
      <c r="E613" s="11">
        <f>IFERROR(__xludf.DUMMYFUNCTION("""COMPUTED_VALUE"""),221.4)</f>
      </c>
      <c r="F613" s="10">
        <f>IFERROR(__xludf.DUMMYFUNCTION("""COMPUTED_VALUE"""),0.4629)</f>
      </c>
      <c r="G613" s="11">
        <f>IFERROR(__xludf.DUMMYFUNCTION("""COMPUTED_VALUE"""),364.71)</f>
      </c>
      <c r="H613" s="10">
        <f>IFERROR(__xludf.DUMMYFUNCTION("""COMPUTED_VALUE"""),0.4533)</f>
      </c>
      <c r="I613" s="11">
        <f>IFERROR(__xludf.DUMMYFUNCTION("""COMPUTED_VALUE"""),406.14)</f>
      </c>
      <c r="J613" s="10">
        <f>IFERROR(__xludf.DUMMYFUNCTION("""COMPUTED_VALUE"""),0.5097)</f>
      </c>
      <c r="K613" s="11">
        <f>IFERROR(__xludf.DUMMYFUNCTION("""COMPUTED_VALUE"""),213.71)</f>
      </c>
      <c r="L613" s="10">
        <f>IFERROR(__xludf.DUMMYFUNCTION("""COMPUTED_VALUE"""),0.3886)</f>
      </c>
      <c r="M613" s="11">
        <f>IFERROR(__xludf.DUMMYFUNCTION("""COMPUTED_VALUE"""),363.84)</f>
      </c>
      <c r="N613" s="10">
        <f>IFERROR(__xludf.DUMMYFUNCTION("""COMPUTED_VALUE"""),0.0)</f>
      </c>
      <c r="O613" s="11">
        <f>IFERROR(__xludf.DUMMYFUNCTION("""COMPUTED_VALUE"""),"----")</f>
      </c>
      <c r="P613" s="12"/>
      <c r="Q613" s="12"/>
      <c r="R613" s="15"/>
      <c r="S613" s="12"/>
      <c r="T613" s="12"/>
      <c r="U613" s="12"/>
      <c r="V613" s="12"/>
      <c r="W613" s="12"/>
      <c r="X613" s="12"/>
      <c r="Y613" s="12"/>
      <c r="Z613" s="12"/>
    </row>
    <row x14ac:dyDescent="0.25" r="614" customHeight="1" ht="15.75">
      <c r="A614" s="8">
        <f>IFERROR(__xludf.DUMMYFUNCTION("""COMPUTED_VALUE"""),25380.0)</f>
      </c>
      <c r="B614" s="9">
        <f>IFERROR(__xludf.DUMMYFUNCTION("""COMPUTED_VALUE"""),"METROPOLITANA VI")</f>
      </c>
      <c r="C614" s="9">
        <f>IFERROR(__xludf.DUMMYFUNCTION("""COMPUTED_VALUE"""),"CE COMPOSITOR LUIZ GONZAGA")</f>
      </c>
      <c r="D614" s="10">
        <f>IFERROR(__xludf.DUMMYFUNCTION("""COMPUTED_VALUE"""),0.631)</f>
      </c>
      <c r="E614" s="11">
        <f>IFERROR(__xludf.DUMMYFUNCTION("""COMPUTED_VALUE"""),123.4)</f>
      </c>
      <c r="F614" s="10">
        <f>IFERROR(__xludf.DUMMYFUNCTION("""COMPUTED_VALUE"""),0.4118)</f>
      </c>
      <c r="G614" s="11">
        <f>IFERROR(__xludf.DUMMYFUNCTION("""COMPUTED_VALUE"""),"----")</f>
      </c>
      <c r="H614" s="10">
        <f>IFERROR(__xludf.DUMMYFUNCTION("""COMPUTED_VALUE"""),0.3821)</f>
      </c>
      <c r="I614" s="11">
        <f>IFERROR(__xludf.DUMMYFUNCTION("""COMPUTED_VALUE"""),379.02)</f>
      </c>
      <c r="J614" s="10">
        <f>IFERROR(__xludf.DUMMYFUNCTION("""COMPUTED_VALUE"""),0.5394)</f>
      </c>
      <c r="K614" s="11">
        <f>IFERROR(__xludf.DUMMYFUNCTION("""COMPUTED_VALUE"""),85.85)</f>
      </c>
      <c r="L614" s="10">
        <f>IFERROR(__xludf.DUMMYFUNCTION("""COMPUTED_VALUE"""),0.4104)</f>
      </c>
      <c r="M614" s="11">
        <f>IFERROR(__xludf.DUMMYFUNCTION("""COMPUTED_VALUE"""),317.59)</f>
      </c>
      <c r="N614" s="10">
        <f>IFERROR(__xludf.DUMMYFUNCTION("""COMPUTED_VALUE"""),0.0)</f>
      </c>
      <c r="O614" s="11">
        <f>IFERROR(__xludf.DUMMYFUNCTION("""COMPUTED_VALUE"""),"----")</f>
      </c>
      <c r="P614" s="12"/>
      <c r="Q614" s="12"/>
      <c r="R614" s="15"/>
      <c r="S614" s="12"/>
      <c r="T614" s="12"/>
      <c r="U614" s="12"/>
      <c r="V614" s="12"/>
      <c r="W614" s="12"/>
      <c r="X614" s="12"/>
      <c r="Y614" s="12"/>
      <c r="Z614" s="12"/>
    </row>
    <row x14ac:dyDescent="0.25" r="615" customHeight="1" ht="15.75">
      <c r="A615" s="8">
        <f>IFERROR(__xludf.DUMMYFUNCTION("""COMPUTED_VALUE"""),25381.0)</f>
      </c>
      <c r="B615" s="9">
        <f>IFERROR(__xludf.DUMMYFUNCTION("""COMPUTED_VALUE"""),"METROPOLITANA VI")</f>
      </c>
      <c r="C615" s="9">
        <f>IFERROR(__xludf.DUMMYFUNCTION("""COMPUTED_VALUE"""),"CE DELFIM MOREIRA")</f>
      </c>
      <c r="D615" s="10">
        <f>IFERROR(__xludf.DUMMYFUNCTION("""COMPUTED_VALUE"""),0.6952)</f>
      </c>
      <c r="E615" s="11">
        <f>IFERROR(__xludf.DUMMYFUNCTION("""COMPUTED_VALUE"""),107.09)</f>
      </c>
      <c r="F615" s="10">
        <f>IFERROR(__xludf.DUMMYFUNCTION("""COMPUTED_VALUE"""),0.2888)</f>
      </c>
      <c r="G615" s="11">
        <f>IFERROR(__xludf.DUMMYFUNCTION("""COMPUTED_VALUE"""),296.3)</f>
      </c>
      <c r="H615" s="10">
        <f>IFERROR(__xludf.DUMMYFUNCTION("""COMPUTED_VALUE"""),0.4599)</f>
      </c>
      <c r="I615" s="11">
        <f>IFERROR(__xludf.DUMMYFUNCTION("""COMPUTED_VALUE"""),348.24)</f>
      </c>
      <c r="J615" s="10">
        <f>IFERROR(__xludf.DUMMYFUNCTION("""COMPUTED_VALUE"""),0.5668)</f>
      </c>
      <c r="K615" s="11">
        <f>IFERROR(__xludf.DUMMYFUNCTION("""COMPUTED_VALUE"""),215.0)</f>
      </c>
      <c r="L615" s="10">
        <f>IFERROR(__xludf.DUMMYFUNCTION("""COMPUTED_VALUE"""),0.5348)</f>
      </c>
      <c r="M615" s="11">
        <f>IFERROR(__xludf.DUMMYFUNCTION("""COMPUTED_VALUE"""),337.14)</f>
      </c>
      <c r="N615" s="10">
        <f>IFERROR(__xludf.DUMMYFUNCTION("""COMPUTED_VALUE"""),0.0053)</f>
      </c>
      <c r="O615" s="11">
        <f>IFERROR(__xludf.DUMMYFUNCTION("""COMPUTED_VALUE"""),560.0)</f>
      </c>
      <c r="P615" s="12"/>
      <c r="Q615" s="12"/>
      <c r="R615" s="15"/>
      <c r="S615" s="12"/>
      <c r="T615" s="12"/>
      <c r="U615" s="12"/>
      <c r="V615" s="12"/>
      <c r="W615" s="12"/>
      <c r="X615" s="12"/>
      <c r="Y615" s="12"/>
      <c r="Z615" s="12"/>
    </row>
    <row x14ac:dyDescent="0.25" r="616" customHeight="1" ht="15.75">
      <c r="A616" s="8">
        <f>IFERROR(__xludf.DUMMYFUNCTION("""COMPUTED_VALUE"""),25382.0)</f>
      </c>
      <c r="B616" s="9">
        <f>IFERROR(__xludf.DUMMYFUNCTION("""COMPUTED_VALUE"""),"METROPOLITANA VI")</f>
      </c>
      <c r="C616" s="9">
        <f>IFERROR(__xludf.DUMMYFUNCTION("""COMPUTED_VALUE"""),"CE DEODORO")</f>
      </c>
      <c r="D616" s="10">
        <f>IFERROR(__xludf.DUMMYFUNCTION("""COMPUTED_VALUE"""),0.4688)</f>
      </c>
      <c r="E616" s="11">
        <f>IFERROR(__xludf.DUMMYFUNCTION("""COMPUTED_VALUE"""),210.66)</f>
      </c>
      <c r="F616" s="10">
        <f>IFERROR(__xludf.DUMMYFUNCTION("""COMPUTED_VALUE"""),0.3125)</f>
      </c>
      <c r="G616" s="11">
        <f>IFERROR(__xludf.DUMMYFUNCTION("""COMPUTED_VALUE"""),344.0)</f>
      </c>
      <c r="H616" s="10">
        <f>IFERROR(__xludf.DUMMYFUNCTION("""COMPUTED_VALUE"""),0.2281)</f>
      </c>
      <c r="I616" s="11">
        <f>IFERROR(__xludf.DUMMYFUNCTION("""COMPUTED_VALUE"""),347.7)</f>
      </c>
      <c r="J616" s="10">
        <f>IFERROR(__xludf.DUMMYFUNCTION("""COMPUTED_VALUE"""),0.6222)</f>
      </c>
      <c r="K616" s="11">
        <f>IFERROR(__xludf.DUMMYFUNCTION("""COMPUTED_VALUE"""),217.14)</f>
      </c>
      <c r="L616" s="10">
        <f>IFERROR(__xludf.DUMMYFUNCTION("""COMPUTED_VALUE"""),0.4912)</f>
      </c>
      <c r="M616" s="11">
        <f>IFERROR(__xludf.DUMMYFUNCTION("""COMPUTED_VALUE"""),57.14)</f>
      </c>
      <c r="N616" s="10">
        <f>IFERROR(__xludf.DUMMYFUNCTION("""COMPUTED_VALUE"""),0.0)</f>
      </c>
      <c r="O616" s="11">
        <f>IFERROR(__xludf.DUMMYFUNCTION("""COMPUTED_VALUE"""),"----")</f>
      </c>
      <c r="P616" s="12"/>
      <c r="Q616" s="12"/>
      <c r="R616" s="15"/>
      <c r="S616" s="12"/>
      <c r="T616" s="12"/>
      <c r="U616" s="12"/>
      <c r="V616" s="12"/>
      <c r="W616" s="12"/>
      <c r="X616" s="12"/>
      <c r="Y616" s="12"/>
      <c r="Z616" s="12"/>
    </row>
    <row x14ac:dyDescent="0.25" r="617" customHeight="1" ht="15.75">
      <c r="A617" s="8">
        <f>IFERROR(__xludf.DUMMYFUNCTION("""COMPUTED_VALUE"""),25383.0)</f>
      </c>
      <c r="B617" s="9">
        <f>IFERROR(__xludf.DUMMYFUNCTION("""COMPUTED_VALUE"""),"METROPOLITANA VI")</f>
      </c>
      <c r="C617" s="9">
        <f>IFERROR(__xludf.DUMMYFUNCTION("""COMPUTED_VALUE"""),"CE EDUARDO MONDLANE")</f>
      </c>
      <c r="D617" s="10">
        <f>IFERROR(__xludf.DUMMYFUNCTION("""COMPUTED_VALUE"""),0.7492)</f>
      </c>
      <c r="E617" s="11">
        <f>IFERROR(__xludf.DUMMYFUNCTION("""COMPUTED_VALUE"""),148.35)</f>
      </c>
      <c r="F617" s="10">
        <f>IFERROR(__xludf.DUMMYFUNCTION("""COMPUTED_VALUE"""),0.568)</f>
      </c>
      <c r="G617" s="11">
        <f>IFERROR(__xludf.DUMMYFUNCTION("""COMPUTED_VALUE"""),281.08)</f>
      </c>
      <c r="H617" s="10">
        <f>IFERROR(__xludf.DUMMYFUNCTION("""COMPUTED_VALUE"""),0.5952)</f>
      </c>
      <c r="I617" s="11">
        <f>IFERROR(__xludf.DUMMYFUNCTION("""COMPUTED_VALUE"""),250.57)</f>
      </c>
      <c r="J617" s="10">
        <f>IFERROR(__xludf.DUMMYFUNCTION("""COMPUTED_VALUE"""),0.0)</f>
      </c>
      <c r="K617" s="11">
        <f>IFERROR(__xludf.DUMMYFUNCTION("""COMPUTED_VALUE"""),"----")</f>
      </c>
      <c r="L617" s="10">
        <f>IFERROR(__xludf.DUMMYFUNCTION("""COMPUTED_VALUE"""),0.5076)</f>
      </c>
      <c r="M617" s="11">
        <f>IFERROR(__xludf.DUMMYFUNCTION("""COMPUTED_VALUE"""),287.9)</f>
      </c>
      <c r="N617" s="10">
        <f>IFERROR(__xludf.DUMMYFUNCTION("""COMPUTED_VALUE"""),0.0)</f>
      </c>
      <c r="O617" s="11">
        <f>IFERROR(__xludf.DUMMYFUNCTION("""COMPUTED_VALUE"""),"----")</f>
      </c>
      <c r="P617" s="12"/>
      <c r="Q617" s="12"/>
      <c r="R617" s="15"/>
      <c r="S617" s="12"/>
      <c r="T617" s="12"/>
      <c r="U617" s="12"/>
      <c r="V617" s="12"/>
      <c r="W617" s="12"/>
      <c r="X617" s="12"/>
      <c r="Y617" s="12"/>
      <c r="Z617" s="12"/>
    </row>
    <row x14ac:dyDescent="0.25" r="618" customHeight="1" ht="15.75">
      <c r="A618" s="8">
        <f>IFERROR(__xludf.DUMMYFUNCTION("""COMPUTED_VALUE"""),25384.0)</f>
      </c>
      <c r="B618" s="9">
        <f>IFERROR(__xludf.DUMMYFUNCTION("""COMPUTED_VALUE"""),"METROPOLITANA VI")</f>
      </c>
      <c r="C618" s="9">
        <f>IFERROR(__xludf.DUMMYFUNCTION("""COMPUTED_VALUE"""),"CE EMBAIXADOR DIAS CARNEIRO")</f>
      </c>
      <c r="D618" s="10">
        <f>IFERROR(__xludf.DUMMYFUNCTION("""COMPUTED_VALUE"""),0.7421)</f>
      </c>
      <c r="E618" s="11">
        <f>IFERROR(__xludf.DUMMYFUNCTION("""COMPUTED_VALUE"""),151.49)</f>
      </c>
      <c r="F618" s="10">
        <f>IFERROR(__xludf.DUMMYFUNCTION("""COMPUTED_VALUE"""),0.5737)</f>
      </c>
      <c r="G618" s="11">
        <f>IFERROR(__xludf.DUMMYFUNCTION("""COMPUTED_VALUE"""),299.44)</f>
      </c>
      <c r="H618" s="10">
        <f>IFERROR(__xludf.DUMMYFUNCTION("""COMPUTED_VALUE"""),0.4842)</f>
      </c>
      <c r="I618" s="11">
        <f>IFERROR(__xludf.DUMMYFUNCTION("""COMPUTED_VALUE"""),349.78)</f>
      </c>
      <c r="J618" s="10">
        <f>IFERROR(__xludf.DUMMYFUNCTION("""COMPUTED_VALUE"""),0.6474)</f>
      </c>
      <c r="K618" s="11">
        <f>IFERROR(__xludf.DUMMYFUNCTION("""COMPUTED_VALUE"""),189.67)</f>
      </c>
      <c r="L618" s="10">
        <f>IFERROR(__xludf.DUMMYFUNCTION("""COMPUTED_VALUE"""),0.6211)</f>
      </c>
      <c r="M618" s="11">
        <f>IFERROR(__xludf.DUMMYFUNCTION("""COMPUTED_VALUE"""),356.21)</f>
      </c>
      <c r="N618" s="10">
        <f>IFERROR(__xludf.DUMMYFUNCTION("""COMPUTED_VALUE"""),0.0)</f>
      </c>
      <c r="O618" s="11">
        <f>IFERROR(__xludf.DUMMYFUNCTION("""COMPUTED_VALUE"""),"----")</f>
      </c>
      <c r="P618" s="12"/>
      <c r="Q618" s="12"/>
      <c r="R618" s="15"/>
      <c r="S618" s="12"/>
      <c r="T618" s="12"/>
      <c r="U618" s="12"/>
      <c r="V618" s="12"/>
      <c r="W618" s="12"/>
      <c r="X618" s="12"/>
      <c r="Y618" s="12"/>
      <c r="Z618" s="12"/>
    </row>
    <row x14ac:dyDescent="0.25" r="619" customHeight="1" ht="15.75">
      <c r="A619" s="8">
        <f>IFERROR(__xludf.DUMMYFUNCTION("""COMPUTED_VALUE"""),25385.0)</f>
      </c>
      <c r="B619" s="9">
        <f>IFERROR(__xludf.DUMMYFUNCTION("""COMPUTED_VALUE"""),"METROPOLITANA VI")</f>
      </c>
      <c r="C619" s="9">
        <f>IFERROR(__xludf.DUMMYFUNCTION("""COMPUTED_VALUE"""),"CE ENGENHEIRO BERNARDO SAYAO")</f>
      </c>
      <c r="D619" s="10">
        <f>IFERROR(__xludf.DUMMYFUNCTION("""COMPUTED_VALUE"""),0.5862)</f>
      </c>
      <c r="E619" s="11">
        <f>IFERROR(__xludf.DUMMYFUNCTION("""COMPUTED_VALUE"""),122.35)</f>
      </c>
      <c r="F619" s="10">
        <f>IFERROR(__xludf.DUMMYFUNCTION("""COMPUTED_VALUE"""),0.4)</f>
      </c>
      <c r="G619" s="11">
        <f>IFERROR(__xludf.DUMMYFUNCTION("""COMPUTED_VALUE"""),319.32)</f>
      </c>
      <c r="H619" s="10">
        <f>IFERROR(__xludf.DUMMYFUNCTION("""COMPUTED_VALUE"""),0.2989)</f>
      </c>
      <c r="I619" s="11">
        <f>IFERROR(__xludf.DUMMYFUNCTION("""COMPUTED_VALUE"""),352.03)</f>
      </c>
      <c r="J619" s="10">
        <f>IFERROR(__xludf.DUMMYFUNCTION("""COMPUTED_VALUE"""),0.4706)</f>
      </c>
      <c r="K619" s="11">
        <f>IFERROR(__xludf.DUMMYFUNCTION("""COMPUTED_VALUE"""),190.01)</f>
      </c>
      <c r="L619" s="10">
        <f>IFERROR(__xludf.DUMMYFUNCTION("""COMPUTED_VALUE"""),0.2174)</f>
      </c>
      <c r="M619" s="11">
        <f>IFERROR(__xludf.DUMMYFUNCTION("""COMPUTED_VALUE"""),238.96)</f>
      </c>
      <c r="N619" s="10">
        <f>IFERROR(__xludf.DUMMYFUNCTION("""COMPUTED_VALUE"""),0.0)</f>
      </c>
      <c r="O619" s="11">
        <f>IFERROR(__xludf.DUMMYFUNCTION("""COMPUTED_VALUE"""),"----")</f>
      </c>
      <c r="P619" s="12"/>
      <c r="Q619" s="12"/>
      <c r="R619" s="15"/>
      <c r="S619" s="12"/>
      <c r="T619" s="12"/>
      <c r="U619" s="12"/>
      <c r="V619" s="12"/>
      <c r="W619" s="12"/>
      <c r="X619" s="12"/>
      <c r="Y619" s="12"/>
      <c r="Z619" s="12"/>
    </row>
    <row x14ac:dyDescent="0.25" r="620" customHeight="1" ht="15.75">
      <c r="A620" s="8">
        <f>IFERROR(__xludf.DUMMYFUNCTION("""COMPUTED_VALUE"""),25386.0)</f>
      </c>
      <c r="B620" s="9">
        <f>IFERROR(__xludf.DUMMYFUNCTION("""COMPUTED_VALUE"""),"METROPOLITANA VI")</f>
      </c>
      <c r="C620" s="9">
        <f>IFERROR(__xludf.DUMMYFUNCTION("""COMPUTED_VALUE"""),"CE EUNICE WEAVER")</f>
      </c>
      <c r="D620" s="10">
        <f>IFERROR(__xludf.DUMMYFUNCTION("""COMPUTED_VALUE"""),0.7877)</f>
      </c>
      <c r="E620" s="11">
        <f>IFERROR(__xludf.DUMMYFUNCTION("""COMPUTED_VALUE"""),133.17)</f>
      </c>
      <c r="F620" s="10">
        <f>IFERROR(__xludf.DUMMYFUNCTION("""COMPUTED_VALUE"""),0.6226)</f>
      </c>
      <c r="G620" s="11">
        <f>IFERROR(__xludf.DUMMYFUNCTION("""COMPUTED_VALUE"""),356.77)</f>
      </c>
      <c r="H620" s="10">
        <f>IFERROR(__xludf.DUMMYFUNCTION("""COMPUTED_VALUE"""),0.5566)</f>
      </c>
      <c r="I620" s="11">
        <f>IFERROR(__xludf.DUMMYFUNCTION("""COMPUTED_VALUE"""),427.12)</f>
      </c>
      <c r="J620" s="10">
        <f>IFERROR(__xludf.DUMMYFUNCTION("""COMPUTED_VALUE"""),0.5755)</f>
      </c>
      <c r="K620" s="11">
        <f>IFERROR(__xludf.DUMMYFUNCTION("""COMPUTED_VALUE"""),327.38)</f>
      </c>
      <c r="L620" s="10">
        <f>IFERROR(__xludf.DUMMYFUNCTION("""COMPUTED_VALUE"""),0.4575)</f>
      </c>
      <c r="M620" s="11">
        <f>IFERROR(__xludf.DUMMYFUNCTION("""COMPUTED_VALUE"""),422.99)</f>
      </c>
      <c r="N620" s="10">
        <f>IFERROR(__xludf.DUMMYFUNCTION("""COMPUTED_VALUE"""),0.1038)</f>
      </c>
      <c r="O620" s="11">
        <f>IFERROR(__xludf.DUMMYFUNCTION("""COMPUTED_VALUE"""),345.45)</f>
      </c>
      <c r="P620" s="12"/>
      <c r="Q620" s="12"/>
      <c r="R620" s="15"/>
      <c r="S620" s="12"/>
      <c r="T620" s="12"/>
      <c r="U620" s="12"/>
      <c r="V620" s="12"/>
      <c r="W620" s="12"/>
      <c r="X620" s="12"/>
      <c r="Y620" s="12"/>
      <c r="Z620" s="12"/>
    </row>
    <row x14ac:dyDescent="0.25" r="621" customHeight="1" ht="15.75">
      <c r="A621" s="8">
        <f>IFERROR(__xludf.DUMMYFUNCTION("""COMPUTED_VALUE"""),25387.0)</f>
      </c>
      <c r="B621" s="9">
        <f>IFERROR(__xludf.DUMMYFUNCTION("""COMPUTED_VALUE"""),"METROPOLITANA VI")</f>
      </c>
      <c r="C621" s="9">
        <f>IFERROR(__xludf.DUMMYFUNCTION("""COMPUTED_VALUE"""),"CE FINLANDIA")</f>
      </c>
      <c r="D621" s="10">
        <f>IFERROR(__xludf.DUMMYFUNCTION("""COMPUTED_VALUE"""),0.7556)</f>
      </c>
      <c r="E621" s="11">
        <f>IFERROR(__xludf.DUMMYFUNCTION("""COMPUTED_VALUE"""),158.68)</f>
      </c>
      <c r="F621" s="10">
        <f>IFERROR(__xludf.DUMMYFUNCTION("""COMPUTED_VALUE"""),0.6844)</f>
      </c>
      <c r="G621" s="11">
        <f>IFERROR(__xludf.DUMMYFUNCTION("""COMPUTED_VALUE"""),322.35)</f>
      </c>
      <c r="H621" s="10">
        <f>IFERROR(__xludf.DUMMYFUNCTION("""COMPUTED_VALUE"""),0.6025)</f>
      </c>
      <c r="I621" s="11">
        <f>IFERROR(__xludf.DUMMYFUNCTION("""COMPUTED_VALUE"""),328.28)</f>
      </c>
      <c r="J621" s="10">
        <f>IFERROR(__xludf.DUMMYFUNCTION("""COMPUTED_VALUE"""),0.6639)</f>
      </c>
      <c r="K621" s="11">
        <f>IFERROR(__xludf.DUMMYFUNCTION("""COMPUTED_VALUE"""),300.9)</f>
      </c>
      <c r="L621" s="10">
        <f>IFERROR(__xludf.DUMMYFUNCTION("""COMPUTED_VALUE"""),0.4754)</f>
      </c>
      <c r="M621" s="11">
        <f>IFERROR(__xludf.DUMMYFUNCTION("""COMPUTED_VALUE"""),368.77)</f>
      </c>
      <c r="N621" s="10">
        <f>IFERROR(__xludf.DUMMYFUNCTION("""COMPUTED_VALUE"""),0.0041)</f>
      </c>
      <c r="O621" s="11">
        <f>IFERROR(__xludf.DUMMYFUNCTION("""COMPUTED_VALUE"""),160.0)</f>
      </c>
      <c r="P621" s="12"/>
      <c r="Q621" s="12"/>
      <c r="R621" s="15"/>
      <c r="S621" s="12"/>
      <c r="T621" s="12"/>
      <c r="U621" s="12"/>
      <c r="V621" s="12"/>
      <c r="W621" s="12"/>
      <c r="X621" s="12"/>
      <c r="Y621" s="12"/>
      <c r="Z621" s="12"/>
    </row>
    <row x14ac:dyDescent="0.25" r="622" customHeight="1" ht="15.75">
      <c r="A622" s="8">
        <f>IFERROR(__xludf.DUMMYFUNCTION("""COMPUTED_VALUE"""),25388.0)</f>
      </c>
      <c r="B622" s="9">
        <f>IFERROR(__xludf.DUMMYFUNCTION("""COMPUTED_VALUE"""),"METROPOLITANA VI")</f>
      </c>
      <c r="C622" s="9">
        <f>IFERROR(__xludf.DUMMYFUNCTION("""COMPUTED_VALUE"""),"CE FRANCISCO CAMPOS")</f>
      </c>
      <c r="D622" s="10">
        <f>IFERROR(__xludf.DUMMYFUNCTION("""COMPUTED_VALUE"""),0.6957)</f>
      </c>
      <c r="E622" s="11">
        <f>IFERROR(__xludf.DUMMYFUNCTION("""COMPUTED_VALUE"""),291.68)</f>
      </c>
      <c r="F622" s="10">
        <f>IFERROR(__xludf.DUMMYFUNCTION("""COMPUTED_VALUE"""),0.3913)</f>
      </c>
      <c r="G622" s="11">
        <f>IFERROR(__xludf.DUMMYFUNCTION("""COMPUTED_VALUE"""),413.33)</f>
      </c>
      <c r="H622" s="10">
        <f>IFERROR(__xludf.DUMMYFUNCTION("""COMPUTED_VALUE"""),0.217)</f>
      </c>
      <c r="I622" s="11">
        <f>IFERROR(__xludf.DUMMYFUNCTION("""COMPUTED_VALUE"""),433.04)</f>
      </c>
      <c r="J622" s="10">
        <f>IFERROR(__xludf.DUMMYFUNCTION("""COMPUTED_VALUE"""),0.6463)</f>
      </c>
      <c r="K622" s="11">
        <f>IFERROR(__xludf.DUMMYFUNCTION("""COMPUTED_VALUE"""),394.5)</f>
      </c>
      <c r="L622" s="10">
        <f>IFERROR(__xludf.DUMMYFUNCTION("""COMPUTED_VALUE"""),0.217)</f>
      </c>
      <c r="M622" s="11">
        <f>IFERROR(__xludf.DUMMYFUNCTION("""COMPUTED_VALUE"""),438.61)</f>
      </c>
      <c r="N622" s="10">
        <f>IFERROR(__xludf.DUMMYFUNCTION("""COMPUTED_VALUE"""),0.0)</f>
      </c>
      <c r="O622" s="11">
        <f>IFERROR(__xludf.DUMMYFUNCTION("""COMPUTED_VALUE"""),"----")</f>
      </c>
      <c r="P622" s="12"/>
      <c r="Q622" s="12"/>
      <c r="R622" s="15"/>
      <c r="S622" s="12"/>
      <c r="T622" s="12"/>
      <c r="U622" s="12"/>
      <c r="V622" s="12"/>
      <c r="W622" s="12"/>
      <c r="X622" s="12"/>
      <c r="Y622" s="12"/>
      <c r="Z622" s="12"/>
    </row>
    <row x14ac:dyDescent="0.25" r="623" customHeight="1" ht="15.75">
      <c r="A623" s="8">
        <f>IFERROR(__xludf.DUMMYFUNCTION("""COMPUTED_VALUE"""),25389.0)</f>
      </c>
      <c r="B623" s="9">
        <f>IFERROR(__xludf.DUMMYFUNCTION("""COMPUTED_VALUE"""),"METROPOLITANA VI")</f>
      </c>
      <c r="C623" s="9">
        <f>IFERROR(__xludf.DUMMYFUNCTION("""COMPUTED_VALUE"""),"CE FREDERICO EYER")</f>
      </c>
      <c r="D623" s="10">
        <f>IFERROR(__xludf.DUMMYFUNCTION("""COMPUTED_VALUE"""),0.6364)</f>
      </c>
      <c r="E623" s="11">
        <f>IFERROR(__xludf.DUMMYFUNCTION("""COMPUTED_VALUE"""),68.57)</f>
      </c>
      <c r="F623" s="10">
        <f>IFERROR(__xludf.DUMMYFUNCTION("""COMPUTED_VALUE"""),0.0)</f>
      </c>
      <c r="G623" s="11">
        <f>IFERROR(__xludf.DUMMYFUNCTION("""COMPUTED_VALUE"""),"----")</f>
      </c>
      <c r="H623" s="10">
        <f>IFERROR(__xludf.DUMMYFUNCTION("""COMPUTED_VALUE"""),0.2245)</f>
      </c>
      <c r="I623" s="11">
        <f>IFERROR(__xludf.DUMMYFUNCTION("""COMPUTED_VALUE"""),309.09)</f>
      </c>
      <c r="J623" s="10">
        <f>IFERROR(__xludf.DUMMYFUNCTION("""COMPUTED_VALUE"""),0.4737)</f>
      </c>
      <c r="K623" s="11">
        <f>IFERROR(__xludf.DUMMYFUNCTION("""COMPUTED_VALUE"""),165.71)</f>
      </c>
      <c r="L623" s="10">
        <f>IFERROR(__xludf.DUMMYFUNCTION("""COMPUTED_VALUE"""),0.1633)</f>
      </c>
      <c r="M623" s="11">
        <f>IFERROR(__xludf.DUMMYFUNCTION("""COMPUTED_VALUE"""),200.0)</f>
      </c>
      <c r="N623" s="10">
        <f>IFERROR(__xludf.DUMMYFUNCTION("""COMPUTED_VALUE"""),0.2245)</f>
      </c>
      <c r="O623" s="11">
        <f>IFERROR(__xludf.DUMMYFUNCTION("""COMPUTED_VALUE"""),320.0)</f>
      </c>
      <c r="P623" s="12"/>
      <c r="Q623" s="12"/>
      <c r="R623" s="15"/>
      <c r="S623" s="12"/>
      <c r="T623" s="12"/>
      <c r="U623" s="12"/>
      <c r="V623" s="12"/>
      <c r="W623" s="12"/>
      <c r="X623" s="12"/>
      <c r="Y623" s="12"/>
      <c r="Z623" s="12"/>
    </row>
    <row x14ac:dyDescent="0.25" r="624" customHeight="1" ht="15.75">
      <c r="A624" s="8">
        <f>IFERROR(__xludf.DUMMYFUNCTION("""COMPUTED_VALUE"""),25390.0)</f>
      </c>
      <c r="B624" s="9">
        <f>IFERROR(__xludf.DUMMYFUNCTION("""COMPUTED_VALUE"""),"METROPOLITANA VI")</f>
      </c>
      <c r="C624" s="9">
        <f>IFERROR(__xludf.DUMMYFUNCTION("""COMPUTED_VALUE"""),"CE GENERAL CARLOS CAETANO MIRAGAYA")</f>
      </c>
      <c r="D624" s="10">
        <f>IFERROR(__xludf.DUMMYFUNCTION("""COMPUTED_VALUE"""),0.7778)</f>
      </c>
      <c r="E624" s="11">
        <f>IFERROR(__xludf.DUMMYFUNCTION("""COMPUTED_VALUE"""),36.19)</f>
      </c>
      <c r="F624" s="10">
        <f>IFERROR(__xludf.DUMMYFUNCTION("""COMPUTED_VALUE"""),0.963)</f>
      </c>
      <c r="G624" s="11">
        <f>IFERROR(__xludf.DUMMYFUNCTION("""COMPUTED_VALUE"""),12.8)</f>
      </c>
      <c r="H624" s="10">
        <f>IFERROR(__xludf.DUMMYFUNCTION("""COMPUTED_VALUE"""),0.4839)</f>
      </c>
      <c r="I624" s="11">
        <f>IFERROR(__xludf.DUMMYFUNCTION("""COMPUTED_VALUE"""),62.67)</f>
      </c>
      <c r="J624" s="10">
        <f>IFERROR(__xludf.DUMMYFUNCTION("""COMPUTED_VALUE"""),"----")</f>
      </c>
      <c r="K624" s="11">
        <f>IFERROR(__xludf.DUMMYFUNCTION("""COMPUTED_VALUE"""),"----")</f>
      </c>
      <c r="L624" s="10">
        <f>IFERROR(__xludf.DUMMYFUNCTION("""COMPUTED_VALUE"""),0.0484)</f>
      </c>
      <c r="M624" s="11">
        <f>IFERROR(__xludf.DUMMYFUNCTION("""COMPUTED_VALUE"""),413.33)</f>
      </c>
      <c r="N624" s="10">
        <f>IFERROR(__xludf.DUMMYFUNCTION("""COMPUTED_VALUE"""),0.0161)</f>
      </c>
      <c r="O624" s="11">
        <f>IFERROR(__xludf.DUMMYFUNCTION("""COMPUTED_VALUE"""),200.0)</f>
      </c>
      <c r="P624" s="12"/>
      <c r="Q624" s="12"/>
      <c r="R624" s="15"/>
      <c r="S624" s="12"/>
      <c r="T624" s="12"/>
      <c r="U624" s="12"/>
      <c r="V624" s="12"/>
      <c r="W624" s="12"/>
      <c r="X624" s="12"/>
      <c r="Y624" s="12"/>
      <c r="Z624" s="12"/>
    </row>
    <row x14ac:dyDescent="0.25" r="625" customHeight="1" ht="15.75">
      <c r="A625" s="8">
        <f>IFERROR(__xludf.DUMMYFUNCTION("""COMPUTED_VALUE"""),25391.0)</f>
      </c>
      <c r="B625" s="9">
        <f>IFERROR(__xludf.DUMMYFUNCTION("""COMPUTED_VALUE"""),"METROPOLITANA VI")</f>
      </c>
      <c r="C625" s="9">
        <f>IFERROR(__xludf.DUMMYFUNCTION("""COMPUTED_VALUE"""),"CE GILSON AMADO")</f>
      </c>
      <c r="D625" s="10">
        <f>IFERROR(__xludf.DUMMYFUNCTION("""COMPUTED_VALUE"""),0.6983)</f>
      </c>
      <c r="E625" s="11">
        <f>IFERROR(__xludf.DUMMYFUNCTION("""COMPUTED_VALUE"""),119.02)</f>
      </c>
      <c r="F625" s="10">
        <f>IFERROR(__xludf.DUMMYFUNCTION("""COMPUTED_VALUE"""),0.4712)</f>
      </c>
      <c r="G625" s="11">
        <f>IFERROR(__xludf.DUMMYFUNCTION("""COMPUTED_VALUE"""),289.02)</f>
      </c>
      <c r="H625" s="10">
        <f>IFERROR(__xludf.DUMMYFUNCTION("""COMPUTED_VALUE"""),0.4881)</f>
      </c>
      <c r="I625" s="11">
        <f>IFERROR(__xludf.DUMMYFUNCTION("""COMPUTED_VALUE"""),388.29)</f>
      </c>
      <c r="J625" s="10">
        <f>IFERROR(__xludf.DUMMYFUNCTION("""COMPUTED_VALUE"""),0.5153)</f>
      </c>
      <c r="K625" s="11">
        <f>IFERROR(__xludf.DUMMYFUNCTION("""COMPUTED_VALUE"""),179.03)</f>
      </c>
      <c r="L625" s="10">
        <f>IFERROR(__xludf.DUMMYFUNCTION("""COMPUTED_VALUE"""),0.4136)</f>
      </c>
      <c r="M625" s="11">
        <f>IFERROR(__xludf.DUMMYFUNCTION("""COMPUTED_VALUE"""),333.55)</f>
      </c>
      <c r="N625" s="10">
        <f>IFERROR(__xludf.DUMMYFUNCTION("""COMPUTED_VALUE"""),0.0034)</f>
      </c>
      <c r="O625" s="11">
        <f>IFERROR(__xludf.DUMMYFUNCTION("""COMPUTED_VALUE"""),400.0)</f>
      </c>
      <c r="P625" s="12"/>
      <c r="Q625" s="12"/>
      <c r="R625" s="15"/>
      <c r="S625" s="12"/>
      <c r="T625" s="12"/>
      <c r="U625" s="12"/>
      <c r="V625" s="12"/>
      <c r="W625" s="12"/>
      <c r="X625" s="12"/>
      <c r="Y625" s="12"/>
      <c r="Z625" s="12"/>
    </row>
    <row x14ac:dyDescent="0.25" r="626" customHeight="1" ht="15.75">
      <c r="A626" s="8">
        <f>IFERROR(__xludf.DUMMYFUNCTION("""COMPUTED_VALUE"""),25392.0)</f>
      </c>
      <c r="B626" s="9">
        <f>IFERROR(__xludf.DUMMYFUNCTION("""COMPUTED_VALUE"""),"METROPOLITANA VI")</f>
      </c>
      <c r="C626" s="9">
        <f>IFERROR(__xludf.DUMMYFUNCTION("""COMPUTED_VALUE"""),"CE GOLDA MEIR")</f>
      </c>
      <c r="D626" s="10">
        <f>IFERROR(__xludf.DUMMYFUNCTION("""COMPUTED_VALUE"""),0.8684)</f>
      </c>
      <c r="E626" s="11">
        <f>IFERROR(__xludf.DUMMYFUNCTION("""COMPUTED_VALUE"""),135.36)</f>
      </c>
      <c r="F626" s="10">
        <f>IFERROR(__xludf.DUMMYFUNCTION("""COMPUTED_VALUE"""),0.3596)</f>
      </c>
      <c r="G626" s="11">
        <f>IFERROR(__xludf.DUMMYFUNCTION("""COMPUTED_VALUE"""),379.51)</f>
      </c>
      <c r="H626" s="10">
        <f>IFERROR(__xludf.DUMMYFUNCTION("""COMPUTED_VALUE"""),0.4101)</f>
      </c>
      <c r="I626" s="11">
        <f>IFERROR(__xludf.DUMMYFUNCTION("""COMPUTED_VALUE"""),376.48)</f>
      </c>
      <c r="J626" s="10">
        <f>IFERROR(__xludf.DUMMYFUNCTION("""COMPUTED_VALUE"""),0.3871)</f>
      </c>
      <c r="K626" s="11">
        <f>IFERROR(__xludf.DUMMYFUNCTION("""COMPUTED_VALUE"""),177.01)</f>
      </c>
      <c r="L626" s="10">
        <f>IFERROR(__xludf.DUMMYFUNCTION("""COMPUTED_VALUE"""),0.3022)</f>
      </c>
      <c r="M626" s="11">
        <f>IFERROR(__xludf.DUMMYFUNCTION("""COMPUTED_VALUE"""),360.0)</f>
      </c>
      <c r="N626" s="10">
        <f>IFERROR(__xludf.DUMMYFUNCTION("""COMPUTED_VALUE"""),0.0)</f>
      </c>
      <c r="O626" s="11">
        <f>IFERROR(__xludf.DUMMYFUNCTION("""COMPUTED_VALUE"""),"----")</f>
      </c>
      <c r="P626" s="12"/>
      <c r="Q626" s="12"/>
      <c r="R626" s="15"/>
      <c r="S626" s="12"/>
      <c r="T626" s="12"/>
      <c r="U626" s="12"/>
      <c r="V626" s="12"/>
      <c r="W626" s="12"/>
      <c r="X626" s="12"/>
      <c r="Y626" s="12"/>
      <c r="Z626" s="12"/>
    </row>
    <row x14ac:dyDescent="0.25" r="627" customHeight="1" ht="15.75">
      <c r="A627" s="8">
        <f>IFERROR(__xludf.DUMMYFUNCTION("""COMPUTED_VALUE"""),25393.0)</f>
      </c>
      <c r="B627" s="9">
        <f>IFERROR(__xludf.DUMMYFUNCTION("""COMPUTED_VALUE"""),"METROPOLITANA VI")</f>
      </c>
      <c r="C627" s="9">
        <f>IFERROR(__xludf.DUMMYFUNCTION("""COMPUTED_VALUE"""),"CE GONCALVES DIAS")</f>
      </c>
      <c r="D627" s="10">
        <f>IFERROR(__xludf.DUMMYFUNCTION("""COMPUTED_VALUE"""),0.4407)</f>
      </c>
      <c r="E627" s="11">
        <f>IFERROR(__xludf.DUMMYFUNCTION("""COMPUTED_VALUE"""),258.33)</f>
      </c>
      <c r="F627" s="10">
        <f>IFERROR(__xludf.DUMMYFUNCTION("""COMPUTED_VALUE"""),0.5424)</f>
      </c>
      <c r="G627" s="11">
        <f>IFERROR(__xludf.DUMMYFUNCTION("""COMPUTED_VALUE"""),427.94)</f>
      </c>
      <c r="H627" s="10">
        <f>IFERROR(__xludf.DUMMYFUNCTION("""COMPUTED_VALUE"""),0.9915)</f>
      </c>
      <c r="I627" s="11">
        <f>IFERROR(__xludf.DUMMYFUNCTION("""COMPUTED_VALUE"""),169.23)</f>
      </c>
      <c r="J627" s="10">
        <f>IFERROR(__xludf.DUMMYFUNCTION("""COMPUTED_VALUE"""),0.661)</f>
      </c>
      <c r="K627" s="11">
        <f>IFERROR(__xludf.DUMMYFUNCTION("""COMPUTED_VALUE"""),273.6)</f>
      </c>
      <c r="L627" s="10">
        <f>IFERROR(__xludf.DUMMYFUNCTION("""COMPUTED_VALUE"""),0.5932)</f>
      </c>
      <c r="M627" s="11">
        <f>IFERROR(__xludf.DUMMYFUNCTION("""COMPUTED_VALUE"""),441.74)</f>
      </c>
      <c r="N627" s="10">
        <f>IFERROR(__xludf.DUMMYFUNCTION("""COMPUTED_VALUE"""),0.0)</f>
      </c>
      <c r="O627" s="11">
        <f>IFERROR(__xludf.DUMMYFUNCTION("""COMPUTED_VALUE"""),"----")</f>
      </c>
      <c r="P627" s="12"/>
      <c r="Q627" s="12"/>
      <c r="R627" s="15"/>
      <c r="S627" s="12"/>
      <c r="T627" s="12"/>
      <c r="U627" s="12"/>
      <c r="V627" s="12"/>
      <c r="W627" s="12"/>
      <c r="X627" s="12"/>
      <c r="Y627" s="12"/>
      <c r="Z627" s="12"/>
    </row>
    <row x14ac:dyDescent="0.25" r="628" customHeight="1" ht="15.75">
      <c r="A628" s="8">
        <f>IFERROR(__xludf.DUMMYFUNCTION("""COMPUTED_VALUE"""),25394.0)</f>
      </c>
      <c r="B628" s="9">
        <f>IFERROR(__xludf.DUMMYFUNCTION("""COMPUTED_VALUE"""),"METROPOLITANA VI")</f>
      </c>
      <c r="C628" s="9">
        <f>IFERROR(__xludf.DUMMYFUNCTION("""COMPUTED_VALUE"""),"CE HERBERT DE SOUZA")</f>
      </c>
      <c r="D628" s="10">
        <f>IFERROR(__xludf.DUMMYFUNCTION("""COMPUTED_VALUE"""),0.8969)</f>
      </c>
      <c r="E628" s="11">
        <f>IFERROR(__xludf.DUMMYFUNCTION("""COMPUTED_VALUE"""),222.82)</f>
      </c>
      <c r="F628" s="10">
        <f>IFERROR(__xludf.DUMMYFUNCTION("""COMPUTED_VALUE"""),0.9372)</f>
      </c>
      <c r="G628" s="11">
        <f>IFERROR(__xludf.DUMMYFUNCTION("""COMPUTED_VALUE"""),270.24)</f>
      </c>
      <c r="H628" s="10">
        <f>IFERROR(__xludf.DUMMYFUNCTION("""COMPUTED_VALUE"""),0.8194)</f>
      </c>
      <c r="I628" s="11">
        <f>IFERROR(__xludf.DUMMYFUNCTION("""COMPUTED_VALUE"""),279.85)</f>
      </c>
      <c r="J628" s="10">
        <f>IFERROR(__xludf.DUMMYFUNCTION("""COMPUTED_VALUE"""),0.9067)</f>
      </c>
      <c r="K628" s="11">
        <f>IFERROR(__xludf.DUMMYFUNCTION("""COMPUTED_VALUE"""),215.66)</f>
      </c>
      <c r="L628" s="10">
        <f>IFERROR(__xludf.DUMMYFUNCTION("""COMPUTED_VALUE"""),0.9306)</f>
      </c>
      <c r="M628" s="11">
        <f>IFERROR(__xludf.DUMMYFUNCTION("""COMPUTED_VALUE"""),227.01)</f>
      </c>
      <c r="N628" s="10">
        <f>IFERROR(__xludf.DUMMYFUNCTION("""COMPUTED_VALUE"""),0.0035)</f>
      </c>
      <c r="O628" s="11">
        <f>IFERROR(__xludf.DUMMYFUNCTION("""COMPUTED_VALUE"""),"----")</f>
      </c>
      <c r="P628" s="12"/>
      <c r="Q628" s="12"/>
      <c r="R628" s="15"/>
      <c r="S628" s="12"/>
      <c r="T628" s="12"/>
      <c r="U628" s="12"/>
      <c r="V628" s="12"/>
      <c r="W628" s="12"/>
      <c r="X628" s="12"/>
      <c r="Y628" s="12"/>
      <c r="Z628" s="12"/>
    </row>
    <row x14ac:dyDescent="0.25" r="629" customHeight="1" ht="15.75">
      <c r="A629" s="8">
        <f>IFERROR(__xludf.DUMMYFUNCTION("""COMPUTED_VALUE"""),25395.0)</f>
      </c>
      <c r="B629" s="9">
        <f>IFERROR(__xludf.DUMMYFUNCTION("""COMPUTED_VALUE"""),"METROPOLITANA VI")</f>
      </c>
      <c r="C629" s="9">
        <f>IFERROR(__xludf.DUMMYFUNCTION("""COMPUTED_VALUE"""),"CE HONDURAS")</f>
      </c>
      <c r="D629" s="10">
        <f>IFERROR(__xludf.DUMMYFUNCTION("""COMPUTED_VALUE"""),0.4857)</f>
      </c>
      <c r="E629" s="11">
        <f>IFERROR(__xludf.DUMMYFUNCTION("""COMPUTED_VALUE"""),68.24)</f>
      </c>
      <c r="F629" s="10">
        <f>IFERROR(__xludf.DUMMYFUNCTION("""COMPUTED_VALUE"""),0.4286)</f>
      </c>
      <c r="G629" s="11">
        <f>IFERROR(__xludf.DUMMYFUNCTION("""COMPUTED_VALUE"""),280.0)</f>
      </c>
      <c r="H629" s="10">
        <f>IFERROR(__xludf.DUMMYFUNCTION("""COMPUTED_VALUE"""),0.134)</f>
      </c>
      <c r="I629" s="11">
        <f>IFERROR(__xludf.DUMMYFUNCTION("""COMPUTED_VALUE"""),381.54)</f>
      </c>
      <c r="J629" s="10">
        <f>IFERROR(__xludf.DUMMYFUNCTION("""COMPUTED_VALUE"""),0.5484)</f>
      </c>
      <c r="K629" s="11">
        <f>IFERROR(__xludf.DUMMYFUNCTION("""COMPUTED_VALUE"""),277.65)</f>
      </c>
      <c r="L629" s="10">
        <f>IFERROR(__xludf.DUMMYFUNCTION("""COMPUTED_VALUE"""),0.1237)</f>
      </c>
      <c r="M629" s="11">
        <f>IFERROR(__xludf.DUMMYFUNCTION("""COMPUTED_VALUE"""),310.0)</f>
      </c>
      <c r="N629" s="10">
        <f>IFERROR(__xludf.DUMMYFUNCTION("""COMPUTED_VALUE"""),0.0)</f>
      </c>
      <c r="O629" s="11">
        <f>IFERROR(__xludf.DUMMYFUNCTION("""COMPUTED_VALUE"""),"----")</f>
      </c>
      <c r="P629" s="12"/>
      <c r="Q629" s="12"/>
      <c r="R629" s="15"/>
      <c r="S629" s="12"/>
      <c r="T629" s="12"/>
      <c r="U629" s="12"/>
      <c r="V629" s="12"/>
      <c r="W629" s="12"/>
      <c r="X629" s="12"/>
      <c r="Y629" s="12"/>
      <c r="Z629" s="12"/>
    </row>
    <row x14ac:dyDescent="0.25" r="630" customHeight="1" ht="15.75">
      <c r="A630" s="8">
        <f>IFERROR(__xludf.DUMMYFUNCTION("""COMPUTED_VALUE"""),25396.0)</f>
      </c>
      <c r="B630" s="9">
        <f>IFERROR(__xludf.DUMMYFUNCTION("""COMPUTED_VALUE"""),"METROPOLITANA VI")</f>
      </c>
      <c r="C630" s="9">
        <f>IFERROR(__xludf.DUMMYFUNCTION("""COMPUTED_VALUE"""),"CE IGNACIO AZEVEDO DO AMARAL")</f>
      </c>
      <c r="D630" s="10">
        <f>IFERROR(__xludf.DUMMYFUNCTION("""COMPUTED_VALUE"""),0.9361)</f>
      </c>
      <c r="E630" s="11">
        <f>IFERROR(__xludf.DUMMYFUNCTION("""COMPUTED_VALUE"""),431.45)</f>
      </c>
      <c r="F630" s="10">
        <f>IFERROR(__xludf.DUMMYFUNCTION("""COMPUTED_VALUE"""),0.7583)</f>
      </c>
      <c r="G630" s="11">
        <f>IFERROR(__xludf.DUMMYFUNCTION("""COMPUTED_VALUE"""),488.5)</f>
      </c>
      <c r="H630" s="10">
        <f>IFERROR(__xludf.DUMMYFUNCTION("""COMPUTED_VALUE"""),0.7646)</f>
      </c>
      <c r="I630" s="11">
        <f>IFERROR(__xludf.DUMMYFUNCTION("""COMPUTED_VALUE"""),550.73)</f>
      </c>
      <c r="J630" s="10">
        <f>IFERROR(__xludf.DUMMYFUNCTION("""COMPUTED_VALUE"""),0.6829)</f>
      </c>
      <c r="K630" s="11">
        <f>IFERROR(__xludf.DUMMYFUNCTION("""COMPUTED_VALUE"""),503.94)</f>
      </c>
      <c r="L630" s="10">
        <f>IFERROR(__xludf.DUMMYFUNCTION("""COMPUTED_VALUE"""),0.6984)</f>
      </c>
      <c r="M630" s="11">
        <f>IFERROR(__xludf.DUMMYFUNCTION("""COMPUTED_VALUE"""),513.96)</f>
      </c>
      <c r="N630" s="10">
        <f>IFERROR(__xludf.DUMMYFUNCTION("""COMPUTED_VALUE"""),0.0026)</f>
      </c>
      <c r="O630" s="11">
        <f>IFERROR(__xludf.DUMMYFUNCTION("""COMPUTED_VALUE"""),"----")</f>
      </c>
      <c r="P630" s="12"/>
      <c r="Q630" s="12"/>
      <c r="R630" s="15"/>
      <c r="S630" s="12"/>
      <c r="T630" s="12"/>
      <c r="U630" s="12"/>
      <c r="V630" s="12"/>
      <c r="W630" s="12"/>
      <c r="X630" s="12"/>
      <c r="Y630" s="12"/>
      <c r="Z630" s="12"/>
    </row>
    <row x14ac:dyDescent="0.25" r="631" customHeight="1" ht="15.75">
      <c r="A631" s="8">
        <f>IFERROR(__xludf.DUMMYFUNCTION("""COMPUTED_VALUE"""),25397.0)</f>
      </c>
      <c r="B631" s="9">
        <f>IFERROR(__xludf.DUMMYFUNCTION("""COMPUTED_VALUE"""),"METROPOLITANA VI")</f>
      </c>
      <c r="C631" s="9">
        <f>IFERROR(__xludf.DUMMYFUNCTION("""COMPUTED_VALUE"""),"CE INFANTE DOM HENRIQUE")</f>
      </c>
      <c r="D631" s="10">
        <f>IFERROR(__xludf.DUMMYFUNCTION("""COMPUTED_VALUE"""),0.9175)</f>
      </c>
      <c r="E631" s="11">
        <f>IFERROR(__xludf.DUMMYFUNCTION("""COMPUTED_VALUE"""),184.75)</f>
      </c>
      <c r="F631" s="10">
        <f>IFERROR(__xludf.DUMMYFUNCTION("""COMPUTED_VALUE"""),0.9823)</f>
      </c>
      <c r="G631" s="11">
        <f>IFERROR(__xludf.DUMMYFUNCTION("""COMPUTED_VALUE"""),283.45)</f>
      </c>
      <c r="H631" s="10">
        <f>IFERROR(__xludf.DUMMYFUNCTION("""COMPUTED_VALUE"""),0.5143)</f>
      </c>
      <c r="I631" s="11">
        <f>IFERROR(__xludf.DUMMYFUNCTION("""COMPUTED_VALUE"""),414.97)</f>
      </c>
      <c r="J631" s="10">
        <f>IFERROR(__xludf.DUMMYFUNCTION("""COMPUTED_VALUE"""),0.7091)</f>
      </c>
      <c r="K631" s="11">
        <f>IFERROR(__xludf.DUMMYFUNCTION("""COMPUTED_VALUE"""),331.25)</f>
      </c>
      <c r="L631" s="10">
        <f>IFERROR(__xludf.DUMMYFUNCTION("""COMPUTED_VALUE"""),0.5987)</f>
      </c>
      <c r="M631" s="11">
        <f>IFERROR(__xludf.DUMMYFUNCTION("""COMPUTED_VALUE"""),363.85)</f>
      </c>
      <c r="N631" s="10">
        <f>IFERROR(__xludf.DUMMYFUNCTION("""COMPUTED_VALUE"""),0.0051)</f>
      </c>
      <c r="O631" s="11">
        <f>IFERROR(__xludf.DUMMYFUNCTION("""COMPUTED_VALUE"""),"----")</f>
      </c>
      <c r="P631" s="12"/>
      <c r="Q631" s="12"/>
      <c r="R631" s="15"/>
      <c r="S631" s="12"/>
      <c r="T631" s="12"/>
      <c r="U631" s="12"/>
      <c r="V631" s="12"/>
      <c r="W631" s="12"/>
      <c r="X631" s="12"/>
      <c r="Y631" s="12"/>
      <c r="Z631" s="12"/>
    </row>
    <row x14ac:dyDescent="0.25" r="632" customHeight="1" ht="15.75">
      <c r="A632" s="8">
        <f>IFERROR(__xludf.DUMMYFUNCTION("""COMPUTED_VALUE"""),25398.0)</f>
      </c>
      <c r="B632" s="9">
        <f>IFERROR(__xludf.DUMMYFUNCTION("""COMPUTED_VALUE"""),"METROPOLITANA VI")</f>
      </c>
      <c r="C632" s="9">
        <f>IFERROR(__xludf.DUMMYFUNCTION("""COMPUTED_VALUE"""),"CE JOAO ALFREDO")</f>
      </c>
      <c r="D632" s="10">
        <f>IFERROR(__xludf.DUMMYFUNCTION("""COMPUTED_VALUE"""),0.4971)</f>
      </c>
      <c r="E632" s="11">
        <f>IFERROR(__xludf.DUMMYFUNCTION("""COMPUTED_VALUE"""),172.61)</f>
      </c>
      <c r="F632" s="10">
        <f>IFERROR(__xludf.DUMMYFUNCTION("""COMPUTED_VALUE"""),0.3231)</f>
      </c>
      <c r="G632" s="11">
        <f>IFERROR(__xludf.DUMMYFUNCTION("""COMPUTED_VALUE"""),353.13)</f>
      </c>
      <c r="H632" s="10">
        <f>IFERROR(__xludf.DUMMYFUNCTION("""COMPUTED_VALUE"""),0.3996)</f>
      </c>
      <c r="I632" s="11">
        <f>IFERROR(__xludf.DUMMYFUNCTION("""COMPUTED_VALUE"""),333.29)</f>
      </c>
      <c r="J632" s="10">
        <f>IFERROR(__xludf.DUMMYFUNCTION("""COMPUTED_VALUE"""),0.006)</f>
      </c>
      <c r="K632" s="11">
        <f>IFERROR(__xludf.DUMMYFUNCTION("""COMPUTED_VALUE"""),226.67)</f>
      </c>
      <c r="L632" s="10">
        <f>IFERROR(__xludf.DUMMYFUNCTION("""COMPUTED_VALUE"""),0.3273)</f>
      </c>
      <c r="M632" s="11">
        <f>IFERROR(__xludf.DUMMYFUNCTION("""COMPUTED_VALUE"""),391.25)</f>
      </c>
      <c r="N632" s="10">
        <f>IFERROR(__xludf.DUMMYFUNCTION("""COMPUTED_VALUE"""),0.0036)</f>
      </c>
      <c r="O632" s="11">
        <f>IFERROR(__xludf.DUMMYFUNCTION("""COMPUTED_VALUE"""),"----")</f>
      </c>
      <c r="P632" s="12"/>
      <c r="Q632" s="12"/>
      <c r="R632" s="15"/>
      <c r="S632" s="12"/>
      <c r="T632" s="12"/>
      <c r="U632" s="12"/>
      <c r="V632" s="12"/>
      <c r="W632" s="12"/>
      <c r="X632" s="12"/>
      <c r="Y632" s="12"/>
      <c r="Z632" s="12"/>
    </row>
    <row x14ac:dyDescent="0.25" r="633" customHeight="1" ht="15.75">
      <c r="A633" s="8">
        <f>IFERROR(__xludf.DUMMYFUNCTION("""COMPUTED_VALUE"""),25399.0)</f>
      </c>
      <c r="B633" s="9">
        <f>IFERROR(__xludf.DUMMYFUNCTION("""COMPUTED_VALUE"""),"METROPOLITANA VI")</f>
      </c>
      <c r="C633" s="9">
        <f>IFERROR(__xludf.DUMMYFUNCTION("""COMPUTED_VALUE"""),"CE JORNALISTA MAURÍCIO AZÊDO - BRASIL-ÍNDIA")</f>
      </c>
      <c r="D633" s="10">
        <f>IFERROR(__xludf.DUMMYFUNCTION("""COMPUTED_VALUE"""),0.9462)</f>
      </c>
      <c r="E633" s="11">
        <f>IFERROR(__xludf.DUMMYFUNCTION("""COMPUTED_VALUE"""),270.91)</f>
      </c>
      <c r="F633" s="10">
        <f>IFERROR(__xludf.DUMMYFUNCTION("""COMPUTED_VALUE"""),0.8172)</f>
      </c>
      <c r="G633" s="11">
        <f>IFERROR(__xludf.DUMMYFUNCTION("""COMPUTED_VALUE"""),384.74)</f>
      </c>
      <c r="H633" s="10">
        <f>IFERROR(__xludf.DUMMYFUNCTION("""COMPUTED_VALUE"""),0.8495)</f>
      </c>
      <c r="I633" s="11">
        <f>IFERROR(__xludf.DUMMYFUNCTION("""COMPUTED_VALUE"""),404.62)</f>
      </c>
      <c r="J633" s="10">
        <f>IFERROR(__xludf.DUMMYFUNCTION("""COMPUTED_VALUE"""),0.9247)</f>
      </c>
      <c r="K633" s="11">
        <f>IFERROR(__xludf.DUMMYFUNCTION("""COMPUTED_VALUE"""),346.51)</f>
      </c>
      <c r="L633" s="10">
        <f>IFERROR(__xludf.DUMMYFUNCTION("""COMPUTED_VALUE"""),0.9247)</f>
      </c>
      <c r="M633" s="11">
        <f>IFERROR(__xludf.DUMMYFUNCTION("""COMPUTED_VALUE"""),426.82)</f>
      </c>
      <c r="N633" s="10">
        <f>IFERROR(__xludf.DUMMYFUNCTION("""COMPUTED_VALUE"""),0.0)</f>
      </c>
      <c r="O633" s="11">
        <f>IFERROR(__xludf.DUMMYFUNCTION("""COMPUTED_VALUE"""),"----")</f>
      </c>
      <c r="P633" s="12"/>
      <c r="Q633" s="12"/>
      <c r="R633" s="15"/>
      <c r="S633" s="12"/>
      <c r="T633" s="12"/>
      <c r="U633" s="12"/>
      <c r="V633" s="12"/>
      <c r="W633" s="12"/>
      <c r="X633" s="12"/>
      <c r="Y633" s="12"/>
      <c r="Z633" s="12"/>
    </row>
    <row x14ac:dyDescent="0.25" r="634" customHeight="1" ht="15.75">
      <c r="A634" s="8">
        <f>IFERROR(__xludf.DUMMYFUNCTION("""COMPUTED_VALUE"""),25400.0)</f>
      </c>
      <c r="B634" s="9">
        <f>IFERROR(__xludf.DUMMYFUNCTION("""COMPUTED_VALUE"""),"METROPOLITANA VI")</f>
      </c>
      <c r="C634" s="9">
        <f>IFERROR(__xludf.DUMMYFUNCTION("""COMPUTED_VALUE"""),"CE JOSE LEITE LOPES")</f>
      </c>
      <c r="D634" s="10">
        <f>IFERROR(__xludf.DUMMYFUNCTION("""COMPUTED_VALUE"""),1.0)</f>
      </c>
      <c r="E634" s="11">
        <f>IFERROR(__xludf.DUMMYFUNCTION("""COMPUTED_VALUE"""),450.0)</f>
      </c>
      <c r="F634" s="10">
        <f>IFERROR(__xludf.DUMMYFUNCTION("""COMPUTED_VALUE"""),0.2454)</f>
      </c>
      <c r="G634" s="11">
        <f>IFERROR(__xludf.DUMMYFUNCTION("""COMPUTED_VALUE"""),544.91)</f>
      </c>
      <c r="H634" s="10">
        <f>IFERROR(__xludf.DUMMYFUNCTION("""COMPUTED_VALUE"""),0.9583)</f>
      </c>
      <c r="I634" s="11">
        <f>IFERROR(__xludf.DUMMYFUNCTION("""COMPUTED_VALUE"""),484.64)</f>
      </c>
      <c r="J634" s="10">
        <f>IFERROR(__xludf.DUMMYFUNCTION("""COMPUTED_VALUE"""),0.9398)</f>
      </c>
      <c r="K634" s="11">
        <f>IFERROR(__xludf.DUMMYFUNCTION("""COMPUTED_VALUE"""),378.92)</f>
      </c>
      <c r="L634" s="10">
        <f>IFERROR(__xludf.DUMMYFUNCTION("""COMPUTED_VALUE"""),0.9444)</f>
      </c>
      <c r="M634" s="11">
        <f>IFERROR(__xludf.DUMMYFUNCTION("""COMPUTED_VALUE"""),441.76)</f>
      </c>
      <c r="N634" s="10">
        <f>IFERROR(__xludf.DUMMYFUNCTION("""COMPUTED_VALUE"""),0.0)</f>
      </c>
      <c r="O634" s="11">
        <f>IFERROR(__xludf.DUMMYFUNCTION("""COMPUTED_VALUE"""),"----")</f>
      </c>
      <c r="P634" s="12"/>
      <c r="Q634" s="12"/>
      <c r="R634" s="15"/>
      <c r="S634" s="12"/>
      <c r="T634" s="12"/>
      <c r="U634" s="12"/>
      <c r="V634" s="12"/>
      <c r="W634" s="12"/>
      <c r="X634" s="12"/>
      <c r="Y634" s="12"/>
      <c r="Z634" s="12"/>
    </row>
    <row x14ac:dyDescent="0.25" r="635" customHeight="1" ht="15.75">
      <c r="A635" s="8">
        <f>IFERROR(__xludf.DUMMYFUNCTION("""COMPUTED_VALUE"""),25401.0)</f>
      </c>
      <c r="B635" s="9">
        <f>IFERROR(__xludf.DUMMYFUNCTION("""COMPUTED_VALUE"""),"METROPOLITANA VI")</f>
      </c>
      <c r="C635" s="9">
        <f>IFERROR(__xludf.DUMMYFUNCTION("""COMPUTED_VALUE"""),"CE JULIA KUBITSCHEK")</f>
      </c>
      <c r="D635" s="10">
        <f>IFERROR(__xludf.DUMMYFUNCTION("""COMPUTED_VALUE"""),0.9543)</f>
      </c>
      <c r="E635" s="11">
        <f>IFERROR(__xludf.DUMMYFUNCTION("""COMPUTED_VALUE"""),261.38)</f>
      </c>
      <c r="F635" s="10">
        <f>IFERROR(__xludf.DUMMYFUNCTION("""COMPUTED_VALUE"""),0.0042)</f>
      </c>
      <c r="G635" s="11">
        <f>IFERROR(__xludf.DUMMYFUNCTION("""COMPUTED_VALUE"""),"----")</f>
      </c>
      <c r="H635" s="10">
        <f>IFERROR(__xludf.DUMMYFUNCTION("""COMPUTED_VALUE"""),0.8895)</f>
      </c>
      <c r="I635" s="11">
        <f>IFERROR(__xludf.DUMMYFUNCTION("""COMPUTED_VALUE"""),270.82)</f>
      </c>
      <c r="J635" s="10">
        <f>IFERROR(__xludf.DUMMYFUNCTION("""COMPUTED_VALUE"""),0.9371)</f>
      </c>
      <c r="K635" s="11">
        <f>IFERROR(__xludf.DUMMYFUNCTION("""COMPUTED_VALUE"""),108.43)</f>
      </c>
      <c r="L635" s="10">
        <f>IFERROR(__xludf.DUMMYFUNCTION("""COMPUTED_VALUE"""),0.9625)</f>
      </c>
      <c r="M635" s="11">
        <f>IFERROR(__xludf.DUMMYFUNCTION("""COMPUTED_VALUE"""),261.71)</f>
      </c>
      <c r="N635" s="10">
        <f>IFERROR(__xludf.DUMMYFUNCTION("""COMPUTED_VALUE"""),0.0019)</f>
      </c>
      <c r="O635" s="11">
        <f>IFERROR(__xludf.DUMMYFUNCTION("""COMPUTED_VALUE"""),"----")</f>
      </c>
      <c r="P635" s="12"/>
      <c r="Q635" s="12"/>
      <c r="R635" s="15"/>
      <c r="S635" s="12"/>
      <c r="T635" s="12"/>
      <c r="U635" s="12"/>
      <c r="V635" s="12"/>
      <c r="W635" s="12"/>
      <c r="X635" s="12"/>
      <c r="Y635" s="12"/>
      <c r="Z635" s="12"/>
    </row>
    <row x14ac:dyDescent="0.25" r="636" customHeight="1" ht="15.75">
      <c r="A636" s="8">
        <f>IFERROR(__xludf.DUMMYFUNCTION("""COMPUTED_VALUE"""),25402.0)</f>
      </c>
      <c r="B636" s="9">
        <f>IFERROR(__xludf.DUMMYFUNCTION("""COMPUTED_VALUE"""),"METROPOLITANA VI")</f>
      </c>
      <c r="C636" s="9">
        <f>IFERROR(__xludf.DUMMYFUNCTION("""COMPUTED_VALUE"""),"CE MAHATMA GANDHI")</f>
      </c>
      <c r="D636" s="10">
        <f>IFERROR(__xludf.DUMMYFUNCTION("""COMPUTED_VALUE"""),0.7122)</f>
      </c>
      <c r="E636" s="11">
        <f>IFERROR(__xludf.DUMMYFUNCTION("""COMPUTED_VALUE"""),163.43)</f>
      </c>
      <c r="F636" s="10">
        <f>IFERROR(__xludf.DUMMYFUNCTION("""COMPUTED_VALUE"""),0.6043)</f>
      </c>
      <c r="G636" s="11">
        <f>IFERROR(__xludf.DUMMYFUNCTION("""COMPUTED_VALUE"""),373.55)</f>
      </c>
      <c r="H636" s="10">
        <f>IFERROR(__xludf.DUMMYFUNCTION("""COMPUTED_VALUE"""),0.4219)</f>
      </c>
      <c r="I636" s="11">
        <f>IFERROR(__xludf.DUMMYFUNCTION("""COMPUTED_VALUE"""),445.06)</f>
      </c>
      <c r="J636" s="10">
        <f>IFERROR(__xludf.DUMMYFUNCTION("""COMPUTED_VALUE"""),0.5217)</f>
      </c>
      <c r="K636" s="11">
        <f>IFERROR(__xludf.DUMMYFUNCTION("""COMPUTED_VALUE"""),218.5)</f>
      </c>
      <c r="L636" s="10">
        <f>IFERROR(__xludf.DUMMYFUNCTION("""COMPUTED_VALUE"""),0.1899)</f>
      </c>
      <c r="M636" s="11">
        <f>IFERROR(__xludf.DUMMYFUNCTION("""COMPUTED_VALUE"""),"----")</f>
      </c>
      <c r="N636" s="10">
        <f>IFERROR(__xludf.DUMMYFUNCTION("""COMPUTED_VALUE"""),0.0)</f>
      </c>
      <c r="O636" s="11">
        <f>IFERROR(__xludf.DUMMYFUNCTION("""COMPUTED_VALUE"""),"----")</f>
      </c>
      <c r="P636" s="12"/>
      <c r="Q636" s="12"/>
      <c r="R636" s="15"/>
      <c r="S636" s="12"/>
      <c r="T636" s="12"/>
      <c r="U636" s="12"/>
      <c r="V636" s="12"/>
      <c r="W636" s="12"/>
      <c r="X636" s="12"/>
      <c r="Y636" s="12"/>
      <c r="Z636" s="12"/>
    </row>
    <row x14ac:dyDescent="0.25" r="637" customHeight="1" ht="15.75">
      <c r="A637" s="8">
        <f>IFERROR(__xludf.DUMMYFUNCTION("""COMPUTED_VALUE"""),25404.0)</f>
      </c>
      <c r="B637" s="9">
        <f>IFERROR(__xludf.DUMMYFUNCTION("""COMPUTED_VALUE"""),"METROPOLITANA VI")</f>
      </c>
      <c r="C637" s="9">
        <f>IFERROR(__xludf.DUMMYFUNCTION("""COMPUTED_VALUE"""),"CE MARECHAL CANROBERT PEREIRA DA COSTA")</f>
      </c>
      <c r="D637" s="10">
        <f>IFERROR(__xludf.DUMMYFUNCTION("""COMPUTED_VALUE"""),0.5849)</f>
      </c>
      <c r="E637" s="11">
        <f>IFERROR(__xludf.DUMMYFUNCTION("""COMPUTED_VALUE"""),273.64)</f>
      </c>
      <c r="F637" s="10">
        <f>IFERROR(__xludf.DUMMYFUNCTION("""COMPUTED_VALUE"""),0.5472)</f>
      </c>
      <c r="G637" s="11">
        <f>IFERROR(__xludf.DUMMYFUNCTION("""COMPUTED_VALUE"""),315.87)</f>
      </c>
      <c r="H637" s="10">
        <f>IFERROR(__xludf.DUMMYFUNCTION("""COMPUTED_VALUE"""),0.4328)</f>
      </c>
      <c r="I637" s="11">
        <f>IFERROR(__xludf.DUMMYFUNCTION("""COMPUTED_VALUE"""),360.0)</f>
      </c>
      <c r="J637" s="10">
        <f>IFERROR(__xludf.DUMMYFUNCTION("""COMPUTED_VALUE"""),0.4259)</f>
      </c>
      <c r="K637" s="11">
        <f>IFERROR(__xludf.DUMMYFUNCTION("""COMPUTED_VALUE"""),257.51)</f>
      </c>
      <c r="L637" s="10">
        <f>IFERROR(__xludf.DUMMYFUNCTION("""COMPUTED_VALUE"""),0.4925)</f>
      </c>
      <c r="M637" s="11">
        <f>IFERROR(__xludf.DUMMYFUNCTION("""COMPUTED_VALUE"""),373.84)</f>
      </c>
      <c r="N637" s="10">
        <f>IFERROR(__xludf.DUMMYFUNCTION("""COMPUTED_VALUE"""),0.0)</f>
      </c>
      <c r="O637" s="11">
        <f>IFERROR(__xludf.DUMMYFUNCTION("""COMPUTED_VALUE"""),"----")</f>
      </c>
      <c r="P637" s="12"/>
      <c r="Q637" s="12"/>
      <c r="R637" s="15"/>
      <c r="S637" s="12"/>
      <c r="T637" s="12"/>
      <c r="U637" s="12"/>
      <c r="V637" s="12"/>
      <c r="W637" s="12"/>
      <c r="X637" s="12"/>
      <c r="Y637" s="12"/>
      <c r="Z637" s="12"/>
    </row>
    <row x14ac:dyDescent="0.25" r="638" customHeight="1" ht="15.75">
      <c r="A638" s="8">
        <f>IFERROR(__xludf.DUMMYFUNCTION("""COMPUTED_VALUE"""),25405.0)</f>
      </c>
      <c r="B638" s="9">
        <f>IFERROR(__xludf.DUMMYFUNCTION("""COMPUTED_VALUE"""),"METROPOLITANA VI")</f>
      </c>
      <c r="C638" s="9">
        <f>IFERROR(__xludf.DUMMYFUNCTION("""COMPUTED_VALUE"""),"CE MEM DE SA")</f>
      </c>
      <c r="D638" s="10">
        <f>IFERROR(__xludf.DUMMYFUNCTION("""COMPUTED_VALUE"""),0.9118)</f>
      </c>
      <c r="E638" s="11">
        <f>IFERROR(__xludf.DUMMYFUNCTION("""COMPUTED_VALUE"""),21.94)</f>
      </c>
      <c r="F638" s="10">
        <f>IFERROR(__xludf.DUMMYFUNCTION("""COMPUTED_VALUE"""),0.3235)</f>
      </c>
      <c r="G638" s="11">
        <f>IFERROR(__xludf.DUMMYFUNCTION("""COMPUTED_VALUE"""),250.91)</f>
      </c>
      <c r="H638" s="10">
        <f>IFERROR(__xludf.DUMMYFUNCTION("""COMPUTED_VALUE"""),0.6471)</f>
      </c>
      <c r="I638" s="11">
        <f>IFERROR(__xludf.DUMMYFUNCTION("""COMPUTED_VALUE"""),329.09)</f>
      </c>
      <c r="J638" s="10">
        <f>IFERROR(__xludf.DUMMYFUNCTION("""COMPUTED_VALUE"""),0.5588)</f>
      </c>
      <c r="K638" s="11">
        <f>IFERROR(__xludf.DUMMYFUNCTION("""COMPUTED_VALUE"""),271.11)</f>
      </c>
      <c r="L638" s="10">
        <f>IFERROR(__xludf.DUMMYFUNCTION("""COMPUTED_VALUE"""),0.5882)</f>
      </c>
      <c r="M638" s="11">
        <f>IFERROR(__xludf.DUMMYFUNCTION("""COMPUTED_VALUE"""),394.0)</f>
      </c>
      <c r="N638" s="10">
        <f>IFERROR(__xludf.DUMMYFUNCTION("""COMPUTED_VALUE"""),0.0)</f>
      </c>
      <c r="O638" s="11">
        <f>IFERROR(__xludf.DUMMYFUNCTION("""COMPUTED_VALUE"""),"----")</f>
      </c>
      <c r="P638" s="12"/>
      <c r="Q638" s="12"/>
      <c r="R638" s="15"/>
      <c r="S638" s="12"/>
      <c r="T638" s="12"/>
      <c r="U638" s="12"/>
      <c r="V638" s="12"/>
      <c r="W638" s="12"/>
      <c r="X638" s="12"/>
      <c r="Y638" s="12"/>
      <c r="Z638" s="12"/>
    </row>
    <row x14ac:dyDescent="0.25" r="639" customHeight="1" ht="15.75">
      <c r="A639" s="8">
        <f>IFERROR(__xludf.DUMMYFUNCTION("""COMPUTED_VALUE"""),25406.0)</f>
      </c>
      <c r="B639" s="9">
        <f>IFERROR(__xludf.DUMMYFUNCTION("""COMPUTED_VALUE"""),"METROPOLITANA VI")</f>
      </c>
      <c r="C639" s="9">
        <f>IFERROR(__xludf.DUMMYFUNCTION("""COMPUTED_VALUE"""),"CE MEXICO")</f>
      </c>
      <c r="D639" s="10">
        <f>IFERROR(__xludf.DUMMYFUNCTION("""COMPUTED_VALUE"""),0.8235)</f>
      </c>
      <c r="E639" s="11">
        <f>IFERROR(__xludf.DUMMYFUNCTION("""COMPUTED_VALUE"""),205.72)</f>
      </c>
      <c r="F639" s="10">
        <f>IFERROR(__xludf.DUMMYFUNCTION("""COMPUTED_VALUE"""),0.8824)</f>
      </c>
      <c r="G639" s="11">
        <f>IFERROR(__xludf.DUMMYFUNCTION("""COMPUTED_VALUE"""),314.66)</f>
      </c>
      <c r="H639" s="10">
        <f>IFERROR(__xludf.DUMMYFUNCTION("""COMPUTED_VALUE"""),0.3)</f>
      </c>
      <c r="I639" s="11">
        <f>IFERROR(__xludf.DUMMYFUNCTION("""COMPUTED_VALUE"""),416.67)</f>
      </c>
      <c r="J639" s="10">
        <f>IFERROR(__xludf.DUMMYFUNCTION("""COMPUTED_VALUE"""),0.4)</f>
      </c>
      <c r="K639" s="11">
        <f>IFERROR(__xludf.DUMMYFUNCTION("""COMPUTED_VALUE"""),349.34)</f>
      </c>
      <c r="L639" s="10">
        <f>IFERROR(__xludf.DUMMYFUNCTION("""COMPUTED_VALUE"""),0.375)</f>
      </c>
      <c r="M639" s="11">
        <f>IFERROR(__xludf.DUMMYFUNCTION("""COMPUTED_VALUE"""),456.0)</f>
      </c>
      <c r="N639" s="10">
        <f>IFERROR(__xludf.DUMMYFUNCTION("""COMPUTED_VALUE"""),0.0)</f>
      </c>
      <c r="O639" s="11">
        <f>IFERROR(__xludf.DUMMYFUNCTION("""COMPUTED_VALUE"""),"----")</f>
      </c>
      <c r="P639" s="12"/>
      <c r="Q639" s="12"/>
      <c r="R639" s="15"/>
      <c r="S639" s="12"/>
      <c r="T639" s="12"/>
      <c r="U639" s="12"/>
      <c r="V639" s="12"/>
      <c r="W639" s="12"/>
      <c r="X639" s="12"/>
      <c r="Y639" s="12"/>
      <c r="Z639" s="12"/>
    </row>
    <row x14ac:dyDescent="0.25" r="640" customHeight="1" ht="15.75">
      <c r="A640" s="8">
        <f>IFERROR(__xludf.DUMMYFUNCTION("""COMPUTED_VALUE"""),25407.0)</f>
      </c>
      <c r="B640" s="9">
        <f>IFERROR(__xludf.DUMMYFUNCTION("""COMPUTED_VALUE"""),"METROPOLITANA VI")</f>
      </c>
      <c r="C640" s="9">
        <f>IFERROR(__xludf.DUMMYFUNCTION("""COMPUTED_VALUE"""),"CE MONTEIRO DE CARVALHO")</f>
      </c>
      <c r="D640" s="10">
        <f>IFERROR(__xludf.DUMMYFUNCTION("""COMPUTED_VALUE"""),0.5762)</f>
      </c>
      <c r="E640" s="11">
        <f>IFERROR(__xludf.DUMMYFUNCTION("""COMPUTED_VALUE"""),177.81)</f>
      </c>
      <c r="F640" s="10">
        <f>IFERROR(__xludf.DUMMYFUNCTION("""COMPUTED_VALUE"""),0.6887)</f>
      </c>
      <c r="G640" s="11">
        <f>IFERROR(__xludf.DUMMYFUNCTION("""COMPUTED_VALUE"""),366.09)</f>
      </c>
      <c r="H640" s="10">
        <f>IFERROR(__xludf.DUMMYFUNCTION("""COMPUTED_VALUE"""),0.5153)</f>
      </c>
      <c r="I640" s="11">
        <f>IFERROR(__xludf.DUMMYFUNCTION("""COMPUTED_VALUE"""),389.22)</f>
      </c>
      <c r="J640" s="10">
        <f>IFERROR(__xludf.DUMMYFUNCTION("""COMPUTED_VALUE"""),0.754)</f>
      </c>
      <c r="K640" s="11">
        <f>IFERROR(__xludf.DUMMYFUNCTION("""COMPUTED_VALUE"""),291.69)</f>
      </c>
      <c r="L640" s="10">
        <f>IFERROR(__xludf.DUMMYFUNCTION("""COMPUTED_VALUE"""),0.3929)</f>
      </c>
      <c r="M640" s="11">
        <f>IFERROR(__xludf.DUMMYFUNCTION("""COMPUTED_VALUE"""),"----")</f>
      </c>
      <c r="N640" s="10">
        <f>IFERROR(__xludf.DUMMYFUNCTION("""COMPUTED_VALUE"""),0.0)</f>
      </c>
      <c r="O640" s="11">
        <f>IFERROR(__xludf.DUMMYFUNCTION("""COMPUTED_VALUE"""),"----")</f>
      </c>
      <c r="P640" s="12"/>
      <c r="Q640" s="12"/>
      <c r="R640" s="15"/>
      <c r="S640" s="12"/>
      <c r="T640" s="12"/>
      <c r="U640" s="12"/>
      <c r="V640" s="12"/>
      <c r="W640" s="12"/>
      <c r="X640" s="12"/>
      <c r="Y640" s="12"/>
      <c r="Z640" s="12"/>
    </row>
    <row x14ac:dyDescent="0.25" r="641" customHeight="1" ht="15.75">
      <c r="A641" s="8">
        <f>IFERROR(__xludf.DUMMYFUNCTION("""COMPUTED_VALUE"""),25408.0)</f>
      </c>
      <c r="B641" s="9">
        <f>IFERROR(__xludf.DUMMYFUNCTION("""COMPUTED_VALUE"""),"METROPOLITANA VI")</f>
      </c>
      <c r="C641" s="9">
        <f>IFERROR(__xludf.DUMMYFUNCTION("""COMPUTED_VALUE"""),"CE NILO PECANHA")</f>
      </c>
      <c r="D641" s="10">
        <f>IFERROR(__xludf.DUMMYFUNCTION("""COMPUTED_VALUE"""),0.8947)</f>
      </c>
      <c r="E641" s="11">
        <f>IFERROR(__xludf.DUMMYFUNCTION("""COMPUTED_VALUE"""),205.88)</f>
      </c>
      <c r="F641" s="10">
        <f>IFERROR(__xludf.DUMMYFUNCTION("""COMPUTED_VALUE"""),0.3421)</f>
      </c>
      <c r="G641" s="11">
        <f>IFERROR(__xludf.DUMMYFUNCTION("""COMPUTED_VALUE"""),320.0)</f>
      </c>
      <c r="H641" s="10">
        <f>IFERROR(__xludf.DUMMYFUNCTION("""COMPUTED_VALUE"""),0.4211)</f>
      </c>
      <c r="I641" s="11">
        <f>IFERROR(__xludf.DUMMYFUNCTION("""COMPUTED_VALUE"""),327.5)</f>
      </c>
      <c r="J641" s="10">
        <f>IFERROR(__xludf.DUMMYFUNCTION("""COMPUTED_VALUE"""),0.5263)</f>
      </c>
      <c r="K641" s="11">
        <f>IFERROR(__xludf.DUMMYFUNCTION("""COMPUTED_VALUE"""),252.5)</f>
      </c>
      <c r="L641" s="10">
        <f>IFERROR(__xludf.DUMMYFUNCTION("""COMPUTED_VALUE"""),0.2632)</f>
      </c>
      <c r="M641" s="11">
        <f>IFERROR(__xludf.DUMMYFUNCTION("""COMPUTED_VALUE"""),320.0)</f>
      </c>
      <c r="N641" s="10">
        <f>IFERROR(__xludf.DUMMYFUNCTION("""COMPUTED_VALUE"""),0.0)</f>
      </c>
      <c r="O641" s="11">
        <f>IFERROR(__xludf.DUMMYFUNCTION("""COMPUTED_VALUE"""),"----")</f>
      </c>
      <c r="P641" s="12"/>
      <c r="Q641" s="12"/>
      <c r="R641" s="15"/>
      <c r="S641" s="12"/>
      <c r="T641" s="12"/>
      <c r="U641" s="12"/>
      <c r="V641" s="12"/>
      <c r="W641" s="12"/>
      <c r="X641" s="12"/>
      <c r="Y641" s="12"/>
      <c r="Z641" s="12"/>
    </row>
    <row x14ac:dyDescent="0.25" r="642" customHeight="1" ht="15.75">
      <c r="A642" s="8">
        <f>IFERROR(__xludf.DUMMYFUNCTION("""COMPUTED_VALUE"""),25409.0)</f>
      </c>
      <c r="B642" s="9">
        <f>IFERROR(__xludf.DUMMYFUNCTION("""COMPUTED_VALUE"""),"METROPOLITANA VI")</f>
      </c>
      <c r="C642" s="9">
        <f>IFERROR(__xludf.DUMMYFUNCTION("""COMPUTED_VALUE"""),"CE OLAVO BILAC")</f>
      </c>
      <c r="D642" s="10">
        <f>IFERROR(__xludf.DUMMYFUNCTION("""COMPUTED_VALUE"""),0.1803)</f>
      </c>
      <c r="E642" s="11">
        <f>IFERROR(__xludf.DUMMYFUNCTION("""COMPUTED_VALUE"""),201.01)</f>
      </c>
      <c r="F642" s="10">
        <f>IFERROR(__xludf.DUMMYFUNCTION("""COMPUTED_VALUE"""),0.3901)</f>
      </c>
      <c r="G642" s="11">
        <f>IFERROR(__xludf.DUMMYFUNCTION("""COMPUTED_VALUE"""),387.0)</f>
      </c>
      <c r="H642" s="10">
        <f>IFERROR(__xludf.DUMMYFUNCTION("""COMPUTED_VALUE"""),0.4465)</f>
      </c>
      <c r="I642" s="11">
        <f>IFERROR(__xludf.DUMMYFUNCTION("""COMPUTED_VALUE"""),429.68)</f>
      </c>
      <c r="J642" s="10">
        <f>IFERROR(__xludf.DUMMYFUNCTION("""COMPUTED_VALUE"""),0.2845)</f>
      </c>
      <c r="K642" s="11">
        <f>IFERROR(__xludf.DUMMYFUNCTION("""COMPUTED_VALUE"""),206.86)</f>
      </c>
      <c r="L642" s="10">
        <f>IFERROR(__xludf.DUMMYFUNCTION("""COMPUTED_VALUE"""),0.593)</f>
      </c>
      <c r="M642" s="11">
        <f>IFERROR(__xludf.DUMMYFUNCTION("""COMPUTED_VALUE"""),374.22)</f>
      </c>
      <c r="N642" s="10">
        <f>IFERROR(__xludf.DUMMYFUNCTION("""COMPUTED_VALUE"""),0.0)</f>
      </c>
      <c r="O642" s="11">
        <f>IFERROR(__xludf.DUMMYFUNCTION("""COMPUTED_VALUE"""),"----")</f>
      </c>
      <c r="P642" s="12"/>
      <c r="Q642" s="12"/>
      <c r="R642" s="15"/>
      <c r="S642" s="12"/>
      <c r="T642" s="12"/>
      <c r="U642" s="12"/>
      <c r="V642" s="12"/>
      <c r="W642" s="12"/>
      <c r="X642" s="12"/>
      <c r="Y642" s="12"/>
      <c r="Z642" s="12"/>
    </row>
    <row x14ac:dyDescent="0.25" r="643" customHeight="1" ht="15.75">
      <c r="A643" s="8">
        <f>IFERROR(__xludf.DUMMYFUNCTION("""COMPUTED_VALUE"""),25410.0)</f>
      </c>
      <c r="B643" s="9">
        <f>IFERROR(__xludf.DUMMYFUNCTION("""COMPUTED_VALUE"""),"METROPOLITANA VI")</f>
      </c>
      <c r="C643" s="9">
        <f>IFERROR(__xludf.DUMMYFUNCTION("""COMPUTED_VALUE"""),"CE PAULO DE FRONTIN")</f>
      </c>
      <c r="D643" s="10">
        <f>IFERROR(__xludf.DUMMYFUNCTION("""COMPUTED_VALUE"""),0.0441)</f>
      </c>
      <c r="E643" s="11">
        <f>IFERROR(__xludf.DUMMYFUNCTION("""COMPUTED_VALUE"""),91.58)</f>
      </c>
      <c r="F643" s="10">
        <f>IFERROR(__xludf.DUMMYFUNCTION("""COMPUTED_VALUE"""),0.4044)</f>
      </c>
      <c r="G643" s="11">
        <f>IFERROR(__xludf.DUMMYFUNCTION("""COMPUTED_VALUE"""),335.76)</f>
      </c>
      <c r="H643" s="10">
        <f>IFERROR(__xludf.DUMMYFUNCTION("""COMPUTED_VALUE"""),0.3296)</f>
      </c>
      <c r="I643" s="11">
        <f>IFERROR(__xludf.DUMMYFUNCTION("""COMPUTED_VALUE"""),368.44)</f>
      </c>
      <c r="J643" s="10">
        <f>IFERROR(__xludf.DUMMYFUNCTION("""COMPUTED_VALUE"""),0.4526)</f>
      </c>
      <c r="K643" s="11">
        <f>IFERROR(__xludf.DUMMYFUNCTION("""COMPUTED_VALUE"""),215.68)</f>
      </c>
      <c r="L643" s="10">
        <f>IFERROR(__xludf.DUMMYFUNCTION("""COMPUTED_VALUE"""),0.2424)</f>
      </c>
      <c r="M643" s="11">
        <f>IFERROR(__xludf.DUMMYFUNCTION("""COMPUTED_VALUE"""),"----")</f>
      </c>
      <c r="N643" s="10">
        <f>IFERROR(__xludf.DUMMYFUNCTION("""COMPUTED_VALUE"""),0.0)</f>
      </c>
      <c r="O643" s="11">
        <f>IFERROR(__xludf.DUMMYFUNCTION("""COMPUTED_VALUE"""),"----")</f>
      </c>
      <c r="P643" s="12"/>
      <c r="Q643" s="12"/>
      <c r="R643" s="15"/>
      <c r="S643" s="12"/>
      <c r="T643" s="12"/>
      <c r="U643" s="12"/>
      <c r="V643" s="12"/>
      <c r="W643" s="12"/>
      <c r="X643" s="12"/>
      <c r="Y643" s="12"/>
      <c r="Z643" s="12"/>
    </row>
    <row x14ac:dyDescent="0.25" r="644" customHeight="1" ht="15.75">
      <c r="A644" s="8">
        <f>IFERROR(__xludf.DUMMYFUNCTION("""COMPUTED_VALUE"""),25411.0)</f>
      </c>
      <c r="B644" s="9">
        <f>IFERROR(__xludf.DUMMYFUNCTION("""COMPUTED_VALUE"""),"METROPOLITANA VI")</f>
      </c>
      <c r="C644" s="9">
        <f>IFERROR(__xludf.DUMMYFUNCTION("""COMPUTED_VALUE"""),"CE PEDRO ALVARES CABRAL")</f>
      </c>
      <c r="D644" s="10">
        <f>IFERROR(__xludf.DUMMYFUNCTION("""COMPUTED_VALUE"""),0.808)</f>
      </c>
      <c r="E644" s="11">
        <f>IFERROR(__xludf.DUMMYFUNCTION("""COMPUTED_VALUE"""),248.21)</f>
      </c>
      <c r="F644" s="10">
        <f>IFERROR(__xludf.DUMMYFUNCTION("""COMPUTED_VALUE"""),0.6618)</f>
      </c>
      <c r="G644" s="11">
        <f>IFERROR(__xludf.DUMMYFUNCTION("""COMPUTED_VALUE"""),419.23)</f>
      </c>
      <c r="H644" s="10">
        <f>IFERROR(__xludf.DUMMYFUNCTION("""COMPUTED_VALUE"""),0.6453)</f>
      </c>
      <c r="I644" s="11">
        <f>IFERROR(__xludf.DUMMYFUNCTION("""COMPUTED_VALUE"""),445.49)</f>
      </c>
      <c r="J644" s="10">
        <f>IFERROR(__xludf.DUMMYFUNCTION("""COMPUTED_VALUE"""),0.5777)</f>
      </c>
      <c r="K644" s="11">
        <f>IFERROR(__xludf.DUMMYFUNCTION("""COMPUTED_VALUE"""),327.76)</f>
      </c>
      <c r="L644" s="10">
        <f>IFERROR(__xludf.DUMMYFUNCTION("""COMPUTED_VALUE"""),0.5923)</f>
      </c>
      <c r="M644" s="11">
        <f>IFERROR(__xludf.DUMMYFUNCTION("""COMPUTED_VALUE"""),447.95)</f>
      </c>
      <c r="N644" s="10">
        <f>IFERROR(__xludf.DUMMYFUNCTION("""COMPUTED_VALUE"""),0.0037)</f>
      </c>
      <c r="O644" s="11">
        <f>IFERROR(__xludf.DUMMYFUNCTION("""COMPUTED_VALUE"""),80.0)</f>
      </c>
      <c r="P644" s="12"/>
      <c r="Q644" s="12"/>
      <c r="R644" s="15"/>
      <c r="S644" s="12"/>
      <c r="T644" s="12"/>
      <c r="U644" s="12"/>
      <c r="V644" s="12"/>
      <c r="W644" s="12"/>
      <c r="X644" s="12"/>
      <c r="Y644" s="12"/>
      <c r="Z644" s="12"/>
    </row>
    <row x14ac:dyDescent="0.25" r="645" customHeight="1" ht="15.75">
      <c r="A645" s="8">
        <f>IFERROR(__xludf.DUMMYFUNCTION("""COMPUTED_VALUE"""),25412.0)</f>
      </c>
      <c r="B645" s="9">
        <f>IFERROR(__xludf.DUMMYFUNCTION("""COMPUTED_VALUE"""),"METROPOLITANA VI")</f>
      </c>
      <c r="C645" s="9">
        <f>IFERROR(__xludf.DUMMYFUNCTION("""COMPUTED_VALUE"""),"CE PRESIDENTE JOAO GOULART")</f>
      </c>
      <c r="D645" s="10">
        <f>IFERROR(__xludf.DUMMYFUNCTION("""COMPUTED_VALUE"""),0.5563)</f>
      </c>
      <c r="E645" s="11">
        <f>IFERROR(__xludf.DUMMYFUNCTION("""COMPUTED_VALUE"""),138.8)</f>
      </c>
      <c r="F645" s="10">
        <f>IFERROR(__xludf.DUMMYFUNCTION("""COMPUTED_VALUE"""),0.6159)</f>
      </c>
      <c r="G645" s="11">
        <f>IFERROR(__xludf.DUMMYFUNCTION("""COMPUTED_VALUE"""),358.28)</f>
      </c>
      <c r="H645" s="10">
        <f>IFERROR(__xludf.DUMMYFUNCTION("""COMPUTED_VALUE"""),0.596)</f>
      </c>
      <c r="I645" s="11">
        <f>IFERROR(__xludf.DUMMYFUNCTION("""COMPUTED_VALUE"""),382.67)</f>
      </c>
      <c r="J645" s="10">
        <f>IFERROR(__xludf.DUMMYFUNCTION("""COMPUTED_VALUE"""),0.6159)</f>
      </c>
      <c r="K645" s="11">
        <f>IFERROR(__xludf.DUMMYFUNCTION("""COMPUTED_VALUE"""),303.9)</f>
      </c>
      <c r="L645" s="10">
        <f>IFERROR(__xludf.DUMMYFUNCTION("""COMPUTED_VALUE"""),0.5298)</f>
      </c>
      <c r="M645" s="11">
        <f>IFERROR(__xludf.DUMMYFUNCTION("""COMPUTED_VALUE"""),386.5)</f>
      </c>
      <c r="N645" s="10">
        <f>IFERROR(__xludf.DUMMYFUNCTION("""COMPUTED_VALUE"""),0.0)</f>
      </c>
      <c r="O645" s="11">
        <f>IFERROR(__xludf.DUMMYFUNCTION("""COMPUTED_VALUE"""),"----")</f>
      </c>
      <c r="P645" s="12"/>
      <c r="Q645" s="12"/>
      <c r="R645" s="15"/>
      <c r="S645" s="12"/>
      <c r="T645" s="12"/>
      <c r="U645" s="12"/>
      <c r="V645" s="12"/>
      <c r="W645" s="12"/>
      <c r="X645" s="12"/>
      <c r="Y645" s="12"/>
      <c r="Z645" s="12"/>
    </row>
    <row x14ac:dyDescent="0.25" r="646" customHeight="1" ht="15.75">
      <c r="A646" s="8">
        <f>IFERROR(__xludf.DUMMYFUNCTION("""COMPUTED_VALUE"""),25413.0)</f>
      </c>
      <c r="B646" s="9">
        <f>IFERROR(__xludf.DUMMYFUNCTION("""COMPUTED_VALUE"""),"METROPOLITANA VI")</f>
      </c>
      <c r="C646" s="9">
        <f>IFERROR(__xludf.DUMMYFUNCTION("""COMPUTED_VALUE"""),"CE PROFESSOR ANTONIO MARIA TEIXEIRA FILHO")</f>
      </c>
      <c r="D646" s="10">
        <f>IFERROR(__xludf.DUMMYFUNCTION("""COMPUTED_VALUE"""),0.8468)</f>
      </c>
      <c r="E646" s="11">
        <f>IFERROR(__xludf.DUMMYFUNCTION("""COMPUTED_VALUE"""),301.69)</f>
      </c>
      <c r="F646" s="10">
        <f>IFERROR(__xludf.DUMMYFUNCTION("""COMPUTED_VALUE"""),0.7137)</f>
      </c>
      <c r="G646" s="11">
        <f>IFERROR(__xludf.DUMMYFUNCTION("""COMPUTED_VALUE"""),443.39)</f>
      </c>
      <c r="H646" s="10">
        <f>IFERROR(__xludf.DUMMYFUNCTION("""COMPUTED_VALUE"""),0.746)</f>
      </c>
      <c r="I646" s="11">
        <f>IFERROR(__xludf.DUMMYFUNCTION("""COMPUTED_VALUE"""),443.91)</f>
      </c>
      <c r="J646" s="10">
        <f>IFERROR(__xludf.DUMMYFUNCTION("""COMPUTED_VALUE"""),0.754)</f>
      </c>
      <c r="K646" s="11">
        <f>IFERROR(__xludf.DUMMYFUNCTION("""COMPUTED_VALUE"""),407.95)</f>
      </c>
      <c r="L646" s="10">
        <f>IFERROR(__xludf.DUMMYFUNCTION("""COMPUTED_VALUE"""),0.8427)</f>
      </c>
      <c r="M646" s="11">
        <f>IFERROR(__xludf.DUMMYFUNCTION("""COMPUTED_VALUE"""),370.33)</f>
      </c>
      <c r="N646" s="10">
        <f>IFERROR(__xludf.DUMMYFUNCTION("""COMPUTED_VALUE"""),0.004)</f>
      </c>
      <c r="O646" s="11">
        <f>IFERROR(__xludf.DUMMYFUNCTION("""COMPUTED_VALUE"""),0.0)</f>
      </c>
      <c r="P646" s="12"/>
      <c r="Q646" s="12"/>
      <c r="R646" s="15"/>
      <c r="S646" s="12"/>
      <c r="T646" s="12"/>
      <c r="U646" s="12"/>
      <c r="V646" s="12"/>
      <c r="W646" s="12"/>
      <c r="X646" s="12"/>
      <c r="Y646" s="12"/>
      <c r="Z646" s="12"/>
    </row>
    <row x14ac:dyDescent="0.25" r="647" customHeight="1" ht="15.75">
      <c r="A647" s="8">
        <f>IFERROR(__xludf.DUMMYFUNCTION("""COMPUTED_VALUE"""),25414.0)</f>
      </c>
      <c r="B647" s="9">
        <f>IFERROR(__xludf.DUMMYFUNCTION("""COMPUTED_VALUE"""),"METROPOLITANA VI")</f>
      </c>
      <c r="C647" s="9">
        <f>IFERROR(__xludf.DUMMYFUNCTION("""COMPUTED_VALUE"""),"CE PROFESSOR CLOVIS SALGADO")</f>
      </c>
      <c r="D647" s="10">
        <f>IFERROR(__xludf.DUMMYFUNCTION("""COMPUTED_VALUE"""),0.5853)</f>
      </c>
      <c r="E647" s="11">
        <f>IFERROR(__xludf.DUMMYFUNCTION("""COMPUTED_VALUE"""),187.08)</f>
      </c>
      <c r="F647" s="10">
        <f>IFERROR(__xludf.DUMMYFUNCTION("""COMPUTED_VALUE"""),0.4147)</f>
      </c>
      <c r="G647" s="11">
        <f>IFERROR(__xludf.DUMMYFUNCTION("""COMPUTED_VALUE"""),360.45)</f>
      </c>
      <c r="H647" s="10">
        <f>IFERROR(__xludf.DUMMYFUNCTION("""COMPUTED_VALUE"""),0.4332)</f>
      </c>
      <c r="I647" s="11">
        <f>IFERROR(__xludf.DUMMYFUNCTION("""COMPUTED_VALUE"""),380.43)</f>
      </c>
      <c r="J647" s="10">
        <f>IFERROR(__xludf.DUMMYFUNCTION("""COMPUTED_VALUE"""),0.4332)</f>
      </c>
      <c r="K647" s="11">
        <f>IFERROR(__xludf.DUMMYFUNCTION("""COMPUTED_VALUE"""),256.0)</f>
      </c>
      <c r="L647" s="10">
        <f>IFERROR(__xludf.DUMMYFUNCTION("""COMPUTED_VALUE"""),0.4793)</f>
      </c>
      <c r="M647" s="11">
        <f>IFERROR(__xludf.DUMMYFUNCTION("""COMPUTED_VALUE"""),354.46)</f>
      </c>
      <c r="N647" s="10">
        <f>IFERROR(__xludf.DUMMYFUNCTION("""COMPUTED_VALUE"""),0.0)</f>
      </c>
      <c r="O647" s="11">
        <f>IFERROR(__xludf.DUMMYFUNCTION("""COMPUTED_VALUE"""),"----")</f>
      </c>
      <c r="P647" s="12"/>
      <c r="Q647" s="12"/>
      <c r="R647" s="15"/>
      <c r="S647" s="12"/>
      <c r="T647" s="12"/>
      <c r="U647" s="12"/>
      <c r="V647" s="12"/>
      <c r="W647" s="12"/>
      <c r="X647" s="12"/>
      <c r="Y647" s="12"/>
      <c r="Z647" s="12"/>
    </row>
    <row x14ac:dyDescent="0.25" r="648" customHeight="1" ht="15.75">
      <c r="A648" s="8">
        <f>IFERROR(__xludf.DUMMYFUNCTION("""COMPUTED_VALUE"""),25415.0)</f>
      </c>
      <c r="B648" s="9">
        <f>IFERROR(__xludf.DUMMYFUNCTION("""COMPUTED_VALUE"""),"METROPOLITANA VI")</f>
      </c>
      <c r="C648" s="9">
        <f>IFERROR(__xludf.DUMMYFUNCTION("""COMPUTED_VALUE"""),"CE PROFESSOR ERNESTO FARIA")</f>
      </c>
      <c r="D648" s="10">
        <f>IFERROR(__xludf.DUMMYFUNCTION("""COMPUTED_VALUE"""),0.6643)</f>
      </c>
      <c r="E648" s="11">
        <f>IFERROR(__xludf.DUMMYFUNCTION("""COMPUTED_VALUE"""),212.29)</f>
      </c>
      <c r="F648" s="10">
        <f>IFERROR(__xludf.DUMMYFUNCTION("""COMPUTED_VALUE"""),0.0)</f>
      </c>
      <c r="G648" s="11">
        <f>IFERROR(__xludf.DUMMYFUNCTION("""COMPUTED_VALUE"""),"----")</f>
      </c>
      <c r="H648" s="10">
        <f>IFERROR(__xludf.DUMMYFUNCTION("""COMPUTED_VALUE"""),0.5914)</f>
      </c>
      <c r="I648" s="11">
        <f>IFERROR(__xludf.DUMMYFUNCTION("""COMPUTED_VALUE"""),406.59)</f>
      </c>
      <c r="J648" s="10">
        <f>IFERROR(__xludf.DUMMYFUNCTION("""COMPUTED_VALUE"""),0.362)</f>
      </c>
      <c r="K648" s="11">
        <f>IFERROR(__xludf.DUMMYFUNCTION("""COMPUTED_VALUE"""),313.4)</f>
      </c>
      <c r="L648" s="10">
        <f>IFERROR(__xludf.DUMMYFUNCTION("""COMPUTED_VALUE"""),0.5699)</f>
      </c>
      <c r="M648" s="11">
        <f>IFERROR(__xludf.DUMMYFUNCTION("""COMPUTED_VALUE"""),484.03)</f>
      </c>
      <c r="N648" s="10">
        <f>IFERROR(__xludf.DUMMYFUNCTION("""COMPUTED_VALUE"""),0.0072)</f>
      </c>
      <c r="O648" s="11">
        <f>IFERROR(__xludf.DUMMYFUNCTION("""COMPUTED_VALUE"""),360.0)</f>
      </c>
      <c r="P648" s="12"/>
      <c r="Q648" s="12"/>
      <c r="R648" s="15"/>
      <c r="S648" s="12"/>
      <c r="T648" s="12"/>
      <c r="U648" s="12"/>
      <c r="V648" s="12"/>
      <c r="W648" s="12"/>
      <c r="X648" s="12"/>
      <c r="Y648" s="12"/>
      <c r="Z648" s="12"/>
    </row>
    <row x14ac:dyDescent="0.25" r="649" customHeight="1" ht="15.75">
      <c r="A649" s="8">
        <f>IFERROR(__xludf.DUMMYFUNCTION("""COMPUTED_VALUE"""),25416.0)</f>
      </c>
      <c r="B649" s="9">
        <f>IFERROR(__xludf.DUMMYFUNCTION("""COMPUTED_VALUE"""),"METROPOLITANA VI")</f>
      </c>
      <c r="C649" s="9">
        <f>IFERROR(__xludf.DUMMYFUNCTION("""COMPUTED_VALUE"""),"CE PROFESSORA MARIA TEREZINHA DE CARVALHO MACHADO")</f>
      </c>
      <c r="D649" s="10">
        <f>IFERROR(__xludf.DUMMYFUNCTION("""COMPUTED_VALUE"""),0.6708)</f>
      </c>
      <c r="E649" s="11">
        <f>IFERROR(__xludf.DUMMYFUNCTION("""COMPUTED_VALUE"""),"----")</f>
      </c>
      <c r="F649" s="10">
        <f>IFERROR(__xludf.DUMMYFUNCTION("""COMPUTED_VALUE"""),0.6345)</f>
      </c>
      <c r="G649" s="11">
        <f>IFERROR(__xludf.DUMMYFUNCTION("""COMPUTED_VALUE"""),396.94)</f>
      </c>
      <c r="H649" s="10">
        <f>IFERROR(__xludf.DUMMYFUNCTION("""COMPUTED_VALUE"""),0.6155)</f>
      </c>
      <c r="I649" s="11">
        <f>IFERROR(__xludf.DUMMYFUNCTION("""COMPUTED_VALUE"""),390.4)</f>
      </c>
      <c r="J649" s="10">
        <f>IFERROR(__xludf.DUMMYFUNCTION("""COMPUTED_VALUE"""),0.6507)</f>
      </c>
      <c r="K649" s="11">
        <f>IFERROR(__xludf.DUMMYFUNCTION("""COMPUTED_VALUE"""),407.13)</f>
      </c>
      <c r="L649" s="10">
        <f>IFERROR(__xludf.DUMMYFUNCTION("""COMPUTED_VALUE"""),0.537)</f>
      </c>
      <c r="M649" s="11">
        <f>IFERROR(__xludf.DUMMYFUNCTION("""COMPUTED_VALUE"""),390.95)</f>
      </c>
      <c r="N649" s="10">
        <f>IFERROR(__xludf.DUMMYFUNCTION("""COMPUTED_VALUE"""),0.0046)</f>
      </c>
      <c r="O649" s="11">
        <f>IFERROR(__xludf.DUMMYFUNCTION("""COMPUTED_VALUE"""),"----")</f>
      </c>
      <c r="P649" s="12"/>
      <c r="Q649" s="12"/>
      <c r="R649" s="15"/>
      <c r="S649" s="12"/>
      <c r="T649" s="12"/>
      <c r="U649" s="12"/>
      <c r="V649" s="12"/>
      <c r="W649" s="12"/>
      <c r="X649" s="12"/>
      <c r="Y649" s="12"/>
      <c r="Z649" s="12"/>
    </row>
    <row x14ac:dyDescent="0.25" r="650" customHeight="1" ht="15.75">
      <c r="A650" s="8">
        <f>IFERROR(__xludf.DUMMYFUNCTION("""COMPUTED_VALUE"""),25417.0)</f>
      </c>
      <c r="B650" s="9">
        <f>IFERROR(__xludf.DUMMYFUNCTION("""COMPUTED_VALUE"""),"METROPOLITANA VI")</f>
      </c>
      <c r="C650" s="9">
        <f>IFERROR(__xludf.DUMMYFUNCTION("""COMPUTED_VALUE"""),"CE REVERENDO HUGH CLARENCE TUCKER")</f>
      </c>
      <c r="D650" s="10">
        <f>IFERROR(__xludf.DUMMYFUNCTION("""COMPUTED_VALUE"""),0.8304)</f>
      </c>
      <c r="E650" s="11">
        <f>IFERROR(__xludf.DUMMYFUNCTION("""COMPUTED_VALUE"""),89.94)</f>
      </c>
      <c r="F650" s="10">
        <f>IFERROR(__xludf.DUMMYFUNCTION("""COMPUTED_VALUE"""),0.8438)</f>
      </c>
      <c r="G650" s="11">
        <f>IFERROR(__xludf.DUMMYFUNCTION("""COMPUTED_VALUE"""),223.61)</f>
      </c>
      <c r="H650" s="10">
        <f>IFERROR(__xludf.DUMMYFUNCTION("""COMPUTED_VALUE"""),0.4911)</f>
      </c>
      <c r="I650" s="11">
        <f>IFERROR(__xludf.DUMMYFUNCTION("""COMPUTED_VALUE"""),451.59)</f>
      </c>
      <c r="J650" s="10">
        <f>IFERROR(__xludf.DUMMYFUNCTION("""COMPUTED_VALUE"""),0.5759)</f>
      </c>
      <c r="K650" s="11">
        <f>IFERROR(__xludf.DUMMYFUNCTION("""COMPUTED_VALUE"""),199.64)</f>
      </c>
      <c r="L650" s="10">
        <f>IFERROR(__xludf.DUMMYFUNCTION("""COMPUTED_VALUE"""),0.4777)</f>
      </c>
      <c r="M650" s="11">
        <f>IFERROR(__xludf.DUMMYFUNCTION("""COMPUTED_VALUE"""),496.33)</f>
      </c>
      <c r="N650" s="10">
        <f>IFERROR(__xludf.DUMMYFUNCTION("""COMPUTED_VALUE"""),0.0045)</f>
      </c>
      <c r="O650" s="11">
        <f>IFERROR(__xludf.DUMMYFUNCTION("""COMPUTED_VALUE"""),560.0)</f>
      </c>
      <c r="P650" s="12"/>
      <c r="Q650" s="12"/>
      <c r="R650" s="15"/>
      <c r="S650" s="12"/>
      <c r="T650" s="12"/>
      <c r="U650" s="12"/>
      <c r="V650" s="12"/>
      <c r="W650" s="12"/>
      <c r="X650" s="12"/>
      <c r="Y650" s="12"/>
      <c r="Z650" s="12"/>
    </row>
    <row x14ac:dyDescent="0.25" r="651" customHeight="1" ht="15.75">
      <c r="A651" s="8">
        <f>IFERROR(__xludf.DUMMYFUNCTION("""COMPUTED_VALUE"""),25418.0)</f>
      </c>
      <c r="B651" s="9">
        <f>IFERROR(__xludf.DUMMYFUNCTION("""COMPUTED_VALUE"""),"METROPOLITANA VI")</f>
      </c>
      <c r="C651" s="9">
        <f>IFERROR(__xludf.DUMMYFUNCTION("""COMPUTED_VALUE"""),"CE ROSA DO POVO")</f>
      </c>
      <c r="D651" s="10">
        <f>IFERROR(__xludf.DUMMYFUNCTION("""COMPUTED_VALUE"""),0.2926)</f>
      </c>
      <c r="E651" s="11">
        <f>IFERROR(__xludf.DUMMYFUNCTION("""COMPUTED_VALUE"""),39.4)</f>
      </c>
      <c r="F651" s="10">
        <f>IFERROR(__xludf.DUMMYFUNCTION("""COMPUTED_VALUE"""),0.5266)</f>
      </c>
      <c r="G651" s="11">
        <f>IFERROR(__xludf.DUMMYFUNCTION("""COMPUTED_VALUE"""),243.23)</f>
      </c>
      <c r="H651" s="10">
        <f>IFERROR(__xludf.DUMMYFUNCTION("""COMPUTED_VALUE"""),0.4861)</f>
      </c>
      <c r="I651" s="11">
        <f>IFERROR(__xludf.DUMMYFUNCTION("""COMPUTED_VALUE"""),330.53)</f>
      </c>
      <c r="J651" s="10">
        <f>IFERROR(__xludf.DUMMYFUNCTION("""COMPUTED_VALUE"""),0.5325)</f>
      </c>
      <c r="K651" s="11">
        <f>IFERROR(__xludf.DUMMYFUNCTION("""COMPUTED_VALUE"""),120.95)</f>
      </c>
      <c r="L651" s="10">
        <f>IFERROR(__xludf.DUMMYFUNCTION("""COMPUTED_VALUE"""),0.4213)</f>
      </c>
      <c r="M651" s="11">
        <f>IFERROR(__xludf.DUMMYFUNCTION("""COMPUTED_VALUE"""),"----")</f>
      </c>
      <c r="N651" s="10">
        <f>IFERROR(__xludf.DUMMYFUNCTION("""COMPUTED_VALUE"""),0.0046)</f>
      </c>
      <c r="O651" s="11">
        <f>IFERROR(__xludf.DUMMYFUNCTION("""COMPUTED_VALUE"""),"----")</f>
      </c>
      <c r="P651" s="12"/>
      <c r="Q651" s="12"/>
      <c r="R651" s="15"/>
      <c r="S651" s="12"/>
      <c r="T651" s="12"/>
      <c r="U651" s="12"/>
      <c r="V651" s="12"/>
      <c r="W651" s="12"/>
      <c r="X651" s="12"/>
      <c r="Y651" s="12"/>
      <c r="Z651" s="12"/>
    </row>
    <row x14ac:dyDescent="0.25" r="652" customHeight="1" ht="15.75">
      <c r="A652" s="8">
        <f>IFERROR(__xludf.DUMMYFUNCTION("""COMPUTED_VALUE"""),25419.0)</f>
      </c>
      <c r="B652" s="9">
        <f>IFERROR(__xludf.DUMMYFUNCTION("""COMPUTED_VALUE"""),"METROPOLITANA VI")</f>
      </c>
      <c r="C652" s="9">
        <f>IFERROR(__xludf.DUMMYFUNCTION("""COMPUTED_VALUE"""),"CE SARMIENTO")</f>
      </c>
      <c r="D652" s="10">
        <f>IFERROR(__xludf.DUMMYFUNCTION("""COMPUTED_VALUE"""),0.407)</f>
      </c>
      <c r="E652" s="11">
        <f>IFERROR(__xludf.DUMMYFUNCTION("""COMPUTED_VALUE"""),231.26)</f>
      </c>
      <c r="F652" s="10">
        <f>IFERROR(__xludf.DUMMYFUNCTION("""COMPUTED_VALUE"""),0.1744)</f>
      </c>
      <c r="G652" s="11">
        <f>IFERROR(__xludf.DUMMYFUNCTION("""COMPUTED_VALUE"""),512.0)</f>
      </c>
      <c r="H652" s="10">
        <f>IFERROR(__xludf.DUMMYFUNCTION("""COMPUTED_VALUE"""),0.2269)</f>
      </c>
      <c r="I652" s="11">
        <f>IFERROR(__xludf.DUMMYFUNCTION("""COMPUTED_VALUE"""),265.18)</f>
      </c>
      <c r="J652" s="10">
        <f>IFERROR(__xludf.DUMMYFUNCTION("""COMPUTED_VALUE"""),0.4792)</f>
      </c>
      <c r="K652" s="11">
        <f>IFERROR(__xludf.DUMMYFUNCTION("""COMPUTED_VALUE"""),64.42)</f>
      </c>
      <c r="L652" s="10">
        <f>IFERROR(__xludf.DUMMYFUNCTION("""COMPUTED_VALUE"""),0.1429)</f>
      </c>
      <c r="M652" s="11">
        <f>IFERROR(__xludf.DUMMYFUNCTION("""COMPUTED_VALUE"""),"----")</f>
      </c>
      <c r="N652" s="10">
        <f>IFERROR(__xludf.DUMMYFUNCTION("""COMPUTED_VALUE"""),0.0084)</f>
      </c>
      <c r="O652" s="11">
        <f>IFERROR(__xludf.DUMMYFUNCTION("""COMPUTED_VALUE"""),"----")</f>
      </c>
      <c r="P652" s="12"/>
      <c r="Q652" s="12"/>
      <c r="R652" s="15"/>
      <c r="S652" s="12"/>
      <c r="T652" s="12"/>
      <c r="U652" s="12"/>
      <c r="V652" s="12"/>
      <c r="W652" s="12"/>
      <c r="X652" s="12"/>
      <c r="Y652" s="12"/>
      <c r="Z652" s="12"/>
    </row>
    <row x14ac:dyDescent="0.25" r="653" customHeight="1" ht="15.75">
      <c r="A653" s="8">
        <f>IFERROR(__xludf.DUMMYFUNCTION("""COMPUTED_VALUE"""),25420.0)</f>
      </c>
      <c r="B653" s="9">
        <f>IFERROR(__xludf.DUMMYFUNCTION("""COMPUTED_VALUE"""),"METROPOLITANA VI")</f>
      </c>
      <c r="C653" s="9">
        <f>IFERROR(__xludf.DUMMYFUNCTION("""COMPUTED_VALUE"""),"CE SENADOR TEOTONIO VILELA")</f>
      </c>
      <c r="D653" s="10">
        <f>IFERROR(__xludf.DUMMYFUNCTION("""COMPUTED_VALUE"""),0.5738)</f>
      </c>
      <c r="E653" s="11">
        <f>IFERROR(__xludf.DUMMYFUNCTION("""COMPUTED_VALUE"""),253.75)</f>
      </c>
      <c r="F653" s="10">
        <f>IFERROR(__xludf.DUMMYFUNCTION("""COMPUTED_VALUE"""),0.4836)</f>
      </c>
      <c r="G653" s="11">
        <f>IFERROR(__xludf.DUMMYFUNCTION("""COMPUTED_VALUE"""),400.0)</f>
      </c>
      <c r="H653" s="10">
        <f>IFERROR(__xludf.DUMMYFUNCTION("""COMPUTED_VALUE"""),0.4098)</f>
      </c>
      <c r="I653" s="11">
        <f>IFERROR(__xludf.DUMMYFUNCTION("""COMPUTED_VALUE"""),426.12)</f>
      </c>
      <c r="J653" s="10">
        <f>IFERROR(__xludf.DUMMYFUNCTION("""COMPUTED_VALUE"""),0.582)</f>
      </c>
      <c r="K653" s="11">
        <f>IFERROR(__xludf.DUMMYFUNCTION("""COMPUTED_VALUE"""),176.72)</f>
      </c>
      <c r="L653" s="10">
        <f>IFERROR(__xludf.DUMMYFUNCTION("""COMPUTED_VALUE"""),0.4672)</f>
      </c>
      <c r="M653" s="11">
        <f>IFERROR(__xludf.DUMMYFUNCTION("""COMPUTED_VALUE"""),396.49)</f>
      </c>
      <c r="N653" s="10">
        <f>IFERROR(__xludf.DUMMYFUNCTION("""COMPUTED_VALUE"""),0.0)</f>
      </c>
      <c r="O653" s="11">
        <f>IFERROR(__xludf.DUMMYFUNCTION("""COMPUTED_VALUE"""),"----")</f>
      </c>
      <c r="P653" s="12"/>
      <c r="Q653" s="12"/>
      <c r="R653" s="15"/>
      <c r="S653" s="12"/>
      <c r="T653" s="12"/>
      <c r="U653" s="12"/>
      <c r="V653" s="12"/>
      <c r="W653" s="12"/>
      <c r="X653" s="12"/>
      <c r="Y653" s="12"/>
      <c r="Z653" s="12"/>
    </row>
    <row x14ac:dyDescent="0.25" r="654" customHeight="1" ht="15.75">
      <c r="A654" s="8">
        <f>IFERROR(__xludf.DUMMYFUNCTION("""COMPUTED_VALUE"""),25421.0)</f>
      </c>
      <c r="B654" s="9">
        <f>IFERROR(__xludf.DUMMYFUNCTION("""COMPUTED_VALUE"""),"METROPOLITANA VI")</f>
      </c>
      <c r="C654" s="9">
        <f>IFERROR(__xludf.DUMMYFUNCTION("""COMPUTED_VALUE"""),"CE SENOR ABRAVANEL")</f>
      </c>
      <c r="D654" s="10">
        <f>IFERROR(__xludf.DUMMYFUNCTION("""COMPUTED_VALUE"""),0.6466)</f>
      </c>
      <c r="E654" s="11">
        <f>IFERROR(__xludf.DUMMYFUNCTION("""COMPUTED_VALUE"""),"----")</f>
      </c>
      <c r="F654" s="10">
        <f>IFERROR(__xludf.DUMMYFUNCTION("""COMPUTED_VALUE"""),0.2463)</f>
      </c>
      <c r="G654" s="11">
        <f>IFERROR(__xludf.DUMMYFUNCTION("""COMPUTED_VALUE"""),345.19)</f>
      </c>
      <c r="H654" s="10">
        <f>IFERROR(__xludf.DUMMYFUNCTION("""COMPUTED_VALUE"""),0.3077)</f>
      </c>
      <c r="I654" s="11">
        <f>IFERROR(__xludf.DUMMYFUNCTION("""COMPUTED_VALUE"""),"----")</f>
      </c>
      <c r="J654" s="10">
        <f>IFERROR(__xludf.DUMMYFUNCTION("""COMPUTED_VALUE"""),0.2843)</f>
      </c>
      <c r="K654" s="11">
        <f>IFERROR(__xludf.DUMMYFUNCTION("""COMPUTED_VALUE"""),369.81)</f>
      </c>
      <c r="L654" s="10">
        <f>IFERROR(__xludf.DUMMYFUNCTION("""COMPUTED_VALUE"""),0.2885)</f>
      </c>
      <c r="M654" s="11">
        <f>IFERROR(__xludf.DUMMYFUNCTION("""COMPUTED_VALUE"""),376.7)</f>
      </c>
      <c r="N654" s="10">
        <f>IFERROR(__xludf.DUMMYFUNCTION("""COMPUTED_VALUE"""),0.0038)</f>
      </c>
      <c r="O654" s="11">
        <f>IFERROR(__xludf.DUMMYFUNCTION("""COMPUTED_VALUE"""),"----")</f>
      </c>
      <c r="P654" s="12"/>
      <c r="Q654" s="12"/>
      <c r="R654" s="15"/>
      <c r="S654" s="12"/>
      <c r="T654" s="12"/>
      <c r="U654" s="12"/>
      <c r="V654" s="12"/>
      <c r="W654" s="12"/>
      <c r="X654" s="12"/>
      <c r="Y654" s="12"/>
      <c r="Z654" s="12"/>
    </row>
    <row x14ac:dyDescent="0.25" r="655" customHeight="1" ht="15.75">
      <c r="A655" s="8">
        <f>IFERROR(__xludf.DUMMYFUNCTION("""COMPUTED_VALUE"""),25422.0)</f>
      </c>
      <c r="B655" s="9">
        <f>IFERROR(__xludf.DUMMYFUNCTION("""COMPUTED_VALUE"""),"METROPOLITANA VI")</f>
      </c>
      <c r="C655" s="9">
        <f>IFERROR(__xludf.DUMMYFUNCTION("""COMPUTED_VALUE"""),"CE SOARES PEREIRA")</f>
      </c>
      <c r="D655" s="10">
        <f>IFERROR(__xludf.DUMMYFUNCTION("""COMPUTED_VALUE"""),0.6984)</f>
      </c>
      <c r="E655" s="11">
        <f>IFERROR(__xludf.DUMMYFUNCTION("""COMPUTED_VALUE"""),97.64)</f>
      </c>
      <c r="F655" s="10">
        <f>IFERROR(__xludf.DUMMYFUNCTION("""COMPUTED_VALUE"""),0.5714)</f>
      </c>
      <c r="G655" s="11">
        <f>IFERROR(__xludf.DUMMYFUNCTION("""COMPUTED_VALUE"""),310.0)</f>
      </c>
      <c r="H655" s="10">
        <f>IFERROR(__xludf.DUMMYFUNCTION("""COMPUTED_VALUE"""),0.3516)</f>
      </c>
      <c r="I655" s="11">
        <f>IFERROR(__xludf.DUMMYFUNCTION("""COMPUTED_VALUE"""),391.56)</f>
      </c>
      <c r="J655" s="10">
        <f>IFERROR(__xludf.DUMMYFUNCTION("""COMPUTED_VALUE"""),0.6164)</f>
      </c>
      <c r="K655" s="11">
        <f>IFERROR(__xludf.DUMMYFUNCTION("""COMPUTED_VALUE"""),272.84)</f>
      </c>
      <c r="L655" s="10">
        <f>IFERROR(__xludf.DUMMYFUNCTION("""COMPUTED_VALUE"""),0.4176)</f>
      </c>
      <c r="M655" s="11">
        <f>IFERROR(__xludf.DUMMYFUNCTION("""COMPUTED_VALUE"""),409.8)</f>
      </c>
      <c r="N655" s="10">
        <f>IFERROR(__xludf.DUMMYFUNCTION("""COMPUTED_VALUE"""),0.0)</f>
      </c>
      <c r="O655" s="11">
        <f>IFERROR(__xludf.DUMMYFUNCTION("""COMPUTED_VALUE"""),"----")</f>
      </c>
      <c r="P655" s="12"/>
      <c r="Q655" s="12"/>
      <c r="R655" s="15"/>
      <c r="S655" s="12"/>
      <c r="T655" s="12"/>
      <c r="U655" s="12"/>
      <c r="V655" s="12"/>
      <c r="W655" s="12"/>
      <c r="X655" s="12"/>
      <c r="Y655" s="12"/>
      <c r="Z655" s="12"/>
    </row>
    <row x14ac:dyDescent="0.25" r="656" customHeight="1" ht="15.75">
      <c r="A656" s="8">
        <f>IFERROR(__xludf.DUMMYFUNCTION("""COMPUTED_VALUE"""),25423.0)</f>
      </c>
      <c r="B656" s="9">
        <f>IFERROR(__xludf.DUMMYFUNCTION("""COMPUTED_VALUE"""),"METROPOLITANA VI")</f>
      </c>
      <c r="C656" s="9">
        <f>IFERROR(__xludf.DUMMYFUNCTION("""COMPUTED_VALUE"""),"CE SOUZA AGUIAR")</f>
      </c>
      <c r="D656" s="10">
        <f>IFERROR(__xludf.DUMMYFUNCTION("""COMPUTED_VALUE"""),0.6522)</f>
      </c>
      <c r="E656" s="11">
        <f>IFERROR(__xludf.DUMMYFUNCTION("""COMPUTED_VALUE"""),245.21)</f>
      </c>
      <c r="F656" s="10">
        <f>IFERROR(__xludf.DUMMYFUNCTION("""COMPUTED_VALUE"""),0.6186)</f>
      </c>
      <c r="G656" s="11">
        <f>IFERROR(__xludf.DUMMYFUNCTION("""COMPUTED_VALUE"""),440.52)</f>
      </c>
      <c r="H656" s="10">
        <f>IFERROR(__xludf.DUMMYFUNCTION("""COMPUTED_VALUE"""),0.5692)</f>
      </c>
      <c r="I656" s="11">
        <f>IFERROR(__xludf.DUMMYFUNCTION("""COMPUTED_VALUE"""),410.17)</f>
      </c>
      <c r="J656" s="10">
        <f>IFERROR(__xludf.DUMMYFUNCTION("""COMPUTED_VALUE"""),0.6008)</f>
      </c>
      <c r="K656" s="11">
        <f>IFERROR(__xludf.DUMMYFUNCTION("""COMPUTED_VALUE"""),254.77)</f>
      </c>
      <c r="L656" s="10">
        <f>IFERROR(__xludf.DUMMYFUNCTION("""COMPUTED_VALUE"""),0.6245)</f>
      </c>
      <c r="M656" s="11">
        <f>IFERROR(__xludf.DUMMYFUNCTION("""COMPUTED_VALUE"""),360.38)</f>
      </c>
      <c r="N656" s="10">
        <f>IFERROR(__xludf.DUMMYFUNCTION("""COMPUTED_VALUE"""),0.004)</f>
      </c>
      <c r="O656" s="11">
        <f>IFERROR(__xludf.DUMMYFUNCTION("""COMPUTED_VALUE"""),480.0)</f>
      </c>
      <c r="P656" s="12"/>
      <c r="Q656" s="12"/>
      <c r="R656" s="15"/>
      <c r="S656" s="12"/>
      <c r="T656" s="12"/>
      <c r="U656" s="12"/>
      <c r="V656" s="12"/>
      <c r="W656" s="12"/>
      <c r="X656" s="12"/>
      <c r="Y656" s="12"/>
      <c r="Z656" s="12"/>
    </row>
    <row x14ac:dyDescent="0.25" r="657" customHeight="1" ht="15.75">
      <c r="A657" s="8">
        <f>IFERROR(__xludf.DUMMYFUNCTION("""COMPUTED_VALUE"""),25424.0)</f>
      </c>
      <c r="B657" s="9">
        <f>IFERROR(__xludf.DUMMYFUNCTION("""COMPUTED_VALUE"""),"METROPOLITANA VI")</f>
      </c>
      <c r="C657" s="9">
        <f>IFERROR(__xludf.DUMMYFUNCTION("""COMPUTED_VALUE"""),"CE STELLA MATUTINA")</f>
      </c>
      <c r="D657" s="10">
        <f>IFERROR(__xludf.DUMMYFUNCTION("""COMPUTED_VALUE"""),0.7725)</f>
      </c>
      <c r="E657" s="11">
        <f>IFERROR(__xludf.DUMMYFUNCTION("""COMPUTED_VALUE"""),178.74)</f>
      </c>
      <c r="F657" s="10">
        <f>IFERROR(__xludf.DUMMYFUNCTION("""COMPUTED_VALUE"""),0.6931)</f>
      </c>
      <c r="G657" s="11">
        <f>IFERROR(__xludf.DUMMYFUNCTION("""COMPUTED_VALUE"""),353.4)</f>
      </c>
      <c r="H657" s="10">
        <f>IFERROR(__xludf.DUMMYFUNCTION("""COMPUTED_VALUE"""),0.6197)</f>
      </c>
      <c r="I657" s="11">
        <f>IFERROR(__xludf.DUMMYFUNCTION("""COMPUTED_VALUE"""),400.9)</f>
      </c>
      <c r="J657" s="10">
        <f>IFERROR(__xludf.DUMMYFUNCTION("""COMPUTED_VALUE"""),0.5288)</f>
      </c>
      <c r="K657" s="11">
        <f>IFERROR(__xludf.DUMMYFUNCTION("""COMPUTED_VALUE"""),312.04)</f>
      </c>
      <c r="L657" s="10">
        <f>IFERROR(__xludf.DUMMYFUNCTION("""COMPUTED_VALUE"""),0.4805)</f>
      </c>
      <c r="M657" s="11">
        <f>IFERROR(__xludf.DUMMYFUNCTION("""COMPUTED_VALUE"""),384.85)</f>
      </c>
      <c r="N657" s="10">
        <f>IFERROR(__xludf.DUMMYFUNCTION("""COMPUTED_VALUE"""),0.3718)</f>
      </c>
      <c r="O657" s="11">
        <f>IFERROR(__xludf.DUMMYFUNCTION("""COMPUTED_VALUE"""),"----")</f>
      </c>
      <c r="P657" s="12"/>
      <c r="Q657" s="12"/>
      <c r="R657" s="15"/>
      <c r="S657" s="12"/>
      <c r="T657" s="12"/>
      <c r="U657" s="12"/>
      <c r="V657" s="12"/>
      <c r="W657" s="12"/>
      <c r="X657" s="12"/>
      <c r="Y657" s="12"/>
      <c r="Z657" s="12"/>
    </row>
    <row x14ac:dyDescent="0.25" r="658" customHeight="1" ht="15.75">
      <c r="A658" s="8">
        <f>IFERROR(__xludf.DUMMYFUNCTION("""COMPUTED_VALUE"""),25425.0)</f>
      </c>
      <c r="B658" s="9">
        <f>IFERROR(__xludf.DUMMYFUNCTION("""COMPUTED_VALUE"""),"METROPOLITANA VI")</f>
      </c>
      <c r="C658" s="9">
        <f>IFERROR(__xludf.DUMMYFUNCTION("""COMPUTED_VALUE"""),"CE TEOFILO MOREIRA DA COSTA")</f>
      </c>
      <c r="D658" s="10">
        <f>IFERROR(__xludf.DUMMYFUNCTION("""COMPUTED_VALUE"""),0.7577)</f>
      </c>
      <c r="E658" s="11">
        <f>IFERROR(__xludf.DUMMYFUNCTION("""COMPUTED_VALUE"""),312.45)</f>
      </c>
      <c r="F658" s="10">
        <f>IFERROR(__xludf.DUMMYFUNCTION("""COMPUTED_VALUE"""),0.2291)</f>
      </c>
      <c r="G658" s="11">
        <f>IFERROR(__xludf.DUMMYFUNCTION("""COMPUTED_VALUE"""),314.51)</f>
      </c>
      <c r="H658" s="10">
        <f>IFERROR(__xludf.DUMMYFUNCTION("""COMPUTED_VALUE"""),0.2555)</f>
      </c>
      <c r="I658" s="11">
        <f>IFERROR(__xludf.DUMMYFUNCTION("""COMPUTED_VALUE"""),400.0)</f>
      </c>
      <c r="J658" s="10">
        <f>IFERROR(__xludf.DUMMYFUNCTION("""COMPUTED_VALUE"""),0.4802)</f>
      </c>
      <c r="K658" s="11">
        <f>IFERROR(__xludf.DUMMYFUNCTION("""COMPUTED_VALUE"""),330.4)</f>
      </c>
      <c r="L658" s="10">
        <f>IFERROR(__xludf.DUMMYFUNCTION("""COMPUTED_VALUE"""),0.3436)</f>
      </c>
      <c r="M658" s="11">
        <f>IFERROR(__xludf.DUMMYFUNCTION("""COMPUTED_VALUE"""),387.57)</f>
      </c>
      <c r="N658" s="10">
        <f>IFERROR(__xludf.DUMMYFUNCTION("""COMPUTED_VALUE"""),0.0)</f>
      </c>
      <c r="O658" s="11">
        <f>IFERROR(__xludf.DUMMYFUNCTION("""COMPUTED_VALUE"""),"----")</f>
      </c>
      <c r="P658" s="12"/>
      <c r="Q658" s="12"/>
      <c r="R658" s="15"/>
      <c r="S658" s="12"/>
      <c r="T658" s="12"/>
      <c r="U658" s="12"/>
      <c r="V658" s="12"/>
      <c r="W658" s="12"/>
      <c r="X658" s="12"/>
      <c r="Y658" s="12"/>
      <c r="Z658" s="12"/>
    </row>
    <row x14ac:dyDescent="0.25" r="659" customHeight="1" ht="15.75">
      <c r="A659" s="8">
        <f>IFERROR(__xludf.DUMMYFUNCTION("""COMPUTED_VALUE"""),25426.0)</f>
      </c>
      <c r="B659" s="9">
        <f>IFERROR(__xludf.DUMMYFUNCTION("""COMPUTED_VALUE"""),"METROPOLITANA VI")</f>
      </c>
      <c r="C659" s="9">
        <f>IFERROR(__xludf.DUMMYFUNCTION("""COMPUTED_VALUE"""),"CE TOMAS ANTONIO GONZAGA")</f>
      </c>
      <c r="D659" s="10">
        <f>IFERROR(__xludf.DUMMYFUNCTION("""COMPUTED_VALUE"""),0.2903)</f>
      </c>
      <c r="E659" s="11">
        <f>IFERROR(__xludf.DUMMYFUNCTION("""COMPUTED_VALUE"""),64.92)</f>
      </c>
      <c r="F659" s="10">
        <f>IFERROR(__xludf.DUMMYFUNCTION("""COMPUTED_VALUE"""),0.4194)</f>
      </c>
      <c r="G659" s="11">
        <f>IFERROR(__xludf.DUMMYFUNCTION("""COMPUTED_VALUE"""),322.05)</f>
      </c>
      <c r="H659" s="10">
        <f>IFERROR(__xludf.DUMMYFUNCTION("""COMPUTED_VALUE"""),0.3333)</f>
      </c>
      <c r="I659" s="11">
        <f>IFERROR(__xludf.DUMMYFUNCTION("""COMPUTED_VALUE"""),310.0)</f>
      </c>
      <c r="J659" s="10">
        <f>IFERROR(__xludf.DUMMYFUNCTION("""COMPUTED_VALUE"""),0.2838)</f>
      </c>
      <c r="K659" s="11">
        <f>IFERROR(__xludf.DUMMYFUNCTION("""COMPUTED_VALUE"""),"----")</f>
      </c>
      <c r="L659" s="10">
        <f>IFERROR(__xludf.DUMMYFUNCTION("""COMPUTED_VALUE"""),0.2583)</f>
      </c>
      <c r="M659" s="11">
        <f>IFERROR(__xludf.DUMMYFUNCTION("""COMPUTED_VALUE"""),374.19)</f>
      </c>
      <c r="N659" s="10">
        <f>IFERROR(__xludf.DUMMYFUNCTION("""COMPUTED_VALUE"""),0.0)</f>
      </c>
      <c r="O659" s="11">
        <f>IFERROR(__xludf.DUMMYFUNCTION("""COMPUTED_VALUE"""),"----")</f>
      </c>
      <c r="P659" s="12"/>
      <c r="Q659" s="12"/>
      <c r="R659" s="15"/>
      <c r="S659" s="12"/>
      <c r="T659" s="12"/>
      <c r="U659" s="12"/>
      <c r="V659" s="12"/>
      <c r="W659" s="12"/>
      <c r="X659" s="12"/>
      <c r="Y659" s="12"/>
      <c r="Z659" s="12"/>
    </row>
    <row x14ac:dyDescent="0.25" r="660" customHeight="1" ht="15.75">
      <c r="A660" s="8">
        <f>IFERROR(__xludf.DUMMYFUNCTION("""COMPUTED_VALUE"""),25427.0)</f>
      </c>
      <c r="B660" s="9">
        <f>IFERROR(__xludf.DUMMYFUNCTION("""COMPUTED_VALUE"""),"METROPOLITANA VI")</f>
      </c>
      <c r="C660" s="9">
        <f>IFERROR(__xludf.DUMMYFUNCTION("""COMPUTED_VALUE"""),"CE VICENTE JANNUZZI")</f>
      </c>
      <c r="D660" s="10">
        <f>IFERROR(__xludf.DUMMYFUNCTION("""COMPUTED_VALUE"""),0.8405)</f>
      </c>
      <c r="E660" s="11">
        <f>IFERROR(__xludf.DUMMYFUNCTION("""COMPUTED_VALUE"""),306.73)</f>
      </c>
      <c r="F660" s="10">
        <f>IFERROR(__xludf.DUMMYFUNCTION("""COMPUTED_VALUE"""),0.5727)</f>
      </c>
      <c r="G660" s="11">
        <f>IFERROR(__xludf.DUMMYFUNCTION("""COMPUTED_VALUE"""),426.7)</f>
      </c>
      <c r="H660" s="10">
        <f>IFERROR(__xludf.DUMMYFUNCTION("""COMPUTED_VALUE"""),0.6692)</f>
      </c>
      <c r="I660" s="11">
        <f>IFERROR(__xludf.DUMMYFUNCTION("""COMPUTED_VALUE"""),437.14)</f>
      </c>
      <c r="J660" s="10">
        <f>IFERROR(__xludf.DUMMYFUNCTION("""COMPUTED_VALUE"""),0.6025)</f>
      </c>
      <c r="K660" s="11">
        <f>IFERROR(__xludf.DUMMYFUNCTION("""COMPUTED_VALUE"""),338.89)</f>
      </c>
      <c r="L660" s="10">
        <f>IFERROR(__xludf.DUMMYFUNCTION("""COMPUTED_VALUE"""),0.5041)</f>
      </c>
      <c r="M660" s="11">
        <f>IFERROR(__xludf.DUMMYFUNCTION("""COMPUTED_VALUE"""),449.46)</f>
      </c>
      <c r="N660" s="10">
        <f>IFERROR(__xludf.DUMMYFUNCTION("""COMPUTED_VALUE"""),0.4134)</f>
      </c>
      <c r="O660" s="11">
        <f>IFERROR(__xludf.DUMMYFUNCTION("""COMPUTED_VALUE"""),"----")</f>
      </c>
      <c r="P660" s="12"/>
      <c r="Q660" s="12"/>
      <c r="R660" s="15"/>
      <c r="S660" s="12"/>
      <c r="T660" s="12"/>
      <c r="U660" s="12"/>
      <c r="V660" s="12"/>
      <c r="W660" s="12"/>
      <c r="X660" s="12"/>
      <c r="Y660" s="12"/>
      <c r="Z660" s="12"/>
    </row>
    <row x14ac:dyDescent="0.25" r="661" customHeight="1" ht="15.75">
      <c r="A661" s="8">
        <f>IFERROR(__xludf.DUMMYFUNCTION("""COMPUTED_VALUE"""),25428.0)</f>
      </c>
      <c r="B661" s="9">
        <f>IFERROR(__xludf.DUMMYFUNCTION("""COMPUTED_VALUE"""),"METROPOLITANA VI")</f>
      </c>
      <c r="C661" s="9">
        <f>IFERROR(__xludf.DUMMYFUNCTION("""COMPUTED_VALUE"""),"CE VICTOR HUGO")</f>
      </c>
      <c r="D661" s="10">
        <f>IFERROR(__xludf.DUMMYFUNCTION("""COMPUTED_VALUE"""),0.6474)</f>
      </c>
      <c r="E661" s="11">
        <f>IFERROR(__xludf.DUMMYFUNCTION("""COMPUTED_VALUE"""),160.86)</f>
      </c>
      <c r="F661" s="10">
        <f>IFERROR(__xludf.DUMMYFUNCTION("""COMPUTED_VALUE"""),0.0)</f>
      </c>
      <c r="G661" s="11">
        <f>IFERROR(__xludf.DUMMYFUNCTION("""COMPUTED_VALUE"""),"----")</f>
      </c>
      <c r="H661" s="10">
        <f>IFERROR(__xludf.DUMMYFUNCTION("""COMPUTED_VALUE"""),0.4951)</f>
      </c>
      <c r="I661" s="11">
        <f>IFERROR(__xludf.DUMMYFUNCTION("""COMPUTED_VALUE"""),400.0)</f>
      </c>
      <c r="J661" s="10">
        <f>IFERROR(__xludf.DUMMYFUNCTION("""COMPUTED_VALUE"""),0.4348)</f>
      </c>
      <c r="K661" s="11">
        <f>IFERROR(__xludf.DUMMYFUNCTION("""COMPUTED_VALUE"""),360.66)</f>
      </c>
      <c r="L661" s="10">
        <f>IFERROR(__xludf.DUMMYFUNCTION("""COMPUTED_VALUE"""),0.0147)</f>
      </c>
      <c r="M661" s="11">
        <f>IFERROR(__xludf.DUMMYFUNCTION("""COMPUTED_VALUE"""),"----")</f>
      </c>
      <c r="N661" s="10">
        <f>IFERROR(__xludf.DUMMYFUNCTION("""COMPUTED_VALUE"""),0.0049)</f>
      </c>
      <c r="O661" s="11">
        <f>IFERROR(__xludf.DUMMYFUNCTION("""COMPUTED_VALUE"""),"----")</f>
      </c>
      <c r="P661" s="12"/>
      <c r="Q661" s="12"/>
      <c r="R661" s="15"/>
      <c r="S661" s="12"/>
      <c r="T661" s="12"/>
      <c r="U661" s="12"/>
      <c r="V661" s="12"/>
      <c r="W661" s="12"/>
      <c r="X661" s="12"/>
      <c r="Y661" s="12"/>
      <c r="Z661" s="12"/>
    </row>
    <row x14ac:dyDescent="0.25" r="662" customHeight="1" ht="15.75">
      <c r="A662" s="8">
        <f>IFERROR(__xludf.DUMMYFUNCTION("""COMPUTED_VALUE"""),25433.0)</f>
      </c>
      <c r="B662" s="9">
        <f>IFERROR(__xludf.DUMMYFUNCTION("""COMPUTED_VALUE"""),"METROPOLITANA VI")</f>
      </c>
      <c r="C662" s="9">
        <f>IFERROR(__xludf.DUMMYFUNCTION("""COMPUTED_VALUE"""),"CIEP 205 FREI AGOSTINHO FINCIAS")</f>
      </c>
      <c r="D662" s="10">
        <f>IFERROR(__xludf.DUMMYFUNCTION("""COMPUTED_VALUE"""),0.5377)</f>
      </c>
      <c r="E662" s="11">
        <f>IFERROR(__xludf.DUMMYFUNCTION("""COMPUTED_VALUE"""),"----")</f>
      </c>
      <c r="F662" s="10">
        <f>IFERROR(__xludf.DUMMYFUNCTION("""COMPUTED_VALUE"""),0.5849)</f>
      </c>
      <c r="G662" s="11">
        <f>IFERROR(__xludf.DUMMYFUNCTION("""COMPUTED_VALUE"""),291.62)</f>
      </c>
      <c r="H662" s="10">
        <f>IFERROR(__xludf.DUMMYFUNCTION("""COMPUTED_VALUE"""),0.4556)</f>
      </c>
      <c r="I662" s="11">
        <f>IFERROR(__xludf.DUMMYFUNCTION("""COMPUTED_VALUE"""),408.85)</f>
      </c>
      <c r="J662" s="10">
        <f>IFERROR(__xludf.DUMMYFUNCTION("""COMPUTED_VALUE"""),0.475)</f>
      </c>
      <c r="K662" s="11">
        <f>IFERROR(__xludf.DUMMYFUNCTION("""COMPUTED_VALUE"""),182.3)</f>
      </c>
      <c r="L662" s="10">
        <f>IFERROR(__xludf.DUMMYFUNCTION("""COMPUTED_VALUE"""),0.4435)</f>
      </c>
      <c r="M662" s="11">
        <f>IFERROR(__xludf.DUMMYFUNCTION("""COMPUTED_VALUE"""),"----")</f>
      </c>
      <c r="N662" s="10">
        <f>IFERROR(__xludf.DUMMYFUNCTION("""COMPUTED_VALUE"""),0.0)</f>
      </c>
      <c r="O662" s="11">
        <f>IFERROR(__xludf.DUMMYFUNCTION("""COMPUTED_VALUE"""),"----")</f>
      </c>
      <c r="P662" s="12"/>
      <c r="Q662" s="12"/>
      <c r="R662" s="15"/>
      <c r="S662" s="12"/>
      <c r="T662" s="12"/>
      <c r="U662" s="12"/>
      <c r="V662" s="12"/>
      <c r="W662" s="12"/>
      <c r="X662" s="12"/>
      <c r="Y662" s="12"/>
      <c r="Z662" s="12"/>
    </row>
    <row x14ac:dyDescent="0.25" r="663" customHeight="1" ht="15.75">
      <c r="A663" s="8">
        <f>IFERROR(__xludf.DUMMYFUNCTION("""COMPUTED_VALUE"""),25434.0)</f>
      </c>
      <c r="B663" s="9">
        <f>IFERROR(__xludf.DUMMYFUNCTION("""COMPUTED_VALUE"""),"METROPOLITANA VI")</f>
      </c>
      <c r="C663" s="9">
        <f>IFERROR(__xludf.DUMMYFUNCTION("""COMPUTED_VALUE"""),"CIEP 241 NACAO MANGUEIRENSE GOVERNADOR LEONEL DE MOURA BRIZOLA")</f>
      </c>
      <c r="D663" s="10">
        <f>IFERROR(__xludf.DUMMYFUNCTION("""COMPUTED_VALUE"""),0.5777)</f>
      </c>
      <c r="E663" s="11">
        <f>IFERROR(__xludf.DUMMYFUNCTION("""COMPUTED_VALUE"""),198.25)</f>
      </c>
      <c r="F663" s="10">
        <f>IFERROR(__xludf.DUMMYFUNCTION("""COMPUTED_VALUE"""),0.0)</f>
      </c>
      <c r="G663" s="11">
        <f>IFERROR(__xludf.DUMMYFUNCTION("""COMPUTED_VALUE"""),"----")</f>
      </c>
      <c r="H663" s="10">
        <f>IFERROR(__xludf.DUMMYFUNCTION("""COMPUTED_VALUE"""),0.5966)</f>
      </c>
      <c r="I663" s="11">
        <f>IFERROR(__xludf.DUMMYFUNCTION("""COMPUTED_VALUE"""),404.1)</f>
      </c>
      <c r="J663" s="10">
        <f>IFERROR(__xludf.DUMMYFUNCTION("""COMPUTED_VALUE"""),0.1092)</f>
      </c>
      <c r="K663" s="11">
        <f>IFERROR(__xludf.DUMMYFUNCTION("""COMPUTED_VALUE"""),283.92)</f>
      </c>
      <c r="L663" s="10">
        <f>IFERROR(__xludf.DUMMYFUNCTION("""COMPUTED_VALUE"""),0.1429)</f>
      </c>
      <c r="M663" s="11">
        <f>IFERROR(__xludf.DUMMYFUNCTION("""COMPUTED_VALUE"""),384.71)</f>
      </c>
      <c r="N663" s="10">
        <f>IFERROR(__xludf.DUMMYFUNCTION("""COMPUTED_VALUE"""),0.0)</f>
      </c>
      <c r="O663" s="11">
        <f>IFERROR(__xludf.DUMMYFUNCTION("""COMPUTED_VALUE"""),"----")</f>
      </c>
      <c r="P663" s="12"/>
      <c r="Q663" s="12"/>
      <c r="R663" s="15"/>
      <c r="S663" s="12"/>
      <c r="T663" s="12"/>
      <c r="U663" s="12"/>
      <c r="V663" s="12"/>
      <c r="W663" s="12"/>
      <c r="X663" s="12"/>
      <c r="Y663" s="12"/>
      <c r="Z663" s="12"/>
    </row>
    <row x14ac:dyDescent="0.25" r="664" customHeight="1" ht="15.75">
      <c r="A664" s="8">
        <f>IFERROR(__xludf.DUMMYFUNCTION("""COMPUTED_VALUE"""),25435.0)</f>
      </c>
      <c r="B664" s="9">
        <f>IFERROR(__xludf.DUMMYFUNCTION("""COMPUTED_VALUE"""),"METROPOLITANA VI")</f>
      </c>
      <c r="C664" s="9">
        <f>IFERROR(__xludf.DUMMYFUNCTION("""COMPUTED_VALUE"""),"CIEP 303 GP AYRTON SENNA")</f>
      </c>
      <c r="D664" s="10">
        <f>IFERROR(__xludf.DUMMYFUNCTION("""COMPUTED_VALUE"""),0.5856)</f>
      </c>
      <c r="E664" s="11">
        <f>IFERROR(__xludf.DUMMYFUNCTION("""COMPUTED_VALUE"""),189.43)</f>
      </c>
      <c r="F664" s="10">
        <f>IFERROR(__xludf.DUMMYFUNCTION("""COMPUTED_VALUE"""),0.5447)</f>
      </c>
      <c r="G664" s="11">
        <f>IFERROR(__xludf.DUMMYFUNCTION("""COMPUTED_VALUE"""),331.64)</f>
      </c>
      <c r="H664" s="10">
        <f>IFERROR(__xludf.DUMMYFUNCTION("""COMPUTED_VALUE"""),0.4899)</f>
      </c>
      <c r="I664" s="11">
        <f>IFERROR(__xludf.DUMMYFUNCTION("""COMPUTED_VALUE"""),373.25)</f>
      </c>
      <c r="J664" s="10">
        <f>IFERROR(__xludf.DUMMYFUNCTION("""COMPUTED_VALUE"""),0.4787)</f>
      </c>
      <c r="K664" s="11">
        <f>IFERROR(__xludf.DUMMYFUNCTION("""COMPUTED_VALUE"""),243.96)</f>
      </c>
      <c r="L664" s="10">
        <f>IFERROR(__xludf.DUMMYFUNCTION("""COMPUTED_VALUE"""),0.4609)</f>
      </c>
      <c r="M664" s="11">
        <f>IFERROR(__xludf.DUMMYFUNCTION("""COMPUTED_VALUE"""),347.66)</f>
      </c>
      <c r="N664" s="10">
        <f>IFERROR(__xludf.DUMMYFUNCTION("""COMPUTED_VALUE"""),0.0043)</f>
      </c>
      <c r="O664" s="11">
        <f>IFERROR(__xludf.DUMMYFUNCTION("""COMPUTED_VALUE"""),"----")</f>
      </c>
      <c r="P664" s="12"/>
      <c r="Q664" s="12"/>
      <c r="R664" s="15"/>
      <c r="S664" s="12"/>
      <c r="T664" s="12"/>
      <c r="U664" s="12"/>
      <c r="V664" s="12"/>
      <c r="W664" s="12"/>
      <c r="X664" s="12"/>
      <c r="Y664" s="12"/>
      <c r="Z664" s="12"/>
    </row>
    <row x14ac:dyDescent="0.25" r="665" customHeight="1" ht="15.75">
      <c r="A665" s="8">
        <f>IFERROR(__xludf.DUMMYFUNCTION("""COMPUTED_VALUE"""),25436.0)</f>
      </c>
      <c r="B665" s="9">
        <f>IFERROR(__xludf.DUMMYFUNCTION("""COMPUTED_VALUE"""),"METROPOLITANA VI")</f>
      </c>
      <c r="C665" s="9">
        <f>IFERROR(__xludf.DUMMYFUNCTION("""COMPUTED_VALUE"""),"CIEP 321 DOUTOR ULYSSES GUIMARAES")</f>
      </c>
      <c r="D665" s="10">
        <f>IFERROR(__xludf.DUMMYFUNCTION("""COMPUTED_VALUE"""),0.7553)</f>
      </c>
      <c r="E665" s="11">
        <f>IFERROR(__xludf.DUMMYFUNCTION("""COMPUTED_VALUE"""),231.2)</f>
      </c>
      <c r="F665" s="10">
        <f>IFERROR(__xludf.DUMMYFUNCTION("""COMPUTED_VALUE"""),0.3218)</f>
      </c>
      <c r="G665" s="11">
        <f>IFERROR(__xludf.DUMMYFUNCTION("""COMPUTED_VALUE"""),417.63)</f>
      </c>
      <c r="H665" s="10">
        <f>IFERROR(__xludf.DUMMYFUNCTION("""COMPUTED_VALUE"""),0.6084)</f>
      </c>
      <c r="I665" s="11">
        <f>IFERROR(__xludf.DUMMYFUNCTION("""COMPUTED_VALUE"""),420.86)</f>
      </c>
      <c r="J665" s="10">
        <f>IFERROR(__xludf.DUMMYFUNCTION("""COMPUTED_VALUE"""),0.5386)</f>
      </c>
      <c r="K665" s="11">
        <f>IFERROR(__xludf.DUMMYFUNCTION("""COMPUTED_VALUE"""),270.69)</f>
      </c>
      <c r="L665" s="10">
        <f>IFERROR(__xludf.DUMMYFUNCTION("""COMPUTED_VALUE"""),0.5812)</f>
      </c>
      <c r="M665" s="11">
        <f>IFERROR(__xludf.DUMMYFUNCTION("""COMPUTED_VALUE"""),127.55)</f>
      </c>
      <c r="N665" s="10">
        <f>IFERROR(__xludf.DUMMYFUNCTION("""COMPUTED_VALUE"""),0.0)</f>
      </c>
      <c r="O665" s="11">
        <f>IFERROR(__xludf.DUMMYFUNCTION("""COMPUTED_VALUE"""),"----")</f>
      </c>
      <c r="P665" s="12"/>
      <c r="Q665" s="12"/>
      <c r="R665" s="15"/>
      <c r="S665" s="12"/>
      <c r="T665" s="12"/>
      <c r="U665" s="12"/>
      <c r="V665" s="12"/>
      <c r="W665" s="12"/>
      <c r="X665" s="12"/>
      <c r="Y665" s="12"/>
      <c r="Z665" s="12"/>
    </row>
    <row x14ac:dyDescent="0.25" r="666" customHeight="1" ht="15.75">
      <c r="A666" s="8">
        <f>IFERROR(__xludf.DUMMYFUNCTION("""COMPUTED_VALUE"""),25894.0)</f>
      </c>
      <c r="B666" s="9">
        <f>IFERROR(__xludf.DUMMYFUNCTION("""COMPUTED_VALUE"""),"METROPOLITANA VII")</f>
      </c>
      <c r="C666" s="9">
        <f>IFERROR(__xludf.DUMMYFUNCTION("""COMPUTED_VALUE"""),"CAIC 1003 DONA DARCY VARGAS")</f>
      </c>
      <c r="D666" s="10">
        <f>IFERROR(__xludf.DUMMYFUNCTION("""COMPUTED_VALUE"""),0.7195)</f>
      </c>
      <c r="E666" s="11">
        <f>IFERROR(__xludf.DUMMYFUNCTION("""COMPUTED_VALUE"""),292.76)</f>
      </c>
      <c r="F666" s="10">
        <f>IFERROR(__xludf.DUMMYFUNCTION("""COMPUTED_VALUE"""),0.5671)</f>
      </c>
      <c r="G666" s="11">
        <f>IFERROR(__xludf.DUMMYFUNCTION("""COMPUTED_VALUE"""),384.09)</f>
      </c>
      <c r="H666" s="10">
        <f>IFERROR(__xludf.DUMMYFUNCTION("""COMPUTED_VALUE"""),0.6829)</f>
      </c>
      <c r="I666" s="11">
        <f>IFERROR(__xludf.DUMMYFUNCTION("""COMPUTED_VALUE"""),462.59)</f>
      </c>
      <c r="J666" s="10">
        <f>IFERROR(__xludf.DUMMYFUNCTION("""COMPUTED_VALUE"""),0.5915)</f>
      </c>
      <c r="K666" s="11">
        <f>IFERROR(__xludf.DUMMYFUNCTION("""COMPUTED_VALUE"""),364.84)</f>
      </c>
      <c r="L666" s="10">
        <f>IFERROR(__xludf.DUMMYFUNCTION("""COMPUTED_VALUE"""),0.689)</f>
      </c>
      <c r="M666" s="11">
        <f>IFERROR(__xludf.DUMMYFUNCTION("""COMPUTED_VALUE"""),450.0)</f>
      </c>
      <c r="N666" s="10">
        <f>IFERROR(__xludf.DUMMYFUNCTION("""COMPUTED_VALUE"""),0.561)</f>
      </c>
      <c r="O666" s="11">
        <f>IFERROR(__xludf.DUMMYFUNCTION("""COMPUTED_VALUE"""),453.63)</f>
      </c>
      <c r="P666" s="12"/>
      <c r="Q666" s="12"/>
      <c r="R666" s="15"/>
      <c r="S666" s="12"/>
      <c r="T666" s="12"/>
      <c r="U666" s="12"/>
      <c r="V666" s="12"/>
      <c r="W666" s="12"/>
      <c r="X666" s="12"/>
      <c r="Y666" s="12"/>
      <c r="Z666" s="12"/>
    </row>
    <row x14ac:dyDescent="0.25" r="667" customHeight="1" ht="15.75">
      <c r="A667" s="8">
        <f>IFERROR(__xludf.DUMMYFUNCTION("""COMPUTED_VALUE"""),25956.0)</f>
      </c>
      <c r="B667" s="9">
        <f>IFERROR(__xludf.DUMMYFUNCTION("""COMPUTED_VALUE"""),"METROPOLITANA VII")</f>
      </c>
      <c r="C667" s="9">
        <f>IFERROR(__xludf.DUMMYFUNCTION("""COMPUTED_VALUE"""),"CE AGOSTINHO PORTO")</f>
      </c>
      <c r="D667" s="10">
        <f>IFERROR(__xludf.DUMMYFUNCTION("""COMPUTED_VALUE"""),0.6346)</f>
      </c>
      <c r="E667" s="11">
        <f>IFERROR(__xludf.DUMMYFUNCTION("""COMPUTED_VALUE"""),207.82)</f>
      </c>
      <c r="F667" s="10">
        <f>IFERROR(__xludf.DUMMYFUNCTION("""COMPUTED_VALUE"""),0.5321)</f>
      </c>
      <c r="G667" s="11">
        <f>IFERROR(__xludf.DUMMYFUNCTION("""COMPUTED_VALUE"""),404.43)</f>
      </c>
      <c r="H667" s="10">
        <f>IFERROR(__xludf.DUMMYFUNCTION("""COMPUTED_VALUE"""),0.4)</f>
      </c>
      <c r="I667" s="11">
        <f>IFERROR(__xludf.DUMMYFUNCTION("""COMPUTED_VALUE"""),411.35)</f>
      </c>
      <c r="J667" s="10">
        <f>IFERROR(__xludf.DUMMYFUNCTION("""COMPUTED_VALUE"""),0.5174)</f>
      </c>
      <c r="K667" s="11">
        <f>IFERROR(__xludf.DUMMYFUNCTION("""COMPUTED_VALUE"""),261.58)</f>
      </c>
      <c r="L667" s="10">
        <f>IFERROR(__xludf.DUMMYFUNCTION("""COMPUTED_VALUE"""),0.5568)</f>
      </c>
      <c r="M667" s="11">
        <f>IFERROR(__xludf.DUMMYFUNCTION("""COMPUTED_VALUE"""),376.14)</f>
      </c>
      <c r="N667" s="10">
        <f>IFERROR(__xludf.DUMMYFUNCTION("""COMPUTED_VALUE"""),0.5459)</f>
      </c>
      <c r="O667" s="11">
        <f>IFERROR(__xludf.DUMMYFUNCTION("""COMPUTED_VALUE"""),385.94)</f>
      </c>
      <c r="P667" s="12"/>
      <c r="Q667" s="12"/>
      <c r="R667" s="15"/>
      <c r="S667" s="12"/>
      <c r="T667" s="12"/>
      <c r="U667" s="12"/>
      <c r="V667" s="12"/>
      <c r="W667" s="12"/>
      <c r="X667" s="12"/>
      <c r="Y667" s="12"/>
      <c r="Z667" s="12"/>
    </row>
    <row x14ac:dyDescent="0.25" r="668" customHeight="1" ht="15.75">
      <c r="A668" s="8">
        <f>IFERROR(__xludf.DUMMYFUNCTION("""COMPUTED_VALUE"""),25895.0)</f>
      </c>
      <c r="B668" s="9">
        <f>IFERROR(__xludf.DUMMYFUNCTION("""COMPUTED_VALUE"""),"METROPOLITANA VII")</f>
      </c>
      <c r="C668" s="9">
        <f>IFERROR(__xludf.DUMMYFUNCTION("""COMPUTED_VALUE"""),"CE ALICE PACCINI GELIO")</f>
      </c>
      <c r="D668" s="10">
        <f>IFERROR(__xludf.DUMMYFUNCTION("""COMPUTED_VALUE"""),0.8616)</f>
      </c>
      <c r="E668" s="11">
        <f>IFERROR(__xludf.DUMMYFUNCTION("""COMPUTED_VALUE"""),358.76)</f>
      </c>
      <c r="F668" s="10">
        <f>IFERROR(__xludf.DUMMYFUNCTION("""COMPUTED_VALUE"""),0.817)</f>
      </c>
      <c r="G668" s="11">
        <f>IFERROR(__xludf.DUMMYFUNCTION("""COMPUTED_VALUE"""),417.36)</f>
      </c>
      <c r="H668" s="10">
        <f>IFERROR(__xludf.DUMMYFUNCTION("""COMPUTED_VALUE"""),0.8839)</f>
      </c>
      <c r="I668" s="11">
        <f>IFERROR(__xludf.DUMMYFUNCTION("""COMPUTED_VALUE"""),442.23)</f>
      </c>
      <c r="J668" s="10">
        <f>IFERROR(__xludf.DUMMYFUNCTION("""COMPUTED_VALUE"""),0.8259)</f>
      </c>
      <c r="K668" s="11">
        <f>IFERROR(__xludf.DUMMYFUNCTION("""COMPUTED_VALUE"""),398.46)</f>
      </c>
      <c r="L668" s="10">
        <f>IFERROR(__xludf.DUMMYFUNCTION("""COMPUTED_VALUE"""),0.8214)</f>
      </c>
      <c r="M668" s="11">
        <f>IFERROR(__xludf.DUMMYFUNCTION("""COMPUTED_VALUE"""),428.89)</f>
      </c>
      <c r="N668" s="10">
        <f>IFERROR(__xludf.DUMMYFUNCTION("""COMPUTED_VALUE"""),0.7813)</f>
      </c>
      <c r="O668" s="11">
        <f>IFERROR(__xludf.DUMMYFUNCTION("""COMPUTED_VALUE"""),410.87)</f>
      </c>
      <c r="P668" s="12"/>
      <c r="Q668" s="12"/>
      <c r="R668" s="15"/>
      <c r="S668" s="12"/>
      <c r="T668" s="12"/>
      <c r="U668" s="12"/>
      <c r="V668" s="12"/>
      <c r="W668" s="12"/>
      <c r="X668" s="12"/>
      <c r="Y668" s="12"/>
      <c r="Z668" s="12"/>
    </row>
    <row x14ac:dyDescent="0.25" r="669" customHeight="1" ht="15.75">
      <c r="A669" s="8">
        <f>IFERROR(__xludf.DUMMYFUNCTION("""COMPUTED_VALUE"""),25933.0)</f>
      </c>
      <c r="B669" s="9">
        <f>IFERROR(__xludf.DUMMYFUNCTION("""COMPUTED_VALUE"""),"METROPOLITANA VII")</f>
      </c>
      <c r="C669" s="9">
        <f>IFERROR(__xludf.DUMMYFUNCTION("""COMPUTED_VALUE"""),"CE ANA NERI")</f>
      </c>
      <c r="D669" s="10">
        <f>IFERROR(__xludf.DUMMYFUNCTION("""COMPUTED_VALUE"""),0.5826)</f>
      </c>
      <c r="E669" s="11">
        <f>IFERROR(__xludf.DUMMYFUNCTION("""COMPUTED_VALUE"""),"----")</f>
      </c>
      <c r="F669" s="10">
        <f>IFERROR(__xludf.DUMMYFUNCTION("""COMPUTED_VALUE"""),0.5217)</f>
      </c>
      <c r="G669" s="11">
        <f>IFERROR(__xludf.DUMMYFUNCTION("""COMPUTED_VALUE"""),"----")</f>
      </c>
      <c r="H669" s="10">
        <f>IFERROR(__xludf.DUMMYFUNCTION("""COMPUTED_VALUE"""),0.3977)</f>
      </c>
      <c r="I669" s="11">
        <f>IFERROR(__xludf.DUMMYFUNCTION("""COMPUTED_VALUE"""),335.04)</f>
      </c>
      <c r="J669" s="10">
        <f>IFERROR(__xludf.DUMMYFUNCTION("""COMPUTED_VALUE"""),0.5285)</f>
      </c>
      <c r="K669" s="11">
        <f>IFERROR(__xludf.DUMMYFUNCTION("""COMPUTED_VALUE"""),189.93)</f>
      </c>
      <c r="L669" s="10">
        <f>IFERROR(__xludf.DUMMYFUNCTION("""COMPUTED_VALUE"""),0.3743)</f>
      </c>
      <c r="M669" s="11">
        <f>IFERROR(__xludf.DUMMYFUNCTION("""COMPUTED_VALUE"""),355.42)</f>
      </c>
      <c r="N669" s="10">
        <f>IFERROR(__xludf.DUMMYFUNCTION("""COMPUTED_VALUE"""),0.3567)</f>
      </c>
      <c r="O669" s="11">
        <f>IFERROR(__xludf.DUMMYFUNCTION("""COMPUTED_VALUE"""),336.43)</f>
      </c>
      <c r="P669" s="12"/>
      <c r="Q669" s="12"/>
      <c r="R669" s="15"/>
      <c r="S669" s="12"/>
      <c r="T669" s="12"/>
      <c r="U669" s="12"/>
      <c r="V669" s="12"/>
      <c r="W669" s="12"/>
      <c r="X669" s="12"/>
      <c r="Y669" s="12"/>
      <c r="Z669" s="12"/>
    </row>
    <row x14ac:dyDescent="0.25" r="670" customHeight="1" ht="15.75">
      <c r="A670" s="8">
        <f>IFERROR(__xludf.DUMMYFUNCTION("""COMPUTED_VALUE"""),25944.0)</f>
      </c>
      <c r="B670" s="9">
        <f>IFERROR(__xludf.DUMMYFUNCTION("""COMPUTED_VALUE"""),"METROPOLITANA VII")</f>
      </c>
      <c r="C670" s="9">
        <f>IFERROR(__xludf.DUMMYFUNCTION("""COMPUTED_VALUE"""),"CE ANTONIO FIGUEIRA DE ALMEIDA")</f>
      </c>
      <c r="D670" s="10">
        <f>IFERROR(__xludf.DUMMYFUNCTION("""COMPUTED_VALUE"""),0.7355)</f>
      </c>
      <c r="E670" s="11">
        <f>IFERROR(__xludf.DUMMYFUNCTION("""COMPUTED_VALUE"""),272.46)</f>
      </c>
      <c r="F670" s="10">
        <f>IFERROR(__xludf.DUMMYFUNCTION("""COMPUTED_VALUE"""),0.6544)</f>
      </c>
      <c r="G670" s="11">
        <f>IFERROR(__xludf.DUMMYFUNCTION("""COMPUTED_VALUE"""),372.24)</f>
      </c>
      <c r="H670" s="10">
        <f>IFERROR(__xludf.DUMMYFUNCTION("""COMPUTED_VALUE"""),0.4731)</f>
      </c>
      <c r="I670" s="11">
        <f>IFERROR(__xludf.DUMMYFUNCTION("""COMPUTED_VALUE"""),368.49)</f>
      </c>
      <c r="J670" s="10">
        <f>IFERROR(__xludf.DUMMYFUNCTION("""COMPUTED_VALUE"""),0.4584)</f>
      </c>
      <c r="K670" s="11">
        <f>IFERROR(__xludf.DUMMYFUNCTION("""COMPUTED_VALUE"""),305.91)</f>
      </c>
      <c r="L670" s="10">
        <f>IFERROR(__xludf.DUMMYFUNCTION("""COMPUTED_VALUE"""),0.5711)</f>
      </c>
      <c r="M670" s="11">
        <f>IFERROR(__xludf.DUMMYFUNCTION("""COMPUTED_VALUE"""),335.9)</f>
      </c>
      <c r="N670" s="10">
        <f>IFERROR(__xludf.DUMMYFUNCTION("""COMPUTED_VALUE"""),0.4742)</f>
      </c>
      <c r="O670" s="11">
        <f>IFERROR(__xludf.DUMMYFUNCTION("""COMPUTED_VALUE"""),421.47)</f>
      </c>
      <c r="P670" s="12"/>
      <c r="Q670" s="12"/>
      <c r="R670" s="15"/>
      <c r="S670" s="12"/>
      <c r="T670" s="12"/>
      <c r="U670" s="12"/>
      <c r="V670" s="12"/>
      <c r="W670" s="12"/>
      <c r="X670" s="12"/>
      <c r="Y670" s="12"/>
      <c r="Z670" s="12"/>
    </row>
    <row x14ac:dyDescent="0.25" r="671" customHeight="1" ht="15.75">
      <c r="A671" s="8">
        <f>IFERROR(__xludf.DUMMYFUNCTION("""COMPUTED_VALUE"""),25957.0)</f>
      </c>
      <c r="B671" s="9">
        <f>IFERROR(__xludf.DUMMYFUNCTION("""COMPUTED_VALUE"""),"METROPOLITANA VII")</f>
      </c>
      <c r="C671" s="9">
        <f>IFERROR(__xludf.DUMMYFUNCTION("""COMPUTED_VALUE"""),"CE ANTONIO GONCALVES")</f>
      </c>
      <c r="D671" s="10">
        <f>IFERROR(__xludf.DUMMYFUNCTION("""COMPUTED_VALUE"""),0.8438)</f>
      </c>
      <c r="E671" s="11">
        <f>IFERROR(__xludf.DUMMYFUNCTION("""COMPUTED_VALUE"""),278.86)</f>
      </c>
      <c r="F671" s="10">
        <f>IFERROR(__xludf.DUMMYFUNCTION("""COMPUTED_VALUE"""),0.6336)</f>
      </c>
      <c r="G671" s="11">
        <f>IFERROR(__xludf.DUMMYFUNCTION("""COMPUTED_VALUE"""),396.13)</f>
      </c>
      <c r="H671" s="10">
        <f>IFERROR(__xludf.DUMMYFUNCTION("""COMPUTED_VALUE"""),0.5726)</f>
      </c>
      <c r="I671" s="11">
        <f>IFERROR(__xludf.DUMMYFUNCTION("""COMPUTED_VALUE"""),423.94)</f>
      </c>
      <c r="J671" s="10">
        <f>IFERROR(__xludf.DUMMYFUNCTION("""COMPUTED_VALUE"""),0.6809)</f>
      </c>
      <c r="K671" s="11">
        <f>IFERROR(__xludf.DUMMYFUNCTION("""COMPUTED_VALUE"""),364.71)</f>
      </c>
      <c r="L671" s="10">
        <f>IFERROR(__xludf.DUMMYFUNCTION("""COMPUTED_VALUE"""),0.7124)</f>
      </c>
      <c r="M671" s="11">
        <f>IFERROR(__xludf.DUMMYFUNCTION("""COMPUTED_VALUE"""),420.39)</f>
      </c>
      <c r="N671" s="10">
        <f>IFERROR(__xludf.DUMMYFUNCTION("""COMPUTED_VALUE"""),0.6478)</f>
      </c>
      <c r="O671" s="11">
        <f>IFERROR(__xludf.DUMMYFUNCTION("""COMPUTED_VALUE"""),457.86)</f>
      </c>
      <c r="P671" s="12"/>
      <c r="Q671" s="12"/>
      <c r="R671" s="15"/>
      <c r="S671" s="12"/>
      <c r="T671" s="12"/>
      <c r="U671" s="12"/>
      <c r="V671" s="12"/>
      <c r="W671" s="12"/>
      <c r="X671" s="12"/>
      <c r="Y671" s="12"/>
      <c r="Z671" s="12"/>
    </row>
    <row x14ac:dyDescent="0.25" r="672" customHeight="1" ht="15.75">
      <c r="A672" s="8">
        <f>IFERROR(__xludf.DUMMYFUNCTION("""COMPUTED_VALUE"""),25945.0)</f>
      </c>
      <c r="B672" s="9">
        <f>IFERROR(__xludf.DUMMYFUNCTION("""COMPUTED_VALUE"""),"METROPOLITANA VII")</f>
      </c>
      <c r="C672" s="9">
        <f>IFERROR(__xludf.DUMMYFUNCTION("""COMPUTED_VALUE"""),"CE AYDANO DE ALMEIDA")</f>
      </c>
      <c r="D672" s="10">
        <f>IFERROR(__xludf.DUMMYFUNCTION("""COMPUTED_VALUE"""),0.721)</f>
      </c>
      <c r="E672" s="11">
        <f>IFERROR(__xludf.DUMMYFUNCTION("""COMPUTED_VALUE"""),277.2)</f>
      </c>
      <c r="F672" s="10">
        <f>IFERROR(__xludf.DUMMYFUNCTION("""COMPUTED_VALUE"""),0.5961)</f>
      </c>
      <c r="G672" s="11">
        <f>IFERROR(__xludf.DUMMYFUNCTION("""COMPUTED_VALUE"""),404.91)</f>
      </c>
      <c r="H672" s="10">
        <f>IFERROR(__xludf.DUMMYFUNCTION("""COMPUTED_VALUE"""),0.6217)</f>
      </c>
      <c r="I672" s="11">
        <f>IFERROR(__xludf.DUMMYFUNCTION("""COMPUTED_VALUE"""),412.08)</f>
      </c>
      <c r="J672" s="10">
        <f>IFERROR(__xludf.DUMMYFUNCTION("""COMPUTED_VALUE"""),0.5064)</f>
      </c>
      <c r="K672" s="11">
        <f>IFERROR(__xludf.DUMMYFUNCTION("""COMPUTED_VALUE"""),321.18)</f>
      </c>
      <c r="L672" s="10">
        <f>IFERROR(__xludf.DUMMYFUNCTION("""COMPUTED_VALUE"""),0.6453)</f>
      </c>
      <c r="M672" s="11">
        <f>IFERROR(__xludf.DUMMYFUNCTION("""COMPUTED_VALUE"""),405.57)</f>
      </c>
      <c r="N672" s="10">
        <f>IFERROR(__xludf.DUMMYFUNCTION("""COMPUTED_VALUE"""),0.6207)</f>
      </c>
      <c r="O672" s="11">
        <f>IFERROR(__xludf.DUMMYFUNCTION("""COMPUTED_VALUE"""),377.45)</f>
      </c>
      <c r="P672" s="12"/>
      <c r="Q672" s="12"/>
      <c r="R672" s="15"/>
      <c r="S672" s="12"/>
      <c r="T672" s="12"/>
      <c r="U672" s="12"/>
      <c r="V672" s="12"/>
      <c r="W672" s="12"/>
      <c r="X672" s="12"/>
      <c r="Y672" s="12"/>
      <c r="Z672" s="12"/>
    </row>
    <row x14ac:dyDescent="0.25" r="673" customHeight="1" ht="15.75">
      <c r="A673" s="8">
        <f>IFERROR(__xludf.DUMMYFUNCTION("""COMPUTED_VALUE"""),25896.0)</f>
      </c>
      <c r="B673" s="9">
        <f>IFERROR(__xludf.DUMMYFUNCTION("""COMPUTED_VALUE"""),"METROPOLITANA VII")</f>
      </c>
      <c r="C673" s="9">
        <f>IFERROR(__xludf.DUMMYFUNCTION("""COMPUTED_VALUE"""),"CE BAIRRO JARDIM AMERICA")</f>
      </c>
      <c r="D673" s="10">
        <f>IFERROR(__xludf.DUMMYFUNCTION("""COMPUTED_VALUE"""),0.7179)</f>
      </c>
      <c r="E673" s="11">
        <f>IFERROR(__xludf.DUMMYFUNCTION("""COMPUTED_VALUE"""),171.33)</f>
      </c>
      <c r="F673" s="10">
        <f>IFERROR(__xludf.DUMMYFUNCTION("""COMPUTED_VALUE"""),0.5893)</f>
      </c>
      <c r="G673" s="11">
        <f>IFERROR(__xludf.DUMMYFUNCTION("""COMPUTED_VALUE"""),370.99)</f>
      </c>
      <c r="H673" s="10">
        <f>IFERROR(__xludf.DUMMYFUNCTION("""COMPUTED_VALUE"""),0.5266)</f>
      </c>
      <c r="I673" s="11">
        <f>IFERROR(__xludf.DUMMYFUNCTION("""COMPUTED_VALUE"""),412.44)</f>
      </c>
      <c r="J673" s="10">
        <f>IFERROR(__xludf.DUMMYFUNCTION("""COMPUTED_VALUE"""),0.4922)</f>
      </c>
      <c r="K673" s="11">
        <f>IFERROR(__xludf.DUMMYFUNCTION("""COMPUTED_VALUE"""),230.67)</f>
      </c>
      <c r="L673" s="10">
        <f>IFERROR(__xludf.DUMMYFUNCTION("""COMPUTED_VALUE"""),0.5831)</f>
      </c>
      <c r="M673" s="11">
        <f>IFERROR(__xludf.DUMMYFUNCTION("""COMPUTED_VALUE"""),432.57)</f>
      </c>
      <c r="N673" s="10">
        <f>IFERROR(__xludf.DUMMYFUNCTION("""COMPUTED_VALUE"""),0.4545)</f>
      </c>
      <c r="O673" s="11">
        <f>IFERROR(__xludf.DUMMYFUNCTION("""COMPUTED_VALUE"""),398.3)</f>
      </c>
      <c r="P673" s="12"/>
      <c r="Q673" s="12"/>
      <c r="R673" s="15"/>
      <c r="S673" s="12"/>
      <c r="T673" s="12"/>
      <c r="U673" s="12"/>
      <c r="V673" s="12"/>
      <c r="W673" s="12"/>
      <c r="X673" s="12"/>
      <c r="Y673" s="12"/>
      <c r="Z673" s="12"/>
    </row>
    <row x14ac:dyDescent="0.25" r="674" customHeight="1" ht="15.75">
      <c r="A674" s="8">
        <f>IFERROR(__xludf.DUMMYFUNCTION("""COMPUTED_VALUE"""),25897.0)</f>
      </c>
      <c r="B674" s="9">
        <f>IFERROR(__xludf.DUMMYFUNCTION("""COMPUTED_VALUE"""),"METROPOLITANA VII")</f>
      </c>
      <c r="C674" s="9">
        <f>IFERROR(__xludf.DUMMYFUNCTION("""COMPUTED_VALUE"""),"CE BAIRRO NOVA AURORA")</f>
      </c>
      <c r="D674" s="10">
        <f>IFERROR(__xludf.DUMMYFUNCTION("""COMPUTED_VALUE"""),0.7782)</f>
      </c>
      <c r="E674" s="11">
        <f>IFERROR(__xludf.DUMMYFUNCTION("""COMPUTED_VALUE"""),302.08)</f>
      </c>
      <c r="F674" s="10">
        <f>IFERROR(__xludf.DUMMYFUNCTION("""COMPUTED_VALUE"""),0.7137)</f>
      </c>
      <c r="G674" s="11">
        <f>IFERROR(__xludf.DUMMYFUNCTION("""COMPUTED_VALUE"""),434.77)</f>
      </c>
      <c r="H674" s="10">
        <f>IFERROR(__xludf.DUMMYFUNCTION("""COMPUTED_VALUE"""),0.7782)</f>
      </c>
      <c r="I674" s="11">
        <f>IFERROR(__xludf.DUMMYFUNCTION("""COMPUTED_VALUE"""),435.6)</f>
      </c>
      <c r="J674" s="10">
        <f>IFERROR(__xludf.DUMMYFUNCTION("""COMPUTED_VALUE"""),0.754)</f>
      </c>
      <c r="K674" s="11">
        <f>IFERROR(__xludf.DUMMYFUNCTION("""COMPUTED_VALUE"""),384.78)</f>
      </c>
      <c r="L674" s="10">
        <f>IFERROR(__xludf.DUMMYFUNCTION("""COMPUTED_VALUE"""),0.6613)</f>
      </c>
      <c r="M674" s="11">
        <f>IFERROR(__xludf.DUMMYFUNCTION("""COMPUTED_VALUE"""),430.98)</f>
      </c>
      <c r="N674" s="10">
        <f>IFERROR(__xludf.DUMMYFUNCTION("""COMPUTED_VALUE"""),0.7823)</f>
      </c>
      <c r="O674" s="11">
        <f>IFERROR(__xludf.DUMMYFUNCTION("""COMPUTED_VALUE"""),471.96)</f>
      </c>
      <c r="P674" s="12"/>
      <c r="Q674" s="12"/>
      <c r="R674" s="15"/>
      <c r="S674" s="12"/>
      <c r="T674" s="12"/>
      <c r="U674" s="12"/>
      <c r="V674" s="12"/>
      <c r="W674" s="12"/>
      <c r="X674" s="12"/>
      <c r="Y674" s="12"/>
      <c r="Z674" s="12"/>
    </row>
    <row x14ac:dyDescent="0.25" r="675" customHeight="1" ht="15.75">
      <c r="A675" s="8">
        <f>IFERROR(__xludf.DUMMYFUNCTION("""COMPUTED_VALUE"""),25946.0)</f>
      </c>
      <c r="B675" s="9">
        <f>IFERROR(__xludf.DUMMYFUNCTION("""COMPUTED_VALUE"""),"METROPOLITANA VII")</f>
      </c>
      <c r="C675" s="9">
        <f>IFERROR(__xludf.DUMMYFUNCTION("""COMPUTED_VALUE"""),"CE BERTHA D ALESSANDRO")</f>
      </c>
      <c r="D675" s="10">
        <f>IFERROR(__xludf.DUMMYFUNCTION("""COMPUTED_VALUE"""),0.6091)</f>
      </c>
      <c r="E675" s="11">
        <f>IFERROR(__xludf.DUMMYFUNCTION("""COMPUTED_VALUE"""),168.46)</f>
      </c>
      <c r="F675" s="10">
        <f>IFERROR(__xludf.DUMMYFUNCTION("""COMPUTED_VALUE"""),0.4773)</f>
      </c>
      <c r="G675" s="11">
        <f>IFERROR(__xludf.DUMMYFUNCTION("""COMPUTED_VALUE"""),400.48)</f>
      </c>
      <c r="H675" s="10">
        <f>IFERROR(__xludf.DUMMYFUNCTION("""COMPUTED_VALUE"""),0.5124)</f>
      </c>
      <c r="I675" s="11">
        <f>IFERROR(__xludf.DUMMYFUNCTION("""COMPUTED_VALUE"""),446.5)</f>
      </c>
      <c r="J675" s="10">
        <f>IFERROR(__xludf.DUMMYFUNCTION("""COMPUTED_VALUE"""),0.6082)</f>
      </c>
      <c r="K675" s="11">
        <f>IFERROR(__xludf.DUMMYFUNCTION("""COMPUTED_VALUE"""),397.26)</f>
      </c>
      <c r="L675" s="10">
        <f>IFERROR(__xludf.DUMMYFUNCTION("""COMPUTED_VALUE"""),0.4068)</f>
      </c>
      <c r="M675" s="11">
        <f>IFERROR(__xludf.DUMMYFUNCTION("""COMPUTED_VALUE"""),404.02)</f>
      </c>
      <c r="N675" s="10">
        <f>IFERROR(__xludf.DUMMYFUNCTION("""COMPUTED_VALUE"""),0.4037)</f>
      </c>
      <c r="O675" s="11">
        <f>IFERROR(__xludf.DUMMYFUNCTION("""COMPUTED_VALUE"""),422.84)</f>
      </c>
      <c r="P675" s="12"/>
      <c r="Q675" s="12"/>
      <c r="R675" s="15"/>
      <c r="S675" s="12"/>
      <c r="T675" s="12"/>
      <c r="U675" s="12"/>
      <c r="V675" s="12"/>
      <c r="W675" s="12"/>
      <c r="X675" s="12"/>
      <c r="Y675" s="12"/>
      <c r="Z675" s="12"/>
    </row>
    <row x14ac:dyDescent="0.25" r="676" customHeight="1" ht="15.75">
      <c r="A676" s="8">
        <f>IFERROR(__xludf.DUMMYFUNCTION("""COMPUTED_VALUE"""),25898.0)</f>
      </c>
      <c r="B676" s="9">
        <f>IFERROR(__xludf.DUMMYFUNCTION("""COMPUTED_VALUE"""),"METROPOLITANA VII")</f>
      </c>
      <c r="C676" s="9">
        <f>IFERROR(__xludf.DUMMYFUNCTION("""COMPUTED_VALUE"""),"CE BOM PASTOR")</f>
      </c>
      <c r="D676" s="10">
        <f>IFERROR(__xludf.DUMMYFUNCTION("""COMPUTED_VALUE"""),0.8125)</f>
      </c>
      <c r="E676" s="11">
        <f>IFERROR(__xludf.DUMMYFUNCTION("""COMPUTED_VALUE"""),265.63)</f>
      </c>
      <c r="F676" s="10">
        <f>IFERROR(__xludf.DUMMYFUNCTION("""COMPUTED_VALUE"""),0.8047)</f>
      </c>
      <c r="G676" s="11">
        <f>IFERROR(__xludf.DUMMYFUNCTION("""COMPUTED_VALUE"""),370.59)</f>
      </c>
      <c r="H676" s="10">
        <f>IFERROR(__xludf.DUMMYFUNCTION("""COMPUTED_VALUE"""),0.5156)</f>
      </c>
      <c r="I676" s="11">
        <f>IFERROR(__xludf.DUMMYFUNCTION("""COMPUTED_VALUE"""),432.12)</f>
      </c>
      <c r="J676" s="10">
        <f>IFERROR(__xludf.DUMMYFUNCTION("""COMPUTED_VALUE"""),0.7266)</f>
      </c>
      <c r="K676" s="11">
        <f>IFERROR(__xludf.DUMMYFUNCTION("""COMPUTED_VALUE"""),325.22)</f>
      </c>
      <c r="L676" s="10">
        <f>IFERROR(__xludf.DUMMYFUNCTION("""COMPUTED_VALUE"""),0.7266)</f>
      </c>
      <c r="M676" s="11">
        <f>IFERROR(__xludf.DUMMYFUNCTION("""COMPUTED_VALUE"""),445.59)</f>
      </c>
      <c r="N676" s="10">
        <f>IFERROR(__xludf.DUMMYFUNCTION("""COMPUTED_VALUE"""),0.6406)</f>
      </c>
      <c r="O676" s="11">
        <f>IFERROR(__xludf.DUMMYFUNCTION("""COMPUTED_VALUE"""),451.22)</f>
      </c>
      <c r="P676" s="12"/>
      <c r="Q676" s="12"/>
      <c r="R676" s="15"/>
      <c r="S676" s="12"/>
      <c r="T676" s="12"/>
      <c r="U676" s="12"/>
      <c r="V676" s="12"/>
      <c r="W676" s="12"/>
      <c r="X676" s="12"/>
      <c r="Y676" s="12"/>
      <c r="Z676" s="12"/>
    </row>
    <row x14ac:dyDescent="0.25" r="677" customHeight="1" ht="15.75">
      <c r="A677" s="8">
        <f>IFERROR(__xludf.DUMMYFUNCTION("""COMPUTED_VALUE"""),25899.0)</f>
      </c>
      <c r="B677" s="9">
        <f>IFERROR(__xludf.DUMMYFUNCTION("""COMPUTED_VALUE"""),"METROPOLITANA VII")</f>
      </c>
      <c r="C677" s="9">
        <f>IFERROR(__xludf.DUMMYFUNCTION("""COMPUTED_VALUE"""),"CE BRANDAO MONTEIRO")</f>
      </c>
      <c r="D677" s="10">
        <f>IFERROR(__xludf.DUMMYFUNCTION("""COMPUTED_VALUE"""),0.5749)</f>
      </c>
      <c r="E677" s="11">
        <f>IFERROR(__xludf.DUMMYFUNCTION("""COMPUTED_VALUE"""),132.49)</f>
      </c>
      <c r="F677" s="10">
        <f>IFERROR(__xludf.DUMMYFUNCTION("""COMPUTED_VALUE"""),0.4551)</f>
      </c>
      <c r="G677" s="11">
        <f>IFERROR(__xludf.DUMMYFUNCTION("""COMPUTED_VALUE"""),296.65)</f>
      </c>
      <c r="H677" s="10">
        <f>IFERROR(__xludf.DUMMYFUNCTION("""COMPUTED_VALUE"""),0.4322)</f>
      </c>
      <c r="I677" s="11">
        <f>IFERROR(__xludf.DUMMYFUNCTION("""COMPUTED_VALUE"""),325.58)</f>
      </c>
      <c r="J677" s="10">
        <f>IFERROR(__xludf.DUMMYFUNCTION("""COMPUTED_VALUE"""),0.5415)</f>
      </c>
      <c r="K677" s="11">
        <f>IFERROR(__xludf.DUMMYFUNCTION("""COMPUTED_VALUE"""),263.31)</f>
      </c>
      <c r="L677" s="10">
        <f>IFERROR(__xludf.DUMMYFUNCTION("""COMPUTED_VALUE"""),0.407)</f>
      </c>
      <c r="M677" s="11">
        <f>IFERROR(__xludf.DUMMYFUNCTION("""COMPUTED_VALUE"""),341.68)</f>
      </c>
      <c r="N677" s="10">
        <f>IFERROR(__xludf.DUMMYFUNCTION("""COMPUTED_VALUE"""),0.4322)</f>
      </c>
      <c r="O677" s="11">
        <f>IFERROR(__xludf.DUMMYFUNCTION("""COMPUTED_VALUE"""),334.39)</f>
      </c>
      <c r="P677" s="12"/>
      <c r="Q677" s="12"/>
      <c r="R677" s="15"/>
      <c r="S677" s="12"/>
      <c r="T677" s="12"/>
      <c r="U677" s="12"/>
      <c r="V677" s="12"/>
      <c r="W677" s="12"/>
      <c r="X677" s="12"/>
      <c r="Y677" s="12"/>
      <c r="Z677" s="12"/>
    </row>
    <row x14ac:dyDescent="0.25" r="678" customHeight="1" ht="15.75">
      <c r="A678" s="8">
        <f>IFERROR(__xludf.DUMMYFUNCTION("""COMPUTED_VALUE"""),25934.0)</f>
      </c>
      <c r="B678" s="9">
        <f>IFERROR(__xludf.DUMMYFUNCTION("""COMPUTED_VALUE"""),"METROPOLITANA VII")</f>
      </c>
      <c r="C678" s="9">
        <f>IFERROR(__xludf.DUMMYFUNCTION("""COMPUTED_VALUE"""),"CE BRASIL")</f>
      </c>
      <c r="D678" s="10">
        <f>IFERROR(__xludf.DUMMYFUNCTION("""COMPUTED_VALUE"""),0.6932)</f>
      </c>
      <c r="E678" s="11">
        <f>IFERROR(__xludf.DUMMYFUNCTION("""COMPUTED_VALUE"""),350.83)</f>
      </c>
      <c r="F678" s="10">
        <f>IFERROR(__xludf.DUMMYFUNCTION("""COMPUTED_VALUE"""),0.6026)</f>
      </c>
      <c r="G678" s="11">
        <f>IFERROR(__xludf.DUMMYFUNCTION("""COMPUTED_VALUE"""),459.8)</f>
      </c>
      <c r="H678" s="10">
        <f>IFERROR(__xludf.DUMMYFUNCTION("""COMPUTED_VALUE"""),0.68)</f>
      </c>
      <c r="I678" s="11">
        <f>IFERROR(__xludf.DUMMYFUNCTION("""COMPUTED_VALUE"""),509.22)</f>
      </c>
      <c r="J678" s="10">
        <f>IFERROR(__xludf.DUMMYFUNCTION("""COMPUTED_VALUE"""),0.7692)</f>
      </c>
      <c r="K678" s="11">
        <f>IFERROR(__xludf.DUMMYFUNCTION("""COMPUTED_VALUE"""),362.46)</f>
      </c>
      <c r="L678" s="10">
        <f>IFERROR(__xludf.DUMMYFUNCTION("""COMPUTED_VALUE"""),0.6967)</f>
      </c>
      <c r="M678" s="11">
        <f>IFERROR(__xludf.DUMMYFUNCTION("""COMPUTED_VALUE"""),484.61)</f>
      </c>
      <c r="N678" s="10">
        <f>IFERROR(__xludf.DUMMYFUNCTION("""COMPUTED_VALUE"""),0.65)</f>
      </c>
      <c r="O678" s="11">
        <f>IFERROR(__xludf.DUMMYFUNCTION("""COMPUTED_VALUE"""),459.03)</f>
      </c>
      <c r="P678" s="12"/>
      <c r="Q678" s="12"/>
      <c r="R678" s="15"/>
      <c r="S678" s="12"/>
      <c r="T678" s="12"/>
      <c r="U678" s="12"/>
      <c r="V678" s="12"/>
      <c r="W678" s="12"/>
      <c r="X678" s="12"/>
      <c r="Y678" s="12"/>
      <c r="Z678" s="12"/>
    </row>
    <row x14ac:dyDescent="0.25" r="679" customHeight="1" ht="15.75">
      <c r="A679" s="8">
        <f>IFERROR(__xludf.DUMMYFUNCTION("""COMPUTED_VALUE"""),25958.0)</f>
      </c>
      <c r="B679" s="9">
        <f>IFERROR(__xludf.DUMMYFUNCTION("""COMPUTED_VALUE"""),"METROPOLITANA VII")</f>
      </c>
      <c r="C679" s="9">
        <f>IFERROR(__xludf.DUMMYFUNCTION("""COMPUTED_VALUE"""),"CE CAETANO BELLONI")</f>
      </c>
      <c r="D679" s="10">
        <f>IFERROR(__xludf.DUMMYFUNCTION("""COMPUTED_VALUE"""),0.913)</f>
      </c>
      <c r="E679" s="11">
        <f>IFERROR(__xludf.DUMMYFUNCTION("""COMPUTED_VALUE"""),102.31)</f>
      </c>
      <c r="F679" s="10">
        <f>IFERROR(__xludf.DUMMYFUNCTION("""COMPUTED_VALUE"""),0.4783)</f>
      </c>
      <c r="G679" s="11">
        <f>IFERROR(__xludf.DUMMYFUNCTION("""COMPUTED_VALUE"""),377.69)</f>
      </c>
      <c r="H679" s="10">
        <f>IFERROR(__xludf.DUMMYFUNCTION("""COMPUTED_VALUE"""),0.5304)</f>
      </c>
      <c r="I679" s="11">
        <f>IFERROR(__xludf.DUMMYFUNCTION("""COMPUTED_VALUE"""),393.45)</f>
      </c>
      <c r="J679" s="10">
        <f>IFERROR(__xludf.DUMMYFUNCTION("""COMPUTED_VALUE"""),0.5739)</f>
      </c>
      <c r="K679" s="11">
        <f>IFERROR(__xludf.DUMMYFUNCTION("""COMPUTED_VALUE"""),220.33)</f>
      </c>
      <c r="L679" s="10">
        <f>IFERROR(__xludf.DUMMYFUNCTION("""COMPUTED_VALUE"""),0.487)</f>
      </c>
      <c r="M679" s="11">
        <f>IFERROR(__xludf.DUMMYFUNCTION("""COMPUTED_VALUE"""),346.4)</f>
      </c>
      <c r="N679" s="10">
        <f>IFERROR(__xludf.DUMMYFUNCTION("""COMPUTED_VALUE"""),0.3826)</f>
      </c>
      <c r="O679" s="11">
        <f>IFERROR(__xludf.DUMMYFUNCTION("""COMPUTED_VALUE"""),321.03)</f>
      </c>
      <c r="P679" s="12"/>
      <c r="Q679" s="12"/>
      <c r="R679" s="15"/>
      <c r="S679" s="12"/>
      <c r="T679" s="12"/>
      <c r="U679" s="12"/>
      <c r="V679" s="12"/>
      <c r="W679" s="12"/>
      <c r="X679" s="12"/>
      <c r="Y679" s="12"/>
      <c r="Z679" s="12"/>
    </row>
    <row x14ac:dyDescent="0.25" r="680" customHeight="1" ht="15.75">
      <c r="A680" s="8">
        <f>IFERROR(__xludf.DUMMYFUNCTION("""COMPUTED_VALUE"""),25959.0)</f>
      </c>
      <c r="B680" s="9">
        <f>IFERROR(__xludf.DUMMYFUNCTION("""COMPUTED_VALUE"""),"METROPOLITANA VII")</f>
      </c>
      <c r="C680" s="9">
        <f>IFERROR(__xludf.DUMMYFUNCTION("""COMPUTED_VALUE"""),"CE CASEMIRO MEIRELLES")</f>
      </c>
      <c r="D680" s="10">
        <f>IFERROR(__xludf.DUMMYFUNCTION("""COMPUTED_VALUE"""),0.7586)</f>
      </c>
      <c r="E680" s="11">
        <f>IFERROR(__xludf.DUMMYFUNCTION("""COMPUTED_VALUE"""),260.61)</f>
      </c>
      <c r="F680" s="10">
        <f>IFERROR(__xludf.DUMMYFUNCTION("""COMPUTED_VALUE"""),0.6897)</f>
      </c>
      <c r="G680" s="11">
        <f>IFERROR(__xludf.DUMMYFUNCTION("""COMPUTED_VALUE"""),372.67)</f>
      </c>
      <c r="H680" s="10">
        <f>IFERROR(__xludf.DUMMYFUNCTION("""COMPUTED_VALUE"""),0.6396)</f>
      </c>
      <c r="I680" s="11">
        <f>IFERROR(__xludf.DUMMYFUNCTION("""COMPUTED_VALUE"""),375.47)</f>
      </c>
      <c r="J680" s="10">
        <f>IFERROR(__xludf.DUMMYFUNCTION("""COMPUTED_VALUE"""),0.7234)</f>
      </c>
      <c r="K680" s="11">
        <f>IFERROR(__xludf.DUMMYFUNCTION("""COMPUTED_VALUE"""),330.0)</f>
      </c>
      <c r="L680" s="10">
        <f>IFERROR(__xludf.DUMMYFUNCTION("""COMPUTED_VALUE"""),0.6757)</f>
      </c>
      <c r="M680" s="11">
        <f>IFERROR(__xludf.DUMMYFUNCTION("""COMPUTED_VALUE"""),312.84)</f>
      </c>
      <c r="N680" s="10">
        <f>IFERROR(__xludf.DUMMYFUNCTION("""COMPUTED_VALUE"""),0.6486)</f>
      </c>
      <c r="O680" s="11">
        <f>IFERROR(__xludf.DUMMYFUNCTION("""COMPUTED_VALUE"""),366.21)</f>
      </c>
      <c r="P680" s="12"/>
      <c r="Q680" s="12"/>
      <c r="R680" s="15"/>
      <c r="S680" s="12"/>
      <c r="T680" s="12"/>
      <c r="U680" s="12"/>
      <c r="V680" s="12"/>
      <c r="W680" s="12"/>
      <c r="X680" s="12"/>
      <c r="Y680" s="12"/>
      <c r="Z680" s="12"/>
    </row>
    <row x14ac:dyDescent="0.25" r="681" customHeight="1" ht="15.75">
      <c r="A681" s="8">
        <f>IFERROR(__xludf.DUMMYFUNCTION("""COMPUTED_VALUE"""),25935.0)</f>
      </c>
      <c r="B681" s="9">
        <f>IFERROR(__xludf.DUMMYFUNCTION("""COMPUTED_VALUE"""),"METROPOLITANA VII")</f>
      </c>
      <c r="C681" s="9">
        <f>IFERROR(__xludf.DUMMYFUNCTION("""COMPUTED_VALUE"""),"CE DOM PEDRO I")</f>
      </c>
      <c r="D681" s="10">
        <f>IFERROR(__xludf.DUMMYFUNCTION("""COMPUTED_VALUE"""),0.6843)</f>
      </c>
      <c r="E681" s="11">
        <f>IFERROR(__xludf.DUMMYFUNCTION("""COMPUTED_VALUE"""),188.89)</f>
      </c>
      <c r="F681" s="10">
        <f>IFERROR(__xludf.DUMMYFUNCTION("""COMPUTED_VALUE"""),0.5806)</f>
      </c>
      <c r="G681" s="11">
        <f>IFERROR(__xludf.DUMMYFUNCTION("""COMPUTED_VALUE"""),309.9)</f>
      </c>
      <c r="H681" s="10">
        <f>IFERROR(__xludf.DUMMYFUNCTION("""COMPUTED_VALUE"""),0.543)</f>
      </c>
      <c r="I681" s="11">
        <f>IFERROR(__xludf.DUMMYFUNCTION("""COMPUTED_VALUE"""),331.3)</f>
      </c>
      <c r="J681" s="10">
        <f>IFERROR(__xludf.DUMMYFUNCTION("""COMPUTED_VALUE"""),0.6203)</f>
      </c>
      <c r="K681" s="11">
        <f>IFERROR(__xludf.DUMMYFUNCTION("""COMPUTED_VALUE"""),186.65)</f>
      </c>
      <c r="L681" s="10">
        <f>IFERROR(__xludf.DUMMYFUNCTION("""COMPUTED_VALUE"""),0.5391)</f>
      </c>
      <c r="M681" s="11">
        <f>IFERROR(__xludf.DUMMYFUNCTION("""COMPUTED_VALUE"""),320.18)</f>
      </c>
      <c r="N681" s="10">
        <f>IFERROR(__xludf.DUMMYFUNCTION("""COMPUTED_VALUE"""),0.5723)</f>
      </c>
      <c r="O681" s="11">
        <f>IFERROR(__xludf.DUMMYFUNCTION("""COMPUTED_VALUE"""),330.77)</f>
      </c>
      <c r="P681" s="12"/>
      <c r="Q681" s="12"/>
      <c r="R681" s="15"/>
      <c r="S681" s="12"/>
      <c r="T681" s="12"/>
      <c r="U681" s="12"/>
      <c r="V681" s="12"/>
      <c r="W681" s="12"/>
      <c r="X681" s="12"/>
      <c r="Y681" s="12"/>
      <c r="Z681" s="12"/>
    </row>
    <row x14ac:dyDescent="0.25" r="682" customHeight="1" ht="15.75">
      <c r="A682" s="8">
        <f>IFERROR(__xludf.DUMMYFUNCTION("""COMPUTED_VALUE"""),25960.0)</f>
      </c>
      <c r="B682" s="9">
        <f>IFERROR(__xludf.DUMMYFUNCTION("""COMPUTED_VALUE"""),"METROPOLITANA VII")</f>
      </c>
      <c r="C682" s="9">
        <f>IFERROR(__xludf.DUMMYFUNCTION("""COMPUTED_VALUE"""),"CE DOUTOR ANIBAL VIRIATO DE AZEVEDO")</f>
      </c>
      <c r="D682" s="10">
        <f>IFERROR(__xludf.DUMMYFUNCTION("""COMPUTED_VALUE"""),0.9531)</f>
      </c>
      <c r="E682" s="11">
        <f>IFERROR(__xludf.DUMMYFUNCTION("""COMPUTED_VALUE"""),251.8)</f>
      </c>
      <c r="F682" s="10">
        <f>IFERROR(__xludf.DUMMYFUNCTION("""COMPUTED_VALUE"""),0.75)</f>
      </c>
      <c r="G682" s="11">
        <f>IFERROR(__xludf.DUMMYFUNCTION("""COMPUTED_VALUE"""),436.6)</f>
      </c>
      <c r="H682" s="10">
        <f>IFERROR(__xludf.DUMMYFUNCTION("""COMPUTED_VALUE"""),0.8438)</f>
      </c>
      <c r="I682" s="11">
        <f>IFERROR(__xludf.DUMMYFUNCTION("""COMPUTED_VALUE"""),469.43)</f>
      </c>
      <c r="J682" s="10">
        <f>IFERROR(__xludf.DUMMYFUNCTION("""COMPUTED_VALUE"""),0.7813)</f>
      </c>
      <c r="K682" s="11">
        <f>IFERROR(__xludf.DUMMYFUNCTION("""COMPUTED_VALUE"""),202.45)</f>
      </c>
      <c r="L682" s="10">
        <f>IFERROR(__xludf.DUMMYFUNCTION("""COMPUTED_VALUE"""),0.6875)</f>
      </c>
      <c r="M682" s="11">
        <f>IFERROR(__xludf.DUMMYFUNCTION("""COMPUTED_VALUE"""),408.57)</f>
      </c>
      <c r="N682" s="10">
        <f>IFERROR(__xludf.DUMMYFUNCTION("""COMPUTED_VALUE"""),0.6563)</f>
      </c>
      <c r="O682" s="11">
        <f>IFERROR(__xludf.DUMMYFUNCTION("""COMPUTED_VALUE"""),477.14)</f>
      </c>
      <c r="P682" s="12"/>
      <c r="Q682" s="12"/>
      <c r="R682" s="15"/>
      <c r="S682" s="12"/>
      <c r="T682" s="12"/>
      <c r="U682" s="12"/>
      <c r="V682" s="12"/>
      <c r="W682" s="12"/>
      <c r="X682" s="12"/>
      <c r="Y682" s="12"/>
      <c r="Z682" s="12"/>
    </row>
    <row x14ac:dyDescent="0.25" r="683" customHeight="1" ht="15.75">
      <c r="A683" s="8">
        <f>IFERROR(__xludf.DUMMYFUNCTION("""COMPUTED_VALUE"""),25961.0)</f>
      </c>
      <c r="B683" s="9">
        <f>IFERROR(__xludf.DUMMYFUNCTION("""COMPUTED_VALUE"""),"METROPOLITANA VII")</f>
      </c>
      <c r="C683" s="9">
        <f>IFERROR(__xludf.DUMMYFUNCTION("""COMPUTED_VALUE"""),"CE DOUTOR OSCAR PIMENTA SOARES")</f>
      </c>
      <c r="D683" s="10">
        <f>IFERROR(__xludf.DUMMYFUNCTION("""COMPUTED_VALUE"""),0.7171)</f>
      </c>
      <c r="E683" s="11">
        <f>IFERROR(__xludf.DUMMYFUNCTION("""COMPUTED_VALUE"""),170.87)</f>
      </c>
      <c r="F683" s="10">
        <f>IFERROR(__xludf.DUMMYFUNCTION("""COMPUTED_VALUE"""),0.5559)</f>
      </c>
      <c r="G683" s="11">
        <f>IFERROR(__xludf.DUMMYFUNCTION("""COMPUTED_VALUE"""),365.33)</f>
      </c>
      <c r="H683" s="10">
        <f>IFERROR(__xludf.DUMMYFUNCTION("""COMPUTED_VALUE"""),0.5757)</f>
      </c>
      <c r="I683" s="11">
        <f>IFERROR(__xludf.DUMMYFUNCTION("""COMPUTED_VALUE"""),379.42)</f>
      </c>
      <c r="J683" s="10">
        <f>IFERROR(__xludf.DUMMYFUNCTION("""COMPUTED_VALUE"""),0.5493)</f>
      </c>
      <c r="K683" s="11">
        <f>IFERROR(__xludf.DUMMYFUNCTION("""COMPUTED_VALUE"""),251.29)</f>
      </c>
      <c r="L683" s="10">
        <f>IFERROR(__xludf.DUMMYFUNCTION("""COMPUTED_VALUE"""),0.6645)</f>
      </c>
      <c r="M683" s="11">
        <f>IFERROR(__xludf.DUMMYFUNCTION("""COMPUTED_VALUE"""),320.0)</f>
      </c>
      <c r="N683" s="10">
        <f>IFERROR(__xludf.DUMMYFUNCTION("""COMPUTED_VALUE"""),0.5855)</f>
      </c>
      <c r="O683" s="11">
        <f>IFERROR(__xludf.DUMMYFUNCTION("""COMPUTED_VALUE"""),281.63)</f>
      </c>
      <c r="P683" s="12"/>
      <c r="Q683" s="12"/>
      <c r="R683" s="15"/>
      <c r="S683" s="12"/>
      <c r="T683" s="12"/>
      <c r="U683" s="12"/>
      <c r="V683" s="12"/>
      <c r="W683" s="12"/>
      <c r="X683" s="12"/>
      <c r="Y683" s="12"/>
      <c r="Z683" s="12"/>
    </row>
    <row x14ac:dyDescent="0.25" r="684" customHeight="1" ht="15.75">
      <c r="A684" s="8">
        <f>IFERROR(__xludf.DUMMYFUNCTION("""COMPUTED_VALUE"""),25962.0)</f>
      </c>
      <c r="B684" s="9">
        <f>IFERROR(__xludf.DUMMYFUNCTION("""COMPUTED_VALUE"""),"METROPOLITANA VII")</f>
      </c>
      <c r="C684" s="9">
        <f>IFERROR(__xludf.DUMMYFUNCTION("""COMPUTED_VALUE"""),"CE DUQUE COSTA")</f>
      </c>
      <c r="D684" s="10">
        <f>IFERROR(__xludf.DUMMYFUNCTION("""COMPUTED_VALUE"""),0.6934)</f>
      </c>
      <c r="E684" s="11">
        <f>IFERROR(__xludf.DUMMYFUNCTION("""COMPUTED_VALUE"""),299.89)</f>
      </c>
      <c r="F684" s="10">
        <f>IFERROR(__xludf.DUMMYFUNCTION("""COMPUTED_VALUE"""),0.616)</f>
      </c>
      <c r="G684" s="11">
        <f>IFERROR(__xludf.DUMMYFUNCTION("""COMPUTED_VALUE"""),389.24)</f>
      </c>
      <c r="H684" s="10">
        <f>IFERROR(__xludf.DUMMYFUNCTION("""COMPUTED_VALUE"""),0.6344)</f>
      </c>
      <c r="I684" s="11">
        <f>IFERROR(__xludf.DUMMYFUNCTION("""COMPUTED_VALUE"""),408.27)</f>
      </c>
      <c r="J684" s="10">
        <f>IFERROR(__xludf.DUMMYFUNCTION("""COMPUTED_VALUE"""),0.455)</f>
      </c>
      <c r="K684" s="11">
        <f>IFERROR(__xludf.DUMMYFUNCTION("""COMPUTED_VALUE"""),332.89)</f>
      </c>
      <c r="L684" s="10">
        <f>IFERROR(__xludf.DUMMYFUNCTION("""COMPUTED_VALUE"""),0.523)</f>
      </c>
      <c r="M684" s="11">
        <f>IFERROR(__xludf.DUMMYFUNCTION("""COMPUTED_VALUE"""),391.2)</f>
      </c>
      <c r="N684" s="10">
        <f>IFERROR(__xludf.DUMMYFUNCTION("""COMPUTED_VALUE"""),0.5085)</f>
      </c>
      <c r="O684" s="11">
        <f>IFERROR(__xludf.DUMMYFUNCTION("""COMPUTED_VALUE"""),373.59)</f>
      </c>
      <c r="P684" s="12"/>
      <c r="Q684" s="12"/>
      <c r="R684" s="15"/>
      <c r="S684" s="12"/>
      <c r="T684" s="12"/>
      <c r="U684" s="12"/>
      <c r="V684" s="12"/>
      <c r="W684" s="12"/>
      <c r="X684" s="12"/>
      <c r="Y684" s="12"/>
      <c r="Z684" s="12"/>
    </row>
    <row x14ac:dyDescent="0.25" r="685" customHeight="1" ht="15.75">
      <c r="A685" s="8">
        <f>IFERROR(__xludf.DUMMYFUNCTION("""COMPUTED_VALUE"""),25963.0)</f>
      </c>
      <c r="B685" s="9">
        <f>IFERROR(__xludf.DUMMYFUNCTION("""COMPUTED_VALUE"""),"METROPOLITANA VII")</f>
      </c>
      <c r="C685" s="9">
        <f>IFERROR(__xludf.DUMMYFUNCTION("""COMPUTED_VALUE"""),"CE GOVERNADOR ROBERTO SILVEIRA")</f>
      </c>
      <c r="D685" s="10">
        <f>IFERROR(__xludf.DUMMYFUNCTION("""COMPUTED_VALUE"""),0.7744)</f>
      </c>
      <c r="E685" s="11">
        <f>IFERROR(__xludf.DUMMYFUNCTION("""COMPUTED_VALUE"""),263.0)</f>
      </c>
      <c r="F685" s="10">
        <f>IFERROR(__xludf.DUMMYFUNCTION("""COMPUTED_VALUE"""),0.6829)</f>
      </c>
      <c r="G685" s="11">
        <f>IFERROR(__xludf.DUMMYFUNCTION("""COMPUTED_VALUE"""),386.42)</f>
      </c>
      <c r="H685" s="10">
        <f>IFERROR(__xludf.DUMMYFUNCTION("""COMPUTED_VALUE"""),0.6707)</f>
      </c>
      <c r="I685" s="11">
        <f>IFERROR(__xludf.DUMMYFUNCTION("""COMPUTED_VALUE"""),414.18)</f>
      </c>
      <c r="J685" s="10">
        <f>IFERROR(__xludf.DUMMYFUNCTION("""COMPUTED_VALUE"""),0.7134)</f>
      </c>
      <c r="K685" s="11">
        <f>IFERROR(__xludf.DUMMYFUNCTION("""COMPUTED_VALUE"""),263.65)</f>
      </c>
      <c r="L685" s="10">
        <f>IFERROR(__xludf.DUMMYFUNCTION("""COMPUTED_VALUE"""),0.6098)</f>
      </c>
      <c r="M685" s="11">
        <f>IFERROR(__xludf.DUMMYFUNCTION("""COMPUTED_VALUE"""),377.2)</f>
      </c>
      <c r="N685" s="10">
        <f>IFERROR(__xludf.DUMMYFUNCTION("""COMPUTED_VALUE"""),0.7073)</f>
      </c>
      <c r="O685" s="11">
        <f>IFERROR(__xludf.DUMMYFUNCTION("""COMPUTED_VALUE"""),378.62)</f>
      </c>
      <c r="P685" s="12"/>
      <c r="Q685" s="12"/>
      <c r="R685" s="15"/>
      <c r="S685" s="12"/>
      <c r="T685" s="12"/>
      <c r="U685" s="12"/>
      <c r="V685" s="12"/>
      <c r="W685" s="12"/>
      <c r="X685" s="12"/>
      <c r="Y685" s="12"/>
      <c r="Z685" s="12"/>
    </row>
    <row x14ac:dyDescent="0.25" r="686" customHeight="1" ht="15.75">
      <c r="A686" s="8">
        <f>IFERROR(__xludf.DUMMYFUNCTION("""COMPUTED_VALUE"""),25900.0)</f>
      </c>
      <c r="B686" s="9">
        <f>IFERROR(__xludf.DUMMYFUNCTION("""COMPUTED_VALUE"""),"METROPOLITANA VII")</f>
      </c>
      <c r="C686" s="9">
        <f>IFERROR(__xludf.DUMMYFUNCTION("""COMPUTED_VALUE"""),"CE GUSTAVO BARROSO")</f>
      </c>
      <c r="D686" s="10">
        <f>IFERROR(__xludf.DUMMYFUNCTION("""COMPUTED_VALUE"""),0.8352)</f>
      </c>
      <c r="E686" s="11">
        <f>IFERROR(__xludf.DUMMYFUNCTION("""COMPUTED_VALUE"""),284.53)</f>
      </c>
      <c r="F686" s="10">
        <f>IFERROR(__xludf.DUMMYFUNCTION("""COMPUTED_VALUE"""),0.8626)</f>
      </c>
      <c r="G686" s="11">
        <f>IFERROR(__xludf.DUMMYFUNCTION("""COMPUTED_VALUE"""),401.81)</f>
      </c>
      <c r="H686" s="10">
        <f>IFERROR(__xludf.DUMMYFUNCTION("""COMPUTED_VALUE"""),0.8297)</f>
      </c>
      <c r="I686" s="11">
        <f>IFERROR(__xludf.DUMMYFUNCTION("""COMPUTED_VALUE"""),430.27)</f>
      </c>
      <c r="J686" s="10">
        <f>IFERROR(__xludf.DUMMYFUNCTION("""COMPUTED_VALUE"""),0.7912)</f>
      </c>
      <c r="K686" s="11">
        <f>IFERROR(__xludf.DUMMYFUNCTION("""COMPUTED_VALUE"""),323.39)</f>
      </c>
      <c r="L686" s="10">
        <f>IFERROR(__xludf.DUMMYFUNCTION("""COMPUTED_VALUE"""),0.7912)</f>
      </c>
      <c r="M686" s="11">
        <f>IFERROR(__xludf.DUMMYFUNCTION("""COMPUTED_VALUE"""),425.63)</f>
      </c>
      <c r="N686" s="10">
        <f>IFERROR(__xludf.DUMMYFUNCTION("""COMPUTED_VALUE"""),0.7747)</f>
      </c>
      <c r="O686" s="11">
        <f>IFERROR(__xludf.DUMMYFUNCTION("""COMPUTED_VALUE"""),435.11)</f>
      </c>
      <c r="P686" s="12"/>
      <c r="Q686" s="12"/>
      <c r="R686" s="15"/>
      <c r="S686" s="12"/>
      <c r="T686" s="12"/>
      <c r="U686" s="12"/>
      <c r="V686" s="12"/>
      <c r="W686" s="12"/>
      <c r="X686" s="12"/>
      <c r="Y686" s="12"/>
      <c r="Z686" s="12"/>
    </row>
    <row x14ac:dyDescent="0.25" r="687" customHeight="1" ht="15.75">
      <c r="A687" s="8">
        <f>IFERROR(__xludf.DUMMYFUNCTION("""COMPUTED_VALUE"""),25964.0)</f>
      </c>
      <c r="B687" s="9">
        <f>IFERROR(__xludf.DUMMYFUNCTION("""COMPUTED_VALUE"""),"METROPOLITANA VII")</f>
      </c>
      <c r="C687" s="9">
        <f>IFERROR(__xludf.DUMMYFUNCTION("""COMPUTED_VALUE"""),"CE HILTON GAMA")</f>
      </c>
      <c r="D687" s="10">
        <f>IFERROR(__xludf.DUMMYFUNCTION("""COMPUTED_VALUE"""),0.7736)</f>
      </c>
      <c r="E687" s="11">
        <f>IFERROR(__xludf.DUMMYFUNCTION("""COMPUTED_VALUE"""),239.54)</f>
      </c>
      <c r="F687" s="10">
        <f>IFERROR(__xludf.DUMMYFUNCTION("""COMPUTED_VALUE"""),0.5639)</f>
      </c>
      <c r="G687" s="11">
        <f>IFERROR(__xludf.DUMMYFUNCTION("""COMPUTED_VALUE"""),360.0)</f>
      </c>
      <c r="H687" s="10">
        <f>IFERROR(__xludf.DUMMYFUNCTION("""COMPUTED_VALUE"""),0.5597)</f>
      </c>
      <c r="I687" s="11">
        <f>IFERROR(__xludf.DUMMYFUNCTION("""COMPUTED_VALUE"""),397.13)</f>
      </c>
      <c r="J687" s="10">
        <f>IFERROR(__xludf.DUMMYFUNCTION("""COMPUTED_VALUE"""),0.6247)</f>
      </c>
      <c r="K687" s="11">
        <f>IFERROR(__xludf.DUMMYFUNCTION("""COMPUTED_VALUE"""),360.32)</f>
      </c>
      <c r="L687" s="10">
        <f>IFERROR(__xludf.DUMMYFUNCTION("""COMPUTED_VALUE"""),0.5094)</f>
      </c>
      <c r="M687" s="11">
        <f>IFERROR(__xludf.DUMMYFUNCTION("""COMPUTED_VALUE"""),406.31)</f>
      </c>
      <c r="N687" s="10">
        <f>IFERROR(__xludf.DUMMYFUNCTION("""COMPUTED_VALUE"""),0.5472)</f>
      </c>
      <c r="O687" s="11">
        <f>IFERROR(__xludf.DUMMYFUNCTION("""COMPUTED_VALUE"""),429.19)</f>
      </c>
      <c r="P687" s="12"/>
      <c r="Q687" s="12"/>
      <c r="R687" s="15"/>
      <c r="S687" s="12"/>
      <c r="T687" s="12"/>
      <c r="U687" s="12"/>
      <c r="V687" s="12"/>
      <c r="W687" s="12"/>
      <c r="X687" s="12"/>
      <c r="Y687" s="12"/>
      <c r="Z687" s="12"/>
    </row>
    <row x14ac:dyDescent="0.25" r="688" customHeight="1" ht="15.75">
      <c r="A688" s="8">
        <f>IFERROR(__xludf.DUMMYFUNCTION("""COMPUTED_VALUE"""),25901.0)</f>
      </c>
      <c r="B688" s="9">
        <f>IFERROR(__xludf.DUMMYFUNCTION("""COMPUTED_VALUE"""),"METROPOLITANA VII")</f>
      </c>
      <c r="C688" s="9">
        <f>IFERROR(__xludf.DUMMYFUNCTION("""COMPUTED_VALUE"""),"CE JARDIM GLAUCIA")</f>
      </c>
      <c r="D688" s="10">
        <f>IFERROR(__xludf.DUMMYFUNCTION("""COMPUTED_VALUE"""),0.7738)</f>
      </c>
      <c r="E688" s="11">
        <f>IFERROR(__xludf.DUMMYFUNCTION("""COMPUTED_VALUE"""),218.6)</f>
      </c>
      <c r="F688" s="10">
        <f>IFERROR(__xludf.DUMMYFUNCTION("""COMPUTED_VALUE"""),0.625)</f>
      </c>
      <c r="G688" s="11">
        <f>IFERROR(__xludf.DUMMYFUNCTION("""COMPUTED_VALUE"""),377.86)</f>
      </c>
      <c r="H688" s="10">
        <f>IFERROR(__xludf.DUMMYFUNCTION("""COMPUTED_VALUE"""),0.6964)</f>
      </c>
      <c r="I688" s="11">
        <f>IFERROR(__xludf.DUMMYFUNCTION("""COMPUTED_VALUE"""),398.57)</f>
      </c>
      <c r="J688" s="10">
        <f>IFERROR(__xludf.DUMMYFUNCTION("""COMPUTED_VALUE"""),0.7262)</f>
      </c>
      <c r="K688" s="11">
        <f>IFERROR(__xludf.DUMMYFUNCTION("""COMPUTED_VALUE"""),293.78)</f>
      </c>
      <c r="L688" s="10">
        <f>IFERROR(__xludf.DUMMYFUNCTION("""COMPUTED_VALUE"""),0.7083)</f>
      </c>
      <c r="M688" s="11">
        <f>IFERROR(__xludf.DUMMYFUNCTION("""COMPUTED_VALUE"""),398.29)</f>
      </c>
      <c r="N688" s="10">
        <f>IFERROR(__xludf.DUMMYFUNCTION("""COMPUTED_VALUE"""),0.7143)</f>
      </c>
      <c r="O688" s="11">
        <f>IFERROR(__xludf.DUMMYFUNCTION("""COMPUTED_VALUE"""),413.68)</f>
      </c>
      <c r="P688" s="12"/>
      <c r="Q688" s="12"/>
      <c r="R688" s="15"/>
      <c r="S688" s="12"/>
      <c r="T688" s="12"/>
      <c r="U688" s="12"/>
      <c r="V688" s="12"/>
      <c r="W688" s="12"/>
      <c r="X688" s="12"/>
      <c r="Y688" s="12"/>
      <c r="Z688" s="12"/>
    </row>
    <row x14ac:dyDescent="0.25" r="689" customHeight="1" ht="15.75">
      <c r="A689" s="8">
        <f>IFERROR(__xludf.DUMMYFUNCTION("""COMPUTED_VALUE"""),25902.0)</f>
      </c>
      <c r="B689" s="9">
        <f>IFERROR(__xludf.DUMMYFUNCTION("""COMPUTED_VALUE"""),"METROPOLITANA VII")</f>
      </c>
      <c r="C689" s="9">
        <f>IFERROR(__xludf.DUMMYFUNCTION("""COMPUTED_VALUE"""),"CE JARDIM IPE")</f>
      </c>
      <c r="D689" s="10">
        <f>IFERROR(__xludf.DUMMYFUNCTION("""COMPUTED_VALUE"""),0.8035)</f>
      </c>
      <c r="E689" s="11">
        <f>IFERROR(__xludf.DUMMYFUNCTION("""COMPUTED_VALUE"""),199.22)</f>
      </c>
      <c r="F689" s="10">
        <f>IFERROR(__xludf.DUMMYFUNCTION("""COMPUTED_VALUE"""),0.7118)</f>
      </c>
      <c r="G689" s="11">
        <f>IFERROR(__xludf.DUMMYFUNCTION("""COMPUTED_VALUE"""),382.43)</f>
      </c>
      <c r="H689" s="10">
        <f>IFERROR(__xludf.DUMMYFUNCTION("""COMPUTED_VALUE"""),0.7424)</f>
      </c>
      <c r="I689" s="11">
        <f>IFERROR(__xludf.DUMMYFUNCTION("""COMPUTED_VALUE"""),463.46)</f>
      </c>
      <c r="J689" s="10">
        <f>IFERROR(__xludf.DUMMYFUNCTION("""COMPUTED_VALUE"""),0.655)</f>
      </c>
      <c r="K689" s="11">
        <f>IFERROR(__xludf.DUMMYFUNCTION("""COMPUTED_VALUE"""),358.37)</f>
      </c>
      <c r="L689" s="10">
        <f>IFERROR(__xludf.DUMMYFUNCTION("""COMPUTED_VALUE"""),0.7074)</f>
      </c>
      <c r="M689" s="11">
        <f>IFERROR(__xludf.DUMMYFUNCTION("""COMPUTED_VALUE"""),385.1)</f>
      </c>
      <c r="N689" s="10">
        <f>IFERROR(__xludf.DUMMYFUNCTION("""COMPUTED_VALUE"""),0.4236)</f>
      </c>
      <c r="O689" s="11">
        <f>IFERROR(__xludf.DUMMYFUNCTION("""COMPUTED_VALUE"""),404.3)</f>
      </c>
      <c r="P689" s="12"/>
      <c r="Q689" s="12"/>
      <c r="R689" s="15"/>
      <c r="S689" s="12"/>
      <c r="T689" s="12"/>
      <c r="U689" s="12"/>
      <c r="V689" s="12"/>
      <c r="W689" s="12"/>
      <c r="X689" s="12"/>
      <c r="Y689" s="12"/>
      <c r="Z689" s="12"/>
    </row>
    <row x14ac:dyDescent="0.25" r="690" customHeight="1" ht="15.75">
      <c r="A690" s="8">
        <f>IFERROR(__xludf.DUMMYFUNCTION("""COMPUTED_VALUE"""),25965.0)</f>
      </c>
      <c r="B690" s="9">
        <f>IFERROR(__xludf.DUMMYFUNCTION("""COMPUTED_VALUE"""),"METROPOLITANA VII")</f>
      </c>
      <c r="C690" s="9">
        <f>IFERROR(__xludf.DUMMYFUNCTION("""COMPUTED_VALUE"""),"CE JARDIM MERITI")</f>
      </c>
      <c r="D690" s="10">
        <f>IFERROR(__xludf.DUMMYFUNCTION("""COMPUTED_VALUE"""),0.7126)</f>
      </c>
      <c r="E690" s="11">
        <f>IFERROR(__xludf.DUMMYFUNCTION("""COMPUTED_VALUE"""),284.61)</f>
      </c>
      <c r="F690" s="10">
        <f>IFERROR(__xludf.DUMMYFUNCTION("""COMPUTED_VALUE"""),0.603)</f>
      </c>
      <c r="G690" s="11">
        <f>IFERROR(__xludf.DUMMYFUNCTION("""COMPUTED_VALUE"""),420.19)</f>
      </c>
      <c r="H690" s="10">
        <f>IFERROR(__xludf.DUMMYFUNCTION("""COMPUTED_VALUE"""),0.6329)</f>
      </c>
      <c r="I690" s="11">
        <f>IFERROR(__xludf.DUMMYFUNCTION("""COMPUTED_VALUE"""),424.37)</f>
      </c>
      <c r="J690" s="10">
        <f>IFERROR(__xludf.DUMMYFUNCTION("""COMPUTED_VALUE"""),0.6125)</f>
      </c>
      <c r="K690" s="11">
        <f>IFERROR(__xludf.DUMMYFUNCTION("""COMPUTED_VALUE"""),334.67)</f>
      </c>
      <c r="L690" s="10">
        <f>IFERROR(__xludf.DUMMYFUNCTION("""COMPUTED_VALUE"""),0.6053)</f>
      </c>
      <c r="M690" s="11">
        <f>IFERROR(__xludf.DUMMYFUNCTION("""COMPUTED_VALUE"""),360.56)</f>
      </c>
      <c r="N690" s="10">
        <f>IFERROR(__xludf.DUMMYFUNCTION("""COMPUTED_VALUE"""),0.5961)</f>
      </c>
      <c r="O690" s="11">
        <f>IFERROR(__xludf.DUMMYFUNCTION("""COMPUTED_VALUE"""),395.75)</f>
      </c>
      <c r="P690" s="12"/>
      <c r="Q690" s="12"/>
      <c r="R690" s="15"/>
      <c r="S690" s="12"/>
      <c r="T690" s="12"/>
      <c r="U690" s="12"/>
      <c r="V690" s="12"/>
      <c r="W690" s="12"/>
      <c r="X690" s="12"/>
      <c r="Y690" s="12"/>
      <c r="Z690" s="12"/>
    </row>
    <row x14ac:dyDescent="0.25" r="691" customHeight="1" ht="15.75">
      <c r="A691" s="8">
        <f>IFERROR(__xludf.DUMMYFUNCTION("""COMPUTED_VALUE"""),25947.0)</f>
      </c>
      <c r="B691" s="9">
        <f>IFERROR(__xludf.DUMMYFUNCTION("""COMPUTED_VALUE"""),"METROPOLITANA VII")</f>
      </c>
      <c r="C691" s="9">
        <f>IFERROR(__xludf.DUMMYFUNCTION("""COMPUTED_VALUE"""),"CE JOÃO CARDOSO - BRASIL-ARGENTINA")</f>
      </c>
      <c r="D691" s="10">
        <f>IFERROR(__xludf.DUMMYFUNCTION("""COMPUTED_VALUE"""),0.6642)</f>
      </c>
      <c r="E691" s="11">
        <f>IFERROR(__xludf.DUMMYFUNCTION("""COMPUTED_VALUE"""),129.08)</f>
      </c>
      <c r="F691" s="10">
        <f>IFERROR(__xludf.DUMMYFUNCTION("""COMPUTED_VALUE"""),0.5474)</f>
      </c>
      <c r="G691" s="11">
        <f>IFERROR(__xludf.DUMMYFUNCTION("""COMPUTED_VALUE"""),238.51)</f>
      </c>
      <c r="H691" s="10">
        <f>IFERROR(__xludf.DUMMYFUNCTION("""COMPUTED_VALUE"""),0.3169)</f>
      </c>
      <c r="I691" s="11">
        <f>IFERROR(__xludf.DUMMYFUNCTION("""COMPUTED_VALUE"""),294.26)</f>
      </c>
      <c r="J691" s="10">
        <f>IFERROR(__xludf.DUMMYFUNCTION("""COMPUTED_VALUE"""),0.3878)</f>
      </c>
      <c r="K691" s="11">
        <f>IFERROR(__xludf.DUMMYFUNCTION("""COMPUTED_VALUE"""),237.24)</f>
      </c>
      <c r="L691" s="10">
        <f>IFERROR(__xludf.DUMMYFUNCTION("""COMPUTED_VALUE"""),0.4918)</f>
      </c>
      <c r="M691" s="11">
        <f>IFERROR(__xludf.DUMMYFUNCTION("""COMPUTED_VALUE"""),303.22)</f>
      </c>
      <c r="N691" s="10">
        <f>IFERROR(__xludf.DUMMYFUNCTION("""COMPUTED_VALUE"""),0.5628)</f>
      </c>
      <c r="O691" s="11">
        <f>IFERROR(__xludf.DUMMYFUNCTION("""COMPUTED_VALUE"""),312.95)</f>
      </c>
      <c r="P691" s="12"/>
      <c r="Q691" s="12"/>
      <c r="R691" s="15"/>
      <c r="S691" s="12"/>
      <c r="T691" s="12"/>
      <c r="U691" s="12"/>
      <c r="V691" s="12"/>
      <c r="W691" s="12"/>
      <c r="X691" s="12"/>
      <c r="Y691" s="12"/>
      <c r="Z691" s="12"/>
    </row>
    <row x14ac:dyDescent="0.25" r="692" customHeight="1" ht="15.75">
      <c r="A692" s="8">
        <f>IFERROR(__xludf.DUMMYFUNCTION("""COMPUTED_VALUE"""),25948.0)</f>
      </c>
      <c r="B692" s="9">
        <f>IFERROR(__xludf.DUMMYFUNCTION("""COMPUTED_VALUE"""),"METROPOLITANA VII")</f>
      </c>
      <c r="C692" s="9">
        <f>IFERROR(__xludf.DUMMYFUNCTION("""COMPUTED_VALUE"""),"CE JOAQUIM DE ALMEIDA FLORES")</f>
      </c>
      <c r="D692" s="10">
        <f>IFERROR(__xludf.DUMMYFUNCTION("""COMPUTED_VALUE"""),0.6533)</f>
      </c>
      <c r="E692" s="11">
        <f>IFERROR(__xludf.DUMMYFUNCTION("""COMPUTED_VALUE"""),297.46)</f>
      </c>
      <c r="F692" s="10">
        <f>IFERROR(__xludf.DUMMYFUNCTION("""COMPUTED_VALUE"""),0.48)</f>
      </c>
      <c r="G692" s="11">
        <f>IFERROR(__xludf.DUMMYFUNCTION("""COMPUTED_VALUE"""),367.19)</f>
      </c>
      <c r="H692" s="10">
        <f>IFERROR(__xludf.DUMMYFUNCTION("""COMPUTED_VALUE"""),0.5027)</f>
      </c>
      <c r="I692" s="11">
        <f>IFERROR(__xludf.DUMMYFUNCTION("""COMPUTED_VALUE"""),343.16)</f>
      </c>
      <c r="J692" s="10">
        <f>IFERROR(__xludf.DUMMYFUNCTION("""COMPUTED_VALUE"""),0.5742)</f>
      </c>
      <c r="K692" s="11">
        <f>IFERROR(__xludf.DUMMYFUNCTION("""COMPUTED_VALUE"""),315.71)</f>
      </c>
      <c r="L692" s="10">
        <f>IFERROR(__xludf.DUMMYFUNCTION("""COMPUTED_VALUE"""),0.4809)</f>
      </c>
      <c r="M692" s="11">
        <f>IFERROR(__xludf.DUMMYFUNCTION("""COMPUTED_VALUE"""),384.81)</f>
      </c>
      <c r="N692" s="10">
        <f>IFERROR(__xludf.DUMMYFUNCTION("""COMPUTED_VALUE"""),0.541)</f>
      </c>
      <c r="O692" s="11">
        <f>IFERROR(__xludf.DUMMYFUNCTION("""COMPUTED_VALUE"""),403.29)</f>
      </c>
      <c r="P692" s="12"/>
      <c r="Q692" s="12"/>
      <c r="R692" s="15"/>
      <c r="S692" s="12"/>
      <c r="T692" s="12"/>
      <c r="U692" s="12"/>
      <c r="V692" s="12"/>
      <c r="W692" s="12"/>
      <c r="X692" s="12"/>
      <c r="Y692" s="12"/>
      <c r="Z692" s="12"/>
    </row>
    <row x14ac:dyDescent="0.25" r="693" customHeight="1" ht="15.75">
      <c r="A693" s="8">
        <f>IFERROR(__xludf.DUMMYFUNCTION("""COMPUTED_VALUE"""),25966.0)</f>
      </c>
      <c r="B693" s="9">
        <f>IFERROR(__xludf.DUMMYFUNCTION("""COMPUTED_VALUE"""),"METROPOLITANA VII")</f>
      </c>
      <c r="C693" s="9">
        <f>IFERROR(__xludf.DUMMYFUNCTION("""COMPUTED_VALUE"""),"CE JOSÉ DO PATROCÍNIO")</f>
      </c>
      <c r="D693" s="10">
        <f>IFERROR(__xludf.DUMMYFUNCTION("""COMPUTED_VALUE"""),0.8084)</f>
      </c>
      <c r="E693" s="11">
        <f>IFERROR(__xludf.DUMMYFUNCTION("""COMPUTED_VALUE"""),304.97)</f>
      </c>
      <c r="F693" s="10">
        <f>IFERROR(__xludf.DUMMYFUNCTION("""COMPUTED_VALUE"""),0.5888)</f>
      </c>
      <c r="G693" s="11">
        <f>IFERROR(__xludf.DUMMYFUNCTION("""COMPUTED_VALUE"""),408.09)</f>
      </c>
      <c r="H693" s="10">
        <f>IFERROR(__xludf.DUMMYFUNCTION("""COMPUTED_VALUE"""),0.6336)</f>
      </c>
      <c r="I693" s="11">
        <f>IFERROR(__xludf.DUMMYFUNCTION("""COMPUTED_VALUE"""),402.71)</f>
      </c>
      <c r="J693" s="10">
        <f>IFERROR(__xludf.DUMMYFUNCTION("""COMPUTED_VALUE"""),0.7027)</f>
      </c>
      <c r="K693" s="11">
        <f>IFERROR(__xludf.DUMMYFUNCTION("""COMPUTED_VALUE"""),275.81)</f>
      </c>
      <c r="L693" s="10">
        <f>IFERROR(__xludf.DUMMYFUNCTION("""COMPUTED_VALUE"""),0.5647)</f>
      </c>
      <c r="M693" s="11">
        <f>IFERROR(__xludf.DUMMYFUNCTION("""COMPUTED_VALUE"""),390.11)</f>
      </c>
      <c r="N693" s="10">
        <f>IFERROR(__xludf.DUMMYFUNCTION("""COMPUTED_VALUE"""),0.6164)</f>
      </c>
      <c r="O693" s="11">
        <f>IFERROR(__xludf.DUMMYFUNCTION("""COMPUTED_VALUE"""),340.55)</f>
      </c>
      <c r="P693" s="12"/>
      <c r="Q693" s="12"/>
      <c r="R693" s="15"/>
      <c r="S693" s="12"/>
      <c r="T693" s="12"/>
      <c r="U693" s="12"/>
      <c r="V693" s="12"/>
      <c r="W693" s="12"/>
      <c r="X693" s="12"/>
      <c r="Y693" s="12"/>
      <c r="Z693" s="12"/>
    </row>
    <row x14ac:dyDescent="0.25" r="694" customHeight="1" ht="15.75">
      <c r="A694" s="8">
        <f>IFERROR(__xludf.DUMMYFUNCTION("""COMPUTED_VALUE"""),25903.0)</f>
      </c>
      <c r="B694" s="9">
        <f>IFERROR(__xludf.DUMMYFUNCTION("""COMPUTED_VALUE"""),"METROPOLITANA VII")</f>
      </c>
      <c r="C694" s="9">
        <f>IFERROR(__xludf.DUMMYFUNCTION("""COMPUTED_VALUE"""),"CE MARCILIO DIAS")</f>
      </c>
      <c r="D694" s="10">
        <f>IFERROR(__xludf.DUMMYFUNCTION("""COMPUTED_VALUE"""),0.75)</f>
      </c>
      <c r="E694" s="11">
        <f>IFERROR(__xludf.DUMMYFUNCTION("""COMPUTED_VALUE"""),170.75)</f>
      </c>
      <c r="F694" s="10">
        <f>IFERROR(__xludf.DUMMYFUNCTION("""COMPUTED_VALUE"""),0.3182)</f>
      </c>
      <c r="G694" s="11">
        <f>IFERROR(__xludf.DUMMYFUNCTION("""COMPUTED_VALUE"""),312.2)</f>
      </c>
      <c r="H694" s="10">
        <f>IFERROR(__xludf.DUMMYFUNCTION("""COMPUTED_VALUE"""),0.6212)</f>
      </c>
      <c r="I694" s="11">
        <f>IFERROR(__xludf.DUMMYFUNCTION("""COMPUTED_VALUE"""),344.88)</f>
      </c>
      <c r="J694" s="10">
        <f>IFERROR(__xludf.DUMMYFUNCTION("""COMPUTED_VALUE"""),0.6515)</f>
      </c>
      <c r="K694" s="11">
        <f>IFERROR(__xludf.DUMMYFUNCTION("""COMPUTED_VALUE"""),292.68)</f>
      </c>
      <c r="L694" s="10">
        <f>IFERROR(__xludf.DUMMYFUNCTION("""COMPUTED_VALUE"""),0.6515)</f>
      </c>
      <c r="M694" s="11">
        <f>IFERROR(__xludf.DUMMYFUNCTION("""COMPUTED_VALUE"""),381.2)</f>
      </c>
      <c r="N694" s="10">
        <f>IFERROR(__xludf.DUMMYFUNCTION("""COMPUTED_VALUE"""),0.5909)</f>
      </c>
      <c r="O694" s="11">
        <f>IFERROR(__xludf.DUMMYFUNCTION("""COMPUTED_VALUE"""),369.74)</f>
      </c>
      <c r="P694" s="12"/>
      <c r="Q694" s="12"/>
      <c r="R694" s="15"/>
      <c r="S694" s="12"/>
      <c r="T694" s="12"/>
      <c r="U694" s="12"/>
      <c r="V694" s="12"/>
      <c r="W694" s="12"/>
      <c r="X694" s="12"/>
      <c r="Y694" s="12"/>
      <c r="Z694" s="12"/>
    </row>
    <row x14ac:dyDescent="0.25" r="695" customHeight="1" ht="15.75">
      <c r="A695" s="8">
        <f>IFERROR(__xludf.DUMMYFUNCTION("""COMPUTED_VALUE"""),25949.0)</f>
      </c>
      <c r="B695" s="9">
        <f>IFERROR(__xludf.DUMMYFUNCTION("""COMPUTED_VALUE"""),"METROPOLITANA VII")</f>
      </c>
      <c r="C695" s="9">
        <f>IFERROR(__xludf.DUMMYFUNCTION("""COMPUTED_VALUE"""),"CE MARECHAL ZENOBIO DA COSTA")</f>
      </c>
      <c r="D695" s="10">
        <f>IFERROR(__xludf.DUMMYFUNCTION("""COMPUTED_VALUE"""),0.8648)</f>
      </c>
      <c r="E695" s="11">
        <f>IFERROR(__xludf.DUMMYFUNCTION("""COMPUTED_VALUE"""),290.87)</f>
      </c>
      <c r="F695" s="10">
        <f>IFERROR(__xludf.DUMMYFUNCTION("""COMPUTED_VALUE"""),0.6885)</f>
      </c>
      <c r="G695" s="11">
        <f>IFERROR(__xludf.DUMMYFUNCTION("""COMPUTED_VALUE"""),381.42)</f>
      </c>
      <c r="H695" s="10">
        <f>IFERROR(__xludf.DUMMYFUNCTION("""COMPUTED_VALUE"""),0.5511)</f>
      </c>
      <c r="I695" s="11">
        <f>IFERROR(__xludf.DUMMYFUNCTION("""COMPUTED_VALUE"""),448.51)</f>
      </c>
      <c r="J695" s="10">
        <f>IFERROR(__xludf.DUMMYFUNCTION("""COMPUTED_VALUE"""),0.6784)</f>
      </c>
      <c r="K695" s="11">
        <f>IFERROR(__xludf.DUMMYFUNCTION("""COMPUTED_VALUE"""),331.52)</f>
      </c>
      <c r="L695" s="10">
        <f>IFERROR(__xludf.DUMMYFUNCTION("""COMPUTED_VALUE"""),0.635)</f>
      </c>
      <c r="M695" s="11">
        <f>IFERROR(__xludf.DUMMYFUNCTION("""COMPUTED_VALUE"""),372.21)</f>
      </c>
      <c r="N695" s="10">
        <f>IFERROR(__xludf.DUMMYFUNCTION("""COMPUTED_VALUE"""),0.3832)</f>
      </c>
      <c r="O695" s="11">
        <f>IFERROR(__xludf.DUMMYFUNCTION("""COMPUTED_VALUE"""),447.23)</f>
      </c>
      <c r="P695" s="12"/>
      <c r="Q695" s="12"/>
      <c r="R695" s="15"/>
      <c r="S695" s="12"/>
      <c r="T695" s="12"/>
      <c r="U695" s="12"/>
      <c r="V695" s="12"/>
      <c r="W695" s="12"/>
      <c r="X695" s="12"/>
      <c r="Y695" s="12"/>
      <c r="Z695" s="12"/>
    </row>
    <row x14ac:dyDescent="0.25" r="696" customHeight="1" ht="15.75">
      <c r="A696" s="8">
        <f>IFERROR(__xludf.DUMMYFUNCTION("""COMPUTED_VALUE"""),25904.0)</f>
      </c>
      <c r="B696" s="9">
        <f>IFERROR(__xludf.DUMMYFUNCTION("""COMPUTED_VALUE"""),"METROPOLITANA VII")</f>
      </c>
      <c r="C696" s="9">
        <f>IFERROR(__xludf.DUMMYFUNCTION("""COMPUTED_VALUE"""),"CE NOVA ALVORADA")</f>
      </c>
      <c r="D696" s="10">
        <f>IFERROR(__xludf.DUMMYFUNCTION("""COMPUTED_VALUE"""),0.7895)</f>
      </c>
      <c r="E696" s="11">
        <f>IFERROR(__xludf.DUMMYFUNCTION("""COMPUTED_VALUE"""),201.89)</f>
      </c>
      <c r="F696" s="10">
        <f>IFERROR(__xludf.DUMMYFUNCTION("""COMPUTED_VALUE"""),0.6725)</f>
      </c>
      <c r="G696" s="11">
        <f>IFERROR(__xludf.DUMMYFUNCTION("""COMPUTED_VALUE"""),388.07)</f>
      </c>
      <c r="H696" s="10">
        <f>IFERROR(__xludf.DUMMYFUNCTION("""COMPUTED_VALUE"""),0.807)</f>
      </c>
      <c r="I696" s="11">
        <f>IFERROR(__xludf.DUMMYFUNCTION("""COMPUTED_VALUE"""),391.88)</f>
      </c>
      <c r="J696" s="10">
        <f>IFERROR(__xludf.DUMMYFUNCTION("""COMPUTED_VALUE"""),0.6959)</f>
      </c>
      <c r="K696" s="11">
        <f>IFERROR(__xludf.DUMMYFUNCTION("""COMPUTED_VALUE"""),282.09)</f>
      </c>
      <c r="L696" s="10">
        <f>IFERROR(__xludf.DUMMYFUNCTION("""COMPUTED_VALUE"""),0.7427)</f>
      </c>
      <c r="M696" s="11">
        <f>IFERROR(__xludf.DUMMYFUNCTION("""COMPUTED_VALUE"""),390.48)</f>
      </c>
      <c r="N696" s="10">
        <f>IFERROR(__xludf.DUMMYFUNCTION("""COMPUTED_VALUE"""),0.7368)</f>
      </c>
      <c r="O696" s="11">
        <f>IFERROR(__xludf.DUMMYFUNCTION("""COMPUTED_VALUE"""),394.88)</f>
      </c>
      <c r="P696" s="12"/>
      <c r="Q696" s="12"/>
      <c r="R696" s="15"/>
      <c r="S696" s="12"/>
      <c r="T696" s="12"/>
      <c r="U696" s="12"/>
      <c r="V696" s="12"/>
      <c r="W696" s="12"/>
      <c r="X696" s="12"/>
      <c r="Y696" s="12"/>
      <c r="Z696" s="12"/>
    </row>
    <row x14ac:dyDescent="0.25" r="697" customHeight="1" ht="15.75">
      <c r="A697" s="8">
        <f>IFERROR(__xludf.DUMMYFUNCTION("""COMPUTED_VALUE"""),25950.0)</f>
      </c>
      <c r="B697" s="9">
        <f>IFERROR(__xludf.DUMMYFUNCTION("""COMPUTED_VALUE"""),"METROPOLITANA VII")</f>
      </c>
      <c r="C697" s="9">
        <f>IFERROR(__xludf.DUMMYFUNCTION("""COMPUTED_VALUE"""),"CE NUTA BARTHLET JAMES")</f>
      </c>
      <c r="D697" s="10">
        <f>IFERROR(__xludf.DUMMYFUNCTION("""COMPUTED_VALUE"""),0.724)</f>
      </c>
      <c r="E697" s="11">
        <f>IFERROR(__xludf.DUMMYFUNCTION("""COMPUTED_VALUE"""),183.29)</f>
      </c>
      <c r="F697" s="10">
        <f>IFERROR(__xludf.DUMMYFUNCTION("""COMPUTED_VALUE"""),0.484)</f>
      </c>
      <c r="G697" s="11">
        <f>IFERROR(__xludf.DUMMYFUNCTION("""COMPUTED_VALUE"""),312.34)</f>
      </c>
      <c r="H697" s="10">
        <f>IFERROR(__xludf.DUMMYFUNCTION("""COMPUTED_VALUE"""),0.3763)</f>
      </c>
      <c r="I697" s="11">
        <f>IFERROR(__xludf.DUMMYFUNCTION("""COMPUTED_VALUE"""),432.65)</f>
      </c>
      <c r="J697" s="10">
        <f>IFERROR(__xludf.DUMMYFUNCTION("""COMPUTED_VALUE"""),0.498)</f>
      </c>
      <c r="K697" s="11">
        <f>IFERROR(__xludf.DUMMYFUNCTION("""COMPUTED_VALUE"""),199.93)</f>
      </c>
      <c r="L697" s="10">
        <f>IFERROR(__xludf.DUMMYFUNCTION("""COMPUTED_VALUE"""),0.5052)</f>
      </c>
      <c r="M697" s="11">
        <f>IFERROR(__xludf.DUMMYFUNCTION("""COMPUTED_VALUE"""),352.73)</f>
      </c>
      <c r="N697" s="10">
        <f>IFERROR(__xludf.DUMMYFUNCTION("""COMPUTED_VALUE"""),0.3902)</f>
      </c>
      <c r="O697" s="11">
        <f>IFERROR(__xludf.DUMMYFUNCTION("""COMPUTED_VALUE"""),297.65)</f>
      </c>
      <c r="P697" s="12"/>
      <c r="Q697" s="12"/>
      <c r="R697" s="15"/>
      <c r="S697" s="12"/>
      <c r="T697" s="12"/>
      <c r="U697" s="12"/>
      <c r="V697" s="12"/>
      <c r="W697" s="12"/>
      <c r="X697" s="12"/>
      <c r="Y697" s="12"/>
      <c r="Z697" s="12"/>
    </row>
    <row x14ac:dyDescent="0.25" r="698" customHeight="1" ht="15.75">
      <c r="A698" s="8">
        <f>IFERROR(__xludf.DUMMYFUNCTION("""COMPUTED_VALUE"""),25905.0)</f>
      </c>
      <c r="B698" s="9">
        <f>IFERROR(__xludf.DUMMYFUNCTION("""COMPUTED_VALUE"""),"METROPOLITANA VII")</f>
      </c>
      <c r="C698" s="9">
        <f>IFERROR(__xludf.DUMMYFUNCTION("""COMPUTED_VALUE"""),"CE PARQUE AMORIM")</f>
      </c>
      <c r="D698" s="10">
        <f>IFERROR(__xludf.DUMMYFUNCTION("""COMPUTED_VALUE"""),0.8108)</f>
      </c>
      <c r="E698" s="11">
        <f>IFERROR(__xludf.DUMMYFUNCTION("""COMPUTED_VALUE"""),287.5)</f>
      </c>
      <c r="F698" s="10">
        <f>IFERROR(__xludf.DUMMYFUNCTION("""COMPUTED_VALUE"""),0.6441)</f>
      </c>
      <c r="G698" s="11">
        <f>IFERROR(__xludf.DUMMYFUNCTION("""COMPUTED_VALUE"""),395.24)</f>
      </c>
      <c r="H698" s="10">
        <f>IFERROR(__xludf.DUMMYFUNCTION("""COMPUTED_VALUE"""),0.7748)</f>
      </c>
      <c r="I698" s="11">
        <f>IFERROR(__xludf.DUMMYFUNCTION("""COMPUTED_VALUE"""),432.51)</f>
      </c>
      <c r="J698" s="10">
        <f>IFERROR(__xludf.DUMMYFUNCTION("""COMPUTED_VALUE"""),0.7477)</f>
      </c>
      <c r="K698" s="11">
        <f>IFERROR(__xludf.DUMMYFUNCTION("""COMPUTED_VALUE"""),370.62)</f>
      </c>
      <c r="L698" s="10">
        <f>IFERROR(__xludf.DUMMYFUNCTION("""COMPUTED_VALUE"""),0.7477)</f>
      </c>
      <c r="M698" s="11">
        <f>IFERROR(__xludf.DUMMYFUNCTION("""COMPUTED_VALUE"""),398.55)</f>
      </c>
      <c r="N698" s="10">
        <f>IFERROR(__xludf.DUMMYFUNCTION("""COMPUTED_VALUE"""),0.7568)</f>
      </c>
      <c r="O698" s="11">
        <f>IFERROR(__xludf.DUMMYFUNCTION("""COMPUTED_VALUE"""),422.38)</f>
      </c>
      <c r="P698" s="12"/>
      <c r="Q698" s="12"/>
      <c r="R698" s="15"/>
      <c r="S698" s="12"/>
      <c r="T698" s="12"/>
      <c r="U698" s="12"/>
      <c r="V698" s="12"/>
      <c r="W698" s="12"/>
      <c r="X698" s="12"/>
      <c r="Y698" s="12"/>
      <c r="Z698" s="12"/>
    </row>
    <row x14ac:dyDescent="0.25" r="699" customHeight="1" ht="15.75">
      <c r="A699" s="8">
        <f>IFERROR(__xludf.DUMMYFUNCTION("""COMPUTED_VALUE"""),25906.0)</f>
      </c>
      <c r="B699" s="9">
        <f>IFERROR(__xludf.DUMMYFUNCTION("""COMPUTED_VALUE"""),"METROPOLITANA VII")</f>
      </c>
      <c r="C699" s="9">
        <f>IFERROR(__xludf.DUMMYFUNCTION("""COMPUTED_VALUE"""),"CE PAULINO BARBOSA")</f>
      </c>
      <c r="D699" s="10">
        <f>IFERROR(__xludf.DUMMYFUNCTION("""COMPUTED_VALUE"""),0.7679)</f>
      </c>
      <c r="E699" s="11">
        <f>IFERROR(__xludf.DUMMYFUNCTION("""COMPUTED_VALUE"""),282.02)</f>
      </c>
      <c r="F699" s="10">
        <f>IFERROR(__xludf.DUMMYFUNCTION("""COMPUTED_VALUE"""),0.6473)</f>
      </c>
      <c r="G699" s="11">
        <f>IFERROR(__xludf.DUMMYFUNCTION("""COMPUTED_VALUE"""),395.16)</f>
      </c>
      <c r="H699" s="10">
        <f>IFERROR(__xludf.DUMMYFUNCTION("""COMPUTED_VALUE"""),0.4777)</f>
      </c>
      <c r="I699" s="11">
        <f>IFERROR(__xludf.DUMMYFUNCTION("""COMPUTED_VALUE"""),453.49)</f>
      </c>
      <c r="J699" s="10">
        <f>IFERROR(__xludf.DUMMYFUNCTION("""COMPUTED_VALUE"""),0.6712)</f>
      </c>
      <c r="K699" s="11">
        <f>IFERROR(__xludf.DUMMYFUNCTION("""COMPUTED_VALUE"""),390.7)</f>
      </c>
      <c r="L699" s="10">
        <f>IFERROR(__xludf.DUMMYFUNCTION("""COMPUTED_VALUE"""),0.4296)</f>
      </c>
      <c r="M699" s="11">
        <f>IFERROR(__xludf.DUMMYFUNCTION("""COMPUTED_VALUE"""),407.11)</f>
      </c>
      <c r="N699" s="10">
        <f>IFERROR(__xludf.DUMMYFUNCTION("""COMPUTED_VALUE"""),0.4502)</f>
      </c>
      <c r="O699" s="11">
        <f>IFERROR(__xludf.DUMMYFUNCTION("""COMPUTED_VALUE"""),464.74)</f>
      </c>
      <c r="P699" s="12"/>
      <c r="Q699" s="12"/>
      <c r="R699" s="15"/>
      <c r="S699" s="12"/>
      <c r="T699" s="12"/>
      <c r="U699" s="12"/>
      <c r="V699" s="12"/>
      <c r="W699" s="12"/>
      <c r="X699" s="12"/>
      <c r="Y699" s="12"/>
      <c r="Z699" s="12"/>
    </row>
    <row x14ac:dyDescent="0.25" r="700" customHeight="1" ht="15.75">
      <c r="A700" s="8">
        <f>IFERROR(__xludf.DUMMYFUNCTION("""COMPUTED_VALUE"""),25967.0)</f>
      </c>
      <c r="B700" s="9">
        <f>IFERROR(__xludf.DUMMYFUNCTION("""COMPUTED_VALUE"""),"METROPOLITANA VII")</f>
      </c>
      <c r="C700" s="9">
        <f>IFERROR(__xludf.DUMMYFUNCTION("""COMPUTED_VALUE"""),"CE PEDRO ALVARES CABRAL")</f>
      </c>
      <c r="D700" s="10">
        <f>IFERROR(__xludf.DUMMYFUNCTION("""COMPUTED_VALUE"""),0.6098)</f>
      </c>
      <c r="E700" s="11">
        <f>IFERROR(__xludf.DUMMYFUNCTION("""COMPUTED_VALUE"""),211.55)</f>
      </c>
      <c r="F700" s="10">
        <f>IFERROR(__xludf.DUMMYFUNCTION("""COMPUTED_VALUE"""),0.4904)</f>
      </c>
      <c r="G700" s="11">
        <f>IFERROR(__xludf.DUMMYFUNCTION("""COMPUTED_VALUE"""),422.71)</f>
      </c>
      <c r="H700" s="10">
        <f>IFERROR(__xludf.DUMMYFUNCTION("""COMPUTED_VALUE"""),0.5906)</f>
      </c>
      <c r="I700" s="11">
        <f>IFERROR(__xludf.DUMMYFUNCTION("""COMPUTED_VALUE"""),468.45)</f>
      </c>
      <c r="J700" s="10">
        <f>IFERROR(__xludf.DUMMYFUNCTION("""COMPUTED_VALUE"""),0.533)</f>
      </c>
      <c r="K700" s="11">
        <f>IFERROR(__xludf.DUMMYFUNCTION("""COMPUTED_VALUE"""),312.07)</f>
      </c>
      <c r="L700" s="10">
        <f>IFERROR(__xludf.DUMMYFUNCTION("""COMPUTED_VALUE"""),0.6077)</f>
      </c>
      <c r="M700" s="11">
        <f>IFERROR(__xludf.DUMMYFUNCTION("""COMPUTED_VALUE"""),481.41)</f>
      </c>
      <c r="N700" s="10">
        <f>IFERROR(__xludf.DUMMYFUNCTION("""COMPUTED_VALUE"""),0.5949)</f>
      </c>
      <c r="O700" s="11">
        <f>IFERROR(__xludf.DUMMYFUNCTION("""COMPUTED_VALUE"""),509.06)</f>
      </c>
      <c r="P700" s="12"/>
      <c r="Q700" s="12"/>
      <c r="R700" s="15"/>
      <c r="S700" s="12"/>
      <c r="T700" s="12"/>
      <c r="U700" s="12"/>
      <c r="V700" s="12"/>
      <c r="W700" s="12"/>
      <c r="X700" s="12"/>
      <c r="Y700" s="12"/>
      <c r="Z700" s="12"/>
    </row>
    <row x14ac:dyDescent="0.25" r="701" customHeight="1" ht="15.75">
      <c r="A701" s="8">
        <f>IFERROR(__xludf.DUMMYFUNCTION("""COMPUTED_VALUE"""),25936.0)</f>
      </c>
      <c r="B701" s="9">
        <f>IFERROR(__xludf.DUMMYFUNCTION("""COMPUTED_VALUE"""),"METROPOLITANA VII")</f>
      </c>
      <c r="C701" s="9">
        <f>IFERROR(__xludf.DUMMYFUNCTION("""COMPUTED_VALUE"""),"CE PIERRE PLANCHER")</f>
      </c>
      <c r="D701" s="10">
        <f>IFERROR(__xludf.DUMMYFUNCTION("""COMPUTED_VALUE"""),0.7062)</f>
      </c>
      <c r="E701" s="11">
        <f>IFERROR(__xludf.DUMMYFUNCTION("""COMPUTED_VALUE"""),228.72)</f>
      </c>
      <c r="F701" s="10">
        <f>IFERROR(__xludf.DUMMYFUNCTION("""COMPUTED_VALUE"""),0.5104)</f>
      </c>
      <c r="G701" s="11">
        <f>IFERROR(__xludf.DUMMYFUNCTION("""COMPUTED_VALUE"""),338.35)</f>
      </c>
      <c r="H701" s="10">
        <f>IFERROR(__xludf.DUMMYFUNCTION("""COMPUTED_VALUE"""),0.5045)</f>
      </c>
      <c r="I701" s="11">
        <f>IFERROR(__xludf.DUMMYFUNCTION("""COMPUTED_VALUE"""),378.31)</f>
      </c>
      <c r="J701" s="10">
        <f>IFERROR(__xludf.DUMMYFUNCTION("""COMPUTED_VALUE"""),0.6469)</f>
      </c>
      <c r="K701" s="11">
        <f>IFERROR(__xludf.DUMMYFUNCTION("""COMPUTED_VALUE"""),220.78)</f>
      </c>
      <c r="L701" s="10">
        <f>IFERROR(__xludf.DUMMYFUNCTION("""COMPUTED_VALUE"""),0.7745)</f>
      </c>
      <c r="M701" s="11">
        <f>IFERROR(__xludf.DUMMYFUNCTION("""COMPUTED_VALUE"""),428.28)</f>
      </c>
      <c r="N701" s="10">
        <f>IFERROR(__xludf.DUMMYFUNCTION("""COMPUTED_VALUE"""),0.7329)</f>
      </c>
      <c r="O701" s="11">
        <f>IFERROR(__xludf.DUMMYFUNCTION("""COMPUTED_VALUE"""),415.02)</f>
      </c>
      <c r="P701" s="12"/>
      <c r="Q701" s="12"/>
      <c r="R701" s="15"/>
      <c r="S701" s="12"/>
      <c r="T701" s="12"/>
      <c r="U701" s="12"/>
      <c r="V701" s="12"/>
      <c r="W701" s="12"/>
      <c r="X701" s="12"/>
      <c r="Y701" s="12"/>
      <c r="Z701" s="12"/>
    </row>
    <row x14ac:dyDescent="0.25" r="702" customHeight="1" ht="15.75">
      <c r="A702" s="8">
        <f>IFERROR(__xludf.DUMMYFUNCTION("""COMPUTED_VALUE"""),25937.0)</f>
      </c>
      <c r="B702" s="9">
        <f>IFERROR(__xludf.DUMMYFUNCTION("""COMPUTED_VALUE"""),"METROPOLITANA VII")</f>
      </c>
      <c r="C702" s="9">
        <f>IFERROR(__xludf.DUMMYFUNCTION("""COMPUTED_VALUE"""),"CE POETA MARIO QUINTANA")</f>
      </c>
      <c r="D702" s="10">
        <f>IFERROR(__xludf.DUMMYFUNCTION("""COMPUTED_VALUE"""),0.7037)</f>
      </c>
      <c r="E702" s="11">
        <f>IFERROR(__xludf.DUMMYFUNCTION("""COMPUTED_VALUE"""),202.35)</f>
      </c>
      <c r="F702" s="10">
        <f>IFERROR(__xludf.DUMMYFUNCTION("""COMPUTED_VALUE"""),0.5556)</f>
      </c>
      <c r="G702" s="11">
        <f>IFERROR(__xludf.DUMMYFUNCTION("""COMPUTED_VALUE"""),386.67)</f>
      </c>
      <c r="H702" s="10">
        <f>IFERROR(__xludf.DUMMYFUNCTION("""COMPUTED_VALUE"""),0.6667)</f>
      </c>
      <c r="I702" s="11">
        <f>IFERROR(__xludf.DUMMYFUNCTION("""COMPUTED_VALUE"""),402.22)</f>
      </c>
      <c r="J702" s="10">
        <f>IFERROR(__xludf.DUMMYFUNCTION("""COMPUTED_VALUE"""),0.5556)</f>
      </c>
      <c r="K702" s="11">
        <f>IFERROR(__xludf.DUMMYFUNCTION("""COMPUTED_VALUE"""),493.33)</f>
      </c>
      <c r="L702" s="10">
        <f>IFERROR(__xludf.DUMMYFUNCTION("""COMPUTED_VALUE"""),0.7407)</f>
      </c>
      <c r="M702" s="11">
        <f>IFERROR(__xludf.DUMMYFUNCTION("""COMPUTED_VALUE"""),402.0)</f>
      </c>
      <c r="N702" s="10">
        <f>IFERROR(__xludf.DUMMYFUNCTION("""COMPUTED_VALUE"""),0.5556)</f>
      </c>
      <c r="O702" s="11">
        <f>IFERROR(__xludf.DUMMYFUNCTION("""COMPUTED_VALUE"""),480.0)</f>
      </c>
      <c r="P702" s="12"/>
      <c r="Q702" s="12"/>
      <c r="R702" s="15"/>
      <c r="S702" s="12"/>
      <c r="T702" s="12"/>
      <c r="U702" s="12"/>
      <c r="V702" s="12"/>
      <c r="W702" s="12"/>
      <c r="X702" s="12"/>
      <c r="Y702" s="12"/>
      <c r="Z702" s="12"/>
    </row>
    <row x14ac:dyDescent="0.25" r="703" customHeight="1" ht="15.75">
      <c r="A703" s="8">
        <f>IFERROR(__xludf.DUMMYFUNCTION("""COMPUTED_VALUE"""),25938.0)</f>
      </c>
      <c r="B703" s="9">
        <f>IFERROR(__xludf.DUMMYFUNCTION("""COMPUTED_VALUE"""),"METROPOLITANA VII")</f>
      </c>
      <c r="C703" s="9">
        <f>IFERROR(__xludf.DUMMYFUNCTION("""COMPUTED_VALUE"""),"CE PRESIDENTE CASTELO BRANCO")</f>
      </c>
      <c r="D703" s="10">
        <f>IFERROR(__xludf.DUMMYFUNCTION("""COMPUTED_VALUE"""),0.5265)</f>
      </c>
      <c r="E703" s="11">
        <f>IFERROR(__xludf.DUMMYFUNCTION("""COMPUTED_VALUE"""),330.28)</f>
      </c>
      <c r="F703" s="10">
        <f>IFERROR(__xludf.DUMMYFUNCTION("""COMPUTED_VALUE"""),0.4941)</f>
      </c>
      <c r="G703" s="11">
        <f>IFERROR(__xludf.DUMMYFUNCTION("""COMPUTED_VALUE"""),384.19)</f>
      </c>
      <c r="H703" s="10">
        <f>IFERROR(__xludf.DUMMYFUNCTION("""COMPUTED_VALUE"""),0.4765)</f>
      </c>
      <c r="I703" s="11">
        <f>IFERROR(__xludf.DUMMYFUNCTION("""COMPUTED_VALUE"""),423.85)</f>
      </c>
      <c r="J703" s="10">
        <f>IFERROR(__xludf.DUMMYFUNCTION("""COMPUTED_VALUE"""),0.5029)</f>
      </c>
      <c r="K703" s="11">
        <f>IFERROR(__xludf.DUMMYFUNCTION("""COMPUTED_VALUE"""),394.17)</f>
      </c>
      <c r="L703" s="10">
        <f>IFERROR(__xludf.DUMMYFUNCTION("""COMPUTED_VALUE"""),0.3971)</f>
      </c>
      <c r="M703" s="11">
        <f>IFERROR(__xludf.DUMMYFUNCTION("""COMPUTED_VALUE"""),416.59)</f>
      </c>
      <c r="N703" s="10">
        <f>IFERROR(__xludf.DUMMYFUNCTION("""COMPUTED_VALUE"""),0.4706)</f>
      </c>
      <c r="O703" s="11">
        <f>IFERROR(__xludf.DUMMYFUNCTION("""COMPUTED_VALUE"""),427.75)</f>
      </c>
      <c r="P703" s="12"/>
      <c r="Q703" s="12"/>
      <c r="R703" s="15"/>
      <c r="S703" s="12"/>
      <c r="T703" s="12"/>
      <c r="U703" s="12"/>
      <c r="V703" s="12"/>
      <c r="W703" s="12"/>
      <c r="X703" s="12"/>
      <c r="Y703" s="12"/>
      <c r="Z703" s="12"/>
    </row>
    <row x14ac:dyDescent="0.25" r="704" customHeight="1" ht="15.75">
      <c r="A704" s="8">
        <f>IFERROR(__xludf.DUMMYFUNCTION("""COMPUTED_VALUE"""),25907.0)</f>
      </c>
      <c r="B704" s="9">
        <f>IFERROR(__xludf.DUMMYFUNCTION("""COMPUTED_VALUE"""),"METROPOLITANA VII")</f>
      </c>
      <c r="C704" s="9">
        <f>IFERROR(__xludf.DUMMYFUNCTION("""COMPUTED_VALUE"""),"CE PRESIDENTE JOAO GOULART")</f>
      </c>
      <c r="D704" s="10">
        <f>IFERROR(__xludf.DUMMYFUNCTION("""COMPUTED_VALUE"""),0.792)</f>
      </c>
      <c r="E704" s="11">
        <f>IFERROR(__xludf.DUMMYFUNCTION("""COMPUTED_VALUE"""),177.55)</f>
      </c>
      <c r="F704" s="10">
        <f>IFERROR(__xludf.DUMMYFUNCTION("""COMPUTED_VALUE"""),0.584)</f>
      </c>
      <c r="G704" s="11">
        <f>IFERROR(__xludf.DUMMYFUNCTION("""COMPUTED_VALUE"""),403.84)</f>
      </c>
      <c r="H704" s="10">
        <f>IFERROR(__xludf.DUMMYFUNCTION("""COMPUTED_VALUE"""),0.576)</f>
      </c>
      <c r="I704" s="11">
        <f>IFERROR(__xludf.DUMMYFUNCTION("""COMPUTED_VALUE"""),422.78)</f>
      </c>
      <c r="J704" s="10">
        <f>IFERROR(__xludf.DUMMYFUNCTION("""COMPUTED_VALUE"""),0.608)</f>
      </c>
      <c r="K704" s="11">
        <f>IFERROR(__xludf.DUMMYFUNCTION("""COMPUTED_VALUE"""),207.03)</f>
      </c>
      <c r="L704" s="10">
        <f>IFERROR(__xludf.DUMMYFUNCTION("""COMPUTED_VALUE"""),0.44)</f>
      </c>
      <c r="M704" s="11">
        <f>IFERROR(__xludf.DUMMYFUNCTION("""COMPUTED_VALUE"""),314.91)</f>
      </c>
      <c r="N704" s="10">
        <f>IFERROR(__xludf.DUMMYFUNCTION("""COMPUTED_VALUE"""),0.688)</f>
      </c>
      <c r="O704" s="11">
        <f>IFERROR(__xludf.DUMMYFUNCTION("""COMPUTED_VALUE"""),453.02)</f>
      </c>
      <c r="P704" s="12"/>
      <c r="Q704" s="12"/>
      <c r="R704" s="15"/>
      <c r="S704" s="12"/>
      <c r="T704" s="12"/>
      <c r="U704" s="12"/>
      <c r="V704" s="12"/>
      <c r="W704" s="12"/>
      <c r="X704" s="12"/>
      <c r="Y704" s="12"/>
      <c r="Z704" s="12"/>
    </row>
    <row x14ac:dyDescent="0.25" r="705" customHeight="1" ht="15.75">
      <c r="A705" s="8">
        <f>IFERROR(__xludf.DUMMYFUNCTION("""COMPUTED_VALUE"""),25908.0)</f>
      </c>
      <c r="B705" s="9">
        <f>IFERROR(__xludf.DUMMYFUNCTION("""COMPUTED_VALUE"""),"METROPOLITANA VII")</f>
      </c>
      <c r="C705" s="9">
        <f>IFERROR(__xludf.DUMMYFUNCTION("""COMPUTED_VALUE"""),"CE PRESIDENTE KENNEDY")</f>
      </c>
      <c r="D705" s="10">
        <f>IFERROR(__xludf.DUMMYFUNCTION("""COMPUTED_VALUE"""),0.6955)</f>
      </c>
      <c r="E705" s="11">
        <f>IFERROR(__xludf.DUMMYFUNCTION("""COMPUTED_VALUE"""),352.21)</f>
      </c>
      <c r="F705" s="10">
        <f>IFERROR(__xludf.DUMMYFUNCTION("""COMPUTED_VALUE"""),0.597)</f>
      </c>
      <c r="G705" s="11">
        <f>IFERROR(__xludf.DUMMYFUNCTION("""COMPUTED_VALUE"""),421.01)</f>
      </c>
      <c r="H705" s="10">
        <f>IFERROR(__xludf.DUMMYFUNCTION("""COMPUTED_VALUE"""),0.5761)</f>
      </c>
      <c r="I705" s="11">
        <f>IFERROR(__xludf.DUMMYFUNCTION("""COMPUTED_VALUE"""),499.37)</f>
      </c>
      <c r="J705" s="10">
        <f>IFERROR(__xludf.DUMMYFUNCTION("""COMPUTED_VALUE"""),0.6507)</f>
      </c>
      <c r="K705" s="11">
        <f>IFERROR(__xludf.DUMMYFUNCTION("""COMPUTED_VALUE"""),369.35)</f>
      </c>
      <c r="L705" s="10">
        <f>IFERROR(__xludf.DUMMYFUNCTION("""COMPUTED_VALUE"""),0.6239)</f>
      </c>
      <c r="M705" s="11">
        <f>IFERROR(__xludf.DUMMYFUNCTION("""COMPUTED_VALUE"""),456.35)</f>
      </c>
      <c r="N705" s="10">
        <f>IFERROR(__xludf.DUMMYFUNCTION("""COMPUTED_VALUE"""),0.597)</f>
      </c>
      <c r="O705" s="11">
        <f>IFERROR(__xludf.DUMMYFUNCTION("""COMPUTED_VALUE"""),461.43)</f>
      </c>
      <c r="P705" s="12"/>
      <c r="Q705" s="12"/>
      <c r="R705" s="15"/>
      <c r="S705" s="12"/>
      <c r="T705" s="12"/>
      <c r="U705" s="12"/>
      <c r="V705" s="12"/>
      <c r="W705" s="12"/>
      <c r="X705" s="12"/>
      <c r="Y705" s="12"/>
      <c r="Z705" s="12"/>
    </row>
    <row x14ac:dyDescent="0.25" r="706" customHeight="1" ht="15.75">
      <c r="A706" s="8">
        <f>IFERROR(__xludf.DUMMYFUNCTION("""COMPUTED_VALUE"""),25909.0)</f>
      </c>
      <c r="B706" s="9">
        <f>IFERROR(__xludf.DUMMYFUNCTION("""COMPUTED_VALUE"""),"METROPOLITANA VII")</f>
      </c>
      <c r="C706" s="9">
        <f>IFERROR(__xludf.DUMMYFUNCTION("""COMPUTED_VALUE"""),"CE PROFESSOR ANDRE CAVALCANTE DE CARVALHO")</f>
      </c>
      <c r="D706" s="10">
        <f>IFERROR(__xludf.DUMMYFUNCTION("""COMPUTED_VALUE"""),0.7867)</f>
      </c>
      <c r="E706" s="11">
        <f>IFERROR(__xludf.DUMMYFUNCTION("""COMPUTED_VALUE"""),475.88)</f>
      </c>
      <c r="F706" s="10">
        <f>IFERROR(__xludf.DUMMYFUNCTION("""COMPUTED_VALUE"""),0.8427)</f>
      </c>
      <c r="G706" s="11">
        <f>IFERROR(__xludf.DUMMYFUNCTION("""COMPUTED_VALUE"""),468.37)</f>
      </c>
      <c r="H706" s="10">
        <f>IFERROR(__xludf.DUMMYFUNCTION("""COMPUTED_VALUE"""),0.816)</f>
      </c>
      <c r="I706" s="11">
        <f>IFERROR(__xludf.DUMMYFUNCTION("""COMPUTED_VALUE"""),508.03)</f>
      </c>
      <c r="J706" s="10">
        <f>IFERROR(__xludf.DUMMYFUNCTION("""COMPUTED_VALUE"""),0.6373)</f>
      </c>
      <c r="K706" s="11">
        <f>IFERROR(__xludf.DUMMYFUNCTION("""COMPUTED_VALUE"""),460.42)</f>
      </c>
      <c r="L706" s="10">
        <f>IFERROR(__xludf.DUMMYFUNCTION("""COMPUTED_VALUE"""),0.72)</f>
      </c>
      <c r="M706" s="11">
        <f>IFERROR(__xludf.DUMMYFUNCTION("""COMPUTED_VALUE"""),527.49)</f>
      </c>
      <c r="N706" s="10">
        <f>IFERROR(__xludf.DUMMYFUNCTION("""COMPUTED_VALUE"""),0.8187)</f>
      </c>
      <c r="O706" s="11">
        <f>IFERROR(__xludf.DUMMYFUNCTION("""COMPUTED_VALUE"""),504.74)</f>
      </c>
      <c r="P706" s="12"/>
      <c r="Q706" s="12"/>
      <c r="R706" s="15"/>
      <c r="S706" s="12"/>
      <c r="T706" s="12"/>
      <c r="U706" s="12"/>
      <c r="V706" s="12"/>
      <c r="W706" s="12"/>
      <c r="X706" s="12"/>
      <c r="Y706" s="12"/>
      <c r="Z706" s="12"/>
    </row>
    <row x14ac:dyDescent="0.25" r="707" customHeight="1" ht="15.75">
      <c r="A707" s="8">
        <f>IFERROR(__xludf.DUMMYFUNCTION("""COMPUTED_VALUE"""),25951.0)</f>
      </c>
      <c r="B707" s="9">
        <f>IFERROR(__xludf.DUMMYFUNCTION("""COMPUTED_VALUE"""),"METROPOLITANA VII")</f>
      </c>
      <c r="C707" s="9">
        <f>IFERROR(__xludf.DUMMYFUNCTION("""COMPUTED_VALUE"""),"CE PROFESSOR MÁRIO CAMPOS")</f>
      </c>
      <c r="D707" s="10">
        <f>IFERROR(__xludf.DUMMYFUNCTION("""COMPUTED_VALUE"""),0.7778)</f>
      </c>
      <c r="E707" s="11">
        <f>IFERROR(__xludf.DUMMYFUNCTION("""COMPUTED_VALUE"""),59.49)</f>
      </c>
      <c r="F707" s="10">
        <f>IFERROR(__xludf.DUMMYFUNCTION("""COMPUTED_VALUE"""),0.5903)</f>
      </c>
      <c r="G707" s="11">
        <f>IFERROR(__xludf.DUMMYFUNCTION("""COMPUTED_VALUE"""),"----")</f>
      </c>
      <c r="H707" s="10">
        <f>IFERROR(__xludf.DUMMYFUNCTION("""COMPUTED_VALUE"""),0.4583)</f>
      </c>
      <c r="I707" s="11">
        <f>IFERROR(__xludf.DUMMYFUNCTION("""COMPUTED_VALUE"""),335.94)</f>
      </c>
      <c r="J707" s="10">
        <f>IFERROR(__xludf.DUMMYFUNCTION("""COMPUTED_VALUE"""),0.4767)</f>
      </c>
      <c r="K707" s="11">
        <f>IFERROR(__xludf.DUMMYFUNCTION("""COMPUTED_VALUE"""),"----")</f>
      </c>
      <c r="L707" s="10">
        <f>IFERROR(__xludf.DUMMYFUNCTION("""COMPUTED_VALUE"""),0.4479)</f>
      </c>
      <c r="M707" s="11">
        <f>IFERROR(__xludf.DUMMYFUNCTION("""COMPUTED_VALUE"""),313.78)</f>
      </c>
      <c r="N707" s="10">
        <f>IFERROR(__xludf.DUMMYFUNCTION("""COMPUTED_VALUE"""),0.3854)</f>
      </c>
      <c r="O707" s="11">
        <f>IFERROR(__xludf.DUMMYFUNCTION("""COMPUTED_VALUE"""),"----")</f>
      </c>
      <c r="P707" s="12"/>
      <c r="Q707" s="12"/>
      <c r="R707" s="15"/>
      <c r="S707" s="12"/>
      <c r="T707" s="12"/>
      <c r="U707" s="12"/>
      <c r="V707" s="12"/>
      <c r="W707" s="12"/>
      <c r="X707" s="12"/>
      <c r="Y707" s="12"/>
      <c r="Z707" s="12"/>
    </row>
    <row x14ac:dyDescent="0.25" r="708" customHeight="1" ht="15.75">
      <c r="A708" s="8">
        <f>IFERROR(__xludf.DUMMYFUNCTION("""COMPUTED_VALUE"""),25968.0)</f>
      </c>
      <c r="B708" s="9">
        <f>IFERROR(__xludf.DUMMYFUNCTION("""COMPUTED_VALUE"""),"METROPOLITANA VII")</f>
      </c>
      <c r="C708" s="9">
        <f>IFERROR(__xludf.DUMMYFUNCTION("""COMPUTED_VALUE"""),"CE PROFESSOR MURILO BRAGA")</f>
      </c>
      <c r="D708" s="10">
        <f>IFERROR(__xludf.DUMMYFUNCTION("""COMPUTED_VALUE"""),0.6774)</f>
      </c>
      <c r="E708" s="11">
        <f>IFERROR(__xludf.DUMMYFUNCTION("""COMPUTED_VALUE"""),244.12)</f>
      </c>
      <c r="F708" s="10">
        <f>IFERROR(__xludf.DUMMYFUNCTION("""COMPUTED_VALUE"""),0.5136)</f>
      </c>
      <c r="G708" s="11">
        <f>IFERROR(__xludf.DUMMYFUNCTION("""COMPUTED_VALUE"""),396.44)</f>
      </c>
      <c r="H708" s="10">
        <f>IFERROR(__xludf.DUMMYFUNCTION("""COMPUTED_VALUE"""),0.536)</f>
      </c>
      <c r="I708" s="11">
        <f>IFERROR(__xludf.DUMMYFUNCTION("""COMPUTED_VALUE"""),394.64)</f>
      </c>
      <c r="J708" s="10">
        <f>IFERROR(__xludf.DUMMYFUNCTION("""COMPUTED_VALUE"""),0.5352)</f>
      </c>
      <c r="K708" s="11">
        <f>IFERROR(__xludf.DUMMYFUNCTION("""COMPUTED_VALUE"""),254.32)</f>
      </c>
      <c r="L708" s="10">
        <f>IFERROR(__xludf.DUMMYFUNCTION("""COMPUTED_VALUE"""),0.4535)</f>
      </c>
      <c r="M708" s="11">
        <f>IFERROR(__xludf.DUMMYFUNCTION("""COMPUTED_VALUE"""),348.89)</f>
      </c>
      <c r="N708" s="10">
        <f>IFERROR(__xludf.DUMMYFUNCTION("""COMPUTED_VALUE"""),0.4365)</f>
      </c>
      <c r="O708" s="11">
        <f>IFERROR(__xludf.DUMMYFUNCTION("""COMPUTED_VALUE"""),346.08)</f>
      </c>
      <c r="P708" s="12"/>
      <c r="Q708" s="12"/>
      <c r="R708" s="15"/>
      <c r="S708" s="12"/>
      <c r="T708" s="12"/>
      <c r="U708" s="12"/>
      <c r="V708" s="12"/>
      <c r="W708" s="12"/>
      <c r="X708" s="12"/>
      <c r="Y708" s="12"/>
      <c r="Z708" s="12"/>
    </row>
    <row x14ac:dyDescent="0.25" r="709" customHeight="1" ht="15.75">
      <c r="A709" s="8">
        <f>IFERROR(__xludf.DUMMYFUNCTION("""COMPUTED_VALUE"""),25952.0)</f>
      </c>
      <c r="B709" s="9">
        <f>IFERROR(__xludf.DUMMYFUNCTION("""COMPUTED_VALUE"""),"METROPOLITANA VII")</f>
      </c>
      <c r="C709" s="9">
        <f>IFERROR(__xludf.DUMMYFUNCTION("""COMPUTED_VALUE"""),"CE PROFESSOR UBIRATAN REIS BARBOSA")</f>
      </c>
      <c r="D709" s="10">
        <f>IFERROR(__xludf.DUMMYFUNCTION("""COMPUTED_VALUE"""),0.9224)</f>
      </c>
      <c r="E709" s="11">
        <f>IFERROR(__xludf.DUMMYFUNCTION("""COMPUTED_VALUE"""),137.26)</f>
      </c>
      <c r="F709" s="10">
        <f>IFERROR(__xludf.DUMMYFUNCTION("""COMPUTED_VALUE"""),0.6207)</f>
      </c>
      <c r="G709" s="11">
        <f>IFERROR(__xludf.DUMMYFUNCTION("""COMPUTED_VALUE"""),394.44)</f>
      </c>
      <c r="H709" s="10">
        <f>IFERROR(__xludf.DUMMYFUNCTION("""COMPUTED_VALUE"""),0.4138)</f>
      </c>
      <c r="I709" s="11">
        <f>IFERROR(__xludf.DUMMYFUNCTION("""COMPUTED_VALUE"""),376.0)</f>
      </c>
      <c r="J709" s="10">
        <f>IFERROR(__xludf.DUMMYFUNCTION("""COMPUTED_VALUE"""),0.5276)</f>
      </c>
      <c r="K709" s="11">
        <f>IFERROR(__xludf.DUMMYFUNCTION("""COMPUTED_VALUE"""),221.69)</f>
      </c>
      <c r="L709" s="10">
        <f>IFERROR(__xludf.DUMMYFUNCTION("""COMPUTED_VALUE"""),0.5517)</f>
      </c>
      <c r="M709" s="11">
        <f>IFERROR(__xludf.DUMMYFUNCTION("""COMPUTED_VALUE"""),391.58)</f>
      </c>
      <c r="N709" s="10">
        <f>IFERROR(__xludf.DUMMYFUNCTION("""COMPUTED_VALUE"""),0.531)</f>
      </c>
      <c r="O709" s="11">
        <f>IFERROR(__xludf.DUMMYFUNCTION("""COMPUTED_VALUE"""),366.6)</f>
      </c>
      <c r="P709" s="12"/>
      <c r="Q709" s="12"/>
      <c r="R709" s="15"/>
      <c r="S709" s="12"/>
      <c r="T709" s="12"/>
      <c r="U709" s="12"/>
      <c r="V709" s="12"/>
      <c r="W709" s="12"/>
      <c r="X709" s="12"/>
      <c r="Y709" s="12"/>
      <c r="Z709" s="12"/>
    </row>
    <row x14ac:dyDescent="0.25" r="710" customHeight="1" ht="15.75">
      <c r="A710" s="8">
        <f>IFERROR(__xludf.DUMMYFUNCTION("""COMPUTED_VALUE"""),25969.0)</f>
      </c>
      <c r="B710" s="9">
        <f>IFERROR(__xludf.DUMMYFUNCTION("""COMPUTED_VALUE"""),"METROPOLITANA VII")</f>
      </c>
      <c r="C710" s="9">
        <f>IFERROR(__xludf.DUMMYFUNCTION("""COMPUTED_VALUE"""),"CE PROFESSORA ALZIRA DOS SANTOS DA SILVA")</f>
      </c>
      <c r="D710" s="10">
        <f>IFERROR(__xludf.DUMMYFUNCTION("""COMPUTED_VALUE"""),0.6715)</f>
      </c>
      <c r="E710" s="11">
        <f>IFERROR(__xludf.DUMMYFUNCTION("""COMPUTED_VALUE"""),231.11)</f>
      </c>
      <c r="F710" s="10">
        <f>IFERROR(__xludf.DUMMYFUNCTION("""COMPUTED_VALUE"""),0.4599)</f>
      </c>
      <c r="G710" s="11">
        <f>IFERROR(__xludf.DUMMYFUNCTION("""COMPUTED_VALUE"""),378.06)</f>
      </c>
      <c r="H710" s="10">
        <f>IFERROR(__xludf.DUMMYFUNCTION("""COMPUTED_VALUE"""),0.6346)</f>
      </c>
      <c r="I710" s="11">
        <f>IFERROR(__xludf.DUMMYFUNCTION("""COMPUTED_VALUE"""),448.08)</f>
      </c>
      <c r="J710" s="10">
        <f>IFERROR(__xludf.DUMMYFUNCTION("""COMPUTED_VALUE"""),0.7051)</f>
      </c>
      <c r="K710" s="11">
        <f>IFERROR(__xludf.DUMMYFUNCTION("""COMPUTED_VALUE"""),346.23)</f>
      </c>
      <c r="L710" s="10">
        <f>IFERROR(__xludf.DUMMYFUNCTION("""COMPUTED_VALUE"""),0.5)</f>
      </c>
      <c r="M710" s="11">
        <f>IFERROR(__xludf.DUMMYFUNCTION("""COMPUTED_VALUE"""),440.0)</f>
      </c>
      <c r="N710" s="10">
        <f>IFERROR(__xludf.DUMMYFUNCTION("""COMPUTED_VALUE"""),0.4744)</f>
      </c>
      <c r="O710" s="11">
        <f>IFERROR(__xludf.DUMMYFUNCTION("""COMPUTED_VALUE"""),410.41)</f>
      </c>
      <c r="P710" s="12"/>
      <c r="Q710" s="12"/>
      <c r="R710" s="15"/>
      <c r="S710" s="12"/>
      <c r="T710" s="12"/>
      <c r="U710" s="12"/>
      <c r="V710" s="12"/>
      <c r="W710" s="12"/>
      <c r="X710" s="12"/>
      <c r="Y710" s="12"/>
      <c r="Z710" s="12"/>
    </row>
    <row x14ac:dyDescent="0.25" r="711" customHeight="1" ht="15.75">
      <c r="A711" s="8">
        <f>IFERROR(__xludf.DUMMYFUNCTION("""COMPUTED_VALUE"""),25970.0)</f>
      </c>
      <c r="B711" s="9">
        <f>IFERROR(__xludf.DUMMYFUNCTION("""COMPUTED_VALUE"""),"METROPOLITANA VII")</f>
      </c>
      <c r="C711" s="9">
        <f>IFERROR(__xludf.DUMMYFUNCTION("""COMPUTED_VALUE"""),"CE PROFESSORA FRANCISCA JEREMIAS DA SILVEIRA MENEZES")</f>
      </c>
      <c r="D711" s="10">
        <f>IFERROR(__xludf.DUMMYFUNCTION("""COMPUTED_VALUE"""),0.8239)</f>
      </c>
      <c r="E711" s="11">
        <f>IFERROR(__xludf.DUMMYFUNCTION("""COMPUTED_VALUE"""),165.38)</f>
      </c>
      <c r="F711" s="10">
        <f>IFERROR(__xludf.DUMMYFUNCTION("""COMPUTED_VALUE"""),0.6038)</f>
      </c>
      <c r="G711" s="11">
        <f>IFERROR(__xludf.DUMMYFUNCTION("""COMPUTED_VALUE"""),354.55)</f>
      </c>
      <c r="H711" s="10">
        <f>IFERROR(__xludf.DUMMYFUNCTION("""COMPUTED_VALUE"""),0.7579)</f>
      </c>
      <c r="I711" s="11">
        <f>IFERROR(__xludf.DUMMYFUNCTION("""COMPUTED_VALUE"""),371.21)</f>
      </c>
      <c r="J711" s="10">
        <f>IFERROR(__xludf.DUMMYFUNCTION("""COMPUTED_VALUE"""),0.6635)</f>
      </c>
      <c r="K711" s="11">
        <f>IFERROR(__xludf.DUMMYFUNCTION("""COMPUTED_VALUE"""),262.67)</f>
      </c>
      <c r="L711" s="10">
        <f>IFERROR(__xludf.DUMMYFUNCTION("""COMPUTED_VALUE"""),0.7075)</f>
      </c>
      <c r="M711" s="11">
        <f>IFERROR(__xludf.DUMMYFUNCTION("""COMPUTED_VALUE"""),328.14)</f>
      </c>
      <c r="N711" s="10">
        <f>IFERROR(__xludf.DUMMYFUNCTION("""COMPUTED_VALUE"""),0.6604)</f>
      </c>
      <c r="O711" s="11">
        <f>IFERROR(__xludf.DUMMYFUNCTION("""COMPUTED_VALUE"""),370.98)</f>
      </c>
      <c r="P711" s="12"/>
      <c r="Q711" s="12"/>
      <c r="R711" s="15"/>
      <c r="S711" s="12"/>
      <c r="T711" s="12"/>
      <c r="U711" s="12"/>
      <c r="V711" s="12"/>
      <c r="W711" s="12"/>
      <c r="X711" s="12"/>
      <c r="Y711" s="12"/>
      <c r="Z711" s="12"/>
    </row>
    <row x14ac:dyDescent="0.25" r="712" customHeight="1" ht="15.75">
      <c r="A712" s="8">
        <f>IFERROR(__xludf.DUMMYFUNCTION("""COMPUTED_VALUE"""),25971.0)</f>
      </c>
      <c r="B712" s="9">
        <f>IFERROR(__xludf.DUMMYFUNCTION("""COMPUTED_VALUE"""),"METROPOLITANA VII")</f>
      </c>
      <c r="C712" s="9">
        <f>IFERROR(__xludf.DUMMYFUNCTION("""COMPUTED_VALUE"""),"CE PROFESSORA REGINA CELIA DOS REIS OLIVEIRA")</f>
      </c>
      <c r="D712" s="10">
        <f>IFERROR(__xludf.DUMMYFUNCTION("""COMPUTED_VALUE"""),0.9268)</f>
      </c>
      <c r="E712" s="11">
        <f>IFERROR(__xludf.DUMMYFUNCTION("""COMPUTED_VALUE"""),169.2)</f>
      </c>
      <c r="F712" s="10">
        <f>IFERROR(__xludf.DUMMYFUNCTION("""COMPUTED_VALUE"""),0.7073)</f>
      </c>
      <c r="G712" s="11">
        <f>IFERROR(__xludf.DUMMYFUNCTION("""COMPUTED_VALUE"""),360.48)</f>
      </c>
      <c r="H712" s="10">
        <f>IFERROR(__xludf.DUMMYFUNCTION("""COMPUTED_VALUE"""),0.9756)</f>
      </c>
      <c r="I712" s="11">
        <f>IFERROR(__xludf.DUMMYFUNCTION("""COMPUTED_VALUE"""),169.15)</f>
      </c>
      <c r="J712" s="10">
        <f>IFERROR(__xludf.DUMMYFUNCTION("""COMPUTED_VALUE"""),0.5935)</f>
      </c>
      <c r="K712" s="11">
        <f>IFERROR(__xludf.DUMMYFUNCTION("""COMPUTED_VALUE"""),298.24)</f>
      </c>
      <c r="L712" s="10">
        <f>IFERROR(__xludf.DUMMYFUNCTION("""COMPUTED_VALUE"""),0.6667)</f>
      </c>
      <c r="M712" s="11">
        <f>IFERROR(__xludf.DUMMYFUNCTION("""COMPUTED_VALUE"""),431.6)</f>
      </c>
      <c r="N712" s="10">
        <f>IFERROR(__xludf.DUMMYFUNCTION("""COMPUTED_VALUE"""),0.6911)</f>
      </c>
      <c r="O712" s="11">
        <f>IFERROR(__xludf.DUMMYFUNCTION("""COMPUTED_VALUE"""),452.38)</f>
      </c>
      <c r="P712" s="12"/>
      <c r="Q712" s="12"/>
      <c r="R712" s="15"/>
      <c r="S712" s="12"/>
      <c r="T712" s="12"/>
      <c r="U712" s="12"/>
      <c r="V712" s="12"/>
      <c r="W712" s="12"/>
      <c r="X712" s="12"/>
      <c r="Y712" s="12"/>
      <c r="Z712" s="12"/>
    </row>
    <row x14ac:dyDescent="0.25" r="713" customHeight="1" ht="15.75">
      <c r="A713" s="8">
        <f>IFERROR(__xludf.DUMMYFUNCTION("""COMPUTED_VALUE"""),25972.0)</f>
      </c>
      <c r="B713" s="9">
        <f>IFERROR(__xludf.DUMMYFUNCTION("""COMPUTED_VALUE"""),"METROPOLITANA VII")</f>
      </c>
      <c r="C713" s="9">
        <f>IFERROR(__xludf.DUMMYFUNCTION("""COMPUTED_VALUE"""),"CE PROFESSORA SANDRA MARIA SANTOS DE SOUSA")</f>
      </c>
      <c r="D713" s="10">
        <f>IFERROR(__xludf.DUMMYFUNCTION("""COMPUTED_VALUE"""),0.7778)</f>
      </c>
      <c r="E713" s="11">
        <f>IFERROR(__xludf.DUMMYFUNCTION("""COMPUTED_VALUE"""),296.43)</f>
      </c>
      <c r="F713" s="10">
        <f>IFERROR(__xludf.DUMMYFUNCTION("""COMPUTED_VALUE"""),0.8611)</f>
      </c>
      <c r="G713" s="11">
        <f>IFERROR(__xludf.DUMMYFUNCTION("""COMPUTED_VALUE"""),404.14)</f>
      </c>
      <c r="H713" s="10">
        <f>IFERROR(__xludf.DUMMYFUNCTION("""COMPUTED_VALUE"""),0.875)</f>
      </c>
      <c r="I713" s="11">
        <f>IFERROR(__xludf.DUMMYFUNCTION("""COMPUTED_VALUE"""),461.33)</f>
      </c>
      <c r="J713" s="10">
        <f>IFERROR(__xludf.DUMMYFUNCTION("""COMPUTED_VALUE"""),0.8056)</f>
      </c>
      <c r="K713" s="11">
        <f>IFERROR(__xludf.DUMMYFUNCTION("""COMPUTED_VALUE"""),366.43)</f>
      </c>
      <c r="L713" s="10">
        <f>IFERROR(__xludf.DUMMYFUNCTION("""COMPUTED_VALUE"""),0.8889)</f>
      </c>
      <c r="M713" s="11">
        <f>IFERROR(__xludf.DUMMYFUNCTION("""COMPUTED_VALUE"""),439.33)</f>
      </c>
      <c r="N713" s="10">
        <f>IFERROR(__xludf.DUMMYFUNCTION("""COMPUTED_VALUE"""),0.8611)</f>
      </c>
      <c r="O713" s="11">
        <f>IFERROR(__xludf.DUMMYFUNCTION("""COMPUTED_VALUE"""),444.07)</f>
      </c>
      <c r="P713" s="12"/>
      <c r="Q713" s="12"/>
      <c r="R713" s="15"/>
      <c r="S713" s="12"/>
      <c r="T713" s="12"/>
      <c r="U713" s="12"/>
      <c r="V713" s="12"/>
      <c r="W713" s="12"/>
      <c r="X713" s="12"/>
      <c r="Y713" s="12"/>
      <c r="Z713" s="12"/>
    </row>
    <row x14ac:dyDescent="0.25" r="714" customHeight="1" ht="15.75">
      <c r="A714" s="8">
        <f>IFERROR(__xludf.DUMMYFUNCTION("""COMPUTED_VALUE"""),25910.0)</f>
      </c>
      <c r="B714" s="9">
        <f>IFERROR(__xludf.DUMMYFUNCTION("""COMPUTED_VALUE"""),"METROPOLITANA VII")</f>
      </c>
      <c r="C714" s="9">
        <f>IFERROR(__xludf.DUMMYFUNCTION("""COMPUTED_VALUE"""),"CE RICARDA LEON")</f>
      </c>
      <c r="D714" s="10">
        <f>IFERROR(__xludf.DUMMYFUNCTION("""COMPUTED_VALUE"""),0.7)</f>
      </c>
      <c r="E714" s="11">
        <f>IFERROR(__xludf.DUMMYFUNCTION("""COMPUTED_VALUE"""),269.64)</f>
      </c>
      <c r="F714" s="10">
        <f>IFERROR(__xludf.DUMMYFUNCTION("""COMPUTED_VALUE"""),0.575)</f>
      </c>
      <c r="G714" s="11">
        <f>IFERROR(__xludf.DUMMYFUNCTION("""COMPUTED_VALUE"""),416.96)</f>
      </c>
      <c r="H714" s="10">
        <f>IFERROR(__xludf.DUMMYFUNCTION("""COMPUTED_VALUE"""),0.6977)</f>
      </c>
      <c r="I714" s="11">
        <f>IFERROR(__xludf.DUMMYFUNCTION("""COMPUTED_VALUE"""),456.07)</f>
      </c>
      <c r="J714" s="10">
        <f>IFERROR(__xludf.DUMMYFUNCTION("""COMPUTED_VALUE"""),0.436)</f>
      </c>
      <c r="K714" s="11">
        <f>IFERROR(__xludf.DUMMYFUNCTION("""COMPUTED_VALUE"""),365.71)</f>
      </c>
      <c r="L714" s="10">
        <f>IFERROR(__xludf.DUMMYFUNCTION("""COMPUTED_VALUE"""),0.5581)</f>
      </c>
      <c r="M714" s="11">
        <f>IFERROR(__xludf.DUMMYFUNCTION("""COMPUTED_VALUE"""),451.37)</f>
      </c>
      <c r="N714" s="10">
        <f>IFERROR(__xludf.DUMMYFUNCTION("""COMPUTED_VALUE"""),0.5988)</f>
      </c>
      <c r="O714" s="11">
        <f>IFERROR(__xludf.DUMMYFUNCTION("""COMPUTED_VALUE"""),449.02)</f>
      </c>
      <c r="P714" s="12"/>
      <c r="Q714" s="12"/>
      <c r="R714" s="15"/>
      <c r="S714" s="12"/>
      <c r="T714" s="12"/>
      <c r="U714" s="12"/>
      <c r="V714" s="12"/>
      <c r="W714" s="12"/>
      <c r="X714" s="12"/>
      <c r="Y714" s="12"/>
      <c r="Z714" s="12"/>
    </row>
    <row x14ac:dyDescent="0.25" r="715" customHeight="1" ht="15.75">
      <c r="A715" s="8">
        <f>IFERROR(__xludf.DUMMYFUNCTION("""COMPUTED_VALUE"""),25973.0)</f>
      </c>
      <c r="B715" s="9">
        <f>IFERROR(__xludf.DUMMYFUNCTION("""COMPUTED_VALUE"""),"METROPOLITANA VII")</f>
      </c>
      <c r="C715" s="9">
        <f>IFERROR(__xludf.DUMMYFUNCTION("""COMPUTED_VALUE"""),"CE RUBENS FARRULLA")</f>
      </c>
      <c r="D715" s="10">
        <f>IFERROR(__xludf.DUMMYFUNCTION("""COMPUTED_VALUE"""),0.6565)</f>
      </c>
      <c r="E715" s="11">
        <f>IFERROR(__xludf.DUMMYFUNCTION("""COMPUTED_VALUE"""),122.67)</f>
      </c>
      <c r="F715" s="10">
        <f>IFERROR(__xludf.DUMMYFUNCTION("""COMPUTED_VALUE"""),0.5382)</f>
      </c>
      <c r="G715" s="11">
        <f>IFERROR(__xludf.DUMMYFUNCTION("""COMPUTED_VALUE"""),337.71)</f>
      </c>
      <c r="H715" s="10">
        <f>IFERROR(__xludf.DUMMYFUNCTION("""COMPUTED_VALUE"""),0.6183)</f>
      </c>
      <c r="I715" s="11">
        <f>IFERROR(__xludf.DUMMYFUNCTION("""COMPUTED_VALUE"""),377.53)</f>
      </c>
      <c r="J715" s="10">
        <f>IFERROR(__xludf.DUMMYFUNCTION("""COMPUTED_VALUE"""),0.6031)</f>
      </c>
      <c r="K715" s="11">
        <f>IFERROR(__xludf.DUMMYFUNCTION("""COMPUTED_VALUE"""),187.27)</f>
      </c>
      <c r="L715" s="10">
        <f>IFERROR(__xludf.DUMMYFUNCTION("""COMPUTED_VALUE"""),0.626)</f>
      </c>
      <c r="M715" s="11">
        <f>IFERROR(__xludf.DUMMYFUNCTION("""COMPUTED_VALUE"""),260.49)</f>
      </c>
      <c r="N715" s="10">
        <f>IFERROR(__xludf.DUMMYFUNCTION("""COMPUTED_VALUE"""),0.5305)</f>
      </c>
      <c r="O715" s="11">
        <f>IFERROR(__xludf.DUMMYFUNCTION("""COMPUTED_VALUE"""),271.88)</f>
      </c>
      <c r="P715" s="12"/>
      <c r="Q715" s="12"/>
      <c r="R715" s="15"/>
      <c r="S715" s="12"/>
      <c r="T715" s="12"/>
      <c r="U715" s="12"/>
      <c r="V715" s="12"/>
      <c r="W715" s="12"/>
      <c r="X715" s="12"/>
      <c r="Y715" s="12"/>
      <c r="Z715" s="12"/>
    </row>
    <row x14ac:dyDescent="0.25" r="716" customHeight="1" ht="15.75">
      <c r="A716" s="8">
        <f>IFERROR(__xludf.DUMMYFUNCTION("""COMPUTED_VALUE"""),25911.0)</f>
      </c>
      <c r="B716" s="9">
        <f>IFERROR(__xludf.DUMMYFUNCTION("""COMPUTED_VALUE"""),"METROPOLITANA VII")</f>
      </c>
      <c r="C716" s="9">
        <f>IFERROR(__xludf.DUMMYFUNCTION("""COMPUTED_VALUE"""),"CE SANTA TEREZA")</f>
      </c>
      <c r="D716" s="10">
        <f>IFERROR(__xludf.DUMMYFUNCTION("""COMPUTED_VALUE"""),0.871)</f>
      </c>
      <c r="E716" s="11">
        <f>IFERROR(__xludf.DUMMYFUNCTION("""COMPUTED_VALUE"""),217.78)</f>
      </c>
      <c r="F716" s="10">
        <f>IFERROR(__xludf.DUMMYFUNCTION("""COMPUTED_VALUE"""),0.6935)</f>
      </c>
      <c r="G716" s="11">
        <f>IFERROR(__xludf.DUMMYFUNCTION("""COMPUTED_VALUE"""),362.79)</f>
      </c>
      <c r="H716" s="10">
        <f>IFERROR(__xludf.DUMMYFUNCTION("""COMPUTED_VALUE"""),0.5161)</f>
      </c>
      <c r="I716" s="11">
        <f>IFERROR(__xludf.DUMMYFUNCTION("""COMPUTED_VALUE"""),410.63)</f>
      </c>
      <c r="J716" s="10">
        <f>IFERROR(__xludf.DUMMYFUNCTION("""COMPUTED_VALUE"""),0.5484)</f>
      </c>
      <c r="K716" s="11">
        <f>IFERROR(__xludf.DUMMYFUNCTION("""COMPUTED_VALUE"""),308.48)</f>
      </c>
      <c r="L716" s="10">
        <f>IFERROR(__xludf.DUMMYFUNCTION("""COMPUTED_VALUE"""),0.7742)</f>
      </c>
      <c r="M716" s="11">
        <f>IFERROR(__xludf.DUMMYFUNCTION("""COMPUTED_VALUE"""),370.83)</f>
      </c>
      <c r="N716" s="10">
        <f>IFERROR(__xludf.DUMMYFUNCTION("""COMPUTED_VALUE"""),0.6129)</f>
      </c>
      <c r="O716" s="11">
        <f>IFERROR(__xludf.DUMMYFUNCTION("""COMPUTED_VALUE"""),407.67)</f>
      </c>
      <c r="P716" s="12"/>
      <c r="Q716" s="12"/>
      <c r="R716" s="15"/>
      <c r="S716" s="12"/>
      <c r="T716" s="12"/>
      <c r="U716" s="12"/>
      <c r="V716" s="12"/>
      <c r="W716" s="12"/>
      <c r="X716" s="12"/>
      <c r="Y716" s="12"/>
      <c r="Z716" s="12"/>
    </row>
    <row x14ac:dyDescent="0.25" r="717" customHeight="1" ht="15.75">
      <c r="A717" s="8">
        <f>IFERROR(__xludf.DUMMYFUNCTION("""COMPUTED_VALUE"""),25912.0)</f>
      </c>
      <c r="B717" s="9">
        <f>IFERROR(__xludf.DUMMYFUNCTION("""COMPUTED_VALUE"""),"METROPOLITANA VII")</f>
      </c>
      <c r="C717" s="9">
        <f>IFERROR(__xludf.DUMMYFUNCTION("""COMPUTED_VALUE"""),"CE SAO BERNARDO")</f>
      </c>
      <c r="D717" s="10">
        <f>IFERROR(__xludf.DUMMYFUNCTION("""COMPUTED_VALUE"""),0.6676)</f>
      </c>
      <c r="E717" s="11">
        <f>IFERROR(__xludf.DUMMYFUNCTION("""COMPUTED_VALUE"""),209.97)</f>
      </c>
      <c r="F717" s="10">
        <f>IFERROR(__xludf.DUMMYFUNCTION("""COMPUTED_VALUE"""),0.6731)</f>
      </c>
      <c r="G717" s="11">
        <f>IFERROR(__xludf.DUMMYFUNCTION("""COMPUTED_VALUE"""),326.55)</f>
      </c>
      <c r="H717" s="10">
        <f>IFERROR(__xludf.DUMMYFUNCTION("""COMPUTED_VALUE"""),0.4951)</f>
      </c>
      <c r="I717" s="11">
        <f>IFERROR(__xludf.DUMMYFUNCTION("""COMPUTED_VALUE"""),401.22)</f>
      </c>
      <c r="J717" s="10">
        <f>IFERROR(__xludf.DUMMYFUNCTION("""COMPUTED_VALUE"""),0.3838)</f>
      </c>
      <c r="K717" s="11">
        <f>IFERROR(__xludf.DUMMYFUNCTION("""COMPUTED_VALUE"""),239.18)</f>
      </c>
      <c r="L717" s="10">
        <f>IFERROR(__xludf.DUMMYFUNCTION("""COMPUTED_VALUE"""),0.6789)</f>
      </c>
      <c r="M717" s="11">
        <f>IFERROR(__xludf.DUMMYFUNCTION("""COMPUTED_VALUE"""),388.25)</f>
      </c>
      <c r="N717" s="10">
        <f>IFERROR(__xludf.DUMMYFUNCTION("""COMPUTED_VALUE"""),0.4632)</f>
      </c>
      <c r="O717" s="11">
        <f>IFERROR(__xludf.DUMMYFUNCTION("""COMPUTED_VALUE"""),371.93)</f>
      </c>
      <c r="P717" s="12"/>
      <c r="Q717" s="12"/>
      <c r="R717" s="15"/>
      <c r="S717" s="12"/>
      <c r="T717" s="12"/>
      <c r="U717" s="12"/>
      <c r="V717" s="12"/>
      <c r="W717" s="12"/>
      <c r="X717" s="12"/>
      <c r="Y717" s="12"/>
      <c r="Z717" s="12"/>
    </row>
    <row x14ac:dyDescent="0.25" r="718" customHeight="1" ht="15.75">
      <c r="A718" s="8">
        <f>IFERROR(__xludf.DUMMYFUNCTION("""COMPUTED_VALUE"""),25913.0)</f>
      </c>
      <c r="B718" s="9">
        <f>IFERROR(__xludf.DUMMYFUNCTION("""COMPUTED_VALUE"""),"METROPOLITANA VII")</f>
      </c>
      <c r="C718" s="9">
        <f>IFERROR(__xludf.DUMMYFUNCTION("""COMPUTED_VALUE"""),"CE SARGENTO WOLFF")</f>
      </c>
      <c r="D718" s="10">
        <f>IFERROR(__xludf.DUMMYFUNCTION("""COMPUTED_VALUE"""),0.7708)</f>
      </c>
      <c r="E718" s="11">
        <f>IFERROR(__xludf.DUMMYFUNCTION("""COMPUTED_VALUE"""),296.08)</f>
      </c>
      <c r="F718" s="10">
        <f>IFERROR(__xludf.DUMMYFUNCTION("""COMPUTED_VALUE"""),0.6245)</f>
      </c>
      <c r="G718" s="11">
        <f>IFERROR(__xludf.DUMMYFUNCTION("""COMPUTED_VALUE"""),388.91)</f>
      </c>
      <c r="H718" s="10">
        <f>IFERROR(__xludf.DUMMYFUNCTION("""COMPUTED_VALUE"""),0.6008)</f>
      </c>
      <c r="I718" s="11">
        <f>IFERROR(__xludf.DUMMYFUNCTION("""COMPUTED_VALUE"""),411.92)</f>
      </c>
      <c r="J718" s="10">
        <f>IFERROR(__xludf.DUMMYFUNCTION("""COMPUTED_VALUE"""),0.6067)</f>
      </c>
      <c r="K718" s="11">
        <f>IFERROR(__xludf.DUMMYFUNCTION("""COMPUTED_VALUE"""),363.0)</f>
      </c>
      <c r="L718" s="10">
        <f>IFERROR(__xludf.DUMMYFUNCTION("""COMPUTED_VALUE"""),0.5415)</f>
      </c>
      <c r="M718" s="11">
        <f>IFERROR(__xludf.DUMMYFUNCTION("""COMPUTED_VALUE"""),356.76)</f>
      </c>
      <c r="N718" s="10">
        <f>IFERROR(__xludf.DUMMYFUNCTION("""COMPUTED_VALUE"""),0.5237)</f>
      </c>
      <c r="O718" s="11">
        <f>IFERROR(__xludf.DUMMYFUNCTION("""COMPUTED_VALUE"""),422.92)</f>
      </c>
      <c r="P718" s="12"/>
      <c r="Q718" s="12"/>
      <c r="R718" s="15"/>
      <c r="S718" s="12"/>
      <c r="T718" s="12"/>
      <c r="U718" s="12"/>
      <c r="V718" s="12"/>
      <c r="W718" s="12"/>
      <c r="X718" s="12"/>
      <c r="Y718" s="12"/>
      <c r="Z718" s="12"/>
    </row>
    <row x14ac:dyDescent="0.25" r="719" customHeight="1" ht="15.75">
      <c r="A719" s="8">
        <f>IFERROR(__xludf.DUMMYFUNCTION("""COMPUTED_VALUE"""),25914.0)</f>
      </c>
      <c r="B719" s="9">
        <f>IFERROR(__xludf.DUMMYFUNCTION("""COMPUTED_VALUE"""),"METROPOLITANA VII")</f>
      </c>
      <c r="C719" s="9">
        <f>IFERROR(__xludf.DUMMYFUNCTION("""COMPUTED_VALUE"""),"CE TENENTE OTAVIO PINHEIRO - BRASIL-RUSSIA")</f>
      </c>
      <c r="D719" s="10">
        <f>IFERROR(__xludf.DUMMYFUNCTION("""COMPUTED_VALUE"""),0.5664)</f>
      </c>
      <c r="E719" s="11">
        <f>IFERROR(__xludf.DUMMYFUNCTION("""COMPUTED_VALUE"""),343.04)</f>
      </c>
      <c r="F719" s="10">
        <f>IFERROR(__xludf.DUMMYFUNCTION("""COMPUTED_VALUE"""),0.5044)</f>
      </c>
      <c r="G719" s="11">
        <f>IFERROR(__xludf.DUMMYFUNCTION("""COMPUTED_VALUE"""),525.07)</f>
      </c>
      <c r="H719" s="10">
        <f>IFERROR(__xludf.DUMMYFUNCTION("""COMPUTED_VALUE"""),0.4422)</f>
      </c>
      <c r="I719" s="11">
        <f>IFERROR(__xludf.DUMMYFUNCTION("""COMPUTED_VALUE"""),574.26)</f>
      </c>
      <c r="J719" s="10">
        <f>IFERROR(__xludf.DUMMYFUNCTION("""COMPUTED_VALUE"""),0.6311)</f>
      </c>
      <c r="K719" s="11">
        <f>IFERROR(__xludf.DUMMYFUNCTION("""COMPUTED_VALUE"""),410.6)</f>
      </c>
      <c r="L719" s="10">
        <f>IFERROR(__xludf.DUMMYFUNCTION("""COMPUTED_VALUE"""),0.4898)</f>
      </c>
      <c r="M719" s="11">
        <f>IFERROR(__xludf.DUMMYFUNCTION("""COMPUTED_VALUE"""),641.03)</f>
      </c>
      <c r="N719" s="10">
        <f>IFERROR(__xludf.DUMMYFUNCTION("""COMPUTED_VALUE"""),0.4558)</f>
      </c>
      <c r="O719" s="11">
        <f>IFERROR(__xludf.DUMMYFUNCTION("""COMPUTED_VALUE"""),527.16)</f>
      </c>
      <c r="P719" s="12"/>
      <c r="Q719" s="12"/>
      <c r="R719" s="15"/>
      <c r="S719" s="12"/>
      <c r="T719" s="12"/>
      <c r="U719" s="12"/>
      <c r="V719" s="12"/>
      <c r="W719" s="12"/>
      <c r="X719" s="12"/>
      <c r="Y719" s="12"/>
      <c r="Z719" s="12"/>
    </row>
    <row x14ac:dyDescent="0.25" r="720" customHeight="1" ht="15.75">
      <c r="A720" s="8">
        <f>IFERROR(__xludf.DUMMYFUNCTION("""COMPUTED_VALUE"""),25915.0)</f>
      </c>
      <c r="B720" s="9">
        <f>IFERROR(__xludf.DUMMYFUNCTION("""COMPUTED_VALUE"""),"METROPOLITANA VII")</f>
      </c>
      <c r="C720" s="9">
        <f>IFERROR(__xludf.DUMMYFUNCTION("""COMPUTED_VALUE"""),"CE VARZEA DA ALEGRIA")</f>
      </c>
      <c r="D720" s="10">
        <f>IFERROR(__xludf.DUMMYFUNCTION("""COMPUTED_VALUE"""),0.7781)</f>
      </c>
      <c r="E720" s="11">
        <f>IFERROR(__xludf.DUMMYFUNCTION("""COMPUTED_VALUE"""),362.64)</f>
      </c>
      <c r="F720" s="10">
        <f>IFERROR(__xludf.DUMMYFUNCTION("""COMPUTED_VALUE"""),0.7781)</f>
      </c>
      <c r="G720" s="11">
        <f>IFERROR(__xludf.DUMMYFUNCTION("""COMPUTED_VALUE"""),471.49)</f>
      </c>
      <c r="H720" s="10">
        <f>IFERROR(__xludf.DUMMYFUNCTION("""COMPUTED_VALUE"""),0.7781)</f>
      </c>
      <c r="I720" s="11">
        <f>IFERROR(__xludf.DUMMYFUNCTION("""COMPUTED_VALUE"""),489.29)</f>
      </c>
      <c r="J720" s="10">
        <f>IFERROR(__xludf.DUMMYFUNCTION("""COMPUTED_VALUE"""),0.7653)</f>
      </c>
      <c r="K720" s="11">
        <f>IFERROR(__xludf.DUMMYFUNCTION("""COMPUTED_VALUE"""),416.47)</f>
      </c>
      <c r="L720" s="10">
        <f>IFERROR(__xludf.DUMMYFUNCTION("""COMPUTED_VALUE"""),0.7556)</f>
      </c>
      <c r="M720" s="11">
        <f>IFERROR(__xludf.DUMMYFUNCTION("""COMPUTED_VALUE"""),479.32)</f>
      </c>
      <c r="N720" s="10">
        <f>IFERROR(__xludf.DUMMYFUNCTION("""COMPUTED_VALUE"""),0.7621)</f>
      </c>
      <c r="O720" s="11">
        <f>IFERROR(__xludf.DUMMYFUNCTION("""COMPUTED_VALUE"""),507.8)</f>
      </c>
      <c r="P720" s="12"/>
      <c r="Q720" s="12"/>
      <c r="R720" s="15"/>
      <c r="S720" s="12"/>
      <c r="T720" s="12"/>
      <c r="U720" s="12"/>
      <c r="V720" s="12"/>
      <c r="W720" s="12"/>
      <c r="X720" s="12"/>
      <c r="Y720" s="12"/>
      <c r="Z720" s="12"/>
    </row>
    <row x14ac:dyDescent="0.25" r="721" customHeight="1" ht="15.75">
      <c r="A721" s="8">
        <f>IFERROR(__xludf.DUMMYFUNCTION("""COMPUTED_VALUE"""),25974.0)</f>
      </c>
      <c r="B721" s="9">
        <f>IFERROR(__xludf.DUMMYFUNCTION("""COMPUTED_VALUE"""),"METROPOLITANA VII")</f>
      </c>
      <c r="C721" s="9">
        <f>IFERROR(__xludf.DUMMYFUNCTION("""COMPUTED_VALUE"""),"CE VERA CRUZ")</f>
      </c>
      <c r="D721" s="10">
        <f>IFERROR(__xludf.DUMMYFUNCTION("""COMPUTED_VALUE"""),0.5206)</f>
      </c>
      <c r="E721" s="11">
        <f>IFERROR(__xludf.DUMMYFUNCTION("""COMPUTED_VALUE"""),220.4)</f>
      </c>
      <c r="F721" s="10">
        <f>IFERROR(__xludf.DUMMYFUNCTION("""COMPUTED_VALUE"""),0.6495)</f>
      </c>
      <c r="G721" s="11">
        <f>IFERROR(__xludf.DUMMYFUNCTION("""COMPUTED_VALUE"""),358.92)</f>
      </c>
      <c r="H721" s="10">
        <f>IFERROR(__xludf.DUMMYFUNCTION("""COMPUTED_VALUE"""),0.3969)</f>
      </c>
      <c r="I721" s="11">
        <f>IFERROR(__xludf.DUMMYFUNCTION("""COMPUTED_VALUE"""),356.27)</f>
      </c>
      <c r="J721" s="10">
        <f>IFERROR(__xludf.DUMMYFUNCTION("""COMPUTED_VALUE"""),0.8608)</f>
      </c>
      <c r="K721" s="11">
        <f>IFERROR(__xludf.DUMMYFUNCTION("""COMPUTED_VALUE"""),232.34)</f>
      </c>
      <c r="L721" s="10">
        <f>IFERROR(__xludf.DUMMYFUNCTION("""COMPUTED_VALUE"""),0.7474)</f>
      </c>
      <c r="M721" s="11">
        <f>IFERROR(__xludf.DUMMYFUNCTION("""COMPUTED_VALUE"""),374.83)</f>
      </c>
      <c r="N721" s="10">
        <f>IFERROR(__xludf.DUMMYFUNCTION("""COMPUTED_VALUE"""),0.7113)</f>
      </c>
      <c r="O721" s="11">
        <f>IFERROR(__xludf.DUMMYFUNCTION("""COMPUTED_VALUE"""),408.53)</f>
      </c>
      <c r="P721" s="12"/>
      <c r="Q721" s="12"/>
      <c r="R721" s="15"/>
      <c r="S721" s="12"/>
      <c r="T721" s="12"/>
      <c r="U721" s="12"/>
      <c r="V721" s="12"/>
      <c r="W721" s="12"/>
      <c r="X721" s="12"/>
      <c r="Y721" s="12"/>
      <c r="Z721" s="12"/>
    </row>
    <row x14ac:dyDescent="0.25" r="722" customHeight="1" ht="15.75">
      <c r="A722" s="8">
        <f>IFERROR(__xludf.DUMMYFUNCTION("""COMPUTED_VALUE"""),25939.0)</f>
      </c>
      <c r="B722" s="9">
        <f>IFERROR(__xludf.DUMMYFUNCTION("""COMPUTED_VALUE"""),"METROPOLITANA VII")</f>
      </c>
      <c r="C722" s="9">
        <f>IFERROR(__xludf.DUMMYFUNCTION("""COMPUTED_VALUE"""),"CE VILA BELA")</f>
      </c>
      <c r="D722" s="10">
        <f>IFERROR(__xludf.DUMMYFUNCTION("""COMPUTED_VALUE"""),0.7191)</f>
      </c>
      <c r="E722" s="11">
        <f>IFERROR(__xludf.DUMMYFUNCTION("""COMPUTED_VALUE"""),238.92)</f>
      </c>
      <c r="F722" s="10">
        <f>IFERROR(__xludf.DUMMYFUNCTION("""COMPUTED_VALUE"""),0.6624)</f>
      </c>
      <c r="G722" s="11">
        <f>IFERROR(__xludf.DUMMYFUNCTION("""COMPUTED_VALUE"""),410.43)</f>
      </c>
      <c r="H722" s="10">
        <f>IFERROR(__xludf.DUMMYFUNCTION("""COMPUTED_VALUE"""),0.5457)</f>
      </c>
      <c r="I722" s="11">
        <f>IFERROR(__xludf.DUMMYFUNCTION("""COMPUTED_VALUE"""),399.47)</f>
      </c>
      <c r="J722" s="10">
        <f>IFERROR(__xludf.DUMMYFUNCTION("""COMPUTED_VALUE"""),0.5646)</f>
      </c>
      <c r="K722" s="11">
        <f>IFERROR(__xludf.DUMMYFUNCTION("""COMPUTED_VALUE"""),"----")</f>
      </c>
      <c r="L722" s="10">
        <f>IFERROR(__xludf.DUMMYFUNCTION("""COMPUTED_VALUE"""),0.6838)</f>
      </c>
      <c r="M722" s="11">
        <f>IFERROR(__xludf.DUMMYFUNCTION("""COMPUTED_VALUE"""),391.22)</f>
      </c>
      <c r="N722" s="10">
        <f>IFERROR(__xludf.DUMMYFUNCTION("""COMPUTED_VALUE"""),0.5902)</f>
      </c>
      <c r="O722" s="11">
        <f>IFERROR(__xludf.DUMMYFUNCTION("""COMPUTED_VALUE"""),388.65)</f>
      </c>
      <c r="P722" s="12"/>
      <c r="Q722" s="12"/>
      <c r="R722" s="15"/>
      <c r="S722" s="12"/>
      <c r="T722" s="12"/>
      <c r="U722" s="12"/>
      <c r="V722" s="12"/>
      <c r="W722" s="12"/>
      <c r="X722" s="12"/>
      <c r="Y722" s="12"/>
      <c r="Z722" s="12"/>
    </row>
    <row x14ac:dyDescent="0.25" r="723" customHeight="1" ht="15.75">
      <c r="A723" s="8">
        <f>IFERROR(__xludf.DUMMYFUNCTION("""COMPUTED_VALUE"""),25975.0)</f>
      </c>
      <c r="B723" s="9">
        <f>IFERROR(__xludf.DUMMYFUNCTION("""COMPUTED_VALUE"""),"METROPOLITANA VII")</f>
      </c>
      <c r="C723" s="9">
        <f>IFERROR(__xludf.DUMMYFUNCTION("""COMPUTED_VALUE"""),"CE VISCONDE DE CAIRU")</f>
      </c>
      <c r="D723" s="10">
        <f>IFERROR(__xludf.DUMMYFUNCTION("""COMPUTED_VALUE"""),0.7881)</f>
      </c>
      <c r="E723" s="11">
        <f>IFERROR(__xludf.DUMMYFUNCTION("""COMPUTED_VALUE"""),166.88)</f>
      </c>
      <c r="F723" s="10">
        <f>IFERROR(__xludf.DUMMYFUNCTION("""COMPUTED_VALUE"""),0.5763)</f>
      </c>
      <c r="G723" s="11">
        <f>IFERROR(__xludf.DUMMYFUNCTION("""COMPUTED_VALUE"""),419.1)</f>
      </c>
      <c r="H723" s="10">
        <f>IFERROR(__xludf.DUMMYFUNCTION("""COMPUTED_VALUE"""),0.6271)</f>
      </c>
      <c r="I723" s="11">
        <f>IFERROR(__xludf.DUMMYFUNCTION("""COMPUTED_VALUE"""),414.25)</f>
      </c>
      <c r="J723" s="10">
        <f>IFERROR(__xludf.DUMMYFUNCTION("""COMPUTED_VALUE"""),0.6441)</f>
      </c>
      <c r="K723" s="11">
        <f>IFERROR(__xludf.DUMMYFUNCTION("""COMPUTED_VALUE"""),306.3)</f>
      </c>
      <c r="L723" s="10">
        <f>IFERROR(__xludf.DUMMYFUNCTION("""COMPUTED_VALUE"""),0.6949)</f>
      </c>
      <c r="M723" s="11">
        <f>IFERROR(__xludf.DUMMYFUNCTION("""COMPUTED_VALUE"""),466.67)</f>
      </c>
      <c r="N723" s="10">
        <f>IFERROR(__xludf.DUMMYFUNCTION("""COMPUTED_VALUE"""),0.5847)</f>
      </c>
      <c r="O723" s="11">
        <f>IFERROR(__xludf.DUMMYFUNCTION("""COMPUTED_VALUE"""),471.88)</f>
      </c>
      <c r="P723" s="12"/>
      <c r="Q723" s="12"/>
      <c r="R723" s="15"/>
      <c r="S723" s="12"/>
      <c r="T723" s="12"/>
      <c r="U723" s="12"/>
      <c r="V723" s="12"/>
      <c r="W723" s="12"/>
      <c r="X723" s="12"/>
      <c r="Y723" s="12"/>
      <c r="Z723" s="12"/>
    </row>
    <row x14ac:dyDescent="0.25" r="724" customHeight="1" ht="15.75">
      <c r="A724" s="8">
        <f>IFERROR(__xludf.DUMMYFUNCTION("""COMPUTED_VALUE"""),25976.0)</f>
      </c>
      <c r="B724" s="9">
        <f>IFERROR(__xludf.DUMMYFUNCTION("""COMPUTED_VALUE"""),"METROPOLITANA VII")</f>
      </c>
      <c r="C724" s="9">
        <f>IFERROR(__xludf.DUMMYFUNCTION("""COMPUTED_VALUE"""),"CIEP 016 PROFESSORA LUCILENE DE SOUZA PECLAT")</f>
      </c>
      <c r="D724" s="10">
        <f>IFERROR(__xludf.DUMMYFUNCTION("""COMPUTED_VALUE"""),0.6735)</f>
      </c>
      <c r="E724" s="11">
        <f>IFERROR(__xludf.DUMMYFUNCTION("""COMPUTED_VALUE"""),381.82)</f>
      </c>
      <c r="F724" s="10">
        <f>IFERROR(__xludf.DUMMYFUNCTION("""COMPUTED_VALUE"""),0.6531)</f>
      </c>
      <c r="G724" s="11">
        <f>IFERROR(__xludf.DUMMYFUNCTION("""COMPUTED_VALUE"""),494.19)</f>
      </c>
      <c r="H724" s="10">
        <f>IFERROR(__xludf.DUMMYFUNCTION("""COMPUTED_VALUE"""),0.6122)</f>
      </c>
      <c r="I724" s="11">
        <f>IFERROR(__xludf.DUMMYFUNCTION("""COMPUTED_VALUE"""),583.45)</f>
      </c>
      <c r="J724" s="10">
        <f>IFERROR(__xludf.DUMMYFUNCTION("""COMPUTED_VALUE"""),0.8163)</f>
      </c>
      <c r="K724" s="11">
        <f>IFERROR(__xludf.DUMMYFUNCTION("""COMPUTED_VALUE"""),424.86)</f>
      </c>
      <c r="L724" s="10">
        <f>IFERROR(__xludf.DUMMYFUNCTION("""COMPUTED_VALUE"""),0.6939)</f>
      </c>
      <c r="M724" s="11">
        <f>IFERROR(__xludf.DUMMYFUNCTION("""COMPUTED_VALUE"""),477.65)</f>
      </c>
      <c r="N724" s="10">
        <f>IFERROR(__xludf.DUMMYFUNCTION("""COMPUTED_VALUE"""),0.7551)</f>
      </c>
      <c r="O724" s="11">
        <f>IFERROR(__xludf.DUMMYFUNCTION("""COMPUTED_VALUE"""),516.76)</f>
      </c>
      <c r="P724" s="12"/>
      <c r="Q724" s="12"/>
      <c r="R724" s="15"/>
      <c r="S724" s="12"/>
      <c r="T724" s="12"/>
      <c r="U724" s="12"/>
      <c r="V724" s="12"/>
      <c r="W724" s="12"/>
      <c r="X724" s="12"/>
      <c r="Y724" s="12"/>
      <c r="Z724" s="12"/>
    </row>
    <row x14ac:dyDescent="0.25" r="725" customHeight="1" ht="15.75">
      <c r="A725" s="8">
        <f>IFERROR(__xludf.DUMMYFUNCTION("""COMPUTED_VALUE"""),25978.0)</f>
      </c>
      <c r="B725" s="9">
        <f>IFERROR(__xludf.DUMMYFUNCTION("""COMPUTED_VALUE"""),"METROPOLITANA VII")</f>
      </c>
      <c r="C725" s="9">
        <f>IFERROR(__xludf.DUMMYFUNCTION("""COMPUTED_VALUE"""),"CIEP 030 MARINHEIRO JOÃO CÂNDIDO")</f>
      </c>
      <c r="D725" s="10">
        <f>IFERROR(__xludf.DUMMYFUNCTION("""COMPUTED_VALUE"""),0.7164)</f>
      </c>
      <c r="E725" s="11">
        <f>IFERROR(__xludf.DUMMYFUNCTION("""COMPUTED_VALUE"""),272.34)</f>
      </c>
      <c r="F725" s="10">
        <f>IFERROR(__xludf.DUMMYFUNCTION("""COMPUTED_VALUE"""),0.5522)</f>
      </c>
      <c r="G725" s="11">
        <f>IFERROR(__xludf.DUMMYFUNCTION("""COMPUTED_VALUE"""),428.89)</f>
      </c>
      <c r="H725" s="10">
        <f>IFERROR(__xludf.DUMMYFUNCTION("""COMPUTED_VALUE"""),1.0)</f>
      </c>
      <c r="I725" s="11">
        <f>IFERROR(__xludf.DUMMYFUNCTION("""COMPUTED_VALUE"""),295.38)</f>
      </c>
      <c r="J725" s="10">
        <f>IFERROR(__xludf.DUMMYFUNCTION("""COMPUTED_VALUE"""),0.6119)</f>
      </c>
      <c r="K725" s="11">
        <f>IFERROR(__xludf.DUMMYFUNCTION("""COMPUTED_VALUE"""),343.16)</f>
      </c>
      <c r="L725" s="10">
        <f>IFERROR(__xludf.DUMMYFUNCTION("""COMPUTED_VALUE"""),0.7313)</f>
      </c>
      <c r="M725" s="11">
        <f>IFERROR(__xludf.DUMMYFUNCTION("""COMPUTED_VALUE"""),394.17)</f>
      </c>
      <c r="N725" s="10">
        <f>IFERROR(__xludf.DUMMYFUNCTION("""COMPUTED_VALUE"""),0.4328)</f>
      </c>
      <c r="O725" s="11">
        <f>IFERROR(__xludf.DUMMYFUNCTION("""COMPUTED_VALUE"""),503.45)</f>
      </c>
      <c r="P725" s="12"/>
      <c r="Q725" s="12"/>
      <c r="R725" s="15"/>
      <c r="S725" s="12"/>
      <c r="T725" s="12"/>
      <c r="U725" s="12"/>
      <c r="V725" s="12"/>
      <c r="W725" s="12"/>
      <c r="X725" s="12"/>
      <c r="Y725" s="12"/>
      <c r="Z725" s="12"/>
    </row>
    <row x14ac:dyDescent="0.25" r="726" customHeight="1" ht="15.75">
      <c r="A726" s="8">
        <f>IFERROR(__xludf.DUMMYFUNCTION("""COMPUTED_VALUE"""),25916.0)</f>
      </c>
      <c r="B726" s="9">
        <f>IFERROR(__xludf.DUMMYFUNCTION("""COMPUTED_VALUE"""),"METROPOLITANA VII")</f>
      </c>
      <c r="C726" s="9">
        <f>IFERROR(__xludf.DUMMYFUNCTION("""COMPUTED_VALUE"""),"CIEP 037 ERNESTO GUEVARA")</f>
      </c>
      <c r="D726" s="10">
        <f>IFERROR(__xludf.DUMMYFUNCTION("""COMPUTED_VALUE"""),0.6509)</f>
      </c>
      <c r="E726" s="11">
        <f>IFERROR(__xludf.DUMMYFUNCTION("""COMPUTED_VALUE"""),165.22)</f>
      </c>
      <c r="F726" s="10">
        <f>IFERROR(__xludf.DUMMYFUNCTION("""COMPUTED_VALUE"""),0.4906)</f>
      </c>
      <c r="G726" s="11">
        <f>IFERROR(__xludf.DUMMYFUNCTION("""COMPUTED_VALUE"""),340.0)</f>
      </c>
      <c r="H726" s="10">
        <f>IFERROR(__xludf.DUMMYFUNCTION("""COMPUTED_VALUE"""),0.4033)</f>
      </c>
      <c r="I726" s="11">
        <f>IFERROR(__xludf.DUMMYFUNCTION("""COMPUTED_VALUE"""),296.23)</f>
      </c>
      <c r="J726" s="10">
        <f>IFERROR(__xludf.DUMMYFUNCTION("""COMPUTED_VALUE"""),0.4885)</f>
      </c>
      <c r="K726" s="11">
        <f>IFERROR(__xludf.DUMMYFUNCTION("""COMPUTED_VALUE"""),167.99)</f>
      </c>
      <c r="L726" s="10">
        <f>IFERROR(__xludf.DUMMYFUNCTION("""COMPUTED_VALUE"""),0.5525)</f>
      </c>
      <c r="M726" s="11">
        <f>IFERROR(__xludf.DUMMYFUNCTION("""COMPUTED_VALUE"""),297.02)</f>
      </c>
      <c r="N726" s="10">
        <f>IFERROR(__xludf.DUMMYFUNCTION("""COMPUTED_VALUE"""),0.4862)</f>
      </c>
      <c r="O726" s="11">
        <f>IFERROR(__xludf.DUMMYFUNCTION("""COMPUTED_VALUE"""),314.47)</f>
      </c>
      <c r="P726" s="12"/>
      <c r="Q726" s="12"/>
      <c r="R726" s="15"/>
      <c r="S726" s="12"/>
      <c r="T726" s="12"/>
      <c r="U726" s="12"/>
      <c r="V726" s="12"/>
      <c r="W726" s="12"/>
      <c r="X726" s="12"/>
      <c r="Y726" s="12"/>
      <c r="Z726" s="12"/>
    </row>
    <row x14ac:dyDescent="0.25" r="727" customHeight="1" ht="15.75">
      <c r="A727" s="8">
        <f>IFERROR(__xludf.DUMMYFUNCTION("""COMPUTED_VALUE"""),25941.0)</f>
      </c>
      <c r="B727" s="9">
        <f>IFERROR(__xludf.DUMMYFUNCTION("""COMPUTED_VALUE"""),"METROPOLITANA VII")</f>
      </c>
      <c r="C727" s="9">
        <f>IFERROR(__xludf.DUMMYFUNCTION("""COMPUTED_VALUE"""),"CIEP 100 SAO FRANCISCO DE ASSIS BRASIL FRANCA")</f>
      </c>
      <c r="D727" s="10">
        <f>IFERROR(__xludf.DUMMYFUNCTION("""COMPUTED_VALUE"""),0.8)</f>
      </c>
      <c r="E727" s="11">
        <f>IFERROR(__xludf.DUMMYFUNCTION("""COMPUTED_VALUE"""),374.0)</f>
      </c>
      <c r="F727" s="10">
        <f>IFERROR(__xludf.DUMMYFUNCTION("""COMPUTED_VALUE"""),0.7333)</f>
      </c>
      <c r="G727" s="11">
        <f>IFERROR(__xludf.DUMMYFUNCTION("""COMPUTED_VALUE"""),485.45)</f>
      </c>
      <c r="H727" s="10">
        <f>IFERROR(__xludf.DUMMYFUNCTION("""COMPUTED_VALUE"""),1.0)</f>
      </c>
      <c r="I727" s="11">
        <f>IFERROR(__xludf.DUMMYFUNCTION("""COMPUTED_VALUE"""),396.0)</f>
      </c>
      <c r="J727" s="10">
        <f>IFERROR(__xludf.DUMMYFUNCTION("""COMPUTED_VALUE"""),0.6)</f>
      </c>
      <c r="K727" s="11">
        <f>IFERROR(__xludf.DUMMYFUNCTION("""COMPUTED_VALUE"""),371.76)</f>
      </c>
      <c r="L727" s="10">
        <f>IFERROR(__xludf.DUMMYFUNCTION("""COMPUTED_VALUE"""),0.6667)</f>
      </c>
      <c r="M727" s="11">
        <f>IFERROR(__xludf.DUMMYFUNCTION("""COMPUTED_VALUE"""),501.05)</f>
      </c>
      <c r="N727" s="10">
        <f>IFERROR(__xludf.DUMMYFUNCTION("""COMPUTED_VALUE"""),0.5667)</f>
      </c>
      <c r="O727" s="11">
        <f>IFERROR(__xludf.DUMMYFUNCTION("""COMPUTED_VALUE"""),451.76)</f>
      </c>
      <c r="P727" s="12"/>
      <c r="Q727" s="12"/>
      <c r="R727" s="15"/>
      <c r="S727" s="12"/>
      <c r="T727" s="12"/>
      <c r="U727" s="12"/>
      <c r="V727" s="12"/>
      <c r="W727" s="12"/>
      <c r="X727" s="12"/>
      <c r="Y727" s="12"/>
      <c r="Z727" s="12"/>
    </row>
    <row x14ac:dyDescent="0.25" r="728" customHeight="1" ht="15.75">
      <c r="A728" s="8">
        <f>IFERROR(__xludf.DUMMYFUNCTION("""COMPUTED_VALUE"""),25942.0)</f>
      </c>
      <c r="B728" s="9">
        <f>IFERROR(__xludf.DUMMYFUNCTION("""COMPUTED_VALUE"""),"METROPOLITANA VII")</f>
      </c>
      <c r="C728" s="9">
        <f>IFERROR(__xludf.DUMMYFUNCTION("""COMPUTED_VALUE"""),"CIEP 111 GELSON FREITAS")</f>
      </c>
      <c r="D728" s="10">
        <f>IFERROR(__xludf.DUMMYFUNCTION("""COMPUTED_VALUE"""),0.6366)</f>
      </c>
      <c r="E728" s="11">
        <f>IFERROR(__xludf.DUMMYFUNCTION("""COMPUTED_VALUE"""),228.97)</f>
      </c>
      <c r="F728" s="10">
        <f>IFERROR(__xludf.DUMMYFUNCTION("""COMPUTED_VALUE"""),0.5628)</f>
      </c>
      <c r="G728" s="11">
        <f>IFERROR(__xludf.DUMMYFUNCTION("""COMPUTED_VALUE"""),403.36)</f>
      </c>
      <c r="H728" s="10">
        <f>IFERROR(__xludf.DUMMYFUNCTION("""COMPUTED_VALUE"""),0.5418)</f>
      </c>
      <c r="I728" s="11">
        <f>IFERROR(__xludf.DUMMYFUNCTION("""COMPUTED_VALUE"""),426.69)</f>
      </c>
      <c r="J728" s="10">
        <f>IFERROR(__xludf.DUMMYFUNCTION("""COMPUTED_VALUE"""),0.7178)</f>
      </c>
      <c r="K728" s="11">
        <f>IFERROR(__xludf.DUMMYFUNCTION("""COMPUTED_VALUE"""),315.32)</f>
      </c>
      <c r="L728" s="10">
        <f>IFERROR(__xludf.DUMMYFUNCTION("""COMPUTED_VALUE"""),0.6062)</f>
      </c>
      <c r="M728" s="11">
        <f>IFERROR(__xludf.DUMMYFUNCTION("""COMPUTED_VALUE"""),350.05)</f>
      </c>
      <c r="N728" s="10">
        <f>IFERROR(__xludf.DUMMYFUNCTION("""COMPUTED_VALUE"""),0.5179)</f>
      </c>
      <c r="O728" s="11">
        <f>IFERROR(__xludf.DUMMYFUNCTION("""COMPUTED_VALUE"""),364.42)</f>
      </c>
      <c r="P728" s="12"/>
      <c r="Q728" s="12"/>
      <c r="R728" s="15"/>
      <c r="S728" s="12"/>
      <c r="T728" s="12"/>
      <c r="U728" s="12"/>
      <c r="V728" s="12"/>
      <c r="W728" s="12"/>
      <c r="X728" s="12"/>
      <c r="Y728" s="12"/>
      <c r="Z728" s="12"/>
    </row>
    <row x14ac:dyDescent="0.25" r="729" customHeight="1" ht="15.75">
      <c r="A729" s="8">
        <f>IFERROR(__xludf.DUMMYFUNCTION("""COMPUTED_VALUE"""),25917.0)</f>
      </c>
      <c r="B729" s="9">
        <f>IFERROR(__xludf.DUMMYFUNCTION("""COMPUTED_VALUE"""),"METROPOLITANA VII")</f>
      </c>
      <c r="C729" s="9">
        <f>IFERROR(__xludf.DUMMYFUNCTION("""COMPUTED_VALUE"""),"CIEP 112 MONSENHOR SOLANO DANTAS MENEZES")</f>
      </c>
      <c r="D729" s="10">
        <f>IFERROR(__xludf.DUMMYFUNCTION("""COMPUTED_VALUE"""),0.7485)</f>
      </c>
      <c r="E729" s="11">
        <f>IFERROR(__xludf.DUMMYFUNCTION("""COMPUTED_VALUE"""),280.0)</f>
      </c>
      <c r="F729" s="10">
        <f>IFERROR(__xludf.DUMMYFUNCTION("""COMPUTED_VALUE"""),0.7047)</f>
      </c>
      <c r="G729" s="11">
        <f>IFERROR(__xludf.DUMMYFUNCTION("""COMPUTED_VALUE"""),425.19)</f>
      </c>
      <c r="H729" s="10">
        <f>IFERROR(__xludf.DUMMYFUNCTION("""COMPUTED_VALUE"""),0.8655)</f>
      </c>
      <c r="I729" s="11">
        <f>IFERROR(__xludf.DUMMYFUNCTION("""COMPUTED_VALUE"""),488.11)</f>
      </c>
      <c r="J729" s="10">
        <f>IFERROR(__xludf.DUMMYFUNCTION("""COMPUTED_VALUE"""),0.6287)</f>
      </c>
      <c r="K729" s="11">
        <f>IFERROR(__xludf.DUMMYFUNCTION("""COMPUTED_VALUE"""),374.53)</f>
      </c>
      <c r="L729" s="10">
        <f>IFERROR(__xludf.DUMMYFUNCTION("""COMPUTED_VALUE"""),0.617)</f>
      </c>
      <c r="M729" s="11">
        <f>IFERROR(__xludf.DUMMYFUNCTION("""COMPUTED_VALUE"""),454.62)</f>
      </c>
      <c r="N729" s="10">
        <f>IFERROR(__xludf.DUMMYFUNCTION("""COMPUTED_VALUE"""),0.5702)</f>
      </c>
      <c r="O729" s="11">
        <f>IFERROR(__xludf.DUMMYFUNCTION("""COMPUTED_VALUE"""),454.51)</f>
      </c>
      <c r="P729" s="12"/>
      <c r="Q729" s="12"/>
      <c r="R729" s="15"/>
      <c r="S729" s="12"/>
      <c r="T729" s="12"/>
      <c r="U729" s="12"/>
      <c r="V729" s="12"/>
      <c r="W729" s="12"/>
      <c r="X729" s="12"/>
      <c r="Y729" s="12"/>
      <c r="Z729" s="12"/>
    </row>
    <row x14ac:dyDescent="0.25" r="730" customHeight="1" ht="15.75">
      <c r="A730" s="8">
        <f>IFERROR(__xludf.DUMMYFUNCTION("""COMPUTED_VALUE"""),25979.0)</f>
      </c>
      <c r="B730" s="9">
        <f>IFERROR(__xludf.DUMMYFUNCTION("""COMPUTED_VALUE"""),"METROPOLITANA VII")</f>
      </c>
      <c r="C730" s="9">
        <f>IFERROR(__xludf.DUMMYFUNCTION("""COMPUTED_VALUE"""),"CIEP 114 PROFESSORA MARIA GAVAZIO MARTINS")</f>
      </c>
      <c r="D730" s="10">
        <f>IFERROR(__xludf.DUMMYFUNCTION("""COMPUTED_VALUE"""),0.7411)</f>
      </c>
      <c r="E730" s="11">
        <f>IFERROR(__xludf.DUMMYFUNCTION("""COMPUTED_VALUE"""),186.02)</f>
      </c>
      <c r="F730" s="10">
        <f>IFERROR(__xludf.DUMMYFUNCTION("""COMPUTED_VALUE"""),0.6518)</f>
      </c>
      <c r="G730" s="11">
        <f>IFERROR(__xludf.DUMMYFUNCTION("""COMPUTED_VALUE"""),328.33)</f>
      </c>
      <c r="H730" s="10">
        <f>IFERROR(__xludf.DUMMYFUNCTION("""COMPUTED_VALUE"""),0.6786)</f>
      </c>
      <c r="I730" s="11">
        <f>IFERROR(__xludf.DUMMYFUNCTION("""COMPUTED_VALUE"""),330.96)</f>
      </c>
      <c r="J730" s="10">
        <f>IFERROR(__xludf.DUMMYFUNCTION("""COMPUTED_VALUE"""),0.5357)</f>
      </c>
      <c r="K730" s="11">
        <f>IFERROR(__xludf.DUMMYFUNCTION("""COMPUTED_VALUE"""),191.86)</f>
      </c>
      <c r="L730" s="10">
        <f>IFERROR(__xludf.DUMMYFUNCTION("""COMPUTED_VALUE"""),0.6339)</f>
      </c>
      <c r="M730" s="11">
        <f>IFERROR(__xludf.DUMMYFUNCTION("""COMPUTED_VALUE"""),313.53)</f>
      </c>
      <c r="N730" s="10">
        <f>IFERROR(__xludf.DUMMYFUNCTION("""COMPUTED_VALUE"""),0.5089)</f>
      </c>
      <c r="O730" s="11">
        <f>IFERROR(__xludf.DUMMYFUNCTION("""COMPUTED_VALUE"""),408.57)</f>
      </c>
      <c r="P730" s="12"/>
      <c r="Q730" s="12"/>
      <c r="R730" s="15"/>
      <c r="S730" s="12"/>
      <c r="T730" s="12"/>
      <c r="U730" s="12"/>
      <c r="V730" s="12"/>
      <c r="W730" s="12"/>
      <c r="X730" s="12"/>
      <c r="Y730" s="12"/>
      <c r="Z730" s="12"/>
    </row>
    <row x14ac:dyDescent="0.25" r="731" customHeight="1" ht="15.75">
      <c r="A731" s="8">
        <f>IFERROR(__xludf.DUMMYFUNCTION("""COMPUTED_VALUE"""),25980.0)</f>
      </c>
      <c r="B731" s="9">
        <f>IFERROR(__xludf.DUMMYFUNCTION("""COMPUTED_VALUE"""),"METROPOLITANA VII")</f>
      </c>
      <c r="C731" s="9">
        <f>IFERROR(__xludf.DUMMYFUNCTION("""COMPUTED_VALUE"""),"CIEP 115 ANTONIO FRANCISCO LISBOA")</f>
      </c>
      <c r="D731" s="10">
        <f>IFERROR(__xludf.DUMMYFUNCTION("""COMPUTED_VALUE"""),0.5176)</f>
      </c>
      <c r="E731" s="11">
        <f>IFERROR(__xludf.DUMMYFUNCTION("""COMPUTED_VALUE"""),165.35)</f>
      </c>
      <c r="F731" s="10">
        <f>IFERROR(__xludf.DUMMYFUNCTION("""COMPUTED_VALUE"""),0.3994)</f>
      </c>
      <c r="G731" s="11">
        <f>IFERROR(__xludf.DUMMYFUNCTION("""COMPUTED_VALUE"""),345.9)</f>
      </c>
      <c r="H731" s="10">
        <f>IFERROR(__xludf.DUMMYFUNCTION("""COMPUTED_VALUE"""),0.492)</f>
      </c>
      <c r="I731" s="11">
        <f>IFERROR(__xludf.DUMMYFUNCTION("""COMPUTED_VALUE"""),344.8)</f>
      </c>
      <c r="J731" s="10">
        <f>IFERROR(__xludf.DUMMYFUNCTION("""COMPUTED_VALUE"""),0.4856)</f>
      </c>
      <c r="K731" s="11">
        <f>IFERROR(__xludf.DUMMYFUNCTION("""COMPUTED_VALUE"""),104.0)</f>
      </c>
      <c r="L731" s="10">
        <f>IFERROR(__xludf.DUMMYFUNCTION("""COMPUTED_VALUE"""),0.5208)</f>
      </c>
      <c r="M731" s="11">
        <f>IFERROR(__xludf.DUMMYFUNCTION("""COMPUTED_VALUE"""),238.49)</f>
      </c>
      <c r="N731" s="10">
        <f>IFERROR(__xludf.DUMMYFUNCTION("""COMPUTED_VALUE"""),0.4984)</f>
      </c>
      <c r="O731" s="11">
        <f>IFERROR(__xludf.DUMMYFUNCTION("""COMPUTED_VALUE"""),244.9)</f>
      </c>
      <c r="P731" s="12"/>
      <c r="Q731" s="12"/>
      <c r="R731" s="15"/>
      <c r="S731" s="12"/>
      <c r="T731" s="12"/>
      <c r="U731" s="12"/>
      <c r="V731" s="12"/>
      <c r="W731" s="12"/>
      <c r="X731" s="12"/>
      <c r="Y731" s="12"/>
      <c r="Z731" s="12"/>
    </row>
    <row x14ac:dyDescent="0.25" r="732" customHeight="1" ht="15.75">
      <c r="A732" s="8">
        <f>IFERROR(__xludf.DUMMYFUNCTION("""COMPUTED_VALUE"""),25918.0)</f>
      </c>
      <c r="B732" s="9">
        <f>IFERROR(__xludf.DUMMYFUNCTION("""COMPUTED_VALUE"""),"METROPOLITANA VII")</f>
      </c>
      <c r="C732" s="9">
        <f>IFERROR(__xludf.DUMMYFUNCTION("""COMPUTED_VALUE"""),"CIEP 116 VILA MAIA")</f>
      </c>
      <c r="D732" s="10">
        <f>IFERROR(__xludf.DUMMYFUNCTION("""COMPUTED_VALUE"""),0.8627)</f>
      </c>
      <c r="E732" s="11">
        <f>IFERROR(__xludf.DUMMYFUNCTION("""COMPUTED_VALUE"""),122.73)</f>
      </c>
      <c r="F732" s="10">
        <f>IFERROR(__xludf.DUMMYFUNCTION("""COMPUTED_VALUE"""),0.7843)</f>
      </c>
      <c r="G732" s="11">
        <f>IFERROR(__xludf.DUMMYFUNCTION("""COMPUTED_VALUE"""),310.53)</f>
      </c>
      <c r="H732" s="10">
        <f>IFERROR(__xludf.DUMMYFUNCTION("""COMPUTED_VALUE"""),0.8431)</f>
      </c>
      <c r="I732" s="11">
        <f>IFERROR(__xludf.DUMMYFUNCTION("""COMPUTED_VALUE"""),235.0)</f>
      </c>
      <c r="J732" s="10">
        <f>IFERROR(__xludf.DUMMYFUNCTION("""COMPUTED_VALUE"""),0.7647)</f>
      </c>
      <c r="K732" s="11">
        <f>IFERROR(__xludf.DUMMYFUNCTION("""COMPUTED_VALUE"""),251.89)</f>
      </c>
      <c r="L732" s="10">
        <f>IFERROR(__xludf.DUMMYFUNCTION("""COMPUTED_VALUE"""),0.8039)</f>
      </c>
      <c r="M732" s="11">
        <f>IFERROR(__xludf.DUMMYFUNCTION("""COMPUTED_VALUE"""),335.14)</f>
      </c>
      <c r="N732" s="10">
        <f>IFERROR(__xludf.DUMMYFUNCTION("""COMPUTED_VALUE"""),0.8039)</f>
      </c>
      <c r="O732" s="11">
        <f>IFERROR(__xludf.DUMMYFUNCTION("""COMPUTED_VALUE"""),289.23)</f>
      </c>
      <c r="P732" s="12"/>
      <c r="Q732" s="12"/>
      <c r="R732" s="15"/>
      <c r="S732" s="12"/>
      <c r="T732" s="12"/>
      <c r="U732" s="12"/>
      <c r="V732" s="12"/>
      <c r="W732" s="12"/>
      <c r="X732" s="12"/>
      <c r="Y732" s="12"/>
      <c r="Z732" s="12"/>
    </row>
    <row x14ac:dyDescent="0.25" r="733" customHeight="1" ht="15.75">
      <c r="A733" s="8">
        <f>IFERROR(__xludf.DUMMYFUNCTION("""COMPUTED_VALUE"""),25981.0)</f>
      </c>
      <c r="B733" s="9">
        <f>IFERROR(__xludf.DUMMYFUNCTION("""COMPUTED_VALUE"""),"METROPOLITANA VII")</f>
      </c>
      <c r="C733" s="9">
        <f>IFERROR(__xludf.DUMMYFUNCTION("""COMPUTED_VALUE"""),"CIEP 133 OSWALDO JOSE LOURENCO")</f>
      </c>
      <c r="D733" s="10">
        <f>IFERROR(__xludf.DUMMYFUNCTION("""COMPUTED_VALUE"""),0.875)</f>
      </c>
      <c r="E733" s="11">
        <f>IFERROR(__xludf.DUMMYFUNCTION("""COMPUTED_VALUE"""),302.86)</f>
      </c>
      <c r="F733" s="10">
        <f>IFERROR(__xludf.DUMMYFUNCTION("""COMPUTED_VALUE"""),0.875)</f>
      </c>
      <c r="G733" s="11">
        <f>IFERROR(__xludf.DUMMYFUNCTION("""COMPUTED_VALUE"""),440.0)</f>
      </c>
      <c r="H733" s="10">
        <f>IFERROR(__xludf.DUMMYFUNCTION("""COMPUTED_VALUE"""),0.8125)</f>
      </c>
      <c r="I733" s="11">
        <f>IFERROR(__xludf.DUMMYFUNCTION("""COMPUTED_VALUE"""),452.31)</f>
      </c>
      <c r="J733" s="10">
        <f>IFERROR(__xludf.DUMMYFUNCTION("""COMPUTED_VALUE"""),0.6875)</f>
      </c>
      <c r="K733" s="11">
        <f>IFERROR(__xludf.DUMMYFUNCTION("""COMPUTED_VALUE"""),348.0)</f>
      </c>
      <c r="L733" s="10">
        <f>IFERROR(__xludf.DUMMYFUNCTION("""COMPUTED_VALUE"""),0.75)</f>
      </c>
      <c r="M733" s="11">
        <f>IFERROR(__xludf.DUMMYFUNCTION("""COMPUTED_VALUE"""),420.0)</f>
      </c>
      <c r="N733" s="10">
        <f>IFERROR(__xludf.DUMMYFUNCTION("""COMPUTED_VALUE"""),0.8125)</f>
      </c>
      <c r="O733" s="11">
        <f>IFERROR(__xludf.DUMMYFUNCTION("""COMPUTED_VALUE"""),473.33)</f>
      </c>
      <c r="P733" s="12"/>
      <c r="Q733" s="12"/>
      <c r="R733" s="15"/>
      <c r="S733" s="12"/>
      <c r="T733" s="12"/>
      <c r="U733" s="12"/>
      <c r="V733" s="12"/>
      <c r="W733" s="12"/>
      <c r="X733" s="12"/>
      <c r="Y733" s="12"/>
      <c r="Z733" s="12"/>
    </row>
    <row x14ac:dyDescent="0.25" r="734" customHeight="1" ht="15.75">
      <c r="A734" s="8">
        <f>IFERROR(__xludf.DUMMYFUNCTION("""COMPUTED_VALUE"""),25982.0)</f>
      </c>
      <c r="B734" s="9">
        <f>IFERROR(__xludf.DUMMYFUNCTION("""COMPUTED_VALUE"""),"METROPOLITANA VII")</f>
      </c>
      <c r="C734" s="9">
        <f>IFERROR(__xludf.DUMMYFUNCTION("""COMPUTED_VALUE"""),"CIEP 135 AFONSO HENRIQUES LIMA BARRETO")</f>
      </c>
      <c r="D734" s="10">
        <f>IFERROR(__xludf.DUMMYFUNCTION("""COMPUTED_VALUE"""),0.5952)</f>
      </c>
      <c r="E734" s="11">
        <f>IFERROR(__xludf.DUMMYFUNCTION("""COMPUTED_VALUE"""),38.4)</f>
      </c>
      <c r="F734" s="10">
        <f>IFERROR(__xludf.DUMMYFUNCTION("""COMPUTED_VALUE"""),0.6071)</f>
      </c>
      <c r="G734" s="11">
        <f>IFERROR(__xludf.DUMMYFUNCTION("""COMPUTED_VALUE"""),324.8)</f>
      </c>
      <c r="H734" s="10">
        <f>IFERROR(__xludf.DUMMYFUNCTION("""COMPUTED_VALUE"""),0.4881)</f>
      </c>
      <c r="I734" s="11">
        <f>IFERROR(__xludf.DUMMYFUNCTION("""COMPUTED_VALUE"""),324.88)</f>
      </c>
      <c r="J734" s="10">
        <f>IFERROR(__xludf.DUMMYFUNCTION("""COMPUTED_VALUE"""),0.3929)</f>
      </c>
      <c r="K734" s="11">
        <f>IFERROR(__xludf.DUMMYFUNCTION("""COMPUTED_VALUE"""),195.0)</f>
      </c>
      <c r="L734" s="10">
        <f>IFERROR(__xludf.DUMMYFUNCTION("""COMPUTED_VALUE"""),0.6548)</f>
      </c>
      <c r="M734" s="11">
        <f>IFERROR(__xludf.DUMMYFUNCTION("""COMPUTED_VALUE"""),320.73)</f>
      </c>
      <c r="N734" s="10">
        <f>IFERROR(__xludf.DUMMYFUNCTION("""COMPUTED_VALUE"""),0.3929)</f>
      </c>
      <c r="O734" s="11">
        <f>IFERROR(__xludf.DUMMYFUNCTION("""COMPUTED_VALUE"""),367.27)</f>
      </c>
      <c r="P734" s="12"/>
      <c r="Q734" s="12"/>
      <c r="R734" s="15"/>
      <c r="S734" s="12"/>
      <c r="T734" s="12"/>
      <c r="U734" s="12"/>
      <c r="V734" s="12"/>
      <c r="W734" s="12"/>
      <c r="X734" s="12"/>
      <c r="Y734" s="12"/>
      <c r="Z734" s="12"/>
    </row>
    <row x14ac:dyDescent="0.25" r="735" customHeight="1" ht="15.75">
      <c r="A735" s="8">
        <f>IFERROR(__xludf.DUMMYFUNCTION("""COMPUTED_VALUE"""),25983.0)</f>
      </c>
      <c r="B735" s="9">
        <f>IFERROR(__xludf.DUMMYFUNCTION("""COMPUTED_VALUE"""),"METROPOLITANA VII")</f>
      </c>
      <c r="C735" s="9">
        <f>IFERROR(__xludf.DUMMYFUNCTION("""COMPUTED_VALUE"""),"CIEP 139 MANUEL BANDEIRA")</f>
      </c>
      <c r="D735" s="10">
        <f>IFERROR(__xludf.DUMMYFUNCTION("""COMPUTED_VALUE"""),0.7429)</f>
      </c>
      <c r="E735" s="11">
        <f>IFERROR(__xludf.DUMMYFUNCTION("""COMPUTED_VALUE"""),267.69)</f>
      </c>
      <c r="F735" s="10">
        <f>IFERROR(__xludf.DUMMYFUNCTION("""COMPUTED_VALUE"""),0.7714)</f>
      </c>
      <c r="G735" s="11">
        <f>IFERROR(__xludf.DUMMYFUNCTION("""COMPUTED_VALUE"""),398.52)</f>
      </c>
      <c r="H735" s="10">
        <f>IFERROR(__xludf.DUMMYFUNCTION("""COMPUTED_VALUE"""),0.7143)</f>
      </c>
      <c r="I735" s="11">
        <f>IFERROR(__xludf.DUMMYFUNCTION("""COMPUTED_VALUE"""),483.2)</f>
      </c>
      <c r="J735" s="10">
        <f>IFERROR(__xludf.DUMMYFUNCTION("""COMPUTED_VALUE"""),0.7143)</f>
      </c>
      <c r="K735" s="11">
        <f>IFERROR(__xludf.DUMMYFUNCTION("""COMPUTED_VALUE"""),358.4)</f>
      </c>
      <c r="L735" s="10">
        <f>IFERROR(__xludf.DUMMYFUNCTION("""COMPUTED_VALUE"""),0.7714)</f>
      </c>
      <c r="M735" s="11">
        <f>IFERROR(__xludf.DUMMYFUNCTION("""COMPUTED_VALUE"""),481.48)</f>
      </c>
      <c r="N735" s="10">
        <f>IFERROR(__xludf.DUMMYFUNCTION("""COMPUTED_VALUE"""),0.7143)</f>
      </c>
      <c r="O735" s="11">
        <f>IFERROR(__xludf.DUMMYFUNCTION("""COMPUTED_VALUE"""),395.2)</f>
      </c>
      <c r="P735" s="12"/>
      <c r="Q735" s="12"/>
      <c r="R735" s="15"/>
      <c r="S735" s="12"/>
      <c r="T735" s="12"/>
      <c r="U735" s="12"/>
      <c r="V735" s="12"/>
      <c r="W735" s="12"/>
      <c r="X735" s="12"/>
      <c r="Y735" s="12"/>
      <c r="Z735" s="12"/>
    </row>
    <row x14ac:dyDescent="0.25" r="736" customHeight="1" ht="15.75">
      <c r="A736" s="8">
        <f>IFERROR(__xludf.DUMMYFUNCTION("""COMPUTED_VALUE"""),25984.0)</f>
      </c>
      <c r="B736" s="9">
        <f>IFERROR(__xludf.DUMMYFUNCTION("""COMPUTED_VALUE"""),"METROPOLITANA VII")</f>
      </c>
      <c r="C736" s="9">
        <f>IFERROR(__xludf.DUMMYFUNCTION("""COMPUTED_VALUE"""),"CIEP 169 MARIA AUGUSTA CORREIA")</f>
      </c>
      <c r="D736" s="10">
        <f>IFERROR(__xludf.DUMMYFUNCTION("""COMPUTED_VALUE"""),0.7699)</f>
      </c>
      <c r="E736" s="11">
        <f>IFERROR(__xludf.DUMMYFUNCTION("""COMPUTED_VALUE"""),298.89)</f>
      </c>
      <c r="F736" s="10">
        <f>IFERROR(__xludf.DUMMYFUNCTION("""COMPUTED_VALUE"""),0.7658)</f>
      </c>
      <c r="G736" s="11">
        <f>IFERROR(__xludf.DUMMYFUNCTION("""COMPUTED_VALUE"""),431.29)</f>
      </c>
      <c r="H736" s="10">
        <f>IFERROR(__xludf.DUMMYFUNCTION("""COMPUTED_VALUE"""),0.7556)</f>
      </c>
      <c r="I736" s="11">
        <f>IFERROR(__xludf.DUMMYFUNCTION("""COMPUTED_VALUE"""),453.37)</f>
      </c>
      <c r="J736" s="10">
        <f>IFERROR(__xludf.DUMMYFUNCTION("""COMPUTED_VALUE"""),0.7026)</f>
      </c>
      <c r="K736" s="11">
        <f>IFERROR(__xludf.DUMMYFUNCTION("""COMPUTED_VALUE"""),421.2)</f>
      </c>
      <c r="L736" s="10">
        <f>IFERROR(__xludf.DUMMYFUNCTION("""COMPUTED_VALUE"""),0.6986)</f>
      </c>
      <c r="M736" s="11">
        <f>IFERROR(__xludf.DUMMYFUNCTION("""COMPUTED_VALUE"""),466.98)</f>
      </c>
      <c r="N736" s="10">
        <f>IFERROR(__xludf.DUMMYFUNCTION("""COMPUTED_VALUE"""),0.7006)</f>
      </c>
      <c r="O736" s="11">
        <f>IFERROR(__xludf.DUMMYFUNCTION("""COMPUTED_VALUE"""),457.31)</f>
      </c>
      <c r="P736" s="12"/>
      <c r="Q736" s="12"/>
      <c r="R736" s="15"/>
      <c r="S736" s="12"/>
      <c r="T736" s="12"/>
      <c r="U736" s="12"/>
      <c r="V736" s="12"/>
      <c r="W736" s="12"/>
      <c r="X736" s="12"/>
      <c r="Y736" s="12"/>
      <c r="Z736" s="12"/>
    </row>
    <row x14ac:dyDescent="0.25" r="737" customHeight="1" ht="15.75">
      <c r="A737" s="8">
        <f>IFERROR(__xludf.DUMMYFUNCTION("""COMPUTED_VALUE"""),25985.0)</f>
      </c>
      <c r="B737" s="9">
        <f>IFERROR(__xludf.DUMMYFUNCTION("""COMPUTED_VALUE"""),"METROPOLITANA VII")</f>
      </c>
      <c r="C737" s="9">
        <f>IFERROR(__xludf.DUMMYFUNCTION("""COMPUTED_VALUE"""),"CIEP 170 GREGORIO BEZERRA")</f>
      </c>
      <c r="D737" s="10">
        <f>IFERROR(__xludf.DUMMYFUNCTION("""COMPUTED_VALUE"""),0.8018)</f>
      </c>
      <c r="E737" s="11">
        <f>IFERROR(__xludf.DUMMYFUNCTION("""COMPUTED_VALUE"""),319.09)</f>
      </c>
      <c r="F737" s="10">
        <f>IFERROR(__xludf.DUMMYFUNCTION("""COMPUTED_VALUE"""),0.6577)</f>
      </c>
      <c r="G737" s="11">
        <f>IFERROR(__xludf.DUMMYFUNCTION("""COMPUTED_VALUE"""),443.29)</f>
      </c>
      <c r="H737" s="10">
        <f>IFERROR(__xludf.DUMMYFUNCTION("""COMPUTED_VALUE"""),0.7928)</f>
      </c>
      <c r="I737" s="11">
        <f>IFERROR(__xludf.DUMMYFUNCTION("""COMPUTED_VALUE"""),480.91)</f>
      </c>
      <c r="J737" s="10">
        <f>IFERROR(__xludf.DUMMYFUNCTION("""COMPUTED_VALUE"""),0.6396)</f>
      </c>
      <c r="K737" s="11">
        <f>IFERROR(__xludf.DUMMYFUNCTION("""COMPUTED_VALUE"""),429.3)</f>
      </c>
      <c r="L737" s="10">
        <f>IFERROR(__xludf.DUMMYFUNCTION("""COMPUTED_VALUE"""),0.7207)</f>
      </c>
      <c r="M737" s="11">
        <f>IFERROR(__xludf.DUMMYFUNCTION("""COMPUTED_VALUE"""),521.5)</f>
      </c>
      <c r="N737" s="10">
        <f>IFERROR(__xludf.DUMMYFUNCTION("""COMPUTED_VALUE"""),0.7477)</f>
      </c>
      <c r="O737" s="11">
        <f>IFERROR(__xludf.DUMMYFUNCTION("""COMPUTED_VALUE"""),500.24)</f>
      </c>
      <c r="P737" s="12"/>
      <c r="Q737" s="12"/>
      <c r="R737" s="15"/>
      <c r="S737" s="12"/>
      <c r="T737" s="12"/>
      <c r="U737" s="12"/>
      <c r="V737" s="12"/>
      <c r="W737" s="12"/>
      <c r="X737" s="12"/>
      <c r="Y737" s="12"/>
      <c r="Z737" s="12"/>
    </row>
    <row x14ac:dyDescent="0.25" r="738" customHeight="1" ht="15.75">
      <c r="A738" s="8">
        <f>IFERROR(__xludf.DUMMYFUNCTION("""COMPUTED_VALUE"""),25986.0)</f>
      </c>
      <c r="B738" s="9">
        <f>IFERROR(__xludf.DUMMYFUNCTION("""COMPUTED_VALUE"""),"METROPOLITANA VII")</f>
      </c>
      <c r="C738" s="9">
        <f>IFERROR(__xludf.DUMMYFUNCTION("""COMPUTED_VALUE"""),"CIEP 175 JOSE LINS DO REGO")</f>
      </c>
      <c r="D738" s="10">
        <f>IFERROR(__xludf.DUMMYFUNCTION("""COMPUTED_VALUE"""),0.9014)</f>
      </c>
      <c r="E738" s="11">
        <f>IFERROR(__xludf.DUMMYFUNCTION("""COMPUTED_VALUE"""),235.87)</f>
      </c>
      <c r="F738" s="10">
        <f>IFERROR(__xludf.DUMMYFUNCTION("""COMPUTED_VALUE"""),0.6851)</f>
      </c>
      <c r="G738" s="11">
        <f>IFERROR(__xludf.DUMMYFUNCTION("""COMPUTED_VALUE"""),415.8)</f>
      </c>
      <c r="H738" s="10">
        <f>IFERROR(__xludf.DUMMYFUNCTION("""COMPUTED_VALUE"""),0.5807)</f>
      </c>
      <c r="I738" s="11">
        <f>IFERROR(__xludf.DUMMYFUNCTION("""COMPUTED_VALUE"""),461.79)</f>
      </c>
      <c r="J738" s="10">
        <f>IFERROR(__xludf.DUMMYFUNCTION("""COMPUTED_VALUE"""),0.516)</f>
      </c>
      <c r="K738" s="11">
        <f>IFERROR(__xludf.DUMMYFUNCTION("""COMPUTED_VALUE"""),341.11)</f>
      </c>
      <c r="L738" s="10">
        <f>IFERROR(__xludf.DUMMYFUNCTION("""COMPUTED_VALUE"""),0.5413)</f>
      </c>
      <c r="M738" s="11">
        <f>IFERROR(__xludf.DUMMYFUNCTION("""COMPUTED_VALUE"""),463.14)</f>
      </c>
      <c r="N738" s="10">
        <f>IFERROR(__xludf.DUMMYFUNCTION("""COMPUTED_VALUE"""),0.561)</f>
      </c>
      <c r="O738" s="11">
        <f>IFERROR(__xludf.DUMMYFUNCTION("""COMPUTED_VALUE"""),428.24)</f>
      </c>
      <c r="P738" s="12"/>
      <c r="Q738" s="12"/>
      <c r="R738" s="15"/>
      <c r="S738" s="12"/>
      <c r="T738" s="12"/>
      <c r="U738" s="12"/>
      <c r="V738" s="12"/>
      <c r="W738" s="12"/>
      <c r="X738" s="12"/>
      <c r="Y738" s="12"/>
      <c r="Z738" s="12"/>
    </row>
    <row x14ac:dyDescent="0.25" r="739" customHeight="1" ht="15.75">
      <c r="A739" s="8">
        <f>IFERROR(__xludf.DUMMYFUNCTION("""COMPUTED_VALUE"""),25919.0)</f>
      </c>
      <c r="B739" s="9">
        <f>IFERROR(__xludf.DUMMYFUNCTION("""COMPUTED_VALUE"""),"METROPOLITANA VII")</f>
      </c>
      <c r="C739" s="9">
        <f>IFERROR(__xludf.DUMMYFUNCTION("""COMPUTED_VALUE"""),"CIEP 178 JOÃO SALDANHA")</f>
      </c>
      <c r="D739" s="10">
        <f>IFERROR(__xludf.DUMMYFUNCTION("""COMPUTED_VALUE"""),0.5962)</f>
      </c>
      <c r="E739" s="11">
        <f>IFERROR(__xludf.DUMMYFUNCTION("""COMPUTED_VALUE"""),184.52)</f>
      </c>
      <c r="F739" s="10">
        <f>IFERROR(__xludf.DUMMYFUNCTION("""COMPUTED_VALUE"""),0.7308)</f>
      </c>
      <c r="G739" s="11">
        <f>IFERROR(__xludf.DUMMYFUNCTION("""COMPUTED_VALUE"""),358.95)</f>
      </c>
      <c r="H739" s="10">
        <f>IFERROR(__xludf.DUMMYFUNCTION("""COMPUTED_VALUE"""),0.6923)</f>
      </c>
      <c r="I739" s="11">
        <f>IFERROR(__xludf.DUMMYFUNCTION("""COMPUTED_VALUE"""),454.44)</f>
      </c>
      <c r="J739" s="10">
        <f>IFERROR(__xludf.DUMMYFUNCTION("""COMPUTED_VALUE"""),0.5)</f>
      </c>
      <c r="K739" s="11">
        <f>IFERROR(__xludf.DUMMYFUNCTION("""COMPUTED_VALUE"""),164.62)</f>
      </c>
      <c r="L739" s="10">
        <f>IFERROR(__xludf.DUMMYFUNCTION("""COMPUTED_VALUE"""),0.8654)</f>
      </c>
      <c r="M739" s="11">
        <f>IFERROR(__xludf.DUMMYFUNCTION("""COMPUTED_VALUE"""),417.78)</f>
      </c>
      <c r="N739" s="10">
        <f>IFERROR(__xludf.DUMMYFUNCTION("""COMPUTED_VALUE"""),0.7115)</f>
      </c>
      <c r="O739" s="11">
        <f>IFERROR(__xludf.DUMMYFUNCTION("""COMPUTED_VALUE"""),474.59)</f>
      </c>
      <c r="P739" s="12"/>
      <c r="Q739" s="12"/>
      <c r="R739" s="15"/>
      <c r="S739" s="12"/>
      <c r="T739" s="12"/>
      <c r="U739" s="12"/>
      <c r="V739" s="12"/>
      <c r="W739" s="12"/>
      <c r="X739" s="12"/>
      <c r="Y739" s="12"/>
      <c r="Z739" s="12"/>
    </row>
    <row x14ac:dyDescent="0.25" r="740" customHeight="1" ht="15.75">
      <c r="A740" s="8">
        <f>IFERROR(__xludf.DUMMYFUNCTION("""COMPUTED_VALUE"""),25987.0)</f>
      </c>
      <c r="B740" s="9">
        <f>IFERROR(__xludf.DUMMYFUNCTION("""COMPUTED_VALUE"""),"METROPOLITANA VII")</f>
      </c>
      <c r="C740" s="9">
        <f>IFERROR(__xludf.DUMMYFUNCTION("""COMPUTED_VALUE"""),"CIEP 179 PROFESSOR CLAUDIO GAMA")</f>
      </c>
      <c r="D740" s="10">
        <f>IFERROR(__xludf.DUMMYFUNCTION("""COMPUTED_VALUE"""),0.8527)</f>
      </c>
      <c r="E740" s="11">
        <f>IFERROR(__xludf.DUMMYFUNCTION("""COMPUTED_VALUE"""),372.54)</f>
      </c>
      <c r="F740" s="10">
        <f>IFERROR(__xludf.DUMMYFUNCTION("""COMPUTED_VALUE"""),0.7778)</f>
      </c>
      <c r="G740" s="11">
        <f>IFERROR(__xludf.DUMMYFUNCTION("""COMPUTED_VALUE"""),473.54)</f>
      </c>
      <c r="H740" s="10">
        <f>IFERROR(__xludf.DUMMYFUNCTION("""COMPUTED_VALUE"""),0.8478)</f>
      </c>
      <c r="I740" s="11">
        <f>IFERROR(__xludf.DUMMYFUNCTION("""COMPUTED_VALUE"""),482.51)</f>
      </c>
      <c r="J740" s="10">
        <f>IFERROR(__xludf.DUMMYFUNCTION("""COMPUTED_VALUE"""),0.7271)</f>
      </c>
      <c r="K740" s="11">
        <f>IFERROR(__xludf.DUMMYFUNCTION("""COMPUTED_VALUE"""),438.4)</f>
      </c>
      <c r="L740" s="10">
        <f>IFERROR(__xludf.DUMMYFUNCTION("""COMPUTED_VALUE"""),0.7826)</f>
      </c>
      <c r="M740" s="11">
        <f>IFERROR(__xludf.DUMMYFUNCTION("""COMPUTED_VALUE"""),479.26)</f>
      </c>
      <c r="N740" s="10">
        <f>IFERROR(__xludf.DUMMYFUNCTION("""COMPUTED_VALUE"""),0.843)</f>
      </c>
      <c r="O740" s="11">
        <f>IFERROR(__xludf.DUMMYFUNCTION("""COMPUTED_VALUE"""),476.1)</f>
      </c>
      <c r="P740" s="12"/>
      <c r="Q740" s="12"/>
      <c r="R740" s="15"/>
      <c r="S740" s="12"/>
      <c r="T740" s="12"/>
      <c r="U740" s="12"/>
      <c r="V740" s="12"/>
      <c r="W740" s="12"/>
      <c r="X740" s="12"/>
      <c r="Y740" s="12"/>
      <c r="Z740" s="12"/>
    </row>
    <row x14ac:dyDescent="0.25" r="741" customHeight="1" ht="15.75">
      <c r="A741" s="8">
        <f>IFERROR(__xludf.DUMMYFUNCTION("""COMPUTED_VALUE"""),25920.0)</f>
      </c>
      <c r="B741" s="9">
        <f>IFERROR(__xludf.DUMMYFUNCTION("""COMPUTED_VALUE"""),"METROPOLITANA VII")</f>
      </c>
      <c r="C741" s="9">
        <f>IFERROR(__xludf.DUMMYFUNCTION("""COMPUTED_VALUE"""),"CIEP 197 MINISTRO MARCOS DE BARROS FREIRE")</f>
      </c>
      <c r="D741" s="10">
        <f>IFERROR(__xludf.DUMMYFUNCTION("""COMPUTED_VALUE"""),0.9195)</f>
      </c>
      <c r="E741" s="11">
        <f>IFERROR(__xludf.DUMMYFUNCTION("""COMPUTED_VALUE"""),257.44)</f>
      </c>
      <c r="F741" s="10">
        <f>IFERROR(__xludf.DUMMYFUNCTION("""COMPUTED_VALUE"""),0.8276)</f>
      </c>
      <c r="G741" s="11">
        <f>IFERROR(__xludf.DUMMYFUNCTION("""COMPUTED_VALUE"""),363.33)</f>
      </c>
      <c r="H741" s="10">
        <f>IFERROR(__xludf.DUMMYFUNCTION("""COMPUTED_VALUE"""),0.7356)</f>
      </c>
      <c r="I741" s="11">
        <f>IFERROR(__xludf.DUMMYFUNCTION("""COMPUTED_VALUE"""),422.5)</f>
      </c>
      <c r="J741" s="10">
        <f>IFERROR(__xludf.DUMMYFUNCTION("""COMPUTED_VALUE"""),0.7816)</f>
      </c>
      <c r="K741" s="11">
        <f>IFERROR(__xludf.DUMMYFUNCTION("""COMPUTED_VALUE"""),380.31)</f>
      </c>
      <c r="L741" s="10">
        <f>IFERROR(__xludf.DUMMYFUNCTION("""COMPUTED_VALUE"""),0.7586)</f>
      </c>
      <c r="M741" s="11">
        <f>IFERROR(__xludf.DUMMYFUNCTION("""COMPUTED_VALUE"""),409.85)</f>
      </c>
      <c r="N741" s="10">
        <f>IFERROR(__xludf.DUMMYFUNCTION("""COMPUTED_VALUE"""),0.7471)</f>
      </c>
      <c r="O741" s="11">
        <f>IFERROR(__xludf.DUMMYFUNCTION("""COMPUTED_VALUE"""),417.5)</f>
      </c>
      <c r="P741" s="12"/>
      <c r="Q741" s="12"/>
      <c r="R741" s="15"/>
      <c r="S741" s="12"/>
      <c r="T741" s="12"/>
      <c r="U741" s="12"/>
      <c r="V741" s="12"/>
      <c r="W741" s="12"/>
      <c r="X741" s="12"/>
      <c r="Y741" s="12"/>
      <c r="Z741" s="12"/>
    </row>
    <row x14ac:dyDescent="0.25" r="742" customHeight="1" ht="15.75">
      <c r="A742" s="8">
        <f>IFERROR(__xludf.DUMMYFUNCTION("""COMPUTED_VALUE"""),25921.0)</f>
      </c>
      <c r="B742" s="9">
        <f>IFERROR(__xludf.DUMMYFUNCTION("""COMPUTED_VALUE"""),"METROPOLITANA VII")</f>
      </c>
      <c r="C742" s="9">
        <f>IFERROR(__xludf.DUMMYFUNCTION("""COMPUTED_VALUE"""),"CIEP 210 MARIO ALVES DE SOUZA VIEIRA")</f>
      </c>
      <c r="D742" s="10">
        <f>IFERROR(__xludf.DUMMYFUNCTION("""COMPUTED_VALUE"""),0.7295)</f>
      </c>
      <c r="E742" s="11">
        <f>IFERROR(__xludf.DUMMYFUNCTION("""COMPUTED_VALUE"""),155.31)</f>
      </c>
      <c r="F742" s="10">
        <f>IFERROR(__xludf.DUMMYFUNCTION("""COMPUTED_VALUE"""),0.5479)</f>
      </c>
      <c r="G742" s="11">
        <f>IFERROR(__xludf.DUMMYFUNCTION("""COMPUTED_VALUE"""),391.38)</f>
      </c>
      <c r="H742" s="10">
        <f>IFERROR(__xludf.DUMMYFUNCTION("""COMPUTED_VALUE"""),0.5037)</f>
      </c>
      <c r="I742" s="11">
        <f>IFERROR(__xludf.DUMMYFUNCTION("""COMPUTED_VALUE"""),378.45)</f>
      </c>
      <c r="J742" s="10">
        <f>IFERROR(__xludf.DUMMYFUNCTION("""COMPUTED_VALUE"""),0.5462)</f>
      </c>
      <c r="K742" s="11">
        <f>IFERROR(__xludf.DUMMYFUNCTION("""COMPUTED_VALUE"""),287.47)</f>
      </c>
      <c r="L742" s="10">
        <f>IFERROR(__xludf.DUMMYFUNCTION("""COMPUTED_VALUE"""),0.4239)</f>
      </c>
      <c r="M742" s="11">
        <f>IFERROR(__xludf.DUMMYFUNCTION("""COMPUTED_VALUE"""),369.42)</f>
      </c>
      <c r="N742" s="10">
        <f>IFERROR(__xludf.DUMMYFUNCTION("""COMPUTED_VALUE"""),0.4239)</f>
      </c>
      <c r="O742" s="11">
        <f>IFERROR(__xludf.DUMMYFUNCTION("""COMPUTED_VALUE"""),326.62)</f>
      </c>
      <c r="P742" s="12"/>
      <c r="Q742" s="12"/>
      <c r="R742" s="15"/>
      <c r="S742" s="12"/>
      <c r="T742" s="12"/>
      <c r="U742" s="12"/>
      <c r="V742" s="12"/>
      <c r="W742" s="12"/>
      <c r="X742" s="12"/>
      <c r="Y742" s="12"/>
      <c r="Z742" s="12"/>
    </row>
    <row x14ac:dyDescent="0.25" r="743" customHeight="1" ht="15.75">
      <c r="A743" s="8">
        <f>IFERROR(__xludf.DUMMYFUNCTION("""COMPUTED_VALUE"""),25953.0)</f>
      </c>
      <c r="B743" s="9">
        <f>IFERROR(__xludf.DUMMYFUNCTION("""COMPUTED_VALUE"""),"METROPOLITANA VII")</f>
      </c>
      <c r="C743" s="9">
        <f>IFERROR(__xludf.DUMMYFUNCTION("""COMPUTED_VALUE"""),"CIEP 230 MANOEL MALAQUIAS GURGEL DA SILVA")</f>
      </c>
      <c r="D743" s="10">
        <f>IFERROR(__xludf.DUMMYFUNCTION("""COMPUTED_VALUE"""),0.7277)</f>
      </c>
      <c r="E743" s="11">
        <f>IFERROR(__xludf.DUMMYFUNCTION("""COMPUTED_VALUE"""),217.14)</f>
      </c>
      <c r="F743" s="10">
        <f>IFERROR(__xludf.DUMMYFUNCTION("""COMPUTED_VALUE"""),0.7079)</f>
      </c>
      <c r="G743" s="11">
        <f>IFERROR(__xludf.DUMMYFUNCTION("""COMPUTED_VALUE"""),396.06)</f>
      </c>
      <c r="H743" s="10">
        <f>IFERROR(__xludf.DUMMYFUNCTION("""COMPUTED_VALUE"""),0.7155)</f>
      </c>
      <c r="I743" s="11">
        <f>IFERROR(__xludf.DUMMYFUNCTION("""COMPUTED_VALUE"""),421.09)</f>
      </c>
      <c r="J743" s="10">
        <f>IFERROR(__xludf.DUMMYFUNCTION("""COMPUTED_VALUE"""),0.6121)</f>
      </c>
      <c r="K743" s="11">
        <f>IFERROR(__xludf.DUMMYFUNCTION("""COMPUTED_VALUE"""),343.94)</f>
      </c>
      <c r="L743" s="10">
        <f>IFERROR(__xludf.DUMMYFUNCTION("""COMPUTED_VALUE"""),0.7457)</f>
      </c>
      <c r="M743" s="11">
        <f>IFERROR(__xludf.DUMMYFUNCTION("""COMPUTED_VALUE"""),442.79)</f>
      </c>
      <c r="N743" s="10">
        <f>IFERROR(__xludf.DUMMYFUNCTION("""COMPUTED_VALUE"""),0.6336)</f>
      </c>
      <c r="O743" s="11">
        <f>IFERROR(__xludf.DUMMYFUNCTION("""COMPUTED_VALUE"""),430.96)</f>
      </c>
      <c r="P743" s="12"/>
      <c r="Q743" s="12"/>
      <c r="R743" s="15"/>
      <c r="S743" s="12"/>
      <c r="T743" s="12"/>
      <c r="U743" s="12"/>
      <c r="V743" s="12"/>
      <c r="W743" s="12"/>
      <c r="X743" s="12"/>
      <c r="Y743" s="12"/>
      <c r="Z743" s="12"/>
    </row>
    <row x14ac:dyDescent="0.25" r="744" customHeight="1" ht="15.75">
      <c r="A744" s="8">
        <f>IFERROR(__xludf.DUMMYFUNCTION("""COMPUTED_VALUE"""),25922.0)</f>
      </c>
      <c r="B744" s="9">
        <f>IFERROR(__xludf.DUMMYFUNCTION("""COMPUTED_VALUE"""),"METROPOLITANA VII")</f>
      </c>
      <c r="C744" s="9">
        <f>IFERROR(__xludf.DUMMYFUNCTION("""COMPUTED_VALUE"""),"CIEP 314 GALILEU GALILEI")</f>
      </c>
      <c r="D744" s="10">
        <f>IFERROR(__xludf.DUMMYFUNCTION("""COMPUTED_VALUE"""),0.6364)</f>
      </c>
      <c r="E744" s="11">
        <f>IFERROR(__xludf.DUMMYFUNCTION("""COMPUTED_VALUE"""),96.43)</f>
      </c>
      <c r="F744" s="10">
        <f>IFERROR(__xludf.DUMMYFUNCTION("""COMPUTED_VALUE"""),0.5795)</f>
      </c>
      <c r="G744" s="11">
        <f>IFERROR(__xludf.DUMMYFUNCTION("""COMPUTED_VALUE"""),336.8)</f>
      </c>
      <c r="H744" s="10">
        <f>IFERROR(__xludf.DUMMYFUNCTION("""COMPUTED_VALUE"""),0.6364)</f>
      </c>
      <c r="I744" s="11">
        <f>IFERROR(__xludf.DUMMYFUNCTION("""COMPUTED_VALUE"""),374.29)</f>
      </c>
      <c r="J744" s="10">
        <f>IFERROR(__xludf.DUMMYFUNCTION("""COMPUTED_VALUE"""),0.6818)</f>
      </c>
      <c r="K744" s="11">
        <f>IFERROR(__xludf.DUMMYFUNCTION("""COMPUTED_VALUE"""),348.36)</f>
      </c>
      <c r="L744" s="10">
        <f>IFERROR(__xludf.DUMMYFUNCTION("""COMPUTED_VALUE"""),0.7386)</f>
      </c>
      <c r="M744" s="11">
        <f>IFERROR(__xludf.DUMMYFUNCTION("""COMPUTED_VALUE"""),359.37)</f>
      </c>
      <c r="N744" s="10">
        <f>IFERROR(__xludf.DUMMYFUNCTION("""COMPUTED_VALUE"""),0.625)</f>
      </c>
      <c r="O744" s="11">
        <f>IFERROR(__xludf.DUMMYFUNCTION("""COMPUTED_VALUE"""),418.91)</f>
      </c>
      <c r="P744" s="12"/>
      <c r="Q744" s="12"/>
      <c r="R744" s="15"/>
      <c r="S744" s="12"/>
      <c r="T744" s="12"/>
      <c r="U744" s="12"/>
      <c r="V744" s="12"/>
      <c r="W744" s="12"/>
      <c r="X744" s="12"/>
      <c r="Y744" s="12"/>
      <c r="Z744" s="12"/>
    </row>
    <row x14ac:dyDescent="0.25" r="745" customHeight="1" ht="15.75">
      <c r="A745" s="8">
        <f>IFERROR(__xludf.DUMMYFUNCTION("""COMPUTED_VALUE"""),25923.0)</f>
      </c>
      <c r="B745" s="9">
        <f>IFERROR(__xludf.DUMMYFUNCTION("""COMPUTED_VALUE"""),"METROPOLITANA VII")</f>
      </c>
      <c r="C745" s="9">
        <f>IFERROR(__xludf.DUMMYFUNCTION("""COMPUTED_VALUE"""),"CIEP 316 GENERAL LADARIO PEREIRA TELLES")</f>
      </c>
      <c r="D745" s="10">
        <f>IFERROR(__xludf.DUMMYFUNCTION("""COMPUTED_VALUE"""),0.6712)</f>
      </c>
      <c r="E745" s="11">
        <f>IFERROR(__xludf.DUMMYFUNCTION("""COMPUTED_VALUE"""),219.46)</f>
      </c>
      <c r="F745" s="10">
        <f>IFERROR(__xludf.DUMMYFUNCTION("""COMPUTED_VALUE"""),0.5495)</f>
      </c>
      <c r="G745" s="11">
        <f>IFERROR(__xludf.DUMMYFUNCTION("""COMPUTED_VALUE"""),303.47)</f>
      </c>
      <c r="H745" s="10">
        <f>IFERROR(__xludf.DUMMYFUNCTION("""COMPUTED_VALUE"""),0.6055)</f>
      </c>
      <c r="I745" s="11">
        <f>IFERROR(__xludf.DUMMYFUNCTION("""COMPUTED_VALUE"""),313.51)</f>
      </c>
      <c r="J745" s="10">
        <f>IFERROR(__xludf.DUMMYFUNCTION("""COMPUTED_VALUE"""),0.5664)</f>
      </c>
      <c r="K745" s="11">
        <f>IFERROR(__xludf.DUMMYFUNCTION("""COMPUTED_VALUE"""),275.0)</f>
      </c>
      <c r="L745" s="10">
        <f>IFERROR(__xludf.DUMMYFUNCTION("""COMPUTED_VALUE"""),0.5039)</f>
      </c>
      <c r="M745" s="11">
        <f>IFERROR(__xludf.DUMMYFUNCTION("""COMPUTED_VALUE"""),292.09)</f>
      </c>
      <c r="N745" s="10">
        <f>IFERROR(__xludf.DUMMYFUNCTION("""COMPUTED_VALUE"""),0.625)</f>
      </c>
      <c r="O745" s="11">
        <f>IFERROR(__xludf.DUMMYFUNCTION("""COMPUTED_VALUE"""),316.94)</f>
      </c>
      <c r="P745" s="12"/>
      <c r="Q745" s="12"/>
      <c r="R745" s="15"/>
      <c r="S745" s="12"/>
      <c r="T745" s="12"/>
      <c r="U745" s="12"/>
      <c r="V745" s="12"/>
      <c r="W745" s="12"/>
      <c r="X745" s="12"/>
      <c r="Y745" s="12"/>
      <c r="Z745" s="12"/>
    </row>
    <row x14ac:dyDescent="0.25" r="746" customHeight="1" ht="15.75">
      <c r="A746" s="8">
        <f>IFERROR(__xludf.DUMMYFUNCTION("""COMPUTED_VALUE"""),25924.0)</f>
      </c>
      <c r="B746" s="9">
        <f>IFERROR(__xludf.DUMMYFUNCTION("""COMPUTED_VALUE"""),"METROPOLITANA VII")</f>
      </c>
      <c r="C746" s="9">
        <f>IFERROR(__xludf.DUMMYFUNCTION("""COMPUTED_VALUE"""),"CIEP 337 BERTA LUTZ")</f>
      </c>
      <c r="D746" s="10">
        <f>IFERROR(__xludf.DUMMYFUNCTION("""COMPUTED_VALUE"""),0.7143)</f>
      </c>
      <c r="E746" s="11">
        <f>IFERROR(__xludf.DUMMYFUNCTION("""COMPUTED_VALUE"""),205.49)</f>
      </c>
      <c r="F746" s="10">
        <f>IFERROR(__xludf.DUMMYFUNCTION("""COMPUTED_VALUE"""),0.5325)</f>
      </c>
      <c r="G746" s="11">
        <f>IFERROR(__xludf.DUMMYFUNCTION("""COMPUTED_VALUE"""),320.0)</f>
      </c>
      <c r="H746" s="10">
        <f>IFERROR(__xludf.DUMMYFUNCTION("""COMPUTED_VALUE"""),0.7273)</f>
      </c>
      <c r="I746" s="11">
        <f>IFERROR(__xludf.DUMMYFUNCTION("""COMPUTED_VALUE"""),431.27)</f>
      </c>
      <c r="J746" s="10">
        <f>IFERROR(__xludf.DUMMYFUNCTION("""COMPUTED_VALUE"""),0.6883)</f>
      </c>
      <c r="K746" s="11">
        <f>IFERROR(__xludf.DUMMYFUNCTION("""COMPUTED_VALUE"""),315.0)</f>
      </c>
      <c r="L746" s="10">
        <f>IFERROR(__xludf.DUMMYFUNCTION("""COMPUTED_VALUE"""),0.6623)</f>
      </c>
      <c r="M746" s="11">
        <f>IFERROR(__xludf.DUMMYFUNCTION("""COMPUTED_VALUE"""),353.47)</f>
      </c>
      <c r="N746" s="10">
        <f>IFERROR(__xludf.DUMMYFUNCTION("""COMPUTED_VALUE"""),0.7273)</f>
      </c>
      <c r="O746" s="11">
        <f>IFERROR(__xludf.DUMMYFUNCTION("""COMPUTED_VALUE"""),401.48)</f>
      </c>
      <c r="P746" s="12"/>
      <c r="Q746" s="12"/>
      <c r="R746" s="15"/>
      <c r="S746" s="12"/>
      <c r="T746" s="12"/>
      <c r="U746" s="12"/>
      <c r="V746" s="12"/>
      <c r="W746" s="12"/>
      <c r="X746" s="12"/>
      <c r="Y746" s="12"/>
      <c r="Z746" s="12"/>
    </row>
    <row x14ac:dyDescent="0.25" r="747" customHeight="1" ht="15.75">
      <c r="A747" s="8">
        <f>IFERROR(__xludf.DUMMYFUNCTION("""COMPUTED_VALUE"""),25943.0)</f>
      </c>
      <c r="B747" s="9">
        <f>IFERROR(__xludf.DUMMYFUNCTION("""COMPUTED_VALUE"""),"METROPOLITANA VII")</f>
      </c>
      <c r="C747" s="9">
        <f>IFERROR(__xludf.DUMMYFUNCTION("""COMPUTED_VALUE"""),"CIEP 364 NELSON RAMOS")</f>
      </c>
      <c r="D747" s="10">
        <f>IFERROR(__xludf.DUMMYFUNCTION("""COMPUTED_VALUE"""),0.5906)</f>
      </c>
      <c r="E747" s="11">
        <f>IFERROR(__xludf.DUMMYFUNCTION("""COMPUTED_VALUE"""),238.93)</f>
      </c>
      <c r="F747" s="10">
        <f>IFERROR(__xludf.DUMMYFUNCTION("""COMPUTED_VALUE"""),0.6693)</f>
      </c>
      <c r="G747" s="11">
        <f>IFERROR(__xludf.DUMMYFUNCTION("""COMPUTED_VALUE"""),324.71)</f>
      </c>
      <c r="H747" s="10">
        <f>IFERROR(__xludf.DUMMYFUNCTION("""COMPUTED_VALUE"""),0.5039)</f>
      </c>
      <c r="I747" s="11">
        <f>IFERROR(__xludf.DUMMYFUNCTION("""COMPUTED_VALUE"""),428.75)</f>
      </c>
      <c r="J747" s="10">
        <f>IFERROR(__xludf.DUMMYFUNCTION("""COMPUTED_VALUE"""),0.5354)</f>
      </c>
      <c r="K747" s="11">
        <f>IFERROR(__xludf.DUMMYFUNCTION("""COMPUTED_VALUE"""),203.64)</f>
      </c>
      <c r="L747" s="10">
        <f>IFERROR(__xludf.DUMMYFUNCTION("""COMPUTED_VALUE"""),0.6614)</f>
      </c>
      <c r="M747" s="11">
        <f>IFERROR(__xludf.DUMMYFUNCTION("""COMPUTED_VALUE"""),341.43)</f>
      </c>
      <c r="N747" s="10">
        <f>IFERROR(__xludf.DUMMYFUNCTION("""COMPUTED_VALUE"""),0.5827)</f>
      </c>
      <c r="O747" s="11">
        <f>IFERROR(__xludf.DUMMYFUNCTION("""COMPUTED_VALUE"""),357.84)</f>
      </c>
      <c r="P747" s="12"/>
      <c r="Q747" s="12"/>
      <c r="R747" s="15"/>
      <c r="S747" s="12"/>
      <c r="T747" s="12"/>
      <c r="U747" s="12"/>
      <c r="V747" s="12"/>
      <c r="W747" s="12"/>
      <c r="X747" s="12"/>
      <c r="Y747" s="12"/>
      <c r="Z747" s="12"/>
    </row>
    <row x14ac:dyDescent="0.25" r="748" customHeight="1" ht="15.75">
      <c r="A748" s="8">
        <f>IFERROR(__xludf.DUMMYFUNCTION("""COMPUTED_VALUE"""),25925.0)</f>
      </c>
      <c r="B748" s="9">
        <f>IFERROR(__xludf.DUMMYFUNCTION("""COMPUTED_VALUE"""),"METROPOLITANA VII")</f>
      </c>
      <c r="C748" s="9">
        <f>IFERROR(__xludf.DUMMYFUNCTION("""COMPUTED_VALUE"""),"CIEP 374 AUGUSTO RODRIGUES")</f>
      </c>
      <c r="D748" s="10">
        <f>IFERROR(__xludf.DUMMYFUNCTION("""COMPUTED_VALUE"""),0.4793)</f>
      </c>
      <c r="E748" s="11">
        <f>IFERROR(__xludf.DUMMYFUNCTION("""COMPUTED_VALUE"""),194.15)</f>
      </c>
      <c r="F748" s="10">
        <f>IFERROR(__xludf.DUMMYFUNCTION("""COMPUTED_VALUE"""),0.4132)</f>
      </c>
      <c r="G748" s="11">
        <f>IFERROR(__xludf.DUMMYFUNCTION("""COMPUTED_VALUE"""),309.21)</f>
      </c>
      <c r="H748" s="10">
        <f>IFERROR(__xludf.DUMMYFUNCTION("""COMPUTED_VALUE"""),0.3262)</f>
      </c>
      <c r="I748" s="11">
        <f>IFERROR(__xludf.DUMMYFUNCTION("""COMPUTED_VALUE"""),414.78)</f>
      </c>
      <c r="J748" s="10">
        <f>IFERROR(__xludf.DUMMYFUNCTION("""COMPUTED_VALUE"""),0.5543)</f>
      </c>
      <c r="K748" s="11">
        <f>IFERROR(__xludf.DUMMYFUNCTION("""COMPUTED_VALUE"""),171.43)</f>
      </c>
      <c r="L748" s="10">
        <f>IFERROR(__xludf.DUMMYFUNCTION("""COMPUTED_VALUE"""),0.7589)</f>
      </c>
      <c r="M748" s="11">
        <f>IFERROR(__xludf.DUMMYFUNCTION("""COMPUTED_VALUE"""),217.2)</f>
      </c>
      <c r="N748" s="10">
        <f>IFERROR(__xludf.DUMMYFUNCTION("""COMPUTED_VALUE"""),0.5532)</f>
      </c>
      <c r="O748" s="11">
        <f>IFERROR(__xludf.DUMMYFUNCTION("""COMPUTED_VALUE"""),305.53)</f>
      </c>
      <c r="P748" s="12"/>
      <c r="Q748" s="12"/>
      <c r="R748" s="15"/>
      <c r="S748" s="12"/>
      <c r="T748" s="12"/>
      <c r="U748" s="12"/>
      <c r="V748" s="12"/>
      <c r="W748" s="12"/>
      <c r="X748" s="12"/>
      <c r="Y748" s="12"/>
      <c r="Z748" s="12"/>
    </row>
    <row x14ac:dyDescent="0.25" r="749" customHeight="1" ht="15.75">
      <c r="A749" s="8">
        <f>IFERROR(__xludf.DUMMYFUNCTION("""COMPUTED_VALUE"""),25926.0)</f>
      </c>
      <c r="B749" s="9">
        <f>IFERROR(__xludf.DUMMYFUNCTION("""COMPUTED_VALUE"""),"METROPOLITANA VII")</f>
      </c>
      <c r="C749" s="9">
        <f>IFERROR(__xludf.DUMMYFUNCTION("""COMPUTED_VALUE"""),"CIEP 375 WILSON GREY")</f>
      </c>
      <c r="D749" s="10">
        <f>IFERROR(__xludf.DUMMYFUNCTION("""COMPUTED_VALUE"""),0.5102)</f>
      </c>
      <c r="E749" s="11">
        <f>IFERROR(__xludf.DUMMYFUNCTION("""COMPUTED_VALUE"""),140.27)</f>
      </c>
      <c r="F749" s="10">
        <f>IFERROR(__xludf.DUMMYFUNCTION("""COMPUTED_VALUE"""),0.2755)</f>
      </c>
      <c r="G749" s="11">
        <f>IFERROR(__xludf.DUMMYFUNCTION("""COMPUTED_VALUE"""),335.39)</f>
      </c>
      <c r="H749" s="10">
        <f>IFERROR(__xludf.DUMMYFUNCTION("""COMPUTED_VALUE"""),0.4157)</f>
      </c>
      <c r="I749" s="11">
        <f>IFERROR(__xludf.DUMMYFUNCTION("""COMPUTED_VALUE"""),337.55)</f>
      </c>
      <c r="J749" s="10">
        <f>IFERROR(__xludf.DUMMYFUNCTION("""COMPUTED_VALUE"""),0.5156)</f>
      </c>
      <c r="K749" s="11">
        <f>IFERROR(__xludf.DUMMYFUNCTION("""COMPUTED_VALUE"""),296.27)</f>
      </c>
      <c r="L749" s="10">
        <f>IFERROR(__xludf.DUMMYFUNCTION("""COMPUTED_VALUE"""),0.4906)</f>
      </c>
      <c r="M749" s="11">
        <f>IFERROR(__xludf.DUMMYFUNCTION("""COMPUTED_VALUE"""),301.74)</f>
      </c>
      <c r="N749" s="10">
        <f>IFERROR(__xludf.DUMMYFUNCTION("""COMPUTED_VALUE"""),0.2846)</f>
      </c>
      <c r="O749" s="11">
        <f>IFERROR(__xludf.DUMMYFUNCTION("""COMPUTED_VALUE"""),373.15)</f>
      </c>
      <c r="P749" s="12"/>
      <c r="Q749" s="12"/>
      <c r="R749" s="15"/>
      <c r="S749" s="12"/>
      <c r="T749" s="12"/>
      <c r="U749" s="12"/>
      <c r="V749" s="12"/>
      <c r="W749" s="12"/>
      <c r="X749" s="12"/>
      <c r="Y749" s="12"/>
      <c r="Z749" s="12"/>
    </row>
    <row x14ac:dyDescent="0.25" r="750" customHeight="1" ht="15.75">
      <c r="A750" s="8">
        <f>IFERROR(__xludf.DUMMYFUNCTION("""COMPUTED_VALUE"""),25927.0)</f>
      </c>
      <c r="B750" s="9">
        <f>IFERROR(__xludf.DUMMYFUNCTION("""COMPUTED_VALUE"""),"METROPOLITANA VII")</f>
      </c>
      <c r="C750" s="9">
        <f>IFERROR(__xludf.DUMMYFUNCTION("""COMPUTED_VALUE"""),"CIEP 376 CLAUDIO COUTINHO")</f>
      </c>
      <c r="D750" s="10">
        <f>IFERROR(__xludf.DUMMYFUNCTION("""COMPUTED_VALUE"""),0.7542)</f>
      </c>
      <c r="E750" s="11">
        <f>IFERROR(__xludf.DUMMYFUNCTION("""COMPUTED_VALUE"""),175.45)</f>
      </c>
      <c r="F750" s="10">
        <f>IFERROR(__xludf.DUMMYFUNCTION("""COMPUTED_VALUE"""),0.7373)</f>
      </c>
      <c r="G750" s="11">
        <f>IFERROR(__xludf.DUMMYFUNCTION("""COMPUTED_VALUE"""),360.94)</f>
      </c>
      <c r="H750" s="10">
        <f>IFERROR(__xludf.DUMMYFUNCTION("""COMPUTED_VALUE"""),0.7712)</f>
      </c>
      <c r="I750" s="11">
        <f>IFERROR(__xludf.DUMMYFUNCTION("""COMPUTED_VALUE"""),363.08)</f>
      </c>
      <c r="J750" s="10">
        <f>IFERROR(__xludf.DUMMYFUNCTION("""COMPUTED_VALUE"""),0.6525)</f>
      </c>
      <c r="K750" s="11">
        <f>IFERROR(__xludf.DUMMYFUNCTION("""COMPUTED_VALUE"""),260.54)</f>
      </c>
      <c r="L750" s="10">
        <f>IFERROR(__xludf.DUMMYFUNCTION("""COMPUTED_VALUE"""),0.5169)</f>
      </c>
      <c r="M750" s="11">
        <f>IFERROR(__xludf.DUMMYFUNCTION("""COMPUTED_VALUE"""),437.38)</f>
      </c>
      <c r="N750" s="10">
        <f>IFERROR(__xludf.DUMMYFUNCTION("""COMPUTED_VALUE"""),0.5932)</f>
      </c>
      <c r="O750" s="11">
        <f>IFERROR(__xludf.DUMMYFUNCTION("""COMPUTED_VALUE"""),389.57)</f>
      </c>
      <c r="P750" s="12"/>
      <c r="Q750" s="12"/>
      <c r="R750" s="15"/>
      <c r="S750" s="12"/>
      <c r="T750" s="12"/>
      <c r="U750" s="12"/>
      <c r="V750" s="12"/>
      <c r="W750" s="12"/>
      <c r="X750" s="12"/>
      <c r="Y750" s="12"/>
      <c r="Z750" s="12"/>
    </row>
    <row x14ac:dyDescent="0.25" r="751" customHeight="1" ht="15.75">
      <c r="A751" s="8">
        <f>IFERROR(__xludf.DUMMYFUNCTION("""COMPUTED_VALUE"""),25928.0)</f>
      </c>
      <c r="B751" s="9">
        <f>IFERROR(__xludf.DUMMYFUNCTION("""COMPUTED_VALUE"""),"METROPOLITANA VII")</f>
      </c>
      <c r="C751" s="9">
        <f>IFERROR(__xludf.DUMMYFUNCTION("""COMPUTED_VALUE"""),"CIEP 377 CARMEM DA SILVA")</f>
      </c>
      <c r="D751" s="10">
        <f>IFERROR(__xludf.DUMMYFUNCTION("""COMPUTED_VALUE"""),0.6863)</f>
      </c>
      <c r="E751" s="11">
        <f>IFERROR(__xludf.DUMMYFUNCTION("""COMPUTED_VALUE"""),240.0)</f>
      </c>
      <c r="F751" s="10">
        <f>IFERROR(__xludf.DUMMYFUNCTION("""COMPUTED_VALUE"""),0.5294)</f>
      </c>
      <c r="G751" s="11">
        <f>IFERROR(__xludf.DUMMYFUNCTION("""COMPUTED_VALUE"""),354.07)</f>
      </c>
      <c r="H751" s="10">
        <f>IFERROR(__xludf.DUMMYFUNCTION("""COMPUTED_VALUE"""),0.3333)</f>
      </c>
      <c r="I751" s="11">
        <f>IFERROR(__xludf.DUMMYFUNCTION("""COMPUTED_VALUE"""),391.5)</f>
      </c>
      <c r="J751" s="10">
        <f>IFERROR(__xludf.DUMMYFUNCTION("""COMPUTED_VALUE"""),0.6129)</f>
      </c>
      <c r="K751" s="11">
        <f>IFERROR(__xludf.DUMMYFUNCTION("""COMPUTED_VALUE"""),235.29)</f>
      </c>
      <c r="L751" s="10">
        <f>IFERROR(__xludf.DUMMYFUNCTION("""COMPUTED_VALUE"""),0.9103)</f>
      </c>
      <c r="M751" s="11">
        <f>IFERROR(__xludf.DUMMYFUNCTION("""COMPUTED_VALUE"""),145.13)</f>
      </c>
      <c r="N751" s="10">
        <f>IFERROR(__xludf.DUMMYFUNCTION("""COMPUTED_VALUE"""),0.9744)</f>
      </c>
      <c r="O751" s="11">
        <f>IFERROR(__xludf.DUMMYFUNCTION("""COMPUTED_VALUE"""),64.74)</f>
      </c>
      <c r="P751" s="12"/>
      <c r="Q751" s="12"/>
      <c r="R751" s="15"/>
      <c r="S751" s="12"/>
      <c r="T751" s="12"/>
      <c r="U751" s="12"/>
      <c r="V751" s="12"/>
      <c r="W751" s="12"/>
      <c r="X751" s="12"/>
      <c r="Y751" s="12"/>
      <c r="Z751" s="12"/>
    </row>
    <row x14ac:dyDescent="0.25" r="752" customHeight="1" ht="15.75">
      <c r="A752" s="8">
        <f>IFERROR(__xludf.DUMMYFUNCTION("""COMPUTED_VALUE"""),25929.0)</f>
      </c>
      <c r="B752" s="9">
        <f>IFERROR(__xludf.DUMMYFUNCTION("""COMPUTED_VALUE"""),"METROPOLITANA VII")</f>
      </c>
      <c r="C752" s="9">
        <f>IFERROR(__xludf.DUMMYFUNCTION("""COMPUTED_VALUE"""),"CIEP 380 JORACI CAMARGO")</f>
      </c>
      <c r="D752" s="10">
        <f>IFERROR(__xludf.DUMMYFUNCTION("""COMPUTED_VALUE"""),0.8378)</f>
      </c>
      <c r="E752" s="11">
        <f>IFERROR(__xludf.DUMMYFUNCTION("""COMPUTED_VALUE"""),393.11)</f>
      </c>
      <c r="F752" s="10">
        <f>IFERROR(__xludf.DUMMYFUNCTION("""COMPUTED_VALUE"""),0.6973)</f>
      </c>
      <c r="G752" s="11">
        <f>IFERROR(__xludf.DUMMYFUNCTION("""COMPUTED_VALUE"""),462.95)</f>
      </c>
      <c r="H752" s="10">
        <f>IFERROR(__xludf.DUMMYFUNCTION("""COMPUTED_VALUE"""),0.8378)</f>
      </c>
      <c r="I752" s="11">
        <f>IFERROR(__xludf.DUMMYFUNCTION("""COMPUTED_VALUE"""),516.39)</f>
      </c>
      <c r="J752" s="10">
        <f>IFERROR(__xludf.DUMMYFUNCTION("""COMPUTED_VALUE"""),0.6432)</f>
      </c>
      <c r="K752" s="11">
        <f>IFERROR(__xludf.DUMMYFUNCTION("""COMPUTED_VALUE"""),479.33)</f>
      </c>
      <c r="L752" s="10">
        <f>IFERROR(__xludf.DUMMYFUNCTION("""COMPUTED_VALUE"""),0.6595)</f>
      </c>
      <c r="M752" s="11">
        <f>IFERROR(__xludf.DUMMYFUNCTION("""COMPUTED_VALUE"""),513.44)</f>
      </c>
      <c r="N752" s="10">
        <f>IFERROR(__xludf.DUMMYFUNCTION("""COMPUTED_VALUE"""),0.6216)</f>
      </c>
      <c r="O752" s="11">
        <f>IFERROR(__xludf.DUMMYFUNCTION("""COMPUTED_VALUE"""),434.69)</f>
      </c>
      <c r="P752" s="12"/>
      <c r="Q752" s="12"/>
      <c r="R752" s="15"/>
      <c r="S752" s="12"/>
      <c r="T752" s="12"/>
      <c r="U752" s="12"/>
      <c r="V752" s="12"/>
      <c r="W752" s="12"/>
      <c r="X752" s="12"/>
      <c r="Y752" s="12"/>
      <c r="Z752" s="12"/>
    </row>
    <row x14ac:dyDescent="0.25" r="753" customHeight="1" ht="15.75">
      <c r="A753" s="8">
        <f>IFERROR(__xludf.DUMMYFUNCTION("""COMPUTED_VALUE"""),25930.0)</f>
      </c>
      <c r="B753" s="9">
        <f>IFERROR(__xludf.DUMMYFUNCTION("""COMPUTED_VALUE"""),"METROPOLITANA VII")</f>
      </c>
      <c r="C753" s="9">
        <f>IFERROR(__xludf.DUMMYFUNCTION("""COMPUTED_VALUE"""),"CIEP 388 LASAR SEGALL")</f>
      </c>
      <c r="D753" s="10">
        <f>IFERROR(__xludf.DUMMYFUNCTION("""COMPUTED_VALUE"""),0.7671)</f>
      </c>
      <c r="E753" s="11">
        <f>IFERROR(__xludf.DUMMYFUNCTION("""COMPUTED_VALUE"""),223.09)</f>
      </c>
      <c r="F753" s="10">
        <f>IFERROR(__xludf.DUMMYFUNCTION("""COMPUTED_VALUE"""),0.4384)</f>
      </c>
      <c r="G753" s="11">
        <f>IFERROR(__xludf.DUMMYFUNCTION("""COMPUTED_VALUE"""),406.98)</f>
      </c>
      <c r="H753" s="10">
        <f>IFERROR(__xludf.DUMMYFUNCTION("""COMPUTED_VALUE"""),0.5411)</f>
      </c>
      <c r="I753" s="11">
        <f>IFERROR(__xludf.DUMMYFUNCTION("""COMPUTED_VALUE"""),426.49)</f>
      </c>
      <c r="J753" s="10">
        <f>IFERROR(__xludf.DUMMYFUNCTION("""COMPUTED_VALUE"""),0.5822)</f>
      </c>
      <c r="K753" s="11">
        <f>IFERROR(__xludf.DUMMYFUNCTION("""COMPUTED_VALUE"""),294.15)</f>
      </c>
      <c r="L753" s="10">
        <f>IFERROR(__xludf.DUMMYFUNCTION("""COMPUTED_VALUE"""),0.5753)</f>
      </c>
      <c r="M753" s="11">
        <f>IFERROR(__xludf.DUMMYFUNCTION("""COMPUTED_VALUE"""),444.76)</f>
      </c>
      <c r="N753" s="10">
        <f>IFERROR(__xludf.DUMMYFUNCTION("""COMPUTED_VALUE"""),0.4932)</f>
      </c>
      <c r="O753" s="11">
        <f>IFERROR(__xludf.DUMMYFUNCTION("""COMPUTED_VALUE"""),460.0)</f>
      </c>
      <c r="P753" s="12"/>
      <c r="Q753" s="12"/>
      <c r="R753" s="15"/>
      <c r="S753" s="12"/>
      <c r="T753" s="12"/>
      <c r="U753" s="12"/>
      <c r="V753" s="12"/>
      <c r="W753" s="12"/>
      <c r="X753" s="12"/>
      <c r="Y753" s="12"/>
      <c r="Z753" s="12"/>
    </row>
    <row x14ac:dyDescent="0.25" r="754" customHeight="1" ht="15.75">
      <c r="A754" s="8">
        <f>IFERROR(__xludf.DUMMYFUNCTION("""COMPUTED_VALUE"""),25954.0)</f>
      </c>
      <c r="B754" s="9">
        <f>IFERROR(__xludf.DUMMYFUNCTION("""COMPUTED_VALUE"""),"METROPOLITANA VII")</f>
      </c>
      <c r="C754" s="9">
        <f>IFERROR(__xludf.DUMMYFUNCTION("""COMPUTED_VALUE"""),"CIEP 389 GP HAROLDO BARBOSA")</f>
      </c>
      <c r="D754" s="10">
        <f>IFERROR(__xludf.DUMMYFUNCTION("""COMPUTED_VALUE"""),0.6721)</f>
      </c>
      <c r="E754" s="11">
        <f>IFERROR(__xludf.DUMMYFUNCTION("""COMPUTED_VALUE"""),247.8)</f>
      </c>
      <c r="F754" s="10">
        <f>IFERROR(__xludf.DUMMYFUNCTION("""COMPUTED_VALUE"""),0.6721)</f>
      </c>
      <c r="G754" s="11">
        <f>IFERROR(__xludf.DUMMYFUNCTION("""COMPUTED_VALUE"""),231.0)</f>
      </c>
      <c r="H754" s="10">
        <f>IFERROR(__xludf.DUMMYFUNCTION("""COMPUTED_VALUE"""),0.9836)</f>
      </c>
      <c r="I754" s="11">
        <f>IFERROR(__xludf.DUMMYFUNCTION("""COMPUTED_VALUE"""),302.0)</f>
      </c>
      <c r="J754" s="10">
        <f>IFERROR(__xludf.DUMMYFUNCTION("""COMPUTED_VALUE"""),0.8361)</f>
      </c>
      <c r="K754" s="11">
        <f>IFERROR(__xludf.DUMMYFUNCTION("""COMPUTED_VALUE"""),200.8)</f>
      </c>
      <c r="L754" s="10">
        <f>IFERROR(__xludf.DUMMYFUNCTION("""COMPUTED_VALUE"""),0.7377)</f>
      </c>
      <c r="M754" s="11">
        <f>IFERROR(__xludf.DUMMYFUNCTION("""COMPUTED_VALUE"""),356.44)</f>
      </c>
      <c r="N754" s="10">
        <f>IFERROR(__xludf.DUMMYFUNCTION("""COMPUTED_VALUE"""),0.7377)</f>
      </c>
      <c r="O754" s="11">
        <f>IFERROR(__xludf.DUMMYFUNCTION("""COMPUTED_VALUE"""),327.11)</f>
      </c>
      <c r="P754" s="12"/>
      <c r="Q754" s="12"/>
      <c r="R754" s="15"/>
      <c r="S754" s="12"/>
      <c r="T754" s="12"/>
      <c r="U754" s="12"/>
      <c r="V754" s="12"/>
      <c r="W754" s="12"/>
      <c r="X754" s="12"/>
      <c r="Y754" s="12"/>
      <c r="Z754" s="12"/>
    </row>
    <row x14ac:dyDescent="0.25" r="755" customHeight="1" ht="15.75">
      <c r="A755" s="8">
        <f>IFERROR(__xludf.DUMMYFUNCTION("""COMPUTED_VALUE"""),25988.0)</f>
      </c>
      <c r="B755" s="9">
        <f>IFERROR(__xludf.DUMMYFUNCTION("""COMPUTED_VALUE"""),"METROPOLITANA VII")</f>
      </c>
      <c r="C755" s="9">
        <f>IFERROR(__xludf.DUMMYFUNCTION("""COMPUTED_VALUE"""),"CIEP 397 PAULO PONTES")</f>
      </c>
      <c r="D755" s="10">
        <f>IFERROR(__xludf.DUMMYFUNCTION("""COMPUTED_VALUE"""),0.8675)</f>
      </c>
      <c r="E755" s="11">
        <f>IFERROR(__xludf.DUMMYFUNCTION("""COMPUTED_VALUE"""),314.63)</f>
      </c>
      <c r="F755" s="10">
        <f>IFERROR(__xludf.DUMMYFUNCTION("""COMPUTED_VALUE"""),0.996)</f>
      </c>
      <c r="G755" s="11">
        <f>IFERROR(__xludf.DUMMYFUNCTION("""COMPUTED_VALUE"""),359.67)</f>
      </c>
      <c r="H755" s="10">
        <f>IFERROR(__xludf.DUMMYFUNCTION("""COMPUTED_VALUE"""),0.8153)</f>
      </c>
      <c r="I755" s="11">
        <f>IFERROR(__xludf.DUMMYFUNCTION("""COMPUTED_VALUE"""),472.28)</f>
      </c>
      <c r="J755" s="10">
        <f>IFERROR(__xludf.DUMMYFUNCTION("""COMPUTED_VALUE"""),0.8554)</f>
      </c>
      <c r="K755" s="11">
        <f>IFERROR(__xludf.DUMMYFUNCTION("""COMPUTED_VALUE"""),394.29)</f>
      </c>
      <c r="L755" s="10">
        <f>IFERROR(__xludf.DUMMYFUNCTION("""COMPUTED_VALUE"""),0.8514)</f>
      </c>
      <c r="M755" s="11">
        <f>IFERROR(__xludf.DUMMYFUNCTION("""COMPUTED_VALUE"""),480.95)</f>
      </c>
      <c r="N755" s="10">
        <f>IFERROR(__xludf.DUMMYFUNCTION("""COMPUTED_VALUE"""),0.751)</f>
      </c>
      <c r="O755" s="11">
        <f>IFERROR(__xludf.DUMMYFUNCTION("""COMPUTED_VALUE"""),489.63)</f>
      </c>
      <c r="P755" s="12"/>
      <c r="Q755" s="12"/>
      <c r="R755" s="15"/>
      <c r="S755" s="12"/>
      <c r="T755" s="12"/>
      <c r="U755" s="12"/>
      <c r="V755" s="12"/>
      <c r="W755" s="12"/>
      <c r="X755" s="12"/>
      <c r="Y755" s="12"/>
      <c r="Z755" s="12"/>
    </row>
    <row x14ac:dyDescent="0.25" r="756" customHeight="1" ht="15.75">
      <c r="A756" s="8">
        <f>IFERROR(__xludf.DUMMYFUNCTION("""COMPUTED_VALUE"""),25989.0)</f>
      </c>
      <c r="B756" s="9">
        <f>IFERROR(__xludf.DUMMYFUNCTION("""COMPUTED_VALUE"""),"METROPOLITANA VII")</f>
      </c>
      <c r="C756" s="9">
        <f>IFERROR(__xludf.DUMMYFUNCTION("""COMPUTED_VALUE"""),"CIEP 398 MARIO LIMA")</f>
      </c>
      <c r="D756" s="10">
        <f>IFERROR(__xludf.DUMMYFUNCTION("""COMPUTED_VALUE"""),0.7536)</f>
      </c>
      <c r="E756" s="11">
        <f>IFERROR(__xludf.DUMMYFUNCTION("""COMPUTED_VALUE"""),294.92)</f>
      </c>
      <c r="F756" s="10">
        <f>IFERROR(__xludf.DUMMYFUNCTION("""COMPUTED_VALUE"""),0.4058)</f>
      </c>
      <c r="G756" s="11">
        <f>IFERROR(__xludf.DUMMYFUNCTION("""COMPUTED_VALUE"""),517.03)</f>
      </c>
      <c r="H756" s="10">
        <f>IFERROR(__xludf.DUMMYFUNCTION("""COMPUTED_VALUE"""),0.336)</f>
      </c>
      <c r="I756" s="11">
        <f>IFERROR(__xludf.DUMMYFUNCTION("""COMPUTED_VALUE"""),457.46)</f>
      </c>
      <c r="J756" s="10">
        <f>IFERROR(__xludf.DUMMYFUNCTION("""COMPUTED_VALUE"""),0.3984)</f>
      </c>
      <c r="K756" s="11">
        <f>IFERROR(__xludf.DUMMYFUNCTION("""COMPUTED_VALUE"""),368.78)</f>
      </c>
      <c r="L756" s="10">
        <f>IFERROR(__xludf.DUMMYFUNCTION("""COMPUTED_VALUE"""),0.288)</f>
      </c>
      <c r="M756" s="11">
        <f>IFERROR(__xludf.DUMMYFUNCTION("""COMPUTED_VALUE"""),470.1)</f>
      </c>
      <c r="N756" s="10">
        <f>IFERROR(__xludf.DUMMYFUNCTION("""COMPUTED_VALUE"""),0.408)</f>
      </c>
      <c r="O756" s="11">
        <f>IFERROR(__xludf.DUMMYFUNCTION("""COMPUTED_VALUE"""),418.82)</f>
      </c>
      <c r="P756" s="12"/>
      <c r="Q756" s="12"/>
      <c r="R756" s="15"/>
      <c r="S756" s="12"/>
      <c r="T756" s="12"/>
      <c r="U756" s="12"/>
      <c r="V756" s="12"/>
      <c r="W756" s="12"/>
      <c r="X756" s="12"/>
      <c r="Y756" s="12"/>
      <c r="Z756" s="12"/>
    </row>
    <row x14ac:dyDescent="0.25" r="757" customHeight="1" ht="15.75">
      <c r="A757" s="8">
        <f>IFERROR(__xludf.DUMMYFUNCTION("""COMPUTED_VALUE"""),25990.0)</f>
      </c>
      <c r="B757" s="9">
        <f>IFERROR(__xludf.DUMMYFUNCTION("""COMPUTED_VALUE"""),"METROPOLITANA VII")</f>
      </c>
      <c r="C757" s="9">
        <f>IFERROR(__xludf.DUMMYFUNCTION("""COMPUTED_VALUE"""),"CIEP 399 JEAN BAPTISTE DEBRET")</f>
      </c>
      <c r="D757" s="10">
        <f>IFERROR(__xludf.DUMMYFUNCTION("""COMPUTED_VALUE"""),0.7561)</f>
      </c>
      <c r="E757" s="11">
        <f>IFERROR(__xludf.DUMMYFUNCTION("""COMPUTED_VALUE"""),203.23)</f>
      </c>
      <c r="F757" s="10">
        <f>IFERROR(__xludf.DUMMYFUNCTION("""COMPUTED_VALUE"""),0.6341)</f>
      </c>
      <c r="G757" s="11">
        <f>IFERROR(__xludf.DUMMYFUNCTION("""COMPUTED_VALUE"""),332.5)</f>
      </c>
      <c r="H757" s="10">
        <f>IFERROR(__xludf.DUMMYFUNCTION("""COMPUTED_VALUE"""),0.7653)</f>
      </c>
      <c r="I757" s="11">
        <f>IFERROR(__xludf.DUMMYFUNCTION("""COMPUTED_VALUE"""),284.38)</f>
      </c>
      <c r="J757" s="10">
        <f>IFERROR(__xludf.DUMMYFUNCTION("""COMPUTED_VALUE"""),0.5714)</f>
      </c>
      <c r="K757" s="11">
        <f>IFERROR(__xludf.DUMMYFUNCTION("""COMPUTED_VALUE"""),306.92)</f>
      </c>
      <c r="L757" s="10">
        <f>IFERROR(__xludf.DUMMYFUNCTION("""COMPUTED_VALUE"""),0.5408)</f>
      </c>
      <c r="M757" s="11">
        <f>IFERROR(__xludf.DUMMYFUNCTION("""COMPUTED_VALUE"""),290.2)</f>
      </c>
      <c r="N757" s="10">
        <f>IFERROR(__xludf.DUMMYFUNCTION("""COMPUTED_VALUE"""),0.3571)</f>
      </c>
      <c r="O757" s="11">
        <f>IFERROR(__xludf.DUMMYFUNCTION("""COMPUTED_VALUE"""),329.41)</f>
      </c>
      <c r="P757" s="12"/>
      <c r="Q757" s="12"/>
      <c r="R757" s="15"/>
      <c r="S757" s="12"/>
      <c r="T757" s="12"/>
      <c r="U757" s="12"/>
      <c r="V757" s="12"/>
      <c r="W757" s="12"/>
      <c r="X757" s="12"/>
      <c r="Y757" s="12"/>
      <c r="Z757" s="12"/>
    </row>
    <row x14ac:dyDescent="0.25" r="758" customHeight="1" ht="15.75">
      <c r="A758" s="8">
        <f>IFERROR(__xludf.DUMMYFUNCTION("""COMPUTED_VALUE"""),25991.0)</f>
      </c>
      <c r="B758" s="9">
        <f>IFERROR(__xludf.DUMMYFUNCTION("""COMPUTED_VALUE"""),"METROPOLITANA VII")</f>
      </c>
      <c r="C758" s="9">
        <f>IFERROR(__xludf.DUMMYFUNCTION("""COMPUTED_VALUE"""),"CIEP 400 GP OSWALD DE ANDRADE")</f>
      </c>
      <c r="D758" s="10">
        <f>IFERROR(__xludf.DUMMYFUNCTION("""COMPUTED_VALUE"""),0.8812)</f>
      </c>
      <c r="E758" s="11">
        <f>IFERROR(__xludf.DUMMYFUNCTION("""COMPUTED_VALUE"""),181.0)</f>
      </c>
      <c r="F758" s="10">
        <f>IFERROR(__xludf.DUMMYFUNCTION("""COMPUTED_VALUE"""),0.7624)</f>
      </c>
      <c r="G758" s="11">
        <f>IFERROR(__xludf.DUMMYFUNCTION("""COMPUTED_VALUE"""),331.95)</f>
      </c>
      <c r="H758" s="10">
        <f>IFERROR(__xludf.DUMMYFUNCTION("""COMPUTED_VALUE"""),0.7129)</f>
      </c>
      <c r="I758" s="11">
        <f>IFERROR(__xludf.DUMMYFUNCTION("""COMPUTED_VALUE"""),386.48)</f>
      </c>
      <c r="J758" s="10">
        <f>IFERROR(__xludf.DUMMYFUNCTION("""COMPUTED_VALUE"""),0.5743)</f>
      </c>
      <c r="K758" s="11">
        <f>IFERROR(__xludf.DUMMYFUNCTION("""COMPUTED_VALUE"""),231.03)</f>
      </c>
      <c r="L758" s="10">
        <f>IFERROR(__xludf.DUMMYFUNCTION("""COMPUTED_VALUE"""),0.7228)</f>
      </c>
      <c r="M758" s="11">
        <f>IFERROR(__xludf.DUMMYFUNCTION("""COMPUTED_VALUE"""),362.19)</f>
      </c>
      <c r="N758" s="10">
        <f>IFERROR(__xludf.DUMMYFUNCTION("""COMPUTED_VALUE"""),0.4455)</f>
      </c>
      <c r="O758" s="11">
        <f>IFERROR(__xludf.DUMMYFUNCTION("""COMPUTED_VALUE"""),257.78)</f>
      </c>
      <c r="P758" s="12"/>
      <c r="Q758" s="12"/>
      <c r="R758" s="15"/>
      <c r="S758" s="12"/>
      <c r="T758" s="12"/>
      <c r="U758" s="12"/>
      <c r="V758" s="12"/>
      <c r="W758" s="12"/>
      <c r="X758" s="12"/>
      <c r="Y758" s="12"/>
      <c r="Z758" s="12"/>
    </row>
    <row x14ac:dyDescent="0.25" r="759" customHeight="1" ht="15.75">
      <c r="A759" s="8">
        <f>IFERROR(__xludf.DUMMYFUNCTION("""COMPUTED_VALUE"""),25955.0)</f>
      </c>
      <c r="B759" s="9">
        <f>IFERROR(__xludf.DUMMYFUNCTION("""COMPUTED_VALUE"""),"METROPOLITANA VII")</f>
      </c>
      <c r="C759" s="9">
        <f>IFERROR(__xludf.DUMMYFUNCTION("""COMPUTED_VALUE"""),"IE CARLOS PASQUALE")</f>
      </c>
      <c r="D759" s="10">
        <f>IFERROR(__xludf.DUMMYFUNCTION("""COMPUTED_VALUE"""),0.7115)</f>
      </c>
      <c r="E759" s="11">
        <f>IFERROR(__xludf.DUMMYFUNCTION("""COMPUTED_VALUE"""),347.92)</f>
      </c>
      <c r="F759" s="10">
        <f>IFERROR(__xludf.DUMMYFUNCTION("""COMPUTED_VALUE"""),0.6891)</f>
      </c>
      <c r="G759" s="11">
        <f>IFERROR(__xludf.DUMMYFUNCTION("""COMPUTED_VALUE"""),474.53)</f>
      </c>
      <c r="H759" s="10">
        <f>IFERROR(__xludf.DUMMYFUNCTION("""COMPUTED_VALUE"""),0.5878)</f>
      </c>
      <c r="I759" s="11">
        <f>IFERROR(__xludf.DUMMYFUNCTION("""COMPUTED_VALUE"""),492.61)</f>
      </c>
      <c r="J759" s="10">
        <f>IFERROR(__xludf.DUMMYFUNCTION("""COMPUTED_VALUE"""),0.5207)</f>
      </c>
      <c r="K759" s="11">
        <f>IFERROR(__xludf.DUMMYFUNCTION("""COMPUTED_VALUE"""),433.0)</f>
      </c>
      <c r="L759" s="10">
        <f>IFERROR(__xludf.DUMMYFUNCTION("""COMPUTED_VALUE"""),0.5439)</f>
      </c>
      <c r="M759" s="11">
        <f>IFERROR(__xludf.DUMMYFUNCTION("""COMPUTED_VALUE"""),485.03)</f>
      </c>
      <c r="N759" s="10">
        <f>IFERROR(__xludf.DUMMYFUNCTION("""COMPUTED_VALUE"""),0.4634)</f>
      </c>
      <c r="O759" s="11">
        <f>IFERROR(__xludf.DUMMYFUNCTION("""COMPUTED_VALUE"""),445.48)</f>
      </c>
      <c r="P759" s="12"/>
      <c r="Q759" s="12"/>
      <c r="R759" s="15"/>
      <c r="S759" s="12"/>
      <c r="T759" s="12"/>
      <c r="U759" s="12"/>
      <c r="V759" s="12"/>
      <c r="W759" s="12"/>
      <c r="X759" s="12"/>
      <c r="Y759" s="12"/>
      <c r="Z759" s="12"/>
    </row>
    <row x14ac:dyDescent="0.25" r="760" customHeight="1" ht="15.75">
      <c r="A760" s="8">
        <f>IFERROR(__xludf.DUMMYFUNCTION("""COMPUTED_VALUE"""),25021.0)</f>
      </c>
      <c r="B760" s="9">
        <f>IFERROR(__xludf.DUMMYFUNCTION("""COMPUTED_VALUE"""),"NOROESTE FLUMINENSE")</f>
      </c>
      <c r="C760" s="9">
        <f>IFERROR(__xludf.DUMMYFUNCTION("""COMPUTED_VALUE"""),"CE AGRICOLA PROFESSOR LUIZ PAULO RODRIGUES")</f>
      </c>
      <c r="D760" s="10">
        <f>IFERROR(__xludf.DUMMYFUNCTION("""COMPUTED_VALUE"""),1.0)</f>
      </c>
      <c r="E760" s="11">
        <f>IFERROR(__xludf.DUMMYFUNCTION("""COMPUTED_VALUE"""),358.37)</f>
      </c>
      <c r="F760" s="10">
        <f>IFERROR(__xludf.DUMMYFUNCTION("""COMPUTED_VALUE"""),0.8571)</f>
      </c>
      <c r="G760" s="11">
        <f>IFERROR(__xludf.DUMMYFUNCTION("""COMPUTED_VALUE"""),463.41)</f>
      </c>
      <c r="H760" s="10">
        <f>IFERROR(__xludf.DUMMYFUNCTION("""COMPUTED_VALUE"""),0.8571)</f>
      </c>
      <c r="I760" s="11">
        <f>IFERROR(__xludf.DUMMYFUNCTION("""COMPUTED_VALUE"""),492.68)</f>
      </c>
      <c r="J760" s="10">
        <f>IFERROR(__xludf.DUMMYFUNCTION("""COMPUTED_VALUE"""),0.898)</f>
      </c>
      <c r="K760" s="11">
        <f>IFERROR(__xludf.DUMMYFUNCTION("""COMPUTED_VALUE"""),461.82)</f>
      </c>
      <c r="L760" s="10">
        <f>IFERROR(__xludf.DUMMYFUNCTION("""COMPUTED_VALUE"""),0.8163)</f>
      </c>
      <c r="M760" s="11">
        <f>IFERROR(__xludf.DUMMYFUNCTION("""COMPUTED_VALUE"""),512.0)</f>
      </c>
      <c r="N760" s="10">
        <f>IFERROR(__xludf.DUMMYFUNCTION("""COMPUTED_VALUE"""),0.7551)</f>
      </c>
      <c r="O760" s="11">
        <f>IFERROR(__xludf.DUMMYFUNCTION("""COMPUTED_VALUE"""),489.73)</f>
      </c>
      <c r="P760" s="12"/>
      <c r="Q760" s="12"/>
      <c r="R760" s="15"/>
      <c r="S760" s="12"/>
      <c r="T760" s="12"/>
      <c r="U760" s="12"/>
      <c r="V760" s="12"/>
      <c r="W760" s="12"/>
      <c r="X760" s="12"/>
      <c r="Y760" s="12"/>
      <c r="Z760" s="12"/>
    </row>
    <row x14ac:dyDescent="0.25" r="761" customHeight="1" ht="15.75">
      <c r="A761" s="8">
        <f>IFERROR(__xludf.DUMMYFUNCTION("""COMPUTED_VALUE"""),25003.0)</f>
      </c>
      <c r="B761" s="9">
        <f>IFERROR(__xludf.DUMMYFUNCTION("""COMPUTED_VALUE"""),"NOROESTE FLUMINENSE")</f>
      </c>
      <c r="C761" s="9">
        <f>IFERROR(__xludf.DUMMYFUNCTION("""COMPUTED_VALUE"""),"CE ALCINDA LOPES PEREIRA PINTO")</f>
      </c>
      <c r="D761" s="10">
        <f>IFERROR(__xludf.DUMMYFUNCTION("""COMPUTED_VALUE"""),0.9333)</f>
      </c>
      <c r="E761" s="11">
        <f>IFERROR(__xludf.DUMMYFUNCTION("""COMPUTED_VALUE"""),90.0)</f>
      </c>
      <c r="F761" s="10">
        <f>IFERROR(__xludf.DUMMYFUNCTION("""COMPUTED_VALUE"""),0.4667)</f>
      </c>
      <c r="G761" s="11">
        <f>IFERROR(__xludf.DUMMYFUNCTION("""COMPUTED_VALUE"""),440.0)</f>
      </c>
      <c r="H761" s="10">
        <f>IFERROR(__xludf.DUMMYFUNCTION("""COMPUTED_VALUE"""),0.8)</f>
      </c>
      <c r="I761" s="11">
        <f>IFERROR(__xludf.DUMMYFUNCTION("""COMPUTED_VALUE"""),305.45)</f>
      </c>
      <c r="J761" s="10">
        <f>IFERROR(__xludf.DUMMYFUNCTION("""COMPUTED_VALUE"""),0.7333)</f>
      </c>
      <c r="K761" s="11">
        <f>IFERROR(__xludf.DUMMYFUNCTION("""COMPUTED_VALUE"""),288.89)</f>
      </c>
      <c r="L761" s="10">
        <f>IFERROR(__xludf.DUMMYFUNCTION("""COMPUTED_VALUE"""),0.7333)</f>
      </c>
      <c r="M761" s="11">
        <f>IFERROR(__xludf.DUMMYFUNCTION("""COMPUTED_VALUE"""),356.36)</f>
      </c>
      <c r="N761" s="10">
        <f>IFERROR(__xludf.DUMMYFUNCTION("""COMPUTED_VALUE"""),0.8)</f>
      </c>
      <c r="O761" s="11">
        <f>IFERROR(__xludf.DUMMYFUNCTION("""COMPUTED_VALUE"""),386.67)</f>
      </c>
      <c r="P761" s="12"/>
      <c r="Q761" s="12"/>
      <c r="R761" s="15"/>
      <c r="S761" s="12"/>
      <c r="T761" s="12"/>
      <c r="U761" s="12"/>
      <c r="V761" s="12"/>
      <c r="W761" s="12"/>
      <c r="X761" s="12"/>
      <c r="Y761" s="12"/>
      <c r="Z761" s="12"/>
    </row>
    <row x14ac:dyDescent="0.25" r="762" customHeight="1" ht="15.75">
      <c r="A762" s="8">
        <f>IFERROR(__xludf.DUMMYFUNCTION("""COMPUTED_VALUE"""),25050.0)</f>
      </c>
      <c r="B762" s="9">
        <f>IFERROR(__xludf.DUMMYFUNCTION("""COMPUTED_VALUE"""),"NOROESTE FLUMINENSE")</f>
      </c>
      <c r="C762" s="9">
        <f>IFERROR(__xludf.DUMMYFUNCTION("""COMPUTED_VALUE"""),"CE ALMIRANTE BARÃO DE TEFFE")</f>
      </c>
      <c r="D762" s="10">
        <f>IFERROR(__xludf.DUMMYFUNCTION("""COMPUTED_VALUE"""),0.9161)</f>
      </c>
      <c r="E762" s="11">
        <f>IFERROR(__xludf.DUMMYFUNCTION("""COMPUTED_VALUE"""),309.58)</f>
      </c>
      <c r="F762" s="10">
        <f>IFERROR(__xludf.DUMMYFUNCTION("""COMPUTED_VALUE"""),0.7613)</f>
      </c>
      <c r="G762" s="11">
        <f>IFERROR(__xludf.DUMMYFUNCTION("""COMPUTED_VALUE"""),426.44)</f>
      </c>
      <c r="H762" s="10">
        <f>IFERROR(__xludf.DUMMYFUNCTION("""COMPUTED_VALUE"""),0.8323)</f>
      </c>
      <c r="I762" s="11">
        <f>IFERROR(__xludf.DUMMYFUNCTION("""COMPUTED_VALUE"""),463.17)</f>
      </c>
      <c r="J762" s="10">
        <f>IFERROR(__xludf.DUMMYFUNCTION("""COMPUTED_VALUE"""),0.7742)</f>
      </c>
      <c r="K762" s="11">
        <f>IFERROR(__xludf.DUMMYFUNCTION("""COMPUTED_VALUE"""),404.1)</f>
      </c>
      <c r="L762" s="10">
        <f>IFERROR(__xludf.DUMMYFUNCTION("""COMPUTED_VALUE"""),0.6839)</f>
      </c>
      <c r="M762" s="11">
        <f>IFERROR(__xludf.DUMMYFUNCTION("""COMPUTED_VALUE"""),473.96)</f>
      </c>
      <c r="N762" s="10">
        <f>IFERROR(__xludf.DUMMYFUNCTION("""COMPUTED_VALUE"""),0.7419)</f>
      </c>
      <c r="O762" s="11">
        <f>IFERROR(__xludf.DUMMYFUNCTION("""COMPUTED_VALUE"""),477.19)</f>
      </c>
      <c r="P762" s="12"/>
      <c r="Q762" s="12"/>
      <c r="R762" s="15"/>
      <c r="S762" s="12"/>
      <c r="T762" s="12"/>
      <c r="U762" s="12"/>
      <c r="V762" s="12"/>
      <c r="W762" s="12"/>
      <c r="X762" s="12"/>
      <c r="Y762" s="12"/>
      <c r="Z762" s="12"/>
    </row>
    <row x14ac:dyDescent="0.25" r="763" customHeight="1" ht="15.75">
      <c r="A763" s="8">
        <f>IFERROR(__xludf.DUMMYFUNCTION("""COMPUTED_VALUE"""),25022.0)</f>
      </c>
      <c r="B763" s="9">
        <f>IFERROR(__xludf.DUMMYFUNCTION("""COMPUTED_VALUE"""),"NOROESTE FLUMINENSE")</f>
      </c>
      <c r="C763" s="9">
        <f>IFERROR(__xludf.DUMMYFUNCTION("""COMPUTED_VALUE"""),"CE BUARQUE DE NAZARETH")</f>
      </c>
      <c r="D763" s="10">
        <f>IFERROR(__xludf.DUMMYFUNCTION("""COMPUTED_VALUE"""),0.9316)</f>
      </c>
      <c r="E763" s="11">
        <f>IFERROR(__xludf.DUMMYFUNCTION("""COMPUTED_VALUE"""),256.03)</f>
      </c>
      <c r="F763" s="10">
        <f>IFERROR(__xludf.DUMMYFUNCTION("""COMPUTED_VALUE"""),0.8547)</f>
      </c>
      <c r="G763" s="11">
        <f>IFERROR(__xludf.DUMMYFUNCTION("""COMPUTED_VALUE"""),212.0)</f>
      </c>
      <c r="H763" s="10">
        <f>IFERROR(__xludf.DUMMYFUNCTION("""COMPUTED_VALUE"""),0.8125)</f>
      </c>
      <c r="I763" s="11">
        <f>IFERROR(__xludf.DUMMYFUNCTION("""COMPUTED_VALUE"""),331.54)</f>
      </c>
      <c r="J763" s="10">
        <f>IFERROR(__xludf.DUMMYFUNCTION("""COMPUTED_VALUE"""),0.6261)</f>
      </c>
      <c r="K763" s="11">
        <f>IFERROR(__xludf.DUMMYFUNCTION("""COMPUTED_VALUE"""),"----")</f>
      </c>
      <c r="L763" s="10">
        <f>IFERROR(__xludf.DUMMYFUNCTION("""COMPUTED_VALUE"""),0.5859)</f>
      </c>
      <c r="M763" s="11">
        <f>IFERROR(__xludf.DUMMYFUNCTION("""COMPUTED_VALUE"""),358.94)</f>
      </c>
      <c r="N763" s="10">
        <f>IFERROR(__xludf.DUMMYFUNCTION("""COMPUTED_VALUE"""),0.6484)</f>
      </c>
      <c r="O763" s="11">
        <f>IFERROR(__xludf.DUMMYFUNCTION("""COMPUTED_VALUE"""),397.68)</f>
      </c>
      <c r="P763" s="12"/>
      <c r="Q763" s="12"/>
      <c r="R763" s="15"/>
      <c r="S763" s="12"/>
      <c r="T763" s="12"/>
      <c r="U763" s="12"/>
      <c r="V763" s="12"/>
      <c r="W763" s="12"/>
      <c r="X763" s="12"/>
      <c r="Y763" s="12"/>
      <c r="Z763" s="12"/>
    </row>
    <row x14ac:dyDescent="0.25" r="764" customHeight="1" ht="15.75">
      <c r="A764" s="8">
        <f>IFERROR(__xludf.DUMMYFUNCTION("""COMPUTED_VALUE"""),25023.0)</f>
      </c>
      <c r="B764" s="9">
        <f>IFERROR(__xludf.DUMMYFUNCTION("""COMPUTED_VALUE"""),"NOROESTE FLUMINENSE")</f>
      </c>
      <c r="C764" s="9">
        <f>IFERROR(__xludf.DUMMYFUNCTION("""COMPUTED_VALUE"""),"CE CHEQUER JORGE")</f>
      </c>
      <c r="D764" s="10">
        <f>IFERROR(__xludf.DUMMYFUNCTION("""COMPUTED_VALUE"""),0.9789)</f>
      </c>
      <c r="E764" s="11">
        <f>IFERROR(__xludf.DUMMYFUNCTION("""COMPUTED_VALUE"""),403.66)</f>
      </c>
      <c r="F764" s="10">
        <f>IFERROR(__xludf.DUMMYFUNCTION("""COMPUTED_VALUE"""),0.8842)</f>
      </c>
      <c r="G764" s="11">
        <f>IFERROR(__xludf.DUMMYFUNCTION("""COMPUTED_VALUE"""),"----")</f>
      </c>
      <c r="H764" s="10">
        <f>IFERROR(__xludf.DUMMYFUNCTION("""COMPUTED_VALUE"""),0.8832)</f>
      </c>
      <c r="I764" s="11">
        <f>IFERROR(__xludf.DUMMYFUNCTION("""COMPUTED_VALUE"""),531.64)</f>
      </c>
      <c r="J764" s="10">
        <f>IFERROR(__xludf.DUMMYFUNCTION("""COMPUTED_VALUE"""),0.9286)</f>
      </c>
      <c r="K764" s="11">
        <f>IFERROR(__xludf.DUMMYFUNCTION("""COMPUTED_VALUE"""),453.65)</f>
      </c>
      <c r="L764" s="10">
        <f>IFERROR(__xludf.DUMMYFUNCTION("""COMPUTED_VALUE"""),0.8883)</f>
      </c>
      <c r="M764" s="11">
        <f>IFERROR(__xludf.DUMMYFUNCTION("""COMPUTED_VALUE"""),540.8)</f>
      </c>
      <c r="N764" s="10">
        <f>IFERROR(__xludf.DUMMYFUNCTION("""COMPUTED_VALUE"""),0.8173)</f>
      </c>
      <c r="O764" s="11">
        <f>IFERROR(__xludf.DUMMYFUNCTION("""COMPUTED_VALUE"""),474.5)</f>
      </c>
      <c r="P764" s="12"/>
      <c r="Q764" s="12"/>
      <c r="R764" s="15"/>
      <c r="S764" s="12"/>
      <c r="T764" s="12"/>
      <c r="U764" s="12"/>
      <c r="V764" s="12"/>
      <c r="W764" s="12"/>
      <c r="X764" s="12"/>
      <c r="Y764" s="12"/>
      <c r="Z764" s="12"/>
    </row>
    <row x14ac:dyDescent="0.25" r="765" customHeight="1" ht="15.75">
      <c r="A765" s="8">
        <f>IFERROR(__xludf.DUMMYFUNCTION("""COMPUTED_VALUE"""),25042.0)</f>
      </c>
      <c r="B765" s="9">
        <f>IFERROR(__xludf.DUMMYFUNCTION("""COMPUTED_VALUE"""),"NOROESTE FLUMINENSE")</f>
      </c>
      <c r="C765" s="9">
        <f>IFERROR(__xludf.DUMMYFUNCTION("""COMPUTED_VALUE"""),"CE CORONEL JOSÉ ROSA DA SILVA")</f>
      </c>
      <c r="D765" s="10">
        <f>IFERROR(__xludf.DUMMYFUNCTION("""COMPUTED_VALUE"""),0.8485)</f>
      </c>
      <c r="E765" s="11">
        <f>IFERROR(__xludf.DUMMYFUNCTION("""COMPUTED_VALUE"""),163.2)</f>
      </c>
      <c r="F765" s="10">
        <f>IFERROR(__xludf.DUMMYFUNCTION("""COMPUTED_VALUE"""),0.6667)</f>
      </c>
      <c r="G765" s="11">
        <f>IFERROR(__xludf.DUMMYFUNCTION("""COMPUTED_VALUE"""),341.82)</f>
      </c>
      <c r="H765" s="10">
        <f>IFERROR(__xludf.DUMMYFUNCTION("""COMPUTED_VALUE"""),0.8182)</f>
      </c>
      <c r="I765" s="11">
        <f>IFERROR(__xludf.DUMMYFUNCTION("""COMPUTED_VALUE"""),312.59)</f>
      </c>
      <c r="J765" s="10">
        <f>IFERROR(__xludf.DUMMYFUNCTION("""COMPUTED_VALUE"""),0.8788)</f>
      </c>
      <c r="K765" s="11">
        <f>IFERROR(__xludf.DUMMYFUNCTION("""COMPUTED_VALUE"""),320.0)</f>
      </c>
      <c r="L765" s="10">
        <f>IFERROR(__xludf.DUMMYFUNCTION("""COMPUTED_VALUE"""),0.9091)</f>
      </c>
      <c r="M765" s="11">
        <f>IFERROR(__xludf.DUMMYFUNCTION("""COMPUTED_VALUE"""),438.67)</f>
      </c>
      <c r="N765" s="10">
        <f>IFERROR(__xludf.DUMMYFUNCTION("""COMPUTED_VALUE"""),0.9091)</f>
      </c>
      <c r="O765" s="11">
        <f>IFERROR(__xludf.DUMMYFUNCTION("""COMPUTED_VALUE"""),426.21)</f>
      </c>
      <c r="P765" s="12"/>
      <c r="Q765" s="12"/>
      <c r="R765" s="15"/>
      <c r="S765" s="12"/>
      <c r="T765" s="12"/>
      <c r="U765" s="12"/>
      <c r="V765" s="12"/>
      <c r="W765" s="12"/>
      <c r="X765" s="12"/>
      <c r="Y765" s="12"/>
      <c r="Z765" s="12"/>
    </row>
    <row x14ac:dyDescent="0.25" r="766" customHeight="1" ht="15.75">
      <c r="A766" s="8">
        <f>IFERROR(__xludf.DUMMYFUNCTION("""COMPUTED_VALUE"""),25037.0)</f>
      </c>
      <c r="B766" s="9">
        <f>IFERROR(__xludf.DUMMYFUNCTION("""COMPUTED_VALUE"""),"NOROESTE FLUMINENSE")</f>
      </c>
      <c r="C766" s="9">
        <f>IFERROR(__xludf.DUMMYFUNCTION("""COMPUTED_VALUE"""),"CE DEODATO LINHARES")</f>
      </c>
      <c r="D766" s="10">
        <f>IFERROR(__xludf.DUMMYFUNCTION("""COMPUTED_VALUE"""),0.93)</f>
      </c>
      <c r="E766" s="11">
        <f>IFERROR(__xludf.DUMMYFUNCTION("""COMPUTED_VALUE"""),293.27)</f>
      </c>
      <c r="F766" s="10">
        <f>IFERROR(__xludf.DUMMYFUNCTION("""COMPUTED_VALUE"""),0.6296)</f>
      </c>
      <c r="G766" s="11">
        <f>IFERROR(__xludf.DUMMYFUNCTION("""COMPUTED_VALUE"""),"----")</f>
      </c>
      <c r="H766" s="10">
        <f>IFERROR(__xludf.DUMMYFUNCTION("""COMPUTED_VALUE"""),0.729)</f>
      </c>
      <c r="I766" s="11">
        <f>IFERROR(__xludf.DUMMYFUNCTION("""COMPUTED_VALUE"""),465.45)</f>
      </c>
      <c r="J766" s="10">
        <f>IFERROR(__xludf.DUMMYFUNCTION("""COMPUTED_VALUE"""),0.5976)</f>
      </c>
      <c r="K766" s="11">
        <f>IFERROR(__xludf.DUMMYFUNCTION("""COMPUTED_VALUE"""),"----")</f>
      </c>
      <c r="L766" s="10">
        <f>IFERROR(__xludf.DUMMYFUNCTION("""COMPUTED_VALUE"""),0.7672)</f>
      </c>
      <c r="M766" s="11">
        <f>IFERROR(__xludf.DUMMYFUNCTION("""COMPUTED_VALUE"""),506.18)</f>
      </c>
      <c r="N766" s="10">
        <f>IFERROR(__xludf.DUMMYFUNCTION("""COMPUTED_VALUE"""),0.5458)</f>
      </c>
      <c r="O766" s="11">
        <f>IFERROR(__xludf.DUMMYFUNCTION("""COMPUTED_VALUE"""),510.42)</f>
      </c>
      <c r="P766" s="12"/>
      <c r="Q766" s="12"/>
      <c r="R766" s="15"/>
      <c r="S766" s="12"/>
      <c r="T766" s="12"/>
      <c r="U766" s="12"/>
      <c r="V766" s="12"/>
      <c r="W766" s="12"/>
      <c r="X766" s="12"/>
      <c r="Y766" s="12"/>
      <c r="Z766" s="12"/>
    </row>
    <row x14ac:dyDescent="0.25" r="767" customHeight="1" ht="15.75">
      <c r="A767" s="8">
        <f>IFERROR(__xludf.DUMMYFUNCTION("""COMPUTED_VALUE"""),25046.0)</f>
      </c>
      <c r="B767" s="9">
        <f>IFERROR(__xludf.DUMMYFUNCTION("""COMPUTED_VALUE"""),"NOROESTE FLUMINENSE")</f>
      </c>
      <c r="C767" s="9">
        <f>IFERROR(__xludf.DUMMYFUNCTION("""COMPUTED_VALUE"""),"CE DEPUTADO CARLOS PINTO FILHO")</f>
      </c>
      <c r="D767" s="10">
        <f>IFERROR(__xludf.DUMMYFUNCTION("""COMPUTED_VALUE"""),0.7927)</f>
      </c>
      <c r="E767" s="11">
        <f>IFERROR(__xludf.DUMMYFUNCTION("""COMPUTED_VALUE"""),261.94)</f>
      </c>
      <c r="F767" s="10">
        <f>IFERROR(__xludf.DUMMYFUNCTION("""COMPUTED_VALUE"""),0.6341)</f>
      </c>
      <c r="G767" s="11">
        <f>IFERROR(__xludf.DUMMYFUNCTION("""COMPUTED_VALUE"""),360.77)</f>
      </c>
      <c r="H767" s="10">
        <f>IFERROR(__xludf.DUMMYFUNCTION("""COMPUTED_VALUE"""),0.622)</f>
      </c>
      <c r="I767" s="11">
        <f>IFERROR(__xludf.DUMMYFUNCTION("""COMPUTED_VALUE"""),502.75)</f>
      </c>
      <c r="J767" s="10">
        <f>IFERROR(__xludf.DUMMYFUNCTION("""COMPUTED_VALUE"""),0.5122)</f>
      </c>
      <c r="K767" s="11">
        <f>IFERROR(__xludf.DUMMYFUNCTION("""COMPUTED_VALUE"""),328.57)</f>
      </c>
      <c r="L767" s="10">
        <f>IFERROR(__xludf.DUMMYFUNCTION("""COMPUTED_VALUE"""),0.4634)</f>
      </c>
      <c r="M767" s="11">
        <f>IFERROR(__xludf.DUMMYFUNCTION("""COMPUTED_VALUE"""),469.47)</f>
      </c>
      <c r="N767" s="10">
        <f>IFERROR(__xludf.DUMMYFUNCTION("""COMPUTED_VALUE"""),0.5122)</f>
      </c>
      <c r="O767" s="11">
        <f>IFERROR(__xludf.DUMMYFUNCTION("""COMPUTED_VALUE"""),469.52)</f>
      </c>
      <c r="P767" s="12"/>
      <c r="Q767" s="12"/>
      <c r="R767" s="15"/>
      <c r="S767" s="12"/>
      <c r="T767" s="12"/>
      <c r="U767" s="12"/>
      <c r="V767" s="12"/>
      <c r="W767" s="12"/>
      <c r="X767" s="12"/>
      <c r="Y767" s="12"/>
      <c r="Z767" s="12"/>
    </row>
    <row x14ac:dyDescent="0.25" r="768" customHeight="1" ht="15.75">
      <c r="A768" s="8">
        <f>IFERROR(__xludf.DUMMYFUNCTION("""COMPUTED_VALUE"""),25024.0)</f>
      </c>
      <c r="B768" s="9">
        <f>IFERROR(__xludf.DUMMYFUNCTION("""COMPUTED_VALUE"""),"NOROESTE FLUMINENSE")</f>
      </c>
      <c r="C768" s="9">
        <f>IFERROR(__xludf.DUMMYFUNCTION("""COMPUTED_VALUE"""),"CE DEZ DE MAIO")</f>
      </c>
      <c r="D768" s="10">
        <f>IFERROR(__xludf.DUMMYFUNCTION("""COMPUTED_VALUE"""),0.9653)</f>
      </c>
      <c r="E768" s="11">
        <f>IFERROR(__xludf.DUMMYFUNCTION("""COMPUTED_VALUE"""),369.95)</f>
      </c>
      <c r="F768" s="10">
        <f>IFERROR(__xludf.DUMMYFUNCTION("""COMPUTED_VALUE"""),0.9505)</f>
      </c>
      <c r="G768" s="11">
        <f>IFERROR(__xludf.DUMMYFUNCTION("""COMPUTED_VALUE"""),460.42)</f>
      </c>
      <c r="H768" s="10">
        <f>IFERROR(__xludf.DUMMYFUNCTION("""COMPUTED_VALUE"""),0.8745)</f>
      </c>
      <c r="I768" s="11">
        <f>IFERROR(__xludf.DUMMYFUNCTION("""COMPUTED_VALUE"""),525.7)</f>
      </c>
      <c r="J768" s="10">
        <f>IFERROR(__xludf.DUMMYFUNCTION("""COMPUTED_VALUE"""),0.9004)</f>
      </c>
      <c r="K768" s="11">
        <f>IFERROR(__xludf.DUMMYFUNCTION("""COMPUTED_VALUE"""),459.62)</f>
      </c>
      <c r="L768" s="10">
        <f>IFERROR(__xludf.DUMMYFUNCTION("""COMPUTED_VALUE"""),0.9307)</f>
      </c>
      <c r="M768" s="11">
        <f>IFERROR(__xludf.DUMMYFUNCTION("""COMPUTED_VALUE"""),537.96)</f>
      </c>
      <c r="N768" s="10">
        <f>IFERROR(__xludf.DUMMYFUNCTION("""COMPUTED_VALUE"""),0.9134)</f>
      </c>
      <c r="O768" s="11">
        <f>IFERROR(__xludf.DUMMYFUNCTION("""COMPUTED_VALUE"""),591.25)</f>
      </c>
      <c r="P768" s="12"/>
      <c r="Q768" s="12"/>
      <c r="R768" s="15"/>
      <c r="S768" s="12"/>
      <c r="T768" s="12"/>
      <c r="U768" s="12"/>
      <c r="V768" s="12"/>
      <c r="W768" s="12"/>
      <c r="X768" s="12"/>
      <c r="Y768" s="12"/>
      <c r="Z768" s="12"/>
    </row>
    <row x14ac:dyDescent="0.25" r="769" customHeight="1" ht="15.75">
      <c r="A769" s="8">
        <f>IFERROR(__xludf.DUMMYFUNCTION("""COMPUTED_VALUE"""),25025.0)</f>
      </c>
      <c r="B769" s="9">
        <f>IFERROR(__xludf.DUMMYFUNCTION("""COMPUTED_VALUE"""),"NOROESTE FLUMINENSE")</f>
      </c>
      <c r="C769" s="9">
        <f>IFERROR(__xludf.DUMMYFUNCTION("""COMPUTED_VALUE"""),"CE DOUTOR JOSE BASTOS FRANCA")</f>
      </c>
      <c r="D769" s="10">
        <f>IFERROR(__xludf.DUMMYFUNCTION("""COMPUTED_VALUE"""),0.9661)</f>
      </c>
      <c r="E769" s="11">
        <f>IFERROR(__xludf.DUMMYFUNCTION("""COMPUTED_VALUE"""),121.4)</f>
      </c>
      <c r="F769" s="10">
        <f>IFERROR(__xludf.DUMMYFUNCTION("""COMPUTED_VALUE"""),0.9831)</f>
      </c>
      <c r="G769" s="11">
        <f>IFERROR(__xludf.DUMMYFUNCTION("""COMPUTED_VALUE"""),454.48)</f>
      </c>
      <c r="H769" s="10">
        <f>IFERROR(__xludf.DUMMYFUNCTION("""COMPUTED_VALUE"""),0.7627)</f>
      </c>
      <c r="I769" s="11">
        <f>IFERROR(__xludf.DUMMYFUNCTION("""COMPUTED_VALUE"""),599.09)</f>
      </c>
      <c r="J769" s="10">
        <f>IFERROR(__xludf.DUMMYFUNCTION("""COMPUTED_VALUE"""),0.8305)</f>
      </c>
      <c r="K769" s="11">
        <f>IFERROR(__xludf.DUMMYFUNCTION("""COMPUTED_VALUE"""),527.62)</f>
      </c>
      <c r="L769" s="10">
        <f>IFERROR(__xludf.DUMMYFUNCTION("""COMPUTED_VALUE"""),0.8305)</f>
      </c>
      <c r="M769" s="11">
        <f>IFERROR(__xludf.DUMMYFUNCTION("""COMPUTED_VALUE"""),625.31)</f>
      </c>
      <c r="N769" s="10">
        <f>IFERROR(__xludf.DUMMYFUNCTION("""COMPUTED_VALUE"""),0.7966)</f>
      </c>
      <c r="O769" s="11">
        <f>IFERROR(__xludf.DUMMYFUNCTION("""COMPUTED_VALUE"""),641.74)</f>
      </c>
      <c r="P769" s="12"/>
      <c r="Q769" s="12"/>
      <c r="R769" s="15"/>
      <c r="S769" s="12"/>
      <c r="T769" s="12"/>
      <c r="U769" s="12"/>
      <c r="V769" s="12"/>
      <c r="W769" s="12"/>
      <c r="X769" s="12"/>
      <c r="Y769" s="12"/>
      <c r="Z769" s="12"/>
    </row>
    <row x14ac:dyDescent="0.25" r="770" customHeight="1" ht="15.75">
      <c r="A770" s="8">
        <f>IFERROR(__xludf.DUMMYFUNCTION("""COMPUTED_VALUE"""),25051.0)</f>
      </c>
      <c r="B770" s="9">
        <f>IFERROR(__xludf.DUMMYFUNCTION("""COMPUTED_VALUE"""),"NOROESTE FLUMINENSE")</f>
      </c>
      <c r="C770" s="9">
        <f>IFERROR(__xludf.DUMMYFUNCTION("""COMPUTED_VALUE"""),"CE DOUTOR LEONEL HOMEM DA COSTA")</f>
      </c>
      <c r="D770" s="10">
        <f>IFERROR(__xludf.DUMMYFUNCTION("""COMPUTED_VALUE"""),0.7685)</f>
      </c>
      <c r="E770" s="11">
        <f>IFERROR(__xludf.DUMMYFUNCTION("""COMPUTED_VALUE"""),254.01)</f>
      </c>
      <c r="F770" s="10">
        <f>IFERROR(__xludf.DUMMYFUNCTION("""COMPUTED_VALUE"""),0.4537)</f>
      </c>
      <c r="G770" s="11">
        <f>IFERROR(__xludf.DUMMYFUNCTION("""COMPUTED_VALUE"""),"----")</f>
      </c>
      <c r="H770" s="10">
        <f>IFERROR(__xludf.DUMMYFUNCTION("""COMPUTED_VALUE"""),0.4173)</f>
      </c>
      <c r="I770" s="11">
        <f>IFERROR(__xludf.DUMMYFUNCTION("""COMPUTED_VALUE"""),422.97)</f>
      </c>
      <c r="J770" s="10">
        <f>IFERROR(__xludf.DUMMYFUNCTION("""COMPUTED_VALUE"""),0.6832)</f>
      </c>
      <c r="K770" s="11">
        <f>IFERROR(__xludf.DUMMYFUNCTION("""COMPUTED_VALUE"""),208.02)</f>
      </c>
      <c r="L770" s="10">
        <f>IFERROR(__xludf.DUMMYFUNCTION("""COMPUTED_VALUE"""),0.6063)</f>
      </c>
      <c r="M770" s="11">
        <f>IFERROR(__xludf.DUMMYFUNCTION("""COMPUTED_VALUE"""),596.88)</f>
      </c>
      <c r="N770" s="10">
        <f>IFERROR(__xludf.DUMMYFUNCTION("""COMPUTED_VALUE"""),0.4409)</f>
      </c>
      <c r="O770" s="11">
        <f>IFERROR(__xludf.DUMMYFUNCTION("""COMPUTED_VALUE"""),511.43)</f>
      </c>
      <c r="P770" s="12"/>
      <c r="Q770" s="12"/>
      <c r="R770" s="15"/>
      <c r="S770" s="12"/>
      <c r="T770" s="12"/>
      <c r="U770" s="12"/>
      <c r="V770" s="12"/>
      <c r="W770" s="12"/>
      <c r="X770" s="12"/>
      <c r="Y770" s="12"/>
      <c r="Z770" s="12"/>
    </row>
    <row x14ac:dyDescent="0.25" r="771" customHeight="1" ht="15.75">
      <c r="A771" s="8">
        <f>IFERROR(__xludf.DUMMYFUNCTION("""COMPUTED_VALUE"""),25026.0)</f>
      </c>
      <c r="B771" s="9">
        <f>IFERROR(__xludf.DUMMYFUNCTION("""COMPUTED_VALUE"""),"NOROESTE FLUMINENSE")</f>
      </c>
      <c r="C771" s="9">
        <f>IFERROR(__xludf.DUMMYFUNCTION("""COMPUTED_VALUE"""),"CE ETELVINA ALVES DA SILVA")</f>
      </c>
      <c r="D771" s="10">
        <f>IFERROR(__xludf.DUMMYFUNCTION("""COMPUTED_VALUE"""),0.8846)</f>
      </c>
      <c r="E771" s="11">
        <f>IFERROR(__xludf.DUMMYFUNCTION("""COMPUTED_VALUE"""),415.65)</f>
      </c>
      <c r="F771" s="10">
        <f>IFERROR(__xludf.DUMMYFUNCTION("""COMPUTED_VALUE"""),0.75)</f>
      </c>
      <c r="G771" s="11">
        <f>IFERROR(__xludf.DUMMYFUNCTION("""COMPUTED_VALUE"""),466.67)</f>
      </c>
      <c r="H771" s="10">
        <f>IFERROR(__xludf.DUMMYFUNCTION("""COMPUTED_VALUE"""),0.8654)</f>
      </c>
      <c r="I771" s="11">
        <f>IFERROR(__xludf.DUMMYFUNCTION("""COMPUTED_VALUE"""),503.64)</f>
      </c>
      <c r="J771" s="10">
        <f>IFERROR(__xludf.DUMMYFUNCTION("""COMPUTED_VALUE"""),0.8846)</f>
      </c>
      <c r="K771" s="11">
        <f>IFERROR(__xludf.DUMMYFUNCTION("""COMPUTED_VALUE"""),478.22)</f>
      </c>
      <c r="L771" s="10">
        <f>IFERROR(__xludf.DUMMYFUNCTION("""COMPUTED_VALUE"""),0.7692)</f>
      </c>
      <c r="M771" s="11">
        <f>IFERROR(__xludf.DUMMYFUNCTION("""COMPUTED_VALUE"""),512.82)</f>
      </c>
      <c r="N771" s="10">
        <f>IFERROR(__xludf.DUMMYFUNCTION("""COMPUTED_VALUE"""),0.4423)</f>
      </c>
      <c r="O771" s="11">
        <f>IFERROR(__xludf.DUMMYFUNCTION("""COMPUTED_VALUE"""),532.17)</f>
      </c>
      <c r="P771" s="12"/>
      <c r="Q771" s="12"/>
      <c r="R771" s="15"/>
      <c r="S771" s="12"/>
      <c r="T771" s="12"/>
      <c r="U771" s="12"/>
      <c r="V771" s="12"/>
      <c r="W771" s="12"/>
      <c r="X771" s="12"/>
      <c r="Y771" s="12"/>
      <c r="Z771" s="12"/>
    </row>
    <row x14ac:dyDescent="0.25" r="772" customHeight="1" ht="15.75">
      <c r="A772" s="8">
        <f>IFERROR(__xludf.DUMMYFUNCTION("""COMPUTED_VALUE"""),25004.0)</f>
      </c>
      <c r="B772" s="9">
        <f>IFERROR(__xludf.DUMMYFUNCTION("""COMPUTED_VALUE"""),"NOROESTE FLUMINENSE")</f>
      </c>
      <c r="C772" s="9">
        <f>IFERROR(__xludf.DUMMYFUNCTION("""COMPUTED_VALUE"""),"CE EUCLIDES FELICIANO TARDIN")</f>
      </c>
      <c r="D772" s="10">
        <f>IFERROR(__xludf.DUMMYFUNCTION("""COMPUTED_VALUE"""),0.8098)</f>
      </c>
      <c r="E772" s="11">
        <f>IFERROR(__xludf.DUMMYFUNCTION("""COMPUTED_VALUE"""),351.11)</f>
      </c>
      <c r="F772" s="10">
        <f>IFERROR(__xludf.DUMMYFUNCTION("""COMPUTED_VALUE"""),0.712)</f>
      </c>
      <c r="G772" s="11">
        <f>IFERROR(__xludf.DUMMYFUNCTION("""COMPUTED_VALUE"""),491.08)</f>
      </c>
      <c r="H772" s="10">
        <f>IFERROR(__xludf.DUMMYFUNCTION("""COMPUTED_VALUE"""),0.5924)</f>
      </c>
      <c r="I772" s="11">
        <f>IFERROR(__xludf.DUMMYFUNCTION("""COMPUTED_VALUE"""),521.47)</f>
      </c>
      <c r="J772" s="10">
        <f>IFERROR(__xludf.DUMMYFUNCTION("""COMPUTED_VALUE"""),0.7446)</f>
      </c>
      <c r="K772" s="11">
        <f>IFERROR(__xludf.DUMMYFUNCTION("""COMPUTED_VALUE"""),427.37)</f>
      </c>
      <c r="L772" s="10">
        <f>IFERROR(__xludf.DUMMYFUNCTION("""COMPUTED_VALUE"""),0.6467)</f>
      </c>
      <c r="M772" s="11">
        <f>IFERROR(__xludf.DUMMYFUNCTION("""COMPUTED_VALUE"""),488.4)</f>
      </c>
      <c r="N772" s="10">
        <f>IFERROR(__xludf.DUMMYFUNCTION("""COMPUTED_VALUE"""),0.4728)</f>
      </c>
      <c r="O772" s="11">
        <f>IFERROR(__xludf.DUMMYFUNCTION("""COMPUTED_VALUE"""),464.65)</f>
      </c>
      <c r="P772" s="12"/>
      <c r="Q772" s="12"/>
      <c r="R772" s="15"/>
      <c r="S772" s="12"/>
      <c r="T772" s="12"/>
      <c r="U772" s="12"/>
      <c r="V772" s="12"/>
      <c r="W772" s="12"/>
      <c r="X772" s="12"/>
      <c r="Y772" s="12"/>
      <c r="Z772" s="12"/>
    </row>
    <row x14ac:dyDescent="0.25" r="773" customHeight="1" ht="15.75">
      <c r="A773" s="8">
        <f>IFERROR(__xludf.DUMMYFUNCTION("""COMPUTED_VALUE"""),25043.0)</f>
      </c>
      <c r="B773" s="9">
        <f>IFERROR(__xludf.DUMMYFUNCTION("""COMPUTED_VALUE"""),"NOROESTE FLUMINENSE")</f>
      </c>
      <c r="C773" s="9">
        <f>IFERROR(__xludf.DUMMYFUNCTION("""COMPUTED_VALUE"""),"CE FLAVIO RIBEIRO DE REZENDE")</f>
      </c>
      <c r="D773" s="10">
        <f>IFERROR(__xludf.DUMMYFUNCTION("""COMPUTED_VALUE"""),0.9861)</f>
      </c>
      <c r="E773" s="11">
        <f>IFERROR(__xludf.DUMMYFUNCTION("""COMPUTED_VALUE"""),261.41)</f>
      </c>
      <c r="F773" s="10">
        <f>IFERROR(__xludf.DUMMYFUNCTION("""COMPUTED_VALUE"""),0.9722)</f>
      </c>
      <c r="G773" s="11">
        <f>IFERROR(__xludf.DUMMYFUNCTION("""COMPUTED_VALUE"""),332.17)</f>
      </c>
      <c r="H773" s="10">
        <f>IFERROR(__xludf.DUMMYFUNCTION("""COMPUTED_VALUE"""),0.875)</f>
      </c>
      <c r="I773" s="11">
        <f>IFERROR(__xludf.DUMMYFUNCTION("""COMPUTED_VALUE"""),383.49)</f>
      </c>
      <c r="J773" s="10">
        <f>IFERROR(__xludf.DUMMYFUNCTION("""COMPUTED_VALUE"""),0.9861)</f>
      </c>
      <c r="K773" s="11">
        <f>IFERROR(__xludf.DUMMYFUNCTION("""COMPUTED_VALUE"""),234.2)</f>
      </c>
      <c r="L773" s="10">
        <f>IFERROR(__xludf.DUMMYFUNCTION("""COMPUTED_VALUE"""),0.75)</f>
      </c>
      <c r="M773" s="11">
        <f>IFERROR(__xludf.DUMMYFUNCTION("""COMPUTED_VALUE"""),440.74)</f>
      </c>
      <c r="N773" s="10">
        <f>IFERROR(__xludf.DUMMYFUNCTION("""COMPUTED_VALUE"""),0.8611)</f>
      </c>
      <c r="O773" s="11">
        <f>IFERROR(__xludf.DUMMYFUNCTION("""COMPUTED_VALUE"""),406.45)</f>
      </c>
      <c r="P773" s="12"/>
      <c r="Q773" s="12"/>
      <c r="R773" s="15"/>
      <c r="S773" s="12"/>
      <c r="T773" s="12"/>
      <c r="U773" s="12"/>
      <c r="V773" s="12"/>
      <c r="W773" s="12"/>
      <c r="X773" s="12"/>
      <c r="Y773" s="12"/>
      <c r="Z773" s="12"/>
    </row>
    <row x14ac:dyDescent="0.25" r="774" customHeight="1" ht="15.75">
      <c r="A774" s="8">
        <f>IFERROR(__xludf.DUMMYFUNCTION("""COMPUTED_VALUE"""),25044.0)</f>
      </c>
      <c r="B774" s="9">
        <f>IFERROR(__xludf.DUMMYFUNCTION("""COMPUTED_VALUE"""),"NOROESTE FLUMINENSE")</f>
      </c>
      <c r="C774" s="9">
        <f>IFERROR(__xludf.DUMMYFUNCTION("""COMPUTED_VALUE"""),"CE FRANCISCO PORTELLA")</f>
      </c>
      <c r="D774" s="10">
        <f>IFERROR(__xludf.DUMMYFUNCTION("""COMPUTED_VALUE"""),0.9623)</f>
      </c>
      <c r="E774" s="11">
        <f>IFERROR(__xludf.DUMMYFUNCTION("""COMPUTED_VALUE"""),336.47)</f>
      </c>
      <c r="F774" s="10">
        <f>IFERROR(__xludf.DUMMYFUNCTION("""COMPUTED_VALUE"""),0.9434)</f>
      </c>
      <c r="G774" s="11">
        <f>IFERROR(__xludf.DUMMYFUNCTION("""COMPUTED_VALUE"""),414.69)</f>
      </c>
      <c r="H774" s="10">
        <f>IFERROR(__xludf.DUMMYFUNCTION("""COMPUTED_VALUE"""),0.9434)</f>
      </c>
      <c r="I774" s="11">
        <f>IFERROR(__xludf.DUMMYFUNCTION("""COMPUTED_VALUE"""),440.8)</f>
      </c>
      <c r="J774" s="10">
        <f>IFERROR(__xludf.DUMMYFUNCTION("""COMPUTED_VALUE"""),0.9434)</f>
      </c>
      <c r="K774" s="11">
        <f>IFERROR(__xludf.DUMMYFUNCTION("""COMPUTED_VALUE"""),447.35)</f>
      </c>
      <c r="L774" s="10">
        <f>IFERROR(__xludf.DUMMYFUNCTION("""COMPUTED_VALUE"""),0.9057)</f>
      </c>
      <c r="M774" s="11">
        <f>IFERROR(__xludf.DUMMYFUNCTION("""COMPUTED_VALUE"""),471.49)</f>
      </c>
      <c r="N774" s="10">
        <f>IFERROR(__xludf.DUMMYFUNCTION("""COMPUTED_VALUE"""),0.9245)</f>
      </c>
      <c r="O774" s="11">
        <f>IFERROR(__xludf.DUMMYFUNCTION("""COMPUTED_VALUE"""),488.98)</f>
      </c>
      <c r="P774" s="12"/>
      <c r="Q774" s="12"/>
      <c r="R774" s="15"/>
      <c r="S774" s="12"/>
      <c r="T774" s="12"/>
      <c r="U774" s="12"/>
      <c r="V774" s="12"/>
      <c r="W774" s="12"/>
      <c r="X774" s="12"/>
      <c r="Y774" s="12"/>
      <c r="Z774" s="12"/>
    </row>
    <row x14ac:dyDescent="0.25" r="775" customHeight="1" ht="15.75">
      <c r="A775" s="8">
        <f>IFERROR(__xludf.DUMMYFUNCTION("""COMPUTED_VALUE"""),25016.0)</f>
      </c>
      <c r="B775" s="9">
        <f>IFERROR(__xludf.DUMMYFUNCTION("""COMPUTED_VALUE"""),"NOROESTE FLUMINENSE")</f>
      </c>
      <c r="C775" s="9">
        <f>IFERROR(__xludf.DUMMYFUNCTION("""COMPUTED_VALUE"""),"CE FREI TOMAS")</f>
      </c>
      <c r="D775" s="10">
        <f>IFERROR(__xludf.DUMMYFUNCTION("""COMPUTED_VALUE"""),0.9242)</f>
      </c>
      <c r="E775" s="11">
        <f>IFERROR(__xludf.DUMMYFUNCTION("""COMPUTED_VALUE"""),305.57)</f>
      </c>
      <c r="F775" s="10">
        <f>IFERROR(__xludf.DUMMYFUNCTION("""COMPUTED_VALUE"""),0.5833)</f>
      </c>
      <c r="G775" s="11">
        <f>IFERROR(__xludf.DUMMYFUNCTION("""COMPUTED_VALUE"""),"----")</f>
      </c>
      <c r="H775" s="10">
        <f>IFERROR(__xludf.DUMMYFUNCTION("""COMPUTED_VALUE"""),0.7019)</f>
      </c>
      <c r="I775" s="11">
        <f>IFERROR(__xludf.DUMMYFUNCTION("""COMPUTED_VALUE"""),586.8)</f>
      </c>
      <c r="J775" s="10">
        <f>IFERROR(__xludf.DUMMYFUNCTION("""COMPUTED_VALUE"""),0.7303)</f>
      </c>
      <c r="K775" s="11">
        <f>IFERROR(__xludf.DUMMYFUNCTION("""COMPUTED_VALUE"""),552.52)</f>
      </c>
      <c r="L775" s="10">
        <f>IFERROR(__xludf.DUMMYFUNCTION("""COMPUTED_VALUE"""),0.646)</f>
      </c>
      <c r="M775" s="11">
        <f>IFERROR(__xludf.DUMMYFUNCTION("""COMPUTED_VALUE"""),608.2)</f>
      </c>
      <c r="N775" s="10">
        <f>IFERROR(__xludf.DUMMYFUNCTION("""COMPUTED_VALUE"""),0.6522)</f>
      </c>
      <c r="O775" s="11">
        <f>IFERROR(__xludf.DUMMYFUNCTION("""COMPUTED_VALUE"""),615.24)</f>
      </c>
      <c r="P775" s="12"/>
      <c r="Q775" s="12"/>
      <c r="R775" s="15"/>
      <c r="S775" s="12"/>
      <c r="T775" s="12"/>
      <c r="U775" s="12"/>
      <c r="V775" s="12"/>
      <c r="W775" s="12"/>
      <c r="X775" s="12"/>
      <c r="Y775" s="12"/>
      <c r="Z775" s="12"/>
    </row>
    <row x14ac:dyDescent="0.25" r="776" customHeight="1" ht="15.75">
      <c r="A776" s="8">
        <f>IFERROR(__xludf.DUMMYFUNCTION("""COMPUTED_VALUE"""),25047.0)</f>
      </c>
      <c r="B776" s="9">
        <f>IFERROR(__xludf.DUMMYFUNCTION("""COMPUTED_VALUE"""),"NOROESTE FLUMINENSE")</f>
      </c>
      <c r="C776" s="9">
        <f>IFERROR(__xludf.DUMMYFUNCTION("""COMPUTED_VALUE"""),"CE GERALDINO SILVA")</f>
      </c>
      <c r="D776" s="10">
        <f>IFERROR(__xludf.DUMMYFUNCTION("""COMPUTED_VALUE"""),1.0)</f>
      </c>
      <c r="E776" s="11">
        <f>IFERROR(__xludf.DUMMYFUNCTION("""COMPUTED_VALUE"""),404.21)</f>
      </c>
      <c r="F776" s="10">
        <f>IFERROR(__xludf.DUMMYFUNCTION("""COMPUTED_VALUE"""),0.8947)</f>
      </c>
      <c r="G776" s="11">
        <f>IFERROR(__xludf.DUMMYFUNCTION("""COMPUTED_VALUE"""),541.18)</f>
      </c>
      <c r="H776" s="10">
        <f>IFERROR(__xludf.DUMMYFUNCTION("""COMPUTED_VALUE"""),1.0)</f>
      </c>
      <c r="I776" s="11">
        <f>IFERROR(__xludf.DUMMYFUNCTION("""COMPUTED_VALUE"""),629.47)</f>
      </c>
      <c r="J776" s="10">
        <f>IFERROR(__xludf.DUMMYFUNCTION("""COMPUTED_VALUE"""),1.0)</f>
      </c>
      <c r="K776" s="11">
        <f>IFERROR(__xludf.DUMMYFUNCTION("""COMPUTED_VALUE"""),448.42)</f>
      </c>
      <c r="L776" s="10">
        <f>IFERROR(__xludf.DUMMYFUNCTION("""COMPUTED_VALUE"""),0.8947)</f>
      </c>
      <c r="M776" s="11">
        <f>IFERROR(__xludf.DUMMYFUNCTION("""COMPUTED_VALUE"""),649.41)</f>
      </c>
      <c r="N776" s="10">
        <f>IFERROR(__xludf.DUMMYFUNCTION("""COMPUTED_VALUE"""),0.9474)</f>
      </c>
      <c r="O776" s="11">
        <f>IFERROR(__xludf.DUMMYFUNCTION("""COMPUTED_VALUE"""),586.67)</f>
      </c>
      <c r="P776" s="12"/>
      <c r="Q776" s="12"/>
      <c r="R776" s="15"/>
      <c r="S776" s="12"/>
      <c r="T776" s="12"/>
      <c r="U776" s="12"/>
      <c r="V776" s="12"/>
      <c r="W776" s="12"/>
      <c r="X776" s="12"/>
      <c r="Y776" s="12"/>
      <c r="Z776" s="12"/>
    </row>
    <row x14ac:dyDescent="0.25" r="777" customHeight="1" ht="15.75">
      <c r="A777" s="8">
        <f>IFERROR(__xludf.DUMMYFUNCTION("""COMPUTED_VALUE"""),25005.0)</f>
      </c>
      <c r="B777" s="9">
        <f>IFERROR(__xludf.DUMMYFUNCTION("""COMPUTED_VALUE"""),"NOROESTE FLUMINENSE")</f>
      </c>
      <c r="C777" s="9">
        <f>IFERROR(__xludf.DUMMYFUNCTION("""COMPUTED_VALUE"""),"CE GOVERNADOR ROBERTO SILVEIRA")</f>
      </c>
      <c r="D777" s="10">
        <f>IFERROR(__xludf.DUMMYFUNCTION("""COMPUTED_VALUE"""),0.6901)</f>
      </c>
      <c r="E777" s="11">
        <f>IFERROR(__xludf.DUMMYFUNCTION("""COMPUTED_VALUE"""),158.31)</f>
      </c>
      <c r="F777" s="10">
        <f>IFERROR(__xludf.DUMMYFUNCTION("""COMPUTED_VALUE"""),0.5352)</f>
      </c>
      <c r="G777" s="11">
        <f>IFERROR(__xludf.DUMMYFUNCTION("""COMPUTED_VALUE"""),412.7)</f>
      </c>
      <c r="H777" s="10">
        <f>IFERROR(__xludf.DUMMYFUNCTION("""COMPUTED_VALUE"""),0.4487)</f>
      </c>
      <c r="I777" s="11">
        <f>IFERROR(__xludf.DUMMYFUNCTION("""COMPUTED_VALUE"""),408.0)</f>
      </c>
      <c r="J777" s="10">
        <f>IFERROR(__xludf.DUMMYFUNCTION("""COMPUTED_VALUE"""),0.5882)</f>
      </c>
      <c r="K777" s="11">
        <f>IFERROR(__xludf.DUMMYFUNCTION("""COMPUTED_VALUE"""),241.11)</f>
      </c>
      <c r="L777" s="10">
        <f>IFERROR(__xludf.DUMMYFUNCTION("""COMPUTED_VALUE"""),0.4103)</f>
      </c>
      <c r="M777" s="11">
        <f>IFERROR(__xludf.DUMMYFUNCTION("""COMPUTED_VALUE"""),"----")</f>
      </c>
      <c r="N777" s="10">
        <f>IFERROR(__xludf.DUMMYFUNCTION("""COMPUTED_VALUE"""),0.4872)</f>
      </c>
      <c r="O777" s="11">
        <f>IFERROR(__xludf.DUMMYFUNCTION("""COMPUTED_VALUE"""),"----")</f>
      </c>
      <c r="P777" s="12"/>
      <c r="Q777" s="12"/>
      <c r="R777" s="15"/>
      <c r="S777" s="12"/>
      <c r="T777" s="12"/>
      <c r="U777" s="12"/>
      <c r="V777" s="12"/>
      <c r="W777" s="12"/>
      <c r="X777" s="12"/>
      <c r="Y777" s="12"/>
      <c r="Z777" s="12"/>
    </row>
    <row x14ac:dyDescent="0.25" r="778" customHeight="1" ht="15.75">
      <c r="A778" s="8">
        <f>IFERROR(__xludf.DUMMYFUNCTION("""COMPUTED_VALUE"""),25017.0)</f>
      </c>
      <c r="B778" s="9">
        <f>IFERROR(__xludf.DUMMYFUNCTION("""COMPUTED_VALUE"""),"NOROESTE FLUMINENSE")</f>
      </c>
      <c r="C778" s="9">
        <f>IFERROR(__xludf.DUMMYFUNCTION("""COMPUTED_VALUE"""),"CE JAIME QUEIROZ DE SOUZA")</f>
      </c>
      <c r="D778" s="10">
        <f>IFERROR(__xludf.DUMMYFUNCTION("""COMPUTED_VALUE"""),0.9508)</f>
      </c>
      <c r="E778" s="11">
        <f>IFERROR(__xludf.DUMMYFUNCTION("""COMPUTED_VALUE"""),252.36)</f>
      </c>
      <c r="F778" s="10">
        <f>IFERROR(__xludf.DUMMYFUNCTION("""COMPUTED_VALUE"""),0.7705)</f>
      </c>
      <c r="G778" s="11">
        <f>IFERROR(__xludf.DUMMYFUNCTION("""COMPUTED_VALUE"""),427.23)</f>
      </c>
      <c r="H778" s="10">
        <f>IFERROR(__xludf.DUMMYFUNCTION("""COMPUTED_VALUE"""),0.8689)</f>
      </c>
      <c r="I778" s="11">
        <f>IFERROR(__xludf.DUMMYFUNCTION("""COMPUTED_VALUE"""),531.54)</f>
      </c>
      <c r="J778" s="10">
        <f>IFERROR(__xludf.DUMMYFUNCTION("""COMPUTED_VALUE"""),0.8852)</f>
      </c>
      <c r="K778" s="11">
        <f>IFERROR(__xludf.DUMMYFUNCTION("""COMPUTED_VALUE"""),313.33)</f>
      </c>
      <c r="L778" s="10">
        <f>IFERROR(__xludf.DUMMYFUNCTION("""COMPUTED_VALUE"""),0.9016)</f>
      </c>
      <c r="M778" s="11">
        <f>IFERROR(__xludf.DUMMYFUNCTION("""COMPUTED_VALUE"""),649.45)</f>
      </c>
      <c r="N778" s="10">
        <f>IFERROR(__xludf.DUMMYFUNCTION("""COMPUTED_VALUE"""),0.9016)</f>
      </c>
      <c r="O778" s="11">
        <f>IFERROR(__xludf.DUMMYFUNCTION("""COMPUTED_VALUE"""),640.0)</f>
      </c>
      <c r="P778" s="12"/>
      <c r="Q778" s="12"/>
      <c r="R778" s="15"/>
      <c r="S778" s="12"/>
      <c r="T778" s="12"/>
      <c r="U778" s="12"/>
      <c r="V778" s="12"/>
      <c r="W778" s="12"/>
      <c r="X778" s="12"/>
      <c r="Y778" s="12"/>
      <c r="Z778" s="12"/>
    </row>
    <row x14ac:dyDescent="0.25" r="779" customHeight="1" ht="15.75">
      <c r="A779" s="8">
        <f>IFERROR(__xludf.DUMMYFUNCTION("""COMPUTED_VALUE"""),25014.0)</f>
      </c>
      <c r="B779" s="9">
        <f>IFERROR(__xludf.DUMMYFUNCTION("""COMPUTED_VALUE"""),"NOROESTE FLUMINENSE")</f>
      </c>
      <c r="C779" s="9">
        <f>IFERROR(__xludf.DUMMYFUNCTION("""COMPUTED_VALUE"""),"CE JOAO GUIMARAES")</f>
      </c>
      <c r="D779" s="10">
        <f>IFERROR(__xludf.DUMMYFUNCTION("""COMPUTED_VALUE"""),0.8525)</f>
      </c>
      <c r="E779" s="11">
        <f>IFERROR(__xludf.DUMMYFUNCTION("""COMPUTED_VALUE"""),336.54)</f>
      </c>
      <c r="F779" s="10">
        <f>IFERROR(__xludf.DUMMYFUNCTION("""COMPUTED_VALUE"""),0.9754)</f>
      </c>
      <c r="G779" s="11">
        <f>IFERROR(__xludf.DUMMYFUNCTION("""COMPUTED_VALUE"""),316.31)</f>
      </c>
      <c r="H779" s="10">
        <f>IFERROR(__xludf.DUMMYFUNCTION("""COMPUTED_VALUE"""),0.6642)</f>
      </c>
      <c r="I779" s="11">
        <f>IFERROR(__xludf.DUMMYFUNCTION("""COMPUTED_VALUE"""),465.49)</f>
      </c>
      <c r="J779" s="10">
        <f>IFERROR(__xludf.DUMMYFUNCTION("""COMPUTED_VALUE"""),0.6964)</f>
      </c>
      <c r="K779" s="11">
        <f>IFERROR(__xludf.DUMMYFUNCTION("""COMPUTED_VALUE"""),440.51)</f>
      </c>
      <c r="L779" s="10">
        <f>IFERROR(__xludf.DUMMYFUNCTION("""COMPUTED_VALUE"""),0.5182)</f>
      </c>
      <c r="M779" s="11">
        <f>IFERROR(__xludf.DUMMYFUNCTION("""COMPUTED_VALUE"""),"----")</f>
      </c>
      <c r="N779" s="10">
        <f>IFERROR(__xludf.DUMMYFUNCTION("""COMPUTED_VALUE"""),0.5109)</f>
      </c>
      <c r="O779" s="11">
        <f>IFERROR(__xludf.DUMMYFUNCTION("""COMPUTED_VALUE"""),512.0)</f>
      </c>
      <c r="P779" s="12"/>
      <c r="Q779" s="12"/>
      <c r="R779" s="15"/>
      <c r="S779" s="12"/>
      <c r="T779" s="12"/>
      <c r="U779" s="12"/>
      <c r="V779" s="12"/>
      <c r="W779" s="12"/>
      <c r="X779" s="12"/>
      <c r="Y779" s="12"/>
      <c r="Z779" s="12"/>
    </row>
    <row x14ac:dyDescent="0.25" r="780" customHeight="1" ht="15.75">
      <c r="A780" s="8">
        <f>IFERROR(__xludf.DUMMYFUNCTION("""COMPUTED_VALUE"""),25052.0)</f>
      </c>
      <c r="B780" s="9">
        <f>IFERROR(__xludf.DUMMYFUNCTION("""COMPUTED_VALUE"""),"NOROESTE FLUMINENSE")</f>
      </c>
      <c r="C780" s="9">
        <f>IFERROR(__xludf.DUMMYFUNCTION("""COMPUTED_VALUE"""),"CE JOAO MAURICIO BRUM")</f>
      </c>
      <c r="D780" s="10">
        <f>IFERROR(__xludf.DUMMYFUNCTION("""COMPUTED_VALUE"""),0.931)</f>
      </c>
      <c r="E780" s="11">
        <f>IFERROR(__xludf.DUMMYFUNCTION("""COMPUTED_VALUE"""),370.37)</f>
      </c>
      <c r="F780" s="10">
        <f>IFERROR(__xludf.DUMMYFUNCTION("""COMPUTED_VALUE"""),0.8621)</f>
      </c>
      <c r="G780" s="11">
        <f>IFERROR(__xludf.DUMMYFUNCTION("""COMPUTED_VALUE"""),446.49)</f>
      </c>
      <c r="H780" s="10">
        <f>IFERROR(__xludf.DUMMYFUNCTION("""COMPUTED_VALUE"""),0.8391)</f>
      </c>
      <c r="I780" s="11">
        <f>IFERROR(__xludf.DUMMYFUNCTION("""COMPUTED_VALUE"""),435.0)</f>
      </c>
      <c r="J780" s="10">
        <f>IFERROR(__xludf.DUMMYFUNCTION("""COMPUTED_VALUE"""),0.9655)</f>
      </c>
      <c r="K780" s="11">
        <f>IFERROR(__xludf.DUMMYFUNCTION("""COMPUTED_VALUE"""),257.07)</f>
      </c>
      <c r="L780" s="10">
        <f>IFERROR(__xludf.DUMMYFUNCTION("""COMPUTED_VALUE"""),0.9425)</f>
      </c>
      <c r="M780" s="11">
        <f>IFERROR(__xludf.DUMMYFUNCTION("""COMPUTED_VALUE"""),485.5)</f>
      </c>
      <c r="N780" s="10">
        <f>IFERROR(__xludf.DUMMYFUNCTION("""COMPUTED_VALUE"""),0.9195)</f>
      </c>
      <c r="O780" s="11">
        <f>IFERROR(__xludf.DUMMYFUNCTION("""COMPUTED_VALUE"""),464.5)</f>
      </c>
      <c r="P780" s="12"/>
      <c r="Q780" s="12"/>
      <c r="R780" s="15"/>
      <c r="S780" s="12"/>
      <c r="T780" s="12"/>
      <c r="U780" s="12"/>
      <c r="V780" s="12"/>
      <c r="W780" s="12"/>
      <c r="X780" s="12"/>
      <c r="Y780" s="12"/>
      <c r="Z780" s="12"/>
    </row>
    <row x14ac:dyDescent="0.25" r="781" customHeight="1" ht="15.75">
      <c r="A781" s="8">
        <f>IFERROR(__xludf.DUMMYFUNCTION("""COMPUTED_VALUE"""),25018.0)</f>
      </c>
      <c r="B781" s="9">
        <f>IFERROR(__xludf.DUMMYFUNCTION("""COMPUTED_VALUE"""),"NOROESTE FLUMINENSE")</f>
      </c>
      <c r="C781" s="9">
        <f>IFERROR(__xludf.DUMMYFUNCTION("""COMPUTED_VALUE"""),"CE JOHENIR HENRIQUES VIEGAS")</f>
      </c>
      <c r="D781" s="10">
        <f>IFERROR(__xludf.DUMMYFUNCTION("""COMPUTED_VALUE"""),1.0)</f>
      </c>
      <c r="E781" s="11">
        <f>IFERROR(__xludf.DUMMYFUNCTION("""COMPUTED_VALUE"""),433.04)</f>
      </c>
      <c r="F781" s="10">
        <f>IFERROR(__xludf.DUMMYFUNCTION("""COMPUTED_VALUE"""),1.0)</f>
      </c>
      <c r="G781" s="11">
        <f>IFERROR(__xludf.DUMMYFUNCTION("""COMPUTED_VALUE"""),561.82)</f>
      </c>
      <c r="H781" s="10">
        <f>IFERROR(__xludf.DUMMYFUNCTION("""COMPUTED_VALUE"""),0.7391)</f>
      </c>
      <c r="I781" s="11">
        <f>IFERROR(__xludf.DUMMYFUNCTION("""COMPUTED_VALUE"""),588.24)</f>
      </c>
      <c r="J781" s="10">
        <f>IFERROR(__xludf.DUMMYFUNCTION("""COMPUTED_VALUE"""),0.913)</f>
      </c>
      <c r="K781" s="11">
        <f>IFERROR(__xludf.DUMMYFUNCTION("""COMPUTED_VALUE"""),436.19)</f>
      </c>
      <c r="L781" s="10">
        <f>IFERROR(__xludf.DUMMYFUNCTION("""COMPUTED_VALUE"""),0.8261)</f>
      </c>
      <c r="M781" s="11">
        <f>IFERROR(__xludf.DUMMYFUNCTION("""COMPUTED_VALUE"""),557.89)</f>
      </c>
      <c r="N781" s="10">
        <f>IFERROR(__xludf.DUMMYFUNCTION("""COMPUTED_VALUE"""),0.9565)</f>
      </c>
      <c r="O781" s="11">
        <f>IFERROR(__xludf.DUMMYFUNCTION("""COMPUTED_VALUE"""),571.43)</f>
      </c>
      <c r="P781" s="12"/>
      <c r="Q781" s="12"/>
      <c r="R781" s="15"/>
      <c r="S781" s="12"/>
      <c r="T781" s="12"/>
      <c r="U781" s="12"/>
      <c r="V781" s="12"/>
      <c r="W781" s="12"/>
      <c r="X781" s="12"/>
      <c r="Y781" s="12"/>
      <c r="Z781" s="12"/>
    </row>
    <row x14ac:dyDescent="0.25" r="782" customHeight="1" ht="15.75">
      <c r="A782" s="8">
        <f>IFERROR(__xludf.DUMMYFUNCTION("""COMPUTED_VALUE"""),25048.0)</f>
      </c>
      <c r="B782" s="9">
        <f>IFERROR(__xludf.DUMMYFUNCTION("""COMPUTED_VALUE"""),"NOROESTE FLUMINENSE")</f>
      </c>
      <c r="C782" s="9">
        <f>IFERROR(__xludf.DUMMYFUNCTION("""COMPUTED_VALUE"""),"CE JOSE DE LANNES DANTAS BRANDAO")</f>
      </c>
      <c r="D782" s="10">
        <f>IFERROR(__xludf.DUMMYFUNCTION("""COMPUTED_VALUE"""),0.8182)</f>
      </c>
      <c r="E782" s="11">
        <f>IFERROR(__xludf.DUMMYFUNCTION("""COMPUTED_VALUE"""),124.71)</f>
      </c>
      <c r="F782" s="10">
        <f>IFERROR(__xludf.DUMMYFUNCTION("""COMPUTED_VALUE"""),0.75)</f>
      </c>
      <c r="G782" s="11">
        <f>IFERROR(__xludf.DUMMYFUNCTION("""COMPUTED_VALUE"""),326.06)</f>
      </c>
      <c r="H782" s="10">
        <f>IFERROR(__xludf.DUMMYFUNCTION("""COMPUTED_VALUE"""),0.5957)</f>
      </c>
      <c r="I782" s="11">
        <f>IFERROR(__xludf.DUMMYFUNCTION("""COMPUTED_VALUE"""),"----")</f>
      </c>
      <c r="J782" s="10">
        <f>IFERROR(__xludf.DUMMYFUNCTION("""COMPUTED_VALUE"""),0.7381)</f>
      </c>
      <c r="K782" s="11">
        <f>IFERROR(__xludf.DUMMYFUNCTION("""COMPUTED_VALUE"""),316.49)</f>
      </c>
      <c r="L782" s="10">
        <f>IFERROR(__xludf.DUMMYFUNCTION("""COMPUTED_VALUE"""),0.6383)</f>
      </c>
      <c r="M782" s="11">
        <f>IFERROR(__xludf.DUMMYFUNCTION("""COMPUTED_VALUE"""),364.97)</f>
      </c>
      <c r="N782" s="10">
        <f>IFERROR(__xludf.DUMMYFUNCTION("""COMPUTED_VALUE"""),0.5319)</f>
      </c>
      <c r="O782" s="11">
        <f>IFERROR(__xludf.DUMMYFUNCTION("""COMPUTED_VALUE"""),435.2)</f>
      </c>
      <c r="P782" s="12"/>
      <c r="Q782" s="12"/>
      <c r="R782" s="15"/>
      <c r="S782" s="12"/>
      <c r="T782" s="12"/>
      <c r="U782" s="12"/>
      <c r="V782" s="12"/>
      <c r="W782" s="12"/>
      <c r="X782" s="12"/>
      <c r="Y782" s="12"/>
      <c r="Z782" s="12"/>
    </row>
    <row x14ac:dyDescent="0.25" r="783" customHeight="1" ht="15.75">
      <c r="A783" s="8">
        <f>IFERROR(__xludf.DUMMYFUNCTION("""COMPUTED_VALUE"""),25027.0)</f>
      </c>
      <c r="B783" s="9">
        <f>IFERROR(__xludf.DUMMYFUNCTION("""COMPUTED_VALUE"""),"NOROESTE FLUMINENSE")</f>
      </c>
      <c r="C783" s="9">
        <f>IFERROR(__xludf.DUMMYFUNCTION("""COMPUTED_VALUE"""),"CE JOSE GARCIA DE FREITAS")</f>
      </c>
      <c r="D783" s="10">
        <f>IFERROR(__xludf.DUMMYFUNCTION("""COMPUTED_VALUE"""),0.7647)</f>
      </c>
      <c r="E783" s="11">
        <f>IFERROR(__xludf.DUMMYFUNCTION("""COMPUTED_VALUE"""),203.08)</f>
      </c>
      <c r="F783" s="10">
        <f>IFERROR(__xludf.DUMMYFUNCTION("""COMPUTED_VALUE"""),0.7647)</f>
      </c>
      <c r="G783" s="11">
        <f>IFERROR(__xludf.DUMMYFUNCTION("""COMPUTED_VALUE"""),335.38)</f>
      </c>
      <c r="H783" s="10">
        <f>IFERROR(__xludf.DUMMYFUNCTION("""COMPUTED_VALUE"""),0.7059)</f>
      </c>
      <c r="I783" s="11">
        <f>IFERROR(__xludf.DUMMYFUNCTION("""COMPUTED_VALUE"""),393.33)</f>
      </c>
      <c r="J783" s="10">
        <f>IFERROR(__xludf.DUMMYFUNCTION("""COMPUTED_VALUE"""),0.7647)</f>
      </c>
      <c r="K783" s="11">
        <f>IFERROR(__xludf.DUMMYFUNCTION("""COMPUTED_VALUE"""),332.31)</f>
      </c>
      <c r="L783" s="10">
        <f>IFERROR(__xludf.DUMMYFUNCTION("""COMPUTED_VALUE"""),0.7647)</f>
      </c>
      <c r="M783" s="11">
        <f>IFERROR(__xludf.DUMMYFUNCTION("""COMPUTED_VALUE"""),375.38)</f>
      </c>
      <c r="N783" s="10">
        <f>IFERROR(__xludf.DUMMYFUNCTION("""COMPUTED_VALUE"""),0.7647)</f>
      </c>
      <c r="O783" s="11">
        <f>IFERROR(__xludf.DUMMYFUNCTION("""COMPUTED_VALUE"""),396.92)</f>
      </c>
      <c r="P783" s="12"/>
      <c r="Q783" s="12"/>
      <c r="R783" s="15"/>
      <c r="S783" s="12"/>
      <c r="T783" s="12"/>
      <c r="U783" s="12"/>
      <c r="V783" s="12"/>
      <c r="W783" s="12"/>
      <c r="X783" s="12"/>
      <c r="Y783" s="12"/>
      <c r="Z783" s="12"/>
    </row>
    <row x14ac:dyDescent="0.25" r="784" customHeight="1" ht="15.75">
      <c r="A784" s="8">
        <f>IFERROR(__xludf.DUMMYFUNCTION("""COMPUTED_VALUE"""),25019.0)</f>
      </c>
      <c r="B784" s="9">
        <f>IFERROR(__xludf.DUMMYFUNCTION("""COMPUTED_VALUE"""),"NOROESTE FLUMINENSE")</f>
      </c>
      <c r="C784" s="9">
        <f>IFERROR(__xludf.DUMMYFUNCTION("""COMPUTED_VALUE"""),"CE LAURINDO PITA")</f>
      </c>
      <c r="D784" s="10">
        <f>IFERROR(__xludf.DUMMYFUNCTION("""COMPUTED_VALUE"""),1.0)</f>
      </c>
      <c r="E784" s="11">
        <f>IFERROR(__xludf.DUMMYFUNCTION("""COMPUTED_VALUE"""),495.17)</f>
      </c>
      <c r="F784" s="10">
        <f>IFERROR(__xludf.DUMMYFUNCTION("""COMPUTED_VALUE"""),1.0)</f>
      </c>
      <c r="G784" s="11">
        <f>IFERROR(__xludf.DUMMYFUNCTION("""COMPUTED_VALUE"""),485.71)</f>
      </c>
      <c r="H784" s="10">
        <f>IFERROR(__xludf.DUMMYFUNCTION("""COMPUTED_VALUE"""),0.9655)</f>
      </c>
      <c r="I784" s="11">
        <f>IFERROR(__xludf.DUMMYFUNCTION("""COMPUTED_VALUE"""),580.0)</f>
      </c>
      <c r="J784" s="10">
        <f>IFERROR(__xludf.DUMMYFUNCTION("""COMPUTED_VALUE"""),0.8966)</f>
      </c>
      <c r="K784" s="11">
        <f>IFERROR(__xludf.DUMMYFUNCTION("""COMPUTED_VALUE"""),507.69)</f>
      </c>
      <c r="L784" s="10">
        <f>IFERROR(__xludf.DUMMYFUNCTION("""COMPUTED_VALUE"""),0.931)</f>
      </c>
      <c r="M784" s="11">
        <f>IFERROR(__xludf.DUMMYFUNCTION("""COMPUTED_VALUE"""),551.11)</f>
      </c>
      <c r="N784" s="10">
        <f>IFERROR(__xludf.DUMMYFUNCTION("""COMPUTED_VALUE"""),0.931)</f>
      </c>
      <c r="O784" s="11">
        <f>IFERROR(__xludf.DUMMYFUNCTION("""COMPUTED_VALUE"""),568.89)</f>
      </c>
      <c r="P784" s="12"/>
      <c r="Q784" s="12"/>
      <c r="R784" s="15"/>
      <c r="S784" s="12"/>
      <c r="T784" s="12"/>
      <c r="U784" s="12"/>
      <c r="V784" s="12"/>
      <c r="W784" s="12"/>
      <c r="X784" s="12"/>
      <c r="Y784" s="12"/>
      <c r="Z784" s="12"/>
    </row>
    <row x14ac:dyDescent="0.25" r="785" customHeight="1" ht="15.75">
      <c r="A785" s="8">
        <f>IFERROR(__xludf.DUMMYFUNCTION("""COMPUTED_VALUE"""),25028.0)</f>
      </c>
      <c r="B785" s="9">
        <f>IFERROR(__xludf.DUMMYFUNCTION("""COMPUTED_VALUE"""),"NOROESTE FLUMINENSE")</f>
      </c>
      <c r="C785" s="9">
        <f>IFERROR(__xludf.DUMMYFUNCTION("""COMPUTED_VALUE"""),"CE LIONS CLUB")</f>
      </c>
      <c r="D785" s="10">
        <f>IFERROR(__xludf.DUMMYFUNCTION("""COMPUTED_VALUE"""),0.9479)</f>
      </c>
      <c r="E785" s="11">
        <f>IFERROR(__xludf.DUMMYFUNCTION("""COMPUTED_VALUE"""),224.0)</f>
      </c>
      <c r="F785" s="10">
        <f>IFERROR(__xludf.DUMMYFUNCTION("""COMPUTED_VALUE"""),0.9147)</f>
      </c>
      <c r="G785" s="11">
        <f>IFERROR(__xludf.DUMMYFUNCTION("""COMPUTED_VALUE"""),291.3)</f>
      </c>
      <c r="H785" s="10">
        <f>IFERROR(__xludf.DUMMYFUNCTION("""COMPUTED_VALUE"""),0.8348)</f>
      </c>
      <c r="I785" s="11">
        <f>IFERROR(__xludf.DUMMYFUNCTION("""COMPUTED_VALUE"""),326.28)</f>
      </c>
      <c r="J785" s="10">
        <f>IFERROR(__xludf.DUMMYFUNCTION("""COMPUTED_VALUE"""),0.7163)</f>
      </c>
      <c r="K785" s="11">
        <f>IFERROR(__xludf.DUMMYFUNCTION("""COMPUTED_VALUE"""),324.64)</f>
      </c>
      <c r="L785" s="10">
        <f>IFERROR(__xludf.DUMMYFUNCTION("""COMPUTED_VALUE"""),0.6261)</f>
      </c>
      <c r="M785" s="11">
        <f>IFERROR(__xludf.DUMMYFUNCTION("""COMPUTED_VALUE"""),"----")</f>
      </c>
      <c r="N785" s="10">
        <f>IFERROR(__xludf.DUMMYFUNCTION("""COMPUTED_VALUE"""),0.5304)</f>
      </c>
      <c r="O785" s="11">
        <f>IFERROR(__xludf.DUMMYFUNCTION("""COMPUTED_VALUE"""),437.05)</f>
      </c>
      <c r="P785" s="12"/>
      <c r="Q785" s="12"/>
      <c r="R785" s="15"/>
      <c r="S785" s="12"/>
      <c r="T785" s="12"/>
      <c r="U785" s="12"/>
      <c r="V785" s="12"/>
      <c r="W785" s="12"/>
      <c r="X785" s="12"/>
      <c r="Y785" s="12"/>
      <c r="Z785" s="12"/>
    </row>
    <row x14ac:dyDescent="0.25" r="786" customHeight="1" ht="15.75">
      <c r="A786" s="8">
        <f>IFERROR(__xludf.DUMMYFUNCTION("""COMPUTED_VALUE"""),25001.0)</f>
      </c>
      <c r="B786" s="9">
        <f>IFERROR(__xludf.DUMMYFUNCTION("""COMPUTED_VALUE"""),"NOROESTE FLUMINENSE")</f>
      </c>
      <c r="C786" s="9">
        <f>IFERROR(__xludf.DUMMYFUNCTION("""COMPUTED_VALUE"""),"CE LOURENCA GUIMARAES")</f>
      </c>
      <c r="D786" s="10">
        <f>IFERROR(__xludf.DUMMYFUNCTION("""COMPUTED_VALUE"""),0.6709)</f>
      </c>
      <c r="E786" s="11">
        <f>IFERROR(__xludf.DUMMYFUNCTION("""COMPUTED_VALUE"""),228.68)</f>
      </c>
      <c r="F786" s="10">
        <f>IFERROR(__xludf.DUMMYFUNCTION("""COMPUTED_VALUE"""),0.481)</f>
      </c>
      <c r="G786" s="11">
        <f>IFERROR(__xludf.DUMMYFUNCTION("""COMPUTED_VALUE"""),491.58)</f>
      </c>
      <c r="H786" s="10">
        <f>IFERROR(__xludf.DUMMYFUNCTION("""COMPUTED_VALUE"""),0.6047)</f>
      </c>
      <c r="I786" s="11">
        <f>IFERROR(__xludf.DUMMYFUNCTION("""COMPUTED_VALUE"""),517.69)</f>
      </c>
      <c r="J786" s="10">
        <f>IFERROR(__xludf.DUMMYFUNCTION("""COMPUTED_VALUE"""),0.6053)</f>
      </c>
      <c r="K786" s="11">
        <f>IFERROR(__xludf.DUMMYFUNCTION("""COMPUTED_VALUE"""),318.41)</f>
      </c>
      <c r="L786" s="10">
        <f>IFERROR(__xludf.DUMMYFUNCTION("""COMPUTED_VALUE"""),0.6279)</f>
      </c>
      <c r="M786" s="11">
        <f>IFERROR(__xludf.DUMMYFUNCTION("""COMPUTED_VALUE"""),403.2)</f>
      </c>
      <c r="N786" s="10">
        <f>IFERROR(__xludf.DUMMYFUNCTION("""COMPUTED_VALUE"""),0.5116)</f>
      </c>
      <c r="O786" s="11">
        <f>IFERROR(__xludf.DUMMYFUNCTION("""COMPUTED_VALUE"""),407.61)</f>
      </c>
      <c r="P786" s="12"/>
      <c r="Q786" s="12"/>
      <c r="R786" s="15"/>
      <c r="S786" s="12"/>
      <c r="T786" s="12"/>
      <c r="U786" s="12"/>
      <c r="V786" s="12"/>
      <c r="W786" s="12"/>
      <c r="X786" s="12"/>
      <c r="Y786" s="12"/>
      <c r="Z786" s="12"/>
    </row>
    <row x14ac:dyDescent="0.25" r="787" customHeight="1" ht="15.75">
      <c r="A787" s="8">
        <f>IFERROR(__xludf.DUMMYFUNCTION("""COMPUTED_VALUE"""),25029.0)</f>
      </c>
      <c r="B787" s="9">
        <f>IFERROR(__xludf.DUMMYFUNCTION("""COMPUTED_VALUE"""),"NOROESTE FLUMINENSE")</f>
      </c>
      <c r="C787" s="9">
        <f>IFERROR(__xludf.DUMMYFUNCTION("""COMPUTED_VALUE"""),"CE LUIZ FERRAZ")</f>
      </c>
      <c r="D787" s="10">
        <f>IFERROR(__xludf.DUMMYFUNCTION("""COMPUTED_VALUE"""),0.9692)</f>
      </c>
      <c r="E787" s="11">
        <f>IFERROR(__xludf.DUMMYFUNCTION("""COMPUTED_VALUE"""),370.16)</f>
      </c>
      <c r="F787" s="10">
        <f>IFERROR(__xludf.DUMMYFUNCTION("""COMPUTED_VALUE"""),0.8308)</f>
      </c>
      <c r="G787" s="11">
        <f>IFERROR(__xludf.DUMMYFUNCTION("""COMPUTED_VALUE"""),441.54)</f>
      </c>
      <c r="H787" s="10">
        <f>IFERROR(__xludf.DUMMYFUNCTION("""COMPUTED_VALUE"""),1.0)</f>
      </c>
      <c r="I787" s="11">
        <f>IFERROR(__xludf.DUMMYFUNCTION("""COMPUTED_VALUE"""),418.41)</f>
      </c>
      <c r="J787" s="10">
        <f>IFERROR(__xludf.DUMMYFUNCTION("""COMPUTED_VALUE"""),0.9077)</f>
      </c>
      <c r="K787" s="11">
        <f>IFERROR(__xludf.DUMMYFUNCTION("""COMPUTED_VALUE"""),377.93)</f>
      </c>
      <c r="L787" s="10">
        <f>IFERROR(__xludf.DUMMYFUNCTION("""COMPUTED_VALUE"""),0.8308)</f>
      </c>
      <c r="M787" s="11">
        <f>IFERROR(__xludf.DUMMYFUNCTION("""COMPUTED_VALUE"""),462.96)</f>
      </c>
      <c r="N787" s="10">
        <f>IFERROR(__xludf.DUMMYFUNCTION("""COMPUTED_VALUE"""),0.8154)</f>
      </c>
      <c r="O787" s="11">
        <f>IFERROR(__xludf.DUMMYFUNCTION("""COMPUTED_VALUE"""),469.23)</f>
      </c>
      <c r="P787" s="12"/>
      <c r="Q787" s="12"/>
      <c r="R787" s="15"/>
      <c r="S787" s="12"/>
      <c r="T787" s="12"/>
      <c r="U787" s="12"/>
      <c r="V787" s="12"/>
      <c r="W787" s="12"/>
      <c r="X787" s="12"/>
      <c r="Y787" s="12"/>
      <c r="Z787" s="12"/>
    </row>
    <row x14ac:dyDescent="0.25" r="788" customHeight="1" ht="15.75">
      <c r="A788" s="8">
        <f>IFERROR(__xludf.DUMMYFUNCTION("""COMPUTED_VALUE"""),25006.0)</f>
      </c>
      <c r="B788" s="9">
        <f>IFERROR(__xludf.DUMMYFUNCTION("""COMPUTED_VALUE"""),"NOROESTE FLUMINENSE")</f>
      </c>
      <c r="C788" s="9">
        <f>IFERROR(__xludf.DUMMYFUNCTION("""COMPUTED_VALUE"""),"CE LUIZ TITO DE ALMEIDA")</f>
      </c>
      <c r="D788" s="10">
        <f>IFERROR(__xludf.DUMMYFUNCTION("""COMPUTED_VALUE"""),0.8421)</f>
      </c>
      <c r="E788" s="11">
        <f>IFERROR(__xludf.DUMMYFUNCTION("""COMPUTED_VALUE"""),161.33)</f>
      </c>
      <c r="F788" s="10">
        <f>IFERROR(__xludf.DUMMYFUNCTION("""COMPUTED_VALUE"""),0.8158)</f>
      </c>
      <c r="G788" s="11">
        <f>IFERROR(__xludf.DUMMYFUNCTION("""COMPUTED_VALUE"""),341.33)</f>
      </c>
      <c r="H788" s="10">
        <f>IFERROR(__xludf.DUMMYFUNCTION("""COMPUTED_VALUE"""),0.8158)</f>
      </c>
      <c r="I788" s="11">
        <f>IFERROR(__xludf.DUMMYFUNCTION("""COMPUTED_VALUE"""),414.19)</f>
      </c>
      <c r="J788" s="10">
        <f>IFERROR(__xludf.DUMMYFUNCTION("""COMPUTED_VALUE"""),0.8158)</f>
      </c>
      <c r="K788" s="11">
        <f>IFERROR(__xludf.DUMMYFUNCTION("""COMPUTED_VALUE"""),365.33)</f>
      </c>
      <c r="L788" s="10">
        <f>IFERROR(__xludf.DUMMYFUNCTION("""COMPUTED_VALUE"""),0.8684)</f>
      </c>
      <c r="M788" s="11">
        <f>IFERROR(__xludf.DUMMYFUNCTION("""COMPUTED_VALUE"""),387.5)</f>
      </c>
      <c r="N788" s="10">
        <f>IFERROR(__xludf.DUMMYFUNCTION("""COMPUTED_VALUE"""),0.7368)</f>
      </c>
      <c r="O788" s="11">
        <f>IFERROR(__xludf.DUMMYFUNCTION("""COMPUTED_VALUE"""),488.89)</f>
      </c>
      <c r="P788" s="12"/>
      <c r="Q788" s="12"/>
      <c r="R788" s="15"/>
      <c r="S788" s="12"/>
      <c r="T788" s="12"/>
      <c r="U788" s="12"/>
      <c r="V788" s="12"/>
      <c r="W788" s="12"/>
      <c r="X788" s="12"/>
      <c r="Y788" s="12"/>
      <c r="Z788" s="12"/>
    </row>
    <row x14ac:dyDescent="0.25" r="789" customHeight="1" ht="15.75">
      <c r="A789" s="8">
        <f>IFERROR(__xludf.DUMMYFUNCTION("""COMPUTED_VALUE"""),25038.0)</f>
      </c>
      <c r="B789" s="9">
        <f>IFERROR(__xludf.DUMMYFUNCTION("""COMPUTED_VALUE"""),"NOROESTE FLUMINENSE")</f>
      </c>
      <c r="C789" s="9">
        <f>IFERROR(__xludf.DUMMYFUNCTION("""COMPUTED_VALUE"""),"CE MANOEL RODRIGUES DE BARROS")</f>
      </c>
      <c r="D789" s="10">
        <f>IFERROR(__xludf.DUMMYFUNCTION("""COMPUTED_VALUE"""),0.7736)</f>
      </c>
      <c r="E789" s="11">
        <f>IFERROR(__xludf.DUMMYFUNCTION("""COMPUTED_VALUE"""),213.0)</f>
      </c>
      <c r="F789" s="10">
        <f>IFERROR(__xludf.DUMMYFUNCTION("""COMPUTED_VALUE"""),0.566)</f>
      </c>
      <c r="G789" s="11">
        <f>IFERROR(__xludf.DUMMYFUNCTION("""COMPUTED_VALUE"""),393.33)</f>
      </c>
      <c r="H789" s="10">
        <f>IFERROR(__xludf.DUMMYFUNCTION("""COMPUTED_VALUE"""),0.8113)</f>
      </c>
      <c r="I789" s="11">
        <f>IFERROR(__xludf.DUMMYFUNCTION("""COMPUTED_VALUE"""),468.84)</f>
      </c>
      <c r="J789" s="10">
        <f>IFERROR(__xludf.DUMMYFUNCTION("""COMPUTED_VALUE"""),0.8679)</f>
      </c>
      <c r="K789" s="11">
        <f>IFERROR(__xludf.DUMMYFUNCTION("""COMPUTED_VALUE"""),283.56)</f>
      </c>
      <c r="L789" s="10">
        <f>IFERROR(__xludf.DUMMYFUNCTION("""COMPUTED_VALUE"""),0.8113)</f>
      </c>
      <c r="M789" s="11">
        <f>IFERROR(__xludf.DUMMYFUNCTION("""COMPUTED_VALUE"""),460.95)</f>
      </c>
      <c r="N789" s="10">
        <f>IFERROR(__xludf.DUMMYFUNCTION("""COMPUTED_VALUE"""),0.8113)</f>
      </c>
      <c r="O789" s="11">
        <f>IFERROR(__xludf.DUMMYFUNCTION("""COMPUTED_VALUE"""),303.81)</f>
      </c>
      <c r="P789" s="12"/>
      <c r="Q789" s="12"/>
      <c r="R789" s="15"/>
      <c r="S789" s="12"/>
      <c r="T789" s="12"/>
      <c r="U789" s="12"/>
      <c r="V789" s="12"/>
      <c r="W789" s="12"/>
      <c r="X789" s="12"/>
      <c r="Y789" s="12"/>
      <c r="Z789" s="12"/>
    </row>
    <row x14ac:dyDescent="0.25" r="790" customHeight="1" ht="15.75">
      <c r="A790" s="8">
        <f>IFERROR(__xludf.DUMMYFUNCTION("""COMPUTED_VALUE"""),25007.0)</f>
      </c>
      <c r="B790" s="9">
        <f>IFERROR(__xludf.DUMMYFUNCTION("""COMPUTED_VALUE"""),"NOROESTE FLUMINENSE")</f>
      </c>
      <c r="C790" s="9">
        <f>IFERROR(__xludf.DUMMYFUNCTION("""COMPUTED_VALUE"""),"CE MARCILIO DIAS")</f>
      </c>
      <c r="D790" s="10">
        <f>IFERROR(__xludf.DUMMYFUNCTION("""COMPUTED_VALUE"""),0.9286)</f>
      </c>
      <c r="E790" s="11">
        <f>IFERROR(__xludf.DUMMYFUNCTION("""COMPUTED_VALUE"""),332.31)</f>
      </c>
      <c r="F790" s="10">
        <f>IFERROR(__xludf.DUMMYFUNCTION("""COMPUTED_VALUE"""),0.8571)</f>
      </c>
      <c r="G790" s="11">
        <f>IFERROR(__xludf.DUMMYFUNCTION("""COMPUTED_VALUE"""),429.09)</f>
      </c>
      <c r="H790" s="10">
        <f>IFERROR(__xludf.DUMMYFUNCTION("""COMPUTED_VALUE"""),0.8571)</f>
      </c>
      <c r="I790" s="11">
        <f>IFERROR(__xludf.DUMMYFUNCTION("""COMPUTED_VALUE"""),523.64)</f>
      </c>
      <c r="J790" s="10">
        <f>IFERROR(__xludf.DUMMYFUNCTION("""COMPUTED_VALUE"""),0.9286)</f>
      </c>
      <c r="K790" s="11">
        <f>IFERROR(__xludf.DUMMYFUNCTION("""COMPUTED_VALUE"""),433.33)</f>
      </c>
      <c r="L790" s="10">
        <f>IFERROR(__xludf.DUMMYFUNCTION("""COMPUTED_VALUE"""),1.0)</f>
      </c>
      <c r="M790" s="11">
        <f>IFERROR(__xludf.DUMMYFUNCTION("""COMPUTED_VALUE"""),516.92)</f>
      </c>
      <c r="N790" s="10">
        <f>IFERROR(__xludf.DUMMYFUNCTION("""COMPUTED_VALUE"""),0.8571)</f>
      </c>
      <c r="O790" s="11">
        <f>IFERROR(__xludf.DUMMYFUNCTION("""COMPUTED_VALUE"""),560.0)</f>
      </c>
      <c r="P790" s="12"/>
      <c r="Q790" s="12"/>
      <c r="R790" s="15"/>
      <c r="S790" s="12"/>
      <c r="T790" s="12"/>
      <c r="U790" s="12"/>
      <c r="V790" s="12"/>
      <c r="W790" s="12"/>
      <c r="X790" s="12"/>
      <c r="Y790" s="12"/>
      <c r="Z790" s="12"/>
    </row>
    <row x14ac:dyDescent="0.25" r="791" customHeight="1" ht="15.75">
      <c r="A791" s="8">
        <f>IFERROR(__xludf.DUMMYFUNCTION("""COMPUTED_VALUE"""),25008.0)</f>
      </c>
      <c r="B791" s="9">
        <f>IFERROR(__xludf.DUMMYFUNCTION("""COMPUTED_VALUE"""),"NOROESTE FLUMINENSE")</f>
      </c>
      <c r="C791" s="9">
        <f>IFERROR(__xludf.DUMMYFUNCTION("""COMPUTED_VALUE"""),"CE MARIA DA CONCEICAO PEREIRA PINTO")</f>
      </c>
      <c r="D791" s="10">
        <f>IFERROR(__xludf.DUMMYFUNCTION("""COMPUTED_VALUE"""),0.9167)</f>
      </c>
      <c r="E791" s="11">
        <f>IFERROR(__xludf.DUMMYFUNCTION("""COMPUTED_VALUE"""),18.18)</f>
      </c>
      <c r="F791" s="10">
        <f>IFERROR(__xludf.DUMMYFUNCTION("""COMPUTED_VALUE"""),1.0)</f>
      </c>
      <c r="G791" s="11">
        <f>IFERROR(__xludf.DUMMYFUNCTION("""COMPUTED_VALUE"""),613.33)</f>
      </c>
      <c r="H791" s="10">
        <f>IFERROR(__xludf.DUMMYFUNCTION("""COMPUTED_VALUE"""),1.0)</f>
      </c>
      <c r="I791" s="11">
        <f>IFERROR(__xludf.DUMMYFUNCTION("""COMPUTED_VALUE"""),580.0)</f>
      </c>
      <c r="J791" s="10">
        <f>IFERROR(__xludf.DUMMYFUNCTION("""COMPUTED_VALUE"""),1.0)</f>
      </c>
      <c r="K791" s="11">
        <f>IFERROR(__xludf.DUMMYFUNCTION("""COMPUTED_VALUE"""),546.67)</f>
      </c>
      <c r="L791" s="10">
        <f>IFERROR(__xludf.DUMMYFUNCTION("""COMPUTED_VALUE"""),0.9167)</f>
      </c>
      <c r="M791" s="11">
        <f>IFERROR(__xludf.DUMMYFUNCTION("""COMPUTED_VALUE"""),620.0)</f>
      </c>
      <c r="N791" s="10">
        <f>IFERROR(__xludf.DUMMYFUNCTION("""COMPUTED_VALUE"""),0.9167)</f>
      </c>
      <c r="O791" s="11">
        <f>IFERROR(__xludf.DUMMYFUNCTION("""COMPUTED_VALUE"""),614.55)</f>
      </c>
      <c r="P791" s="12"/>
      <c r="Q791" s="12"/>
      <c r="R791" s="15"/>
      <c r="S791" s="12"/>
      <c r="T791" s="12"/>
      <c r="U791" s="12"/>
      <c r="V791" s="12"/>
      <c r="W791" s="12"/>
      <c r="X791" s="12"/>
      <c r="Y791" s="12"/>
      <c r="Z791" s="12"/>
    </row>
    <row x14ac:dyDescent="0.25" r="792" customHeight="1" ht="15.75">
      <c r="A792" s="8">
        <f>IFERROR(__xludf.DUMMYFUNCTION("""COMPUTED_VALUE"""),25058.0)</f>
      </c>
      <c r="B792" s="9">
        <f>IFERROR(__xludf.DUMMYFUNCTION("""COMPUTED_VALUE"""),"NOROESTE FLUMINENSE")</f>
      </c>
      <c r="C792" s="9">
        <f>IFERROR(__xludf.DUMMYFUNCTION("""COMPUTED_VALUE"""),"CE MARIA LENY VIEIRA FERREIRA SILVA")</f>
      </c>
      <c r="D792" s="10">
        <f>IFERROR(__xludf.DUMMYFUNCTION("""COMPUTED_VALUE"""),0.8621)</f>
      </c>
      <c r="E792" s="11">
        <f>IFERROR(__xludf.DUMMYFUNCTION("""COMPUTED_VALUE"""),206.11)</f>
      </c>
      <c r="F792" s="10">
        <f>IFERROR(__xludf.DUMMYFUNCTION("""COMPUTED_VALUE"""),0.8046)</f>
      </c>
      <c r="G792" s="11">
        <f>IFERROR(__xludf.DUMMYFUNCTION("""COMPUTED_VALUE"""),400.0)</f>
      </c>
      <c r="H792" s="10">
        <f>IFERROR(__xludf.DUMMYFUNCTION("""COMPUTED_VALUE"""),0.7816)</f>
      </c>
      <c r="I792" s="11">
        <f>IFERROR(__xludf.DUMMYFUNCTION("""COMPUTED_VALUE"""),397.06)</f>
      </c>
      <c r="J792" s="10">
        <f>IFERROR(__xludf.DUMMYFUNCTION("""COMPUTED_VALUE"""),0.8276)</f>
      </c>
      <c r="K792" s="11">
        <f>IFERROR(__xludf.DUMMYFUNCTION("""COMPUTED_VALUE"""),397.75)</f>
      </c>
      <c r="L792" s="10">
        <f>IFERROR(__xludf.DUMMYFUNCTION("""COMPUTED_VALUE"""),0.7931)</f>
      </c>
      <c r="M792" s="11">
        <f>IFERROR(__xludf.DUMMYFUNCTION("""COMPUTED_VALUE"""),432.46)</f>
      </c>
      <c r="N792" s="10">
        <f>IFERROR(__xludf.DUMMYFUNCTION("""COMPUTED_VALUE"""),0.7241)</f>
      </c>
      <c r="O792" s="11">
        <f>IFERROR(__xludf.DUMMYFUNCTION("""COMPUTED_VALUE"""),394.75)</f>
      </c>
      <c r="P792" s="12"/>
      <c r="Q792" s="12"/>
      <c r="R792" s="15"/>
      <c r="S792" s="12"/>
      <c r="T792" s="12"/>
      <c r="U792" s="12"/>
      <c r="V792" s="12"/>
      <c r="W792" s="12"/>
      <c r="X792" s="12"/>
      <c r="Y792" s="12"/>
      <c r="Z792" s="12"/>
    </row>
    <row x14ac:dyDescent="0.25" r="793" customHeight="1" ht="15.75">
      <c r="A793" s="8">
        <f>IFERROR(__xludf.DUMMYFUNCTION("""COMPUTED_VALUE"""),25030.0)</f>
      </c>
      <c r="B793" s="9">
        <f>IFERROR(__xludf.DUMMYFUNCTION("""COMPUTED_VALUE"""),"NOROESTE FLUMINENSE")</f>
      </c>
      <c r="C793" s="9">
        <f>IFERROR(__xludf.DUMMYFUNCTION("""COMPUTED_VALUE"""),"CE NICOLAO BASTOS FILHO")</f>
      </c>
      <c r="D793" s="10">
        <f>IFERROR(__xludf.DUMMYFUNCTION("""COMPUTED_VALUE"""),0.6923)</f>
      </c>
      <c r="E793" s="11">
        <f>IFERROR(__xludf.DUMMYFUNCTION("""COMPUTED_VALUE"""),249.14)</f>
      </c>
      <c r="F793" s="10">
        <f>IFERROR(__xludf.DUMMYFUNCTION("""COMPUTED_VALUE"""),0.6538)</f>
      </c>
      <c r="G793" s="11">
        <f>IFERROR(__xludf.DUMMYFUNCTION("""COMPUTED_VALUE"""),391.76)</f>
      </c>
      <c r="H793" s="10">
        <f>IFERROR(__xludf.DUMMYFUNCTION("""COMPUTED_VALUE"""),0.5132)</f>
      </c>
      <c r="I793" s="11">
        <f>IFERROR(__xludf.DUMMYFUNCTION("""COMPUTED_VALUE"""),387.69)</f>
      </c>
      <c r="J793" s="10">
        <f>IFERROR(__xludf.DUMMYFUNCTION("""COMPUTED_VALUE"""),0.5882)</f>
      </c>
      <c r="K793" s="11">
        <f>IFERROR(__xludf.DUMMYFUNCTION("""COMPUTED_VALUE"""),306.0)</f>
      </c>
      <c r="L793" s="10">
        <f>IFERROR(__xludf.DUMMYFUNCTION("""COMPUTED_VALUE"""),0.4342)</f>
      </c>
      <c r="M793" s="11">
        <f>IFERROR(__xludf.DUMMYFUNCTION("""COMPUTED_VALUE"""),318.79)</f>
      </c>
      <c r="N793" s="10">
        <f>IFERROR(__xludf.DUMMYFUNCTION("""COMPUTED_VALUE"""),0.1842)</f>
      </c>
      <c r="O793" s="11">
        <f>IFERROR(__xludf.DUMMYFUNCTION("""COMPUTED_VALUE"""),380.0)</f>
      </c>
      <c r="P793" s="12"/>
      <c r="Q793" s="12"/>
      <c r="R793" s="15"/>
      <c r="S793" s="12"/>
      <c r="T793" s="12"/>
      <c r="U793" s="12"/>
      <c r="V793" s="12"/>
      <c r="W793" s="12"/>
      <c r="X793" s="12"/>
      <c r="Y793" s="12"/>
      <c r="Z793" s="12"/>
    </row>
    <row x14ac:dyDescent="0.25" r="794" customHeight="1" ht="15.75">
      <c r="A794" s="8">
        <f>IFERROR(__xludf.DUMMYFUNCTION("""COMPUTED_VALUE"""),25011.0)</f>
      </c>
      <c r="B794" s="9">
        <f>IFERROR(__xludf.DUMMYFUNCTION("""COMPUTED_VALUE"""),"NOROESTE FLUMINENSE")</f>
      </c>
      <c r="C794" s="9">
        <f>IFERROR(__xludf.DUMMYFUNCTION("""COMPUTED_VALUE"""),"CE OSCAR BATISTA")</f>
      </c>
      <c r="D794" s="10">
        <f>IFERROR(__xludf.DUMMYFUNCTION("""COMPUTED_VALUE"""),0.9265)</f>
      </c>
      <c r="E794" s="11">
        <f>IFERROR(__xludf.DUMMYFUNCTION("""COMPUTED_VALUE"""),256.67)</f>
      </c>
      <c r="F794" s="10">
        <f>IFERROR(__xludf.DUMMYFUNCTION("""COMPUTED_VALUE"""),0.5882)</f>
      </c>
      <c r="G794" s="11">
        <f>IFERROR(__xludf.DUMMYFUNCTION("""COMPUTED_VALUE"""),455.79)</f>
      </c>
      <c r="H794" s="10">
        <f>IFERROR(__xludf.DUMMYFUNCTION("""COMPUTED_VALUE"""),0.6765)</f>
      </c>
      <c r="I794" s="11">
        <f>IFERROR(__xludf.DUMMYFUNCTION("""COMPUTED_VALUE"""),462.61)</f>
      </c>
      <c r="J794" s="10">
        <f>IFERROR(__xludf.DUMMYFUNCTION("""COMPUTED_VALUE"""),0.4265)</f>
      </c>
      <c r="K794" s="11">
        <f>IFERROR(__xludf.DUMMYFUNCTION("""COMPUTED_VALUE"""),264.62)</f>
      </c>
      <c r="L794" s="10">
        <f>IFERROR(__xludf.DUMMYFUNCTION("""COMPUTED_VALUE"""),0.6471)</f>
      </c>
      <c r="M794" s="11">
        <f>IFERROR(__xludf.DUMMYFUNCTION("""COMPUTED_VALUE"""),513.64)</f>
      </c>
      <c r="N794" s="10">
        <f>IFERROR(__xludf.DUMMYFUNCTION("""COMPUTED_VALUE"""),0.3529)</f>
      </c>
      <c r="O794" s="11">
        <f>IFERROR(__xludf.DUMMYFUNCTION("""COMPUTED_VALUE"""),583.33)</f>
      </c>
      <c r="P794" s="12"/>
      <c r="Q794" s="12"/>
      <c r="R794" s="15"/>
      <c r="S794" s="12"/>
      <c r="T794" s="12"/>
      <c r="U794" s="12"/>
      <c r="V794" s="12"/>
      <c r="W794" s="12"/>
      <c r="X794" s="12"/>
      <c r="Y794" s="12"/>
      <c r="Z794" s="12"/>
    </row>
    <row x14ac:dyDescent="0.25" r="795" customHeight="1" ht="15.75">
      <c r="A795" s="8">
        <f>IFERROR(__xludf.DUMMYFUNCTION("""COMPUTED_VALUE"""),25009.0)</f>
      </c>
      <c r="B795" s="9">
        <f>IFERROR(__xludf.DUMMYFUNCTION("""COMPUTED_VALUE"""),"NOROESTE FLUMINENSE")</f>
      </c>
      <c r="C795" s="9">
        <f>IFERROR(__xludf.DUMMYFUNCTION("""COMPUTED_VALUE"""),"CE PADRE MELLO")</f>
      </c>
      <c r="D795" s="10">
        <f>IFERROR(__xludf.DUMMYFUNCTION("""COMPUTED_VALUE"""),0.6905)</f>
      </c>
      <c r="E795" s="11">
        <f>IFERROR(__xludf.DUMMYFUNCTION("""COMPUTED_VALUE"""),136.55)</f>
      </c>
      <c r="F795" s="10">
        <f>IFERROR(__xludf.DUMMYFUNCTION("""COMPUTED_VALUE"""),0.0)</f>
      </c>
      <c r="G795" s="11">
        <f>IFERROR(__xludf.DUMMYFUNCTION("""COMPUTED_VALUE"""),"----")</f>
      </c>
      <c r="H795" s="10">
        <f>IFERROR(__xludf.DUMMYFUNCTION("""COMPUTED_VALUE"""),0.5476)</f>
      </c>
      <c r="I795" s="11">
        <f>IFERROR(__xludf.DUMMYFUNCTION("""COMPUTED_VALUE"""),474.78)</f>
      </c>
      <c r="J795" s="10">
        <f>IFERROR(__xludf.DUMMYFUNCTION("""COMPUTED_VALUE"""),0.5952)</f>
      </c>
      <c r="K795" s="11">
        <f>IFERROR(__xludf.DUMMYFUNCTION("""COMPUTED_VALUE"""),408.33)</f>
      </c>
      <c r="L795" s="10">
        <f>IFERROR(__xludf.DUMMYFUNCTION("""COMPUTED_VALUE"""),0.5952)</f>
      </c>
      <c r="M795" s="11">
        <f>IFERROR(__xludf.DUMMYFUNCTION("""COMPUTED_VALUE"""),483.2)</f>
      </c>
      <c r="N795" s="10">
        <f>IFERROR(__xludf.DUMMYFUNCTION("""COMPUTED_VALUE"""),0.5238)</f>
      </c>
      <c r="O795" s="11">
        <f>IFERROR(__xludf.DUMMYFUNCTION("""COMPUTED_VALUE"""),498.18)</f>
      </c>
      <c r="P795" s="12"/>
      <c r="Q795" s="12"/>
      <c r="R795" s="15"/>
      <c r="S795" s="12"/>
      <c r="T795" s="12"/>
      <c r="U795" s="12"/>
      <c r="V795" s="12"/>
      <c r="W795" s="12"/>
      <c r="X795" s="12"/>
      <c r="Y795" s="12"/>
      <c r="Z795" s="12"/>
    </row>
    <row x14ac:dyDescent="0.25" r="796" customHeight="1" ht="15.75">
      <c r="A796" s="8">
        <f>IFERROR(__xludf.DUMMYFUNCTION("""COMPUTED_VALUE"""),25053.0)</f>
      </c>
      <c r="B796" s="9">
        <f>IFERROR(__xludf.DUMMYFUNCTION("""COMPUTED_VALUE"""),"NOROESTE FLUMINENSE")</f>
      </c>
      <c r="C796" s="9">
        <f>IFERROR(__xludf.DUMMYFUNCTION("""COMPUTED_VALUE"""),"CE PEDRO BAPTISTA DE SOUZA")</f>
      </c>
      <c r="D796" s="10">
        <f>IFERROR(__xludf.DUMMYFUNCTION("""COMPUTED_VALUE"""),0.9732)</f>
      </c>
      <c r="E796" s="11">
        <f>IFERROR(__xludf.DUMMYFUNCTION("""COMPUTED_VALUE"""),507.02)</f>
      </c>
      <c r="F796" s="10">
        <f>IFERROR(__xludf.DUMMYFUNCTION("""COMPUTED_VALUE"""),0.9732)</f>
      </c>
      <c r="G796" s="11">
        <f>IFERROR(__xludf.DUMMYFUNCTION("""COMPUTED_VALUE"""),533.85)</f>
      </c>
      <c r="H796" s="10">
        <f>IFERROR(__xludf.DUMMYFUNCTION("""COMPUTED_VALUE"""),0.8869)</f>
      </c>
      <c r="I796" s="11">
        <f>IFERROR(__xludf.DUMMYFUNCTION("""COMPUTED_VALUE"""),578.96)</f>
      </c>
      <c r="J796" s="10">
        <f>IFERROR(__xludf.DUMMYFUNCTION("""COMPUTED_VALUE"""),0.9268)</f>
      </c>
      <c r="K796" s="11">
        <f>IFERROR(__xludf.DUMMYFUNCTION("""COMPUTED_VALUE"""),550.0)</f>
      </c>
      <c r="L796" s="10">
        <f>IFERROR(__xludf.DUMMYFUNCTION("""COMPUTED_VALUE"""),0.8929)</f>
      </c>
      <c r="M796" s="11">
        <f>IFERROR(__xludf.DUMMYFUNCTION("""COMPUTED_VALUE"""),564.71)</f>
      </c>
      <c r="N796" s="10">
        <f>IFERROR(__xludf.DUMMYFUNCTION("""COMPUTED_VALUE"""),0.8571)</f>
      </c>
      <c r="O796" s="11">
        <f>IFERROR(__xludf.DUMMYFUNCTION("""COMPUTED_VALUE"""),557.8)</f>
      </c>
      <c r="P796" s="12"/>
      <c r="Q796" s="12"/>
      <c r="R796" s="15"/>
      <c r="S796" s="12"/>
      <c r="T796" s="12"/>
      <c r="U796" s="12"/>
      <c r="V796" s="12"/>
      <c r="W796" s="12"/>
      <c r="X796" s="12"/>
      <c r="Y796" s="12"/>
      <c r="Z796" s="12"/>
    </row>
    <row x14ac:dyDescent="0.25" r="797" customHeight="1" ht="15.75">
      <c r="A797" s="8">
        <f>IFERROR(__xludf.DUMMYFUNCTION("""COMPUTED_VALUE"""),25039.0)</f>
      </c>
      <c r="B797" s="9">
        <f>IFERROR(__xludf.DUMMYFUNCTION("""COMPUTED_VALUE"""),"NOROESTE FLUMINENSE")</f>
      </c>
      <c r="C797" s="9">
        <f>IFERROR(__xludf.DUMMYFUNCTION("""COMPUTED_VALUE"""),"CE PROFESSORA SONIA DO AMARAL TORRES")</f>
      </c>
      <c r="D797" s="10">
        <f>IFERROR(__xludf.DUMMYFUNCTION("""COMPUTED_VALUE"""),1.0)</f>
      </c>
      <c r="E797" s="11">
        <f>IFERROR(__xludf.DUMMYFUNCTION("""COMPUTED_VALUE"""),434.29)</f>
      </c>
      <c r="F797" s="10">
        <f>IFERROR(__xludf.DUMMYFUNCTION("""COMPUTED_VALUE"""),1.0)</f>
      </c>
      <c r="G797" s="11">
        <f>IFERROR(__xludf.DUMMYFUNCTION("""COMPUTED_VALUE"""),500.0)</f>
      </c>
      <c r="H797" s="10">
        <f>IFERROR(__xludf.DUMMYFUNCTION("""COMPUTED_VALUE"""),1.0)</f>
      </c>
      <c r="I797" s="11">
        <f>IFERROR(__xludf.DUMMYFUNCTION("""COMPUTED_VALUE"""),550.0)</f>
      </c>
      <c r="J797" s="10">
        <f>IFERROR(__xludf.DUMMYFUNCTION("""COMPUTED_VALUE"""),1.0)</f>
      </c>
      <c r="K797" s="11">
        <f>IFERROR(__xludf.DUMMYFUNCTION("""COMPUTED_VALUE"""),445.71)</f>
      </c>
      <c r="L797" s="10">
        <f>IFERROR(__xludf.DUMMYFUNCTION("""COMPUTED_VALUE"""),0.9643)</f>
      </c>
      <c r="M797" s="11">
        <f>IFERROR(__xludf.DUMMYFUNCTION("""COMPUTED_VALUE"""),597.04)</f>
      </c>
      <c r="N797" s="10">
        <f>IFERROR(__xludf.DUMMYFUNCTION("""COMPUTED_VALUE"""),1.0)</f>
      </c>
      <c r="O797" s="11">
        <f>IFERROR(__xludf.DUMMYFUNCTION("""COMPUTED_VALUE"""),588.57)</f>
      </c>
      <c r="P797" s="12"/>
      <c r="Q797" s="12"/>
      <c r="R797" s="15"/>
      <c r="S797" s="12"/>
      <c r="T797" s="12"/>
      <c r="U797" s="12"/>
      <c r="V797" s="12"/>
      <c r="W797" s="12"/>
      <c r="X797" s="12"/>
      <c r="Y797" s="12"/>
      <c r="Z797" s="12"/>
    </row>
    <row x14ac:dyDescent="0.25" r="798" customHeight="1" ht="15.75">
      <c r="A798" s="8">
        <f>IFERROR(__xludf.DUMMYFUNCTION("""COMPUTED_VALUE"""),25031.0)</f>
      </c>
      <c r="B798" s="9">
        <f>IFERROR(__xludf.DUMMYFUNCTION("""COMPUTED_VALUE"""),"NOROESTE FLUMINENSE")</f>
      </c>
      <c r="C798" s="9">
        <f>IFERROR(__xludf.DUMMYFUNCTION("""COMPUTED_VALUE"""),"CE ROMUALDO MONTEIRO DE BARROS")</f>
      </c>
      <c r="D798" s="10">
        <f>IFERROR(__xludf.DUMMYFUNCTION("""COMPUTED_VALUE"""),1.0)</f>
      </c>
      <c r="E798" s="11">
        <f>IFERROR(__xludf.DUMMYFUNCTION("""COMPUTED_VALUE"""),326.45)</f>
      </c>
      <c r="F798" s="10">
        <f>IFERROR(__xludf.DUMMYFUNCTION("""COMPUTED_VALUE"""),1.0)</f>
      </c>
      <c r="G798" s="11">
        <f>IFERROR(__xludf.DUMMYFUNCTION("""COMPUTED_VALUE"""),417.33)</f>
      </c>
      <c r="H798" s="10">
        <f>IFERROR(__xludf.DUMMYFUNCTION("""COMPUTED_VALUE"""),0.8387)</f>
      </c>
      <c r="I798" s="11">
        <f>IFERROR(__xludf.DUMMYFUNCTION("""COMPUTED_VALUE"""),446.15)</f>
      </c>
      <c r="J798" s="10">
        <f>IFERROR(__xludf.DUMMYFUNCTION("""COMPUTED_VALUE"""),0.8387)</f>
      </c>
      <c r="K798" s="11">
        <f>IFERROR(__xludf.DUMMYFUNCTION("""COMPUTED_VALUE"""),440.0)</f>
      </c>
      <c r="L798" s="10">
        <f>IFERROR(__xludf.DUMMYFUNCTION("""COMPUTED_VALUE"""),0.8387)</f>
      </c>
      <c r="M798" s="11">
        <f>IFERROR(__xludf.DUMMYFUNCTION("""COMPUTED_VALUE"""),472.0)</f>
      </c>
      <c r="N798" s="10">
        <f>IFERROR(__xludf.DUMMYFUNCTION("""COMPUTED_VALUE"""),0.7419)</f>
      </c>
      <c r="O798" s="11">
        <f>IFERROR(__xludf.DUMMYFUNCTION("""COMPUTED_VALUE"""),549.09)</f>
      </c>
      <c r="P798" s="12"/>
      <c r="Q798" s="12"/>
      <c r="R798" s="15"/>
      <c r="S798" s="12"/>
      <c r="T798" s="12"/>
      <c r="U798" s="12"/>
      <c r="V798" s="12"/>
      <c r="W798" s="12"/>
      <c r="X798" s="12"/>
      <c r="Y798" s="12"/>
      <c r="Z798" s="12"/>
    </row>
    <row x14ac:dyDescent="0.25" r="799" customHeight="1" ht="15.75">
      <c r="A799" s="8">
        <f>IFERROR(__xludf.DUMMYFUNCTION("""COMPUTED_VALUE"""),25032.0)</f>
      </c>
      <c r="B799" s="9">
        <f>IFERROR(__xludf.DUMMYFUNCTION("""COMPUTED_VALUE"""),"NOROESTE FLUMINENSE")</f>
      </c>
      <c r="C799" s="9">
        <f>IFERROR(__xludf.DUMMYFUNCTION("""COMPUTED_VALUE"""),"CE ROTARY")</f>
      </c>
      <c r="D799" s="10">
        <f>IFERROR(__xludf.DUMMYFUNCTION("""COMPUTED_VALUE"""),0.9123)</f>
      </c>
      <c r="E799" s="11">
        <f>IFERROR(__xludf.DUMMYFUNCTION("""COMPUTED_VALUE"""),499.61)</f>
      </c>
      <c r="F799" s="10">
        <f>IFERROR(__xludf.DUMMYFUNCTION("""COMPUTED_VALUE"""),0.614)</f>
      </c>
      <c r="G799" s="11">
        <f>IFERROR(__xludf.DUMMYFUNCTION("""COMPUTED_VALUE"""),634.29)</f>
      </c>
      <c r="H799" s="10">
        <f>IFERROR(__xludf.DUMMYFUNCTION("""COMPUTED_VALUE"""),0.5965)</f>
      </c>
      <c r="I799" s="11">
        <f>IFERROR(__xludf.DUMMYFUNCTION("""COMPUTED_VALUE"""),611.76)</f>
      </c>
      <c r="J799" s="10">
        <f>IFERROR(__xludf.DUMMYFUNCTION("""COMPUTED_VALUE"""),0.6316)</f>
      </c>
      <c r="K799" s="11">
        <f>IFERROR(__xludf.DUMMYFUNCTION("""COMPUTED_VALUE"""),482.35)</f>
      </c>
      <c r="L799" s="10">
        <f>IFERROR(__xludf.DUMMYFUNCTION("""COMPUTED_VALUE"""),0.5965)</f>
      </c>
      <c r="M799" s="11">
        <f>IFERROR(__xludf.DUMMYFUNCTION("""COMPUTED_VALUE"""),527.06)</f>
      </c>
      <c r="N799" s="10">
        <f>IFERROR(__xludf.DUMMYFUNCTION("""COMPUTED_VALUE"""),0.5965)</f>
      </c>
      <c r="O799" s="11">
        <f>IFERROR(__xludf.DUMMYFUNCTION("""COMPUTED_VALUE"""),560.0)</f>
      </c>
      <c r="P799" s="12"/>
      <c r="Q799" s="12"/>
      <c r="R799" s="15"/>
      <c r="S799" s="12"/>
      <c r="T799" s="12"/>
      <c r="U799" s="12"/>
      <c r="V799" s="12"/>
      <c r="W799" s="12"/>
      <c r="X799" s="12"/>
      <c r="Y799" s="12"/>
      <c r="Z799" s="12"/>
    </row>
    <row x14ac:dyDescent="0.25" r="800" customHeight="1" ht="15.75">
      <c r="A800" s="8">
        <f>IFERROR(__xludf.DUMMYFUNCTION("""COMPUTED_VALUE"""),25054.0)</f>
      </c>
      <c r="B800" s="9">
        <f>IFERROR(__xludf.DUMMYFUNCTION("""COMPUTED_VALUE"""),"NOROESTE FLUMINENSE")</f>
      </c>
      <c r="C800" s="9">
        <f>IFERROR(__xludf.DUMMYFUNCTION("""COMPUTED_VALUE"""),"CE RUI GUIMARÃES DE ALMEIDA")</f>
      </c>
      <c r="D800" s="10">
        <f>IFERROR(__xludf.DUMMYFUNCTION("""COMPUTED_VALUE"""),0.8765)</f>
      </c>
      <c r="E800" s="11">
        <f>IFERROR(__xludf.DUMMYFUNCTION("""COMPUTED_VALUE"""),358.87)</f>
      </c>
      <c r="F800" s="10">
        <f>IFERROR(__xludf.DUMMYFUNCTION("""COMPUTED_VALUE"""),0.6049)</f>
      </c>
      <c r="G800" s="11">
        <f>IFERROR(__xludf.DUMMYFUNCTION("""COMPUTED_VALUE"""),405.83)</f>
      </c>
      <c r="H800" s="10">
        <f>IFERROR(__xludf.DUMMYFUNCTION("""COMPUTED_VALUE"""),0.8395)</f>
      </c>
      <c r="I800" s="11">
        <f>IFERROR(__xludf.DUMMYFUNCTION("""COMPUTED_VALUE"""),392.35)</f>
      </c>
      <c r="J800" s="10">
        <f>IFERROR(__xludf.DUMMYFUNCTION("""COMPUTED_VALUE"""),0.8889)</f>
      </c>
      <c r="K800" s="11">
        <f>IFERROR(__xludf.DUMMYFUNCTION("""COMPUTED_VALUE"""),372.35)</f>
      </c>
      <c r="L800" s="10">
        <f>IFERROR(__xludf.DUMMYFUNCTION("""COMPUTED_VALUE"""),0.8395)</f>
      </c>
      <c r="M800" s="11">
        <f>IFERROR(__xludf.DUMMYFUNCTION("""COMPUTED_VALUE"""),468.48)</f>
      </c>
      <c r="N800" s="10">
        <f>IFERROR(__xludf.DUMMYFUNCTION("""COMPUTED_VALUE"""),0.8148)</f>
      </c>
      <c r="O800" s="11">
        <f>IFERROR(__xludf.DUMMYFUNCTION("""COMPUTED_VALUE"""),432.73)</f>
      </c>
      <c r="P800" s="12"/>
      <c r="Q800" s="12"/>
      <c r="R800" s="15"/>
      <c r="S800" s="12"/>
      <c r="T800" s="12"/>
      <c r="U800" s="12"/>
      <c r="V800" s="12"/>
      <c r="W800" s="12"/>
      <c r="X800" s="12"/>
      <c r="Y800" s="12"/>
      <c r="Z800" s="12"/>
    </row>
    <row x14ac:dyDescent="0.25" r="801" customHeight="1" ht="15.75">
      <c r="A801" s="8">
        <f>IFERROR(__xludf.DUMMYFUNCTION("""COMPUTED_VALUE"""),25033.0)</f>
      </c>
      <c r="B801" s="9">
        <f>IFERROR(__xludf.DUMMYFUNCTION("""COMPUTED_VALUE"""),"NOROESTE FLUMINENSE")</f>
      </c>
      <c r="C801" s="9">
        <f>IFERROR(__xludf.DUMMYFUNCTION("""COMPUTED_VALUE"""),"CE SENADOR SA TINOCO")</f>
      </c>
      <c r="D801" s="10">
        <f>IFERROR(__xludf.DUMMYFUNCTION("""COMPUTED_VALUE"""),1.0)</f>
      </c>
      <c r="E801" s="11">
        <f>IFERROR(__xludf.DUMMYFUNCTION("""COMPUTED_VALUE"""),141.33)</f>
      </c>
      <c r="F801" s="10">
        <f>IFERROR(__xludf.DUMMYFUNCTION("""COMPUTED_VALUE"""),0.8444)</f>
      </c>
      <c r="G801" s="11">
        <f>IFERROR(__xludf.DUMMYFUNCTION("""COMPUTED_VALUE"""),287.37)</f>
      </c>
      <c r="H801" s="10">
        <f>IFERROR(__xludf.DUMMYFUNCTION("""COMPUTED_VALUE"""),0.6222)</f>
      </c>
      <c r="I801" s="11">
        <f>IFERROR(__xludf.DUMMYFUNCTION("""COMPUTED_VALUE"""),339.26)</f>
      </c>
      <c r="J801" s="10">
        <f>IFERROR(__xludf.DUMMYFUNCTION("""COMPUTED_VALUE"""),0.7333)</f>
      </c>
      <c r="K801" s="11">
        <f>IFERROR(__xludf.DUMMYFUNCTION("""COMPUTED_VALUE"""),138.18)</f>
      </c>
      <c r="L801" s="10">
        <f>IFERROR(__xludf.DUMMYFUNCTION("""COMPUTED_VALUE"""),0.7111)</f>
      </c>
      <c r="M801" s="11">
        <f>IFERROR(__xludf.DUMMYFUNCTION("""COMPUTED_VALUE"""),180.0)</f>
      </c>
      <c r="N801" s="10">
        <f>IFERROR(__xludf.DUMMYFUNCTION("""COMPUTED_VALUE"""),0.6667)</f>
      </c>
      <c r="O801" s="11">
        <f>IFERROR(__xludf.DUMMYFUNCTION("""COMPUTED_VALUE"""),206.67)</f>
      </c>
      <c r="P801" s="12"/>
      <c r="Q801" s="12"/>
      <c r="R801" s="15"/>
      <c r="S801" s="12"/>
      <c r="T801" s="12"/>
      <c r="U801" s="12"/>
      <c r="V801" s="12"/>
      <c r="W801" s="12"/>
      <c r="X801" s="12"/>
      <c r="Y801" s="12"/>
      <c r="Z801" s="12"/>
    </row>
    <row x14ac:dyDescent="0.25" r="802" customHeight="1" ht="15.75">
      <c r="A802" s="8">
        <f>IFERROR(__xludf.DUMMYFUNCTION("""COMPUTED_VALUE"""),25055.0)</f>
      </c>
      <c r="B802" s="9">
        <f>IFERROR(__xludf.DUMMYFUNCTION("""COMPUTED_VALUE"""),"NOROESTE FLUMINENSE")</f>
      </c>
      <c r="C802" s="9">
        <f>IFERROR(__xludf.DUMMYFUNCTION("""COMPUTED_VALUE"""),"CE SUBTENENTE PM CLAUDIO HENTZY FERREIRA")</f>
      </c>
      <c r="D802" s="10">
        <f>IFERROR(__xludf.DUMMYFUNCTION("""COMPUTED_VALUE"""),0.98)</f>
      </c>
      <c r="E802" s="11">
        <f>IFERROR(__xludf.DUMMYFUNCTION("""COMPUTED_VALUE"""),528.16)</f>
      </c>
      <c r="F802" s="10">
        <f>IFERROR(__xludf.DUMMYFUNCTION("""COMPUTED_VALUE"""),0.98)</f>
      </c>
      <c r="G802" s="11">
        <f>IFERROR(__xludf.DUMMYFUNCTION("""COMPUTED_VALUE"""),527.35)</f>
      </c>
      <c r="H802" s="10">
        <f>IFERROR(__xludf.DUMMYFUNCTION("""COMPUTED_VALUE"""),0.88)</f>
      </c>
      <c r="I802" s="11">
        <f>IFERROR(__xludf.DUMMYFUNCTION("""COMPUTED_VALUE"""),607.27)</f>
      </c>
      <c r="J802" s="10">
        <f>IFERROR(__xludf.DUMMYFUNCTION("""COMPUTED_VALUE"""),0.94)</f>
      </c>
      <c r="K802" s="11">
        <f>IFERROR(__xludf.DUMMYFUNCTION("""COMPUTED_VALUE"""),599.15)</f>
      </c>
      <c r="L802" s="10">
        <f>IFERROR(__xludf.DUMMYFUNCTION("""COMPUTED_VALUE"""),0.86)</f>
      </c>
      <c r="M802" s="11">
        <f>IFERROR(__xludf.DUMMYFUNCTION("""COMPUTED_VALUE"""),625.12)</f>
      </c>
      <c r="N802" s="10">
        <f>IFERROR(__xludf.DUMMYFUNCTION("""COMPUTED_VALUE"""),0.82)</f>
      </c>
      <c r="O802" s="11">
        <f>IFERROR(__xludf.DUMMYFUNCTION("""COMPUTED_VALUE"""),592.0)</f>
      </c>
      <c r="P802" s="12"/>
      <c r="Q802" s="12"/>
      <c r="R802" s="15"/>
      <c r="S802" s="12"/>
      <c r="T802" s="12"/>
      <c r="U802" s="12"/>
      <c r="V802" s="12"/>
      <c r="W802" s="12"/>
      <c r="X802" s="12"/>
      <c r="Y802" s="12"/>
      <c r="Z802" s="12"/>
    </row>
    <row x14ac:dyDescent="0.25" r="803" customHeight="1" ht="15.75">
      <c r="A803" s="8">
        <f>IFERROR(__xludf.DUMMYFUNCTION("""COMPUTED_VALUE"""),25056.0)</f>
      </c>
      <c r="B803" s="9">
        <f>IFERROR(__xludf.DUMMYFUNCTION("""COMPUTED_VALUE"""),"NOROESTE FLUMINENSE")</f>
      </c>
      <c r="C803" s="9">
        <f>IFERROR(__xludf.DUMMYFUNCTION("""COMPUTED_VALUE"""),"CE TEMISTOCLES DE ALMEIDA")</f>
      </c>
      <c r="D803" s="10">
        <f>IFERROR(__xludf.DUMMYFUNCTION("""COMPUTED_VALUE"""),0.9167)</f>
      </c>
      <c r="E803" s="11">
        <f>IFERROR(__xludf.DUMMYFUNCTION("""COMPUTED_VALUE"""),317.58)</f>
      </c>
      <c r="F803" s="10">
        <f>IFERROR(__xludf.DUMMYFUNCTION("""COMPUTED_VALUE"""),0.7222)</f>
      </c>
      <c r="G803" s="11">
        <f>IFERROR(__xludf.DUMMYFUNCTION("""COMPUTED_VALUE"""),404.62)</f>
      </c>
      <c r="H803" s="10">
        <f>IFERROR(__xludf.DUMMYFUNCTION("""COMPUTED_VALUE"""),0.7222)</f>
      </c>
      <c r="I803" s="11">
        <f>IFERROR(__xludf.DUMMYFUNCTION("""COMPUTED_VALUE"""),500.0)</f>
      </c>
      <c r="J803" s="10">
        <f>IFERROR(__xludf.DUMMYFUNCTION("""COMPUTED_VALUE"""),0.8611)</f>
      </c>
      <c r="K803" s="11">
        <f>IFERROR(__xludf.DUMMYFUNCTION("""COMPUTED_VALUE"""),419.35)</f>
      </c>
      <c r="L803" s="10">
        <f>IFERROR(__xludf.DUMMYFUNCTION("""COMPUTED_VALUE"""),0.8889)</f>
      </c>
      <c r="M803" s="11">
        <f>IFERROR(__xludf.DUMMYFUNCTION("""COMPUTED_VALUE"""),470.0)</f>
      </c>
      <c r="N803" s="10">
        <f>IFERROR(__xludf.DUMMYFUNCTION("""COMPUTED_VALUE"""),0.8889)</f>
      </c>
      <c r="O803" s="11">
        <f>IFERROR(__xludf.DUMMYFUNCTION("""COMPUTED_VALUE"""),488.75)</f>
      </c>
      <c r="P803" s="12"/>
      <c r="Q803" s="12"/>
      <c r="R803" s="15"/>
      <c r="S803" s="12"/>
      <c r="T803" s="12"/>
      <c r="U803" s="12"/>
      <c r="V803" s="12"/>
      <c r="W803" s="12"/>
      <c r="X803" s="12"/>
      <c r="Y803" s="12"/>
      <c r="Z803" s="12"/>
    </row>
    <row x14ac:dyDescent="0.25" r="804" customHeight="1" ht="15.75">
      <c r="A804" s="8">
        <f>IFERROR(__xludf.DUMMYFUNCTION("""COMPUTED_VALUE"""),25012.0)</f>
      </c>
      <c r="B804" s="9">
        <f>IFERROR(__xludf.DUMMYFUNCTION("""COMPUTED_VALUE"""),"NOROESTE FLUMINENSE")</f>
      </c>
      <c r="C804" s="9">
        <f>IFERROR(__xludf.DUMMYFUNCTION("""COMPUTED_VALUE"""),"CE WALDEMIRO PITA")</f>
      </c>
      <c r="D804" s="10">
        <f>IFERROR(__xludf.DUMMYFUNCTION("""COMPUTED_VALUE"""),1.0)</f>
      </c>
      <c r="E804" s="11">
        <f>IFERROR(__xludf.DUMMYFUNCTION("""COMPUTED_VALUE"""),327.62)</f>
      </c>
      <c r="F804" s="10">
        <f>IFERROR(__xludf.DUMMYFUNCTION("""COMPUTED_VALUE"""),0.8095)</f>
      </c>
      <c r="G804" s="11">
        <f>IFERROR(__xludf.DUMMYFUNCTION("""COMPUTED_VALUE"""),470.59)</f>
      </c>
      <c r="H804" s="10">
        <f>IFERROR(__xludf.DUMMYFUNCTION("""COMPUTED_VALUE"""),1.0)</f>
      </c>
      <c r="I804" s="11">
        <f>IFERROR(__xludf.DUMMYFUNCTION("""COMPUTED_VALUE"""),405.71)</f>
      </c>
      <c r="J804" s="10">
        <f>IFERROR(__xludf.DUMMYFUNCTION("""COMPUTED_VALUE"""),0.7143)</f>
      </c>
      <c r="K804" s="11">
        <f>IFERROR(__xludf.DUMMYFUNCTION("""COMPUTED_VALUE"""),388.97)</f>
      </c>
      <c r="L804" s="10">
        <f>IFERROR(__xludf.DUMMYFUNCTION("""COMPUTED_VALUE"""),0.8095)</f>
      </c>
      <c r="M804" s="11">
        <f>IFERROR(__xludf.DUMMYFUNCTION("""COMPUTED_VALUE"""),472.94)</f>
      </c>
      <c r="N804" s="10">
        <f>IFERROR(__xludf.DUMMYFUNCTION("""COMPUTED_VALUE"""),0.7381)</f>
      </c>
      <c r="O804" s="11">
        <f>IFERROR(__xludf.DUMMYFUNCTION("""COMPUTED_VALUE"""),539.35)</f>
      </c>
      <c r="P804" s="12"/>
      <c r="Q804" s="12"/>
      <c r="R804" s="15"/>
      <c r="S804" s="12"/>
      <c r="T804" s="12"/>
      <c r="U804" s="12"/>
      <c r="V804" s="12"/>
      <c r="W804" s="12"/>
      <c r="X804" s="12"/>
      <c r="Y804" s="12"/>
      <c r="Z804" s="12"/>
    </row>
    <row x14ac:dyDescent="0.25" r="805" customHeight="1" ht="15.75">
      <c r="A805" s="8">
        <f>IFERROR(__xludf.DUMMYFUNCTION("""COMPUTED_VALUE"""),25015.0)</f>
      </c>
      <c r="B805" s="9">
        <f>IFERROR(__xludf.DUMMYFUNCTION("""COMPUTED_VALUE"""),"NOROESTE FLUMINENSE")</f>
      </c>
      <c r="C805" s="9">
        <f>IFERROR(__xludf.DUMMYFUNCTION("""COMPUTED_VALUE"""),"CIEP 141 VEREADOR SAID TANUS JOSÉ")</f>
      </c>
      <c r="D805" s="10">
        <f>IFERROR(__xludf.DUMMYFUNCTION("""COMPUTED_VALUE"""),0.9649)</f>
      </c>
      <c r="E805" s="11">
        <f>IFERROR(__xludf.DUMMYFUNCTION("""COMPUTED_VALUE"""),560.0)</f>
      </c>
      <c r="F805" s="10">
        <f>IFERROR(__xludf.DUMMYFUNCTION("""COMPUTED_VALUE"""),0.886)</f>
      </c>
      <c r="G805" s="11">
        <f>IFERROR(__xludf.DUMMYFUNCTION("""COMPUTED_VALUE"""),566.73)</f>
      </c>
      <c r="H805" s="10">
        <f>IFERROR(__xludf.DUMMYFUNCTION("""COMPUTED_VALUE"""),0.8246)</f>
      </c>
      <c r="I805" s="11">
        <f>IFERROR(__xludf.DUMMYFUNCTION("""COMPUTED_VALUE"""),563.4)</f>
      </c>
      <c r="J805" s="10">
        <f>IFERROR(__xludf.DUMMYFUNCTION("""COMPUTED_VALUE"""),0.9123)</f>
      </c>
      <c r="K805" s="11">
        <f>IFERROR(__xludf.DUMMYFUNCTION("""COMPUTED_VALUE"""),520.8)</f>
      </c>
      <c r="L805" s="10">
        <f>IFERROR(__xludf.DUMMYFUNCTION("""COMPUTED_VALUE"""),0.8947)</f>
      </c>
      <c r="M805" s="11">
        <f>IFERROR(__xludf.DUMMYFUNCTION("""COMPUTED_VALUE"""),588.63)</f>
      </c>
      <c r="N805" s="10">
        <f>IFERROR(__xludf.DUMMYFUNCTION("""COMPUTED_VALUE"""),0.8772)</f>
      </c>
      <c r="O805" s="11">
        <f>IFERROR(__xludf.DUMMYFUNCTION("""COMPUTED_VALUE"""),588.8)</f>
      </c>
      <c r="P805" s="12"/>
      <c r="Q805" s="12"/>
      <c r="R805" s="15"/>
      <c r="S805" s="12"/>
      <c r="T805" s="12"/>
      <c r="U805" s="12"/>
      <c r="V805" s="12"/>
      <c r="W805" s="12"/>
      <c r="X805" s="12"/>
      <c r="Y805" s="12"/>
      <c r="Z805" s="12"/>
    </row>
    <row x14ac:dyDescent="0.25" r="806" customHeight="1" ht="15.75">
      <c r="A806" s="8">
        <f>IFERROR(__xludf.DUMMYFUNCTION("""COMPUTED_VALUE"""),25035.0)</f>
      </c>
      <c r="B806" s="9">
        <f>IFERROR(__xludf.DUMMYFUNCTION("""COMPUTED_VALUE"""),"NOROESTE FLUMINENSE")</f>
      </c>
      <c r="C806" s="9">
        <f>IFERROR(__xludf.DUMMYFUNCTION("""COMPUTED_VALUE"""),"CIEP 263 DOUTOR JAIR DE SIQUEIRA BITTENCOURT")</f>
      </c>
      <c r="D806" s="10">
        <f>IFERROR(__xludf.DUMMYFUNCTION("""COMPUTED_VALUE"""),0.9335)</f>
      </c>
      <c r="E806" s="11">
        <f>IFERROR(__xludf.DUMMYFUNCTION("""COMPUTED_VALUE"""),285.16)</f>
      </c>
      <c r="F806" s="10">
        <f>IFERROR(__xludf.DUMMYFUNCTION("""COMPUTED_VALUE"""),0.7463)</f>
      </c>
      <c r="G806" s="11">
        <f>IFERROR(__xludf.DUMMYFUNCTION("""COMPUTED_VALUE"""),431.87)</f>
      </c>
      <c r="H806" s="10">
        <f>IFERROR(__xludf.DUMMYFUNCTION("""COMPUTED_VALUE"""),0.7562)</f>
      </c>
      <c r="I806" s="11">
        <f>IFERROR(__xludf.DUMMYFUNCTION("""COMPUTED_VALUE"""),495.03)</f>
      </c>
      <c r="J806" s="10">
        <f>IFERROR(__xludf.DUMMYFUNCTION("""COMPUTED_VALUE"""),0.8202)</f>
      </c>
      <c r="K806" s="11">
        <f>IFERROR(__xludf.DUMMYFUNCTION("""COMPUTED_VALUE"""),343.1)</f>
      </c>
      <c r="L806" s="10">
        <f>IFERROR(__xludf.DUMMYFUNCTION("""COMPUTED_VALUE"""),0.6256)</f>
      </c>
      <c r="M806" s="11">
        <f>IFERROR(__xludf.DUMMYFUNCTION("""COMPUTED_VALUE"""),486.64)</f>
      </c>
      <c r="N806" s="10">
        <f>IFERROR(__xludf.DUMMYFUNCTION("""COMPUTED_VALUE"""),0.6724)</f>
      </c>
      <c r="O806" s="11">
        <f>IFERROR(__xludf.DUMMYFUNCTION("""COMPUTED_VALUE"""),440.3)</f>
      </c>
      <c r="P806" s="12"/>
      <c r="Q806" s="12"/>
      <c r="R806" s="15"/>
      <c r="S806" s="12"/>
      <c r="T806" s="12"/>
      <c r="U806" s="12"/>
      <c r="V806" s="12"/>
      <c r="W806" s="12"/>
      <c r="X806" s="12"/>
      <c r="Y806" s="12"/>
      <c r="Z806" s="12"/>
    </row>
    <row x14ac:dyDescent="0.25" r="807" customHeight="1" ht="15.75">
      <c r="A807" s="8">
        <f>IFERROR(__xludf.DUMMYFUNCTION("""COMPUTED_VALUE"""),25040.0)</f>
      </c>
      <c r="B807" s="9">
        <f>IFERROR(__xludf.DUMMYFUNCTION("""COMPUTED_VALUE"""),"NOROESTE FLUMINENSE")</f>
      </c>
      <c r="C807" s="9">
        <f>IFERROR(__xludf.DUMMYFUNCTION("""COMPUTED_VALUE"""),"CIEP 267 MARIA APARECIDA LIMA SOUTO TOSTES")</f>
      </c>
      <c r="D807" s="10">
        <f>IFERROR(__xludf.DUMMYFUNCTION("""COMPUTED_VALUE"""),0.7959)</f>
      </c>
      <c r="E807" s="11">
        <f>IFERROR(__xludf.DUMMYFUNCTION("""COMPUTED_VALUE"""),219.31)</f>
      </c>
      <c r="F807" s="10">
        <f>IFERROR(__xludf.DUMMYFUNCTION("""COMPUTED_VALUE"""),0.5918)</f>
      </c>
      <c r="G807" s="11">
        <f>IFERROR(__xludf.DUMMYFUNCTION("""COMPUTED_VALUE"""),395.56)</f>
      </c>
      <c r="H807" s="10">
        <f>IFERROR(__xludf.DUMMYFUNCTION("""COMPUTED_VALUE"""),0.7347)</f>
      </c>
      <c r="I807" s="11">
        <f>IFERROR(__xludf.DUMMYFUNCTION("""COMPUTED_VALUE"""),418.89)</f>
      </c>
      <c r="J807" s="10">
        <f>IFERROR(__xludf.DUMMYFUNCTION("""COMPUTED_VALUE"""),0.6531)</f>
      </c>
      <c r="K807" s="11">
        <f>IFERROR(__xludf.DUMMYFUNCTION("""COMPUTED_VALUE"""),369.52)</f>
      </c>
      <c r="L807" s="10">
        <f>IFERROR(__xludf.DUMMYFUNCTION("""COMPUTED_VALUE"""),0.5714)</f>
      </c>
      <c r="M807" s="11">
        <f>IFERROR(__xludf.DUMMYFUNCTION("""COMPUTED_VALUE"""),516.92)</f>
      </c>
      <c r="N807" s="10">
        <f>IFERROR(__xludf.DUMMYFUNCTION("""COMPUTED_VALUE"""),0.5714)</f>
      </c>
      <c r="O807" s="11">
        <f>IFERROR(__xludf.DUMMYFUNCTION("""COMPUTED_VALUE"""),478.52)</f>
      </c>
      <c r="P807" s="12"/>
      <c r="Q807" s="12"/>
      <c r="R807" s="15"/>
      <c r="S807" s="12"/>
      <c r="T807" s="12"/>
      <c r="U807" s="12"/>
      <c r="V807" s="12"/>
      <c r="W807" s="12"/>
      <c r="X807" s="12"/>
      <c r="Y807" s="12"/>
      <c r="Z807" s="12"/>
    </row>
    <row x14ac:dyDescent="0.25" r="808" customHeight="1" ht="15.75">
      <c r="A808" s="8">
        <f>IFERROR(__xludf.DUMMYFUNCTION("""COMPUTED_VALUE"""),25020.0)</f>
      </c>
      <c r="B808" s="9">
        <f>IFERROR(__xludf.DUMMYFUNCTION("""COMPUTED_VALUE"""),"NOROESTE FLUMINENSE")</f>
      </c>
      <c r="C808" s="9">
        <f>IFERROR(__xludf.DUMMYFUNCTION("""COMPUTED_VALUE"""),"CIEP 275 LENINE CORTES FALANTE")</f>
      </c>
      <c r="D808" s="10">
        <f>IFERROR(__xludf.DUMMYFUNCTION("""COMPUTED_VALUE"""),0.775)</f>
      </c>
      <c r="E808" s="11">
        <f>IFERROR(__xludf.DUMMYFUNCTION("""COMPUTED_VALUE"""),402.93)</f>
      </c>
      <c r="F808" s="10">
        <f>IFERROR(__xludf.DUMMYFUNCTION("""COMPUTED_VALUE"""),0.65)</f>
      </c>
      <c r="G808" s="11">
        <f>IFERROR(__xludf.DUMMYFUNCTION("""COMPUTED_VALUE"""),534.62)</f>
      </c>
      <c r="H808" s="10">
        <f>IFERROR(__xludf.DUMMYFUNCTION("""COMPUTED_VALUE"""),0.6063)</f>
      </c>
      <c r="I808" s="11">
        <f>IFERROR(__xludf.DUMMYFUNCTION("""COMPUTED_VALUE"""),506.39)</f>
      </c>
      <c r="J808" s="10">
        <f>IFERROR(__xludf.DUMMYFUNCTION("""COMPUTED_VALUE"""),0.7063)</f>
      </c>
      <c r="K808" s="11">
        <f>IFERROR(__xludf.DUMMYFUNCTION("""COMPUTED_VALUE"""),499.82)</f>
      </c>
      <c r="L808" s="10">
        <f>IFERROR(__xludf.DUMMYFUNCTION("""COMPUTED_VALUE"""),0.7)</f>
      </c>
      <c r="M808" s="11">
        <f>IFERROR(__xludf.DUMMYFUNCTION("""COMPUTED_VALUE"""),474.55)</f>
      </c>
      <c r="N808" s="10">
        <f>IFERROR(__xludf.DUMMYFUNCTION("""COMPUTED_VALUE"""),0.3063)</f>
      </c>
      <c r="O808" s="11">
        <f>IFERROR(__xludf.DUMMYFUNCTION("""COMPUTED_VALUE"""),537.5)</f>
      </c>
      <c r="P808" s="12"/>
      <c r="Q808" s="12"/>
      <c r="R808" s="15"/>
      <c r="S808" s="12"/>
      <c r="T808" s="12"/>
      <c r="U808" s="12"/>
      <c r="V808" s="12"/>
      <c r="W808" s="12"/>
      <c r="X808" s="12"/>
      <c r="Y808" s="12"/>
      <c r="Z808" s="12"/>
    </row>
    <row x14ac:dyDescent="0.25" r="809" customHeight="1" ht="15.75">
      <c r="A809" s="8">
        <f>IFERROR(__xludf.DUMMYFUNCTION("""COMPUTED_VALUE"""),25013.0)</f>
      </c>
      <c r="B809" s="9">
        <f>IFERROR(__xludf.DUMMYFUNCTION("""COMPUTED_VALUE"""),"NOROESTE FLUMINENSE")</f>
      </c>
      <c r="C809" s="9">
        <f>IFERROR(__xludf.DUMMYFUNCTION("""COMPUTED_VALUE"""),"CIEP 276 ERNESTO PAIVA")</f>
      </c>
      <c r="D809" s="10">
        <f>IFERROR(__xludf.DUMMYFUNCTION("""COMPUTED_VALUE"""),0.8788)</f>
      </c>
      <c r="E809" s="11">
        <f>IFERROR(__xludf.DUMMYFUNCTION("""COMPUTED_VALUE"""),309.66)</f>
      </c>
      <c r="F809" s="10">
        <f>IFERROR(__xludf.DUMMYFUNCTION("""COMPUTED_VALUE"""),0.7121)</f>
      </c>
      <c r="G809" s="11">
        <f>IFERROR(__xludf.DUMMYFUNCTION("""COMPUTED_VALUE"""),393.91)</f>
      </c>
      <c r="H809" s="10">
        <f>IFERROR(__xludf.DUMMYFUNCTION("""COMPUTED_VALUE"""),0.8333)</f>
      </c>
      <c r="I809" s="11">
        <f>IFERROR(__xludf.DUMMYFUNCTION("""COMPUTED_VALUE"""),431.11)</f>
      </c>
      <c r="J809" s="10">
        <f>IFERROR(__xludf.DUMMYFUNCTION("""COMPUTED_VALUE"""),0.8788)</f>
      </c>
      <c r="K809" s="11">
        <f>IFERROR(__xludf.DUMMYFUNCTION("""COMPUTED_VALUE"""),359.27)</f>
      </c>
      <c r="L809" s="10">
        <f>IFERROR(__xludf.DUMMYFUNCTION("""COMPUTED_VALUE"""),0.7727)</f>
      </c>
      <c r="M809" s="11">
        <f>IFERROR(__xludf.DUMMYFUNCTION("""COMPUTED_VALUE"""),440.0)</f>
      </c>
      <c r="N809" s="10">
        <f>IFERROR(__xludf.DUMMYFUNCTION("""COMPUTED_VALUE"""),0.8333)</f>
      </c>
      <c r="O809" s="11">
        <f>IFERROR(__xludf.DUMMYFUNCTION("""COMPUTED_VALUE"""),464.0)</f>
      </c>
      <c r="P809" s="12"/>
      <c r="Q809" s="12"/>
      <c r="R809" s="15"/>
      <c r="S809" s="12"/>
      <c r="T809" s="12"/>
      <c r="U809" s="12"/>
      <c r="V809" s="12"/>
      <c r="W809" s="12"/>
      <c r="X809" s="12"/>
      <c r="Y809" s="12"/>
      <c r="Z809" s="12"/>
    </row>
    <row x14ac:dyDescent="0.25" r="810" customHeight="1" ht="15.75">
      <c r="A810" s="8">
        <f>IFERROR(__xludf.DUMMYFUNCTION("""COMPUTED_VALUE"""),25036.0)</f>
      </c>
      <c r="B810" s="9">
        <f>IFERROR(__xludf.DUMMYFUNCTION("""COMPUTED_VALUE"""),"NOROESTE FLUMINENSE")</f>
      </c>
      <c r="C810" s="9">
        <f>IFERROR(__xludf.DUMMYFUNCTION("""COMPUTED_VALUE"""),"CIEP 343 PROFESSORA EMILIA DINIZ LIGIERO")</f>
      </c>
      <c r="D810" s="10">
        <f>IFERROR(__xludf.DUMMYFUNCTION("""COMPUTED_VALUE"""),0.9141)</f>
      </c>
      <c r="E810" s="11">
        <f>IFERROR(__xludf.DUMMYFUNCTION("""COMPUTED_VALUE"""),258.46)</f>
      </c>
      <c r="F810" s="10">
        <f>IFERROR(__xludf.DUMMYFUNCTION("""COMPUTED_VALUE"""),0.7266)</f>
      </c>
      <c r="G810" s="11">
        <f>IFERROR(__xludf.DUMMYFUNCTION("""COMPUTED_VALUE"""),419.17)</f>
      </c>
      <c r="H810" s="10">
        <f>IFERROR(__xludf.DUMMYFUNCTION("""COMPUTED_VALUE"""),0.7872)</f>
      </c>
      <c r="I810" s="11">
        <f>IFERROR(__xludf.DUMMYFUNCTION("""COMPUTED_VALUE"""),450.28)</f>
      </c>
      <c r="J810" s="10">
        <f>IFERROR(__xludf.DUMMYFUNCTION("""COMPUTED_VALUE"""),0.876)</f>
      </c>
      <c r="K810" s="11">
        <f>IFERROR(__xludf.DUMMYFUNCTION("""COMPUTED_VALUE"""),356.57)</f>
      </c>
      <c r="L810" s="10">
        <f>IFERROR(__xludf.DUMMYFUNCTION("""COMPUTED_VALUE"""),0.7518)</f>
      </c>
      <c r="M810" s="11">
        <f>IFERROR(__xludf.DUMMYFUNCTION("""COMPUTED_VALUE"""),383.26)</f>
      </c>
      <c r="N810" s="10">
        <f>IFERROR(__xludf.DUMMYFUNCTION("""COMPUTED_VALUE"""),0.7234)</f>
      </c>
      <c r="O810" s="11">
        <f>IFERROR(__xludf.DUMMYFUNCTION("""COMPUTED_VALUE"""),427.84)</f>
      </c>
      <c r="P810" s="12"/>
      <c r="Q810" s="12"/>
      <c r="R810" s="15"/>
      <c r="S810" s="12"/>
      <c r="T810" s="12"/>
      <c r="U810" s="12"/>
      <c r="V810" s="12"/>
      <c r="W810" s="12"/>
      <c r="X810" s="12"/>
      <c r="Y810" s="12"/>
      <c r="Z810" s="12"/>
    </row>
    <row x14ac:dyDescent="0.25" r="811" customHeight="1" ht="15.75">
      <c r="A811" s="8">
        <f>IFERROR(__xludf.DUMMYFUNCTION("""COMPUTED_VALUE"""),25002.0)</f>
      </c>
      <c r="B811" s="9">
        <f>IFERROR(__xludf.DUMMYFUNCTION("""COMPUTED_VALUE"""),"NOROESTE FLUMINENSE")</f>
      </c>
      <c r="C811" s="9">
        <f>IFERROR(__xludf.DUMMYFUNCTION("""COMPUTED_VALUE"""),"CIEP 419 BENIGNO BAIRRAL")</f>
      </c>
      <c r="D811" s="10">
        <f>IFERROR(__xludf.DUMMYFUNCTION("""COMPUTED_VALUE"""),0.9412)</f>
      </c>
      <c r="E811" s="11">
        <f>IFERROR(__xludf.DUMMYFUNCTION("""COMPUTED_VALUE"""),360.73)</f>
      </c>
      <c r="F811" s="10">
        <f>IFERROR(__xludf.DUMMYFUNCTION("""COMPUTED_VALUE"""),0.8487)</f>
      </c>
      <c r="G811" s="11">
        <f>IFERROR(__xludf.DUMMYFUNCTION("""COMPUTED_VALUE"""),469.09)</f>
      </c>
      <c r="H811" s="10">
        <f>IFERROR(__xludf.DUMMYFUNCTION("""COMPUTED_VALUE"""),0.8487)</f>
      </c>
      <c r="I811" s="11">
        <f>IFERROR(__xludf.DUMMYFUNCTION("""COMPUTED_VALUE"""),451.72)</f>
      </c>
      <c r="J811" s="10">
        <f>IFERROR(__xludf.DUMMYFUNCTION("""COMPUTED_VALUE"""),0.9412)</f>
      </c>
      <c r="K811" s="11">
        <f>IFERROR(__xludf.DUMMYFUNCTION("""COMPUTED_VALUE"""),442.22)</f>
      </c>
      <c r="L811" s="10">
        <f>IFERROR(__xludf.DUMMYFUNCTION("""COMPUTED_VALUE"""),0.7815)</f>
      </c>
      <c r="M811" s="11">
        <f>IFERROR(__xludf.DUMMYFUNCTION("""COMPUTED_VALUE"""),554.78)</f>
      </c>
      <c r="N811" s="10">
        <f>IFERROR(__xludf.DUMMYFUNCTION("""COMPUTED_VALUE"""),0.7479)</f>
      </c>
      <c r="O811" s="11">
        <f>IFERROR(__xludf.DUMMYFUNCTION("""COMPUTED_VALUE"""),527.27)</f>
      </c>
      <c r="P811" s="12"/>
      <c r="Q811" s="12"/>
      <c r="R811" s="15"/>
      <c r="S811" s="12"/>
      <c r="T811" s="12"/>
      <c r="U811" s="12"/>
      <c r="V811" s="12"/>
      <c r="W811" s="12"/>
      <c r="X811" s="12"/>
      <c r="Y811" s="12"/>
      <c r="Z811" s="12"/>
    </row>
    <row x14ac:dyDescent="0.25" r="812" customHeight="1" ht="15.75">
      <c r="A812" s="8">
        <f>IFERROR(__xludf.DUMMYFUNCTION("""COMPUTED_VALUE"""),25045.0)</f>
      </c>
      <c r="B812" s="9">
        <f>IFERROR(__xludf.DUMMYFUNCTION("""COMPUTED_VALUE"""),"NOROESTE FLUMINENSE")</f>
      </c>
      <c r="C812" s="9">
        <f>IFERROR(__xludf.DUMMYFUNCTION("""COMPUTED_VALUE"""),"CIEP 468 OLGA THURLER MENDONÇA DA FONSECA")</f>
      </c>
      <c r="D812" s="10">
        <f>IFERROR(__xludf.DUMMYFUNCTION("""COMPUTED_VALUE"""),0.9032)</f>
      </c>
      <c r="E812" s="11">
        <f>IFERROR(__xludf.DUMMYFUNCTION("""COMPUTED_VALUE"""),415.44)</f>
      </c>
      <c r="F812" s="10">
        <f>IFERROR(__xludf.DUMMYFUNCTION("""COMPUTED_VALUE"""),0.9032)</f>
      </c>
      <c r="G812" s="11">
        <f>IFERROR(__xludf.DUMMYFUNCTION("""COMPUTED_VALUE"""),442.86)</f>
      </c>
      <c r="H812" s="10">
        <f>IFERROR(__xludf.DUMMYFUNCTION("""COMPUTED_VALUE"""),0.8871)</f>
      </c>
      <c r="I812" s="11">
        <f>IFERROR(__xludf.DUMMYFUNCTION("""COMPUTED_VALUE"""),471.27)</f>
      </c>
      <c r="J812" s="10">
        <f>IFERROR(__xludf.DUMMYFUNCTION("""COMPUTED_VALUE"""),0.9032)</f>
      </c>
      <c r="K812" s="11">
        <f>IFERROR(__xludf.DUMMYFUNCTION("""COMPUTED_VALUE"""),397.82)</f>
      </c>
      <c r="L812" s="10">
        <f>IFERROR(__xludf.DUMMYFUNCTION("""COMPUTED_VALUE"""),0.8871)</f>
      </c>
      <c r="M812" s="11">
        <f>IFERROR(__xludf.DUMMYFUNCTION("""COMPUTED_VALUE"""),428.36)</f>
      </c>
      <c r="N812" s="10">
        <f>IFERROR(__xludf.DUMMYFUNCTION("""COMPUTED_VALUE"""),0.5484)</f>
      </c>
      <c r="O812" s="11">
        <f>IFERROR(__xludf.DUMMYFUNCTION("""COMPUTED_VALUE"""),437.65)</f>
      </c>
      <c r="P812" s="12"/>
      <c r="Q812" s="12"/>
      <c r="R812" s="15"/>
      <c r="S812" s="12"/>
      <c r="T812" s="12"/>
      <c r="U812" s="12"/>
      <c r="V812" s="12"/>
      <c r="W812" s="12"/>
      <c r="X812" s="12"/>
      <c r="Y812" s="12"/>
      <c r="Z812" s="12"/>
    </row>
    <row x14ac:dyDescent="0.25" r="813" customHeight="1" ht="15.75">
      <c r="A813" s="8">
        <f>IFERROR(__xludf.DUMMYFUNCTION("""COMPUTED_VALUE"""),25059.0)</f>
      </c>
      <c r="B813" s="9">
        <f>IFERROR(__xludf.DUMMYFUNCTION("""COMPUTED_VALUE"""),"NOROESTE FLUMINENSE")</f>
      </c>
      <c r="C813" s="9">
        <f>IFERROR(__xludf.DUMMYFUNCTION("""COMPUTED_VALUE"""),"CIEP MARLENE ABIB DE OLIVEIRA FABRI")</f>
      </c>
      <c r="D813" s="10">
        <f>IFERROR(__xludf.DUMMYFUNCTION("""COMPUTED_VALUE"""),0.9091)</f>
      </c>
      <c r="E813" s="11">
        <f>IFERROR(__xludf.DUMMYFUNCTION("""COMPUTED_VALUE"""),266.11)</f>
      </c>
      <c r="F813" s="10">
        <f>IFERROR(__xludf.DUMMYFUNCTION("""COMPUTED_VALUE"""),0.689)</f>
      </c>
      <c r="G813" s="11">
        <f>IFERROR(__xludf.DUMMYFUNCTION("""COMPUTED_VALUE"""),"----")</f>
      </c>
      <c r="H813" s="10">
        <f>IFERROR(__xludf.DUMMYFUNCTION("""COMPUTED_VALUE"""),0.7867)</f>
      </c>
      <c r="I813" s="11">
        <f>IFERROR(__xludf.DUMMYFUNCTION("""COMPUTED_VALUE"""),477.51)</f>
      </c>
      <c r="J813" s="10">
        <f>IFERROR(__xludf.DUMMYFUNCTION("""COMPUTED_VALUE"""),0.8125)</f>
      </c>
      <c r="K813" s="11">
        <f>IFERROR(__xludf.DUMMYFUNCTION("""COMPUTED_VALUE"""),430.99)</f>
      </c>
      <c r="L813" s="10">
        <f>IFERROR(__xludf.DUMMYFUNCTION("""COMPUTED_VALUE"""),0.76)</f>
      </c>
      <c r="M813" s="11">
        <f>IFERROR(__xludf.DUMMYFUNCTION("""COMPUTED_VALUE"""),448.65)</f>
      </c>
      <c r="N813" s="10">
        <f>IFERROR(__xludf.DUMMYFUNCTION("""COMPUTED_VALUE"""),0.8222)</f>
      </c>
      <c r="O813" s="11">
        <f>IFERROR(__xludf.DUMMYFUNCTION("""COMPUTED_VALUE"""),472.43)</f>
      </c>
      <c r="P813" s="12"/>
      <c r="Q813" s="12"/>
      <c r="R813" s="15"/>
      <c r="S813" s="12"/>
      <c r="T813" s="12"/>
      <c r="U813" s="12"/>
      <c r="V813" s="12"/>
      <c r="W813" s="12"/>
      <c r="X813" s="12"/>
      <c r="Y813" s="12"/>
      <c r="Z813" s="12"/>
    </row>
    <row x14ac:dyDescent="0.25" r="814" customHeight="1" ht="15.75">
      <c r="A814" s="8">
        <f>IFERROR(__xludf.DUMMYFUNCTION("""COMPUTED_VALUE"""),25041.0)</f>
      </c>
      <c r="B814" s="9">
        <f>IFERROR(__xludf.DUMMYFUNCTION("""COMPUTED_VALUE"""),"NOROESTE FLUMINENSE")</f>
      </c>
      <c r="C814" s="9">
        <f>IFERROR(__xludf.DUMMYFUNCTION("""COMPUTED_VALUE"""),"IE DE MIRACEMA")</f>
      </c>
      <c r="D814" s="10">
        <f>IFERROR(__xludf.DUMMYFUNCTION("""COMPUTED_VALUE"""),0.9842)</f>
      </c>
      <c r="E814" s="11">
        <f>IFERROR(__xludf.DUMMYFUNCTION("""COMPUTED_VALUE"""),298.4)</f>
      </c>
      <c r="F814" s="10">
        <f>IFERROR(__xludf.DUMMYFUNCTION("""COMPUTED_VALUE"""),0.8474)</f>
      </c>
      <c r="G814" s="11">
        <f>IFERROR(__xludf.DUMMYFUNCTION("""COMPUTED_VALUE"""),478.99)</f>
      </c>
      <c r="H814" s="10">
        <f>IFERROR(__xludf.DUMMYFUNCTION("""COMPUTED_VALUE"""),0.8211)</f>
      </c>
      <c r="I814" s="11">
        <f>IFERROR(__xludf.DUMMYFUNCTION("""COMPUTED_VALUE"""),534.47)</f>
      </c>
      <c r="J814" s="10">
        <f>IFERROR(__xludf.DUMMYFUNCTION("""COMPUTED_VALUE"""),0.9053)</f>
      </c>
      <c r="K814" s="11">
        <f>IFERROR(__xludf.DUMMYFUNCTION("""COMPUTED_VALUE"""),418.81)</f>
      </c>
      <c r="L814" s="10">
        <f>IFERROR(__xludf.DUMMYFUNCTION("""COMPUTED_VALUE"""),0.8842)</f>
      </c>
      <c r="M814" s="11">
        <f>IFERROR(__xludf.DUMMYFUNCTION("""COMPUTED_VALUE"""),507.56)</f>
      </c>
      <c r="N814" s="10">
        <f>IFERROR(__xludf.DUMMYFUNCTION("""COMPUTED_VALUE"""),0.8)</f>
      </c>
      <c r="O814" s="11">
        <f>IFERROR(__xludf.DUMMYFUNCTION("""COMPUTED_VALUE"""),495.57)</f>
      </c>
      <c r="P814" s="12"/>
      <c r="Q814" s="12"/>
      <c r="R814" s="15"/>
      <c r="S814" s="12"/>
      <c r="T814" s="12"/>
      <c r="U814" s="12"/>
      <c r="V814" s="12"/>
      <c r="W814" s="12"/>
      <c r="X814" s="12"/>
      <c r="Y814" s="12"/>
      <c r="Z814" s="12"/>
    </row>
    <row x14ac:dyDescent="0.25" r="815" customHeight="1" ht="15.75">
      <c r="A815" s="8">
        <f>IFERROR(__xludf.DUMMYFUNCTION("""COMPUTED_VALUE"""),25010.0)</f>
      </c>
      <c r="B815" s="9">
        <f>IFERROR(__xludf.DUMMYFUNCTION("""COMPUTED_VALUE"""),"NOROESTE FLUMINENSE")</f>
      </c>
      <c r="C815" s="9">
        <f>IFERROR(__xludf.DUMMYFUNCTION("""COMPUTED_VALUE"""),"IE EBER TEIXEIRA DE FIGUEIREDO")</f>
      </c>
      <c r="D815" s="10">
        <f>IFERROR(__xludf.DUMMYFUNCTION("""COMPUTED_VALUE"""),0.72)</f>
      </c>
      <c r="E815" s="11">
        <f>IFERROR(__xludf.DUMMYFUNCTION("""COMPUTED_VALUE"""),344.78)</f>
      </c>
      <c r="F815" s="10">
        <f>IFERROR(__xludf.DUMMYFUNCTION("""COMPUTED_VALUE"""),0.755)</f>
      </c>
      <c r="G815" s="11">
        <f>IFERROR(__xludf.DUMMYFUNCTION("""COMPUTED_VALUE"""),420.4)</f>
      </c>
      <c r="H815" s="10">
        <f>IFERROR(__xludf.DUMMYFUNCTION("""COMPUTED_VALUE"""),0.73)</f>
      </c>
      <c r="I815" s="11">
        <f>IFERROR(__xludf.DUMMYFUNCTION("""COMPUTED_VALUE"""),427.67)</f>
      </c>
      <c r="J815" s="10">
        <f>IFERROR(__xludf.DUMMYFUNCTION("""COMPUTED_VALUE"""),0.86)</f>
      </c>
      <c r="K815" s="11">
        <f>IFERROR(__xludf.DUMMYFUNCTION("""COMPUTED_VALUE"""),324.47)</f>
      </c>
      <c r="L815" s="10">
        <f>IFERROR(__xludf.DUMMYFUNCTION("""COMPUTED_VALUE"""),0.76)</f>
      </c>
      <c r="M815" s="11">
        <f>IFERROR(__xludf.DUMMYFUNCTION("""COMPUTED_VALUE"""),397.33)</f>
      </c>
      <c r="N815" s="10">
        <f>IFERROR(__xludf.DUMMYFUNCTION("""COMPUTED_VALUE"""),0.76)</f>
      </c>
      <c r="O815" s="11">
        <f>IFERROR(__xludf.DUMMYFUNCTION("""COMPUTED_VALUE"""),406.62)</f>
      </c>
      <c r="P815" s="12"/>
      <c r="Q815" s="12"/>
      <c r="R815" s="15"/>
      <c r="S815" s="12"/>
      <c r="T815" s="12"/>
      <c r="U815" s="12"/>
      <c r="V815" s="12"/>
      <c r="W815" s="12"/>
      <c r="X815" s="12"/>
      <c r="Y815" s="12"/>
      <c r="Z815" s="12"/>
    </row>
    <row x14ac:dyDescent="0.25" r="816" customHeight="1" ht="15.75">
      <c r="A816" s="8">
        <f>IFERROR(__xludf.DUMMYFUNCTION("""COMPUTED_VALUE"""),25049.0)</f>
      </c>
      <c r="B816" s="9">
        <f>IFERROR(__xludf.DUMMYFUNCTION("""COMPUTED_VALUE"""),"NOROESTE FLUMINENSE")</f>
      </c>
      <c r="C816" s="9">
        <f>IFERROR(__xludf.DUMMYFUNCTION("""COMPUTED_VALUE"""),"IE ELIANA DUARTE DA SILVA BREIJAO")</f>
      </c>
      <c r="D816" s="10">
        <f>IFERROR(__xludf.DUMMYFUNCTION("""COMPUTED_VALUE"""),0.9286)</f>
      </c>
      <c r="E816" s="11">
        <f>IFERROR(__xludf.DUMMYFUNCTION("""COMPUTED_VALUE"""),275.0)</f>
      </c>
      <c r="F816" s="10">
        <f>IFERROR(__xludf.DUMMYFUNCTION("""COMPUTED_VALUE"""),0.8786)</f>
      </c>
      <c r="G816" s="11">
        <f>IFERROR(__xludf.DUMMYFUNCTION("""COMPUTED_VALUE"""),400.33)</f>
      </c>
      <c r="H816" s="10">
        <f>IFERROR(__xludf.DUMMYFUNCTION("""COMPUTED_VALUE"""),0.8143)</f>
      </c>
      <c r="I816" s="11">
        <f>IFERROR(__xludf.DUMMYFUNCTION("""COMPUTED_VALUE"""),417.5)</f>
      </c>
      <c r="J816" s="10">
        <f>IFERROR(__xludf.DUMMYFUNCTION("""COMPUTED_VALUE"""),0.8643)</f>
      </c>
      <c r="K816" s="11">
        <f>IFERROR(__xludf.DUMMYFUNCTION("""COMPUTED_VALUE"""),378.97)</f>
      </c>
      <c r="L816" s="10">
        <f>IFERROR(__xludf.DUMMYFUNCTION("""COMPUTED_VALUE"""),0.8571)</f>
      </c>
      <c r="M816" s="11">
        <f>IFERROR(__xludf.DUMMYFUNCTION("""COMPUTED_VALUE"""),424.54)</f>
      </c>
      <c r="N816" s="10">
        <f>IFERROR(__xludf.DUMMYFUNCTION("""COMPUTED_VALUE"""),0.8214)</f>
      </c>
      <c r="O816" s="11">
        <f>IFERROR(__xludf.DUMMYFUNCTION("""COMPUTED_VALUE"""),417.04)</f>
      </c>
      <c r="P816" s="12"/>
      <c r="Q816" s="12"/>
      <c r="R816" s="15"/>
      <c r="S816" s="12"/>
      <c r="T816" s="12"/>
      <c r="U816" s="12"/>
      <c r="V816" s="12"/>
      <c r="W816" s="12"/>
      <c r="X816" s="12"/>
      <c r="Y816" s="12"/>
      <c r="Z816" s="12"/>
    </row>
    <row x14ac:dyDescent="0.25" r="817" customHeight="1" ht="15.75">
      <c r="A817" s="8">
        <f>IFERROR(__xludf.DUMMYFUNCTION("""COMPUTED_VALUE"""),25149.0)</f>
      </c>
      <c r="B817" s="9">
        <f>IFERROR(__xludf.DUMMYFUNCTION("""COMPUTED_VALUE"""),"NORTE FLUMINENSE")</f>
      </c>
      <c r="C817" s="9">
        <f>IFERROR(__xludf.DUMMYFUNCTION("""COMPUTED_VALUE"""),"CE ADMARDO ALVES TORRES")</f>
      </c>
      <c r="D817" s="10">
        <f>IFERROR(__xludf.DUMMYFUNCTION("""COMPUTED_VALUE"""),0.9504)</f>
      </c>
      <c r="E817" s="11">
        <f>IFERROR(__xludf.DUMMYFUNCTION("""COMPUTED_VALUE"""),286.79)</f>
      </c>
      <c r="F817" s="10">
        <f>IFERROR(__xludf.DUMMYFUNCTION("""COMPUTED_VALUE"""),0.7107)</f>
      </c>
      <c r="G817" s="11">
        <f>IFERROR(__xludf.DUMMYFUNCTION("""COMPUTED_VALUE"""),414.42)</f>
      </c>
      <c r="H817" s="10">
        <f>IFERROR(__xludf.DUMMYFUNCTION("""COMPUTED_VALUE"""),0.6519)</f>
      </c>
      <c r="I817" s="11">
        <f>IFERROR(__xludf.DUMMYFUNCTION("""COMPUTED_VALUE"""),459.09)</f>
      </c>
      <c r="J817" s="10">
        <f>IFERROR(__xludf.DUMMYFUNCTION("""COMPUTED_VALUE"""),0.7073)</f>
      </c>
      <c r="K817" s="11">
        <f>IFERROR(__xludf.DUMMYFUNCTION("""COMPUTED_VALUE"""),396.91)</f>
      </c>
      <c r="L817" s="10">
        <f>IFERROR(__xludf.DUMMYFUNCTION("""COMPUTED_VALUE"""),0.6296)</f>
      </c>
      <c r="M817" s="11">
        <f>IFERROR(__xludf.DUMMYFUNCTION("""COMPUTED_VALUE"""),460.07)</f>
      </c>
      <c r="N817" s="10">
        <f>IFERROR(__xludf.DUMMYFUNCTION("""COMPUTED_VALUE"""),0.637)</f>
      </c>
      <c r="O817" s="11">
        <f>IFERROR(__xludf.DUMMYFUNCTION("""COMPUTED_VALUE"""),476.28)</f>
      </c>
      <c r="P817" s="12"/>
      <c r="Q817" s="12"/>
      <c r="R817" s="15"/>
      <c r="S817" s="12"/>
      <c r="T817" s="12"/>
      <c r="U817" s="12"/>
      <c r="V817" s="12"/>
      <c r="W817" s="12"/>
      <c r="X817" s="12"/>
      <c r="Y817" s="12"/>
      <c r="Z817" s="12"/>
    </row>
    <row x14ac:dyDescent="0.25" r="818" customHeight="1" ht="15.75">
      <c r="A818" s="8">
        <f>IFERROR(__xludf.DUMMYFUNCTION("""COMPUTED_VALUE"""),25141.0)</f>
      </c>
      <c r="B818" s="9">
        <f>IFERROR(__xludf.DUMMYFUNCTION("""COMPUTED_VALUE"""),"NORTE FLUMINENSE")</f>
      </c>
      <c r="C818" s="9">
        <f>IFERROR(__xludf.DUMMYFUNCTION("""COMPUTED_VALUE"""),"CE AGOSTINHO CHRYZANTO DE ARAUJO")</f>
      </c>
      <c r="D818" s="10">
        <f>IFERROR(__xludf.DUMMYFUNCTION("""COMPUTED_VALUE"""),0.9778)</f>
      </c>
      <c r="E818" s="11">
        <f>IFERROR(__xludf.DUMMYFUNCTION("""COMPUTED_VALUE"""),472.28)</f>
      </c>
      <c r="F818" s="10">
        <f>IFERROR(__xludf.DUMMYFUNCTION("""COMPUTED_VALUE"""),1.0)</f>
      </c>
      <c r="G818" s="11">
        <f>IFERROR(__xludf.DUMMYFUNCTION("""COMPUTED_VALUE"""),420.3)</f>
      </c>
      <c r="H818" s="10">
        <f>IFERROR(__xludf.DUMMYFUNCTION("""COMPUTED_VALUE"""),1.0)</f>
      </c>
      <c r="I818" s="11">
        <f>IFERROR(__xludf.DUMMYFUNCTION("""COMPUTED_VALUE"""),475.2)</f>
      </c>
      <c r="J818" s="10">
        <f>IFERROR(__xludf.DUMMYFUNCTION("""COMPUTED_VALUE"""),0.9468)</f>
      </c>
      <c r="K818" s="11">
        <f>IFERROR(__xludf.DUMMYFUNCTION("""COMPUTED_VALUE"""),465.22)</f>
      </c>
      <c r="L818" s="10">
        <f>IFERROR(__xludf.DUMMYFUNCTION("""COMPUTED_VALUE"""),0.94)</f>
      </c>
      <c r="M818" s="11">
        <f>IFERROR(__xludf.DUMMYFUNCTION("""COMPUTED_VALUE"""),466.38)</f>
      </c>
      <c r="N818" s="10">
        <f>IFERROR(__xludf.DUMMYFUNCTION("""COMPUTED_VALUE"""),0.95)</f>
      </c>
      <c r="O818" s="11">
        <f>IFERROR(__xludf.DUMMYFUNCTION("""COMPUTED_VALUE"""),441.68)</f>
      </c>
      <c r="P818" s="12"/>
      <c r="Q818" s="12"/>
      <c r="R818" s="15"/>
      <c r="S818" s="12"/>
      <c r="T818" s="12"/>
      <c r="U818" s="12"/>
      <c r="V818" s="12"/>
      <c r="W818" s="12"/>
      <c r="X818" s="12"/>
      <c r="Y818" s="12"/>
      <c r="Z818" s="12"/>
    </row>
    <row x14ac:dyDescent="0.25" r="819" customHeight="1" ht="15.75">
      <c r="A819" s="8">
        <f>IFERROR(__xludf.DUMMYFUNCTION("""COMPUTED_VALUE"""),25150.0)</f>
      </c>
      <c r="B819" s="9">
        <f>IFERROR(__xludf.DUMMYFUNCTION("""COMPUTED_VALUE"""),"NORTE FLUMINENSE")</f>
      </c>
      <c r="C819" s="9">
        <f>IFERROR(__xludf.DUMMYFUNCTION("""COMPUTED_VALUE"""),"CE ALBERTO TORRES")</f>
      </c>
      <c r="D819" s="10">
        <f>IFERROR(__xludf.DUMMYFUNCTION("""COMPUTED_VALUE"""),0.8226)</f>
      </c>
      <c r="E819" s="11">
        <f>IFERROR(__xludf.DUMMYFUNCTION("""COMPUTED_VALUE"""),382.88)</f>
      </c>
      <c r="F819" s="10">
        <f>IFERROR(__xludf.DUMMYFUNCTION("""COMPUTED_VALUE"""),0.5887)</f>
      </c>
      <c r="G819" s="11">
        <f>IFERROR(__xludf.DUMMYFUNCTION("""COMPUTED_VALUE"""),447.05)</f>
      </c>
      <c r="H819" s="10">
        <f>IFERROR(__xludf.DUMMYFUNCTION("""COMPUTED_VALUE"""),0.6094)</f>
      </c>
      <c r="I819" s="11">
        <f>IFERROR(__xludf.DUMMYFUNCTION("""COMPUTED_VALUE"""),452.0)</f>
      </c>
      <c r="J819" s="10">
        <f>IFERROR(__xludf.DUMMYFUNCTION("""COMPUTED_VALUE"""),0.8125)</f>
      </c>
      <c r="K819" s="11">
        <f>IFERROR(__xludf.DUMMYFUNCTION("""COMPUTED_VALUE"""),394.66)</f>
      </c>
      <c r="L819" s="10">
        <f>IFERROR(__xludf.DUMMYFUNCTION("""COMPUTED_VALUE"""),0.6211)</f>
      </c>
      <c r="M819" s="11">
        <f>IFERROR(__xludf.DUMMYFUNCTION("""COMPUTED_VALUE"""),493.58)</f>
      </c>
      <c r="N819" s="10">
        <f>IFERROR(__xludf.DUMMYFUNCTION("""COMPUTED_VALUE"""),0.5781)</f>
      </c>
      <c r="O819" s="11">
        <f>IFERROR(__xludf.DUMMYFUNCTION("""COMPUTED_VALUE"""),488.79)</f>
      </c>
      <c r="P819" s="12"/>
      <c r="Q819" s="12"/>
      <c r="R819" s="15"/>
      <c r="S819" s="12"/>
      <c r="T819" s="12"/>
      <c r="U819" s="12"/>
      <c r="V819" s="12"/>
      <c r="W819" s="12"/>
      <c r="X819" s="12"/>
      <c r="Y819" s="12"/>
      <c r="Z819" s="12"/>
    </row>
    <row x14ac:dyDescent="0.25" r="820" customHeight="1" ht="15.75">
      <c r="A820" s="8">
        <f>IFERROR(__xludf.DUMMYFUNCTION("""COMPUTED_VALUE"""),25060.0)</f>
      </c>
      <c r="B820" s="9">
        <f>IFERROR(__xludf.DUMMYFUNCTION("""COMPUTED_VALUE"""),"NORTE FLUMINENSE")</f>
      </c>
      <c r="C820" s="9">
        <f>IFERROR(__xludf.DUMMYFUNCTION("""COMPUTED_VALUE"""),"CE ALCEBIADES SCHUARTZ")</f>
      </c>
      <c r="D820" s="10">
        <f>IFERROR(__xludf.DUMMYFUNCTION("""COMPUTED_VALUE"""),0.7619)</f>
      </c>
      <c r="E820" s="11">
        <f>IFERROR(__xludf.DUMMYFUNCTION("""COMPUTED_VALUE"""),116.38)</f>
      </c>
      <c r="F820" s="10">
        <f>IFERROR(__xludf.DUMMYFUNCTION("""COMPUTED_VALUE"""),0.7619)</f>
      </c>
      <c r="G820" s="11">
        <f>IFERROR(__xludf.DUMMYFUNCTION("""COMPUTED_VALUE"""),416.25)</f>
      </c>
      <c r="H820" s="10">
        <f>IFERROR(__xludf.DUMMYFUNCTION("""COMPUTED_VALUE"""),0.5818)</f>
      </c>
      <c r="I820" s="11">
        <f>IFERROR(__xludf.DUMMYFUNCTION("""COMPUTED_VALUE"""),490.0)</f>
      </c>
      <c r="J820" s="10">
        <f>IFERROR(__xludf.DUMMYFUNCTION("""COMPUTED_VALUE"""),0.5536)</f>
      </c>
      <c r="K820" s="11">
        <f>IFERROR(__xludf.DUMMYFUNCTION("""COMPUTED_VALUE"""),241.13)</f>
      </c>
      <c r="L820" s="10">
        <f>IFERROR(__xludf.DUMMYFUNCTION("""COMPUTED_VALUE"""),0.1455)</f>
      </c>
      <c r="M820" s="11">
        <f>IFERROR(__xludf.DUMMYFUNCTION("""COMPUTED_VALUE"""),"----")</f>
      </c>
      <c r="N820" s="10">
        <f>IFERROR(__xludf.DUMMYFUNCTION("""COMPUTED_VALUE"""),0.0)</f>
      </c>
      <c r="O820" s="11">
        <f>IFERROR(__xludf.DUMMYFUNCTION("""COMPUTED_VALUE"""),"----")</f>
      </c>
      <c r="P820" s="12"/>
      <c r="Q820" s="12"/>
      <c r="R820" s="15"/>
      <c r="S820" s="12"/>
      <c r="T820" s="12"/>
      <c r="U820" s="12"/>
      <c r="V820" s="12"/>
      <c r="W820" s="12"/>
      <c r="X820" s="12"/>
      <c r="Y820" s="12"/>
      <c r="Z820" s="12"/>
    </row>
    <row x14ac:dyDescent="0.25" r="821" customHeight="1" ht="15.75">
      <c r="A821" s="8">
        <f>IFERROR(__xludf.DUMMYFUNCTION("""COMPUTED_VALUE"""),25061.0)</f>
      </c>
      <c r="B821" s="9">
        <f>IFERROR(__xludf.DUMMYFUNCTION("""COMPUTED_VALUE"""),"NORTE FLUMINENSE")</f>
      </c>
      <c r="C821" s="9">
        <f>IFERROR(__xludf.DUMMYFUNCTION("""COMPUTED_VALUE"""),"CE ALMIRANTE BARROSO")</f>
      </c>
      <c r="D821" s="10">
        <f>IFERROR(__xludf.DUMMYFUNCTION("""COMPUTED_VALUE"""),0.6573)</f>
      </c>
      <c r="E821" s="11">
        <f>IFERROR(__xludf.DUMMYFUNCTION("""COMPUTED_VALUE"""),189.27)</f>
      </c>
      <c r="F821" s="10">
        <f>IFERROR(__xludf.DUMMYFUNCTION("""COMPUTED_VALUE"""),0.4719)</f>
      </c>
      <c r="G821" s="11">
        <f>IFERROR(__xludf.DUMMYFUNCTION("""COMPUTED_VALUE"""),364.54)</f>
      </c>
      <c r="H821" s="10">
        <f>IFERROR(__xludf.DUMMYFUNCTION("""COMPUTED_VALUE"""),0.6911)</f>
      </c>
      <c r="I821" s="11">
        <f>IFERROR(__xludf.DUMMYFUNCTION("""COMPUTED_VALUE"""),404.24)</f>
      </c>
      <c r="J821" s="10">
        <f>IFERROR(__xludf.DUMMYFUNCTION("""COMPUTED_VALUE"""),0.8242)</f>
      </c>
      <c r="K821" s="11">
        <f>IFERROR(__xludf.DUMMYFUNCTION("""COMPUTED_VALUE"""),340.44)</f>
      </c>
      <c r="L821" s="10">
        <f>IFERROR(__xludf.DUMMYFUNCTION("""COMPUTED_VALUE"""),0.6597)</f>
      </c>
      <c r="M821" s="11">
        <f>IFERROR(__xludf.DUMMYFUNCTION("""COMPUTED_VALUE"""),"----")</f>
      </c>
      <c r="N821" s="10">
        <f>IFERROR(__xludf.DUMMYFUNCTION("""COMPUTED_VALUE"""),0.0)</f>
      </c>
      <c r="O821" s="11">
        <f>IFERROR(__xludf.DUMMYFUNCTION("""COMPUTED_VALUE"""),"----")</f>
      </c>
      <c r="P821" s="12"/>
      <c r="Q821" s="12"/>
      <c r="R821" s="15"/>
      <c r="S821" s="12"/>
      <c r="T821" s="12"/>
      <c r="U821" s="12"/>
      <c r="V821" s="12"/>
      <c r="W821" s="12"/>
      <c r="X821" s="12"/>
      <c r="Y821" s="12"/>
      <c r="Z821" s="12"/>
    </row>
    <row x14ac:dyDescent="0.25" r="822" customHeight="1" ht="15.75">
      <c r="A822" s="8">
        <f>IFERROR(__xludf.DUMMYFUNCTION("""COMPUTED_VALUE"""),25142.0)</f>
      </c>
      <c r="B822" s="9">
        <f>IFERROR(__xludf.DUMMYFUNCTION("""COMPUTED_VALUE"""),"NORTE FLUMINENSE")</f>
      </c>
      <c r="C822" s="9">
        <f>IFERROR(__xludf.DUMMYFUNCTION("""COMPUTED_VALUE"""),"CE ANA NUNES VIANA")</f>
      </c>
      <c r="D822" s="10">
        <f>IFERROR(__xludf.DUMMYFUNCTION("""COMPUTED_VALUE"""),0.8727)</f>
      </c>
      <c r="E822" s="11">
        <f>IFERROR(__xludf.DUMMYFUNCTION("""COMPUTED_VALUE"""),262.94)</f>
      </c>
      <c r="F822" s="10">
        <f>IFERROR(__xludf.DUMMYFUNCTION("""COMPUTED_VALUE"""),0.5273)</f>
      </c>
      <c r="G822" s="11">
        <f>IFERROR(__xludf.DUMMYFUNCTION("""COMPUTED_VALUE"""),"----")</f>
      </c>
      <c r="H822" s="10">
        <f>IFERROR(__xludf.DUMMYFUNCTION("""COMPUTED_VALUE"""),0.5758)</f>
      </c>
      <c r="I822" s="11">
        <f>IFERROR(__xludf.DUMMYFUNCTION("""COMPUTED_VALUE"""),482.1)</f>
      </c>
      <c r="J822" s="10">
        <f>IFERROR(__xludf.DUMMYFUNCTION("""COMPUTED_VALUE"""),0.7419)</f>
      </c>
      <c r="K822" s="11">
        <f>IFERROR(__xludf.DUMMYFUNCTION("""COMPUTED_VALUE"""),283.48)</f>
      </c>
      <c r="L822" s="10">
        <f>IFERROR(__xludf.DUMMYFUNCTION("""COMPUTED_VALUE"""),0.6212)</f>
      </c>
      <c r="M822" s="11">
        <f>IFERROR(__xludf.DUMMYFUNCTION("""COMPUTED_VALUE"""),"----")</f>
      </c>
      <c r="N822" s="10">
        <f>IFERROR(__xludf.DUMMYFUNCTION("""COMPUTED_VALUE"""),0.697)</f>
      </c>
      <c r="O822" s="11">
        <f>IFERROR(__xludf.DUMMYFUNCTION("""COMPUTED_VALUE"""),"----")</f>
      </c>
      <c r="P822" s="12"/>
      <c r="Q822" s="12"/>
      <c r="R822" s="15"/>
      <c r="S822" s="12"/>
      <c r="T822" s="12"/>
      <c r="U822" s="12"/>
      <c r="V822" s="12"/>
      <c r="W822" s="12"/>
      <c r="X822" s="12"/>
      <c r="Y822" s="12"/>
      <c r="Z822" s="12"/>
    </row>
    <row x14ac:dyDescent="0.25" r="823" customHeight="1" ht="15.75">
      <c r="A823" s="8">
        <f>IFERROR(__xludf.DUMMYFUNCTION("""COMPUTED_VALUE"""),25062.0)</f>
      </c>
      <c r="B823" s="9">
        <f>IFERROR(__xludf.DUMMYFUNCTION("""COMPUTED_VALUE"""),"NORTE FLUMINENSE")</f>
      </c>
      <c r="C823" s="9">
        <f>IFERROR(__xludf.DUMMYFUNCTION("""COMPUTED_VALUE"""),"CE ATILANO CHRYSOSTOMO DE OLIVEIRA")</f>
      </c>
      <c r="D823" s="10">
        <f>IFERROR(__xludf.DUMMYFUNCTION("""COMPUTED_VALUE"""),1.0)</f>
      </c>
      <c r="E823" s="11">
        <f>IFERROR(__xludf.DUMMYFUNCTION("""COMPUTED_VALUE"""),170.09)</f>
      </c>
      <c r="F823" s="10">
        <f>IFERROR(__xludf.DUMMYFUNCTION("""COMPUTED_VALUE"""),0.8609)</f>
      </c>
      <c r="G823" s="11">
        <f>IFERROR(__xludf.DUMMYFUNCTION("""COMPUTED_VALUE"""),329.48)</f>
      </c>
      <c r="H823" s="10">
        <f>IFERROR(__xludf.DUMMYFUNCTION("""COMPUTED_VALUE"""),1.0)</f>
      </c>
      <c r="I823" s="11">
        <f>IFERROR(__xludf.DUMMYFUNCTION("""COMPUTED_VALUE"""),281.75)</f>
      </c>
      <c r="J823" s="10">
        <f>IFERROR(__xludf.DUMMYFUNCTION("""COMPUTED_VALUE"""),1.0)</f>
      </c>
      <c r="K823" s="11">
        <f>IFERROR(__xludf.DUMMYFUNCTION("""COMPUTED_VALUE"""),194.39)</f>
      </c>
      <c r="L823" s="10">
        <f>IFERROR(__xludf.DUMMYFUNCTION("""COMPUTED_VALUE"""),1.0)</f>
      </c>
      <c r="M823" s="11">
        <f>IFERROR(__xludf.DUMMYFUNCTION("""COMPUTED_VALUE"""),223.01)</f>
      </c>
      <c r="N823" s="10">
        <f>IFERROR(__xludf.DUMMYFUNCTION("""COMPUTED_VALUE"""),1.0)</f>
      </c>
      <c r="O823" s="11">
        <f>IFERROR(__xludf.DUMMYFUNCTION("""COMPUTED_VALUE"""),322.11)</f>
      </c>
      <c r="P823" s="12"/>
      <c r="Q823" s="12"/>
      <c r="R823" s="15"/>
      <c r="S823" s="12"/>
      <c r="T823" s="12"/>
      <c r="U823" s="12"/>
      <c r="V823" s="12"/>
      <c r="W823" s="12"/>
      <c r="X823" s="12"/>
      <c r="Y823" s="12"/>
      <c r="Z823" s="12"/>
    </row>
    <row x14ac:dyDescent="0.25" r="824" customHeight="1" ht="15.75">
      <c r="A824" s="8">
        <f>IFERROR(__xludf.DUMMYFUNCTION("""COMPUTED_VALUE"""),25110.0)</f>
      </c>
      <c r="B824" s="9">
        <f>IFERROR(__xludf.DUMMYFUNCTION("""COMPUTED_VALUE"""),"NORTE FLUMINENSE")</f>
      </c>
      <c r="C824" s="9">
        <f>IFERROR(__xludf.DUMMYFUNCTION("""COMPUTED_VALUE"""),"CE BALTAZAR CARNEIRO")</f>
      </c>
      <c r="D824" s="10">
        <f>IFERROR(__xludf.DUMMYFUNCTION("""COMPUTED_VALUE"""),0.986)</f>
      </c>
      <c r="E824" s="11">
        <f>IFERROR(__xludf.DUMMYFUNCTION("""COMPUTED_VALUE"""),205.69)</f>
      </c>
      <c r="F824" s="10">
        <f>IFERROR(__xludf.DUMMYFUNCTION("""COMPUTED_VALUE"""),0.9626)</f>
      </c>
      <c r="G824" s="11">
        <f>IFERROR(__xludf.DUMMYFUNCTION("""COMPUTED_VALUE"""),335.57)</f>
      </c>
      <c r="H824" s="10">
        <f>IFERROR(__xludf.DUMMYFUNCTION("""COMPUTED_VALUE"""),0.9953)</f>
      </c>
      <c r="I824" s="11">
        <f>IFERROR(__xludf.DUMMYFUNCTION("""COMPUTED_VALUE"""),304.83)</f>
      </c>
      <c r="J824" s="10">
        <f>IFERROR(__xludf.DUMMYFUNCTION("""COMPUTED_VALUE"""),0.5888)</f>
      </c>
      <c r="K824" s="11">
        <f>IFERROR(__xludf.DUMMYFUNCTION("""COMPUTED_VALUE"""),339.67)</f>
      </c>
      <c r="L824" s="10">
        <f>IFERROR(__xludf.DUMMYFUNCTION("""COMPUTED_VALUE"""),0.3411)</f>
      </c>
      <c r="M824" s="11">
        <f>IFERROR(__xludf.DUMMYFUNCTION("""COMPUTED_VALUE"""),500.57)</f>
      </c>
      <c r="N824" s="10">
        <f>IFERROR(__xludf.DUMMYFUNCTION("""COMPUTED_VALUE"""),0.4486)</f>
      </c>
      <c r="O824" s="11">
        <f>IFERROR(__xludf.DUMMYFUNCTION("""COMPUTED_VALUE"""),588.21)</f>
      </c>
      <c r="P824" s="12"/>
      <c r="Q824" s="12"/>
      <c r="R824" s="15"/>
      <c r="S824" s="12"/>
      <c r="T824" s="12"/>
      <c r="U824" s="12"/>
      <c r="V824" s="12"/>
      <c r="W824" s="12"/>
      <c r="X824" s="12"/>
      <c r="Y824" s="12"/>
      <c r="Z824" s="12"/>
    </row>
    <row x14ac:dyDescent="0.25" r="825" customHeight="1" ht="15.75">
      <c r="A825" s="8">
        <f>IFERROR(__xludf.DUMMYFUNCTION("""COMPUTED_VALUE"""),25135.0)</f>
      </c>
      <c r="B825" s="9">
        <f>IFERROR(__xludf.DUMMYFUNCTION("""COMPUTED_VALUE"""),"NORTE FLUMINENSE")</f>
      </c>
      <c r="C825" s="9">
        <f>IFERROR(__xludf.DUMMYFUNCTION("""COMPUTED_VALUE"""),"CE BARAO DE MACAUBAS")</f>
      </c>
      <c r="D825" s="10">
        <f>IFERROR(__xludf.DUMMYFUNCTION("""COMPUTED_VALUE"""),0.8525)</f>
      </c>
      <c r="E825" s="11">
        <f>IFERROR(__xludf.DUMMYFUNCTION("""COMPUTED_VALUE"""),279.22)</f>
      </c>
      <c r="F825" s="10">
        <f>IFERROR(__xludf.DUMMYFUNCTION("""COMPUTED_VALUE"""),0.8361)</f>
      </c>
      <c r="G825" s="11">
        <f>IFERROR(__xludf.DUMMYFUNCTION("""COMPUTED_VALUE"""),348.0)</f>
      </c>
      <c r="H825" s="10">
        <f>IFERROR(__xludf.DUMMYFUNCTION("""COMPUTED_VALUE"""),0.9016)</f>
      </c>
      <c r="I825" s="11">
        <f>IFERROR(__xludf.DUMMYFUNCTION("""COMPUTED_VALUE"""),373.88)</f>
      </c>
      <c r="J825" s="10">
        <f>IFERROR(__xludf.DUMMYFUNCTION("""COMPUTED_VALUE"""),0.8525)</f>
      </c>
      <c r="K825" s="11">
        <f>IFERROR(__xludf.DUMMYFUNCTION("""COMPUTED_VALUE"""),332.0)</f>
      </c>
      <c r="L825" s="10">
        <f>IFERROR(__xludf.DUMMYFUNCTION("""COMPUTED_VALUE"""),0.8525)</f>
      </c>
      <c r="M825" s="11">
        <f>IFERROR(__xludf.DUMMYFUNCTION("""COMPUTED_VALUE"""),400.77)</f>
      </c>
      <c r="N825" s="10">
        <f>IFERROR(__xludf.DUMMYFUNCTION("""COMPUTED_VALUE"""),0.8525)</f>
      </c>
      <c r="O825" s="11">
        <f>IFERROR(__xludf.DUMMYFUNCTION("""COMPUTED_VALUE"""),413.08)</f>
      </c>
      <c r="P825" s="12"/>
      <c r="Q825" s="12"/>
      <c r="R825" s="15"/>
      <c r="S825" s="12"/>
      <c r="T825" s="12"/>
      <c r="U825" s="12"/>
      <c r="V825" s="12"/>
      <c r="W825" s="12"/>
      <c r="X825" s="12"/>
      <c r="Y825" s="12"/>
      <c r="Z825" s="12"/>
    </row>
    <row x14ac:dyDescent="0.25" r="826" customHeight="1" ht="15.75">
      <c r="A826" s="8">
        <f>IFERROR(__xludf.DUMMYFUNCTION("""COMPUTED_VALUE"""),25063.0)</f>
      </c>
      <c r="B826" s="9">
        <f>IFERROR(__xludf.DUMMYFUNCTION("""COMPUTED_VALUE"""),"NORTE FLUMINENSE")</f>
      </c>
      <c r="C826" s="9">
        <f>IFERROR(__xludf.DUMMYFUNCTION("""COMPUTED_VALUE"""),"CE BENTA PEREIRA")</f>
      </c>
      <c r="D826" s="10">
        <f>IFERROR(__xludf.DUMMYFUNCTION("""COMPUTED_VALUE"""),0.8125)</f>
      </c>
      <c r="E826" s="11">
        <f>IFERROR(__xludf.DUMMYFUNCTION("""COMPUTED_VALUE"""),109.95)</f>
      </c>
      <c r="F826" s="10">
        <f>IFERROR(__xludf.DUMMYFUNCTION("""COMPUTED_VALUE"""),0.6797)</f>
      </c>
      <c r="G826" s="11">
        <f>IFERROR(__xludf.DUMMYFUNCTION("""COMPUTED_VALUE"""),411.95)</f>
      </c>
      <c r="H826" s="10">
        <f>IFERROR(__xludf.DUMMYFUNCTION("""COMPUTED_VALUE"""),0.5806)</f>
      </c>
      <c r="I826" s="11">
        <f>IFERROR(__xludf.DUMMYFUNCTION("""COMPUTED_VALUE"""),460.26)</f>
      </c>
      <c r="J826" s="10">
        <f>IFERROR(__xludf.DUMMYFUNCTION("""COMPUTED_VALUE"""),0.8058)</f>
      </c>
      <c r="K826" s="11">
        <f>IFERROR(__xludf.DUMMYFUNCTION("""COMPUTED_VALUE"""),209.09)</f>
      </c>
      <c r="L826" s="10">
        <f>IFERROR(__xludf.DUMMYFUNCTION("""COMPUTED_VALUE"""),0.5226)</f>
      </c>
      <c r="M826" s="11">
        <f>IFERROR(__xludf.DUMMYFUNCTION("""COMPUTED_VALUE"""),417.22)</f>
      </c>
      <c r="N826" s="10">
        <f>IFERROR(__xludf.DUMMYFUNCTION("""COMPUTED_VALUE"""),0.6903)</f>
      </c>
      <c r="O826" s="11">
        <f>IFERROR(__xludf.DUMMYFUNCTION("""COMPUTED_VALUE"""),419.86)</f>
      </c>
      <c r="P826" s="12"/>
      <c r="Q826" s="12"/>
      <c r="R826" s="15"/>
      <c r="S826" s="12"/>
      <c r="T826" s="12"/>
      <c r="U826" s="12"/>
      <c r="V826" s="12"/>
      <c r="W826" s="12"/>
      <c r="X826" s="12"/>
      <c r="Y826" s="12"/>
      <c r="Z826" s="12"/>
    </row>
    <row x14ac:dyDescent="0.25" r="827" customHeight="1" ht="15.75">
      <c r="A827" s="8">
        <f>IFERROR(__xludf.DUMMYFUNCTION("""COMPUTED_VALUE"""),25112.0)</f>
      </c>
      <c r="B827" s="9">
        <f>IFERROR(__xludf.DUMMYFUNCTION("""COMPUTED_VALUE"""),"NORTE FLUMINENSE")</f>
      </c>
      <c r="C827" s="9">
        <f>IFERROR(__xludf.DUMMYFUNCTION("""COMPUTED_VALUE"""),"CE BOCAINA")</f>
      </c>
      <c r="D827" s="10">
        <f>IFERROR(__xludf.DUMMYFUNCTION("""COMPUTED_VALUE"""),0.8125)</f>
      </c>
      <c r="E827" s="11">
        <f>IFERROR(__xludf.DUMMYFUNCTION("""COMPUTED_VALUE"""),163.48)</f>
      </c>
      <c r="F827" s="10">
        <f>IFERROR(__xludf.DUMMYFUNCTION("""COMPUTED_VALUE"""),0.0)</f>
      </c>
      <c r="G827" s="11">
        <f>IFERROR(__xludf.DUMMYFUNCTION("""COMPUTED_VALUE"""),"----")</f>
      </c>
      <c r="H827" s="10">
        <f>IFERROR(__xludf.DUMMYFUNCTION("""COMPUTED_VALUE"""),0.625)</f>
      </c>
      <c r="I827" s="11">
        <f>IFERROR(__xludf.DUMMYFUNCTION("""COMPUTED_VALUE"""),454.0)</f>
      </c>
      <c r="J827" s="10">
        <f>IFERROR(__xludf.DUMMYFUNCTION("""COMPUTED_VALUE"""),0.5313)</f>
      </c>
      <c r="K827" s="11">
        <f>IFERROR(__xludf.DUMMYFUNCTION("""COMPUTED_VALUE"""),224.62)</f>
      </c>
      <c r="L827" s="10">
        <f>IFERROR(__xludf.DUMMYFUNCTION("""COMPUTED_VALUE"""),0.625)</f>
      </c>
      <c r="M827" s="11">
        <f>IFERROR(__xludf.DUMMYFUNCTION("""COMPUTED_VALUE"""),606.0)</f>
      </c>
      <c r="N827" s="10">
        <f>IFERROR(__xludf.DUMMYFUNCTION("""COMPUTED_VALUE"""),0.0)</f>
      </c>
      <c r="O827" s="11">
        <f>IFERROR(__xludf.DUMMYFUNCTION("""COMPUTED_VALUE"""),"----")</f>
      </c>
      <c r="P827" s="12"/>
      <c r="Q827" s="12"/>
      <c r="R827" s="15"/>
      <c r="S827" s="12"/>
      <c r="T827" s="12"/>
      <c r="U827" s="12"/>
      <c r="V827" s="12"/>
      <c r="W827" s="12"/>
      <c r="X827" s="12"/>
      <c r="Y827" s="12"/>
      <c r="Z827" s="12"/>
    </row>
    <row x14ac:dyDescent="0.25" r="828" customHeight="1" ht="15.75">
      <c r="A828" s="8">
        <f>IFERROR(__xludf.DUMMYFUNCTION("""COMPUTED_VALUE"""),25151.0)</f>
      </c>
      <c r="B828" s="9">
        <f>IFERROR(__xludf.DUMMYFUNCTION("""COMPUTED_VALUE"""),"NORTE FLUMINENSE")</f>
      </c>
      <c r="C828" s="9">
        <f>IFERROR(__xludf.DUMMYFUNCTION("""COMPUTED_VALUE"""),"CE CHRISANTO HENRIQUE DE SOUZA")</f>
      </c>
      <c r="D828" s="10">
        <f>IFERROR(__xludf.DUMMYFUNCTION("""COMPUTED_VALUE"""),0.5636)</f>
      </c>
      <c r="E828" s="11">
        <f>IFERROR(__xludf.DUMMYFUNCTION("""COMPUTED_VALUE"""),"----")</f>
      </c>
      <c r="F828" s="10">
        <f>IFERROR(__xludf.DUMMYFUNCTION("""COMPUTED_VALUE"""),0.4545)</f>
      </c>
      <c r="G828" s="11">
        <f>IFERROR(__xludf.DUMMYFUNCTION("""COMPUTED_VALUE"""),264.0)</f>
      </c>
      <c r="H828" s="10">
        <f>IFERROR(__xludf.DUMMYFUNCTION("""COMPUTED_VALUE"""),0.3649)</f>
      </c>
      <c r="I828" s="11">
        <f>IFERROR(__xludf.DUMMYFUNCTION("""COMPUTED_VALUE"""),293.33)</f>
      </c>
      <c r="J828" s="10">
        <f>IFERROR(__xludf.DUMMYFUNCTION("""COMPUTED_VALUE"""),0.5952)</f>
      </c>
      <c r="K828" s="11">
        <f>IFERROR(__xludf.DUMMYFUNCTION("""COMPUTED_VALUE"""),81.6)</f>
      </c>
      <c r="L828" s="10">
        <f>IFERROR(__xludf.DUMMYFUNCTION("""COMPUTED_VALUE"""),0.1216)</f>
      </c>
      <c r="M828" s="11">
        <f>IFERROR(__xludf.DUMMYFUNCTION("""COMPUTED_VALUE"""),"----")</f>
      </c>
      <c r="N828" s="10">
        <f>IFERROR(__xludf.DUMMYFUNCTION("""COMPUTED_VALUE"""),0.3514)</f>
      </c>
      <c r="O828" s="11">
        <f>IFERROR(__xludf.DUMMYFUNCTION("""COMPUTED_VALUE"""),"----")</f>
      </c>
      <c r="P828" s="12"/>
      <c r="Q828" s="12"/>
      <c r="R828" s="15"/>
      <c r="S828" s="12"/>
      <c r="T828" s="12"/>
      <c r="U828" s="12"/>
      <c r="V828" s="12"/>
      <c r="W828" s="12"/>
      <c r="X828" s="12"/>
      <c r="Y828" s="12"/>
      <c r="Z828" s="12"/>
    </row>
    <row x14ac:dyDescent="0.25" r="829" customHeight="1" ht="15.75">
      <c r="A829" s="8">
        <f>IFERROR(__xludf.DUMMYFUNCTION("""COMPUTED_VALUE"""),25130.0)</f>
      </c>
      <c r="B829" s="9">
        <f>IFERROR(__xludf.DUMMYFUNCTION("""COMPUTED_VALUE"""),"NORTE FLUMINENSE")</f>
      </c>
      <c r="C829" s="9">
        <f>IFERROR(__xludf.DUMMYFUNCTION("""COMPUTED_VALUE"""),"CE CINAMOMO")</f>
      </c>
      <c r="D829" s="10">
        <f>IFERROR(__xludf.DUMMYFUNCTION("""COMPUTED_VALUE"""),0.8925)</f>
      </c>
      <c r="E829" s="11">
        <f>IFERROR(__xludf.DUMMYFUNCTION("""COMPUTED_VALUE"""),286.33)</f>
      </c>
      <c r="F829" s="10">
        <f>IFERROR(__xludf.DUMMYFUNCTION("""COMPUTED_VALUE"""),0.7412)</f>
      </c>
      <c r="G829" s="11">
        <f>IFERROR(__xludf.DUMMYFUNCTION("""COMPUTED_VALUE"""),"----")</f>
      </c>
      <c r="H829" s="10">
        <f>IFERROR(__xludf.DUMMYFUNCTION("""COMPUTED_VALUE"""),0.7495)</f>
      </c>
      <c r="I829" s="11">
        <f>IFERROR(__xludf.DUMMYFUNCTION("""COMPUTED_VALUE"""),354.77)</f>
      </c>
      <c r="J829" s="10">
        <f>IFERROR(__xludf.DUMMYFUNCTION("""COMPUTED_VALUE"""),0.7)</f>
      </c>
      <c r="K829" s="11">
        <f>IFERROR(__xludf.DUMMYFUNCTION("""COMPUTED_VALUE"""),270.38)</f>
      </c>
      <c r="L829" s="10">
        <f>IFERROR(__xludf.DUMMYFUNCTION("""COMPUTED_VALUE"""),0.4933)</f>
      </c>
      <c r="M829" s="11">
        <f>IFERROR(__xludf.DUMMYFUNCTION("""COMPUTED_VALUE"""),"----")</f>
      </c>
      <c r="N829" s="10">
        <f>IFERROR(__xludf.DUMMYFUNCTION("""COMPUTED_VALUE"""),0.0019)</f>
      </c>
      <c r="O829" s="11">
        <f>IFERROR(__xludf.DUMMYFUNCTION("""COMPUTED_VALUE"""),"----")</f>
      </c>
      <c r="P829" s="12"/>
      <c r="Q829" s="12"/>
      <c r="R829" s="15"/>
      <c r="S829" s="12"/>
      <c r="T829" s="12"/>
      <c r="U829" s="12"/>
      <c r="V829" s="12"/>
      <c r="W829" s="12"/>
      <c r="X829" s="12"/>
      <c r="Y829" s="12"/>
      <c r="Z829" s="12"/>
    </row>
    <row x14ac:dyDescent="0.25" r="830" customHeight="1" ht="15.75">
      <c r="A830" s="8">
        <f>IFERROR(__xludf.DUMMYFUNCTION("""COMPUTED_VALUE"""),25064.0)</f>
      </c>
      <c r="B830" s="9">
        <f>IFERROR(__xludf.DUMMYFUNCTION("""COMPUTED_VALUE"""),"NORTE FLUMINENSE")</f>
      </c>
      <c r="C830" s="9">
        <f>IFERROR(__xludf.DUMMYFUNCTION("""COMPUTED_VALUE"""),"CE CONSTANTINO FERNANDES")</f>
      </c>
      <c r="D830" s="10">
        <f>IFERROR(__xludf.DUMMYFUNCTION("""COMPUTED_VALUE"""),0.7391)</f>
      </c>
      <c r="E830" s="11">
        <f>IFERROR(__xludf.DUMMYFUNCTION("""COMPUTED_VALUE"""),224.05)</f>
      </c>
      <c r="F830" s="10">
        <f>IFERROR(__xludf.DUMMYFUNCTION("""COMPUTED_VALUE"""),0.5652)</f>
      </c>
      <c r="G830" s="11">
        <f>IFERROR(__xludf.DUMMYFUNCTION("""COMPUTED_VALUE"""),365.66)</f>
      </c>
      <c r="H830" s="10">
        <f>IFERROR(__xludf.DUMMYFUNCTION("""COMPUTED_VALUE"""),0.6139)</f>
      </c>
      <c r="I830" s="11">
        <f>IFERROR(__xludf.DUMMYFUNCTION("""COMPUTED_VALUE"""),285.34)</f>
      </c>
      <c r="J830" s="10">
        <f>IFERROR(__xludf.DUMMYFUNCTION("""COMPUTED_VALUE"""),0.4643)</f>
      </c>
      <c r="K830" s="11">
        <f>IFERROR(__xludf.DUMMYFUNCTION("""COMPUTED_VALUE"""),188.55)</f>
      </c>
      <c r="L830" s="10">
        <f>IFERROR(__xludf.DUMMYFUNCTION("""COMPUTED_VALUE"""),0.5228)</f>
      </c>
      <c r="M830" s="11">
        <f>IFERROR(__xludf.DUMMYFUNCTION("""COMPUTED_VALUE"""),247.1)</f>
      </c>
      <c r="N830" s="10">
        <f>IFERROR(__xludf.DUMMYFUNCTION("""COMPUTED_VALUE"""),0.0027)</f>
      </c>
      <c r="O830" s="11">
        <f>IFERROR(__xludf.DUMMYFUNCTION("""COMPUTED_VALUE"""),"----")</f>
      </c>
      <c r="P830" s="12"/>
      <c r="Q830" s="12"/>
      <c r="R830" s="15"/>
      <c r="S830" s="12"/>
      <c r="T830" s="12"/>
      <c r="U830" s="12"/>
      <c r="V830" s="12"/>
      <c r="W830" s="12"/>
      <c r="X830" s="12"/>
      <c r="Y830" s="12"/>
      <c r="Z830" s="12"/>
    </row>
    <row x14ac:dyDescent="0.25" r="831" customHeight="1" ht="15.75">
      <c r="A831" s="8">
        <f>IFERROR(__xludf.DUMMYFUNCTION("""COMPUTED_VALUE"""),25065.0)</f>
      </c>
      <c r="B831" s="9">
        <f>IFERROR(__xludf.DUMMYFUNCTION("""COMPUTED_VALUE"""),"NORTE FLUMINENSE")</f>
      </c>
      <c r="C831" s="9">
        <f>IFERROR(__xludf.DUMMYFUNCTION("""COMPUTED_VALUE"""),"CE CORONEL FRANCISCO RIBEIRO DA MOTTA VASCONCELOS")</f>
      </c>
      <c r="D831" s="10">
        <f>IFERROR(__xludf.DUMMYFUNCTION("""COMPUTED_VALUE"""),0.7875)</f>
      </c>
      <c r="E831" s="11">
        <f>IFERROR(__xludf.DUMMYFUNCTION("""COMPUTED_VALUE"""),77.19)</f>
      </c>
      <c r="F831" s="10">
        <f>IFERROR(__xludf.DUMMYFUNCTION("""COMPUTED_VALUE"""),0.625)</f>
      </c>
      <c r="G831" s="11">
        <f>IFERROR(__xludf.DUMMYFUNCTION("""COMPUTED_VALUE"""),407.66)</f>
      </c>
      <c r="H831" s="10">
        <f>IFERROR(__xludf.DUMMYFUNCTION("""COMPUTED_VALUE"""),0.4375)</f>
      </c>
      <c r="I831" s="11">
        <f>IFERROR(__xludf.DUMMYFUNCTION("""COMPUTED_VALUE"""),472.94)</f>
      </c>
      <c r="J831" s="10">
        <f>IFERROR(__xludf.DUMMYFUNCTION("""COMPUTED_VALUE"""),0.6125)</f>
      </c>
      <c r="K831" s="11">
        <f>IFERROR(__xludf.DUMMYFUNCTION("""COMPUTED_VALUE"""),212.5)</f>
      </c>
      <c r="L831" s="10">
        <f>IFERROR(__xludf.DUMMYFUNCTION("""COMPUTED_VALUE"""),0.575)</f>
      </c>
      <c r="M831" s="11">
        <f>IFERROR(__xludf.DUMMYFUNCTION("""COMPUTED_VALUE"""),331.56)</f>
      </c>
      <c r="N831" s="10">
        <f>IFERROR(__xludf.DUMMYFUNCTION("""COMPUTED_VALUE"""),0.6)</f>
      </c>
      <c r="O831" s="11">
        <f>IFERROR(__xludf.DUMMYFUNCTION("""COMPUTED_VALUE"""),478.33)</f>
      </c>
      <c r="P831" s="12"/>
      <c r="Q831" s="12"/>
      <c r="R831" s="15"/>
      <c r="S831" s="12"/>
      <c r="T831" s="12"/>
      <c r="U831" s="12"/>
      <c r="V831" s="12"/>
      <c r="W831" s="12"/>
      <c r="X831" s="12"/>
      <c r="Y831" s="12"/>
      <c r="Z831" s="12"/>
    </row>
    <row x14ac:dyDescent="0.25" r="832" customHeight="1" ht="15.75">
      <c r="A832" s="8">
        <f>IFERROR(__xludf.DUMMYFUNCTION("""COMPUTED_VALUE"""),25066.0)</f>
      </c>
      <c r="B832" s="9">
        <f>IFERROR(__xludf.DUMMYFUNCTION("""COMPUTED_VALUE"""),"NORTE FLUMINENSE")</f>
      </c>
      <c r="C832" s="9">
        <f>IFERROR(__xludf.DUMMYFUNCTION("""COMPUTED_VALUE"""),"CE CORONEL JOAO BATISTA DE PAULA BARROSO")</f>
      </c>
      <c r="D832" s="10">
        <f>IFERROR(__xludf.DUMMYFUNCTION("""COMPUTED_VALUE"""),0.6982)</f>
      </c>
      <c r="E832" s="11">
        <f>IFERROR(__xludf.DUMMYFUNCTION("""COMPUTED_VALUE"""),193.56)</f>
      </c>
      <c r="F832" s="10">
        <f>IFERROR(__xludf.DUMMYFUNCTION("""COMPUTED_VALUE"""),0.5544)</f>
      </c>
      <c r="G832" s="11">
        <f>IFERROR(__xludf.DUMMYFUNCTION("""COMPUTED_VALUE"""),397.49)</f>
      </c>
      <c r="H832" s="10">
        <f>IFERROR(__xludf.DUMMYFUNCTION("""COMPUTED_VALUE"""),0.3981)</f>
      </c>
      <c r="I832" s="11">
        <f>IFERROR(__xludf.DUMMYFUNCTION("""COMPUTED_VALUE"""),415.97)</f>
      </c>
      <c r="J832" s="10">
        <f>IFERROR(__xludf.DUMMYFUNCTION("""COMPUTED_VALUE"""),0.4838)</f>
      </c>
      <c r="K832" s="11">
        <f>IFERROR(__xludf.DUMMYFUNCTION("""COMPUTED_VALUE"""),258.98)</f>
      </c>
      <c r="L832" s="10">
        <f>IFERROR(__xludf.DUMMYFUNCTION("""COMPUTED_VALUE"""),0.4228)</f>
      </c>
      <c r="M832" s="11">
        <f>IFERROR(__xludf.DUMMYFUNCTION("""COMPUTED_VALUE"""),416.79)</f>
      </c>
      <c r="N832" s="10">
        <f>IFERROR(__xludf.DUMMYFUNCTION("""COMPUTED_VALUE"""),0.5)</f>
      </c>
      <c r="O832" s="11">
        <f>IFERROR(__xludf.DUMMYFUNCTION("""COMPUTED_VALUE"""),396.02)</f>
      </c>
      <c r="P832" s="12"/>
      <c r="Q832" s="12"/>
      <c r="R832" s="15"/>
      <c r="S832" s="12"/>
      <c r="T832" s="12"/>
      <c r="U832" s="12"/>
      <c r="V832" s="12"/>
      <c r="W832" s="12"/>
      <c r="X832" s="12"/>
      <c r="Y832" s="12"/>
      <c r="Z832" s="12"/>
    </row>
    <row x14ac:dyDescent="0.25" r="833" customHeight="1" ht="15.75">
      <c r="A833" s="8">
        <f>IFERROR(__xludf.DUMMYFUNCTION("""COMPUTED_VALUE"""),25136.0)</f>
      </c>
      <c r="B833" s="9">
        <f>IFERROR(__xludf.DUMMYFUNCTION("""COMPUTED_VALUE"""),"NORTE FLUMINENSE")</f>
      </c>
      <c r="C833" s="9">
        <f>IFERROR(__xludf.DUMMYFUNCTION("""COMPUTED_VALUE"""),"CE DE SAO FIDELIS")</f>
      </c>
      <c r="D833" s="10">
        <f>IFERROR(__xludf.DUMMYFUNCTION("""COMPUTED_VALUE"""),0.7169)</f>
      </c>
      <c r="E833" s="11">
        <f>IFERROR(__xludf.DUMMYFUNCTION("""COMPUTED_VALUE"""),346.98)</f>
      </c>
      <c r="F833" s="10">
        <f>IFERROR(__xludf.DUMMYFUNCTION("""COMPUTED_VALUE"""),0.7169)</f>
      </c>
      <c r="G833" s="11">
        <f>IFERROR(__xludf.DUMMYFUNCTION("""COMPUTED_VALUE"""),430.71)</f>
      </c>
      <c r="H833" s="10">
        <f>IFERROR(__xludf.DUMMYFUNCTION("""COMPUTED_VALUE"""),0.6594)</f>
      </c>
      <c r="I833" s="11">
        <f>IFERROR(__xludf.DUMMYFUNCTION("""COMPUTED_VALUE"""),503.35)</f>
      </c>
      <c r="J833" s="10">
        <f>IFERROR(__xludf.DUMMYFUNCTION("""COMPUTED_VALUE"""),0.6912)</f>
      </c>
      <c r="K833" s="11">
        <f>IFERROR(__xludf.DUMMYFUNCTION("""COMPUTED_VALUE"""),487.73)</f>
      </c>
      <c r="L833" s="10">
        <f>IFERROR(__xludf.DUMMYFUNCTION("""COMPUTED_VALUE"""),0.6131)</f>
      </c>
      <c r="M833" s="11">
        <f>IFERROR(__xludf.DUMMYFUNCTION("""COMPUTED_VALUE"""),477.66)</f>
      </c>
      <c r="N833" s="10">
        <f>IFERROR(__xludf.DUMMYFUNCTION("""COMPUTED_VALUE"""),0.6431)</f>
      </c>
      <c r="O833" s="11">
        <f>IFERROR(__xludf.DUMMYFUNCTION("""COMPUTED_VALUE"""),485.76)</f>
      </c>
      <c r="P833" s="12"/>
      <c r="Q833" s="12"/>
      <c r="R833" s="15"/>
      <c r="S833" s="12"/>
      <c r="T833" s="12"/>
      <c r="U833" s="12"/>
      <c r="V833" s="12"/>
      <c r="W833" s="12"/>
      <c r="X833" s="12"/>
      <c r="Y833" s="12"/>
      <c r="Z833" s="12"/>
    </row>
    <row x14ac:dyDescent="0.25" r="834" customHeight="1" ht="15.75">
      <c r="A834" s="8">
        <f>IFERROR(__xludf.DUMMYFUNCTION("""COMPUTED_VALUE"""),25067.0)</f>
      </c>
      <c r="B834" s="9">
        <f>IFERROR(__xludf.DUMMYFUNCTION("""COMPUTED_VALUE"""),"NORTE FLUMINENSE")</f>
      </c>
      <c r="C834" s="9">
        <f>IFERROR(__xludf.DUMMYFUNCTION("""COMPUTED_VALUE"""),"CE DESEMBARGADOR ALVARO FERREIRA PINTO")</f>
      </c>
      <c r="D834" s="10">
        <f>IFERROR(__xludf.DUMMYFUNCTION("""COMPUTED_VALUE"""),0.9611)</f>
      </c>
      <c r="E834" s="11">
        <f>IFERROR(__xludf.DUMMYFUNCTION("""COMPUTED_VALUE"""),218.5)</f>
      </c>
      <c r="F834" s="10">
        <f>IFERROR(__xludf.DUMMYFUNCTION("""COMPUTED_VALUE"""),0.7278)</f>
      </c>
      <c r="G834" s="11">
        <f>IFERROR(__xludf.DUMMYFUNCTION("""COMPUTED_VALUE"""),365.99)</f>
      </c>
      <c r="H834" s="10">
        <f>IFERROR(__xludf.DUMMYFUNCTION("""COMPUTED_VALUE"""),0.5735)</f>
      </c>
      <c r="I834" s="11">
        <f>IFERROR(__xludf.DUMMYFUNCTION("""COMPUTED_VALUE"""),411.4)</f>
      </c>
      <c r="J834" s="10">
        <f>IFERROR(__xludf.DUMMYFUNCTION("""COMPUTED_VALUE"""),0.6)</f>
      </c>
      <c r="K834" s="11">
        <f>IFERROR(__xludf.DUMMYFUNCTION("""COMPUTED_VALUE"""),325.15)</f>
      </c>
      <c r="L834" s="10">
        <f>IFERROR(__xludf.DUMMYFUNCTION("""COMPUTED_VALUE"""),0.2843)</f>
      </c>
      <c r="M834" s="11">
        <f>IFERROR(__xludf.DUMMYFUNCTION("""COMPUTED_VALUE"""),368.0)</f>
      </c>
      <c r="N834" s="10">
        <f>IFERROR(__xludf.DUMMYFUNCTION("""COMPUTED_VALUE"""),0.5735)</f>
      </c>
      <c r="O834" s="11">
        <f>IFERROR(__xludf.DUMMYFUNCTION("""COMPUTED_VALUE"""),293.94)</f>
      </c>
      <c r="P834" s="12"/>
      <c r="Q834" s="12"/>
      <c r="R834" s="15"/>
      <c r="S834" s="12"/>
      <c r="T834" s="12"/>
      <c r="U834" s="12"/>
      <c r="V834" s="12"/>
      <c r="W834" s="12"/>
      <c r="X834" s="12"/>
      <c r="Y834" s="12"/>
      <c r="Z834" s="12"/>
    </row>
    <row x14ac:dyDescent="0.25" r="835" customHeight="1" ht="15.75">
      <c r="A835" s="8">
        <f>IFERROR(__xludf.DUMMYFUNCTION("""COMPUTED_VALUE"""),25068.0)</f>
      </c>
      <c r="B835" s="9">
        <f>IFERROR(__xludf.DUMMYFUNCTION("""COMPUTED_VALUE"""),"NORTE FLUMINENSE")</f>
      </c>
      <c r="C835" s="9">
        <f>IFERROR(__xludf.DUMMYFUNCTION("""COMPUTED_VALUE"""),"CE DOM OTAVIANO DE ALBUQUERQUE")</f>
      </c>
      <c r="D835" s="10">
        <f>IFERROR(__xludf.DUMMYFUNCTION("""COMPUTED_VALUE"""),0.7417)</f>
      </c>
      <c r="E835" s="11">
        <f>IFERROR(__xludf.DUMMYFUNCTION("""COMPUTED_VALUE"""),285.37)</f>
      </c>
      <c r="F835" s="10">
        <f>IFERROR(__xludf.DUMMYFUNCTION("""COMPUTED_VALUE"""),0.351)</f>
      </c>
      <c r="G835" s="11">
        <f>IFERROR(__xludf.DUMMYFUNCTION("""COMPUTED_VALUE"""),326.72)</f>
      </c>
      <c r="H835" s="10">
        <f>IFERROR(__xludf.DUMMYFUNCTION("""COMPUTED_VALUE"""),0.4205)</f>
      </c>
      <c r="I835" s="11">
        <f>IFERROR(__xludf.DUMMYFUNCTION("""COMPUTED_VALUE"""),492.97)</f>
      </c>
      <c r="J835" s="10">
        <f>IFERROR(__xludf.DUMMYFUNCTION("""COMPUTED_VALUE"""),0.6667)</f>
      </c>
      <c r="K835" s="11">
        <f>IFERROR(__xludf.DUMMYFUNCTION("""COMPUTED_VALUE"""),339.35)</f>
      </c>
      <c r="L835" s="10">
        <f>IFERROR(__xludf.DUMMYFUNCTION("""COMPUTED_VALUE"""),0.6193)</f>
      </c>
      <c r="M835" s="11">
        <f>IFERROR(__xludf.DUMMYFUNCTION("""COMPUTED_VALUE"""),591.1)</f>
      </c>
      <c r="N835" s="10">
        <f>IFERROR(__xludf.DUMMYFUNCTION("""COMPUTED_VALUE"""),0.6023)</f>
      </c>
      <c r="O835" s="11">
        <f>IFERROR(__xludf.DUMMYFUNCTION("""COMPUTED_VALUE"""),601.23)</f>
      </c>
      <c r="P835" s="12"/>
      <c r="Q835" s="12"/>
      <c r="R835" s="15"/>
      <c r="S835" s="12"/>
      <c r="T835" s="12"/>
      <c r="U835" s="12"/>
      <c r="V835" s="12"/>
      <c r="W835" s="12"/>
      <c r="X835" s="12"/>
      <c r="Y835" s="12"/>
      <c r="Z835" s="12"/>
    </row>
    <row x14ac:dyDescent="0.25" r="836" customHeight="1" ht="15.75">
      <c r="A836" s="8">
        <f>IFERROR(__xludf.DUMMYFUNCTION("""COMPUTED_VALUE"""),25143.0)</f>
      </c>
      <c r="B836" s="9">
        <f>IFERROR(__xludf.DUMMYFUNCTION("""COMPUTED_VALUE"""),"NORTE FLUMINENSE")</f>
      </c>
      <c r="C836" s="9">
        <f>IFERROR(__xludf.DUMMYFUNCTION("""COMPUTED_VALUE"""),"CE DOMIRES MACHADO")</f>
      </c>
      <c r="D836" s="10">
        <f>IFERROR(__xludf.DUMMYFUNCTION("""COMPUTED_VALUE"""),0.9528)</f>
      </c>
      <c r="E836" s="11">
        <f>IFERROR(__xludf.DUMMYFUNCTION("""COMPUTED_VALUE"""),267.72)</f>
      </c>
      <c r="F836" s="10">
        <f>IFERROR(__xludf.DUMMYFUNCTION("""COMPUTED_VALUE"""),0.7642)</f>
      </c>
      <c r="G836" s="11">
        <f>IFERROR(__xludf.DUMMYFUNCTION("""COMPUTED_VALUE"""),470.12)</f>
      </c>
      <c r="H836" s="10">
        <f>IFERROR(__xludf.DUMMYFUNCTION("""COMPUTED_VALUE"""),0.8537)</f>
      </c>
      <c r="I836" s="11">
        <f>IFERROR(__xludf.DUMMYFUNCTION("""COMPUTED_VALUE"""),288.38)</f>
      </c>
      <c r="J836" s="10">
        <f>IFERROR(__xludf.DUMMYFUNCTION("""COMPUTED_VALUE"""),0.7965)</f>
      </c>
      <c r="K836" s="11">
        <f>IFERROR(__xludf.DUMMYFUNCTION("""COMPUTED_VALUE"""),440.09)</f>
      </c>
      <c r="L836" s="10">
        <f>IFERROR(__xludf.DUMMYFUNCTION("""COMPUTED_VALUE"""),0.3496)</f>
      </c>
      <c r="M836" s="11">
        <f>IFERROR(__xludf.DUMMYFUNCTION("""COMPUTED_VALUE"""),506.98)</f>
      </c>
      <c r="N836" s="10">
        <f>IFERROR(__xludf.DUMMYFUNCTION("""COMPUTED_VALUE"""),0.7398)</f>
      </c>
      <c r="O836" s="11">
        <f>IFERROR(__xludf.DUMMYFUNCTION("""COMPUTED_VALUE"""),507.69)</f>
      </c>
      <c r="P836" s="12"/>
      <c r="Q836" s="12"/>
      <c r="R836" s="15"/>
      <c r="S836" s="12"/>
      <c r="T836" s="12"/>
      <c r="U836" s="12"/>
      <c r="V836" s="12"/>
      <c r="W836" s="12"/>
      <c r="X836" s="12"/>
      <c r="Y836" s="12"/>
      <c r="Z836" s="12"/>
    </row>
    <row x14ac:dyDescent="0.25" r="837" customHeight="1" ht="15.75">
      <c r="A837" s="8">
        <f>IFERROR(__xludf.DUMMYFUNCTION("""COMPUTED_VALUE"""),25069.0)</f>
      </c>
      <c r="B837" s="9">
        <f>IFERROR(__xludf.DUMMYFUNCTION("""COMPUTED_VALUE"""),"NORTE FLUMINENSE")</f>
      </c>
      <c r="C837" s="9">
        <f>IFERROR(__xludf.DUMMYFUNCTION("""COMPUTED_VALUE"""),"CE DOUTOR BARROS BARRETO")</f>
      </c>
      <c r="D837" s="10">
        <f>IFERROR(__xludf.DUMMYFUNCTION("""COMPUTED_VALUE"""),0.8413)</f>
      </c>
      <c r="E837" s="11">
        <f>IFERROR(__xludf.DUMMYFUNCTION("""COMPUTED_VALUE"""),247.09)</f>
      </c>
      <c r="F837" s="10">
        <f>IFERROR(__xludf.DUMMYFUNCTION("""COMPUTED_VALUE"""),0.8571)</f>
      </c>
      <c r="G837" s="11">
        <f>IFERROR(__xludf.DUMMYFUNCTION("""COMPUTED_VALUE"""),329.45)</f>
      </c>
      <c r="H837" s="10">
        <f>IFERROR(__xludf.DUMMYFUNCTION("""COMPUTED_VALUE"""),0.5696)</f>
      </c>
      <c r="I837" s="11">
        <f>IFERROR(__xludf.DUMMYFUNCTION("""COMPUTED_VALUE"""),392.48)</f>
      </c>
      <c r="J837" s="10">
        <f>IFERROR(__xludf.DUMMYFUNCTION("""COMPUTED_VALUE"""),0.7642)</f>
      </c>
      <c r="K837" s="11">
        <f>IFERROR(__xludf.DUMMYFUNCTION("""COMPUTED_VALUE"""),348.5)</f>
      </c>
      <c r="L837" s="10">
        <f>IFERROR(__xludf.DUMMYFUNCTION("""COMPUTED_VALUE"""),0.5696)</f>
      </c>
      <c r="M837" s="11">
        <f>IFERROR(__xludf.DUMMYFUNCTION("""COMPUTED_VALUE"""),408.45)</f>
      </c>
      <c r="N837" s="10">
        <f>IFERROR(__xludf.DUMMYFUNCTION("""COMPUTED_VALUE"""),0.6392)</f>
      </c>
      <c r="O837" s="11">
        <f>IFERROR(__xludf.DUMMYFUNCTION("""COMPUTED_VALUE"""),396.99)</f>
      </c>
      <c r="P837" s="12"/>
      <c r="Q837" s="12"/>
      <c r="R837" s="15"/>
      <c r="S837" s="12"/>
      <c r="T837" s="12"/>
      <c r="U837" s="12"/>
      <c r="V837" s="12"/>
      <c r="W837" s="12"/>
      <c r="X837" s="12"/>
      <c r="Y837" s="12"/>
      <c r="Z837" s="12"/>
    </row>
    <row x14ac:dyDescent="0.25" r="838" customHeight="1" ht="15.75">
      <c r="A838" s="8">
        <f>IFERROR(__xludf.DUMMYFUNCTION("""COMPUTED_VALUE"""),25070.0)</f>
      </c>
      <c r="B838" s="9">
        <f>IFERROR(__xludf.DUMMYFUNCTION("""COMPUTED_VALUE"""),"NORTE FLUMINENSE")</f>
      </c>
      <c r="C838" s="9">
        <f>IFERROR(__xludf.DUMMYFUNCTION("""COMPUTED_VALUE"""),"CE DOUTOR CESAR TINOCO")</f>
      </c>
      <c r="D838" s="10">
        <f>IFERROR(__xludf.DUMMYFUNCTION("""COMPUTED_VALUE"""),0.8101)</f>
      </c>
      <c r="E838" s="11">
        <f>IFERROR(__xludf.DUMMYFUNCTION("""COMPUTED_VALUE"""),94.84)</f>
      </c>
      <c r="F838" s="10">
        <f>IFERROR(__xludf.DUMMYFUNCTION("""COMPUTED_VALUE"""),0.9367)</f>
      </c>
      <c r="G838" s="11">
        <f>IFERROR(__xludf.DUMMYFUNCTION("""COMPUTED_VALUE"""),227.4)</f>
      </c>
      <c r="H838" s="10">
        <f>IFERROR(__xludf.DUMMYFUNCTION("""COMPUTED_VALUE"""),0.6835)</f>
      </c>
      <c r="I838" s="11">
        <f>IFERROR(__xludf.DUMMYFUNCTION("""COMPUTED_VALUE"""),282.26)</f>
      </c>
      <c r="J838" s="10">
        <f>IFERROR(__xludf.DUMMYFUNCTION("""COMPUTED_VALUE"""),0.7215)</f>
      </c>
      <c r="K838" s="11">
        <f>IFERROR(__xludf.DUMMYFUNCTION("""COMPUTED_VALUE"""),237.09)</f>
      </c>
      <c r="L838" s="10">
        <f>IFERROR(__xludf.DUMMYFUNCTION("""COMPUTED_VALUE"""),0.4557)</f>
      </c>
      <c r="M838" s="11">
        <f>IFERROR(__xludf.DUMMYFUNCTION("""COMPUTED_VALUE"""),437.78)</f>
      </c>
      <c r="N838" s="10">
        <f>IFERROR(__xludf.DUMMYFUNCTION("""COMPUTED_VALUE"""),0.5823)</f>
      </c>
      <c r="O838" s="11">
        <f>IFERROR(__xludf.DUMMYFUNCTION("""COMPUTED_VALUE"""),381.74)</f>
      </c>
      <c r="P838" s="12"/>
      <c r="Q838" s="12"/>
      <c r="R838" s="15"/>
      <c r="S838" s="12"/>
      <c r="T838" s="12"/>
      <c r="U838" s="12"/>
      <c r="V838" s="12"/>
      <c r="W838" s="12"/>
      <c r="X838" s="12"/>
      <c r="Y838" s="12"/>
      <c r="Z838" s="12"/>
    </row>
    <row x14ac:dyDescent="0.25" r="839" customHeight="1" ht="15.75">
      <c r="A839" s="8">
        <f>IFERROR(__xludf.DUMMYFUNCTION("""COMPUTED_VALUE"""),25071.0)</f>
      </c>
      <c r="B839" s="9">
        <f>IFERROR(__xludf.DUMMYFUNCTION("""COMPUTED_VALUE"""),"NORTE FLUMINENSE")</f>
      </c>
      <c r="C839" s="9">
        <f>IFERROR(__xludf.DUMMYFUNCTION("""COMPUTED_VALUE"""),"CE DOUTOR FELIX MIRANDA")</f>
      </c>
      <c r="D839" s="10">
        <f>IFERROR(__xludf.DUMMYFUNCTION("""COMPUTED_VALUE"""),0.6087)</f>
      </c>
      <c r="E839" s="11">
        <f>IFERROR(__xludf.DUMMYFUNCTION("""COMPUTED_VALUE"""),"----")</f>
      </c>
      <c r="F839" s="10">
        <f>IFERROR(__xludf.DUMMYFUNCTION("""COMPUTED_VALUE"""),0.2989)</f>
      </c>
      <c r="G839" s="11">
        <f>IFERROR(__xludf.DUMMYFUNCTION("""COMPUTED_VALUE"""),326.64)</f>
      </c>
      <c r="H839" s="10">
        <f>IFERROR(__xludf.DUMMYFUNCTION("""COMPUTED_VALUE"""),0.4645)</f>
      </c>
      <c r="I839" s="11">
        <f>IFERROR(__xludf.DUMMYFUNCTION("""COMPUTED_VALUE"""),300.03)</f>
      </c>
      <c r="J839" s="10">
        <f>IFERROR(__xludf.DUMMYFUNCTION("""COMPUTED_VALUE"""),0.3186)</f>
      </c>
      <c r="K839" s="11">
        <f>IFERROR(__xludf.DUMMYFUNCTION("""COMPUTED_VALUE"""),87.31)</f>
      </c>
      <c r="L839" s="10">
        <f>IFERROR(__xludf.DUMMYFUNCTION("""COMPUTED_VALUE"""),0.1564)</f>
      </c>
      <c r="M839" s="11">
        <f>IFERROR(__xludf.DUMMYFUNCTION("""COMPUTED_VALUE"""),293.33)</f>
      </c>
      <c r="N839" s="10">
        <f>IFERROR(__xludf.DUMMYFUNCTION("""COMPUTED_VALUE"""),0.2275)</f>
      </c>
      <c r="O839" s="11">
        <f>IFERROR(__xludf.DUMMYFUNCTION("""COMPUTED_VALUE"""),415.54)</f>
      </c>
      <c r="P839" s="12"/>
      <c r="Q839" s="12"/>
      <c r="R839" s="15"/>
      <c r="S839" s="12"/>
      <c r="T839" s="12"/>
      <c r="U839" s="12"/>
      <c r="V839" s="12"/>
      <c r="W839" s="12"/>
      <c r="X839" s="12"/>
      <c r="Y839" s="12"/>
      <c r="Z839" s="12"/>
    </row>
    <row x14ac:dyDescent="0.25" r="840" customHeight="1" ht="15.75">
      <c r="A840" s="8">
        <f>IFERROR(__xludf.DUMMYFUNCTION("""COMPUTED_VALUE"""),25072.0)</f>
      </c>
      <c r="B840" s="9">
        <f>IFERROR(__xludf.DUMMYFUNCTION("""COMPUTED_VALUE"""),"NORTE FLUMINENSE")</f>
      </c>
      <c r="C840" s="9">
        <f>IFERROR(__xludf.DUMMYFUNCTION("""COMPUTED_VALUE"""),"CE DOUTOR JOAO MURILO CARNEIRO DE OLIVEIRA")</f>
      </c>
      <c r="D840" s="10">
        <f>IFERROR(__xludf.DUMMYFUNCTION("""COMPUTED_VALUE"""),0.9643)</f>
      </c>
      <c r="E840" s="11">
        <f>IFERROR(__xludf.DUMMYFUNCTION("""COMPUTED_VALUE"""),77.74)</f>
      </c>
      <c r="F840" s="10">
        <f>IFERROR(__xludf.DUMMYFUNCTION("""COMPUTED_VALUE"""),0.9643)</f>
      </c>
      <c r="G840" s="11">
        <f>IFERROR(__xludf.DUMMYFUNCTION("""COMPUTED_VALUE"""),266.38)</f>
      </c>
      <c r="H840" s="10">
        <f>IFERROR(__xludf.DUMMYFUNCTION("""COMPUTED_VALUE"""),0.5893)</f>
      </c>
      <c r="I840" s="11">
        <f>IFERROR(__xludf.DUMMYFUNCTION("""COMPUTED_VALUE"""),350.0)</f>
      </c>
      <c r="J840" s="10">
        <f>IFERROR(__xludf.DUMMYFUNCTION("""COMPUTED_VALUE"""),0.5357)</f>
      </c>
      <c r="K840" s="11">
        <f>IFERROR(__xludf.DUMMYFUNCTION("""COMPUTED_VALUE"""),138.67)</f>
      </c>
      <c r="L840" s="10">
        <f>IFERROR(__xludf.DUMMYFUNCTION("""COMPUTED_VALUE"""),0.5714)</f>
      </c>
      <c r="M840" s="11">
        <f>IFERROR(__xludf.DUMMYFUNCTION("""COMPUTED_VALUE"""),432.5)</f>
      </c>
      <c r="N840" s="10">
        <f>IFERROR(__xludf.DUMMYFUNCTION("""COMPUTED_VALUE"""),0.3929)</f>
      </c>
      <c r="O840" s="11">
        <f>IFERROR(__xludf.DUMMYFUNCTION("""COMPUTED_VALUE"""),421.82)</f>
      </c>
      <c r="P840" s="12"/>
      <c r="Q840" s="12"/>
      <c r="R840" s="15"/>
      <c r="S840" s="12"/>
      <c r="T840" s="12"/>
      <c r="U840" s="12"/>
      <c r="V840" s="12"/>
      <c r="W840" s="12"/>
      <c r="X840" s="12"/>
      <c r="Y840" s="12"/>
      <c r="Z840" s="12"/>
    </row>
    <row x14ac:dyDescent="0.25" r="841" customHeight="1" ht="15.75">
      <c r="A841" s="8">
        <f>IFERROR(__xludf.DUMMYFUNCTION("""COMPUTED_VALUE"""),25073.0)</f>
      </c>
      <c r="B841" s="9">
        <f>IFERROR(__xludf.DUMMYFUNCTION("""COMPUTED_VALUE"""),"NORTE FLUMINENSE")</f>
      </c>
      <c r="C841" s="9">
        <f>IFERROR(__xludf.DUMMYFUNCTION("""COMPUTED_VALUE"""),"CE DOUTOR JOSE PEREIRA PINTO")</f>
      </c>
      <c r="D841" s="10">
        <f>IFERROR(__xludf.DUMMYFUNCTION("""COMPUTED_VALUE"""),0.8679)</f>
      </c>
      <c r="E841" s="11">
        <f>IFERROR(__xludf.DUMMYFUNCTION("""COMPUTED_VALUE"""),313.91)</f>
      </c>
      <c r="F841" s="10">
        <f>IFERROR(__xludf.DUMMYFUNCTION("""COMPUTED_VALUE"""),0.8302)</f>
      </c>
      <c r="G841" s="11">
        <f>IFERROR(__xludf.DUMMYFUNCTION("""COMPUTED_VALUE"""),470.91)</f>
      </c>
      <c r="H841" s="10">
        <f>IFERROR(__xludf.DUMMYFUNCTION("""COMPUTED_VALUE"""),0.9623)</f>
      </c>
      <c r="I841" s="11">
        <f>IFERROR(__xludf.DUMMYFUNCTION("""COMPUTED_VALUE"""),483.92)</f>
      </c>
      <c r="J841" s="10">
        <f>IFERROR(__xludf.DUMMYFUNCTION("""COMPUTED_VALUE"""),0.8868)</f>
      </c>
      <c r="K841" s="11">
        <f>IFERROR(__xludf.DUMMYFUNCTION("""COMPUTED_VALUE"""),378.26)</f>
      </c>
      <c r="L841" s="10">
        <f>IFERROR(__xludf.DUMMYFUNCTION("""COMPUTED_VALUE"""),0.8491)</f>
      </c>
      <c r="M841" s="11">
        <f>IFERROR(__xludf.DUMMYFUNCTION("""COMPUTED_VALUE"""),467.56)</f>
      </c>
      <c r="N841" s="10">
        <f>IFERROR(__xludf.DUMMYFUNCTION("""COMPUTED_VALUE"""),0.8302)</f>
      </c>
      <c r="O841" s="11">
        <f>IFERROR(__xludf.DUMMYFUNCTION("""COMPUTED_VALUE"""),465.45)</f>
      </c>
      <c r="P841" s="12"/>
      <c r="Q841" s="12"/>
      <c r="R841" s="15"/>
      <c r="S841" s="12"/>
      <c r="T841" s="12"/>
      <c r="U841" s="12"/>
      <c r="V841" s="12"/>
      <c r="W841" s="12"/>
      <c r="X841" s="12"/>
      <c r="Y841" s="12"/>
      <c r="Z841" s="12"/>
    </row>
    <row x14ac:dyDescent="0.25" r="842" customHeight="1" ht="15.75">
      <c r="A842" s="8">
        <f>IFERROR(__xludf.DUMMYFUNCTION("""COMPUTED_VALUE"""),25074.0)</f>
      </c>
      <c r="B842" s="9">
        <f>IFERROR(__xludf.DUMMYFUNCTION("""COMPUTED_VALUE"""),"NORTE FLUMINENSE")</f>
      </c>
      <c r="C842" s="9">
        <f>IFERROR(__xludf.DUMMYFUNCTION("""COMPUTED_VALUE"""),"CE DOUTOR MAXIMO DE AZEVEDO")</f>
      </c>
      <c r="D842" s="10">
        <f>IFERROR(__xludf.DUMMYFUNCTION("""COMPUTED_VALUE"""),0.7296)</f>
      </c>
      <c r="E842" s="11">
        <f>IFERROR(__xludf.DUMMYFUNCTION("""COMPUTED_VALUE"""),312.7)</f>
      </c>
      <c r="F842" s="10">
        <f>IFERROR(__xludf.DUMMYFUNCTION("""COMPUTED_VALUE"""),0.4949)</f>
      </c>
      <c r="G842" s="11">
        <f>IFERROR(__xludf.DUMMYFUNCTION("""COMPUTED_VALUE"""),365.89)</f>
      </c>
      <c r="H842" s="10">
        <f>IFERROR(__xludf.DUMMYFUNCTION("""COMPUTED_VALUE"""),0.6224)</f>
      </c>
      <c r="I842" s="11">
        <f>IFERROR(__xludf.DUMMYFUNCTION("""COMPUTED_VALUE"""),359.01)</f>
      </c>
      <c r="J842" s="10">
        <f>IFERROR(__xludf.DUMMYFUNCTION("""COMPUTED_VALUE"""),0.6939)</f>
      </c>
      <c r="K842" s="11">
        <f>IFERROR(__xludf.DUMMYFUNCTION("""COMPUTED_VALUE"""),280.6)</f>
      </c>
      <c r="L842" s="10">
        <f>IFERROR(__xludf.DUMMYFUNCTION("""COMPUTED_VALUE"""),0.6582)</f>
      </c>
      <c r="M842" s="11">
        <f>IFERROR(__xludf.DUMMYFUNCTION("""COMPUTED_VALUE"""),452.19)</f>
      </c>
      <c r="N842" s="10">
        <f>IFERROR(__xludf.DUMMYFUNCTION("""COMPUTED_VALUE"""),0.6531)</f>
      </c>
      <c r="O842" s="11">
        <f>IFERROR(__xludf.DUMMYFUNCTION("""COMPUTED_VALUE"""),442.5)</f>
      </c>
      <c r="P842" s="12"/>
      <c r="Q842" s="12"/>
      <c r="R842" s="15"/>
      <c r="S842" s="12"/>
      <c r="T842" s="12"/>
      <c r="U842" s="12"/>
      <c r="V842" s="12"/>
      <c r="W842" s="12"/>
      <c r="X842" s="12"/>
      <c r="Y842" s="12"/>
      <c r="Z842" s="12"/>
    </row>
    <row x14ac:dyDescent="0.25" r="843" customHeight="1" ht="15.75">
      <c r="A843" s="8">
        <f>IFERROR(__xludf.DUMMYFUNCTION("""COMPUTED_VALUE"""),25152.0)</f>
      </c>
      <c r="B843" s="9">
        <f>IFERROR(__xludf.DUMMYFUNCTION("""COMPUTED_VALUE"""),"NORTE FLUMINENSE")</f>
      </c>
      <c r="C843" s="9">
        <f>IFERROR(__xludf.DUMMYFUNCTION("""COMPUTED_VALUE"""),"CE DOUTOR NEWTON ALVES")</f>
      </c>
      <c r="D843" s="10">
        <f>IFERROR(__xludf.DUMMYFUNCTION("""COMPUTED_VALUE"""),0.7692)</f>
      </c>
      <c r="E843" s="11">
        <f>IFERROR(__xludf.DUMMYFUNCTION("""COMPUTED_VALUE"""),197.33)</f>
      </c>
      <c r="F843" s="10">
        <f>IFERROR(__xludf.DUMMYFUNCTION("""COMPUTED_VALUE"""),0.9573)</f>
      </c>
      <c r="G843" s="11">
        <f>IFERROR(__xludf.DUMMYFUNCTION("""COMPUTED_VALUE"""),326.27)</f>
      </c>
      <c r="H843" s="10">
        <f>IFERROR(__xludf.DUMMYFUNCTION("""COMPUTED_VALUE"""),0.6364)</f>
      </c>
      <c r="I843" s="11">
        <f>IFERROR(__xludf.DUMMYFUNCTION("""COMPUTED_VALUE"""),420.94)</f>
      </c>
      <c r="J843" s="10">
        <f>IFERROR(__xludf.DUMMYFUNCTION("""COMPUTED_VALUE"""),0.6842)</f>
      </c>
      <c r="K843" s="11">
        <f>IFERROR(__xludf.DUMMYFUNCTION("""COMPUTED_VALUE"""),346.96)</f>
      </c>
      <c r="L843" s="10">
        <f>IFERROR(__xludf.DUMMYFUNCTION("""COMPUTED_VALUE"""),0.6853)</f>
      </c>
      <c r="M843" s="11">
        <f>IFERROR(__xludf.DUMMYFUNCTION("""COMPUTED_VALUE"""),415.92)</f>
      </c>
      <c r="N843" s="10">
        <f>IFERROR(__xludf.DUMMYFUNCTION("""COMPUTED_VALUE"""),0.5944)</f>
      </c>
      <c r="O843" s="11">
        <f>IFERROR(__xludf.DUMMYFUNCTION("""COMPUTED_VALUE"""),467.3)</f>
      </c>
      <c r="P843" s="12"/>
      <c r="Q843" s="12"/>
      <c r="R843" s="15"/>
      <c r="S843" s="12"/>
      <c r="T843" s="12"/>
      <c r="U843" s="12"/>
      <c r="V843" s="12"/>
      <c r="W843" s="12"/>
      <c r="X843" s="12"/>
      <c r="Y843" s="12"/>
      <c r="Z843" s="12"/>
    </row>
    <row x14ac:dyDescent="0.25" r="844" customHeight="1" ht="15.75">
      <c r="A844" s="8">
        <f>IFERROR(__xludf.DUMMYFUNCTION("""COMPUTED_VALUE"""),25153.0)</f>
      </c>
      <c r="B844" s="9">
        <f>IFERROR(__xludf.DUMMYFUNCTION("""COMPUTED_VALUE"""),"NORTE FLUMINENSE")</f>
      </c>
      <c r="C844" s="9">
        <f>IFERROR(__xludf.DUMMYFUNCTION("""COMPUTED_VALUE"""),"CE DOUTOR OLIMPIO SATURNINO DE BRITO")</f>
      </c>
      <c r="D844" s="10">
        <f>IFERROR(__xludf.DUMMYFUNCTION("""COMPUTED_VALUE"""),0.9868)</f>
      </c>
      <c r="E844" s="11">
        <f>IFERROR(__xludf.DUMMYFUNCTION("""COMPUTED_VALUE"""),204.27)</f>
      </c>
      <c r="F844" s="10">
        <f>IFERROR(__xludf.DUMMYFUNCTION("""COMPUTED_VALUE"""),0.6711)</f>
      </c>
      <c r="G844" s="11">
        <f>IFERROR(__xludf.DUMMYFUNCTION("""COMPUTED_VALUE"""),346.36)</f>
      </c>
      <c r="H844" s="10">
        <f>IFERROR(__xludf.DUMMYFUNCTION("""COMPUTED_VALUE"""),0.5921)</f>
      </c>
      <c r="I844" s="11">
        <f>IFERROR(__xludf.DUMMYFUNCTION("""COMPUTED_VALUE"""),412.44)</f>
      </c>
      <c r="J844" s="10">
        <f>IFERROR(__xludf.DUMMYFUNCTION("""COMPUTED_VALUE"""),0.7237)</f>
      </c>
      <c r="K844" s="11">
        <f>IFERROR(__xludf.DUMMYFUNCTION("""COMPUTED_VALUE"""),360.0)</f>
      </c>
      <c r="L844" s="10">
        <f>IFERROR(__xludf.DUMMYFUNCTION("""COMPUTED_VALUE"""),0.5658)</f>
      </c>
      <c r="M844" s="11">
        <f>IFERROR(__xludf.DUMMYFUNCTION("""COMPUTED_VALUE"""),378.1)</f>
      </c>
      <c r="N844" s="10">
        <f>IFERROR(__xludf.DUMMYFUNCTION("""COMPUTED_VALUE"""),0.5658)</f>
      </c>
      <c r="O844" s="11">
        <f>IFERROR(__xludf.DUMMYFUNCTION("""COMPUTED_VALUE"""),346.67)</f>
      </c>
      <c r="P844" s="12"/>
      <c r="Q844" s="12"/>
      <c r="R844" s="15"/>
      <c r="S844" s="12"/>
      <c r="T844" s="12"/>
      <c r="U844" s="12"/>
      <c r="V844" s="12"/>
      <c r="W844" s="12"/>
      <c r="X844" s="12"/>
      <c r="Y844" s="12"/>
      <c r="Z844" s="12"/>
    </row>
    <row x14ac:dyDescent="0.25" r="845" customHeight="1" ht="15.75">
      <c r="A845" s="8">
        <f>IFERROR(__xludf.DUMMYFUNCTION("""COMPUTED_VALUE"""),25075.0)</f>
      </c>
      <c r="B845" s="9">
        <f>IFERROR(__xludf.DUMMYFUNCTION("""COMPUTED_VALUE"""),"NORTE FLUMINENSE")</f>
      </c>
      <c r="C845" s="9">
        <f>IFERROR(__xludf.DUMMYFUNCTION("""COMPUTED_VALUE"""),"CE DOUTOR PHILLIPPE UEBE")</f>
      </c>
      <c r="D845" s="10">
        <f>IFERROR(__xludf.DUMMYFUNCTION("""COMPUTED_VALUE"""),0.9805)</f>
      </c>
      <c r="E845" s="11">
        <f>IFERROR(__xludf.DUMMYFUNCTION("""COMPUTED_VALUE"""),183.4)</f>
      </c>
      <c r="F845" s="10">
        <f>IFERROR(__xludf.DUMMYFUNCTION("""COMPUTED_VALUE"""),0.7902)</f>
      </c>
      <c r="G845" s="11">
        <f>IFERROR(__xludf.DUMMYFUNCTION("""COMPUTED_VALUE"""),389.81)</f>
      </c>
      <c r="H845" s="10">
        <f>IFERROR(__xludf.DUMMYFUNCTION("""COMPUTED_VALUE"""),0.7722)</f>
      </c>
      <c r="I845" s="11">
        <f>IFERROR(__xludf.DUMMYFUNCTION("""COMPUTED_VALUE"""),412.02)</f>
      </c>
      <c r="J845" s="10">
        <f>IFERROR(__xludf.DUMMYFUNCTION("""COMPUTED_VALUE"""),0.7511)</f>
      </c>
      <c r="K845" s="11">
        <f>IFERROR(__xludf.DUMMYFUNCTION("""COMPUTED_VALUE"""),327.86)</f>
      </c>
      <c r="L845" s="10">
        <f>IFERROR(__xludf.DUMMYFUNCTION("""COMPUTED_VALUE"""),0.7384)</f>
      </c>
      <c r="M845" s="11">
        <f>IFERROR(__xludf.DUMMYFUNCTION("""COMPUTED_VALUE"""),378.29)</f>
      </c>
      <c r="N845" s="10">
        <f>IFERROR(__xludf.DUMMYFUNCTION("""COMPUTED_VALUE"""),0.692)</f>
      </c>
      <c r="O845" s="11">
        <f>IFERROR(__xludf.DUMMYFUNCTION("""COMPUTED_VALUE"""),417.0)</f>
      </c>
      <c r="P845" s="12"/>
      <c r="Q845" s="12"/>
      <c r="R845" s="15"/>
      <c r="S845" s="12"/>
      <c r="T845" s="12"/>
      <c r="U845" s="12"/>
      <c r="V845" s="12"/>
      <c r="W845" s="12"/>
      <c r="X845" s="12"/>
      <c r="Y845" s="12"/>
      <c r="Z845" s="12"/>
    </row>
    <row x14ac:dyDescent="0.25" r="846" customHeight="1" ht="15.75">
      <c r="A846" s="8">
        <f>IFERROR(__xludf.DUMMYFUNCTION("""COMPUTED_VALUE"""),25076.0)</f>
      </c>
      <c r="B846" s="9">
        <f>IFERROR(__xludf.DUMMYFUNCTION("""COMPUTED_VALUE"""),"NORTE FLUMINENSE")</f>
      </c>
      <c r="C846" s="9">
        <f>IFERROR(__xludf.DUMMYFUNCTION("""COMPUTED_VALUE"""),"CE DOUTOR SYLVIO BASTOS TAVARES")</f>
      </c>
      <c r="D846" s="10">
        <f>IFERROR(__xludf.DUMMYFUNCTION("""COMPUTED_VALUE"""),0.8435)</f>
      </c>
      <c r="E846" s="11">
        <f>IFERROR(__xludf.DUMMYFUNCTION("""COMPUTED_VALUE"""),334.52)</f>
      </c>
      <c r="F846" s="10">
        <f>IFERROR(__xludf.DUMMYFUNCTION("""COMPUTED_VALUE"""),0.6395)</f>
      </c>
      <c r="G846" s="11">
        <f>IFERROR(__xludf.DUMMYFUNCTION("""COMPUTED_VALUE"""),474.78)</f>
      </c>
      <c r="H846" s="10">
        <f>IFERROR(__xludf.DUMMYFUNCTION("""COMPUTED_VALUE"""),0.7415)</f>
      </c>
      <c r="I846" s="11">
        <f>IFERROR(__xludf.DUMMYFUNCTION("""COMPUTED_VALUE"""),454.07)</f>
      </c>
      <c r="J846" s="10">
        <f>IFERROR(__xludf.DUMMYFUNCTION("""COMPUTED_VALUE"""),0.6939)</f>
      </c>
      <c r="K846" s="11">
        <f>IFERROR(__xludf.DUMMYFUNCTION("""COMPUTED_VALUE"""),364.0)</f>
      </c>
      <c r="L846" s="10">
        <f>IFERROR(__xludf.DUMMYFUNCTION("""COMPUTED_VALUE"""),0.7143)</f>
      </c>
      <c r="M846" s="11">
        <f>IFERROR(__xludf.DUMMYFUNCTION("""COMPUTED_VALUE"""),434.62)</f>
      </c>
      <c r="N846" s="10">
        <f>IFERROR(__xludf.DUMMYFUNCTION("""COMPUTED_VALUE"""),0.6803)</f>
      </c>
      <c r="O846" s="11">
        <f>IFERROR(__xludf.DUMMYFUNCTION("""COMPUTED_VALUE"""),430.3)</f>
      </c>
      <c r="P846" s="12"/>
      <c r="Q846" s="12"/>
      <c r="R846" s="15"/>
      <c r="S846" s="12"/>
      <c r="T846" s="12"/>
      <c r="U846" s="12"/>
      <c r="V846" s="12"/>
      <c r="W846" s="12"/>
      <c r="X846" s="12"/>
      <c r="Y846" s="12"/>
      <c r="Z846" s="12"/>
    </row>
    <row x14ac:dyDescent="0.25" r="847" customHeight="1" ht="15.75">
      <c r="A847" s="8">
        <f>IFERROR(__xludf.DUMMYFUNCTION("""COMPUTED_VALUE"""),25077.0)</f>
      </c>
      <c r="B847" s="9">
        <f>IFERROR(__xludf.DUMMYFUNCTION("""COMPUTED_VALUE"""),"NORTE FLUMINENSE")</f>
      </c>
      <c r="C847" s="9">
        <f>IFERROR(__xludf.DUMMYFUNCTION("""COMPUTED_VALUE"""),"CE DOUTOR THIERS CARDOSO")</f>
      </c>
      <c r="D847" s="10">
        <f>IFERROR(__xludf.DUMMYFUNCTION("""COMPUTED_VALUE"""),0.9386)</f>
      </c>
      <c r="E847" s="11">
        <f>IFERROR(__xludf.DUMMYFUNCTION("""COMPUTED_VALUE"""),128.23)</f>
      </c>
      <c r="F847" s="10">
        <f>IFERROR(__xludf.DUMMYFUNCTION("""COMPUTED_VALUE"""),0.6813)</f>
      </c>
      <c r="G847" s="11">
        <f>IFERROR(__xludf.DUMMYFUNCTION("""COMPUTED_VALUE"""),235.37)</f>
      </c>
      <c r="H847" s="10">
        <f>IFERROR(__xludf.DUMMYFUNCTION("""COMPUTED_VALUE"""),0.6366)</f>
      </c>
      <c r="I847" s="11">
        <f>IFERROR(__xludf.DUMMYFUNCTION("""COMPUTED_VALUE"""),403.86)</f>
      </c>
      <c r="J847" s="10">
        <f>IFERROR(__xludf.DUMMYFUNCTION("""COMPUTED_VALUE"""),0.587)</f>
      </c>
      <c r="K847" s="11">
        <f>IFERROR(__xludf.DUMMYFUNCTION("""COMPUTED_VALUE"""),237.82)</f>
      </c>
      <c r="L847" s="10">
        <f>IFERROR(__xludf.DUMMYFUNCTION("""COMPUTED_VALUE"""),0.5437)</f>
      </c>
      <c r="M847" s="11">
        <f>IFERROR(__xludf.DUMMYFUNCTION("""COMPUTED_VALUE"""),"----")</f>
      </c>
      <c r="N847" s="10">
        <f>IFERROR(__xludf.DUMMYFUNCTION("""COMPUTED_VALUE"""),0.5929)</f>
      </c>
      <c r="O847" s="11">
        <f>IFERROR(__xludf.DUMMYFUNCTION("""COMPUTED_VALUE"""),331.53)</f>
      </c>
      <c r="P847" s="12"/>
      <c r="Q847" s="12"/>
      <c r="R847" s="15"/>
      <c r="S847" s="12"/>
      <c r="T847" s="12"/>
      <c r="U847" s="12"/>
      <c r="V847" s="12"/>
      <c r="W847" s="12"/>
      <c r="X847" s="12"/>
      <c r="Y847" s="12"/>
      <c r="Z847" s="12"/>
    </row>
    <row x14ac:dyDescent="0.25" r="848" customHeight="1" ht="15.75">
      <c r="A848" s="8">
        <f>IFERROR(__xludf.DUMMYFUNCTION("""COMPUTED_VALUE"""),25113.0)</f>
      </c>
      <c r="B848" s="9">
        <f>IFERROR(__xludf.DUMMYFUNCTION("""COMPUTED_VALUE"""),"NORTE FLUMINENSE")</f>
      </c>
      <c r="C848" s="9">
        <f>IFERROR(__xludf.DUMMYFUNCTION("""COMPUTED_VALUE"""),"CE ELSA BARBOSA DAUMAS")</f>
      </c>
      <c r="D848" s="10">
        <f>IFERROR(__xludf.DUMMYFUNCTION("""COMPUTED_VALUE"""),0.8654)</f>
      </c>
      <c r="E848" s="11">
        <f>IFERROR(__xludf.DUMMYFUNCTION("""COMPUTED_VALUE"""),199.09)</f>
      </c>
      <c r="F848" s="10">
        <f>IFERROR(__xludf.DUMMYFUNCTION("""COMPUTED_VALUE"""),0.5577)</f>
      </c>
      <c r="G848" s="11">
        <f>IFERROR(__xludf.DUMMYFUNCTION("""COMPUTED_VALUE"""),430.4)</f>
      </c>
      <c r="H848" s="10">
        <f>IFERROR(__xludf.DUMMYFUNCTION("""COMPUTED_VALUE"""),0.7885)</f>
      </c>
      <c r="I848" s="11">
        <f>IFERROR(__xludf.DUMMYFUNCTION("""COMPUTED_VALUE"""),346.0)</f>
      </c>
      <c r="J848" s="10">
        <f>IFERROR(__xludf.DUMMYFUNCTION("""COMPUTED_VALUE"""),0.9038)</f>
      </c>
      <c r="K848" s="11">
        <f>IFERROR(__xludf.DUMMYFUNCTION("""COMPUTED_VALUE"""),272.0)</f>
      </c>
      <c r="L848" s="10">
        <f>IFERROR(__xludf.DUMMYFUNCTION("""COMPUTED_VALUE"""),0.6154)</f>
      </c>
      <c r="M848" s="11">
        <f>IFERROR(__xludf.DUMMYFUNCTION("""COMPUTED_VALUE"""),375.17)</f>
      </c>
      <c r="N848" s="10">
        <f>IFERROR(__xludf.DUMMYFUNCTION("""COMPUTED_VALUE"""),0.6346)</f>
      </c>
      <c r="O848" s="11">
        <f>IFERROR(__xludf.DUMMYFUNCTION("""COMPUTED_VALUE"""),419.31)</f>
      </c>
      <c r="P848" s="12"/>
      <c r="Q848" s="12"/>
      <c r="R848" s="15"/>
      <c r="S848" s="12"/>
      <c r="T848" s="12"/>
      <c r="U848" s="12"/>
      <c r="V848" s="12"/>
      <c r="W848" s="12"/>
      <c r="X848" s="12"/>
      <c r="Y848" s="12"/>
      <c r="Z848" s="12"/>
    </row>
    <row x14ac:dyDescent="0.25" r="849" customHeight="1" ht="15.75">
      <c r="A849" s="8">
        <f>IFERROR(__xludf.DUMMYFUNCTION("""COMPUTED_VALUE"""),25137.0)</f>
      </c>
      <c r="B849" s="9">
        <f>IFERROR(__xludf.DUMMYFUNCTION("""COMPUTED_VALUE"""),"NORTE FLUMINENSE")</f>
      </c>
      <c r="C849" s="9">
        <f>IFERROR(__xludf.DUMMYFUNCTION("""COMPUTED_VALUE"""),"CE ELVIDIO COSTA")</f>
      </c>
      <c r="D849" s="10">
        <f>IFERROR(__xludf.DUMMYFUNCTION("""COMPUTED_VALUE"""),0.7063)</f>
      </c>
      <c r="E849" s="11">
        <f>IFERROR(__xludf.DUMMYFUNCTION("""COMPUTED_VALUE"""),293.86)</f>
      </c>
      <c r="F849" s="10">
        <f>IFERROR(__xludf.DUMMYFUNCTION("""COMPUTED_VALUE"""),0.6643)</f>
      </c>
      <c r="G849" s="11">
        <f>IFERROR(__xludf.DUMMYFUNCTION("""COMPUTED_VALUE"""),446.74)</f>
      </c>
      <c r="H849" s="10">
        <f>IFERROR(__xludf.DUMMYFUNCTION("""COMPUTED_VALUE"""),0.6294)</f>
      </c>
      <c r="I849" s="11">
        <f>IFERROR(__xludf.DUMMYFUNCTION("""COMPUTED_VALUE"""),482.27)</f>
      </c>
      <c r="J849" s="10">
        <f>IFERROR(__xludf.DUMMYFUNCTION("""COMPUTED_VALUE"""),0.6853)</f>
      </c>
      <c r="K849" s="11">
        <f>IFERROR(__xludf.DUMMYFUNCTION("""COMPUTED_VALUE"""),325.53)</f>
      </c>
      <c r="L849" s="10">
        <f>IFERROR(__xludf.DUMMYFUNCTION("""COMPUTED_VALUE"""),0.7413)</f>
      </c>
      <c r="M849" s="11">
        <f>IFERROR(__xludf.DUMMYFUNCTION("""COMPUTED_VALUE"""),447.92)</f>
      </c>
      <c r="N849" s="10">
        <f>IFERROR(__xludf.DUMMYFUNCTION("""COMPUTED_VALUE"""),0.6783)</f>
      </c>
      <c r="O849" s="11">
        <f>IFERROR(__xludf.DUMMYFUNCTION("""COMPUTED_VALUE"""),483.71)</f>
      </c>
      <c r="P849" s="12"/>
      <c r="Q849" s="12"/>
      <c r="R849" s="15"/>
      <c r="S849" s="12"/>
      <c r="T849" s="12"/>
      <c r="U849" s="12"/>
      <c r="V849" s="12"/>
      <c r="W849" s="12"/>
      <c r="X849" s="12"/>
      <c r="Y849" s="12"/>
      <c r="Z849" s="12"/>
    </row>
    <row x14ac:dyDescent="0.25" r="850" customHeight="1" ht="15.75">
      <c r="A850" s="8">
        <f>IFERROR(__xludf.DUMMYFUNCTION("""COMPUTED_VALUE"""),25144.0)</f>
      </c>
      <c r="B850" s="9">
        <f>IFERROR(__xludf.DUMMYFUNCTION("""COMPUTED_VALUE"""),"NORTE FLUMINENSE")</f>
      </c>
      <c r="C850" s="9">
        <f>IFERROR(__xludf.DUMMYFUNCTION("""COMPUTED_VALUE"""),"CE ERCILIA MUYLAERT DE MENEZES")</f>
      </c>
      <c r="D850" s="10">
        <f>IFERROR(__xludf.DUMMYFUNCTION("""COMPUTED_VALUE"""),1.0)</f>
      </c>
      <c r="E850" s="11">
        <f>IFERROR(__xludf.DUMMYFUNCTION("""COMPUTED_VALUE"""),307.03)</f>
      </c>
      <c r="F850" s="10">
        <f>IFERROR(__xludf.DUMMYFUNCTION("""COMPUTED_VALUE"""),0.7838)</f>
      </c>
      <c r="G850" s="11">
        <f>IFERROR(__xludf.DUMMYFUNCTION("""COMPUTED_VALUE"""),472.28)</f>
      </c>
      <c r="H850" s="10">
        <f>IFERROR(__xludf.DUMMYFUNCTION("""COMPUTED_VALUE"""),0.7297)</f>
      </c>
      <c r="I850" s="11">
        <f>IFERROR(__xludf.DUMMYFUNCTION("""COMPUTED_VALUE"""),492.59)</f>
      </c>
      <c r="J850" s="10">
        <f>IFERROR(__xludf.DUMMYFUNCTION("""COMPUTED_VALUE"""),0.7297)</f>
      </c>
      <c r="K850" s="11">
        <f>IFERROR(__xludf.DUMMYFUNCTION("""COMPUTED_VALUE"""),374.81)</f>
      </c>
      <c r="L850" s="10">
        <f>IFERROR(__xludf.DUMMYFUNCTION("""COMPUTED_VALUE"""),0.7162)</f>
      </c>
      <c r="M850" s="11">
        <f>IFERROR(__xludf.DUMMYFUNCTION("""COMPUTED_VALUE"""),517.74)</f>
      </c>
      <c r="N850" s="10">
        <f>IFERROR(__xludf.DUMMYFUNCTION("""COMPUTED_VALUE"""),0.7568)</f>
      </c>
      <c r="O850" s="11">
        <f>IFERROR(__xludf.DUMMYFUNCTION("""COMPUTED_VALUE"""),502.14)</f>
      </c>
      <c r="P850" s="12"/>
      <c r="Q850" s="12"/>
      <c r="R850" s="15"/>
      <c r="S850" s="12"/>
      <c r="T850" s="12"/>
      <c r="U850" s="12"/>
      <c r="V850" s="12"/>
      <c r="W850" s="12"/>
      <c r="X850" s="12"/>
      <c r="Y850" s="12"/>
      <c r="Z850" s="12"/>
    </row>
    <row x14ac:dyDescent="0.25" r="851" customHeight="1" ht="15.75">
      <c r="A851" s="8">
        <f>IFERROR(__xludf.DUMMYFUNCTION("""COMPUTED_VALUE"""),25078.0)</f>
      </c>
      <c r="B851" s="9">
        <f>IFERROR(__xludf.DUMMYFUNCTION("""COMPUTED_VALUE"""),"NORTE FLUMINENSE")</f>
      </c>
      <c r="C851" s="9">
        <f>IFERROR(__xludf.DUMMYFUNCTION("""COMPUTED_VALUE"""),"CE ESTEFANIA PEREIRA PINTO")</f>
      </c>
      <c r="D851" s="10">
        <f>IFERROR(__xludf.DUMMYFUNCTION("""COMPUTED_VALUE"""),0.9302)</f>
      </c>
      <c r="E851" s="11">
        <f>IFERROR(__xludf.DUMMYFUNCTION("""COMPUTED_VALUE"""),162.0)</f>
      </c>
      <c r="F851" s="10">
        <f>IFERROR(__xludf.DUMMYFUNCTION("""COMPUTED_VALUE"""),0.6977)</f>
      </c>
      <c r="G851" s="11">
        <f>IFERROR(__xludf.DUMMYFUNCTION("""COMPUTED_VALUE"""),495.17)</f>
      </c>
      <c r="H851" s="10">
        <f>IFERROR(__xludf.DUMMYFUNCTION("""COMPUTED_VALUE"""),0.6744)</f>
      </c>
      <c r="I851" s="11">
        <f>IFERROR(__xludf.DUMMYFUNCTION("""COMPUTED_VALUE"""),532.41)</f>
      </c>
      <c r="J851" s="10">
        <f>IFERROR(__xludf.DUMMYFUNCTION("""COMPUTED_VALUE"""),0.6744)</f>
      </c>
      <c r="K851" s="11">
        <f>IFERROR(__xludf.DUMMYFUNCTION("""COMPUTED_VALUE"""),400.0)</f>
      </c>
      <c r="L851" s="10">
        <f>IFERROR(__xludf.DUMMYFUNCTION("""COMPUTED_VALUE"""),0.6512)</f>
      </c>
      <c r="M851" s="11">
        <f>IFERROR(__xludf.DUMMYFUNCTION("""COMPUTED_VALUE"""),572.86)</f>
      </c>
      <c r="N851" s="10">
        <f>IFERROR(__xludf.DUMMYFUNCTION("""COMPUTED_VALUE"""),0.6279)</f>
      </c>
      <c r="O851" s="11">
        <f>IFERROR(__xludf.DUMMYFUNCTION("""COMPUTED_VALUE"""),571.85)</f>
      </c>
      <c r="P851" s="12"/>
      <c r="Q851" s="12"/>
      <c r="R851" s="15"/>
      <c r="S851" s="12"/>
      <c r="T851" s="12"/>
      <c r="U851" s="12"/>
      <c r="V851" s="12"/>
      <c r="W851" s="12"/>
      <c r="X851" s="12"/>
      <c r="Y851" s="12"/>
      <c r="Z851" s="12"/>
    </row>
    <row x14ac:dyDescent="0.25" r="852" customHeight="1" ht="15.75">
      <c r="A852" s="8">
        <f>IFERROR(__xludf.DUMMYFUNCTION("""COMPUTED_VALUE"""),25079.0)</f>
      </c>
      <c r="B852" s="9">
        <f>IFERROR(__xludf.DUMMYFUNCTION("""COMPUTED_VALUE"""),"NORTE FLUMINENSE")</f>
      </c>
      <c r="C852" s="9">
        <f>IFERROR(__xludf.DUMMYFUNCTION("""COMPUTED_VALUE"""),"CE GENERAL DUTRA")</f>
      </c>
      <c r="D852" s="10">
        <f>IFERROR(__xludf.DUMMYFUNCTION("""COMPUTED_VALUE"""),0.9086)</f>
      </c>
      <c r="E852" s="11">
        <f>IFERROR(__xludf.DUMMYFUNCTION("""COMPUTED_VALUE"""),128.92)</f>
      </c>
      <c r="F852" s="10">
        <f>IFERROR(__xludf.DUMMYFUNCTION("""COMPUTED_VALUE"""),0.5533)</f>
      </c>
      <c r="G852" s="11">
        <f>IFERROR(__xludf.DUMMYFUNCTION("""COMPUTED_VALUE"""),413.58)</f>
      </c>
      <c r="H852" s="10">
        <f>IFERROR(__xludf.DUMMYFUNCTION("""COMPUTED_VALUE"""),0.2629)</f>
      </c>
      <c r="I852" s="11">
        <f>IFERROR(__xludf.DUMMYFUNCTION("""COMPUTED_VALUE"""),408.57)</f>
      </c>
      <c r="J852" s="10">
        <f>IFERROR(__xludf.DUMMYFUNCTION("""COMPUTED_VALUE"""),0.5261)</f>
      </c>
      <c r="K852" s="11">
        <f>IFERROR(__xludf.DUMMYFUNCTION("""COMPUTED_VALUE"""),235.61)</f>
      </c>
      <c r="L852" s="10">
        <f>IFERROR(__xludf.DUMMYFUNCTION("""COMPUTED_VALUE"""),0.3233)</f>
      </c>
      <c r="M852" s="11">
        <f>IFERROR(__xludf.DUMMYFUNCTION("""COMPUTED_VALUE"""),401.6)</f>
      </c>
      <c r="N852" s="10">
        <f>IFERROR(__xludf.DUMMYFUNCTION("""COMPUTED_VALUE"""),0.4009)</f>
      </c>
      <c r="O852" s="11">
        <f>IFERROR(__xludf.DUMMYFUNCTION("""COMPUTED_VALUE"""),458.43)</f>
      </c>
      <c r="P852" s="12"/>
      <c r="Q852" s="12"/>
      <c r="R852" s="15"/>
      <c r="S852" s="12"/>
      <c r="T852" s="12"/>
      <c r="U852" s="12"/>
      <c r="V852" s="12"/>
      <c r="W852" s="12"/>
      <c r="X852" s="12"/>
      <c r="Y852" s="12"/>
      <c r="Z852" s="12"/>
    </row>
    <row x14ac:dyDescent="0.25" r="853" customHeight="1" ht="15.75">
      <c r="A853" s="8">
        <f>IFERROR(__xludf.DUMMYFUNCTION("""COMPUTED_VALUE"""),25138.0)</f>
      </c>
      <c r="B853" s="9">
        <f>IFERROR(__xludf.DUMMYFUNCTION("""COMPUTED_VALUE"""),"NORTE FLUMINENSE")</f>
      </c>
      <c r="C853" s="9">
        <f>IFERROR(__xludf.DUMMYFUNCTION("""COMPUTED_VALUE"""),"CE GERAQUE COLET")</f>
      </c>
      <c r="D853" s="10">
        <f>IFERROR(__xludf.DUMMYFUNCTION("""COMPUTED_VALUE"""),1.0)</f>
      </c>
      <c r="E853" s="11">
        <f>IFERROR(__xludf.DUMMYFUNCTION("""COMPUTED_VALUE"""),379.56)</f>
      </c>
      <c r="F853" s="10">
        <f>IFERROR(__xludf.DUMMYFUNCTION("""COMPUTED_VALUE"""),0.8222)</f>
      </c>
      <c r="G853" s="11">
        <f>IFERROR(__xludf.DUMMYFUNCTION("""COMPUTED_VALUE"""),401.27)</f>
      </c>
      <c r="H853" s="10">
        <f>IFERROR(__xludf.DUMMYFUNCTION("""COMPUTED_VALUE"""),0.6491)</f>
      </c>
      <c r="I853" s="11">
        <f>IFERROR(__xludf.DUMMYFUNCTION("""COMPUTED_VALUE"""),458.38)</f>
      </c>
      <c r="J853" s="10">
        <f>IFERROR(__xludf.DUMMYFUNCTION("""COMPUTED_VALUE"""),0.6731)</f>
      </c>
      <c r="K853" s="11">
        <f>IFERROR(__xludf.DUMMYFUNCTION("""COMPUTED_VALUE"""),418.29)</f>
      </c>
      <c r="L853" s="10">
        <f>IFERROR(__xludf.DUMMYFUNCTION("""COMPUTED_VALUE"""),0.6491)</f>
      </c>
      <c r="M853" s="11">
        <f>IFERROR(__xludf.DUMMYFUNCTION("""COMPUTED_VALUE"""),480.0)</f>
      </c>
      <c r="N853" s="10">
        <f>IFERROR(__xludf.DUMMYFUNCTION("""COMPUTED_VALUE"""),0.6667)</f>
      </c>
      <c r="O853" s="11">
        <f>IFERROR(__xludf.DUMMYFUNCTION("""COMPUTED_VALUE"""),484.21)</f>
      </c>
      <c r="P853" s="12"/>
      <c r="Q853" s="12"/>
      <c r="R853" s="15"/>
      <c r="S853" s="12"/>
      <c r="T853" s="12"/>
      <c r="U853" s="12"/>
      <c r="V853" s="12"/>
      <c r="W853" s="12"/>
      <c r="X853" s="12"/>
      <c r="Y853" s="12"/>
      <c r="Z853" s="12"/>
    </row>
    <row x14ac:dyDescent="0.25" r="854" customHeight="1" ht="15.75">
      <c r="A854" s="8">
        <f>IFERROR(__xludf.DUMMYFUNCTION("""COMPUTED_VALUE"""),25118.0)</f>
      </c>
      <c r="B854" s="9">
        <f>IFERROR(__xludf.DUMMYFUNCTION("""COMPUTED_VALUE"""),"NORTE FLUMINENSE")</f>
      </c>
      <c r="C854" s="9">
        <f>IFERROR(__xludf.DUMMYFUNCTION("""COMPUTED_VALUE"""),"CE IRENE MEIRELLES")</f>
      </c>
      <c r="D854" s="10">
        <f>IFERROR(__xludf.DUMMYFUNCTION("""COMPUTED_VALUE"""),0.6484)</f>
      </c>
      <c r="E854" s="11">
        <f>IFERROR(__xludf.DUMMYFUNCTION("""COMPUTED_VALUE"""),293.21)</f>
      </c>
      <c r="F854" s="10">
        <f>IFERROR(__xludf.DUMMYFUNCTION("""COMPUTED_VALUE"""),0.6888)</f>
      </c>
      <c r="G854" s="11">
        <f>IFERROR(__xludf.DUMMYFUNCTION("""COMPUTED_VALUE"""),404.57)</f>
      </c>
      <c r="H854" s="10">
        <f>IFERROR(__xludf.DUMMYFUNCTION("""COMPUTED_VALUE"""),0.6566)</f>
      </c>
      <c r="I854" s="11">
        <f>IFERROR(__xludf.DUMMYFUNCTION("""COMPUTED_VALUE"""),425.54)</f>
      </c>
      <c r="J854" s="10">
        <f>IFERROR(__xludf.DUMMYFUNCTION("""COMPUTED_VALUE"""),0.5828)</f>
      </c>
      <c r="K854" s="11">
        <f>IFERROR(__xludf.DUMMYFUNCTION("""COMPUTED_VALUE"""),279.29)</f>
      </c>
      <c r="L854" s="10">
        <f>IFERROR(__xludf.DUMMYFUNCTION("""COMPUTED_VALUE"""),0.5055)</f>
      </c>
      <c r="M854" s="11">
        <f>IFERROR(__xludf.DUMMYFUNCTION("""COMPUTED_VALUE"""),"----")</f>
      </c>
      <c r="N854" s="10">
        <f>IFERROR(__xludf.DUMMYFUNCTION("""COMPUTED_VALUE"""),0.5082)</f>
      </c>
      <c r="O854" s="11">
        <f>IFERROR(__xludf.DUMMYFUNCTION("""COMPUTED_VALUE"""),403.02)</f>
      </c>
      <c r="P854" s="12"/>
      <c r="Q854" s="12"/>
      <c r="R854" s="15"/>
      <c r="S854" s="12"/>
      <c r="T854" s="12"/>
      <c r="U854" s="12"/>
      <c r="V854" s="12"/>
      <c r="W854" s="12"/>
      <c r="X854" s="12"/>
      <c r="Y854" s="12"/>
      <c r="Z854" s="12"/>
    </row>
    <row x14ac:dyDescent="0.25" r="855" customHeight="1" ht="15.75">
      <c r="A855" s="8">
        <f>IFERROR(__xludf.DUMMYFUNCTION("""COMPUTED_VALUE"""),25131.0)</f>
      </c>
      <c r="B855" s="9">
        <f>IFERROR(__xludf.DUMMYFUNCTION("""COMPUTED_VALUE"""),"NORTE FLUMINENSE")</f>
      </c>
      <c r="C855" s="9">
        <f>IFERROR(__xludf.DUMMYFUNCTION("""COMPUTED_VALUE"""),"CE JACINTHO XAVIER MARTINS")</f>
      </c>
      <c r="D855" s="10">
        <f>IFERROR(__xludf.DUMMYFUNCTION("""COMPUTED_VALUE"""),0.0224)</f>
      </c>
      <c r="E855" s="11">
        <f>IFERROR(__xludf.DUMMYFUNCTION("""COMPUTED_VALUE"""),126.15)</f>
      </c>
      <c r="F855" s="10">
        <f>IFERROR(__xludf.DUMMYFUNCTION("""COMPUTED_VALUE"""),0.0052)</f>
      </c>
      <c r="G855" s="11">
        <f>IFERROR(__xludf.DUMMYFUNCTION("""COMPUTED_VALUE"""),346.67)</f>
      </c>
      <c r="H855" s="10">
        <f>IFERROR(__xludf.DUMMYFUNCTION("""COMPUTED_VALUE"""),0.006)</f>
      </c>
      <c r="I855" s="11">
        <f>IFERROR(__xludf.DUMMYFUNCTION("""COMPUTED_VALUE"""),491.43)</f>
      </c>
      <c r="J855" s="10">
        <f>IFERROR(__xludf.DUMMYFUNCTION("""COMPUTED_VALUE"""),0.0103)</f>
      </c>
      <c r="K855" s="11">
        <f>IFERROR(__xludf.DUMMYFUNCTION("""COMPUTED_VALUE"""),341.82)</f>
      </c>
      <c r="L855" s="10">
        <f>IFERROR(__xludf.DUMMYFUNCTION("""COMPUTED_VALUE"""),0.0095)</f>
      </c>
      <c r="M855" s="11">
        <f>IFERROR(__xludf.DUMMYFUNCTION("""COMPUTED_VALUE"""),530.91)</f>
      </c>
      <c r="N855" s="10">
        <f>IFERROR(__xludf.DUMMYFUNCTION("""COMPUTED_VALUE"""),0.0121)</f>
      </c>
      <c r="O855" s="11">
        <f>IFERROR(__xludf.DUMMYFUNCTION("""COMPUTED_VALUE"""),348.57)</f>
      </c>
      <c r="P855" s="12"/>
      <c r="Q855" s="12"/>
      <c r="R855" s="15"/>
      <c r="S855" s="12"/>
      <c r="T855" s="12"/>
      <c r="U855" s="12"/>
      <c r="V855" s="12"/>
      <c r="W855" s="12"/>
      <c r="X855" s="12"/>
      <c r="Y855" s="12"/>
      <c r="Z855" s="12"/>
    </row>
    <row x14ac:dyDescent="0.25" r="856" customHeight="1" ht="15.75">
      <c r="A856" s="8">
        <f>IFERROR(__xludf.DUMMYFUNCTION("""COMPUTED_VALUE"""),25154.0)</f>
      </c>
      <c r="B856" s="9">
        <f>IFERROR(__xludf.DUMMYFUNCTION("""COMPUTED_VALUE"""),"NORTE FLUMINENSE")</f>
      </c>
      <c r="C856" s="9">
        <f>IFERROR(__xludf.DUMMYFUNCTION("""COMPUTED_VALUE"""),"CE JOÃO COELHO DA SILVA")</f>
      </c>
      <c r="D856" s="10">
        <f>IFERROR(__xludf.DUMMYFUNCTION("""COMPUTED_VALUE"""),1.0)</f>
      </c>
      <c r="E856" s="11">
        <f>IFERROR(__xludf.DUMMYFUNCTION("""COMPUTED_VALUE"""),276.4)</f>
      </c>
      <c r="F856" s="10">
        <f>IFERROR(__xludf.DUMMYFUNCTION("""COMPUTED_VALUE"""),1.0)</f>
      </c>
      <c r="G856" s="11">
        <f>IFERROR(__xludf.DUMMYFUNCTION("""COMPUTED_VALUE"""),351.52)</f>
      </c>
      <c r="H856" s="10">
        <f>IFERROR(__xludf.DUMMYFUNCTION("""COMPUTED_VALUE"""),1.0)</f>
      </c>
      <c r="I856" s="11">
        <f>IFERROR(__xludf.DUMMYFUNCTION("""COMPUTED_VALUE"""),359.6)</f>
      </c>
      <c r="J856" s="10">
        <f>IFERROR(__xludf.DUMMYFUNCTION("""COMPUTED_VALUE"""),1.0)</f>
      </c>
      <c r="K856" s="11">
        <f>IFERROR(__xludf.DUMMYFUNCTION("""COMPUTED_VALUE"""),304.4)</f>
      </c>
      <c r="L856" s="10">
        <f>IFERROR(__xludf.DUMMYFUNCTION("""COMPUTED_VALUE"""),1.0)</f>
      </c>
      <c r="M856" s="11">
        <f>IFERROR(__xludf.DUMMYFUNCTION("""COMPUTED_VALUE"""),324.85)</f>
      </c>
      <c r="N856" s="10">
        <f>IFERROR(__xludf.DUMMYFUNCTION("""COMPUTED_VALUE"""),1.0)</f>
      </c>
      <c r="O856" s="11">
        <f>IFERROR(__xludf.DUMMYFUNCTION("""COMPUTED_VALUE"""),335.2)</f>
      </c>
      <c r="P856" s="12"/>
      <c r="Q856" s="12"/>
      <c r="R856" s="15"/>
      <c r="S856" s="12"/>
      <c r="T856" s="12"/>
      <c r="U856" s="12"/>
      <c r="V856" s="12"/>
      <c r="W856" s="12"/>
      <c r="X856" s="12"/>
      <c r="Y856" s="12"/>
      <c r="Z856" s="12"/>
    </row>
    <row x14ac:dyDescent="0.25" r="857" customHeight="1" ht="15.75">
      <c r="A857" s="8">
        <f>IFERROR(__xludf.DUMMYFUNCTION("""COMPUTED_VALUE"""),25080.0)</f>
      </c>
      <c r="B857" s="9">
        <f>IFERROR(__xludf.DUMMYFUNCTION("""COMPUTED_VALUE"""),"NORTE FLUMINENSE")</f>
      </c>
      <c r="C857" s="9">
        <f>IFERROR(__xludf.DUMMYFUNCTION("""COMPUTED_VALUE"""),"CE JOAO PESSOA")</f>
      </c>
      <c r="D857" s="10">
        <f>IFERROR(__xludf.DUMMYFUNCTION("""COMPUTED_VALUE"""),0.9148)</f>
      </c>
      <c r="E857" s="11">
        <f>IFERROR(__xludf.DUMMYFUNCTION("""COMPUTED_VALUE"""),284.18)</f>
      </c>
      <c r="F857" s="10">
        <f>IFERROR(__xludf.DUMMYFUNCTION("""COMPUTED_VALUE"""),0.7386)</f>
      </c>
      <c r="G857" s="11">
        <f>IFERROR(__xludf.DUMMYFUNCTION("""COMPUTED_VALUE"""),419.24)</f>
      </c>
      <c r="H857" s="10">
        <f>IFERROR(__xludf.DUMMYFUNCTION("""COMPUTED_VALUE"""),0.7453)</f>
      </c>
      <c r="I857" s="11">
        <f>IFERROR(__xludf.DUMMYFUNCTION("""COMPUTED_VALUE"""),458.97)</f>
      </c>
      <c r="J857" s="10">
        <f>IFERROR(__xludf.DUMMYFUNCTION("""COMPUTED_VALUE"""),0.5087)</f>
      </c>
      <c r="K857" s="11">
        <f>IFERROR(__xludf.DUMMYFUNCTION("""COMPUTED_VALUE"""),291.88)</f>
      </c>
      <c r="L857" s="10">
        <f>IFERROR(__xludf.DUMMYFUNCTION("""COMPUTED_VALUE"""),0.5657)</f>
      </c>
      <c r="M857" s="11">
        <f>IFERROR(__xludf.DUMMYFUNCTION("""COMPUTED_VALUE"""),"----")</f>
      </c>
      <c r="N857" s="10">
        <f>IFERROR(__xludf.DUMMYFUNCTION("""COMPUTED_VALUE"""),0.5362)</f>
      </c>
      <c r="O857" s="11">
        <f>IFERROR(__xludf.DUMMYFUNCTION("""COMPUTED_VALUE"""),"----")</f>
      </c>
      <c r="P857" s="12"/>
      <c r="Q857" s="12"/>
      <c r="R857" s="15"/>
      <c r="S857" s="12"/>
      <c r="T857" s="12"/>
      <c r="U857" s="12"/>
      <c r="V857" s="12"/>
      <c r="W857" s="12"/>
      <c r="X857" s="12"/>
      <c r="Y857" s="12"/>
      <c r="Z857" s="12"/>
    </row>
    <row x14ac:dyDescent="0.25" r="858" customHeight="1" ht="15.75">
      <c r="A858" s="8">
        <f>IFERROR(__xludf.DUMMYFUNCTION("""COMPUTED_VALUE"""),25145.0)</f>
      </c>
      <c r="B858" s="9">
        <f>IFERROR(__xludf.DUMMYFUNCTION("""COMPUTED_VALUE"""),"NORTE FLUMINENSE")</f>
      </c>
      <c r="C858" s="9">
        <f>IFERROR(__xludf.DUMMYFUNCTION("""COMPUTED_VALUE"""),"CE JOAQUIM GOMES CRESPO")</f>
      </c>
      <c r="D858" s="10">
        <f>IFERROR(__xludf.DUMMYFUNCTION("""COMPUTED_VALUE"""),1.0)</f>
      </c>
      <c r="E858" s="11">
        <f>IFERROR(__xludf.DUMMYFUNCTION("""COMPUTED_VALUE"""),233.72)</f>
      </c>
      <c r="F858" s="10">
        <f>IFERROR(__xludf.DUMMYFUNCTION("""COMPUTED_VALUE"""),1.0)</f>
      </c>
      <c r="G858" s="11">
        <f>IFERROR(__xludf.DUMMYFUNCTION("""COMPUTED_VALUE"""),321.22)</f>
      </c>
      <c r="H858" s="10">
        <f>IFERROR(__xludf.DUMMYFUNCTION("""COMPUTED_VALUE"""),1.0)</f>
      </c>
      <c r="I858" s="11">
        <f>IFERROR(__xludf.DUMMYFUNCTION("""COMPUTED_VALUE"""),278.12)</f>
      </c>
      <c r="J858" s="10">
        <f>IFERROR(__xludf.DUMMYFUNCTION("""COMPUTED_VALUE"""),0.8889)</f>
      </c>
      <c r="K858" s="11">
        <f>IFERROR(__xludf.DUMMYFUNCTION("""COMPUTED_VALUE"""),325.84)</f>
      </c>
      <c r="L858" s="10">
        <f>IFERROR(__xludf.DUMMYFUNCTION("""COMPUTED_VALUE"""),1.0)</f>
      </c>
      <c r="M858" s="11">
        <f>IFERROR(__xludf.DUMMYFUNCTION("""COMPUTED_VALUE"""),296.25)</f>
      </c>
      <c r="N858" s="10">
        <f>IFERROR(__xludf.DUMMYFUNCTION("""COMPUTED_VALUE"""),0.9688)</f>
      </c>
      <c r="O858" s="11">
        <f>IFERROR(__xludf.DUMMYFUNCTION("""COMPUTED_VALUE"""),372.25)</f>
      </c>
      <c r="P858" s="12"/>
      <c r="Q858" s="12"/>
      <c r="R858" s="15"/>
      <c r="S858" s="12"/>
      <c r="T858" s="12"/>
      <c r="U858" s="12"/>
      <c r="V858" s="12"/>
      <c r="W858" s="12"/>
      <c r="X858" s="12"/>
      <c r="Y858" s="12"/>
      <c r="Z858" s="12"/>
    </row>
    <row x14ac:dyDescent="0.25" r="859" customHeight="1" ht="15.75">
      <c r="A859" s="8">
        <f>IFERROR(__xludf.DUMMYFUNCTION("""COMPUTED_VALUE"""),25119.0)</f>
      </c>
      <c r="B859" s="9">
        <f>IFERROR(__xludf.DUMMYFUNCTION("""COMPUTED_VALUE"""),"NORTE FLUMINENSE")</f>
      </c>
      <c r="C859" s="9">
        <f>IFERROR(__xludf.DUMMYFUNCTION("""COMPUTED_VALUE"""),"CE JORNALISTA ALVARO BASTOS")</f>
      </c>
      <c r="D859" s="10">
        <f>IFERROR(__xludf.DUMMYFUNCTION("""COMPUTED_VALUE"""),0.6554)</f>
      </c>
      <c r="E859" s="11">
        <f>IFERROR(__xludf.DUMMYFUNCTION("""COMPUTED_VALUE"""),270.43)</f>
      </c>
      <c r="F859" s="10">
        <f>IFERROR(__xludf.DUMMYFUNCTION("""COMPUTED_VALUE"""),0.5094)</f>
      </c>
      <c r="G859" s="11">
        <f>IFERROR(__xludf.DUMMYFUNCTION("""COMPUTED_VALUE"""),"----")</f>
      </c>
      <c r="H859" s="10">
        <f>IFERROR(__xludf.DUMMYFUNCTION("""COMPUTED_VALUE"""),0.4736)</f>
      </c>
      <c r="I859" s="11">
        <f>IFERROR(__xludf.DUMMYFUNCTION("""COMPUTED_VALUE"""),377.39)</f>
      </c>
      <c r="J859" s="10">
        <f>IFERROR(__xludf.DUMMYFUNCTION("""COMPUTED_VALUE"""),0.2686)</f>
      </c>
      <c r="K859" s="11">
        <f>IFERROR(__xludf.DUMMYFUNCTION("""COMPUTED_VALUE"""),285.15)</f>
      </c>
      <c r="L859" s="10">
        <f>IFERROR(__xludf.DUMMYFUNCTION("""COMPUTED_VALUE"""),0.4827)</f>
      </c>
      <c r="M859" s="11">
        <f>IFERROR(__xludf.DUMMYFUNCTION("""COMPUTED_VALUE"""),"----")</f>
      </c>
      <c r="N859" s="10">
        <f>IFERROR(__xludf.DUMMYFUNCTION("""COMPUTED_VALUE"""),0.4171)</f>
      </c>
      <c r="O859" s="11">
        <f>IFERROR(__xludf.DUMMYFUNCTION("""COMPUTED_VALUE"""),"----")</f>
      </c>
      <c r="P859" s="12"/>
      <c r="Q859" s="12"/>
      <c r="R859" s="15"/>
      <c r="S859" s="12"/>
      <c r="T859" s="12"/>
      <c r="U859" s="12"/>
      <c r="V859" s="12"/>
      <c r="W859" s="12"/>
      <c r="X859" s="12"/>
      <c r="Y859" s="12"/>
      <c r="Z859" s="12"/>
    </row>
    <row x14ac:dyDescent="0.25" r="860" customHeight="1" ht="15.75">
      <c r="A860" s="8">
        <f>IFERROR(__xludf.DUMMYFUNCTION("""COMPUTED_VALUE"""),25081.0)</f>
      </c>
      <c r="B860" s="9">
        <f>IFERROR(__xludf.DUMMYFUNCTION("""COMPUTED_VALUE"""),"NORTE FLUMINENSE")</f>
      </c>
      <c r="C860" s="9">
        <f>IFERROR(__xludf.DUMMYFUNCTION("""COMPUTED_VALUE"""),"CE JOSE DO PATROCINIO")</f>
      </c>
      <c r="D860" s="10">
        <f>IFERROR(__xludf.DUMMYFUNCTION("""COMPUTED_VALUE"""),0.7304)</f>
      </c>
      <c r="E860" s="11">
        <f>IFERROR(__xludf.DUMMYFUNCTION("""COMPUTED_VALUE"""),300.86)</f>
      </c>
      <c r="F860" s="10">
        <f>IFERROR(__xludf.DUMMYFUNCTION("""COMPUTED_VALUE"""),0.652)</f>
      </c>
      <c r="G860" s="11">
        <f>IFERROR(__xludf.DUMMYFUNCTION("""COMPUTED_VALUE"""),446.84)</f>
      </c>
      <c r="H860" s="10">
        <f>IFERROR(__xludf.DUMMYFUNCTION("""COMPUTED_VALUE"""),0.4973)</f>
      </c>
      <c r="I860" s="11">
        <f>IFERROR(__xludf.DUMMYFUNCTION("""COMPUTED_VALUE"""),494.01)</f>
      </c>
      <c r="J860" s="10">
        <f>IFERROR(__xludf.DUMMYFUNCTION("""COMPUTED_VALUE"""),0.5571)</f>
      </c>
      <c r="K860" s="11">
        <f>IFERROR(__xludf.DUMMYFUNCTION("""COMPUTED_VALUE"""),299.74)</f>
      </c>
      <c r="L860" s="10">
        <f>IFERROR(__xludf.DUMMYFUNCTION("""COMPUTED_VALUE"""),0.4574)</f>
      </c>
      <c r="M860" s="11">
        <f>IFERROR(__xludf.DUMMYFUNCTION("""COMPUTED_VALUE"""),"----")</f>
      </c>
      <c r="N860" s="10">
        <f>IFERROR(__xludf.DUMMYFUNCTION("""COMPUTED_VALUE"""),0.5027)</f>
      </c>
      <c r="O860" s="11">
        <f>IFERROR(__xludf.DUMMYFUNCTION("""COMPUTED_VALUE"""),562.27)</f>
      </c>
      <c r="P860" s="12"/>
      <c r="Q860" s="12"/>
      <c r="R860" s="15"/>
      <c r="S860" s="12"/>
      <c r="T860" s="12"/>
      <c r="U860" s="12"/>
      <c r="V860" s="12"/>
      <c r="W860" s="12"/>
      <c r="X860" s="12"/>
      <c r="Y860" s="12"/>
      <c r="Z860" s="12"/>
    </row>
    <row x14ac:dyDescent="0.25" r="861" customHeight="1" ht="15.75">
      <c r="A861" s="8">
        <f>IFERROR(__xludf.DUMMYFUNCTION("""COMPUTED_VALUE"""),25082.0)</f>
      </c>
      <c r="B861" s="9">
        <f>IFERROR(__xludf.DUMMYFUNCTION("""COMPUTED_VALUE"""),"NORTE FLUMINENSE")</f>
      </c>
      <c r="C861" s="9">
        <f>IFERROR(__xludf.DUMMYFUNCTION("""COMPUTED_VALUE"""),"CE JOSE FRANCISCO SALES")</f>
      </c>
      <c r="D861" s="10">
        <f>IFERROR(__xludf.DUMMYFUNCTION("""COMPUTED_VALUE"""),0.9412)</f>
      </c>
      <c r="E861" s="11">
        <f>IFERROR(__xludf.DUMMYFUNCTION("""COMPUTED_VALUE"""),123.71)</f>
      </c>
      <c r="F861" s="10">
        <f>IFERROR(__xludf.DUMMYFUNCTION("""COMPUTED_VALUE"""),0.9638)</f>
      </c>
      <c r="G861" s="11">
        <f>IFERROR(__xludf.DUMMYFUNCTION("""COMPUTED_VALUE"""),226.54)</f>
      </c>
      <c r="H861" s="10">
        <f>IFERROR(__xludf.DUMMYFUNCTION("""COMPUTED_VALUE"""),0.5328)</f>
      </c>
      <c r="I861" s="11">
        <f>IFERROR(__xludf.DUMMYFUNCTION("""COMPUTED_VALUE"""),417.05)</f>
      </c>
      <c r="J861" s="10">
        <f>IFERROR(__xludf.DUMMYFUNCTION("""COMPUTED_VALUE"""),0.5721)</f>
      </c>
      <c r="K861" s="11">
        <f>IFERROR(__xludf.DUMMYFUNCTION("""COMPUTED_VALUE"""),275.06)</f>
      </c>
      <c r="L861" s="10">
        <f>IFERROR(__xludf.DUMMYFUNCTION("""COMPUTED_VALUE"""),0.5984)</f>
      </c>
      <c r="M861" s="11">
        <f>IFERROR(__xludf.DUMMYFUNCTION("""COMPUTED_VALUE"""),365.06)</f>
      </c>
      <c r="N861" s="10">
        <f>IFERROR(__xludf.DUMMYFUNCTION("""COMPUTED_VALUE"""),0.0041)</f>
      </c>
      <c r="O861" s="11">
        <f>IFERROR(__xludf.DUMMYFUNCTION("""COMPUTED_VALUE"""),"----")</f>
      </c>
      <c r="P861" s="12"/>
      <c r="Q861" s="12"/>
      <c r="R861" s="15"/>
      <c r="S861" s="12"/>
      <c r="T861" s="12"/>
      <c r="U861" s="12"/>
      <c r="V861" s="12"/>
      <c r="W861" s="12"/>
      <c r="X861" s="12"/>
      <c r="Y861" s="12"/>
      <c r="Z861" s="12"/>
    </row>
    <row x14ac:dyDescent="0.25" r="862" customHeight="1" ht="15.75">
      <c r="A862" s="8">
        <f>IFERROR(__xludf.DUMMYFUNCTION("""COMPUTED_VALUE"""),25083.0)</f>
      </c>
      <c r="B862" s="9">
        <f>IFERROR(__xludf.DUMMYFUNCTION("""COMPUTED_VALUE"""),"NORTE FLUMINENSE")</f>
      </c>
      <c r="C862" s="9">
        <f>IFERROR(__xludf.DUMMYFUNCTION("""COMPUTED_VALUE"""),"CE JULIAO NOGUEIRA")</f>
      </c>
      <c r="D862" s="10">
        <f>IFERROR(__xludf.DUMMYFUNCTION("""COMPUTED_VALUE"""),0.8492)</f>
      </c>
      <c r="E862" s="11">
        <f>IFERROR(__xludf.DUMMYFUNCTION("""COMPUTED_VALUE"""),260.56)</f>
      </c>
      <c r="F862" s="10">
        <f>IFERROR(__xludf.DUMMYFUNCTION("""COMPUTED_VALUE"""),0.9524)</f>
      </c>
      <c r="G862" s="11">
        <f>IFERROR(__xludf.DUMMYFUNCTION("""COMPUTED_VALUE"""),279.3)</f>
      </c>
      <c r="H862" s="10">
        <f>IFERROR(__xludf.DUMMYFUNCTION("""COMPUTED_VALUE"""),0.754)</f>
      </c>
      <c r="I862" s="11">
        <f>IFERROR(__xludf.DUMMYFUNCTION("""COMPUTED_VALUE"""),487.83)</f>
      </c>
      <c r="J862" s="10">
        <f>IFERROR(__xludf.DUMMYFUNCTION("""COMPUTED_VALUE"""),0.5952)</f>
      </c>
      <c r="K862" s="11">
        <f>IFERROR(__xludf.DUMMYFUNCTION("""COMPUTED_VALUE"""),395.0)</f>
      </c>
      <c r="L862" s="10">
        <f>IFERROR(__xludf.DUMMYFUNCTION("""COMPUTED_VALUE"""),0.5714)</f>
      </c>
      <c r="M862" s="11">
        <f>IFERROR(__xludf.DUMMYFUNCTION("""COMPUTED_VALUE"""),402.82)</f>
      </c>
      <c r="N862" s="10">
        <f>IFERROR(__xludf.DUMMYFUNCTION("""COMPUTED_VALUE"""),0.6429)</f>
      </c>
      <c r="O862" s="11">
        <f>IFERROR(__xludf.DUMMYFUNCTION("""COMPUTED_VALUE"""),446.0)</f>
      </c>
      <c r="P862" s="12"/>
      <c r="Q862" s="12"/>
      <c r="R862" s="15"/>
      <c r="S862" s="12"/>
      <c r="T862" s="12"/>
      <c r="U862" s="12"/>
      <c r="V862" s="12"/>
      <c r="W862" s="12"/>
      <c r="X862" s="12"/>
      <c r="Y862" s="12"/>
      <c r="Z862" s="12"/>
    </row>
    <row x14ac:dyDescent="0.25" r="863" customHeight="1" ht="15.75">
      <c r="A863" s="8">
        <f>IFERROR(__xludf.DUMMYFUNCTION("""COMPUTED_VALUE"""),25084.0)</f>
      </c>
      <c r="B863" s="9">
        <f>IFERROR(__xludf.DUMMYFUNCTION("""COMPUTED_VALUE"""),"NORTE FLUMINENSE")</f>
      </c>
      <c r="C863" s="9">
        <f>IFERROR(__xludf.DUMMYFUNCTION("""COMPUTED_VALUE"""),"CE LEONCIO PEREIRA GOMES")</f>
      </c>
      <c r="D863" s="10">
        <f>IFERROR(__xludf.DUMMYFUNCTION("""COMPUTED_VALUE"""),0.9906)</f>
      </c>
      <c r="E863" s="11">
        <f>IFERROR(__xludf.DUMMYFUNCTION("""COMPUTED_VALUE"""),291.81)</f>
      </c>
      <c r="F863" s="10">
        <f>IFERROR(__xludf.DUMMYFUNCTION("""COMPUTED_VALUE"""),0.9906)</f>
      </c>
      <c r="G863" s="11">
        <f>IFERROR(__xludf.DUMMYFUNCTION("""COMPUTED_VALUE"""),317.33)</f>
      </c>
      <c r="H863" s="10">
        <f>IFERROR(__xludf.DUMMYFUNCTION("""COMPUTED_VALUE"""),0.811)</f>
      </c>
      <c r="I863" s="11">
        <f>IFERROR(__xludf.DUMMYFUNCTION("""COMPUTED_VALUE"""),327.93)</f>
      </c>
      <c r="J863" s="10">
        <f>IFERROR(__xludf.DUMMYFUNCTION("""COMPUTED_VALUE"""),1.0)</f>
      </c>
      <c r="K863" s="11">
        <f>IFERROR(__xludf.DUMMYFUNCTION("""COMPUTED_VALUE"""),300.62)</f>
      </c>
      <c r="L863" s="10">
        <f>IFERROR(__xludf.DUMMYFUNCTION("""COMPUTED_VALUE"""),0.8661)</f>
      </c>
      <c r="M863" s="11">
        <f>IFERROR(__xludf.DUMMYFUNCTION("""COMPUTED_VALUE"""),346.86)</f>
      </c>
      <c r="N863" s="10">
        <f>IFERROR(__xludf.DUMMYFUNCTION("""COMPUTED_VALUE"""),0.8583)</f>
      </c>
      <c r="O863" s="11">
        <f>IFERROR(__xludf.DUMMYFUNCTION("""COMPUTED_VALUE"""),339.71)</f>
      </c>
      <c r="P863" s="12"/>
      <c r="Q863" s="12"/>
      <c r="R863" s="15"/>
      <c r="S863" s="12"/>
      <c r="T863" s="12"/>
      <c r="U863" s="12"/>
      <c r="V863" s="12"/>
      <c r="W863" s="12"/>
      <c r="X863" s="12"/>
      <c r="Y863" s="12"/>
      <c r="Z863" s="12"/>
    </row>
    <row x14ac:dyDescent="0.25" r="864" customHeight="1" ht="15.75">
      <c r="A864" s="8">
        <f>IFERROR(__xludf.DUMMYFUNCTION("""COMPUTED_VALUE"""),25120.0)</f>
      </c>
      <c r="B864" s="9">
        <f>IFERROR(__xludf.DUMMYFUNCTION("""COMPUTED_VALUE"""),"NORTE FLUMINENSE")</f>
      </c>
      <c r="C864" s="9">
        <f>IFERROR(__xludf.DUMMYFUNCTION("""COMPUTED_VALUE"""),"CE LUIZ REID")</f>
      </c>
      <c r="D864" s="10">
        <f>IFERROR(__xludf.DUMMYFUNCTION("""COMPUTED_VALUE"""),0.5782)</f>
      </c>
      <c r="E864" s="11">
        <f>IFERROR(__xludf.DUMMYFUNCTION("""COMPUTED_VALUE"""),271.89)</f>
      </c>
      <c r="F864" s="10">
        <f>IFERROR(__xludf.DUMMYFUNCTION("""COMPUTED_VALUE"""),0.617)</f>
      </c>
      <c r="G864" s="11">
        <f>IFERROR(__xludf.DUMMYFUNCTION("""COMPUTED_VALUE"""),446.37)</f>
      </c>
      <c r="H864" s="10">
        <f>IFERROR(__xludf.DUMMYFUNCTION("""COMPUTED_VALUE"""),0.6111)</f>
      </c>
      <c r="I864" s="11">
        <f>IFERROR(__xludf.DUMMYFUNCTION("""COMPUTED_VALUE"""),476.84)</f>
      </c>
      <c r="J864" s="10">
        <f>IFERROR(__xludf.DUMMYFUNCTION("""COMPUTED_VALUE"""),0.3333)</f>
      </c>
      <c r="K864" s="11">
        <f>IFERROR(__xludf.DUMMYFUNCTION("""COMPUTED_VALUE"""),329.11)</f>
      </c>
      <c r="L864" s="10">
        <f>IFERROR(__xludf.DUMMYFUNCTION("""COMPUTED_VALUE"""),0.5856)</f>
      </c>
      <c r="M864" s="11">
        <f>IFERROR(__xludf.DUMMYFUNCTION("""COMPUTED_VALUE"""),501.95)</f>
      </c>
      <c r="N864" s="10">
        <f>IFERROR(__xludf.DUMMYFUNCTION("""COMPUTED_VALUE"""),0.5532)</f>
      </c>
      <c r="O864" s="11">
        <f>IFERROR(__xludf.DUMMYFUNCTION("""COMPUTED_VALUE"""),494.48)</f>
      </c>
      <c r="P864" s="12"/>
      <c r="Q864" s="12"/>
      <c r="R864" s="15"/>
      <c r="S864" s="12"/>
      <c r="T864" s="12"/>
      <c r="U864" s="12"/>
      <c r="V864" s="12"/>
      <c r="W864" s="12"/>
      <c r="X864" s="12"/>
      <c r="Y864" s="12"/>
      <c r="Z864" s="12"/>
    </row>
    <row x14ac:dyDescent="0.25" r="865" customHeight="1" ht="15.75">
      <c r="A865" s="8">
        <f>IFERROR(__xludf.DUMMYFUNCTION("""COMPUTED_VALUE"""),25085.0)</f>
      </c>
      <c r="B865" s="9">
        <f>IFERROR(__xludf.DUMMYFUNCTION("""COMPUTED_VALUE"""),"NORTE FLUMINENSE")</f>
      </c>
      <c r="C865" s="9">
        <f>IFERROR(__xludf.DUMMYFUNCTION("""COMPUTED_VALUE"""),"CE MANOEL PEREIRA GONCALVES")</f>
      </c>
      <c r="D865" s="10">
        <f>IFERROR(__xludf.DUMMYFUNCTION("""COMPUTED_VALUE"""),0.9709)</f>
      </c>
      <c r="E865" s="11">
        <f>IFERROR(__xludf.DUMMYFUNCTION("""COMPUTED_VALUE"""),226.83)</f>
      </c>
      <c r="F865" s="10">
        <f>IFERROR(__xludf.DUMMYFUNCTION("""COMPUTED_VALUE"""),0.9942)</f>
      </c>
      <c r="G865" s="11">
        <f>IFERROR(__xludf.DUMMYFUNCTION("""COMPUTED_VALUE"""),322.29)</f>
      </c>
      <c r="H865" s="10">
        <f>IFERROR(__xludf.DUMMYFUNCTION("""COMPUTED_VALUE"""),0.8125)</f>
      </c>
      <c r="I865" s="11">
        <f>IFERROR(__xludf.DUMMYFUNCTION("""COMPUTED_VALUE"""),330.0)</f>
      </c>
      <c r="J865" s="10">
        <f>IFERROR(__xludf.DUMMYFUNCTION("""COMPUTED_VALUE"""),0.7895)</f>
      </c>
      <c r="K865" s="11">
        <f>IFERROR(__xludf.DUMMYFUNCTION("""COMPUTED_VALUE"""),307.77)</f>
      </c>
      <c r="L865" s="10">
        <f>IFERROR(__xludf.DUMMYFUNCTION("""COMPUTED_VALUE"""),0.9323)</f>
      </c>
      <c r="M865" s="11">
        <f>IFERROR(__xludf.DUMMYFUNCTION("""COMPUTED_VALUE"""),256.76)</f>
      </c>
      <c r="N865" s="10">
        <f>IFERROR(__xludf.DUMMYFUNCTION("""COMPUTED_VALUE"""),0.8438)</f>
      </c>
      <c r="O865" s="11">
        <f>IFERROR(__xludf.DUMMYFUNCTION("""COMPUTED_VALUE"""),265.93)</f>
      </c>
      <c r="P865" s="12"/>
      <c r="Q865" s="12"/>
      <c r="R865" s="15"/>
      <c r="S865" s="12"/>
      <c r="T865" s="12"/>
      <c r="U865" s="12"/>
      <c r="V865" s="12"/>
      <c r="W865" s="12"/>
      <c r="X865" s="12"/>
      <c r="Y865" s="12"/>
      <c r="Z865" s="12"/>
    </row>
    <row x14ac:dyDescent="0.25" r="866" customHeight="1" ht="15.75">
      <c r="A866" s="8">
        <f>IFERROR(__xludf.DUMMYFUNCTION("""COMPUTED_VALUE"""),25086.0)</f>
      </c>
      <c r="B866" s="9">
        <f>IFERROR(__xludf.DUMMYFUNCTION("""COMPUTED_VALUE"""),"NORTE FLUMINENSE")</f>
      </c>
      <c r="C866" s="9">
        <f>IFERROR(__xludf.DUMMYFUNCTION("""COMPUTED_VALUE"""),"CE MARIA ISABEL RANGEL DE ARAUJO")</f>
      </c>
      <c r="D866" s="10">
        <f>IFERROR(__xludf.DUMMYFUNCTION("""COMPUTED_VALUE"""),0.9535)</f>
      </c>
      <c r="E866" s="11">
        <f>IFERROR(__xludf.DUMMYFUNCTION("""COMPUTED_VALUE"""),187.43)</f>
      </c>
      <c r="F866" s="10">
        <f>IFERROR(__xludf.DUMMYFUNCTION("""COMPUTED_VALUE"""),0.7209)</f>
      </c>
      <c r="G866" s="11">
        <f>IFERROR(__xludf.DUMMYFUNCTION("""COMPUTED_VALUE"""),317.42)</f>
      </c>
      <c r="H866" s="10">
        <f>IFERROR(__xludf.DUMMYFUNCTION("""COMPUTED_VALUE"""),0.4884)</f>
      </c>
      <c r="I866" s="11">
        <f>IFERROR(__xludf.DUMMYFUNCTION("""COMPUTED_VALUE"""),415.24)</f>
      </c>
      <c r="J866" s="10">
        <f>IFERROR(__xludf.DUMMYFUNCTION("""COMPUTED_VALUE"""),0.4884)</f>
      </c>
      <c r="K866" s="11">
        <f>IFERROR(__xludf.DUMMYFUNCTION("""COMPUTED_VALUE"""),316.36)</f>
      </c>
      <c r="L866" s="10">
        <f>IFERROR(__xludf.DUMMYFUNCTION("""COMPUTED_VALUE"""),0.6512)</f>
      </c>
      <c r="M866" s="11">
        <f>IFERROR(__xludf.DUMMYFUNCTION("""COMPUTED_VALUE"""),498.57)</f>
      </c>
      <c r="N866" s="10">
        <f>IFERROR(__xludf.DUMMYFUNCTION("""COMPUTED_VALUE"""),0.5116)</f>
      </c>
      <c r="O866" s="11">
        <f>IFERROR(__xludf.DUMMYFUNCTION("""COMPUTED_VALUE"""),432.73)</f>
      </c>
      <c r="P866" s="12"/>
      <c r="Q866" s="12"/>
      <c r="R866" s="15"/>
      <c r="S866" s="12"/>
      <c r="T866" s="12"/>
      <c r="U866" s="12"/>
      <c r="V866" s="12"/>
      <c r="W866" s="12"/>
      <c r="X866" s="12"/>
      <c r="Y866" s="12"/>
      <c r="Z866" s="12"/>
    </row>
    <row x14ac:dyDescent="0.25" r="867" customHeight="1" ht="15.75">
      <c r="A867" s="8">
        <f>IFERROR(__xludf.DUMMYFUNCTION("""COMPUTED_VALUE"""),25121.0)</f>
      </c>
      <c r="B867" s="9">
        <f>IFERROR(__xludf.DUMMYFUNCTION("""COMPUTED_VALUE"""),"NORTE FLUMINENSE")</f>
      </c>
      <c r="C867" s="9">
        <f>IFERROR(__xludf.DUMMYFUNCTION("""COMPUTED_VALUE"""),"CE MATIAS NETO")</f>
      </c>
      <c r="D867" s="10">
        <f>IFERROR(__xludf.DUMMYFUNCTION("""COMPUTED_VALUE"""),0.7105)</f>
      </c>
      <c r="E867" s="11">
        <f>IFERROR(__xludf.DUMMYFUNCTION("""COMPUTED_VALUE"""),246.95)</f>
      </c>
      <c r="F867" s="10">
        <f>IFERROR(__xludf.DUMMYFUNCTION("""COMPUTED_VALUE"""),0.6162)</f>
      </c>
      <c r="G867" s="11">
        <f>IFERROR(__xludf.DUMMYFUNCTION("""COMPUTED_VALUE"""),"----")</f>
      </c>
      <c r="H867" s="10">
        <f>IFERROR(__xludf.DUMMYFUNCTION("""COMPUTED_VALUE"""),0.5021)</f>
      </c>
      <c r="I867" s="11">
        <f>IFERROR(__xludf.DUMMYFUNCTION("""COMPUTED_VALUE"""),421.79)</f>
      </c>
      <c r="J867" s="10">
        <f>IFERROR(__xludf.DUMMYFUNCTION("""COMPUTED_VALUE"""),0.5298)</f>
      </c>
      <c r="K867" s="11">
        <f>IFERROR(__xludf.DUMMYFUNCTION("""COMPUTED_VALUE"""),290.77)</f>
      </c>
      <c r="L867" s="10">
        <f>IFERROR(__xludf.DUMMYFUNCTION("""COMPUTED_VALUE"""),0.4731)</f>
      </c>
      <c r="M867" s="11">
        <f>IFERROR(__xludf.DUMMYFUNCTION("""COMPUTED_VALUE"""),370.73)</f>
      </c>
      <c r="N867" s="10">
        <f>IFERROR(__xludf.DUMMYFUNCTION("""COMPUTED_VALUE"""),0.4938)</f>
      </c>
      <c r="O867" s="11">
        <f>IFERROR(__xludf.DUMMYFUNCTION("""COMPUTED_VALUE"""),408.58)</f>
      </c>
      <c r="P867" s="12"/>
      <c r="Q867" s="12"/>
      <c r="R867" s="15"/>
      <c r="S867" s="12"/>
      <c r="T867" s="12"/>
      <c r="U867" s="12"/>
      <c r="V867" s="12"/>
      <c r="W867" s="12"/>
      <c r="X867" s="12"/>
      <c r="Y867" s="12"/>
      <c r="Z867" s="12"/>
    </row>
    <row x14ac:dyDescent="0.25" r="868" customHeight="1" ht="15.75">
      <c r="A868" s="8">
        <f>IFERROR(__xludf.DUMMYFUNCTION("""COMPUTED_VALUE"""),25139.0)</f>
      </c>
      <c r="B868" s="9">
        <f>IFERROR(__xludf.DUMMYFUNCTION("""COMPUTED_VALUE"""),"NORTE FLUMINENSE")</f>
      </c>
      <c r="C868" s="9">
        <f>IFERROR(__xludf.DUMMYFUNCTION("""COMPUTED_VALUE"""),"CE MONTESE")</f>
      </c>
      <c r="D868" s="10">
        <f>IFERROR(__xludf.DUMMYFUNCTION("""COMPUTED_VALUE"""),0.2436)</f>
      </c>
      <c r="E868" s="11">
        <f>IFERROR(__xludf.DUMMYFUNCTION("""COMPUTED_VALUE"""),106.32)</f>
      </c>
      <c r="F868" s="10">
        <f>IFERROR(__xludf.DUMMYFUNCTION("""COMPUTED_VALUE"""),0.5577)</f>
      </c>
      <c r="G868" s="11">
        <f>IFERROR(__xludf.DUMMYFUNCTION("""COMPUTED_VALUE"""),432.64)</f>
      </c>
      <c r="H868" s="10">
        <f>IFERROR(__xludf.DUMMYFUNCTION("""COMPUTED_VALUE"""),0.509)</f>
      </c>
      <c r="I868" s="11">
        <f>IFERROR(__xludf.DUMMYFUNCTION("""COMPUTED_VALUE"""),422.59)</f>
      </c>
      <c r="J868" s="10">
        <f>IFERROR(__xludf.DUMMYFUNCTION("""COMPUTED_VALUE"""),0.1795)</f>
      </c>
      <c r="K868" s="11">
        <f>IFERROR(__xludf.DUMMYFUNCTION("""COMPUTED_VALUE"""),320.41)</f>
      </c>
      <c r="L868" s="10">
        <f>IFERROR(__xludf.DUMMYFUNCTION("""COMPUTED_VALUE"""),0.1796)</f>
      </c>
      <c r="M868" s="11">
        <f>IFERROR(__xludf.DUMMYFUNCTION("""COMPUTED_VALUE"""),341.34)</f>
      </c>
      <c r="N868" s="10">
        <f>IFERROR(__xludf.DUMMYFUNCTION("""COMPUTED_VALUE"""),0.1916)</f>
      </c>
      <c r="O868" s="11">
        <f>IFERROR(__xludf.DUMMYFUNCTION("""COMPUTED_VALUE"""),423.75)</f>
      </c>
      <c r="P868" s="12"/>
      <c r="Q868" s="12"/>
      <c r="R868" s="15"/>
      <c r="S868" s="12"/>
      <c r="T868" s="12"/>
      <c r="U868" s="12"/>
      <c r="V868" s="12"/>
      <c r="W868" s="12"/>
      <c r="X868" s="12"/>
      <c r="Y868" s="12"/>
      <c r="Z868" s="12"/>
    </row>
    <row x14ac:dyDescent="0.25" r="869" customHeight="1" ht="15.75">
      <c r="A869" s="8">
        <f>IFERROR(__xludf.DUMMYFUNCTION("""COMPUTED_VALUE"""),25087.0)</f>
      </c>
      <c r="B869" s="9">
        <f>IFERROR(__xludf.DUMMYFUNCTION("""COMPUTED_VALUE"""),"NORTE FLUMINENSE")</f>
      </c>
      <c r="C869" s="9">
        <f>IFERROR(__xludf.DUMMYFUNCTION("""COMPUTED_VALUE"""),"CE NELSON PEREIRA REBEL")</f>
      </c>
      <c r="D869" s="10">
        <f>IFERROR(__xludf.DUMMYFUNCTION("""COMPUTED_VALUE"""),0.7531)</f>
      </c>
      <c r="E869" s="11">
        <f>IFERROR(__xludf.DUMMYFUNCTION("""COMPUTED_VALUE"""),218.0)</f>
      </c>
      <c r="F869" s="10">
        <f>IFERROR(__xludf.DUMMYFUNCTION("""COMPUTED_VALUE"""),0.642)</f>
      </c>
      <c r="G869" s="11">
        <f>IFERROR(__xludf.DUMMYFUNCTION("""COMPUTED_VALUE"""),364.69)</f>
      </c>
      <c r="H869" s="10">
        <f>IFERROR(__xludf.DUMMYFUNCTION("""COMPUTED_VALUE"""),0.5308)</f>
      </c>
      <c r="I869" s="11">
        <f>IFERROR(__xludf.DUMMYFUNCTION("""COMPUTED_VALUE"""),358.9)</f>
      </c>
      <c r="J869" s="10">
        <f>IFERROR(__xludf.DUMMYFUNCTION("""COMPUTED_VALUE"""),0.5538)</f>
      </c>
      <c r="K869" s="11">
        <f>IFERROR(__xludf.DUMMYFUNCTION("""COMPUTED_VALUE"""),251.23)</f>
      </c>
      <c r="L869" s="10">
        <f>IFERROR(__xludf.DUMMYFUNCTION("""COMPUTED_VALUE"""),0.0)</f>
      </c>
      <c r="M869" s="11">
        <f>IFERROR(__xludf.DUMMYFUNCTION("""COMPUTED_VALUE"""),"----")</f>
      </c>
      <c r="N869" s="10">
        <f>IFERROR(__xludf.DUMMYFUNCTION("""COMPUTED_VALUE"""),0.058)</f>
      </c>
      <c r="O869" s="11">
        <f>IFERROR(__xludf.DUMMYFUNCTION("""COMPUTED_VALUE"""),"----")</f>
      </c>
      <c r="P869" s="12"/>
      <c r="Q869" s="12"/>
      <c r="R869" s="15"/>
      <c r="S869" s="12"/>
      <c r="T869" s="12"/>
      <c r="U869" s="12"/>
      <c r="V869" s="12"/>
      <c r="W869" s="12"/>
      <c r="X869" s="12"/>
      <c r="Y869" s="12"/>
      <c r="Z869" s="12"/>
    </row>
    <row x14ac:dyDescent="0.25" r="870" customHeight="1" ht="15.75">
      <c r="A870" s="8">
        <f>IFERROR(__xludf.DUMMYFUNCTION("""COMPUTED_VALUE"""),25088.0)</f>
      </c>
      <c r="B870" s="9">
        <f>IFERROR(__xludf.DUMMYFUNCTION("""COMPUTED_VALUE"""),"NORTE FLUMINENSE")</f>
      </c>
      <c r="C870" s="9">
        <f>IFERROR(__xludf.DUMMYFUNCTION("""COMPUTED_VALUE"""),"CE NILO FERNANDES PEREIRA")</f>
      </c>
      <c r="D870" s="10">
        <f>IFERROR(__xludf.DUMMYFUNCTION("""COMPUTED_VALUE"""),0.9681)</f>
      </c>
      <c r="E870" s="11">
        <f>IFERROR(__xludf.DUMMYFUNCTION("""COMPUTED_VALUE"""),71.91)</f>
      </c>
      <c r="F870" s="10">
        <f>IFERROR(__xludf.DUMMYFUNCTION("""COMPUTED_VALUE"""),0.8617)</f>
      </c>
      <c r="G870" s="11">
        <f>IFERROR(__xludf.DUMMYFUNCTION("""COMPUTED_VALUE"""),337.22)</f>
      </c>
      <c r="H870" s="10">
        <f>IFERROR(__xludf.DUMMYFUNCTION("""COMPUTED_VALUE"""),0.7447)</f>
      </c>
      <c r="I870" s="11">
        <f>IFERROR(__xludf.DUMMYFUNCTION("""COMPUTED_VALUE"""),399.42)</f>
      </c>
      <c r="J870" s="10">
        <f>IFERROR(__xludf.DUMMYFUNCTION("""COMPUTED_VALUE"""),0.7872)</f>
      </c>
      <c r="K870" s="11">
        <f>IFERROR(__xludf.DUMMYFUNCTION("""COMPUTED_VALUE"""),295.0)</f>
      </c>
      <c r="L870" s="10">
        <f>IFERROR(__xludf.DUMMYFUNCTION("""COMPUTED_VALUE"""),0.7128)</f>
      </c>
      <c r="M870" s="11">
        <f>IFERROR(__xludf.DUMMYFUNCTION("""COMPUTED_VALUE"""),459.1)</f>
      </c>
      <c r="N870" s="10">
        <f>IFERROR(__xludf.DUMMYFUNCTION("""COMPUTED_VALUE"""),0.8085)</f>
      </c>
      <c r="O870" s="11">
        <f>IFERROR(__xludf.DUMMYFUNCTION("""COMPUTED_VALUE"""),464.74)</f>
      </c>
      <c r="P870" s="12"/>
      <c r="Q870" s="12"/>
      <c r="R870" s="15"/>
      <c r="S870" s="12"/>
      <c r="T870" s="12"/>
      <c r="U870" s="12"/>
      <c r="V870" s="12"/>
      <c r="W870" s="12"/>
      <c r="X870" s="12"/>
      <c r="Y870" s="12"/>
      <c r="Z870" s="12"/>
    </row>
    <row x14ac:dyDescent="0.25" r="871" customHeight="1" ht="15.75">
      <c r="A871" s="8">
        <f>IFERROR(__xludf.DUMMYFUNCTION("""COMPUTED_VALUE"""),25089.0)</f>
      </c>
      <c r="B871" s="9">
        <f>IFERROR(__xludf.DUMMYFUNCTION("""COMPUTED_VALUE"""),"NORTE FLUMINENSE")</f>
      </c>
      <c r="C871" s="9">
        <f>IFERROR(__xludf.DUMMYFUNCTION("""COMPUTED_VALUE"""),"CE NILO PECANHA")</f>
      </c>
      <c r="D871" s="10">
        <f>IFERROR(__xludf.DUMMYFUNCTION("""COMPUTED_VALUE"""),0.8121)</f>
      </c>
      <c r="E871" s="11">
        <f>IFERROR(__xludf.DUMMYFUNCTION("""COMPUTED_VALUE"""),172.37)</f>
      </c>
      <c r="F871" s="10">
        <f>IFERROR(__xludf.DUMMYFUNCTION("""COMPUTED_VALUE"""),0.6274)</f>
      </c>
      <c r="G871" s="11">
        <f>IFERROR(__xludf.DUMMYFUNCTION("""COMPUTED_VALUE"""),362.7)</f>
      </c>
      <c r="H871" s="10">
        <f>IFERROR(__xludf.DUMMYFUNCTION("""COMPUTED_VALUE"""),0.5973)</f>
      </c>
      <c r="I871" s="11">
        <f>IFERROR(__xludf.DUMMYFUNCTION("""COMPUTED_VALUE"""),286.45)</f>
      </c>
      <c r="J871" s="10">
        <f>IFERROR(__xludf.DUMMYFUNCTION("""COMPUTED_VALUE"""),0.7198)</f>
      </c>
      <c r="K871" s="11">
        <f>IFERROR(__xludf.DUMMYFUNCTION("""COMPUTED_VALUE"""),220.19)</f>
      </c>
      <c r="L871" s="10">
        <f>IFERROR(__xludf.DUMMYFUNCTION("""COMPUTED_VALUE"""),0.6602)</f>
      </c>
      <c r="M871" s="11">
        <f>IFERROR(__xludf.DUMMYFUNCTION("""COMPUTED_VALUE"""),366.95)</f>
      </c>
      <c r="N871" s="10">
        <f>IFERROR(__xludf.DUMMYFUNCTION("""COMPUTED_VALUE"""),0.6617)</f>
      </c>
      <c r="O871" s="11">
        <f>IFERROR(__xludf.DUMMYFUNCTION("""COMPUTED_VALUE"""),340.67)</f>
      </c>
      <c r="P871" s="12"/>
      <c r="Q871" s="12"/>
      <c r="R871" s="15"/>
      <c r="S871" s="12"/>
      <c r="T871" s="12"/>
      <c r="U871" s="12"/>
      <c r="V871" s="12"/>
      <c r="W871" s="12"/>
      <c r="X871" s="12"/>
      <c r="Y871" s="12"/>
      <c r="Z871" s="12"/>
    </row>
    <row x14ac:dyDescent="0.25" r="872" customHeight="1" ht="15.75">
      <c r="A872" s="8">
        <f>IFERROR(__xludf.DUMMYFUNCTION("""COMPUTED_VALUE"""),25090.0)</f>
      </c>
      <c r="B872" s="9">
        <f>IFERROR(__xludf.DUMMYFUNCTION("""COMPUTED_VALUE"""),"NORTE FLUMINENSE")</f>
      </c>
      <c r="C872" s="9">
        <f>IFERROR(__xludf.DUMMYFUNCTION("""COMPUTED_VALUE"""),"CE NOTIVAL PEDRO MOLL")</f>
      </c>
      <c r="D872" s="10">
        <f>IFERROR(__xludf.DUMMYFUNCTION("""COMPUTED_VALUE"""),0.8065)</f>
      </c>
      <c r="E872" s="11">
        <f>IFERROR(__xludf.DUMMYFUNCTION("""COMPUTED_VALUE"""),124.9)</f>
      </c>
      <c r="F872" s="10">
        <f>IFERROR(__xludf.DUMMYFUNCTION("""COMPUTED_VALUE"""),0.7419)</f>
      </c>
      <c r="G872" s="11">
        <f>IFERROR(__xludf.DUMMYFUNCTION("""COMPUTED_VALUE"""),363.64)</f>
      </c>
      <c r="H872" s="10">
        <f>IFERROR(__xludf.DUMMYFUNCTION("""COMPUTED_VALUE"""),0.7903)</f>
      </c>
      <c r="I872" s="11">
        <f>IFERROR(__xludf.DUMMYFUNCTION("""COMPUTED_VALUE"""),361.86)</f>
      </c>
      <c r="J872" s="10">
        <f>IFERROR(__xludf.DUMMYFUNCTION("""COMPUTED_VALUE"""),0.7258)</f>
      </c>
      <c r="K872" s="11">
        <f>IFERROR(__xludf.DUMMYFUNCTION("""COMPUTED_VALUE"""),301.9)</f>
      </c>
      <c r="L872" s="10">
        <f>IFERROR(__xludf.DUMMYFUNCTION("""COMPUTED_VALUE"""),0.6613)</f>
      </c>
      <c r="M872" s="11">
        <f>IFERROR(__xludf.DUMMYFUNCTION("""COMPUTED_VALUE"""),365.13)</f>
      </c>
      <c r="N872" s="10">
        <f>IFERROR(__xludf.DUMMYFUNCTION("""COMPUTED_VALUE"""),0.3065)</f>
      </c>
      <c r="O872" s="11">
        <f>IFERROR(__xludf.DUMMYFUNCTION("""COMPUTED_VALUE"""),343.16)</f>
      </c>
      <c r="P872" s="12"/>
      <c r="Q872" s="12"/>
      <c r="R872" s="15"/>
      <c r="S872" s="12"/>
      <c r="T872" s="12"/>
      <c r="U872" s="12"/>
      <c r="V872" s="12"/>
      <c r="W872" s="12"/>
      <c r="X872" s="12"/>
      <c r="Y872" s="12"/>
      <c r="Z872" s="12"/>
    </row>
    <row x14ac:dyDescent="0.25" r="873" customHeight="1" ht="15.75">
      <c r="A873" s="8">
        <f>IFERROR(__xludf.DUMMYFUNCTION("""COMPUTED_VALUE"""),25091.0)</f>
      </c>
      <c r="B873" s="9">
        <f>IFERROR(__xludf.DUMMYFUNCTION("""COMPUTED_VALUE"""),"NORTE FLUMINENSE")</f>
      </c>
      <c r="C873" s="9">
        <f>IFERROR(__xludf.DUMMYFUNCTION("""COMPUTED_VALUE"""),"CE PAULO ROBERTO DUARTE DE MENDONCA")</f>
      </c>
      <c r="D873" s="10">
        <f>IFERROR(__xludf.DUMMYFUNCTION("""COMPUTED_VALUE"""),0.9825)</f>
      </c>
      <c r="E873" s="11">
        <f>IFERROR(__xludf.DUMMYFUNCTION("""COMPUTED_VALUE"""),60.0)</f>
      </c>
      <c r="F873" s="10">
        <f>IFERROR(__xludf.DUMMYFUNCTION("""COMPUTED_VALUE"""),0.7544)</f>
      </c>
      <c r="G873" s="11">
        <f>IFERROR(__xludf.DUMMYFUNCTION("""COMPUTED_VALUE"""),292.87)</f>
      </c>
      <c r="H873" s="10">
        <f>IFERROR(__xludf.DUMMYFUNCTION("""COMPUTED_VALUE"""),0.5244)</f>
      </c>
      <c r="I873" s="11">
        <f>IFERROR(__xludf.DUMMYFUNCTION("""COMPUTED_VALUE"""),316.28)</f>
      </c>
      <c r="J873" s="10">
        <f>IFERROR(__xludf.DUMMYFUNCTION("""COMPUTED_VALUE"""),0.5833)</f>
      </c>
      <c r="K873" s="11">
        <f>IFERROR(__xludf.DUMMYFUNCTION("""COMPUTED_VALUE"""),100.83)</f>
      </c>
      <c r="L873" s="10">
        <f>IFERROR(__xludf.DUMMYFUNCTION("""COMPUTED_VALUE"""),0.6951)</f>
      </c>
      <c r="M873" s="11">
        <f>IFERROR(__xludf.DUMMYFUNCTION("""COMPUTED_VALUE"""),265.97)</f>
      </c>
      <c r="N873" s="10">
        <f>IFERROR(__xludf.DUMMYFUNCTION("""COMPUTED_VALUE"""),0.6951)</f>
      </c>
      <c r="O873" s="11">
        <f>IFERROR(__xludf.DUMMYFUNCTION("""COMPUTED_VALUE"""),314.39)</f>
      </c>
      <c r="P873" s="12"/>
      <c r="Q873" s="12"/>
      <c r="R873" s="15"/>
      <c r="S873" s="12"/>
      <c r="T873" s="12"/>
      <c r="U873" s="12"/>
      <c r="V873" s="12"/>
      <c r="W873" s="12"/>
      <c r="X873" s="12"/>
      <c r="Y873" s="12"/>
      <c r="Z873" s="12"/>
    </row>
    <row x14ac:dyDescent="0.25" r="874" customHeight="1" ht="15.75">
      <c r="A874" s="8">
        <f>IFERROR(__xludf.DUMMYFUNCTION("""COMPUTED_VALUE"""),25146.0)</f>
      </c>
      <c r="B874" s="9">
        <f>IFERROR(__xludf.DUMMYFUNCTION("""COMPUTED_VALUE"""),"NORTE FLUMINENSE")</f>
      </c>
      <c r="C874" s="9">
        <f>IFERROR(__xludf.DUMMYFUNCTION("""COMPUTED_VALUE"""),"CE PEDRO CERQUEIRA")</f>
      </c>
      <c r="D874" s="10">
        <f>IFERROR(__xludf.DUMMYFUNCTION("""COMPUTED_VALUE"""),1.0)</f>
      </c>
      <c r="E874" s="11">
        <f>IFERROR(__xludf.DUMMYFUNCTION("""COMPUTED_VALUE"""),159.32)</f>
      </c>
      <c r="F874" s="10">
        <f>IFERROR(__xludf.DUMMYFUNCTION("""COMPUTED_VALUE"""),1.0)</f>
      </c>
      <c r="G874" s="11">
        <f>IFERROR(__xludf.DUMMYFUNCTION("""COMPUTED_VALUE"""),216.95)</f>
      </c>
      <c r="H874" s="10">
        <f>IFERROR(__xludf.DUMMYFUNCTION("""COMPUTED_VALUE"""),0.9831)</f>
      </c>
      <c r="I874" s="11">
        <f>IFERROR(__xludf.DUMMYFUNCTION("""COMPUTED_VALUE"""),245.52)</f>
      </c>
      <c r="J874" s="10">
        <f>IFERROR(__xludf.DUMMYFUNCTION("""COMPUTED_VALUE"""),0.6949)</f>
      </c>
      <c r="K874" s="11">
        <f>IFERROR(__xludf.DUMMYFUNCTION("""COMPUTED_VALUE"""),228.29)</f>
      </c>
      <c r="L874" s="10">
        <f>IFERROR(__xludf.DUMMYFUNCTION("""COMPUTED_VALUE"""),0.7966)</f>
      </c>
      <c r="M874" s="11">
        <f>IFERROR(__xludf.DUMMYFUNCTION("""COMPUTED_VALUE"""),317.45)</f>
      </c>
      <c r="N874" s="10">
        <f>IFERROR(__xludf.DUMMYFUNCTION("""COMPUTED_VALUE"""),0.6102)</f>
      </c>
      <c r="O874" s="11">
        <f>IFERROR(__xludf.DUMMYFUNCTION("""COMPUTED_VALUE"""),361.14)</f>
      </c>
      <c r="P874" s="12"/>
      <c r="Q874" s="12"/>
      <c r="R874" s="15"/>
      <c r="S874" s="12"/>
      <c r="T874" s="12"/>
      <c r="U874" s="12"/>
      <c r="V874" s="12"/>
      <c r="W874" s="12"/>
      <c r="X874" s="12"/>
      <c r="Y874" s="12"/>
      <c r="Z874" s="12"/>
    </row>
    <row x14ac:dyDescent="0.25" r="875" customHeight="1" ht="15.75">
      <c r="A875" s="8">
        <f>IFERROR(__xludf.DUMMYFUNCTION("""COMPUTED_VALUE"""),25122.0)</f>
      </c>
      <c r="B875" s="9">
        <f>IFERROR(__xludf.DUMMYFUNCTION("""COMPUTED_VALUE"""),"NORTE FLUMINENSE")</f>
      </c>
      <c r="C875" s="9">
        <f>IFERROR(__xludf.DUMMYFUNCTION("""COMPUTED_VALUE"""),"CE PRIMEIRO DE MAIO")</f>
      </c>
      <c r="D875" s="10">
        <f>IFERROR(__xludf.DUMMYFUNCTION("""COMPUTED_VALUE"""),0.9255)</f>
      </c>
      <c r="E875" s="11">
        <f>IFERROR(__xludf.DUMMYFUNCTION("""COMPUTED_VALUE"""),240.27)</f>
      </c>
      <c r="F875" s="10">
        <f>IFERROR(__xludf.DUMMYFUNCTION("""COMPUTED_VALUE"""),0.6522)</f>
      </c>
      <c r="G875" s="11">
        <f>IFERROR(__xludf.DUMMYFUNCTION("""COMPUTED_VALUE"""),401.94)</f>
      </c>
      <c r="H875" s="10">
        <f>IFERROR(__xludf.DUMMYFUNCTION("""COMPUTED_VALUE"""),0.6243)</f>
      </c>
      <c r="I875" s="11">
        <f>IFERROR(__xludf.DUMMYFUNCTION("""COMPUTED_VALUE"""),479.27)</f>
      </c>
      <c r="J875" s="10">
        <f>IFERROR(__xludf.DUMMYFUNCTION("""COMPUTED_VALUE"""),0.6481)</f>
      </c>
      <c r="K875" s="11">
        <f>IFERROR(__xludf.DUMMYFUNCTION("""COMPUTED_VALUE"""),302.72)</f>
      </c>
      <c r="L875" s="10">
        <f>IFERROR(__xludf.DUMMYFUNCTION("""COMPUTED_VALUE"""),0.474)</f>
      </c>
      <c r="M875" s="11">
        <f>IFERROR(__xludf.DUMMYFUNCTION("""COMPUTED_VALUE"""),389.64)</f>
      </c>
      <c r="N875" s="10">
        <f>IFERROR(__xludf.DUMMYFUNCTION("""COMPUTED_VALUE"""),0.5896)</f>
      </c>
      <c r="O875" s="11">
        <f>IFERROR(__xludf.DUMMYFUNCTION("""COMPUTED_VALUE"""),"----")</f>
      </c>
      <c r="P875" s="12"/>
      <c r="Q875" s="12"/>
      <c r="R875" s="15"/>
      <c r="S875" s="12"/>
      <c r="T875" s="12"/>
      <c r="U875" s="12"/>
      <c r="V875" s="12"/>
      <c r="W875" s="12"/>
      <c r="X875" s="12"/>
      <c r="Y875" s="12"/>
      <c r="Z875" s="12"/>
    </row>
    <row x14ac:dyDescent="0.25" r="876" customHeight="1" ht="15.75">
      <c r="A876" s="8">
        <f>IFERROR(__xludf.DUMMYFUNCTION("""COMPUTED_VALUE"""),25092.0)</f>
      </c>
      <c r="B876" s="9">
        <f>IFERROR(__xludf.DUMMYFUNCTION("""COMPUTED_VALUE"""),"NORTE FLUMINENSE")</f>
      </c>
      <c r="C876" s="9">
        <f>IFERROR(__xludf.DUMMYFUNCTION("""COMPUTED_VALUE"""),"CE PROFESSOR HERVAL DE SOUZA TAVARES")</f>
      </c>
      <c r="D876" s="10">
        <f>IFERROR(__xludf.DUMMYFUNCTION("""COMPUTED_VALUE"""),1.0)</f>
      </c>
      <c r="E876" s="11">
        <f>IFERROR(__xludf.DUMMYFUNCTION("""COMPUTED_VALUE"""),282.28)</f>
      </c>
      <c r="F876" s="10">
        <f>IFERROR(__xludf.DUMMYFUNCTION("""COMPUTED_VALUE"""),0.7714)</f>
      </c>
      <c r="G876" s="11">
        <f>IFERROR(__xludf.DUMMYFUNCTION("""COMPUTED_VALUE"""),457.03)</f>
      </c>
      <c r="H876" s="10">
        <f>IFERROR(__xludf.DUMMYFUNCTION("""COMPUTED_VALUE"""),0.7805)</f>
      </c>
      <c r="I876" s="11">
        <f>IFERROR(__xludf.DUMMYFUNCTION("""COMPUTED_VALUE"""),443.69)</f>
      </c>
      <c r="J876" s="10">
        <f>IFERROR(__xludf.DUMMYFUNCTION("""COMPUTED_VALUE"""),0.85)</f>
      </c>
      <c r="K876" s="11">
        <f>IFERROR(__xludf.DUMMYFUNCTION("""COMPUTED_VALUE"""),358.38)</f>
      </c>
      <c r="L876" s="10">
        <f>IFERROR(__xludf.DUMMYFUNCTION("""COMPUTED_VALUE"""),0.7805)</f>
      </c>
      <c r="M876" s="11">
        <f>IFERROR(__xludf.DUMMYFUNCTION("""COMPUTED_VALUE"""),500.5)</f>
      </c>
      <c r="N876" s="10">
        <f>IFERROR(__xludf.DUMMYFUNCTION("""COMPUTED_VALUE"""),0.7927)</f>
      </c>
      <c r="O876" s="11">
        <f>IFERROR(__xludf.DUMMYFUNCTION("""COMPUTED_VALUE"""),488.0)</f>
      </c>
      <c r="P876" s="12"/>
      <c r="Q876" s="12"/>
      <c r="R876" s="15"/>
      <c r="S876" s="12"/>
      <c r="T876" s="12"/>
      <c r="U876" s="12"/>
      <c r="V876" s="12"/>
      <c r="W876" s="12"/>
      <c r="X876" s="12"/>
      <c r="Y876" s="12"/>
      <c r="Z876" s="12"/>
    </row>
    <row x14ac:dyDescent="0.25" r="877" customHeight="1" ht="15.75">
      <c r="A877" s="8">
        <f>IFERROR(__xludf.DUMMYFUNCTION("""COMPUTED_VALUE"""),25123.0)</f>
      </c>
      <c r="B877" s="9">
        <f>IFERROR(__xludf.DUMMYFUNCTION("""COMPUTED_VALUE"""),"NORTE FLUMINENSE")</f>
      </c>
      <c r="C877" s="9">
        <f>IFERROR(__xludf.DUMMYFUNCTION("""COMPUTED_VALUE"""),"CE PROFESSORA VANILDE NATALINO MATTOS")</f>
      </c>
      <c r="D877" s="10">
        <f>IFERROR(__xludf.DUMMYFUNCTION("""COMPUTED_VALUE"""),0.7395)</f>
      </c>
      <c r="E877" s="11">
        <f>IFERROR(__xludf.DUMMYFUNCTION("""COMPUTED_VALUE"""),217.59)</f>
      </c>
      <c r="F877" s="10">
        <f>IFERROR(__xludf.DUMMYFUNCTION("""COMPUTED_VALUE"""),0.003)</f>
      </c>
      <c r="G877" s="11">
        <f>IFERROR(__xludf.DUMMYFUNCTION("""COMPUTED_VALUE"""),280.0)</f>
      </c>
      <c r="H877" s="10">
        <f>IFERROR(__xludf.DUMMYFUNCTION("""COMPUTED_VALUE"""),0.5419)</f>
      </c>
      <c r="I877" s="11">
        <f>IFERROR(__xludf.DUMMYFUNCTION("""COMPUTED_VALUE"""),417.24)</f>
      </c>
      <c r="J877" s="10">
        <f>IFERROR(__xludf.DUMMYFUNCTION("""COMPUTED_VALUE"""),0.5)</f>
      </c>
      <c r="K877" s="11">
        <f>IFERROR(__xludf.DUMMYFUNCTION("""COMPUTED_VALUE"""),282.42)</f>
      </c>
      <c r="L877" s="10">
        <f>IFERROR(__xludf.DUMMYFUNCTION("""COMPUTED_VALUE"""),0.2784)</f>
      </c>
      <c r="M877" s="11">
        <f>IFERROR(__xludf.DUMMYFUNCTION("""COMPUTED_VALUE"""),401.32)</f>
      </c>
      <c r="N877" s="10">
        <f>IFERROR(__xludf.DUMMYFUNCTION("""COMPUTED_VALUE"""),0.3802)</f>
      </c>
      <c r="O877" s="11">
        <f>IFERROR(__xludf.DUMMYFUNCTION("""COMPUTED_VALUE"""),371.2)</f>
      </c>
      <c r="P877" s="12"/>
      <c r="Q877" s="12"/>
      <c r="R877" s="15"/>
      <c r="S877" s="12"/>
      <c r="T877" s="12"/>
      <c r="U877" s="12"/>
      <c r="V877" s="12"/>
      <c r="W877" s="12"/>
      <c r="X877" s="12"/>
      <c r="Y877" s="12"/>
      <c r="Z877" s="12"/>
    </row>
    <row x14ac:dyDescent="0.25" r="878" customHeight="1" ht="15.75">
      <c r="A878" s="8">
        <f>IFERROR(__xludf.DUMMYFUNCTION("""COMPUTED_VALUE"""),25093.0)</f>
      </c>
      <c r="B878" s="9">
        <f>IFERROR(__xludf.DUMMYFUNCTION("""COMPUTED_VALUE"""),"NORTE FLUMINENSE")</f>
      </c>
      <c r="C878" s="9">
        <f>IFERROR(__xludf.DUMMYFUNCTION("""COMPUTED_VALUE"""),"CE QUINZE DE NOVEMBRO")</f>
      </c>
      <c r="D878" s="10">
        <f>IFERROR(__xludf.DUMMYFUNCTION("""COMPUTED_VALUE"""),0.7867)</f>
      </c>
      <c r="E878" s="11">
        <f>IFERROR(__xludf.DUMMYFUNCTION("""COMPUTED_VALUE"""),89.2)</f>
      </c>
      <c r="F878" s="10">
        <f>IFERROR(__xludf.DUMMYFUNCTION("""COMPUTED_VALUE"""),0.5267)</f>
      </c>
      <c r="G878" s="11">
        <f>IFERROR(__xludf.DUMMYFUNCTION("""COMPUTED_VALUE"""),294.87)</f>
      </c>
      <c r="H878" s="10">
        <f>IFERROR(__xludf.DUMMYFUNCTION("""COMPUTED_VALUE"""),0.58)</f>
      </c>
      <c r="I878" s="11">
        <f>IFERROR(__xludf.DUMMYFUNCTION("""COMPUTED_VALUE"""),412.41)</f>
      </c>
      <c r="J878" s="10">
        <f>IFERROR(__xludf.DUMMYFUNCTION("""COMPUTED_VALUE"""),0.64)</f>
      </c>
      <c r="K878" s="11">
        <f>IFERROR(__xludf.DUMMYFUNCTION("""COMPUTED_VALUE"""),195.11)</f>
      </c>
      <c r="L878" s="10">
        <f>IFERROR(__xludf.DUMMYFUNCTION("""COMPUTED_VALUE"""),0.5267)</f>
      </c>
      <c r="M878" s="11">
        <f>IFERROR(__xludf.DUMMYFUNCTION("""COMPUTED_VALUE"""),333.16)</f>
      </c>
      <c r="N878" s="10">
        <f>IFERROR(__xludf.DUMMYFUNCTION("""COMPUTED_VALUE"""),0.5867)</f>
      </c>
      <c r="O878" s="11">
        <f>IFERROR(__xludf.DUMMYFUNCTION("""COMPUTED_VALUE"""),324.65)</f>
      </c>
      <c r="P878" s="12"/>
      <c r="Q878" s="12"/>
      <c r="R878" s="15"/>
      <c r="S878" s="12"/>
      <c r="T878" s="12"/>
      <c r="U878" s="12"/>
      <c r="V878" s="12"/>
      <c r="W878" s="12"/>
      <c r="X878" s="12"/>
      <c r="Y878" s="12"/>
      <c r="Z878" s="12"/>
    </row>
    <row x14ac:dyDescent="0.25" r="879" customHeight="1" ht="15.75">
      <c r="A879" s="8">
        <f>IFERROR(__xludf.DUMMYFUNCTION("""COMPUTED_VALUE"""),25124.0)</f>
      </c>
      <c r="B879" s="9">
        <f>IFERROR(__xludf.DUMMYFUNCTION("""COMPUTED_VALUE"""),"NORTE FLUMINENSE")</f>
      </c>
      <c r="C879" s="9">
        <f>IFERROR(__xludf.DUMMYFUNCTION("""COMPUTED_VALUE"""),"CE RACHEL REID PEREIRA DE SOUZA")</f>
      </c>
      <c r="D879" s="10">
        <f>IFERROR(__xludf.DUMMYFUNCTION("""COMPUTED_VALUE"""),0.9758)</f>
      </c>
      <c r="E879" s="11">
        <f>IFERROR(__xludf.DUMMYFUNCTION("""COMPUTED_VALUE"""),143.52)</f>
      </c>
      <c r="F879" s="10">
        <f>IFERROR(__xludf.DUMMYFUNCTION("""COMPUTED_VALUE"""),0.7576)</f>
      </c>
      <c r="G879" s="11">
        <f>IFERROR(__xludf.DUMMYFUNCTION("""COMPUTED_VALUE"""),362.65)</f>
      </c>
      <c r="H879" s="10">
        <f>IFERROR(__xludf.DUMMYFUNCTION("""COMPUTED_VALUE"""),0.8833)</f>
      </c>
      <c r="I879" s="11">
        <f>IFERROR(__xludf.DUMMYFUNCTION("""COMPUTED_VALUE"""),226.52)</f>
      </c>
      <c r="J879" s="10">
        <f>IFERROR(__xludf.DUMMYFUNCTION("""COMPUTED_VALUE"""),0.9595)</f>
      </c>
      <c r="K879" s="11">
        <f>IFERROR(__xludf.DUMMYFUNCTION("""COMPUTED_VALUE"""),161.96)</f>
      </c>
      <c r="L879" s="10">
        <f>IFERROR(__xludf.DUMMYFUNCTION("""COMPUTED_VALUE"""),0.9444)</f>
      </c>
      <c r="M879" s="11">
        <f>IFERROR(__xludf.DUMMYFUNCTION("""COMPUTED_VALUE"""),242.23)</f>
      </c>
      <c r="N879" s="10">
        <f>IFERROR(__xludf.DUMMYFUNCTION("""COMPUTED_VALUE"""),0.9222)</f>
      </c>
      <c r="O879" s="11">
        <f>IFERROR(__xludf.DUMMYFUNCTION("""COMPUTED_VALUE"""),211.14)</f>
      </c>
      <c r="P879" s="12"/>
      <c r="Q879" s="12"/>
      <c r="R879" s="15"/>
      <c r="S879" s="12"/>
      <c r="T879" s="12"/>
      <c r="U879" s="12"/>
      <c r="V879" s="12"/>
      <c r="W879" s="12"/>
      <c r="X879" s="12"/>
      <c r="Y879" s="12"/>
      <c r="Z879" s="12"/>
    </row>
    <row x14ac:dyDescent="0.25" r="880" customHeight="1" ht="15.75">
      <c r="A880" s="8">
        <f>IFERROR(__xludf.DUMMYFUNCTION("""COMPUTED_VALUE"""),25155.0)</f>
      </c>
      <c r="B880" s="9">
        <f>IFERROR(__xludf.DUMMYFUNCTION("""COMPUTED_VALUE"""),"NORTE FLUMINENSE")</f>
      </c>
      <c r="C880" s="9">
        <f>IFERROR(__xludf.DUMMYFUNCTION("""COMPUTED_VALUE"""),"CE RAIMUNDO DE MAGALHAES")</f>
      </c>
      <c r="D880" s="10">
        <f>IFERROR(__xludf.DUMMYFUNCTION("""COMPUTED_VALUE"""),0.9789)</f>
      </c>
      <c r="E880" s="11">
        <f>IFERROR(__xludf.DUMMYFUNCTION("""COMPUTED_VALUE"""),112.23)</f>
      </c>
      <c r="F880" s="10">
        <f>IFERROR(__xludf.DUMMYFUNCTION("""COMPUTED_VALUE"""),0.9718)</f>
      </c>
      <c r="G880" s="11">
        <f>IFERROR(__xludf.DUMMYFUNCTION("""COMPUTED_VALUE"""),221.6)</f>
      </c>
      <c r="H880" s="10">
        <f>IFERROR(__xludf.DUMMYFUNCTION("""COMPUTED_VALUE"""),0.465)</f>
      </c>
      <c r="I880" s="11">
        <f>IFERROR(__xludf.DUMMYFUNCTION("""COMPUTED_VALUE"""),293.7)</f>
      </c>
      <c r="J880" s="10">
        <f>IFERROR(__xludf.DUMMYFUNCTION("""COMPUTED_VALUE"""),0.6099)</f>
      </c>
      <c r="K880" s="11">
        <f>IFERROR(__xludf.DUMMYFUNCTION("""COMPUTED_VALUE"""),226.51)</f>
      </c>
      <c r="L880" s="10">
        <f>IFERROR(__xludf.DUMMYFUNCTION("""COMPUTED_VALUE"""),0.5541)</f>
      </c>
      <c r="M880" s="11">
        <f>IFERROR(__xludf.DUMMYFUNCTION("""COMPUTED_VALUE"""),376.09)</f>
      </c>
      <c r="N880" s="10">
        <f>IFERROR(__xludf.DUMMYFUNCTION("""COMPUTED_VALUE"""),0.5159)</f>
      </c>
      <c r="O880" s="11">
        <f>IFERROR(__xludf.DUMMYFUNCTION("""COMPUTED_VALUE"""),363.46)</f>
      </c>
      <c r="P880" s="12"/>
      <c r="Q880" s="12"/>
      <c r="R880" s="15"/>
      <c r="S880" s="12"/>
      <c r="T880" s="12"/>
      <c r="U880" s="12"/>
      <c r="V880" s="12"/>
      <c r="W880" s="12"/>
      <c r="X880" s="12"/>
      <c r="Y880" s="12"/>
      <c r="Z880" s="12"/>
    </row>
    <row x14ac:dyDescent="0.25" r="881" customHeight="1" ht="15.75">
      <c r="A881" s="8">
        <f>IFERROR(__xludf.DUMMYFUNCTION("""COMPUTED_VALUE"""),25132.0)</f>
      </c>
      <c r="B881" s="9">
        <f>IFERROR(__xludf.DUMMYFUNCTION("""COMPUTED_VALUE"""),"NORTE FLUMINENSE")</f>
      </c>
      <c r="C881" s="9">
        <f>IFERROR(__xludf.DUMMYFUNCTION("""COMPUTED_VALUE"""),"CE ROCHA LEAO")</f>
      </c>
      <c r="D881" s="10">
        <f>IFERROR(__xludf.DUMMYFUNCTION("""COMPUTED_VALUE"""),0.989)</f>
      </c>
      <c r="E881" s="11">
        <f>IFERROR(__xludf.DUMMYFUNCTION("""COMPUTED_VALUE"""),266.67)</f>
      </c>
      <c r="F881" s="10">
        <f>IFERROR(__xludf.DUMMYFUNCTION("""COMPUTED_VALUE"""),1.0)</f>
      </c>
      <c r="G881" s="11">
        <f>IFERROR(__xludf.DUMMYFUNCTION("""COMPUTED_VALUE"""),313.78)</f>
      </c>
      <c r="H881" s="10">
        <f>IFERROR(__xludf.DUMMYFUNCTION("""COMPUTED_VALUE"""),0.7692)</f>
      </c>
      <c r="I881" s="11">
        <f>IFERROR(__xludf.DUMMYFUNCTION("""COMPUTED_VALUE"""),458.24)</f>
      </c>
      <c r="J881" s="10">
        <f>IFERROR(__xludf.DUMMYFUNCTION("""COMPUTED_VALUE"""),0.7253)</f>
      </c>
      <c r="K881" s="11">
        <f>IFERROR(__xludf.DUMMYFUNCTION("""COMPUTED_VALUE"""),361.21)</f>
      </c>
      <c r="L881" s="10">
        <f>IFERROR(__xludf.DUMMYFUNCTION("""COMPUTED_VALUE"""),0.8132)</f>
      </c>
      <c r="M881" s="11">
        <f>IFERROR(__xludf.DUMMYFUNCTION("""COMPUTED_VALUE"""),490.56)</f>
      </c>
      <c r="N881" s="10">
        <f>IFERROR(__xludf.DUMMYFUNCTION("""COMPUTED_VALUE"""),0.7363)</f>
      </c>
      <c r="O881" s="11">
        <f>IFERROR(__xludf.DUMMYFUNCTION("""COMPUTED_VALUE"""),462.69)</f>
      </c>
      <c r="P881" s="12"/>
      <c r="Q881" s="12"/>
      <c r="R881" s="15"/>
      <c r="S881" s="12"/>
      <c r="T881" s="12"/>
      <c r="U881" s="12"/>
      <c r="V881" s="12"/>
      <c r="W881" s="12"/>
      <c r="X881" s="12"/>
      <c r="Y881" s="12"/>
      <c r="Z881" s="12"/>
    </row>
    <row x14ac:dyDescent="0.25" r="882" customHeight="1" ht="15.75">
      <c r="A882" s="8">
        <f>IFERROR(__xludf.DUMMYFUNCTION("""COMPUTED_VALUE"""),25094.0)</f>
      </c>
      <c r="B882" s="9">
        <f>IFERROR(__xludf.DUMMYFUNCTION("""COMPUTED_VALUE"""),"NORTE FLUMINENSE")</f>
      </c>
      <c r="C882" s="9">
        <f>IFERROR(__xludf.DUMMYFUNCTION("""COMPUTED_VALUE"""),"CE ROTARY II - ENILDA BARRETO RANGEL")</f>
      </c>
      <c r="D882" s="10">
        <f>IFERROR(__xludf.DUMMYFUNCTION("""COMPUTED_VALUE"""),0.9668)</f>
      </c>
      <c r="E882" s="11">
        <f>IFERROR(__xludf.DUMMYFUNCTION("""COMPUTED_VALUE"""),192.18)</f>
      </c>
      <c r="F882" s="10">
        <f>IFERROR(__xludf.DUMMYFUNCTION("""COMPUTED_VALUE"""),0.9917)</f>
      </c>
      <c r="G882" s="11">
        <f>IFERROR(__xludf.DUMMYFUNCTION("""COMPUTED_VALUE"""),281.02)</f>
      </c>
      <c r="H882" s="10">
        <f>IFERROR(__xludf.DUMMYFUNCTION("""COMPUTED_VALUE"""),0.995)</f>
      </c>
      <c r="I882" s="11">
        <f>IFERROR(__xludf.DUMMYFUNCTION("""COMPUTED_VALUE"""),218.16)</f>
      </c>
      <c r="J882" s="10">
        <f>IFERROR(__xludf.DUMMYFUNCTION("""COMPUTED_VALUE"""),1.0)</f>
      </c>
      <c r="K882" s="11">
        <f>IFERROR(__xludf.DUMMYFUNCTION("""COMPUTED_VALUE"""),175.82)</f>
      </c>
      <c r="L882" s="10">
        <f>IFERROR(__xludf.DUMMYFUNCTION("""COMPUTED_VALUE"""),0.9934)</f>
      </c>
      <c r="M882" s="11">
        <f>IFERROR(__xludf.DUMMYFUNCTION("""COMPUTED_VALUE"""),182.83)</f>
      </c>
      <c r="N882" s="10">
        <f>IFERROR(__xludf.DUMMYFUNCTION("""COMPUTED_VALUE"""),0.9934)</f>
      </c>
      <c r="O882" s="11">
        <f>IFERROR(__xludf.DUMMYFUNCTION("""COMPUTED_VALUE"""),154.54)</f>
      </c>
      <c r="P882" s="12"/>
      <c r="Q882" s="12"/>
      <c r="R882" s="15"/>
      <c r="S882" s="12"/>
      <c r="T882" s="12"/>
      <c r="U882" s="12"/>
      <c r="V882" s="12"/>
      <c r="W882" s="12"/>
      <c r="X882" s="12"/>
      <c r="Y882" s="12"/>
      <c r="Z882" s="12"/>
    </row>
    <row x14ac:dyDescent="0.25" r="883" customHeight="1" ht="15.75">
      <c r="A883" s="8">
        <f>IFERROR(__xludf.DUMMYFUNCTION("""COMPUTED_VALUE"""),25147.0)</f>
      </c>
      <c r="B883" s="9">
        <f>IFERROR(__xludf.DUMMYFUNCTION("""COMPUTED_VALUE"""),"NORTE FLUMINENSE")</f>
      </c>
      <c r="C883" s="9">
        <f>IFERROR(__xludf.DUMMYFUNCTION("""COMPUTED_VALUE"""),"CE SAO FRANCISCO DE PAULA")</f>
      </c>
      <c r="D883" s="10">
        <f>IFERROR(__xludf.DUMMYFUNCTION("""COMPUTED_VALUE"""),0.9107)</f>
      </c>
      <c r="E883" s="11">
        <f>IFERROR(__xludf.DUMMYFUNCTION("""COMPUTED_VALUE"""),220.7)</f>
      </c>
      <c r="F883" s="10">
        <f>IFERROR(__xludf.DUMMYFUNCTION("""COMPUTED_VALUE"""),0.8185)</f>
      </c>
      <c r="G883" s="11">
        <f>IFERROR(__xludf.DUMMYFUNCTION("""COMPUTED_VALUE"""),402.13)</f>
      </c>
      <c r="H883" s="10">
        <f>IFERROR(__xludf.DUMMYFUNCTION("""COMPUTED_VALUE"""),0.8329)</f>
      </c>
      <c r="I883" s="11">
        <f>IFERROR(__xludf.DUMMYFUNCTION("""COMPUTED_VALUE"""),460.76)</f>
      </c>
      <c r="J883" s="10">
        <f>IFERROR(__xludf.DUMMYFUNCTION("""COMPUTED_VALUE"""),0.8125)</f>
      </c>
      <c r="K883" s="11">
        <f>IFERROR(__xludf.DUMMYFUNCTION("""COMPUTED_VALUE"""),"----")</f>
      </c>
      <c r="L883" s="10">
        <f>IFERROR(__xludf.DUMMYFUNCTION("""COMPUTED_VALUE"""),0.9045)</f>
      </c>
      <c r="M883" s="11">
        <f>IFERROR(__xludf.DUMMYFUNCTION("""COMPUTED_VALUE"""),472.2)</f>
      </c>
      <c r="N883" s="10">
        <f>IFERROR(__xludf.DUMMYFUNCTION("""COMPUTED_VALUE"""),0.8674)</f>
      </c>
      <c r="O883" s="11">
        <f>IFERROR(__xludf.DUMMYFUNCTION("""COMPUTED_VALUE"""),411.17)</f>
      </c>
      <c r="P883" s="12"/>
      <c r="Q883" s="12"/>
      <c r="R883" s="15"/>
      <c r="S883" s="12"/>
      <c r="T883" s="12"/>
      <c r="U883" s="12"/>
      <c r="V883" s="12"/>
      <c r="W883" s="12"/>
      <c r="X883" s="12"/>
      <c r="Y883" s="12"/>
      <c r="Z883" s="12"/>
    </row>
    <row x14ac:dyDescent="0.25" r="884" customHeight="1" ht="15.75">
      <c r="A884" s="8">
        <f>IFERROR(__xludf.DUMMYFUNCTION("""COMPUTED_VALUE"""),25125.0)</f>
      </c>
      <c r="B884" s="9">
        <f>IFERROR(__xludf.DUMMYFUNCTION("""COMPUTED_VALUE"""),"NORTE FLUMINENSE")</f>
      </c>
      <c r="C884" s="9">
        <f>IFERROR(__xludf.DUMMYFUNCTION("""COMPUTED_VALUE"""),"CE TELIO BARRETO")</f>
      </c>
      <c r="D884" s="10">
        <f>IFERROR(__xludf.DUMMYFUNCTION("""COMPUTED_VALUE"""),0.6888)</f>
      </c>
      <c r="E884" s="11">
        <f>IFERROR(__xludf.DUMMYFUNCTION("""COMPUTED_VALUE"""),126.84)</f>
      </c>
      <c r="F884" s="10">
        <f>IFERROR(__xludf.DUMMYFUNCTION("""COMPUTED_VALUE"""),0.4855)</f>
      </c>
      <c r="G884" s="11">
        <f>IFERROR(__xludf.DUMMYFUNCTION("""COMPUTED_VALUE"""),298.12)</f>
      </c>
      <c r="H884" s="10">
        <f>IFERROR(__xludf.DUMMYFUNCTION("""COMPUTED_VALUE"""),0.4834)</f>
      </c>
      <c r="I884" s="11">
        <f>IFERROR(__xludf.DUMMYFUNCTION("""COMPUTED_VALUE"""),393.67)</f>
      </c>
      <c r="J884" s="10">
        <f>IFERROR(__xludf.DUMMYFUNCTION("""COMPUTED_VALUE"""),0.49)</f>
      </c>
      <c r="K884" s="11">
        <f>IFERROR(__xludf.DUMMYFUNCTION("""COMPUTED_VALUE"""),251.0)</f>
      </c>
      <c r="L884" s="10">
        <f>IFERROR(__xludf.DUMMYFUNCTION("""COMPUTED_VALUE"""),0.4371)</f>
      </c>
      <c r="M884" s="11">
        <f>IFERROR(__xludf.DUMMYFUNCTION("""COMPUTED_VALUE"""),336.82)</f>
      </c>
      <c r="N884" s="10">
        <f>IFERROR(__xludf.DUMMYFUNCTION("""COMPUTED_VALUE"""),0.3377)</f>
      </c>
      <c r="O884" s="11">
        <f>IFERROR(__xludf.DUMMYFUNCTION("""COMPUTED_VALUE"""),356.81)</f>
      </c>
      <c r="P884" s="12"/>
      <c r="Q884" s="12"/>
      <c r="R884" s="15"/>
      <c r="S884" s="12"/>
      <c r="T884" s="12"/>
      <c r="U884" s="12"/>
      <c r="V884" s="12"/>
      <c r="W884" s="12"/>
      <c r="X884" s="12"/>
      <c r="Y884" s="12"/>
      <c r="Z884" s="12"/>
    </row>
    <row x14ac:dyDescent="0.25" r="885" customHeight="1" ht="15.75">
      <c r="A885" s="8">
        <f>IFERROR(__xludf.DUMMYFUNCTION("""COMPUTED_VALUE"""),25095.0)</f>
      </c>
      <c r="B885" s="9">
        <f>IFERROR(__xludf.DUMMYFUNCTION("""COMPUTED_VALUE"""),"NORTE FLUMINENSE")</f>
      </c>
      <c r="C885" s="9">
        <f>IFERROR(__xludf.DUMMYFUNCTION("""COMPUTED_VALUE"""),"CE THEOTONIO FERREIRA DE ARAUJO")</f>
      </c>
      <c r="D885" s="10">
        <f>IFERROR(__xludf.DUMMYFUNCTION("""COMPUTED_VALUE"""),0.9831)</f>
      </c>
      <c r="E885" s="11">
        <f>IFERROR(__xludf.DUMMYFUNCTION("""COMPUTED_VALUE"""),117.24)</f>
      </c>
      <c r="F885" s="10">
        <f>IFERROR(__xludf.DUMMYFUNCTION("""COMPUTED_VALUE"""),0.7881)</f>
      </c>
      <c r="G885" s="11">
        <f>IFERROR(__xludf.DUMMYFUNCTION("""COMPUTED_VALUE"""),384.05)</f>
      </c>
      <c r="H885" s="10">
        <f>IFERROR(__xludf.DUMMYFUNCTION("""COMPUTED_VALUE"""),0.912)</f>
      </c>
      <c r="I885" s="11">
        <f>IFERROR(__xludf.DUMMYFUNCTION("""COMPUTED_VALUE"""),357.3)</f>
      </c>
      <c r="J885" s="10">
        <f>IFERROR(__xludf.DUMMYFUNCTION("""COMPUTED_VALUE"""),1.0)</f>
      </c>
      <c r="K885" s="11">
        <f>IFERROR(__xludf.DUMMYFUNCTION("""COMPUTED_VALUE"""),171.81)</f>
      </c>
      <c r="L885" s="10">
        <f>IFERROR(__xludf.DUMMYFUNCTION("""COMPUTED_VALUE"""),0.632)</f>
      </c>
      <c r="M885" s="11">
        <f>IFERROR(__xludf.DUMMYFUNCTION("""COMPUTED_VALUE"""),492.9)</f>
      </c>
      <c r="N885" s="10">
        <f>IFERROR(__xludf.DUMMYFUNCTION("""COMPUTED_VALUE"""),0.672)</f>
      </c>
      <c r="O885" s="11">
        <f>IFERROR(__xludf.DUMMYFUNCTION("""COMPUTED_VALUE"""),456.12)</f>
      </c>
      <c r="P885" s="12"/>
      <c r="Q885" s="12"/>
      <c r="R885" s="15"/>
      <c r="S885" s="12"/>
      <c r="T885" s="12"/>
      <c r="U885" s="12"/>
      <c r="V885" s="12"/>
      <c r="W885" s="12"/>
      <c r="X885" s="12"/>
      <c r="Y885" s="12"/>
      <c r="Z885" s="12"/>
    </row>
    <row x14ac:dyDescent="0.25" r="886" customHeight="1" ht="15.75">
      <c r="A886" s="8">
        <f>IFERROR(__xludf.DUMMYFUNCTION("""COMPUTED_VALUE"""),25109.0)</f>
      </c>
      <c r="B886" s="9">
        <f>IFERROR(__xludf.DUMMYFUNCTION("""COMPUTED_VALUE"""),"NORTE FLUMINENSE")</f>
      </c>
      <c r="C886" s="9">
        <f>IFERROR(__xludf.DUMMYFUNCTION("""COMPUTED_VALUE"""),"CE THOMAZ GOMES")</f>
      </c>
      <c r="D886" s="10">
        <f>IFERROR(__xludf.DUMMYFUNCTION("""COMPUTED_VALUE"""),0.7063)</f>
      </c>
      <c r="E886" s="11">
        <f>IFERROR(__xludf.DUMMYFUNCTION("""COMPUTED_VALUE"""),155.2)</f>
      </c>
      <c r="F886" s="10">
        <f>IFERROR(__xludf.DUMMYFUNCTION("""COMPUTED_VALUE"""),0.5397)</f>
      </c>
      <c r="G886" s="11">
        <f>IFERROR(__xludf.DUMMYFUNCTION("""COMPUTED_VALUE"""),389.71)</f>
      </c>
      <c r="H886" s="10">
        <f>IFERROR(__xludf.DUMMYFUNCTION("""COMPUTED_VALUE"""),0.2958)</f>
      </c>
      <c r="I886" s="11">
        <f>IFERROR(__xludf.DUMMYFUNCTION("""COMPUTED_VALUE"""),404.04)</f>
      </c>
      <c r="J886" s="10">
        <f>IFERROR(__xludf.DUMMYFUNCTION("""COMPUTED_VALUE"""),0.6417)</f>
      </c>
      <c r="K886" s="11">
        <f>IFERROR(__xludf.DUMMYFUNCTION("""COMPUTED_VALUE"""),"----")</f>
      </c>
      <c r="L886" s="10">
        <f>IFERROR(__xludf.DUMMYFUNCTION("""COMPUTED_VALUE"""),0.4225)</f>
      </c>
      <c r="M886" s="11">
        <f>IFERROR(__xludf.DUMMYFUNCTION("""COMPUTED_VALUE"""),"----")</f>
      </c>
      <c r="N886" s="10">
        <f>IFERROR(__xludf.DUMMYFUNCTION("""COMPUTED_VALUE"""),0.0423)</f>
      </c>
      <c r="O886" s="11">
        <f>IFERROR(__xludf.DUMMYFUNCTION("""COMPUTED_VALUE"""),373.34)</f>
      </c>
      <c r="P886" s="12"/>
      <c r="Q886" s="12"/>
      <c r="R886" s="15"/>
      <c r="S886" s="12"/>
      <c r="T886" s="12"/>
      <c r="U886" s="12"/>
      <c r="V886" s="12"/>
      <c r="W886" s="12"/>
      <c r="X886" s="12"/>
      <c r="Y886" s="12"/>
      <c r="Z886" s="12"/>
    </row>
    <row x14ac:dyDescent="0.25" r="887" customHeight="1" ht="15.75">
      <c r="A887" s="8">
        <f>IFERROR(__xludf.DUMMYFUNCTION("""COMPUTED_VALUE"""),25115.0)</f>
      </c>
      <c r="B887" s="9">
        <f>IFERROR(__xludf.DUMMYFUNCTION("""COMPUTED_VALUE"""),"NORTE FLUMINENSE")</f>
      </c>
      <c r="C887" s="9">
        <f>IFERROR(__xludf.DUMMYFUNCTION("""COMPUTED_VALUE"""),"CE TOBIAS TOSTES MACHADO")</f>
      </c>
      <c r="D887" s="10">
        <f>IFERROR(__xludf.DUMMYFUNCTION("""COMPUTED_VALUE"""),0.982)</f>
      </c>
      <c r="E887" s="11">
        <f>IFERROR(__xludf.DUMMYFUNCTION("""COMPUTED_VALUE"""),255.68)</f>
      </c>
      <c r="F887" s="10">
        <f>IFERROR(__xludf.DUMMYFUNCTION("""COMPUTED_VALUE"""),0.9928)</f>
      </c>
      <c r="G887" s="11">
        <f>IFERROR(__xludf.DUMMYFUNCTION("""COMPUTED_VALUE"""),365.65)</f>
      </c>
      <c r="H887" s="10">
        <f>IFERROR(__xludf.DUMMYFUNCTION("""COMPUTED_VALUE"""),0.8652)</f>
      </c>
      <c r="I887" s="11">
        <f>IFERROR(__xludf.DUMMYFUNCTION("""COMPUTED_VALUE"""),389.71)</f>
      </c>
      <c r="J887" s="10">
        <f>IFERROR(__xludf.DUMMYFUNCTION("""COMPUTED_VALUE"""),0.9223)</f>
      </c>
      <c r="K887" s="11">
        <f>IFERROR(__xludf.DUMMYFUNCTION("""COMPUTED_VALUE"""),347.95)</f>
      </c>
      <c r="L887" s="10">
        <f>IFERROR(__xludf.DUMMYFUNCTION("""COMPUTED_VALUE"""),0.8809)</f>
      </c>
      <c r="M887" s="11">
        <f>IFERROR(__xludf.DUMMYFUNCTION("""COMPUTED_VALUE"""),377.65)</f>
      </c>
      <c r="N887" s="10">
        <f>IFERROR(__xludf.DUMMYFUNCTION("""COMPUTED_VALUE"""),0.884)</f>
      </c>
      <c r="O887" s="11">
        <f>IFERROR(__xludf.DUMMYFUNCTION("""COMPUTED_VALUE"""),340.86)</f>
      </c>
      <c r="P887" s="12"/>
      <c r="Q887" s="12"/>
      <c r="R887" s="15"/>
      <c r="S887" s="12"/>
      <c r="T887" s="12"/>
      <c r="U887" s="12"/>
      <c r="V887" s="12"/>
      <c r="W887" s="12"/>
      <c r="X887" s="12"/>
      <c r="Y887" s="12"/>
      <c r="Z887" s="12"/>
    </row>
    <row x14ac:dyDescent="0.25" r="888" customHeight="1" ht="15.75">
      <c r="A888" s="8">
        <f>IFERROR(__xludf.DUMMYFUNCTION("""COMPUTED_VALUE"""),25126.0)</f>
      </c>
      <c r="B888" s="9">
        <f>IFERROR(__xludf.DUMMYFUNCTION("""COMPUTED_VALUE"""),"NORTE FLUMINENSE")</f>
      </c>
      <c r="C888" s="9">
        <f>IFERROR(__xludf.DUMMYFUNCTION("""COMPUTED_VALUE"""),"CE VISCONDE DE ARAUJO")</f>
      </c>
      <c r="D888" s="10">
        <f>IFERROR(__xludf.DUMMYFUNCTION("""COMPUTED_VALUE"""),0.9684)</f>
      </c>
      <c r="E888" s="11">
        <f>IFERROR(__xludf.DUMMYFUNCTION("""COMPUTED_VALUE"""),356.86)</f>
      </c>
      <c r="F888" s="10">
        <f>IFERROR(__xludf.DUMMYFUNCTION("""COMPUTED_VALUE"""),0.6677)</f>
      </c>
      <c r="G888" s="11">
        <f>IFERROR(__xludf.DUMMYFUNCTION("""COMPUTED_VALUE"""),470.1)</f>
      </c>
      <c r="H888" s="10">
        <f>IFERROR(__xludf.DUMMYFUNCTION("""COMPUTED_VALUE"""),0.6519)</f>
      </c>
      <c r="I888" s="11">
        <f>IFERROR(__xludf.DUMMYFUNCTION("""COMPUTED_VALUE"""),470.87)</f>
      </c>
      <c r="J888" s="10">
        <f>IFERROR(__xludf.DUMMYFUNCTION("""COMPUTED_VALUE"""),0.4905)</f>
      </c>
      <c r="K888" s="11">
        <f>IFERROR(__xludf.DUMMYFUNCTION("""COMPUTED_VALUE"""),437.29)</f>
      </c>
      <c r="L888" s="10">
        <f>IFERROR(__xludf.DUMMYFUNCTION("""COMPUTED_VALUE"""),0.5475)</f>
      </c>
      <c r="M888" s="11">
        <f>IFERROR(__xludf.DUMMYFUNCTION("""COMPUTED_VALUE"""),441.16)</f>
      </c>
      <c r="N888" s="10">
        <f>IFERROR(__xludf.DUMMYFUNCTION("""COMPUTED_VALUE"""),0.4778)</f>
      </c>
      <c r="O888" s="11">
        <f>IFERROR(__xludf.DUMMYFUNCTION("""COMPUTED_VALUE"""),487.79)</f>
      </c>
      <c r="P888" s="12"/>
      <c r="Q888" s="12"/>
      <c r="R888" s="15"/>
      <c r="S888" s="12"/>
      <c r="T888" s="12"/>
      <c r="U888" s="12"/>
      <c r="V888" s="12"/>
      <c r="W888" s="12"/>
      <c r="X888" s="12"/>
      <c r="Y888" s="12"/>
      <c r="Z888" s="12"/>
    </row>
    <row x14ac:dyDescent="0.25" r="889" customHeight="1" ht="15.75">
      <c r="A889" s="8">
        <f>IFERROR(__xludf.DUMMYFUNCTION("""COMPUTED_VALUE"""),25129.0)</f>
      </c>
      <c r="B889" s="9">
        <f>IFERROR(__xludf.DUMMYFUNCTION("""COMPUTED_VALUE"""),"NORTE FLUMINENSE")</f>
      </c>
      <c r="C889" s="9">
        <f>IFERROR(__xludf.DUMMYFUNCTION("""COMPUTED_VALUE"""),"CE VISCONDE DE QUISSAMA")</f>
      </c>
      <c r="D889" s="10">
        <f>IFERROR(__xludf.DUMMYFUNCTION("""COMPUTED_VALUE"""),0.9496)</f>
      </c>
      <c r="E889" s="11">
        <f>IFERROR(__xludf.DUMMYFUNCTION("""COMPUTED_VALUE"""),177.25)</f>
      </c>
      <c r="F889" s="10">
        <f>IFERROR(__xludf.DUMMYFUNCTION("""COMPUTED_VALUE"""),0.911)</f>
      </c>
      <c r="G889" s="11">
        <f>IFERROR(__xludf.DUMMYFUNCTION("""COMPUTED_VALUE"""),279.17)</f>
      </c>
      <c r="H889" s="10">
        <f>IFERROR(__xludf.DUMMYFUNCTION("""COMPUTED_VALUE"""),0.676)</f>
      </c>
      <c r="I889" s="11">
        <f>IFERROR(__xludf.DUMMYFUNCTION("""COMPUTED_VALUE"""),428.49)</f>
      </c>
      <c r="J889" s="10">
        <f>IFERROR(__xludf.DUMMYFUNCTION("""COMPUTED_VALUE"""),0.5507)</f>
      </c>
      <c r="K889" s="11">
        <f>IFERROR(__xludf.DUMMYFUNCTION("""COMPUTED_VALUE"""),295.99)</f>
      </c>
      <c r="L889" s="10">
        <f>IFERROR(__xludf.DUMMYFUNCTION("""COMPUTED_VALUE"""),0.6285)</f>
      </c>
      <c r="M889" s="11">
        <f>IFERROR(__xludf.DUMMYFUNCTION("""COMPUTED_VALUE"""),436.19)</f>
      </c>
      <c r="N889" s="10">
        <f>IFERROR(__xludf.DUMMYFUNCTION("""COMPUTED_VALUE"""),0.5363)</f>
      </c>
      <c r="O889" s="11">
        <f>IFERROR(__xludf.DUMMYFUNCTION("""COMPUTED_VALUE"""),424.32)</f>
      </c>
      <c r="P889" s="12"/>
      <c r="Q889" s="12"/>
      <c r="R889" s="15"/>
      <c r="S889" s="12"/>
      <c r="T889" s="12"/>
      <c r="U889" s="12"/>
      <c r="V889" s="12"/>
      <c r="W889" s="12"/>
      <c r="X889" s="12"/>
      <c r="Y889" s="12"/>
      <c r="Z889" s="12"/>
    </row>
    <row x14ac:dyDescent="0.25" r="890" customHeight="1" ht="15.75">
      <c r="A890" s="8">
        <f>IFERROR(__xludf.DUMMYFUNCTION("""COMPUTED_VALUE"""),25096.0)</f>
      </c>
      <c r="B890" s="9">
        <f>IFERROR(__xludf.DUMMYFUNCTION("""COMPUTED_VALUE"""),"NORTE FLUMINENSE")</f>
      </c>
      <c r="C890" s="9">
        <f>IFERROR(__xludf.DUMMYFUNCTION("""COMPUTED_VALUE"""),"CE VISCONDE DO RIO BRANCO")</f>
      </c>
      <c r="D890" s="10">
        <f>IFERROR(__xludf.DUMMYFUNCTION("""COMPUTED_VALUE"""),0.978)</f>
      </c>
      <c r="E890" s="11">
        <f>IFERROR(__xludf.DUMMYFUNCTION("""COMPUTED_VALUE"""),97.53)</f>
      </c>
      <c r="F890" s="10">
        <f>IFERROR(__xludf.DUMMYFUNCTION("""COMPUTED_VALUE"""),0.956)</f>
      </c>
      <c r="G890" s="11">
        <f>IFERROR(__xludf.DUMMYFUNCTION("""COMPUTED_VALUE"""),154.35)</f>
      </c>
      <c r="H890" s="10">
        <f>IFERROR(__xludf.DUMMYFUNCTION("""COMPUTED_VALUE"""),0.4725)</f>
      </c>
      <c r="I890" s="11">
        <f>IFERROR(__xludf.DUMMYFUNCTION("""COMPUTED_VALUE"""),427.62)</f>
      </c>
      <c r="J890" s="10">
        <f>IFERROR(__xludf.DUMMYFUNCTION("""COMPUTED_VALUE"""),0.6154)</f>
      </c>
      <c r="K890" s="11">
        <f>IFERROR(__xludf.DUMMYFUNCTION("""COMPUTED_VALUE"""),114.29)</f>
      </c>
      <c r="L890" s="10">
        <f>IFERROR(__xludf.DUMMYFUNCTION("""COMPUTED_VALUE"""),0.5714)</f>
      </c>
      <c r="M890" s="11">
        <f>IFERROR(__xludf.DUMMYFUNCTION("""COMPUTED_VALUE"""),342.31)</f>
      </c>
      <c r="N890" s="10">
        <f>IFERROR(__xludf.DUMMYFUNCTION("""COMPUTED_VALUE"""),0.5714)</f>
      </c>
      <c r="O890" s="11">
        <f>IFERROR(__xludf.DUMMYFUNCTION("""COMPUTED_VALUE"""),347.45)</f>
      </c>
      <c r="P890" s="12"/>
      <c r="Q890" s="12"/>
      <c r="R890" s="15"/>
      <c r="S890" s="12"/>
      <c r="T890" s="12"/>
      <c r="U890" s="12"/>
      <c r="V890" s="12"/>
      <c r="W890" s="12"/>
      <c r="X890" s="12"/>
      <c r="Y890" s="12"/>
      <c r="Z890" s="12"/>
    </row>
    <row x14ac:dyDescent="0.25" r="891" customHeight="1" ht="15.75">
      <c r="A891" s="8">
        <f>IFERROR(__xludf.DUMMYFUNCTION("""COMPUTED_VALUE"""),25098.0)</f>
      </c>
      <c r="B891" s="9">
        <f>IFERROR(__xludf.DUMMYFUNCTION("""COMPUTED_VALUE"""),"NORTE FLUMINENSE")</f>
      </c>
      <c r="C891" s="9">
        <f>IFERROR(__xludf.DUMMYFUNCTION("""COMPUTED_VALUE"""),"CIEP 056 DOUTOR CUSTODIO SIQUEIRA")</f>
      </c>
      <c r="D891" s="10">
        <f>IFERROR(__xludf.DUMMYFUNCTION("""COMPUTED_VALUE"""),0.751)</f>
      </c>
      <c r="E891" s="11">
        <f>IFERROR(__xludf.DUMMYFUNCTION("""COMPUTED_VALUE"""),173.91)</f>
      </c>
      <c r="F891" s="10">
        <f>IFERROR(__xludf.DUMMYFUNCTION("""COMPUTED_VALUE"""),0.6546)</f>
      </c>
      <c r="G891" s="11">
        <f>IFERROR(__xludf.DUMMYFUNCTION("""COMPUTED_VALUE"""),414.59)</f>
      </c>
      <c r="H891" s="10">
        <f>IFERROR(__xludf.DUMMYFUNCTION("""COMPUTED_VALUE"""),0.4528)</f>
      </c>
      <c r="I891" s="11">
        <f>IFERROR(__xludf.DUMMYFUNCTION("""COMPUTED_VALUE"""),425.58)</f>
      </c>
      <c r="J891" s="10">
        <f>IFERROR(__xludf.DUMMYFUNCTION("""COMPUTED_VALUE"""),0.6511)</f>
      </c>
      <c r="K891" s="11">
        <f>IFERROR(__xludf.DUMMYFUNCTION("""COMPUTED_VALUE"""),305.21)</f>
      </c>
      <c r="L891" s="10">
        <f>IFERROR(__xludf.DUMMYFUNCTION("""COMPUTED_VALUE"""),0.3935)</f>
      </c>
      <c r="M891" s="11">
        <f>IFERROR(__xludf.DUMMYFUNCTION("""COMPUTED_VALUE"""),442.88)</f>
      </c>
      <c r="N891" s="10">
        <f>IFERROR(__xludf.DUMMYFUNCTION("""COMPUTED_VALUE"""),0.1671)</f>
      </c>
      <c r="O891" s="11">
        <f>IFERROR(__xludf.DUMMYFUNCTION("""COMPUTED_VALUE"""),"----")</f>
      </c>
      <c r="P891" s="12"/>
      <c r="Q891" s="12"/>
      <c r="R891" s="15"/>
      <c r="S891" s="12"/>
      <c r="T891" s="12"/>
      <c r="U891" s="12"/>
      <c r="V891" s="12"/>
      <c r="W891" s="12"/>
      <c r="X891" s="12"/>
      <c r="Y891" s="12"/>
      <c r="Z891" s="12"/>
    </row>
    <row x14ac:dyDescent="0.25" r="892" customHeight="1" ht="15.75">
      <c r="A892" s="8">
        <f>IFERROR(__xludf.DUMMYFUNCTION("""COMPUTED_VALUE"""),25099.0)</f>
      </c>
      <c r="B892" s="9">
        <f>IFERROR(__xludf.DUMMYFUNCTION("""COMPUTED_VALUE"""),"NORTE FLUMINENSE")</f>
      </c>
      <c r="C892" s="9">
        <f>IFERROR(__xludf.DUMMYFUNCTION("""COMPUTED_VALUE"""),"CIEP 057 DOUTOR NILO PEÇANHA")</f>
      </c>
      <c r="D892" s="10">
        <f>IFERROR(__xludf.DUMMYFUNCTION("""COMPUTED_VALUE"""),0.9783)</f>
      </c>
      <c r="E892" s="11">
        <f>IFERROR(__xludf.DUMMYFUNCTION("""COMPUTED_VALUE"""),95.11)</f>
      </c>
      <c r="F892" s="10">
        <f>IFERROR(__xludf.DUMMYFUNCTION("""COMPUTED_VALUE"""),0.587)</f>
      </c>
      <c r="G892" s="11">
        <f>IFERROR(__xludf.DUMMYFUNCTION("""COMPUTED_VALUE"""),301.96)</f>
      </c>
      <c r="H892" s="10">
        <f>IFERROR(__xludf.DUMMYFUNCTION("""COMPUTED_VALUE"""),0.3824)</f>
      </c>
      <c r="I892" s="11">
        <f>IFERROR(__xludf.DUMMYFUNCTION("""COMPUTED_VALUE"""),372.31)</f>
      </c>
      <c r="J892" s="10">
        <f>IFERROR(__xludf.DUMMYFUNCTION("""COMPUTED_VALUE"""),0.5882)</f>
      </c>
      <c r="K892" s="11">
        <f>IFERROR(__xludf.DUMMYFUNCTION("""COMPUTED_VALUE"""),109.33)</f>
      </c>
      <c r="L892" s="10">
        <f>IFERROR(__xludf.DUMMYFUNCTION("""COMPUTED_VALUE"""),0.3676)</f>
      </c>
      <c r="M892" s="11">
        <f>IFERROR(__xludf.DUMMYFUNCTION("""COMPUTED_VALUE"""),310.4)</f>
      </c>
      <c r="N892" s="10">
        <f>IFERROR(__xludf.DUMMYFUNCTION("""COMPUTED_VALUE"""),0.5)</f>
      </c>
      <c r="O892" s="11">
        <f>IFERROR(__xludf.DUMMYFUNCTION("""COMPUTED_VALUE"""),312.75)</f>
      </c>
      <c r="P892" s="12"/>
      <c r="Q892" s="12"/>
      <c r="R892" s="15"/>
      <c r="S892" s="12"/>
      <c r="T892" s="12"/>
      <c r="U892" s="12"/>
      <c r="V892" s="12"/>
      <c r="W892" s="12"/>
      <c r="X892" s="12"/>
      <c r="Y892" s="12"/>
      <c r="Z892" s="12"/>
    </row>
    <row x14ac:dyDescent="0.25" r="893" customHeight="1" ht="15.75">
      <c r="A893" s="8">
        <f>IFERROR(__xludf.DUMMYFUNCTION("""COMPUTED_VALUE"""),25134.0)</f>
      </c>
      <c r="B893" s="9">
        <f>IFERROR(__xludf.DUMMYFUNCTION("""COMPUTED_VALUE"""),"NORTE FLUMINENSE")</f>
      </c>
      <c r="C893" s="9">
        <f>IFERROR(__xludf.DUMMYFUNCTION("""COMPUTED_VALUE"""),"CIEP 257 JOAQUIM DO REGO BARROS")</f>
      </c>
      <c r="D893" s="10">
        <f>IFERROR(__xludf.DUMMYFUNCTION("""COMPUTED_VALUE"""),0.6288)</f>
      </c>
      <c r="E893" s="11">
        <f>IFERROR(__xludf.DUMMYFUNCTION("""COMPUTED_VALUE"""),209.45)</f>
      </c>
      <c r="F893" s="10">
        <f>IFERROR(__xludf.DUMMYFUNCTION("""COMPUTED_VALUE"""),0.4298)</f>
      </c>
      <c r="G893" s="11">
        <f>IFERROR(__xludf.DUMMYFUNCTION("""COMPUTED_VALUE"""),331.91)</f>
      </c>
      <c r="H893" s="10">
        <f>IFERROR(__xludf.DUMMYFUNCTION("""COMPUTED_VALUE"""),0.5116)</f>
      </c>
      <c r="I893" s="11">
        <f>IFERROR(__xludf.DUMMYFUNCTION("""COMPUTED_VALUE"""),183.08)</f>
      </c>
      <c r="J893" s="10">
        <f>IFERROR(__xludf.DUMMYFUNCTION("""COMPUTED_VALUE"""),0.1526)</f>
      </c>
      <c r="K893" s="11">
        <f>IFERROR(__xludf.DUMMYFUNCTION("""COMPUTED_VALUE"""),195.97)</f>
      </c>
      <c r="L893" s="10">
        <f>IFERROR(__xludf.DUMMYFUNCTION("""COMPUTED_VALUE"""),0.5604)</f>
      </c>
      <c r="M893" s="11">
        <f>IFERROR(__xludf.DUMMYFUNCTION("""COMPUTED_VALUE"""),216.39)</f>
      </c>
      <c r="N893" s="10">
        <f>IFERROR(__xludf.DUMMYFUNCTION("""COMPUTED_VALUE"""),0.5018)</f>
      </c>
      <c r="O893" s="11">
        <f>IFERROR(__xludf.DUMMYFUNCTION("""COMPUTED_VALUE"""),236.76)</f>
      </c>
      <c r="P893" s="12"/>
      <c r="Q893" s="12"/>
      <c r="R893" s="15"/>
      <c r="S893" s="12"/>
      <c r="T893" s="12"/>
      <c r="U893" s="12"/>
      <c r="V893" s="12"/>
      <c r="W893" s="12"/>
      <c r="X893" s="12"/>
      <c r="Y893" s="12"/>
      <c r="Z893" s="12"/>
    </row>
    <row x14ac:dyDescent="0.25" r="894" customHeight="1" ht="15.75">
      <c r="A894" s="8">
        <f>IFERROR(__xludf.DUMMYFUNCTION("""COMPUTED_VALUE"""),25100.0)</f>
      </c>
      <c r="B894" s="9">
        <f>IFERROR(__xludf.DUMMYFUNCTION("""COMPUTED_VALUE"""),"NORTE FLUMINENSE")</f>
      </c>
      <c r="C894" s="9">
        <f>IFERROR(__xludf.DUMMYFUNCTION("""COMPUTED_VALUE"""),"CIEP 268 LUIZ CARLOS DE LACERDA")</f>
      </c>
      <c r="D894" s="10">
        <f>IFERROR(__xludf.DUMMYFUNCTION("""COMPUTED_VALUE"""),0.7727)</f>
      </c>
      <c r="E894" s="11">
        <f>IFERROR(__xludf.DUMMYFUNCTION("""COMPUTED_VALUE"""),160.59)</f>
      </c>
      <c r="F894" s="10">
        <f>IFERROR(__xludf.DUMMYFUNCTION("""COMPUTED_VALUE"""),0.7614)</f>
      </c>
      <c r="G894" s="11">
        <f>IFERROR(__xludf.DUMMYFUNCTION("""COMPUTED_VALUE"""),253.13)</f>
      </c>
      <c r="H894" s="10">
        <f>IFERROR(__xludf.DUMMYFUNCTION("""COMPUTED_VALUE"""),0.8864)</f>
      </c>
      <c r="I894" s="11">
        <f>IFERROR(__xludf.DUMMYFUNCTION("""COMPUTED_VALUE"""),325.79)</f>
      </c>
      <c r="J894" s="10">
        <f>IFERROR(__xludf.DUMMYFUNCTION("""COMPUTED_VALUE"""),0.8409)</f>
      </c>
      <c r="K894" s="11">
        <f>IFERROR(__xludf.DUMMYFUNCTION("""COMPUTED_VALUE"""),107.78)</f>
      </c>
      <c r="L894" s="10">
        <f>IFERROR(__xludf.DUMMYFUNCTION("""COMPUTED_VALUE"""),0.7273)</f>
      </c>
      <c r="M894" s="11">
        <f>IFERROR(__xludf.DUMMYFUNCTION("""COMPUTED_VALUE"""),344.38)</f>
      </c>
      <c r="N894" s="10">
        <f>IFERROR(__xludf.DUMMYFUNCTION("""COMPUTED_VALUE"""),0.7273)</f>
      </c>
      <c r="O894" s="11">
        <f>IFERROR(__xludf.DUMMYFUNCTION("""COMPUTED_VALUE"""),259.05)</f>
      </c>
      <c r="P894" s="12"/>
      <c r="Q894" s="12"/>
      <c r="R894" s="15"/>
      <c r="S894" s="12"/>
      <c r="T894" s="12"/>
      <c r="U894" s="12"/>
      <c r="V894" s="12"/>
      <c r="W894" s="12"/>
      <c r="X894" s="12"/>
      <c r="Y894" s="12"/>
      <c r="Z894" s="12"/>
    </row>
    <row x14ac:dyDescent="0.25" r="895" customHeight="1" ht="15.75">
      <c r="A895" s="8">
        <f>IFERROR(__xludf.DUMMYFUNCTION("""COMPUTED_VALUE"""),25101.0)</f>
      </c>
      <c r="B895" s="9">
        <f>IFERROR(__xludf.DUMMYFUNCTION("""COMPUTED_VALUE"""),"NORTE FLUMINENSE")</f>
      </c>
      <c r="C895" s="9">
        <f>IFERROR(__xludf.DUMMYFUNCTION("""COMPUTED_VALUE"""),"CIEP 270 PREFEITO JOSE ALVES DE AZEVEDO")</f>
      </c>
      <c r="D895" s="10">
        <f>IFERROR(__xludf.DUMMYFUNCTION("""COMPUTED_VALUE"""),0.7391)</f>
      </c>
      <c r="E895" s="11">
        <f>IFERROR(__xludf.DUMMYFUNCTION("""COMPUTED_VALUE"""),190.59)</f>
      </c>
      <c r="F895" s="10">
        <f>IFERROR(__xludf.DUMMYFUNCTION("""COMPUTED_VALUE"""),0.6522)</f>
      </c>
      <c r="G895" s="11">
        <f>IFERROR(__xludf.DUMMYFUNCTION("""COMPUTED_VALUE"""),306.66)</f>
      </c>
      <c r="H895" s="10">
        <f>IFERROR(__xludf.DUMMYFUNCTION("""COMPUTED_VALUE"""),0.5526)</f>
      </c>
      <c r="I895" s="11">
        <f>IFERROR(__xludf.DUMMYFUNCTION("""COMPUTED_VALUE"""),401.9)</f>
      </c>
      <c r="J895" s="10">
        <f>IFERROR(__xludf.DUMMYFUNCTION("""COMPUTED_VALUE"""),0.7568)</f>
      </c>
      <c r="K895" s="11">
        <f>IFERROR(__xludf.DUMMYFUNCTION("""COMPUTED_VALUE"""),252.42)</f>
      </c>
      <c r="L895" s="10">
        <f>IFERROR(__xludf.DUMMYFUNCTION("""COMPUTED_VALUE"""),0.5)</f>
      </c>
      <c r="M895" s="11">
        <f>IFERROR(__xludf.DUMMYFUNCTION("""COMPUTED_VALUE"""),400.21)</f>
      </c>
      <c r="N895" s="10">
        <f>IFERROR(__xludf.DUMMYFUNCTION("""COMPUTED_VALUE"""),0.5526)</f>
      </c>
      <c r="O895" s="11">
        <f>IFERROR(__xludf.DUMMYFUNCTION("""COMPUTED_VALUE"""),366.41)</f>
      </c>
      <c r="P895" s="12"/>
      <c r="Q895" s="12"/>
      <c r="R895" s="15"/>
      <c r="S895" s="12"/>
      <c r="T895" s="12"/>
      <c r="U895" s="12"/>
      <c r="V895" s="12"/>
      <c r="W895" s="12"/>
      <c r="X895" s="12"/>
      <c r="Y895" s="12"/>
      <c r="Z895" s="12"/>
    </row>
    <row x14ac:dyDescent="0.25" r="896" customHeight="1" ht="15.75">
      <c r="A896" s="8">
        <f>IFERROR(__xludf.DUMMYFUNCTION("""COMPUTED_VALUE"""),25116.0)</f>
      </c>
      <c r="B896" s="9">
        <f>IFERROR(__xludf.DUMMYFUNCTION("""COMPUTED_VALUE"""),"NORTE FLUMINENSE")</f>
      </c>
      <c r="C896" s="9">
        <f>IFERROR(__xludf.DUMMYFUNCTION("""COMPUTED_VALUE"""),"CIEP 271 JOSE BONIFACIO TASSARA")</f>
      </c>
      <c r="D896" s="10">
        <f>IFERROR(__xludf.DUMMYFUNCTION("""COMPUTED_VALUE"""),0.9545)</f>
      </c>
      <c r="E896" s="11">
        <f>IFERROR(__xludf.DUMMYFUNCTION("""COMPUTED_VALUE"""),188.57)</f>
      </c>
      <c r="F896" s="10">
        <f>IFERROR(__xludf.DUMMYFUNCTION("""COMPUTED_VALUE"""),0.6818)</f>
      </c>
      <c r="G896" s="11">
        <f>IFERROR(__xludf.DUMMYFUNCTION("""COMPUTED_VALUE"""),408.57)</f>
      </c>
      <c r="H896" s="10">
        <f>IFERROR(__xludf.DUMMYFUNCTION("""COMPUTED_VALUE"""),0.8182)</f>
      </c>
      <c r="I896" s="11">
        <f>IFERROR(__xludf.DUMMYFUNCTION("""COMPUTED_VALUE"""),444.44)</f>
      </c>
      <c r="J896" s="10">
        <f>IFERROR(__xludf.DUMMYFUNCTION("""COMPUTED_VALUE"""),0.7273)</f>
      </c>
      <c r="K896" s="11">
        <f>IFERROR(__xludf.DUMMYFUNCTION("""COMPUTED_VALUE"""),194.67)</f>
      </c>
      <c r="L896" s="10">
        <f>IFERROR(__xludf.DUMMYFUNCTION("""COMPUTED_VALUE"""),0.7727)</f>
      </c>
      <c r="M896" s="11">
        <f>IFERROR(__xludf.DUMMYFUNCTION("""COMPUTED_VALUE"""),418.82)</f>
      </c>
      <c r="N896" s="10">
        <f>IFERROR(__xludf.DUMMYFUNCTION("""COMPUTED_VALUE"""),0.7273)</f>
      </c>
      <c r="O896" s="11">
        <f>IFERROR(__xludf.DUMMYFUNCTION("""COMPUTED_VALUE"""),390.0)</f>
      </c>
      <c r="P896" s="12"/>
      <c r="Q896" s="12"/>
      <c r="R896" s="15"/>
      <c r="S896" s="12"/>
      <c r="T896" s="12"/>
      <c r="U896" s="12"/>
      <c r="V896" s="12"/>
      <c r="W896" s="12"/>
      <c r="X896" s="12"/>
      <c r="Y896" s="12"/>
      <c r="Z896" s="12"/>
    </row>
    <row x14ac:dyDescent="0.25" r="897" customHeight="1" ht="15.75">
      <c r="A897" s="8">
        <f>IFERROR(__xludf.DUMMYFUNCTION("""COMPUTED_VALUE"""),25128.0)</f>
      </c>
      <c r="B897" s="9">
        <f>IFERROR(__xludf.DUMMYFUNCTION("""COMPUTED_VALUE"""),"NORTE FLUMINENSE")</f>
      </c>
      <c r="C897" s="9">
        <f>IFERROR(__xludf.DUMMYFUNCTION("""COMPUTED_VALUE"""),"CIEP 393 PREFEITO CARLOS EMIR MUSSI")</f>
      </c>
      <c r="D897" s="10">
        <f>IFERROR(__xludf.DUMMYFUNCTION("""COMPUTED_VALUE"""),0.8262)</f>
      </c>
      <c r="E897" s="11">
        <f>IFERROR(__xludf.DUMMYFUNCTION("""COMPUTED_VALUE"""),313.54)</f>
      </c>
      <c r="F897" s="10">
        <f>IFERROR(__xludf.DUMMYFUNCTION("""COMPUTED_VALUE"""),0.5346)</f>
      </c>
      <c r="G897" s="11">
        <f>IFERROR(__xludf.DUMMYFUNCTION("""COMPUTED_VALUE"""),470.51)</f>
      </c>
      <c r="H897" s="10">
        <f>IFERROR(__xludf.DUMMYFUNCTION("""COMPUTED_VALUE"""),0.6168)</f>
      </c>
      <c r="I897" s="11">
        <f>IFERROR(__xludf.DUMMYFUNCTION("""COMPUTED_VALUE"""),461.05)</f>
      </c>
      <c r="J897" s="10">
        <f>IFERROR(__xludf.DUMMYFUNCTION("""COMPUTED_VALUE"""),0.6667)</f>
      </c>
      <c r="K897" s="11">
        <f>IFERROR(__xludf.DUMMYFUNCTION("""COMPUTED_VALUE"""),309.85)</f>
      </c>
      <c r="L897" s="10">
        <f>IFERROR(__xludf.DUMMYFUNCTION("""COMPUTED_VALUE"""),0.6756)</f>
      </c>
      <c r="M897" s="11">
        <f>IFERROR(__xludf.DUMMYFUNCTION("""COMPUTED_VALUE"""),462.0)</f>
      </c>
      <c r="N897" s="10">
        <f>IFERROR(__xludf.DUMMYFUNCTION("""COMPUTED_VALUE"""),0.5865)</f>
      </c>
      <c r="O897" s="11">
        <f>IFERROR(__xludf.DUMMYFUNCTION("""COMPUTED_VALUE"""),471.61)</f>
      </c>
      <c r="P897" s="12"/>
      <c r="Q897" s="12"/>
      <c r="R897" s="15"/>
      <c r="S897" s="12"/>
      <c r="T897" s="12"/>
      <c r="U897" s="12"/>
      <c r="V897" s="12"/>
      <c r="W897" s="12"/>
      <c r="X897" s="12"/>
      <c r="Y897" s="12"/>
      <c r="Z897" s="12"/>
    </row>
    <row x14ac:dyDescent="0.25" r="898" customHeight="1" ht="15.75">
      <c r="A898" s="8">
        <f>IFERROR(__xludf.DUMMYFUNCTION("""COMPUTED_VALUE"""),25102.0)</f>
      </c>
      <c r="B898" s="9">
        <f>IFERROR(__xludf.DUMMYFUNCTION("""COMPUTED_VALUE"""),"NORTE FLUMINENSE")</f>
      </c>
      <c r="C898" s="9">
        <f>IFERROR(__xludf.DUMMYFUNCTION("""COMPUTED_VALUE"""),"CIEP 417 GINÁSIO PÚBLICO JOSÉ DO PATROCÍNIO")</f>
      </c>
      <c r="D898" s="10">
        <f>IFERROR(__xludf.DUMMYFUNCTION("""COMPUTED_VALUE"""),0.775)</f>
      </c>
      <c r="E898" s="11">
        <f>IFERROR(__xludf.DUMMYFUNCTION("""COMPUTED_VALUE"""),206.45)</f>
      </c>
      <c r="F898" s="10">
        <f>IFERROR(__xludf.DUMMYFUNCTION("""COMPUTED_VALUE"""),0.625)</f>
      </c>
      <c r="G898" s="11">
        <f>IFERROR(__xludf.DUMMYFUNCTION("""COMPUTED_VALUE"""),352.96)</f>
      </c>
      <c r="H898" s="10">
        <f>IFERROR(__xludf.DUMMYFUNCTION("""COMPUTED_VALUE"""),0.5102)</f>
      </c>
      <c r="I898" s="11">
        <f>IFERROR(__xludf.DUMMYFUNCTION("""COMPUTED_VALUE"""),315.28)</f>
      </c>
      <c r="J898" s="10">
        <f>IFERROR(__xludf.DUMMYFUNCTION("""COMPUTED_VALUE"""),0.8293)</f>
      </c>
      <c r="K898" s="11">
        <f>IFERROR(__xludf.DUMMYFUNCTION("""COMPUTED_VALUE"""),329.41)</f>
      </c>
      <c r="L898" s="10">
        <f>IFERROR(__xludf.DUMMYFUNCTION("""COMPUTED_VALUE"""),0.4082)</f>
      </c>
      <c r="M898" s="11">
        <f>IFERROR(__xludf.DUMMYFUNCTION("""COMPUTED_VALUE"""),"----")</f>
      </c>
      <c r="N898" s="10">
        <f>IFERROR(__xludf.DUMMYFUNCTION("""COMPUTED_VALUE"""),0.4694)</f>
      </c>
      <c r="O898" s="11">
        <f>IFERROR(__xludf.DUMMYFUNCTION("""COMPUTED_VALUE"""),401.74)</f>
      </c>
      <c r="P898" s="12"/>
      <c r="Q898" s="12"/>
      <c r="R898" s="15"/>
      <c r="S898" s="12"/>
      <c r="T898" s="12"/>
      <c r="U898" s="12"/>
      <c r="V898" s="12"/>
      <c r="W898" s="12"/>
      <c r="X898" s="12"/>
      <c r="Y898" s="12"/>
      <c r="Z898" s="12"/>
    </row>
    <row x14ac:dyDescent="0.25" r="899" customHeight="1" ht="15.75">
      <c r="A899" s="8">
        <f>IFERROR(__xludf.DUMMYFUNCTION("""COMPUTED_VALUE"""),25103.0)</f>
      </c>
      <c r="B899" s="9">
        <f>IFERROR(__xludf.DUMMYFUNCTION("""COMPUTED_VALUE"""),"NORTE FLUMINENSE")</f>
      </c>
      <c r="C899" s="9">
        <f>IFERROR(__xludf.DUMMYFUNCTION("""COMPUTED_VALUE"""),"CIEP 461 CLOVIS TAVARES")</f>
      </c>
      <c r="D899" s="10">
        <f>IFERROR(__xludf.DUMMYFUNCTION("""COMPUTED_VALUE"""),0.9775)</f>
      </c>
      <c r="E899" s="11">
        <f>IFERROR(__xludf.DUMMYFUNCTION("""COMPUTED_VALUE"""),197.24)</f>
      </c>
      <c r="F899" s="10">
        <f>IFERROR(__xludf.DUMMYFUNCTION("""COMPUTED_VALUE"""),0.9888)</f>
      </c>
      <c r="G899" s="11">
        <f>IFERROR(__xludf.DUMMYFUNCTION("""COMPUTED_VALUE"""),285.5)</f>
      </c>
      <c r="H899" s="10">
        <f>IFERROR(__xludf.DUMMYFUNCTION("""COMPUTED_VALUE"""),1.0)</f>
      </c>
      <c r="I899" s="11">
        <f>IFERROR(__xludf.DUMMYFUNCTION("""COMPUTED_VALUE"""),279.09)</f>
      </c>
      <c r="J899" s="10">
        <f>IFERROR(__xludf.DUMMYFUNCTION("""COMPUTED_VALUE"""),0.9888)</f>
      </c>
      <c r="K899" s="11">
        <f>IFERROR(__xludf.DUMMYFUNCTION("""COMPUTED_VALUE"""),217.73)</f>
      </c>
      <c r="L899" s="10">
        <f>IFERROR(__xludf.DUMMYFUNCTION("""COMPUTED_VALUE"""),1.0)</f>
      </c>
      <c r="M899" s="11">
        <f>IFERROR(__xludf.DUMMYFUNCTION("""COMPUTED_VALUE"""),313.26)</f>
      </c>
      <c r="N899" s="10">
        <f>IFERROR(__xludf.DUMMYFUNCTION("""COMPUTED_VALUE"""),1.0)</f>
      </c>
      <c r="O899" s="11">
        <f>IFERROR(__xludf.DUMMYFUNCTION("""COMPUTED_VALUE"""),334.55)</f>
      </c>
      <c r="P899" s="12"/>
      <c r="Q899" s="12"/>
      <c r="R899" s="15"/>
      <c r="S899" s="12"/>
      <c r="T899" s="12"/>
      <c r="U899" s="12"/>
      <c r="V899" s="12"/>
      <c r="W899" s="12"/>
      <c r="X899" s="12"/>
      <c r="Y899" s="12"/>
      <c r="Z899" s="12"/>
    </row>
    <row x14ac:dyDescent="0.25" r="900" customHeight="1" ht="15.75">
      <c r="A900" s="8">
        <f>IFERROR(__xludf.DUMMYFUNCTION("""COMPUTED_VALUE"""),25104.0)</f>
      </c>
      <c r="B900" s="9">
        <f>IFERROR(__xludf.DUMMYFUNCTION("""COMPUTED_VALUE"""),"NORTE FLUMINENSE")</f>
      </c>
      <c r="C900" s="9">
        <f>IFERROR(__xludf.DUMMYFUNCTION("""COMPUTED_VALUE"""),"CIEP 462 NACAO GOITACA")</f>
      </c>
      <c r="D900" s="10">
        <f>IFERROR(__xludf.DUMMYFUNCTION("""COMPUTED_VALUE"""),1.0)</f>
      </c>
      <c r="E900" s="11">
        <f>IFERROR(__xludf.DUMMYFUNCTION("""COMPUTED_VALUE"""),174.29)</f>
      </c>
      <c r="F900" s="10">
        <f>IFERROR(__xludf.DUMMYFUNCTION("""COMPUTED_VALUE"""),0.75)</f>
      </c>
      <c r="G900" s="11">
        <f>IFERROR(__xludf.DUMMYFUNCTION("""COMPUTED_VALUE"""),410.91)</f>
      </c>
      <c r="H900" s="10">
        <f>IFERROR(__xludf.DUMMYFUNCTION("""COMPUTED_VALUE"""),0.7)</f>
      </c>
      <c r="I900" s="11">
        <f>IFERROR(__xludf.DUMMYFUNCTION("""COMPUTED_VALUE"""),400.95)</f>
      </c>
      <c r="J900" s="10">
        <f>IFERROR(__xludf.DUMMYFUNCTION("""COMPUTED_VALUE"""),0.6333)</f>
      </c>
      <c r="K900" s="11">
        <f>IFERROR(__xludf.DUMMYFUNCTION("""COMPUTED_VALUE"""),365.0)</f>
      </c>
      <c r="L900" s="10">
        <f>IFERROR(__xludf.DUMMYFUNCTION("""COMPUTED_VALUE"""),0.6)</f>
      </c>
      <c r="M900" s="11">
        <f>IFERROR(__xludf.DUMMYFUNCTION("""COMPUTED_VALUE"""),455.56)</f>
      </c>
      <c r="N900" s="10">
        <f>IFERROR(__xludf.DUMMYFUNCTION("""COMPUTED_VALUE"""),0.5167)</f>
      </c>
      <c r="O900" s="11">
        <f>IFERROR(__xludf.DUMMYFUNCTION("""COMPUTED_VALUE"""),442.58)</f>
      </c>
      <c r="P900" s="12"/>
      <c r="Q900" s="12"/>
      <c r="R900" s="15"/>
      <c r="S900" s="12"/>
      <c r="T900" s="12"/>
      <c r="U900" s="12"/>
      <c r="V900" s="12"/>
      <c r="W900" s="12"/>
      <c r="X900" s="12"/>
      <c r="Y900" s="12"/>
      <c r="Z900" s="12"/>
    </row>
    <row x14ac:dyDescent="0.25" r="901" customHeight="1" ht="15.75">
      <c r="A901" s="8">
        <f>IFERROR(__xludf.DUMMYFUNCTION("""COMPUTED_VALUE"""),25105.0)</f>
      </c>
      <c r="B901" s="9">
        <f>IFERROR(__xludf.DUMMYFUNCTION("""COMPUTED_VALUE"""),"NORTE FLUMINENSE")</f>
      </c>
      <c r="C901" s="9">
        <f>IFERROR(__xludf.DUMMYFUNCTION("""COMPUTED_VALUE"""),"CIEP 463 JOÃO BORGES BARRETO")</f>
      </c>
      <c r="D901" s="10">
        <f>IFERROR(__xludf.DUMMYFUNCTION("""COMPUTED_VALUE"""),0.91)</f>
      </c>
      <c r="E901" s="11">
        <f>IFERROR(__xludf.DUMMYFUNCTION("""COMPUTED_VALUE"""),365.79)</f>
      </c>
      <c r="F901" s="10">
        <f>IFERROR(__xludf.DUMMYFUNCTION("""COMPUTED_VALUE"""),0.97)</f>
      </c>
      <c r="G901" s="11">
        <f>IFERROR(__xludf.DUMMYFUNCTION("""COMPUTED_VALUE"""),418.62)</f>
      </c>
      <c r="H901" s="10">
        <f>IFERROR(__xludf.DUMMYFUNCTION("""COMPUTED_VALUE"""),0.6613)</f>
      </c>
      <c r="I901" s="11">
        <f>IFERROR(__xludf.DUMMYFUNCTION("""COMPUTED_VALUE"""),559.51)</f>
      </c>
      <c r="J901" s="10">
        <f>IFERROR(__xludf.DUMMYFUNCTION("""COMPUTED_VALUE"""),0.6263)</f>
      </c>
      <c r="K901" s="11">
        <f>IFERROR(__xludf.DUMMYFUNCTION("""COMPUTED_VALUE"""),563.55)</f>
      </c>
      <c r="L901" s="10">
        <f>IFERROR(__xludf.DUMMYFUNCTION("""COMPUTED_VALUE"""),0.5)</f>
      </c>
      <c r="M901" s="11">
        <f>IFERROR(__xludf.DUMMYFUNCTION("""COMPUTED_VALUE"""),"----")</f>
      </c>
      <c r="N901" s="10">
        <f>IFERROR(__xludf.DUMMYFUNCTION("""COMPUTED_VALUE"""),0.4677)</f>
      </c>
      <c r="O901" s="11">
        <f>IFERROR(__xludf.DUMMYFUNCTION("""COMPUTED_VALUE"""),617.93)</f>
      </c>
      <c r="P901" s="12"/>
      <c r="Q901" s="12"/>
      <c r="R901" s="15"/>
      <c r="S901" s="12"/>
      <c r="T901" s="12"/>
      <c r="U901" s="12"/>
      <c r="V901" s="12"/>
      <c r="W901" s="12"/>
      <c r="X901" s="12"/>
      <c r="Y901" s="12"/>
      <c r="Z901" s="12"/>
    </row>
    <row x14ac:dyDescent="0.25" r="902" customHeight="1" ht="15.75">
      <c r="A902" s="8">
        <f>IFERROR(__xludf.DUMMYFUNCTION("""COMPUTED_VALUE"""),25111.0)</f>
      </c>
      <c r="B902" s="9">
        <f>IFERROR(__xludf.DUMMYFUNCTION("""COMPUTED_VALUE"""),"NORTE FLUMINENSE")</f>
      </c>
      <c r="C902" s="9">
        <f>IFERROR(__xludf.DUMMYFUNCTION("""COMPUTED_VALUE"""),"CIEP 464 ADMAR FERREIRA DE MEDEIROS")</f>
      </c>
      <c r="D902" s="10">
        <f>IFERROR(__xludf.DUMMYFUNCTION("""COMPUTED_VALUE"""),1.0)</f>
      </c>
      <c r="E902" s="11">
        <f>IFERROR(__xludf.DUMMYFUNCTION("""COMPUTED_VALUE"""),199.07)</f>
      </c>
      <c r="F902" s="10">
        <f>IFERROR(__xludf.DUMMYFUNCTION("""COMPUTED_VALUE"""),0.6744)</f>
      </c>
      <c r="G902" s="11">
        <f>IFERROR(__xludf.DUMMYFUNCTION("""COMPUTED_VALUE"""),497.93)</f>
      </c>
      <c r="H902" s="10">
        <f>IFERROR(__xludf.DUMMYFUNCTION("""COMPUTED_VALUE"""),0.4561)</f>
      </c>
      <c r="I902" s="11">
        <f>IFERROR(__xludf.DUMMYFUNCTION("""COMPUTED_VALUE"""),530.77)</f>
      </c>
      <c r="J902" s="10">
        <f>IFERROR(__xludf.DUMMYFUNCTION("""COMPUTED_VALUE"""),0.8235)</f>
      </c>
      <c r="K902" s="11">
        <f>IFERROR(__xludf.DUMMYFUNCTION("""COMPUTED_VALUE"""),437.48)</f>
      </c>
      <c r="L902" s="10">
        <f>IFERROR(__xludf.DUMMYFUNCTION("""COMPUTED_VALUE"""),0.4737)</f>
      </c>
      <c r="M902" s="11">
        <f>IFERROR(__xludf.DUMMYFUNCTION("""COMPUTED_VALUE"""),491.85)</f>
      </c>
      <c r="N902" s="10">
        <f>IFERROR(__xludf.DUMMYFUNCTION("""COMPUTED_VALUE"""),0.4912)</f>
      </c>
      <c r="O902" s="11">
        <f>IFERROR(__xludf.DUMMYFUNCTION("""COMPUTED_VALUE"""),531.43)</f>
      </c>
      <c r="P902" s="12"/>
      <c r="Q902" s="12"/>
      <c r="R902" s="15"/>
      <c r="S902" s="12"/>
      <c r="T902" s="12"/>
      <c r="U902" s="12"/>
      <c r="V902" s="12"/>
      <c r="W902" s="12"/>
      <c r="X902" s="12"/>
      <c r="Y902" s="12"/>
      <c r="Z902" s="12"/>
    </row>
    <row x14ac:dyDescent="0.25" r="903" customHeight="1" ht="15.75">
      <c r="A903" s="8">
        <f>IFERROR(__xludf.DUMMYFUNCTION("""COMPUTED_VALUE"""),25106.0)</f>
      </c>
      <c r="B903" s="9">
        <f>IFERROR(__xludf.DUMMYFUNCTION("""COMPUTED_VALUE"""),"NORTE FLUMINENSE")</f>
      </c>
      <c r="C903" s="9">
        <f>IFERROR(__xludf.DUMMYFUNCTION("""COMPUTED_VALUE"""),"CIEP 466 NINA ARUEIRA")</f>
      </c>
      <c r="D903" s="10">
        <f>IFERROR(__xludf.DUMMYFUNCTION("""COMPUTED_VALUE"""),0.7692)</f>
      </c>
      <c r="E903" s="11">
        <f>IFERROR(__xludf.DUMMYFUNCTION("""COMPUTED_VALUE"""),66.0)</f>
      </c>
      <c r="F903" s="10">
        <f>IFERROR(__xludf.DUMMYFUNCTION("""COMPUTED_VALUE"""),0.7692)</f>
      </c>
      <c r="G903" s="11">
        <f>IFERROR(__xludf.DUMMYFUNCTION("""COMPUTED_VALUE"""),380.0)</f>
      </c>
      <c r="H903" s="10">
        <f>IFERROR(__xludf.DUMMYFUNCTION("""COMPUTED_VALUE"""),0.413)</f>
      </c>
      <c r="I903" s="11">
        <f>IFERROR(__xludf.DUMMYFUNCTION("""COMPUTED_VALUE"""),273.26)</f>
      </c>
      <c r="J903" s="10">
        <f>IFERROR(__xludf.DUMMYFUNCTION("""COMPUTED_VALUE"""),0.7647)</f>
      </c>
      <c r="K903" s="11">
        <f>IFERROR(__xludf.DUMMYFUNCTION("""COMPUTED_VALUE"""),181.26)</f>
      </c>
      <c r="L903" s="10">
        <f>IFERROR(__xludf.DUMMYFUNCTION("""COMPUTED_VALUE"""),0.2826)</f>
      </c>
      <c r="M903" s="11">
        <f>IFERROR(__xludf.DUMMYFUNCTION("""COMPUTED_VALUE"""),486.15)</f>
      </c>
      <c r="N903" s="10">
        <f>IFERROR(__xludf.DUMMYFUNCTION("""COMPUTED_VALUE"""),0.3913)</f>
      </c>
      <c r="O903" s="11">
        <f>IFERROR(__xludf.DUMMYFUNCTION("""COMPUTED_VALUE"""),378.59)</f>
      </c>
      <c r="P903" s="12"/>
      <c r="Q903" s="12"/>
      <c r="R903" s="15"/>
      <c r="S903" s="12"/>
      <c r="T903" s="12"/>
      <c r="U903" s="12"/>
      <c r="V903" s="12"/>
      <c r="W903" s="12"/>
      <c r="X903" s="12"/>
      <c r="Y903" s="12"/>
      <c r="Z903" s="12"/>
    </row>
    <row x14ac:dyDescent="0.25" r="904" customHeight="1" ht="15.75">
      <c r="A904" s="8">
        <f>IFERROR(__xludf.DUMMYFUNCTION("""COMPUTED_VALUE"""),25148.0)</f>
      </c>
      <c r="B904" s="9">
        <f>IFERROR(__xludf.DUMMYFUNCTION("""COMPUTED_VALUE"""),"NORTE FLUMINENSE")</f>
      </c>
      <c r="C904" s="9">
        <f>IFERROR(__xludf.DUMMYFUNCTION("""COMPUTED_VALUE"""),"CIEP 470 CELSO MARTINS CORDEIRO")</f>
      </c>
      <c r="D904" s="10">
        <f>IFERROR(__xludf.DUMMYFUNCTION("""COMPUTED_VALUE"""),0.9789)</f>
      </c>
      <c r="E904" s="11">
        <f>IFERROR(__xludf.DUMMYFUNCTION("""COMPUTED_VALUE"""),175.91)</f>
      </c>
      <c r="F904" s="10">
        <f>IFERROR(__xludf.DUMMYFUNCTION("""COMPUTED_VALUE"""),0.6737)</f>
      </c>
      <c r="G904" s="11">
        <f>IFERROR(__xludf.DUMMYFUNCTION("""COMPUTED_VALUE"""),365.08)</f>
      </c>
      <c r="H904" s="10">
        <f>IFERROR(__xludf.DUMMYFUNCTION("""COMPUTED_VALUE"""),0.5895)</f>
      </c>
      <c r="I904" s="11">
        <f>IFERROR(__xludf.DUMMYFUNCTION("""COMPUTED_VALUE"""),444.36)</f>
      </c>
      <c r="J904" s="10">
        <f>IFERROR(__xludf.DUMMYFUNCTION("""COMPUTED_VALUE"""),0.7263)</f>
      </c>
      <c r="K904" s="11">
        <f>IFERROR(__xludf.DUMMYFUNCTION("""COMPUTED_VALUE"""),363.08)</f>
      </c>
      <c r="L904" s="10">
        <f>IFERROR(__xludf.DUMMYFUNCTION("""COMPUTED_VALUE"""),0.6211)</f>
      </c>
      <c r="M904" s="11">
        <f>IFERROR(__xludf.DUMMYFUNCTION("""COMPUTED_VALUE"""),445.42)</f>
      </c>
      <c r="N904" s="10">
        <f>IFERROR(__xludf.DUMMYFUNCTION("""COMPUTED_VALUE"""),0.6)</f>
      </c>
      <c r="O904" s="11">
        <f>IFERROR(__xludf.DUMMYFUNCTION("""COMPUTED_VALUE"""),468.07)</f>
      </c>
      <c r="P904" s="12"/>
      <c r="Q904" s="12"/>
      <c r="R904" s="15"/>
      <c r="S904" s="12"/>
      <c r="T904" s="12"/>
      <c r="U904" s="12"/>
      <c r="V904" s="12"/>
      <c r="W904" s="12"/>
      <c r="X904" s="12"/>
      <c r="Y904" s="12"/>
      <c r="Z904" s="12"/>
    </row>
    <row x14ac:dyDescent="0.25" r="905" customHeight="1" ht="15.75">
      <c r="A905" s="8">
        <f>IFERROR(__xludf.DUMMYFUNCTION("""COMPUTED_VALUE"""),25108.0)</f>
      </c>
      <c r="B905" s="9">
        <f>IFERROR(__xludf.DUMMYFUNCTION("""COMPUTED_VALUE"""),"NORTE FLUMINENSE")</f>
      </c>
      <c r="C905" s="9">
        <f>IFERROR(__xludf.DUMMYFUNCTION("""COMPUTED_VALUE"""),"LICEU DE HUMANIDADES DE CAMPOS")</f>
      </c>
      <c r="D905" s="10">
        <f>IFERROR(__xludf.DUMMYFUNCTION("""COMPUTED_VALUE"""),0.8413)</f>
      </c>
      <c r="E905" s="11">
        <f>IFERROR(__xludf.DUMMYFUNCTION("""COMPUTED_VALUE"""),285.8)</f>
      </c>
      <c r="F905" s="10">
        <f>IFERROR(__xludf.DUMMYFUNCTION("""COMPUTED_VALUE"""),0.5258)</f>
      </c>
      <c r="G905" s="11">
        <f>IFERROR(__xludf.DUMMYFUNCTION("""COMPUTED_VALUE"""),396.35)</f>
      </c>
      <c r="H905" s="10">
        <f>IFERROR(__xludf.DUMMYFUNCTION("""COMPUTED_VALUE"""),0.5315)</f>
      </c>
      <c r="I905" s="11">
        <f>IFERROR(__xludf.DUMMYFUNCTION("""COMPUTED_VALUE"""),459.42)</f>
      </c>
      <c r="J905" s="10">
        <f>IFERROR(__xludf.DUMMYFUNCTION("""COMPUTED_VALUE"""),0.5698)</f>
      </c>
      <c r="K905" s="11">
        <f>IFERROR(__xludf.DUMMYFUNCTION("""COMPUTED_VALUE"""),401.35)</f>
      </c>
      <c r="L905" s="10">
        <f>IFERROR(__xludf.DUMMYFUNCTION("""COMPUTED_VALUE"""),0.6291)</f>
      </c>
      <c r="M905" s="11">
        <f>IFERROR(__xludf.DUMMYFUNCTION("""COMPUTED_VALUE"""),476.94)</f>
      </c>
      <c r="N905" s="10">
        <f>IFERROR(__xludf.DUMMYFUNCTION("""COMPUTED_VALUE"""),0.5201)</f>
      </c>
      <c r="O905" s="11">
        <f>IFERROR(__xludf.DUMMYFUNCTION("""COMPUTED_VALUE"""),463.53)</f>
      </c>
      <c r="P905" s="12"/>
      <c r="Q905" s="12"/>
      <c r="R905" s="15"/>
      <c r="S905" s="12"/>
      <c r="T905" s="12"/>
      <c r="U905" s="12"/>
      <c r="V905" s="12"/>
      <c r="W905" s="12"/>
      <c r="X905" s="12"/>
      <c r="Y905" s="12"/>
      <c r="Z905" s="12"/>
    </row>
    <row x14ac:dyDescent="0.25" r="906" customHeight="1" ht="15.75">
      <c r="A906" s="8">
        <f>IFERROR(__xludf.DUMMYFUNCTION("""COMPUTED_VALUE"""),25748.0)</f>
      </c>
      <c r="B906" s="9">
        <f>IFERROR(__xludf.DUMMYFUNCTION("""COMPUTED_VALUE"""),"SERRANA I")</f>
      </c>
      <c r="C906" s="9">
        <f>IFERROR(__xludf.DUMMYFUNCTION("""COMPUTED_VALUE"""),"CE ALCINDO GUANABARA")</f>
      </c>
      <c r="D906" s="10">
        <f>IFERROR(__xludf.DUMMYFUNCTION("""COMPUTED_VALUE"""),0.9854)</f>
      </c>
      <c r="E906" s="11">
        <f>IFERROR(__xludf.DUMMYFUNCTION("""COMPUTED_VALUE"""),244.15)</f>
      </c>
      <c r="F906" s="10">
        <f>IFERROR(__xludf.DUMMYFUNCTION("""COMPUTED_VALUE"""),0.7105)</f>
      </c>
      <c r="G906" s="11">
        <f>IFERROR(__xludf.DUMMYFUNCTION("""COMPUTED_VALUE"""),422.22)</f>
      </c>
      <c r="H906" s="10">
        <f>IFERROR(__xludf.DUMMYFUNCTION("""COMPUTED_VALUE"""),0.6449)</f>
      </c>
      <c r="I906" s="11">
        <f>IFERROR(__xludf.DUMMYFUNCTION("""COMPUTED_VALUE"""),484.46)</f>
      </c>
      <c r="J906" s="10">
        <f>IFERROR(__xludf.DUMMYFUNCTION("""COMPUTED_VALUE"""),0.6619)</f>
      </c>
      <c r="K906" s="11">
        <f>IFERROR(__xludf.DUMMYFUNCTION("""COMPUTED_VALUE"""),399.57)</f>
      </c>
      <c r="L906" s="10">
        <f>IFERROR(__xludf.DUMMYFUNCTION("""COMPUTED_VALUE"""),0.618)</f>
      </c>
      <c r="M906" s="11">
        <f>IFERROR(__xludf.DUMMYFUNCTION("""COMPUTED_VALUE"""),469.11)</f>
      </c>
      <c r="N906" s="10">
        <f>IFERROR(__xludf.DUMMYFUNCTION("""COMPUTED_VALUE"""),0.5798)</f>
      </c>
      <c r="O906" s="11">
        <f>IFERROR(__xludf.DUMMYFUNCTION("""COMPUTED_VALUE"""),496.2)</f>
      </c>
      <c r="P906" s="12"/>
      <c r="Q906" s="12"/>
      <c r="R906" s="15"/>
      <c r="S906" s="12"/>
      <c r="T906" s="12"/>
      <c r="U906" s="12"/>
      <c r="V906" s="12"/>
      <c r="W906" s="12"/>
      <c r="X906" s="12"/>
      <c r="Y906" s="12"/>
      <c r="Z906" s="12"/>
    </row>
    <row x14ac:dyDescent="0.25" r="907" customHeight="1" ht="15.75">
      <c r="A907" s="8">
        <f>IFERROR(__xludf.DUMMYFUNCTION("""COMPUTED_VALUE"""),25798.0)</f>
      </c>
      <c r="B907" s="9">
        <f>IFERROR(__xludf.DUMMYFUNCTION("""COMPUTED_VALUE"""),"SERRANA I")</f>
      </c>
      <c r="C907" s="9">
        <f>IFERROR(__xludf.DUMMYFUNCTION("""COMPUTED_VALUE"""),"CE CABO BM FLÁVIO UANDERSON RODRIGUES DE FREITAS")</f>
      </c>
      <c r="D907" s="10">
        <f>IFERROR(__xludf.DUMMYFUNCTION("""COMPUTED_VALUE"""),0.9846)</f>
      </c>
      <c r="E907" s="11">
        <f>IFERROR(__xludf.DUMMYFUNCTION("""COMPUTED_VALUE"""),499.38)</f>
      </c>
      <c r="F907" s="10">
        <f>IFERROR(__xludf.DUMMYFUNCTION("""COMPUTED_VALUE"""),0.9846)</f>
      </c>
      <c r="G907" s="11">
        <f>IFERROR(__xludf.DUMMYFUNCTION("""COMPUTED_VALUE"""),537.5)</f>
      </c>
      <c r="H907" s="10">
        <f>IFERROR(__xludf.DUMMYFUNCTION("""COMPUTED_VALUE"""),0.9692)</f>
      </c>
      <c r="I907" s="11">
        <f>IFERROR(__xludf.DUMMYFUNCTION("""COMPUTED_VALUE"""),610.79)</f>
      </c>
      <c r="J907" s="10">
        <f>IFERROR(__xludf.DUMMYFUNCTION("""COMPUTED_VALUE"""),0.9692)</f>
      </c>
      <c r="K907" s="11">
        <f>IFERROR(__xludf.DUMMYFUNCTION("""COMPUTED_VALUE"""),599.37)</f>
      </c>
      <c r="L907" s="10">
        <f>IFERROR(__xludf.DUMMYFUNCTION("""COMPUTED_VALUE"""),0.9538)</f>
      </c>
      <c r="M907" s="11">
        <f>IFERROR(__xludf.DUMMYFUNCTION("""COMPUTED_VALUE"""),622.58)</f>
      </c>
      <c r="N907" s="10">
        <f>IFERROR(__xludf.DUMMYFUNCTION("""COMPUTED_VALUE"""),0.9077)</f>
      </c>
      <c r="O907" s="11">
        <f>IFERROR(__xludf.DUMMYFUNCTION("""COMPUTED_VALUE"""),606.1)</f>
      </c>
      <c r="P907" s="12"/>
      <c r="Q907" s="12"/>
      <c r="R907" s="15"/>
      <c r="S907" s="12"/>
      <c r="T907" s="12"/>
      <c r="U907" s="12"/>
      <c r="V907" s="12"/>
      <c r="W907" s="12"/>
      <c r="X907" s="12"/>
      <c r="Y907" s="12"/>
      <c r="Z907" s="12"/>
    </row>
    <row x14ac:dyDescent="0.25" r="908" customHeight="1" ht="15.75">
      <c r="A908" s="8">
        <f>IFERROR(__xludf.DUMMYFUNCTION("""COMPUTED_VALUE"""),25745.0)</f>
      </c>
      <c r="B908" s="9">
        <f>IFERROR(__xludf.DUMMYFUNCTION("""COMPUTED_VALUE"""),"SERRANA I")</f>
      </c>
      <c r="C908" s="9">
        <f>IFERROR(__xludf.DUMMYFUNCTION("""COMPUTED_VALUE"""),"CE CABO PM ELISÂNGELA BESSA CORDEIRO")</f>
      </c>
      <c r="D908" s="10">
        <f>IFERROR(__xludf.DUMMYFUNCTION("""COMPUTED_VALUE"""),1.0)</f>
      </c>
      <c r="E908" s="11">
        <f>IFERROR(__xludf.DUMMYFUNCTION("""COMPUTED_VALUE"""),283.72)</f>
      </c>
      <c r="F908" s="10">
        <f>IFERROR(__xludf.DUMMYFUNCTION("""COMPUTED_VALUE"""),0.7442)</f>
      </c>
      <c r="G908" s="11">
        <f>IFERROR(__xludf.DUMMYFUNCTION("""COMPUTED_VALUE"""),456.25)</f>
      </c>
      <c r="H908" s="10">
        <f>IFERROR(__xludf.DUMMYFUNCTION("""COMPUTED_VALUE"""),0.9302)</f>
      </c>
      <c r="I908" s="11">
        <f>IFERROR(__xludf.DUMMYFUNCTION("""COMPUTED_VALUE"""),486.0)</f>
      </c>
      <c r="J908" s="10">
        <f>IFERROR(__xludf.DUMMYFUNCTION("""COMPUTED_VALUE"""),0.9767)</f>
      </c>
      <c r="K908" s="11">
        <f>IFERROR(__xludf.DUMMYFUNCTION("""COMPUTED_VALUE"""),346.67)</f>
      </c>
      <c r="L908" s="10">
        <f>IFERROR(__xludf.DUMMYFUNCTION("""COMPUTED_VALUE"""),1.0)</f>
      </c>
      <c r="M908" s="11">
        <f>IFERROR(__xludf.DUMMYFUNCTION("""COMPUTED_VALUE"""),458.6)</f>
      </c>
      <c r="N908" s="10">
        <f>IFERROR(__xludf.DUMMYFUNCTION("""COMPUTED_VALUE"""),1.0)</f>
      </c>
      <c r="O908" s="11">
        <f>IFERROR(__xludf.DUMMYFUNCTION("""COMPUTED_VALUE"""),400.0)</f>
      </c>
      <c r="P908" s="12"/>
      <c r="Q908" s="12"/>
      <c r="R908" s="15"/>
      <c r="S908" s="12"/>
      <c r="T908" s="12"/>
      <c r="U908" s="12"/>
      <c r="V908" s="12"/>
      <c r="W908" s="12"/>
      <c r="X908" s="12"/>
      <c r="Y908" s="12"/>
      <c r="Z908" s="12"/>
    </row>
    <row x14ac:dyDescent="0.25" r="909" customHeight="1" ht="15.75">
      <c r="A909" s="8">
        <f>IFERROR(__xludf.DUMMYFUNCTION("""COMPUTED_VALUE"""),25789.0)</f>
      </c>
      <c r="B909" s="9">
        <f>IFERROR(__xludf.DUMMYFUNCTION("""COMPUTED_VALUE"""),"SERRANA I")</f>
      </c>
      <c r="C909" s="9">
        <f>IFERROR(__xludf.DUMMYFUNCTION("""COMPUTED_VALUE"""),"CE CAMPOS SALLES")</f>
      </c>
      <c r="D909" s="10">
        <f>IFERROR(__xludf.DUMMYFUNCTION("""COMPUTED_VALUE"""),0.9862)</f>
      </c>
      <c r="E909" s="11">
        <f>IFERROR(__xludf.DUMMYFUNCTION("""COMPUTED_VALUE"""),384.91)</f>
      </c>
      <c r="F909" s="10">
        <f>IFERROR(__xludf.DUMMYFUNCTION("""COMPUTED_VALUE"""),0.8165)</f>
      </c>
      <c r="G909" s="11">
        <f>IFERROR(__xludf.DUMMYFUNCTION("""COMPUTED_VALUE"""),479.32)</f>
      </c>
      <c r="H909" s="10">
        <f>IFERROR(__xludf.DUMMYFUNCTION("""COMPUTED_VALUE"""),0.6935)</f>
      </c>
      <c r="I909" s="11">
        <f>IFERROR(__xludf.DUMMYFUNCTION("""COMPUTED_VALUE"""),495.35)</f>
      </c>
      <c r="J909" s="10">
        <f>IFERROR(__xludf.DUMMYFUNCTION("""COMPUTED_VALUE"""),0.7863)</f>
      </c>
      <c r="K909" s="11">
        <f>IFERROR(__xludf.DUMMYFUNCTION("""COMPUTED_VALUE"""),466.38)</f>
      </c>
      <c r="L909" s="10">
        <f>IFERROR(__xludf.DUMMYFUNCTION("""COMPUTED_VALUE"""),0.6694)</f>
      </c>
      <c r="M909" s="11">
        <f>IFERROR(__xludf.DUMMYFUNCTION("""COMPUTED_VALUE"""),440.48)</f>
      </c>
      <c r="N909" s="10">
        <f>IFERROR(__xludf.DUMMYFUNCTION("""COMPUTED_VALUE"""),0.7097)</f>
      </c>
      <c r="O909" s="11">
        <f>IFERROR(__xludf.DUMMYFUNCTION("""COMPUTED_VALUE"""),449.37)</f>
      </c>
      <c r="P909" s="12"/>
      <c r="Q909" s="12"/>
      <c r="R909" s="15"/>
      <c r="S909" s="12"/>
      <c r="T909" s="12"/>
      <c r="U909" s="12"/>
      <c r="V909" s="12"/>
      <c r="W909" s="12"/>
      <c r="X909" s="12"/>
      <c r="Y909" s="12"/>
      <c r="Z909" s="12"/>
    </row>
    <row x14ac:dyDescent="0.25" r="910" customHeight="1" ht="15.75">
      <c r="A910" s="8">
        <f>IFERROR(__xludf.DUMMYFUNCTION("""COMPUTED_VALUE"""),25770.0)</f>
      </c>
      <c r="B910" s="9">
        <f>IFERROR(__xludf.DUMMYFUNCTION("""COMPUTED_VALUE"""),"SERRANA I")</f>
      </c>
      <c r="C910" s="9">
        <f>IFERROR(__xludf.DUMMYFUNCTION("""COMPUTED_VALUE"""),"CE CARDOSO FONTES")</f>
      </c>
      <c r="D910" s="10">
        <f>IFERROR(__xludf.DUMMYFUNCTION("""COMPUTED_VALUE"""),0.9892)</f>
      </c>
      <c r="E910" s="11">
        <f>IFERROR(__xludf.DUMMYFUNCTION("""COMPUTED_VALUE"""),293.59)</f>
      </c>
      <c r="F910" s="10">
        <f>IFERROR(__xludf.DUMMYFUNCTION("""COMPUTED_VALUE"""),0.6883)</f>
      </c>
      <c r="G910" s="11">
        <f>IFERROR(__xludf.DUMMYFUNCTION("""COMPUTED_VALUE"""),438.88)</f>
      </c>
      <c r="H910" s="10">
        <f>IFERROR(__xludf.DUMMYFUNCTION("""COMPUTED_VALUE"""),0.6856)</f>
      </c>
      <c r="I910" s="11">
        <f>IFERROR(__xludf.DUMMYFUNCTION("""COMPUTED_VALUE"""),497.53)</f>
      </c>
      <c r="J910" s="10">
        <f>IFERROR(__xludf.DUMMYFUNCTION("""COMPUTED_VALUE"""),0.6802)</f>
      </c>
      <c r="K910" s="11">
        <f>IFERROR(__xludf.DUMMYFUNCTION("""COMPUTED_VALUE"""),421.15)</f>
      </c>
      <c r="L910" s="10">
        <f>IFERROR(__xludf.DUMMYFUNCTION("""COMPUTED_VALUE"""),0.6504)</f>
      </c>
      <c r="M910" s="11">
        <f>IFERROR(__xludf.DUMMYFUNCTION("""COMPUTED_VALUE"""),464.0)</f>
      </c>
      <c r="N910" s="10">
        <f>IFERROR(__xludf.DUMMYFUNCTION("""COMPUTED_VALUE"""),0.6125)</f>
      </c>
      <c r="O910" s="11">
        <f>IFERROR(__xludf.DUMMYFUNCTION("""COMPUTED_VALUE"""),466.43)</f>
      </c>
      <c r="P910" s="12"/>
      <c r="Q910" s="12"/>
      <c r="R910" s="15"/>
      <c r="S910" s="12"/>
      <c r="T910" s="12"/>
      <c r="U910" s="12"/>
      <c r="V910" s="12"/>
      <c r="W910" s="12"/>
      <c r="X910" s="12"/>
      <c r="Y910" s="12"/>
      <c r="Z910" s="12"/>
    </row>
    <row x14ac:dyDescent="0.25" r="911" customHeight="1" ht="15.75">
      <c r="A911" s="8">
        <f>IFERROR(__xludf.DUMMYFUNCTION("""COMPUTED_VALUE"""),25799.0)</f>
      </c>
      <c r="B911" s="9">
        <f>IFERROR(__xludf.DUMMYFUNCTION("""COMPUTED_VALUE"""),"SERRANA I")</f>
      </c>
      <c r="C911" s="9">
        <f>IFERROR(__xludf.DUMMYFUNCTION("""COMPUTED_VALUE"""),"CE CONDESSA DO RIO NOVO")</f>
      </c>
      <c r="D911" s="10">
        <f>IFERROR(__xludf.DUMMYFUNCTION("""COMPUTED_VALUE"""),0.8789)</f>
      </c>
      <c r="E911" s="11">
        <f>IFERROR(__xludf.DUMMYFUNCTION("""COMPUTED_VALUE"""),145.44)</f>
      </c>
      <c r="F911" s="10">
        <f>IFERROR(__xludf.DUMMYFUNCTION("""COMPUTED_VALUE"""),0.5746)</f>
      </c>
      <c r="G911" s="11">
        <f>IFERROR(__xludf.DUMMYFUNCTION("""COMPUTED_VALUE"""),388.19)</f>
      </c>
      <c r="H911" s="10">
        <f>IFERROR(__xludf.DUMMYFUNCTION("""COMPUTED_VALUE"""),0.4645)</f>
      </c>
      <c r="I911" s="11">
        <f>IFERROR(__xludf.DUMMYFUNCTION("""COMPUTED_VALUE"""),484.21)</f>
      </c>
      <c r="J911" s="10">
        <f>IFERROR(__xludf.DUMMYFUNCTION("""COMPUTED_VALUE"""),0.7945)</f>
      </c>
      <c r="K911" s="11">
        <f>IFERROR(__xludf.DUMMYFUNCTION("""COMPUTED_VALUE"""),368.37)</f>
      </c>
      <c r="L911" s="10">
        <f>IFERROR(__xludf.DUMMYFUNCTION("""COMPUTED_VALUE"""),0.4645)</f>
      </c>
      <c r="M911" s="11">
        <f>IFERROR(__xludf.DUMMYFUNCTION("""COMPUTED_VALUE"""),"----")</f>
      </c>
      <c r="N911" s="10">
        <f>IFERROR(__xludf.DUMMYFUNCTION("""COMPUTED_VALUE"""),0.0127)</f>
      </c>
      <c r="O911" s="11">
        <f>IFERROR(__xludf.DUMMYFUNCTION("""COMPUTED_VALUE"""),"----")</f>
      </c>
      <c r="P911" s="12"/>
      <c r="Q911" s="12"/>
      <c r="R911" s="15"/>
      <c r="S911" s="12"/>
      <c r="T911" s="12"/>
      <c r="U911" s="12"/>
      <c r="V911" s="12"/>
      <c r="W911" s="12"/>
      <c r="X911" s="12"/>
      <c r="Y911" s="12"/>
      <c r="Z911" s="12"/>
    </row>
    <row x14ac:dyDescent="0.25" r="912" customHeight="1" ht="15.75">
      <c r="A912" s="8">
        <f>IFERROR(__xludf.DUMMYFUNCTION("""COMPUTED_VALUE"""),25747.0)</f>
      </c>
      <c r="B912" s="9">
        <f>IFERROR(__xludf.DUMMYFUNCTION("""COMPUTED_VALUE"""),"SERRANA I")</f>
      </c>
      <c r="C912" s="9">
        <f>IFERROR(__xludf.DUMMYFUNCTION("""COMPUTED_VALUE"""),"CE CORONEL ANTONIO PECANHA")</f>
      </c>
      <c r="D912" s="10">
        <f>IFERROR(__xludf.DUMMYFUNCTION("""COMPUTED_VALUE"""),0.9778)</f>
      </c>
      <c r="E912" s="11">
        <f>IFERROR(__xludf.DUMMYFUNCTION("""COMPUTED_VALUE"""),220.23)</f>
      </c>
      <c r="F912" s="10">
        <f>IFERROR(__xludf.DUMMYFUNCTION("""COMPUTED_VALUE"""),0.7056)</f>
      </c>
      <c r="G912" s="11">
        <f>IFERROR(__xludf.DUMMYFUNCTION("""COMPUTED_VALUE"""),"----")</f>
      </c>
      <c r="H912" s="10">
        <f>IFERROR(__xludf.DUMMYFUNCTION("""COMPUTED_VALUE"""),0.5936)</f>
      </c>
      <c r="I912" s="11">
        <f>IFERROR(__xludf.DUMMYFUNCTION("""COMPUTED_VALUE"""),"----")</f>
      </c>
      <c r="J912" s="10">
        <f>IFERROR(__xludf.DUMMYFUNCTION("""COMPUTED_VALUE"""),0.6649)</f>
      </c>
      <c r="K912" s="11">
        <f>IFERROR(__xludf.DUMMYFUNCTION("""COMPUTED_VALUE"""),"----")</f>
      </c>
      <c r="L912" s="10">
        <f>IFERROR(__xludf.DUMMYFUNCTION("""COMPUTED_VALUE"""),0.7433)</f>
      </c>
      <c r="M912" s="11">
        <f>IFERROR(__xludf.DUMMYFUNCTION("""COMPUTED_VALUE"""),473.38)</f>
      </c>
      <c r="N912" s="10">
        <f>IFERROR(__xludf.DUMMYFUNCTION("""COMPUTED_VALUE"""),0.7968)</f>
      </c>
      <c r="O912" s="11">
        <f>IFERROR(__xludf.DUMMYFUNCTION("""COMPUTED_VALUE"""),473.21)</f>
      </c>
      <c r="P912" s="12"/>
      <c r="Q912" s="12"/>
      <c r="R912" s="15"/>
      <c r="S912" s="12"/>
      <c r="T912" s="12"/>
      <c r="U912" s="12"/>
      <c r="V912" s="12"/>
      <c r="W912" s="12"/>
      <c r="X912" s="12"/>
      <c r="Y912" s="12"/>
      <c r="Z912" s="12"/>
    </row>
    <row x14ac:dyDescent="0.25" r="913" customHeight="1" ht="15.75">
      <c r="A913" s="8">
        <f>IFERROR(__xludf.DUMMYFUNCTION("""COMPUTED_VALUE"""),25782.0)</f>
      </c>
      <c r="B913" s="9">
        <f>IFERROR(__xludf.DUMMYFUNCTION("""COMPUTED_VALUE"""),"SERRANA I")</f>
      </c>
      <c r="C913" s="9">
        <f>IFERROR(__xludf.DUMMYFUNCTION("""COMPUTED_VALUE"""),"CE CORONEL JOAO LIMONGI")</f>
      </c>
      <c r="D913" s="10">
        <f>IFERROR(__xludf.DUMMYFUNCTION("""COMPUTED_VALUE"""),0.9583)</f>
      </c>
      <c r="E913" s="11">
        <f>IFERROR(__xludf.DUMMYFUNCTION("""COMPUTED_VALUE"""),260.43)</f>
      </c>
      <c r="F913" s="10">
        <f>IFERROR(__xludf.DUMMYFUNCTION("""COMPUTED_VALUE"""),0.6544)</f>
      </c>
      <c r="G913" s="11">
        <f>IFERROR(__xludf.DUMMYFUNCTION("""COMPUTED_VALUE"""),450.08)</f>
      </c>
      <c r="H913" s="10">
        <f>IFERROR(__xludf.DUMMYFUNCTION("""COMPUTED_VALUE"""),0.6364)</f>
      </c>
      <c r="I913" s="11">
        <f>IFERROR(__xludf.DUMMYFUNCTION("""COMPUTED_VALUE"""),503.7)</f>
      </c>
      <c r="J913" s="10">
        <f>IFERROR(__xludf.DUMMYFUNCTION("""COMPUTED_VALUE"""),0.6364)</f>
      </c>
      <c r="K913" s="11">
        <f>IFERROR(__xludf.DUMMYFUNCTION("""COMPUTED_VALUE"""),416.4)</f>
      </c>
      <c r="L913" s="10">
        <f>IFERROR(__xludf.DUMMYFUNCTION("""COMPUTED_VALUE"""),0.7226)</f>
      </c>
      <c r="M913" s="11">
        <f>IFERROR(__xludf.DUMMYFUNCTION("""COMPUTED_VALUE"""),474.93)</f>
      </c>
      <c r="N913" s="10">
        <f>IFERROR(__xludf.DUMMYFUNCTION("""COMPUTED_VALUE"""),0.662)</f>
      </c>
      <c r="O913" s="11">
        <f>IFERROR(__xludf.DUMMYFUNCTION("""COMPUTED_VALUE"""),490.35)</f>
      </c>
      <c r="P913" s="12"/>
      <c r="Q913" s="12"/>
      <c r="R913" s="15"/>
      <c r="S913" s="12"/>
      <c r="T913" s="12"/>
      <c r="U913" s="12"/>
      <c r="V913" s="12"/>
      <c r="W913" s="12"/>
      <c r="X913" s="12"/>
      <c r="Y913" s="12"/>
      <c r="Z913" s="12"/>
    </row>
    <row x14ac:dyDescent="0.25" r="914" customHeight="1" ht="15.75">
      <c r="A914" s="8">
        <f>IFERROR(__xludf.DUMMYFUNCTION("""COMPUTED_VALUE"""),25751.0)</f>
      </c>
      <c r="B914" s="9">
        <f>IFERROR(__xludf.DUMMYFUNCTION("""COMPUTED_VALUE"""),"SERRANA I")</f>
      </c>
      <c r="C914" s="9">
        <f>IFERROR(__xludf.DUMMYFUNCTION("""COMPUTED_VALUE"""),"CE CORONEL SERGIO JOSE DO AMARAL")</f>
      </c>
      <c r="D914" s="10">
        <f>IFERROR(__xludf.DUMMYFUNCTION("""COMPUTED_VALUE"""),1.0)</f>
      </c>
      <c r="E914" s="11">
        <f>IFERROR(__xludf.DUMMYFUNCTION("""COMPUTED_VALUE"""),281.47)</f>
      </c>
      <c r="F914" s="10">
        <f>IFERROR(__xludf.DUMMYFUNCTION("""COMPUTED_VALUE"""),0.822)</f>
      </c>
      <c r="G914" s="11">
        <f>IFERROR(__xludf.DUMMYFUNCTION("""COMPUTED_VALUE"""),432.16)</f>
      </c>
      <c r="H914" s="10">
        <f>IFERROR(__xludf.DUMMYFUNCTION("""COMPUTED_VALUE"""),0.7435)</f>
      </c>
      <c r="I914" s="11">
        <f>IFERROR(__xludf.DUMMYFUNCTION("""COMPUTED_VALUE"""),415.89)</f>
      </c>
      <c r="J914" s="10">
        <f>IFERROR(__xludf.DUMMYFUNCTION("""COMPUTED_VALUE"""),0.7853)</f>
      </c>
      <c r="K914" s="11">
        <f>IFERROR(__xludf.DUMMYFUNCTION("""COMPUTED_VALUE"""),330.0)</f>
      </c>
      <c r="L914" s="10">
        <f>IFERROR(__xludf.DUMMYFUNCTION("""COMPUTED_VALUE"""),0.8325)</f>
      </c>
      <c r="M914" s="11">
        <f>IFERROR(__xludf.DUMMYFUNCTION("""COMPUTED_VALUE"""),407.64)</f>
      </c>
      <c r="N914" s="10">
        <f>IFERROR(__xludf.DUMMYFUNCTION("""COMPUTED_VALUE"""),0.8796)</f>
      </c>
      <c r="O914" s="11">
        <f>IFERROR(__xludf.DUMMYFUNCTION("""COMPUTED_VALUE"""),411.67)</f>
      </c>
      <c r="P914" s="12"/>
      <c r="Q914" s="12"/>
      <c r="R914" s="15"/>
      <c r="S914" s="12"/>
      <c r="T914" s="12"/>
      <c r="U914" s="12"/>
      <c r="V914" s="12"/>
      <c r="W914" s="12"/>
      <c r="X914" s="12"/>
      <c r="Y914" s="12"/>
      <c r="Z914" s="12"/>
    </row>
    <row x14ac:dyDescent="0.25" r="915" customHeight="1" ht="15.75">
      <c r="A915" s="8">
        <f>IFERROR(__xludf.DUMMYFUNCTION("""COMPUTED_VALUE"""),25749.0)</f>
      </c>
      <c r="B915" s="9">
        <f>IFERROR(__xludf.DUMMYFUNCTION("""COMPUTED_VALUE"""),"SERRANA I")</f>
      </c>
      <c r="C915" s="9">
        <f>IFERROR(__xludf.DUMMYFUNCTION("""COMPUTED_VALUE"""),"CE CORTUME CARIOCA")</f>
      </c>
      <c r="D915" s="10">
        <f>IFERROR(__xludf.DUMMYFUNCTION("""COMPUTED_VALUE"""),0.9955)</f>
      </c>
      <c r="E915" s="11">
        <f>IFERROR(__xludf.DUMMYFUNCTION("""COMPUTED_VALUE"""),244.91)</f>
      </c>
      <c r="F915" s="10">
        <f>IFERROR(__xludf.DUMMYFUNCTION("""COMPUTED_VALUE"""),0.8326)</f>
      </c>
      <c r="G915" s="11">
        <f>IFERROR(__xludf.DUMMYFUNCTION("""COMPUTED_VALUE"""),392.22)</f>
      </c>
      <c r="H915" s="10">
        <f>IFERROR(__xludf.DUMMYFUNCTION("""COMPUTED_VALUE"""),0.7466)</f>
      </c>
      <c r="I915" s="11">
        <f>IFERROR(__xludf.DUMMYFUNCTION("""COMPUTED_VALUE"""),365.64)</f>
      </c>
      <c r="J915" s="10">
        <f>IFERROR(__xludf.DUMMYFUNCTION("""COMPUTED_VALUE"""),0.5611)</f>
      </c>
      <c r="K915" s="11">
        <f>IFERROR(__xludf.DUMMYFUNCTION("""COMPUTED_VALUE"""),322.35)</f>
      </c>
      <c r="L915" s="10">
        <f>IFERROR(__xludf.DUMMYFUNCTION("""COMPUTED_VALUE"""),0.81)</f>
      </c>
      <c r="M915" s="11">
        <f>IFERROR(__xludf.DUMMYFUNCTION("""COMPUTED_VALUE"""),348.6)</f>
      </c>
      <c r="N915" s="10">
        <f>IFERROR(__xludf.DUMMYFUNCTION("""COMPUTED_VALUE"""),0.5701)</f>
      </c>
      <c r="O915" s="11">
        <f>IFERROR(__xludf.DUMMYFUNCTION("""COMPUTED_VALUE"""),390.82)</f>
      </c>
      <c r="P915" s="12"/>
      <c r="Q915" s="12"/>
      <c r="R915" s="15"/>
      <c r="S915" s="12"/>
      <c r="T915" s="12"/>
      <c r="U915" s="12"/>
      <c r="V915" s="12"/>
      <c r="W915" s="12"/>
      <c r="X915" s="12"/>
      <c r="Y915" s="12"/>
      <c r="Z915" s="12"/>
    </row>
    <row x14ac:dyDescent="0.25" r="916" customHeight="1" ht="15.75">
      <c r="A916" s="8">
        <f>IFERROR(__xludf.DUMMYFUNCTION("""COMPUTED_VALUE"""),25771.0)</f>
      </c>
      <c r="B916" s="9">
        <f>IFERROR(__xludf.DUMMYFUNCTION("""COMPUTED_VALUE"""),"SERRANA I")</f>
      </c>
      <c r="C916" s="9">
        <f>IFERROR(__xludf.DUMMYFUNCTION("""COMPUTED_VALUE"""),"CE DE ARARAS")</f>
      </c>
      <c r="D916" s="10">
        <f>IFERROR(__xludf.DUMMYFUNCTION("""COMPUTED_VALUE"""),0.9796)</f>
      </c>
      <c r="E916" s="11">
        <f>IFERROR(__xludf.DUMMYFUNCTION("""COMPUTED_VALUE"""),272.5)</f>
      </c>
      <c r="F916" s="10">
        <f>IFERROR(__xludf.DUMMYFUNCTION("""COMPUTED_VALUE"""),0.8844)</f>
      </c>
      <c r="G916" s="11">
        <f>IFERROR(__xludf.DUMMYFUNCTION("""COMPUTED_VALUE"""),440.0)</f>
      </c>
      <c r="H916" s="10">
        <f>IFERROR(__xludf.DUMMYFUNCTION("""COMPUTED_VALUE"""),0.8912)</f>
      </c>
      <c r="I916" s="11">
        <f>IFERROR(__xludf.DUMMYFUNCTION("""COMPUTED_VALUE"""),489.85)</f>
      </c>
      <c r="J916" s="10">
        <f>IFERROR(__xludf.DUMMYFUNCTION("""COMPUTED_VALUE"""),0.8707)</f>
      </c>
      <c r="K916" s="11">
        <f>IFERROR(__xludf.DUMMYFUNCTION("""COMPUTED_VALUE"""),415.36)</f>
      </c>
      <c r="L916" s="10">
        <f>IFERROR(__xludf.DUMMYFUNCTION("""COMPUTED_VALUE"""),0.8844)</f>
      </c>
      <c r="M916" s="11">
        <f>IFERROR(__xludf.DUMMYFUNCTION("""COMPUTED_VALUE"""),489.3)</f>
      </c>
      <c r="N916" s="10">
        <f>IFERROR(__xludf.DUMMYFUNCTION("""COMPUTED_VALUE"""),0.8707)</f>
      </c>
      <c r="O916" s="11">
        <f>IFERROR(__xludf.DUMMYFUNCTION("""COMPUTED_VALUE"""),479.68)</f>
      </c>
      <c r="P916" s="12"/>
      <c r="Q916" s="12"/>
      <c r="R916" s="15"/>
      <c r="S916" s="12"/>
      <c r="T916" s="12"/>
      <c r="U916" s="12"/>
      <c r="V916" s="12"/>
      <c r="W916" s="12"/>
      <c r="X916" s="12"/>
      <c r="Y916" s="12"/>
      <c r="Z916" s="12"/>
    </row>
    <row x14ac:dyDescent="0.25" r="917" customHeight="1" ht="15.75">
      <c r="A917" s="8">
        <f>IFERROR(__xludf.DUMMYFUNCTION("""COMPUTED_VALUE"""),25752.0)</f>
      </c>
      <c r="B917" s="9">
        <f>IFERROR(__xludf.DUMMYFUNCTION("""COMPUTED_VALUE"""),"SERRANA I")</f>
      </c>
      <c r="C917" s="9">
        <f>IFERROR(__xludf.DUMMYFUNCTION("""COMPUTED_VALUE"""),"CE DE MAGE")</f>
      </c>
      <c r="D917" s="10">
        <f>IFERROR(__xludf.DUMMYFUNCTION("""COMPUTED_VALUE"""),0.8791)</f>
      </c>
      <c r="E917" s="11">
        <f>IFERROR(__xludf.DUMMYFUNCTION("""COMPUTED_VALUE"""),192.49)</f>
      </c>
      <c r="F917" s="10">
        <f>IFERROR(__xludf.DUMMYFUNCTION("""COMPUTED_VALUE"""),0.6093)</f>
      </c>
      <c r="G917" s="11">
        <f>IFERROR(__xludf.DUMMYFUNCTION("""COMPUTED_VALUE"""),375.29)</f>
      </c>
      <c r="H917" s="10">
        <f>IFERROR(__xludf.DUMMYFUNCTION("""COMPUTED_VALUE"""),0.5965)</f>
      </c>
      <c r="I917" s="11">
        <f>IFERROR(__xludf.DUMMYFUNCTION("""COMPUTED_VALUE"""),395.85)</f>
      </c>
      <c r="J917" s="10">
        <f>IFERROR(__xludf.DUMMYFUNCTION("""COMPUTED_VALUE"""),0.7058)</f>
      </c>
      <c r="K917" s="11">
        <f>IFERROR(__xludf.DUMMYFUNCTION("""COMPUTED_VALUE"""),334.0)</f>
      </c>
      <c r="L917" s="10">
        <f>IFERROR(__xludf.DUMMYFUNCTION("""COMPUTED_VALUE"""),0.6291)</f>
      </c>
      <c r="M917" s="11">
        <f>IFERROR(__xludf.DUMMYFUNCTION("""COMPUTED_VALUE"""),336.95)</f>
      </c>
      <c r="N917" s="10">
        <f>IFERROR(__xludf.DUMMYFUNCTION("""COMPUTED_VALUE"""),0.5523)</f>
      </c>
      <c r="O917" s="11">
        <f>IFERROR(__xludf.DUMMYFUNCTION("""COMPUTED_VALUE"""),410.74)</f>
      </c>
      <c r="P917" s="12"/>
      <c r="Q917" s="12"/>
      <c r="R917" s="15"/>
      <c r="S917" s="12"/>
      <c r="T917" s="12"/>
      <c r="U917" s="12"/>
      <c r="V917" s="12"/>
      <c r="W917" s="12"/>
      <c r="X917" s="12"/>
      <c r="Y917" s="12"/>
      <c r="Z917" s="12"/>
    </row>
    <row x14ac:dyDescent="0.25" r="918" customHeight="1" ht="15.75">
      <c r="A918" s="8">
        <f>IFERROR(__xludf.DUMMYFUNCTION("""COMPUTED_VALUE"""),25772.0)</f>
      </c>
      <c r="B918" s="9">
        <f>IFERROR(__xludf.DUMMYFUNCTION("""COMPUTED_VALUE"""),"SERRANA I")</f>
      </c>
      <c r="C918" s="9">
        <f>IFERROR(__xludf.DUMMYFUNCTION("""COMPUTED_VALUE"""),"CE DOM PEDRO II")</f>
      </c>
      <c r="D918" s="10">
        <f>IFERROR(__xludf.DUMMYFUNCTION("""COMPUTED_VALUE"""),0.9208)</f>
      </c>
      <c r="E918" s="11">
        <f>IFERROR(__xludf.DUMMYFUNCTION("""COMPUTED_VALUE"""),324.62)</f>
      </c>
      <c r="F918" s="10">
        <f>IFERROR(__xludf.DUMMYFUNCTION("""COMPUTED_VALUE"""),0.5998)</f>
      </c>
      <c r="G918" s="11">
        <f>IFERROR(__xludf.DUMMYFUNCTION("""COMPUTED_VALUE"""),421.38)</f>
      </c>
      <c r="H918" s="10">
        <f>IFERROR(__xludf.DUMMYFUNCTION("""COMPUTED_VALUE"""),0.5507)</f>
      </c>
      <c r="I918" s="11">
        <f>IFERROR(__xludf.DUMMYFUNCTION("""COMPUTED_VALUE"""),482.31)</f>
      </c>
      <c r="J918" s="10">
        <f>IFERROR(__xludf.DUMMYFUNCTION("""COMPUTED_VALUE"""),0.711)</f>
      </c>
      <c r="K918" s="11">
        <f>IFERROR(__xludf.DUMMYFUNCTION("""COMPUTED_VALUE"""),429.82)</f>
      </c>
      <c r="L918" s="10">
        <f>IFERROR(__xludf.DUMMYFUNCTION("""COMPUTED_VALUE"""),0.6437)</f>
      </c>
      <c r="M918" s="11">
        <f>IFERROR(__xludf.DUMMYFUNCTION("""COMPUTED_VALUE"""),469.99)</f>
      </c>
      <c r="N918" s="10">
        <f>IFERROR(__xludf.DUMMYFUNCTION("""COMPUTED_VALUE"""),0.5413)</f>
      </c>
      <c r="O918" s="11">
        <f>IFERROR(__xludf.DUMMYFUNCTION("""COMPUTED_VALUE"""),457.83)</f>
      </c>
      <c r="P918" s="12"/>
      <c r="Q918" s="12"/>
      <c r="R918" s="15"/>
      <c r="S918" s="12"/>
      <c r="T918" s="12"/>
      <c r="U918" s="12"/>
      <c r="V918" s="12"/>
      <c r="W918" s="12"/>
      <c r="X918" s="12"/>
      <c r="Y918" s="12"/>
      <c r="Z918" s="12"/>
    </row>
    <row x14ac:dyDescent="0.25" r="919" customHeight="1" ht="15.75">
      <c r="A919" s="8">
        <f>IFERROR(__xludf.DUMMYFUNCTION("""COMPUTED_VALUE"""),25800.0)</f>
      </c>
      <c r="B919" s="9">
        <f>IFERROR(__xludf.DUMMYFUNCTION("""COMPUTED_VALUE"""),"SERRANA I")</f>
      </c>
      <c r="C919" s="9">
        <f>IFERROR(__xludf.DUMMYFUNCTION("""COMPUTED_VALUE"""),"CE DOUTOR VALMIR PECANHA")</f>
      </c>
      <c r="D919" s="10">
        <f>IFERROR(__xludf.DUMMYFUNCTION("""COMPUTED_VALUE"""),0.9364)</f>
      </c>
      <c r="E919" s="11">
        <f>IFERROR(__xludf.DUMMYFUNCTION("""COMPUTED_VALUE"""),270.3)</f>
      </c>
      <c r="F919" s="10">
        <f>IFERROR(__xludf.DUMMYFUNCTION("""COMPUTED_VALUE"""),0.6818)</f>
      </c>
      <c r="G919" s="11">
        <f>IFERROR(__xludf.DUMMYFUNCTION("""COMPUTED_VALUE"""),385.6)</f>
      </c>
      <c r="H919" s="10">
        <f>IFERROR(__xludf.DUMMYFUNCTION("""COMPUTED_VALUE"""),0.5636)</f>
      </c>
      <c r="I919" s="11">
        <f>IFERROR(__xludf.DUMMYFUNCTION("""COMPUTED_VALUE"""),350.97)</f>
      </c>
      <c r="J919" s="10">
        <f>IFERROR(__xludf.DUMMYFUNCTION("""COMPUTED_VALUE"""),0.7)</f>
      </c>
      <c r="K919" s="11">
        <f>IFERROR(__xludf.DUMMYFUNCTION("""COMPUTED_VALUE"""),233.42)</f>
      </c>
      <c r="L919" s="10">
        <f>IFERROR(__xludf.DUMMYFUNCTION("""COMPUTED_VALUE"""),0.6091)</f>
      </c>
      <c r="M919" s="11">
        <f>IFERROR(__xludf.DUMMYFUNCTION("""COMPUTED_VALUE"""),388.66)</f>
      </c>
      <c r="N919" s="10">
        <f>IFERROR(__xludf.DUMMYFUNCTION("""COMPUTED_VALUE"""),0.6636)</f>
      </c>
      <c r="O919" s="11">
        <f>IFERROR(__xludf.DUMMYFUNCTION("""COMPUTED_VALUE"""),443.84)</f>
      </c>
      <c r="P919" s="12"/>
      <c r="Q919" s="12"/>
      <c r="R919" s="15"/>
      <c r="S919" s="12"/>
      <c r="T919" s="12"/>
      <c r="U919" s="12"/>
      <c r="V919" s="12"/>
      <c r="W919" s="12"/>
      <c r="X919" s="12"/>
      <c r="Y919" s="12"/>
      <c r="Z919" s="12"/>
    </row>
    <row x14ac:dyDescent="0.25" r="920" customHeight="1" ht="15.75">
      <c r="A920" s="8">
        <f>IFERROR(__xludf.DUMMYFUNCTION("""COMPUTED_VALUE"""),25790.0)</f>
      </c>
      <c r="B920" s="9">
        <f>IFERROR(__xludf.DUMMYFUNCTION("""COMPUTED_VALUE"""),"SERRANA I")</f>
      </c>
      <c r="C920" s="9">
        <f>IFERROR(__xludf.DUMMYFUNCTION("""COMPUTED_VALUE"""),"CE EDMUNDO BITTENCOURT")</f>
      </c>
      <c r="D920" s="10">
        <f>IFERROR(__xludf.DUMMYFUNCTION("""COMPUTED_VALUE"""),0.5792)</f>
      </c>
      <c r="E920" s="11">
        <f>IFERROR(__xludf.DUMMYFUNCTION("""COMPUTED_VALUE"""),"----")</f>
      </c>
      <c r="F920" s="10">
        <f>IFERROR(__xludf.DUMMYFUNCTION("""COMPUTED_VALUE"""),0.5915)</f>
      </c>
      <c r="G920" s="11">
        <f>IFERROR(__xludf.DUMMYFUNCTION("""COMPUTED_VALUE"""),364.02)</f>
      </c>
      <c r="H920" s="10">
        <f>IFERROR(__xludf.DUMMYFUNCTION("""COMPUTED_VALUE"""),0.922)</f>
      </c>
      <c r="I920" s="11">
        <f>IFERROR(__xludf.DUMMYFUNCTION("""COMPUTED_VALUE"""),293.62)</f>
      </c>
      <c r="J920" s="10">
        <f>IFERROR(__xludf.DUMMYFUNCTION("""COMPUTED_VALUE"""),0.6152)</f>
      </c>
      <c r="K920" s="11">
        <f>IFERROR(__xludf.DUMMYFUNCTION("""COMPUTED_VALUE"""),311.63)</f>
      </c>
      <c r="L920" s="10">
        <f>IFERROR(__xludf.DUMMYFUNCTION("""COMPUTED_VALUE"""),0.6288)</f>
      </c>
      <c r="M920" s="11">
        <f>IFERROR(__xludf.DUMMYFUNCTION("""COMPUTED_VALUE"""),"----")</f>
      </c>
      <c r="N920" s="10">
        <f>IFERROR(__xludf.DUMMYFUNCTION("""COMPUTED_VALUE"""),0.5)</f>
      </c>
      <c r="O920" s="11">
        <f>IFERROR(__xludf.DUMMYFUNCTION("""COMPUTED_VALUE"""),395.12)</f>
      </c>
      <c r="P920" s="12"/>
      <c r="Q920" s="12"/>
      <c r="R920" s="15"/>
      <c r="S920" s="12"/>
      <c r="T920" s="12"/>
      <c r="U920" s="12"/>
      <c r="V920" s="12"/>
      <c r="W920" s="12"/>
      <c r="X920" s="12"/>
      <c r="Y920" s="12"/>
      <c r="Z920" s="12"/>
    </row>
    <row x14ac:dyDescent="0.25" r="921" customHeight="1" ht="15.75">
      <c r="A921" s="8">
        <f>IFERROR(__xludf.DUMMYFUNCTION("""COMPUTED_VALUE"""),25773.0)</f>
      </c>
      <c r="B921" s="9">
        <f>IFERROR(__xludf.DUMMYFUNCTION("""COMPUTED_VALUE"""),"SERRANA I")</f>
      </c>
      <c r="C921" s="9">
        <f>IFERROR(__xludf.DUMMYFUNCTION("""COMPUTED_VALUE"""),"CE EMBAIXADOR JOSE BONIFACIO")</f>
      </c>
      <c r="D921" s="10">
        <f>IFERROR(__xludf.DUMMYFUNCTION("""COMPUTED_VALUE"""),0.984)</f>
      </c>
      <c r="E921" s="11">
        <f>IFERROR(__xludf.DUMMYFUNCTION("""COMPUTED_VALUE"""),190.87)</f>
      </c>
      <c r="F921" s="10">
        <f>IFERROR(__xludf.DUMMYFUNCTION("""COMPUTED_VALUE"""),0.9786)</f>
      </c>
      <c r="G921" s="11">
        <f>IFERROR(__xludf.DUMMYFUNCTION("""COMPUTED_VALUE"""),293.48)</f>
      </c>
      <c r="H921" s="10">
        <f>IFERROR(__xludf.DUMMYFUNCTION("""COMPUTED_VALUE"""),0.9947)</f>
      </c>
      <c r="I921" s="11">
        <f>IFERROR(__xludf.DUMMYFUNCTION("""COMPUTED_VALUE"""),331.01)</f>
      </c>
      <c r="J921" s="10">
        <f>IFERROR(__xludf.DUMMYFUNCTION("""COMPUTED_VALUE"""),0.9947)</f>
      </c>
      <c r="K921" s="11">
        <f>IFERROR(__xludf.DUMMYFUNCTION("""COMPUTED_VALUE"""),257.75)</f>
      </c>
      <c r="L921" s="10">
        <f>IFERROR(__xludf.DUMMYFUNCTION("""COMPUTED_VALUE"""),1.0)</f>
      </c>
      <c r="M921" s="11">
        <f>IFERROR(__xludf.DUMMYFUNCTION("""COMPUTED_VALUE"""),326.95)</f>
      </c>
      <c r="N921" s="10">
        <f>IFERROR(__xludf.DUMMYFUNCTION("""COMPUTED_VALUE"""),1.0)</f>
      </c>
      <c r="O921" s="11">
        <f>IFERROR(__xludf.DUMMYFUNCTION("""COMPUTED_VALUE"""),302.95)</f>
      </c>
      <c r="P921" s="12"/>
      <c r="Q921" s="12"/>
      <c r="R921" s="15"/>
      <c r="S921" s="12"/>
      <c r="T921" s="12"/>
      <c r="U921" s="12"/>
      <c r="V921" s="12"/>
      <c r="W921" s="12"/>
      <c r="X921" s="12"/>
      <c r="Y921" s="12"/>
      <c r="Z921" s="12"/>
    </row>
    <row x14ac:dyDescent="0.25" r="922" customHeight="1" ht="15.75">
      <c r="A922" s="8">
        <f>IFERROR(__xludf.DUMMYFUNCTION("""COMPUTED_VALUE"""),25791.0)</f>
      </c>
      <c r="B922" s="9">
        <f>IFERROR(__xludf.DUMMYFUNCTION("""COMPUTED_VALUE"""),"SERRANA I")</f>
      </c>
      <c r="C922" s="9">
        <f>IFERROR(__xludf.DUMMYFUNCTION("""COMPUTED_VALUE"""),"CE EUCLYDES DA CUNHA")</f>
      </c>
      <c r="D922" s="10">
        <f>IFERROR(__xludf.DUMMYFUNCTION("""COMPUTED_VALUE"""),0.9805)</f>
      </c>
      <c r="E922" s="11">
        <f>IFERROR(__xludf.DUMMYFUNCTION("""COMPUTED_VALUE"""),262.42)</f>
      </c>
      <c r="F922" s="10">
        <f>IFERROR(__xludf.DUMMYFUNCTION("""COMPUTED_VALUE"""),0.7018)</f>
      </c>
      <c r="G922" s="11">
        <f>IFERROR(__xludf.DUMMYFUNCTION("""COMPUTED_VALUE"""),"----")</f>
      </c>
      <c r="H922" s="10">
        <f>IFERROR(__xludf.DUMMYFUNCTION("""COMPUTED_VALUE"""),0.8023)</f>
      </c>
      <c r="I922" s="11">
        <f>IFERROR(__xludf.DUMMYFUNCTION("""COMPUTED_VALUE"""),476.83)</f>
      </c>
      <c r="J922" s="10">
        <f>IFERROR(__xludf.DUMMYFUNCTION("""COMPUTED_VALUE"""),0.6279)</f>
      </c>
      <c r="K922" s="11">
        <f>IFERROR(__xludf.DUMMYFUNCTION("""COMPUTED_VALUE"""),412.67)</f>
      </c>
      <c r="L922" s="10">
        <f>IFERROR(__xludf.DUMMYFUNCTION("""COMPUTED_VALUE"""),0.5665)</f>
      </c>
      <c r="M922" s="11">
        <f>IFERROR(__xludf.DUMMYFUNCTION("""COMPUTED_VALUE"""),488.27)</f>
      </c>
      <c r="N922" s="10">
        <f>IFERROR(__xludf.DUMMYFUNCTION("""COMPUTED_VALUE"""),0.654)</f>
      </c>
      <c r="O922" s="11">
        <f>IFERROR(__xludf.DUMMYFUNCTION("""COMPUTED_VALUE"""),477.44)</f>
      </c>
      <c r="P922" s="12"/>
      <c r="Q922" s="12"/>
      <c r="R922" s="15"/>
      <c r="S922" s="12"/>
      <c r="T922" s="12"/>
      <c r="U922" s="12"/>
      <c r="V922" s="12"/>
      <c r="W922" s="12"/>
      <c r="X922" s="12"/>
      <c r="Y922" s="12"/>
      <c r="Z922" s="12"/>
    </row>
    <row x14ac:dyDescent="0.25" r="923" customHeight="1" ht="15.75">
      <c r="A923" s="8">
        <f>IFERROR(__xludf.DUMMYFUNCTION("""COMPUTED_VALUE"""),25792.0)</f>
      </c>
      <c r="B923" s="9">
        <f>IFERROR(__xludf.DUMMYFUNCTION("""COMPUTED_VALUE"""),"SERRANA I")</f>
      </c>
      <c r="C923" s="9">
        <f>IFERROR(__xludf.DUMMYFUNCTION("""COMPUTED_VALUE"""),"CE FANY NISKIER")</f>
      </c>
      <c r="D923" s="10">
        <f>IFERROR(__xludf.DUMMYFUNCTION("""COMPUTED_VALUE"""),0.9318)</f>
      </c>
      <c r="E923" s="11">
        <f>IFERROR(__xludf.DUMMYFUNCTION("""COMPUTED_VALUE"""),305.37)</f>
      </c>
      <c r="F923" s="10">
        <f>IFERROR(__xludf.DUMMYFUNCTION("""COMPUTED_VALUE"""),0.75)</f>
      </c>
      <c r="G923" s="11">
        <f>IFERROR(__xludf.DUMMYFUNCTION("""COMPUTED_VALUE"""),421.88)</f>
      </c>
      <c r="H923" s="10">
        <f>IFERROR(__xludf.DUMMYFUNCTION("""COMPUTED_VALUE"""),0.7727)</f>
      </c>
      <c r="I923" s="11">
        <f>IFERROR(__xludf.DUMMYFUNCTION("""COMPUTED_VALUE"""),465.88)</f>
      </c>
      <c r="J923" s="10">
        <f>IFERROR(__xludf.DUMMYFUNCTION("""COMPUTED_VALUE"""),0.8523)</f>
      </c>
      <c r="K923" s="11">
        <f>IFERROR(__xludf.DUMMYFUNCTION("""COMPUTED_VALUE"""),398.31)</f>
      </c>
      <c r="L923" s="10">
        <f>IFERROR(__xludf.DUMMYFUNCTION("""COMPUTED_VALUE"""),0.6818)</f>
      </c>
      <c r="M923" s="11">
        <f>IFERROR(__xludf.DUMMYFUNCTION("""COMPUTED_VALUE"""),430.0)</f>
      </c>
      <c r="N923" s="10">
        <f>IFERROR(__xludf.DUMMYFUNCTION("""COMPUTED_VALUE"""),0.7614)</f>
      </c>
      <c r="O923" s="11">
        <f>IFERROR(__xludf.DUMMYFUNCTION("""COMPUTED_VALUE"""),432.84)</f>
      </c>
      <c r="P923" s="12"/>
      <c r="Q923" s="12"/>
      <c r="R923" s="15"/>
      <c r="S923" s="12"/>
      <c r="T923" s="12"/>
      <c r="U923" s="12"/>
      <c r="V923" s="12"/>
      <c r="W923" s="12"/>
      <c r="X923" s="12"/>
      <c r="Y923" s="12"/>
      <c r="Z923" s="12"/>
    </row>
    <row x14ac:dyDescent="0.25" r="924" customHeight="1" ht="15.75">
      <c r="A924" s="8">
        <f>IFERROR(__xludf.DUMMYFUNCTION("""COMPUTED_VALUE"""),25801.0)</f>
      </c>
      <c r="B924" s="9">
        <f>IFERROR(__xludf.DUMMYFUNCTION("""COMPUTED_VALUE"""),"SERRANA I")</f>
      </c>
      <c r="C924" s="9">
        <f>IFERROR(__xludf.DUMMYFUNCTION("""COMPUTED_VALUE"""),"CE GUILHERMINA GUINLE")</f>
      </c>
      <c r="D924" s="10">
        <f>IFERROR(__xludf.DUMMYFUNCTION("""COMPUTED_VALUE"""),1.0)</f>
      </c>
      <c r="E924" s="11">
        <f>IFERROR(__xludf.DUMMYFUNCTION("""COMPUTED_VALUE"""),182.58)</f>
      </c>
      <c r="F924" s="10">
        <f>IFERROR(__xludf.DUMMYFUNCTION("""COMPUTED_VALUE"""),0.8548)</f>
      </c>
      <c r="G924" s="11">
        <f>IFERROR(__xludf.DUMMYFUNCTION("""COMPUTED_VALUE"""),404.8)</f>
      </c>
      <c r="H924" s="10">
        <f>IFERROR(__xludf.DUMMYFUNCTION("""COMPUTED_VALUE"""),0.7742)</f>
      </c>
      <c r="I924" s="11">
        <f>IFERROR(__xludf.DUMMYFUNCTION("""COMPUTED_VALUE"""),536.52)</f>
      </c>
      <c r="J924" s="10">
        <f>IFERROR(__xludf.DUMMYFUNCTION("""COMPUTED_VALUE"""),0.8226)</f>
      </c>
      <c r="K924" s="11">
        <f>IFERROR(__xludf.DUMMYFUNCTION("""COMPUTED_VALUE"""),442.45)</f>
      </c>
      <c r="L924" s="10">
        <f>IFERROR(__xludf.DUMMYFUNCTION("""COMPUTED_VALUE"""),0.8065)</f>
      </c>
      <c r="M924" s="11">
        <f>IFERROR(__xludf.DUMMYFUNCTION("""COMPUTED_VALUE"""),489.57)</f>
      </c>
      <c r="N924" s="10">
        <f>IFERROR(__xludf.DUMMYFUNCTION("""COMPUTED_VALUE"""),0.8065)</f>
      </c>
      <c r="O924" s="11">
        <f>IFERROR(__xludf.DUMMYFUNCTION("""COMPUTED_VALUE"""),476.0)</f>
      </c>
      <c r="P924" s="12"/>
      <c r="Q924" s="12"/>
      <c r="R924" s="15"/>
      <c r="S924" s="12"/>
      <c r="T924" s="12"/>
      <c r="U924" s="12"/>
      <c r="V924" s="12"/>
      <c r="W924" s="12"/>
      <c r="X924" s="12"/>
      <c r="Y924" s="12"/>
      <c r="Z924" s="12"/>
    </row>
    <row x14ac:dyDescent="0.25" r="925" customHeight="1" ht="15.75">
      <c r="A925" s="8">
        <f>IFERROR(__xludf.DUMMYFUNCTION("""COMPUTED_VALUE"""),25793.0)</f>
      </c>
      <c r="B925" s="9">
        <f>IFERROR(__xludf.DUMMYFUNCTION("""COMPUTED_VALUE"""),"SERRANA I")</f>
      </c>
      <c r="C925" s="9">
        <f>IFERROR(__xludf.DUMMYFUNCTION("""COMPUTED_VALUE"""),"CE HIGINO DA SILVEIRA")</f>
      </c>
      <c r="D925" s="10">
        <f>IFERROR(__xludf.DUMMYFUNCTION("""COMPUTED_VALUE"""),0.7634)</f>
      </c>
      <c r="E925" s="11">
        <f>IFERROR(__xludf.DUMMYFUNCTION("""COMPUTED_VALUE"""),273.35)</f>
      </c>
      <c r="F925" s="10">
        <f>IFERROR(__xludf.DUMMYFUNCTION("""COMPUTED_VALUE"""),0.7004)</f>
      </c>
      <c r="G925" s="11">
        <f>IFERROR(__xludf.DUMMYFUNCTION("""COMPUTED_VALUE"""),422.62)</f>
      </c>
      <c r="H925" s="10">
        <f>IFERROR(__xludf.DUMMYFUNCTION("""COMPUTED_VALUE"""),0.5944)</f>
      </c>
      <c r="I925" s="11">
        <f>IFERROR(__xludf.DUMMYFUNCTION("""COMPUTED_VALUE"""),454.33)</f>
      </c>
      <c r="J925" s="10">
        <f>IFERROR(__xludf.DUMMYFUNCTION("""COMPUTED_VALUE"""),0.6076)</f>
      </c>
      <c r="K925" s="11">
        <f>IFERROR(__xludf.DUMMYFUNCTION("""COMPUTED_VALUE"""),366.67)</f>
      </c>
      <c r="L925" s="10">
        <f>IFERROR(__xludf.DUMMYFUNCTION("""COMPUTED_VALUE"""),0.6026)</f>
      </c>
      <c r="M925" s="11">
        <f>IFERROR(__xludf.DUMMYFUNCTION("""COMPUTED_VALUE"""),448.85)</f>
      </c>
      <c r="N925" s="10">
        <f>IFERROR(__xludf.DUMMYFUNCTION("""COMPUTED_VALUE"""),0.5829)</f>
      </c>
      <c r="O925" s="11">
        <f>IFERROR(__xludf.DUMMYFUNCTION("""COMPUTED_VALUE"""),461.02)</f>
      </c>
      <c r="P925" s="12"/>
      <c r="Q925" s="12"/>
      <c r="R925" s="15"/>
      <c r="S925" s="12"/>
      <c r="T925" s="12"/>
      <c r="U925" s="12"/>
      <c r="V925" s="12"/>
      <c r="W925" s="12"/>
      <c r="X925" s="12"/>
      <c r="Y925" s="12"/>
      <c r="Z925" s="12"/>
    </row>
    <row x14ac:dyDescent="0.25" r="926" customHeight="1" ht="15.75">
      <c r="A926" s="8">
        <f>IFERROR(__xludf.DUMMYFUNCTION("""COMPUTED_VALUE"""),25774.0)</f>
      </c>
      <c r="B926" s="9">
        <f>IFERROR(__xludf.DUMMYFUNCTION("""COMPUTED_VALUE"""),"SERRANA I")</f>
      </c>
      <c r="C926" s="9">
        <f>IFERROR(__xludf.DUMMYFUNCTION("""COMPUTED_VALUE"""),"CE IRMA CECILIA JARDIM")</f>
      </c>
      <c r="D926" s="10">
        <f>IFERROR(__xludf.DUMMYFUNCTION("""COMPUTED_VALUE"""),0.9888)</f>
      </c>
      <c r="E926" s="11">
        <f>IFERROR(__xludf.DUMMYFUNCTION("""COMPUTED_VALUE"""),237.36)</f>
      </c>
      <c r="F926" s="10">
        <f>IFERROR(__xludf.DUMMYFUNCTION("""COMPUTED_VALUE"""),0.7207)</f>
      </c>
      <c r="G926" s="11">
        <f>IFERROR(__xludf.DUMMYFUNCTION("""COMPUTED_VALUE"""),421.33)</f>
      </c>
      <c r="H926" s="10">
        <f>IFERROR(__xludf.DUMMYFUNCTION("""COMPUTED_VALUE"""),0.6622)</f>
      </c>
      <c r="I926" s="11">
        <f>IFERROR(__xludf.DUMMYFUNCTION("""COMPUTED_VALUE"""),466.56)</f>
      </c>
      <c r="J926" s="10">
        <f>IFERROR(__xludf.DUMMYFUNCTION("""COMPUTED_VALUE"""),0.7564)</f>
      </c>
      <c r="K926" s="11">
        <f>IFERROR(__xludf.DUMMYFUNCTION("""COMPUTED_VALUE"""),359.95)</f>
      </c>
      <c r="L926" s="10">
        <f>IFERROR(__xludf.DUMMYFUNCTION("""COMPUTED_VALUE"""),0.6166)</f>
      </c>
      <c r="M926" s="11">
        <f>IFERROR(__xludf.DUMMYFUNCTION("""COMPUTED_VALUE"""),462.43)</f>
      </c>
      <c r="N926" s="10">
        <f>IFERROR(__xludf.DUMMYFUNCTION("""COMPUTED_VALUE"""),0.6193)</f>
      </c>
      <c r="O926" s="11">
        <f>IFERROR(__xludf.DUMMYFUNCTION("""COMPUTED_VALUE"""),456.45)</f>
      </c>
      <c r="P926" s="12"/>
      <c r="Q926" s="12"/>
      <c r="R926" s="15"/>
      <c r="S926" s="12"/>
      <c r="T926" s="12"/>
      <c r="U926" s="12"/>
      <c r="V926" s="12"/>
      <c r="W926" s="12"/>
      <c r="X926" s="12"/>
      <c r="Y926" s="12"/>
      <c r="Z926" s="12"/>
    </row>
    <row x14ac:dyDescent="0.25" r="927" customHeight="1" ht="15.75">
      <c r="A927" s="8">
        <f>IFERROR(__xludf.DUMMYFUNCTION("""COMPUTED_VALUE"""),25753.0)</f>
      </c>
      <c r="B927" s="9">
        <f>IFERROR(__xludf.DUMMYFUNCTION("""COMPUTED_VALUE"""),"SERRANA I")</f>
      </c>
      <c r="C927" s="9">
        <f>IFERROR(__xludf.DUMMYFUNCTION("""COMPUTED_VALUE"""),"CE JOAQUIM LEITAO")</f>
      </c>
      <c r="D927" s="10">
        <f>IFERROR(__xludf.DUMMYFUNCTION("""COMPUTED_VALUE"""),0.9517)</f>
      </c>
      <c r="E927" s="11">
        <f>IFERROR(__xludf.DUMMYFUNCTION("""COMPUTED_VALUE"""),291.66)</f>
      </c>
      <c r="F927" s="10">
        <f>IFERROR(__xludf.DUMMYFUNCTION("""COMPUTED_VALUE"""),0.7172)</f>
      </c>
      <c r="G927" s="11">
        <f>IFERROR(__xludf.DUMMYFUNCTION("""COMPUTED_VALUE"""),477.69)</f>
      </c>
      <c r="H927" s="10">
        <f>IFERROR(__xludf.DUMMYFUNCTION("""COMPUTED_VALUE"""),0.6037)</f>
      </c>
      <c r="I927" s="11">
        <f>IFERROR(__xludf.DUMMYFUNCTION("""COMPUTED_VALUE"""),449.42)</f>
      </c>
      <c r="J927" s="10">
        <f>IFERROR(__xludf.DUMMYFUNCTION("""COMPUTED_VALUE"""),0.8525)</f>
      </c>
      <c r="K927" s="11">
        <f>IFERROR(__xludf.DUMMYFUNCTION("""COMPUTED_VALUE"""),437.87)</f>
      </c>
      <c r="L927" s="10">
        <f>IFERROR(__xludf.DUMMYFUNCTION("""COMPUTED_VALUE"""),0.6037)</f>
      </c>
      <c r="M927" s="11">
        <f>IFERROR(__xludf.DUMMYFUNCTION("""COMPUTED_VALUE"""),502.62)</f>
      </c>
      <c r="N927" s="10">
        <f>IFERROR(__xludf.DUMMYFUNCTION("""COMPUTED_VALUE"""),0.5244)</f>
      </c>
      <c r="O927" s="11">
        <f>IFERROR(__xludf.DUMMYFUNCTION("""COMPUTED_VALUE"""),476.27)</f>
      </c>
      <c r="P927" s="12"/>
      <c r="Q927" s="12"/>
      <c r="R927" s="15"/>
      <c r="S927" s="12"/>
      <c r="T927" s="12"/>
      <c r="U927" s="12"/>
      <c r="V927" s="12"/>
      <c r="W927" s="12"/>
      <c r="X927" s="12"/>
      <c r="Y927" s="12"/>
      <c r="Z927" s="12"/>
    </row>
    <row x14ac:dyDescent="0.25" r="928" customHeight="1" ht="15.75">
      <c r="A928" s="8">
        <f>IFERROR(__xludf.DUMMYFUNCTION("""COMPUTED_VALUE"""),25754.0)</f>
      </c>
      <c r="B928" s="9">
        <f>IFERROR(__xludf.DUMMYFUNCTION("""COMPUTED_VALUE"""),"SERRANA I")</f>
      </c>
      <c r="C928" s="9">
        <f>IFERROR(__xludf.DUMMYFUNCTION("""COMPUTED_VALUE"""),"CE JOSE VERISSIMO")</f>
      </c>
      <c r="D928" s="10">
        <f>IFERROR(__xludf.DUMMYFUNCTION("""COMPUTED_VALUE"""),0.9815)</f>
      </c>
      <c r="E928" s="11">
        <f>IFERROR(__xludf.DUMMYFUNCTION("""COMPUTED_VALUE"""),"----")</f>
      </c>
      <c r="F928" s="10">
        <f>IFERROR(__xludf.DUMMYFUNCTION("""COMPUTED_VALUE"""),0.6826)</f>
      </c>
      <c r="G928" s="11">
        <f>IFERROR(__xludf.DUMMYFUNCTION("""COMPUTED_VALUE"""),"----")</f>
      </c>
      <c r="H928" s="10">
        <f>IFERROR(__xludf.DUMMYFUNCTION("""COMPUTED_VALUE"""),0.8119)</f>
      </c>
      <c r="I928" s="11">
        <f>IFERROR(__xludf.DUMMYFUNCTION("""COMPUTED_VALUE"""),433.45)</f>
      </c>
      <c r="J928" s="10">
        <f>IFERROR(__xludf.DUMMYFUNCTION("""COMPUTED_VALUE"""),0.8046)</f>
      </c>
      <c r="K928" s="11">
        <f>IFERROR(__xludf.DUMMYFUNCTION("""COMPUTED_VALUE"""),325.32)</f>
      </c>
      <c r="L928" s="10">
        <f>IFERROR(__xludf.DUMMYFUNCTION("""COMPUTED_VALUE"""),0.7858)</f>
      </c>
      <c r="M928" s="11">
        <f>IFERROR(__xludf.DUMMYFUNCTION("""COMPUTED_VALUE"""),427.24)</f>
      </c>
      <c r="N928" s="10">
        <f>IFERROR(__xludf.DUMMYFUNCTION("""COMPUTED_VALUE"""),0.8133)</f>
      </c>
      <c r="O928" s="11">
        <f>IFERROR(__xludf.DUMMYFUNCTION("""COMPUTED_VALUE"""),446.88)</f>
      </c>
      <c r="P928" s="12"/>
      <c r="Q928" s="12"/>
      <c r="R928" s="15"/>
      <c r="S928" s="12"/>
      <c r="T928" s="12"/>
      <c r="U928" s="12"/>
      <c r="V928" s="12"/>
      <c r="W928" s="12"/>
      <c r="X928" s="12"/>
      <c r="Y928" s="12"/>
      <c r="Z928" s="12"/>
    </row>
    <row x14ac:dyDescent="0.25" r="929" customHeight="1" ht="15.75">
      <c r="A929" s="8">
        <f>IFERROR(__xludf.DUMMYFUNCTION("""COMPUTED_VALUE"""),25794.0)</f>
      </c>
      <c r="B929" s="9">
        <f>IFERROR(__xludf.DUMMYFUNCTION("""COMPUTED_VALUE"""),"SERRANA I")</f>
      </c>
      <c r="C929" s="9">
        <f>IFERROR(__xludf.DUMMYFUNCTION("""COMPUTED_VALUE"""),"CE LIONS CLUB")</f>
      </c>
      <c r="D929" s="10">
        <f>IFERROR(__xludf.DUMMYFUNCTION("""COMPUTED_VALUE"""),0.9943)</f>
      </c>
      <c r="E929" s="11">
        <f>IFERROR(__xludf.DUMMYFUNCTION("""COMPUTED_VALUE"""),253.1)</f>
      </c>
      <c r="F929" s="10">
        <f>IFERROR(__xludf.DUMMYFUNCTION("""COMPUTED_VALUE"""),0.6857)</f>
      </c>
      <c r="G929" s="11">
        <f>IFERROR(__xludf.DUMMYFUNCTION("""COMPUTED_VALUE"""),376.75)</f>
      </c>
      <c r="H929" s="10">
        <f>IFERROR(__xludf.DUMMYFUNCTION("""COMPUTED_VALUE"""),0.7943)</f>
      </c>
      <c r="I929" s="11">
        <f>IFERROR(__xludf.DUMMYFUNCTION("""COMPUTED_VALUE"""),468.7)</f>
      </c>
      <c r="J929" s="10">
        <f>IFERROR(__xludf.DUMMYFUNCTION("""COMPUTED_VALUE"""),0.6971)</f>
      </c>
      <c r="K929" s="11">
        <f>IFERROR(__xludf.DUMMYFUNCTION("""COMPUTED_VALUE"""),366.96)</f>
      </c>
      <c r="L929" s="10">
        <f>IFERROR(__xludf.DUMMYFUNCTION("""COMPUTED_VALUE"""),0.8)</f>
      </c>
      <c r="M929" s="11">
        <f>IFERROR(__xludf.DUMMYFUNCTION("""COMPUTED_VALUE"""),448.57)</f>
      </c>
      <c r="N929" s="10">
        <f>IFERROR(__xludf.DUMMYFUNCTION("""COMPUTED_VALUE"""),0.7657)</f>
      </c>
      <c r="O929" s="11">
        <f>IFERROR(__xludf.DUMMYFUNCTION("""COMPUTED_VALUE"""),449.85)</f>
      </c>
      <c r="P929" s="12"/>
      <c r="Q929" s="12"/>
      <c r="R929" s="15"/>
      <c r="S929" s="12"/>
      <c r="T929" s="12"/>
      <c r="U929" s="12"/>
      <c r="V929" s="12"/>
      <c r="W929" s="12"/>
      <c r="X929" s="12"/>
      <c r="Y929" s="12"/>
      <c r="Z929" s="12"/>
    </row>
    <row x14ac:dyDescent="0.25" r="930" customHeight="1" ht="15.75">
      <c r="A930" s="8">
        <f>IFERROR(__xludf.DUMMYFUNCTION("""COMPUTED_VALUE"""),25746.0)</f>
      </c>
      <c r="B930" s="9">
        <f>IFERROR(__xludf.DUMMYFUNCTION("""COMPUTED_VALUE"""),"SERRANA I")</f>
      </c>
      <c r="C930" s="9">
        <f>IFERROR(__xludf.DUMMYFUNCTION("""COMPUTED_VALUE"""),"CE MARIANO PROCOPIO")</f>
      </c>
      <c r="D930" s="10">
        <f>IFERROR(__xludf.DUMMYFUNCTION("""COMPUTED_VALUE"""),0.9841)</f>
      </c>
      <c r="E930" s="11">
        <f>IFERROR(__xludf.DUMMYFUNCTION("""COMPUTED_VALUE"""),239.52)</f>
      </c>
      <c r="F930" s="10">
        <f>IFERROR(__xludf.DUMMYFUNCTION("""COMPUTED_VALUE"""),0.5657)</f>
      </c>
      <c r="G930" s="11">
        <f>IFERROR(__xludf.DUMMYFUNCTION("""COMPUTED_VALUE"""),430.76)</f>
      </c>
      <c r="H930" s="10">
        <f>IFERROR(__xludf.DUMMYFUNCTION("""COMPUTED_VALUE"""),0.7027)</f>
      </c>
      <c r="I930" s="11">
        <f>IFERROR(__xludf.DUMMYFUNCTION("""COMPUTED_VALUE"""),469.5)</f>
      </c>
      <c r="J930" s="10">
        <f>IFERROR(__xludf.DUMMYFUNCTION("""COMPUTED_VALUE"""),0.592)</f>
      </c>
      <c r="K930" s="11">
        <f>IFERROR(__xludf.DUMMYFUNCTION("""COMPUTED_VALUE"""),335.88)</f>
      </c>
      <c r="L930" s="10">
        <f>IFERROR(__xludf.DUMMYFUNCTION("""COMPUTED_VALUE"""),0.6448)</f>
      </c>
      <c r="M930" s="11">
        <f>IFERROR(__xludf.DUMMYFUNCTION("""COMPUTED_VALUE"""),441.44)</f>
      </c>
      <c r="N930" s="10">
        <f>IFERROR(__xludf.DUMMYFUNCTION("""COMPUTED_VALUE"""),0.6834)</f>
      </c>
      <c r="O930" s="11">
        <f>IFERROR(__xludf.DUMMYFUNCTION("""COMPUTED_VALUE"""),"----")</f>
      </c>
      <c r="P930" s="12"/>
      <c r="Q930" s="12"/>
      <c r="R930" s="15"/>
      <c r="S930" s="12"/>
      <c r="T930" s="12"/>
      <c r="U930" s="12"/>
      <c r="V930" s="12"/>
      <c r="W930" s="12"/>
      <c r="X930" s="12"/>
      <c r="Y930" s="12"/>
      <c r="Z930" s="12"/>
    </row>
    <row x14ac:dyDescent="0.25" r="931" customHeight="1" ht="15.75">
      <c r="A931" s="8">
        <f>IFERROR(__xludf.DUMMYFUNCTION("""COMPUTED_VALUE"""),25755.0)</f>
      </c>
      <c r="B931" s="9">
        <f>IFERROR(__xludf.DUMMYFUNCTION("""COMPUTED_VALUE"""),"SERRANA I")</f>
      </c>
      <c r="C931" s="9">
        <f>IFERROR(__xludf.DUMMYFUNCTION("""COMPUTED_VALUE"""),"CE MAUA")</f>
      </c>
      <c r="D931" s="10">
        <f>IFERROR(__xludf.DUMMYFUNCTION("""COMPUTED_VALUE"""),0.9728)</f>
      </c>
      <c r="E931" s="11">
        <f>IFERROR(__xludf.DUMMYFUNCTION("""COMPUTED_VALUE"""),189.79)</f>
      </c>
      <c r="F931" s="10">
        <f>IFERROR(__xludf.DUMMYFUNCTION("""COMPUTED_VALUE"""),0.6293)</f>
      </c>
      <c r="G931" s="11">
        <f>IFERROR(__xludf.DUMMYFUNCTION("""COMPUTED_VALUE"""),383.94)</f>
      </c>
      <c r="H931" s="10">
        <f>IFERROR(__xludf.DUMMYFUNCTION("""COMPUTED_VALUE"""),0.5494)</f>
      </c>
      <c r="I931" s="11">
        <f>IFERROR(__xludf.DUMMYFUNCTION("""COMPUTED_VALUE"""),408.01)</f>
      </c>
      <c r="J931" s="10">
        <f>IFERROR(__xludf.DUMMYFUNCTION("""COMPUTED_VALUE"""),0.6736)</f>
      </c>
      <c r="K931" s="11">
        <f>IFERROR(__xludf.DUMMYFUNCTION("""COMPUTED_VALUE"""),323.99)</f>
      </c>
      <c r="L931" s="10">
        <f>IFERROR(__xludf.DUMMYFUNCTION("""COMPUTED_VALUE"""),0.5349)</f>
      </c>
      <c r="M931" s="11">
        <f>IFERROR(__xludf.DUMMYFUNCTION("""COMPUTED_VALUE"""),396.39)</f>
      </c>
      <c r="N931" s="10">
        <f>IFERROR(__xludf.DUMMYFUNCTION("""COMPUTED_VALUE"""),0.3372)</f>
      </c>
      <c r="O931" s="11">
        <f>IFERROR(__xludf.DUMMYFUNCTION("""COMPUTED_VALUE"""),440.04)</f>
      </c>
      <c r="P931" s="12"/>
      <c r="Q931" s="12"/>
      <c r="R931" s="15"/>
      <c r="S931" s="12"/>
      <c r="T931" s="12"/>
      <c r="U931" s="12"/>
      <c r="V931" s="12"/>
      <c r="W931" s="12"/>
      <c r="X931" s="12"/>
      <c r="Y931" s="12"/>
      <c r="Z931" s="12"/>
    </row>
    <row x14ac:dyDescent="0.25" r="932" customHeight="1" ht="15.75">
      <c r="A932" s="8">
        <f>IFERROR(__xludf.DUMMYFUNCTION("""COMPUTED_VALUE"""),25783.0)</f>
      </c>
      <c r="B932" s="9">
        <f>IFERROR(__xludf.DUMMYFUNCTION("""COMPUTED_VALUE"""),"SERRANA I")</f>
      </c>
      <c r="C932" s="9">
        <f>IFERROR(__xludf.DUMMYFUNCTION("""COMPUTED_VALUE"""),"CE MAURICIO DE ABREU")</f>
      </c>
      <c r="D932" s="10">
        <f>IFERROR(__xludf.DUMMYFUNCTION("""COMPUTED_VALUE"""),0.9851)</f>
      </c>
      <c r="E932" s="11">
        <f>IFERROR(__xludf.DUMMYFUNCTION("""COMPUTED_VALUE"""),416.43)</f>
      </c>
      <c r="F932" s="10">
        <f>IFERROR(__xludf.DUMMYFUNCTION("""COMPUTED_VALUE"""),0.7761)</f>
      </c>
      <c r="G932" s="11">
        <f>IFERROR(__xludf.DUMMYFUNCTION("""COMPUTED_VALUE"""),510.77)</f>
      </c>
      <c r="H932" s="10">
        <f>IFERROR(__xludf.DUMMYFUNCTION("""COMPUTED_VALUE"""),0.7836)</f>
      </c>
      <c r="I932" s="11">
        <f>IFERROR(__xludf.DUMMYFUNCTION("""COMPUTED_VALUE"""),548.19)</f>
      </c>
      <c r="J932" s="10">
        <f>IFERROR(__xludf.DUMMYFUNCTION("""COMPUTED_VALUE"""),0.7537)</f>
      </c>
      <c r="K932" s="11">
        <f>IFERROR(__xludf.DUMMYFUNCTION("""COMPUTED_VALUE"""),491.96)</f>
      </c>
      <c r="L932" s="10">
        <f>IFERROR(__xludf.DUMMYFUNCTION("""COMPUTED_VALUE"""),0.7313)</f>
      </c>
      <c r="M932" s="11">
        <f>IFERROR(__xludf.DUMMYFUNCTION("""COMPUTED_VALUE"""),590.61)</f>
      </c>
      <c r="N932" s="10">
        <f>IFERROR(__xludf.DUMMYFUNCTION("""COMPUTED_VALUE"""),0.5896)</f>
      </c>
      <c r="O932" s="11">
        <f>IFERROR(__xludf.DUMMYFUNCTION("""COMPUTED_VALUE"""),533.16)</f>
      </c>
      <c r="P932" s="12"/>
      <c r="Q932" s="12"/>
      <c r="R932" s="15"/>
      <c r="S932" s="12"/>
      <c r="T932" s="12"/>
      <c r="U932" s="12"/>
      <c r="V932" s="12"/>
      <c r="W932" s="12"/>
      <c r="X932" s="12"/>
      <c r="Y932" s="12"/>
      <c r="Z932" s="12"/>
    </row>
    <row x14ac:dyDescent="0.25" r="933" customHeight="1" ht="15.75">
      <c r="A933" s="8">
        <f>IFERROR(__xludf.DUMMYFUNCTION("""COMPUTED_VALUE"""),25802.0)</f>
      </c>
      <c r="B933" s="9">
        <f>IFERROR(__xludf.DUMMYFUNCTION("""COMPUTED_VALUE"""),"SERRANA I")</f>
      </c>
      <c r="C933" s="9">
        <f>IFERROR(__xludf.DUMMYFUNCTION("""COMPUTED_VALUE"""),"CE MOACYR PADILHA")</f>
      </c>
      <c r="D933" s="10">
        <f>IFERROR(__xludf.DUMMYFUNCTION("""COMPUTED_VALUE"""),0.7072)</f>
      </c>
      <c r="E933" s="11">
        <f>IFERROR(__xludf.DUMMYFUNCTION("""COMPUTED_VALUE"""),173.33)</f>
      </c>
      <c r="F933" s="10">
        <f>IFERROR(__xludf.DUMMYFUNCTION("""COMPUTED_VALUE"""),0.3423)</f>
      </c>
      <c r="G933" s="11">
        <f>IFERROR(__xludf.DUMMYFUNCTION("""COMPUTED_VALUE"""),"----")</f>
      </c>
      <c r="H933" s="10">
        <f>IFERROR(__xludf.DUMMYFUNCTION("""COMPUTED_VALUE"""),0.3902)</f>
      </c>
      <c r="I933" s="11">
        <f>IFERROR(__xludf.DUMMYFUNCTION("""COMPUTED_VALUE"""),426.41)</f>
      </c>
      <c r="J933" s="10">
        <f>IFERROR(__xludf.DUMMYFUNCTION("""COMPUTED_VALUE"""),0.4721)</f>
      </c>
      <c r="K933" s="11">
        <f>IFERROR(__xludf.DUMMYFUNCTION("""COMPUTED_VALUE"""),251.64)</f>
      </c>
      <c r="L933" s="10">
        <f>IFERROR(__xludf.DUMMYFUNCTION("""COMPUTED_VALUE"""),0.4091)</f>
      </c>
      <c r="M933" s="11">
        <f>IFERROR(__xludf.DUMMYFUNCTION("""COMPUTED_VALUE"""),428.74)</f>
      </c>
      <c r="N933" s="10">
        <f>IFERROR(__xludf.DUMMYFUNCTION("""COMPUTED_VALUE"""),0.3712)</f>
      </c>
      <c r="O933" s="11">
        <f>IFERROR(__xludf.DUMMYFUNCTION("""COMPUTED_VALUE"""),507.35)</f>
      </c>
      <c r="P933" s="12"/>
      <c r="Q933" s="12"/>
      <c r="R933" s="15"/>
      <c r="S933" s="12"/>
      <c r="T933" s="12"/>
      <c r="U933" s="12"/>
      <c r="V933" s="12"/>
      <c r="W933" s="12"/>
      <c r="X933" s="12"/>
      <c r="Y933" s="12"/>
      <c r="Z933" s="12"/>
    </row>
    <row x14ac:dyDescent="0.25" r="934" customHeight="1" ht="15.75">
      <c r="A934" s="8">
        <f>IFERROR(__xludf.DUMMYFUNCTION("""COMPUTED_VALUE"""),25756.0)</f>
      </c>
      <c r="B934" s="9">
        <f>IFERROR(__xludf.DUMMYFUNCTION("""COMPUTED_VALUE"""),"SERRANA I")</f>
      </c>
      <c r="C934" s="9">
        <f>IFERROR(__xludf.DUMMYFUNCTION("""COMPUTED_VALUE"""),"CE OSWALDO CRUZ")</f>
      </c>
      <c r="D934" s="10">
        <f>IFERROR(__xludf.DUMMYFUNCTION("""COMPUTED_VALUE"""),0.9609)</f>
      </c>
      <c r="E934" s="11">
        <f>IFERROR(__xludf.DUMMYFUNCTION("""COMPUTED_VALUE"""),224.54)</f>
      </c>
      <c r="F934" s="10">
        <f>IFERROR(__xludf.DUMMYFUNCTION("""COMPUTED_VALUE"""),0.7622)</f>
      </c>
      <c r="G934" s="11">
        <f>IFERROR(__xludf.DUMMYFUNCTION("""COMPUTED_VALUE"""),451.26)</f>
      </c>
      <c r="H934" s="10">
        <f>IFERROR(__xludf.DUMMYFUNCTION("""COMPUTED_VALUE"""),0.7297)</f>
      </c>
      <c r="I934" s="11">
        <f>IFERROR(__xludf.DUMMYFUNCTION("""COMPUTED_VALUE"""),505.12)</f>
      </c>
      <c r="J934" s="10">
        <f>IFERROR(__xludf.DUMMYFUNCTION("""COMPUTED_VALUE"""),0.7748)</f>
      </c>
      <c r="K934" s="11">
        <f>IFERROR(__xludf.DUMMYFUNCTION("""COMPUTED_VALUE"""),386.17)</f>
      </c>
      <c r="L934" s="10">
        <f>IFERROR(__xludf.DUMMYFUNCTION("""COMPUTED_VALUE"""),0.7868)</f>
      </c>
      <c r="M934" s="11">
        <f>IFERROR(__xludf.DUMMYFUNCTION("""COMPUTED_VALUE"""),507.28)</f>
      </c>
      <c r="N934" s="10">
        <f>IFERROR(__xludf.DUMMYFUNCTION("""COMPUTED_VALUE"""),0.7538)</f>
      </c>
      <c r="O934" s="11">
        <f>IFERROR(__xludf.DUMMYFUNCTION("""COMPUTED_VALUE"""),523.4)</f>
      </c>
      <c r="P934" s="12"/>
      <c r="Q934" s="12"/>
      <c r="R934" s="15"/>
      <c r="S934" s="12"/>
      <c r="T934" s="12"/>
      <c r="U934" s="12"/>
      <c r="V934" s="12"/>
      <c r="W934" s="12"/>
      <c r="X934" s="12"/>
      <c r="Y934" s="12"/>
      <c r="Z934" s="12"/>
    </row>
    <row x14ac:dyDescent="0.25" r="935" customHeight="1" ht="15.75">
      <c r="A935" s="8">
        <f>IFERROR(__xludf.DUMMYFUNCTION("""COMPUTED_VALUE"""),25784.0)</f>
      </c>
      <c r="B935" s="9">
        <f>IFERROR(__xludf.DUMMYFUNCTION("""COMPUTED_VALUE"""),"SERRANA I")</f>
      </c>
      <c r="C935" s="9">
        <f>IFERROR(__xludf.DUMMYFUNCTION("""COMPUTED_VALUE"""),"CE PAULINO FERNANDES")</f>
      </c>
      <c r="D935" s="10">
        <f>IFERROR(__xludf.DUMMYFUNCTION("""COMPUTED_VALUE"""),1.0)</f>
      </c>
      <c r="E935" s="11">
        <f>IFERROR(__xludf.DUMMYFUNCTION("""COMPUTED_VALUE"""),322.35)</f>
      </c>
      <c r="F935" s="10">
        <f>IFERROR(__xludf.DUMMYFUNCTION("""COMPUTED_VALUE"""),1.0)</f>
      </c>
      <c r="G935" s="11">
        <f>IFERROR(__xludf.DUMMYFUNCTION("""COMPUTED_VALUE"""),310.59)</f>
      </c>
      <c r="H935" s="10">
        <f>IFERROR(__xludf.DUMMYFUNCTION("""COMPUTED_VALUE"""),0.8824)</f>
      </c>
      <c r="I935" s="11">
        <f>IFERROR(__xludf.DUMMYFUNCTION("""COMPUTED_VALUE"""),436.0)</f>
      </c>
      <c r="J935" s="10">
        <f>IFERROR(__xludf.DUMMYFUNCTION("""COMPUTED_VALUE"""),0.9118)</f>
      </c>
      <c r="K935" s="11">
        <f>IFERROR(__xludf.DUMMYFUNCTION("""COMPUTED_VALUE"""),322.58)</f>
      </c>
      <c r="L935" s="10">
        <f>IFERROR(__xludf.DUMMYFUNCTION("""COMPUTED_VALUE"""),0.8529)</f>
      </c>
      <c r="M935" s="11">
        <f>IFERROR(__xludf.DUMMYFUNCTION("""COMPUTED_VALUE"""),339.31)</f>
      </c>
      <c r="N935" s="10">
        <f>IFERROR(__xludf.DUMMYFUNCTION("""COMPUTED_VALUE"""),0.8529)</f>
      </c>
      <c r="O935" s="11">
        <f>IFERROR(__xludf.DUMMYFUNCTION("""COMPUTED_VALUE"""),442.76)</f>
      </c>
      <c r="P935" s="12"/>
      <c r="Q935" s="12"/>
      <c r="R935" s="15"/>
      <c r="S935" s="12"/>
      <c r="T935" s="12"/>
      <c r="U935" s="12"/>
      <c r="V935" s="12"/>
      <c r="W935" s="12"/>
      <c r="X935" s="12"/>
      <c r="Y935" s="12"/>
      <c r="Z935" s="12"/>
    </row>
    <row x14ac:dyDescent="0.25" r="936" customHeight="1" ht="15.75">
      <c r="A936" s="8">
        <f>IFERROR(__xludf.DUMMYFUNCTION("""COMPUTED_VALUE"""),25795.0)</f>
      </c>
      <c r="B936" s="9">
        <f>IFERROR(__xludf.DUMMYFUNCTION("""COMPUTED_VALUE"""),"SERRANA I")</f>
      </c>
      <c r="C936" s="9">
        <f>IFERROR(__xludf.DUMMYFUNCTION("""COMPUTED_VALUE"""),"CE PRESIDENTE BERNARDES")</f>
      </c>
      <c r="D936" s="10">
        <f>IFERROR(__xludf.DUMMYFUNCTION("""COMPUTED_VALUE"""),0.9633)</f>
      </c>
      <c r="E936" s="11">
        <f>IFERROR(__xludf.DUMMYFUNCTION("""COMPUTED_VALUE"""),219.81)</f>
      </c>
      <c r="F936" s="10">
        <f>IFERROR(__xludf.DUMMYFUNCTION("""COMPUTED_VALUE"""),0.5872)</f>
      </c>
      <c r="G936" s="11">
        <f>IFERROR(__xludf.DUMMYFUNCTION("""COMPUTED_VALUE"""),425.16)</f>
      </c>
      <c r="H936" s="10">
        <f>IFERROR(__xludf.DUMMYFUNCTION("""COMPUTED_VALUE"""),0.6514)</f>
      </c>
      <c r="I936" s="11">
        <f>IFERROR(__xludf.DUMMYFUNCTION("""COMPUTED_VALUE"""),443.94)</f>
      </c>
      <c r="J936" s="10">
        <f>IFERROR(__xludf.DUMMYFUNCTION("""COMPUTED_VALUE"""),0.7615)</f>
      </c>
      <c r="K936" s="11">
        <f>IFERROR(__xludf.DUMMYFUNCTION("""COMPUTED_VALUE"""),364.44)</f>
      </c>
      <c r="L936" s="10">
        <f>IFERROR(__xludf.DUMMYFUNCTION("""COMPUTED_VALUE"""),0.6789)</f>
      </c>
      <c r="M936" s="11">
        <f>IFERROR(__xludf.DUMMYFUNCTION("""COMPUTED_VALUE"""),435.14)</f>
      </c>
      <c r="N936" s="10">
        <f>IFERROR(__xludf.DUMMYFUNCTION("""COMPUTED_VALUE"""),0.4679)</f>
      </c>
      <c r="O936" s="11">
        <f>IFERROR(__xludf.DUMMYFUNCTION("""COMPUTED_VALUE"""),456.47)</f>
      </c>
      <c r="P936" s="12"/>
      <c r="Q936" s="12"/>
      <c r="R936" s="15"/>
      <c r="S936" s="12"/>
      <c r="T936" s="12"/>
      <c r="U936" s="12"/>
      <c r="V936" s="12"/>
      <c r="W936" s="12"/>
      <c r="X936" s="12"/>
      <c r="Y936" s="12"/>
      <c r="Z936" s="12"/>
    </row>
    <row x14ac:dyDescent="0.25" r="937" customHeight="1" ht="15.75">
      <c r="A937" s="8">
        <f>IFERROR(__xludf.DUMMYFUNCTION("""COMPUTED_VALUE"""),25775.0)</f>
      </c>
      <c r="B937" s="9">
        <f>IFERROR(__xludf.DUMMYFUNCTION("""COMPUTED_VALUE"""),"SERRANA I")</f>
      </c>
      <c r="C937" s="9">
        <f>IFERROR(__xludf.DUMMYFUNCTION("""COMPUTED_VALUE"""),"CE PRINCESA ISABEL")</f>
      </c>
      <c r="D937" s="10">
        <f>IFERROR(__xludf.DUMMYFUNCTION("""COMPUTED_VALUE"""),0.9082)</f>
      </c>
      <c r="E937" s="11">
        <f>IFERROR(__xludf.DUMMYFUNCTION("""COMPUTED_VALUE"""),229.95)</f>
      </c>
      <c r="F937" s="10">
        <f>IFERROR(__xludf.DUMMYFUNCTION("""COMPUTED_VALUE"""),0.7551)</f>
      </c>
      <c r="G937" s="11">
        <f>IFERROR(__xludf.DUMMYFUNCTION("""COMPUTED_VALUE"""),388.74)</f>
      </c>
      <c r="H937" s="10">
        <f>IFERROR(__xludf.DUMMYFUNCTION("""COMPUTED_VALUE"""),0.7898)</f>
      </c>
      <c r="I937" s="11">
        <f>IFERROR(__xludf.DUMMYFUNCTION("""COMPUTED_VALUE"""),437.57)</f>
      </c>
      <c r="J937" s="10">
        <f>IFERROR(__xludf.DUMMYFUNCTION("""COMPUTED_VALUE"""),0.6033)</f>
      </c>
      <c r="K937" s="11">
        <f>IFERROR(__xludf.DUMMYFUNCTION("""COMPUTED_VALUE"""),317.71)</f>
      </c>
      <c r="L937" s="10">
        <f>IFERROR(__xludf.DUMMYFUNCTION("""COMPUTED_VALUE"""),0.6967)</f>
      </c>
      <c r="M937" s="11">
        <f>IFERROR(__xludf.DUMMYFUNCTION("""COMPUTED_VALUE"""),392.58)</f>
      </c>
      <c r="N937" s="10">
        <f>IFERROR(__xludf.DUMMYFUNCTION("""COMPUTED_VALUE"""),0.5736)</f>
      </c>
      <c r="O937" s="11">
        <f>IFERROR(__xludf.DUMMYFUNCTION("""COMPUTED_VALUE"""),"----")</f>
      </c>
      <c r="P937" s="12"/>
      <c r="Q937" s="12"/>
      <c r="R937" s="15"/>
      <c r="S937" s="12"/>
      <c r="T937" s="12"/>
      <c r="U937" s="12"/>
      <c r="V937" s="12"/>
      <c r="W937" s="12"/>
      <c r="X937" s="12"/>
      <c r="Y937" s="12"/>
      <c r="Z937" s="12"/>
    </row>
    <row x14ac:dyDescent="0.25" r="938" customHeight="1" ht="15.75">
      <c r="A938" s="8">
        <f>IFERROR(__xludf.DUMMYFUNCTION("""COMPUTED_VALUE"""),25757.0)</f>
      </c>
      <c r="B938" s="9">
        <f>IFERROR(__xludf.DUMMYFUNCTION("""COMPUTED_VALUE"""),"SERRANA I")</f>
      </c>
      <c r="C938" s="9">
        <f>IFERROR(__xludf.DUMMYFUNCTION("""COMPUTED_VALUE"""),"CE PROFESSOR ALFREDO BALTHAZAR DA SILVEIRA")</f>
      </c>
      <c r="D938" s="10">
        <f>IFERROR(__xludf.DUMMYFUNCTION("""COMPUTED_VALUE"""),0.9463)</f>
      </c>
      <c r="E938" s="11">
        <f>IFERROR(__xludf.DUMMYFUNCTION("""COMPUTED_VALUE"""),189.33)</f>
      </c>
      <c r="F938" s="10">
        <f>IFERROR(__xludf.DUMMYFUNCTION("""COMPUTED_VALUE"""),0.6706)</f>
      </c>
      <c r="G938" s="11">
        <f>IFERROR(__xludf.DUMMYFUNCTION("""COMPUTED_VALUE"""),442.1)</f>
      </c>
      <c r="H938" s="10">
        <f>IFERROR(__xludf.DUMMYFUNCTION("""COMPUTED_VALUE"""),0.5743)</f>
      </c>
      <c r="I938" s="11">
        <f>IFERROR(__xludf.DUMMYFUNCTION("""COMPUTED_VALUE"""),497.48)</f>
      </c>
      <c r="J938" s="10">
        <f>IFERROR(__xludf.DUMMYFUNCTION("""COMPUTED_VALUE"""),0.6762)</f>
      </c>
      <c r="K938" s="11">
        <f>IFERROR(__xludf.DUMMYFUNCTION("""COMPUTED_VALUE"""),348.16)</f>
      </c>
      <c r="L938" s="10">
        <f>IFERROR(__xludf.DUMMYFUNCTION("""COMPUTED_VALUE"""),0.5297)</f>
      </c>
      <c r="M938" s="11">
        <f>IFERROR(__xludf.DUMMYFUNCTION("""COMPUTED_VALUE"""),561.16)</f>
      </c>
      <c r="N938" s="10">
        <f>IFERROR(__xludf.DUMMYFUNCTION("""COMPUTED_VALUE"""),0.5257)</f>
      </c>
      <c r="O938" s="11">
        <f>IFERROR(__xludf.DUMMYFUNCTION("""COMPUTED_VALUE"""),501.57)</f>
      </c>
      <c r="P938" s="12"/>
      <c r="Q938" s="12"/>
      <c r="R938" s="15"/>
      <c r="S938" s="12"/>
      <c r="T938" s="12"/>
      <c r="U938" s="12"/>
      <c r="V938" s="12"/>
      <c r="W938" s="12"/>
      <c r="X938" s="12"/>
      <c r="Y938" s="12"/>
      <c r="Z938" s="12"/>
    </row>
    <row x14ac:dyDescent="0.25" r="939" customHeight="1" ht="15.75">
      <c r="A939" s="8">
        <f>IFERROR(__xludf.DUMMYFUNCTION("""COMPUTED_VALUE"""),25803.0)</f>
      </c>
      <c r="B939" s="9">
        <f>IFERROR(__xludf.DUMMYFUNCTION("""COMPUTED_VALUE"""),"SERRANA I")</f>
      </c>
      <c r="C939" s="9">
        <f>IFERROR(__xludf.DUMMYFUNCTION("""COMPUTED_VALUE"""),"CE PROFESSOR KOPKE")</f>
      </c>
      <c r="D939" s="10">
        <f>IFERROR(__xludf.DUMMYFUNCTION("""COMPUTED_VALUE"""),0.9689)</f>
      </c>
      <c r="E939" s="11">
        <f>IFERROR(__xludf.DUMMYFUNCTION("""COMPUTED_VALUE"""),242.06)</f>
      </c>
      <c r="F939" s="10">
        <f>IFERROR(__xludf.DUMMYFUNCTION("""COMPUTED_VALUE"""),0.4845)</f>
      </c>
      <c r="G939" s="11">
        <f>IFERROR(__xludf.DUMMYFUNCTION("""COMPUTED_VALUE"""),448.31)</f>
      </c>
      <c r="H939" s="10">
        <f>IFERROR(__xludf.DUMMYFUNCTION("""COMPUTED_VALUE"""),0.7205)</f>
      </c>
      <c r="I939" s="11">
        <f>IFERROR(__xludf.DUMMYFUNCTION("""COMPUTED_VALUE"""),444.6)</f>
      </c>
      <c r="J939" s="10">
        <f>IFERROR(__xludf.DUMMYFUNCTION("""COMPUTED_VALUE"""),0.5217)</f>
      </c>
      <c r="K939" s="11">
        <f>IFERROR(__xludf.DUMMYFUNCTION("""COMPUTED_VALUE"""),397.56)</f>
      </c>
      <c r="L939" s="10">
        <f>IFERROR(__xludf.DUMMYFUNCTION("""COMPUTED_VALUE"""),0.6211)</f>
      </c>
      <c r="M939" s="11">
        <f>IFERROR(__xludf.DUMMYFUNCTION("""COMPUTED_VALUE"""),364.85)</f>
      </c>
      <c r="N939" s="10">
        <f>IFERROR(__xludf.DUMMYFUNCTION("""COMPUTED_VALUE"""),0.7081)</f>
      </c>
      <c r="O939" s="11">
        <f>IFERROR(__xludf.DUMMYFUNCTION("""COMPUTED_VALUE"""),345.23)</f>
      </c>
      <c r="P939" s="12"/>
      <c r="Q939" s="12"/>
      <c r="R939" s="15"/>
      <c r="S939" s="12"/>
      <c r="T939" s="12"/>
      <c r="U939" s="12"/>
      <c r="V939" s="12"/>
      <c r="W939" s="12"/>
      <c r="X939" s="12"/>
      <c r="Y939" s="12"/>
      <c r="Z939" s="12"/>
    </row>
    <row x14ac:dyDescent="0.25" r="940" customHeight="1" ht="15.75">
      <c r="A940" s="8">
        <f>IFERROR(__xludf.DUMMYFUNCTION("""COMPUTED_VALUE"""),25758.0)</f>
      </c>
      <c r="B940" s="9">
        <f>IFERROR(__xludf.DUMMYFUNCTION("""COMPUTED_VALUE"""),"SERRANA I")</f>
      </c>
      <c r="C940" s="9">
        <f>IFERROR(__xludf.DUMMYFUNCTION("""COMPUTED_VALUE"""),"CE PROFESSORA ALDA BERNARDO DOS SANTOS TAVARES")</f>
      </c>
      <c r="D940" s="10">
        <f>IFERROR(__xludf.DUMMYFUNCTION("""COMPUTED_VALUE"""),0.9548)</f>
      </c>
      <c r="E940" s="11">
        <f>IFERROR(__xludf.DUMMYFUNCTION("""COMPUTED_VALUE"""),318.15)</f>
      </c>
      <c r="F940" s="10">
        <f>IFERROR(__xludf.DUMMYFUNCTION("""COMPUTED_VALUE"""),0.7458)</f>
      </c>
      <c r="G940" s="11">
        <f>IFERROR(__xludf.DUMMYFUNCTION("""COMPUTED_VALUE"""),441.4)</f>
      </c>
      <c r="H940" s="10">
        <f>IFERROR(__xludf.DUMMYFUNCTION("""COMPUTED_VALUE"""),0.7303)</f>
      </c>
      <c r="I940" s="11">
        <f>IFERROR(__xludf.DUMMYFUNCTION("""COMPUTED_VALUE"""),488.9)</f>
      </c>
      <c r="J940" s="10">
        <f>IFERROR(__xludf.DUMMYFUNCTION("""COMPUTED_VALUE"""),0.6052)</f>
      </c>
      <c r="K940" s="11">
        <f>IFERROR(__xludf.DUMMYFUNCTION("""COMPUTED_VALUE"""),390.64)</f>
      </c>
      <c r="L940" s="10">
        <f>IFERROR(__xludf.DUMMYFUNCTION("""COMPUTED_VALUE"""),0.6245)</f>
      </c>
      <c r="M940" s="11">
        <f>IFERROR(__xludf.DUMMYFUNCTION("""COMPUTED_VALUE"""),494.16)</f>
      </c>
      <c r="N940" s="10">
        <f>IFERROR(__xludf.DUMMYFUNCTION("""COMPUTED_VALUE"""),0.0013)</f>
      </c>
      <c r="O940" s="11">
        <f>IFERROR(__xludf.DUMMYFUNCTION("""COMPUTED_VALUE"""),360.0)</f>
      </c>
      <c r="P940" s="12"/>
      <c r="Q940" s="12"/>
      <c r="R940" s="15"/>
      <c r="S940" s="12"/>
      <c r="T940" s="12"/>
      <c r="U940" s="12"/>
      <c r="V940" s="12"/>
      <c r="W940" s="12"/>
      <c r="X940" s="12"/>
      <c r="Y940" s="12"/>
      <c r="Z940" s="12"/>
    </row>
    <row x14ac:dyDescent="0.25" r="941" customHeight="1" ht="15.75">
      <c r="A941" s="8">
        <f>IFERROR(__xludf.DUMMYFUNCTION("""COMPUTED_VALUE"""),25750.0)</f>
      </c>
      <c r="B941" s="9">
        <f>IFERROR(__xludf.DUMMYFUNCTION("""COMPUTED_VALUE"""),"SERRANA I")</f>
      </c>
      <c r="C941" s="9">
        <f>IFERROR(__xludf.DUMMYFUNCTION("""COMPUTED_VALUE"""),"CE PROFESSORA ALVINA VALERIO DA SILVA")</f>
      </c>
      <c r="D941" s="10">
        <f>IFERROR(__xludf.DUMMYFUNCTION("""COMPUTED_VALUE"""),0.9926)</f>
      </c>
      <c r="E941" s="11">
        <f>IFERROR(__xludf.DUMMYFUNCTION("""COMPUTED_VALUE"""),208.04)</f>
      </c>
      <c r="F941" s="10">
        <f>IFERROR(__xludf.DUMMYFUNCTION("""COMPUTED_VALUE"""),0.684)</f>
      </c>
      <c r="G941" s="11">
        <f>IFERROR(__xludf.DUMMYFUNCTION("""COMPUTED_VALUE"""),357.85)</f>
      </c>
      <c r="H941" s="10">
        <f>IFERROR(__xludf.DUMMYFUNCTION("""COMPUTED_VALUE"""),0.5563)</f>
      </c>
      <c r="I941" s="11">
        <f>IFERROR(__xludf.DUMMYFUNCTION("""COMPUTED_VALUE"""),394.13)</f>
      </c>
      <c r="J941" s="10">
        <f>IFERROR(__xludf.DUMMYFUNCTION("""COMPUTED_VALUE"""),0.7012)</f>
      </c>
      <c r="K941" s="11">
        <f>IFERROR(__xludf.DUMMYFUNCTION("""COMPUTED_VALUE"""),340.66)</f>
      </c>
      <c r="L941" s="10">
        <f>IFERROR(__xludf.DUMMYFUNCTION("""COMPUTED_VALUE"""),0.5688)</f>
      </c>
      <c r="M941" s="11">
        <f>IFERROR(__xludf.DUMMYFUNCTION("""COMPUTED_VALUE"""),363.99)</f>
      </c>
      <c r="N941" s="10">
        <f>IFERROR(__xludf.DUMMYFUNCTION("""COMPUTED_VALUE"""),0.5094)</f>
      </c>
      <c r="O941" s="11">
        <f>IFERROR(__xludf.DUMMYFUNCTION("""COMPUTED_VALUE"""),"----")</f>
      </c>
      <c r="P941" s="12"/>
      <c r="Q941" s="12"/>
      <c r="R941" s="15"/>
      <c r="S941" s="12"/>
      <c r="T941" s="12"/>
      <c r="U941" s="12"/>
      <c r="V941" s="12"/>
      <c r="W941" s="12"/>
      <c r="X941" s="12"/>
      <c r="Y941" s="12"/>
      <c r="Z941" s="12"/>
    </row>
    <row x14ac:dyDescent="0.25" r="942" customHeight="1" ht="15.75">
      <c r="A942" s="8">
        <f>IFERROR(__xludf.DUMMYFUNCTION("""COMPUTED_VALUE"""),25785.0)</f>
      </c>
      <c r="B942" s="9">
        <f>IFERROR(__xludf.DUMMYFUNCTION("""COMPUTED_VALUE"""),"SERRANA I")</f>
      </c>
      <c r="C942" s="9">
        <f>IFERROR(__xludf.DUMMYFUNCTION("""COMPUTED_VALUE"""),"CE PROFESSORA MARIA APARECIDA BASTOS")</f>
      </c>
      <c r="D942" s="10">
        <f>IFERROR(__xludf.DUMMYFUNCTION("""COMPUTED_VALUE"""),0.9921)</f>
      </c>
      <c r="E942" s="11">
        <f>IFERROR(__xludf.DUMMYFUNCTION("""COMPUTED_VALUE"""),362.24)</f>
      </c>
      <c r="F942" s="10">
        <f>IFERROR(__xludf.DUMMYFUNCTION("""COMPUTED_VALUE"""),0.8254)</f>
      </c>
      <c r="G942" s="11">
        <f>IFERROR(__xludf.DUMMYFUNCTION("""COMPUTED_VALUE"""),447.31)</f>
      </c>
      <c r="H942" s="10">
        <f>IFERROR(__xludf.DUMMYFUNCTION("""COMPUTED_VALUE"""),0.8016)</f>
      </c>
      <c r="I942" s="11">
        <f>IFERROR(__xludf.DUMMYFUNCTION("""COMPUTED_VALUE"""),444.75)</f>
      </c>
      <c r="J942" s="10">
        <f>IFERROR(__xludf.DUMMYFUNCTION("""COMPUTED_VALUE"""),0.8651)</f>
      </c>
      <c r="K942" s="11">
        <f>IFERROR(__xludf.DUMMYFUNCTION("""COMPUTED_VALUE"""),404.81)</f>
      </c>
      <c r="L942" s="10">
        <f>IFERROR(__xludf.DUMMYFUNCTION("""COMPUTED_VALUE"""),0.8175)</f>
      </c>
      <c r="M942" s="11">
        <f>IFERROR(__xludf.DUMMYFUNCTION("""COMPUTED_VALUE"""),452.67)</f>
      </c>
      <c r="N942" s="10">
        <f>IFERROR(__xludf.DUMMYFUNCTION("""COMPUTED_VALUE"""),0.6746)</f>
      </c>
      <c r="O942" s="11">
        <f>IFERROR(__xludf.DUMMYFUNCTION("""COMPUTED_VALUE"""),457.41)</f>
      </c>
      <c r="P942" s="12"/>
      <c r="Q942" s="12"/>
      <c r="R942" s="15"/>
      <c r="S942" s="12"/>
      <c r="T942" s="12"/>
      <c r="U942" s="12"/>
      <c r="V942" s="12"/>
      <c r="W942" s="12"/>
      <c r="X942" s="12"/>
      <c r="Y942" s="12"/>
      <c r="Z942" s="12"/>
    </row>
    <row x14ac:dyDescent="0.25" r="943" customHeight="1" ht="15.75">
      <c r="A943" s="8">
        <f>IFERROR(__xludf.DUMMYFUNCTION("""COMPUTED_VALUE"""),25759.0)</f>
      </c>
      <c r="B943" s="9">
        <f>IFERROR(__xludf.DUMMYFUNCTION("""COMPUTED_VALUE"""),"SERRANA I")</f>
      </c>
      <c r="C943" s="9">
        <f>IFERROR(__xludf.DUMMYFUNCTION("""COMPUTED_VALUE"""),"CE PROFESSORA RUTH TALDO FRANCA")</f>
      </c>
      <c r="D943" s="10">
        <f>IFERROR(__xludf.DUMMYFUNCTION("""COMPUTED_VALUE"""),0.9372)</f>
      </c>
      <c r="E943" s="11">
        <f>IFERROR(__xludf.DUMMYFUNCTION("""COMPUTED_VALUE"""),312.65)</f>
      </c>
      <c r="F943" s="10">
        <f>IFERROR(__xludf.DUMMYFUNCTION("""COMPUTED_VALUE"""),0.3865)</f>
      </c>
      <c r="G943" s="11">
        <f>IFERROR(__xludf.DUMMYFUNCTION("""COMPUTED_VALUE"""),411.0)</f>
      </c>
      <c r="H943" s="10">
        <f>IFERROR(__xludf.DUMMYFUNCTION("""COMPUTED_VALUE"""),0.6763)</f>
      </c>
      <c r="I943" s="11">
        <f>IFERROR(__xludf.DUMMYFUNCTION("""COMPUTED_VALUE"""),405.47)</f>
      </c>
      <c r="J943" s="10">
        <f>IFERROR(__xludf.DUMMYFUNCTION("""COMPUTED_VALUE"""),0.6522)</f>
      </c>
      <c r="K943" s="11">
        <f>IFERROR(__xludf.DUMMYFUNCTION("""COMPUTED_VALUE"""),305.85)</f>
      </c>
      <c r="L943" s="10">
        <f>IFERROR(__xludf.DUMMYFUNCTION("""COMPUTED_VALUE"""),0.7343)</f>
      </c>
      <c r="M943" s="11">
        <f>IFERROR(__xludf.DUMMYFUNCTION("""COMPUTED_VALUE"""),484.53)</f>
      </c>
      <c r="N943" s="10">
        <f>IFERROR(__xludf.DUMMYFUNCTION("""COMPUTED_VALUE"""),0.7488)</f>
      </c>
      <c r="O943" s="11">
        <f>IFERROR(__xludf.DUMMYFUNCTION("""COMPUTED_VALUE"""),496.47)</f>
      </c>
      <c r="P943" s="12"/>
      <c r="Q943" s="12"/>
      <c r="R943" s="15"/>
      <c r="S943" s="12"/>
      <c r="T943" s="12"/>
      <c r="U943" s="12"/>
      <c r="V943" s="12"/>
      <c r="W943" s="12"/>
      <c r="X943" s="12"/>
      <c r="Y943" s="12"/>
      <c r="Z943" s="12"/>
    </row>
    <row x14ac:dyDescent="0.25" r="944" customHeight="1" ht="15.75">
      <c r="A944" s="8">
        <f>IFERROR(__xludf.DUMMYFUNCTION("""COMPUTED_VALUE"""),25760.0)</f>
      </c>
      <c r="B944" s="9">
        <f>IFERROR(__xludf.DUMMYFUNCTION("""COMPUTED_VALUE"""),"SERRANA I")</f>
      </c>
      <c r="C944" s="9">
        <f>IFERROR(__xludf.DUMMYFUNCTION("""COMPUTED_VALUE"""),"CE PROFESSORA SONIA MARIA PIEDADE DE MOURA")</f>
      </c>
      <c r="D944" s="10">
        <f>IFERROR(__xludf.DUMMYFUNCTION("""COMPUTED_VALUE"""),1.0)</f>
      </c>
      <c r="E944" s="11">
        <f>IFERROR(__xludf.DUMMYFUNCTION("""COMPUTED_VALUE"""),321.71)</f>
      </c>
      <c r="F944" s="10">
        <f>IFERROR(__xludf.DUMMYFUNCTION("""COMPUTED_VALUE"""),0.766)</f>
      </c>
      <c r="G944" s="11">
        <f>IFERROR(__xludf.DUMMYFUNCTION("""COMPUTED_VALUE"""),455.47)</f>
      </c>
      <c r="H944" s="10">
        <f>IFERROR(__xludf.DUMMYFUNCTION("""COMPUTED_VALUE"""),0.8227)</f>
      </c>
      <c r="I944" s="11">
        <f>IFERROR(__xludf.DUMMYFUNCTION("""COMPUTED_VALUE"""),495.22)</f>
      </c>
      <c r="J944" s="10">
        <f>IFERROR(__xludf.DUMMYFUNCTION("""COMPUTED_VALUE"""),0.8865)</f>
      </c>
      <c r="K944" s="11">
        <f>IFERROR(__xludf.DUMMYFUNCTION("""COMPUTED_VALUE"""),389.35)</f>
      </c>
      <c r="L944" s="10">
        <f>IFERROR(__xludf.DUMMYFUNCTION("""COMPUTED_VALUE"""),0.8014)</f>
      </c>
      <c r="M944" s="11">
        <f>IFERROR(__xludf.DUMMYFUNCTION("""COMPUTED_VALUE"""),466.55)</f>
      </c>
      <c r="N944" s="10">
        <f>IFERROR(__xludf.DUMMYFUNCTION("""COMPUTED_VALUE"""),0.8085)</f>
      </c>
      <c r="O944" s="11">
        <f>IFERROR(__xludf.DUMMYFUNCTION("""COMPUTED_VALUE"""),459.1)</f>
      </c>
      <c r="P944" s="12"/>
      <c r="Q944" s="12"/>
      <c r="R944" s="15"/>
      <c r="S944" s="12"/>
      <c r="T944" s="12"/>
      <c r="U944" s="12"/>
      <c r="V944" s="12"/>
      <c r="W944" s="12"/>
      <c r="X944" s="12"/>
      <c r="Y944" s="12"/>
      <c r="Z944" s="12"/>
    </row>
    <row x14ac:dyDescent="0.25" r="945" customHeight="1" ht="15.75">
      <c r="A945" s="8">
        <f>IFERROR(__xludf.DUMMYFUNCTION("""COMPUTED_VALUE"""),25786.0)</f>
      </c>
      <c r="B945" s="9">
        <f>IFERROR(__xludf.DUMMYFUNCTION("""COMPUTED_VALUE"""),"SERRANA I")</f>
      </c>
      <c r="C945" s="9">
        <f>IFERROR(__xludf.DUMMYFUNCTION("""COMPUTED_VALUE"""),"CE REPUBLICA DO LIBANO")</f>
      </c>
      <c r="D945" s="10">
        <f>IFERROR(__xludf.DUMMYFUNCTION("""COMPUTED_VALUE"""),1.0)</f>
      </c>
      <c r="E945" s="11">
        <f>IFERROR(__xludf.DUMMYFUNCTION("""COMPUTED_VALUE"""),307.64)</f>
      </c>
      <c r="F945" s="10">
        <f>IFERROR(__xludf.DUMMYFUNCTION("""COMPUTED_VALUE"""),1.0)</f>
      </c>
      <c r="G945" s="11">
        <f>IFERROR(__xludf.DUMMYFUNCTION("""COMPUTED_VALUE"""),440.0)</f>
      </c>
      <c r="H945" s="10">
        <f>IFERROR(__xludf.DUMMYFUNCTION("""COMPUTED_VALUE"""),0.9091)</f>
      </c>
      <c r="I945" s="11">
        <f>IFERROR(__xludf.DUMMYFUNCTION("""COMPUTED_VALUE"""),577.14)</f>
      </c>
      <c r="J945" s="10">
        <f>IFERROR(__xludf.DUMMYFUNCTION("""COMPUTED_VALUE"""),0.7455)</f>
      </c>
      <c r="K945" s="11">
        <f>IFERROR(__xludf.DUMMYFUNCTION("""COMPUTED_VALUE"""),467.69)</f>
      </c>
      <c r="L945" s="10">
        <f>IFERROR(__xludf.DUMMYFUNCTION("""COMPUTED_VALUE"""),0.8182)</f>
      </c>
      <c r="M945" s="11">
        <f>IFERROR(__xludf.DUMMYFUNCTION("""COMPUTED_VALUE"""),525.33)</f>
      </c>
      <c r="N945" s="10">
        <f>IFERROR(__xludf.DUMMYFUNCTION("""COMPUTED_VALUE"""),0.8909)</f>
      </c>
      <c r="O945" s="11">
        <f>IFERROR(__xludf.DUMMYFUNCTION("""COMPUTED_VALUE"""),580.0)</f>
      </c>
      <c r="P945" s="12"/>
      <c r="Q945" s="12"/>
      <c r="R945" s="15"/>
      <c r="S945" s="12"/>
      <c r="T945" s="12"/>
      <c r="U945" s="12"/>
      <c r="V945" s="12"/>
      <c r="W945" s="12"/>
      <c r="X945" s="12"/>
      <c r="Y945" s="12"/>
      <c r="Z945" s="12"/>
    </row>
    <row x14ac:dyDescent="0.25" r="946" customHeight="1" ht="15.75">
      <c r="A946" s="8">
        <f>IFERROR(__xludf.DUMMYFUNCTION("""COMPUTED_VALUE"""),25804.0)</f>
      </c>
      <c r="B946" s="9">
        <f>IFERROR(__xludf.DUMMYFUNCTION("""COMPUTED_VALUE"""),"SERRANA I")</f>
      </c>
      <c r="C946" s="9">
        <f>IFERROR(__xludf.DUMMYFUNCTION("""COMPUTED_VALUE"""),"CE ROBERTO COELHO PEDROSO")</f>
      </c>
      <c r="D946" s="10">
        <f>IFERROR(__xludf.DUMMYFUNCTION("""COMPUTED_VALUE"""),0.9895)</f>
      </c>
      <c r="E946" s="11">
        <f>IFERROR(__xludf.DUMMYFUNCTION("""COMPUTED_VALUE"""),218.49)</f>
      </c>
      <c r="F946" s="10">
        <f>IFERROR(__xludf.DUMMYFUNCTION("""COMPUTED_VALUE"""),1.0)</f>
      </c>
      <c r="G946" s="11">
        <f>IFERROR(__xludf.DUMMYFUNCTION("""COMPUTED_VALUE"""),306.94)</f>
      </c>
      <c r="H946" s="10">
        <f>IFERROR(__xludf.DUMMYFUNCTION("""COMPUTED_VALUE"""),1.0)</f>
      </c>
      <c r="I946" s="11">
        <f>IFERROR(__xludf.DUMMYFUNCTION("""COMPUTED_VALUE"""),410.31)</f>
      </c>
      <c r="J946" s="10">
        <f>IFERROR(__xludf.DUMMYFUNCTION("""COMPUTED_VALUE"""),1.0)</f>
      </c>
      <c r="K946" s="11">
        <f>IFERROR(__xludf.DUMMYFUNCTION("""COMPUTED_VALUE"""),275.46)</f>
      </c>
      <c r="L946" s="10">
        <f>IFERROR(__xludf.DUMMYFUNCTION("""COMPUTED_VALUE"""),1.0)</f>
      </c>
      <c r="M946" s="11">
        <f>IFERROR(__xludf.DUMMYFUNCTION("""COMPUTED_VALUE"""),296.0)</f>
      </c>
      <c r="N946" s="10">
        <f>IFERROR(__xludf.DUMMYFUNCTION("""COMPUTED_VALUE"""),1.0)</f>
      </c>
      <c r="O946" s="11">
        <f>IFERROR(__xludf.DUMMYFUNCTION("""COMPUTED_VALUE"""),314.58)</f>
      </c>
      <c r="P946" s="12"/>
      <c r="Q946" s="12"/>
      <c r="R946" s="15"/>
      <c r="S946" s="12"/>
      <c r="T946" s="12"/>
      <c r="U946" s="12"/>
      <c r="V946" s="12"/>
      <c r="W946" s="12"/>
      <c r="X946" s="12"/>
      <c r="Y946" s="12"/>
      <c r="Z946" s="12"/>
    </row>
    <row x14ac:dyDescent="0.25" r="947" customHeight="1" ht="15.75">
      <c r="A947" s="8">
        <f>IFERROR(__xludf.DUMMYFUNCTION("""COMPUTED_VALUE"""),25776.0)</f>
      </c>
      <c r="B947" s="9">
        <f>IFERROR(__xludf.DUMMYFUNCTION("""COMPUTED_VALUE"""),"SERRANA I")</f>
      </c>
      <c r="C947" s="9">
        <f>IFERROR(__xludf.DUMMYFUNCTION("""COMPUTED_VALUE"""),"CE RUI BARBOSA")</f>
      </c>
      <c r="D947" s="10">
        <f>IFERROR(__xludf.DUMMYFUNCTION("""COMPUTED_VALUE"""),0.9515)</f>
      </c>
      <c r="E947" s="11">
        <f>IFERROR(__xludf.DUMMYFUNCTION("""COMPUTED_VALUE"""),316.89)</f>
      </c>
      <c r="F947" s="10">
        <f>IFERROR(__xludf.DUMMYFUNCTION("""COMPUTED_VALUE"""),0.804)</f>
      </c>
      <c r="G947" s="11">
        <f>IFERROR(__xludf.DUMMYFUNCTION("""COMPUTED_VALUE"""),438.4)</f>
      </c>
      <c r="H947" s="10">
        <f>IFERROR(__xludf.DUMMYFUNCTION("""COMPUTED_VALUE"""),0.6822)</f>
      </c>
      <c r="I947" s="11">
        <f>IFERROR(__xludf.DUMMYFUNCTION("""COMPUTED_VALUE"""),506.89)</f>
      </c>
      <c r="J947" s="10">
        <f>IFERROR(__xludf.DUMMYFUNCTION("""COMPUTED_VALUE"""),0.7789)</f>
      </c>
      <c r="K947" s="11">
        <f>IFERROR(__xludf.DUMMYFUNCTION("""COMPUTED_VALUE"""),432.46)</f>
      </c>
      <c r="L947" s="10">
        <f>IFERROR(__xludf.DUMMYFUNCTION("""COMPUTED_VALUE"""),0.6919)</f>
      </c>
      <c r="M947" s="11">
        <f>IFERROR(__xludf.DUMMYFUNCTION("""COMPUTED_VALUE"""),480.11)</f>
      </c>
      <c r="N947" s="10">
        <f>IFERROR(__xludf.DUMMYFUNCTION("""COMPUTED_VALUE"""),0.6279)</f>
      </c>
      <c r="O947" s="11">
        <f>IFERROR(__xludf.DUMMYFUNCTION("""COMPUTED_VALUE"""),467.0)</f>
      </c>
      <c r="P947" s="12"/>
      <c r="Q947" s="12"/>
      <c r="R947" s="15"/>
      <c r="S947" s="12"/>
      <c r="T947" s="12"/>
      <c r="U947" s="12"/>
      <c r="V947" s="12"/>
      <c r="W947" s="12"/>
      <c r="X947" s="12"/>
      <c r="Y947" s="12"/>
      <c r="Z947" s="12"/>
    </row>
    <row x14ac:dyDescent="0.25" r="948" customHeight="1" ht="15.75">
      <c r="A948" s="8">
        <f>IFERROR(__xludf.DUMMYFUNCTION("""COMPUTED_VALUE"""),25761.0)</f>
      </c>
      <c r="B948" s="9">
        <f>IFERROR(__xludf.DUMMYFUNCTION("""COMPUTED_VALUE"""),"SERRANA I")</f>
      </c>
      <c r="C948" s="9">
        <f>IFERROR(__xludf.DUMMYFUNCTION("""COMPUTED_VALUE"""),"CE SAO FRANCISCO DE ASSIS")</f>
      </c>
      <c r="D948" s="10">
        <f>IFERROR(__xludf.DUMMYFUNCTION("""COMPUTED_VALUE"""),0.7619)</f>
      </c>
      <c r="E948" s="11">
        <f>IFERROR(__xludf.DUMMYFUNCTION("""COMPUTED_VALUE"""),244.17)</f>
      </c>
      <c r="F948" s="10">
        <f>IFERROR(__xludf.DUMMYFUNCTION("""COMPUTED_VALUE"""),0.6984)</f>
      </c>
      <c r="G948" s="11">
        <f>IFERROR(__xludf.DUMMYFUNCTION("""COMPUTED_VALUE"""),365.45)</f>
      </c>
      <c r="H948" s="10">
        <f>IFERROR(__xludf.DUMMYFUNCTION("""COMPUTED_VALUE"""),0.6032)</f>
      </c>
      <c r="I948" s="11">
        <f>IFERROR(__xludf.DUMMYFUNCTION("""COMPUTED_VALUE"""),383.16)</f>
      </c>
      <c r="J948" s="10">
        <f>IFERROR(__xludf.DUMMYFUNCTION("""COMPUTED_VALUE"""),0.6667)</f>
      </c>
      <c r="K948" s="11">
        <f>IFERROR(__xludf.DUMMYFUNCTION("""COMPUTED_VALUE"""),312.0)</f>
      </c>
      <c r="L948" s="10">
        <f>IFERROR(__xludf.DUMMYFUNCTION("""COMPUTED_VALUE"""),0.6825)</f>
      </c>
      <c r="M948" s="11">
        <f>IFERROR(__xludf.DUMMYFUNCTION("""COMPUTED_VALUE"""),393.17)</f>
      </c>
      <c r="N948" s="10">
        <f>IFERROR(__xludf.DUMMYFUNCTION("""COMPUTED_VALUE"""),0.6508)</f>
      </c>
      <c r="O948" s="11">
        <f>IFERROR(__xludf.DUMMYFUNCTION("""COMPUTED_VALUE"""),383.41)</f>
      </c>
      <c r="P948" s="12"/>
      <c r="Q948" s="12"/>
      <c r="R948" s="15"/>
      <c r="S948" s="12"/>
      <c r="T948" s="12"/>
      <c r="U948" s="12"/>
      <c r="V948" s="12"/>
      <c r="W948" s="12"/>
      <c r="X948" s="12"/>
      <c r="Y948" s="12"/>
      <c r="Z948" s="12"/>
    </row>
    <row x14ac:dyDescent="0.25" r="949" customHeight="1" ht="15.75">
      <c r="A949" s="8">
        <f>IFERROR(__xludf.DUMMYFUNCTION("""COMPUTED_VALUE"""),25805.0)</f>
      </c>
      <c r="B949" s="9">
        <f>IFERROR(__xludf.DUMMYFUNCTION("""COMPUTED_VALUE"""),"SERRANA I")</f>
      </c>
      <c r="C949" s="9">
        <f>IFERROR(__xludf.DUMMYFUNCTION("""COMPUTED_VALUE"""),"CE URBANO CARLOS DE ALMEIDA")</f>
      </c>
      <c r="D949" s="10">
        <f>IFERROR(__xludf.DUMMYFUNCTION("""COMPUTED_VALUE"""),1.0)</f>
      </c>
      <c r="E949" s="11">
        <f>IFERROR(__xludf.DUMMYFUNCTION("""COMPUTED_VALUE"""),214.71)</f>
      </c>
      <c r="F949" s="10">
        <f>IFERROR(__xludf.DUMMYFUNCTION("""COMPUTED_VALUE"""),0.7586)</f>
      </c>
      <c r="G949" s="11">
        <f>IFERROR(__xludf.DUMMYFUNCTION("""COMPUTED_VALUE"""),367.27)</f>
      </c>
      <c r="H949" s="10">
        <f>IFERROR(__xludf.DUMMYFUNCTION("""COMPUTED_VALUE"""),0.5588)</f>
      </c>
      <c r="I949" s="11">
        <f>IFERROR(__xludf.DUMMYFUNCTION("""COMPUTED_VALUE"""),"----")</f>
      </c>
      <c r="J949" s="10">
        <f>IFERROR(__xludf.DUMMYFUNCTION("""COMPUTED_VALUE"""),0.8333)</f>
      </c>
      <c r="K949" s="11">
        <f>IFERROR(__xludf.DUMMYFUNCTION("""COMPUTED_VALUE"""),171.08)</f>
      </c>
      <c r="L949" s="10">
        <f>IFERROR(__xludf.DUMMYFUNCTION("""COMPUTED_VALUE"""),0.7353)</f>
      </c>
      <c r="M949" s="11">
        <f>IFERROR(__xludf.DUMMYFUNCTION("""COMPUTED_VALUE"""),422.4)</f>
      </c>
      <c r="N949" s="10">
        <f>IFERROR(__xludf.DUMMYFUNCTION("""COMPUTED_VALUE"""),0.6863)</f>
      </c>
      <c r="O949" s="11">
        <f>IFERROR(__xludf.DUMMYFUNCTION("""COMPUTED_VALUE"""),458.86)</f>
      </c>
      <c r="P949" s="12"/>
      <c r="Q949" s="12"/>
      <c r="R949" s="15"/>
      <c r="S949" s="12"/>
      <c r="T949" s="12"/>
      <c r="U949" s="12"/>
      <c r="V949" s="12"/>
      <c r="W949" s="12"/>
      <c r="X949" s="12"/>
      <c r="Y949" s="12"/>
      <c r="Z949" s="12"/>
    </row>
    <row x14ac:dyDescent="0.25" r="950" customHeight="1" ht="15.75">
      <c r="A950" s="8">
        <f>IFERROR(__xludf.DUMMYFUNCTION("""COMPUTED_VALUE"""),25762.0)</f>
      </c>
      <c r="B950" s="9">
        <f>IFERROR(__xludf.DUMMYFUNCTION("""COMPUTED_VALUE"""),"SERRANA I")</f>
      </c>
      <c r="C950" s="9">
        <f>IFERROR(__xludf.DUMMYFUNCTION("""COMPUTED_VALUE"""),"CE VISCONDE DE SEPETIBA")</f>
      </c>
      <c r="D950" s="10">
        <f>IFERROR(__xludf.DUMMYFUNCTION("""COMPUTED_VALUE"""),0.9778)</f>
      </c>
      <c r="E950" s="11">
        <f>IFERROR(__xludf.DUMMYFUNCTION("""COMPUTED_VALUE"""),164.96)</f>
      </c>
      <c r="F950" s="10">
        <f>IFERROR(__xludf.DUMMYFUNCTION("""COMPUTED_VALUE"""),0.9778)</f>
      </c>
      <c r="G950" s="11">
        <f>IFERROR(__xludf.DUMMYFUNCTION("""COMPUTED_VALUE"""),296.77)</f>
      </c>
      <c r="H950" s="10">
        <f>IFERROR(__xludf.DUMMYFUNCTION("""COMPUTED_VALUE"""),0.6055)</f>
      </c>
      <c r="I950" s="11">
        <f>IFERROR(__xludf.DUMMYFUNCTION("""COMPUTED_VALUE"""),350.36)</f>
      </c>
      <c r="J950" s="10">
        <f>IFERROR(__xludf.DUMMYFUNCTION("""COMPUTED_VALUE"""),0.7168)</f>
      </c>
      <c r="K950" s="11">
        <f>IFERROR(__xludf.DUMMYFUNCTION("""COMPUTED_VALUE"""),260.46)</f>
      </c>
      <c r="L950" s="10">
        <f>IFERROR(__xludf.DUMMYFUNCTION("""COMPUTED_VALUE"""),0.6466)</f>
      </c>
      <c r="M950" s="11">
        <f>IFERROR(__xludf.DUMMYFUNCTION("""COMPUTED_VALUE"""),388.3)</f>
      </c>
      <c r="N950" s="10">
        <f>IFERROR(__xludf.DUMMYFUNCTION("""COMPUTED_VALUE"""),0.6521)</f>
      </c>
      <c r="O950" s="11">
        <f>IFERROR(__xludf.DUMMYFUNCTION("""COMPUTED_VALUE"""),410.17)</f>
      </c>
      <c r="P950" s="12"/>
      <c r="Q950" s="12"/>
      <c r="R950" s="15"/>
      <c r="S950" s="12"/>
      <c r="T950" s="12"/>
      <c r="U950" s="12"/>
      <c r="V950" s="12"/>
      <c r="W950" s="12"/>
      <c r="X950" s="12"/>
      <c r="Y950" s="12"/>
      <c r="Z950" s="12"/>
    </row>
    <row x14ac:dyDescent="0.25" r="951" customHeight="1" ht="15.75">
      <c r="A951" s="8">
        <f>IFERROR(__xludf.DUMMYFUNCTION("""COMPUTED_VALUE"""),25763.0)</f>
      </c>
      <c r="B951" s="9">
        <f>IFERROR(__xludf.DUMMYFUNCTION("""COMPUTED_VALUE"""),"SERRANA I")</f>
      </c>
      <c r="C951" s="9">
        <f>IFERROR(__xludf.DUMMYFUNCTION("""COMPUTED_VALUE"""),"CEI AGROECOLOGICO BARAO DE LANGSDORFF")</f>
      </c>
      <c r="D951" s="10">
        <f>IFERROR(__xludf.DUMMYFUNCTION("""COMPUTED_VALUE"""),0.9573)</f>
      </c>
      <c r="E951" s="11">
        <f>IFERROR(__xludf.DUMMYFUNCTION("""COMPUTED_VALUE"""),324.0)</f>
      </c>
      <c r="F951" s="10">
        <f>IFERROR(__xludf.DUMMYFUNCTION("""COMPUTED_VALUE"""),0.9487)</f>
      </c>
      <c r="G951" s="11">
        <f>IFERROR(__xludf.DUMMYFUNCTION("""COMPUTED_VALUE"""),416.58)</f>
      </c>
      <c r="H951" s="10">
        <f>IFERROR(__xludf.DUMMYFUNCTION("""COMPUTED_VALUE"""),1.0)</f>
      </c>
      <c r="I951" s="11">
        <f>IFERROR(__xludf.DUMMYFUNCTION("""COMPUTED_VALUE"""),433.39)</f>
      </c>
      <c r="J951" s="10">
        <f>IFERROR(__xludf.DUMMYFUNCTION("""COMPUTED_VALUE"""),1.0)</f>
      </c>
      <c r="K951" s="11">
        <f>IFERROR(__xludf.DUMMYFUNCTION("""COMPUTED_VALUE"""),387.24)</f>
      </c>
      <c r="L951" s="10">
        <f>IFERROR(__xludf.DUMMYFUNCTION("""COMPUTED_VALUE"""),1.0)</f>
      </c>
      <c r="M951" s="11">
        <f>IFERROR(__xludf.DUMMYFUNCTION("""COMPUTED_VALUE"""),408.21)</f>
      </c>
      <c r="N951" s="10">
        <f>IFERROR(__xludf.DUMMYFUNCTION("""COMPUTED_VALUE"""),1.0)</f>
      </c>
      <c r="O951" s="11">
        <f>IFERROR(__xludf.DUMMYFUNCTION("""COMPUTED_VALUE"""),420.0)</f>
      </c>
      <c r="P951" s="12"/>
      <c r="Q951" s="12"/>
      <c r="R951" s="15"/>
      <c r="S951" s="12"/>
      <c r="T951" s="12"/>
      <c r="U951" s="12"/>
      <c r="V951" s="12"/>
      <c r="W951" s="12"/>
      <c r="X951" s="12"/>
      <c r="Y951" s="12"/>
      <c r="Z951" s="12"/>
    </row>
    <row x14ac:dyDescent="0.25" r="952" customHeight="1" ht="15.75">
      <c r="A952" s="8">
        <f>IFERROR(__xludf.DUMMYFUNCTION("""COMPUTED_VALUE"""),25797.0)</f>
      </c>
      <c r="B952" s="9">
        <f>IFERROR(__xludf.DUMMYFUNCTION("""COMPUTED_VALUE"""),"SERRANA I")</f>
      </c>
      <c r="C952" s="9">
        <f>IFERROR(__xludf.DUMMYFUNCTION("""COMPUTED_VALUE"""),"CIA JOSE FRANCISCO LIPPI")</f>
      </c>
      <c r="D952" s="10">
        <f>IFERROR(__xludf.DUMMYFUNCTION("""COMPUTED_VALUE"""),0.9953)</f>
      </c>
      <c r="E952" s="11">
        <f>IFERROR(__xludf.DUMMYFUNCTION("""COMPUTED_VALUE"""),361.14)</f>
      </c>
      <c r="F952" s="10">
        <f>IFERROR(__xludf.DUMMYFUNCTION("""COMPUTED_VALUE"""),0.7896)</f>
      </c>
      <c r="G952" s="11">
        <f>IFERROR(__xludf.DUMMYFUNCTION("""COMPUTED_VALUE"""),494.34)</f>
      </c>
      <c r="H952" s="10">
        <f>IFERROR(__xludf.DUMMYFUNCTION("""COMPUTED_VALUE"""),0.8936)</f>
      </c>
      <c r="I952" s="11">
        <f>IFERROR(__xludf.DUMMYFUNCTION("""COMPUTED_VALUE"""),501.97)</f>
      </c>
      <c r="J952" s="10">
        <f>IFERROR(__xludf.DUMMYFUNCTION("""COMPUTED_VALUE"""),0.8747)</f>
      </c>
      <c r="K952" s="11">
        <f>IFERROR(__xludf.DUMMYFUNCTION("""COMPUTED_VALUE"""),442.56)</f>
      </c>
      <c r="L952" s="10">
        <f>IFERROR(__xludf.DUMMYFUNCTION("""COMPUTED_VALUE"""),0.8061)</f>
      </c>
      <c r="M952" s="11">
        <f>IFERROR(__xludf.DUMMYFUNCTION("""COMPUTED_VALUE"""),532.47)</f>
      </c>
      <c r="N952" s="10">
        <f>IFERROR(__xludf.DUMMYFUNCTION("""COMPUTED_VALUE"""),0.643)</f>
      </c>
      <c r="O952" s="11">
        <f>IFERROR(__xludf.DUMMYFUNCTION("""COMPUTED_VALUE"""),528.44)</f>
      </c>
      <c r="P952" s="12"/>
      <c r="Q952" s="12"/>
      <c r="R952" s="15"/>
      <c r="S952" s="12"/>
      <c r="T952" s="12"/>
      <c r="U952" s="12"/>
      <c r="V952" s="12"/>
      <c r="W952" s="12"/>
      <c r="X952" s="12"/>
      <c r="Y952" s="12"/>
      <c r="Z952" s="12"/>
    </row>
    <row x14ac:dyDescent="0.25" r="953" customHeight="1" ht="15.75">
      <c r="A953" s="8">
        <f>IFERROR(__xludf.DUMMYFUNCTION("""COMPUTED_VALUE"""),25778.0)</f>
      </c>
      <c r="B953" s="9">
        <f>IFERROR(__xludf.DUMMYFUNCTION("""COMPUTED_VALUE"""),"SERRANA I")</f>
      </c>
      <c r="C953" s="9">
        <f>IFERROR(__xludf.DUMMYFUNCTION("""COMPUTED_VALUE"""),"CIEP 038 SANTOS DUMONT - BRASIL-ALEMANHA")</f>
      </c>
      <c r="D953" s="10">
        <f>IFERROR(__xludf.DUMMYFUNCTION("""COMPUTED_VALUE"""),1.0)</f>
      </c>
      <c r="E953" s="11">
        <f>IFERROR(__xludf.DUMMYFUNCTION("""COMPUTED_VALUE"""),440.0)</f>
      </c>
      <c r="F953" s="10">
        <f>IFERROR(__xludf.DUMMYFUNCTION("""COMPUTED_VALUE"""),1.0)</f>
      </c>
      <c r="G953" s="11">
        <f>IFERROR(__xludf.DUMMYFUNCTION("""COMPUTED_VALUE"""),520.0)</f>
      </c>
      <c r="H953" s="10">
        <f>IFERROR(__xludf.DUMMYFUNCTION("""COMPUTED_VALUE"""),1.0)</f>
      </c>
      <c r="I953" s="11">
        <f>IFERROR(__xludf.DUMMYFUNCTION("""COMPUTED_VALUE"""),600.0)</f>
      </c>
      <c r="J953" s="10">
        <f>IFERROR(__xludf.DUMMYFUNCTION("""COMPUTED_VALUE"""),1.0)</f>
      </c>
      <c r="K953" s="11">
        <f>IFERROR(__xludf.DUMMYFUNCTION("""COMPUTED_VALUE"""),460.0)</f>
      </c>
      <c r="L953" s="10">
        <f>IFERROR(__xludf.DUMMYFUNCTION("""COMPUTED_VALUE"""),1.0)</f>
      </c>
      <c r="M953" s="11">
        <f>IFERROR(__xludf.DUMMYFUNCTION("""COMPUTED_VALUE"""),450.0)</f>
      </c>
      <c r="N953" s="10">
        <f>IFERROR(__xludf.DUMMYFUNCTION("""COMPUTED_VALUE"""),0.75)</f>
      </c>
      <c r="O953" s="11">
        <f>IFERROR(__xludf.DUMMYFUNCTION("""COMPUTED_VALUE"""),506.67)</f>
      </c>
      <c r="P953" s="12"/>
      <c r="Q953" s="12"/>
      <c r="R953" s="15"/>
      <c r="S953" s="12"/>
      <c r="T953" s="12"/>
      <c r="U953" s="12"/>
      <c r="V953" s="12"/>
      <c r="W953" s="12"/>
      <c r="X953" s="12"/>
      <c r="Y953" s="12"/>
      <c r="Z953" s="12"/>
    </row>
    <row x14ac:dyDescent="0.25" r="954" customHeight="1" ht="15.75">
      <c r="A954" s="8">
        <f>IFERROR(__xludf.DUMMYFUNCTION("""COMPUTED_VALUE"""),25764.0)</f>
      </c>
      <c r="B954" s="9">
        <f>IFERROR(__xludf.DUMMYFUNCTION("""COMPUTED_VALUE"""),"SERRANA I")</f>
      </c>
      <c r="C954" s="9">
        <f>IFERROR(__xludf.DUMMYFUNCTION("""COMPUTED_VALUE"""),"CIEP 127 FREI ACURSIO ALOISIO GONZAGA BOLWER")</f>
      </c>
      <c r="D954" s="10">
        <f>IFERROR(__xludf.DUMMYFUNCTION("""COMPUTED_VALUE"""),0.9738)</f>
      </c>
      <c r="E954" s="11">
        <f>IFERROR(__xludf.DUMMYFUNCTION("""COMPUTED_VALUE"""),201.08)</f>
      </c>
      <c r="F954" s="10">
        <f>IFERROR(__xludf.DUMMYFUNCTION("""COMPUTED_VALUE"""),0.7948)</f>
      </c>
      <c r="G954" s="11">
        <f>IFERROR(__xludf.DUMMYFUNCTION("""COMPUTED_VALUE"""),375.64)</f>
      </c>
      <c r="H954" s="10">
        <f>IFERROR(__xludf.DUMMYFUNCTION("""COMPUTED_VALUE"""),0.681)</f>
      </c>
      <c r="I954" s="11">
        <f>IFERROR(__xludf.DUMMYFUNCTION("""COMPUTED_VALUE"""),431.74)</f>
      </c>
      <c r="J954" s="10">
        <f>IFERROR(__xludf.DUMMYFUNCTION("""COMPUTED_VALUE"""),0.8136)</f>
      </c>
      <c r="K954" s="11">
        <f>IFERROR(__xludf.DUMMYFUNCTION("""COMPUTED_VALUE"""),328.38)</f>
      </c>
      <c r="L954" s="10">
        <f>IFERROR(__xludf.DUMMYFUNCTION("""COMPUTED_VALUE"""),0.7025)</f>
      </c>
      <c r="M954" s="11">
        <f>IFERROR(__xludf.DUMMYFUNCTION("""COMPUTED_VALUE"""),444.18)</f>
      </c>
      <c r="N954" s="10">
        <f>IFERROR(__xludf.DUMMYFUNCTION("""COMPUTED_VALUE"""),0.638)</f>
      </c>
      <c r="O954" s="11">
        <f>IFERROR(__xludf.DUMMYFUNCTION("""COMPUTED_VALUE"""),411.46)</f>
      </c>
      <c r="P954" s="12"/>
      <c r="Q954" s="12"/>
      <c r="R954" s="15"/>
      <c r="S954" s="12"/>
      <c r="T954" s="12"/>
      <c r="U954" s="12"/>
      <c r="V954" s="12"/>
      <c r="W954" s="12"/>
      <c r="X954" s="12"/>
      <c r="Y954" s="12"/>
      <c r="Z954" s="12"/>
    </row>
    <row x14ac:dyDescent="0.25" r="955" customHeight="1" ht="15.75">
      <c r="A955" s="8">
        <f>IFERROR(__xludf.DUMMYFUNCTION("""COMPUTED_VALUE"""),25765.0)</f>
      </c>
      <c r="B955" s="9">
        <f>IFERROR(__xludf.DUMMYFUNCTION("""COMPUTED_VALUE"""),"SERRANA I")</f>
      </c>
      <c r="C955" s="9">
        <f>IFERROR(__xludf.DUMMYFUNCTION("""COMPUTED_VALUE"""),"CIEP 128 MAGEPE MIRIM")</f>
      </c>
      <c r="D955" s="10">
        <f>IFERROR(__xludf.DUMMYFUNCTION("""COMPUTED_VALUE"""),0.9802)</f>
      </c>
      <c r="E955" s="11">
        <f>IFERROR(__xludf.DUMMYFUNCTION("""COMPUTED_VALUE"""),292.32)</f>
      </c>
      <c r="F955" s="10">
        <f>IFERROR(__xludf.DUMMYFUNCTION("""COMPUTED_VALUE"""),0.7921)</f>
      </c>
      <c r="G955" s="11">
        <f>IFERROR(__xludf.DUMMYFUNCTION("""COMPUTED_VALUE"""),443.5)</f>
      </c>
      <c r="H955" s="10">
        <f>IFERROR(__xludf.DUMMYFUNCTION("""COMPUTED_VALUE"""),1.0)</f>
      </c>
      <c r="I955" s="11">
        <f>IFERROR(__xludf.DUMMYFUNCTION("""COMPUTED_VALUE"""),351.04)</f>
      </c>
      <c r="J955" s="10">
        <f>IFERROR(__xludf.DUMMYFUNCTION("""COMPUTED_VALUE"""),1.0)</f>
      </c>
      <c r="K955" s="11">
        <f>IFERROR(__xludf.DUMMYFUNCTION("""COMPUTED_VALUE"""),298.07)</f>
      </c>
      <c r="L955" s="10">
        <f>IFERROR(__xludf.DUMMYFUNCTION("""COMPUTED_VALUE"""),1.0)</f>
      </c>
      <c r="M955" s="11">
        <f>IFERROR(__xludf.DUMMYFUNCTION("""COMPUTED_VALUE"""),344.52)</f>
      </c>
      <c r="N955" s="10">
        <f>IFERROR(__xludf.DUMMYFUNCTION("""COMPUTED_VALUE"""),1.0)</f>
      </c>
      <c r="O955" s="11">
        <f>IFERROR(__xludf.DUMMYFUNCTION("""COMPUTED_VALUE"""),300.1)</f>
      </c>
      <c r="P955" s="12"/>
      <c r="Q955" s="12"/>
      <c r="R955" s="15"/>
      <c r="S955" s="12"/>
      <c r="T955" s="12"/>
      <c r="U955" s="12"/>
      <c r="V955" s="12"/>
      <c r="W955" s="12"/>
      <c r="X955" s="12"/>
      <c r="Y955" s="12"/>
      <c r="Z955" s="12"/>
    </row>
    <row x14ac:dyDescent="0.25" r="956" customHeight="1" ht="15.75">
      <c r="A956" s="8">
        <f>IFERROR(__xludf.DUMMYFUNCTION("""COMPUTED_VALUE"""),25779.0)</f>
      </c>
      <c r="B956" s="9">
        <f>IFERROR(__xludf.DUMMYFUNCTION("""COMPUTED_VALUE"""),"SERRANA I")</f>
      </c>
      <c r="C956" s="9">
        <f>IFERROR(__xludf.DUMMYFUNCTION("""COMPUTED_VALUE"""),"CIEP 137 CECILIA MEIRELES")</f>
      </c>
      <c r="D956" s="10">
        <f>IFERROR(__xludf.DUMMYFUNCTION("""COMPUTED_VALUE"""),0.9906)</f>
      </c>
      <c r="E956" s="11">
        <f>IFERROR(__xludf.DUMMYFUNCTION("""COMPUTED_VALUE"""),246.71)</f>
      </c>
      <c r="F956" s="10">
        <f>IFERROR(__xludf.DUMMYFUNCTION("""COMPUTED_VALUE"""),0.6865)</f>
      </c>
      <c r="G956" s="11">
        <f>IFERROR(__xludf.DUMMYFUNCTION("""COMPUTED_VALUE"""),380.82)</f>
      </c>
      <c r="H956" s="10">
        <f>IFERROR(__xludf.DUMMYFUNCTION("""COMPUTED_VALUE"""),0.7486)</f>
      </c>
      <c r="I956" s="11">
        <f>IFERROR(__xludf.DUMMYFUNCTION("""COMPUTED_VALUE"""),456.11)</f>
      </c>
      <c r="J956" s="10">
        <f>IFERROR(__xludf.DUMMYFUNCTION("""COMPUTED_VALUE"""),0.7383)</f>
      </c>
      <c r="K956" s="11">
        <f>IFERROR(__xludf.DUMMYFUNCTION("""COMPUTED_VALUE"""),383.63)</f>
      </c>
      <c r="L956" s="10">
        <f>IFERROR(__xludf.DUMMYFUNCTION("""COMPUTED_VALUE"""),0.6086)</f>
      </c>
      <c r="M956" s="11">
        <f>IFERROR(__xludf.DUMMYFUNCTION("""COMPUTED_VALUE"""),424.7)</f>
      </c>
      <c r="N956" s="10">
        <f>IFERROR(__xludf.DUMMYFUNCTION("""COMPUTED_VALUE"""),0.4343)</f>
      </c>
      <c r="O956" s="11">
        <f>IFERROR(__xludf.DUMMYFUNCTION("""COMPUTED_VALUE"""),"----")</f>
      </c>
      <c r="P956" s="12"/>
      <c r="Q956" s="12"/>
      <c r="R956" s="15"/>
      <c r="S956" s="12"/>
      <c r="T956" s="12"/>
      <c r="U956" s="12"/>
      <c r="V956" s="12"/>
      <c r="W956" s="12"/>
      <c r="X956" s="12"/>
      <c r="Y956" s="12"/>
      <c r="Z956" s="12"/>
    </row>
    <row x14ac:dyDescent="0.25" r="957" customHeight="1" ht="15.75">
      <c r="A957" s="8">
        <f>IFERROR(__xludf.DUMMYFUNCTION("""COMPUTED_VALUE"""),25766.0)</f>
      </c>
      <c r="B957" s="9">
        <f>IFERROR(__xludf.DUMMYFUNCTION("""COMPUTED_VALUE"""),"SERRANA I")</f>
      </c>
      <c r="C957" s="9">
        <f>IFERROR(__xludf.DUMMYFUNCTION("""COMPUTED_VALUE"""),"CIEP 260 BARBOSA PORTO - BRASIL-CHILE")</f>
      </c>
      <c r="D957" s="10">
        <f>IFERROR(__xludf.DUMMYFUNCTION("""COMPUTED_VALUE"""),0.9545)</f>
      </c>
      <c r="E957" s="11">
        <f>IFERROR(__xludf.DUMMYFUNCTION("""COMPUTED_VALUE"""),191.43)</f>
      </c>
      <c r="F957" s="10">
        <f>IFERROR(__xludf.DUMMYFUNCTION("""COMPUTED_VALUE"""),0.6136)</f>
      </c>
      <c r="G957" s="11">
        <f>IFERROR(__xludf.DUMMYFUNCTION("""COMPUTED_VALUE"""),389.63)</f>
      </c>
      <c r="H957" s="10">
        <f>IFERROR(__xludf.DUMMYFUNCTION("""COMPUTED_VALUE"""),0.4091)</f>
      </c>
      <c r="I957" s="11">
        <f>IFERROR(__xludf.DUMMYFUNCTION("""COMPUTED_VALUE"""),346.67)</f>
      </c>
      <c r="J957" s="10">
        <f>IFERROR(__xludf.DUMMYFUNCTION("""COMPUTED_VALUE"""),0.7143)</f>
      </c>
      <c r="K957" s="11">
        <f>IFERROR(__xludf.DUMMYFUNCTION("""COMPUTED_VALUE"""),77.33)</f>
      </c>
      <c r="L957" s="10">
        <f>IFERROR(__xludf.DUMMYFUNCTION("""COMPUTED_VALUE"""),0.4242)</f>
      </c>
      <c r="M957" s="11">
        <f>IFERROR(__xludf.DUMMYFUNCTION("""COMPUTED_VALUE"""),244.29)</f>
      </c>
      <c r="N957" s="10">
        <f>IFERROR(__xludf.DUMMYFUNCTION("""COMPUTED_VALUE"""),0.4848)</f>
      </c>
      <c r="O957" s="11">
        <f>IFERROR(__xludf.DUMMYFUNCTION("""COMPUTED_VALUE"""),386.25)</f>
      </c>
      <c r="P957" s="12"/>
      <c r="Q957" s="12"/>
      <c r="R957" s="15"/>
      <c r="S957" s="12"/>
      <c r="T957" s="12"/>
      <c r="U957" s="12"/>
      <c r="V957" s="12"/>
      <c r="W957" s="12"/>
      <c r="X957" s="12"/>
      <c r="Y957" s="12"/>
      <c r="Z957" s="12"/>
    </row>
    <row x14ac:dyDescent="0.25" r="958" customHeight="1" ht="15.75">
      <c r="A958" s="8">
        <f>IFERROR(__xludf.DUMMYFUNCTION("""COMPUTED_VALUE"""),25780.0)</f>
      </c>
      <c r="B958" s="9">
        <f>IFERROR(__xludf.DUMMYFUNCTION("""COMPUTED_VALUE"""),"SERRANA I")</f>
      </c>
      <c r="C958" s="9">
        <f>IFERROR(__xludf.DUMMYFUNCTION("""COMPUTED_VALUE"""),"CIEP 281 GABRIELA MISTRAL")</f>
      </c>
      <c r="D958" s="10">
        <f>IFERROR(__xludf.DUMMYFUNCTION("""COMPUTED_VALUE"""),0.9853)</f>
      </c>
      <c r="E958" s="11">
        <f>IFERROR(__xludf.DUMMYFUNCTION("""COMPUTED_VALUE"""),270.05)</f>
      </c>
      <c r="F958" s="10">
        <f>IFERROR(__xludf.DUMMYFUNCTION("""COMPUTED_VALUE"""),0.7892)</f>
      </c>
      <c r="G958" s="11">
        <f>IFERROR(__xludf.DUMMYFUNCTION("""COMPUTED_VALUE"""),430.75)</f>
      </c>
      <c r="H958" s="10">
        <f>IFERROR(__xludf.DUMMYFUNCTION("""COMPUTED_VALUE"""),0.6457)</f>
      </c>
      <c r="I958" s="11">
        <f>IFERROR(__xludf.DUMMYFUNCTION("""COMPUTED_VALUE"""),458.88)</f>
      </c>
      <c r="J958" s="10">
        <f>IFERROR(__xludf.DUMMYFUNCTION("""COMPUTED_VALUE"""),0.684)</f>
      </c>
      <c r="K958" s="11">
        <f>IFERROR(__xludf.DUMMYFUNCTION("""COMPUTED_VALUE"""),402.69)</f>
      </c>
      <c r="L958" s="10">
        <f>IFERROR(__xludf.DUMMYFUNCTION("""COMPUTED_VALUE"""),0.5561)</f>
      </c>
      <c r="M958" s="11">
        <f>IFERROR(__xludf.DUMMYFUNCTION("""COMPUTED_VALUE"""),436.45)</f>
      </c>
      <c r="N958" s="10">
        <f>IFERROR(__xludf.DUMMYFUNCTION("""COMPUTED_VALUE"""),0.574)</f>
      </c>
      <c r="O958" s="11">
        <f>IFERROR(__xludf.DUMMYFUNCTION("""COMPUTED_VALUE"""),446.57)</f>
      </c>
      <c r="P958" s="12"/>
      <c r="Q958" s="12"/>
      <c r="R958" s="15"/>
      <c r="S958" s="12"/>
      <c r="T958" s="12"/>
      <c r="U958" s="12"/>
      <c r="V958" s="12"/>
      <c r="W958" s="12"/>
      <c r="X958" s="12"/>
      <c r="Y958" s="12"/>
      <c r="Z958" s="12"/>
    </row>
    <row x14ac:dyDescent="0.25" r="959" customHeight="1" ht="15.75">
      <c r="A959" s="8">
        <f>IFERROR(__xludf.DUMMYFUNCTION("""COMPUTED_VALUE"""),25788.0)</f>
      </c>
      <c r="B959" s="9">
        <f>IFERROR(__xludf.DUMMYFUNCTION("""COMPUTED_VALUE"""),"SERRANA I")</f>
      </c>
      <c r="C959" s="9">
        <f>IFERROR(__xludf.DUMMYFUNCTION("""COMPUTED_VALUE"""),"CIEP 285 LUIZ JOSE DAFLON GOMES")</f>
      </c>
      <c r="D959" s="10">
        <f>IFERROR(__xludf.DUMMYFUNCTION("""COMPUTED_VALUE"""),0.8284)</f>
      </c>
      <c r="E959" s="11">
        <f>IFERROR(__xludf.DUMMYFUNCTION("""COMPUTED_VALUE"""),238.48)</f>
      </c>
      <c r="F959" s="10">
        <f>IFERROR(__xludf.DUMMYFUNCTION("""COMPUTED_VALUE"""),0.6194)</f>
      </c>
      <c r="G959" s="11">
        <f>IFERROR(__xludf.DUMMYFUNCTION("""COMPUTED_VALUE"""),435.61)</f>
      </c>
      <c r="H959" s="10">
        <f>IFERROR(__xludf.DUMMYFUNCTION("""COMPUTED_VALUE"""),0.2537)</f>
      </c>
      <c r="I959" s="11">
        <f>IFERROR(__xludf.DUMMYFUNCTION("""COMPUTED_VALUE"""),492.12)</f>
      </c>
      <c r="J959" s="10">
        <f>IFERROR(__xludf.DUMMYFUNCTION("""COMPUTED_VALUE"""),0.791)</f>
      </c>
      <c r="K959" s="11">
        <f>IFERROR(__xludf.DUMMYFUNCTION("""COMPUTED_VALUE"""),266.41)</f>
      </c>
      <c r="L959" s="10">
        <f>IFERROR(__xludf.DUMMYFUNCTION("""COMPUTED_VALUE"""),0.8134)</f>
      </c>
      <c r="M959" s="11">
        <f>IFERROR(__xludf.DUMMYFUNCTION("""COMPUTED_VALUE"""),410.09)</f>
      </c>
      <c r="N959" s="10">
        <f>IFERROR(__xludf.DUMMYFUNCTION("""COMPUTED_VALUE"""),0.7313)</f>
      </c>
      <c r="O959" s="11">
        <f>IFERROR(__xludf.DUMMYFUNCTION("""COMPUTED_VALUE"""),400.0)</f>
      </c>
      <c r="P959" s="12"/>
      <c r="Q959" s="12"/>
      <c r="R959" s="15"/>
      <c r="S959" s="12"/>
      <c r="T959" s="12"/>
      <c r="U959" s="12"/>
      <c r="V959" s="12"/>
      <c r="W959" s="12"/>
      <c r="X959" s="12"/>
      <c r="Y959" s="12"/>
      <c r="Z959" s="12"/>
    </row>
    <row x14ac:dyDescent="0.25" r="960" customHeight="1" ht="15.75">
      <c r="A960" s="8">
        <f>IFERROR(__xludf.DUMMYFUNCTION("""COMPUTED_VALUE"""),25767.0)</f>
      </c>
      <c r="B960" s="9">
        <f>IFERROR(__xludf.DUMMYFUNCTION("""COMPUTED_VALUE"""),"SERRANA I")</f>
      </c>
      <c r="C960" s="9">
        <f>IFERROR(__xludf.DUMMYFUNCTION("""COMPUTED_VALUE"""),"CIEP 327 PEDRO AMERICO")</f>
      </c>
      <c r="D960" s="10">
        <f>IFERROR(__xludf.DUMMYFUNCTION("""COMPUTED_VALUE"""),0.8)</f>
      </c>
      <c r="E960" s="11">
        <f>IFERROR(__xludf.DUMMYFUNCTION("""COMPUTED_VALUE"""),140.56)</f>
      </c>
      <c r="F960" s="10">
        <f>IFERROR(__xludf.DUMMYFUNCTION("""COMPUTED_VALUE"""),0.575)</f>
      </c>
      <c r="G960" s="11">
        <f>IFERROR(__xludf.DUMMYFUNCTION("""COMPUTED_VALUE"""),360.58)</f>
      </c>
      <c r="H960" s="10">
        <f>IFERROR(__xludf.DUMMYFUNCTION("""COMPUTED_VALUE"""),0.3459)</f>
      </c>
      <c r="I960" s="11">
        <f>IFERROR(__xludf.DUMMYFUNCTION("""COMPUTED_VALUE"""),370.91)</f>
      </c>
      <c r="J960" s="10">
        <f>IFERROR(__xludf.DUMMYFUNCTION("""COMPUTED_VALUE"""),0.5772)</f>
      </c>
      <c r="K960" s="11">
        <f>IFERROR(__xludf.DUMMYFUNCTION("""COMPUTED_VALUE"""),194.81)</f>
      </c>
      <c r="L960" s="10">
        <f>IFERROR(__xludf.DUMMYFUNCTION("""COMPUTED_VALUE"""),0.3899)</f>
      </c>
      <c r="M960" s="11">
        <f>IFERROR(__xludf.DUMMYFUNCTION("""COMPUTED_VALUE"""),375.48)</f>
      </c>
      <c r="N960" s="10">
        <f>IFERROR(__xludf.DUMMYFUNCTION("""COMPUTED_VALUE"""),0.3648)</f>
      </c>
      <c r="O960" s="11">
        <f>IFERROR(__xludf.DUMMYFUNCTION("""COMPUTED_VALUE"""),410.39)</f>
      </c>
      <c r="P960" s="12"/>
      <c r="Q960" s="12"/>
      <c r="R960" s="15"/>
      <c r="S960" s="12"/>
      <c r="T960" s="12"/>
      <c r="U960" s="12"/>
      <c r="V960" s="12"/>
      <c r="W960" s="12"/>
      <c r="X960" s="12"/>
      <c r="Y960" s="12"/>
      <c r="Z960" s="12"/>
    </row>
    <row x14ac:dyDescent="0.25" r="961" customHeight="1" ht="15.75">
      <c r="A961" s="8">
        <f>IFERROR(__xludf.DUMMYFUNCTION("""COMPUTED_VALUE"""),25768.0)</f>
      </c>
      <c r="B961" s="9">
        <f>IFERROR(__xludf.DUMMYFUNCTION("""COMPUTED_VALUE"""),"SERRANA I")</f>
      </c>
      <c r="C961" s="9">
        <f>IFERROR(__xludf.DUMMYFUNCTION("""COMPUTED_VALUE"""),"CIEP 441 MANÉ GARRINCHA")</f>
      </c>
      <c r="D961" s="10">
        <f>IFERROR(__xludf.DUMMYFUNCTION("""COMPUTED_VALUE"""),0.7829)</f>
      </c>
      <c r="E961" s="11">
        <f>IFERROR(__xludf.DUMMYFUNCTION("""COMPUTED_VALUE"""),286.76)</f>
      </c>
      <c r="F961" s="10">
        <f>IFERROR(__xludf.DUMMYFUNCTION("""COMPUTED_VALUE"""),0.573)</f>
      </c>
      <c r="G961" s="11">
        <f>IFERROR(__xludf.DUMMYFUNCTION("""COMPUTED_VALUE"""),439.75)</f>
      </c>
      <c r="H961" s="10">
        <f>IFERROR(__xludf.DUMMYFUNCTION("""COMPUTED_VALUE"""),0.6335)</f>
      </c>
      <c r="I961" s="11">
        <f>IFERROR(__xludf.DUMMYFUNCTION("""COMPUTED_VALUE"""),433.14)</f>
      </c>
      <c r="J961" s="10">
        <f>IFERROR(__xludf.DUMMYFUNCTION("""COMPUTED_VALUE"""),0.7509)</f>
      </c>
      <c r="K961" s="11">
        <f>IFERROR(__xludf.DUMMYFUNCTION("""COMPUTED_VALUE"""),383.88)</f>
      </c>
      <c r="L961" s="10">
        <f>IFERROR(__xludf.DUMMYFUNCTION("""COMPUTED_VALUE"""),0.5587)</f>
      </c>
      <c r="M961" s="11">
        <f>IFERROR(__xludf.DUMMYFUNCTION("""COMPUTED_VALUE"""),473.33)</f>
      </c>
      <c r="N961" s="10">
        <f>IFERROR(__xludf.DUMMYFUNCTION("""COMPUTED_VALUE"""),0.6263)</f>
      </c>
      <c r="O961" s="11">
        <f>IFERROR(__xludf.DUMMYFUNCTION("""COMPUTED_VALUE"""),464.74)</f>
      </c>
      <c r="P961" s="12"/>
      <c r="Q961" s="12"/>
      <c r="R961" s="15"/>
      <c r="S961" s="12"/>
      <c r="T961" s="12"/>
      <c r="U961" s="12"/>
      <c r="V961" s="12"/>
      <c r="W961" s="12"/>
      <c r="X961" s="12"/>
      <c r="Y961" s="12"/>
      <c r="Z961" s="12"/>
    </row>
    <row x14ac:dyDescent="0.25" r="962" customHeight="1" ht="15.75">
      <c r="A962" s="8">
        <f>IFERROR(__xludf.DUMMYFUNCTION("""COMPUTED_VALUE"""),25769.0)</f>
      </c>
      <c r="B962" s="9">
        <f>IFERROR(__xludf.DUMMYFUNCTION("""COMPUTED_VALUE"""),"SERRANA I")</f>
      </c>
      <c r="C962" s="9">
        <f>IFERROR(__xludf.DUMMYFUNCTION("""COMPUTED_VALUE"""),"CIEP 444 ISRAEL JACOB AVERBACK")</f>
      </c>
      <c r="D962" s="10">
        <f>IFERROR(__xludf.DUMMYFUNCTION("""COMPUTED_VALUE"""),0.9559)</f>
      </c>
      <c r="E962" s="11">
        <f>IFERROR(__xludf.DUMMYFUNCTION("""COMPUTED_VALUE"""),113.23)</f>
      </c>
      <c r="F962" s="10">
        <f>IFERROR(__xludf.DUMMYFUNCTION("""COMPUTED_VALUE"""),0.5441)</f>
      </c>
      <c r="G962" s="11">
        <f>IFERROR(__xludf.DUMMYFUNCTION("""COMPUTED_VALUE"""),327.57)</f>
      </c>
      <c r="H962" s="10">
        <f>IFERROR(__xludf.DUMMYFUNCTION("""COMPUTED_VALUE"""),0.5294)</f>
      </c>
      <c r="I962" s="11">
        <f>IFERROR(__xludf.DUMMYFUNCTION("""COMPUTED_VALUE"""),420.44)</f>
      </c>
      <c r="J962" s="10">
        <f>IFERROR(__xludf.DUMMYFUNCTION("""COMPUTED_VALUE"""),0.6563)</f>
      </c>
      <c r="K962" s="11">
        <f>IFERROR(__xludf.DUMMYFUNCTION("""COMPUTED_VALUE"""),372.63)</f>
      </c>
      <c r="L962" s="10">
        <f>IFERROR(__xludf.DUMMYFUNCTION("""COMPUTED_VALUE"""),0.3647)</f>
      </c>
      <c r="M962" s="11">
        <f>IFERROR(__xludf.DUMMYFUNCTION("""COMPUTED_VALUE"""),"----")</f>
      </c>
      <c r="N962" s="10">
        <f>IFERROR(__xludf.DUMMYFUNCTION("""COMPUTED_VALUE"""),0.4706)</f>
      </c>
      <c r="O962" s="11">
        <f>IFERROR(__xludf.DUMMYFUNCTION("""COMPUTED_VALUE"""),451.0)</f>
      </c>
      <c r="P962" s="12"/>
      <c r="Q962" s="12"/>
      <c r="R962" s="15"/>
      <c r="S962" s="12"/>
      <c r="T962" s="12"/>
      <c r="U962" s="12"/>
      <c r="V962" s="12"/>
      <c r="W962" s="12"/>
      <c r="X962" s="12"/>
      <c r="Y962" s="12"/>
      <c r="Z962" s="12"/>
    </row>
    <row x14ac:dyDescent="0.25" r="963" customHeight="1" ht="15.75">
      <c r="A963" s="8">
        <f>IFERROR(__xludf.DUMMYFUNCTION("""COMPUTED_VALUE"""),25807.0)</f>
      </c>
      <c r="B963" s="9">
        <f>IFERROR(__xludf.DUMMYFUNCTION("""COMPUTED_VALUE"""),"SERRANA I")</f>
      </c>
      <c r="C963" s="9">
        <f>IFERROR(__xludf.DUMMYFUNCTION("""COMPUTED_VALUE"""),"CIEP 456 PROFESSOR MARCOS COSTA REIS DUTRA")</f>
      </c>
      <c r="D963" s="10">
        <f>IFERROR(__xludf.DUMMYFUNCTION("""COMPUTED_VALUE"""),0.9263)</f>
      </c>
      <c r="E963" s="11">
        <f>IFERROR(__xludf.DUMMYFUNCTION("""COMPUTED_VALUE"""),247.32)</f>
      </c>
      <c r="F963" s="10">
        <f>IFERROR(__xludf.DUMMYFUNCTION("""COMPUTED_VALUE"""),0.5789)</f>
      </c>
      <c r="G963" s="11">
        <f>IFERROR(__xludf.DUMMYFUNCTION("""COMPUTED_VALUE"""),372.08)</f>
      </c>
      <c r="H963" s="10">
        <f>IFERROR(__xludf.DUMMYFUNCTION("""COMPUTED_VALUE"""),0.6842)</f>
      </c>
      <c r="I963" s="11">
        <f>IFERROR(__xludf.DUMMYFUNCTION("""COMPUTED_VALUE"""),408.52)</f>
      </c>
      <c r="J963" s="10">
        <f>IFERROR(__xludf.DUMMYFUNCTION("""COMPUTED_VALUE"""),0.5368)</f>
      </c>
      <c r="K963" s="11">
        <f>IFERROR(__xludf.DUMMYFUNCTION("""COMPUTED_VALUE"""),346.67)</f>
      </c>
      <c r="L963" s="10">
        <f>IFERROR(__xludf.DUMMYFUNCTION("""COMPUTED_VALUE"""),0.5158)</f>
      </c>
      <c r="M963" s="11">
        <f>IFERROR(__xludf.DUMMYFUNCTION("""COMPUTED_VALUE"""),480.85)</f>
      </c>
      <c r="N963" s="10">
        <f>IFERROR(__xludf.DUMMYFUNCTION("""COMPUTED_VALUE"""),0.6)</f>
      </c>
      <c r="O963" s="11">
        <f>IFERROR(__xludf.DUMMYFUNCTION("""COMPUTED_VALUE"""),411.11)</f>
      </c>
      <c r="P963" s="12"/>
      <c r="Q963" s="12"/>
      <c r="R963" s="15"/>
      <c r="S963" s="12"/>
      <c r="T963" s="12"/>
      <c r="U963" s="12"/>
      <c r="V963" s="12"/>
      <c r="W963" s="12"/>
      <c r="X963" s="12"/>
      <c r="Y963" s="12"/>
      <c r="Z963" s="12"/>
    </row>
    <row x14ac:dyDescent="0.25" r="964" customHeight="1" ht="15.75">
      <c r="A964" s="8">
        <f>IFERROR(__xludf.DUMMYFUNCTION("""COMPUTED_VALUE"""),25781.0)</f>
      </c>
      <c r="B964" s="9">
        <f>IFERROR(__xludf.DUMMYFUNCTION("""COMPUTED_VALUE"""),"SERRANA I")</f>
      </c>
      <c r="C964" s="9">
        <f>IFERROR(__xludf.DUMMYFUNCTION("""COMPUTED_VALUE"""),"CIEP 472 CANDIDO PORTINARI")</f>
      </c>
      <c r="D964" s="10">
        <f>IFERROR(__xludf.DUMMYFUNCTION("""COMPUTED_VALUE"""),0.99)</f>
      </c>
      <c r="E964" s="11">
        <f>IFERROR(__xludf.DUMMYFUNCTION("""COMPUTED_VALUE"""),255.21)</f>
      </c>
      <c r="F964" s="10">
        <f>IFERROR(__xludf.DUMMYFUNCTION("""COMPUTED_VALUE"""),0.7231)</f>
      </c>
      <c r="G964" s="11">
        <f>IFERROR(__xludf.DUMMYFUNCTION("""COMPUTED_VALUE"""),392.68)</f>
      </c>
      <c r="H964" s="10">
        <f>IFERROR(__xludf.DUMMYFUNCTION("""COMPUTED_VALUE"""),0.7968)</f>
      </c>
      <c r="I964" s="11">
        <f>IFERROR(__xludf.DUMMYFUNCTION("""COMPUTED_VALUE"""),429.8)</f>
      </c>
      <c r="J964" s="10">
        <f>IFERROR(__xludf.DUMMYFUNCTION("""COMPUTED_VALUE"""),0.6215)</f>
      </c>
      <c r="K964" s="11">
        <f>IFERROR(__xludf.DUMMYFUNCTION("""COMPUTED_VALUE"""),381.1)</f>
      </c>
      <c r="L964" s="10">
        <f>IFERROR(__xludf.DUMMYFUNCTION("""COMPUTED_VALUE"""),0.6992)</f>
      </c>
      <c r="M964" s="11">
        <f>IFERROR(__xludf.DUMMYFUNCTION("""COMPUTED_VALUE"""),411.76)</f>
      </c>
      <c r="N964" s="10">
        <f>IFERROR(__xludf.DUMMYFUNCTION("""COMPUTED_VALUE"""),0.6892)</f>
      </c>
      <c r="O964" s="11">
        <f>IFERROR(__xludf.DUMMYFUNCTION("""COMPUTED_VALUE"""),423.24)</f>
      </c>
      <c r="P964" s="12"/>
      <c r="Q964" s="12"/>
      <c r="R964" s="15"/>
      <c r="S964" s="12"/>
      <c r="T964" s="12"/>
      <c r="U964" s="12"/>
      <c r="V964" s="12"/>
      <c r="W964" s="12"/>
      <c r="X964" s="12"/>
      <c r="Y964" s="12"/>
      <c r="Z964" s="12"/>
    </row>
    <row x14ac:dyDescent="0.25" r="965" customHeight="1" ht="15.75">
      <c r="A965" s="8">
        <f>IFERROR(__xludf.DUMMYFUNCTION("""COMPUTED_VALUE"""),25808.0)</f>
      </c>
      <c r="B965" s="9">
        <f>IFERROR(__xludf.DUMMYFUNCTION("""COMPUTED_VALUE"""),"SERRANA I")</f>
      </c>
      <c r="C965" s="9">
        <f>IFERROR(__xludf.DUMMYFUNCTION("""COMPUTED_VALUE"""),"IE PROFESSOR JOEL MONNERAT")</f>
      </c>
      <c r="D965" s="10">
        <f>IFERROR(__xludf.DUMMYFUNCTION("""COMPUTED_VALUE"""),0.9758)</f>
      </c>
      <c r="E965" s="11">
        <f>IFERROR(__xludf.DUMMYFUNCTION("""COMPUTED_VALUE"""),388.76)</f>
      </c>
      <c r="F965" s="10">
        <f>IFERROR(__xludf.DUMMYFUNCTION("""COMPUTED_VALUE"""),0.9758)</f>
      </c>
      <c r="G965" s="11">
        <f>IFERROR(__xludf.DUMMYFUNCTION("""COMPUTED_VALUE"""),548.33)</f>
      </c>
      <c r="H965" s="10">
        <f>IFERROR(__xludf.DUMMYFUNCTION("""COMPUTED_VALUE"""),0.8468)</f>
      </c>
      <c r="I965" s="11">
        <f>IFERROR(__xludf.DUMMYFUNCTION("""COMPUTED_VALUE"""),580.95)</f>
      </c>
      <c r="J965" s="10">
        <f>IFERROR(__xludf.DUMMYFUNCTION("""COMPUTED_VALUE"""),0.8306)</f>
      </c>
      <c r="K965" s="11">
        <f>IFERROR(__xludf.DUMMYFUNCTION("""COMPUTED_VALUE"""),555.64)</f>
      </c>
      <c r="L965" s="10">
        <f>IFERROR(__xludf.DUMMYFUNCTION("""COMPUTED_VALUE"""),0.8306)</f>
      </c>
      <c r="M965" s="11">
        <f>IFERROR(__xludf.DUMMYFUNCTION("""COMPUTED_VALUE"""),548.74)</f>
      </c>
      <c r="N965" s="10">
        <f>IFERROR(__xludf.DUMMYFUNCTION("""COMPUTED_VALUE"""),0.8306)</f>
      </c>
      <c r="O965" s="11">
        <f>IFERROR(__xludf.DUMMYFUNCTION("""COMPUTED_VALUE"""),475.73)</f>
      </c>
      <c r="P965" s="12"/>
      <c r="Q965" s="12"/>
      <c r="R965" s="15"/>
      <c r="S965" s="12"/>
      <c r="T965" s="12"/>
      <c r="U965" s="12"/>
      <c r="V965" s="12"/>
      <c r="W965" s="12"/>
      <c r="X965" s="12"/>
      <c r="Y965" s="12"/>
      <c r="Z965" s="12"/>
    </row>
    <row x14ac:dyDescent="0.25" r="966" customHeight="1" ht="15.75">
      <c r="A966" s="8">
        <f>IFERROR(__xludf.DUMMYFUNCTION("""COMPUTED_VALUE"""),25175.0)</f>
      </c>
      <c r="B966" s="9">
        <f>IFERROR(__xludf.DUMMYFUNCTION("""COMPUTED_VALUE"""),"SERRANA II")</f>
      </c>
      <c r="C966" s="9">
        <f>IFERROR(__xludf.DUMMYFUNCTION("""COMPUTED_VALUE"""),"CE 1º SARGENTO BM LUIZ CARLOS GONÇALVES FISCHER")</f>
      </c>
      <c r="D966" s="10">
        <f>IFERROR(__xludf.DUMMYFUNCTION("""COMPUTED_VALUE"""),0.9388)</f>
      </c>
      <c r="E966" s="11">
        <f>IFERROR(__xludf.DUMMYFUNCTION("""COMPUTED_VALUE"""),523.48)</f>
      </c>
      <c r="F966" s="10">
        <f>IFERROR(__xludf.DUMMYFUNCTION("""COMPUTED_VALUE"""),0.9592)</f>
      </c>
      <c r="G966" s="11">
        <f>IFERROR(__xludf.DUMMYFUNCTION("""COMPUTED_VALUE"""),601.7)</f>
      </c>
      <c r="H966" s="10">
        <f>IFERROR(__xludf.DUMMYFUNCTION("""COMPUTED_VALUE"""),0.9592)</f>
      </c>
      <c r="I966" s="11">
        <f>IFERROR(__xludf.DUMMYFUNCTION("""COMPUTED_VALUE"""),613.62)</f>
      </c>
      <c r="J966" s="10">
        <f>IFERROR(__xludf.DUMMYFUNCTION("""COMPUTED_VALUE"""),0.9592)</f>
      </c>
      <c r="K966" s="11">
        <f>IFERROR(__xludf.DUMMYFUNCTION("""COMPUTED_VALUE"""),480.0)</f>
      </c>
      <c r="L966" s="10">
        <f>IFERROR(__xludf.DUMMYFUNCTION("""COMPUTED_VALUE"""),0.9184)</f>
      </c>
      <c r="M966" s="11">
        <f>IFERROR(__xludf.DUMMYFUNCTION("""COMPUTED_VALUE"""),574.22)</f>
      </c>
      <c r="N966" s="10">
        <f>IFERROR(__xludf.DUMMYFUNCTION("""COMPUTED_VALUE"""),0.9592)</f>
      </c>
      <c r="O966" s="11">
        <f>IFERROR(__xludf.DUMMYFUNCTION("""COMPUTED_VALUE"""),612.77)</f>
      </c>
      <c r="P966" s="12"/>
      <c r="Q966" s="12"/>
      <c r="R966" s="15"/>
      <c r="S966" s="12"/>
      <c r="T966" s="12"/>
      <c r="U966" s="12"/>
      <c r="V966" s="12"/>
      <c r="W966" s="12"/>
      <c r="X966" s="12"/>
      <c r="Y966" s="12"/>
      <c r="Z966" s="12"/>
    </row>
    <row x14ac:dyDescent="0.25" r="967" customHeight="1" ht="15.75">
      <c r="A967" s="8">
        <f>IFERROR(__xludf.DUMMYFUNCTION("""COMPUTED_VALUE"""),25188.0)</f>
      </c>
      <c r="B967" s="9">
        <f>IFERROR(__xludf.DUMMYFUNCTION("""COMPUTED_VALUE"""),"SERRANA II")</f>
      </c>
      <c r="C967" s="9">
        <f>IFERROR(__xludf.DUMMYFUNCTION("""COMPUTED_VALUE"""),"CE 2º TENENTE BM SÉRGIO RODRIGUES DA SILVA")</f>
      </c>
      <c r="D967" s="10">
        <f>IFERROR(__xludf.DUMMYFUNCTION("""COMPUTED_VALUE"""),0.9592)</f>
      </c>
      <c r="E967" s="11">
        <f>IFERROR(__xludf.DUMMYFUNCTION("""COMPUTED_VALUE"""),562.55)</f>
      </c>
      <c r="F967" s="10">
        <f>IFERROR(__xludf.DUMMYFUNCTION("""COMPUTED_VALUE"""),0.9388)</f>
      </c>
      <c r="G967" s="11">
        <f>IFERROR(__xludf.DUMMYFUNCTION("""COMPUTED_VALUE"""),645.22)</f>
      </c>
      <c r="H967" s="10">
        <f>IFERROR(__xludf.DUMMYFUNCTION("""COMPUTED_VALUE"""),1.0)</f>
      </c>
      <c r="I967" s="11">
        <f>IFERROR(__xludf.DUMMYFUNCTION("""COMPUTED_VALUE"""),560.82)</f>
      </c>
      <c r="J967" s="10">
        <f>IFERROR(__xludf.DUMMYFUNCTION("""COMPUTED_VALUE"""),0.9796)</f>
      </c>
      <c r="K967" s="11">
        <f>IFERROR(__xludf.DUMMYFUNCTION("""COMPUTED_VALUE"""),636.67)</f>
      </c>
      <c r="L967" s="10">
        <f>IFERROR(__xludf.DUMMYFUNCTION("""COMPUTED_VALUE"""),1.0)</f>
      </c>
      <c r="M967" s="11">
        <f>IFERROR(__xludf.DUMMYFUNCTION("""COMPUTED_VALUE"""),541.22)</f>
      </c>
      <c r="N967" s="10">
        <f>IFERROR(__xludf.DUMMYFUNCTION("""COMPUTED_VALUE"""),1.0)</f>
      </c>
      <c r="O967" s="11">
        <f>IFERROR(__xludf.DUMMYFUNCTION("""COMPUTED_VALUE"""),528.98)</f>
      </c>
      <c r="P967" s="12"/>
      <c r="Q967" s="12"/>
      <c r="R967" s="15"/>
      <c r="S967" s="12"/>
      <c r="T967" s="12"/>
      <c r="U967" s="12"/>
      <c r="V967" s="12"/>
      <c r="W967" s="12"/>
      <c r="X967" s="12"/>
      <c r="Y967" s="12"/>
      <c r="Z967" s="12"/>
    </row>
    <row x14ac:dyDescent="0.25" r="968" customHeight="1" ht="15.75">
      <c r="A968" s="8">
        <f>IFERROR(__xludf.DUMMYFUNCTION("""COMPUTED_VALUE"""),25194.0)</f>
      </c>
      <c r="B968" s="9">
        <f>IFERROR(__xludf.DUMMYFUNCTION("""COMPUTED_VALUE"""),"SERRANA II")</f>
      </c>
      <c r="C968" s="9">
        <f>IFERROR(__xludf.DUMMYFUNCTION("""COMPUTED_VALUE"""),"CE ALMIRANTE PROTOGENES")</f>
      </c>
      <c r="D968" s="10">
        <f>IFERROR(__xludf.DUMMYFUNCTION("""COMPUTED_VALUE"""),0.9178)</f>
      </c>
      <c r="E968" s="11">
        <f>IFERROR(__xludf.DUMMYFUNCTION("""COMPUTED_VALUE"""),366.06)</f>
      </c>
      <c r="F968" s="10">
        <f>IFERROR(__xludf.DUMMYFUNCTION("""COMPUTED_VALUE"""),0.863)</f>
      </c>
      <c r="G968" s="11">
        <f>IFERROR(__xludf.DUMMYFUNCTION("""COMPUTED_VALUE"""),434.29)</f>
      </c>
      <c r="H968" s="10">
        <f>IFERROR(__xludf.DUMMYFUNCTION("""COMPUTED_VALUE"""),0.8356)</f>
      </c>
      <c r="I968" s="11">
        <f>IFERROR(__xludf.DUMMYFUNCTION("""COMPUTED_VALUE"""),470.0)</f>
      </c>
      <c r="J968" s="10">
        <f>IFERROR(__xludf.DUMMYFUNCTION("""COMPUTED_VALUE"""),0.7808)</f>
      </c>
      <c r="K968" s="11">
        <f>IFERROR(__xludf.DUMMYFUNCTION("""COMPUTED_VALUE"""),360.0)</f>
      </c>
      <c r="L968" s="10">
        <f>IFERROR(__xludf.DUMMYFUNCTION("""COMPUTED_VALUE"""),0.7534)</f>
      </c>
      <c r="M968" s="11">
        <f>IFERROR(__xludf.DUMMYFUNCTION("""COMPUTED_VALUE"""),513.33)</f>
      </c>
      <c r="N968" s="10">
        <f>IFERROR(__xludf.DUMMYFUNCTION("""COMPUTED_VALUE"""),0.6986)</f>
      </c>
      <c r="O968" s="11">
        <f>IFERROR(__xludf.DUMMYFUNCTION("""COMPUTED_VALUE"""),546.67)</f>
      </c>
      <c r="P968" s="12"/>
      <c r="Q968" s="12"/>
      <c r="R968" s="15"/>
      <c r="S968" s="12"/>
      <c r="T968" s="12"/>
      <c r="U968" s="12"/>
      <c r="V968" s="12"/>
      <c r="W968" s="12"/>
      <c r="X968" s="12"/>
      <c r="Y968" s="12"/>
      <c r="Z968" s="12"/>
    </row>
    <row x14ac:dyDescent="0.25" r="969" customHeight="1" ht="15.75">
      <c r="A969" s="8">
        <f>IFERROR(__xludf.DUMMYFUNCTION("""COMPUTED_VALUE"""),25189.0)</f>
      </c>
      <c r="B969" s="9">
        <f>IFERROR(__xludf.DUMMYFUNCTION("""COMPUTED_VALUE"""),"SERRANA II")</f>
      </c>
      <c r="C969" s="9">
        <f>IFERROR(__xludf.DUMMYFUNCTION("""COMPUTED_VALUE"""),"CE ANTONIO PECLY")</f>
      </c>
      <c r="D969" s="10">
        <f>IFERROR(__xludf.DUMMYFUNCTION("""COMPUTED_VALUE"""),0.8731)</f>
      </c>
      <c r="E969" s="11">
        <f>IFERROR(__xludf.DUMMYFUNCTION("""COMPUTED_VALUE"""),309.66)</f>
      </c>
      <c r="F969" s="10">
        <f>IFERROR(__xludf.DUMMYFUNCTION("""COMPUTED_VALUE"""),0.7836)</f>
      </c>
      <c r="G969" s="11">
        <f>IFERROR(__xludf.DUMMYFUNCTION("""COMPUTED_VALUE"""),382.48)</f>
      </c>
      <c r="H969" s="10">
        <f>IFERROR(__xludf.DUMMYFUNCTION("""COMPUTED_VALUE"""),0.7239)</f>
      </c>
      <c r="I969" s="11">
        <f>IFERROR(__xludf.DUMMYFUNCTION("""COMPUTED_VALUE"""),385.26)</f>
      </c>
      <c r="J969" s="10">
        <f>IFERROR(__xludf.DUMMYFUNCTION("""COMPUTED_VALUE"""),0.709)</f>
      </c>
      <c r="K969" s="11">
        <f>IFERROR(__xludf.DUMMYFUNCTION("""COMPUTED_VALUE"""),200.0)</f>
      </c>
      <c r="L969" s="10">
        <f>IFERROR(__xludf.DUMMYFUNCTION("""COMPUTED_VALUE"""),0.709)</f>
      </c>
      <c r="M969" s="11">
        <f>IFERROR(__xludf.DUMMYFUNCTION("""COMPUTED_VALUE"""),442.11)</f>
      </c>
      <c r="N969" s="10">
        <f>IFERROR(__xludf.DUMMYFUNCTION("""COMPUTED_VALUE"""),0.6866)</f>
      </c>
      <c r="O969" s="11">
        <f>IFERROR(__xludf.DUMMYFUNCTION("""COMPUTED_VALUE"""),395.16)</f>
      </c>
      <c r="P969" s="12"/>
      <c r="Q969" s="12"/>
      <c r="R969" s="15"/>
      <c r="S969" s="12"/>
      <c r="T969" s="12"/>
      <c r="U969" s="12"/>
      <c r="V969" s="12"/>
      <c r="W969" s="12"/>
      <c r="X969" s="12"/>
      <c r="Y969" s="12"/>
      <c r="Z969" s="12"/>
    </row>
    <row x14ac:dyDescent="0.25" r="970" customHeight="1" ht="15.75">
      <c r="A970" s="8">
        <f>IFERROR(__xludf.DUMMYFUNCTION("""COMPUTED_VALUE"""),25200.0)</f>
      </c>
      <c r="B970" s="9">
        <f>IFERROR(__xludf.DUMMYFUNCTION("""COMPUTED_VALUE"""),"SERRANA II")</f>
      </c>
      <c r="C970" s="9">
        <f>IFERROR(__xludf.DUMMYFUNCTION("""COMPUTED_VALUE"""),"CE AUGUSTO SPINELLI")</f>
      </c>
      <c r="D970" s="10">
        <f>IFERROR(__xludf.DUMMYFUNCTION("""COMPUTED_VALUE"""),0.9127)</f>
      </c>
      <c r="E970" s="11">
        <f>IFERROR(__xludf.DUMMYFUNCTION("""COMPUTED_VALUE"""),492.17)</f>
      </c>
      <c r="F970" s="10">
        <f>IFERROR(__xludf.DUMMYFUNCTION("""COMPUTED_VALUE"""),0.8254)</f>
      </c>
      <c r="G970" s="11">
        <f>IFERROR(__xludf.DUMMYFUNCTION("""COMPUTED_VALUE"""),540.0)</f>
      </c>
      <c r="H970" s="10">
        <f>IFERROR(__xludf.DUMMYFUNCTION("""COMPUTED_VALUE"""),0.8333)</f>
      </c>
      <c r="I970" s="11">
        <f>IFERROR(__xludf.DUMMYFUNCTION("""COMPUTED_VALUE"""),548.85)</f>
      </c>
      <c r="J970" s="10">
        <f>IFERROR(__xludf.DUMMYFUNCTION("""COMPUTED_VALUE"""),0.8095)</f>
      </c>
      <c r="K970" s="11">
        <f>IFERROR(__xludf.DUMMYFUNCTION("""COMPUTED_VALUE"""),545.1)</f>
      </c>
      <c r="L970" s="10">
        <f>IFERROR(__xludf.DUMMYFUNCTION("""COMPUTED_VALUE"""),0.7698)</f>
      </c>
      <c r="M970" s="11">
        <f>IFERROR(__xludf.DUMMYFUNCTION("""COMPUTED_VALUE"""),604.12)</f>
      </c>
      <c r="N970" s="10">
        <f>IFERROR(__xludf.DUMMYFUNCTION("""COMPUTED_VALUE"""),0.7143)</f>
      </c>
      <c r="O970" s="11">
        <f>IFERROR(__xludf.DUMMYFUNCTION("""COMPUTED_VALUE"""),560.45)</f>
      </c>
      <c r="P970" s="12"/>
      <c r="Q970" s="12"/>
      <c r="R970" s="15"/>
      <c r="S970" s="12"/>
      <c r="T970" s="12"/>
      <c r="U970" s="12"/>
      <c r="V970" s="12"/>
      <c r="W970" s="12"/>
      <c r="X970" s="12"/>
      <c r="Y970" s="12"/>
      <c r="Z970" s="12"/>
    </row>
    <row x14ac:dyDescent="0.25" r="971" customHeight="1" ht="15.75">
      <c r="A971" s="8">
        <f>IFERROR(__xludf.DUMMYFUNCTION("""COMPUTED_VALUE"""),25161.0)</f>
      </c>
      <c r="B971" s="9">
        <f>IFERROR(__xludf.DUMMYFUNCTION("""COMPUTED_VALUE"""),"SERRANA II")</f>
      </c>
      <c r="C971" s="9">
        <f>IFERROR(__xludf.DUMMYFUNCTION("""COMPUTED_VALUE"""),"CE BACCOPARO MARTINS")</f>
      </c>
      <c r="D971" s="10">
        <f>IFERROR(__xludf.DUMMYFUNCTION("""COMPUTED_VALUE"""),0.8163)</f>
      </c>
      <c r="E971" s="11">
        <f>IFERROR(__xludf.DUMMYFUNCTION("""COMPUTED_VALUE"""),215.43)</f>
      </c>
      <c r="F971" s="10">
        <f>IFERROR(__xludf.DUMMYFUNCTION("""COMPUTED_VALUE"""),0.7857)</f>
      </c>
      <c r="G971" s="11">
        <f>IFERROR(__xludf.DUMMYFUNCTION("""COMPUTED_VALUE"""),344.93)</f>
      </c>
      <c r="H971" s="10">
        <f>IFERROR(__xludf.DUMMYFUNCTION("""COMPUTED_VALUE"""),0.4198)</f>
      </c>
      <c r="I971" s="11">
        <f>IFERROR(__xludf.DUMMYFUNCTION("""COMPUTED_VALUE"""),"----")</f>
      </c>
      <c r="J971" s="10">
        <f>IFERROR(__xludf.DUMMYFUNCTION("""COMPUTED_VALUE"""),0.7391)</f>
      </c>
      <c r="K971" s="11">
        <f>IFERROR(__xludf.DUMMYFUNCTION("""COMPUTED_VALUE"""),311.67)</f>
      </c>
      <c r="L971" s="10">
        <f>IFERROR(__xludf.DUMMYFUNCTION("""COMPUTED_VALUE"""),0.6336)</f>
      </c>
      <c r="M971" s="11">
        <f>IFERROR(__xludf.DUMMYFUNCTION("""COMPUTED_VALUE"""),336.74)</f>
      </c>
      <c r="N971" s="10">
        <f>IFERROR(__xludf.DUMMYFUNCTION("""COMPUTED_VALUE"""),0.5267)</f>
      </c>
      <c r="O971" s="11">
        <f>IFERROR(__xludf.DUMMYFUNCTION("""COMPUTED_VALUE"""),378.55)</f>
      </c>
      <c r="P971" s="12"/>
      <c r="Q971" s="12"/>
      <c r="R971" s="15"/>
      <c r="S971" s="12"/>
      <c r="T971" s="12"/>
      <c r="U971" s="12"/>
      <c r="V971" s="12"/>
      <c r="W971" s="12"/>
      <c r="X971" s="12"/>
      <c r="Y971" s="12"/>
      <c r="Z971" s="12"/>
    </row>
    <row x14ac:dyDescent="0.25" r="972" customHeight="1" ht="15.75">
      <c r="A972" s="8">
        <f>IFERROR(__xludf.DUMMYFUNCTION("""COMPUTED_VALUE"""),25225.0)</f>
      </c>
      <c r="B972" s="9">
        <f>IFERROR(__xludf.DUMMYFUNCTION("""COMPUTED_VALUE"""),"SERRANA II")</f>
      </c>
      <c r="C972" s="9">
        <f>IFERROR(__xludf.DUMMYFUNCTION("""COMPUTED_VALUE"""),"CE BARAO DE SANTA MARIA MADALENA")</f>
      </c>
      <c r="D972" s="10">
        <f>IFERROR(__xludf.DUMMYFUNCTION("""COMPUTED_VALUE"""),1.0)</f>
      </c>
      <c r="E972" s="11">
        <f>IFERROR(__xludf.DUMMYFUNCTION("""COMPUTED_VALUE"""),203.81)</f>
      </c>
      <c r="F972" s="10">
        <f>IFERROR(__xludf.DUMMYFUNCTION("""COMPUTED_VALUE"""),0.7188)</f>
      </c>
      <c r="G972" s="11">
        <f>IFERROR(__xludf.DUMMYFUNCTION("""COMPUTED_VALUE"""),430.05)</f>
      </c>
      <c r="H972" s="10">
        <f>IFERROR(__xludf.DUMMYFUNCTION("""COMPUTED_VALUE"""),0.6488)</f>
      </c>
      <c r="I972" s="11">
        <f>IFERROR(__xludf.DUMMYFUNCTION("""COMPUTED_VALUE"""),"----")</f>
      </c>
      <c r="J972" s="10">
        <f>IFERROR(__xludf.DUMMYFUNCTION("""COMPUTED_VALUE"""),0.7613)</f>
      </c>
      <c r="K972" s="11">
        <f>IFERROR(__xludf.DUMMYFUNCTION("""COMPUTED_VALUE"""),217.65)</f>
      </c>
      <c r="L972" s="10">
        <f>IFERROR(__xludf.DUMMYFUNCTION("""COMPUTED_VALUE"""),0.7381)</f>
      </c>
      <c r="M972" s="11">
        <f>IFERROR(__xludf.DUMMYFUNCTION("""COMPUTED_VALUE"""),455.36)</f>
      </c>
      <c r="N972" s="10">
        <f>IFERROR(__xludf.DUMMYFUNCTION("""COMPUTED_VALUE"""),0.6607)</f>
      </c>
      <c r="O972" s="11">
        <f>IFERROR(__xludf.DUMMYFUNCTION("""COMPUTED_VALUE"""),462.76)</f>
      </c>
      <c r="P972" s="12"/>
      <c r="Q972" s="12"/>
      <c r="R972" s="15"/>
      <c r="S972" s="12"/>
      <c r="T972" s="12"/>
      <c r="U972" s="12"/>
      <c r="V972" s="12"/>
      <c r="W972" s="12"/>
      <c r="X972" s="12"/>
      <c r="Y972" s="12"/>
      <c r="Z972" s="12"/>
    </row>
    <row x14ac:dyDescent="0.25" r="973" customHeight="1" ht="15.75">
      <c r="A973" s="8">
        <f>IFERROR(__xludf.DUMMYFUNCTION("""COMPUTED_VALUE"""),25181.0)</f>
      </c>
      <c r="B973" s="9">
        <f>IFERROR(__xludf.DUMMYFUNCTION("""COMPUTED_VALUE"""),"SERRANA II")</f>
      </c>
      <c r="C973" s="9">
        <f>IFERROR(__xludf.DUMMYFUNCTION("""COMPUTED_VALUE"""),"CE BARRA DE SAO JOAO")</f>
      </c>
      <c r="D973" s="10">
        <f>IFERROR(__xludf.DUMMYFUNCTION("""COMPUTED_VALUE"""),0.6557)</f>
      </c>
      <c r="E973" s="11">
        <f>IFERROR(__xludf.DUMMYFUNCTION("""COMPUTED_VALUE"""),300.31)</f>
      </c>
      <c r="F973" s="10">
        <f>IFERROR(__xludf.DUMMYFUNCTION("""COMPUTED_VALUE"""),0.5509)</f>
      </c>
      <c r="G973" s="11">
        <f>IFERROR(__xludf.DUMMYFUNCTION("""COMPUTED_VALUE"""),379.78)</f>
      </c>
      <c r="H973" s="10">
        <f>IFERROR(__xludf.DUMMYFUNCTION("""COMPUTED_VALUE"""),0.4581)</f>
      </c>
      <c r="I973" s="11">
        <f>IFERROR(__xludf.DUMMYFUNCTION("""COMPUTED_VALUE"""),462.89)</f>
      </c>
      <c r="J973" s="10">
        <f>IFERROR(__xludf.DUMMYFUNCTION("""COMPUTED_VALUE"""),0.6377)</f>
      </c>
      <c r="K973" s="11">
        <f>IFERROR(__xludf.DUMMYFUNCTION("""COMPUTED_VALUE"""),353.65)</f>
      </c>
      <c r="L973" s="10">
        <f>IFERROR(__xludf.DUMMYFUNCTION("""COMPUTED_VALUE"""),0.5988)</f>
      </c>
      <c r="M973" s="11">
        <f>IFERROR(__xludf.DUMMYFUNCTION("""COMPUTED_VALUE"""),413.6)</f>
      </c>
      <c r="N973" s="10">
        <f>IFERROR(__xludf.DUMMYFUNCTION("""COMPUTED_VALUE"""),0.6168)</f>
      </c>
      <c r="O973" s="11">
        <f>IFERROR(__xludf.DUMMYFUNCTION("""COMPUTED_VALUE"""),406.11)</f>
      </c>
      <c r="P973" s="12"/>
      <c r="Q973" s="12"/>
      <c r="R973" s="15"/>
      <c r="S973" s="12"/>
      <c r="T973" s="12"/>
      <c r="U973" s="12"/>
      <c r="V973" s="12"/>
      <c r="W973" s="12"/>
      <c r="X973" s="12"/>
      <c r="Y973" s="12"/>
      <c r="Z973" s="12"/>
    </row>
    <row x14ac:dyDescent="0.25" r="974" customHeight="1" ht="15.75">
      <c r="A974" s="8">
        <f>IFERROR(__xludf.DUMMYFUNCTION("""COMPUTED_VALUE"""),25231.0)</f>
      </c>
      <c r="B974" s="9">
        <f>IFERROR(__xludf.DUMMYFUNCTION("""COMPUTED_VALUE"""),"SERRANA II")</f>
      </c>
      <c r="C974" s="9">
        <f>IFERROR(__xludf.DUMMYFUNCTION("""COMPUTED_VALUE"""),"CE CAMPINAS II")</f>
      </c>
      <c r="D974" s="10">
        <f>IFERROR(__xludf.DUMMYFUNCTION("""COMPUTED_VALUE"""),0.9588)</f>
      </c>
      <c r="E974" s="11">
        <f>IFERROR(__xludf.DUMMYFUNCTION("""COMPUTED_VALUE"""),292.47)</f>
      </c>
      <c r="F974" s="10">
        <f>IFERROR(__xludf.DUMMYFUNCTION("""COMPUTED_VALUE"""),0.9588)</f>
      </c>
      <c r="G974" s="11">
        <f>IFERROR(__xludf.DUMMYFUNCTION("""COMPUTED_VALUE"""),232.73)</f>
      </c>
      <c r="H974" s="10">
        <f>IFERROR(__xludf.DUMMYFUNCTION("""COMPUTED_VALUE"""),0.9794)</f>
      </c>
      <c r="I974" s="11">
        <f>IFERROR(__xludf.DUMMYFUNCTION("""COMPUTED_VALUE"""),293.47)</f>
      </c>
      <c r="J974" s="10">
        <f>IFERROR(__xludf.DUMMYFUNCTION("""COMPUTED_VALUE"""),0.9897)</f>
      </c>
      <c r="K974" s="11">
        <f>IFERROR(__xludf.DUMMYFUNCTION("""COMPUTED_VALUE"""),253.33)</f>
      </c>
      <c r="L974" s="10">
        <f>IFERROR(__xludf.DUMMYFUNCTION("""COMPUTED_VALUE"""),0.9691)</f>
      </c>
      <c r="M974" s="11">
        <f>IFERROR(__xludf.DUMMYFUNCTION("""COMPUTED_VALUE"""),273.62)</f>
      </c>
      <c r="N974" s="10">
        <f>IFERROR(__xludf.DUMMYFUNCTION("""COMPUTED_VALUE"""),0.9794)</f>
      </c>
      <c r="O974" s="11">
        <f>IFERROR(__xludf.DUMMYFUNCTION("""COMPUTED_VALUE"""),339.15)</f>
      </c>
      <c r="P974" s="12"/>
      <c r="Q974" s="12"/>
      <c r="R974" s="15"/>
      <c r="S974" s="12"/>
      <c r="T974" s="12"/>
      <c r="U974" s="12"/>
      <c r="V974" s="12"/>
      <c r="W974" s="12"/>
      <c r="X974" s="12"/>
      <c r="Y974" s="12"/>
      <c r="Z974" s="12"/>
    </row>
    <row x14ac:dyDescent="0.25" r="975" customHeight="1" ht="15.75">
      <c r="A975" s="8">
        <f>IFERROR(__xludf.DUMMYFUNCTION("""COMPUTED_VALUE"""),25201.0)</f>
      </c>
      <c r="B975" s="9">
        <f>IFERROR(__xludf.DUMMYFUNCTION("""COMPUTED_VALUE"""),"SERRANA II")</f>
      </c>
      <c r="C975" s="9">
        <f>IFERROR(__xludf.DUMMYFUNCTION("""COMPUTED_VALUE"""),"CE CANADA")</f>
      </c>
      <c r="D975" s="10">
        <f>IFERROR(__xludf.DUMMYFUNCTION("""COMPUTED_VALUE"""),0.6911)</f>
      </c>
      <c r="E975" s="11">
        <f>IFERROR(__xludf.DUMMYFUNCTION("""COMPUTED_VALUE"""),366.18)</f>
      </c>
      <c r="F975" s="10">
        <f>IFERROR(__xludf.DUMMYFUNCTION("""COMPUTED_VALUE"""),0.5602)</f>
      </c>
      <c r="G975" s="11">
        <f>IFERROR(__xludf.DUMMYFUNCTION("""COMPUTED_VALUE"""),495.56)</f>
      </c>
      <c r="H975" s="10">
        <f>IFERROR(__xludf.DUMMYFUNCTION("""COMPUTED_VALUE"""),0.4925)</f>
      </c>
      <c r="I975" s="11">
        <f>IFERROR(__xludf.DUMMYFUNCTION("""COMPUTED_VALUE"""),525.05)</f>
      </c>
      <c r="J975" s="10">
        <f>IFERROR(__xludf.DUMMYFUNCTION("""COMPUTED_VALUE"""),0.5579)</f>
      </c>
      <c r="K975" s="11">
        <f>IFERROR(__xludf.DUMMYFUNCTION("""COMPUTED_VALUE"""),468.44)</f>
      </c>
      <c r="L975" s="10">
        <f>IFERROR(__xludf.DUMMYFUNCTION("""COMPUTED_VALUE"""),0.4925)</f>
      </c>
      <c r="M975" s="11">
        <f>IFERROR(__xludf.DUMMYFUNCTION("""COMPUTED_VALUE"""),562.86)</f>
      </c>
      <c r="N975" s="10">
        <f>IFERROR(__xludf.DUMMYFUNCTION("""COMPUTED_VALUE"""),0.5025)</f>
      </c>
      <c r="O975" s="11">
        <f>IFERROR(__xludf.DUMMYFUNCTION("""COMPUTED_VALUE"""),452.57)</f>
      </c>
      <c r="P975" s="12"/>
      <c r="Q975" s="12"/>
      <c r="R975" s="15"/>
      <c r="S975" s="12"/>
      <c r="T975" s="12"/>
      <c r="U975" s="12"/>
      <c r="V975" s="12"/>
      <c r="W975" s="12"/>
      <c r="X975" s="12"/>
      <c r="Y975" s="12"/>
      <c r="Z975" s="12"/>
    </row>
    <row x14ac:dyDescent="0.25" r="976" customHeight="1" ht="15.75">
      <c r="A976" s="8">
        <f>IFERROR(__xludf.DUMMYFUNCTION("""COMPUTED_VALUE"""),25202.0)</f>
      </c>
      <c r="B976" s="9">
        <f>IFERROR(__xludf.DUMMYFUNCTION("""COMPUTED_VALUE"""),"SERRANA II")</f>
      </c>
      <c r="C976" s="9">
        <f>IFERROR(__xludf.DUMMYFUNCTION("""COMPUTED_VALUE"""),"CE CARLOS MARIA MARCHON")</f>
      </c>
      <c r="D976" s="10">
        <f>IFERROR(__xludf.DUMMYFUNCTION("""COMPUTED_VALUE"""),0.0222)</f>
      </c>
      <c r="E976" s="11">
        <f>IFERROR(__xludf.DUMMYFUNCTION("""COMPUTED_VALUE"""),360.0)</f>
      </c>
      <c r="F976" s="10">
        <f>IFERROR(__xludf.DUMMYFUNCTION("""COMPUTED_VALUE"""),0.9333)</f>
      </c>
      <c r="G976" s="11">
        <f>IFERROR(__xludf.DUMMYFUNCTION("""COMPUTED_VALUE"""),502.86)</f>
      </c>
      <c r="H976" s="10">
        <f>IFERROR(__xludf.DUMMYFUNCTION("""COMPUTED_VALUE"""),0.8889)</f>
      </c>
      <c r="I976" s="11">
        <f>IFERROR(__xludf.DUMMYFUNCTION("""COMPUTED_VALUE"""),558.0)</f>
      </c>
      <c r="J976" s="10">
        <f>IFERROR(__xludf.DUMMYFUNCTION("""COMPUTED_VALUE"""),0.8667)</f>
      </c>
      <c r="K976" s="11">
        <f>IFERROR(__xludf.DUMMYFUNCTION("""COMPUTED_VALUE"""),500.51)</f>
      </c>
      <c r="L976" s="10">
        <f>IFERROR(__xludf.DUMMYFUNCTION("""COMPUTED_VALUE"""),0.7556)</f>
      </c>
      <c r="M976" s="11">
        <f>IFERROR(__xludf.DUMMYFUNCTION("""COMPUTED_VALUE"""),524.85)</f>
      </c>
      <c r="N976" s="10">
        <f>IFERROR(__xludf.DUMMYFUNCTION("""COMPUTED_VALUE"""),0.9111)</f>
      </c>
      <c r="O976" s="11">
        <f>IFERROR(__xludf.DUMMYFUNCTION("""COMPUTED_VALUE"""),484.88)</f>
      </c>
      <c r="P976" s="12"/>
      <c r="Q976" s="12"/>
      <c r="R976" s="15"/>
      <c r="S976" s="12"/>
      <c r="T976" s="12"/>
      <c r="U976" s="12"/>
      <c r="V976" s="12"/>
      <c r="W976" s="12"/>
      <c r="X976" s="12"/>
      <c r="Y976" s="12"/>
      <c r="Z976" s="12"/>
    </row>
    <row x14ac:dyDescent="0.25" r="977" customHeight="1" ht="15.75">
      <c r="A977" s="8">
        <f>IFERROR(__xludf.DUMMYFUNCTION("""COMPUTED_VALUE"""),25182.0)</f>
      </c>
      <c r="B977" s="9">
        <f>IFERROR(__xludf.DUMMYFUNCTION("""COMPUTED_VALUE"""),"SERRANA II")</f>
      </c>
      <c r="C977" s="9">
        <f>IFERROR(__xludf.DUMMYFUNCTION("""COMPUTED_VALUE"""),"CE CASIMIRO DE ABREU")</f>
      </c>
      <c r="D977" s="10">
        <f>IFERROR(__xludf.DUMMYFUNCTION("""COMPUTED_VALUE"""),0.815)</f>
      </c>
      <c r="E977" s="11">
        <f>IFERROR(__xludf.DUMMYFUNCTION("""COMPUTED_VALUE"""),223.52)</f>
      </c>
      <c r="F977" s="10">
        <f>IFERROR(__xludf.DUMMYFUNCTION("""COMPUTED_VALUE"""),0.7269)</f>
      </c>
      <c r="G977" s="11">
        <f>IFERROR(__xludf.DUMMYFUNCTION("""COMPUTED_VALUE"""),374.91)</f>
      </c>
      <c r="H977" s="10">
        <f>IFERROR(__xludf.DUMMYFUNCTION("""COMPUTED_VALUE"""),0.7841)</f>
      </c>
      <c r="I977" s="11">
        <f>IFERROR(__xludf.DUMMYFUNCTION("""COMPUTED_VALUE"""),420.68)</f>
      </c>
      <c r="J977" s="10">
        <f>IFERROR(__xludf.DUMMYFUNCTION("""COMPUTED_VALUE"""),0.5771)</f>
      </c>
      <c r="K977" s="11">
        <f>IFERROR(__xludf.DUMMYFUNCTION("""COMPUTED_VALUE"""),379.57)</f>
      </c>
      <c r="L977" s="10">
        <f>IFERROR(__xludf.DUMMYFUNCTION("""COMPUTED_VALUE"""),0.6079)</f>
      </c>
      <c r="M977" s="11">
        <f>IFERROR(__xludf.DUMMYFUNCTION("""COMPUTED_VALUE"""),503.77)</f>
      </c>
      <c r="N977" s="10">
        <f>IFERROR(__xludf.DUMMYFUNCTION("""COMPUTED_VALUE"""),0.2952)</f>
      </c>
      <c r="O977" s="11">
        <f>IFERROR(__xludf.DUMMYFUNCTION("""COMPUTED_VALUE"""),625.45)</f>
      </c>
      <c r="P977" s="12"/>
      <c r="Q977" s="12"/>
      <c r="R977" s="15"/>
      <c r="S977" s="12"/>
      <c r="T977" s="12"/>
      <c r="U977" s="12"/>
      <c r="V977" s="12"/>
      <c r="W977" s="12"/>
      <c r="X977" s="12"/>
      <c r="Y977" s="12"/>
      <c r="Z977" s="12"/>
    </row>
    <row x14ac:dyDescent="0.25" r="978" customHeight="1" ht="15.75">
      <c r="A978" s="8">
        <f>IFERROR(__xludf.DUMMYFUNCTION("""COMPUTED_VALUE"""),25170.0)</f>
      </c>
      <c r="B978" s="9">
        <f>IFERROR(__xludf.DUMMYFUNCTION("""COMPUTED_VALUE"""),"SERRANA II")</f>
      </c>
      <c r="C978" s="9">
        <f>IFERROR(__xludf.DUMMYFUNCTION("""COMPUTED_VALUE"""),"CE CONDE DE NOVA FRIBURGO")</f>
      </c>
      <c r="D978" s="10">
        <f>IFERROR(__xludf.DUMMYFUNCTION("""COMPUTED_VALUE"""),1.0)</f>
      </c>
      <c r="E978" s="11">
        <f>IFERROR(__xludf.DUMMYFUNCTION("""COMPUTED_VALUE"""),376.0)</f>
      </c>
      <c r="F978" s="10">
        <f>IFERROR(__xludf.DUMMYFUNCTION("""COMPUTED_VALUE"""),0.85)</f>
      </c>
      <c r="G978" s="11">
        <f>IFERROR(__xludf.DUMMYFUNCTION("""COMPUTED_VALUE"""),374.12)</f>
      </c>
      <c r="H978" s="10">
        <f>IFERROR(__xludf.DUMMYFUNCTION("""COMPUTED_VALUE"""),0.95)</f>
      </c>
      <c r="I978" s="11">
        <f>IFERROR(__xludf.DUMMYFUNCTION("""COMPUTED_VALUE"""),486.32)</f>
      </c>
      <c r="J978" s="10">
        <f>IFERROR(__xludf.DUMMYFUNCTION("""COMPUTED_VALUE"""),0.9)</f>
      </c>
      <c r="K978" s="11">
        <f>IFERROR(__xludf.DUMMYFUNCTION("""COMPUTED_VALUE"""),462.22)</f>
      </c>
      <c r="L978" s="10">
        <f>IFERROR(__xludf.DUMMYFUNCTION("""COMPUTED_VALUE"""),0.9)</f>
      </c>
      <c r="M978" s="11">
        <f>IFERROR(__xludf.DUMMYFUNCTION("""COMPUTED_VALUE"""),557.65)</f>
      </c>
      <c r="N978" s="10">
        <f>IFERROR(__xludf.DUMMYFUNCTION("""COMPUTED_VALUE"""),0.85)</f>
      </c>
      <c r="O978" s="11">
        <f>IFERROR(__xludf.DUMMYFUNCTION("""COMPUTED_VALUE"""),524.71)</f>
      </c>
      <c r="P978" s="12"/>
      <c r="Q978" s="12"/>
      <c r="R978" s="15"/>
      <c r="S978" s="12"/>
      <c r="T978" s="12"/>
      <c r="U978" s="12"/>
      <c r="V978" s="12"/>
      <c r="W978" s="12"/>
      <c r="X978" s="12"/>
      <c r="Y978" s="12"/>
      <c r="Z978" s="12"/>
    </row>
    <row x14ac:dyDescent="0.25" r="979" customHeight="1" ht="15.75">
      <c r="A979" s="8">
        <f>IFERROR(__xludf.DUMMYFUNCTION("""COMPUTED_VALUE"""),25190.0)</f>
      </c>
      <c r="B979" s="9">
        <f>IFERROR(__xludf.DUMMYFUNCTION("""COMPUTED_VALUE"""),"SERRANA II")</f>
      </c>
      <c r="C979" s="9">
        <f>IFERROR(__xludf.DUMMYFUNCTION("""COMPUTED_VALUE"""),"CE CONSTANCA SOARES TEIXEIRA")</f>
      </c>
      <c r="D979" s="10">
        <f>IFERROR(__xludf.DUMMYFUNCTION("""COMPUTED_VALUE"""),0.9737)</f>
      </c>
      <c r="E979" s="11">
        <f>IFERROR(__xludf.DUMMYFUNCTION("""COMPUTED_VALUE"""),440.0)</f>
      </c>
      <c r="F979" s="10">
        <f>IFERROR(__xludf.DUMMYFUNCTION("""COMPUTED_VALUE"""),0.9737)</f>
      </c>
      <c r="G979" s="11">
        <f>IFERROR(__xludf.DUMMYFUNCTION("""COMPUTED_VALUE"""),435.68)</f>
      </c>
      <c r="H979" s="10">
        <f>IFERROR(__xludf.DUMMYFUNCTION("""COMPUTED_VALUE"""),1.0)</f>
      </c>
      <c r="I979" s="11">
        <f>IFERROR(__xludf.DUMMYFUNCTION("""COMPUTED_VALUE"""),496.84)</f>
      </c>
      <c r="J979" s="10">
        <f>IFERROR(__xludf.DUMMYFUNCTION("""COMPUTED_VALUE"""),1.0)</f>
      </c>
      <c r="K979" s="11">
        <f>IFERROR(__xludf.DUMMYFUNCTION("""COMPUTED_VALUE"""),412.97)</f>
      </c>
      <c r="L979" s="10">
        <f>IFERROR(__xludf.DUMMYFUNCTION("""COMPUTED_VALUE"""),1.0)</f>
      </c>
      <c r="M979" s="11">
        <f>IFERROR(__xludf.DUMMYFUNCTION("""COMPUTED_VALUE"""),383.16)</f>
      </c>
      <c r="N979" s="10">
        <f>IFERROR(__xludf.DUMMYFUNCTION("""COMPUTED_VALUE"""),1.0)</f>
      </c>
      <c r="O979" s="11">
        <f>IFERROR(__xludf.DUMMYFUNCTION("""COMPUTED_VALUE"""),453.68)</f>
      </c>
      <c r="P979" s="12"/>
      <c r="Q979" s="12"/>
      <c r="R979" s="15"/>
      <c r="S979" s="12"/>
      <c r="T979" s="12"/>
      <c r="U979" s="12"/>
      <c r="V979" s="12"/>
      <c r="W979" s="12"/>
      <c r="X979" s="12"/>
      <c r="Y979" s="12"/>
      <c r="Z979" s="12"/>
    </row>
    <row x14ac:dyDescent="0.25" r="980" customHeight="1" ht="15.75">
      <c r="A980" s="8">
        <f>IFERROR(__xludf.DUMMYFUNCTION("""COMPUTED_VALUE"""),25203.0)</f>
      </c>
      <c r="B980" s="9">
        <f>IFERROR(__xludf.DUMMYFUNCTION("""COMPUTED_VALUE"""),"SERRANA II")</f>
      </c>
      <c r="C980" s="9">
        <f>IFERROR(__xludf.DUMMYFUNCTION("""COMPUTED_VALUE"""),"CE DOUTOR FELICIANO COSTA")</f>
      </c>
      <c r="D980" s="10">
        <f>IFERROR(__xludf.DUMMYFUNCTION("""COMPUTED_VALUE"""),0.7917)</f>
      </c>
      <c r="E980" s="11">
        <f>IFERROR(__xludf.DUMMYFUNCTION("""COMPUTED_VALUE"""),278.16)</f>
      </c>
      <c r="F980" s="10">
        <f>IFERROR(__xludf.DUMMYFUNCTION("""COMPUTED_VALUE"""),0.6302)</f>
      </c>
      <c r="G980" s="11">
        <f>IFERROR(__xludf.DUMMYFUNCTION("""COMPUTED_VALUE"""),424.37)</f>
      </c>
      <c r="H980" s="10">
        <f>IFERROR(__xludf.DUMMYFUNCTION("""COMPUTED_VALUE"""),0.5)</f>
      </c>
      <c r="I980" s="11">
        <f>IFERROR(__xludf.DUMMYFUNCTION("""COMPUTED_VALUE"""),429.64)</f>
      </c>
      <c r="J980" s="10">
        <f>IFERROR(__xludf.DUMMYFUNCTION("""COMPUTED_VALUE"""),0.573)</f>
      </c>
      <c r="K980" s="11">
        <f>IFERROR(__xludf.DUMMYFUNCTION("""COMPUTED_VALUE"""),292.22)</f>
      </c>
      <c r="L980" s="10">
        <f>IFERROR(__xludf.DUMMYFUNCTION("""COMPUTED_VALUE"""),0.4554)</f>
      </c>
      <c r="M980" s="11">
        <f>IFERROR(__xludf.DUMMYFUNCTION("""COMPUTED_VALUE"""),398.62)</f>
      </c>
      <c r="N980" s="10">
        <f>IFERROR(__xludf.DUMMYFUNCTION("""COMPUTED_VALUE"""),0.5594)</f>
      </c>
      <c r="O980" s="11">
        <f>IFERROR(__xludf.DUMMYFUNCTION("""COMPUTED_VALUE"""),403.18)</f>
      </c>
      <c r="P980" s="12"/>
      <c r="Q980" s="12"/>
      <c r="R980" s="15"/>
      <c r="S980" s="12"/>
      <c r="T980" s="12"/>
      <c r="U980" s="12"/>
      <c r="V980" s="12"/>
      <c r="W980" s="12"/>
      <c r="X980" s="12"/>
      <c r="Y980" s="12"/>
      <c r="Z980" s="12"/>
    </row>
    <row x14ac:dyDescent="0.25" r="981" customHeight="1" ht="15.75">
      <c r="A981" s="8">
        <f>IFERROR(__xludf.DUMMYFUNCTION("""COMPUTED_VALUE"""),25171.0)</f>
      </c>
      <c r="B981" s="9">
        <f>IFERROR(__xludf.DUMMYFUNCTION("""COMPUTED_VALUE"""),"SERRANA II")</f>
      </c>
      <c r="C981" s="9">
        <f>IFERROR(__xludf.DUMMYFUNCTION("""COMPUTED_VALUE"""),"CE DOUTOR FRANCISCO LEITE TEIXEIRA")</f>
      </c>
      <c r="D981" s="10">
        <f>IFERROR(__xludf.DUMMYFUNCTION("""COMPUTED_VALUE"""),0.8824)</f>
      </c>
      <c r="E981" s="11">
        <f>IFERROR(__xludf.DUMMYFUNCTION("""COMPUTED_VALUE"""),290.37)</f>
      </c>
      <c r="F981" s="10">
        <f>IFERROR(__xludf.DUMMYFUNCTION("""COMPUTED_VALUE"""),0.0)</f>
      </c>
      <c r="G981" s="11">
        <f>IFERROR(__xludf.DUMMYFUNCTION("""COMPUTED_VALUE"""),"----")</f>
      </c>
      <c r="H981" s="10">
        <f>IFERROR(__xludf.DUMMYFUNCTION("""COMPUTED_VALUE"""),0.7941)</f>
      </c>
      <c r="I981" s="11">
        <f>IFERROR(__xludf.DUMMYFUNCTION("""COMPUTED_VALUE"""),482.96)</f>
      </c>
      <c r="J981" s="10">
        <f>IFERROR(__xludf.DUMMYFUNCTION("""COMPUTED_VALUE"""),0.7353)</f>
      </c>
      <c r="K981" s="11">
        <f>IFERROR(__xludf.DUMMYFUNCTION("""COMPUTED_VALUE"""),296.0)</f>
      </c>
      <c r="L981" s="10">
        <f>IFERROR(__xludf.DUMMYFUNCTION("""COMPUTED_VALUE"""),0.6176)</f>
      </c>
      <c r="M981" s="11">
        <f>IFERROR(__xludf.DUMMYFUNCTION("""COMPUTED_VALUE"""),430.48)</f>
      </c>
      <c r="N981" s="10">
        <f>IFERROR(__xludf.DUMMYFUNCTION("""COMPUTED_VALUE"""),0.6765)</f>
      </c>
      <c r="O981" s="11">
        <f>IFERROR(__xludf.DUMMYFUNCTION("""COMPUTED_VALUE"""),520.0)</f>
      </c>
      <c r="P981" s="12"/>
      <c r="Q981" s="12"/>
      <c r="R981" s="15"/>
      <c r="S981" s="12"/>
      <c r="T981" s="12"/>
      <c r="U981" s="12"/>
      <c r="V981" s="12"/>
      <c r="W981" s="12"/>
      <c r="X981" s="12"/>
      <c r="Y981" s="12"/>
      <c r="Z981" s="12"/>
    </row>
    <row x14ac:dyDescent="0.25" r="982" customHeight="1" ht="15.75">
      <c r="A982" s="8">
        <f>IFERROR(__xludf.DUMMYFUNCTION("""COMPUTED_VALUE"""),25204.0)</f>
      </c>
      <c r="B982" s="9">
        <f>IFERROR(__xludf.DUMMYFUNCTION("""COMPUTED_VALUE"""),"SERRANA II")</f>
      </c>
      <c r="C982" s="9">
        <f>IFERROR(__xludf.DUMMYFUNCTION("""COMPUTED_VALUE"""),"CE DOUTOR GALDINO DO VALLE FILHO")</f>
      </c>
      <c r="D982" s="10">
        <f>IFERROR(__xludf.DUMMYFUNCTION("""COMPUTED_VALUE"""),0.712)</f>
      </c>
      <c r="E982" s="11">
        <f>IFERROR(__xludf.DUMMYFUNCTION("""COMPUTED_VALUE"""),440.0)</f>
      </c>
      <c r="F982" s="10">
        <f>IFERROR(__xludf.DUMMYFUNCTION("""COMPUTED_VALUE"""),0.584)</f>
      </c>
      <c r="G982" s="11">
        <f>IFERROR(__xludf.DUMMYFUNCTION("""COMPUTED_VALUE"""),531.11)</f>
      </c>
      <c r="H982" s="10">
        <f>IFERROR(__xludf.DUMMYFUNCTION("""COMPUTED_VALUE"""),0.664)</f>
      </c>
      <c r="I982" s="11">
        <f>IFERROR(__xludf.DUMMYFUNCTION("""COMPUTED_VALUE"""),559.51)</f>
      </c>
      <c r="J982" s="10">
        <f>IFERROR(__xludf.DUMMYFUNCTION("""COMPUTED_VALUE"""),0.696)</f>
      </c>
      <c r="K982" s="11">
        <f>IFERROR(__xludf.DUMMYFUNCTION("""COMPUTED_VALUE"""),555.76)</f>
      </c>
      <c r="L982" s="10">
        <f>IFERROR(__xludf.DUMMYFUNCTION("""COMPUTED_VALUE"""),0.696)</f>
      </c>
      <c r="M982" s="11">
        <f>IFERROR(__xludf.DUMMYFUNCTION("""COMPUTED_VALUE"""),604.6)</f>
      </c>
      <c r="N982" s="10">
        <f>IFERROR(__xludf.DUMMYFUNCTION("""COMPUTED_VALUE"""),0.672)</f>
      </c>
      <c r="O982" s="11">
        <f>IFERROR(__xludf.DUMMYFUNCTION("""COMPUTED_VALUE"""),624.39)</f>
      </c>
      <c r="P982" s="12"/>
      <c r="Q982" s="12"/>
      <c r="R982" s="15"/>
      <c r="S982" s="12"/>
      <c r="T982" s="12"/>
      <c r="U982" s="12"/>
      <c r="V982" s="12"/>
      <c r="W982" s="12"/>
      <c r="X982" s="12"/>
      <c r="Y982" s="12"/>
      <c r="Z982" s="12"/>
    </row>
    <row x14ac:dyDescent="0.25" r="983" customHeight="1" ht="15.75">
      <c r="A983" s="8">
        <f>IFERROR(__xludf.DUMMYFUNCTION("""COMPUTED_VALUE"""),25205.0)</f>
      </c>
      <c r="B983" s="9">
        <f>IFERROR(__xludf.DUMMYFUNCTION("""COMPUTED_VALUE"""),"SERRANA II")</f>
      </c>
      <c r="C983" s="9">
        <f>IFERROR(__xludf.DUMMYFUNCTION("""COMPUTED_VALUE"""),"CE DOUTOR JOAO BAZET")</f>
      </c>
      <c r="D983" s="10">
        <f>IFERROR(__xludf.DUMMYFUNCTION("""COMPUTED_VALUE"""),0.812)</f>
      </c>
      <c r="E983" s="11">
        <f>IFERROR(__xludf.DUMMYFUNCTION("""COMPUTED_VALUE"""),428.21)</f>
      </c>
      <c r="F983" s="10">
        <f>IFERROR(__xludf.DUMMYFUNCTION("""COMPUTED_VALUE"""),0.7949)</f>
      </c>
      <c r="G983" s="11">
        <f>IFERROR(__xludf.DUMMYFUNCTION("""COMPUTED_VALUE"""),495.91)</f>
      </c>
      <c r="H983" s="10">
        <f>IFERROR(__xludf.DUMMYFUNCTION("""COMPUTED_VALUE"""),0.5643)</f>
      </c>
      <c r="I983" s="11">
        <f>IFERROR(__xludf.DUMMYFUNCTION("""COMPUTED_VALUE"""),554.94)</f>
      </c>
      <c r="J983" s="10">
        <f>IFERROR(__xludf.DUMMYFUNCTION("""COMPUTED_VALUE"""),0.5377)</f>
      </c>
      <c r="K983" s="11">
        <f>IFERROR(__xludf.DUMMYFUNCTION("""COMPUTED_VALUE"""),425.96)</f>
      </c>
      <c r="L983" s="10">
        <f>IFERROR(__xludf.DUMMYFUNCTION("""COMPUTED_VALUE"""),0.5857)</f>
      </c>
      <c r="M983" s="11">
        <f>IFERROR(__xludf.DUMMYFUNCTION("""COMPUTED_VALUE"""),436.59)</f>
      </c>
      <c r="N983" s="10">
        <f>IFERROR(__xludf.DUMMYFUNCTION("""COMPUTED_VALUE"""),0.6571)</f>
      </c>
      <c r="O983" s="11">
        <f>IFERROR(__xludf.DUMMYFUNCTION("""COMPUTED_VALUE"""),581.74)</f>
      </c>
      <c r="P983" s="12"/>
      <c r="Q983" s="12"/>
      <c r="R983" s="15"/>
      <c r="S983" s="12"/>
      <c r="T983" s="12"/>
      <c r="U983" s="12"/>
      <c r="V983" s="12"/>
      <c r="W983" s="12"/>
      <c r="X983" s="12"/>
      <c r="Y983" s="12"/>
      <c r="Z983" s="12"/>
    </row>
    <row x14ac:dyDescent="0.25" r="984" customHeight="1" ht="15.75">
      <c r="A984" s="8">
        <f>IFERROR(__xludf.DUMMYFUNCTION("""COMPUTED_VALUE"""),25156.0)</f>
      </c>
      <c r="B984" s="9">
        <f>IFERROR(__xludf.DUMMYFUNCTION("""COMPUTED_VALUE"""),"SERRANA II")</f>
      </c>
      <c r="C984" s="9">
        <f>IFERROR(__xludf.DUMMYFUNCTION("""COMPUTED_VALUE"""),"CE DOUTOR PERICLES CORREA DA ROCHA")</f>
      </c>
      <c r="D984" s="10">
        <f>IFERROR(__xludf.DUMMYFUNCTION("""COMPUTED_VALUE"""),0.9608)</f>
      </c>
      <c r="E984" s="11">
        <f>IFERROR(__xludf.DUMMYFUNCTION("""COMPUTED_VALUE"""),295.83)</f>
      </c>
      <c r="F984" s="10">
        <f>IFERROR(__xludf.DUMMYFUNCTION("""COMPUTED_VALUE"""),0.8235)</f>
      </c>
      <c r="G984" s="11">
        <f>IFERROR(__xludf.DUMMYFUNCTION("""COMPUTED_VALUE"""),431.43)</f>
      </c>
      <c r="H984" s="10">
        <f>IFERROR(__xludf.DUMMYFUNCTION("""COMPUTED_VALUE"""),0.7647)</f>
      </c>
      <c r="I984" s="11">
        <f>IFERROR(__xludf.DUMMYFUNCTION("""COMPUTED_VALUE"""),475.9)</f>
      </c>
      <c r="J984" s="10">
        <f>IFERROR(__xludf.DUMMYFUNCTION("""COMPUTED_VALUE"""),0.7059)</f>
      </c>
      <c r="K984" s="11">
        <f>IFERROR(__xludf.DUMMYFUNCTION("""COMPUTED_VALUE"""),432.0)</f>
      </c>
      <c r="L984" s="10">
        <f>IFERROR(__xludf.DUMMYFUNCTION("""COMPUTED_VALUE"""),0.7059)</f>
      </c>
      <c r="M984" s="11">
        <f>IFERROR(__xludf.DUMMYFUNCTION("""COMPUTED_VALUE"""),448.89)</f>
      </c>
      <c r="N984" s="10">
        <f>IFERROR(__xludf.DUMMYFUNCTION("""COMPUTED_VALUE"""),0.7255)</f>
      </c>
      <c r="O984" s="11">
        <f>IFERROR(__xludf.DUMMYFUNCTION("""COMPUTED_VALUE"""),443.24)</f>
      </c>
      <c r="P984" s="12"/>
      <c r="Q984" s="12"/>
      <c r="R984" s="15"/>
      <c r="S984" s="12"/>
      <c r="T984" s="12"/>
      <c r="U984" s="12"/>
      <c r="V984" s="12"/>
      <c r="W984" s="12"/>
      <c r="X984" s="12"/>
      <c r="Y984" s="12"/>
      <c r="Z984" s="12"/>
    </row>
    <row x14ac:dyDescent="0.25" r="985" customHeight="1" ht="15.75">
      <c r="A985" s="8">
        <f>IFERROR(__xludf.DUMMYFUNCTION("""COMPUTED_VALUE"""),25206.0)</f>
      </c>
      <c r="B985" s="9">
        <f>IFERROR(__xludf.DUMMYFUNCTION("""COMPUTED_VALUE"""),"SERRANA II")</f>
      </c>
      <c r="C985" s="9">
        <f>IFERROR(__xludf.DUMMYFUNCTION("""COMPUTED_VALUE"""),"CE DOUTOR TUFFY EL JAICK")</f>
      </c>
      <c r="D985" s="10">
        <f>IFERROR(__xludf.DUMMYFUNCTION("""COMPUTED_VALUE"""),0.9308)</f>
      </c>
      <c r="E985" s="11">
        <f>IFERROR(__xludf.DUMMYFUNCTION("""COMPUTED_VALUE"""),295.53)</f>
      </c>
      <c r="F985" s="10">
        <f>IFERROR(__xludf.DUMMYFUNCTION("""COMPUTED_VALUE"""),0.7538)</f>
      </c>
      <c r="G985" s="11">
        <f>IFERROR(__xludf.DUMMYFUNCTION("""COMPUTED_VALUE"""),471.02)</f>
      </c>
      <c r="H985" s="10">
        <f>IFERROR(__xludf.DUMMYFUNCTION("""COMPUTED_VALUE"""),0.618)</f>
      </c>
      <c r="I985" s="11">
        <f>IFERROR(__xludf.DUMMYFUNCTION("""COMPUTED_VALUE"""),515.61)</f>
      </c>
      <c r="J985" s="10">
        <f>IFERROR(__xludf.DUMMYFUNCTION("""COMPUTED_VALUE"""),0.6504)</f>
      </c>
      <c r="K985" s="11">
        <f>IFERROR(__xludf.DUMMYFUNCTION("""COMPUTED_VALUE"""),524.0)</f>
      </c>
      <c r="L985" s="10">
        <f>IFERROR(__xludf.DUMMYFUNCTION("""COMPUTED_VALUE"""),0.5206)</f>
      </c>
      <c r="M985" s="11">
        <f>IFERROR(__xludf.DUMMYFUNCTION("""COMPUTED_VALUE"""),516.77)</f>
      </c>
      <c r="N985" s="10">
        <f>IFERROR(__xludf.DUMMYFUNCTION("""COMPUTED_VALUE"""),0.5955)</f>
      </c>
      <c r="O985" s="11">
        <f>IFERROR(__xludf.DUMMYFUNCTION("""COMPUTED_VALUE"""),537.11)</f>
      </c>
      <c r="P985" s="12"/>
      <c r="Q985" s="12"/>
      <c r="R985" s="15"/>
      <c r="S985" s="12"/>
      <c r="T985" s="12"/>
      <c r="U985" s="12"/>
      <c r="V985" s="12"/>
      <c r="W985" s="12"/>
      <c r="X985" s="12"/>
      <c r="Y985" s="12"/>
      <c r="Z985" s="12"/>
    </row>
    <row x14ac:dyDescent="0.25" r="986" customHeight="1" ht="15.75">
      <c r="A986" s="8">
        <f>IFERROR(__xludf.DUMMYFUNCTION("""COMPUTED_VALUE"""),25207.0)</f>
      </c>
      <c r="B986" s="9">
        <f>IFERROR(__xludf.DUMMYFUNCTION("""COMPUTED_VALUE"""),"SERRANA II")</f>
      </c>
      <c r="C986" s="9">
        <f>IFERROR(__xludf.DUMMYFUNCTION("""COMPUTED_VALUE"""),"CE DOUTOR VICENTE DE MORAES")</f>
      </c>
      <c r="D986" s="10">
        <f>IFERROR(__xludf.DUMMYFUNCTION("""COMPUTED_VALUE"""),0.8817)</f>
      </c>
      <c r="E986" s="11">
        <f>IFERROR(__xludf.DUMMYFUNCTION("""COMPUTED_VALUE"""),251.79)</f>
      </c>
      <c r="F986" s="10">
        <f>IFERROR(__xludf.DUMMYFUNCTION("""COMPUTED_VALUE"""),0.7419)</f>
      </c>
      <c r="G986" s="11">
        <f>IFERROR(__xludf.DUMMYFUNCTION("""COMPUTED_VALUE"""),514.78)</f>
      </c>
      <c r="H986" s="10">
        <f>IFERROR(__xludf.DUMMYFUNCTION("""COMPUTED_VALUE"""),0.6452)</f>
      </c>
      <c r="I986" s="11">
        <f>IFERROR(__xludf.DUMMYFUNCTION("""COMPUTED_VALUE"""),479.33)</f>
      </c>
      <c r="J986" s="10">
        <f>IFERROR(__xludf.DUMMYFUNCTION("""COMPUTED_VALUE"""),0.9462)</f>
      </c>
      <c r="K986" s="11">
        <f>IFERROR(__xludf.DUMMYFUNCTION("""COMPUTED_VALUE"""),157.27)</f>
      </c>
      <c r="L986" s="10">
        <f>IFERROR(__xludf.DUMMYFUNCTION("""COMPUTED_VALUE"""),0.4301)</f>
      </c>
      <c r="M986" s="11">
        <f>IFERROR(__xludf.DUMMYFUNCTION("""COMPUTED_VALUE"""),381.0)</f>
      </c>
      <c r="N986" s="10">
        <f>IFERROR(__xludf.DUMMYFUNCTION("""COMPUTED_VALUE"""),0.5484)</f>
      </c>
      <c r="O986" s="11">
        <f>IFERROR(__xludf.DUMMYFUNCTION("""COMPUTED_VALUE"""),396.86)</f>
      </c>
      <c r="P986" s="12"/>
      <c r="Q986" s="12"/>
      <c r="R986" s="15"/>
      <c r="S986" s="12"/>
      <c r="T986" s="12"/>
      <c r="U986" s="12"/>
      <c r="V986" s="12"/>
      <c r="W986" s="12"/>
      <c r="X986" s="12"/>
      <c r="Y986" s="12"/>
      <c r="Z986" s="12"/>
    </row>
    <row x14ac:dyDescent="0.25" r="987" customHeight="1" ht="15.75">
      <c r="A987" s="8">
        <f>IFERROR(__xludf.DUMMYFUNCTION("""COMPUTED_VALUE"""),25208.0)</f>
      </c>
      <c r="B987" s="9">
        <f>IFERROR(__xludf.DUMMYFUNCTION("""COMPUTED_VALUE"""),"SERRANA II")</f>
      </c>
      <c r="C987" s="9">
        <f>IFERROR(__xludf.DUMMYFUNCTION("""COMPUTED_VALUE"""),"CE EDUARDO BREDER")</f>
      </c>
      <c r="D987" s="10">
        <f>IFERROR(__xludf.DUMMYFUNCTION("""COMPUTED_VALUE"""),0.9417)</f>
      </c>
      <c r="E987" s="11">
        <f>IFERROR(__xludf.DUMMYFUNCTION("""COMPUTED_VALUE"""),190.52)</f>
      </c>
      <c r="F987" s="10">
        <f>IFERROR(__xludf.DUMMYFUNCTION("""COMPUTED_VALUE"""),0.8252)</f>
      </c>
      <c r="G987" s="11">
        <f>IFERROR(__xludf.DUMMYFUNCTION("""COMPUTED_VALUE"""),423.61)</f>
      </c>
      <c r="H987" s="10">
        <f>IFERROR(__xludf.DUMMYFUNCTION("""COMPUTED_VALUE"""),0.7864)</f>
      </c>
      <c r="I987" s="11">
        <f>IFERROR(__xludf.DUMMYFUNCTION("""COMPUTED_VALUE"""),448.61)</f>
      </c>
      <c r="J987" s="10">
        <f>IFERROR(__xludf.DUMMYFUNCTION("""COMPUTED_VALUE"""),0.6505)</f>
      </c>
      <c r="K987" s="11">
        <f>IFERROR(__xludf.DUMMYFUNCTION("""COMPUTED_VALUE"""),300.61)</f>
      </c>
      <c r="L987" s="10">
        <f>IFERROR(__xludf.DUMMYFUNCTION("""COMPUTED_VALUE"""),0.767)</f>
      </c>
      <c r="M987" s="11">
        <f>IFERROR(__xludf.DUMMYFUNCTION("""COMPUTED_VALUE"""),392.91)</f>
      </c>
      <c r="N987" s="10">
        <f>IFERROR(__xludf.DUMMYFUNCTION("""COMPUTED_VALUE"""),0.7476)</f>
      </c>
      <c r="O987" s="11">
        <f>IFERROR(__xludf.DUMMYFUNCTION("""COMPUTED_VALUE"""),424.66)</f>
      </c>
      <c r="P987" s="12"/>
      <c r="Q987" s="12"/>
      <c r="R987" s="15"/>
      <c r="S987" s="12"/>
      <c r="T987" s="12"/>
      <c r="U987" s="12"/>
      <c r="V987" s="12"/>
      <c r="W987" s="12"/>
      <c r="X987" s="12"/>
      <c r="Y987" s="12"/>
      <c r="Z987" s="12"/>
    </row>
    <row x14ac:dyDescent="0.25" r="988" customHeight="1" ht="15.75">
      <c r="A988" s="8">
        <f>IFERROR(__xludf.DUMMYFUNCTION("""COMPUTED_VALUE"""),25209.0)</f>
      </c>
      <c r="B988" s="9">
        <f>IFERROR(__xludf.DUMMYFUNCTION("""COMPUTED_VALUE"""),"SERRANA II")</f>
      </c>
      <c r="C988" s="9">
        <f>IFERROR(__xludf.DUMMYFUNCTION("""COMPUTED_VALUE"""),"CE EMILIA ROSCHEMANT")</f>
      </c>
      <c r="D988" s="10">
        <f>IFERROR(__xludf.DUMMYFUNCTION("""COMPUTED_VALUE"""),0.9292)</f>
      </c>
      <c r="E988" s="11">
        <f>IFERROR(__xludf.DUMMYFUNCTION("""COMPUTED_VALUE"""),414.1)</f>
      </c>
      <c r="F988" s="10">
        <f>IFERROR(__xludf.DUMMYFUNCTION("""COMPUTED_VALUE"""),0.6726)</f>
      </c>
      <c r="G988" s="11">
        <f>IFERROR(__xludf.DUMMYFUNCTION("""COMPUTED_VALUE"""),440.0)</f>
      </c>
      <c r="H988" s="10">
        <f>IFERROR(__xludf.DUMMYFUNCTION("""COMPUTED_VALUE"""),0.823)</f>
      </c>
      <c r="I988" s="11">
        <f>IFERROR(__xludf.DUMMYFUNCTION("""COMPUTED_VALUE"""),541.3)</f>
      </c>
      <c r="J988" s="10">
        <f>IFERROR(__xludf.DUMMYFUNCTION("""COMPUTED_VALUE"""),0.7876)</f>
      </c>
      <c r="K988" s="11">
        <f>IFERROR(__xludf.DUMMYFUNCTION("""COMPUTED_VALUE"""),499.55)</f>
      </c>
      <c r="L988" s="10">
        <f>IFERROR(__xludf.DUMMYFUNCTION("""COMPUTED_VALUE"""),0.6991)</f>
      </c>
      <c r="M988" s="11">
        <f>IFERROR(__xludf.DUMMYFUNCTION("""COMPUTED_VALUE"""),545.64)</f>
      </c>
      <c r="N988" s="10">
        <f>IFERROR(__xludf.DUMMYFUNCTION("""COMPUTED_VALUE"""),0.7434)</f>
      </c>
      <c r="O988" s="11">
        <f>IFERROR(__xludf.DUMMYFUNCTION("""COMPUTED_VALUE"""),577.14)</f>
      </c>
      <c r="P988" s="12"/>
      <c r="Q988" s="12"/>
      <c r="R988" s="15"/>
      <c r="S988" s="12"/>
      <c r="T988" s="12"/>
      <c r="U988" s="12"/>
      <c r="V988" s="12"/>
      <c r="W988" s="12"/>
      <c r="X988" s="12"/>
      <c r="Y988" s="12"/>
      <c r="Z988" s="12"/>
    </row>
    <row x14ac:dyDescent="0.25" r="989" customHeight="1" ht="15.75">
      <c r="A989" s="8">
        <f>IFERROR(__xludf.DUMMYFUNCTION("""COMPUTED_VALUE"""),25210.0)</f>
      </c>
      <c r="B989" s="9">
        <f>IFERROR(__xludf.DUMMYFUNCTION("""COMPUTED_VALUE"""),"SERRANA II")</f>
      </c>
      <c r="C989" s="9">
        <f>IFERROR(__xludf.DUMMYFUNCTION("""COMPUTED_VALUE"""),"CE ETELVINA SCHOTTZ")</f>
      </c>
      <c r="D989" s="10">
        <f>IFERROR(__xludf.DUMMYFUNCTION("""COMPUTED_VALUE"""),0.7407)</f>
      </c>
      <c r="E989" s="11">
        <f>IFERROR(__xludf.DUMMYFUNCTION("""COMPUTED_VALUE"""),343.16)</f>
      </c>
      <c r="F989" s="10">
        <f>IFERROR(__xludf.DUMMYFUNCTION("""COMPUTED_VALUE"""),0.7963)</f>
      </c>
      <c r="G989" s="11">
        <f>IFERROR(__xludf.DUMMYFUNCTION("""COMPUTED_VALUE"""),364.65)</f>
      </c>
      <c r="H989" s="10">
        <f>IFERROR(__xludf.DUMMYFUNCTION("""COMPUTED_VALUE"""),0.9444)</f>
      </c>
      <c r="I989" s="11">
        <f>IFERROR(__xludf.DUMMYFUNCTION("""COMPUTED_VALUE"""),505.88)</f>
      </c>
      <c r="J989" s="10">
        <f>IFERROR(__xludf.DUMMYFUNCTION("""COMPUTED_VALUE"""),0.7778)</f>
      </c>
      <c r="K989" s="11">
        <f>IFERROR(__xludf.DUMMYFUNCTION("""COMPUTED_VALUE"""),443.64)</f>
      </c>
      <c r="L989" s="10">
        <f>IFERROR(__xludf.DUMMYFUNCTION("""COMPUTED_VALUE"""),0.8333)</f>
      </c>
      <c r="M989" s="11">
        <f>IFERROR(__xludf.DUMMYFUNCTION("""COMPUTED_VALUE"""),485.33)</f>
      </c>
      <c r="N989" s="10">
        <f>IFERROR(__xludf.DUMMYFUNCTION("""COMPUTED_VALUE"""),0.963)</f>
      </c>
      <c r="O989" s="11">
        <f>IFERROR(__xludf.DUMMYFUNCTION("""COMPUTED_VALUE"""),518.46)</f>
      </c>
      <c r="P989" s="12"/>
      <c r="Q989" s="12"/>
      <c r="R989" s="15"/>
      <c r="S989" s="12"/>
      <c r="T989" s="12"/>
      <c r="U989" s="12"/>
      <c r="V989" s="12"/>
      <c r="W989" s="12"/>
      <c r="X989" s="12"/>
      <c r="Y989" s="12"/>
      <c r="Z989" s="12"/>
    </row>
    <row x14ac:dyDescent="0.25" r="990" customHeight="1" ht="15.75">
      <c r="A990" s="8">
        <f>IFERROR(__xludf.DUMMYFUNCTION("""COMPUTED_VALUE"""),25198.0)</f>
      </c>
      <c r="B990" s="9">
        <f>IFERROR(__xludf.DUMMYFUNCTION("""COMPUTED_VALUE"""),"SERRANA II")</f>
      </c>
      <c r="C990" s="9">
        <f>IFERROR(__xludf.DUMMYFUNCTION("""COMPUTED_VALUE"""),"CE FARMACEUTICO RODOLFO ALBINO")</f>
      </c>
      <c r="D990" s="10">
        <f>IFERROR(__xludf.DUMMYFUNCTION("""COMPUTED_VALUE"""),0.9306)</f>
      </c>
      <c r="E990" s="11">
        <f>IFERROR(__xludf.DUMMYFUNCTION("""COMPUTED_VALUE"""),305.19)</f>
      </c>
      <c r="F990" s="10">
        <f>IFERROR(__xludf.DUMMYFUNCTION("""COMPUTED_VALUE"""),0.0)</f>
      </c>
      <c r="G990" s="11">
        <f>IFERROR(__xludf.DUMMYFUNCTION("""COMPUTED_VALUE"""),"----")</f>
      </c>
      <c r="H990" s="10">
        <f>IFERROR(__xludf.DUMMYFUNCTION("""COMPUTED_VALUE"""),0.6706)</f>
      </c>
      <c r="I990" s="11">
        <f>IFERROR(__xludf.DUMMYFUNCTION("""COMPUTED_VALUE"""),461.75)</f>
      </c>
      <c r="J990" s="10">
        <f>IFERROR(__xludf.DUMMYFUNCTION("""COMPUTED_VALUE"""),0.9333)</f>
      </c>
      <c r="K990" s="11">
        <f>IFERROR(__xludf.DUMMYFUNCTION("""COMPUTED_VALUE"""),317.33)</f>
      </c>
      <c r="L990" s="10">
        <f>IFERROR(__xludf.DUMMYFUNCTION("""COMPUTED_VALUE"""),0.8)</f>
      </c>
      <c r="M990" s="11">
        <f>IFERROR(__xludf.DUMMYFUNCTION("""COMPUTED_VALUE"""),432.41)</f>
      </c>
      <c r="N990" s="10">
        <f>IFERROR(__xludf.DUMMYFUNCTION("""COMPUTED_VALUE"""),0.8588)</f>
      </c>
      <c r="O990" s="11">
        <f>IFERROR(__xludf.DUMMYFUNCTION("""COMPUTED_VALUE"""),330.47)</f>
      </c>
      <c r="P990" s="12"/>
      <c r="Q990" s="12"/>
      <c r="R990" s="15"/>
      <c r="S990" s="12"/>
      <c r="T990" s="12"/>
      <c r="U990" s="12"/>
      <c r="V990" s="12"/>
      <c r="W990" s="12"/>
      <c r="X990" s="12"/>
      <c r="Y990" s="12"/>
      <c r="Z990" s="12"/>
    </row>
    <row x14ac:dyDescent="0.25" r="991" customHeight="1" ht="15.75">
      <c r="A991" s="8">
        <f>IFERROR(__xludf.DUMMYFUNCTION("""COMPUTED_VALUE"""),25176.0)</f>
      </c>
      <c r="B991" s="9">
        <f>IFERROR(__xludf.DUMMYFUNCTION("""COMPUTED_VALUE"""),"SERRANA II")</f>
      </c>
      <c r="C991" s="9">
        <f>IFERROR(__xludf.DUMMYFUNCTION("""COMPUTED_VALUE"""),"CE FRANCISCO VARELLA")</f>
      </c>
      <c r="D991" s="10">
        <f>IFERROR(__xludf.DUMMYFUNCTION("""COMPUTED_VALUE"""),0.8261)</f>
      </c>
      <c r="E991" s="11">
        <f>IFERROR(__xludf.DUMMYFUNCTION("""COMPUTED_VALUE"""),284.21)</f>
      </c>
      <c r="F991" s="10">
        <f>IFERROR(__xludf.DUMMYFUNCTION("""COMPUTED_VALUE"""),0.5652)</f>
      </c>
      <c r="G991" s="11">
        <f>IFERROR(__xludf.DUMMYFUNCTION("""COMPUTED_VALUE"""),"----")</f>
      </c>
      <c r="H991" s="10">
        <f>IFERROR(__xludf.DUMMYFUNCTION("""COMPUTED_VALUE"""),0.4906)</f>
      </c>
      <c r="I991" s="11">
        <f>IFERROR(__xludf.DUMMYFUNCTION("""COMPUTED_VALUE"""),480.0)</f>
      </c>
      <c r="J991" s="10">
        <f>IFERROR(__xludf.DUMMYFUNCTION("""COMPUTED_VALUE"""),0.75)</f>
      </c>
      <c r="K991" s="11">
        <f>IFERROR(__xludf.DUMMYFUNCTION("""COMPUTED_VALUE"""),470.0)</f>
      </c>
      <c r="L991" s="10">
        <f>IFERROR(__xludf.DUMMYFUNCTION("""COMPUTED_VALUE"""),0.5283)</f>
      </c>
      <c r="M991" s="11">
        <f>IFERROR(__xludf.DUMMYFUNCTION("""COMPUTED_VALUE"""),527.14)</f>
      </c>
      <c r="N991" s="10">
        <f>IFERROR(__xludf.DUMMYFUNCTION("""COMPUTED_VALUE"""),0.5094)</f>
      </c>
      <c r="O991" s="11">
        <f>IFERROR(__xludf.DUMMYFUNCTION("""COMPUTED_VALUE"""),487.41)</f>
      </c>
      <c r="P991" s="12"/>
      <c r="Q991" s="12"/>
      <c r="R991" s="15"/>
      <c r="S991" s="12"/>
      <c r="T991" s="12"/>
      <c r="U991" s="12"/>
      <c r="V991" s="12"/>
      <c r="W991" s="12"/>
      <c r="X991" s="12"/>
      <c r="Y991" s="12"/>
      <c r="Z991" s="12"/>
    </row>
    <row x14ac:dyDescent="0.25" r="992" customHeight="1" ht="15.75">
      <c r="A992" s="8">
        <f>IFERROR(__xludf.DUMMYFUNCTION("""COMPUTED_VALUE"""),25183.0)</f>
      </c>
      <c r="B992" s="9">
        <f>IFERROR(__xludf.DUMMYFUNCTION("""COMPUTED_VALUE"""),"SERRANA II")</f>
      </c>
      <c r="C992" s="9">
        <f>IFERROR(__xludf.DUMMYFUNCTION("""COMPUTED_VALUE"""),"CE INDAIAÇU")</f>
      </c>
      <c r="D992" s="10">
        <f>IFERROR(__xludf.DUMMYFUNCTION("""COMPUTED_VALUE"""),0.9259)</f>
      </c>
      <c r="E992" s="11">
        <f>IFERROR(__xludf.DUMMYFUNCTION("""COMPUTED_VALUE"""),168.0)</f>
      </c>
      <c r="F992" s="10">
        <f>IFERROR(__xludf.DUMMYFUNCTION("""COMPUTED_VALUE"""),0.8148)</f>
      </c>
      <c r="G992" s="11">
        <f>IFERROR(__xludf.DUMMYFUNCTION("""COMPUTED_VALUE"""),474.55)</f>
      </c>
      <c r="H992" s="10">
        <f>IFERROR(__xludf.DUMMYFUNCTION("""COMPUTED_VALUE"""),0.7407)</f>
      </c>
      <c r="I992" s="11">
        <f>IFERROR(__xludf.DUMMYFUNCTION("""COMPUTED_VALUE"""),476.0)</f>
      </c>
      <c r="J992" s="10">
        <f>IFERROR(__xludf.DUMMYFUNCTION("""COMPUTED_VALUE"""),0.7037)</f>
      </c>
      <c r="K992" s="11">
        <f>IFERROR(__xludf.DUMMYFUNCTION("""COMPUTED_VALUE"""),346.67)</f>
      </c>
      <c r="L992" s="10">
        <f>IFERROR(__xludf.DUMMYFUNCTION("""COMPUTED_VALUE"""),0.6296)</f>
      </c>
      <c r="M992" s="11">
        <f>IFERROR(__xludf.DUMMYFUNCTION("""COMPUTED_VALUE"""),447.06)</f>
      </c>
      <c r="N992" s="10">
        <f>IFERROR(__xludf.DUMMYFUNCTION("""COMPUTED_VALUE"""),0.5926)</f>
      </c>
      <c r="O992" s="11">
        <f>IFERROR(__xludf.DUMMYFUNCTION("""COMPUTED_VALUE"""),490.0)</f>
      </c>
      <c r="P992" s="12"/>
      <c r="Q992" s="12"/>
      <c r="R992" s="15"/>
      <c r="S992" s="12"/>
      <c r="T992" s="12"/>
      <c r="U992" s="12"/>
      <c r="V992" s="12"/>
      <c r="W992" s="12"/>
      <c r="X992" s="12"/>
      <c r="Y992" s="12"/>
      <c r="Z992" s="12"/>
    </row>
    <row x14ac:dyDescent="0.25" r="993" customHeight="1" ht="15.75">
      <c r="A993" s="8">
        <f>IFERROR(__xludf.DUMMYFUNCTION("""COMPUTED_VALUE"""),25177.0)</f>
      </c>
      <c r="B993" s="9">
        <f>IFERROR(__xludf.DUMMYFUNCTION("""COMPUTED_VALUE"""),"SERRANA II")</f>
      </c>
      <c r="C993" s="9">
        <f>IFERROR(__xludf.DUMMYFUNCTION("""COMPUTED_VALUE"""),"CE INDEPENDENCIA")</f>
      </c>
      <c r="D993" s="10">
        <f>IFERROR(__xludf.DUMMYFUNCTION("""COMPUTED_VALUE"""),0.0)</f>
      </c>
      <c r="E993" s="11">
        <f>IFERROR(__xludf.DUMMYFUNCTION("""COMPUTED_VALUE"""),"----")</f>
      </c>
      <c r="F993" s="10">
        <f>IFERROR(__xludf.DUMMYFUNCTION("""COMPUTED_VALUE"""),0.8)</f>
      </c>
      <c r="G993" s="11">
        <f>IFERROR(__xludf.DUMMYFUNCTION("""COMPUTED_VALUE"""),370.0)</f>
      </c>
      <c r="H993" s="10">
        <f>IFERROR(__xludf.DUMMYFUNCTION("""COMPUTED_VALUE"""),0.9)</f>
      </c>
      <c r="I993" s="11">
        <f>IFERROR(__xludf.DUMMYFUNCTION("""COMPUTED_VALUE"""),306.67)</f>
      </c>
      <c r="J993" s="10">
        <f>IFERROR(__xludf.DUMMYFUNCTION("""COMPUTED_VALUE"""),0.9)</f>
      </c>
      <c r="K993" s="11">
        <f>IFERROR(__xludf.DUMMYFUNCTION("""COMPUTED_VALUE"""),364.44)</f>
      </c>
      <c r="L993" s="10">
        <f>IFERROR(__xludf.DUMMYFUNCTION("""COMPUTED_VALUE"""),0.9)</f>
      </c>
      <c r="M993" s="11">
        <f>IFERROR(__xludf.DUMMYFUNCTION("""COMPUTED_VALUE"""),528.89)</f>
      </c>
      <c r="N993" s="10">
        <f>IFERROR(__xludf.DUMMYFUNCTION("""COMPUTED_VALUE"""),0.9)</f>
      </c>
      <c r="O993" s="11">
        <f>IFERROR(__xludf.DUMMYFUNCTION("""COMPUTED_VALUE"""),462.22)</f>
      </c>
      <c r="P993" s="12"/>
      <c r="Q993" s="12"/>
      <c r="R993" s="15"/>
      <c r="S993" s="12"/>
      <c r="T993" s="12"/>
      <c r="U993" s="12"/>
      <c r="V993" s="12"/>
      <c r="W993" s="12"/>
      <c r="X993" s="12"/>
      <c r="Y993" s="12"/>
      <c r="Z993" s="12"/>
    </row>
    <row x14ac:dyDescent="0.25" r="994" customHeight="1" ht="15.75">
      <c r="A994" s="8">
        <f>IFERROR(__xludf.DUMMYFUNCTION("""COMPUTED_VALUE"""),25226.0)</f>
      </c>
      <c r="B994" s="9">
        <f>IFERROR(__xludf.DUMMYFUNCTION("""COMPUTED_VALUE"""),"SERRANA II")</f>
      </c>
      <c r="C994" s="9">
        <f>IFERROR(__xludf.DUMMYFUNCTION("""COMPUTED_VALUE"""),"CE JANUARIO DE TOLEDO PIZZA")</f>
      </c>
      <c r="D994" s="10">
        <f>IFERROR(__xludf.DUMMYFUNCTION("""COMPUTED_VALUE"""),1.0)</f>
      </c>
      <c r="E994" s="11">
        <f>IFERROR(__xludf.DUMMYFUNCTION("""COMPUTED_VALUE"""),386.32)</f>
      </c>
      <c r="F994" s="10">
        <f>IFERROR(__xludf.DUMMYFUNCTION("""COMPUTED_VALUE"""),0.8947)</f>
      </c>
      <c r="G994" s="11">
        <f>IFERROR(__xludf.DUMMYFUNCTION("""COMPUTED_VALUE"""),438.79)</f>
      </c>
      <c r="H994" s="10">
        <f>IFERROR(__xludf.DUMMYFUNCTION("""COMPUTED_VALUE"""),0.8158)</f>
      </c>
      <c r="I994" s="11">
        <f>IFERROR(__xludf.DUMMYFUNCTION("""COMPUTED_VALUE"""),485.33)</f>
      </c>
      <c r="J994" s="10">
        <f>IFERROR(__xludf.DUMMYFUNCTION("""COMPUTED_VALUE"""),0.7632)</f>
      </c>
      <c r="K994" s="11">
        <f>IFERROR(__xludf.DUMMYFUNCTION("""COMPUTED_VALUE"""),481.43)</f>
      </c>
      <c r="L994" s="10">
        <f>IFERROR(__xludf.DUMMYFUNCTION("""COMPUTED_VALUE"""),0.8421)</f>
      </c>
      <c r="M994" s="11">
        <f>IFERROR(__xludf.DUMMYFUNCTION("""COMPUTED_VALUE"""),420.0)</f>
      </c>
      <c r="N994" s="10">
        <f>IFERROR(__xludf.DUMMYFUNCTION("""COMPUTED_VALUE"""),0.8158)</f>
      </c>
      <c r="O994" s="11">
        <f>IFERROR(__xludf.DUMMYFUNCTION("""COMPUTED_VALUE"""),416.77)</f>
      </c>
      <c r="P994" s="12"/>
      <c r="Q994" s="12"/>
      <c r="R994" s="15"/>
      <c r="S994" s="12"/>
      <c r="T994" s="12"/>
      <c r="U994" s="12"/>
      <c r="V994" s="12"/>
      <c r="W994" s="12"/>
      <c r="X994" s="12"/>
      <c r="Y994" s="12"/>
      <c r="Z994" s="12"/>
    </row>
    <row x14ac:dyDescent="0.25" r="995" customHeight="1" ht="15.75">
      <c r="A995" s="8">
        <f>IFERROR(__xludf.DUMMYFUNCTION("""COMPUTED_VALUE"""),25172.0)</f>
      </c>
      <c r="B995" s="9">
        <f>IFERROR(__xludf.DUMMYFUNCTION("""COMPUTED_VALUE"""),"SERRANA II")</f>
      </c>
      <c r="C995" s="9">
        <f>IFERROR(__xludf.DUMMYFUNCTION("""COMPUTED_VALUE"""),"CE JOAO DE ABREU JUNIOR")</f>
      </c>
      <c r="D995" s="10">
        <f>IFERROR(__xludf.DUMMYFUNCTION("""COMPUTED_VALUE"""),0.9167)</f>
      </c>
      <c r="E995" s="11">
        <f>IFERROR(__xludf.DUMMYFUNCTION("""COMPUTED_VALUE"""),397.58)</f>
      </c>
      <c r="F995" s="10">
        <f>IFERROR(__xludf.DUMMYFUNCTION("""COMPUTED_VALUE"""),0.9444)</f>
      </c>
      <c r="G995" s="11">
        <f>IFERROR(__xludf.DUMMYFUNCTION("""COMPUTED_VALUE"""),482.35)</f>
      </c>
      <c r="H995" s="10">
        <f>IFERROR(__xludf.DUMMYFUNCTION("""COMPUTED_VALUE"""),0.8611)</f>
      </c>
      <c r="I995" s="11">
        <f>IFERROR(__xludf.DUMMYFUNCTION("""COMPUTED_VALUE"""),411.61)</f>
      </c>
      <c r="J995" s="10">
        <f>IFERROR(__xludf.DUMMYFUNCTION("""COMPUTED_VALUE"""),0.8333)</f>
      </c>
      <c r="K995" s="11">
        <f>IFERROR(__xludf.DUMMYFUNCTION("""COMPUTED_VALUE"""),337.33)</f>
      </c>
      <c r="L995" s="10">
        <f>IFERROR(__xludf.DUMMYFUNCTION("""COMPUTED_VALUE"""),0.7778)</f>
      </c>
      <c r="M995" s="11">
        <f>IFERROR(__xludf.DUMMYFUNCTION("""COMPUTED_VALUE"""),607.14)</f>
      </c>
      <c r="N995" s="10">
        <f>IFERROR(__xludf.DUMMYFUNCTION("""COMPUTED_VALUE"""),0.7778)</f>
      </c>
      <c r="O995" s="11">
        <f>IFERROR(__xludf.DUMMYFUNCTION("""COMPUTED_VALUE"""),570.0)</f>
      </c>
      <c r="P995" s="12"/>
      <c r="Q995" s="12"/>
      <c r="R995" s="15"/>
      <c r="S995" s="12"/>
      <c r="T995" s="12"/>
      <c r="U995" s="12"/>
      <c r="V995" s="12"/>
      <c r="W995" s="12"/>
      <c r="X995" s="12"/>
      <c r="Y995" s="12"/>
      <c r="Z995" s="12"/>
    </row>
    <row x14ac:dyDescent="0.25" r="996" customHeight="1" ht="15.75">
      <c r="A996" s="8">
        <f>IFERROR(__xludf.DUMMYFUNCTION("""COMPUTED_VALUE"""),25233.0)</f>
      </c>
      <c r="B996" s="9">
        <f>IFERROR(__xludf.DUMMYFUNCTION("""COMPUTED_VALUE"""),"SERRANA II")</f>
      </c>
      <c r="C996" s="9">
        <f>IFERROR(__xludf.DUMMYFUNCTION("""COMPUTED_VALUE"""),"CE JOAO DE MORAES MARTINS")</f>
      </c>
      <c r="D996" s="10">
        <f>IFERROR(__xludf.DUMMYFUNCTION("""COMPUTED_VALUE"""),1.0)</f>
      </c>
      <c r="E996" s="11">
        <f>IFERROR(__xludf.DUMMYFUNCTION("""COMPUTED_VALUE"""),280.0)</f>
      </c>
      <c r="F996" s="10">
        <f>IFERROR(__xludf.DUMMYFUNCTION("""COMPUTED_VALUE"""),0.9375)</f>
      </c>
      <c r="G996" s="11">
        <f>IFERROR(__xludf.DUMMYFUNCTION("""COMPUTED_VALUE"""),440.0)</f>
      </c>
      <c r="H996" s="10">
        <f>IFERROR(__xludf.DUMMYFUNCTION("""COMPUTED_VALUE"""),0.8125)</f>
      </c>
      <c r="I996" s="11">
        <f>IFERROR(__xludf.DUMMYFUNCTION("""COMPUTED_VALUE"""),526.15)</f>
      </c>
      <c r="J996" s="10">
        <f>IFERROR(__xludf.DUMMYFUNCTION("""COMPUTED_VALUE"""),0.75)</f>
      </c>
      <c r="K996" s="11">
        <f>IFERROR(__xludf.DUMMYFUNCTION("""COMPUTED_VALUE"""),416.67)</f>
      </c>
      <c r="L996" s="10">
        <f>IFERROR(__xludf.DUMMYFUNCTION("""COMPUTED_VALUE"""),0.8125)</f>
      </c>
      <c r="M996" s="11">
        <f>IFERROR(__xludf.DUMMYFUNCTION("""COMPUTED_VALUE"""),461.54)</f>
      </c>
      <c r="N996" s="10">
        <f>IFERROR(__xludf.DUMMYFUNCTION("""COMPUTED_VALUE"""),0.8125)</f>
      </c>
      <c r="O996" s="11">
        <f>IFERROR(__xludf.DUMMYFUNCTION("""COMPUTED_VALUE"""),452.31)</f>
      </c>
      <c r="P996" s="12"/>
      <c r="Q996" s="12"/>
      <c r="R996" s="15"/>
      <c r="S996" s="12"/>
      <c r="T996" s="12"/>
      <c r="U996" s="12"/>
      <c r="V996" s="12"/>
      <c r="W996" s="12"/>
      <c r="X996" s="12"/>
      <c r="Y996" s="12"/>
      <c r="Z996" s="12"/>
    </row>
    <row x14ac:dyDescent="0.25" r="997" customHeight="1" ht="15.75">
      <c r="A997" s="8">
        <f>IFERROR(__xludf.DUMMYFUNCTION("""COMPUTED_VALUE"""),25227.0)</f>
      </c>
      <c r="B997" s="9">
        <f>IFERROR(__xludf.DUMMYFUNCTION("""COMPUTED_VALUE"""),"SERRANA II")</f>
      </c>
      <c r="C997" s="9">
        <f>IFERROR(__xludf.DUMMYFUNCTION("""COMPUTED_VALUE"""),"CE JOSE CARDOSO DE MORAES")</f>
      </c>
      <c r="D997" s="10">
        <f>IFERROR(__xludf.DUMMYFUNCTION("""COMPUTED_VALUE"""),0.9565)</f>
      </c>
      <c r="E997" s="11">
        <f>IFERROR(__xludf.DUMMYFUNCTION("""COMPUTED_VALUE"""),420.0)</f>
      </c>
      <c r="F997" s="10">
        <f>IFERROR(__xludf.DUMMYFUNCTION("""COMPUTED_VALUE"""),0.7826)</f>
      </c>
      <c r="G997" s="11">
        <f>IFERROR(__xludf.DUMMYFUNCTION("""COMPUTED_VALUE"""),444.44)</f>
      </c>
      <c r="H997" s="10">
        <f>IFERROR(__xludf.DUMMYFUNCTION("""COMPUTED_VALUE"""),0.8696)</f>
      </c>
      <c r="I997" s="11">
        <f>IFERROR(__xludf.DUMMYFUNCTION("""COMPUTED_VALUE"""),543.16)</f>
      </c>
      <c r="J997" s="10">
        <f>IFERROR(__xludf.DUMMYFUNCTION("""COMPUTED_VALUE"""),1.0)</f>
      </c>
      <c r="K997" s="11">
        <f>IFERROR(__xludf.DUMMYFUNCTION("""COMPUTED_VALUE"""),427.27)</f>
      </c>
      <c r="L997" s="10">
        <f>IFERROR(__xludf.DUMMYFUNCTION("""COMPUTED_VALUE"""),0.9565)</f>
      </c>
      <c r="M997" s="11">
        <f>IFERROR(__xludf.DUMMYFUNCTION("""COMPUTED_VALUE"""),441.9)</f>
      </c>
      <c r="N997" s="10">
        <f>IFERROR(__xludf.DUMMYFUNCTION("""COMPUTED_VALUE"""),0.9565)</f>
      </c>
      <c r="O997" s="11">
        <f>IFERROR(__xludf.DUMMYFUNCTION("""COMPUTED_VALUE"""),474.55)</f>
      </c>
      <c r="P997" s="12"/>
      <c r="Q997" s="12"/>
      <c r="R997" s="15"/>
      <c r="S997" s="12"/>
      <c r="T997" s="12"/>
      <c r="U997" s="12"/>
      <c r="V997" s="12"/>
      <c r="W997" s="12"/>
      <c r="X997" s="12"/>
      <c r="Y997" s="12"/>
      <c r="Z997" s="12"/>
    </row>
    <row x14ac:dyDescent="0.25" r="998" customHeight="1" ht="15.75">
      <c r="A998" s="8">
        <f>IFERROR(__xludf.DUMMYFUNCTION("""COMPUTED_VALUE"""),25199.0)</f>
      </c>
      <c r="B998" s="9">
        <f>IFERROR(__xludf.DUMMYFUNCTION("""COMPUTED_VALUE"""),"SERRANA II")</f>
      </c>
      <c r="C998" s="9">
        <f>IFERROR(__xludf.DUMMYFUNCTION("""COMPUTED_VALUE"""),"CE JOSE CARLOS BOARETTO")</f>
      </c>
      <c r="D998" s="10">
        <f>IFERROR(__xludf.DUMMYFUNCTION("""COMPUTED_VALUE"""),0.7293)</f>
      </c>
      <c r="E998" s="11">
        <f>IFERROR(__xludf.DUMMYFUNCTION("""COMPUTED_VALUE"""),274.35)</f>
      </c>
      <c r="F998" s="10">
        <f>IFERROR(__xludf.DUMMYFUNCTION("""COMPUTED_VALUE"""),0.8195)</f>
      </c>
      <c r="G998" s="11">
        <f>IFERROR(__xludf.DUMMYFUNCTION("""COMPUTED_VALUE"""),354.81)</f>
      </c>
      <c r="H998" s="10">
        <f>IFERROR(__xludf.DUMMYFUNCTION("""COMPUTED_VALUE"""),0.7444)</f>
      </c>
      <c r="I998" s="11">
        <f>IFERROR(__xludf.DUMMYFUNCTION("""COMPUTED_VALUE"""),480.0)</f>
      </c>
      <c r="J998" s="10">
        <f>IFERROR(__xludf.DUMMYFUNCTION("""COMPUTED_VALUE"""),0.7293)</f>
      </c>
      <c r="K998" s="11">
        <f>IFERROR(__xludf.DUMMYFUNCTION("""COMPUTED_VALUE"""),334.78)</f>
      </c>
      <c r="L998" s="10">
        <f>IFERROR(__xludf.DUMMYFUNCTION("""COMPUTED_VALUE"""),0.6617)</f>
      </c>
      <c r="M998" s="11">
        <f>IFERROR(__xludf.DUMMYFUNCTION("""COMPUTED_VALUE"""),480.92)</f>
      </c>
      <c r="N998" s="10">
        <f>IFERROR(__xludf.DUMMYFUNCTION("""COMPUTED_VALUE"""),0.782)</f>
      </c>
      <c r="O998" s="11">
        <f>IFERROR(__xludf.DUMMYFUNCTION("""COMPUTED_VALUE"""),436.89)</f>
      </c>
      <c r="P998" s="12"/>
      <c r="Q998" s="12"/>
      <c r="R998" s="15"/>
      <c r="S998" s="12"/>
      <c r="T998" s="12"/>
      <c r="U998" s="12"/>
      <c r="V998" s="12"/>
      <c r="W998" s="12"/>
      <c r="X998" s="12"/>
      <c r="Y998" s="12"/>
      <c r="Z998" s="12"/>
    </row>
    <row x14ac:dyDescent="0.25" r="999" customHeight="1" ht="15.75">
      <c r="A999" s="8">
        <f>IFERROR(__xludf.DUMMYFUNCTION("""COMPUTED_VALUE"""),25211.0)</f>
      </c>
      <c r="B999" s="9">
        <f>IFERROR(__xludf.DUMMYFUNCTION("""COMPUTED_VALUE"""),"SERRANA II")</f>
      </c>
      <c r="C999" s="9">
        <f>IFERROR(__xludf.DUMMYFUNCTION("""COMPUTED_VALUE"""),"CE JOSE MARTINS DA COSTA")</f>
      </c>
      <c r="D999" s="10">
        <f>IFERROR(__xludf.DUMMYFUNCTION("""COMPUTED_VALUE"""),0.913)</f>
      </c>
      <c r="E999" s="11">
        <f>IFERROR(__xludf.DUMMYFUNCTION("""COMPUTED_VALUE"""),463.81)</f>
      </c>
      <c r="F999" s="10">
        <f>IFERROR(__xludf.DUMMYFUNCTION("""COMPUTED_VALUE"""),0.0)</f>
      </c>
      <c r="G999" s="11">
        <f>IFERROR(__xludf.DUMMYFUNCTION("""COMPUTED_VALUE"""),"----")</f>
      </c>
      <c r="H999" s="10">
        <f>IFERROR(__xludf.DUMMYFUNCTION("""COMPUTED_VALUE"""),0.7609)</f>
      </c>
      <c r="I999" s="11">
        <f>IFERROR(__xludf.DUMMYFUNCTION("""COMPUTED_VALUE"""),544.0)</f>
      </c>
      <c r="J999" s="10">
        <f>IFERROR(__xludf.DUMMYFUNCTION("""COMPUTED_VALUE"""),0.6087)</f>
      </c>
      <c r="K999" s="11">
        <f>IFERROR(__xludf.DUMMYFUNCTION("""COMPUTED_VALUE"""),472.59)</f>
      </c>
      <c r="L999" s="10">
        <f>IFERROR(__xludf.DUMMYFUNCTION("""COMPUTED_VALUE"""),0.6957)</f>
      </c>
      <c r="M999" s="11">
        <f>IFERROR(__xludf.DUMMYFUNCTION("""COMPUTED_VALUE"""),570.0)</f>
      </c>
      <c r="N999" s="10">
        <f>IFERROR(__xludf.DUMMYFUNCTION("""COMPUTED_VALUE"""),0.6304)</f>
      </c>
      <c r="O999" s="11">
        <f>IFERROR(__xludf.DUMMYFUNCTION("""COMPUTED_VALUE"""),594.48)</f>
      </c>
      <c r="P999" s="12"/>
      <c r="Q999" s="12"/>
      <c r="R999" s="15"/>
      <c r="S999" s="12"/>
      <c r="T999" s="12"/>
      <c r="U999" s="12"/>
      <c r="V999" s="12"/>
      <c r="W999" s="12"/>
      <c r="X999" s="12"/>
      <c r="Y999" s="12"/>
      <c r="Z999" s="12"/>
    </row>
    <row x14ac:dyDescent="0.25" r="1000" customHeight="1" ht="15.75">
      <c r="A1000" s="8">
        <f>IFERROR(__xludf.DUMMYFUNCTION("""COMPUTED_VALUE"""),25212.0)</f>
      </c>
      <c r="B1000" s="9">
        <f>IFERROR(__xludf.DUMMYFUNCTION("""COMPUTED_VALUE"""),"SERRANA II")</f>
      </c>
      <c r="C1000" s="9">
        <f>IFERROR(__xludf.DUMMYFUNCTION("""COMPUTED_VALUE"""),"CE JULIO SALUSSE")</f>
      </c>
      <c r="D1000" s="10">
        <f>IFERROR(__xludf.DUMMYFUNCTION("""COMPUTED_VALUE"""),0.8162)</f>
      </c>
      <c r="E1000" s="11">
        <f>IFERROR(__xludf.DUMMYFUNCTION("""COMPUTED_VALUE"""),322.79)</f>
      </c>
      <c r="F1000" s="10">
        <f>IFERROR(__xludf.DUMMYFUNCTION("""COMPUTED_VALUE"""),0.9926)</f>
      </c>
      <c r="G1000" s="11">
        <f>IFERROR(__xludf.DUMMYFUNCTION("""COMPUTED_VALUE"""),379.85)</f>
      </c>
      <c r="H1000" s="10">
        <f>IFERROR(__xludf.DUMMYFUNCTION("""COMPUTED_VALUE"""),0.9779)</f>
      </c>
      <c r="I1000" s="11">
        <f>IFERROR(__xludf.DUMMYFUNCTION("""COMPUTED_VALUE"""),435.76)</f>
      </c>
      <c r="J1000" s="10">
        <f>IFERROR(__xludf.DUMMYFUNCTION("""COMPUTED_VALUE"""),0.8456)</f>
      </c>
      <c r="K1000" s="11">
        <f>IFERROR(__xludf.DUMMYFUNCTION("""COMPUTED_VALUE"""),477.41)</f>
      </c>
      <c r="L1000" s="10">
        <f>IFERROR(__xludf.DUMMYFUNCTION("""COMPUTED_VALUE"""),0.8015)</f>
      </c>
      <c r="M1000" s="11">
        <f>IFERROR(__xludf.DUMMYFUNCTION("""COMPUTED_VALUE"""),521.83)</f>
      </c>
      <c r="N1000" s="10">
        <f>IFERROR(__xludf.DUMMYFUNCTION("""COMPUTED_VALUE"""),0.0074)</f>
      </c>
      <c r="O1000" s="11">
        <f>IFERROR(__xludf.DUMMYFUNCTION("""COMPUTED_VALUE"""),560.0)</f>
      </c>
      <c r="P1000" s="12"/>
      <c r="Q1000" s="12"/>
      <c r="R1000" s="15"/>
      <c r="S1000" s="12"/>
      <c r="T1000" s="12"/>
      <c r="U1000" s="12"/>
      <c r="V1000" s="12"/>
      <c r="W1000" s="12"/>
      <c r="X1000" s="12"/>
      <c r="Y1000" s="12"/>
      <c r="Z1000" s="12"/>
    </row>
    <row x14ac:dyDescent="0.25" r="1001" customHeight="1" ht="15.75">
      <c r="A1001" s="8">
        <f>IFERROR(__xludf.DUMMYFUNCTION("""COMPUTED_VALUE"""),25157.0)</f>
      </c>
      <c r="B1001" s="9">
        <f>IFERROR(__xludf.DUMMYFUNCTION("""COMPUTED_VALUE"""),"SERRANA II")</f>
      </c>
      <c r="C1001" s="9">
        <f>IFERROR(__xludf.DUMMYFUNCTION("""COMPUTED_VALUE"""),"CE LEOPOLDO OSCAR STUTZ")</f>
      </c>
      <c r="D1001" s="10">
        <f>IFERROR(__xludf.DUMMYFUNCTION("""COMPUTED_VALUE"""),1.0)</f>
      </c>
      <c r="E1001" s="11">
        <f>IFERROR(__xludf.DUMMYFUNCTION("""COMPUTED_VALUE"""),393.44)</f>
      </c>
      <c r="F1001" s="10">
        <f>IFERROR(__xludf.DUMMYFUNCTION("""COMPUTED_VALUE"""),0.0)</f>
      </c>
      <c r="G1001" s="11">
        <f>IFERROR(__xludf.DUMMYFUNCTION("""COMPUTED_VALUE"""),"----")</f>
      </c>
      <c r="H1001" s="10">
        <f>IFERROR(__xludf.DUMMYFUNCTION("""COMPUTED_VALUE"""),1.0)</f>
      </c>
      <c r="I1001" s="11">
        <f>IFERROR(__xludf.DUMMYFUNCTION("""COMPUTED_VALUE"""),390.48)</f>
      </c>
      <c r="J1001" s="10">
        <f>IFERROR(__xludf.DUMMYFUNCTION("""COMPUTED_VALUE"""),0.6825)</f>
      </c>
      <c r="K1001" s="11">
        <f>IFERROR(__xludf.DUMMYFUNCTION("""COMPUTED_VALUE"""),400.0)</f>
      </c>
      <c r="L1001" s="10">
        <f>IFERROR(__xludf.DUMMYFUNCTION("""COMPUTED_VALUE"""),0.9365)</f>
      </c>
      <c r="M1001" s="11">
        <f>IFERROR(__xludf.DUMMYFUNCTION("""COMPUTED_VALUE"""),413.56)</f>
      </c>
      <c r="N1001" s="10">
        <f>IFERROR(__xludf.DUMMYFUNCTION("""COMPUTED_VALUE"""),1.0)</f>
      </c>
      <c r="O1001" s="11">
        <f>IFERROR(__xludf.DUMMYFUNCTION("""COMPUTED_VALUE"""),422.22)</f>
      </c>
      <c r="P1001" s="12"/>
      <c r="Q1001" s="12"/>
      <c r="R1001" s="15"/>
      <c r="S1001" s="12"/>
      <c r="T1001" s="12"/>
      <c r="U1001" s="12"/>
      <c r="V1001" s="12"/>
      <c r="W1001" s="12"/>
      <c r="X1001" s="12"/>
      <c r="Y1001" s="12"/>
      <c r="Z1001" s="12"/>
    </row>
    <row x14ac:dyDescent="0.25" r="1002" customHeight="1" ht="15.75">
      <c r="A1002" s="8">
        <f>IFERROR(__xludf.DUMMYFUNCTION("""COMPUTED_VALUE"""),25235.0)</f>
      </c>
      <c r="B1002" s="9">
        <f>IFERROR(__xludf.DUMMYFUNCTION("""COMPUTED_VALUE"""),"SERRANA II")</f>
      </c>
      <c r="C1002" s="9">
        <f>IFERROR(__xludf.DUMMYFUNCTION("""COMPUTED_VALUE"""),"CE MARIA MARINA PINTO SILVA")</f>
      </c>
      <c r="D1002" s="10">
        <f>IFERROR(__xludf.DUMMYFUNCTION("""COMPUTED_VALUE"""),0.9153)</f>
      </c>
      <c r="E1002" s="11">
        <f>IFERROR(__xludf.DUMMYFUNCTION("""COMPUTED_VALUE"""),245.19)</f>
      </c>
      <c r="F1002" s="10">
        <f>IFERROR(__xludf.DUMMYFUNCTION("""COMPUTED_VALUE"""),0.8305)</f>
      </c>
      <c r="G1002" s="11">
        <f>IFERROR(__xludf.DUMMYFUNCTION("""COMPUTED_VALUE"""),396.67)</f>
      </c>
      <c r="H1002" s="10">
        <f>IFERROR(__xludf.DUMMYFUNCTION("""COMPUTED_VALUE"""),0.6949)</f>
      </c>
      <c r="I1002" s="11">
        <f>IFERROR(__xludf.DUMMYFUNCTION("""COMPUTED_VALUE"""),418.54)</f>
      </c>
      <c r="J1002" s="10">
        <f>IFERROR(__xludf.DUMMYFUNCTION("""COMPUTED_VALUE"""),0.7458)</f>
      </c>
      <c r="K1002" s="11">
        <f>IFERROR(__xludf.DUMMYFUNCTION("""COMPUTED_VALUE"""),404.76)</f>
      </c>
      <c r="L1002" s="10">
        <f>IFERROR(__xludf.DUMMYFUNCTION("""COMPUTED_VALUE"""),0.8305)</f>
      </c>
      <c r="M1002" s="11">
        <f>IFERROR(__xludf.DUMMYFUNCTION("""COMPUTED_VALUE"""),499.17)</f>
      </c>
      <c r="N1002" s="10">
        <f>IFERROR(__xludf.DUMMYFUNCTION("""COMPUTED_VALUE"""),0.7458)</f>
      </c>
      <c r="O1002" s="11">
        <f>IFERROR(__xludf.DUMMYFUNCTION("""COMPUTED_VALUE"""),492.68)</f>
      </c>
      <c r="P1002" s="12"/>
      <c r="Q1002" s="12"/>
      <c r="R1002" s="15"/>
      <c r="S1002" s="12"/>
      <c r="T1002" s="12"/>
      <c r="U1002" s="12"/>
      <c r="V1002" s="12"/>
      <c r="W1002" s="12"/>
      <c r="X1002" s="12"/>
      <c r="Y1002" s="12"/>
      <c r="Z1002" s="12"/>
    </row>
    <row x14ac:dyDescent="0.25" r="1003" customHeight="1" ht="15.75">
      <c r="A1003" s="8">
        <f>IFERROR(__xludf.DUMMYFUNCTION("""COMPUTED_VALUE"""),25195.0)</f>
      </c>
      <c r="B1003" s="9">
        <f>IFERROR(__xludf.DUMMYFUNCTION("""COMPUTED_VALUE"""),"SERRANA II")</f>
      </c>
      <c r="C1003" s="9">
        <f>IFERROR(__xludf.DUMMYFUNCTION("""COMPUTED_VALUE"""),"CE MARIA ROSA TEIXEIRA")</f>
      </c>
      <c r="D1003" s="10">
        <f>IFERROR(__xludf.DUMMYFUNCTION("""COMPUTED_VALUE"""),0.902)</f>
      </c>
      <c r="E1003" s="11">
        <f>IFERROR(__xludf.DUMMYFUNCTION("""COMPUTED_VALUE"""),310.0)</f>
      </c>
      <c r="F1003" s="10">
        <f>IFERROR(__xludf.DUMMYFUNCTION("""COMPUTED_VALUE"""),0.8039)</f>
      </c>
      <c r="G1003" s="11">
        <f>IFERROR(__xludf.DUMMYFUNCTION("""COMPUTED_VALUE"""),436.1)</f>
      </c>
      <c r="H1003" s="10">
        <f>IFERROR(__xludf.DUMMYFUNCTION("""COMPUTED_VALUE"""),0.7843)</f>
      </c>
      <c r="I1003" s="11">
        <f>IFERROR(__xludf.DUMMYFUNCTION("""COMPUTED_VALUE"""),514.0)</f>
      </c>
      <c r="J1003" s="10">
        <f>IFERROR(__xludf.DUMMYFUNCTION("""COMPUTED_VALUE"""),0.8235)</f>
      </c>
      <c r="K1003" s="11">
        <f>IFERROR(__xludf.DUMMYFUNCTION("""COMPUTED_VALUE"""),453.33)</f>
      </c>
      <c r="L1003" s="10">
        <f>IFERROR(__xludf.DUMMYFUNCTION("""COMPUTED_VALUE"""),0.5882)</f>
      </c>
      <c r="M1003" s="11">
        <f>IFERROR(__xludf.DUMMYFUNCTION("""COMPUTED_VALUE"""),538.67)</f>
      </c>
      <c r="N1003" s="10">
        <f>IFERROR(__xludf.DUMMYFUNCTION("""COMPUTED_VALUE"""),0.6275)</f>
      </c>
      <c r="O1003" s="11">
        <f>IFERROR(__xludf.DUMMYFUNCTION("""COMPUTED_VALUE"""),567.5)</f>
      </c>
      <c r="P1003" s="12"/>
      <c r="Q1003" s="12"/>
      <c r="R1003" s="15"/>
      <c r="S1003" s="12"/>
      <c r="T1003" s="12"/>
      <c r="U1003" s="12"/>
      <c r="V1003" s="12"/>
      <c r="W1003" s="12"/>
      <c r="X1003" s="12"/>
      <c r="Y1003" s="12"/>
      <c r="Z1003" s="12"/>
    </row>
    <row x14ac:dyDescent="0.25" r="1004" customHeight="1" ht="15.75">
      <c r="A1004" s="8">
        <f>IFERROR(__xludf.DUMMYFUNCTION("""COMPUTED_VALUE"""),25162.0)</f>
      </c>
      <c r="B1004" s="9">
        <f>IFERROR(__xludf.DUMMYFUNCTION("""COMPUTED_VALUE"""),"SERRANA II")</f>
      </c>
      <c r="C1004" s="9">
        <f>IFERROR(__xludf.DUMMYFUNCTION("""COMPUTED_VALUE"""),"CE MARIA VERALBA FERRAZ")</f>
      </c>
      <c r="D1004" s="10">
        <f>IFERROR(__xludf.DUMMYFUNCTION("""COMPUTED_VALUE"""),0.9568)</f>
      </c>
      <c r="E1004" s="11">
        <f>IFERROR(__xludf.DUMMYFUNCTION("""COMPUTED_VALUE"""),260.61)</f>
      </c>
      <c r="F1004" s="10">
        <f>IFERROR(__xludf.DUMMYFUNCTION("""COMPUTED_VALUE"""),0.9712)</f>
      </c>
      <c r="G1004" s="11">
        <f>IFERROR(__xludf.DUMMYFUNCTION("""COMPUTED_VALUE"""),316.64)</f>
      </c>
      <c r="H1004" s="10">
        <f>IFERROR(__xludf.DUMMYFUNCTION("""COMPUTED_VALUE"""),0.9856)</f>
      </c>
      <c r="I1004" s="11">
        <f>IFERROR(__xludf.DUMMYFUNCTION("""COMPUTED_VALUE"""),314.12)</f>
      </c>
      <c r="J1004" s="10">
        <f>IFERROR(__xludf.DUMMYFUNCTION("""COMPUTED_VALUE"""),0.8489)</f>
      </c>
      <c r="K1004" s="11">
        <f>IFERROR(__xludf.DUMMYFUNCTION("""COMPUTED_VALUE"""),325.13)</f>
      </c>
      <c r="L1004" s="10">
        <f>IFERROR(__xludf.DUMMYFUNCTION("""COMPUTED_VALUE"""),0.9065)</f>
      </c>
      <c r="M1004" s="11">
        <f>IFERROR(__xludf.DUMMYFUNCTION("""COMPUTED_VALUE"""),333.44)</f>
      </c>
      <c r="N1004" s="10">
        <f>IFERROR(__xludf.DUMMYFUNCTION("""COMPUTED_VALUE"""),0.5108)</f>
      </c>
      <c r="O1004" s="11">
        <f>IFERROR(__xludf.DUMMYFUNCTION("""COMPUTED_VALUE"""),471.18)</f>
      </c>
      <c r="P1004" s="12"/>
      <c r="Q1004" s="12"/>
      <c r="R1004" s="15"/>
      <c r="S1004" s="12"/>
      <c r="T1004" s="12"/>
      <c r="U1004" s="12"/>
      <c r="V1004" s="12"/>
      <c r="W1004" s="12"/>
      <c r="X1004" s="12"/>
      <c r="Y1004" s="12"/>
      <c r="Z1004" s="12"/>
    </row>
    <row x14ac:dyDescent="0.25" r="1005" customHeight="1" ht="15.75">
      <c r="A1005" s="8">
        <f>IFERROR(__xludf.DUMMYFUNCTION("""COMPUTED_VALUE"""),25163.0)</f>
      </c>
      <c r="B1005" s="9">
        <f>IFERROR(__xludf.DUMMYFUNCTION("""COMPUTED_VALUE"""),"SERRANA II")</f>
      </c>
      <c r="C1005" s="9">
        <f>IFERROR(__xludf.DUMMYFUNCTION("""COMPUTED_VALUE"""),"CE MARIA ZULMIRA TORRES")</f>
      </c>
      <c r="D1005" s="10">
        <f>IFERROR(__xludf.DUMMYFUNCTION("""COMPUTED_VALUE"""),0.8109)</f>
      </c>
      <c r="E1005" s="11">
        <f>IFERROR(__xludf.DUMMYFUNCTION("""COMPUTED_VALUE"""),332.67)</f>
      </c>
      <c r="F1005" s="10">
        <f>IFERROR(__xludf.DUMMYFUNCTION("""COMPUTED_VALUE"""),0.8458)</f>
      </c>
      <c r="G1005" s="11">
        <f>IFERROR(__xludf.DUMMYFUNCTION("""COMPUTED_VALUE"""),509.41)</f>
      </c>
      <c r="H1005" s="10">
        <f>IFERROR(__xludf.DUMMYFUNCTION("""COMPUTED_VALUE"""),0.7562)</f>
      </c>
      <c r="I1005" s="11">
        <f>IFERROR(__xludf.DUMMYFUNCTION("""COMPUTED_VALUE"""),495.1)</f>
      </c>
      <c r="J1005" s="10">
        <f>IFERROR(__xludf.DUMMYFUNCTION("""COMPUTED_VALUE"""),0.6617)</f>
      </c>
      <c r="K1005" s="11">
        <f>IFERROR(__xludf.DUMMYFUNCTION("""COMPUTED_VALUE"""),471.63)</f>
      </c>
      <c r="L1005" s="10">
        <f>IFERROR(__xludf.DUMMYFUNCTION("""COMPUTED_VALUE"""),0.791)</f>
      </c>
      <c r="M1005" s="11">
        <f>IFERROR(__xludf.DUMMYFUNCTION("""COMPUTED_VALUE"""),507.42)</f>
      </c>
      <c r="N1005" s="10">
        <f>IFERROR(__xludf.DUMMYFUNCTION("""COMPUTED_VALUE"""),0.7811)</f>
      </c>
      <c r="O1005" s="11">
        <f>IFERROR(__xludf.DUMMYFUNCTION("""COMPUTED_VALUE"""),440.77)</f>
      </c>
      <c r="P1005" s="12"/>
      <c r="Q1005" s="12"/>
      <c r="R1005" s="15"/>
      <c r="S1005" s="12"/>
      <c r="T1005" s="12"/>
      <c r="U1005" s="12"/>
      <c r="V1005" s="12"/>
      <c r="W1005" s="12"/>
      <c r="X1005" s="12"/>
      <c r="Y1005" s="12"/>
      <c r="Z1005" s="12"/>
    </row>
    <row x14ac:dyDescent="0.25" r="1006" customHeight="1" ht="15.75">
      <c r="A1006" s="8">
        <f>IFERROR(__xludf.DUMMYFUNCTION("""COMPUTED_VALUE"""),25173.0)</f>
      </c>
      <c r="B1006" s="9">
        <f>IFERROR(__xludf.DUMMYFUNCTION("""COMPUTED_VALUE"""),"SERRANA II")</f>
      </c>
      <c r="C1006" s="9">
        <f>IFERROR(__xludf.DUMMYFUNCTION("""COMPUTED_VALUE"""),"CE MARIA ZULMIRA TORRES")</f>
      </c>
      <c r="D1006" s="10">
        <f>IFERROR(__xludf.DUMMYFUNCTION("""COMPUTED_VALUE"""),0.9096)</f>
      </c>
      <c r="E1006" s="11">
        <f>IFERROR(__xludf.DUMMYFUNCTION("""COMPUTED_VALUE"""),354.09)</f>
      </c>
      <c r="F1006" s="10">
        <f>IFERROR(__xludf.DUMMYFUNCTION("""COMPUTED_VALUE"""),0.8193)</f>
      </c>
      <c r="G1006" s="11">
        <f>IFERROR(__xludf.DUMMYFUNCTION("""COMPUTED_VALUE"""),445.0)</f>
      </c>
      <c r="H1006" s="10">
        <f>IFERROR(__xludf.DUMMYFUNCTION("""COMPUTED_VALUE"""),0.8072)</f>
      </c>
      <c r="I1006" s="11">
        <f>IFERROR(__xludf.DUMMYFUNCTION("""COMPUTED_VALUE"""),476.99)</f>
      </c>
      <c r="J1006" s="10">
        <f>IFERROR(__xludf.DUMMYFUNCTION("""COMPUTED_VALUE"""),0.7831)</f>
      </c>
      <c r="K1006" s="11">
        <f>IFERROR(__xludf.DUMMYFUNCTION("""COMPUTED_VALUE"""),434.96)</f>
      </c>
      <c r="L1006" s="10">
        <f>IFERROR(__xludf.DUMMYFUNCTION("""COMPUTED_VALUE"""),0.7892)</f>
      </c>
      <c r="M1006" s="11">
        <f>IFERROR(__xludf.DUMMYFUNCTION("""COMPUTED_VALUE"""),466.26)</f>
      </c>
      <c r="N1006" s="10">
        <f>IFERROR(__xludf.DUMMYFUNCTION("""COMPUTED_VALUE"""),0.7349)</f>
      </c>
      <c r="O1006" s="11">
        <f>IFERROR(__xludf.DUMMYFUNCTION("""COMPUTED_VALUE"""),486.33)</f>
      </c>
      <c r="P1006" s="12"/>
      <c r="Q1006" s="12"/>
      <c r="R1006" s="15"/>
      <c r="S1006" s="12"/>
      <c r="T1006" s="12"/>
      <c r="U1006" s="12"/>
      <c r="V1006" s="12"/>
      <c r="W1006" s="12"/>
      <c r="X1006" s="12"/>
      <c r="Y1006" s="12"/>
      <c r="Z1006" s="12"/>
    </row>
    <row x14ac:dyDescent="0.25" r="1007" customHeight="1" ht="15.75">
      <c r="A1007" s="8">
        <f>IFERROR(__xludf.DUMMYFUNCTION("""COMPUTED_VALUE"""),25213.0)</f>
      </c>
      <c r="B1007" s="9">
        <f>IFERROR(__xludf.DUMMYFUNCTION("""COMPUTED_VALUE"""),"SERRANA II")</f>
      </c>
      <c r="C1007" s="9">
        <f>IFERROR(__xludf.DUMMYFUNCTION("""COMPUTED_VALUE"""),"CE PADRE FRANCA")</f>
      </c>
      <c r="D1007" s="10">
        <f>IFERROR(__xludf.DUMMYFUNCTION("""COMPUTED_VALUE"""),0.8704)</f>
      </c>
      <c r="E1007" s="11">
        <f>IFERROR(__xludf.DUMMYFUNCTION("""COMPUTED_VALUE"""),471.49)</f>
      </c>
      <c r="F1007" s="10">
        <f>IFERROR(__xludf.DUMMYFUNCTION("""COMPUTED_VALUE"""),0.7222)</f>
      </c>
      <c r="G1007" s="11">
        <f>IFERROR(__xludf.DUMMYFUNCTION("""COMPUTED_VALUE"""),543.16)</f>
      </c>
      <c r="H1007" s="10">
        <f>IFERROR(__xludf.DUMMYFUNCTION("""COMPUTED_VALUE"""),0.6481)</f>
      </c>
      <c r="I1007" s="11">
        <f>IFERROR(__xludf.DUMMYFUNCTION("""COMPUTED_VALUE"""),595.43)</f>
      </c>
      <c r="J1007" s="10">
        <f>IFERROR(__xludf.DUMMYFUNCTION("""COMPUTED_VALUE"""),0.6852)</f>
      </c>
      <c r="K1007" s="11">
        <f>IFERROR(__xludf.DUMMYFUNCTION("""COMPUTED_VALUE"""),448.65)</f>
      </c>
      <c r="L1007" s="10">
        <f>IFERROR(__xludf.DUMMYFUNCTION("""COMPUTED_VALUE"""),0.6111)</f>
      </c>
      <c r="M1007" s="11">
        <f>IFERROR(__xludf.DUMMYFUNCTION("""COMPUTED_VALUE"""),553.94)</f>
      </c>
      <c r="N1007" s="10">
        <f>IFERROR(__xludf.DUMMYFUNCTION("""COMPUTED_VALUE"""),0.463)</f>
      </c>
      <c r="O1007" s="11">
        <f>IFERROR(__xludf.DUMMYFUNCTION("""COMPUTED_VALUE"""),590.4)</f>
      </c>
      <c r="P1007" s="12"/>
      <c r="Q1007" s="12"/>
      <c r="R1007" s="15"/>
      <c r="S1007" s="12"/>
      <c r="T1007" s="12"/>
      <c r="U1007" s="12"/>
      <c r="V1007" s="12"/>
      <c r="W1007" s="12"/>
      <c r="X1007" s="12"/>
      <c r="Y1007" s="12"/>
      <c r="Z1007" s="12"/>
    </row>
    <row x14ac:dyDescent="0.25" r="1008" customHeight="1" ht="15.75">
      <c r="A1008" s="8">
        <f>IFERROR(__xludf.DUMMYFUNCTION("""COMPUTED_VALUE"""),25214.0)</f>
      </c>
      <c r="B1008" s="9">
        <f>IFERROR(__xludf.DUMMYFUNCTION("""COMPUTED_VALUE"""),"SERRANA II")</f>
      </c>
      <c r="C1008" s="9">
        <f>IFERROR(__xludf.DUMMYFUNCTION("""COMPUTED_VALUE"""),"CE PADRE MADUREIRA")</f>
      </c>
      <c r="D1008" s="10">
        <f>IFERROR(__xludf.DUMMYFUNCTION("""COMPUTED_VALUE"""),0.8889)</f>
      </c>
      <c r="E1008" s="11">
        <f>IFERROR(__xludf.DUMMYFUNCTION("""COMPUTED_VALUE"""),290.0)</f>
      </c>
      <c r="F1008" s="10">
        <f>IFERROR(__xludf.DUMMYFUNCTION("""COMPUTED_VALUE"""),0.7407)</f>
      </c>
      <c r="G1008" s="11">
        <f>IFERROR(__xludf.DUMMYFUNCTION("""COMPUTED_VALUE"""),551.58)</f>
      </c>
      <c r="H1008" s="10">
        <f>IFERROR(__xludf.DUMMYFUNCTION("""COMPUTED_VALUE"""),0.7037)</f>
      </c>
      <c r="I1008" s="11">
        <f>IFERROR(__xludf.DUMMYFUNCTION("""COMPUTED_VALUE"""),545.26)</f>
      </c>
      <c r="J1008" s="10">
        <f>IFERROR(__xludf.DUMMYFUNCTION("""COMPUTED_VALUE"""),0.9259)</f>
      </c>
      <c r="K1008" s="11">
        <f>IFERROR(__xludf.DUMMYFUNCTION("""COMPUTED_VALUE"""),467.2)</f>
      </c>
      <c r="L1008" s="10">
        <f>IFERROR(__xludf.DUMMYFUNCTION("""COMPUTED_VALUE"""),0.8148)</f>
      </c>
      <c r="M1008" s="11">
        <f>IFERROR(__xludf.DUMMYFUNCTION("""COMPUTED_VALUE"""),540.0)</f>
      </c>
      <c r="N1008" s="10">
        <f>IFERROR(__xludf.DUMMYFUNCTION("""COMPUTED_VALUE"""),0.7778)</f>
      </c>
      <c r="O1008" s="11">
        <f>IFERROR(__xludf.DUMMYFUNCTION("""COMPUTED_VALUE"""),523.81)</f>
      </c>
      <c r="P1008" s="12"/>
      <c r="Q1008" s="12"/>
      <c r="R1008" s="15"/>
      <c r="S1008" s="12"/>
      <c r="T1008" s="12"/>
      <c r="U1008" s="12"/>
      <c r="V1008" s="12"/>
      <c r="W1008" s="12"/>
      <c r="X1008" s="12"/>
      <c r="Y1008" s="12"/>
      <c r="Z1008" s="12"/>
    </row>
    <row x14ac:dyDescent="0.25" r="1009" customHeight="1" ht="15.75">
      <c r="A1009" s="8">
        <f>IFERROR(__xludf.DUMMYFUNCTION("""COMPUTED_VALUE"""),25178.0)</f>
      </c>
      <c r="B1009" s="9">
        <f>IFERROR(__xludf.DUMMYFUNCTION("""COMPUTED_VALUE"""),"SERRANA II")</f>
      </c>
      <c r="C1009" s="9">
        <f>IFERROR(__xludf.DUMMYFUNCTION("""COMPUTED_VALUE"""),"CE PROFESSOR AURELIO DUARTE")</f>
      </c>
      <c r="D1009" s="10">
        <f>IFERROR(__xludf.DUMMYFUNCTION("""COMPUTED_VALUE"""),0.5938)</f>
      </c>
      <c r="E1009" s="11">
        <f>IFERROR(__xludf.DUMMYFUNCTION("""COMPUTED_VALUE"""),370.53)</f>
      </c>
      <c r="F1009" s="10">
        <f>IFERROR(__xludf.DUMMYFUNCTION("""COMPUTED_VALUE"""),0.8646)</f>
      </c>
      <c r="G1009" s="11">
        <f>IFERROR(__xludf.DUMMYFUNCTION("""COMPUTED_VALUE"""),413.17)</f>
      </c>
      <c r="H1009" s="10">
        <f>IFERROR(__xludf.DUMMYFUNCTION("""COMPUTED_VALUE"""),0.8854)</f>
      </c>
      <c r="I1009" s="11">
        <f>IFERROR(__xludf.DUMMYFUNCTION("""COMPUTED_VALUE"""),500.48)</f>
      </c>
      <c r="J1009" s="10">
        <f>IFERROR(__xludf.DUMMYFUNCTION("""COMPUTED_VALUE"""),0.8646)</f>
      </c>
      <c r="K1009" s="11">
        <f>IFERROR(__xludf.DUMMYFUNCTION("""COMPUTED_VALUE"""),431.11)</f>
      </c>
      <c r="L1009" s="10">
        <f>IFERROR(__xludf.DUMMYFUNCTION("""COMPUTED_VALUE"""),0.8125)</f>
      </c>
      <c r="M1009" s="11">
        <f>IFERROR(__xludf.DUMMYFUNCTION("""COMPUTED_VALUE"""),431.47)</f>
      </c>
      <c r="N1009" s="10">
        <f>IFERROR(__xludf.DUMMYFUNCTION("""COMPUTED_VALUE"""),0.8958)</f>
      </c>
      <c r="O1009" s="11">
        <f>IFERROR(__xludf.DUMMYFUNCTION("""COMPUTED_VALUE"""),535.81)</f>
      </c>
      <c r="P1009" s="12"/>
      <c r="Q1009" s="12"/>
      <c r="R1009" s="15"/>
      <c r="S1009" s="12"/>
      <c r="T1009" s="12"/>
      <c r="U1009" s="12"/>
      <c r="V1009" s="12"/>
      <c r="W1009" s="12"/>
      <c r="X1009" s="12"/>
      <c r="Y1009" s="12"/>
      <c r="Z1009" s="12"/>
    </row>
    <row x14ac:dyDescent="0.25" r="1010" customHeight="1" ht="15.75">
      <c r="A1010" s="8">
        <f>IFERROR(__xludf.DUMMYFUNCTION("""COMPUTED_VALUE"""),25215.0)</f>
      </c>
      <c r="B1010" s="9">
        <f>IFERROR(__xludf.DUMMYFUNCTION("""COMPUTED_VALUE"""),"SERRANA II")</f>
      </c>
      <c r="C1010" s="9">
        <f>IFERROR(__xludf.DUMMYFUNCTION("""COMPUTED_VALUE"""),"CE PROFESSOR CARLOS CORTES")</f>
      </c>
      <c r="D1010" s="10">
        <f>IFERROR(__xludf.DUMMYFUNCTION("""COMPUTED_VALUE"""),1.0)</f>
      </c>
      <c r="E1010" s="11">
        <f>IFERROR(__xludf.DUMMYFUNCTION("""COMPUTED_VALUE"""),303.03)</f>
      </c>
      <c r="F1010" s="10">
        <f>IFERROR(__xludf.DUMMYFUNCTION("""COMPUTED_VALUE"""),0.9706)</f>
      </c>
      <c r="G1010" s="11">
        <f>IFERROR(__xludf.DUMMYFUNCTION("""COMPUTED_VALUE"""),450.91)</f>
      </c>
      <c r="H1010" s="10">
        <f>IFERROR(__xludf.DUMMYFUNCTION("""COMPUTED_VALUE"""),0.8824)</f>
      </c>
      <c r="I1010" s="11">
        <f>IFERROR(__xludf.DUMMYFUNCTION("""COMPUTED_VALUE"""),547.59)</f>
      </c>
      <c r="J1010" s="10">
        <f>IFERROR(__xludf.DUMMYFUNCTION("""COMPUTED_VALUE"""),0.9412)</f>
      </c>
      <c r="K1010" s="11">
        <f>IFERROR(__xludf.DUMMYFUNCTION("""COMPUTED_VALUE"""),455.48)</f>
      </c>
      <c r="L1010" s="10">
        <f>IFERROR(__xludf.DUMMYFUNCTION("""COMPUTED_VALUE"""),0.8824)</f>
      </c>
      <c r="M1010" s="11">
        <f>IFERROR(__xludf.DUMMYFUNCTION("""COMPUTED_VALUE"""),469.33)</f>
      </c>
      <c r="N1010" s="10">
        <f>IFERROR(__xludf.DUMMYFUNCTION("""COMPUTED_VALUE"""),0.9412)</f>
      </c>
      <c r="O1010" s="11">
        <f>IFERROR(__xludf.DUMMYFUNCTION("""COMPUTED_VALUE"""),505.0)</f>
      </c>
      <c r="P1010" s="12"/>
      <c r="Q1010" s="12"/>
      <c r="R1010" s="15"/>
      <c r="S1010" s="12"/>
      <c r="T1010" s="12"/>
      <c r="U1010" s="12"/>
      <c r="V1010" s="12"/>
      <c r="W1010" s="12"/>
      <c r="X1010" s="12"/>
      <c r="Y1010" s="12"/>
      <c r="Z1010" s="12"/>
    </row>
    <row x14ac:dyDescent="0.25" r="1011" customHeight="1" ht="15.75">
      <c r="A1011" s="8">
        <f>IFERROR(__xludf.DUMMYFUNCTION("""COMPUTED_VALUE"""),25216.0)</f>
      </c>
      <c r="B1011" s="9">
        <f>IFERROR(__xludf.DUMMYFUNCTION("""COMPUTED_VALUE"""),"SERRANA II")</f>
      </c>
      <c r="C1011" s="9">
        <f>IFERROR(__xludf.DUMMYFUNCTION("""COMPUTED_VALUE"""),"CE PROFESSOR JAMIL EL JAICK")</f>
      </c>
      <c r="D1011" s="10">
        <f>IFERROR(__xludf.DUMMYFUNCTION("""COMPUTED_VALUE"""),0.9145)</f>
      </c>
      <c r="E1011" s="11">
        <f>IFERROR(__xludf.DUMMYFUNCTION("""COMPUTED_VALUE"""),196.76)</f>
      </c>
      <c r="F1011" s="10">
        <f>IFERROR(__xludf.DUMMYFUNCTION("""COMPUTED_VALUE"""),0.6353)</f>
      </c>
      <c r="G1011" s="11">
        <f>IFERROR(__xludf.DUMMYFUNCTION("""COMPUTED_VALUE"""),459.28)</f>
      </c>
      <c r="H1011" s="10">
        <f>IFERROR(__xludf.DUMMYFUNCTION("""COMPUTED_VALUE"""),0.5783)</f>
      </c>
      <c r="I1011" s="11">
        <f>IFERROR(__xludf.DUMMYFUNCTION("""COMPUTED_VALUE"""),517.83)</f>
      </c>
      <c r="J1011" s="10">
        <f>IFERROR(__xludf.DUMMYFUNCTION("""COMPUTED_VALUE"""),0.5185)</f>
      </c>
      <c r="K1011" s="11">
        <f>IFERROR(__xludf.DUMMYFUNCTION("""COMPUTED_VALUE"""),394.0)</f>
      </c>
      <c r="L1011" s="10">
        <f>IFERROR(__xludf.DUMMYFUNCTION("""COMPUTED_VALUE"""),0.5954)</f>
      </c>
      <c r="M1011" s="11">
        <f>IFERROR(__xludf.DUMMYFUNCTION("""COMPUTED_VALUE"""),482.31)</f>
      </c>
      <c r="N1011" s="10">
        <f>IFERROR(__xludf.DUMMYFUNCTION("""COMPUTED_VALUE"""),0.5385)</f>
      </c>
      <c r="O1011" s="11">
        <f>IFERROR(__xludf.DUMMYFUNCTION("""COMPUTED_VALUE"""),398.09)</f>
      </c>
      <c r="P1011" s="12"/>
      <c r="Q1011" s="12"/>
      <c r="R1011" s="15"/>
      <c r="S1011" s="12"/>
      <c r="T1011" s="12"/>
      <c r="U1011" s="12"/>
      <c r="V1011" s="12"/>
      <c r="W1011" s="12"/>
      <c r="X1011" s="12"/>
      <c r="Y1011" s="12"/>
      <c r="Z1011" s="12"/>
    </row>
    <row x14ac:dyDescent="0.25" r="1012" customHeight="1" ht="15.75">
      <c r="A1012" s="8">
        <f>IFERROR(__xludf.DUMMYFUNCTION("""COMPUTED_VALUE"""),25158.0)</f>
      </c>
      <c r="B1012" s="9">
        <f>IFERROR(__xludf.DUMMYFUNCTION("""COMPUTED_VALUE"""),"SERRANA II")</f>
      </c>
      <c r="C1012" s="9">
        <f>IFERROR(__xludf.DUMMYFUNCTION("""COMPUTED_VALUE"""),"CE PROFESSOR JOAO BRASIL")</f>
      </c>
      <c r="D1012" s="10">
        <f>IFERROR(__xludf.DUMMYFUNCTION("""COMPUTED_VALUE"""),0.8226)</f>
      </c>
      <c r="E1012" s="11">
        <f>IFERROR(__xludf.DUMMYFUNCTION("""COMPUTED_VALUE"""),317.21)</f>
      </c>
      <c r="F1012" s="10">
        <f>IFERROR(__xludf.DUMMYFUNCTION("""COMPUTED_VALUE"""),0.8387)</f>
      </c>
      <c r="G1012" s="11">
        <f>IFERROR(__xludf.DUMMYFUNCTION("""COMPUTED_VALUE"""),430.0)</f>
      </c>
      <c r="H1012" s="10">
        <f>IFERROR(__xludf.DUMMYFUNCTION("""COMPUTED_VALUE"""),0.9194)</f>
      </c>
      <c r="I1012" s="11">
        <f>IFERROR(__xludf.DUMMYFUNCTION("""COMPUTED_VALUE"""),464.29)</f>
      </c>
      <c r="J1012" s="10">
        <f>IFERROR(__xludf.DUMMYFUNCTION("""COMPUTED_VALUE"""),0.9194)</f>
      </c>
      <c r="K1012" s="11">
        <f>IFERROR(__xludf.DUMMYFUNCTION("""COMPUTED_VALUE"""),362.11)</f>
      </c>
      <c r="L1012" s="10">
        <f>IFERROR(__xludf.DUMMYFUNCTION("""COMPUTED_VALUE"""),0.7903)</f>
      </c>
      <c r="M1012" s="11">
        <f>IFERROR(__xludf.DUMMYFUNCTION("""COMPUTED_VALUE"""),471.84)</f>
      </c>
      <c r="N1012" s="10">
        <f>IFERROR(__xludf.DUMMYFUNCTION("""COMPUTED_VALUE"""),0.7903)</f>
      </c>
      <c r="O1012" s="11">
        <f>IFERROR(__xludf.DUMMYFUNCTION("""COMPUTED_VALUE"""),459.59)</f>
      </c>
      <c r="P1012" s="12"/>
      <c r="Q1012" s="12"/>
      <c r="R1012" s="15"/>
      <c r="S1012" s="12"/>
      <c r="T1012" s="12"/>
      <c r="U1012" s="12"/>
      <c r="V1012" s="12"/>
      <c r="W1012" s="12"/>
      <c r="X1012" s="12"/>
      <c r="Y1012" s="12"/>
      <c r="Z1012" s="12"/>
    </row>
    <row x14ac:dyDescent="0.25" r="1013" customHeight="1" ht="15.75">
      <c r="A1013" s="8">
        <f>IFERROR(__xludf.DUMMYFUNCTION("""COMPUTED_VALUE"""),25184.0)</f>
      </c>
      <c r="B1013" s="9">
        <f>IFERROR(__xludf.DUMMYFUNCTION("""COMPUTED_VALUE"""),"SERRANA II")</f>
      </c>
      <c r="C1013" s="9">
        <f>IFERROR(__xludf.DUMMYFUNCTION("""COMPUTED_VALUE"""),"CE PROFESSOR SOUZA")</f>
      </c>
      <c r="D1013" s="10">
        <f>IFERROR(__xludf.DUMMYFUNCTION("""COMPUTED_VALUE"""),0.9306)</f>
      </c>
      <c r="E1013" s="11">
        <f>IFERROR(__xludf.DUMMYFUNCTION("""COMPUTED_VALUE"""),274.55)</f>
      </c>
      <c r="F1013" s="10">
        <f>IFERROR(__xludf.DUMMYFUNCTION("""COMPUTED_VALUE"""),0.6528)</f>
      </c>
      <c r="G1013" s="11">
        <f>IFERROR(__xludf.DUMMYFUNCTION("""COMPUTED_VALUE"""),411.3)</f>
      </c>
      <c r="H1013" s="10">
        <f>IFERROR(__xludf.DUMMYFUNCTION("""COMPUTED_VALUE"""),0.7917)</f>
      </c>
      <c r="I1013" s="11">
        <f>IFERROR(__xludf.DUMMYFUNCTION("""COMPUTED_VALUE"""),438.57)</f>
      </c>
      <c r="J1013" s="10">
        <f>IFERROR(__xludf.DUMMYFUNCTION("""COMPUTED_VALUE"""),0.8472)</f>
      </c>
      <c r="K1013" s="11">
        <f>IFERROR(__xludf.DUMMYFUNCTION("""COMPUTED_VALUE"""),326.32)</f>
      </c>
      <c r="L1013" s="10">
        <f>IFERROR(__xludf.DUMMYFUNCTION("""COMPUTED_VALUE"""),0.7778)</f>
      </c>
      <c r="M1013" s="11">
        <f>IFERROR(__xludf.DUMMYFUNCTION("""COMPUTED_VALUE"""),389.29)</f>
      </c>
      <c r="N1013" s="10">
        <f>IFERROR(__xludf.DUMMYFUNCTION("""COMPUTED_VALUE"""),0.6111)</f>
      </c>
      <c r="O1013" s="11">
        <f>IFERROR(__xludf.DUMMYFUNCTION("""COMPUTED_VALUE"""),324.55)</f>
      </c>
      <c r="P1013" s="12"/>
      <c r="Q1013" s="12"/>
      <c r="R1013" s="15"/>
      <c r="S1013" s="12"/>
      <c r="T1013" s="12"/>
      <c r="U1013" s="12"/>
      <c r="V1013" s="12"/>
      <c r="W1013" s="12"/>
      <c r="X1013" s="12"/>
      <c r="Y1013" s="12"/>
      <c r="Z1013" s="12"/>
    </row>
    <row x14ac:dyDescent="0.25" r="1014" customHeight="1" ht="15.75">
      <c r="A1014" s="8">
        <f>IFERROR(__xludf.DUMMYFUNCTION("""COMPUTED_VALUE"""),25217.0)</f>
      </c>
      <c r="B1014" s="9">
        <f>IFERROR(__xludf.DUMMYFUNCTION("""COMPUTED_VALUE"""),"SERRANA II")</f>
      </c>
      <c r="C1014" s="9">
        <f>IFERROR(__xludf.DUMMYFUNCTION("""COMPUTED_VALUE"""),"CE PROFESSORA ZELIA DOS SANTOS CORTES")</f>
      </c>
      <c r="D1014" s="10">
        <f>IFERROR(__xludf.DUMMYFUNCTION("""COMPUTED_VALUE"""),0.6939)</f>
      </c>
      <c r="E1014" s="11">
        <f>IFERROR(__xludf.DUMMYFUNCTION("""COMPUTED_VALUE"""),409.7)</f>
      </c>
      <c r="F1014" s="10">
        <f>IFERROR(__xludf.DUMMYFUNCTION("""COMPUTED_VALUE"""),0.5714)</f>
      </c>
      <c r="G1014" s="11">
        <f>IFERROR(__xludf.DUMMYFUNCTION("""COMPUTED_VALUE"""),452.86)</f>
      </c>
      <c r="H1014" s="10">
        <f>IFERROR(__xludf.DUMMYFUNCTION("""COMPUTED_VALUE"""),0.6735)</f>
      </c>
      <c r="I1014" s="11">
        <f>IFERROR(__xludf.DUMMYFUNCTION("""COMPUTED_VALUE"""),240.0)</f>
      </c>
      <c r="J1014" s="10">
        <f>IFERROR(__xludf.DUMMYFUNCTION("""COMPUTED_VALUE"""),0.551)</f>
      </c>
      <c r="K1014" s="11">
        <f>IFERROR(__xludf.DUMMYFUNCTION("""COMPUTED_VALUE"""),353.85)</f>
      </c>
      <c r="L1014" s="10">
        <f>IFERROR(__xludf.DUMMYFUNCTION("""COMPUTED_VALUE"""),0.6531)</f>
      </c>
      <c r="M1014" s="11">
        <f>IFERROR(__xludf.DUMMYFUNCTION("""COMPUTED_VALUE"""),408.75)</f>
      </c>
      <c r="N1014" s="10">
        <f>IFERROR(__xludf.DUMMYFUNCTION("""COMPUTED_VALUE"""),0.6735)</f>
      </c>
      <c r="O1014" s="11">
        <f>IFERROR(__xludf.DUMMYFUNCTION("""COMPUTED_VALUE"""),396.36)</f>
      </c>
      <c r="P1014" s="12"/>
      <c r="Q1014" s="12"/>
      <c r="R1014" s="15"/>
      <c r="S1014" s="12"/>
      <c r="T1014" s="12"/>
      <c r="U1014" s="12"/>
      <c r="V1014" s="12"/>
      <c r="W1014" s="12"/>
      <c r="X1014" s="12"/>
      <c r="Y1014" s="12"/>
      <c r="Z1014" s="12"/>
    </row>
    <row x14ac:dyDescent="0.25" r="1015" customHeight="1" ht="15.75">
      <c r="A1015" s="8">
        <f>IFERROR(__xludf.DUMMYFUNCTION("""COMPUTED_VALUE"""),25164.0)</f>
      </c>
      <c r="B1015" s="9">
        <f>IFERROR(__xludf.DUMMYFUNCTION("""COMPUTED_VALUE"""),"SERRANA II")</f>
      </c>
      <c r="C1015" s="9">
        <f>IFERROR(__xludf.DUMMYFUNCTION("""COMPUTED_VALUE"""),"CE QUINTINO BOCAIUVA")</f>
      </c>
      <c r="D1015" s="10">
        <f>IFERROR(__xludf.DUMMYFUNCTION("""COMPUTED_VALUE"""),0.6243)</f>
      </c>
      <c r="E1015" s="11">
        <f>IFERROR(__xludf.DUMMYFUNCTION("""COMPUTED_VALUE"""),241.7)</f>
      </c>
      <c r="F1015" s="10">
        <f>IFERROR(__xludf.DUMMYFUNCTION("""COMPUTED_VALUE"""),0.6614)</f>
      </c>
      <c r="G1015" s="11">
        <f>IFERROR(__xludf.DUMMYFUNCTION("""COMPUTED_VALUE"""),362.76)</f>
      </c>
      <c r="H1015" s="10">
        <f>IFERROR(__xludf.DUMMYFUNCTION("""COMPUTED_VALUE"""),0.5422)</f>
      </c>
      <c r="I1015" s="11">
        <f>IFERROR(__xludf.DUMMYFUNCTION("""COMPUTED_VALUE"""),447.83)</f>
      </c>
      <c r="J1015" s="10">
        <f>IFERROR(__xludf.DUMMYFUNCTION("""COMPUTED_VALUE"""),0.7422)</f>
      </c>
      <c r="K1015" s="11">
        <f>IFERROR(__xludf.DUMMYFUNCTION("""COMPUTED_VALUE"""),265.97)</f>
      </c>
      <c r="L1015" s="10">
        <f>IFERROR(__xludf.DUMMYFUNCTION("""COMPUTED_VALUE"""),0.5944)</f>
      </c>
      <c r="M1015" s="11">
        <f>IFERROR(__xludf.DUMMYFUNCTION("""COMPUTED_VALUE"""),406.92)</f>
      </c>
      <c r="N1015" s="10">
        <f>IFERROR(__xludf.DUMMYFUNCTION("""COMPUTED_VALUE"""),0.3855)</f>
      </c>
      <c r="O1015" s="11">
        <f>IFERROR(__xludf.DUMMYFUNCTION("""COMPUTED_VALUE"""),"----")</f>
      </c>
      <c r="P1015" s="12"/>
      <c r="Q1015" s="12"/>
      <c r="R1015" s="15"/>
      <c r="S1015" s="12"/>
      <c r="T1015" s="12"/>
      <c r="U1015" s="12"/>
      <c r="V1015" s="12"/>
      <c r="W1015" s="12"/>
      <c r="X1015" s="12"/>
      <c r="Y1015" s="12"/>
      <c r="Z1015" s="12"/>
    </row>
    <row x14ac:dyDescent="0.25" r="1016" customHeight="1" ht="15.75">
      <c r="A1016" s="8">
        <f>IFERROR(__xludf.DUMMYFUNCTION("""COMPUTED_VALUE"""),25159.0)</f>
      </c>
      <c r="B1016" s="9">
        <f>IFERROR(__xludf.DUMMYFUNCTION("""COMPUTED_VALUE"""),"SERRANA II")</f>
      </c>
      <c r="C1016" s="9">
        <f>IFERROR(__xludf.DUMMYFUNCTION("""COMPUTED_VALUE"""),"CE RAMIRO BRAGA")</f>
      </c>
      <c r="D1016" s="10">
        <f>IFERROR(__xludf.DUMMYFUNCTION("""COMPUTED_VALUE"""),0.973)</f>
      </c>
      <c r="E1016" s="11">
        <f>IFERROR(__xludf.DUMMYFUNCTION("""COMPUTED_VALUE"""),360.0)</f>
      </c>
      <c r="F1016" s="10">
        <f>IFERROR(__xludf.DUMMYFUNCTION("""COMPUTED_VALUE"""),0.7973)</f>
      </c>
      <c r="G1016" s="11">
        <f>IFERROR(__xludf.DUMMYFUNCTION("""COMPUTED_VALUE"""),441.69)</f>
      </c>
      <c r="H1016" s="10">
        <f>IFERROR(__xludf.DUMMYFUNCTION("""COMPUTED_VALUE"""),0.8514)</f>
      </c>
      <c r="I1016" s="11">
        <f>IFERROR(__xludf.DUMMYFUNCTION("""COMPUTED_VALUE"""),492.26)</f>
      </c>
      <c r="J1016" s="10">
        <f>IFERROR(__xludf.DUMMYFUNCTION("""COMPUTED_VALUE"""),0.7703)</f>
      </c>
      <c r="K1016" s="11">
        <f>IFERROR(__xludf.DUMMYFUNCTION("""COMPUTED_VALUE"""),427.02)</f>
      </c>
      <c r="L1016" s="10">
        <f>IFERROR(__xludf.DUMMYFUNCTION("""COMPUTED_VALUE"""),0.6554)</f>
      </c>
      <c r="M1016" s="11">
        <f>IFERROR(__xludf.DUMMYFUNCTION("""COMPUTED_VALUE"""),474.23)</f>
      </c>
      <c r="N1016" s="10">
        <f>IFERROR(__xludf.DUMMYFUNCTION("""COMPUTED_VALUE"""),0.6824)</f>
      </c>
      <c r="O1016" s="11">
        <f>IFERROR(__xludf.DUMMYFUNCTION("""COMPUTED_VALUE"""),462.57)</f>
      </c>
      <c r="P1016" s="12"/>
      <c r="Q1016" s="12"/>
      <c r="R1016" s="15"/>
      <c r="S1016" s="12"/>
      <c r="T1016" s="12"/>
      <c r="U1016" s="12"/>
      <c r="V1016" s="12"/>
      <c r="W1016" s="12"/>
      <c r="X1016" s="12"/>
      <c r="Y1016" s="12"/>
      <c r="Z1016" s="12"/>
    </row>
    <row x14ac:dyDescent="0.25" r="1017" customHeight="1" ht="15.75">
      <c r="A1017" s="8">
        <f>IFERROR(__xludf.DUMMYFUNCTION("""COMPUTED_VALUE"""),25218.0)</f>
      </c>
      <c r="B1017" s="9">
        <f>IFERROR(__xludf.DUMMYFUNCTION("""COMPUTED_VALUE"""),"SERRANA II")</f>
      </c>
      <c r="C1017" s="9">
        <f>IFERROR(__xludf.DUMMYFUNCTION("""COMPUTED_VALUE"""),"CE RAPHAEL LUIZ DE SIQUEIRA JACCOUD")</f>
      </c>
      <c r="D1017" s="10">
        <f>IFERROR(__xludf.DUMMYFUNCTION("""COMPUTED_VALUE"""),0.9231)</f>
      </c>
      <c r="E1017" s="11">
        <f>IFERROR(__xludf.DUMMYFUNCTION("""COMPUTED_VALUE"""),408.33)</f>
      </c>
      <c r="F1017" s="10">
        <f>IFERROR(__xludf.DUMMYFUNCTION("""COMPUTED_VALUE"""),0.5)</f>
      </c>
      <c r="G1017" s="11">
        <f>IFERROR(__xludf.DUMMYFUNCTION("""COMPUTED_VALUE"""),523.08)</f>
      </c>
      <c r="H1017" s="10">
        <f>IFERROR(__xludf.DUMMYFUNCTION("""COMPUTED_VALUE"""),0.8462)</f>
      </c>
      <c r="I1017" s="11">
        <f>IFERROR(__xludf.DUMMYFUNCTION("""COMPUTED_VALUE"""),543.64)</f>
      </c>
      <c r="J1017" s="10">
        <f>IFERROR(__xludf.DUMMYFUNCTION("""COMPUTED_VALUE"""),0.8462)</f>
      </c>
      <c r="K1017" s="11">
        <f>IFERROR(__xludf.DUMMYFUNCTION("""COMPUTED_VALUE"""),476.36)</f>
      </c>
      <c r="L1017" s="10">
        <f>IFERROR(__xludf.DUMMYFUNCTION("""COMPUTED_VALUE"""),0.8846)</f>
      </c>
      <c r="M1017" s="11">
        <f>IFERROR(__xludf.DUMMYFUNCTION("""COMPUTED_VALUE"""),542.61)</f>
      </c>
      <c r="N1017" s="10">
        <f>IFERROR(__xludf.DUMMYFUNCTION("""COMPUTED_VALUE"""),0.8846)</f>
      </c>
      <c r="O1017" s="11">
        <f>IFERROR(__xludf.DUMMYFUNCTION("""COMPUTED_VALUE"""),513.04)</f>
      </c>
      <c r="P1017" s="12"/>
      <c r="Q1017" s="12"/>
      <c r="R1017" s="15"/>
      <c r="S1017" s="12"/>
      <c r="T1017" s="12"/>
      <c r="U1017" s="12"/>
      <c r="V1017" s="12"/>
      <c r="W1017" s="12"/>
      <c r="X1017" s="12"/>
      <c r="Y1017" s="12"/>
      <c r="Z1017" s="12"/>
    </row>
    <row x14ac:dyDescent="0.25" r="1018" customHeight="1" ht="15.75">
      <c r="A1018" s="8">
        <f>IFERROR(__xludf.DUMMYFUNCTION("""COMPUTED_VALUE"""),25185.0)</f>
      </c>
      <c r="B1018" s="9">
        <f>IFERROR(__xludf.DUMMYFUNCTION("""COMPUTED_VALUE"""),"SERRANA II")</f>
      </c>
      <c r="C1018" s="9">
        <f>IFERROR(__xludf.DUMMYFUNCTION("""COMPUTED_VALUE"""),"CE RIO DOURADO")</f>
      </c>
      <c r="D1018" s="10">
        <f>IFERROR(__xludf.DUMMYFUNCTION("""COMPUTED_VALUE"""),0.8989)</f>
      </c>
      <c r="E1018" s="11">
        <f>IFERROR(__xludf.DUMMYFUNCTION("""COMPUTED_VALUE"""),255.0)</f>
      </c>
      <c r="F1018" s="10">
        <f>IFERROR(__xludf.DUMMYFUNCTION("""COMPUTED_VALUE"""),0.7416)</f>
      </c>
      <c r="G1018" s="11">
        <f>IFERROR(__xludf.DUMMYFUNCTION("""COMPUTED_VALUE"""),391.52)</f>
      </c>
      <c r="H1018" s="10">
        <f>IFERROR(__xludf.DUMMYFUNCTION("""COMPUTED_VALUE"""),0.7978)</f>
      </c>
      <c r="I1018" s="11">
        <f>IFERROR(__xludf.DUMMYFUNCTION("""COMPUTED_VALUE"""),469.71)</f>
      </c>
      <c r="J1018" s="10">
        <f>IFERROR(__xludf.DUMMYFUNCTION("""COMPUTED_VALUE"""),0.7978)</f>
      </c>
      <c r="K1018" s="11">
        <f>IFERROR(__xludf.DUMMYFUNCTION("""COMPUTED_VALUE"""),386.23)</f>
      </c>
      <c r="L1018" s="10">
        <f>IFERROR(__xludf.DUMMYFUNCTION("""COMPUTED_VALUE"""),0.7865)</f>
      </c>
      <c r="M1018" s="11">
        <f>IFERROR(__xludf.DUMMYFUNCTION("""COMPUTED_VALUE"""),473.04)</f>
      </c>
      <c r="N1018" s="10">
        <f>IFERROR(__xludf.DUMMYFUNCTION("""COMPUTED_VALUE"""),0.7416)</f>
      </c>
      <c r="O1018" s="11">
        <f>IFERROR(__xludf.DUMMYFUNCTION("""COMPUTED_VALUE"""),471.52)</f>
      </c>
      <c r="P1018" s="12"/>
      <c r="Q1018" s="12"/>
      <c r="R1018" s="15"/>
      <c r="S1018" s="12"/>
      <c r="T1018" s="12"/>
      <c r="U1018" s="12"/>
      <c r="V1018" s="12"/>
      <c r="W1018" s="12"/>
      <c r="X1018" s="12"/>
      <c r="Y1018" s="12"/>
      <c r="Z1018" s="12"/>
    </row>
    <row x14ac:dyDescent="0.25" r="1019" customHeight="1" ht="15.75">
      <c r="A1019" s="8">
        <f>IFERROR(__xludf.DUMMYFUNCTION("""COMPUTED_VALUE"""),25219.0)</f>
      </c>
      <c r="B1019" s="9">
        <f>IFERROR(__xludf.DUMMYFUNCTION("""COMPUTED_VALUE"""),"SERRANA II")</f>
      </c>
      <c r="C1019" s="9">
        <f>IFERROR(__xludf.DUMMYFUNCTION("""COMPUTED_VALUE"""),"CE SALUSTIANO JOSE RIBEIRO SERAFIM")</f>
      </c>
      <c r="D1019" s="10">
        <f>IFERROR(__xludf.DUMMYFUNCTION("""COMPUTED_VALUE"""),0.8904)</f>
      </c>
      <c r="E1019" s="11">
        <f>IFERROR(__xludf.DUMMYFUNCTION("""COMPUTED_VALUE"""),456.0)</f>
      </c>
      <c r="F1019" s="10">
        <f>IFERROR(__xludf.DUMMYFUNCTION("""COMPUTED_VALUE"""),0.7671)</f>
      </c>
      <c r="G1019" s="11">
        <f>IFERROR(__xludf.DUMMYFUNCTION("""COMPUTED_VALUE"""),497.86)</f>
      </c>
      <c r="H1019" s="10">
        <f>IFERROR(__xludf.DUMMYFUNCTION("""COMPUTED_VALUE"""),0.726)</f>
      </c>
      <c r="I1019" s="11">
        <f>IFERROR(__xludf.DUMMYFUNCTION("""COMPUTED_VALUE"""),561.51)</f>
      </c>
      <c r="J1019" s="10">
        <f>IFERROR(__xludf.DUMMYFUNCTION("""COMPUTED_VALUE"""),0.7397)</f>
      </c>
      <c r="K1019" s="11">
        <f>IFERROR(__xludf.DUMMYFUNCTION("""COMPUTED_VALUE"""),463.53)</f>
      </c>
      <c r="L1019" s="10">
        <f>IFERROR(__xludf.DUMMYFUNCTION("""COMPUTED_VALUE"""),0.6301)</f>
      </c>
      <c r="M1019" s="11">
        <f>IFERROR(__xludf.DUMMYFUNCTION("""COMPUTED_VALUE"""),529.57)</f>
      </c>
      <c r="N1019" s="10">
        <f>IFERROR(__xludf.DUMMYFUNCTION("""COMPUTED_VALUE"""),0.7123)</f>
      </c>
      <c r="O1019" s="11">
        <f>IFERROR(__xludf.DUMMYFUNCTION("""COMPUTED_VALUE"""),578.04)</f>
      </c>
      <c r="P1019" s="12"/>
      <c r="Q1019" s="12"/>
      <c r="R1019" s="15"/>
      <c r="S1019" s="12"/>
      <c r="T1019" s="12"/>
      <c r="U1019" s="12"/>
      <c r="V1019" s="12"/>
      <c r="W1019" s="12"/>
      <c r="X1019" s="12"/>
      <c r="Y1019" s="12"/>
      <c r="Z1019" s="12"/>
    </row>
    <row x14ac:dyDescent="0.25" r="1020" customHeight="1" ht="15.75">
      <c r="A1020" s="8">
        <f>IFERROR(__xludf.DUMMYFUNCTION("""COMPUTED_VALUE"""),25186.0)</f>
      </c>
      <c r="B1020" s="9">
        <f>IFERROR(__xludf.DUMMYFUNCTION("""COMPUTED_VALUE"""),"SERRANA II")</f>
      </c>
      <c r="C1020" s="9">
        <f>IFERROR(__xludf.DUMMYFUNCTION("""COMPUTED_VALUE"""),"CE SANTA MARIA")</f>
      </c>
      <c r="D1020" s="10">
        <f>IFERROR(__xludf.DUMMYFUNCTION("""COMPUTED_VALUE"""),0.931)</f>
      </c>
      <c r="E1020" s="11">
        <f>IFERROR(__xludf.DUMMYFUNCTION("""COMPUTED_VALUE"""),250.19)</f>
      </c>
      <c r="F1020" s="10">
        <f>IFERROR(__xludf.DUMMYFUNCTION("""COMPUTED_VALUE"""),0.6381)</f>
      </c>
      <c r="G1020" s="11">
        <f>IFERROR(__xludf.DUMMYFUNCTION("""COMPUTED_VALUE"""),402.0)</f>
      </c>
      <c r="H1020" s="10">
        <f>IFERROR(__xludf.DUMMYFUNCTION("""COMPUTED_VALUE"""),0.6862)</f>
      </c>
      <c r="I1020" s="11">
        <f>IFERROR(__xludf.DUMMYFUNCTION("""COMPUTED_VALUE"""),457.25)</f>
      </c>
      <c r="J1020" s="10">
        <f>IFERROR(__xludf.DUMMYFUNCTION("""COMPUTED_VALUE"""),0.7741)</f>
      </c>
      <c r="K1020" s="11">
        <f>IFERROR(__xludf.DUMMYFUNCTION("""COMPUTED_VALUE"""),385.41)</f>
      </c>
      <c r="L1020" s="10">
        <f>IFERROR(__xludf.DUMMYFUNCTION("""COMPUTED_VALUE"""),0.6611)</f>
      </c>
      <c r="M1020" s="11">
        <f>IFERROR(__xludf.DUMMYFUNCTION("""COMPUTED_VALUE"""),393.83)</f>
      </c>
      <c r="N1020" s="10">
        <f>IFERROR(__xludf.DUMMYFUNCTION("""COMPUTED_VALUE"""),0.6548)</f>
      </c>
      <c r="O1020" s="11">
        <f>IFERROR(__xludf.DUMMYFUNCTION("""COMPUTED_VALUE"""),504.71)</f>
      </c>
      <c r="P1020" s="12"/>
      <c r="Q1020" s="12"/>
      <c r="R1020" s="15"/>
      <c r="S1020" s="12"/>
      <c r="T1020" s="12"/>
      <c r="U1020" s="12"/>
      <c r="V1020" s="12"/>
      <c r="W1020" s="12"/>
      <c r="X1020" s="12"/>
      <c r="Y1020" s="12"/>
      <c r="Z1020" s="12"/>
    </row>
    <row x14ac:dyDescent="0.25" r="1021" customHeight="1" ht="15.75">
      <c r="A1021" s="8">
        <f>IFERROR(__xludf.DUMMYFUNCTION("""COMPUTED_VALUE"""),25165.0)</f>
      </c>
      <c r="B1021" s="9">
        <f>IFERROR(__xludf.DUMMYFUNCTION("""COMPUTED_VALUE"""),"SERRANA II")</f>
      </c>
      <c r="C1021" s="9">
        <f>IFERROR(__xludf.DUMMYFUNCTION("""COMPUTED_VALUE"""),"CE SAO JOSE")</f>
      </c>
      <c r="D1021" s="10">
        <f>IFERROR(__xludf.DUMMYFUNCTION("""COMPUTED_VALUE"""),0.8475)</f>
      </c>
      <c r="E1021" s="11">
        <f>IFERROR(__xludf.DUMMYFUNCTION("""COMPUTED_VALUE"""),267.06)</f>
      </c>
      <c r="F1021" s="10">
        <f>IFERROR(__xludf.DUMMYFUNCTION("""COMPUTED_VALUE"""),0.6441)</f>
      </c>
      <c r="G1021" s="11">
        <f>IFERROR(__xludf.DUMMYFUNCTION("""COMPUTED_VALUE"""),365.26)</f>
      </c>
      <c r="H1021" s="10">
        <f>IFERROR(__xludf.DUMMYFUNCTION("""COMPUTED_VALUE"""),0.6102)</f>
      </c>
      <c r="I1021" s="11">
        <f>IFERROR(__xludf.DUMMYFUNCTION("""COMPUTED_VALUE"""),380.57)</f>
      </c>
      <c r="J1021" s="10">
        <f>IFERROR(__xludf.DUMMYFUNCTION("""COMPUTED_VALUE"""),0.7119)</f>
      </c>
      <c r="K1021" s="11">
        <f>IFERROR(__xludf.DUMMYFUNCTION("""COMPUTED_VALUE"""),227.62)</f>
      </c>
      <c r="L1021" s="10">
        <f>IFERROR(__xludf.DUMMYFUNCTION("""COMPUTED_VALUE"""),0.7458)</f>
      </c>
      <c r="M1021" s="11">
        <f>IFERROR(__xludf.DUMMYFUNCTION("""COMPUTED_VALUE"""),450.23)</f>
      </c>
      <c r="N1021" s="10">
        <f>IFERROR(__xludf.DUMMYFUNCTION("""COMPUTED_VALUE"""),0.8305)</f>
      </c>
      <c r="O1021" s="11">
        <f>IFERROR(__xludf.DUMMYFUNCTION("""COMPUTED_VALUE"""),271.02)</f>
      </c>
      <c r="P1021" s="12"/>
      <c r="Q1021" s="12"/>
      <c r="R1021" s="15"/>
      <c r="S1021" s="12"/>
      <c r="T1021" s="12"/>
      <c r="U1021" s="12"/>
      <c r="V1021" s="12"/>
      <c r="W1021" s="12"/>
      <c r="X1021" s="12"/>
      <c r="Y1021" s="12"/>
      <c r="Z1021" s="12"/>
    </row>
    <row x14ac:dyDescent="0.25" r="1022" customHeight="1" ht="15.75">
      <c r="A1022" s="8">
        <f>IFERROR(__xludf.DUMMYFUNCTION("""COMPUTED_VALUE"""),25229.0)</f>
      </c>
      <c r="B1022" s="9">
        <f>IFERROR(__xludf.DUMMYFUNCTION("""COMPUTED_VALUE"""),"SERRANA II")</f>
      </c>
      <c r="C1022" s="9">
        <f>IFERROR(__xludf.DUMMYFUNCTION("""COMPUTED_VALUE"""),"CE SAO SEBASTIAO")</f>
      </c>
      <c r="D1022" s="10">
        <f>IFERROR(__xludf.DUMMYFUNCTION("""COMPUTED_VALUE"""),0.7727)</f>
      </c>
      <c r="E1022" s="11">
        <f>IFERROR(__xludf.DUMMYFUNCTION("""COMPUTED_VALUE"""),193.47)</f>
      </c>
      <c r="F1022" s="10">
        <f>IFERROR(__xludf.DUMMYFUNCTION("""COMPUTED_VALUE"""),0.5909)</f>
      </c>
      <c r="G1022" s="11">
        <f>IFERROR(__xludf.DUMMYFUNCTION("""COMPUTED_VALUE"""),342.75)</f>
      </c>
      <c r="H1022" s="10">
        <f>IFERROR(__xludf.DUMMYFUNCTION("""COMPUTED_VALUE"""),0.625)</f>
      </c>
      <c r="I1022" s="11">
        <f>IFERROR(__xludf.DUMMYFUNCTION("""COMPUTED_VALUE"""),391.85)</f>
      </c>
      <c r="J1022" s="10">
        <f>IFERROR(__xludf.DUMMYFUNCTION("""COMPUTED_VALUE"""),0.8068)</f>
      </c>
      <c r="K1022" s="11">
        <f>IFERROR(__xludf.DUMMYFUNCTION("""COMPUTED_VALUE"""),363.48)</f>
      </c>
      <c r="L1022" s="10">
        <f>IFERROR(__xludf.DUMMYFUNCTION("""COMPUTED_VALUE"""),0.6932)</f>
      </c>
      <c r="M1022" s="11">
        <f>IFERROR(__xludf.DUMMYFUNCTION("""COMPUTED_VALUE"""),454.67)</f>
      </c>
      <c r="N1022" s="10">
        <f>IFERROR(__xludf.DUMMYFUNCTION("""COMPUTED_VALUE"""),0.7159)</f>
      </c>
      <c r="O1022" s="11">
        <f>IFERROR(__xludf.DUMMYFUNCTION("""COMPUTED_VALUE"""),485.08)</f>
      </c>
      <c r="P1022" s="12"/>
      <c r="Q1022" s="12"/>
      <c r="R1022" s="15"/>
      <c r="S1022" s="12"/>
      <c r="T1022" s="12"/>
      <c r="U1022" s="12"/>
      <c r="V1022" s="12"/>
      <c r="W1022" s="12"/>
      <c r="X1022" s="12"/>
      <c r="Y1022" s="12"/>
      <c r="Z1022" s="12"/>
    </row>
    <row x14ac:dyDescent="0.25" r="1023" customHeight="1" ht="15.75">
      <c r="A1023" s="8">
        <f>IFERROR(__xludf.DUMMYFUNCTION("""COMPUTED_VALUE"""),25230.0)</f>
      </c>
      <c r="B1023" s="9">
        <f>IFERROR(__xludf.DUMMYFUNCTION("""COMPUTED_VALUE"""),"SERRANA II")</f>
      </c>
      <c r="C1023" s="9">
        <f>IFERROR(__xludf.DUMMYFUNCTION("""COMPUTED_VALUE"""),"CE SERVULO MELO")</f>
      </c>
      <c r="D1023" s="10">
        <f>IFERROR(__xludf.DUMMYFUNCTION("""COMPUTED_VALUE"""),0.8359)</f>
      </c>
      <c r="E1023" s="11">
        <f>IFERROR(__xludf.DUMMYFUNCTION("""COMPUTED_VALUE"""),251.73)</f>
      </c>
      <c r="F1023" s="10">
        <f>IFERROR(__xludf.DUMMYFUNCTION("""COMPUTED_VALUE"""),0.7)</f>
      </c>
      <c r="G1023" s="11">
        <f>IFERROR(__xludf.DUMMYFUNCTION("""COMPUTED_VALUE"""),358.65)</f>
      </c>
      <c r="H1023" s="10">
        <f>IFERROR(__xludf.DUMMYFUNCTION("""COMPUTED_VALUE"""),0.6077)</f>
      </c>
      <c r="I1023" s="11">
        <f>IFERROR(__xludf.DUMMYFUNCTION("""COMPUTED_VALUE"""),401.49)</f>
      </c>
      <c r="J1023" s="10">
        <f>IFERROR(__xludf.DUMMYFUNCTION("""COMPUTED_VALUE"""),0.6764)</f>
      </c>
      <c r="K1023" s="11">
        <f>IFERROR(__xludf.DUMMYFUNCTION("""COMPUTED_VALUE"""),313.26)</f>
      </c>
      <c r="L1023" s="10">
        <f>IFERROR(__xludf.DUMMYFUNCTION("""COMPUTED_VALUE"""),0.6032)</f>
      </c>
      <c r="M1023" s="11">
        <f>IFERROR(__xludf.DUMMYFUNCTION("""COMPUTED_VALUE"""),359.4)</f>
      </c>
      <c r="N1023" s="10">
        <f>IFERROR(__xludf.DUMMYFUNCTION("""COMPUTED_VALUE"""),0.6372)</f>
      </c>
      <c r="O1023" s="11">
        <f>IFERROR(__xludf.DUMMYFUNCTION("""COMPUTED_VALUE"""),398.48)</f>
      </c>
      <c r="P1023" s="12"/>
      <c r="Q1023" s="12"/>
      <c r="R1023" s="15"/>
      <c r="S1023" s="12"/>
      <c r="T1023" s="12"/>
      <c r="U1023" s="12"/>
      <c r="V1023" s="12"/>
      <c r="W1023" s="12"/>
      <c r="X1023" s="12"/>
      <c r="Y1023" s="12"/>
      <c r="Z1023" s="12"/>
    </row>
    <row x14ac:dyDescent="0.25" r="1024" customHeight="1" ht="15.75">
      <c r="A1024" s="8">
        <f>IFERROR(__xludf.DUMMYFUNCTION("""COMPUTED_VALUE"""),25166.0)</f>
      </c>
      <c r="B1024" s="9">
        <f>IFERROR(__xludf.DUMMYFUNCTION("""COMPUTED_VALUE"""),"SERRANA II")</f>
      </c>
      <c r="C1024" s="9">
        <f>IFERROR(__xludf.DUMMYFUNCTION("""COMPUTED_VALUE"""),"CE SOL NASCENTE")</f>
      </c>
      <c r="D1024" s="10">
        <f>IFERROR(__xludf.DUMMYFUNCTION("""COMPUTED_VALUE"""),0.8121)</f>
      </c>
      <c r="E1024" s="11">
        <f>IFERROR(__xludf.DUMMYFUNCTION("""COMPUTED_VALUE"""),289.62)</f>
      </c>
      <c r="F1024" s="10">
        <f>IFERROR(__xludf.DUMMYFUNCTION("""COMPUTED_VALUE"""),0.6303)</f>
      </c>
      <c r="G1024" s="11">
        <f>IFERROR(__xludf.DUMMYFUNCTION("""COMPUTED_VALUE"""),400.39)</f>
      </c>
      <c r="H1024" s="10">
        <f>IFERROR(__xludf.DUMMYFUNCTION("""COMPUTED_VALUE"""),0.6)</f>
      </c>
      <c r="I1024" s="11">
        <f>IFERROR(__xludf.DUMMYFUNCTION("""COMPUTED_VALUE"""),460.82)</f>
      </c>
      <c r="J1024" s="10">
        <f>IFERROR(__xludf.DUMMYFUNCTION("""COMPUTED_VALUE"""),0.6061)</f>
      </c>
      <c r="K1024" s="11">
        <f>IFERROR(__xludf.DUMMYFUNCTION("""COMPUTED_VALUE"""),343.05)</f>
      </c>
      <c r="L1024" s="10">
        <f>IFERROR(__xludf.DUMMYFUNCTION("""COMPUTED_VALUE"""),0.2545)</f>
      </c>
      <c r="M1024" s="11">
        <f>IFERROR(__xludf.DUMMYFUNCTION("""COMPUTED_VALUE"""),375.24)</f>
      </c>
      <c r="N1024" s="10">
        <f>IFERROR(__xludf.DUMMYFUNCTION("""COMPUTED_VALUE"""),0.3939)</f>
      </c>
      <c r="O1024" s="11">
        <f>IFERROR(__xludf.DUMMYFUNCTION("""COMPUTED_VALUE"""),460.63)</f>
      </c>
      <c r="P1024" s="12"/>
      <c r="Q1024" s="12"/>
      <c r="R1024" s="15"/>
      <c r="S1024" s="12"/>
      <c r="T1024" s="12"/>
      <c r="U1024" s="12"/>
      <c r="V1024" s="12"/>
      <c r="W1024" s="12"/>
      <c r="X1024" s="12"/>
      <c r="Y1024" s="12"/>
      <c r="Z1024" s="12"/>
    </row>
    <row x14ac:dyDescent="0.25" r="1025" customHeight="1" ht="15.75">
      <c r="A1025" s="8">
        <f>IFERROR(__xludf.DUMMYFUNCTION("""COMPUTED_VALUE"""),25221.0)</f>
      </c>
      <c r="B1025" s="9">
        <f>IFERROR(__xludf.DUMMYFUNCTION("""COMPUTED_VALUE"""),"SERRANA II")</f>
      </c>
      <c r="C1025" s="9">
        <f>IFERROR(__xludf.DUMMYFUNCTION("""COMPUTED_VALUE"""),"CENTRO FAMILIAR DE FORMAÇÃO POR ALTERNANCIA COLEGIO ESTADUAL AGRICOLA REI ALBERTO I")</f>
      </c>
      <c r="D1025" s="10">
        <f>IFERROR(__xludf.DUMMYFUNCTION("""COMPUTED_VALUE"""),0.9634)</f>
      </c>
      <c r="E1025" s="11">
        <f>IFERROR(__xludf.DUMMYFUNCTION("""COMPUTED_VALUE"""),365.06)</f>
      </c>
      <c r="F1025" s="10">
        <f>IFERROR(__xludf.DUMMYFUNCTION("""COMPUTED_VALUE"""),0.9024)</f>
      </c>
      <c r="G1025" s="11">
        <f>IFERROR(__xludf.DUMMYFUNCTION("""COMPUTED_VALUE"""),512.43)</f>
      </c>
      <c r="H1025" s="10">
        <f>IFERROR(__xludf.DUMMYFUNCTION("""COMPUTED_VALUE"""),0.8829)</f>
      </c>
      <c r="I1025" s="11">
        <f>IFERROR(__xludf.DUMMYFUNCTION("""COMPUTED_VALUE"""),579.59)</f>
      </c>
      <c r="J1025" s="10">
        <f>IFERROR(__xludf.DUMMYFUNCTION("""COMPUTED_VALUE"""),0.8649)</f>
      </c>
      <c r="K1025" s="11">
        <f>IFERROR(__xludf.DUMMYFUNCTION("""COMPUTED_VALUE"""),464.84)</f>
      </c>
      <c r="L1025" s="10">
        <f>IFERROR(__xludf.DUMMYFUNCTION("""COMPUTED_VALUE"""),0.8739)</f>
      </c>
      <c r="M1025" s="11">
        <f>IFERROR(__xludf.DUMMYFUNCTION("""COMPUTED_VALUE"""),625.15)</f>
      </c>
      <c r="N1025" s="10">
        <f>IFERROR(__xludf.DUMMYFUNCTION("""COMPUTED_VALUE"""),0.7838)</f>
      </c>
      <c r="O1025" s="11">
        <f>IFERROR(__xludf.DUMMYFUNCTION("""COMPUTED_VALUE"""),563.22)</f>
      </c>
      <c r="P1025" s="12"/>
      <c r="Q1025" s="12"/>
      <c r="R1025" s="15"/>
      <c r="S1025" s="12"/>
      <c r="T1025" s="12"/>
      <c r="U1025" s="12"/>
      <c r="V1025" s="12"/>
      <c r="W1025" s="12"/>
      <c r="X1025" s="12"/>
      <c r="Y1025" s="12"/>
      <c r="Z1025" s="12"/>
    </row>
    <row x14ac:dyDescent="0.25" r="1026" customHeight="1" ht="15.75">
      <c r="A1026" s="8">
        <f>IFERROR(__xludf.DUMMYFUNCTION("""COMPUTED_VALUE"""),25167.0)</f>
      </c>
      <c r="B1026" s="9">
        <f>IFERROR(__xludf.DUMMYFUNCTION("""COMPUTED_VALUE"""),"SERRANA II")</f>
      </c>
      <c r="C1026" s="9">
        <f>IFERROR(__xludf.DUMMYFUNCTION("""COMPUTED_VALUE"""),"CIEP 140 MÁRIO CESAR GOMES DA SILVA")</f>
      </c>
      <c r="D1026" s="10">
        <f>IFERROR(__xludf.DUMMYFUNCTION("""COMPUTED_VALUE"""),0.9091)</f>
      </c>
      <c r="E1026" s="11">
        <f>IFERROR(__xludf.DUMMYFUNCTION("""COMPUTED_VALUE"""),330.0)</f>
      </c>
      <c r="F1026" s="10">
        <f>IFERROR(__xludf.DUMMYFUNCTION("""COMPUTED_VALUE"""),0.8636)</f>
      </c>
      <c r="G1026" s="11">
        <f>IFERROR(__xludf.DUMMYFUNCTION("""COMPUTED_VALUE"""),424.44)</f>
      </c>
      <c r="H1026" s="10">
        <f>IFERROR(__xludf.DUMMYFUNCTION("""COMPUTED_VALUE"""),0.7273)</f>
      </c>
      <c r="I1026" s="11">
        <f>IFERROR(__xludf.DUMMYFUNCTION("""COMPUTED_VALUE"""),505.0)</f>
      </c>
      <c r="J1026" s="10">
        <f>IFERROR(__xludf.DUMMYFUNCTION("""COMPUTED_VALUE"""),0.6818)</f>
      </c>
      <c r="K1026" s="11">
        <f>IFERROR(__xludf.DUMMYFUNCTION("""COMPUTED_VALUE"""),464.0)</f>
      </c>
      <c r="L1026" s="10">
        <f>IFERROR(__xludf.DUMMYFUNCTION("""COMPUTED_VALUE"""),0.5)</f>
      </c>
      <c r="M1026" s="11">
        <f>IFERROR(__xludf.DUMMYFUNCTION("""COMPUTED_VALUE"""),541.82)</f>
      </c>
      <c r="N1026" s="10">
        <f>IFERROR(__xludf.DUMMYFUNCTION("""COMPUTED_VALUE"""),0.5)</f>
      </c>
      <c r="O1026" s="11">
        <f>IFERROR(__xludf.DUMMYFUNCTION("""COMPUTED_VALUE"""),356.36)</f>
      </c>
      <c r="P1026" s="12"/>
      <c r="Q1026" s="12"/>
      <c r="R1026" s="15"/>
      <c r="S1026" s="12"/>
      <c r="T1026" s="12"/>
      <c r="U1026" s="12"/>
      <c r="V1026" s="12"/>
      <c r="W1026" s="12"/>
      <c r="X1026" s="12"/>
      <c r="Y1026" s="12"/>
      <c r="Z1026" s="12"/>
    </row>
    <row x14ac:dyDescent="0.25" r="1027" customHeight="1" ht="15.75">
      <c r="A1027" s="8">
        <f>IFERROR(__xludf.DUMMYFUNCTION("""COMPUTED_VALUE"""),25192.0)</f>
      </c>
      <c r="B1027" s="9">
        <f>IFERROR(__xludf.DUMMYFUNCTION("""COMPUTED_VALUE"""),"SERRANA II")</f>
      </c>
      <c r="C1027" s="9">
        <f>IFERROR(__xludf.DUMMYFUNCTION("""COMPUTED_VALUE"""),"CIEP 145 DOUTOR OSWALDO CRUZ")</f>
      </c>
      <c r="D1027" s="10">
        <f>IFERROR(__xludf.DUMMYFUNCTION("""COMPUTED_VALUE"""),0.9444)</f>
      </c>
      <c r="E1027" s="11">
        <f>IFERROR(__xludf.DUMMYFUNCTION("""COMPUTED_VALUE"""),267.84)</f>
      </c>
      <c r="F1027" s="10">
        <f>IFERROR(__xludf.DUMMYFUNCTION("""COMPUTED_VALUE"""),0.9537)</f>
      </c>
      <c r="G1027" s="11">
        <f>IFERROR(__xludf.DUMMYFUNCTION("""COMPUTED_VALUE"""),369.39)</f>
      </c>
      <c r="H1027" s="10">
        <f>IFERROR(__xludf.DUMMYFUNCTION("""COMPUTED_VALUE"""),0.9722)</f>
      </c>
      <c r="I1027" s="11">
        <f>IFERROR(__xludf.DUMMYFUNCTION("""COMPUTED_VALUE"""),365.38)</f>
      </c>
      <c r="J1027" s="10">
        <f>IFERROR(__xludf.DUMMYFUNCTION("""COMPUTED_VALUE"""),0.9907)</f>
      </c>
      <c r="K1027" s="11">
        <f>IFERROR(__xludf.DUMMYFUNCTION("""COMPUTED_VALUE"""),307.92)</f>
      </c>
      <c r="L1027" s="10">
        <f>IFERROR(__xludf.DUMMYFUNCTION("""COMPUTED_VALUE"""),0.9722)</f>
      </c>
      <c r="M1027" s="11">
        <f>IFERROR(__xludf.DUMMYFUNCTION("""COMPUTED_VALUE"""),313.52)</f>
      </c>
      <c r="N1027" s="10">
        <f>IFERROR(__xludf.DUMMYFUNCTION("""COMPUTED_VALUE"""),0.9722)</f>
      </c>
      <c r="O1027" s="11">
        <f>IFERROR(__xludf.DUMMYFUNCTION("""COMPUTED_VALUE"""),335.0)</f>
      </c>
      <c r="P1027" s="12"/>
      <c r="Q1027" s="12"/>
      <c r="R1027" s="15"/>
      <c r="S1027" s="12"/>
      <c r="T1027" s="12"/>
      <c r="U1027" s="12"/>
      <c r="V1027" s="12"/>
      <c r="W1027" s="12"/>
      <c r="X1027" s="12"/>
      <c r="Y1027" s="12"/>
      <c r="Z1027" s="12"/>
    </row>
    <row x14ac:dyDescent="0.25" r="1028" customHeight="1" ht="15.75">
      <c r="A1028" s="8">
        <f>IFERROR(__xludf.DUMMYFUNCTION("""COMPUTED_VALUE"""),25228.0)</f>
      </c>
      <c r="B1028" s="9">
        <f>IFERROR(__xludf.DUMMYFUNCTION("""COMPUTED_VALUE"""),"SERRANA II")</f>
      </c>
      <c r="C1028" s="9">
        <f>IFERROR(__xludf.DUMMYFUNCTION("""COMPUTED_VALUE"""),"CIEP 274 MARIA AMELIA DAFLON FERRO")</f>
      </c>
      <c r="D1028" s="10">
        <f>IFERROR(__xludf.DUMMYFUNCTION("""COMPUTED_VALUE"""),0.9706)</f>
      </c>
      <c r="E1028" s="11">
        <f>IFERROR(__xludf.DUMMYFUNCTION("""COMPUTED_VALUE"""),350.3)</f>
      </c>
      <c r="F1028" s="10">
        <f>IFERROR(__xludf.DUMMYFUNCTION("""COMPUTED_VALUE"""),1.0)</f>
      </c>
      <c r="G1028" s="11">
        <f>IFERROR(__xludf.DUMMYFUNCTION("""COMPUTED_VALUE"""),429.41)</f>
      </c>
      <c r="H1028" s="10">
        <f>IFERROR(__xludf.DUMMYFUNCTION("""COMPUTED_VALUE"""),1.0)</f>
      </c>
      <c r="I1028" s="11">
        <f>IFERROR(__xludf.DUMMYFUNCTION("""COMPUTED_VALUE"""),0.0)</f>
      </c>
      <c r="J1028" s="10">
        <f>IFERROR(__xludf.DUMMYFUNCTION("""COMPUTED_VALUE"""),0.8824)</f>
      </c>
      <c r="K1028" s="11">
        <f>IFERROR(__xludf.DUMMYFUNCTION("""COMPUTED_VALUE"""),264.83)</f>
      </c>
      <c r="L1028" s="10">
        <f>IFERROR(__xludf.DUMMYFUNCTION("""COMPUTED_VALUE"""),0.8824)</f>
      </c>
      <c r="M1028" s="11">
        <f>IFERROR(__xludf.DUMMYFUNCTION("""COMPUTED_VALUE"""),532.0)</f>
      </c>
      <c r="N1028" s="10">
        <f>IFERROR(__xludf.DUMMYFUNCTION("""COMPUTED_VALUE"""),0.8235)</f>
      </c>
      <c r="O1028" s="11">
        <f>IFERROR(__xludf.DUMMYFUNCTION("""COMPUTED_VALUE"""),421.43)</f>
      </c>
      <c r="P1028" s="12"/>
      <c r="Q1028" s="12"/>
      <c r="R1028" s="15"/>
      <c r="S1028" s="12"/>
      <c r="T1028" s="12"/>
      <c r="U1028" s="12"/>
      <c r="V1028" s="12"/>
      <c r="W1028" s="12"/>
      <c r="X1028" s="12"/>
      <c r="Y1028" s="12"/>
      <c r="Z1028" s="12"/>
    </row>
    <row x14ac:dyDescent="0.25" r="1029" customHeight="1" ht="15.75">
      <c r="A1029" s="8">
        <f>IFERROR(__xludf.DUMMYFUNCTION("""COMPUTED_VALUE"""),25174.0)</f>
      </c>
      <c r="B1029" s="9">
        <f>IFERROR(__xludf.DUMMYFUNCTION("""COMPUTED_VALUE"""),"SERRANA II")</f>
      </c>
      <c r="C1029" s="9">
        <f>IFERROR(__xludf.DUMMYFUNCTION("""COMPUTED_VALUE"""),"CIEP 277 JOÃO NICOLÁO FILHO - JANJÃO")</f>
      </c>
      <c r="D1029" s="10">
        <f>IFERROR(__xludf.DUMMYFUNCTION("""COMPUTED_VALUE"""),0.6842)</f>
      </c>
      <c r="E1029" s="11">
        <f>IFERROR(__xludf.DUMMYFUNCTION("""COMPUTED_VALUE"""),186.67)</f>
      </c>
      <c r="F1029" s="10">
        <f>IFERROR(__xludf.DUMMYFUNCTION("""COMPUTED_VALUE"""),0.6667)</f>
      </c>
      <c r="G1029" s="11">
        <f>IFERROR(__xludf.DUMMYFUNCTION("""COMPUTED_VALUE"""),415.91)</f>
      </c>
      <c r="H1029" s="10">
        <f>IFERROR(__xludf.DUMMYFUNCTION("""COMPUTED_VALUE"""),0.6)</f>
      </c>
      <c r="I1029" s="11">
        <f>IFERROR(__xludf.DUMMYFUNCTION("""COMPUTED_VALUE"""),449.92)</f>
      </c>
      <c r="J1029" s="10">
        <f>IFERROR(__xludf.DUMMYFUNCTION("""COMPUTED_VALUE"""),0.9)</f>
      </c>
      <c r="K1029" s="11">
        <f>IFERROR(__xludf.DUMMYFUNCTION("""COMPUTED_VALUE"""),385.45)</f>
      </c>
      <c r="L1029" s="10">
        <f>IFERROR(__xludf.DUMMYFUNCTION("""COMPUTED_VALUE"""),0.68)</f>
      </c>
      <c r="M1029" s="11">
        <f>IFERROR(__xludf.DUMMYFUNCTION("""COMPUTED_VALUE"""),437.65)</f>
      </c>
      <c r="N1029" s="10">
        <f>IFERROR(__xludf.DUMMYFUNCTION("""COMPUTED_VALUE"""),0.5333)</f>
      </c>
      <c r="O1029" s="11">
        <f>IFERROR(__xludf.DUMMYFUNCTION("""COMPUTED_VALUE"""),449.43)</f>
      </c>
      <c r="P1029" s="12"/>
      <c r="Q1029" s="12"/>
      <c r="R1029" s="15"/>
      <c r="S1029" s="12"/>
      <c r="T1029" s="12"/>
      <c r="U1029" s="12"/>
      <c r="V1029" s="12"/>
      <c r="W1029" s="12"/>
      <c r="X1029" s="12"/>
      <c r="Y1029" s="12"/>
      <c r="Z1029" s="12"/>
    </row>
    <row x14ac:dyDescent="0.25" r="1030" customHeight="1" ht="15.75">
      <c r="A1030" s="8">
        <f>IFERROR(__xludf.DUMMYFUNCTION("""COMPUTED_VALUE"""),25236.0)</f>
      </c>
      <c r="B1030" s="9">
        <f>IFERROR(__xludf.DUMMYFUNCTION("""COMPUTED_VALUE"""),"SERRANA II")</f>
      </c>
      <c r="C1030" s="9">
        <f>IFERROR(__xludf.DUMMYFUNCTION("""COMPUTED_VALUE"""),"CIEP 279 PROFESSORA GUIOMAR GONCALVES NEVES")</f>
      </c>
      <c r="D1030" s="10">
        <f>IFERROR(__xludf.DUMMYFUNCTION("""COMPUTED_VALUE"""),1.0)</f>
      </c>
      <c r="E1030" s="11">
        <f>IFERROR(__xludf.DUMMYFUNCTION("""COMPUTED_VALUE"""),338.13)</f>
      </c>
      <c r="F1030" s="10">
        <f>IFERROR(__xludf.DUMMYFUNCTION("""COMPUTED_VALUE"""),0.8594)</f>
      </c>
      <c r="G1030" s="11">
        <f>IFERROR(__xludf.DUMMYFUNCTION("""COMPUTED_VALUE"""),413.08)</f>
      </c>
      <c r="H1030" s="10">
        <f>IFERROR(__xludf.DUMMYFUNCTION("""COMPUTED_VALUE"""),0.9922)</f>
      </c>
      <c r="I1030" s="11">
        <f>IFERROR(__xludf.DUMMYFUNCTION("""COMPUTED_VALUE"""),445.81)</f>
      </c>
      <c r="J1030" s="10">
        <f>IFERROR(__xludf.DUMMYFUNCTION("""COMPUTED_VALUE"""),0.8984)</f>
      </c>
      <c r="K1030" s="11">
        <f>IFERROR(__xludf.DUMMYFUNCTION("""COMPUTED_VALUE"""),347.07)</f>
      </c>
      <c r="L1030" s="10">
        <f>IFERROR(__xludf.DUMMYFUNCTION("""COMPUTED_VALUE"""),0.9063)</f>
      </c>
      <c r="M1030" s="11">
        <f>IFERROR(__xludf.DUMMYFUNCTION("""COMPUTED_VALUE"""),514.74)</f>
      </c>
      <c r="N1030" s="10">
        <f>IFERROR(__xludf.DUMMYFUNCTION("""COMPUTED_VALUE"""),0.7813)</f>
      </c>
      <c r="O1030" s="11">
        <f>IFERROR(__xludf.DUMMYFUNCTION("""COMPUTED_VALUE"""),492.08)</f>
      </c>
      <c r="P1030" s="12"/>
      <c r="Q1030" s="12"/>
      <c r="R1030" s="15"/>
      <c r="S1030" s="12"/>
      <c r="T1030" s="12"/>
      <c r="U1030" s="12"/>
      <c r="V1030" s="12"/>
      <c r="W1030" s="12"/>
      <c r="X1030" s="12"/>
      <c r="Y1030" s="12"/>
      <c r="Z1030" s="12"/>
    </row>
    <row x14ac:dyDescent="0.25" r="1031" customHeight="1" ht="15.75">
      <c r="A1031" s="8">
        <f>IFERROR(__xludf.DUMMYFUNCTION("""COMPUTED_VALUE"""),25180.0)</f>
      </c>
      <c r="B1031" s="9">
        <f>IFERROR(__xludf.DUMMYFUNCTION("""COMPUTED_VALUE"""),"SERRANA II")</f>
      </c>
      <c r="C1031" s="9">
        <f>IFERROR(__xludf.DUMMYFUNCTION("""COMPUTED_VALUE"""),"CIEP 280 PROFESSOR VASCO FERNANDES DA SILVA PORTO")</f>
      </c>
      <c r="D1031" s="10">
        <f>IFERROR(__xludf.DUMMYFUNCTION("""COMPUTED_VALUE"""),0.9231)</f>
      </c>
      <c r="E1031" s="11">
        <f>IFERROR(__xludf.DUMMYFUNCTION("""COMPUTED_VALUE"""),500.87)</f>
      </c>
      <c r="F1031" s="10">
        <f>IFERROR(__xludf.DUMMYFUNCTION("""COMPUTED_VALUE"""),0.9519)</f>
      </c>
      <c r="G1031" s="11">
        <f>IFERROR(__xludf.DUMMYFUNCTION("""COMPUTED_VALUE"""),470.32)</f>
      </c>
      <c r="H1031" s="10">
        <f>IFERROR(__xludf.DUMMYFUNCTION("""COMPUTED_VALUE"""),0.9712)</f>
      </c>
      <c r="I1031" s="11">
        <f>IFERROR(__xludf.DUMMYFUNCTION("""COMPUTED_VALUE"""),566.8)</f>
      </c>
      <c r="J1031" s="10">
        <f>IFERROR(__xludf.DUMMYFUNCTION("""COMPUTED_VALUE"""),0.8269)</f>
      </c>
      <c r="K1031" s="11">
        <f>IFERROR(__xludf.DUMMYFUNCTION("""COMPUTED_VALUE"""),553.95)</f>
      </c>
      <c r="L1031" s="10">
        <f>IFERROR(__xludf.DUMMYFUNCTION("""COMPUTED_VALUE"""),0.8269)</f>
      </c>
      <c r="M1031" s="11">
        <f>IFERROR(__xludf.DUMMYFUNCTION("""COMPUTED_VALUE"""),599.53)</f>
      </c>
      <c r="N1031" s="10">
        <f>IFERROR(__xludf.DUMMYFUNCTION("""COMPUTED_VALUE"""),0.9904)</f>
      </c>
      <c r="O1031" s="11">
        <f>IFERROR(__xludf.DUMMYFUNCTION("""COMPUTED_VALUE"""),593.73)</f>
      </c>
      <c r="P1031" s="12"/>
      <c r="Q1031" s="12"/>
      <c r="R1031" s="15"/>
      <c r="S1031" s="12"/>
      <c r="T1031" s="12"/>
      <c r="U1031" s="12"/>
      <c r="V1031" s="12"/>
      <c r="W1031" s="12"/>
      <c r="X1031" s="12"/>
      <c r="Y1031" s="12"/>
      <c r="Z1031" s="12"/>
    </row>
    <row x14ac:dyDescent="0.25" r="1032" customHeight="1" ht="15.75">
      <c r="A1032" s="8">
        <f>IFERROR(__xludf.DUMMYFUNCTION("""COMPUTED_VALUE"""),25232.0)</f>
      </c>
      <c r="B1032" s="9">
        <f>IFERROR(__xludf.DUMMYFUNCTION("""COMPUTED_VALUE"""),"SERRANA II")</f>
      </c>
      <c r="C1032" s="9">
        <f>IFERROR(__xludf.DUMMYFUNCTION("""COMPUTED_VALUE"""),"CIEP 283 MARIA AMELIA PACHECO")</f>
      </c>
      <c r="D1032" s="10">
        <f>IFERROR(__xludf.DUMMYFUNCTION("""COMPUTED_VALUE"""),0.9787)</f>
      </c>
      <c r="E1032" s="11">
        <f>IFERROR(__xludf.DUMMYFUNCTION("""COMPUTED_VALUE"""),409.13)</f>
      </c>
      <c r="F1032" s="10">
        <f>IFERROR(__xludf.DUMMYFUNCTION("""COMPUTED_VALUE"""),0.8191)</f>
      </c>
      <c r="G1032" s="11">
        <f>IFERROR(__xludf.DUMMYFUNCTION("""COMPUTED_VALUE"""),505.79)</f>
      </c>
      <c r="H1032" s="10">
        <f>IFERROR(__xludf.DUMMYFUNCTION("""COMPUTED_VALUE"""),0.9574)</f>
      </c>
      <c r="I1032" s="11">
        <f>IFERROR(__xludf.DUMMYFUNCTION("""COMPUTED_VALUE"""),524.55)</f>
      </c>
      <c r="J1032" s="10">
        <f>IFERROR(__xludf.DUMMYFUNCTION("""COMPUTED_VALUE"""),0.9255)</f>
      </c>
      <c r="K1032" s="11">
        <f>IFERROR(__xludf.DUMMYFUNCTION("""COMPUTED_VALUE"""),447.36)</f>
      </c>
      <c r="L1032" s="10">
        <f>IFERROR(__xludf.DUMMYFUNCTION("""COMPUTED_VALUE"""),0.9362)</f>
      </c>
      <c r="M1032" s="11">
        <f>IFERROR(__xludf.DUMMYFUNCTION("""COMPUTED_VALUE"""),531.03)</f>
      </c>
      <c r="N1032" s="10">
        <f>IFERROR(__xludf.DUMMYFUNCTION("""COMPUTED_VALUE"""),0.8191)</f>
      </c>
      <c r="O1032" s="11">
        <f>IFERROR(__xludf.DUMMYFUNCTION("""COMPUTED_VALUE"""),514.29)</f>
      </c>
      <c r="P1032" s="12"/>
      <c r="Q1032" s="12"/>
      <c r="R1032" s="15"/>
      <c r="S1032" s="12"/>
      <c r="T1032" s="12"/>
      <c r="U1032" s="12"/>
      <c r="V1032" s="12"/>
      <c r="W1032" s="12"/>
      <c r="X1032" s="12"/>
      <c r="Y1032" s="12"/>
      <c r="Z1032" s="12"/>
    </row>
    <row x14ac:dyDescent="0.25" r="1033" customHeight="1" ht="15.75">
      <c r="A1033" s="8">
        <f>IFERROR(__xludf.DUMMYFUNCTION("""COMPUTED_VALUE"""),25160.0)</f>
      </c>
      <c r="B1033" s="9">
        <f>IFERROR(__xludf.DUMMYFUNCTION("""COMPUTED_VALUE"""),"SERRANA II")</f>
      </c>
      <c r="C1033" s="9">
        <f>IFERROR(__xludf.DUMMYFUNCTION("""COMPUTED_VALUE"""),"CIEP 322 MOZART CUNHA GUIMARAES")</f>
      </c>
      <c r="D1033" s="10">
        <f>IFERROR(__xludf.DUMMYFUNCTION("""COMPUTED_VALUE"""),0.9189)</f>
      </c>
      <c r="E1033" s="11">
        <f>IFERROR(__xludf.DUMMYFUNCTION("""COMPUTED_VALUE"""),414.12)</f>
      </c>
      <c r="F1033" s="10">
        <f>IFERROR(__xludf.DUMMYFUNCTION("""COMPUTED_VALUE"""),0.8378)</f>
      </c>
      <c r="G1033" s="11">
        <f>IFERROR(__xludf.DUMMYFUNCTION("""COMPUTED_VALUE"""),492.9)</f>
      </c>
      <c r="H1033" s="10">
        <f>IFERROR(__xludf.DUMMYFUNCTION("""COMPUTED_VALUE"""),0.7432)</f>
      </c>
      <c r="I1033" s="11">
        <f>IFERROR(__xludf.DUMMYFUNCTION("""COMPUTED_VALUE"""),568.0)</f>
      </c>
      <c r="J1033" s="10">
        <f>IFERROR(__xludf.DUMMYFUNCTION("""COMPUTED_VALUE"""),0.7703)</f>
      </c>
      <c r="K1033" s="11">
        <f>IFERROR(__xludf.DUMMYFUNCTION("""COMPUTED_VALUE"""),493.33)</f>
      </c>
      <c r="L1033" s="10">
        <f>IFERROR(__xludf.DUMMYFUNCTION("""COMPUTED_VALUE"""),0.7162)</f>
      </c>
      <c r="M1033" s="11">
        <f>IFERROR(__xludf.DUMMYFUNCTION("""COMPUTED_VALUE"""),523.85)</f>
      </c>
      <c r="N1033" s="10">
        <f>IFERROR(__xludf.DUMMYFUNCTION("""COMPUTED_VALUE"""),0.7432)</f>
      </c>
      <c r="O1033" s="11">
        <f>IFERROR(__xludf.DUMMYFUNCTION("""COMPUTED_VALUE"""),569.45)</f>
      </c>
      <c r="P1033" s="12"/>
      <c r="Q1033" s="12"/>
      <c r="R1033" s="15"/>
      <c r="S1033" s="12"/>
      <c r="T1033" s="12"/>
      <c r="U1033" s="12"/>
      <c r="V1033" s="12"/>
      <c r="W1033" s="12"/>
      <c r="X1033" s="12"/>
      <c r="Y1033" s="12"/>
      <c r="Z1033" s="12"/>
    </row>
    <row x14ac:dyDescent="0.25" r="1034" customHeight="1" ht="15.75">
      <c r="A1034" s="8">
        <f>IFERROR(__xludf.DUMMYFUNCTION("""COMPUTED_VALUE"""),25168.0)</f>
      </c>
      <c r="B1034" s="9">
        <f>IFERROR(__xludf.DUMMYFUNCTION("""COMPUTED_VALUE"""),"SERRANA II")</f>
      </c>
      <c r="C1034" s="9">
        <f>IFERROR(__xludf.DUMMYFUNCTION("""COMPUTED_VALUE"""),"CIEP 353 BROCHADO DA ROCHA")</f>
      </c>
      <c r="D1034" s="10">
        <f>IFERROR(__xludf.DUMMYFUNCTION("""COMPUTED_VALUE"""),0.4054)</f>
      </c>
      <c r="E1034" s="11">
        <f>IFERROR(__xludf.DUMMYFUNCTION("""COMPUTED_VALUE"""),322.67)</f>
      </c>
      <c r="F1034" s="10">
        <f>IFERROR(__xludf.DUMMYFUNCTION("""COMPUTED_VALUE"""),0.6757)</f>
      </c>
      <c r="G1034" s="11">
        <f>IFERROR(__xludf.DUMMYFUNCTION("""COMPUTED_VALUE"""),451.2)</f>
      </c>
      <c r="H1034" s="10">
        <f>IFERROR(__xludf.DUMMYFUNCTION("""COMPUTED_VALUE"""),0.8108)</f>
      </c>
      <c r="I1034" s="11">
        <f>IFERROR(__xludf.DUMMYFUNCTION("""COMPUTED_VALUE"""),474.67)</f>
      </c>
      <c r="J1034" s="10">
        <f>IFERROR(__xludf.DUMMYFUNCTION("""COMPUTED_VALUE"""),0.7027)</f>
      </c>
      <c r="K1034" s="11">
        <f>IFERROR(__xludf.DUMMYFUNCTION("""COMPUTED_VALUE"""),312.31)</f>
      </c>
      <c r="L1034" s="10">
        <f>IFERROR(__xludf.DUMMYFUNCTION("""COMPUTED_VALUE"""),0.5135)</f>
      </c>
      <c r="M1034" s="11">
        <f>IFERROR(__xludf.DUMMYFUNCTION("""COMPUTED_VALUE"""),414.74)</f>
      </c>
      <c r="N1034" s="10">
        <f>IFERROR(__xludf.DUMMYFUNCTION("""COMPUTED_VALUE"""),0.4865)</f>
      </c>
      <c r="O1034" s="11">
        <f>IFERROR(__xludf.DUMMYFUNCTION("""COMPUTED_VALUE"""),362.22)</f>
      </c>
      <c r="P1034" s="12"/>
      <c r="Q1034" s="12"/>
      <c r="R1034" s="15"/>
      <c r="S1034" s="12"/>
      <c r="T1034" s="12"/>
      <c r="U1034" s="12"/>
      <c r="V1034" s="12"/>
      <c r="W1034" s="12"/>
      <c r="X1034" s="12"/>
      <c r="Y1034" s="12"/>
      <c r="Z1034" s="12"/>
    </row>
    <row x14ac:dyDescent="0.25" r="1035" customHeight="1" ht="15.75">
      <c r="A1035" s="8">
        <f>IFERROR(__xludf.DUMMYFUNCTION("""COMPUTED_VALUE"""),25169.0)</f>
      </c>
      <c r="B1035" s="9">
        <f>IFERROR(__xludf.DUMMYFUNCTION("""COMPUTED_VALUE"""),"SERRANA II")</f>
      </c>
      <c r="C1035" s="9">
        <f>IFERROR(__xludf.DUMMYFUNCTION("""COMPUTED_VALUE"""),"CIEP 479 DOUTOR MARIO SIMAO ASSAF")</f>
      </c>
      <c r="D1035" s="10">
        <f>IFERROR(__xludf.DUMMYFUNCTION("""COMPUTED_VALUE"""),1.0)</f>
      </c>
      <c r="E1035" s="11">
        <f>IFERROR(__xludf.DUMMYFUNCTION("""COMPUTED_VALUE"""),441.82)</f>
      </c>
      <c r="F1035" s="10">
        <f>IFERROR(__xludf.DUMMYFUNCTION("""COMPUTED_VALUE"""),1.0)</f>
      </c>
      <c r="G1035" s="11">
        <f>IFERROR(__xludf.DUMMYFUNCTION("""COMPUTED_VALUE"""),565.71)</f>
      </c>
      <c r="H1035" s="10">
        <f>IFERROR(__xludf.DUMMYFUNCTION("""COMPUTED_VALUE"""),1.0)</f>
      </c>
      <c r="I1035" s="11">
        <f>IFERROR(__xludf.DUMMYFUNCTION("""COMPUTED_VALUE"""),563.64)</f>
      </c>
      <c r="J1035" s="10">
        <f>IFERROR(__xludf.DUMMYFUNCTION("""COMPUTED_VALUE"""),1.0)</f>
      </c>
      <c r="K1035" s="11">
        <f>IFERROR(__xludf.DUMMYFUNCTION("""COMPUTED_VALUE"""),465.45)</f>
      </c>
      <c r="L1035" s="10">
        <f>IFERROR(__xludf.DUMMYFUNCTION("""COMPUTED_VALUE"""),1.0)</f>
      </c>
      <c r="M1035" s="11">
        <f>IFERROR(__xludf.DUMMYFUNCTION("""COMPUTED_VALUE"""),583.64)</f>
      </c>
      <c r="N1035" s="10">
        <f>IFERROR(__xludf.DUMMYFUNCTION("""COMPUTED_VALUE"""),0.9091)</f>
      </c>
      <c r="O1035" s="11">
        <f>IFERROR(__xludf.DUMMYFUNCTION("""COMPUTED_VALUE"""),598.0)</f>
      </c>
      <c r="P1035" s="12"/>
      <c r="Q1035" s="12"/>
      <c r="R1035" s="15"/>
      <c r="S1035" s="12"/>
      <c r="T1035" s="12"/>
      <c r="U1035" s="12"/>
      <c r="V1035" s="12"/>
      <c r="W1035" s="12"/>
      <c r="X1035" s="12"/>
      <c r="Y1035" s="12"/>
      <c r="Z1035" s="12"/>
    </row>
    <row x14ac:dyDescent="0.25" r="1036" customHeight="1" ht="15.75">
      <c r="A1036" s="8">
        <f>IFERROR(__xludf.DUMMYFUNCTION("""COMPUTED_VALUE"""),25222.0)</f>
      </c>
      <c r="B1036" s="9">
        <f>IFERROR(__xludf.DUMMYFUNCTION("""COMPUTED_VALUE"""),"SERRANA II")</f>
      </c>
      <c r="C1036" s="9">
        <f>IFERROR(__xludf.DUMMYFUNCTION("""COMPUTED_VALUE"""),"CIEP 480 PROFESSOR LUIZ CARLOS VERONESE")</f>
      </c>
      <c r="D1036" s="10">
        <f>IFERROR(__xludf.DUMMYFUNCTION("""COMPUTED_VALUE"""),0.8889)</f>
      </c>
      <c r="E1036" s="11">
        <f>IFERROR(__xludf.DUMMYFUNCTION("""COMPUTED_VALUE"""),327.06)</f>
      </c>
      <c r="F1036" s="10">
        <f>IFERROR(__xludf.DUMMYFUNCTION("""COMPUTED_VALUE"""),0.8889)</f>
      </c>
      <c r="G1036" s="11">
        <f>IFERROR(__xludf.DUMMYFUNCTION("""COMPUTED_VALUE"""),365.0)</f>
      </c>
      <c r="H1036" s="10">
        <f>IFERROR(__xludf.DUMMYFUNCTION("""COMPUTED_VALUE"""),0.7407)</f>
      </c>
      <c r="I1036" s="11">
        <f>IFERROR(__xludf.DUMMYFUNCTION("""COMPUTED_VALUE"""),434.0)</f>
      </c>
      <c r="J1036" s="10">
        <f>IFERROR(__xludf.DUMMYFUNCTION("""COMPUTED_VALUE"""),0.8148)</f>
      </c>
      <c r="K1036" s="11">
        <f>IFERROR(__xludf.DUMMYFUNCTION("""COMPUTED_VALUE"""),263.64)</f>
      </c>
      <c r="L1036" s="10">
        <f>IFERROR(__xludf.DUMMYFUNCTION("""COMPUTED_VALUE"""),0.7037)</f>
      </c>
      <c r="M1036" s="11">
        <f>IFERROR(__xludf.DUMMYFUNCTION("""COMPUTED_VALUE"""),414.74)</f>
      </c>
      <c r="N1036" s="10">
        <f>IFERROR(__xludf.DUMMYFUNCTION("""COMPUTED_VALUE"""),0.7407)</f>
      </c>
      <c r="O1036" s="11">
        <f>IFERROR(__xludf.DUMMYFUNCTION("""COMPUTED_VALUE"""),392.0)</f>
      </c>
      <c r="P1036" s="12"/>
      <c r="Q1036" s="12"/>
      <c r="R1036" s="15"/>
      <c r="S1036" s="12"/>
      <c r="T1036" s="12"/>
      <c r="U1036" s="12"/>
      <c r="V1036" s="12"/>
      <c r="W1036" s="12"/>
      <c r="X1036" s="12"/>
      <c r="Y1036" s="12"/>
      <c r="Z1036" s="12"/>
    </row>
    <row x14ac:dyDescent="0.25" r="1037" customHeight="1" ht="15.75">
      <c r="A1037" s="8">
        <f>IFERROR(__xludf.DUMMYFUNCTION("""COMPUTED_VALUE"""),25197.0)</f>
      </c>
      <c r="B1037" s="9">
        <f>IFERROR(__xludf.DUMMYFUNCTION("""COMPUTED_VALUE"""),"SERRANA II")</f>
      </c>
      <c r="C1037" s="9">
        <f>IFERROR(__xludf.DUMMYFUNCTION("""COMPUTED_VALUE"""),"CIEP 511 ALAIDE ARAUJO STORCK MELLOR MARQUES")</f>
      </c>
      <c r="D1037" s="10">
        <f>IFERROR(__xludf.DUMMYFUNCTION("""COMPUTED_VALUE"""),0.9118)</f>
      </c>
      <c r="E1037" s="11">
        <f>IFERROR(__xludf.DUMMYFUNCTION("""COMPUTED_VALUE"""),306.9)</f>
      </c>
      <c r="F1037" s="10">
        <f>IFERROR(__xludf.DUMMYFUNCTION("""COMPUTED_VALUE"""),0.9412)</f>
      </c>
      <c r="G1037" s="11">
        <f>IFERROR(__xludf.DUMMYFUNCTION("""COMPUTED_VALUE"""),451.43)</f>
      </c>
      <c r="H1037" s="10">
        <f>IFERROR(__xludf.DUMMYFUNCTION("""COMPUTED_VALUE"""),0.6176)</f>
      </c>
      <c r="I1037" s="11">
        <f>IFERROR(__xludf.DUMMYFUNCTION("""COMPUTED_VALUE"""),466.67)</f>
      </c>
      <c r="J1037" s="10">
        <f>IFERROR(__xludf.DUMMYFUNCTION("""COMPUTED_VALUE"""),0.7353)</f>
      </c>
      <c r="K1037" s="11">
        <f>IFERROR(__xludf.DUMMYFUNCTION("""COMPUTED_VALUE"""),404.8)</f>
      </c>
      <c r="L1037" s="10">
        <f>IFERROR(__xludf.DUMMYFUNCTION("""COMPUTED_VALUE"""),0.7941)</f>
      </c>
      <c r="M1037" s="11">
        <f>IFERROR(__xludf.DUMMYFUNCTION("""COMPUTED_VALUE"""),477.78)</f>
      </c>
      <c r="N1037" s="10">
        <f>IFERROR(__xludf.DUMMYFUNCTION("""COMPUTED_VALUE"""),0.7353)</f>
      </c>
      <c r="O1037" s="11">
        <f>IFERROR(__xludf.DUMMYFUNCTION("""COMPUTED_VALUE"""),488.0)</f>
      </c>
      <c r="P1037" s="12"/>
      <c r="Q1037" s="12"/>
      <c r="R1037" s="15"/>
      <c r="S1037" s="12"/>
      <c r="T1037" s="12"/>
      <c r="U1037" s="12"/>
      <c r="V1037" s="12"/>
      <c r="W1037" s="12"/>
      <c r="X1037" s="12"/>
      <c r="Y1037" s="12"/>
      <c r="Z1037" s="12"/>
    </row>
    <row x14ac:dyDescent="0.25" r="1038" customHeight="1" ht="15.75">
      <c r="A1038" s="8">
        <f>IFERROR(__xludf.DUMMYFUNCTION("""COMPUTED_VALUE"""),25224.0)</f>
      </c>
      <c r="B1038" s="9">
        <f>IFERROR(__xludf.DUMMYFUNCTION("""COMPUTED_VALUE"""),"SERRANA II")</f>
      </c>
      <c r="C1038" s="9">
        <f>IFERROR(__xludf.DUMMYFUNCTION("""COMPUTED_VALUE"""),"IE DE NOVA FRIBURGO")</f>
      </c>
      <c r="D1038" s="10">
        <f>IFERROR(__xludf.DUMMYFUNCTION("""COMPUTED_VALUE"""),0.8675)</f>
      </c>
      <c r="E1038" s="11">
        <f>IFERROR(__xludf.DUMMYFUNCTION("""COMPUTED_VALUE"""),392.5)</f>
      </c>
      <c r="F1038" s="10">
        <f>IFERROR(__xludf.DUMMYFUNCTION("""COMPUTED_VALUE"""),0.7289)</f>
      </c>
      <c r="G1038" s="11">
        <f>IFERROR(__xludf.DUMMYFUNCTION("""COMPUTED_VALUE"""),508.67)</f>
      </c>
      <c r="H1038" s="10">
        <f>IFERROR(__xludf.DUMMYFUNCTION("""COMPUTED_VALUE"""),0.8494)</f>
      </c>
      <c r="I1038" s="11">
        <f>IFERROR(__xludf.DUMMYFUNCTION("""COMPUTED_VALUE"""),504.68)</f>
      </c>
      <c r="J1038" s="10">
        <f>IFERROR(__xludf.DUMMYFUNCTION("""COMPUTED_VALUE"""),0.8554)</f>
      </c>
      <c r="K1038" s="11">
        <f>IFERROR(__xludf.DUMMYFUNCTION("""COMPUTED_VALUE"""),506.45)</f>
      </c>
      <c r="L1038" s="10">
        <f>IFERROR(__xludf.DUMMYFUNCTION("""COMPUTED_VALUE"""),0.747)</f>
      </c>
      <c r="M1038" s="11">
        <f>IFERROR(__xludf.DUMMYFUNCTION("""COMPUTED_VALUE"""),570.32)</f>
      </c>
      <c r="N1038" s="10">
        <f>IFERROR(__xludf.DUMMYFUNCTION("""COMPUTED_VALUE"""),0.6988)</f>
      </c>
      <c r="O1038" s="11">
        <f>IFERROR(__xludf.DUMMYFUNCTION("""COMPUTED_VALUE"""),532.87)</f>
      </c>
      <c r="P1038" s="12"/>
      <c r="Q1038" s="12"/>
      <c r="R1038" s="15"/>
      <c r="S1038" s="12"/>
      <c r="T1038" s="12"/>
      <c r="U1038" s="12"/>
      <c r="V1038" s="12"/>
      <c r="W1038" s="12"/>
      <c r="X1038" s="12"/>
      <c r="Y1038" s="12"/>
      <c r="Z1038" s="12"/>
    </row>
    <row x14ac:dyDescent="0.25" r="1039" customHeight="1" ht="15.75">
      <c r="A1039" s="8">
        <f>IFERROR(__xludf.DUMMYFUNCTION("""COMPUTED_VALUE"""),25193.0)</f>
      </c>
      <c r="B1039" s="9">
        <f>IFERROR(__xludf.DUMMYFUNCTION("""COMPUTED_VALUE"""),"SERRANA II")</f>
      </c>
      <c r="C1039" s="9">
        <f>IFERROR(__xludf.DUMMYFUNCTION("""COMPUTED_VALUE"""),"IE INOCÊNCIO DE ANDRADE")</f>
      </c>
      <c r="D1039" s="10">
        <f>IFERROR(__xludf.DUMMYFUNCTION("""COMPUTED_VALUE"""),0.9865)</f>
      </c>
      <c r="E1039" s="11">
        <f>IFERROR(__xludf.DUMMYFUNCTION("""COMPUTED_VALUE"""),355.07)</f>
      </c>
      <c r="F1039" s="10">
        <f>IFERROR(__xludf.DUMMYFUNCTION("""COMPUTED_VALUE"""),1.0)</f>
      </c>
      <c r="G1039" s="11">
        <f>IFERROR(__xludf.DUMMYFUNCTION("""COMPUTED_VALUE"""),416.99)</f>
      </c>
      <c r="H1039" s="10">
        <f>IFERROR(__xludf.DUMMYFUNCTION("""COMPUTED_VALUE"""),1.0)</f>
      </c>
      <c r="I1039" s="11">
        <f>IFERROR(__xludf.DUMMYFUNCTION("""COMPUTED_VALUE"""),411.35)</f>
      </c>
      <c r="J1039" s="10">
        <f>IFERROR(__xludf.DUMMYFUNCTION("""COMPUTED_VALUE"""),0.973)</f>
      </c>
      <c r="K1039" s="11">
        <f>IFERROR(__xludf.DUMMYFUNCTION("""COMPUTED_VALUE"""),428.89)</f>
      </c>
      <c r="L1039" s="10">
        <f>IFERROR(__xludf.DUMMYFUNCTION("""COMPUTED_VALUE"""),0.9595)</f>
      </c>
      <c r="M1039" s="11">
        <f>IFERROR(__xludf.DUMMYFUNCTION("""COMPUTED_VALUE"""),471.55)</f>
      </c>
      <c r="N1039" s="10">
        <f>IFERROR(__xludf.DUMMYFUNCTION("""COMPUTED_VALUE"""),0.9595)</f>
      </c>
      <c r="O1039" s="11">
        <f>IFERROR(__xludf.DUMMYFUNCTION("""COMPUTED_VALUE"""),482.25)</f>
      </c>
      <c r="P1039" s="12"/>
      <c r="Q1039" s="12"/>
      <c r="R1039" s="15"/>
      <c r="S1039" s="12"/>
      <c r="T1039" s="12"/>
      <c r="U1039" s="12"/>
      <c r="V1039" s="12"/>
      <c r="W1039" s="12"/>
      <c r="X1039" s="12"/>
      <c r="Y1039" s="12"/>
      <c r="Z1039" s="12"/>
    </row>
    <row x14ac:dyDescent="0.25" r="1040" customHeight="1" ht="15.75">
      <c r="A1040" s="8">
        <f>IFERROR(__xludf.DUMMYFUNCTION("""COMPUTED_VALUE"""),26210.0)</f>
      </c>
      <c r="B1040" s="9">
        <f>IFERROR(__xludf.DUMMYFUNCTION("""COMPUTED_VALUE"""),"SUL FLUMINENSE")</f>
      </c>
      <c r="C1040" s="9">
        <f>IFERROR(__xludf.DUMMYFUNCTION("""COMPUTED_VALUE"""),"CE ACACIA AMARELA")</f>
      </c>
      <c r="D1040" s="10">
        <f>IFERROR(__xludf.DUMMYFUNCTION("""COMPUTED_VALUE"""),0.8846)</f>
      </c>
      <c r="E1040" s="11">
        <f>IFERROR(__xludf.DUMMYFUNCTION("""COMPUTED_VALUE"""),403.48)</f>
      </c>
      <c r="F1040" s="10">
        <f>IFERROR(__xludf.DUMMYFUNCTION("""COMPUTED_VALUE"""),0.9231)</f>
      </c>
      <c r="G1040" s="11">
        <f>IFERROR(__xludf.DUMMYFUNCTION("""COMPUTED_VALUE"""),460.0)</f>
      </c>
      <c r="H1040" s="10">
        <f>IFERROR(__xludf.DUMMYFUNCTION("""COMPUTED_VALUE"""),0.9615)</f>
      </c>
      <c r="I1040" s="11">
        <f>IFERROR(__xludf.DUMMYFUNCTION("""COMPUTED_VALUE"""),538.33)</f>
      </c>
      <c r="J1040" s="10">
        <f>IFERROR(__xludf.DUMMYFUNCTION("""COMPUTED_VALUE"""),1.0)</f>
      </c>
      <c r="K1040" s="11">
        <f>IFERROR(__xludf.DUMMYFUNCTION("""COMPUTED_VALUE"""),501.54)</f>
      </c>
      <c r="L1040" s="10">
        <f>IFERROR(__xludf.DUMMYFUNCTION("""COMPUTED_VALUE"""),0.9615)</f>
      </c>
      <c r="M1040" s="11">
        <f>IFERROR(__xludf.DUMMYFUNCTION("""COMPUTED_VALUE"""),582.4)</f>
      </c>
      <c r="N1040" s="10">
        <f>IFERROR(__xludf.DUMMYFUNCTION("""COMPUTED_VALUE"""),0.9231)</f>
      </c>
      <c r="O1040" s="11">
        <f>IFERROR(__xludf.DUMMYFUNCTION("""COMPUTED_VALUE"""),536.67)</f>
      </c>
      <c r="P1040" s="12"/>
      <c r="Q1040" s="12"/>
      <c r="R1040" s="15"/>
      <c r="S1040" s="12"/>
      <c r="T1040" s="12"/>
      <c r="U1040" s="12"/>
      <c r="V1040" s="12"/>
      <c r="W1040" s="12"/>
      <c r="X1040" s="12"/>
      <c r="Y1040" s="12"/>
      <c r="Z1040" s="12"/>
    </row>
    <row x14ac:dyDescent="0.25" r="1041" customHeight="1" ht="15.75">
      <c r="A1041" s="8">
        <f>IFERROR(__xludf.DUMMYFUNCTION("""COMPUTED_VALUE"""),26190.0)</f>
      </c>
      <c r="B1041" s="9">
        <f>IFERROR(__xludf.DUMMYFUNCTION("""COMPUTED_VALUE"""),"SUL FLUMINENSE")</f>
      </c>
      <c r="C1041" s="9">
        <f>IFERROR(__xludf.DUMMYFUNCTION("""COMPUTED_VALUE"""),"CE AFFONSINA MAZZILLO TEIXEIRA CAMPOS")</f>
      </c>
      <c r="D1041" s="10">
        <f>IFERROR(__xludf.DUMMYFUNCTION("""COMPUTED_VALUE"""),0.7751)</f>
      </c>
      <c r="E1041" s="11">
        <f>IFERROR(__xludf.DUMMYFUNCTION("""COMPUTED_VALUE"""),245.47)</f>
      </c>
      <c r="F1041" s="10">
        <f>IFERROR(__xludf.DUMMYFUNCTION("""COMPUTED_VALUE"""),0.6024)</f>
      </c>
      <c r="G1041" s="11">
        <f>IFERROR(__xludf.DUMMYFUNCTION("""COMPUTED_VALUE"""),445.95)</f>
      </c>
      <c r="H1041" s="10">
        <f>IFERROR(__xludf.DUMMYFUNCTION("""COMPUTED_VALUE"""),0.5863)</f>
      </c>
      <c r="I1041" s="11">
        <f>IFERROR(__xludf.DUMMYFUNCTION("""COMPUTED_VALUE"""),475.21)</f>
      </c>
      <c r="J1041" s="10">
        <f>IFERROR(__xludf.DUMMYFUNCTION("""COMPUTED_VALUE"""),0.6988)</f>
      </c>
      <c r="K1041" s="11">
        <f>IFERROR(__xludf.DUMMYFUNCTION("""COMPUTED_VALUE"""),254.5)</f>
      </c>
      <c r="L1041" s="10">
        <f>IFERROR(__xludf.DUMMYFUNCTION("""COMPUTED_VALUE"""),0.6225)</f>
      </c>
      <c r="M1041" s="11">
        <f>IFERROR(__xludf.DUMMYFUNCTION("""COMPUTED_VALUE"""),496.1)</f>
      </c>
      <c r="N1041" s="10">
        <f>IFERROR(__xludf.DUMMYFUNCTION("""COMPUTED_VALUE"""),0.5984)</f>
      </c>
      <c r="O1041" s="11">
        <f>IFERROR(__xludf.DUMMYFUNCTION("""COMPUTED_VALUE"""),493.89)</f>
      </c>
      <c r="P1041" s="12"/>
      <c r="Q1041" s="12"/>
      <c r="R1041" s="15"/>
      <c r="S1041" s="12"/>
      <c r="T1041" s="12"/>
      <c r="U1041" s="12"/>
      <c r="V1041" s="12"/>
      <c r="W1041" s="12"/>
      <c r="X1041" s="12"/>
      <c r="Y1041" s="12"/>
      <c r="Z1041" s="12"/>
    </row>
    <row x14ac:dyDescent="0.25" r="1042" customHeight="1" ht="15.75">
      <c r="A1042" s="8">
        <f>IFERROR(__xludf.DUMMYFUNCTION("""COMPUTED_VALUE"""),26207.0)</f>
      </c>
      <c r="B1042" s="9">
        <f>IFERROR(__xludf.DUMMYFUNCTION("""COMPUTED_VALUE"""),"SUL FLUMINENSE")</f>
      </c>
      <c r="C1042" s="9">
        <f>IFERROR(__xludf.DUMMYFUNCTION("""COMPUTED_VALUE"""),"CE ALFREDO PUJOL")</f>
      </c>
      <c r="D1042" s="10">
        <f>IFERROR(__xludf.DUMMYFUNCTION("""COMPUTED_VALUE"""),0.8065)</f>
      </c>
      <c r="E1042" s="11">
        <f>IFERROR(__xludf.DUMMYFUNCTION("""COMPUTED_VALUE"""),333.06)</f>
      </c>
      <c r="F1042" s="10">
        <f>IFERROR(__xludf.DUMMYFUNCTION("""COMPUTED_VALUE"""),0.7097)</f>
      </c>
      <c r="G1042" s="11">
        <f>IFERROR(__xludf.DUMMYFUNCTION("""COMPUTED_VALUE"""),374.55)</f>
      </c>
      <c r="H1042" s="10">
        <f>IFERROR(__xludf.DUMMYFUNCTION("""COMPUTED_VALUE"""),0.4032)</f>
      </c>
      <c r="I1042" s="11">
        <f>IFERROR(__xludf.DUMMYFUNCTION("""COMPUTED_VALUE"""),445.0)</f>
      </c>
      <c r="J1042" s="10">
        <f>IFERROR(__xludf.DUMMYFUNCTION("""COMPUTED_VALUE"""),0.5806)</f>
      </c>
      <c r="K1042" s="11">
        <f>IFERROR(__xludf.DUMMYFUNCTION("""COMPUTED_VALUE"""),389.71)</f>
      </c>
      <c r="L1042" s="10">
        <f>IFERROR(__xludf.DUMMYFUNCTION("""COMPUTED_VALUE"""),0.5968)</f>
      </c>
      <c r="M1042" s="11">
        <f>IFERROR(__xludf.DUMMYFUNCTION("""COMPUTED_VALUE"""),451.89)</f>
      </c>
      <c r="N1042" s="10">
        <f>IFERROR(__xludf.DUMMYFUNCTION("""COMPUTED_VALUE"""),0.6129)</f>
      </c>
      <c r="O1042" s="11">
        <f>IFERROR(__xludf.DUMMYFUNCTION("""COMPUTED_VALUE"""),458.38)</f>
      </c>
      <c r="P1042" s="12"/>
      <c r="Q1042" s="12"/>
      <c r="R1042" s="15"/>
      <c r="S1042" s="12"/>
      <c r="T1042" s="12"/>
      <c r="U1042" s="12"/>
      <c r="V1042" s="12"/>
      <c r="W1042" s="12"/>
      <c r="X1042" s="12"/>
      <c r="Y1042" s="12"/>
      <c r="Z1042" s="12"/>
    </row>
    <row x14ac:dyDescent="0.25" r="1043" customHeight="1" ht="15.75">
      <c r="A1043" s="8">
        <f>IFERROR(__xludf.DUMMYFUNCTION("""COMPUTED_VALUE"""),26184.0)</f>
      </c>
      <c r="B1043" s="9">
        <f>IFERROR(__xludf.DUMMYFUNCTION("""COMPUTED_VALUE"""),"SUL FLUMINENSE")</f>
      </c>
      <c r="C1043" s="9">
        <f>IFERROR(__xludf.DUMMYFUNCTION("""COMPUTED_VALUE"""),"CE ALMIRANTE ALVARO ALBERTO")</f>
      </c>
      <c r="D1043" s="10">
        <f>IFERROR(__xludf.DUMMYFUNCTION("""COMPUTED_VALUE"""),0.989)</f>
      </c>
      <c r="E1043" s="11">
        <f>IFERROR(__xludf.DUMMYFUNCTION("""COMPUTED_VALUE"""),326.81)</f>
      </c>
      <c r="F1043" s="10">
        <f>IFERROR(__xludf.DUMMYFUNCTION("""COMPUTED_VALUE"""),0.9048)</f>
      </c>
      <c r="G1043" s="11">
        <f>IFERROR(__xludf.DUMMYFUNCTION("""COMPUTED_VALUE"""),400.65)</f>
      </c>
      <c r="H1043" s="10">
        <f>IFERROR(__xludf.DUMMYFUNCTION("""COMPUTED_VALUE"""),0.7656)</f>
      </c>
      <c r="I1043" s="11">
        <f>IFERROR(__xludf.DUMMYFUNCTION("""COMPUTED_VALUE"""),456.43)</f>
      </c>
      <c r="J1043" s="10">
        <f>IFERROR(__xludf.DUMMYFUNCTION("""COMPUTED_VALUE"""),0.7656)</f>
      </c>
      <c r="K1043" s="11">
        <f>IFERROR(__xludf.DUMMYFUNCTION("""COMPUTED_VALUE"""),433.89)</f>
      </c>
      <c r="L1043" s="10">
        <f>IFERROR(__xludf.DUMMYFUNCTION("""COMPUTED_VALUE"""),0.7216)</f>
      </c>
      <c r="M1043" s="11">
        <f>IFERROR(__xludf.DUMMYFUNCTION("""COMPUTED_VALUE"""),483.27)</f>
      </c>
      <c r="N1043" s="10">
        <f>IFERROR(__xludf.DUMMYFUNCTION("""COMPUTED_VALUE"""),0.6996)</f>
      </c>
      <c r="O1043" s="11">
        <f>IFERROR(__xludf.DUMMYFUNCTION("""COMPUTED_VALUE"""),481.49)</f>
      </c>
      <c r="P1043" s="12"/>
      <c r="Q1043" s="12"/>
      <c r="R1043" s="15"/>
      <c r="S1043" s="12"/>
      <c r="T1043" s="12"/>
      <c r="U1043" s="12"/>
      <c r="V1043" s="12"/>
      <c r="W1043" s="12"/>
      <c r="X1043" s="12"/>
      <c r="Y1043" s="12"/>
      <c r="Z1043" s="12"/>
    </row>
    <row x14ac:dyDescent="0.25" r="1044" customHeight="1" ht="15.75">
      <c r="A1044" s="8">
        <f>IFERROR(__xludf.DUMMYFUNCTION("""COMPUTED_VALUE"""),26194.0)</f>
      </c>
      <c r="B1044" s="9">
        <f>IFERROR(__xludf.DUMMYFUNCTION("""COMPUTED_VALUE"""),"SUL FLUMINENSE")</f>
      </c>
      <c r="C1044" s="9">
        <f>IFERROR(__xludf.DUMMYFUNCTION("""COMPUTED_VALUE"""),"CE AMERICO PIMENTA")</f>
      </c>
      <c r="D1044" s="10">
        <f>IFERROR(__xludf.DUMMYFUNCTION("""COMPUTED_VALUE"""),0.7554)</f>
      </c>
      <c r="E1044" s="11">
        <f>IFERROR(__xludf.DUMMYFUNCTION("""COMPUTED_VALUE"""),"----")</f>
      </c>
      <c r="F1044" s="10">
        <f>IFERROR(__xludf.DUMMYFUNCTION("""COMPUTED_VALUE"""),0.7296)</f>
      </c>
      <c r="G1044" s="11">
        <f>IFERROR(__xludf.DUMMYFUNCTION("""COMPUTED_VALUE"""),387.7)</f>
      </c>
      <c r="H1044" s="10">
        <f>IFERROR(__xludf.DUMMYFUNCTION("""COMPUTED_VALUE"""),0.7438)</f>
      </c>
      <c r="I1044" s="11">
        <f>IFERROR(__xludf.DUMMYFUNCTION("""COMPUTED_VALUE"""),447.7)</f>
      </c>
      <c r="J1044" s="10">
        <f>IFERROR(__xludf.DUMMYFUNCTION("""COMPUTED_VALUE"""),0.8701)</f>
      </c>
      <c r="K1044" s="11">
        <f>IFERROR(__xludf.DUMMYFUNCTION("""COMPUTED_VALUE"""),344.68)</f>
      </c>
      <c r="L1044" s="10">
        <f>IFERROR(__xludf.DUMMYFUNCTION("""COMPUTED_VALUE"""),0.686)</f>
      </c>
      <c r="M1044" s="11">
        <f>IFERROR(__xludf.DUMMYFUNCTION("""COMPUTED_VALUE"""),425.68)</f>
      </c>
      <c r="N1044" s="10">
        <f>IFERROR(__xludf.DUMMYFUNCTION("""COMPUTED_VALUE"""),0.6033)</f>
      </c>
      <c r="O1044" s="11">
        <f>IFERROR(__xludf.DUMMYFUNCTION("""COMPUTED_VALUE"""),413.26)</f>
      </c>
      <c r="P1044" s="12"/>
      <c r="Q1044" s="12"/>
      <c r="R1044" s="15"/>
      <c r="S1044" s="12"/>
      <c r="T1044" s="12"/>
      <c r="U1044" s="12"/>
      <c r="V1044" s="12"/>
      <c r="W1044" s="12"/>
      <c r="X1044" s="12"/>
      <c r="Y1044" s="12"/>
      <c r="Z1044" s="12"/>
    </row>
    <row x14ac:dyDescent="0.25" r="1045" customHeight="1" ht="15.75">
      <c r="A1045" s="8">
        <f>IFERROR(__xludf.DUMMYFUNCTION("""COMPUTED_VALUE"""),26195.0)</f>
      </c>
      <c r="B1045" s="9">
        <f>IFERROR(__xludf.DUMMYFUNCTION("""COMPUTED_VALUE"""),"SUL FLUMINENSE")</f>
      </c>
      <c r="C1045" s="9">
        <f>IFERROR(__xludf.DUMMYFUNCTION("""COMPUTED_VALUE"""),"CE ANÍBAL BENÉVOLO")</f>
      </c>
      <c r="D1045" s="10">
        <f>IFERROR(__xludf.DUMMYFUNCTION("""COMPUTED_VALUE"""),0.9487)</f>
      </c>
      <c r="E1045" s="11">
        <f>IFERROR(__xludf.DUMMYFUNCTION("""COMPUTED_VALUE"""),444.86)</f>
      </c>
      <c r="F1045" s="10">
        <f>IFERROR(__xludf.DUMMYFUNCTION("""COMPUTED_VALUE"""),0.8718)</f>
      </c>
      <c r="G1045" s="11">
        <f>IFERROR(__xludf.DUMMYFUNCTION("""COMPUTED_VALUE"""),486.67)</f>
      </c>
      <c r="H1045" s="10">
        <f>IFERROR(__xludf.DUMMYFUNCTION("""COMPUTED_VALUE"""),0.8462)</f>
      </c>
      <c r="I1045" s="11">
        <f>IFERROR(__xludf.DUMMYFUNCTION("""COMPUTED_VALUE"""),484.85)</f>
      </c>
      <c r="J1045" s="10">
        <f>IFERROR(__xludf.DUMMYFUNCTION("""COMPUTED_VALUE"""),0.9231)</f>
      </c>
      <c r="K1045" s="11">
        <f>IFERROR(__xludf.DUMMYFUNCTION("""COMPUTED_VALUE"""),518.31)</f>
      </c>
      <c r="L1045" s="10">
        <f>IFERROR(__xludf.DUMMYFUNCTION("""COMPUTED_VALUE"""),0.7949)</f>
      </c>
      <c r="M1045" s="11">
        <f>IFERROR(__xludf.DUMMYFUNCTION("""COMPUTED_VALUE"""),534.19)</f>
      </c>
      <c r="N1045" s="10">
        <f>IFERROR(__xludf.DUMMYFUNCTION("""COMPUTED_VALUE"""),0.8462)</f>
      </c>
      <c r="O1045" s="11">
        <f>IFERROR(__xludf.DUMMYFUNCTION("""COMPUTED_VALUE"""),515.15)</f>
      </c>
      <c r="P1045" s="12"/>
      <c r="Q1045" s="12"/>
      <c r="R1045" s="15"/>
      <c r="S1045" s="12"/>
      <c r="T1045" s="12"/>
      <c r="U1045" s="12"/>
      <c r="V1045" s="12"/>
      <c r="W1045" s="12"/>
      <c r="X1045" s="12"/>
      <c r="Y1045" s="12"/>
      <c r="Z1045" s="12"/>
    </row>
    <row x14ac:dyDescent="0.25" r="1046" customHeight="1" ht="15.75">
      <c r="A1046" s="8">
        <f>IFERROR(__xludf.DUMMYFUNCTION("""COMPUTED_VALUE"""),26196.0)</f>
      </c>
      <c r="B1046" s="9">
        <f>IFERROR(__xludf.DUMMYFUNCTION("""COMPUTED_VALUE"""),"SUL FLUMINENSE")</f>
      </c>
      <c r="C1046" s="9">
        <f>IFERROR(__xludf.DUMMYFUNCTION("""COMPUTED_VALUE"""),"CE ANTONINA RAMOS FREIRE")</f>
      </c>
      <c r="D1046" s="10">
        <f>IFERROR(__xludf.DUMMYFUNCTION("""COMPUTED_VALUE"""),0.8813)</f>
      </c>
      <c r="E1046" s="11">
        <f>IFERROR(__xludf.DUMMYFUNCTION("""COMPUTED_VALUE"""),318.7)</f>
      </c>
      <c r="F1046" s="10">
        <f>IFERROR(__xludf.DUMMYFUNCTION("""COMPUTED_VALUE"""),0.7125)</f>
      </c>
      <c r="G1046" s="11">
        <f>IFERROR(__xludf.DUMMYFUNCTION("""COMPUTED_VALUE"""),469.2)</f>
      </c>
      <c r="H1046" s="10">
        <f>IFERROR(__xludf.DUMMYFUNCTION("""COMPUTED_VALUE"""),0.6532)</f>
      </c>
      <c r="I1046" s="11">
        <f>IFERROR(__xludf.DUMMYFUNCTION("""COMPUTED_VALUE"""),509.73)</f>
      </c>
      <c r="J1046" s="10">
        <f>IFERROR(__xludf.DUMMYFUNCTION("""COMPUTED_VALUE"""),0.7188)</f>
      </c>
      <c r="K1046" s="11">
        <f>IFERROR(__xludf.DUMMYFUNCTION("""COMPUTED_VALUE"""),452.82)</f>
      </c>
      <c r="L1046" s="10">
        <f>IFERROR(__xludf.DUMMYFUNCTION("""COMPUTED_VALUE"""),0.6936)</f>
      </c>
      <c r="M1046" s="11">
        <f>IFERROR(__xludf.DUMMYFUNCTION("""COMPUTED_VALUE"""),479.1)</f>
      </c>
      <c r="N1046" s="10">
        <f>IFERROR(__xludf.DUMMYFUNCTION("""COMPUTED_VALUE"""),0.6069)</f>
      </c>
      <c r="O1046" s="11">
        <f>IFERROR(__xludf.DUMMYFUNCTION("""COMPUTED_VALUE"""),492.81)</f>
      </c>
      <c r="P1046" s="12"/>
      <c r="Q1046" s="12"/>
      <c r="R1046" s="15"/>
      <c r="S1046" s="12"/>
      <c r="T1046" s="12"/>
      <c r="U1046" s="12"/>
      <c r="V1046" s="12"/>
      <c r="W1046" s="12"/>
      <c r="X1046" s="12"/>
      <c r="Y1046" s="12"/>
      <c r="Z1046" s="12"/>
    </row>
    <row x14ac:dyDescent="0.25" r="1047" customHeight="1" ht="15.75">
      <c r="A1047" s="8">
        <f>IFERROR(__xludf.DUMMYFUNCTION("""COMPUTED_VALUE"""),26148.0)</f>
      </c>
      <c r="B1047" s="9">
        <f>IFERROR(__xludf.DUMMYFUNCTION("""COMPUTED_VALUE"""),"SUL FLUMINENSE")</f>
      </c>
      <c r="C1047" s="9">
        <f>IFERROR(__xludf.DUMMYFUNCTION("""COMPUTED_VALUE"""),"CE ANTONIO DIAS LIMA")</f>
      </c>
      <c r="D1047" s="10">
        <f>IFERROR(__xludf.DUMMYFUNCTION("""COMPUTED_VALUE"""),0.6274)</f>
      </c>
      <c r="E1047" s="11">
        <f>IFERROR(__xludf.DUMMYFUNCTION("""COMPUTED_VALUE"""),271.64)</f>
      </c>
      <c r="F1047" s="10">
        <f>IFERROR(__xludf.DUMMYFUNCTION("""COMPUTED_VALUE"""),0.8885)</f>
      </c>
      <c r="G1047" s="11">
        <f>IFERROR(__xludf.DUMMYFUNCTION("""COMPUTED_VALUE"""),218.08)</f>
      </c>
      <c r="H1047" s="10">
        <f>IFERROR(__xludf.DUMMYFUNCTION("""COMPUTED_VALUE"""),0.8694)</f>
      </c>
      <c r="I1047" s="11">
        <f>IFERROR(__xludf.DUMMYFUNCTION("""COMPUTED_VALUE"""),284.02)</f>
      </c>
      <c r="J1047" s="10">
        <f>IFERROR(__xludf.DUMMYFUNCTION("""COMPUTED_VALUE"""),0.5875)</f>
      </c>
      <c r="K1047" s="11">
        <f>IFERROR(__xludf.DUMMYFUNCTION("""COMPUTED_VALUE"""),426.04)</f>
      </c>
      <c r="L1047" s="10">
        <f>IFERROR(__xludf.DUMMYFUNCTION("""COMPUTED_VALUE"""),0.575)</f>
      </c>
      <c r="M1047" s="11">
        <f>IFERROR(__xludf.DUMMYFUNCTION("""COMPUTED_VALUE"""),463.53)</f>
      </c>
      <c r="N1047" s="10">
        <f>IFERROR(__xludf.DUMMYFUNCTION("""COMPUTED_VALUE"""),0.5667)</f>
      </c>
      <c r="O1047" s="11">
        <f>IFERROR(__xludf.DUMMYFUNCTION("""COMPUTED_VALUE"""),534.31)</f>
      </c>
      <c r="P1047" s="12"/>
      <c r="Q1047" s="12"/>
      <c r="R1047" s="15"/>
      <c r="S1047" s="12"/>
      <c r="T1047" s="12"/>
      <c r="U1047" s="12"/>
      <c r="V1047" s="12"/>
      <c r="W1047" s="12"/>
      <c r="X1047" s="12"/>
      <c r="Y1047" s="12"/>
      <c r="Z1047" s="12"/>
    </row>
    <row x14ac:dyDescent="0.25" r="1048" customHeight="1" ht="15.75">
      <c r="A1048" s="8">
        <f>IFERROR(__xludf.DUMMYFUNCTION("""COMPUTED_VALUE"""),26197.0)</f>
      </c>
      <c r="B1048" s="9">
        <f>IFERROR(__xludf.DUMMYFUNCTION("""COMPUTED_VALUE"""),"SUL FLUMINENSE")</f>
      </c>
      <c r="C1048" s="9">
        <f>IFERROR(__xludf.DUMMYFUNCTION("""COMPUTED_VALUE"""),"CE ANTÔNIO QUIRINO")</f>
      </c>
      <c r="D1048" s="10">
        <f>IFERROR(__xludf.DUMMYFUNCTION("""COMPUTED_VALUE"""),0.8061)</f>
      </c>
      <c r="E1048" s="11">
        <f>IFERROR(__xludf.DUMMYFUNCTION("""COMPUTED_VALUE"""),326.08)</f>
      </c>
      <c r="F1048" s="10">
        <f>IFERROR(__xludf.DUMMYFUNCTION("""COMPUTED_VALUE"""),0.6633)</f>
      </c>
      <c r="G1048" s="11">
        <f>IFERROR(__xludf.DUMMYFUNCTION("""COMPUTED_VALUE"""),473.85)</f>
      </c>
      <c r="H1048" s="10">
        <f>IFERROR(__xludf.DUMMYFUNCTION("""COMPUTED_VALUE"""),0.7551)</f>
      </c>
      <c r="I1048" s="11">
        <f>IFERROR(__xludf.DUMMYFUNCTION("""COMPUTED_VALUE"""),464.86)</f>
      </c>
      <c r="J1048" s="10">
        <f>IFERROR(__xludf.DUMMYFUNCTION("""COMPUTED_VALUE"""),0.6531)</f>
      </c>
      <c r="K1048" s="11">
        <f>IFERROR(__xludf.DUMMYFUNCTION("""COMPUTED_VALUE"""),456.36)</f>
      </c>
      <c r="L1048" s="10">
        <f>IFERROR(__xludf.DUMMYFUNCTION("""COMPUTED_VALUE"""),0.6837)</f>
      </c>
      <c r="M1048" s="11">
        <f>IFERROR(__xludf.DUMMYFUNCTION("""COMPUTED_VALUE"""),473.43)</f>
      </c>
      <c r="N1048" s="10">
        <f>IFERROR(__xludf.DUMMYFUNCTION("""COMPUTED_VALUE"""),0.6735)</f>
      </c>
      <c r="O1048" s="11">
        <f>IFERROR(__xludf.DUMMYFUNCTION("""COMPUTED_VALUE"""),509.09)</f>
      </c>
      <c r="P1048" s="12"/>
      <c r="Q1048" s="12"/>
      <c r="R1048" s="15"/>
      <c r="S1048" s="12"/>
      <c r="T1048" s="12"/>
      <c r="U1048" s="12"/>
      <c r="V1048" s="12"/>
      <c r="W1048" s="12"/>
      <c r="X1048" s="12"/>
      <c r="Y1048" s="12"/>
      <c r="Z1048" s="12"/>
    </row>
    <row x14ac:dyDescent="0.25" r="1049" customHeight="1" ht="15.75">
      <c r="A1049" s="8">
        <f>IFERROR(__xludf.DUMMYFUNCTION("""COMPUTED_VALUE"""),26162.0)</f>
      </c>
      <c r="B1049" s="9">
        <f>IFERROR(__xludf.DUMMYFUNCTION("""COMPUTED_VALUE"""),"SUL FLUMINENSE")</f>
      </c>
      <c r="C1049" s="9">
        <f>IFERROR(__xludf.DUMMYFUNCTION("""COMPUTED_VALUE"""),"CE BALDOMERO BARBARA")</f>
      </c>
      <c r="D1049" s="10">
        <f>IFERROR(__xludf.DUMMYFUNCTION("""COMPUTED_VALUE"""),0.5731)</f>
      </c>
      <c r="E1049" s="11">
        <f>IFERROR(__xludf.DUMMYFUNCTION("""COMPUTED_VALUE"""),381.2)</f>
      </c>
      <c r="F1049" s="10">
        <f>IFERROR(__xludf.DUMMYFUNCTION("""COMPUTED_VALUE"""),0.5365)</f>
      </c>
      <c r="G1049" s="11">
        <f>IFERROR(__xludf.DUMMYFUNCTION("""COMPUTED_VALUE"""),471.97)</f>
      </c>
      <c r="H1049" s="10">
        <f>IFERROR(__xludf.DUMMYFUNCTION("""COMPUTED_VALUE"""),0.6712)</f>
      </c>
      <c r="I1049" s="11">
        <f>IFERROR(__xludf.DUMMYFUNCTION("""COMPUTED_VALUE"""),495.53)</f>
      </c>
      <c r="J1049" s="10">
        <f>IFERROR(__xludf.DUMMYFUNCTION("""COMPUTED_VALUE"""),0.5)</f>
      </c>
      <c r="K1049" s="11">
        <f>IFERROR(__xludf.DUMMYFUNCTION("""COMPUTED_VALUE"""),425.07)</f>
      </c>
      <c r="L1049" s="10">
        <f>IFERROR(__xludf.DUMMYFUNCTION("""COMPUTED_VALUE"""),0.7009)</f>
      </c>
      <c r="M1049" s="11">
        <f>IFERROR(__xludf.DUMMYFUNCTION("""COMPUTED_VALUE"""),484.04)</f>
      </c>
      <c r="N1049" s="10">
        <f>IFERROR(__xludf.DUMMYFUNCTION("""COMPUTED_VALUE"""),0.6438)</f>
      </c>
      <c r="O1049" s="11">
        <f>IFERROR(__xludf.DUMMYFUNCTION("""COMPUTED_VALUE"""),492.71)</f>
      </c>
      <c r="P1049" s="12"/>
      <c r="Q1049" s="12"/>
      <c r="R1049" s="15"/>
      <c r="S1049" s="12"/>
      <c r="T1049" s="12"/>
      <c r="U1049" s="12"/>
      <c r="V1049" s="12"/>
      <c r="W1049" s="12"/>
      <c r="X1049" s="12"/>
      <c r="Y1049" s="12"/>
      <c r="Z1049" s="12"/>
    </row>
    <row x14ac:dyDescent="0.25" r="1050" customHeight="1" ht="15.75">
      <c r="A1050" s="8">
        <f>IFERROR(__xludf.DUMMYFUNCTION("""COMPUTED_VALUE"""),26163.0)</f>
      </c>
      <c r="B1050" s="9">
        <f>IFERROR(__xludf.DUMMYFUNCTION("""COMPUTED_VALUE"""),"SUL FLUMINENSE")</f>
      </c>
      <c r="C1050" s="9">
        <f>IFERROR(__xludf.DUMMYFUNCTION("""COMPUTED_VALUE"""),"CE BARAO DE AIURUOCA")</f>
      </c>
      <c r="D1050" s="10">
        <f>IFERROR(__xludf.DUMMYFUNCTION("""COMPUTED_VALUE"""),0.8114)</f>
      </c>
      <c r="E1050" s="11">
        <f>IFERROR(__xludf.DUMMYFUNCTION("""COMPUTED_VALUE"""),278.4)</f>
      </c>
      <c r="F1050" s="10">
        <f>IFERROR(__xludf.DUMMYFUNCTION("""COMPUTED_VALUE"""),0.5778)</f>
      </c>
      <c r="G1050" s="11">
        <f>IFERROR(__xludf.DUMMYFUNCTION("""COMPUTED_VALUE"""),456.38)</f>
      </c>
      <c r="H1050" s="10">
        <f>IFERROR(__xludf.DUMMYFUNCTION("""COMPUTED_VALUE"""),0.6422)</f>
      </c>
      <c r="I1050" s="11">
        <f>IFERROR(__xludf.DUMMYFUNCTION("""COMPUTED_VALUE"""),458.82)</f>
      </c>
      <c r="J1050" s="10">
        <f>IFERROR(__xludf.DUMMYFUNCTION("""COMPUTED_VALUE"""),0.5105)</f>
      </c>
      <c r="K1050" s="11">
        <f>IFERROR(__xludf.DUMMYFUNCTION("""COMPUTED_VALUE"""),337.52)</f>
      </c>
      <c r="L1050" s="10">
        <f>IFERROR(__xludf.DUMMYFUNCTION("""COMPUTED_VALUE"""),0.6572)</f>
      </c>
      <c r="M1050" s="11">
        <f>IFERROR(__xludf.DUMMYFUNCTION("""COMPUTED_VALUE"""),472.56)</f>
      </c>
      <c r="N1050" s="10">
        <f>IFERROR(__xludf.DUMMYFUNCTION("""COMPUTED_VALUE"""),0.6602)</f>
      </c>
      <c r="O1050" s="11">
        <f>IFERROR(__xludf.DUMMYFUNCTION("""COMPUTED_VALUE"""),423.63)</f>
      </c>
      <c r="P1050" s="12"/>
      <c r="Q1050" s="12"/>
      <c r="R1050" s="15"/>
      <c r="S1050" s="12"/>
      <c r="T1050" s="12"/>
      <c r="U1050" s="12"/>
      <c r="V1050" s="12"/>
      <c r="W1050" s="12"/>
      <c r="X1050" s="12"/>
      <c r="Y1050" s="12"/>
      <c r="Z1050" s="12"/>
    </row>
    <row x14ac:dyDescent="0.25" r="1051" customHeight="1" ht="15.75">
      <c r="A1051" s="8">
        <f>IFERROR(__xludf.DUMMYFUNCTION("""COMPUTED_VALUE"""),26211.0)</f>
      </c>
      <c r="B1051" s="9">
        <f>IFERROR(__xludf.DUMMYFUNCTION("""COMPUTED_VALUE"""),"SUL FLUMINENSE")</f>
      </c>
      <c r="C1051" s="9">
        <f>IFERROR(__xludf.DUMMYFUNCTION("""COMPUTED_VALUE"""),"CE BARÃO DE MAUÁ")</f>
      </c>
      <c r="D1051" s="10">
        <f>IFERROR(__xludf.DUMMYFUNCTION("""COMPUTED_VALUE"""),0.8444)</f>
      </c>
      <c r="E1051" s="11">
        <f>IFERROR(__xludf.DUMMYFUNCTION("""COMPUTED_VALUE"""),249.67)</f>
      </c>
      <c r="F1051" s="10">
        <f>IFERROR(__xludf.DUMMYFUNCTION("""COMPUTED_VALUE"""),0.6178)</f>
      </c>
      <c r="G1051" s="11">
        <f>IFERROR(__xludf.DUMMYFUNCTION("""COMPUTED_VALUE"""),491.01)</f>
      </c>
      <c r="H1051" s="10">
        <f>IFERROR(__xludf.DUMMYFUNCTION("""COMPUTED_VALUE"""),0.5733)</f>
      </c>
      <c r="I1051" s="11">
        <f>IFERROR(__xludf.DUMMYFUNCTION("""COMPUTED_VALUE"""),474.73)</f>
      </c>
      <c r="J1051" s="10">
        <f>IFERROR(__xludf.DUMMYFUNCTION("""COMPUTED_VALUE"""),0.52)</f>
      </c>
      <c r="K1051" s="11">
        <f>IFERROR(__xludf.DUMMYFUNCTION("""COMPUTED_VALUE"""),380.35)</f>
      </c>
      <c r="L1051" s="10">
        <f>IFERROR(__xludf.DUMMYFUNCTION("""COMPUTED_VALUE"""),0.68)</f>
      </c>
      <c r="M1051" s="11">
        <f>IFERROR(__xludf.DUMMYFUNCTION("""COMPUTED_VALUE"""),459.87)</f>
      </c>
      <c r="N1051" s="10">
        <f>IFERROR(__xludf.DUMMYFUNCTION("""COMPUTED_VALUE"""),0.6178)</f>
      </c>
      <c r="O1051" s="11">
        <f>IFERROR(__xludf.DUMMYFUNCTION("""COMPUTED_VALUE"""),462.45)</f>
      </c>
      <c r="P1051" s="12"/>
      <c r="Q1051" s="12"/>
      <c r="R1051" s="15"/>
      <c r="S1051" s="12"/>
      <c r="T1051" s="12"/>
      <c r="U1051" s="12"/>
      <c r="V1051" s="12"/>
      <c r="W1051" s="12"/>
      <c r="X1051" s="12"/>
      <c r="Y1051" s="12"/>
      <c r="Z1051" s="12"/>
    </row>
    <row x14ac:dyDescent="0.25" r="1052" customHeight="1" ht="15.75">
      <c r="A1052" s="8">
        <f>IFERROR(__xludf.DUMMYFUNCTION("""COMPUTED_VALUE"""),26164.0)</f>
      </c>
      <c r="B1052" s="9">
        <f>IFERROR(__xludf.DUMMYFUNCTION("""COMPUTED_VALUE"""),"SUL FLUMINENSE")</f>
      </c>
      <c r="C1052" s="9">
        <f>IFERROR(__xludf.DUMMYFUNCTION("""COMPUTED_VALUE"""),"CE BOA VISTA")</f>
      </c>
      <c r="D1052" s="10">
        <f>IFERROR(__xludf.DUMMYFUNCTION("""COMPUTED_VALUE"""),0.8333)</f>
      </c>
      <c r="E1052" s="11">
        <f>IFERROR(__xludf.DUMMYFUNCTION("""COMPUTED_VALUE"""),214.06)</f>
      </c>
      <c r="F1052" s="10">
        <f>IFERROR(__xludf.DUMMYFUNCTION("""COMPUTED_VALUE"""),0.9242)</f>
      </c>
      <c r="G1052" s="11">
        <f>IFERROR(__xludf.DUMMYFUNCTION("""COMPUTED_VALUE"""),284.26)</f>
      </c>
      <c r="H1052" s="10">
        <f>IFERROR(__xludf.DUMMYFUNCTION("""COMPUTED_VALUE"""),0.6569)</f>
      </c>
      <c r="I1052" s="11">
        <f>IFERROR(__xludf.DUMMYFUNCTION("""COMPUTED_VALUE"""),"----")</f>
      </c>
      <c r="J1052" s="10">
        <f>IFERROR(__xludf.DUMMYFUNCTION("""COMPUTED_VALUE"""),0.813)</f>
      </c>
      <c r="K1052" s="11">
        <f>IFERROR(__xludf.DUMMYFUNCTION("""COMPUTED_VALUE"""),371.13)</f>
      </c>
      <c r="L1052" s="10">
        <f>IFERROR(__xludf.DUMMYFUNCTION("""COMPUTED_VALUE"""),0.6277)</f>
      </c>
      <c r="M1052" s="11">
        <f>IFERROR(__xludf.DUMMYFUNCTION("""COMPUTED_VALUE"""),"----")</f>
      </c>
      <c r="N1052" s="10">
        <f>IFERROR(__xludf.DUMMYFUNCTION("""COMPUTED_VALUE"""),0.6715)</f>
      </c>
      <c r="O1052" s="11">
        <f>IFERROR(__xludf.DUMMYFUNCTION("""COMPUTED_VALUE"""),443.1)</f>
      </c>
      <c r="P1052" s="12"/>
      <c r="Q1052" s="12"/>
      <c r="R1052" s="15"/>
      <c r="S1052" s="12"/>
      <c r="T1052" s="12"/>
      <c r="U1052" s="12"/>
      <c r="V1052" s="12"/>
      <c r="W1052" s="12"/>
      <c r="X1052" s="12"/>
      <c r="Y1052" s="12"/>
      <c r="Z1052" s="12"/>
    </row>
    <row x14ac:dyDescent="0.25" r="1053" customHeight="1" ht="15.75">
      <c r="A1053" s="8">
        <f>IFERROR(__xludf.DUMMYFUNCTION("""COMPUTED_VALUE"""),26212.0)</f>
      </c>
      <c r="B1053" s="9">
        <f>IFERROR(__xludf.DUMMYFUNCTION("""COMPUTED_VALUE"""),"SUL FLUMINENSE")</f>
      </c>
      <c r="C1053" s="9">
        <f>IFERROR(__xludf.DUMMYFUNCTION("""COMPUTED_VALUE"""),"CE BRASÍLIA")</f>
      </c>
      <c r="D1053" s="10">
        <f>IFERROR(__xludf.DUMMYFUNCTION("""COMPUTED_VALUE"""),0.6022)</f>
      </c>
      <c r="E1053" s="11">
        <f>IFERROR(__xludf.DUMMYFUNCTION("""COMPUTED_VALUE"""),263.11)</f>
      </c>
      <c r="F1053" s="10">
        <f>IFERROR(__xludf.DUMMYFUNCTION("""COMPUTED_VALUE"""),0.5591)</f>
      </c>
      <c r="G1053" s="11">
        <f>IFERROR(__xludf.DUMMYFUNCTION("""COMPUTED_VALUE"""),338.82)</f>
      </c>
      <c r="H1053" s="10">
        <f>IFERROR(__xludf.DUMMYFUNCTION("""COMPUTED_VALUE"""),0.6774)</f>
      </c>
      <c r="I1053" s="11">
        <f>IFERROR(__xludf.DUMMYFUNCTION("""COMPUTED_VALUE"""),400.0)</f>
      </c>
      <c r="J1053" s="10">
        <f>IFERROR(__xludf.DUMMYFUNCTION("""COMPUTED_VALUE"""),0.6882)</f>
      </c>
      <c r="K1053" s="11">
        <f>IFERROR(__xludf.DUMMYFUNCTION("""COMPUTED_VALUE"""),346.67)</f>
      </c>
      <c r="L1053" s="10">
        <f>IFERROR(__xludf.DUMMYFUNCTION("""COMPUTED_VALUE"""),0.6774)</f>
      </c>
      <c r="M1053" s="11">
        <f>IFERROR(__xludf.DUMMYFUNCTION("""COMPUTED_VALUE"""),400.63)</f>
      </c>
      <c r="N1053" s="10">
        <f>IFERROR(__xludf.DUMMYFUNCTION("""COMPUTED_VALUE"""),0.6989)</f>
      </c>
      <c r="O1053" s="11">
        <f>IFERROR(__xludf.DUMMYFUNCTION("""COMPUTED_VALUE"""),450.32)</f>
      </c>
      <c r="P1053" s="12"/>
      <c r="Q1053" s="12"/>
      <c r="R1053" s="15"/>
      <c r="S1053" s="12"/>
      <c r="T1053" s="12"/>
      <c r="U1053" s="12"/>
      <c r="V1053" s="12"/>
      <c r="W1053" s="12"/>
      <c r="X1053" s="12"/>
      <c r="Y1053" s="12"/>
      <c r="Z1053" s="12"/>
    </row>
    <row x14ac:dyDescent="0.25" r="1054" customHeight="1" ht="15.75">
      <c r="A1054" s="8">
        <f>IFERROR(__xludf.DUMMYFUNCTION("""COMPUTED_VALUE"""),26149.0)</f>
      </c>
      <c r="B1054" s="9">
        <f>IFERROR(__xludf.DUMMYFUNCTION("""COMPUTED_VALUE"""),"SUL FLUMINENSE")</f>
      </c>
      <c r="C1054" s="9">
        <f>IFERROR(__xludf.DUMMYFUNCTION("""COMPUTED_VALUE"""),"CE BRIGADEIRO NOBREGA")</f>
      </c>
      <c r="D1054" s="10">
        <f>IFERROR(__xludf.DUMMYFUNCTION("""COMPUTED_VALUE"""),0.6393)</f>
      </c>
      <c r="E1054" s="11">
        <f>IFERROR(__xludf.DUMMYFUNCTION("""COMPUTED_VALUE"""),240.0)</f>
      </c>
      <c r="F1054" s="10">
        <f>IFERROR(__xludf.DUMMYFUNCTION("""COMPUTED_VALUE"""),0.7049)</f>
      </c>
      <c r="G1054" s="11">
        <f>IFERROR(__xludf.DUMMYFUNCTION("""COMPUTED_VALUE"""),369.3)</f>
      </c>
      <c r="H1054" s="10">
        <f>IFERROR(__xludf.DUMMYFUNCTION("""COMPUTED_VALUE"""),0.7705)</f>
      </c>
      <c r="I1054" s="11">
        <f>IFERROR(__xludf.DUMMYFUNCTION("""COMPUTED_VALUE"""),430.64)</f>
      </c>
      <c r="J1054" s="10">
        <f>IFERROR(__xludf.DUMMYFUNCTION("""COMPUTED_VALUE"""),0.6557)</f>
      </c>
      <c r="K1054" s="11">
        <f>IFERROR(__xludf.DUMMYFUNCTION("""COMPUTED_VALUE"""),270.53)</f>
      </c>
      <c r="L1054" s="10">
        <f>IFERROR(__xludf.DUMMYFUNCTION("""COMPUTED_VALUE"""),0.6721)</f>
      </c>
      <c r="M1054" s="11">
        <f>IFERROR(__xludf.DUMMYFUNCTION("""COMPUTED_VALUE"""),386.0)</f>
      </c>
      <c r="N1054" s="10">
        <f>IFERROR(__xludf.DUMMYFUNCTION("""COMPUTED_VALUE"""),0.6885)</f>
      </c>
      <c r="O1054" s="11">
        <f>IFERROR(__xludf.DUMMYFUNCTION("""COMPUTED_VALUE"""),343.81)</f>
      </c>
      <c r="P1054" s="12"/>
      <c r="Q1054" s="12"/>
      <c r="R1054" s="15"/>
      <c r="S1054" s="12"/>
      <c r="T1054" s="12"/>
      <c r="U1054" s="12"/>
      <c r="V1054" s="12"/>
      <c r="W1054" s="12"/>
      <c r="X1054" s="12"/>
      <c r="Y1054" s="12"/>
      <c r="Z1054" s="12"/>
    </row>
    <row x14ac:dyDescent="0.25" r="1055" customHeight="1" ht="15.75">
      <c r="A1055" s="8">
        <f>IFERROR(__xludf.DUMMYFUNCTION("""COMPUTED_VALUE"""),26180.0)</f>
      </c>
      <c r="B1055" s="9">
        <f>IFERROR(__xludf.DUMMYFUNCTION("""COMPUTED_VALUE"""),"SUL FLUMINENSE")</f>
      </c>
      <c r="C1055" s="9">
        <f>IFERROR(__xludf.DUMMYFUNCTION("""COMPUTED_VALUE"""),"CE CAETANO DE OLIVEIRA")</f>
      </c>
      <c r="D1055" s="10">
        <f>IFERROR(__xludf.DUMMYFUNCTION("""COMPUTED_VALUE"""),0.7386)</f>
      </c>
      <c r="E1055" s="11">
        <f>IFERROR(__xludf.DUMMYFUNCTION("""COMPUTED_VALUE"""),215.39)</f>
      </c>
      <c r="F1055" s="10">
        <f>IFERROR(__xludf.DUMMYFUNCTION("""COMPUTED_VALUE"""),0.6477)</f>
      </c>
      <c r="G1055" s="11">
        <f>IFERROR(__xludf.DUMMYFUNCTION("""COMPUTED_VALUE"""),385.27)</f>
      </c>
      <c r="H1055" s="10">
        <f>IFERROR(__xludf.DUMMYFUNCTION("""COMPUTED_VALUE"""),0.4545)</f>
      </c>
      <c r="I1055" s="11">
        <f>IFERROR(__xludf.DUMMYFUNCTION("""COMPUTED_VALUE"""),412.01)</f>
      </c>
      <c r="J1055" s="10">
        <f>IFERROR(__xludf.DUMMYFUNCTION("""COMPUTED_VALUE"""),0.5376)</f>
      </c>
      <c r="K1055" s="11">
        <f>IFERROR(__xludf.DUMMYFUNCTION("""COMPUTED_VALUE"""),315.73)</f>
      </c>
      <c r="L1055" s="10">
        <f>IFERROR(__xludf.DUMMYFUNCTION("""COMPUTED_VALUE"""),0.5758)</f>
      </c>
      <c r="M1055" s="11">
        <f>IFERROR(__xludf.DUMMYFUNCTION("""COMPUTED_VALUE"""),383.8)</f>
      </c>
      <c r="N1055" s="10">
        <f>IFERROR(__xludf.DUMMYFUNCTION("""COMPUTED_VALUE"""),0.5152)</f>
      </c>
      <c r="O1055" s="11">
        <f>IFERROR(__xludf.DUMMYFUNCTION("""COMPUTED_VALUE"""),424.88)</f>
      </c>
      <c r="P1055" s="12"/>
      <c r="Q1055" s="12"/>
      <c r="R1055" s="15"/>
      <c r="S1055" s="12"/>
      <c r="T1055" s="12"/>
      <c r="U1055" s="12"/>
      <c r="V1055" s="12"/>
      <c r="W1055" s="12"/>
      <c r="X1055" s="12"/>
      <c r="Y1055" s="12"/>
      <c r="Z1055" s="12"/>
    </row>
    <row x14ac:dyDescent="0.25" r="1056" customHeight="1" ht="15.75">
      <c r="A1056" s="8">
        <f>IFERROR(__xludf.DUMMYFUNCTION("""COMPUTED_VALUE"""),26188.0)</f>
      </c>
      <c r="B1056" s="9">
        <f>IFERROR(__xludf.DUMMYFUNCTION("""COMPUTED_VALUE"""),"SUL FLUMINENSE")</f>
      </c>
      <c r="C1056" s="9">
        <f>IFERROR(__xludf.DUMMYFUNCTION("""COMPUTED_VALUE"""),"CE CELIO BARBOSA ANCHITE")</f>
      </c>
      <c r="D1056" s="10">
        <f>IFERROR(__xludf.DUMMYFUNCTION("""COMPUTED_VALUE"""),0.8793)</f>
      </c>
      <c r="E1056" s="11">
        <f>IFERROR(__xludf.DUMMYFUNCTION("""COMPUTED_VALUE"""),271.37)</f>
      </c>
      <c r="F1056" s="10">
        <f>IFERROR(__xludf.DUMMYFUNCTION("""COMPUTED_VALUE"""),0.8448)</f>
      </c>
      <c r="G1056" s="11">
        <f>IFERROR(__xludf.DUMMYFUNCTION("""COMPUTED_VALUE"""),440.0)</f>
      </c>
      <c r="H1056" s="10">
        <f>IFERROR(__xludf.DUMMYFUNCTION("""COMPUTED_VALUE"""),0.75)</f>
      </c>
      <c r="I1056" s="11">
        <f>IFERROR(__xludf.DUMMYFUNCTION("""COMPUTED_VALUE"""),480.0)</f>
      </c>
      <c r="J1056" s="10">
        <f>IFERROR(__xludf.DUMMYFUNCTION("""COMPUTED_VALUE"""),0.7759)</f>
      </c>
      <c r="K1056" s="11">
        <f>IFERROR(__xludf.DUMMYFUNCTION("""COMPUTED_VALUE"""),420.0)</f>
      </c>
      <c r="L1056" s="10">
        <f>IFERROR(__xludf.DUMMYFUNCTION("""COMPUTED_VALUE"""),0.6897)</f>
      </c>
      <c r="M1056" s="11">
        <f>IFERROR(__xludf.DUMMYFUNCTION("""COMPUTED_VALUE"""),435.95)</f>
      </c>
      <c r="N1056" s="10">
        <f>IFERROR(__xludf.DUMMYFUNCTION("""COMPUTED_VALUE"""),0.6034)</f>
      </c>
      <c r="O1056" s="11">
        <f>IFERROR(__xludf.DUMMYFUNCTION("""COMPUTED_VALUE"""),462.03)</f>
      </c>
      <c r="P1056" s="12"/>
      <c r="Q1056" s="12"/>
      <c r="R1056" s="15"/>
      <c r="S1056" s="12"/>
      <c r="T1056" s="12"/>
      <c r="U1056" s="12"/>
      <c r="V1056" s="12"/>
      <c r="W1056" s="12"/>
      <c r="X1056" s="12"/>
      <c r="Y1056" s="12"/>
      <c r="Z1056" s="12"/>
    </row>
    <row x14ac:dyDescent="0.25" r="1057" customHeight="1" ht="15.75">
      <c r="A1057" s="8">
        <f>IFERROR(__xludf.DUMMYFUNCTION("""COMPUTED_VALUE"""),26165.0)</f>
      </c>
      <c r="B1057" s="9">
        <f>IFERROR(__xludf.DUMMYFUNCTION("""COMPUTED_VALUE"""),"SUL FLUMINENSE")</f>
      </c>
      <c r="C1057" s="9">
        <f>IFERROR(__xludf.DUMMYFUNCTION("""COMPUTED_VALUE"""),"CE COMENDADOR PEREIRA IGNACIO")</f>
      </c>
      <c r="D1057" s="10">
        <f>IFERROR(__xludf.DUMMYFUNCTION("""COMPUTED_VALUE"""),0.8056)</f>
      </c>
      <c r="E1057" s="11">
        <f>IFERROR(__xludf.DUMMYFUNCTION("""COMPUTED_VALUE"""),271.54)</f>
      </c>
      <c r="F1057" s="10">
        <f>IFERROR(__xludf.DUMMYFUNCTION("""COMPUTED_VALUE"""),0.5778)</f>
      </c>
      <c r="G1057" s="11">
        <f>IFERROR(__xludf.DUMMYFUNCTION("""COMPUTED_VALUE"""),427.18)</f>
      </c>
      <c r="H1057" s="10">
        <f>IFERROR(__xludf.DUMMYFUNCTION("""COMPUTED_VALUE"""),0.7056)</f>
      </c>
      <c r="I1057" s="11">
        <f>IFERROR(__xludf.DUMMYFUNCTION("""COMPUTED_VALUE"""),457.32)</f>
      </c>
      <c r="J1057" s="10">
        <f>IFERROR(__xludf.DUMMYFUNCTION("""COMPUTED_VALUE"""),0.6833)</f>
      </c>
      <c r="K1057" s="11">
        <f>IFERROR(__xludf.DUMMYFUNCTION("""COMPUTED_VALUE"""),379.63)</f>
      </c>
      <c r="L1057" s="10">
        <f>IFERROR(__xludf.DUMMYFUNCTION("""COMPUTED_VALUE"""),0.6611)</f>
      </c>
      <c r="M1057" s="11">
        <f>IFERROR(__xludf.DUMMYFUNCTION("""COMPUTED_VALUE"""),433.95)</f>
      </c>
      <c r="N1057" s="10">
        <f>IFERROR(__xludf.DUMMYFUNCTION("""COMPUTED_VALUE"""),0.5722)</f>
      </c>
      <c r="O1057" s="11">
        <f>IFERROR(__xludf.DUMMYFUNCTION("""COMPUTED_VALUE"""),461.96)</f>
      </c>
      <c r="P1057" s="12"/>
      <c r="Q1057" s="12"/>
      <c r="R1057" s="15"/>
      <c r="S1057" s="12"/>
      <c r="T1057" s="12"/>
      <c r="U1057" s="12"/>
      <c r="V1057" s="12"/>
      <c r="W1057" s="12"/>
      <c r="X1057" s="12"/>
      <c r="Y1057" s="12"/>
      <c r="Z1057" s="12"/>
    </row>
    <row x14ac:dyDescent="0.25" r="1058" customHeight="1" ht="15.75">
      <c r="A1058" s="8">
        <f>IFERROR(__xludf.DUMMYFUNCTION("""COMPUTED_VALUE"""),26150.0)</f>
      </c>
      <c r="B1058" s="9">
        <f>IFERROR(__xludf.DUMMYFUNCTION("""COMPUTED_VALUE"""),"SUL FLUMINENSE")</f>
      </c>
      <c r="C1058" s="9">
        <f>IFERROR(__xludf.DUMMYFUNCTION("""COMPUTED_VALUE"""),"CE CONDE PEREIRA CARNEIRO")</f>
      </c>
      <c r="D1058" s="10">
        <f>IFERROR(__xludf.DUMMYFUNCTION("""COMPUTED_VALUE"""),0.7217)</f>
      </c>
      <c r="E1058" s="11">
        <f>IFERROR(__xludf.DUMMYFUNCTION("""COMPUTED_VALUE"""),34.29)</f>
      </c>
      <c r="F1058" s="10">
        <f>IFERROR(__xludf.DUMMYFUNCTION("""COMPUTED_VALUE"""),0.5566)</f>
      </c>
      <c r="G1058" s="11">
        <f>IFERROR(__xludf.DUMMYFUNCTION("""COMPUTED_VALUE"""),434.12)</f>
      </c>
      <c r="H1058" s="10">
        <f>IFERROR(__xludf.DUMMYFUNCTION("""COMPUTED_VALUE"""),0.6731)</f>
      </c>
      <c r="I1058" s="11">
        <f>IFERROR(__xludf.DUMMYFUNCTION("""COMPUTED_VALUE"""),423.3)</f>
      </c>
      <c r="J1058" s="10">
        <f>IFERROR(__xludf.DUMMYFUNCTION("""COMPUTED_VALUE"""),0.5243)</f>
      </c>
      <c r="K1058" s="11">
        <f>IFERROR(__xludf.DUMMYFUNCTION("""COMPUTED_VALUE"""),261.0)</f>
      </c>
      <c r="L1058" s="10">
        <f>IFERROR(__xludf.DUMMYFUNCTION("""COMPUTED_VALUE"""),0.6731)</f>
      </c>
      <c r="M1058" s="11">
        <f>IFERROR(__xludf.DUMMYFUNCTION("""COMPUTED_VALUE"""),434.56)</f>
      </c>
      <c r="N1058" s="10">
        <f>IFERROR(__xludf.DUMMYFUNCTION("""COMPUTED_VALUE"""),0.6117)</f>
      </c>
      <c r="O1058" s="11">
        <f>IFERROR(__xludf.DUMMYFUNCTION("""COMPUTED_VALUE"""),411.06)</f>
      </c>
      <c r="P1058" s="12"/>
      <c r="Q1058" s="12"/>
      <c r="R1058" s="15"/>
      <c r="S1058" s="12"/>
      <c r="T1058" s="12"/>
      <c r="U1058" s="12"/>
      <c r="V1058" s="12"/>
      <c r="W1058" s="12"/>
      <c r="X1058" s="12"/>
      <c r="Y1058" s="12"/>
      <c r="Z1058" s="12"/>
    </row>
    <row x14ac:dyDescent="0.25" r="1059" customHeight="1" ht="15.75">
      <c r="A1059" s="8">
        <f>IFERROR(__xludf.DUMMYFUNCTION("""COMPUTED_VALUE"""),26191.0)</f>
      </c>
      <c r="B1059" s="9">
        <f>IFERROR(__xludf.DUMMYFUNCTION("""COMPUTED_VALUE"""),"SUL FLUMINENSE")</f>
      </c>
      <c r="C1059" s="9">
        <f>IFERROR(__xludf.DUMMYFUNCTION("""COMPUTED_VALUE"""),"CE CORONEL CAMISAO")</f>
      </c>
      <c r="D1059" s="10">
        <f>IFERROR(__xludf.DUMMYFUNCTION("""COMPUTED_VALUE"""),0.8418)</f>
      </c>
      <c r="E1059" s="11">
        <f>IFERROR(__xludf.DUMMYFUNCTION("""COMPUTED_VALUE"""),311.68)</f>
      </c>
      <c r="F1059" s="10">
        <f>IFERROR(__xludf.DUMMYFUNCTION("""COMPUTED_VALUE"""),0.7006)</f>
      </c>
      <c r="G1059" s="11">
        <f>IFERROR(__xludf.DUMMYFUNCTION("""COMPUTED_VALUE"""),425.67)</f>
      </c>
      <c r="H1059" s="10">
        <f>IFERROR(__xludf.DUMMYFUNCTION("""COMPUTED_VALUE"""),0.5989)</f>
      </c>
      <c r="I1059" s="11">
        <f>IFERROR(__xludf.DUMMYFUNCTION("""COMPUTED_VALUE"""),452.31)</f>
      </c>
      <c r="J1059" s="10">
        <f>IFERROR(__xludf.DUMMYFUNCTION("""COMPUTED_VALUE"""),0.7062)</f>
      </c>
      <c r="K1059" s="11">
        <f>IFERROR(__xludf.DUMMYFUNCTION("""COMPUTED_VALUE"""),368.36)</f>
      </c>
      <c r="L1059" s="10">
        <f>IFERROR(__xludf.DUMMYFUNCTION("""COMPUTED_VALUE"""),0.7627)</f>
      </c>
      <c r="M1059" s="11">
        <f>IFERROR(__xludf.DUMMYFUNCTION("""COMPUTED_VALUE"""),480.3)</f>
      </c>
      <c r="N1059" s="10">
        <f>IFERROR(__xludf.DUMMYFUNCTION("""COMPUTED_VALUE"""),0.7175)</f>
      </c>
      <c r="O1059" s="11">
        <f>IFERROR(__xludf.DUMMYFUNCTION("""COMPUTED_VALUE"""),498.39)</f>
      </c>
      <c r="P1059" s="12"/>
      <c r="Q1059" s="12"/>
      <c r="R1059" s="15"/>
      <c r="S1059" s="12"/>
      <c r="T1059" s="12"/>
      <c r="U1059" s="12"/>
      <c r="V1059" s="12"/>
      <c r="W1059" s="12"/>
      <c r="X1059" s="12"/>
      <c r="Y1059" s="12"/>
      <c r="Z1059" s="12"/>
    </row>
    <row x14ac:dyDescent="0.25" r="1060" customHeight="1" ht="15.75">
      <c r="A1060" s="8">
        <f>IFERROR(__xludf.DUMMYFUNCTION("""COMPUTED_VALUE"""),26151.0)</f>
      </c>
      <c r="B1060" s="9">
        <f>IFERROR(__xludf.DUMMYFUNCTION("""COMPUTED_VALUE"""),"SUL FLUMINENSE")</f>
      </c>
      <c r="C1060" s="9">
        <f>IFERROR(__xludf.DUMMYFUNCTION("""COMPUTED_VALUE"""),"CE DOUTOR ARTUR VARGAS")</f>
      </c>
      <c r="D1060" s="10">
        <f>IFERROR(__xludf.DUMMYFUNCTION("""COMPUTED_VALUE"""),0.1558)</f>
      </c>
      <c r="E1060" s="11">
        <f>IFERROR(__xludf.DUMMYFUNCTION("""COMPUTED_VALUE"""),164.34)</f>
      </c>
      <c r="F1060" s="10">
        <f>IFERROR(__xludf.DUMMYFUNCTION("""COMPUTED_VALUE"""),0.5358)</f>
      </c>
      <c r="G1060" s="11">
        <f>IFERROR(__xludf.DUMMYFUNCTION("""COMPUTED_VALUE"""),389.46)</f>
      </c>
      <c r="H1060" s="10">
        <f>IFERROR(__xludf.DUMMYFUNCTION("""COMPUTED_VALUE"""),0.4706)</f>
      </c>
      <c r="I1060" s="11">
        <f>IFERROR(__xludf.DUMMYFUNCTION("""COMPUTED_VALUE"""),433.06)</f>
      </c>
      <c r="J1060" s="10">
        <f>IFERROR(__xludf.DUMMYFUNCTION("""COMPUTED_VALUE"""),0.3577)</f>
      </c>
      <c r="K1060" s="11">
        <f>IFERROR(__xludf.DUMMYFUNCTION("""COMPUTED_VALUE"""),411.56)</f>
      </c>
      <c r="L1060" s="10">
        <f>IFERROR(__xludf.DUMMYFUNCTION("""COMPUTED_VALUE"""),0.3704)</f>
      </c>
      <c r="M1060" s="11">
        <f>IFERROR(__xludf.DUMMYFUNCTION("""COMPUTED_VALUE"""),452.41)</f>
      </c>
      <c r="N1060" s="10">
        <f>IFERROR(__xludf.DUMMYFUNCTION("""COMPUTED_VALUE"""),0.345)</f>
      </c>
      <c r="O1060" s="11">
        <f>IFERROR(__xludf.DUMMYFUNCTION("""COMPUTED_VALUE"""),457.76)</f>
      </c>
      <c r="P1060" s="12"/>
      <c r="Q1060" s="12"/>
      <c r="R1060" s="15"/>
      <c r="S1060" s="12"/>
      <c r="T1060" s="12"/>
      <c r="U1060" s="12"/>
      <c r="V1060" s="12"/>
      <c r="W1060" s="12"/>
      <c r="X1060" s="12"/>
      <c r="Y1060" s="12"/>
      <c r="Z1060" s="12"/>
    </row>
    <row x14ac:dyDescent="0.25" r="1061" customHeight="1" ht="15.75">
      <c r="A1061" s="8">
        <f>IFERROR(__xludf.DUMMYFUNCTION("""COMPUTED_VALUE"""),26198.0)</f>
      </c>
      <c r="B1061" s="9">
        <f>IFERROR(__xludf.DUMMYFUNCTION("""COMPUTED_VALUE"""),"SUL FLUMINENSE")</f>
      </c>
      <c r="C1061" s="9">
        <f>IFERROR(__xludf.DUMMYFUNCTION("""COMPUTED_VALUE"""),"CE DOUTOR JOÃO MAIA")</f>
      </c>
      <c r="D1061" s="10">
        <f>IFERROR(__xludf.DUMMYFUNCTION("""COMPUTED_VALUE"""),0.6561)</f>
      </c>
      <c r="E1061" s="11">
        <f>IFERROR(__xludf.DUMMYFUNCTION("""COMPUTED_VALUE"""),186.16)</f>
      </c>
      <c r="F1061" s="10">
        <f>IFERROR(__xludf.DUMMYFUNCTION("""COMPUTED_VALUE"""),0.6652)</f>
      </c>
      <c r="G1061" s="11">
        <f>IFERROR(__xludf.DUMMYFUNCTION("""COMPUTED_VALUE"""),361.41)</f>
      </c>
      <c r="H1061" s="10">
        <f>IFERROR(__xludf.DUMMYFUNCTION("""COMPUTED_VALUE"""),0.6245)</f>
      </c>
      <c r="I1061" s="11">
        <f>IFERROR(__xludf.DUMMYFUNCTION("""COMPUTED_VALUE"""),396.08)</f>
      </c>
      <c r="J1061" s="10">
        <f>IFERROR(__xludf.DUMMYFUNCTION("""COMPUTED_VALUE"""),0.6027)</f>
      </c>
      <c r="K1061" s="11">
        <f>IFERROR(__xludf.DUMMYFUNCTION("""COMPUTED_VALUE"""),209.68)</f>
      </c>
      <c r="L1061" s="10">
        <f>IFERROR(__xludf.DUMMYFUNCTION("""COMPUTED_VALUE"""),0.4716)</f>
      </c>
      <c r="M1061" s="11">
        <f>IFERROR(__xludf.DUMMYFUNCTION("""COMPUTED_VALUE"""),"----")</f>
      </c>
      <c r="N1061" s="10">
        <f>IFERROR(__xludf.DUMMYFUNCTION("""COMPUTED_VALUE"""),0.5721)</f>
      </c>
      <c r="O1061" s="11">
        <f>IFERROR(__xludf.DUMMYFUNCTION("""COMPUTED_VALUE"""),429.41)</f>
      </c>
      <c r="P1061" s="12"/>
      <c r="Q1061" s="12"/>
      <c r="R1061" s="15"/>
      <c r="S1061" s="12"/>
      <c r="T1061" s="12"/>
      <c r="U1061" s="12"/>
      <c r="V1061" s="12"/>
      <c r="W1061" s="12"/>
      <c r="X1061" s="12"/>
      <c r="Y1061" s="12"/>
      <c r="Z1061" s="12"/>
    </row>
    <row x14ac:dyDescent="0.25" r="1062" customHeight="1" ht="15.75">
      <c r="A1062" s="8">
        <f>IFERROR(__xludf.DUMMYFUNCTION("""COMPUTED_VALUE"""),26185.0)</f>
      </c>
      <c r="B1062" s="9">
        <f>IFERROR(__xludf.DUMMYFUNCTION("""COMPUTED_VALUE"""),"SUL FLUMINENSE")</f>
      </c>
      <c r="C1062" s="9">
        <f>IFERROR(__xludf.DUMMYFUNCTION("""COMPUTED_VALUE"""),"CE ENGENHEIRO MARIO MOURA BRASIL DO AMARAL")</f>
      </c>
      <c r="D1062" s="10">
        <f>IFERROR(__xludf.DUMMYFUNCTION("""COMPUTED_VALUE"""),0.8397)</f>
      </c>
      <c r="E1062" s="11">
        <f>IFERROR(__xludf.DUMMYFUNCTION("""COMPUTED_VALUE"""),164.37)</f>
      </c>
      <c r="F1062" s="10">
        <f>IFERROR(__xludf.DUMMYFUNCTION("""COMPUTED_VALUE"""),0.4071)</f>
      </c>
      <c r="G1062" s="11">
        <f>IFERROR(__xludf.DUMMYFUNCTION("""COMPUTED_VALUE"""),400.66)</f>
      </c>
      <c r="H1062" s="10">
        <f>IFERROR(__xludf.DUMMYFUNCTION("""COMPUTED_VALUE"""),0.4504)</f>
      </c>
      <c r="I1062" s="11">
        <f>IFERROR(__xludf.DUMMYFUNCTION("""COMPUTED_VALUE"""),"----")</f>
      </c>
      <c r="J1062" s="10">
        <f>IFERROR(__xludf.DUMMYFUNCTION("""COMPUTED_VALUE"""),0.397)</f>
      </c>
      <c r="K1062" s="11">
        <f>IFERROR(__xludf.DUMMYFUNCTION("""COMPUTED_VALUE"""),322.5)</f>
      </c>
      <c r="L1062" s="10">
        <f>IFERROR(__xludf.DUMMYFUNCTION("""COMPUTED_VALUE"""),0.4165)</f>
      </c>
      <c r="M1062" s="11">
        <f>IFERROR(__xludf.DUMMYFUNCTION("""COMPUTED_VALUE"""),426.04)</f>
      </c>
      <c r="N1062" s="10">
        <f>IFERROR(__xludf.DUMMYFUNCTION("""COMPUTED_VALUE"""),0.1889)</f>
      </c>
      <c r="O1062" s="11">
        <f>IFERROR(__xludf.DUMMYFUNCTION("""COMPUTED_VALUE"""),"----")</f>
      </c>
      <c r="P1062" s="12"/>
      <c r="Q1062" s="12"/>
      <c r="R1062" s="15"/>
      <c r="S1062" s="12"/>
      <c r="T1062" s="12"/>
      <c r="U1062" s="12"/>
      <c r="V1062" s="12"/>
      <c r="W1062" s="12"/>
      <c r="X1062" s="12"/>
      <c r="Y1062" s="12"/>
      <c r="Z1062" s="12"/>
    </row>
    <row x14ac:dyDescent="0.25" r="1063" customHeight="1" ht="15.75">
      <c r="A1063" s="8">
        <f>IFERROR(__xludf.DUMMYFUNCTION("""COMPUTED_VALUE"""),26199.0)</f>
      </c>
      <c r="B1063" s="9">
        <f>IFERROR(__xludf.DUMMYFUNCTION("""COMPUTED_VALUE"""),"SUL FLUMINENSE")</f>
      </c>
      <c r="C1063" s="9">
        <f>IFERROR(__xludf.DUMMYFUNCTION("""COMPUTED_VALUE"""),"CE ENGENHEIRO PASSOS")</f>
      </c>
      <c r="D1063" s="10">
        <f>IFERROR(__xludf.DUMMYFUNCTION("""COMPUTED_VALUE"""),0.8108)</f>
      </c>
      <c r="E1063" s="11">
        <f>IFERROR(__xludf.DUMMYFUNCTION("""COMPUTED_VALUE"""),288.67)</f>
      </c>
      <c r="F1063" s="10">
        <f>IFERROR(__xludf.DUMMYFUNCTION("""COMPUTED_VALUE"""),0.6081)</f>
      </c>
      <c r="G1063" s="11">
        <f>IFERROR(__xludf.DUMMYFUNCTION("""COMPUTED_VALUE"""),448.89)</f>
      </c>
      <c r="H1063" s="10">
        <f>IFERROR(__xludf.DUMMYFUNCTION("""COMPUTED_VALUE"""),0.8649)</f>
      </c>
      <c r="I1063" s="11">
        <f>IFERROR(__xludf.DUMMYFUNCTION("""COMPUTED_VALUE"""),536.88)</f>
      </c>
      <c r="J1063" s="10">
        <f>IFERROR(__xludf.DUMMYFUNCTION("""COMPUTED_VALUE"""),0.8243)</f>
      </c>
      <c r="K1063" s="11">
        <f>IFERROR(__xludf.DUMMYFUNCTION("""COMPUTED_VALUE"""),463.45)</f>
      </c>
      <c r="L1063" s="10">
        <f>IFERROR(__xludf.DUMMYFUNCTION("""COMPUTED_VALUE"""),0.8378)</f>
      </c>
      <c r="M1063" s="11">
        <f>IFERROR(__xludf.DUMMYFUNCTION("""COMPUTED_VALUE"""),499.35)</f>
      </c>
      <c r="N1063" s="10">
        <f>IFERROR(__xludf.DUMMYFUNCTION("""COMPUTED_VALUE"""),0.7162)</f>
      </c>
      <c r="O1063" s="11">
        <f>IFERROR(__xludf.DUMMYFUNCTION("""COMPUTED_VALUE"""),500.0)</f>
      </c>
      <c r="P1063" s="12"/>
      <c r="Q1063" s="12"/>
      <c r="R1063" s="15"/>
      <c r="S1063" s="12"/>
      <c r="T1063" s="12"/>
      <c r="U1063" s="12"/>
      <c r="V1063" s="12"/>
      <c r="W1063" s="12"/>
      <c r="X1063" s="12"/>
      <c r="Y1063" s="12"/>
      <c r="Z1063" s="12"/>
    </row>
    <row x14ac:dyDescent="0.25" r="1064" customHeight="1" ht="15.75">
      <c r="A1064" s="8">
        <f>IFERROR(__xludf.DUMMYFUNCTION("""COMPUTED_VALUE"""),26208.0)</f>
      </c>
      <c r="B1064" s="9">
        <f>IFERROR(__xludf.DUMMYFUNCTION("""COMPUTED_VALUE"""),"SUL FLUMINENSE")</f>
      </c>
      <c r="C1064" s="9">
        <f>IFERROR(__xludf.DUMMYFUNCTION("""COMPUTED_VALUE"""),"CE FAGUNDES VARELA")</f>
      </c>
      <c r="D1064" s="10">
        <f>IFERROR(__xludf.DUMMYFUNCTION("""COMPUTED_VALUE"""),0.9952)</f>
      </c>
      <c r="E1064" s="11">
        <f>IFERROR(__xludf.DUMMYFUNCTION("""COMPUTED_VALUE"""),339.33)</f>
      </c>
      <c r="F1064" s="10">
        <f>IFERROR(__xludf.DUMMYFUNCTION("""COMPUTED_VALUE"""),0.8286)</f>
      </c>
      <c r="G1064" s="11">
        <f>IFERROR(__xludf.DUMMYFUNCTION("""COMPUTED_VALUE"""),416.74)</f>
      </c>
      <c r="H1064" s="10">
        <f>IFERROR(__xludf.DUMMYFUNCTION("""COMPUTED_VALUE"""),0.8783)</f>
      </c>
      <c r="I1064" s="11">
        <f>IFERROR(__xludf.DUMMYFUNCTION("""COMPUTED_VALUE"""),491.68)</f>
      </c>
      <c r="J1064" s="10">
        <f>IFERROR(__xludf.DUMMYFUNCTION("""COMPUTED_VALUE"""),0.8826)</f>
      </c>
      <c r="K1064" s="11">
        <f>IFERROR(__xludf.DUMMYFUNCTION("""COMPUTED_VALUE"""),450.35)</f>
      </c>
      <c r="L1064" s="10">
        <f>IFERROR(__xludf.DUMMYFUNCTION("""COMPUTED_VALUE"""),0.8826)</f>
      </c>
      <c r="M1064" s="11">
        <f>IFERROR(__xludf.DUMMYFUNCTION("""COMPUTED_VALUE"""),482.36)</f>
      </c>
      <c r="N1064" s="10">
        <f>IFERROR(__xludf.DUMMYFUNCTION("""COMPUTED_VALUE"""),0.8391)</f>
      </c>
      <c r="O1064" s="11">
        <f>IFERROR(__xludf.DUMMYFUNCTION("""COMPUTED_VALUE"""),508.81)</f>
      </c>
      <c r="P1064" s="12"/>
      <c r="Q1064" s="12"/>
      <c r="R1064" s="15"/>
      <c r="S1064" s="12"/>
      <c r="T1064" s="12"/>
      <c r="U1064" s="12"/>
      <c r="V1064" s="12"/>
      <c r="W1064" s="12"/>
      <c r="X1064" s="12"/>
      <c r="Y1064" s="12"/>
      <c r="Z1064" s="12"/>
    </row>
    <row x14ac:dyDescent="0.25" r="1065" customHeight="1" ht="15.75">
      <c r="A1065" s="8">
        <f>IFERROR(__xludf.DUMMYFUNCTION("""COMPUTED_VALUE"""),26213.0)</f>
      </c>
      <c r="B1065" s="9">
        <f>IFERROR(__xludf.DUMMYFUNCTION("""COMPUTED_VALUE"""),"SUL FLUMINENSE")</f>
      </c>
      <c r="C1065" s="9">
        <f>IFERROR(__xludf.DUMMYFUNCTION("""COMPUTED_VALUE"""),"CE GECY VIEIRA GONCALVES")</f>
      </c>
      <c r="D1065" s="10">
        <f>IFERROR(__xludf.DUMMYFUNCTION("""COMPUTED_VALUE"""),0.4444)</f>
      </c>
      <c r="E1065" s="11">
        <f>IFERROR(__xludf.DUMMYFUNCTION("""COMPUTED_VALUE"""),198.33)</f>
      </c>
      <c r="F1065" s="10">
        <f>IFERROR(__xludf.DUMMYFUNCTION("""COMPUTED_VALUE"""),0.5926)</f>
      </c>
      <c r="G1065" s="11">
        <f>IFERROR(__xludf.DUMMYFUNCTION("""COMPUTED_VALUE"""),368.75)</f>
      </c>
      <c r="H1065" s="10">
        <f>IFERROR(__xludf.DUMMYFUNCTION("""COMPUTED_VALUE"""),0.3387)</f>
      </c>
      <c r="I1065" s="11">
        <f>IFERROR(__xludf.DUMMYFUNCTION("""COMPUTED_VALUE"""),350.48)</f>
      </c>
      <c r="J1065" s="10">
        <f>IFERROR(__xludf.DUMMYFUNCTION("""COMPUTED_VALUE"""),0.5094)</f>
      </c>
      <c r="K1065" s="11">
        <f>IFERROR(__xludf.DUMMYFUNCTION("""COMPUTED_VALUE"""),215.52)</f>
      </c>
      <c r="L1065" s="10">
        <f>IFERROR(__xludf.DUMMYFUNCTION("""COMPUTED_VALUE"""),0.4677)</f>
      </c>
      <c r="M1065" s="11">
        <f>IFERROR(__xludf.DUMMYFUNCTION("""COMPUTED_VALUE"""),308.97)</f>
      </c>
      <c r="N1065" s="10">
        <f>IFERROR(__xludf.DUMMYFUNCTION("""COMPUTED_VALUE"""),0.4839)</f>
      </c>
      <c r="O1065" s="11">
        <f>IFERROR(__xludf.DUMMYFUNCTION("""COMPUTED_VALUE"""),257.33)</f>
      </c>
      <c r="P1065" s="12"/>
      <c r="Q1065" s="12"/>
      <c r="R1065" s="15"/>
      <c r="S1065" s="12"/>
      <c r="T1065" s="12"/>
      <c r="U1065" s="12"/>
      <c r="V1065" s="12"/>
      <c r="W1065" s="12"/>
      <c r="X1065" s="12"/>
      <c r="Y1065" s="12"/>
      <c r="Z1065" s="12"/>
    </row>
    <row x14ac:dyDescent="0.25" r="1066" customHeight="1" ht="15.75">
      <c r="A1066" s="8">
        <f>IFERROR(__xludf.DUMMYFUNCTION("""COMPUTED_VALUE"""),26214.0)</f>
      </c>
      <c r="B1066" s="9">
        <f>IFERROR(__xludf.DUMMYFUNCTION("""COMPUTED_VALUE"""),"SUL FLUMINENSE")</f>
      </c>
      <c r="C1066" s="9">
        <f>IFERROR(__xludf.DUMMYFUNCTION("""COMPUTED_VALUE"""),"CE GUANABARA")</f>
      </c>
      <c r="D1066" s="10">
        <f>IFERROR(__xludf.DUMMYFUNCTION("""COMPUTED_VALUE"""),0.8355)</f>
      </c>
      <c r="E1066" s="11">
        <f>IFERROR(__xludf.DUMMYFUNCTION("""COMPUTED_VALUE"""),305.2)</f>
      </c>
      <c r="F1066" s="10">
        <f>IFERROR(__xludf.DUMMYFUNCTION("""COMPUTED_VALUE"""),0.6842)</f>
      </c>
      <c r="G1066" s="11">
        <f>IFERROR(__xludf.DUMMYFUNCTION("""COMPUTED_VALUE"""),410.77)</f>
      </c>
      <c r="H1066" s="10">
        <f>IFERROR(__xludf.DUMMYFUNCTION("""COMPUTED_VALUE"""),0.5592)</f>
      </c>
      <c r="I1066" s="11">
        <f>IFERROR(__xludf.DUMMYFUNCTION("""COMPUTED_VALUE"""),439.53)</f>
      </c>
      <c r="J1066" s="10">
        <f>IFERROR(__xludf.DUMMYFUNCTION("""COMPUTED_VALUE"""),0.5197)</f>
      </c>
      <c r="K1066" s="11">
        <f>IFERROR(__xludf.DUMMYFUNCTION("""COMPUTED_VALUE"""),404.62)</f>
      </c>
      <c r="L1066" s="10">
        <f>IFERROR(__xludf.DUMMYFUNCTION("""COMPUTED_VALUE"""),0.7039)</f>
      </c>
      <c r="M1066" s="11">
        <f>IFERROR(__xludf.DUMMYFUNCTION("""COMPUTED_VALUE"""),427.29)</f>
      </c>
      <c r="N1066" s="10">
        <f>IFERROR(__xludf.DUMMYFUNCTION("""COMPUTED_VALUE"""),0.5395)</f>
      </c>
      <c r="O1066" s="11">
        <f>IFERROR(__xludf.DUMMYFUNCTION("""COMPUTED_VALUE"""),449.27)</f>
      </c>
      <c r="P1066" s="12"/>
      <c r="Q1066" s="12"/>
      <c r="R1066" s="15"/>
      <c r="S1066" s="12"/>
      <c r="T1066" s="12"/>
      <c r="U1066" s="12"/>
      <c r="V1066" s="12"/>
      <c r="W1066" s="12"/>
      <c r="X1066" s="12"/>
      <c r="Y1066" s="12"/>
      <c r="Z1066" s="12"/>
    </row>
    <row x14ac:dyDescent="0.25" r="1067" customHeight="1" ht="15.75">
      <c r="A1067" s="8">
        <f>IFERROR(__xludf.DUMMYFUNCTION("""COMPUTED_VALUE"""),26181.0)</f>
      </c>
      <c r="B1067" s="9">
        <f>IFERROR(__xludf.DUMMYFUNCTION("""COMPUTED_VALUE"""),"SUL FLUMINENSE")</f>
      </c>
      <c r="C1067" s="9">
        <f>IFERROR(__xludf.DUMMYFUNCTION("""COMPUTED_VALUE"""),"CE HERMINIA DE OLIVEIRA MATTOS")</f>
      </c>
      <c r="D1067" s="10">
        <f>IFERROR(__xludf.DUMMYFUNCTION("""COMPUTED_VALUE"""),0.908)</f>
      </c>
      <c r="E1067" s="11">
        <f>IFERROR(__xludf.DUMMYFUNCTION("""COMPUTED_VALUE"""),162.56)</f>
      </c>
      <c r="F1067" s="10">
        <f>IFERROR(__xludf.DUMMYFUNCTION("""COMPUTED_VALUE"""),0.8966)</f>
      </c>
      <c r="G1067" s="11">
        <f>IFERROR(__xludf.DUMMYFUNCTION("""COMPUTED_VALUE"""),198.22)</f>
      </c>
      <c r="H1067" s="10">
        <f>IFERROR(__xludf.DUMMYFUNCTION("""COMPUTED_VALUE"""),0.3945)</f>
      </c>
      <c r="I1067" s="11">
        <f>IFERROR(__xludf.DUMMYFUNCTION("""COMPUTED_VALUE"""),390.28)</f>
      </c>
      <c r="J1067" s="10">
        <f>IFERROR(__xludf.DUMMYFUNCTION("""COMPUTED_VALUE"""),0.5158)</f>
      </c>
      <c r="K1067" s="11">
        <f>IFERROR(__xludf.DUMMYFUNCTION("""COMPUTED_VALUE"""),247.12)</f>
      </c>
      <c r="L1067" s="10">
        <f>IFERROR(__xludf.DUMMYFUNCTION("""COMPUTED_VALUE"""),0.5321)</f>
      </c>
      <c r="M1067" s="11">
        <f>IFERROR(__xludf.DUMMYFUNCTION("""COMPUTED_VALUE"""),379.19)</f>
      </c>
      <c r="N1067" s="10">
        <f>IFERROR(__xludf.DUMMYFUNCTION("""COMPUTED_VALUE"""),0.4312)</f>
      </c>
      <c r="O1067" s="11">
        <f>IFERROR(__xludf.DUMMYFUNCTION("""COMPUTED_VALUE"""),384.98)</f>
      </c>
      <c r="P1067" s="12"/>
      <c r="Q1067" s="12"/>
      <c r="R1067" s="15"/>
      <c r="S1067" s="12"/>
      <c r="T1067" s="12"/>
      <c r="U1067" s="12"/>
      <c r="V1067" s="12"/>
      <c r="W1067" s="12"/>
      <c r="X1067" s="12"/>
      <c r="Y1067" s="12"/>
      <c r="Z1067" s="12"/>
    </row>
    <row x14ac:dyDescent="0.25" r="1068" customHeight="1" ht="15.75">
      <c r="A1068" s="8">
        <f>IFERROR(__xludf.DUMMYFUNCTION("""COMPUTED_VALUE"""),26152.0)</f>
      </c>
      <c r="B1068" s="9">
        <f>IFERROR(__xludf.DUMMYFUNCTION("""COMPUTED_VALUE"""),"SUL FLUMINENSE")</f>
      </c>
      <c r="C1068" s="9">
        <f>IFERROR(__xludf.DUMMYFUNCTION("""COMPUTED_VALUE"""),"CE HONORIO LIMA")</f>
      </c>
      <c r="D1068" s="10">
        <f>IFERROR(__xludf.DUMMYFUNCTION("""COMPUTED_VALUE"""),0.8151)</f>
      </c>
      <c r="E1068" s="11">
        <f>IFERROR(__xludf.DUMMYFUNCTION("""COMPUTED_VALUE"""),232.88)</f>
      </c>
      <c r="F1068" s="10">
        <f>IFERROR(__xludf.DUMMYFUNCTION("""COMPUTED_VALUE"""),0.5336)</f>
      </c>
      <c r="G1068" s="11">
        <f>IFERROR(__xludf.DUMMYFUNCTION("""COMPUTED_VALUE"""),354.47)</f>
      </c>
      <c r="H1068" s="10">
        <f>IFERROR(__xludf.DUMMYFUNCTION("""COMPUTED_VALUE"""),0.6513)</f>
      </c>
      <c r="I1068" s="11">
        <f>IFERROR(__xludf.DUMMYFUNCTION("""COMPUTED_VALUE"""),454.03)</f>
      </c>
      <c r="J1068" s="10">
        <f>IFERROR(__xludf.DUMMYFUNCTION("""COMPUTED_VALUE"""),0.3403)</f>
      </c>
      <c r="K1068" s="11">
        <f>IFERROR(__xludf.DUMMYFUNCTION("""COMPUTED_VALUE"""),371.05)</f>
      </c>
      <c r="L1068" s="10">
        <f>IFERROR(__xludf.DUMMYFUNCTION("""COMPUTED_VALUE"""),0.6765)</f>
      </c>
      <c r="M1068" s="11">
        <f>IFERROR(__xludf.DUMMYFUNCTION("""COMPUTED_VALUE"""),445.22)</f>
      </c>
      <c r="N1068" s="10">
        <f>IFERROR(__xludf.DUMMYFUNCTION("""COMPUTED_VALUE"""),0.6681)</f>
      </c>
      <c r="O1068" s="11">
        <f>IFERROR(__xludf.DUMMYFUNCTION("""COMPUTED_VALUE"""),442.53)</f>
      </c>
      <c r="P1068" s="12"/>
      <c r="Q1068" s="12"/>
      <c r="R1068" s="15"/>
      <c r="S1068" s="12"/>
      <c r="T1068" s="12"/>
      <c r="U1068" s="12"/>
      <c r="V1068" s="12"/>
      <c r="W1068" s="12"/>
      <c r="X1068" s="12"/>
      <c r="Y1068" s="12"/>
      <c r="Z1068" s="12"/>
    </row>
    <row x14ac:dyDescent="0.25" r="1069" customHeight="1" ht="15.75">
      <c r="A1069" s="8">
        <f>IFERROR(__xludf.DUMMYFUNCTION("""COMPUTED_VALUE"""),26166.0)</f>
      </c>
      <c r="B1069" s="9">
        <f>IFERROR(__xludf.DUMMYFUNCTION("""COMPUTED_VALUE"""),"SUL FLUMINENSE")</f>
      </c>
      <c r="C1069" s="9">
        <f>IFERROR(__xludf.DUMMYFUNCTION("""COMPUTED_VALUE"""),"CE IRACEMA LEITE NADER")</f>
      </c>
      <c r="D1069" s="10">
        <f>IFERROR(__xludf.DUMMYFUNCTION("""COMPUTED_VALUE"""),0.697)</f>
      </c>
      <c r="E1069" s="11">
        <f>IFERROR(__xludf.DUMMYFUNCTION("""COMPUTED_VALUE"""),360.0)</f>
      </c>
      <c r="F1069" s="10">
        <f>IFERROR(__xludf.DUMMYFUNCTION("""COMPUTED_VALUE"""),0.6894)</f>
      </c>
      <c r="G1069" s="11">
        <f>IFERROR(__xludf.DUMMYFUNCTION("""COMPUTED_VALUE"""),380.22)</f>
      </c>
      <c r="H1069" s="10">
        <f>IFERROR(__xludf.DUMMYFUNCTION("""COMPUTED_VALUE"""),0.6842)</f>
      </c>
      <c r="I1069" s="11">
        <f>IFERROR(__xludf.DUMMYFUNCTION("""COMPUTED_VALUE"""),449.78)</f>
      </c>
      <c r="J1069" s="10">
        <f>IFERROR(__xludf.DUMMYFUNCTION("""COMPUTED_VALUE"""),0.6165)</f>
      </c>
      <c r="K1069" s="11">
        <f>IFERROR(__xludf.DUMMYFUNCTION("""COMPUTED_VALUE"""),390.59)</f>
      </c>
      <c r="L1069" s="10">
        <f>IFERROR(__xludf.DUMMYFUNCTION("""COMPUTED_VALUE"""),0.5639)</f>
      </c>
      <c r="M1069" s="11">
        <f>IFERROR(__xludf.DUMMYFUNCTION("""COMPUTED_VALUE"""),484.38)</f>
      </c>
      <c r="N1069" s="10">
        <f>IFERROR(__xludf.DUMMYFUNCTION("""COMPUTED_VALUE"""),0.6241)</f>
      </c>
      <c r="O1069" s="11">
        <f>IFERROR(__xludf.DUMMYFUNCTION("""COMPUTED_VALUE"""),447.71)</f>
      </c>
      <c r="P1069" s="12"/>
      <c r="Q1069" s="12"/>
      <c r="R1069" s="15"/>
      <c r="S1069" s="12"/>
      <c r="T1069" s="12"/>
      <c r="U1069" s="12"/>
      <c r="V1069" s="12"/>
      <c r="W1069" s="12"/>
      <c r="X1069" s="12"/>
      <c r="Y1069" s="12"/>
      <c r="Z1069" s="12"/>
    </row>
    <row x14ac:dyDescent="0.25" r="1070" customHeight="1" ht="15.75">
      <c r="A1070" s="8">
        <f>IFERROR(__xludf.DUMMYFUNCTION("""COMPUTED_VALUE"""),26167.0)</f>
      </c>
      <c r="B1070" s="9">
        <f>IFERROR(__xludf.DUMMYFUNCTION("""COMPUTED_VALUE"""),"SUL FLUMINENSE")</f>
      </c>
      <c r="C1070" s="9">
        <f>IFERROR(__xludf.DUMMYFUNCTION("""COMPUTED_VALUE"""),"CE JAYME SILVESTRE CAMARGO")</f>
      </c>
      <c r="D1070" s="10">
        <f>IFERROR(__xludf.DUMMYFUNCTION("""COMPUTED_VALUE"""),0.8403)</f>
      </c>
      <c r="E1070" s="11">
        <f>IFERROR(__xludf.DUMMYFUNCTION("""COMPUTED_VALUE"""),322.22)</f>
      </c>
      <c r="F1070" s="10">
        <f>IFERROR(__xludf.DUMMYFUNCTION("""COMPUTED_VALUE"""),0.5972)</f>
      </c>
      <c r="G1070" s="11">
        <f>IFERROR(__xludf.DUMMYFUNCTION("""COMPUTED_VALUE"""),459.52)</f>
      </c>
      <c r="H1070" s="10">
        <f>IFERROR(__xludf.DUMMYFUNCTION("""COMPUTED_VALUE"""),0.5486)</f>
      </c>
      <c r="I1070" s="11">
        <f>IFERROR(__xludf.DUMMYFUNCTION("""COMPUTED_VALUE"""),469.23)</f>
      </c>
      <c r="J1070" s="10">
        <f>IFERROR(__xludf.DUMMYFUNCTION("""COMPUTED_VALUE"""),0.5625)</f>
      </c>
      <c r="K1070" s="11">
        <f>IFERROR(__xludf.DUMMYFUNCTION("""COMPUTED_VALUE"""),393.85)</f>
      </c>
      <c r="L1070" s="10">
        <f>IFERROR(__xludf.DUMMYFUNCTION("""COMPUTED_VALUE"""),0.5208)</f>
      </c>
      <c r="M1070" s="11">
        <f>IFERROR(__xludf.DUMMYFUNCTION("""COMPUTED_VALUE"""),480.0)</f>
      </c>
      <c r="N1070" s="10">
        <f>IFERROR(__xludf.DUMMYFUNCTION("""COMPUTED_VALUE"""),0.5278)</f>
      </c>
      <c r="O1070" s="11">
        <f>IFERROR(__xludf.DUMMYFUNCTION("""COMPUTED_VALUE"""),456.84)</f>
      </c>
      <c r="P1070" s="12"/>
      <c r="Q1070" s="12"/>
      <c r="R1070" s="15"/>
      <c r="S1070" s="12"/>
      <c r="T1070" s="12"/>
      <c r="U1070" s="12"/>
      <c r="V1070" s="12"/>
      <c r="W1070" s="12"/>
      <c r="X1070" s="12"/>
      <c r="Y1070" s="12"/>
      <c r="Z1070" s="12"/>
    </row>
    <row x14ac:dyDescent="0.25" r="1071" customHeight="1" ht="15.75">
      <c r="A1071" s="8">
        <f>IFERROR(__xludf.DUMMYFUNCTION("""COMPUTED_VALUE"""),26182.0)</f>
      </c>
      <c r="B1071" s="9">
        <f>IFERROR(__xludf.DUMMYFUNCTION("""COMPUTED_VALUE"""),"SUL FLUMINENSE")</f>
      </c>
      <c r="C1071" s="9">
        <f>IFERROR(__xludf.DUMMYFUNCTION("""COMPUTED_VALUE"""),"CE JOAO PAULO II")</f>
      </c>
      <c r="D1071" s="10">
        <f>IFERROR(__xludf.DUMMYFUNCTION("""COMPUTED_VALUE"""),0.9703)</f>
      </c>
      <c r="E1071" s="11">
        <f>IFERROR(__xludf.DUMMYFUNCTION("""COMPUTED_VALUE"""),225.69)</f>
      </c>
      <c r="F1071" s="10">
        <f>IFERROR(__xludf.DUMMYFUNCTION("""COMPUTED_VALUE"""),0.7192)</f>
      </c>
      <c r="G1071" s="11">
        <f>IFERROR(__xludf.DUMMYFUNCTION("""COMPUTED_VALUE"""),458.5)</f>
      </c>
      <c r="H1071" s="10">
        <f>IFERROR(__xludf.DUMMYFUNCTION("""COMPUTED_VALUE"""),0.535)</f>
      </c>
      <c r="I1071" s="11">
        <f>IFERROR(__xludf.DUMMYFUNCTION("""COMPUTED_VALUE"""),511.08)</f>
      </c>
      <c r="J1071" s="10">
        <f>IFERROR(__xludf.DUMMYFUNCTION("""COMPUTED_VALUE"""),0.5148)</f>
      </c>
      <c r="K1071" s="11">
        <f>IFERROR(__xludf.DUMMYFUNCTION("""COMPUTED_VALUE"""),414.37)</f>
      </c>
      <c r="L1071" s="10">
        <f>IFERROR(__xludf.DUMMYFUNCTION("""COMPUTED_VALUE"""),0.4947)</f>
      </c>
      <c r="M1071" s="11">
        <f>IFERROR(__xludf.DUMMYFUNCTION("""COMPUTED_VALUE"""),542.83)</f>
      </c>
      <c r="N1071" s="10">
        <f>IFERROR(__xludf.DUMMYFUNCTION("""COMPUTED_VALUE"""),0.5265)</f>
      </c>
      <c r="O1071" s="11">
        <f>IFERROR(__xludf.DUMMYFUNCTION("""COMPUTED_VALUE"""),531.67)</f>
      </c>
      <c r="P1071" s="12"/>
      <c r="Q1071" s="12"/>
      <c r="R1071" s="15"/>
      <c r="S1071" s="12"/>
      <c r="T1071" s="12"/>
      <c r="U1071" s="12"/>
      <c r="V1071" s="12"/>
      <c r="W1071" s="12"/>
      <c r="X1071" s="12"/>
      <c r="Y1071" s="12"/>
      <c r="Z1071" s="12"/>
    </row>
    <row x14ac:dyDescent="0.25" r="1072" customHeight="1" ht="15.75">
      <c r="A1072" s="8">
        <f>IFERROR(__xludf.DUMMYFUNCTION("""COMPUTED_VALUE"""),26153.0)</f>
      </c>
      <c r="B1072" s="9">
        <f>IFERROR(__xludf.DUMMYFUNCTION("""COMPUTED_VALUE"""),"SUL FLUMINENSE")</f>
      </c>
      <c r="C1072" s="9">
        <f>IFERROR(__xludf.DUMMYFUNCTION("""COMPUTED_VALUE"""),"CE LEOPOLDO AMERICO M DE MELLO")</f>
      </c>
      <c r="D1072" s="10">
        <f>IFERROR(__xludf.DUMMYFUNCTION("""COMPUTED_VALUE"""),0.8427)</f>
      </c>
      <c r="E1072" s="11">
        <f>IFERROR(__xludf.DUMMYFUNCTION("""COMPUTED_VALUE"""),371.81)</f>
      </c>
      <c r="F1072" s="10">
        <f>IFERROR(__xludf.DUMMYFUNCTION("""COMPUTED_VALUE"""),0.8258)</f>
      </c>
      <c r="G1072" s="11">
        <f>IFERROR(__xludf.DUMMYFUNCTION("""COMPUTED_VALUE"""),439.73)</f>
      </c>
      <c r="H1072" s="10">
        <f>IFERROR(__xludf.DUMMYFUNCTION("""COMPUTED_VALUE"""),0.691)</f>
      </c>
      <c r="I1072" s="11">
        <f>IFERROR(__xludf.DUMMYFUNCTION("""COMPUTED_VALUE"""),451.0)</f>
      </c>
      <c r="J1072" s="10">
        <f>IFERROR(__xludf.DUMMYFUNCTION("""COMPUTED_VALUE"""),0.6798)</f>
      </c>
      <c r="K1072" s="11">
        <f>IFERROR(__xludf.DUMMYFUNCTION("""COMPUTED_VALUE"""),431.26)</f>
      </c>
      <c r="L1072" s="10">
        <f>IFERROR(__xludf.DUMMYFUNCTION("""COMPUTED_VALUE"""),0.7809)</f>
      </c>
      <c r="M1072" s="11">
        <f>IFERROR(__xludf.DUMMYFUNCTION("""COMPUTED_VALUE"""),462.48)</f>
      </c>
      <c r="N1072" s="10">
        <f>IFERROR(__xludf.DUMMYFUNCTION("""COMPUTED_VALUE"""),0.7584)</f>
      </c>
      <c r="O1072" s="11">
        <f>IFERROR(__xludf.DUMMYFUNCTION("""COMPUTED_VALUE"""),453.64)</f>
      </c>
      <c r="P1072" s="12"/>
      <c r="Q1072" s="12"/>
      <c r="R1072" s="15"/>
      <c r="S1072" s="12"/>
      <c r="T1072" s="12"/>
      <c r="U1072" s="12"/>
      <c r="V1072" s="12"/>
      <c r="W1072" s="12"/>
      <c r="X1072" s="12"/>
      <c r="Y1072" s="12"/>
      <c r="Z1072" s="12"/>
    </row>
    <row x14ac:dyDescent="0.25" r="1073" customHeight="1" ht="15.75">
      <c r="A1073" s="8">
        <f>IFERROR(__xludf.DUMMYFUNCTION("""COMPUTED_VALUE"""),26168.0)</f>
      </c>
      <c r="B1073" s="9">
        <f>IFERROR(__xludf.DUMMYFUNCTION("""COMPUTED_VALUE"""),"SUL FLUMINENSE")</f>
      </c>
      <c r="C1073" s="9">
        <f>IFERROR(__xludf.DUMMYFUNCTION("""COMPUTED_VALUE"""),"CE MARECHAL FLORIANO PEIXOTO")</f>
      </c>
      <c r="D1073" s="10">
        <f>IFERROR(__xludf.DUMMYFUNCTION("""COMPUTED_VALUE"""),0.6727)</f>
      </c>
      <c r="E1073" s="11">
        <f>IFERROR(__xludf.DUMMYFUNCTION("""COMPUTED_VALUE"""),296.57)</f>
      </c>
      <c r="F1073" s="10">
        <f>IFERROR(__xludf.DUMMYFUNCTION("""COMPUTED_VALUE"""),0.6636)</f>
      </c>
      <c r="G1073" s="11">
        <f>IFERROR(__xludf.DUMMYFUNCTION("""COMPUTED_VALUE"""),329.28)</f>
      </c>
      <c r="H1073" s="10">
        <f>IFERROR(__xludf.DUMMYFUNCTION("""COMPUTED_VALUE"""),0.6909)</f>
      </c>
      <c r="I1073" s="11">
        <f>IFERROR(__xludf.DUMMYFUNCTION("""COMPUTED_VALUE"""),426.3)</f>
      </c>
      <c r="J1073" s="10">
        <f>IFERROR(__xludf.DUMMYFUNCTION("""COMPUTED_VALUE"""),0.6455)</f>
      </c>
      <c r="K1073" s="11">
        <f>IFERROR(__xludf.DUMMYFUNCTION("""COMPUTED_VALUE"""),317.61)</f>
      </c>
      <c r="L1073" s="10">
        <f>IFERROR(__xludf.DUMMYFUNCTION("""COMPUTED_VALUE"""),0.6273)</f>
      </c>
      <c r="M1073" s="11">
        <f>IFERROR(__xludf.DUMMYFUNCTION("""COMPUTED_VALUE"""),274.71)</f>
      </c>
      <c r="N1073" s="10">
        <f>IFERROR(__xludf.DUMMYFUNCTION("""COMPUTED_VALUE"""),0.6727)</f>
      </c>
      <c r="O1073" s="11">
        <f>IFERROR(__xludf.DUMMYFUNCTION("""COMPUTED_VALUE"""),401.1)</f>
      </c>
      <c r="P1073" s="12"/>
      <c r="Q1073" s="12"/>
      <c r="R1073" s="15"/>
      <c r="S1073" s="12"/>
      <c r="T1073" s="12"/>
      <c r="U1073" s="12"/>
      <c r="V1073" s="12"/>
      <c r="W1073" s="12"/>
      <c r="X1073" s="12"/>
      <c r="Y1073" s="12"/>
      <c r="Z1073" s="12"/>
    </row>
    <row x14ac:dyDescent="0.25" r="1074" customHeight="1" ht="15.75">
      <c r="A1074" s="8">
        <f>IFERROR(__xludf.DUMMYFUNCTION("""COMPUTED_VALUE"""),26200.0)</f>
      </c>
      <c r="B1074" s="9">
        <f>IFERROR(__xludf.DUMMYFUNCTION("""COMPUTED_VALUE"""),"SUL FLUMINENSE")</f>
      </c>
      <c r="C1074" s="9">
        <f>IFERROR(__xludf.DUMMYFUNCTION("""COMPUTED_VALUE"""),"CE MARECHAL SOUZA DANTAS")</f>
      </c>
      <c r="D1074" s="10">
        <f>IFERROR(__xludf.DUMMYFUNCTION("""COMPUTED_VALUE"""),0.6375)</f>
      </c>
      <c r="E1074" s="11">
        <f>IFERROR(__xludf.DUMMYFUNCTION("""COMPUTED_VALUE"""),303.95)</f>
      </c>
      <c r="F1074" s="10">
        <f>IFERROR(__xludf.DUMMYFUNCTION("""COMPUTED_VALUE"""),0.5896)</f>
      </c>
      <c r="G1074" s="11">
        <f>IFERROR(__xludf.DUMMYFUNCTION("""COMPUTED_VALUE"""),427.6)</f>
      </c>
      <c r="H1074" s="10">
        <f>IFERROR(__xludf.DUMMYFUNCTION("""COMPUTED_VALUE"""),0.5016)</f>
      </c>
      <c r="I1074" s="11">
        <f>IFERROR(__xludf.DUMMYFUNCTION("""COMPUTED_VALUE"""),470.41)</f>
      </c>
      <c r="J1074" s="10">
        <f>IFERROR(__xludf.DUMMYFUNCTION("""COMPUTED_VALUE"""),0.6035)</f>
      </c>
      <c r="K1074" s="11">
        <f>IFERROR(__xludf.DUMMYFUNCTION("""COMPUTED_VALUE"""),371.42)</f>
      </c>
      <c r="L1074" s="10">
        <f>IFERROR(__xludf.DUMMYFUNCTION("""COMPUTED_VALUE"""),0.5363)</f>
      </c>
      <c r="M1074" s="11">
        <f>IFERROR(__xludf.DUMMYFUNCTION("""COMPUTED_VALUE"""),477.64)</f>
      </c>
      <c r="N1074" s="10">
        <f>IFERROR(__xludf.DUMMYFUNCTION("""COMPUTED_VALUE"""),0.4637)</f>
      </c>
      <c r="O1074" s="11">
        <f>IFERROR(__xludf.DUMMYFUNCTION("""COMPUTED_VALUE"""),483.54)</f>
      </c>
      <c r="P1074" s="12"/>
      <c r="Q1074" s="12"/>
      <c r="R1074" s="15"/>
      <c r="S1074" s="12"/>
      <c r="T1074" s="12"/>
      <c r="U1074" s="12"/>
      <c r="V1074" s="12"/>
      <c r="W1074" s="12"/>
      <c r="X1074" s="12"/>
      <c r="Y1074" s="12"/>
      <c r="Z1074" s="12"/>
    </row>
    <row x14ac:dyDescent="0.25" r="1075" customHeight="1" ht="15.75">
      <c r="A1075" s="8">
        <f>IFERROR(__xludf.DUMMYFUNCTION("""COMPUTED_VALUE"""),26183.0)</f>
      </c>
      <c r="B1075" s="9">
        <f>IFERROR(__xludf.DUMMYFUNCTION("""COMPUTED_VALUE"""),"SUL FLUMINENSE")</f>
      </c>
      <c r="C1075" s="9">
        <f>IFERROR(__xludf.DUMMYFUNCTION("""COMPUTED_VALUE"""),"CE MONTEBELLO BONDIM")</f>
      </c>
      <c r="D1075" s="10">
        <f>IFERROR(__xludf.DUMMYFUNCTION("""COMPUTED_VALUE"""),0.6891)</f>
      </c>
      <c r="E1075" s="11">
        <f>IFERROR(__xludf.DUMMYFUNCTION("""COMPUTED_VALUE"""),282.56)</f>
      </c>
      <c r="F1075" s="10">
        <f>IFERROR(__xludf.DUMMYFUNCTION("""COMPUTED_VALUE"""),0.4538)</f>
      </c>
      <c r="G1075" s="11">
        <f>IFERROR(__xludf.DUMMYFUNCTION("""COMPUTED_VALUE"""),398.15)</f>
      </c>
      <c r="H1075" s="10">
        <f>IFERROR(__xludf.DUMMYFUNCTION("""COMPUTED_VALUE"""),0.6007)</f>
      </c>
      <c r="I1075" s="11">
        <f>IFERROR(__xludf.DUMMYFUNCTION("""COMPUTED_VALUE"""),429.77)</f>
      </c>
      <c r="J1075" s="10">
        <f>IFERROR(__xludf.DUMMYFUNCTION("""COMPUTED_VALUE"""),0.4098)</f>
      </c>
      <c r="K1075" s="11">
        <f>IFERROR(__xludf.DUMMYFUNCTION("""COMPUTED_VALUE"""),306.71)</f>
      </c>
      <c r="L1075" s="10">
        <f>IFERROR(__xludf.DUMMYFUNCTION("""COMPUTED_VALUE"""),0.5709)</f>
      </c>
      <c r="M1075" s="11">
        <f>IFERROR(__xludf.DUMMYFUNCTION("""COMPUTED_VALUE"""),479.47)</f>
      </c>
      <c r="N1075" s="10">
        <f>IFERROR(__xludf.DUMMYFUNCTION("""COMPUTED_VALUE"""),0.194)</f>
      </c>
      <c r="O1075" s="11">
        <f>IFERROR(__xludf.DUMMYFUNCTION("""COMPUTED_VALUE"""),"----")</f>
      </c>
      <c r="P1075" s="12"/>
      <c r="Q1075" s="12"/>
      <c r="R1075" s="15"/>
      <c r="S1075" s="12"/>
      <c r="T1075" s="12"/>
      <c r="U1075" s="12"/>
      <c r="V1075" s="12"/>
      <c r="W1075" s="12"/>
      <c r="X1075" s="12"/>
      <c r="Y1075" s="12"/>
      <c r="Z1075" s="12"/>
    </row>
    <row x14ac:dyDescent="0.25" r="1076" customHeight="1" ht="15.75">
      <c r="A1076" s="8">
        <f>IFERROR(__xludf.DUMMYFUNCTION("""COMPUTED_VALUE"""),26154.0)</f>
      </c>
      <c r="B1076" s="9">
        <f>IFERROR(__xludf.DUMMYFUNCTION("""COMPUTED_VALUE"""),"SUL FLUMINENSE")</f>
      </c>
      <c r="C1076" s="9">
        <f>IFERROR(__xludf.DUMMYFUNCTION("""COMPUTED_VALUE"""),"CE NAZIRA SALOMAO")</f>
      </c>
      <c r="D1076" s="10">
        <f>IFERROR(__xludf.DUMMYFUNCTION("""COMPUTED_VALUE"""),0.9497)</f>
      </c>
      <c r="E1076" s="11">
        <f>IFERROR(__xludf.DUMMYFUNCTION("""COMPUTED_VALUE"""),155.24)</f>
      </c>
      <c r="F1076" s="10">
        <f>IFERROR(__xludf.DUMMYFUNCTION("""COMPUTED_VALUE"""),0.6751)</f>
      </c>
      <c r="G1076" s="11">
        <f>IFERROR(__xludf.DUMMYFUNCTION("""COMPUTED_VALUE"""),388.08)</f>
      </c>
      <c r="H1076" s="10">
        <f>IFERROR(__xludf.DUMMYFUNCTION("""COMPUTED_VALUE"""),0.5103)</f>
      </c>
      <c r="I1076" s="11">
        <f>IFERROR(__xludf.DUMMYFUNCTION("""COMPUTED_VALUE"""),464.46)</f>
      </c>
      <c r="J1076" s="10">
        <f>IFERROR(__xludf.DUMMYFUNCTION("""COMPUTED_VALUE"""),0.6309)</f>
      </c>
      <c r="K1076" s="11">
        <f>IFERROR(__xludf.DUMMYFUNCTION("""COMPUTED_VALUE"""),326.0)</f>
      </c>
      <c r="L1076" s="10">
        <f>IFERROR(__xludf.DUMMYFUNCTION("""COMPUTED_VALUE"""),0.5929)</f>
      </c>
      <c r="M1076" s="11">
        <f>IFERROR(__xludf.DUMMYFUNCTION("""COMPUTED_VALUE"""),374.74)</f>
      </c>
      <c r="N1076" s="10">
        <f>IFERROR(__xludf.DUMMYFUNCTION("""COMPUTED_VALUE"""),0.5347)</f>
      </c>
      <c r="O1076" s="11">
        <f>IFERROR(__xludf.DUMMYFUNCTION("""COMPUTED_VALUE"""),433.6)</f>
      </c>
      <c r="P1076" s="12"/>
      <c r="Q1076" s="12"/>
      <c r="R1076" s="15"/>
      <c r="S1076" s="12"/>
      <c r="T1076" s="12"/>
      <c r="U1076" s="12"/>
      <c r="V1076" s="12"/>
      <c r="W1076" s="12"/>
      <c r="X1076" s="12"/>
      <c r="Y1076" s="12"/>
      <c r="Z1076" s="12"/>
    </row>
    <row x14ac:dyDescent="0.25" r="1077" customHeight="1" ht="15.75">
      <c r="A1077" s="8">
        <f>IFERROR(__xludf.DUMMYFUNCTION("""COMPUTED_VALUE"""),26215.0)</f>
      </c>
      <c r="B1077" s="9">
        <f>IFERROR(__xludf.DUMMYFUNCTION("""COMPUTED_VALUE"""),"SUL FLUMINENSE")</f>
      </c>
      <c r="C1077" s="9">
        <f>IFERROR(__xludf.DUMMYFUNCTION("""COMPUTED_VALUE"""),"CE NITERÓI")</f>
      </c>
      <c r="D1077" s="10">
        <f>IFERROR(__xludf.DUMMYFUNCTION("""COMPUTED_VALUE"""),0.7872)</f>
      </c>
      <c r="E1077" s="11">
        <f>IFERROR(__xludf.DUMMYFUNCTION("""COMPUTED_VALUE"""),343.33)</f>
      </c>
      <c r="F1077" s="10">
        <f>IFERROR(__xludf.DUMMYFUNCTION("""COMPUTED_VALUE"""),0.6099)</f>
      </c>
      <c r="G1077" s="11">
        <f>IFERROR(__xludf.DUMMYFUNCTION("""COMPUTED_VALUE"""),445.12)</f>
      </c>
      <c r="H1077" s="10">
        <f>IFERROR(__xludf.DUMMYFUNCTION("""COMPUTED_VALUE"""),0.7589)</f>
      </c>
      <c r="I1077" s="11">
        <f>IFERROR(__xludf.DUMMYFUNCTION("""COMPUTED_VALUE"""),501.31)</f>
      </c>
      <c r="J1077" s="10">
        <f>IFERROR(__xludf.DUMMYFUNCTION("""COMPUTED_VALUE"""),0.7943)</f>
      </c>
      <c r="K1077" s="11">
        <f>IFERROR(__xludf.DUMMYFUNCTION("""COMPUTED_VALUE"""),401.52)</f>
      </c>
      <c r="L1077" s="10">
        <f>IFERROR(__xludf.DUMMYFUNCTION("""COMPUTED_VALUE"""),0.7801)</f>
      </c>
      <c r="M1077" s="11">
        <f>IFERROR(__xludf.DUMMYFUNCTION("""COMPUTED_VALUE"""),493.94)</f>
      </c>
      <c r="N1077" s="10">
        <f>IFERROR(__xludf.DUMMYFUNCTION("""COMPUTED_VALUE"""),0.7021)</f>
      </c>
      <c r="O1077" s="11">
        <f>IFERROR(__xludf.DUMMYFUNCTION("""COMPUTED_VALUE"""),494.95)</f>
      </c>
      <c r="P1077" s="12"/>
      <c r="Q1077" s="12"/>
      <c r="R1077" s="15"/>
      <c r="S1077" s="12"/>
      <c r="T1077" s="12"/>
      <c r="U1077" s="12"/>
      <c r="V1077" s="12"/>
      <c r="W1077" s="12"/>
      <c r="X1077" s="12"/>
      <c r="Y1077" s="12"/>
      <c r="Z1077" s="12"/>
    </row>
    <row x14ac:dyDescent="0.25" r="1078" customHeight="1" ht="15.75">
      <c r="A1078" s="8">
        <f>IFERROR(__xludf.DUMMYFUNCTION("""COMPUTED_VALUE"""),26169.0)</f>
      </c>
      <c r="B1078" s="9">
        <f>IFERROR(__xludf.DUMMYFUNCTION("""COMPUTED_VALUE"""),"SUL FLUMINENSE")</f>
      </c>
      <c r="C1078" s="9">
        <f>IFERROR(__xludf.DUMMYFUNCTION("""COMPUTED_VALUE"""),"CE NOSSA SENHORA DO AMPARO")</f>
      </c>
      <c r="D1078" s="10">
        <f>IFERROR(__xludf.DUMMYFUNCTION("""COMPUTED_VALUE"""),0.9697)</f>
      </c>
      <c r="E1078" s="11">
        <f>IFERROR(__xludf.DUMMYFUNCTION("""COMPUTED_VALUE"""),222.5)</f>
      </c>
      <c r="F1078" s="10">
        <f>IFERROR(__xludf.DUMMYFUNCTION("""COMPUTED_VALUE"""),0.8182)</f>
      </c>
      <c r="G1078" s="11">
        <f>IFERROR(__xludf.DUMMYFUNCTION("""COMPUTED_VALUE"""),370.37)</f>
      </c>
      <c r="H1078" s="10">
        <f>IFERROR(__xludf.DUMMYFUNCTION("""COMPUTED_VALUE"""),0.8788)</f>
      </c>
      <c r="I1078" s="11">
        <f>IFERROR(__xludf.DUMMYFUNCTION("""COMPUTED_VALUE"""),433.1)</f>
      </c>
      <c r="J1078" s="10">
        <f>IFERROR(__xludf.DUMMYFUNCTION("""COMPUTED_VALUE"""),0.7273)</f>
      </c>
      <c r="K1078" s="11">
        <f>IFERROR(__xludf.DUMMYFUNCTION("""COMPUTED_VALUE"""),326.96)</f>
      </c>
      <c r="L1078" s="10">
        <f>IFERROR(__xludf.DUMMYFUNCTION("""COMPUTED_VALUE"""),0.8182)</f>
      </c>
      <c r="M1078" s="11">
        <f>IFERROR(__xludf.DUMMYFUNCTION("""COMPUTED_VALUE"""),428.15)</f>
      </c>
      <c r="N1078" s="10">
        <f>IFERROR(__xludf.DUMMYFUNCTION("""COMPUTED_VALUE"""),0.7273)</f>
      </c>
      <c r="O1078" s="11">
        <f>IFERROR(__xludf.DUMMYFUNCTION("""COMPUTED_VALUE"""),460.0)</f>
      </c>
      <c r="P1078" s="12"/>
      <c r="Q1078" s="12"/>
      <c r="R1078" s="15"/>
      <c r="S1078" s="12"/>
      <c r="T1078" s="12"/>
      <c r="U1078" s="12"/>
      <c r="V1078" s="12"/>
      <c r="W1078" s="12"/>
      <c r="X1078" s="12"/>
      <c r="Y1078" s="12"/>
      <c r="Z1078" s="12"/>
    </row>
    <row x14ac:dyDescent="0.25" r="1079" customHeight="1" ht="15.75">
      <c r="A1079" s="8">
        <f>IFERROR(__xludf.DUMMYFUNCTION("""COMPUTED_VALUE"""),26192.0)</f>
      </c>
      <c r="B1079" s="9">
        <f>IFERROR(__xludf.DUMMYFUNCTION("""COMPUTED_VALUE"""),"SUL FLUMINENSE")</f>
      </c>
      <c r="C1079" s="9">
        <f>IFERROR(__xludf.DUMMYFUNCTION("""COMPUTED_VALUE"""),"CE OCTÁVIO TEIXEIRA CAMPOS")</f>
      </c>
      <c r="D1079" s="10">
        <f>IFERROR(__xludf.DUMMYFUNCTION("""COMPUTED_VALUE"""),0.9636)</f>
      </c>
      <c r="E1079" s="11">
        <f>IFERROR(__xludf.DUMMYFUNCTION("""COMPUTED_VALUE"""),199.18)</f>
      </c>
      <c r="F1079" s="10">
        <f>IFERROR(__xludf.DUMMYFUNCTION("""COMPUTED_VALUE"""),0.5727)</f>
      </c>
      <c r="G1079" s="11">
        <f>IFERROR(__xludf.DUMMYFUNCTION("""COMPUTED_VALUE"""),399.97)</f>
      </c>
      <c r="H1079" s="10">
        <f>IFERROR(__xludf.DUMMYFUNCTION("""COMPUTED_VALUE"""),0.5738)</f>
      </c>
      <c r="I1079" s="11">
        <f>IFERROR(__xludf.DUMMYFUNCTION("""COMPUTED_VALUE"""),464.4)</f>
      </c>
      <c r="J1079" s="10">
        <f>IFERROR(__xludf.DUMMYFUNCTION("""COMPUTED_VALUE"""),0.5926)</f>
      </c>
      <c r="K1079" s="11">
        <f>IFERROR(__xludf.DUMMYFUNCTION("""COMPUTED_VALUE"""),350.0)</f>
      </c>
      <c r="L1079" s="10">
        <f>IFERROR(__xludf.DUMMYFUNCTION("""COMPUTED_VALUE"""),0.582)</f>
      </c>
      <c r="M1079" s="11">
        <f>IFERROR(__xludf.DUMMYFUNCTION("""COMPUTED_VALUE"""),464.23)</f>
      </c>
      <c r="N1079" s="10">
        <f>IFERROR(__xludf.DUMMYFUNCTION("""COMPUTED_VALUE"""),0.4344)</f>
      </c>
      <c r="O1079" s="11">
        <f>IFERROR(__xludf.DUMMYFUNCTION("""COMPUTED_VALUE"""),480.0)</f>
      </c>
      <c r="P1079" s="12"/>
      <c r="Q1079" s="12"/>
      <c r="R1079" s="15"/>
      <c r="S1079" s="12"/>
      <c r="T1079" s="12"/>
      <c r="U1079" s="12"/>
      <c r="V1079" s="12"/>
      <c r="W1079" s="12"/>
      <c r="X1079" s="12"/>
      <c r="Y1079" s="12"/>
      <c r="Z1079" s="12"/>
    </row>
    <row x14ac:dyDescent="0.25" r="1080" customHeight="1" ht="15.75">
      <c r="A1080" s="8">
        <f>IFERROR(__xludf.DUMMYFUNCTION("""COMPUTED_VALUE"""),26201.0)</f>
      </c>
      <c r="B1080" s="9">
        <f>IFERROR(__xludf.DUMMYFUNCTION("""COMPUTED_VALUE"""),"SUL FLUMINENSE")</f>
      </c>
      <c r="C1080" s="9">
        <f>IFERROR(__xludf.DUMMYFUNCTION("""COMPUTED_VALUE"""),"CE OLAVO BILAC")</f>
      </c>
      <c r="D1080" s="10">
        <f>IFERROR(__xludf.DUMMYFUNCTION("""COMPUTED_VALUE"""),0.9607)</f>
      </c>
      <c r="E1080" s="11">
        <f>IFERROR(__xludf.DUMMYFUNCTION("""COMPUTED_VALUE"""),288.11)</f>
      </c>
      <c r="F1080" s="10">
        <f>IFERROR(__xludf.DUMMYFUNCTION("""COMPUTED_VALUE"""),0.7505)</f>
      </c>
      <c r="G1080" s="11">
        <f>IFERROR(__xludf.DUMMYFUNCTION("""COMPUTED_VALUE"""),450.61)</f>
      </c>
      <c r="H1080" s="10">
        <f>IFERROR(__xludf.DUMMYFUNCTION("""COMPUTED_VALUE"""),0.6173)</f>
      </c>
      <c r="I1080" s="11">
        <f>IFERROR(__xludf.DUMMYFUNCTION("""COMPUTED_VALUE"""),484.22)</f>
      </c>
      <c r="J1080" s="10">
        <f>IFERROR(__xludf.DUMMYFUNCTION("""COMPUTED_VALUE"""),0.6492)</f>
      </c>
      <c r="K1080" s="11">
        <f>IFERROR(__xludf.DUMMYFUNCTION("""COMPUTED_VALUE"""),449.48)</f>
      </c>
      <c r="L1080" s="10">
        <f>IFERROR(__xludf.DUMMYFUNCTION("""COMPUTED_VALUE"""),0.773)</f>
      </c>
      <c r="M1080" s="11">
        <f>IFERROR(__xludf.DUMMYFUNCTION("""COMPUTED_VALUE"""),435.28)</f>
      </c>
      <c r="N1080" s="10">
        <f>IFERROR(__xludf.DUMMYFUNCTION("""COMPUTED_VALUE"""),0.7448)</f>
      </c>
      <c r="O1080" s="11">
        <f>IFERROR(__xludf.DUMMYFUNCTION("""COMPUTED_VALUE"""),436.52)</f>
      </c>
      <c r="P1080" s="12"/>
      <c r="Q1080" s="12"/>
      <c r="R1080" s="15"/>
      <c r="S1080" s="12"/>
      <c r="T1080" s="12"/>
      <c r="U1080" s="12"/>
      <c r="V1080" s="12"/>
      <c r="W1080" s="12"/>
      <c r="X1080" s="12"/>
      <c r="Y1080" s="12"/>
      <c r="Z1080" s="12"/>
    </row>
    <row x14ac:dyDescent="0.25" r="1081" customHeight="1" ht="15.75">
      <c r="A1081" s="8">
        <f>IFERROR(__xludf.DUMMYFUNCTION("""COMPUTED_VALUE"""),26202.0)</f>
      </c>
      <c r="B1081" s="9">
        <f>IFERROR(__xludf.DUMMYFUNCTION("""COMPUTED_VALUE"""),"SUL FLUMINENSE")</f>
      </c>
      <c r="C1081" s="9">
        <f>IFERROR(__xludf.DUMMYFUNCTION("""COMPUTED_VALUE"""),"CE OLIVEIRA BOTELHO")</f>
      </c>
      <c r="D1081" s="10">
        <f>IFERROR(__xludf.DUMMYFUNCTION("""COMPUTED_VALUE"""),0.7333)</f>
      </c>
      <c r="E1081" s="11">
        <f>IFERROR(__xludf.DUMMYFUNCTION("""COMPUTED_VALUE"""),306.01)</f>
      </c>
      <c r="F1081" s="10">
        <f>IFERROR(__xludf.DUMMYFUNCTION("""COMPUTED_VALUE"""),0.6148)</f>
      </c>
      <c r="G1081" s="11">
        <f>IFERROR(__xludf.DUMMYFUNCTION("""COMPUTED_VALUE"""),412.25)</f>
      </c>
      <c r="H1081" s="10">
        <f>IFERROR(__xludf.DUMMYFUNCTION("""COMPUTED_VALUE"""),0.7613)</f>
      </c>
      <c r="I1081" s="11">
        <f>IFERROR(__xludf.DUMMYFUNCTION("""COMPUTED_VALUE"""),"----")</f>
      </c>
      <c r="J1081" s="10">
        <f>IFERROR(__xludf.DUMMYFUNCTION("""COMPUTED_VALUE"""),0.71)</f>
      </c>
      <c r="K1081" s="11">
        <f>IFERROR(__xludf.DUMMYFUNCTION("""COMPUTED_VALUE"""),341.64)</f>
      </c>
      <c r="L1081" s="10">
        <f>IFERROR(__xludf.DUMMYFUNCTION("""COMPUTED_VALUE"""),0.771)</f>
      </c>
      <c r="M1081" s="11">
        <f>IFERROR(__xludf.DUMMYFUNCTION("""COMPUTED_VALUE"""),444.39)</f>
      </c>
      <c r="N1081" s="10">
        <f>IFERROR(__xludf.DUMMYFUNCTION("""COMPUTED_VALUE"""),0.629)</f>
      </c>
      <c r="O1081" s="11">
        <f>IFERROR(__xludf.DUMMYFUNCTION("""COMPUTED_VALUE"""),410.62)</f>
      </c>
      <c r="P1081" s="12"/>
      <c r="Q1081" s="12"/>
      <c r="R1081" s="15"/>
      <c r="S1081" s="12"/>
      <c r="T1081" s="12"/>
      <c r="U1081" s="12"/>
      <c r="V1081" s="12"/>
      <c r="W1081" s="12"/>
      <c r="X1081" s="12"/>
      <c r="Y1081" s="12"/>
      <c r="Z1081" s="12"/>
    </row>
    <row x14ac:dyDescent="0.25" r="1082" customHeight="1" ht="15.75">
      <c r="A1082" s="8">
        <f>IFERROR(__xludf.DUMMYFUNCTION("""COMPUTED_VALUE"""),26203.0)</f>
      </c>
      <c r="B1082" s="9">
        <f>IFERROR(__xludf.DUMMYFUNCTION("""COMPUTED_VALUE"""),"SUL FLUMINENSE")</f>
      </c>
      <c r="C1082" s="9">
        <f>IFERROR(__xludf.DUMMYFUNCTION("""COMPUTED_VALUE"""),"CE PEDRO BRAILE NETO")</f>
      </c>
      <c r="D1082" s="10">
        <f>IFERROR(__xludf.DUMMYFUNCTION("""COMPUTED_VALUE"""),0.9276)</f>
      </c>
      <c r="E1082" s="11">
        <f>IFERROR(__xludf.DUMMYFUNCTION("""COMPUTED_VALUE"""),309.54)</f>
      </c>
      <c r="F1082" s="10">
        <f>IFERROR(__xludf.DUMMYFUNCTION("""COMPUTED_VALUE"""),0.7123)</f>
      </c>
      <c r="G1082" s="11">
        <f>IFERROR(__xludf.DUMMYFUNCTION("""COMPUTED_VALUE"""),436.48)</f>
      </c>
      <c r="H1082" s="10">
        <f>IFERROR(__xludf.DUMMYFUNCTION("""COMPUTED_VALUE"""),0.6922)</f>
      </c>
      <c r="I1082" s="11">
        <f>IFERROR(__xludf.DUMMYFUNCTION("""COMPUTED_VALUE"""),456.89)</f>
      </c>
      <c r="J1082" s="10">
        <f>IFERROR(__xludf.DUMMYFUNCTION("""COMPUTED_VALUE"""),0.5513)</f>
      </c>
      <c r="K1082" s="11">
        <f>IFERROR(__xludf.DUMMYFUNCTION("""COMPUTED_VALUE"""),414.62)</f>
      </c>
      <c r="L1082" s="10">
        <f>IFERROR(__xludf.DUMMYFUNCTION("""COMPUTED_VALUE"""),0.6559)</f>
      </c>
      <c r="M1082" s="11">
        <f>IFERROR(__xludf.DUMMYFUNCTION("""COMPUTED_VALUE"""),423.59)</f>
      </c>
      <c r="N1082" s="10">
        <f>IFERROR(__xludf.DUMMYFUNCTION("""COMPUTED_VALUE"""),0.7082)</f>
      </c>
      <c r="O1082" s="11">
        <f>IFERROR(__xludf.DUMMYFUNCTION("""COMPUTED_VALUE"""),436.81)</f>
      </c>
      <c r="P1082" s="12"/>
      <c r="Q1082" s="12"/>
      <c r="R1082" s="15"/>
      <c r="S1082" s="12"/>
      <c r="T1082" s="12"/>
      <c r="U1082" s="12"/>
      <c r="V1082" s="12"/>
      <c r="W1082" s="12"/>
      <c r="X1082" s="12"/>
      <c r="Y1082" s="12"/>
      <c r="Z1082" s="12"/>
    </row>
    <row x14ac:dyDescent="0.25" r="1083" customHeight="1" ht="15.75">
      <c r="A1083" s="8">
        <f>IFERROR(__xludf.DUMMYFUNCTION("""COMPUTED_VALUE"""),26216.0)</f>
      </c>
      <c r="B1083" s="9">
        <f>IFERROR(__xludf.DUMMYFUNCTION("""COMPUTED_VALUE"""),"SUL FLUMINENSE")</f>
      </c>
      <c r="C1083" s="9">
        <f>IFERROR(__xludf.DUMMYFUNCTION("""COMPUTED_VALUE"""),"CE PEDRO RAYMUNDO DE MAGALHÃES")</f>
      </c>
      <c r="D1083" s="10">
        <f>IFERROR(__xludf.DUMMYFUNCTION("""COMPUTED_VALUE"""),0.7551)</f>
      </c>
      <c r="E1083" s="11">
        <f>IFERROR(__xludf.DUMMYFUNCTION("""COMPUTED_VALUE"""),141.73)</f>
      </c>
      <c r="F1083" s="10">
        <f>IFERROR(__xludf.DUMMYFUNCTION("""COMPUTED_VALUE"""),0.551)</f>
      </c>
      <c r="G1083" s="11">
        <f>IFERROR(__xludf.DUMMYFUNCTION("""COMPUTED_VALUE"""),399.26)</f>
      </c>
      <c r="H1083" s="10">
        <f>IFERROR(__xludf.DUMMYFUNCTION("""COMPUTED_VALUE"""),0.5556)</f>
      </c>
      <c r="I1083" s="11">
        <f>IFERROR(__xludf.DUMMYFUNCTION("""COMPUTED_VALUE"""),406.67)</f>
      </c>
      <c r="J1083" s="10">
        <f>IFERROR(__xludf.DUMMYFUNCTION("""COMPUTED_VALUE"""),0.6957)</f>
      </c>
      <c r="K1083" s="11">
        <f>IFERROR(__xludf.DUMMYFUNCTION("""COMPUTED_VALUE"""),332.5)</f>
      </c>
      <c r="L1083" s="10">
        <f>IFERROR(__xludf.DUMMYFUNCTION("""COMPUTED_VALUE"""),0.7037)</f>
      </c>
      <c r="M1083" s="11">
        <f>IFERROR(__xludf.DUMMYFUNCTION("""COMPUTED_VALUE"""),456.84)</f>
      </c>
      <c r="N1083" s="10">
        <f>IFERROR(__xludf.DUMMYFUNCTION("""COMPUTED_VALUE"""),0.6852)</f>
      </c>
      <c r="O1083" s="11">
        <f>IFERROR(__xludf.DUMMYFUNCTION("""COMPUTED_VALUE"""),410.81)</f>
      </c>
      <c r="P1083" s="12"/>
      <c r="Q1083" s="12"/>
      <c r="R1083" s="15"/>
      <c r="S1083" s="12"/>
      <c r="T1083" s="12"/>
      <c r="U1083" s="12"/>
      <c r="V1083" s="12"/>
      <c r="W1083" s="12"/>
      <c r="X1083" s="12"/>
      <c r="Y1083" s="12"/>
      <c r="Z1083" s="12"/>
    </row>
    <row x14ac:dyDescent="0.25" r="1084" customHeight="1" ht="15.75">
      <c r="A1084" s="8">
        <f>IFERROR(__xludf.DUMMYFUNCTION("""COMPUTED_VALUE"""),26155.0)</f>
      </c>
      <c r="B1084" s="9">
        <f>IFERROR(__xludf.DUMMYFUNCTION("""COMPUTED_VALUE"""),"SUL FLUMINENSE")</f>
      </c>
      <c r="C1084" s="9">
        <f>IFERROR(__xludf.DUMMYFUNCTION("""COMPUTED_VALUE"""),"CE PEDRO SOARES")</f>
      </c>
      <c r="D1084" s="10">
        <f>IFERROR(__xludf.DUMMYFUNCTION("""COMPUTED_VALUE"""),0.7805)</f>
      </c>
      <c r="E1084" s="11">
        <f>IFERROR(__xludf.DUMMYFUNCTION("""COMPUTED_VALUE"""),238.62)</f>
      </c>
      <c r="F1084" s="10">
        <f>IFERROR(__xludf.DUMMYFUNCTION("""COMPUTED_VALUE"""),0.6829)</f>
      </c>
      <c r="G1084" s="11">
        <f>IFERROR(__xludf.DUMMYFUNCTION("""COMPUTED_VALUE"""),517.04)</f>
      </c>
      <c r="H1084" s="10">
        <f>IFERROR(__xludf.DUMMYFUNCTION("""COMPUTED_VALUE"""),0.1951)</f>
      </c>
      <c r="I1084" s="11">
        <f>IFERROR(__xludf.DUMMYFUNCTION("""COMPUTED_VALUE"""),131.43)</f>
      </c>
      <c r="J1084" s="10">
        <f>IFERROR(__xludf.DUMMYFUNCTION("""COMPUTED_VALUE"""),0.6098)</f>
      </c>
      <c r="K1084" s="11">
        <f>IFERROR(__xludf.DUMMYFUNCTION("""COMPUTED_VALUE"""),83.2)</f>
      </c>
      <c r="L1084" s="10">
        <f>IFERROR(__xludf.DUMMYFUNCTION("""COMPUTED_VALUE"""),0.4146)</f>
      </c>
      <c r="M1084" s="11">
        <f>IFERROR(__xludf.DUMMYFUNCTION("""COMPUTED_VALUE"""),327.06)</f>
      </c>
      <c r="N1084" s="10">
        <f>IFERROR(__xludf.DUMMYFUNCTION("""COMPUTED_VALUE"""),0.7317)</f>
      </c>
      <c r="O1084" s="11">
        <f>IFERROR(__xludf.DUMMYFUNCTION("""COMPUTED_VALUE"""),322.76)</f>
      </c>
      <c r="P1084" s="12"/>
      <c r="Q1084" s="12"/>
      <c r="R1084" s="15"/>
      <c r="S1084" s="12"/>
      <c r="T1084" s="12"/>
      <c r="U1084" s="12"/>
      <c r="V1084" s="12"/>
      <c r="W1084" s="12"/>
      <c r="X1084" s="12"/>
      <c r="Y1084" s="12"/>
      <c r="Z1084" s="12"/>
    </row>
    <row x14ac:dyDescent="0.25" r="1085" customHeight="1" ht="15.75">
      <c r="A1085" s="8">
        <f>IFERROR(__xludf.DUMMYFUNCTION("""COMPUTED_VALUE"""),26217.0)</f>
      </c>
      <c r="B1085" s="9">
        <f>IFERROR(__xludf.DUMMYFUNCTION("""COMPUTED_VALUE"""),"SUL FLUMINENSE")</f>
      </c>
      <c r="C1085" s="9">
        <f>IFERROR(__xludf.DUMMYFUNCTION("""COMPUTED_VALUE"""),"CE PIAUÍ - BRASIL-FRANÇA")</f>
      </c>
      <c r="D1085" s="10">
        <f>IFERROR(__xludf.DUMMYFUNCTION("""COMPUTED_VALUE"""),0.9661)</f>
      </c>
      <c r="E1085" s="11">
        <f>IFERROR(__xludf.DUMMYFUNCTION("""COMPUTED_VALUE"""),484.91)</f>
      </c>
      <c r="F1085" s="10">
        <f>IFERROR(__xludf.DUMMYFUNCTION("""COMPUTED_VALUE"""),0.9322)</f>
      </c>
      <c r="G1085" s="11">
        <f>IFERROR(__xludf.DUMMYFUNCTION("""COMPUTED_VALUE"""),499.64)</f>
      </c>
      <c r="H1085" s="10">
        <f>IFERROR(__xludf.DUMMYFUNCTION("""COMPUTED_VALUE"""),0.9661)</f>
      </c>
      <c r="I1085" s="11">
        <f>IFERROR(__xludf.DUMMYFUNCTION("""COMPUTED_VALUE"""),564.21)</f>
      </c>
      <c r="J1085" s="10">
        <f>IFERROR(__xludf.DUMMYFUNCTION("""COMPUTED_VALUE"""),0.9322)</f>
      </c>
      <c r="K1085" s="11">
        <f>IFERROR(__xludf.DUMMYFUNCTION("""COMPUTED_VALUE"""),512.59)</f>
      </c>
      <c r="L1085" s="10">
        <f>IFERROR(__xludf.DUMMYFUNCTION("""COMPUTED_VALUE"""),1.0)</f>
      </c>
      <c r="M1085" s="11">
        <f>IFERROR(__xludf.DUMMYFUNCTION("""COMPUTED_VALUE"""),566.78)</f>
      </c>
      <c r="N1085" s="10">
        <f>IFERROR(__xludf.DUMMYFUNCTION("""COMPUTED_VALUE"""),1.0)</f>
      </c>
      <c r="O1085" s="11">
        <f>IFERROR(__xludf.DUMMYFUNCTION("""COMPUTED_VALUE"""),546.44)</f>
      </c>
      <c r="P1085" s="12"/>
      <c r="Q1085" s="12"/>
      <c r="R1085" s="15"/>
      <c r="S1085" s="12"/>
      <c r="T1085" s="12"/>
      <c r="U1085" s="12"/>
      <c r="V1085" s="12"/>
      <c r="W1085" s="12"/>
      <c r="X1085" s="12"/>
      <c r="Y1085" s="12"/>
      <c r="Z1085" s="12"/>
    </row>
    <row x14ac:dyDescent="0.25" r="1086" customHeight="1" ht="15.75">
      <c r="A1086" s="8">
        <f>IFERROR(__xludf.DUMMYFUNCTION("""COMPUTED_VALUE"""),26218.0)</f>
      </c>
      <c r="B1086" s="9">
        <f>IFERROR(__xludf.DUMMYFUNCTION("""COMPUTED_VALUE"""),"SUL FLUMINENSE")</f>
      </c>
      <c r="C1086" s="9">
        <f>IFERROR(__xludf.DUMMYFUNCTION("""COMPUTED_VALUE"""),"CE PREFEITO FRANCISCO FONTES TORRES")</f>
      </c>
      <c r="D1086" s="10">
        <f>IFERROR(__xludf.DUMMYFUNCTION("""COMPUTED_VALUE"""),0.6393)</f>
      </c>
      <c r="E1086" s="11">
        <f>IFERROR(__xludf.DUMMYFUNCTION("""COMPUTED_VALUE"""),254.36)</f>
      </c>
      <c r="F1086" s="10">
        <f>IFERROR(__xludf.DUMMYFUNCTION("""COMPUTED_VALUE"""),0.5082)</f>
      </c>
      <c r="G1086" s="11">
        <f>IFERROR(__xludf.DUMMYFUNCTION("""COMPUTED_VALUE"""),361.33)</f>
      </c>
      <c r="H1086" s="10">
        <f>IFERROR(__xludf.DUMMYFUNCTION("""COMPUTED_VALUE"""),0.6301)</f>
      </c>
      <c r="I1086" s="11">
        <f>IFERROR(__xludf.DUMMYFUNCTION("""COMPUTED_VALUE"""),470.43)</f>
      </c>
      <c r="J1086" s="10">
        <f>IFERROR(__xludf.DUMMYFUNCTION("""COMPUTED_VALUE"""),0.6712)</f>
      </c>
      <c r="K1086" s="11">
        <f>IFERROR(__xludf.DUMMYFUNCTION("""COMPUTED_VALUE"""),396.36)</f>
      </c>
      <c r="L1086" s="10">
        <f>IFERROR(__xludf.DUMMYFUNCTION("""COMPUTED_VALUE"""),0.589)</f>
      </c>
      <c r="M1086" s="11">
        <f>IFERROR(__xludf.DUMMYFUNCTION("""COMPUTED_VALUE"""),447.8)</f>
      </c>
      <c r="N1086" s="10">
        <f>IFERROR(__xludf.DUMMYFUNCTION("""COMPUTED_VALUE"""),0.589)</f>
      </c>
      <c r="O1086" s="11">
        <f>IFERROR(__xludf.DUMMYFUNCTION("""COMPUTED_VALUE"""),453.33)</f>
      </c>
      <c r="P1086" s="12"/>
      <c r="Q1086" s="12"/>
      <c r="R1086" s="15"/>
      <c r="S1086" s="12"/>
      <c r="T1086" s="12"/>
      <c r="U1086" s="12"/>
      <c r="V1086" s="12"/>
      <c r="W1086" s="12"/>
      <c r="X1086" s="12"/>
      <c r="Y1086" s="12"/>
      <c r="Z1086" s="12"/>
    </row>
    <row x14ac:dyDescent="0.25" r="1087" customHeight="1" ht="15.75">
      <c r="A1087" s="8">
        <f>IFERROR(__xludf.DUMMYFUNCTION("""COMPUTED_VALUE"""),26219.0)</f>
      </c>
      <c r="B1087" s="9">
        <f>IFERROR(__xludf.DUMMYFUNCTION("""COMPUTED_VALUE"""),"SUL FLUMINENSE")</f>
      </c>
      <c r="C1087" s="9">
        <f>IFERROR(__xludf.DUMMYFUNCTION("""COMPUTED_VALUE"""),"CE PRESIDENTE ROOSEVELT")</f>
      </c>
      <c r="D1087" s="10">
        <f>IFERROR(__xludf.DUMMYFUNCTION("""COMPUTED_VALUE"""),0.7857)</f>
      </c>
      <c r="E1087" s="11">
        <f>IFERROR(__xludf.DUMMYFUNCTION("""COMPUTED_VALUE"""),205.34)</f>
      </c>
      <c r="F1087" s="10">
        <f>IFERROR(__xludf.DUMMYFUNCTION("""COMPUTED_VALUE"""),0.6143)</f>
      </c>
      <c r="G1087" s="11">
        <f>IFERROR(__xludf.DUMMYFUNCTION("""COMPUTED_VALUE"""),412.03)</f>
      </c>
      <c r="H1087" s="10">
        <f>IFERROR(__xludf.DUMMYFUNCTION("""COMPUTED_VALUE"""),0.545)</f>
      </c>
      <c r="I1087" s="11">
        <f>IFERROR(__xludf.DUMMYFUNCTION("""COMPUTED_VALUE"""),425.96)</f>
      </c>
      <c r="J1087" s="10">
        <f>IFERROR(__xludf.DUMMYFUNCTION("""COMPUTED_VALUE"""),0.5922)</f>
      </c>
      <c r="K1087" s="11">
        <f>IFERROR(__xludf.DUMMYFUNCTION("""COMPUTED_VALUE"""),304.61)</f>
      </c>
      <c r="L1087" s="10">
        <f>IFERROR(__xludf.DUMMYFUNCTION("""COMPUTED_VALUE"""),0.5676)</f>
      </c>
      <c r="M1087" s="11">
        <f>IFERROR(__xludf.DUMMYFUNCTION("""COMPUTED_VALUE"""),388.89)</f>
      </c>
      <c r="N1087" s="10">
        <f>IFERROR(__xludf.DUMMYFUNCTION("""COMPUTED_VALUE"""),0.4369)</f>
      </c>
      <c r="O1087" s="11">
        <f>IFERROR(__xludf.DUMMYFUNCTION("""COMPUTED_VALUE"""),392.58)</f>
      </c>
      <c r="P1087" s="12"/>
      <c r="Q1087" s="12"/>
      <c r="R1087" s="15"/>
      <c r="S1087" s="12"/>
      <c r="T1087" s="12"/>
      <c r="U1087" s="12"/>
      <c r="V1087" s="12"/>
      <c r="W1087" s="12"/>
      <c r="X1087" s="12"/>
      <c r="Y1087" s="12"/>
      <c r="Z1087" s="12"/>
    </row>
    <row x14ac:dyDescent="0.25" r="1088" customHeight="1" ht="15.75">
      <c r="A1088" s="8">
        <f>IFERROR(__xludf.DUMMYFUNCTION("""COMPUTED_VALUE"""),26204.0)</f>
      </c>
      <c r="B1088" s="9">
        <f>IFERROR(__xludf.DUMMYFUNCTION("""COMPUTED_VALUE"""),"SUL FLUMINENSE")</f>
      </c>
      <c r="C1088" s="9">
        <f>IFERROR(__xludf.DUMMYFUNCTION("""COMPUTED_VALUE"""),"CE PROFESSOR JOSÉ MEDEIROS DE CAMARGO")</f>
      </c>
      <c r="D1088" s="10">
        <f>IFERROR(__xludf.DUMMYFUNCTION("""COMPUTED_VALUE"""),0.7209)</f>
      </c>
      <c r="E1088" s="11">
        <f>IFERROR(__xludf.DUMMYFUNCTION("""COMPUTED_VALUE"""),312.01)</f>
      </c>
      <c r="F1088" s="10">
        <f>IFERROR(__xludf.DUMMYFUNCTION("""COMPUTED_VALUE"""),0.6395)</f>
      </c>
      <c r="G1088" s="11">
        <f>IFERROR(__xludf.DUMMYFUNCTION("""COMPUTED_VALUE"""),434.19)</f>
      </c>
      <c r="H1088" s="10">
        <f>IFERROR(__xludf.DUMMYFUNCTION("""COMPUTED_VALUE"""),0.5876)</f>
      </c>
      <c r="I1088" s="11">
        <f>IFERROR(__xludf.DUMMYFUNCTION("""COMPUTED_VALUE"""),482.1)</f>
      </c>
      <c r="J1088" s="10">
        <f>IFERROR(__xludf.DUMMYFUNCTION("""COMPUTED_VALUE"""),0.6951)</f>
      </c>
      <c r="K1088" s="11">
        <f>IFERROR(__xludf.DUMMYFUNCTION("""COMPUTED_VALUE"""),390.37)</f>
      </c>
      <c r="L1088" s="10">
        <f>IFERROR(__xludf.DUMMYFUNCTION("""COMPUTED_VALUE"""),0.7216)</f>
      </c>
      <c r="M1088" s="11">
        <f>IFERROR(__xludf.DUMMYFUNCTION("""COMPUTED_VALUE"""),460.57)</f>
      </c>
      <c r="N1088" s="10">
        <f>IFERROR(__xludf.DUMMYFUNCTION("""COMPUTED_VALUE"""),0.7113)</f>
      </c>
      <c r="O1088" s="11">
        <f>IFERROR(__xludf.DUMMYFUNCTION("""COMPUTED_VALUE"""),460.29)</f>
      </c>
      <c r="P1088" s="12"/>
      <c r="Q1088" s="12"/>
      <c r="R1088" s="15"/>
      <c r="S1088" s="12"/>
      <c r="T1088" s="12"/>
      <c r="U1088" s="12"/>
      <c r="V1088" s="12"/>
      <c r="W1088" s="12"/>
      <c r="X1088" s="12"/>
      <c r="Y1088" s="12"/>
      <c r="Z1088" s="12"/>
    </row>
    <row x14ac:dyDescent="0.25" r="1089" customHeight="1" ht="15.75">
      <c r="A1089" s="8">
        <f>IFERROR(__xludf.DUMMYFUNCTION("""COMPUTED_VALUE"""),26170.0)</f>
      </c>
      <c r="B1089" s="9">
        <f>IFERROR(__xludf.DUMMYFUNCTION("""COMPUTED_VALUE"""),"SUL FLUMINENSE")</f>
      </c>
      <c r="C1089" s="9">
        <f>IFERROR(__xludf.DUMMYFUNCTION("""COMPUTED_VALUE"""),"CE PROFESSOR LUIZ GONZAGA DE MATTOS")</f>
      </c>
      <c r="D1089" s="10">
        <f>IFERROR(__xludf.DUMMYFUNCTION("""COMPUTED_VALUE"""),0.6893)</f>
      </c>
      <c r="E1089" s="11">
        <f>IFERROR(__xludf.DUMMYFUNCTION("""COMPUTED_VALUE"""),366.38)</f>
      </c>
      <c r="F1089" s="10">
        <f>IFERROR(__xludf.DUMMYFUNCTION("""COMPUTED_VALUE"""),0.6505)</f>
      </c>
      <c r="G1089" s="11">
        <f>IFERROR(__xludf.DUMMYFUNCTION("""COMPUTED_VALUE"""),413.33)</f>
      </c>
      <c r="H1089" s="10">
        <f>IFERROR(__xludf.DUMMYFUNCTION("""COMPUTED_VALUE"""),0.8155)</f>
      </c>
      <c r="I1089" s="11">
        <f>IFERROR(__xludf.DUMMYFUNCTION("""COMPUTED_VALUE"""),525.71)</f>
      </c>
      <c r="J1089" s="10">
        <f>IFERROR(__xludf.DUMMYFUNCTION("""COMPUTED_VALUE"""),0.5049)</f>
      </c>
      <c r="K1089" s="11">
        <f>IFERROR(__xludf.DUMMYFUNCTION("""COMPUTED_VALUE"""),391.63)</f>
      </c>
      <c r="L1089" s="10">
        <f>IFERROR(__xludf.DUMMYFUNCTION("""COMPUTED_VALUE"""),0.6893)</f>
      </c>
      <c r="M1089" s="11">
        <f>IFERROR(__xludf.DUMMYFUNCTION("""COMPUTED_VALUE"""),485.07)</f>
      </c>
      <c r="N1089" s="10">
        <f>IFERROR(__xludf.DUMMYFUNCTION("""COMPUTED_VALUE"""),0.7573)</f>
      </c>
      <c r="O1089" s="11">
        <f>IFERROR(__xludf.DUMMYFUNCTION("""COMPUTED_VALUE"""),541.82)</f>
      </c>
      <c r="P1089" s="12"/>
      <c r="Q1089" s="12"/>
      <c r="R1089" s="15"/>
      <c r="S1089" s="12"/>
      <c r="T1089" s="12"/>
      <c r="U1089" s="12"/>
      <c r="V1089" s="12"/>
      <c r="W1089" s="12"/>
      <c r="X1089" s="12"/>
      <c r="Y1089" s="12"/>
      <c r="Z1089" s="12"/>
    </row>
    <row x14ac:dyDescent="0.25" r="1090" customHeight="1" ht="15.75">
      <c r="A1090" s="8">
        <f>IFERROR(__xludf.DUMMYFUNCTION("""COMPUTED_VALUE"""),26193.0)</f>
      </c>
      <c r="B1090" s="9">
        <f>IFERROR(__xludf.DUMMYFUNCTION("""COMPUTED_VALUE"""),"SUL FLUMINENSE")</f>
      </c>
      <c r="C1090" s="9">
        <f>IFERROR(__xludf.DUMMYFUNCTION("""COMPUTED_VALUE"""),"CE REPÚBLICA ITALIANA")</f>
      </c>
      <c r="D1090" s="10">
        <f>IFERROR(__xludf.DUMMYFUNCTION("""COMPUTED_VALUE"""),0.6089)</f>
      </c>
      <c r="E1090" s="11">
        <f>IFERROR(__xludf.DUMMYFUNCTION("""COMPUTED_VALUE"""),229.55)</f>
      </c>
      <c r="F1090" s="10">
        <f>IFERROR(__xludf.DUMMYFUNCTION("""COMPUTED_VALUE"""),0.6734)</f>
      </c>
      <c r="G1090" s="11">
        <f>IFERROR(__xludf.DUMMYFUNCTION("""COMPUTED_VALUE"""),376.16)</f>
      </c>
      <c r="H1090" s="10">
        <f>IFERROR(__xludf.DUMMYFUNCTION("""COMPUTED_VALUE"""),0.5437)</f>
      </c>
      <c r="I1090" s="11">
        <f>IFERROR(__xludf.DUMMYFUNCTION("""COMPUTED_VALUE"""),447.55)</f>
      </c>
      <c r="J1090" s="10">
        <f>IFERROR(__xludf.DUMMYFUNCTION("""COMPUTED_VALUE"""),0.587)</f>
      </c>
      <c r="K1090" s="11">
        <f>IFERROR(__xludf.DUMMYFUNCTION("""COMPUTED_VALUE"""),406.22)</f>
      </c>
      <c r="L1090" s="10">
        <f>IFERROR(__xludf.DUMMYFUNCTION("""COMPUTED_VALUE"""),0.5817)</f>
      </c>
      <c r="M1090" s="11">
        <f>IFERROR(__xludf.DUMMYFUNCTION("""COMPUTED_VALUE"""),490.98)</f>
      </c>
      <c r="N1090" s="10">
        <f>IFERROR(__xludf.DUMMYFUNCTION("""COMPUTED_VALUE"""),0.5817)</f>
      </c>
      <c r="O1090" s="11">
        <f>IFERROR(__xludf.DUMMYFUNCTION("""COMPUTED_VALUE"""),"----")</f>
      </c>
      <c r="P1090" s="12"/>
      <c r="Q1090" s="12"/>
      <c r="R1090" s="15"/>
      <c r="S1090" s="12"/>
      <c r="T1090" s="12"/>
      <c r="U1090" s="12"/>
      <c r="V1090" s="12"/>
      <c r="W1090" s="12"/>
      <c r="X1090" s="12"/>
      <c r="Y1090" s="12"/>
      <c r="Z1090" s="12"/>
    </row>
    <row x14ac:dyDescent="0.25" r="1091" customHeight="1" ht="15.75">
      <c r="A1091" s="8">
        <f>IFERROR(__xludf.DUMMYFUNCTION("""COMPUTED_VALUE"""),26220.0)</f>
      </c>
      <c r="B1091" s="9">
        <f>IFERROR(__xludf.DUMMYFUNCTION("""COMPUTED_VALUE"""),"SUL FLUMINENSE")</f>
      </c>
      <c r="C1091" s="9">
        <f>IFERROR(__xludf.DUMMYFUNCTION("""COMPUTED_VALUE"""),"CE RIO DE JANEIRO")</f>
      </c>
      <c r="D1091" s="10">
        <f>IFERROR(__xludf.DUMMYFUNCTION("""COMPUTED_VALUE"""),0.9211)</f>
      </c>
      <c r="E1091" s="11">
        <f>IFERROR(__xludf.DUMMYFUNCTION("""COMPUTED_VALUE"""),314.45)</f>
      </c>
      <c r="F1091" s="10">
        <f>IFERROR(__xludf.DUMMYFUNCTION("""COMPUTED_VALUE"""),0.875)</f>
      </c>
      <c r="G1091" s="11">
        <f>IFERROR(__xludf.DUMMYFUNCTION("""COMPUTED_VALUE"""),440.0)</f>
      </c>
      <c r="H1091" s="10">
        <f>IFERROR(__xludf.DUMMYFUNCTION("""COMPUTED_VALUE"""),0.8092)</f>
      </c>
      <c r="I1091" s="11">
        <f>IFERROR(__xludf.DUMMYFUNCTION("""COMPUTED_VALUE"""),476.67)</f>
      </c>
      <c r="J1091" s="10">
        <f>IFERROR(__xludf.DUMMYFUNCTION("""COMPUTED_VALUE"""),0.8487)</f>
      </c>
      <c r="K1091" s="11">
        <f>IFERROR(__xludf.DUMMYFUNCTION("""COMPUTED_VALUE"""),466.77)</f>
      </c>
      <c r="L1091" s="10">
        <f>IFERROR(__xludf.DUMMYFUNCTION("""COMPUTED_VALUE"""),0.8289)</f>
      </c>
      <c r="M1091" s="11">
        <f>IFERROR(__xludf.DUMMYFUNCTION("""COMPUTED_VALUE"""),520.0)</f>
      </c>
      <c r="N1091" s="10">
        <f>IFERROR(__xludf.DUMMYFUNCTION("""COMPUTED_VALUE"""),0.7697)</f>
      </c>
      <c r="O1091" s="11">
        <f>IFERROR(__xludf.DUMMYFUNCTION("""COMPUTED_VALUE"""),578.12)</f>
      </c>
      <c r="P1091" s="12"/>
      <c r="Q1091" s="12"/>
      <c r="R1091" s="15"/>
      <c r="S1091" s="12"/>
      <c r="T1091" s="12"/>
      <c r="U1091" s="12"/>
      <c r="V1091" s="12"/>
      <c r="W1091" s="12"/>
      <c r="X1091" s="12"/>
      <c r="Y1091" s="12"/>
      <c r="Z1091" s="12"/>
    </row>
    <row x14ac:dyDescent="0.25" r="1092" customHeight="1" ht="15.75">
      <c r="A1092" s="8">
        <f>IFERROR(__xludf.DUMMYFUNCTION("""COMPUTED_VALUE"""),26221.0)</f>
      </c>
      <c r="B1092" s="9">
        <f>IFERROR(__xludf.DUMMYFUNCTION("""COMPUTED_VALUE"""),"SUL FLUMINENSE")</f>
      </c>
      <c r="C1092" s="9">
        <f>IFERROR(__xludf.DUMMYFUNCTION("""COMPUTED_VALUE"""),"CE RIO GRANDE DO NORTE")</f>
      </c>
      <c r="D1092" s="10">
        <f>IFERROR(__xludf.DUMMYFUNCTION("""COMPUTED_VALUE"""),0.8324)</f>
      </c>
      <c r="E1092" s="11">
        <f>IFERROR(__xludf.DUMMYFUNCTION("""COMPUTED_VALUE"""),325.14)</f>
      </c>
      <c r="F1092" s="10">
        <f>IFERROR(__xludf.DUMMYFUNCTION("""COMPUTED_VALUE"""),0.7514)</f>
      </c>
      <c r="G1092" s="11">
        <f>IFERROR(__xludf.DUMMYFUNCTION("""COMPUTED_VALUE"""),437.17)</f>
      </c>
      <c r="H1092" s="10">
        <f>IFERROR(__xludf.DUMMYFUNCTION("""COMPUTED_VALUE"""),0.7746)</f>
      </c>
      <c r="I1092" s="11">
        <f>IFERROR(__xludf.DUMMYFUNCTION("""COMPUTED_VALUE"""),506.87)</f>
      </c>
      <c r="J1092" s="10">
        <f>IFERROR(__xludf.DUMMYFUNCTION("""COMPUTED_VALUE"""),0.6879)</f>
      </c>
      <c r="K1092" s="11">
        <f>IFERROR(__xludf.DUMMYFUNCTION("""COMPUTED_VALUE"""),461.79)</f>
      </c>
      <c r="L1092" s="10">
        <f>IFERROR(__xludf.DUMMYFUNCTION("""COMPUTED_VALUE"""),0.6618)</f>
      </c>
      <c r="M1092" s="11">
        <f>IFERROR(__xludf.DUMMYFUNCTION("""COMPUTED_VALUE"""),481.23)</f>
      </c>
      <c r="N1092" s="10">
        <f>IFERROR(__xludf.DUMMYFUNCTION("""COMPUTED_VALUE"""),0.5809)</f>
      </c>
      <c r="O1092" s="11">
        <f>IFERROR(__xludf.DUMMYFUNCTION("""COMPUTED_VALUE"""),507.66)</f>
      </c>
      <c r="P1092" s="12"/>
      <c r="Q1092" s="12"/>
      <c r="R1092" s="15"/>
      <c r="S1092" s="12"/>
      <c r="T1092" s="12"/>
      <c r="U1092" s="12"/>
      <c r="V1092" s="12"/>
      <c r="W1092" s="12"/>
      <c r="X1092" s="12"/>
      <c r="Y1092" s="12"/>
      <c r="Z1092" s="12"/>
    </row>
    <row x14ac:dyDescent="0.25" r="1093" customHeight="1" ht="15.75">
      <c r="A1093" s="8">
        <f>IFERROR(__xludf.DUMMYFUNCTION("""COMPUTED_VALUE"""),26222.0)</f>
      </c>
      <c r="B1093" s="9">
        <f>IFERROR(__xludf.DUMMYFUNCTION("""COMPUTED_VALUE"""),"SUL FLUMINENSE")</f>
      </c>
      <c r="C1093" s="9">
        <f>IFERROR(__xludf.DUMMYFUNCTION("""COMPUTED_VALUE"""),"CE RIO GRANDE DO SUL")</f>
      </c>
      <c r="D1093" s="10">
        <f>IFERROR(__xludf.DUMMYFUNCTION("""COMPUTED_VALUE"""),0.6861)</f>
      </c>
      <c r="E1093" s="11">
        <f>IFERROR(__xludf.DUMMYFUNCTION("""COMPUTED_VALUE"""),290.09)</f>
      </c>
      <c r="F1093" s="10">
        <f>IFERROR(__xludf.DUMMYFUNCTION("""COMPUTED_VALUE"""),0.6502)</f>
      </c>
      <c r="G1093" s="11">
        <f>IFERROR(__xludf.DUMMYFUNCTION("""COMPUTED_VALUE"""),434.18)</f>
      </c>
      <c r="H1093" s="10">
        <f>IFERROR(__xludf.DUMMYFUNCTION("""COMPUTED_VALUE"""),0.5802)</f>
      </c>
      <c r="I1093" s="11">
        <f>IFERROR(__xludf.DUMMYFUNCTION("""COMPUTED_VALUE"""),452.67)</f>
      </c>
      <c r="J1093" s="10">
        <f>IFERROR(__xludf.DUMMYFUNCTION("""COMPUTED_VALUE"""),0.464)</f>
      </c>
      <c r="K1093" s="11">
        <f>IFERROR(__xludf.DUMMYFUNCTION("""COMPUTED_VALUE"""),374.59)</f>
      </c>
      <c r="L1093" s="10">
        <f>IFERROR(__xludf.DUMMYFUNCTION("""COMPUTED_VALUE"""),0.6008)</f>
      </c>
      <c r="M1093" s="11">
        <f>IFERROR(__xludf.DUMMYFUNCTION("""COMPUTED_VALUE"""),451.75)</f>
      </c>
      <c r="N1093" s="10">
        <f>IFERROR(__xludf.DUMMYFUNCTION("""COMPUTED_VALUE"""),0.6132)</f>
      </c>
      <c r="O1093" s="11">
        <f>IFERROR(__xludf.DUMMYFUNCTION("""COMPUTED_VALUE"""),451.1)</f>
      </c>
      <c r="P1093" s="12"/>
      <c r="Q1093" s="12"/>
      <c r="R1093" s="15"/>
      <c r="S1093" s="12"/>
      <c r="T1093" s="12"/>
      <c r="U1093" s="12"/>
      <c r="V1093" s="12"/>
      <c r="W1093" s="12"/>
      <c r="X1093" s="12"/>
      <c r="Y1093" s="12"/>
      <c r="Z1093" s="12"/>
    </row>
    <row x14ac:dyDescent="0.25" r="1094" customHeight="1" ht="15.75">
      <c r="A1094" s="8">
        <f>IFERROR(__xludf.DUMMYFUNCTION("""COMPUTED_VALUE"""),26156.0)</f>
      </c>
      <c r="B1094" s="9">
        <f>IFERROR(__xludf.DUMMYFUNCTION("""COMPUTED_VALUE"""),"SUL FLUMINENSE")</f>
      </c>
      <c r="C1094" s="9">
        <f>IFERROR(__xludf.DUMMYFUNCTION("""COMPUTED_VALUE"""),"CE ROBERTO MONTENEGRO")</f>
      </c>
      <c r="D1094" s="10">
        <f>IFERROR(__xludf.DUMMYFUNCTION("""COMPUTED_VALUE"""),0.8178)</f>
      </c>
      <c r="E1094" s="11">
        <f>IFERROR(__xludf.DUMMYFUNCTION("""COMPUTED_VALUE"""),308.89)</f>
      </c>
      <c r="F1094" s="10">
        <f>IFERROR(__xludf.DUMMYFUNCTION("""COMPUTED_VALUE"""),0.7249)</f>
      </c>
      <c r="G1094" s="11">
        <f>IFERROR(__xludf.DUMMYFUNCTION("""COMPUTED_VALUE"""),473.03)</f>
      </c>
      <c r="H1094" s="10">
        <f>IFERROR(__xludf.DUMMYFUNCTION("""COMPUTED_VALUE"""),0.6803)</f>
      </c>
      <c r="I1094" s="11">
        <f>IFERROR(__xludf.DUMMYFUNCTION("""COMPUTED_VALUE"""),474.73)</f>
      </c>
      <c r="J1094" s="10">
        <f>IFERROR(__xludf.DUMMYFUNCTION("""COMPUTED_VALUE"""),0.6394)</f>
      </c>
      <c r="K1094" s="11">
        <f>IFERROR(__xludf.DUMMYFUNCTION("""COMPUTED_VALUE"""),445.83)</f>
      </c>
      <c r="L1094" s="10">
        <f>IFERROR(__xludf.DUMMYFUNCTION("""COMPUTED_VALUE"""),0.6208)</f>
      </c>
      <c r="M1094" s="11">
        <f>IFERROR(__xludf.DUMMYFUNCTION("""COMPUTED_VALUE"""),466.18)</f>
      </c>
      <c r="N1094" s="10">
        <f>IFERROR(__xludf.DUMMYFUNCTION("""COMPUTED_VALUE"""),0.4498)</f>
      </c>
      <c r="O1094" s="11">
        <f>IFERROR(__xludf.DUMMYFUNCTION("""COMPUTED_VALUE"""),460.0)</f>
      </c>
      <c r="P1094" s="12"/>
      <c r="Q1094" s="12"/>
      <c r="R1094" s="15"/>
      <c r="S1094" s="12"/>
      <c r="T1094" s="12"/>
      <c r="U1094" s="12"/>
      <c r="V1094" s="12"/>
      <c r="W1094" s="12"/>
      <c r="X1094" s="12"/>
      <c r="Y1094" s="12"/>
      <c r="Z1094" s="12"/>
    </row>
    <row x14ac:dyDescent="0.25" r="1095" customHeight="1" ht="15.75">
      <c r="A1095" s="8">
        <f>IFERROR(__xludf.DUMMYFUNCTION("""COMPUTED_VALUE"""),26223.0)</f>
      </c>
      <c r="B1095" s="9">
        <f>IFERROR(__xludf.DUMMYFUNCTION("""COMPUTED_VALUE"""),"SUL FLUMINENSE")</f>
      </c>
      <c r="C1095" s="9">
        <f>IFERROR(__xludf.DUMMYFUNCTION("""COMPUTED_VALUE"""),"CE RONDONIA")</f>
      </c>
      <c r="D1095" s="10">
        <f>IFERROR(__xludf.DUMMYFUNCTION("""COMPUTED_VALUE"""),0.5741)</f>
      </c>
      <c r="E1095" s="11">
        <f>IFERROR(__xludf.DUMMYFUNCTION("""COMPUTED_VALUE"""),281.33)</f>
      </c>
      <c r="F1095" s="10">
        <f>IFERROR(__xludf.DUMMYFUNCTION("""COMPUTED_VALUE"""),0.463)</f>
      </c>
      <c r="G1095" s="11">
        <f>IFERROR(__xludf.DUMMYFUNCTION("""COMPUTED_VALUE"""),406.4)</f>
      </c>
      <c r="H1095" s="10">
        <f>IFERROR(__xludf.DUMMYFUNCTION("""COMPUTED_VALUE"""),0.4444)</f>
      </c>
      <c r="I1095" s="11">
        <f>IFERROR(__xludf.DUMMYFUNCTION("""COMPUTED_VALUE"""),415.0)</f>
      </c>
      <c r="J1095" s="10">
        <f>IFERROR(__xludf.DUMMYFUNCTION("""COMPUTED_VALUE"""),0.4074)</f>
      </c>
      <c r="K1095" s="11">
        <f>IFERROR(__xludf.DUMMYFUNCTION("""COMPUTED_VALUE"""),332.73)</f>
      </c>
      <c r="L1095" s="10">
        <f>IFERROR(__xludf.DUMMYFUNCTION("""COMPUTED_VALUE"""),0.4815)</f>
      </c>
      <c r="M1095" s="11">
        <f>IFERROR(__xludf.DUMMYFUNCTION("""COMPUTED_VALUE"""),385.6)</f>
      </c>
      <c r="N1095" s="10">
        <f>IFERROR(__xludf.DUMMYFUNCTION("""COMPUTED_VALUE"""),0.3519)</f>
      </c>
      <c r="O1095" s="11">
        <f>IFERROR(__xludf.DUMMYFUNCTION("""COMPUTED_VALUE"""),446.32)</f>
      </c>
      <c r="P1095" s="12"/>
      <c r="Q1095" s="12"/>
      <c r="R1095" s="15"/>
      <c r="S1095" s="12"/>
      <c r="T1095" s="12"/>
      <c r="U1095" s="12"/>
      <c r="V1095" s="12"/>
      <c r="W1095" s="12"/>
      <c r="X1095" s="12"/>
      <c r="Y1095" s="12"/>
      <c r="Z1095" s="12"/>
    </row>
    <row x14ac:dyDescent="0.25" r="1096" customHeight="1" ht="15.75">
      <c r="A1096" s="8">
        <f>IFERROR(__xludf.DUMMYFUNCTION("""COMPUTED_VALUE"""),26171.0)</f>
      </c>
      <c r="B1096" s="9">
        <f>IFERROR(__xludf.DUMMYFUNCTION("""COMPUTED_VALUE"""),"SUL FLUMINENSE")</f>
      </c>
      <c r="C1096" s="9">
        <f>IFERROR(__xludf.DUMMYFUNCTION("""COMPUTED_VALUE"""),"CE ROSELANDIA")</f>
      </c>
      <c r="D1096" s="10">
        <f>IFERROR(__xludf.DUMMYFUNCTION("""COMPUTED_VALUE"""),0.8112)</f>
      </c>
      <c r="E1096" s="11">
        <f>IFERROR(__xludf.DUMMYFUNCTION("""COMPUTED_VALUE"""),264.48)</f>
      </c>
      <c r="F1096" s="10">
        <f>IFERROR(__xludf.DUMMYFUNCTION("""COMPUTED_VALUE"""),0.5594)</f>
      </c>
      <c r="G1096" s="11">
        <f>IFERROR(__xludf.DUMMYFUNCTION("""COMPUTED_VALUE"""),"----")</f>
      </c>
      <c r="H1096" s="10">
        <f>IFERROR(__xludf.DUMMYFUNCTION("""COMPUTED_VALUE"""),0.5472)</f>
      </c>
      <c r="I1096" s="11">
        <f>IFERROR(__xludf.DUMMYFUNCTION("""COMPUTED_VALUE"""),386.61)</f>
      </c>
      <c r="J1096" s="10">
        <f>IFERROR(__xludf.DUMMYFUNCTION("""COMPUTED_VALUE"""),0.5369)</f>
      </c>
      <c r="K1096" s="11">
        <f>IFERROR(__xludf.DUMMYFUNCTION("""COMPUTED_VALUE"""),329.23)</f>
      </c>
      <c r="L1096" s="10">
        <f>IFERROR(__xludf.DUMMYFUNCTION("""COMPUTED_VALUE"""),0.6164)</f>
      </c>
      <c r="M1096" s="11">
        <f>IFERROR(__xludf.DUMMYFUNCTION("""COMPUTED_VALUE"""),427.08)</f>
      </c>
      <c r="N1096" s="10">
        <f>IFERROR(__xludf.DUMMYFUNCTION("""COMPUTED_VALUE"""),0.4465)</f>
      </c>
      <c r="O1096" s="11">
        <f>IFERROR(__xludf.DUMMYFUNCTION("""COMPUTED_VALUE"""),442.2)</f>
      </c>
      <c r="P1096" s="12"/>
      <c r="Q1096" s="12"/>
      <c r="R1096" s="15"/>
      <c r="S1096" s="12"/>
      <c r="T1096" s="12"/>
      <c r="U1096" s="12"/>
      <c r="V1096" s="12"/>
      <c r="W1096" s="12"/>
      <c r="X1096" s="12"/>
      <c r="Y1096" s="12"/>
      <c r="Z1096" s="12"/>
    </row>
    <row x14ac:dyDescent="0.25" r="1097" customHeight="1" ht="15.75">
      <c r="A1097" s="8">
        <f>IFERROR(__xludf.DUMMYFUNCTION("""COMPUTED_VALUE"""),26224.0)</f>
      </c>
      <c r="B1097" s="9">
        <f>IFERROR(__xludf.DUMMYFUNCTION("""COMPUTED_VALUE"""),"SUL FLUMINENSE")</f>
      </c>
      <c r="C1097" s="9">
        <f>IFERROR(__xludf.DUMMYFUNCTION("""COMPUTED_VALUE"""),"CE ROTARY")</f>
      </c>
      <c r="D1097" s="10">
        <f>IFERROR(__xludf.DUMMYFUNCTION("""COMPUTED_VALUE"""),0.8095)</f>
      </c>
      <c r="E1097" s="11">
        <f>IFERROR(__xludf.DUMMYFUNCTION("""COMPUTED_VALUE"""),363.2)</f>
      </c>
      <c r="F1097" s="10">
        <f>IFERROR(__xludf.DUMMYFUNCTION("""COMPUTED_VALUE"""),0.6984)</f>
      </c>
      <c r="G1097" s="11">
        <f>IFERROR(__xludf.DUMMYFUNCTION("""COMPUTED_VALUE"""),437.27)</f>
      </c>
      <c r="H1097" s="10">
        <f>IFERROR(__xludf.DUMMYFUNCTION("""COMPUTED_VALUE"""),0.746)</f>
      </c>
      <c r="I1097" s="11">
        <f>IFERROR(__xludf.DUMMYFUNCTION("""COMPUTED_VALUE"""),511.49)</f>
      </c>
      <c r="J1097" s="10">
        <f>IFERROR(__xludf.DUMMYFUNCTION("""COMPUTED_VALUE"""),0.6984)</f>
      </c>
      <c r="K1097" s="11">
        <f>IFERROR(__xludf.DUMMYFUNCTION("""COMPUTED_VALUE"""),436.28)</f>
      </c>
      <c r="L1097" s="10">
        <f>IFERROR(__xludf.DUMMYFUNCTION("""COMPUTED_VALUE"""),0.7778)</f>
      </c>
      <c r="M1097" s="11">
        <f>IFERROR(__xludf.DUMMYFUNCTION("""COMPUTED_VALUE"""),470.83)</f>
      </c>
      <c r="N1097" s="10">
        <f>IFERROR(__xludf.DUMMYFUNCTION("""COMPUTED_VALUE"""),0.7937)</f>
      </c>
      <c r="O1097" s="11">
        <f>IFERROR(__xludf.DUMMYFUNCTION("""COMPUTED_VALUE"""),483.2)</f>
      </c>
      <c r="P1097" s="12"/>
      <c r="Q1097" s="12"/>
      <c r="R1097" s="15"/>
      <c r="S1097" s="12"/>
      <c r="T1097" s="12"/>
      <c r="U1097" s="12"/>
      <c r="V1097" s="12"/>
      <c r="W1097" s="12"/>
      <c r="X1097" s="12"/>
      <c r="Y1097" s="12"/>
      <c r="Z1097" s="12"/>
    </row>
    <row x14ac:dyDescent="0.25" r="1098" customHeight="1" ht="15.75">
      <c r="A1098" s="8">
        <f>IFERROR(__xludf.DUMMYFUNCTION("""COMPUTED_VALUE"""),26225.0)</f>
      </c>
      <c r="B1098" s="9">
        <f>IFERROR(__xludf.DUMMYFUNCTION("""COMPUTED_VALUE"""),"SUL FLUMINENSE")</f>
      </c>
      <c r="C1098" s="9">
        <f>IFERROR(__xludf.DUMMYFUNCTION("""COMPUTED_VALUE"""),"CE SANTOS DUMONT")</f>
      </c>
      <c r="D1098" s="10">
        <f>IFERROR(__xludf.DUMMYFUNCTION("""COMPUTED_VALUE"""),0.7361)</f>
      </c>
      <c r="E1098" s="11">
        <f>IFERROR(__xludf.DUMMYFUNCTION("""COMPUTED_VALUE"""),278.31)</f>
      </c>
      <c r="F1098" s="10">
        <f>IFERROR(__xludf.DUMMYFUNCTION("""COMPUTED_VALUE"""),0.5778)</f>
      </c>
      <c r="G1098" s="11">
        <f>IFERROR(__xludf.DUMMYFUNCTION("""COMPUTED_VALUE"""),434.9)</f>
      </c>
      <c r="H1098" s="10">
        <f>IFERROR(__xludf.DUMMYFUNCTION("""COMPUTED_VALUE"""),0.6528)</f>
      </c>
      <c r="I1098" s="11">
        <f>IFERROR(__xludf.DUMMYFUNCTION("""COMPUTED_VALUE"""),475.34)</f>
      </c>
      <c r="J1098" s="10">
        <f>IFERROR(__xludf.DUMMYFUNCTION("""COMPUTED_VALUE"""),0.5444)</f>
      </c>
      <c r="K1098" s="11">
        <f>IFERROR(__xludf.DUMMYFUNCTION("""COMPUTED_VALUE"""),377.94)</f>
      </c>
      <c r="L1098" s="10">
        <f>IFERROR(__xludf.DUMMYFUNCTION("""COMPUTED_VALUE"""),0.6167)</f>
      </c>
      <c r="M1098" s="11">
        <f>IFERROR(__xludf.DUMMYFUNCTION("""COMPUTED_VALUE"""),508.02)</f>
      </c>
      <c r="N1098" s="10">
        <f>IFERROR(__xludf.DUMMYFUNCTION("""COMPUTED_VALUE"""),0.4944)</f>
      </c>
      <c r="O1098" s="11">
        <f>IFERROR(__xludf.DUMMYFUNCTION("""COMPUTED_VALUE"""),440.45)</f>
      </c>
      <c r="P1098" s="12"/>
      <c r="Q1098" s="12"/>
      <c r="R1098" s="15"/>
      <c r="S1098" s="12"/>
      <c r="T1098" s="12"/>
      <c r="U1098" s="12"/>
      <c r="V1098" s="12"/>
      <c r="W1098" s="12"/>
      <c r="X1098" s="12"/>
      <c r="Y1098" s="12"/>
      <c r="Z1098" s="12"/>
    </row>
    <row x14ac:dyDescent="0.25" r="1099" customHeight="1" ht="15.75">
      <c r="A1099" s="8">
        <f>IFERROR(__xludf.DUMMYFUNCTION("""COMPUTED_VALUE"""),26226.0)</f>
      </c>
      <c r="B1099" s="9">
        <f>IFERROR(__xludf.DUMMYFUNCTION("""COMPUTED_VALUE"""),"SUL FLUMINENSE")</f>
      </c>
      <c r="C1099" s="9">
        <f>IFERROR(__xludf.DUMMYFUNCTION("""COMPUTED_VALUE"""),"CE SÃO PAULO")</f>
      </c>
      <c r="D1099" s="10">
        <f>IFERROR(__xludf.DUMMYFUNCTION("""COMPUTED_VALUE"""),0.7027)</f>
      </c>
      <c r="E1099" s="11">
        <f>IFERROR(__xludf.DUMMYFUNCTION("""COMPUTED_VALUE"""),278.26)</f>
      </c>
      <c r="F1099" s="10">
        <f>IFERROR(__xludf.DUMMYFUNCTION("""COMPUTED_VALUE"""),0.7838)</f>
      </c>
      <c r="G1099" s="11">
        <f>IFERROR(__xludf.DUMMYFUNCTION("""COMPUTED_VALUE"""),393.1)</f>
      </c>
      <c r="H1099" s="10">
        <f>IFERROR(__xludf.DUMMYFUNCTION("""COMPUTED_VALUE"""),0.7568)</f>
      </c>
      <c r="I1099" s="11">
        <f>IFERROR(__xludf.DUMMYFUNCTION("""COMPUTED_VALUE"""),477.14)</f>
      </c>
      <c r="J1099" s="10">
        <f>IFERROR(__xludf.DUMMYFUNCTION("""COMPUTED_VALUE"""),0.5946)</f>
      </c>
      <c r="K1099" s="11">
        <f>IFERROR(__xludf.DUMMYFUNCTION("""COMPUTED_VALUE"""),376.36)</f>
      </c>
      <c r="L1099" s="10">
        <f>IFERROR(__xludf.DUMMYFUNCTION("""COMPUTED_VALUE"""),0.7568)</f>
      </c>
      <c r="M1099" s="11">
        <f>IFERROR(__xludf.DUMMYFUNCTION("""COMPUTED_VALUE"""),424.29)</f>
      </c>
      <c r="N1099" s="10">
        <f>IFERROR(__xludf.DUMMYFUNCTION("""COMPUTED_VALUE"""),0.7838)</f>
      </c>
      <c r="O1099" s="11">
        <f>IFERROR(__xludf.DUMMYFUNCTION("""COMPUTED_VALUE"""),459.31)</f>
      </c>
      <c r="P1099" s="12"/>
      <c r="Q1099" s="12"/>
      <c r="R1099" s="15"/>
      <c r="S1099" s="12"/>
      <c r="T1099" s="12"/>
      <c r="U1099" s="12"/>
      <c r="V1099" s="12"/>
      <c r="W1099" s="12"/>
      <c r="X1099" s="12"/>
      <c r="Y1099" s="12"/>
      <c r="Z1099" s="12"/>
    </row>
    <row x14ac:dyDescent="0.25" r="1100" customHeight="1" ht="15.75">
      <c r="A1100" s="8">
        <f>IFERROR(__xludf.DUMMYFUNCTION("""COMPUTED_VALUE"""),26172.0)</f>
      </c>
      <c r="B1100" s="9">
        <f>IFERROR(__xludf.DUMMYFUNCTION("""COMPUTED_VALUE"""),"SUL FLUMINENSE")</f>
      </c>
      <c r="C1100" s="9">
        <f>IFERROR(__xludf.DUMMYFUNCTION("""COMPUTED_VALUE"""),"CE SAO PEDRO")</f>
      </c>
      <c r="D1100" s="10">
        <f>IFERROR(__xludf.DUMMYFUNCTION("""COMPUTED_VALUE"""),0.6574)</f>
      </c>
      <c r="E1100" s="11">
        <f>IFERROR(__xludf.DUMMYFUNCTION("""COMPUTED_VALUE"""),296.79)</f>
      </c>
      <c r="F1100" s="10">
        <f>IFERROR(__xludf.DUMMYFUNCTION("""COMPUTED_VALUE"""),0.7052)</f>
      </c>
      <c r="G1100" s="11">
        <f>IFERROR(__xludf.DUMMYFUNCTION("""COMPUTED_VALUE"""),408.14)</f>
      </c>
      <c r="H1100" s="10">
        <f>IFERROR(__xludf.DUMMYFUNCTION("""COMPUTED_VALUE"""),0.7171)</f>
      </c>
      <c r="I1100" s="11">
        <f>IFERROR(__xludf.DUMMYFUNCTION("""COMPUTED_VALUE"""),471.24)</f>
      </c>
      <c r="J1100" s="10">
        <f>IFERROR(__xludf.DUMMYFUNCTION("""COMPUTED_VALUE"""),0.6414)</f>
      </c>
      <c r="K1100" s="11">
        <f>IFERROR(__xludf.DUMMYFUNCTION("""COMPUTED_VALUE"""),408.13)</f>
      </c>
      <c r="L1100" s="10">
        <f>IFERROR(__xludf.DUMMYFUNCTION("""COMPUTED_VALUE"""),0.7092)</f>
      </c>
      <c r="M1100" s="11">
        <f>IFERROR(__xludf.DUMMYFUNCTION("""COMPUTED_VALUE"""),458.86)</f>
      </c>
      <c r="N1100" s="10">
        <f>IFERROR(__xludf.DUMMYFUNCTION("""COMPUTED_VALUE"""),0.7092)</f>
      </c>
      <c r="O1100" s="11">
        <f>IFERROR(__xludf.DUMMYFUNCTION("""COMPUTED_VALUE"""),450.91)</f>
      </c>
      <c r="P1100" s="12"/>
      <c r="Q1100" s="12"/>
      <c r="R1100" s="15"/>
      <c r="S1100" s="12"/>
      <c r="T1100" s="12"/>
      <c r="U1100" s="12"/>
      <c r="V1100" s="12"/>
      <c r="W1100" s="12"/>
      <c r="X1100" s="12"/>
      <c r="Y1100" s="12"/>
      <c r="Z1100" s="12"/>
    </row>
    <row x14ac:dyDescent="0.25" r="1101" customHeight="1" ht="15.75">
      <c r="A1101" s="8">
        <f>IFERROR(__xludf.DUMMYFUNCTION("""COMPUTED_VALUE"""),26173.0)</f>
      </c>
      <c r="B1101" s="9">
        <f>IFERROR(__xludf.DUMMYFUNCTION("""COMPUTED_VALUE"""),"SUL FLUMINENSE")</f>
      </c>
      <c r="C1101" s="9">
        <f>IFERROR(__xludf.DUMMYFUNCTION("""COMPUTED_VALUE"""),"CE VILA MARIA")</f>
      </c>
      <c r="D1101" s="10">
        <f>IFERROR(__xludf.DUMMYFUNCTION("""COMPUTED_VALUE"""),0.5176)</f>
      </c>
      <c r="E1101" s="11">
        <f>IFERROR(__xludf.DUMMYFUNCTION("""COMPUTED_VALUE"""),"----")</f>
      </c>
      <c r="F1101" s="10">
        <f>IFERROR(__xludf.DUMMYFUNCTION("""COMPUTED_VALUE"""),0.4588)</f>
      </c>
      <c r="G1101" s="11">
        <f>IFERROR(__xludf.DUMMYFUNCTION("""COMPUTED_VALUE"""),423.59)</f>
      </c>
      <c r="H1101" s="10">
        <f>IFERROR(__xludf.DUMMYFUNCTION("""COMPUTED_VALUE"""),0.203)</f>
      </c>
      <c r="I1101" s="11">
        <f>IFERROR(__xludf.DUMMYFUNCTION("""COMPUTED_VALUE"""),613.33)</f>
      </c>
      <c r="J1101" s="10">
        <f>IFERROR(__xludf.DUMMYFUNCTION("""COMPUTED_VALUE"""),0.2283)</f>
      </c>
      <c r="K1101" s="11">
        <f>IFERROR(__xludf.DUMMYFUNCTION("""COMPUTED_VALUE"""),473.61)</f>
      </c>
      <c r="L1101" s="10">
        <f>IFERROR(__xludf.DUMMYFUNCTION("""COMPUTED_VALUE"""),0.2556)</f>
      </c>
      <c r="M1101" s="11">
        <f>IFERROR(__xludf.DUMMYFUNCTION("""COMPUTED_VALUE"""),630.59)</f>
      </c>
      <c r="N1101" s="10">
        <f>IFERROR(__xludf.DUMMYFUNCTION("""COMPUTED_VALUE"""),0.2105)</f>
      </c>
      <c r="O1101" s="11">
        <f>IFERROR(__xludf.DUMMYFUNCTION("""COMPUTED_VALUE"""),"----")</f>
      </c>
      <c r="P1101" s="12"/>
      <c r="Q1101" s="12"/>
      <c r="R1101" s="15"/>
      <c r="S1101" s="12"/>
      <c r="T1101" s="12"/>
      <c r="U1101" s="12"/>
      <c r="V1101" s="12"/>
      <c r="W1101" s="12"/>
      <c r="X1101" s="12"/>
      <c r="Y1101" s="12"/>
      <c r="Z1101" s="12"/>
    </row>
    <row x14ac:dyDescent="0.25" r="1102" customHeight="1" ht="15.75">
      <c r="A1102" s="8">
        <f>IFERROR(__xludf.DUMMYFUNCTION("""COMPUTED_VALUE"""),26228.0)</f>
      </c>
      <c r="B1102" s="9">
        <f>IFERROR(__xludf.DUMMYFUNCTION("""COMPUTED_VALUE"""),"SUL FLUMINENSE")</f>
      </c>
      <c r="C1102" s="9">
        <f>IFERROR(__xludf.DUMMYFUNCTION("""COMPUTED_VALUE"""),"CIEP 053 DOUTOR NELSON DOS SANTOS GONÇALVES")</f>
      </c>
      <c r="D1102" s="10">
        <f>IFERROR(__xludf.DUMMYFUNCTION("""COMPUTED_VALUE"""),0.7368)</f>
      </c>
      <c r="E1102" s="11">
        <f>IFERROR(__xludf.DUMMYFUNCTION("""COMPUTED_VALUE"""),345.32)</f>
      </c>
      <c r="F1102" s="10">
        <f>IFERROR(__xludf.DUMMYFUNCTION("""COMPUTED_VALUE"""),0.5614)</f>
      </c>
      <c r="G1102" s="11">
        <f>IFERROR(__xludf.DUMMYFUNCTION("""COMPUTED_VALUE"""),506.88)</f>
      </c>
      <c r="H1102" s="10">
        <f>IFERROR(__xludf.DUMMYFUNCTION("""COMPUTED_VALUE"""),0.6579)</f>
      </c>
      <c r="I1102" s="11">
        <f>IFERROR(__xludf.DUMMYFUNCTION("""COMPUTED_VALUE"""),493.33)</f>
      </c>
      <c r="J1102" s="10">
        <f>IFERROR(__xludf.DUMMYFUNCTION("""COMPUTED_VALUE"""),0.5702)</f>
      </c>
      <c r="K1102" s="11">
        <f>IFERROR(__xludf.DUMMYFUNCTION("""COMPUTED_VALUE"""),459.68)</f>
      </c>
      <c r="L1102" s="10">
        <f>IFERROR(__xludf.DUMMYFUNCTION("""COMPUTED_VALUE"""),0.6316)</f>
      </c>
      <c r="M1102" s="11">
        <f>IFERROR(__xludf.DUMMYFUNCTION("""COMPUTED_VALUE"""),507.22)</f>
      </c>
      <c r="N1102" s="10">
        <f>IFERROR(__xludf.DUMMYFUNCTION("""COMPUTED_VALUE"""),0.6667)</f>
      </c>
      <c r="O1102" s="11">
        <f>IFERROR(__xludf.DUMMYFUNCTION("""COMPUTED_VALUE"""),489.47)</f>
      </c>
      <c r="P1102" s="12"/>
      <c r="Q1102" s="12"/>
      <c r="R1102" s="15"/>
      <c r="S1102" s="12"/>
      <c r="T1102" s="12"/>
      <c r="U1102" s="12"/>
      <c r="V1102" s="12"/>
      <c r="W1102" s="12"/>
      <c r="X1102" s="12"/>
      <c r="Y1102" s="12"/>
      <c r="Z1102" s="12"/>
    </row>
    <row x14ac:dyDescent="0.25" r="1103" customHeight="1" ht="15.75">
      <c r="A1103" s="8">
        <f>IFERROR(__xludf.DUMMYFUNCTION("""COMPUTED_VALUE"""),26159.0)</f>
      </c>
      <c r="B1103" s="9">
        <f>IFERROR(__xludf.DUMMYFUNCTION("""COMPUTED_VALUE"""),"SUL FLUMINENSE")</f>
      </c>
      <c r="C1103" s="9">
        <f>IFERROR(__xludf.DUMMYFUNCTION("""COMPUTED_VALUE"""),"CIEP 055 JOAO GREGORIO GALINDO")</f>
      </c>
      <c r="D1103" s="10">
        <f>IFERROR(__xludf.DUMMYFUNCTION("""COMPUTED_VALUE"""),0.6369)</f>
      </c>
      <c r="E1103" s="11">
        <f>IFERROR(__xludf.DUMMYFUNCTION("""COMPUTED_VALUE"""),262.7)</f>
      </c>
      <c r="F1103" s="10">
        <f>IFERROR(__xludf.DUMMYFUNCTION("""COMPUTED_VALUE"""),0.3687)</f>
      </c>
      <c r="G1103" s="11">
        <f>IFERROR(__xludf.DUMMYFUNCTION("""COMPUTED_VALUE"""),"----")</f>
      </c>
      <c r="H1103" s="10">
        <f>IFERROR(__xludf.DUMMYFUNCTION("""COMPUTED_VALUE"""),0.3934)</f>
      </c>
      <c r="I1103" s="11">
        <f>IFERROR(__xludf.DUMMYFUNCTION("""COMPUTED_VALUE"""),451.57)</f>
      </c>
      <c r="J1103" s="10">
        <f>IFERROR(__xludf.DUMMYFUNCTION("""COMPUTED_VALUE"""),0.6519)</f>
      </c>
      <c r="K1103" s="11">
        <f>IFERROR(__xludf.DUMMYFUNCTION("""COMPUTED_VALUE"""),426.57)</f>
      </c>
      <c r="L1103" s="10">
        <f>IFERROR(__xludf.DUMMYFUNCTION("""COMPUTED_VALUE"""),0.4313)</f>
      </c>
      <c r="M1103" s="11">
        <f>IFERROR(__xludf.DUMMYFUNCTION("""COMPUTED_VALUE"""),445.84)</f>
      </c>
      <c r="N1103" s="10">
        <f>IFERROR(__xludf.DUMMYFUNCTION("""COMPUTED_VALUE"""),0.5829)</f>
      </c>
      <c r="O1103" s="11">
        <f>IFERROR(__xludf.DUMMYFUNCTION("""COMPUTED_VALUE"""),466.67)</f>
      </c>
      <c r="P1103" s="12"/>
      <c r="Q1103" s="12"/>
      <c r="R1103" s="15"/>
      <c r="S1103" s="12"/>
      <c r="T1103" s="12"/>
      <c r="U1103" s="12"/>
      <c r="V1103" s="12"/>
      <c r="W1103" s="12"/>
      <c r="X1103" s="12"/>
      <c r="Y1103" s="12"/>
      <c r="Z1103" s="12"/>
    </row>
    <row x14ac:dyDescent="0.25" r="1104" customHeight="1" ht="15.75">
      <c r="A1104" s="8">
        <f>IFERROR(__xludf.DUMMYFUNCTION("""COMPUTED_VALUE"""),26189.0)</f>
      </c>
      <c r="B1104" s="9">
        <f>IFERROR(__xludf.DUMMYFUNCTION("""COMPUTED_VALUE"""),"SUL FLUMINENSE")</f>
      </c>
      <c r="C1104" s="9">
        <f>IFERROR(__xludf.DUMMYFUNCTION("""COMPUTED_VALUE"""),"CIEP 291 DOM MARTINHO SCHLUDE")</f>
      </c>
      <c r="D1104" s="10">
        <f>IFERROR(__xludf.DUMMYFUNCTION("""COMPUTED_VALUE"""),0.8208)</f>
      </c>
      <c r="E1104" s="11">
        <f>IFERROR(__xludf.DUMMYFUNCTION("""COMPUTED_VALUE"""),309.83)</f>
      </c>
      <c r="F1104" s="10">
        <f>IFERROR(__xludf.DUMMYFUNCTION("""COMPUTED_VALUE"""),0.7394)</f>
      </c>
      <c r="G1104" s="11">
        <f>IFERROR(__xludf.DUMMYFUNCTION("""COMPUTED_VALUE"""),415.32)</f>
      </c>
      <c r="H1104" s="10">
        <f>IFERROR(__xludf.DUMMYFUNCTION("""COMPUTED_VALUE"""),0.6063)</f>
      </c>
      <c r="I1104" s="11">
        <f>IFERROR(__xludf.DUMMYFUNCTION("""COMPUTED_VALUE"""),476.43)</f>
      </c>
      <c r="J1104" s="10">
        <f>IFERROR(__xludf.DUMMYFUNCTION("""COMPUTED_VALUE"""),0.6687)</f>
      </c>
      <c r="K1104" s="11">
        <f>IFERROR(__xludf.DUMMYFUNCTION("""COMPUTED_VALUE"""),415.3)</f>
      </c>
      <c r="L1104" s="10">
        <f>IFERROR(__xludf.DUMMYFUNCTION("""COMPUTED_VALUE"""),0.6983)</f>
      </c>
      <c r="M1104" s="11">
        <f>IFERROR(__xludf.DUMMYFUNCTION("""COMPUTED_VALUE"""),466.6)</f>
      </c>
      <c r="N1104" s="10">
        <f>IFERROR(__xludf.DUMMYFUNCTION("""COMPUTED_VALUE"""),0.6408)</f>
      </c>
      <c r="O1104" s="11">
        <f>IFERROR(__xludf.DUMMYFUNCTION("""COMPUTED_VALUE"""),462.42)</f>
      </c>
      <c r="P1104" s="12"/>
      <c r="Q1104" s="12"/>
      <c r="R1104" s="15"/>
      <c r="S1104" s="12"/>
      <c r="T1104" s="12"/>
      <c r="U1104" s="12"/>
      <c r="V1104" s="12"/>
      <c r="W1104" s="12"/>
      <c r="X1104" s="12"/>
      <c r="Y1104" s="12"/>
      <c r="Z1104" s="12"/>
    </row>
    <row x14ac:dyDescent="0.25" r="1105" customHeight="1" ht="15.75">
      <c r="A1105" s="8">
        <f>IFERROR(__xludf.DUMMYFUNCTION("""COMPUTED_VALUE"""),26175.0)</f>
      </c>
      <c r="B1105" s="9">
        <f>IFERROR(__xludf.DUMMYFUNCTION("""COMPUTED_VALUE"""),"SUL FLUMINENSE")</f>
      </c>
      <c r="C1105" s="9">
        <f>IFERROR(__xludf.DUMMYFUNCTION("""COMPUTED_VALUE"""),"CIEP 292 PROFESSORA JANDIRA REIS DE OLIVEIRA")</f>
      </c>
      <c r="D1105" s="10">
        <f>IFERROR(__xludf.DUMMYFUNCTION("""COMPUTED_VALUE"""),0.4557)</f>
      </c>
      <c r="E1105" s="11">
        <f>IFERROR(__xludf.DUMMYFUNCTION("""COMPUTED_VALUE"""),357.71)</f>
      </c>
      <c r="F1105" s="10">
        <f>IFERROR(__xludf.DUMMYFUNCTION("""COMPUTED_VALUE"""),0.6582)</f>
      </c>
      <c r="G1105" s="11">
        <f>IFERROR(__xludf.DUMMYFUNCTION("""COMPUTED_VALUE"""),402.31)</f>
      </c>
      <c r="H1105" s="10">
        <f>IFERROR(__xludf.DUMMYFUNCTION("""COMPUTED_VALUE"""),0.6329)</f>
      </c>
      <c r="I1105" s="11">
        <f>IFERROR(__xludf.DUMMYFUNCTION("""COMPUTED_VALUE"""),524.8)</f>
      </c>
      <c r="J1105" s="10">
        <f>IFERROR(__xludf.DUMMYFUNCTION("""COMPUTED_VALUE"""),0.6709)</f>
      </c>
      <c r="K1105" s="11">
        <f>IFERROR(__xludf.DUMMYFUNCTION("""COMPUTED_VALUE"""),507.76)</f>
      </c>
      <c r="L1105" s="10">
        <f>IFERROR(__xludf.DUMMYFUNCTION("""COMPUTED_VALUE"""),0.6456)</f>
      </c>
      <c r="M1105" s="11">
        <f>IFERROR(__xludf.DUMMYFUNCTION("""COMPUTED_VALUE"""),541.18)</f>
      </c>
      <c r="N1105" s="10">
        <f>IFERROR(__xludf.DUMMYFUNCTION("""COMPUTED_VALUE"""),0.6709)</f>
      </c>
      <c r="O1105" s="11">
        <f>IFERROR(__xludf.DUMMYFUNCTION("""COMPUTED_VALUE"""),484.53)</f>
      </c>
      <c r="P1105" s="12"/>
      <c r="Q1105" s="12"/>
      <c r="R1105" s="15"/>
      <c r="S1105" s="12"/>
      <c r="T1105" s="12"/>
      <c r="U1105" s="12"/>
      <c r="V1105" s="12"/>
      <c r="W1105" s="12"/>
      <c r="X1105" s="12"/>
      <c r="Y1105" s="12"/>
      <c r="Z1105" s="12"/>
    </row>
    <row x14ac:dyDescent="0.25" r="1106" customHeight="1" ht="15.75">
      <c r="A1106" s="8">
        <f>IFERROR(__xludf.DUMMYFUNCTION("""COMPUTED_VALUE"""),26229.0)</f>
      </c>
      <c r="B1106" s="9">
        <f>IFERROR(__xludf.DUMMYFUNCTION("""COMPUTED_VALUE"""),"SUL FLUMINENSE")</f>
      </c>
      <c r="C1106" s="9">
        <f>IFERROR(__xludf.DUMMYFUNCTION("""COMPUTED_VALUE"""),"CIEP 293 WALMIR DE FREITAS MONTEIRO")</f>
      </c>
      <c r="D1106" s="10">
        <f>IFERROR(__xludf.DUMMYFUNCTION("""COMPUTED_VALUE"""),0.7422)</f>
      </c>
      <c r="E1106" s="11">
        <f>IFERROR(__xludf.DUMMYFUNCTION("""COMPUTED_VALUE"""),311.9)</f>
      </c>
      <c r="F1106" s="10">
        <f>IFERROR(__xludf.DUMMYFUNCTION("""COMPUTED_VALUE"""),0.5625)</f>
      </c>
      <c r="G1106" s="11">
        <f>IFERROR(__xludf.DUMMYFUNCTION("""COMPUTED_VALUE"""),373.33)</f>
      </c>
      <c r="H1106" s="10">
        <f>IFERROR(__xludf.DUMMYFUNCTION("""COMPUTED_VALUE"""),0.5078)</f>
      </c>
      <c r="I1106" s="11">
        <f>IFERROR(__xludf.DUMMYFUNCTION("""COMPUTED_VALUE"""),476.88)</f>
      </c>
      <c r="J1106" s="10">
        <f>IFERROR(__xludf.DUMMYFUNCTION("""COMPUTED_VALUE"""),0.5938)</f>
      </c>
      <c r="K1106" s="11">
        <f>IFERROR(__xludf.DUMMYFUNCTION("""COMPUTED_VALUE"""),300.27)</f>
      </c>
      <c r="L1106" s="10">
        <f>IFERROR(__xludf.DUMMYFUNCTION("""COMPUTED_VALUE"""),0.625)</f>
      </c>
      <c r="M1106" s="11">
        <f>IFERROR(__xludf.DUMMYFUNCTION("""COMPUTED_VALUE"""),441.0)</f>
      </c>
      <c r="N1106" s="10">
        <f>IFERROR(__xludf.DUMMYFUNCTION("""COMPUTED_VALUE"""),0.5313)</f>
      </c>
      <c r="O1106" s="11">
        <f>IFERROR(__xludf.DUMMYFUNCTION("""COMPUTED_VALUE"""),475.88)</f>
      </c>
      <c r="P1106" s="12"/>
      <c r="Q1106" s="12"/>
      <c r="R1106" s="15"/>
      <c r="S1106" s="12"/>
      <c r="T1106" s="12"/>
      <c r="U1106" s="12"/>
      <c r="V1106" s="12"/>
      <c r="W1106" s="12"/>
      <c r="X1106" s="12"/>
      <c r="Y1106" s="12"/>
      <c r="Z1106" s="12"/>
    </row>
    <row x14ac:dyDescent="0.25" r="1107" customHeight="1" ht="15.75">
      <c r="A1107" s="8">
        <f>IFERROR(__xludf.DUMMYFUNCTION("""COMPUTED_VALUE"""),26230.0)</f>
      </c>
      <c r="B1107" s="9">
        <f>IFERROR(__xludf.DUMMYFUNCTION("""COMPUTED_VALUE"""),"SUL FLUMINENSE")</f>
      </c>
      <c r="C1107" s="9">
        <f>IFERROR(__xludf.DUMMYFUNCTION("""COMPUTED_VALUE"""),"CIEP 295 PROFESSORA GLORIA ROUSSIM GUEDES PINTO")</f>
      </c>
      <c r="D1107" s="10">
        <f>IFERROR(__xludf.DUMMYFUNCTION("""COMPUTED_VALUE"""),0.7769)</f>
      </c>
      <c r="E1107" s="11">
        <f>IFERROR(__xludf.DUMMYFUNCTION("""COMPUTED_VALUE"""),353.7)</f>
      </c>
      <c r="F1107" s="10">
        <f>IFERROR(__xludf.DUMMYFUNCTION("""COMPUTED_VALUE"""),0.7311)</f>
      </c>
      <c r="G1107" s="11">
        <f>IFERROR(__xludf.DUMMYFUNCTION("""COMPUTED_VALUE"""),429.97)</f>
      </c>
      <c r="H1107" s="10">
        <f>IFERROR(__xludf.DUMMYFUNCTION("""COMPUTED_VALUE"""),0.6661)</f>
      </c>
      <c r="I1107" s="11">
        <f>IFERROR(__xludf.DUMMYFUNCTION("""COMPUTED_VALUE"""),472.93)</f>
      </c>
      <c r="J1107" s="10">
        <f>IFERROR(__xludf.DUMMYFUNCTION("""COMPUTED_VALUE"""),0.7049)</f>
      </c>
      <c r="K1107" s="11">
        <f>IFERROR(__xludf.DUMMYFUNCTION("""COMPUTED_VALUE"""),394.49)</f>
      </c>
      <c r="L1107" s="10">
        <f>IFERROR(__xludf.DUMMYFUNCTION("""COMPUTED_VALUE"""),0.7678)</f>
      </c>
      <c r="M1107" s="11">
        <f>IFERROR(__xludf.DUMMYFUNCTION("""COMPUTED_VALUE"""),463.4)</f>
      </c>
      <c r="N1107" s="10">
        <f>IFERROR(__xludf.DUMMYFUNCTION("""COMPUTED_VALUE"""),0.6678)</f>
      </c>
      <c r="O1107" s="11">
        <f>IFERROR(__xludf.DUMMYFUNCTION("""COMPUTED_VALUE"""),451.11)</f>
      </c>
      <c r="P1107" s="12"/>
      <c r="Q1107" s="12"/>
      <c r="R1107" s="15"/>
      <c r="S1107" s="12"/>
      <c r="T1107" s="12"/>
      <c r="U1107" s="12"/>
      <c r="V1107" s="12"/>
      <c r="W1107" s="12"/>
      <c r="X1107" s="12"/>
      <c r="Y1107" s="12"/>
      <c r="Z1107" s="12"/>
    </row>
    <row x14ac:dyDescent="0.25" r="1108" customHeight="1" ht="15.75">
      <c r="A1108" s="8">
        <f>IFERROR(__xludf.DUMMYFUNCTION("""COMPUTED_VALUE"""),26209.0)</f>
      </c>
      <c r="B1108" s="9">
        <f>IFERROR(__xludf.DUMMYFUNCTION("""COMPUTED_VALUE"""),"SUL FLUMINENSE")</f>
      </c>
      <c r="C1108" s="9">
        <f>IFERROR(__xludf.DUMMYFUNCTION("""COMPUTED_VALUE"""),"CIEP 296 PRESIDENTE BENES")</f>
      </c>
      <c r="D1108" s="10">
        <f>IFERROR(__xludf.DUMMYFUNCTION("""COMPUTED_VALUE"""),0.9941)</f>
      </c>
      <c r="E1108" s="11">
        <f>IFERROR(__xludf.DUMMYFUNCTION("""COMPUTED_VALUE"""),305.71)</f>
      </c>
      <c r="F1108" s="10">
        <f>IFERROR(__xludf.DUMMYFUNCTION("""COMPUTED_VALUE"""),0.9882)</f>
      </c>
      <c r="G1108" s="11">
        <f>IFERROR(__xludf.DUMMYFUNCTION("""COMPUTED_VALUE"""),374.63)</f>
      </c>
      <c r="H1108" s="10">
        <f>IFERROR(__xludf.DUMMYFUNCTION("""COMPUTED_VALUE"""),0.7101)</f>
      </c>
      <c r="I1108" s="11">
        <f>IFERROR(__xludf.DUMMYFUNCTION("""COMPUTED_VALUE"""),500.34)</f>
      </c>
      <c r="J1108" s="10">
        <f>IFERROR(__xludf.DUMMYFUNCTION("""COMPUTED_VALUE"""),0.6923)</f>
      </c>
      <c r="K1108" s="11">
        <f>IFERROR(__xludf.DUMMYFUNCTION("""COMPUTED_VALUE"""),432.35)</f>
      </c>
      <c r="L1108" s="10">
        <f>IFERROR(__xludf.DUMMYFUNCTION("""COMPUTED_VALUE"""),0.7219)</f>
      </c>
      <c r="M1108" s="11">
        <f>IFERROR(__xludf.DUMMYFUNCTION("""COMPUTED_VALUE"""),466.89)</f>
      </c>
      <c r="N1108" s="10">
        <f>IFERROR(__xludf.DUMMYFUNCTION("""COMPUTED_VALUE"""),0.6923)</f>
      </c>
      <c r="O1108" s="11">
        <f>IFERROR(__xludf.DUMMYFUNCTION("""COMPUTED_VALUE"""),460.0)</f>
      </c>
      <c r="P1108" s="12"/>
      <c r="Q1108" s="12"/>
      <c r="R1108" s="15"/>
      <c r="S1108" s="12"/>
      <c r="T1108" s="12"/>
      <c r="U1108" s="12"/>
      <c r="V1108" s="12"/>
      <c r="W1108" s="12"/>
      <c r="X1108" s="12"/>
      <c r="Y1108" s="12"/>
      <c r="Z1108" s="12"/>
    </row>
    <row x14ac:dyDescent="0.25" r="1109" customHeight="1" ht="15.75">
      <c r="A1109" s="8">
        <f>IFERROR(__xludf.DUMMYFUNCTION("""COMPUTED_VALUE"""),26231.0)</f>
      </c>
      <c r="B1109" s="9">
        <f>IFERROR(__xludf.DUMMYFUNCTION("""COMPUTED_VALUE"""),"SUL FLUMINENSE")</f>
      </c>
      <c r="C1109" s="9">
        <f>IFERROR(__xludf.DUMMYFUNCTION("""COMPUTED_VALUE"""),"CIEP 299 JIULIO CARUSO")</f>
      </c>
      <c r="D1109" s="10">
        <f>IFERROR(__xludf.DUMMYFUNCTION("""COMPUTED_VALUE"""),0.8182)</f>
      </c>
      <c r="E1109" s="11">
        <f>IFERROR(__xludf.DUMMYFUNCTION("""COMPUTED_VALUE"""),169.01)</f>
      </c>
      <c r="F1109" s="10">
        <f>IFERROR(__xludf.DUMMYFUNCTION("""COMPUTED_VALUE"""),0.7273)</f>
      </c>
      <c r="G1109" s="11">
        <f>IFERROR(__xludf.DUMMYFUNCTION("""COMPUTED_VALUE"""),349.85)</f>
      </c>
      <c r="H1109" s="10">
        <f>IFERROR(__xludf.DUMMYFUNCTION("""COMPUTED_VALUE"""),0.5424)</f>
      </c>
      <c r="I1109" s="11">
        <f>IFERROR(__xludf.DUMMYFUNCTION("""COMPUTED_VALUE"""),408.75)</f>
      </c>
      <c r="J1109" s="10">
        <f>IFERROR(__xludf.DUMMYFUNCTION("""COMPUTED_VALUE"""),0.7381)</f>
      </c>
      <c r="K1109" s="11">
        <f>IFERROR(__xludf.DUMMYFUNCTION("""COMPUTED_VALUE"""),309.82)</f>
      </c>
      <c r="L1109" s="10">
        <f>IFERROR(__xludf.DUMMYFUNCTION("""COMPUTED_VALUE"""),0.5424)</f>
      </c>
      <c r="M1109" s="11">
        <f>IFERROR(__xludf.DUMMYFUNCTION("""COMPUTED_VALUE"""),436.25)</f>
      </c>
      <c r="N1109" s="10">
        <f>IFERROR(__xludf.DUMMYFUNCTION("""COMPUTED_VALUE"""),0.5932)</f>
      </c>
      <c r="O1109" s="11">
        <f>IFERROR(__xludf.DUMMYFUNCTION("""COMPUTED_VALUE"""),414.86)</f>
      </c>
      <c r="P1109" s="12"/>
      <c r="Q1109" s="12"/>
      <c r="R1109" s="15"/>
      <c r="S1109" s="12"/>
      <c r="T1109" s="12"/>
      <c r="U1109" s="12"/>
      <c r="V1109" s="12"/>
      <c r="W1109" s="12"/>
      <c r="X1109" s="12"/>
      <c r="Y1109" s="12"/>
      <c r="Z1109" s="12"/>
    </row>
    <row x14ac:dyDescent="0.25" r="1110" customHeight="1" ht="15.75">
      <c r="A1110" s="8">
        <f>IFERROR(__xludf.DUMMYFUNCTION("""COMPUTED_VALUE"""),26160.0)</f>
      </c>
      <c r="B1110" s="9">
        <f>IFERROR(__xludf.DUMMYFUNCTION("""COMPUTED_VALUE"""),"SUL FLUMINENSE")</f>
      </c>
      <c r="C1110" s="9">
        <f>IFERROR(__xludf.DUMMYFUNCTION("""COMPUTED_VALUE"""),"CIEP 302 CHARLES DICKENS")</f>
      </c>
      <c r="D1110" s="10">
        <f>IFERROR(__xludf.DUMMYFUNCTION("""COMPUTED_VALUE"""),0.8462)</f>
      </c>
      <c r="E1110" s="11">
        <f>IFERROR(__xludf.DUMMYFUNCTION("""COMPUTED_VALUE"""),200.09)</f>
      </c>
      <c r="F1110" s="10">
        <f>IFERROR(__xludf.DUMMYFUNCTION("""COMPUTED_VALUE"""),0.6455)</f>
      </c>
      <c r="G1110" s="11">
        <f>IFERROR(__xludf.DUMMYFUNCTION("""COMPUTED_VALUE"""),385.93)</f>
      </c>
      <c r="H1110" s="10">
        <f>IFERROR(__xludf.DUMMYFUNCTION("""COMPUTED_VALUE"""),0.4706)</f>
      </c>
      <c r="I1110" s="11">
        <f>IFERROR(__xludf.DUMMYFUNCTION("""COMPUTED_VALUE"""),"----")</f>
      </c>
      <c r="J1110" s="10">
        <f>IFERROR(__xludf.DUMMYFUNCTION("""COMPUTED_VALUE"""),0.2095)</f>
      </c>
      <c r="K1110" s="11">
        <f>IFERROR(__xludf.DUMMYFUNCTION("""COMPUTED_VALUE"""),304.84)</f>
      </c>
      <c r="L1110" s="10">
        <f>IFERROR(__xludf.DUMMYFUNCTION("""COMPUTED_VALUE"""),0.582)</f>
      </c>
      <c r="M1110" s="11">
        <f>IFERROR(__xludf.DUMMYFUNCTION("""COMPUTED_VALUE"""),325.53)</f>
      </c>
      <c r="N1110" s="10">
        <f>IFERROR(__xludf.DUMMYFUNCTION("""COMPUTED_VALUE"""),0.5759)</f>
      </c>
      <c r="O1110" s="11">
        <f>IFERROR(__xludf.DUMMYFUNCTION("""COMPUTED_VALUE"""),374.4)</f>
      </c>
      <c r="P1110" s="12"/>
      <c r="Q1110" s="12"/>
      <c r="R1110" s="15"/>
      <c r="S1110" s="12"/>
      <c r="T1110" s="12"/>
      <c r="U1110" s="12"/>
      <c r="V1110" s="12"/>
      <c r="W1110" s="12"/>
      <c r="X1110" s="12"/>
      <c r="Y1110" s="12"/>
      <c r="Z1110" s="12"/>
    </row>
    <row x14ac:dyDescent="0.25" r="1111" customHeight="1" ht="15.75">
      <c r="A1111" s="8">
        <f>IFERROR(__xludf.DUMMYFUNCTION("""COMPUTED_VALUE"""),26206.0)</f>
      </c>
      <c r="B1111" s="9">
        <f>IFERROR(__xludf.DUMMYFUNCTION("""COMPUTED_VALUE"""),"SUL FLUMINENSE")</f>
      </c>
      <c r="C1111" s="9">
        <f>IFERROR(__xludf.DUMMYFUNCTION("""COMPUTED_VALUE"""),"CIEP 347 DOUTOR JORGE MIGUEL JAYME")</f>
      </c>
      <c r="D1111" s="10">
        <f>IFERROR(__xludf.DUMMYFUNCTION("""COMPUTED_VALUE"""),0.6579)</f>
      </c>
      <c r="E1111" s="11">
        <f>IFERROR(__xludf.DUMMYFUNCTION("""COMPUTED_VALUE"""),199.54)</f>
      </c>
      <c r="F1111" s="10">
        <f>IFERROR(__xludf.DUMMYFUNCTION("""COMPUTED_VALUE"""),0.5789)</f>
      </c>
      <c r="G1111" s="11">
        <f>IFERROR(__xludf.DUMMYFUNCTION("""COMPUTED_VALUE"""),407.49)</f>
      </c>
      <c r="H1111" s="10">
        <f>IFERROR(__xludf.DUMMYFUNCTION("""COMPUTED_VALUE"""),0.4024)</f>
      </c>
      <c r="I1111" s="11">
        <f>IFERROR(__xludf.DUMMYFUNCTION("""COMPUTED_VALUE"""),428.94)</f>
      </c>
      <c r="J1111" s="10">
        <f>IFERROR(__xludf.DUMMYFUNCTION("""COMPUTED_VALUE"""),0.5338)</f>
      </c>
      <c r="K1111" s="11">
        <f>IFERROR(__xludf.DUMMYFUNCTION("""COMPUTED_VALUE"""),394.31)</f>
      </c>
      <c r="L1111" s="10">
        <f>IFERROR(__xludf.DUMMYFUNCTION("""COMPUTED_VALUE"""),0.4268)</f>
      </c>
      <c r="M1111" s="11">
        <f>IFERROR(__xludf.DUMMYFUNCTION("""COMPUTED_VALUE"""),"----")</f>
      </c>
      <c r="N1111" s="10">
        <f>IFERROR(__xludf.DUMMYFUNCTION("""COMPUTED_VALUE"""),0.4146)</f>
      </c>
      <c r="O1111" s="11">
        <f>IFERROR(__xludf.DUMMYFUNCTION("""COMPUTED_VALUE"""),489.0)</f>
      </c>
      <c r="P1111" s="12"/>
      <c r="Q1111" s="12"/>
      <c r="R1111" s="15"/>
      <c r="S1111" s="12"/>
      <c r="T1111" s="12"/>
      <c r="U1111" s="12"/>
      <c r="V1111" s="12"/>
      <c r="W1111" s="12"/>
      <c r="X1111" s="12"/>
      <c r="Y1111" s="12"/>
      <c r="Z1111" s="12"/>
    </row>
    <row x14ac:dyDescent="0.25" r="1112" customHeight="1" ht="15.75">
      <c r="A1112" s="8">
        <f>IFERROR(__xludf.DUMMYFUNCTION("""COMPUTED_VALUE"""),26232.0)</f>
      </c>
      <c r="B1112" s="9">
        <f>IFERROR(__xludf.DUMMYFUNCTION("""COMPUTED_VALUE"""),"SUL FLUMINENSE")</f>
      </c>
      <c r="C1112" s="9">
        <f>IFERROR(__xludf.DUMMYFUNCTION("""COMPUTED_VALUE"""),"CIEP 403 MARIA DE LOURDES GIOVANETTI CÍVICO MILITAR")</f>
      </c>
      <c r="D1112" s="10">
        <f>IFERROR(__xludf.DUMMYFUNCTION("""COMPUTED_VALUE"""),0.9512)</f>
      </c>
      <c r="E1112" s="11">
        <f>IFERROR(__xludf.DUMMYFUNCTION("""COMPUTED_VALUE"""),635.9)</f>
      </c>
      <c r="F1112" s="10">
        <f>IFERROR(__xludf.DUMMYFUNCTION("""COMPUTED_VALUE"""),0.9024)</f>
      </c>
      <c r="G1112" s="11">
        <f>IFERROR(__xludf.DUMMYFUNCTION("""COMPUTED_VALUE"""),596.76)</f>
      </c>
      <c r="H1112" s="10">
        <f>IFERROR(__xludf.DUMMYFUNCTION("""COMPUTED_VALUE"""),0.8537)</f>
      </c>
      <c r="I1112" s="11">
        <f>IFERROR(__xludf.DUMMYFUNCTION("""COMPUTED_VALUE"""),672.0)</f>
      </c>
      <c r="J1112" s="10">
        <f>IFERROR(__xludf.DUMMYFUNCTION("""COMPUTED_VALUE"""),0.9512)</f>
      </c>
      <c r="K1112" s="11">
        <f>IFERROR(__xludf.DUMMYFUNCTION("""COMPUTED_VALUE"""),680.0)</f>
      </c>
      <c r="L1112" s="10">
        <f>IFERROR(__xludf.DUMMYFUNCTION("""COMPUTED_VALUE"""),0.9512)</f>
      </c>
      <c r="M1112" s="11">
        <f>IFERROR(__xludf.DUMMYFUNCTION("""COMPUTED_VALUE"""),693.33)</f>
      </c>
      <c r="N1112" s="10">
        <f>IFERROR(__xludf.DUMMYFUNCTION("""COMPUTED_VALUE"""),0.8049)</f>
      </c>
      <c r="O1112" s="11">
        <f>IFERROR(__xludf.DUMMYFUNCTION("""COMPUTED_VALUE"""),699.39)</f>
      </c>
      <c r="P1112" s="12"/>
      <c r="Q1112" s="12"/>
      <c r="R1112" s="15"/>
      <c r="S1112" s="12"/>
      <c r="T1112" s="12"/>
      <c r="U1112" s="12"/>
      <c r="V1112" s="12"/>
      <c r="W1112" s="12"/>
      <c r="X1112" s="12"/>
      <c r="Y1112" s="12"/>
      <c r="Z1112" s="12"/>
    </row>
    <row x14ac:dyDescent="0.25" r="1113" customHeight="1" ht="15.75">
      <c r="A1113" s="8">
        <f>IFERROR(__xludf.DUMMYFUNCTION("""COMPUTED_VALUE"""),26233.0)</f>
      </c>
      <c r="B1113" s="9">
        <f>IFERROR(__xludf.DUMMYFUNCTION("""COMPUTED_VALUE"""),"SUL FLUMINENSE")</f>
      </c>
      <c r="C1113" s="9">
        <f>IFERROR(__xludf.DUMMYFUNCTION("""COMPUTED_VALUE"""),"CIEP 484 GINÁSIO PÚBLICO TONINHO MARQUES")</f>
      </c>
      <c r="D1113" s="10">
        <f>IFERROR(__xludf.DUMMYFUNCTION("""COMPUTED_VALUE"""),0.9778)</f>
      </c>
      <c r="E1113" s="11">
        <f>IFERROR(__xludf.DUMMYFUNCTION("""COMPUTED_VALUE"""),272.82)</f>
      </c>
      <c r="F1113" s="10">
        <f>IFERROR(__xludf.DUMMYFUNCTION("""COMPUTED_VALUE"""),0.6222)</f>
      </c>
      <c r="G1113" s="11">
        <f>IFERROR(__xludf.DUMMYFUNCTION("""COMPUTED_VALUE"""),395.71)</f>
      </c>
      <c r="H1113" s="10">
        <f>IFERROR(__xludf.DUMMYFUNCTION("""COMPUTED_VALUE"""),0.8222)</f>
      </c>
      <c r="I1113" s="11">
        <f>IFERROR(__xludf.DUMMYFUNCTION("""COMPUTED_VALUE"""),456.67)</f>
      </c>
      <c r="J1113" s="10">
        <f>IFERROR(__xludf.DUMMYFUNCTION("""COMPUTED_VALUE"""),0.7111)</f>
      </c>
      <c r="K1113" s="11">
        <f>IFERROR(__xludf.DUMMYFUNCTION("""COMPUTED_VALUE"""),366.25)</f>
      </c>
      <c r="L1113" s="10">
        <f>IFERROR(__xludf.DUMMYFUNCTION("""COMPUTED_VALUE"""),0.8444)</f>
      </c>
      <c r="M1113" s="11">
        <f>IFERROR(__xludf.DUMMYFUNCTION("""COMPUTED_VALUE"""),418.95)</f>
      </c>
      <c r="N1113" s="10">
        <f>IFERROR(__xludf.DUMMYFUNCTION("""COMPUTED_VALUE"""),0.7778)</f>
      </c>
      <c r="O1113" s="11">
        <f>IFERROR(__xludf.DUMMYFUNCTION("""COMPUTED_VALUE"""),480.0)</f>
      </c>
      <c r="P1113" s="12"/>
      <c r="Q1113" s="12"/>
      <c r="R1113" s="15"/>
      <c r="S1113" s="12"/>
      <c r="T1113" s="12"/>
      <c r="U1113" s="12"/>
      <c r="V1113" s="12"/>
      <c r="W1113" s="12"/>
      <c r="X1113" s="12"/>
      <c r="Y1113" s="12"/>
      <c r="Z1113" s="12"/>
    </row>
    <row x14ac:dyDescent="0.25" r="1114" customHeight="1" ht="15.75">
      <c r="A1114" s="8">
        <f>IFERROR(__xludf.DUMMYFUNCTION("""COMPUTED_VALUE"""),26176.0)</f>
      </c>
      <c r="B1114" s="9">
        <f>IFERROR(__xludf.DUMMYFUNCTION("""COMPUTED_VALUE"""),"SUL FLUMINENSE")</f>
      </c>
      <c r="C1114" s="9">
        <f>IFERROR(__xludf.DUMMYFUNCTION("""COMPUTED_VALUE"""),"CIEP 485 PROFESSOR JOAO BATISTA DE BARROS")</f>
      </c>
      <c r="D1114" s="10">
        <f>IFERROR(__xludf.DUMMYFUNCTION("""COMPUTED_VALUE"""),0.9333)</f>
      </c>
      <c r="E1114" s="11">
        <f>IFERROR(__xludf.DUMMYFUNCTION("""COMPUTED_VALUE"""),262.86)</f>
      </c>
      <c r="F1114" s="10">
        <f>IFERROR(__xludf.DUMMYFUNCTION("""COMPUTED_VALUE"""),0.8222)</f>
      </c>
      <c r="G1114" s="11">
        <f>IFERROR(__xludf.DUMMYFUNCTION("""COMPUTED_VALUE"""),444.33)</f>
      </c>
      <c r="H1114" s="10">
        <f>IFERROR(__xludf.DUMMYFUNCTION("""COMPUTED_VALUE"""),0.55)</f>
      </c>
      <c r="I1114" s="11">
        <f>IFERROR(__xludf.DUMMYFUNCTION("""COMPUTED_VALUE"""),506.66)</f>
      </c>
      <c r="J1114" s="10">
        <f>IFERROR(__xludf.DUMMYFUNCTION("""COMPUTED_VALUE"""),0.7333)</f>
      </c>
      <c r="K1114" s="11">
        <f>IFERROR(__xludf.DUMMYFUNCTION("""COMPUTED_VALUE"""),415.76)</f>
      </c>
      <c r="L1114" s="10">
        <f>IFERROR(__xludf.DUMMYFUNCTION("""COMPUTED_VALUE"""),0.5)</f>
      </c>
      <c r="M1114" s="11">
        <f>IFERROR(__xludf.DUMMYFUNCTION("""COMPUTED_VALUE"""),468.0)</f>
      </c>
      <c r="N1114" s="10">
        <f>IFERROR(__xludf.DUMMYFUNCTION("""COMPUTED_VALUE"""),0.6)</f>
      </c>
      <c r="O1114" s="11">
        <f>IFERROR(__xludf.DUMMYFUNCTION("""COMPUTED_VALUE"""),456.67)</f>
      </c>
      <c r="P1114" s="12"/>
      <c r="Q1114" s="12"/>
      <c r="R1114" s="15"/>
      <c r="S1114" s="12"/>
      <c r="T1114" s="12"/>
      <c r="U1114" s="12"/>
      <c r="V1114" s="12"/>
      <c r="W1114" s="12"/>
      <c r="X1114" s="12"/>
      <c r="Y1114" s="12"/>
      <c r="Z1114" s="12"/>
    </row>
    <row x14ac:dyDescent="0.25" r="1115" customHeight="1" ht="15.75">
      <c r="A1115" s="8">
        <f>IFERROR(__xludf.DUMMYFUNCTION("""COMPUTED_VALUE"""),26177.0)</f>
      </c>
      <c r="B1115" s="9">
        <f>IFERROR(__xludf.DUMMYFUNCTION("""COMPUTED_VALUE"""),"SUL FLUMINENSE")</f>
      </c>
      <c r="C1115" s="9">
        <f>IFERROR(__xludf.DUMMYFUNCTION("""COMPUTED_VALUE"""),"CIEP 486 PROFESSOR LUIZ VALLEJO")</f>
      </c>
      <c r="D1115" s="10">
        <f>IFERROR(__xludf.DUMMYFUNCTION("""COMPUTED_VALUE"""),0.7797)</f>
      </c>
      <c r="E1115" s="11">
        <f>IFERROR(__xludf.DUMMYFUNCTION("""COMPUTED_VALUE"""),373.36)</f>
      </c>
      <c r="F1115" s="10">
        <f>IFERROR(__xludf.DUMMYFUNCTION("""COMPUTED_VALUE"""),0.6441)</f>
      </c>
      <c r="G1115" s="11">
        <f>IFERROR(__xludf.DUMMYFUNCTION("""COMPUTED_VALUE"""),515.79)</f>
      </c>
      <c r="H1115" s="10">
        <f>IFERROR(__xludf.DUMMYFUNCTION("""COMPUTED_VALUE"""),0.5278)</f>
      </c>
      <c r="I1115" s="11">
        <f>IFERROR(__xludf.DUMMYFUNCTION("""COMPUTED_VALUE"""),516.85)</f>
      </c>
      <c r="J1115" s="10">
        <f>IFERROR(__xludf.DUMMYFUNCTION("""COMPUTED_VALUE"""),0.8246)</f>
      </c>
      <c r="K1115" s="11">
        <f>IFERROR(__xludf.DUMMYFUNCTION("""COMPUTED_VALUE"""),459.71)</f>
      </c>
      <c r="L1115" s="10">
        <f>IFERROR(__xludf.DUMMYFUNCTION("""COMPUTED_VALUE"""),0.5833)</f>
      </c>
      <c r="M1115" s="11">
        <f>IFERROR(__xludf.DUMMYFUNCTION("""COMPUTED_VALUE"""),504.77)</f>
      </c>
      <c r="N1115" s="10">
        <f>IFERROR(__xludf.DUMMYFUNCTION("""COMPUTED_VALUE"""),0.6528)</f>
      </c>
      <c r="O1115" s="11">
        <f>IFERROR(__xludf.DUMMYFUNCTION("""COMPUTED_VALUE"""),530.21)</f>
      </c>
      <c r="P1115" s="12"/>
      <c r="Q1115" s="12"/>
      <c r="R1115" s="15"/>
      <c r="S1115" s="12"/>
      <c r="T1115" s="12"/>
      <c r="U1115" s="12"/>
      <c r="V1115" s="12"/>
      <c r="W1115" s="12"/>
      <c r="X1115" s="12"/>
      <c r="Y1115" s="12"/>
      <c r="Z1115" s="12"/>
    </row>
    <row x14ac:dyDescent="0.25" r="1116" customHeight="1" ht="15.75">
      <c r="A1116" s="8">
        <f>IFERROR(__xludf.DUMMYFUNCTION("""COMPUTED_VALUE"""),26179.0)</f>
      </c>
      <c r="B1116" s="9">
        <f>IFERROR(__xludf.DUMMYFUNCTION("""COMPUTED_VALUE"""),"SUL FLUMINENSE")</f>
      </c>
      <c r="C1116" s="9">
        <f>IFERROR(__xludf.DUMMYFUNCTION("""COMPUTED_VALUE"""),"CIEP 488 EZEQUIEL FREIRE")</f>
      </c>
      <c r="D1116" s="10">
        <f>IFERROR(__xludf.DUMMYFUNCTION("""COMPUTED_VALUE"""),0.7333)</f>
      </c>
      <c r="E1116" s="11">
        <f>IFERROR(__xludf.DUMMYFUNCTION("""COMPUTED_VALUE"""),234.81)</f>
      </c>
      <c r="F1116" s="10">
        <f>IFERROR(__xludf.DUMMYFUNCTION("""COMPUTED_VALUE"""),0.6944)</f>
      </c>
      <c r="G1116" s="11">
        <f>IFERROR(__xludf.DUMMYFUNCTION("""COMPUTED_VALUE"""),396.21)</f>
      </c>
      <c r="H1116" s="10">
        <f>IFERROR(__xludf.DUMMYFUNCTION("""COMPUTED_VALUE"""),0.6508)</f>
      </c>
      <c r="I1116" s="11">
        <f>IFERROR(__xludf.DUMMYFUNCTION("""COMPUTED_VALUE"""),426.06)</f>
      </c>
      <c r="J1116" s="10">
        <f>IFERROR(__xludf.DUMMYFUNCTION("""COMPUTED_VALUE"""),0.6846)</f>
      </c>
      <c r="K1116" s="11">
        <f>IFERROR(__xludf.DUMMYFUNCTION("""COMPUTED_VALUE"""),385.25)</f>
      </c>
      <c r="L1116" s="10">
        <f>IFERROR(__xludf.DUMMYFUNCTION("""COMPUTED_VALUE"""),0.6432)</f>
      </c>
      <c r="M1116" s="11">
        <f>IFERROR(__xludf.DUMMYFUNCTION("""COMPUTED_VALUE"""),418.1)</f>
      </c>
      <c r="N1116" s="10">
        <f>IFERROR(__xludf.DUMMYFUNCTION("""COMPUTED_VALUE"""),0.5879)</f>
      </c>
      <c r="O1116" s="11">
        <f>IFERROR(__xludf.DUMMYFUNCTION("""COMPUTED_VALUE"""),429.99)</f>
      </c>
      <c r="P1116" s="12"/>
      <c r="Q1116" s="12"/>
      <c r="R1116" s="15"/>
      <c r="S1116" s="12"/>
      <c r="T1116" s="12"/>
      <c r="U1116" s="12"/>
      <c r="V1116" s="12"/>
      <c r="W1116" s="12"/>
      <c r="X1116" s="12"/>
      <c r="Y1116" s="12"/>
      <c r="Z1116" s="12"/>
    </row>
    <row x14ac:dyDescent="0.25" r="1117" customHeight="1" ht="15.75">
      <c r="A1117" s="8">
        <f>IFERROR(__xludf.DUMMYFUNCTION("""COMPUTED_VALUE"""),26178.0)</f>
      </c>
      <c r="B1117" s="9">
        <f>IFERROR(__xludf.DUMMYFUNCTION("""COMPUTED_VALUE"""),"SUL FLUMINENSE")</f>
      </c>
      <c r="C1117" s="9">
        <f>IFERROR(__xludf.DUMMYFUNCTION("""COMPUTED_VALUE"""),"CIEP 493 PROFESSORA ANTONIETA SALINAS DE CASTRO")</f>
      </c>
      <c r="D1117" s="10">
        <f>IFERROR(__xludf.DUMMYFUNCTION("""COMPUTED_VALUE"""),0.9663)</f>
      </c>
      <c r="E1117" s="11">
        <f>IFERROR(__xludf.DUMMYFUNCTION("""COMPUTED_VALUE"""),224.29)</f>
      </c>
      <c r="F1117" s="10">
        <f>IFERROR(__xludf.DUMMYFUNCTION("""COMPUTED_VALUE"""),0.9625)</f>
      </c>
      <c r="G1117" s="11">
        <f>IFERROR(__xludf.DUMMYFUNCTION("""COMPUTED_VALUE"""),341.13)</f>
      </c>
      <c r="H1117" s="10">
        <f>IFERROR(__xludf.DUMMYFUNCTION("""COMPUTED_VALUE"""),0.7234)</f>
      </c>
      <c r="I1117" s="11">
        <f>IFERROR(__xludf.DUMMYFUNCTION("""COMPUTED_VALUE"""),478.43)</f>
      </c>
      <c r="J1117" s="10">
        <f>IFERROR(__xludf.DUMMYFUNCTION("""COMPUTED_VALUE"""),0.6457)</f>
      </c>
      <c r="K1117" s="11">
        <f>IFERROR(__xludf.DUMMYFUNCTION("""COMPUTED_VALUE"""),404.33)</f>
      </c>
      <c r="L1117" s="10">
        <f>IFERROR(__xludf.DUMMYFUNCTION("""COMPUTED_VALUE"""),0.8191)</f>
      </c>
      <c r="M1117" s="11">
        <f>IFERROR(__xludf.DUMMYFUNCTION("""COMPUTED_VALUE"""),456.26)</f>
      </c>
      <c r="N1117" s="10">
        <f>IFERROR(__xludf.DUMMYFUNCTION("""COMPUTED_VALUE"""),0.8191)</f>
      </c>
      <c r="O1117" s="11">
        <f>IFERROR(__xludf.DUMMYFUNCTION("""COMPUTED_VALUE"""),491.12)</f>
      </c>
      <c r="P1117" s="12"/>
      <c r="Q1117" s="12"/>
      <c r="R1117" s="15"/>
      <c r="S1117" s="12"/>
      <c r="T1117" s="12"/>
      <c r="U1117" s="12"/>
      <c r="V1117" s="12"/>
      <c r="W1117" s="12"/>
      <c r="X1117" s="12"/>
      <c r="Y1117" s="12"/>
      <c r="Z1117" s="12"/>
    </row>
    <row x14ac:dyDescent="0.25" r="1118" customHeight="1" ht="15.75">
      <c r="A1118" s="8">
        <f>IFERROR(__xludf.DUMMYFUNCTION("""COMPUTED_VALUE"""),26161.0)</f>
      </c>
      <c r="B1118" s="9">
        <f>IFERROR(__xludf.DUMMYFUNCTION("""COMPUTED_VALUE"""),"SUL FLUMINENSE")</f>
      </c>
      <c r="C1118" s="9">
        <f>IFERROR(__xludf.DUMMYFUNCTION("""COMPUTED_VALUE"""),"CIEP 495 ALBERTO DA VEIGA GUIGNARD")</f>
      </c>
      <c r="D1118" s="10">
        <f>IFERROR(__xludf.DUMMYFUNCTION("""COMPUTED_VALUE"""),0.6473)</f>
      </c>
      <c r="E1118" s="11">
        <f>IFERROR(__xludf.DUMMYFUNCTION("""COMPUTED_VALUE"""),263.65)</f>
      </c>
      <c r="F1118" s="10">
        <f>IFERROR(__xludf.DUMMYFUNCTION("""COMPUTED_VALUE"""),0.5514)</f>
      </c>
      <c r="G1118" s="11">
        <f>IFERROR(__xludf.DUMMYFUNCTION("""COMPUTED_VALUE"""),408.33)</f>
      </c>
      <c r="H1118" s="10">
        <f>IFERROR(__xludf.DUMMYFUNCTION("""COMPUTED_VALUE"""),0.4969)</f>
      </c>
      <c r="I1118" s="11">
        <f>IFERROR(__xludf.DUMMYFUNCTION("""COMPUTED_VALUE"""),436.1)</f>
      </c>
      <c r="J1118" s="10">
        <f>IFERROR(__xludf.DUMMYFUNCTION("""COMPUTED_VALUE"""),0.5567)</f>
      </c>
      <c r="K1118" s="11">
        <f>IFERROR(__xludf.DUMMYFUNCTION("""COMPUTED_VALUE"""),323.29)</f>
      </c>
      <c r="L1118" s="10">
        <f>IFERROR(__xludf.DUMMYFUNCTION("""COMPUTED_VALUE"""),0.5497)</f>
      </c>
      <c r="M1118" s="11">
        <f>IFERROR(__xludf.DUMMYFUNCTION("""COMPUTED_VALUE"""),422.15)</f>
      </c>
      <c r="N1118" s="10">
        <f>IFERROR(__xludf.DUMMYFUNCTION("""COMPUTED_VALUE"""),0.4627)</f>
      </c>
      <c r="O1118" s="11">
        <f>IFERROR(__xludf.DUMMYFUNCTION("""COMPUTED_VALUE"""),399.04)</f>
      </c>
      <c r="P1118" s="12"/>
      <c r="Q1118" s="12"/>
      <c r="R1118" s="15"/>
      <c r="S1118" s="12"/>
      <c r="T1118" s="12"/>
      <c r="U1118" s="12"/>
      <c r="V1118" s="12"/>
      <c r="W1118" s="12"/>
      <c r="X1118" s="12"/>
      <c r="Y1118" s="12"/>
      <c r="Z1118" s="12"/>
    </row>
    <row x14ac:dyDescent="0.25" r="1119" customHeight="1" ht="15.75">
      <c r="A1119" s="8">
        <f>IFERROR(__xludf.DUMMYFUNCTION("""COMPUTED_VALUE"""),26187.0)</f>
      </c>
      <c r="B1119" s="9">
        <f>IFERROR(__xludf.DUMMYFUNCTION("""COMPUTED_VALUE"""),"SUL FLUMINENSE")</f>
      </c>
      <c r="C1119" s="9">
        <f>IFERROR(__xludf.DUMMYFUNCTION("""COMPUTED_VALUE"""),"CIEP 999 DOM PEDRO D'ALCANTARA DE BRAGANCA, PRIMEIRO IMPERADOR DO BRASIL")</f>
      </c>
      <c r="D1119" s="10">
        <f>IFERROR(__xludf.DUMMYFUNCTION("""COMPUTED_VALUE"""),0.8844)</f>
      </c>
      <c r="E1119" s="11">
        <f>IFERROR(__xludf.DUMMYFUNCTION("""COMPUTED_VALUE"""),303.55)</f>
      </c>
      <c r="F1119" s="10">
        <f>IFERROR(__xludf.DUMMYFUNCTION("""COMPUTED_VALUE"""),0.8356)</f>
      </c>
      <c r="G1119" s="11">
        <f>IFERROR(__xludf.DUMMYFUNCTION("""COMPUTED_VALUE"""),437.45)</f>
      </c>
      <c r="H1119" s="10">
        <f>IFERROR(__xludf.DUMMYFUNCTION("""COMPUTED_VALUE"""),0.8089)</f>
      </c>
      <c r="I1119" s="11">
        <f>IFERROR(__xludf.DUMMYFUNCTION("""COMPUTED_VALUE"""),498.12)</f>
      </c>
      <c r="J1119" s="10">
        <f>IFERROR(__xludf.DUMMYFUNCTION("""COMPUTED_VALUE"""),0.8622)</f>
      </c>
      <c r="K1119" s="11">
        <f>IFERROR(__xludf.DUMMYFUNCTION("""COMPUTED_VALUE"""),389.02)</f>
      </c>
      <c r="L1119" s="10">
        <f>IFERROR(__xludf.DUMMYFUNCTION("""COMPUTED_VALUE"""),0.7867)</f>
      </c>
      <c r="M1119" s="11">
        <f>IFERROR(__xludf.DUMMYFUNCTION("""COMPUTED_VALUE"""),508.86)</f>
      </c>
      <c r="N1119" s="10">
        <f>IFERROR(__xludf.DUMMYFUNCTION("""COMPUTED_VALUE"""),0.7822)</f>
      </c>
      <c r="O1119" s="11">
        <f>IFERROR(__xludf.DUMMYFUNCTION("""COMPUTED_VALUE"""),500.45)</f>
      </c>
      <c r="P1119" s="12"/>
      <c r="Q1119" s="12"/>
      <c r="R1119" s="15"/>
      <c r="S1119" s="12"/>
      <c r="T1119" s="12"/>
      <c r="U1119" s="12"/>
      <c r="V1119" s="12"/>
      <c r="W1119" s="12"/>
      <c r="X1119" s="12"/>
      <c r="Y1119" s="12"/>
      <c r="Z1119" s="12"/>
    </row>
    <row x14ac:dyDescent="0.25" r="1120" customHeight="1" ht="15.75">
      <c r="A1120" s="8">
        <f>IFERROR(__xludf.DUMMYFUNCTION("""COMPUTED_VALUE"""),26235.0)</f>
      </c>
      <c r="B1120" s="9">
        <f>IFERROR(__xludf.DUMMYFUNCTION("""COMPUTED_VALUE"""),"SUL FLUMINENSE")</f>
      </c>
      <c r="C1120" s="9">
        <f>IFERROR(__xludf.DUMMYFUNCTION("""COMPUTED_VALUE"""),"IE PROFESSOR MANUEL MARINHO")</f>
      </c>
      <c r="D1120" s="10">
        <f>IFERROR(__xludf.DUMMYFUNCTION("""COMPUTED_VALUE"""),0.9894)</f>
      </c>
      <c r="E1120" s="11">
        <f>IFERROR(__xludf.DUMMYFUNCTION("""COMPUTED_VALUE"""),293.67)</f>
      </c>
      <c r="F1120" s="10">
        <f>IFERROR(__xludf.DUMMYFUNCTION("""COMPUTED_VALUE"""),0.9469)</f>
      </c>
      <c r="G1120" s="11">
        <f>IFERROR(__xludf.DUMMYFUNCTION("""COMPUTED_VALUE"""),297.47)</f>
      </c>
      <c r="H1120" s="10">
        <f>IFERROR(__xludf.DUMMYFUNCTION("""COMPUTED_VALUE"""),0.6769)</f>
      </c>
      <c r="I1120" s="11">
        <f>IFERROR(__xludf.DUMMYFUNCTION("""COMPUTED_VALUE"""),452.51)</f>
      </c>
      <c r="J1120" s="10">
        <f>IFERROR(__xludf.DUMMYFUNCTION("""COMPUTED_VALUE"""),0.98)</f>
      </c>
      <c r="K1120" s="11">
        <f>IFERROR(__xludf.DUMMYFUNCTION("""COMPUTED_VALUE"""),104.21)</f>
      </c>
      <c r="L1120" s="10">
        <f>IFERROR(__xludf.DUMMYFUNCTION("""COMPUTED_VALUE"""),0.9858)</f>
      </c>
      <c r="M1120" s="11">
        <f>IFERROR(__xludf.DUMMYFUNCTION("""COMPUTED_VALUE"""),321.2)</f>
      </c>
      <c r="N1120" s="10">
        <f>IFERROR(__xludf.DUMMYFUNCTION("""COMPUTED_VALUE"""),0.9823)</f>
      </c>
      <c r="O1120" s="11">
        <f>IFERROR(__xludf.DUMMYFUNCTION("""COMPUTED_VALUE"""),305.48)</f>
      </c>
      <c r="P1120" s="12"/>
      <c r="Q1120" s="12"/>
      <c r="R1120" s="15"/>
      <c r="S1120" s="12"/>
      <c r="T1120" s="12"/>
      <c r="U1120" s="12"/>
      <c r="V1120" s="12"/>
      <c r="W1120" s="12"/>
      <c r="X1120" s="12"/>
      <c r="Y1120" s="12"/>
      <c r="Z1120" s="12"/>
    </row>
    <row x14ac:dyDescent="0.25" r="1121" customHeight="1" ht="15.75">
      <c r="A1121" s="17"/>
      <c r="B1121" s="12"/>
      <c r="C1121" s="12"/>
      <c r="D1121" s="18"/>
      <c r="E1121" s="19"/>
      <c r="F1121" s="18"/>
      <c r="G1121" s="19"/>
      <c r="H1121" s="18"/>
      <c r="I1121" s="19"/>
      <c r="J1121" s="18"/>
      <c r="K1121" s="19"/>
      <c r="L1121" s="18"/>
      <c r="M1121" s="19"/>
      <c r="N1121" s="18"/>
      <c r="O1121" s="19"/>
      <c r="P1121" s="12"/>
      <c r="Q1121" s="12"/>
      <c r="R1121" s="15"/>
      <c r="S1121" s="12"/>
      <c r="T1121" s="12"/>
      <c r="U1121" s="12"/>
      <c r="V1121" s="12"/>
      <c r="W1121" s="12"/>
      <c r="X1121" s="12"/>
      <c r="Y1121" s="12"/>
      <c r="Z1121" s="12"/>
    </row>
    <row x14ac:dyDescent="0.25" r="1122" customHeight="1" ht="15.75">
      <c r="A1122" s="17"/>
      <c r="B1122" s="12"/>
      <c r="C1122" s="12"/>
      <c r="D1122" s="18"/>
      <c r="E1122" s="19"/>
      <c r="F1122" s="18"/>
      <c r="G1122" s="19"/>
      <c r="H1122" s="18"/>
      <c r="I1122" s="19"/>
      <c r="J1122" s="18"/>
      <c r="K1122" s="19"/>
      <c r="L1122" s="18"/>
      <c r="M1122" s="19"/>
      <c r="N1122" s="18"/>
      <c r="O1122" s="19"/>
      <c r="P1122" s="12"/>
      <c r="Q1122" s="12"/>
      <c r="R1122" s="15"/>
      <c r="S1122" s="12"/>
      <c r="T1122" s="12"/>
      <c r="U1122" s="12"/>
      <c r="V1122" s="12"/>
      <c r="W1122" s="12"/>
      <c r="X1122" s="12"/>
      <c r="Y1122" s="12"/>
      <c r="Z1122" s="12"/>
    </row>
    <row x14ac:dyDescent="0.25" r="1123" customHeight="1" ht="15.75">
      <c r="A1123" s="17"/>
      <c r="B1123" s="12"/>
      <c r="C1123" s="12"/>
      <c r="D1123" s="18"/>
      <c r="E1123" s="19"/>
      <c r="F1123" s="18"/>
      <c r="G1123" s="19"/>
      <c r="H1123" s="18"/>
      <c r="I1123" s="19"/>
      <c r="J1123" s="18"/>
      <c r="K1123" s="19"/>
      <c r="L1123" s="18"/>
      <c r="M1123" s="19"/>
      <c r="N1123" s="18"/>
      <c r="O1123" s="19"/>
      <c r="P1123" s="12"/>
      <c r="Q1123" s="12"/>
      <c r="R1123" s="15"/>
      <c r="S1123" s="12"/>
      <c r="T1123" s="12"/>
      <c r="U1123" s="12"/>
      <c r="V1123" s="12"/>
      <c r="W1123" s="12"/>
      <c r="X1123" s="12"/>
      <c r="Y1123" s="12"/>
      <c r="Z1123" s="12"/>
    </row>
    <row x14ac:dyDescent="0.25" r="1124" customHeight="1" ht="15.75">
      <c r="A1124" s="17"/>
      <c r="B1124" s="12"/>
      <c r="C1124" s="12"/>
      <c r="D1124" s="18"/>
      <c r="E1124" s="19"/>
      <c r="F1124" s="18"/>
      <c r="G1124" s="19"/>
      <c r="H1124" s="18"/>
      <c r="I1124" s="19"/>
      <c r="J1124" s="18"/>
      <c r="K1124" s="19"/>
      <c r="L1124" s="18"/>
      <c r="M1124" s="19"/>
      <c r="N1124" s="18"/>
      <c r="O1124" s="19"/>
      <c r="P1124" s="12"/>
      <c r="Q1124" s="12"/>
      <c r="R1124" s="15"/>
      <c r="S1124" s="12"/>
      <c r="T1124" s="12"/>
      <c r="U1124" s="12"/>
      <c r="V1124" s="12"/>
      <c r="W1124" s="12"/>
      <c r="X1124" s="12"/>
      <c r="Y1124" s="12"/>
      <c r="Z1124" s="12"/>
    </row>
    <row x14ac:dyDescent="0.25" r="1125" customHeight="1" ht="15.75">
      <c r="A1125" s="17"/>
      <c r="B1125" s="12"/>
      <c r="C1125" s="12"/>
      <c r="D1125" s="18"/>
      <c r="E1125" s="19"/>
      <c r="F1125" s="18"/>
      <c r="G1125" s="19"/>
      <c r="H1125" s="18"/>
      <c r="I1125" s="19"/>
      <c r="J1125" s="18"/>
      <c r="K1125" s="19"/>
      <c r="L1125" s="18"/>
      <c r="M1125" s="19"/>
      <c r="N1125" s="18"/>
      <c r="O1125" s="19"/>
      <c r="P1125" s="12"/>
      <c r="Q1125" s="12"/>
      <c r="R1125" s="15"/>
      <c r="S1125" s="12"/>
      <c r="T1125" s="12"/>
      <c r="U1125" s="12"/>
      <c r="V1125" s="12"/>
      <c r="W1125" s="12"/>
      <c r="X1125" s="12"/>
      <c r="Y1125" s="12"/>
      <c r="Z1125" s="12"/>
    </row>
    <row x14ac:dyDescent="0.25" r="1126" customHeight="1" ht="15.75">
      <c r="A1126" s="17"/>
      <c r="B1126" s="12"/>
      <c r="C1126" s="12"/>
      <c r="D1126" s="18"/>
      <c r="E1126" s="19"/>
      <c r="F1126" s="18"/>
      <c r="G1126" s="19"/>
      <c r="H1126" s="18"/>
      <c r="I1126" s="19"/>
      <c r="J1126" s="18"/>
      <c r="K1126" s="19"/>
      <c r="L1126" s="18"/>
      <c r="M1126" s="19"/>
      <c r="N1126" s="18"/>
      <c r="O1126" s="19"/>
      <c r="P1126" s="12"/>
      <c r="Q1126" s="12"/>
      <c r="R1126" s="15"/>
      <c r="S1126" s="12"/>
      <c r="T1126" s="12"/>
      <c r="U1126" s="12"/>
      <c r="V1126" s="12"/>
      <c r="W1126" s="12"/>
      <c r="X1126" s="12"/>
      <c r="Y1126" s="12"/>
      <c r="Z1126" s="12"/>
    </row>
    <row x14ac:dyDescent="0.25" r="1127" customHeight="1" ht="15.75">
      <c r="A1127" s="17"/>
      <c r="B1127" s="12"/>
      <c r="C1127" s="12"/>
      <c r="D1127" s="18"/>
      <c r="E1127" s="19"/>
      <c r="F1127" s="18"/>
      <c r="G1127" s="19"/>
      <c r="H1127" s="18"/>
      <c r="I1127" s="19"/>
      <c r="J1127" s="18"/>
      <c r="K1127" s="19"/>
      <c r="L1127" s="18"/>
      <c r="M1127" s="19"/>
      <c r="N1127" s="18"/>
      <c r="O1127" s="19"/>
      <c r="P1127" s="12"/>
      <c r="Q1127" s="12"/>
      <c r="R1127" s="15"/>
      <c r="S1127" s="12"/>
      <c r="T1127" s="12"/>
      <c r="U1127" s="12"/>
      <c r="V1127" s="12"/>
      <c r="W1127" s="12"/>
      <c r="X1127" s="12"/>
      <c r="Y1127" s="12"/>
      <c r="Z1127" s="12"/>
    </row>
    <row x14ac:dyDescent="0.25" r="1128" customHeight="1" ht="15.75">
      <c r="A1128" s="17"/>
      <c r="B1128" s="12"/>
      <c r="C1128" s="12"/>
      <c r="D1128" s="18"/>
      <c r="E1128" s="19"/>
      <c r="F1128" s="18"/>
      <c r="G1128" s="19"/>
      <c r="H1128" s="18"/>
      <c r="I1128" s="19"/>
      <c r="J1128" s="18"/>
      <c r="K1128" s="19"/>
      <c r="L1128" s="18"/>
      <c r="M1128" s="19"/>
      <c r="N1128" s="18"/>
      <c r="O1128" s="19"/>
      <c r="P1128" s="12"/>
      <c r="Q1128" s="12"/>
      <c r="R1128" s="15"/>
      <c r="S1128" s="12"/>
      <c r="T1128" s="12"/>
      <c r="U1128" s="12"/>
      <c r="V1128" s="12"/>
      <c r="W1128" s="12"/>
      <c r="X1128" s="12"/>
      <c r="Y1128" s="12"/>
      <c r="Z1128" s="12"/>
    </row>
    <row x14ac:dyDescent="0.25" r="1129" customHeight="1" ht="15.75">
      <c r="A1129" s="17"/>
      <c r="B1129" s="12"/>
      <c r="C1129" s="12"/>
      <c r="D1129" s="18"/>
      <c r="E1129" s="19"/>
      <c r="F1129" s="18"/>
      <c r="G1129" s="19"/>
      <c r="H1129" s="18"/>
      <c r="I1129" s="19"/>
      <c r="J1129" s="18"/>
      <c r="K1129" s="19"/>
      <c r="L1129" s="18"/>
      <c r="M1129" s="19"/>
      <c r="N1129" s="18"/>
      <c r="O1129" s="19"/>
      <c r="P1129" s="12"/>
      <c r="Q1129" s="12"/>
      <c r="R1129" s="15"/>
      <c r="S1129" s="12"/>
      <c r="T1129" s="12"/>
      <c r="U1129" s="12"/>
      <c r="V1129" s="12"/>
      <c r="W1129" s="12"/>
      <c r="X1129" s="12"/>
      <c r="Y1129" s="12"/>
      <c r="Z1129" s="12"/>
    </row>
    <row x14ac:dyDescent="0.25" r="1130" customHeight="1" ht="15.75">
      <c r="A1130" s="17"/>
      <c r="B1130" s="12"/>
      <c r="C1130" s="12"/>
      <c r="D1130" s="18"/>
      <c r="E1130" s="19"/>
      <c r="F1130" s="18"/>
      <c r="G1130" s="19"/>
      <c r="H1130" s="18"/>
      <c r="I1130" s="19"/>
      <c r="J1130" s="18"/>
      <c r="K1130" s="19"/>
      <c r="L1130" s="18"/>
      <c r="M1130" s="19"/>
      <c r="N1130" s="18"/>
      <c r="O1130" s="19"/>
      <c r="P1130" s="12"/>
      <c r="Q1130" s="12"/>
      <c r="R1130" s="15"/>
      <c r="S1130" s="12"/>
      <c r="T1130" s="12"/>
      <c r="U1130" s="12"/>
      <c r="V1130" s="12"/>
      <c r="W1130" s="12"/>
      <c r="X1130" s="12"/>
      <c r="Y1130" s="12"/>
      <c r="Z1130" s="12"/>
    </row>
    <row x14ac:dyDescent="0.25" r="1131" customHeight="1" ht="15.75">
      <c r="A1131" s="17"/>
      <c r="B1131" s="12"/>
      <c r="C1131" s="12"/>
      <c r="D1131" s="18"/>
      <c r="E1131" s="19"/>
      <c r="F1131" s="18"/>
      <c r="G1131" s="19"/>
      <c r="H1131" s="18"/>
      <c r="I1131" s="19"/>
      <c r="J1131" s="18"/>
      <c r="K1131" s="19"/>
      <c r="L1131" s="18"/>
      <c r="M1131" s="19"/>
      <c r="N1131" s="18"/>
      <c r="O1131" s="19"/>
      <c r="P1131" s="12"/>
      <c r="Q1131" s="12"/>
      <c r="R1131" s="15"/>
      <c r="S1131" s="12"/>
      <c r="T1131" s="12"/>
      <c r="U1131" s="12"/>
      <c r="V1131" s="12"/>
      <c r="W1131" s="12"/>
      <c r="X1131" s="12"/>
      <c r="Y1131" s="12"/>
      <c r="Z1131" s="12"/>
    </row>
    <row x14ac:dyDescent="0.25" r="1132" customHeight="1" ht="15.75">
      <c r="A1132" s="17"/>
      <c r="B1132" s="12"/>
      <c r="C1132" s="12"/>
      <c r="D1132" s="18"/>
      <c r="E1132" s="19"/>
      <c r="F1132" s="18"/>
      <c r="G1132" s="19"/>
      <c r="H1132" s="18"/>
      <c r="I1132" s="19"/>
      <c r="J1132" s="18"/>
      <c r="K1132" s="19"/>
      <c r="L1132" s="18"/>
      <c r="M1132" s="19"/>
      <c r="N1132" s="18"/>
      <c r="O1132" s="19"/>
      <c r="P1132" s="12"/>
      <c r="Q1132" s="12"/>
      <c r="R1132" s="15"/>
      <c r="S1132" s="12"/>
      <c r="T1132" s="12"/>
      <c r="U1132" s="12"/>
      <c r="V1132" s="12"/>
      <c r="W1132" s="12"/>
      <c r="X1132" s="12"/>
      <c r="Y1132" s="12"/>
      <c r="Z1132" s="12"/>
    </row>
    <row x14ac:dyDescent="0.25" r="1133" customHeight="1" ht="15.75">
      <c r="A1133" s="17"/>
      <c r="B1133" s="12"/>
      <c r="C1133" s="12"/>
      <c r="D1133" s="18"/>
      <c r="E1133" s="19"/>
      <c r="F1133" s="18"/>
      <c r="G1133" s="19"/>
      <c r="H1133" s="18"/>
      <c r="I1133" s="19"/>
      <c r="J1133" s="18"/>
      <c r="K1133" s="19"/>
      <c r="L1133" s="18"/>
      <c r="M1133" s="19"/>
      <c r="N1133" s="18"/>
      <c r="O1133" s="19"/>
      <c r="P1133" s="12"/>
      <c r="Q1133" s="12"/>
      <c r="R1133" s="15"/>
      <c r="S1133" s="12"/>
      <c r="T1133" s="12"/>
      <c r="U1133" s="12"/>
      <c r="V1133" s="12"/>
      <c r="W1133" s="12"/>
      <c r="X1133" s="12"/>
      <c r="Y1133" s="12"/>
      <c r="Z1133" s="12"/>
    </row>
    <row x14ac:dyDescent="0.25" r="1134" customHeight="1" ht="15.75">
      <c r="A1134" s="17"/>
      <c r="B1134" s="12"/>
      <c r="C1134" s="12"/>
      <c r="D1134" s="18"/>
      <c r="E1134" s="19"/>
      <c r="F1134" s="18"/>
      <c r="G1134" s="19"/>
      <c r="H1134" s="18"/>
      <c r="I1134" s="19"/>
      <c r="J1134" s="18"/>
      <c r="K1134" s="19"/>
      <c r="L1134" s="18"/>
      <c r="M1134" s="19"/>
      <c r="N1134" s="18"/>
      <c r="O1134" s="19"/>
      <c r="P1134" s="12"/>
      <c r="Q1134" s="12"/>
      <c r="R1134" s="15"/>
      <c r="S1134" s="12"/>
      <c r="T1134" s="12"/>
      <c r="U1134" s="12"/>
      <c r="V1134" s="12"/>
      <c r="W1134" s="12"/>
      <c r="X1134" s="12"/>
      <c r="Y1134" s="12"/>
      <c r="Z1134" s="12"/>
    </row>
    <row x14ac:dyDescent="0.25" r="1135" customHeight="1" ht="15.75">
      <c r="A1135" s="17"/>
      <c r="B1135" s="12"/>
      <c r="C1135" s="12"/>
      <c r="D1135" s="18"/>
      <c r="E1135" s="19"/>
      <c r="F1135" s="18"/>
      <c r="G1135" s="19"/>
      <c r="H1135" s="18"/>
      <c r="I1135" s="19"/>
      <c r="J1135" s="18"/>
      <c r="K1135" s="19"/>
      <c r="L1135" s="18"/>
      <c r="M1135" s="19"/>
      <c r="N1135" s="18"/>
      <c r="O1135" s="19"/>
      <c r="P1135" s="12"/>
      <c r="Q1135" s="12"/>
      <c r="R1135" s="15"/>
      <c r="S1135" s="12"/>
      <c r="T1135" s="12"/>
      <c r="U1135" s="12"/>
      <c r="V1135" s="12"/>
      <c r="W1135" s="12"/>
      <c r="X1135" s="12"/>
      <c r="Y1135" s="12"/>
      <c r="Z1135" s="12"/>
    </row>
    <row x14ac:dyDescent="0.25" r="1136" customHeight="1" ht="15.75">
      <c r="A1136" s="17"/>
      <c r="B1136" s="12"/>
      <c r="C1136" s="12"/>
      <c r="D1136" s="18"/>
      <c r="E1136" s="19"/>
      <c r="F1136" s="18"/>
      <c r="G1136" s="19"/>
      <c r="H1136" s="18"/>
      <c r="I1136" s="19"/>
      <c r="J1136" s="18"/>
      <c r="K1136" s="19"/>
      <c r="L1136" s="18"/>
      <c r="M1136" s="19"/>
      <c r="N1136" s="18"/>
      <c r="O1136" s="19"/>
      <c r="P1136" s="12"/>
      <c r="Q1136" s="12"/>
      <c r="R1136" s="15"/>
      <c r="S1136" s="12"/>
      <c r="T1136" s="12"/>
      <c r="U1136" s="12"/>
      <c r="V1136" s="12"/>
      <c r="W1136" s="12"/>
      <c r="X1136" s="12"/>
      <c r="Y1136" s="12"/>
      <c r="Z1136" s="12"/>
    </row>
    <row x14ac:dyDescent="0.25" r="1137" customHeight="1" ht="15.75">
      <c r="A1137" s="17"/>
      <c r="B1137" s="12"/>
      <c r="C1137" s="12"/>
      <c r="D1137" s="18"/>
      <c r="E1137" s="19"/>
      <c r="F1137" s="18"/>
      <c r="G1137" s="19"/>
      <c r="H1137" s="18"/>
      <c r="I1137" s="19"/>
      <c r="J1137" s="18"/>
      <c r="K1137" s="19"/>
      <c r="L1137" s="18"/>
      <c r="M1137" s="19"/>
      <c r="N1137" s="18"/>
      <c r="O1137" s="19"/>
      <c r="P1137" s="12"/>
      <c r="Q1137" s="12"/>
      <c r="R1137" s="15"/>
      <c r="S1137" s="12"/>
      <c r="T1137" s="12"/>
      <c r="U1137" s="12"/>
      <c r="V1137" s="12"/>
      <c r="W1137" s="12"/>
      <c r="X1137" s="12"/>
      <c r="Y1137" s="12"/>
      <c r="Z1137" s="12"/>
    </row>
    <row x14ac:dyDescent="0.25" r="1138" customHeight="1" ht="15.75">
      <c r="A1138" s="17"/>
      <c r="B1138" s="12"/>
      <c r="C1138" s="12"/>
      <c r="D1138" s="18"/>
      <c r="E1138" s="19"/>
      <c r="F1138" s="18"/>
      <c r="G1138" s="19"/>
      <c r="H1138" s="18"/>
      <c r="I1138" s="19"/>
      <c r="J1138" s="18"/>
      <c r="K1138" s="19"/>
      <c r="L1138" s="18"/>
      <c r="M1138" s="19"/>
      <c r="N1138" s="18"/>
      <c r="O1138" s="19"/>
      <c r="P1138" s="12"/>
      <c r="Q1138" s="12"/>
      <c r="R1138" s="15"/>
      <c r="S1138" s="12"/>
      <c r="T1138" s="12"/>
      <c r="U1138" s="12"/>
      <c r="V1138" s="12"/>
      <c r="W1138" s="12"/>
      <c r="X1138" s="12"/>
      <c r="Y1138" s="12"/>
      <c r="Z1138" s="12"/>
    </row>
    <row x14ac:dyDescent="0.25" r="1139" customHeight="1" ht="15.75">
      <c r="A1139" s="17"/>
      <c r="B1139" s="12"/>
      <c r="C1139" s="12"/>
      <c r="D1139" s="18"/>
      <c r="E1139" s="19"/>
      <c r="F1139" s="18"/>
      <c r="G1139" s="19"/>
      <c r="H1139" s="18"/>
      <c r="I1139" s="19"/>
      <c r="J1139" s="18"/>
      <c r="K1139" s="19"/>
      <c r="L1139" s="18"/>
      <c r="M1139" s="19"/>
      <c r="N1139" s="18"/>
      <c r="O1139" s="19"/>
      <c r="P1139" s="12"/>
      <c r="Q1139" s="12"/>
      <c r="R1139" s="15"/>
      <c r="S1139" s="12"/>
      <c r="T1139" s="12"/>
      <c r="U1139" s="12"/>
      <c r="V1139" s="12"/>
      <c r="W1139" s="12"/>
      <c r="X1139" s="12"/>
      <c r="Y1139" s="12"/>
      <c r="Z1139" s="12"/>
    </row>
    <row x14ac:dyDescent="0.25" r="1140" customHeight="1" ht="15.75">
      <c r="A1140" s="17"/>
      <c r="B1140" s="12"/>
      <c r="C1140" s="12"/>
      <c r="D1140" s="18"/>
      <c r="E1140" s="19"/>
      <c r="F1140" s="18"/>
      <c r="G1140" s="19"/>
      <c r="H1140" s="18"/>
      <c r="I1140" s="19"/>
      <c r="J1140" s="18"/>
      <c r="K1140" s="19"/>
      <c r="L1140" s="18"/>
      <c r="M1140" s="19"/>
      <c r="N1140" s="18"/>
      <c r="O1140" s="19"/>
      <c r="P1140" s="12"/>
      <c r="Q1140" s="12"/>
      <c r="R1140" s="15"/>
      <c r="S1140" s="12"/>
      <c r="T1140" s="12"/>
      <c r="U1140" s="12"/>
      <c r="V1140" s="12"/>
      <c r="W1140" s="12"/>
      <c r="X1140" s="12"/>
      <c r="Y1140" s="12"/>
      <c r="Z1140" s="12"/>
    </row>
    <row x14ac:dyDescent="0.25" r="1141" customHeight="1" ht="15.75">
      <c r="A1141" s="17"/>
      <c r="B1141" s="12"/>
      <c r="C1141" s="12"/>
      <c r="D1141" s="18"/>
      <c r="E1141" s="19"/>
      <c r="F1141" s="18"/>
      <c r="G1141" s="19"/>
      <c r="H1141" s="18"/>
      <c r="I1141" s="19"/>
      <c r="J1141" s="18"/>
      <c r="K1141" s="19"/>
      <c r="L1141" s="18"/>
      <c r="M1141" s="19"/>
      <c r="N1141" s="18"/>
      <c r="O1141" s="19"/>
      <c r="P1141" s="12"/>
      <c r="Q1141" s="12"/>
      <c r="R1141" s="15"/>
      <c r="S1141" s="12"/>
      <c r="T1141" s="12"/>
      <c r="U1141" s="12"/>
      <c r="V1141" s="12"/>
      <c r="W1141" s="12"/>
      <c r="X1141" s="12"/>
      <c r="Y1141" s="12"/>
      <c r="Z1141" s="12"/>
    </row>
    <row x14ac:dyDescent="0.25" r="1142" customHeight="1" ht="15.75">
      <c r="A1142" s="17"/>
      <c r="B1142" s="12"/>
      <c r="C1142" s="12"/>
      <c r="D1142" s="18"/>
      <c r="E1142" s="19"/>
      <c r="F1142" s="18"/>
      <c r="G1142" s="19"/>
      <c r="H1142" s="18"/>
      <c r="I1142" s="19"/>
      <c r="J1142" s="18"/>
      <c r="K1142" s="19"/>
      <c r="L1142" s="18"/>
      <c r="M1142" s="19"/>
      <c r="N1142" s="18"/>
      <c r="O1142" s="19"/>
      <c r="P1142" s="12"/>
      <c r="Q1142" s="12"/>
      <c r="R1142" s="15"/>
      <c r="S1142" s="12"/>
      <c r="T1142" s="12"/>
      <c r="U1142" s="12"/>
      <c r="V1142" s="12"/>
      <c r="W1142" s="12"/>
      <c r="X1142" s="12"/>
      <c r="Y1142" s="12"/>
      <c r="Z1142" s="12"/>
    </row>
    <row x14ac:dyDescent="0.25" r="1143" customHeight="1" ht="15.75">
      <c r="A1143" s="17"/>
      <c r="B1143" s="12"/>
      <c r="C1143" s="12"/>
      <c r="D1143" s="18"/>
      <c r="E1143" s="19"/>
      <c r="F1143" s="18"/>
      <c r="G1143" s="19"/>
      <c r="H1143" s="18"/>
      <c r="I1143" s="19"/>
      <c r="J1143" s="18"/>
      <c r="K1143" s="19"/>
      <c r="L1143" s="18"/>
      <c r="M1143" s="19"/>
      <c r="N1143" s="18"/>
      <c r="O1143" s="19"/>
      <c r="P1143" s="12"/>
      <c r="Q1143" s="12"/>
      <c r="R1143" s="15"/>
      <c r="S1143" s="12"/>
      <c r="T1143" s="12"/>
      <c r="U1143" s="12"/>
      <c r="V1143" s="12"/>
      <c r="W1143" s="12"/>
      <c r="X1143" s="12"/>
      <c r="Y1143" s="12"/>
      <c r="Z1143" s="12"/>
    </row>
    <row x14ac:dyDescent="0.25" r="1144" customHeight="1" ht="15.75">
      <c r="A1144" s="17"/>
      <c r="B1144" s="12"/>
      <c r="C1144" s="12"/>
      <c r="D1144" s="18"/>
      <c r="E1144" s="19"/>
      <c r="F1144" s="18"/>
      <c r="G1144" s="19"/>
      <c r="H1144" s="18"/>
      <c r="I1144" s="19"/>
      <c r="J1144" s="18"/>
      <c r="K1144" s="19"/>
      <c r="L1144" s="18"/>
      <c r="M1144" s="19"/>
      <c r="N1144" s="18"/>
      <c r="O1144" s="19"/>
      <c r="P1144" s="12"/>
      <c r="Q1144" s="12"/>
      <c r="R1144" s="15"/>
      <c r="S1144" s="12"/>
      <c r="T1144" s="12"/>
      <c r="U1144" s="12"/>
      <c r="V1144" s="12"/>
      <c r="W1144" s="12"/>
      <c r="X1144" s="12"/>
      <c r="Y1144" s="12"/>
      <c r="Z1144" s="12"/>
    </row>
    <row x14ac:dyDescent="0.25" r="1145" customHeight="1" ht="15.75">
      <c r="A1145" s="17"/>
      <c r="B1145" s="12"/>
      <c r="C1145" s="12"/>
      <c r="D1145" s="18"/>
      <c r="E1145" s="19"/>
      <c r="F1145" s="18"/>
      <c r="G1145" s="19"/>
      <c r="H1145" s="18"/>
      <c r="I1145" s="19"/>
      <c r="J1145" s="18"/>
      <c r="K1145" s="19"/>
      <c r="L1145" s="18"/>
      <c r="M1145" s="19"/>
      <c r="N1145" s="18"/>
      <c r="O1145" s="19"/>
      <c r="P1145" s="12"/>
      <c r="Q1145" s="12"/>
      <c r="R1145" s="15"/>
      <c r="S1145" s="12"/>
      <c r="T1145" s="12"/>
      <c r="U1145" s="12"/>
      <c r="V1145" s="12"/>
      <c r="W1145" s="12"/>
      <c r="X1145" s="12"/>
      <c r="Y1145" s="12"/>
      <c r="Z1145" s="12"/>
    </row>
    <row x14ac:dyDescent="0.25" r="1146" customHeight="1" ht="15.75">
      <c r="A1146" s="17"/>
      <c r="B1146" s="12"/>
      <c r="C1146" s="12"/>
      <c r="D1146" s="18"/>
      <c r="E1146" s="19"/>
      <c r="F1146" s="18"/>
      <c r="G1146" s="19"/>
      <c r="H1146" s="18"/>
      <c r="I1146" s="19"/>
      <c r="J1146" s="18"/>
      <c r="K1146" s="19"/>
      <c r="L1146" s="18"/>
      <c r="M1146" s="19"/>
      <c r="N1146" s="18"/>
      <c r="O1146" s="19"/>
      <c r="P1146" s="12"/>
      <c r="Q1146" s="12"/>
      <c r="R1146" s="15"/>
      <c r="S1146" s="12"/>
      <c r="T1146" s="12"/>
      <c r="U1146" s="12"/>
      <c r="V1146" s="12"/>
      <c r="W1146" s="12"/>
      <c r="X1146" s="12"/>
      <c r="Y1146" s="12"/>
      <c r="Z1146" s="12"/>
    </row>
    <row x14ac:dyDescent="0.25" r="1147" customHeight="1" ht="15.75">
      <c r="A1147" s="17"/>
      <c r="B1147" s="12"/>
      <c r="C1147" s="12"/>
      <c r="D1147" s="18"/>
      <c r="E1147" s="19"/>
      <c r="F1147" s="18"/>
      <c r="G1147" s="19"/>
      <c r="H1147" s="18"/>
      <c r="I1147" s="19"/>
      <c r="J1147" s="18"/>
      <c r="K1147" s="19"/>
      <c r="L1147" s="18"/>
      <c r="M1147" s="19"/>
      <c r="N1147" s="18"/>
      <c r="O1147" s="19"/>
      <c r="P1147" s="12"/>
      <c r="Q1147" s="12"/>
      <c r="R1147" s="15"/>
      <c r="S1147" s="12"/>
      <c r="T1147" s="12"/>
      <c r="U1147" s="12"/>
      <c r="V1147" s="12"/>
      <c r="W1147" s="12"/>
      <c r="X1147" s="12"/>
      <c r="Y1147" s="12"/>
      <c r="Z1147" s="12"/>
    </row>
    <row x14ac:dyDescent="0.25" r="1148" customHeight="1" ht="15.75">
      <c r="A1148" s="17"/>
      <c r="B1148" s="12"/>
      <c r="C1148" s="12"/>
      <c r="D1148" s="18"/>
      <c r="E1148" s="19"/>
      <c r="F1148" s="18"/>
      <c r="G1148" s="19"/>
      <c r="H1148" s="18"/>
      <c r="I1148" s="19"/>
      <c r="J1148" s="18"/>
      <c r="K1148" s="19"/>
      <c r="L1148" s="18"/>
      <c r="M1148" s="19"/>
      <c r="N1148" s="18"/>
      <c r="O1148" s="19"/>
      <c r="P1148" s="12"/>
      <c r="Q1148" s="12"/>
      <c r="R1148" s="15"/>
      <c r="S1148" s="12"/>
      <c r="T1148" s="12"/>
      <c r="U1148" s="12"/>
      <c r="V1148" s="12"/>
      <c r="W1148" s="12"/>
      <c r="X1148" s="12"/>
      <c r="Y1148" s="12"/>
      <c r="Z1148" s="12"/>
    </row>
    <row x14ac:dyDescent="0.25" r="1149" customHeight="1" ht="15.75">
      <c r="A1149" s="17"/>
      <c r="B1149" s="12"/>
      <c r="C1149" s="12"/>
      <c r="D1149" s="18"/>
      <c r="E1149" s="19"/>
      <c r="F1149" s="18"/>
      <c r="G1149" s="19"/>
      <c r="H1149" s="18"/>
      <c r="I1149" s="19"/>
      <c r="J1149" s="18"/>
      <c r="K1149" s="19"/>
      <c r="L1149" s="18"/>
      <c r="M1149" s="19"/>
      <c r="N1149" s="18"/>
      <c r="O1149" s="19"/>
      <c r="P1149" s="12"/>
      <c r="Q1149" s="12"/>
      <c r="R1149" s="15"/>
      <c r="S1149" s="12"/>
      <c r="T1149" s="12"/>
      <c r="U1149" s="12"/>
      <c r="V1149" s="12"/>
      <c r="W1149" s="12"/>
      <c r="X1149" s="12"/>
      <c r="Y1149" s="12"/>
      <c r="Z1149" s="12"/>
    </row>
    <row x14ac:dyDescent="0.25" r="1150" customHeight="1" ht="15.75">
      <c r="A1150" s="17"/>
      <c r="B1150" s="12"/>
      <c r="C1150" s="12"/>
      <c r="D1150" s="18"/>
      <c r="E1150" s="19"/>
      <c r="F1150" s="18"/>
      <c r="G1150" s="19"/>
      <c r="H1150" s="18"/>
      <c r="I1150" s="19"/>
      <c r="J1150" s="18"/>
      <c r="K1150" s="19"/>
      <c r="L1150" s="18"/>
      <c r="M1150" s="19"/>
      <c r="N1150" s="18"/>
      <c r="O1150" s="19"/>
      <c r="P1150" s="12"/>
      <c r="Q1150" s="12"/>
      <c r="R1150" s="15"/>
      <c r="S1150" s="12"/>
      <c r="T1150" s="12"/>
      <c r="U1150" s="12"/>
      <c r="V1150" s="12"/>
      <c r="W1150" s="12"/>
      <c r="X1150" s="12"/>
      <c r="Y1150" s="12"/>
      <c r="Z1150" s="12"/>
    </row>
    <row x14ac:dyDescent="0.25" r="1151" customHeight="1" ht="15.75">
      <c r="A1151" s="17"/>
      <c r="B1151" s="12"/>
      <c r="C1151" s="12"/>
      <c r="D1151" s="18"/>
      <c r="E1151" s="19"/>
      <c r="F1151" s="18"/>
      <c r="G1151" s="19"/>
      <c r="H1151" s="18"/>
      <c r="I1151" s="19"/>
      <c r="J1151" s="18"/>
      <c r="K1151" s="19"/>
      <c r="L1151" s="18"/>
      <c r="M1151" s="19"/>
      <c r="N1151" s="18"/>
      <c r="O1151" s="19"/>
      <c r="P1151" s="12"/>
      <c r="Q1151" s="12"/>
      <c r="R1151" s="15"/>
      <c r="S1151" s="12"/>
      <c r="T1151" s="12"/>
      <c r="U1151" s="12"/>
      <c r="V1151" s="12"/>
      <c r="W1151" s="12"/>
      <c r="X1151" s="12"/>
      <c r="Y1151" s="12"/>
      <c r="Z1151" s="12"/>
    </row>
    <row x14ac:dyDescent="0.25" r="1152" customHeight="1" ht="15.75">
      <c r="A1152" s="17"/>
      <c r="B1152" s="12"/>
      <c r="C1152" s="12"/>
      <c r="D1152" s="18"/>
      <c r="E1152" s="19"/>
      <c r="F1152" s="18"/>
      <c r="G1152" s="19"/>
      <c r="H1152" s="18"/>
      <c r="I1152" s="19"/>
      <c r="J1152" s="18"/>
      <c r="K1152" s="19"/>
      <c r="L1152" s="18"/>
      <c r="M1152" s="19"/>
      <c r="N1152" s="18"/>
      <c r="O1152" s="19"/>
      <c r="P1152" s="12"/>
      <c r="Q1152" s="12"/>
      <c r="R1152" s="15"/>
      <c r="S1152" s="12"/>
      <c r="T1152" s="12"/>
      <c r="U1152" s="12"/>
      <c r="V1152" s="12"/>
      <c r="W1152" s="12"/>
      <c r="X1152" s="12"/>
      <c r="Y1152" s="12"/>
      <c r="Z1152" s="12"/>
    </row>
    <row x14ac:dyDescent="0.25" r="1153" customHeight="1" ht="15.75">
      <c r="A1153" s="17"/>
      <c r="B1153" s="12"/>
      <c r="C1153" s="12"/>
      <c r="D1153" s="18"/>
      <c r="E1153" s="19"/>
      <c r="F1153" s="18"/>
      <c r="G1153" s="19"/>
      <c r="H1153" s="18"/>
      <c r="I1153" s="19"/>
      <c r="J1153" s="18"/>
      <c r="K1153" s="19"/>
      <c r="L1153" s="18"/>
      <c r="M1153" s="19"/>
      <c r="N1153" s="18"/>
      <c r="O1153" s="19"/>
      <c r="P1153" s="12"/>
      <c r="Q1153" s="12"/>
      <c r="R1153" s="15"/>
      <c r="S1153" s="12"/>
      <c r="T1153" s="12"/>
      <c r="U1153" s="12"/>
      <c r="V1153" s="12"/>
      <c r="W1153" s="12"/>
      <c r="X1153" s="12"/>
      <c r="Y1153" s="12"/>
      <c r="Z1153" s="12"/>
    </row>
    <row x14ac:dyDescent="0.25" r="1154" customHeight="1" ht="15.75">
      <c r="A1154" s="17"/>
      <c r="B1154" s="12"/>
      <c r="C1154" s="12"/>
      <c r="D1154" s="18"/>
      <c r="E1154" s="19"/>
      <c r="F1154" s="18"/>
      <c r="G1154" s="19"/>
      <c r="H1154" s="18"/>
      <c r="I1154" s="19"/>
      <c r="J1154" s="18"/>
      <c r="K1154" s="19"/>
      <c r="L1154" s="18"/>
      <c r="M1154" s="19"/>
      <c r="N1154" s="18"/>
      <c r="O1154" s="19"/>
      <c r="P1154" s="12"/>
      <c r="Q1154" s="12"/>
      <c r="R1154" s="15"/>
      <c r="S1154" s="12"/>
      <c r="T1154" s="12"/>
      <c r="U1154" s="12"/>
      <c r="V1154" s="12"/>
      <c r="W1154" s="12"/>
      <c r="X1154" s="12"/>
      <c r="Y1154" s="12"/>
      <c r="Z1154" s="12"/>
    </row>
    <row x14ac:dyDescent="0.25" r="1155" customHeight="1" ht="15.75">
      <c r="A1155" s="17"/>
      <c r="B1155" s="12"/>
      <c r="C1155" s="12"/>
      <c r="D1155" s="18"/>
      <c r="E1155" s="19"/>
      <c r="F1155" s="18"/>
      <c r="G1155" s="19"/>
      <c r="H1155" s="18"/>
      <c r="I1155" s="19"/>
      <c r="J1155" s="18"/>
      <c r="K1155" s="19"/>
      <c r="L1155" s="18"/>
      <c r="M1155" s="19"/>
      <c r="N1155" s="18"/>
      <c r="O1155" s="19"/>
      <c r="P1155" s="12"/>
      <c r="Q1155" s="12"/>
      <c r="R1155" s="15"/>
      <c r="S1155" s="12"/>
      <c r="T1155" s="12"/>
      <c r="U1155" s="12"/>
      <c r="V1155" s="12"/>
      <c r="W1155" s="12"/>
      <c r="X1155" s="12"/>
      <c r="Y1155" s="12"/>
      <c r="Z1155" s="12"/>
    </row>
    <row x14ac:dyDescent="0.25" r="1156" customHeight="1" ht="15.75">
      <c r="A1156" s="17"/>
      <c r="B1156" s="12"/>
      <c r="C1156" s="12"/>
      <c r="D1156" s="18"/>
      <c r="E1156" s="19"/>
      <c r="F1156" s="18"/>
      <c r="G1156" s="19"/>
      <c r="H1156" s="18"/>
      <c r="I1156" s="19"/>
      <c r="J1156" s="18"/>
      <c r="K1156" s="19"/>
      <c r="L1156" s="18"/>
      <c r="M1156" s="19"/>
      <c r="N1156" s="18"/>
      <c r="O1156" s="19"/>
      <c r="P1156" s="12"/>
      <c r="Q1156" s="12"/>
      <c r="R1156" s="15"/>
      <c r="S1156" s="12"/>
      <c r="T1156" s="12"/>
      <c r="U1156" s="12"/>
      <c r="V1156" s="12"/>
      <c r="W1156" s="12"/>
      <c r="X1156" s="12"/>
      <c r="Y1156" s="12"/>
      <c r="Z1156" s="12"/>
    </row>
    <row x14ac:dyDescent="0.25" r="1157" customHeight="1" ht="15.75">
      <c r="A1157" s="17"/>
      <c r="B1157" s="12"/>
      <c r="C1157" s="12"/>
      <c r="D1157" s="18"/>
      <c r="E1157" s="19"/>
      <c r="F1157" s="18"/>
      <c r="G1157" s="19"/>
      <c r="H1157" s="18"/>
      <c r="I1157" s="19"/>
      <c r="J1157" s="18"/>
      <c r="K1157" s="19"/>
      <c r="L1157" s="18"/>
      <c r="M1157" s="19"/>
      <c r="N1157" s="18"/>
      <c r="O1157" s="19"/>
      <c r="P1157" s="12"/>
      <c r="Q1157" s="12"/>
      <c r="R1157" s="15"/>
      <c r="S1157" s="12"/>
      <c r="T1157" s="12"/>
      <c r="U1157" s="12"/>
      <c r="V1157" s="12"/>
      <c r="W1157" s="12"/>
      <c r="X1157" s="12"/>
      <c r="Y1157" s="12"/>
      <c r="Z1157" s="12"/>
    </row>
    <row x14ac:dyDescent="0.25" r="1158" customHeight="1" ht="15.75">
      <c r="A1158" s="17"/>
      <c r="B1158" s="12"/>
      <c r="C1158" s="12"/>
      <c r="D1158" s="18"/>
      <c r="E1158" s="19"/>
      <c r="F1158" s="18"/>
      <c r="G1158" s="19"/>
      <c r="H1158" s="18"/>
      <c r="I1158" s="19"/>
      <c r="J1158" s="18"/>
      <c r="K1158" s="19"/>
      <c r="L1158" s="18"/>
      <c r="M1158" s="19"/>
      <c r="N1158" s="18"/>
      <c r="O1158" s="19"/>
      <c r="P1158" s="12"/>
      <c r="Q1158" s="12"/>
      <c r="R1158" s="15"/>
      <c r="S1158" s="12"/>
      <c r="T1158" s="12"/>
      <c r="U1158" s="12"/>
      <c r="V1158" s="12"/>
      <c r="W1158" s="12"/>
      <c r="X1158" s="12"/>
      <c r="Y1158" s="12"/>
      <c r="Z1158" s="12"/>
    </row>
    <row x14ac:dyDescent="0.25" r="1159" customHeight="1" ht="15.75">
      <c r="A1159" s="17"/>
      <c r="B1159" s="12"/>
      <c r="C1159" s="12"/>
      <c r="D1159" s="18"/>
      <c r="E1159" s="19"/>
      <c r="F1159" s="18"/>
      <c r="G1159" s="19"/>
      <c r="H1159" s="18"/>
      <c r="I1159" s="19"/>
      <c r="J1159" s="18"/>
      <c r="K1159" s="19"/>
      <c r="L1159" s="18"/>
      <c r="M1159" s="19"/>
      <c r="N1159" s="18"/>
      <c r="O1159" s="19"/>
      <c r="P1159" s="12"/>
      <c r="Q1159" s="12"/>
      <c r="R1159" s="15"/>
      <c r="S1159" s="12"/>
      <c r="T1159" s="12"/>
      <c r="U1159" s="12"/>
      <c r="V1159" s="12"/>
      <c r="W1159" s="12"/>
      <c r="X1159" s="12"/>
      <c r="Y1159" s="12"/>
      <c r="Z1159" s="12"/>
    </row>
    <row x14ac:dyDescent="0.25" r="1160" customHeight="1" ht="15.75">
      <c r="A1160" s="17"/>
      <c r="B1160" s="12"/>
      <c r="C1160" s="12"/>
      <c r="D1160" s="18"/>
      <c r="E1160" s="19"/>
      <c r="F1160" s="18"/>
      <c r="G1160" s="19"/>
      <c r="H1160" s="18"/>
      <c r="I1160" s="19"/>
      <c r="J1160" s="18"/>
      <c r="K1160" s="19"/>
      <c r="L1160" s="18"/>
      <c r="M1160" s="19"/>
      <c r="N1160" s="18"/>
      <c r="O1160" s="19"/>
      <c r="P1160" s="12"/>
      <c r="Q1160" s="12"/>
      <c r="R1160" s="15"/>
      <c r="S1160" s="12"/>
      <c r="T1160" s="12"/>
      <c r="U1160" s="12"/>
      <c r="V1160" s="12"/>
      <c r="W1160" s="12"/>
      <c r="X1160" s="12"/>
      <c r="Y1160" s="12"/>
      <c r="Z1160" s="12"/>
    </row>
    <row x14ac:dyDescent="0.25" r="1161" customHeight="1" ht="15.75">
      <c r="A1161" s="17"/>
      <c r="B1161" s="12"/>
      <c r="C1161" s="12"/>
      <c r="D1161" s="18"/>
      <c r="E1161" s="19"/>
      <c r="F1161" s="18"/>
      <c r="G1161" s="19"/>
      <c r="H1161" s="18"/>
      <c r="I1161" s="19"/>
      <c r="J1161" s="18"/>
      <c r="K1161" s="19"/>
      <c r="L1161" s="18"/>
      <c r="M1161" s="19"/>
      <c r="N1161" s="18"/>
      <c r="O1161" s="19"/>
      <c r="P1161" s="12"/>
      <c r="Q1161" s="12"/>
      <c r="R1161" s="15"/>
      <c r="S1161" s="12"/>
      <c r="T1161" s="12"/>
      <c r="U1161" s="12"/>
      <c r="V1161" s="12"/>
      <c r="W1161" s="12"/>
      <c r="X1161" s="12"/>
      <c r="Y1161" s="12"/>
      <c r="Z1161" s="12"/>
    </row>
    <row x14ac:dyDescent="0.25" r="1162" customHeight="1" ht="15.75">
      <c r="A1162" s="17"/>
      <c r="B1162" s="12"/>
      <c r="C1162" s="12"/>
      <c r="D1162" s="18"/>
      <c r="E1162" s="19"/>
      <c r="F1162" s="18"/>
      <c r="G1162" s="19"/>
      <c r="H1162" s="18"/>
      <c r="I1162" s="19"/>
      <c r="J1162" s="18"/>
      <c r="K1162" s="19"/>
      <c r="L1162" s="18"/>
      <c r="M1162" s="19"/>
      <c r="N1162" s="18"/>
      <c r="O1162" s="19"/>
      <c r="P1162" s="12"/>
      <c r="Q1162" s="12"/>
      <c r="R1162" s="15"/>
      <c r="S1162" s="12"/>
      <c r="T1162" s="12"/>
      <c r="U1162" s="12"/>
      <c r="V1162" s="12"/>
      <c r="W1162" s="12"/>
      <c r="X1162" s="12"/>
      <c r="Y1162" s="12"/>
      <c r="Z1162" s="12"/>
    </row>
    <row x14ac:dyDescent="0.25" r="1163" customHeight="1" ht="15.75">
      <c r="A1163" s="17"/>
      <c r="B1163" s="12"/>
      <c r="C1163" s="12"/>
      <c r="D1163" s="18"/>
      <c r="E1163" s="19"/>
      <c r="F1163" s="18"/>
      <c r="G1163" s="19"/>
      <c r="H1163" s="18"/>
      <c r="I1163" s="19"/>
      <c r="J1163" s="18"/>
      <c r="K1163" s="19"/>
      <c r="L1163" s="18"/>
      <c r="M1163" s="19"/>
      <c r="N1163" s="18"/>
      <c r="O1163" s="19"/>
      <c r="P1163" s="12"/>
      <c r="Q1163" s="12"/>
      <c r="R1163" s="15"/>
      <c r="S1163" s="12"/>
      <c r="T1163" s="12"/>
      <c r="U1163" s="12"/>
      <c r="V1163" s="12"/>
      <c r="W1163" s="12"/>
      <c r="X1163" s="12"/>
      <c r="Y1163" s="12"/>
      <c r="Z1163" s="12"/>
    </row>
    <row x14ac:dyDescent="0.25" r="1164" customHeight="1" ht="15.75">
      <c r="A1164" s="17"/>
      <c r="B1164" s="12"/>
      <c r="C1164" s="12"/>
      <c r="D1164" s="18"/>
      <c r="E1164" s="19"/>
      <c r="F1164" s="18"/>
      <c r="G1164" s="19"/>
      <c r="H1164" s="18"/>
      <c r="I1164" s="19"/>
      <c r="J1164" s="18"/>
      <c r="K1164" s="19"/>
      <c r="L1164" s="18"/>
      <c r="M1164" s="19"/>
      <c r="N1164" s="18"/>
      <c r="O1164" s="19"/>
      <c r="P1164" s="12"/>
      <c r="Q1164" s="12"/>
      <c r="R1164" s="15"/>
      <c r="S1164" s="12"/>
      <c r="T1164" s="12"/>
      <c r="U1164" s="12"/>
      <c r="V1164" s="12"/>
      <c r="W1164" s="12"/>
      <c r="X1164" s="12"/>
      <c r="Y1164" s="12"/>
      <c r="Z1164" s="12"/>
    </row>
    <row x14ac:dyDescent="0.25" r="1165" customHeight="1" ht="15.75">
      <c r="A1165" s="17"/>
      <c r="B1165" s="12"/>
      <c r="C1165" s="12"/>
      <c r="D1165" s="18"/>
      <c r="E1165" s="19"/>
      <c r="F1165" s="18"/>
      <c r="G1165" s="19"/>
      <c r="H1165" s="18"/>
      <c r="I1165" s="19"/>
      <c r="J1165" s="18"/>
      <c r="K1165" s="19"/>
      <c r="L1165" s="18"/>
      <c r="M1165" s="19"/>
      <c r="N1165" s="18"/>
      <c r="O1165" s="19"/>
      <c r="P1165" s="12"/>
      <c r="Q1165" s="12"/>
      <c r="R1165" s="15"/>
      <c r="S1165" s="12"/>
      <c r="T1165" s="12"/>
      <c r="U1165" s="12"/>
      <c r="V1165" s="12"/>
      <c r="W1165" s="12"/>
      <c r="X1165" s="12"/>
      <c r="Y1165" s="12"/>
      <c r="Z1165" s="12"/>
    </row>
    <row x14ac:dyDescent="0.25" r="1166" customHeight="1" ht="15.75">
      <c r="A1166" s="17"/>
      <c r="B1166" s="12"/>
      <c r="C1166" s="12"/>
      <c r="D1166" s="18"/>
      <c r="E1166" s="19"/>
      <c r="F1166" s="18"/>
      <c r="G1166" s="19"/>
      <c r="H1166" s="18"/>
      <c r="I1166" s="19"/>
      <c r="J1166" s="18"/>
      <c r="K1166" s="19"/>
      <c r="L1166" s="18"/>
      <c r="M1166" s="19"/>
      <c r="N1166" s="18"/>
      <c r="O1166" s="19"/>
      <c r="P1166" s="12"/>
      <c r="Q1166" s="12"/>
      <c r="R1166" s="15"/>
      <c r="S1166" s="12"/>
      <c r="T1166" s="12"/>
      <c r="U1166" s="12"/>
      <c r="V1166" s="12"/>
      <c r="W1166" s="12"/>
      <c r="X1166" s="12"/>
      <c r="Y1166" s="12"/>
      <c r="Z1166" s="12"/>
    </row>
    <row x14ac:dyDescent="0.25" r="1167" customHeight="1" ht="15.75">
      <c r="A1167" s="17"/>
      <c r="B1167" s="12"/>
      <c r="C1167" s="12"/>
      <c r="D1167" s="18"/>
      <c r="E1167" s="19"/>
      <c r="F1167" s="18"/>
      <c r="G1167" s="19"/>
      <c r="H1167" s="18"/>
      <c r="I1167" s="19"/>
      <c r="J1167" s="18"/>
      <c r="K1167" s="19"/>
      <c r="L1167" s="18"/>
      <c r="M1167" s="19"/>
      <c r="N1167" s="18"/>
      <c r="O1167" s="19"/>
      <c r="P1167" s="12"/>
      <c r="Q1167" s="12"/>
      <c r="R1167" s="15"/>
      <c r="S1167" s="12"/>
      <c r="T1167" s="12"/>
      <c r="U1167" s="12"/>
      <c r="V1167" s="12"/>
      <c r="W1167" s="12"/>
      <c r="X1167" s="12"/>
      <c r="Y1167" s="12"/>
      <c r="Z1167" s="12"/>
    </row>
    <row x14ac:dyDescent="0.25" r="1168" customHeight="1" ht="15.75">
      <c r="A1168" s="17"/>
      <c r="B1168" s="12"/>
      <c r="C1168" s="12"/>
      <c r="D1168" s="18"/>
      <c r="E1168" s="19"/>
      <c r="F1168" s="18"/>
      <c r="G1168" s="19"/>
      <c r="H1168" s="18"/>
      <c r="I1168" s="19"/>
      <c r="J1168" s="18"/>
      <c r="K1168" s="19"/>
      <c r="L1168" s="18"/>
      <c r="M1168" s="19"/>
      <c r="N1168" s="18"/>
      <c r="O1168" s="19"/>
      <c r="P1168" s="12"/>
      <c r="Q1168" s="12"/>
      <c r="R1168" s="15"/>
      <c r="S1168" s="12"/>
      <c r="T1168" s="12"/>
      <c r="U1168" s="12"/>
      <c r="V1168" s="12"/>
      <c r="W1168" s="12"/>
      <c r="X1168" s="12"/>
      <c r="Y1168" s="12"/>
      <c r="Z1168" s="12"/>
    </row>
    <row x14ac:dyDescent="0.25" r="1169" customHeight="1" ht="15.75">
      <c r="A1169" s="17"/>
      <c r="B1169" s="12"/>
      <c r="C1169" s="12"/>
      <c r="D1169" s="18"/>
      <c r="E1169" s="19"/>
      <c r="F1169" s="18"/>
      <c r="G1169" s="19"/>
      <c r="H1169" s="18"/>
      <c r="I1169" s="19"/>
      <c r="J1169" s="18"/>
      <c r="K1169" s="19"/>
      <c r="L1169" s="18"/>
      <c r="M1169" s="19"/>
      <c r="N1169" s="18"/>
      <c r="O1169" s="19"/>
      <c r="P1169" s="12"/>
      <c r="Q1169" s="12"/>
      <c r="R1169" s="15"/>
      <c r="S1169" s="12"/>
      <c r="T1169" s="12"/>
      <c r="U1169" s="12"/>
      <c r="V1169" s="12"/>
      <c r="W1169" s="12"/>
      <c r="X1169" s="12"/>
      <c r="Y1169" s="12"/>
      <c r="Z1169" s="12"/>
    </row>
    <row x14ac:dyDescent="0.25" r="1170" customHeight="1" ht="15.75">
      <c r="A1170" s="17"/>
      <c r="B1170" s="12"/>
      <c r="C1170" s="12"/>
      <c r="D1170" s="18"/>
      <c r="E1170" s="19"/>
      <c r="F1170" s="18"/>
      <c r="G1170" s="19"/>
      <c r="H1170" s="18"/>
      <c r="I1170" s="19"/>
      <c r="J1170" s="18"/>
      <c r="K1170" s="19"/>
      <c r="L1170" s="18"/>
      <c r="M1170" s="19"/>
      <c r="N1170" s="18"/>
      <c r="O1170" s="19"/>
      <c r="P1170" s="12"/>
      <c r="Q1170" s="12"/>
      <c r="R1170" s="15"/>
      <c r="S1170" s="12"/>
      <c r="T1170" s="12"/>
      <c r="U1170" s="12"/>
      <c r="V1170" s="12"/>
      <c r="W1170" s="12"/>
      <c r="X1170" s="12"/>
      <c r="Y1170" s="12"/>
      <c r="Z1170" s="12"/>
    </row>
    <row x14ac:dyDescent="0.25" r="1171" customHeight="1" ht="15.75">
      <c r="A1171" s="17"/>
      <c r="B1171" s="12"/>
      <c r="C1171" s="12"/>
      <c r="D1171" s="18"/>
      <c r="E1171" s="19"/>
      <c r="F1171" s="18"/>
      <c r="G1171" s="19"/>
      <c r="H1171" s="18"/>
      <c r="I1171" s="19"/>
      <c r="J1171" s="18"/>
      <c r="K1171" s="19"/>
      <c r="L1171" s="18"/>
      <c r="M1171" s="19"/>
      <c r="N1171" s="18"/>
      <c r="O1171" s="19"/>
      <c r="P1171" s="12"/>
      <c r="Q1171" s="12"/>
      <c r="R1171" s="15"/>
      <c r="S1171" s="12"/>
      <c r="T1171" s="12"/>
      <c r="U1171" s="12"/>
      <c r="V1171" s="12"/>
      <c r="W1171" s="12"/>
      <c r="X1171" s="12"/>
      <c r="Y1171" s="12"/>
      <c r="Z1171" s="12"/>
    </row>
    <row x14ac:dyDescent="0.25" r="1172" customHeight="1" ht="15.75">
      <c r="A1172" s="17"/>
      <c r="B1172" s="12"/>
      <c r="C1172" s="12"/>
      <c r="D1172" s="18"/>
      <c r="E1172" s="19"/>
      <c r="F1172" s="18"/>
      <c r="G1172" s="19"/>
      <c r="H1172" s="18"/>
      <c r="I1172" s="19"/>
      <c r="J1172" s="18"/>
      <c r="K1172" s="19"/>
      <c r="L1172" s="18"/>
      <c r="M1172" s="19"/>
      <c r="N1172" s="18"/>
      <c r="O1172" s="19"/>
      <c r="P1172" s="12"/>
      <c r="Q1172" s="12"/>
      <c r="R1172" s="15"/>
      <c r="S1172" s="12"/>
      <c r="T1172" s="12"/>
      <c r="U1172" s="12"/>
      <c r="V1172" s="12"/>
      <c r="W1172" s="12"/>
      <c r="X1172" s="12"/>
      <c r="Y1172" s="12"/>
      <c r="Z1172" s="12"/>
    </row>
    <row x14ac:dyDescent="0.25" r="1173" customHeight="1" ht="15.75">
      <c r="A1173" s="17"/>
      <c r="B1173" s="12"/>
      <c r="C1173" s="12"/>
      <c r="D1173" s="18"/>
      <c r="E1173" s="19"/>
      <c r="F1173" s="18"/>
      <c r="G1173" s="19"/>
      <c r="H1173" s="18"/>
      <c r="I1173" s="19"/>
      <c r="J1173" s="18"/>
      <c r="K1173" s="19"/>
      <c r="L1173" s="18"/>
      <c r="M1173" s="19"/>
      <c r="N1173" s="18"/>
      <c r="O1173" s="19"/>
      <c r="P1173" s="12"/>
      <c r="Q1173" s="12"/>
      <c r="R1173" s="15"/>
      <c r="S1173" s="12"/>
      <c r="T1173" s="12"/>
      <c r="U1173" s="12"/>
      <c r="V1173" s="12"/>
      <c r="W1173" s="12"/>
      <c r="X1173" s="12"/>
      <c r="Y1173" s="12"/>
      <c r="Z1173" s="12"/>
    </row>
    <row x14ac:dyDescent="0.25" r="1174" customHeight="1" ht="15.75">
      <c r="A1174" s="17"/>
      <c r="B1174" s="12"/>
      <c r="C1174" s="12"/>
      <c r="D1174" s="18"/>
      <c r="E1174" s="19"/>
      <c r="F1174" s="18"/>
      <c r="G1174" s="19"/>
      <c r="H1174" s="18"/>
      <c r="I1174" s="19"/>
      <c r="J1174" s="18"/>
      <c r="K1174" s="19"/>
      <c r="L1174" s="18"/>
      <c r="M1174" s="19"/>
      <c r="N1174" s="18"/>
      <c r="O1174" s="19"/>
      <c r="P1174" s="12"/>
      <c r="Q1174" s="12"/>
      <c r="R1174" s="15"/>
      <c r="S1174" s="12"/>
      <c r="T1174" s="12"/>
      <c r="U1174" s="12"/>
      <c r="V1174" s="12"/>
      <c r="W1174" s="12"/>
      <c r="X1174" s="12"/>
      <c r="Y1174" s="12"/>
      <c r="Z1174" s="12"/>
    </row>
    <row x14ac:dyDescent="0.25" r="1175" customHeight="1" ht="15.75">
      <c r="A1175" s="17"/>
      <c r="B1175" s="12"/>
      <c r="C1175" s="12"/>
      <c r="D1175" s="18"/>
      <c r="E1175" s="19"/>
      <c r="F1175" s="18"/>
      <c r="G1175" s="19"/>
      <c r="H1175" s="18"/>
      <c r="I1175" s="19"/>
      <c r="J1175" s="18"/>
      <c r="K1175" s="19"/>
      <c r="L1175" s="18"/>
      <c r="M1175" s="19"/>
      <c r="N1175" s="18"/>
      <c r="O1175" s="19"/>
      <c r="P1175" s="12"/>
      <c r="Q1175" s="12"/>
      <c r="R1175" s="15"/>
      <c r="S1175" s="12"/>
      <c r="T1175" s="12"/>
      <c r="U1175" s="12"/>
      <c r="V1175" s="12"/>
      <c r="W1175" s="12"/>
      <c r="X1175" s="12"/>
      <c r="Y1175" s="12"/>
      <c r="Z1175" s="12"/>
    </row>
    <row x14ac:dyDescent="0.25" r="1176" customHeight="1" ht="15.75">
      <c r="A1176" s="17"/>
      <c r="B1176" s="12"/>
      <c r="C1176" s="12"/>
      <c r="D1176" s="18"/>
      <c r="E1176" s="19"/>
      <c r="F1176" s="18"/>
      <c r="G1176" s="19"/>
      <c r="H1176" s="18"/>
      <c r="I1176" s="19"/>
      <c r="J1176" s="18"/>
      <c r="K1176" s="19"/>
      <c r="L1176" s="18"/>
      <c r="M1176" s="19"/>
      <c r="N1176" s="18"/>
      <c r="O1176" s="19"/>
      <c r="P1176" s="12"/>
      <c r="Q1176" s="12"/>
      <c r="R1176" s="15"/>
      <c r="S1176" s="12"/>
      <c r="T1176" s="12"/>
      <c r="U1176" s="12"/>
      <c r="V1176" s="12"/>
      <c r="W1176" s="12"/>
      <c r="X1176" s="12"/>
      <c r="Y1176" s="12"/>
      <c r="Z1176" s="12"/>
    </row>
    <row x14ac:dyDescent="0.25" r="1177" customHeight="1" ht="15.75">
      <c r="A1177" s="17"/>
      <c r="B1177" s="12"/>
      <c r="C1177" s="12"/>
      <c r="D1177" s="18"/>
      <c r="E1177" s="19"/>
      <c r="F1177" s="18"/>
      <c r="G1177" s="19"/>
      <c r="H1177" s="18"/>
      <c r="I1177" s="19"/>
      <c r="J1177" s="18"/>
      <c r="K1177" s="19"/>
      <c r="L1177" s="18"/>
      <c r="M1177" s="19"/>
      <c r="N1177" s="18"/>
      <c r="O1177" s="19"/>
      <c r="P1177" s="12"/>
      <c r="Q1177" s="12"/>
      <c r="R1177" s="15"/>
      <c r="S1177" s="12"/>
      <c r="T1177" s="12"/>
      <c r="U1177" s="12"/>
      <c r="V1177" s="12"/>
      <c r="W1177" s="12"/>
      <c r="X1177" s="12"/>
      <c r="Y1177" s="12"/>
      <c r="Z1177" s="12"/>
    </row>
    <row x14ac:dyDescent="0.25" r="1178" customHeight="1" ht="15.75">
      <c r="A1178" s="17"/>
      <c r="B1178" s="12"/>
      <c r="C1178" s="12"/>
      <c r="D1178" s="18"/>
      <c r="E1178" s="19"/>
      <c r="F1178" s="18"/>
      <c r="G1178" s="19"/>
      <c r="H1178" s="18"/>
      <c r="I1178" s="19"/>
      <c r="J1178" s="18"/>
      <c r="K1178" s="19"/>
      <c r="L1178" s="18"/>
      <c r="M1178" s="19"/>
      <c r="N1178" s="18"/>
      <c r="O1178" s="19"/>
      <c r="P1178" s="12"/>
      <c r="Q1178" s="12"/>
      <c r="R1178" s="15"/>
      <c r="S1178" s="12"/>
      <c r="T1178" s="12"/>
      <c r="U1178" s="12"/>
      <c r="V1178" s="12"/>
      <c r="W1178" s="12"/>
      <c r="X1178" s="12"/>
      <c r="Y1178" s="12"/>
      <c r="Z1178" s="12"/>
    </row>
    <row x14ac:dyDescent="0.25" r="1179" customHeight="1" ht="15.75">
      <c r="A1179" s="17"/>
      <c r="B1179" s="12"/>
      <c r="C1179" s="12"/>
      <c r="D1179" s="18"/>
      <c r="E1179" s="19"/>
      <c r="F1179" s="18"/>
      <c r="G1179" s="19"/>
      <c r="H1179" s="18"/>
      <c r="I1179" s="19"/>
      <c r="J1179" s="18"/>
      <c r="K1179" s="19"/>
      <c r="L1179" s="18"/>
      <c r="M1179" s="19"/>
      <c r="N1179" s="18"/>
      <c r="O1179" s="19"/>
      <c r="P1179" s="12"/>
      <c r="Q1179" s="12"/>
      <c r="R1179" s="15"/>
      <c r="S1179" s="12"/>
      <c r="T1179" s="12"/>
      <c r="U1179" s="12"/>
      <c r="V1179" s="12"/>
      <c r="W1179" s="12"/>
      <c r="X1179" s="12"/>
      <c r="Y1179" s="12"/>
      <c r="Z1179" s="12"/>
    </row>
    <row x14ac:dyDescent="0.25" r="1180" customHeight="1" ht="15.75">
      <c r="A1180" s="17"/>
      <c r="B1180" s="12"/>
      <c r="C1180" s="12"/>
      <c r="D1180" s="18"/>
      <c r="E1180" s="19"/>
      <c r="F1180" s="18"/>
      <c r="G1180" s="19"/>
      <c r="H1180" s="18"/>
      <c r="I1180" s="19"/>
      <c r="J1180" s="18"/>
      <c r="K1180" s="19"/>
      <c r="L1180" s="18"/>
      <c r="M1180" s="19"/>
      <c r="N1180" s="18"/>
      <c r="O1180" s="19"/>
      <c r="P1180" s="12"/>
      <c r="Q1180" s="12"/>
      <c r="R1180" s="15"/>
      <c r="S1180" s="12"/>
      <c r="T1180" s="12"/>
      <c r="U1180" s="12"/>
      <c r="V1180" s="12"/>
      <c r="W1180" s="12"/>
      <c r="X1180" s="12"/>
      <c r="Y1180" s="12"/>
      <c r="Z1180" s="12"/>
    </row>
    <row x14ac:dyDescent="0.25" r="1181" customHeight="1" ht="15.75">
      <c r="A1181" s="17"/>
      <c r="B1181" s="12"/>
      <c r="C1181" s="12"/>
      <c r="D1181" s="18"/>
      <c r="E1181" s="19"/>
      <c r="F1181" s="18"/>
      <c r="G1181" s="19"/>
      <c r="H1181" s="18"/>
      <c r="I1181" s="19"/>
      <c r="J1181" s="18"/>
      <c r="K1181" s="19"/>
      <c r="L1181" s="18"/>
      <c r="M1181" s="19"/>
      <c r="N1181" s="18"/>
      <c r="O1181" s="19"/>
      <c r="P1181" s="12"/>
      <c r="Q1181" s="12"/>
      <c r="R1181" s="15"/>
      <c r="S1181" s="12"/>
      <c r="T1181" s="12"/>
      <c r="U1181" s="12"/>
      <c r="V1181" s="12"/>
      <c r="W1181" s="12"/>
      <c r="X1181" s="12"/>
      <c r="Y1181" s="12"/>
      <c r="Z1181" s="12"/>
    </row>
    <row x14ac:dyDescent="0.25" r="1182" customHeight="1" ht="15.75">
      <c r="A1182" s="17"/>
      <c r="B1182" s="12"/>
      <c r="C1182" s="12"/>
      <c r="D1182" s="18"/>
      <c r="E1182" s="19"/>
      <c r="F1182" s="18"/>
      <c r="G1182" s="19"/>
      <c r="H1182" s="18"/>
      <c r="I1182" s="19"/>
      <c r="J1182" s="18"/>
      <c r="K1182" s="19"/>
      <c r="L1182" s="18"/>
      <c r="M1182" s="19"/>
      <c r="N1182" s="18"/>
      <c r="O1182" s="19"/>
      <c r="P1182" s="12"/>
      <c r="Q1182" s="12"/>
      <c r="R1182" s="15"/>
      <c r="S1182" s="12"/>
      <c r="T1182" s="12"/>
      <c r="U1182" s="12"/>
      <c r="V1182" s="12"/>
      <c r="W1182" s="12"/>
      <c r="X1182" s="12"/>
      <c r="Y1182" s="12"/>
      <c r="Z1182" s="12"/>
    </row>
    <row x14ac:dyDescent="0.25" r="1183" customHeight="1" ht="15.75">
      <c r="A1183" s="17"/>
      <c r="B1183" s="12"/>
      <c r="C1183" s="12"/>
      <c r="D1183" s="18"/>
      <c r="E1183" s="19"/>
      <c r="F1183" s="18"/>
      <c r="G1183" s="19"/>
      <c r="H1183" s="18"/>
      <c r="I1183" s="19"/>
      <c r="J1183" s="18"/>
      <c r="K1183" s="19"/>
      <c r="L1183" s="18"/>
      <c r="M1183" s="19"/>
      <c r="N1183" s="18"/>
      <c r="O1183" s="19"/>
      <c r="P1183" s="12"/>
      <c r="Q1183" s="12"/>
      <c r="R1183" s="15"/>
      <c r="S1183" s="12"/>
      <c r="T1183" s="12"/>
      <c r="U1183" s="12"/>
      <c r="V1183" s="12"/>
      <c r="W1183" s="12"/>
      <c r="X1183" s="12"/>
      <c r="Y1183" s="12"/>
      <c r="Z1183" s="12"/>
    </row>
    <row x14ac:dyDescent="0.25" r="1184" customHeight="1" ht="15.75">
      <c r="A1184" s="17"/>
      <c r="B1184" s="12"/>
      <c r="C1184" s="12"/>
      <c r="D1184" s="18"/>
      <c r="E1184" s="19"/>
      <c r="F1184" s="18"/>
      <c r="G1184" s="19"/>
      <c r="H1184" s="18"/>
      <c r="I1184" s="19"/>
      <c r="J1184" s="18"/>
      <c r="K1184" s="19"/>
      <c r="L1184" s="18"/>
      <c r="M1184" s="19"/>
      <c r="N1184" s="18"/>
      <c r="O1184" s="19"/>
      <c r="P1184" s="12"/>
      <c r="Q1184" s="12"/>
      <c r="R1184" s="15"/>
      <c r="S1184" s="12"/>
      <c r="T1184" s="12"/>
      <c r="U1184" s="12"/>
      <c r="V1184" s="12"/>
      <c r="W1184" s="12"/>
      <c r="X1184" s="12"/>
      <c r="Y1184" s="12"/>
      <c r="Z1184" s="12"/>
    </row>
    <row x14ac:dyDescent="0.25" r="1185" customHeight="1" ht="15.75">
      <c r="A1185" s="17"/>
      <c r="B1185" s="12"/>
      <c r="C1185" s="12"/>
      <c r="D1185" s="18"/>
      <c r="E1185" s="19"/>
      <c r="F1185" s="18"/>
      <c r="G1185" s="19"/>
      <c r="H1185" s="18"/>
      <c r="I1185" s="19"/>
      <c r="J1185" s="18"/>
      <c r="K1185" s="19"/>
      <c r="L1185" s="18"/>
      <c r="M1185" s="19"/>
      <c r="N1185" s="18"/>
      <c r="O1185" s="19"/>
      <c r="P1185" s="12"/>
      <c r="Q1185" s="12"/>
      <c r="R1185" s="15"/>
      <c r="S1185" s="12"/>
      <c r="T1185" s="12"/>
      <c r="U1185" s="12"/>
      <c r="V1185" s="12"/>
      <c r="W1185" s="12"/>
      <c r="X1185" s="12"/>
      <c r="Y1185" s="12"/>
      <c r="Z1185" s="12"/>
    </row>
    <row x14ac:dyDescent="0.25" r="1186" customHeight="1" ht="15.75">
      <c r="A1186" s="17"/>
      <c r="B1186" s="12"/>
      <c r="C1186" s="12"/>
      <c r="D1186" s="18"/>
      <c r="E1186" s="19"/>
      <c r="F1186" s="18"/>
      <c r="G1186" s="19"/>
      <c r="H1186" s="18"/>
      <c r="I1186" s="19"/>
      <c r="J1186" s="18"/>
      <c r="K1186" s="19"/>
      <c r="L1186" s="18"/>
      <c r="M1186" s="19"/>
      <c r="N1186" s="18"/>
      <c r="O1186" s="19"/>
      <c r="P1186" s="12"/>
      <c r="Q1186" s="12"/>
      <c r="R1186" s="15"/>
      <c r="S1186" s="12"/>
      <c r="T1186" s="12"/>
      <c r="U1186" s="12"/>
      <c r="V1186" s="12"/>
      <c r="W1186" s="12"/>
      <c r="X1186" s="12"/>
      <c r="Y1186" s="12"/>
      <c r="Z1186" s="12"/>
    </row>
    <row x14ac:dyDescent="0.25" r="1187" customHeight="1" ht="15.75">
      <c r="A1187" s="17"/>
      <c r="B1187" s="12"/>
      <c r="C1187" s="12"/>
      <c r="D1187" s="18"/>
      <c r="E1187" s="19"/>
      <c r="F1187" s="18"/>
      <c r="G1187" s="19"/>
      <c r="H1187" s="18"/>
      <c r="I1187" s="19"/>
      <c r="J1187" s="18"/>
      <c r="K1187" s="19"/>
      <c r="L1187" s="18"/>
      <c r="M1187" s="19"/>
      <c r="N1187" s="18"/>
      <c r="O1187" s="19"/>
      <c r="P1187" s="12"/>
      <c r="Q1187" s="12"/>
      <c r="R1187" s="15"/>
      <c r="S1187" s="12"/>
      <c r="T1187" s="12"/>
      <c r="U1187" s="12"/>
      <c r="V1187" s="12"/>
      <c r="W1187" s="12"/>
      <c r="X1187" s="12"/>
      <c r="Y1187" s="12"/>
      <c r="Z1187" s="12"/>
    </row>
    <row x14ac:dyDescent="0.25" r="1188" customHeight="1" ht="15.75">
      <c r="A1188" s="17"/>
      <c r="B1188" s="12"/>
      <c r="C1188" s="12"/>
      <c r="D1188" s="18"/>
      <c r="E1188" s="19"/>
      <c r="F1188" s="18"/>
      <c r="G1188" s="19"/>
      <c r="H1188" s="18"/>
      <c r="I1188" s="19"/>
      <c r="J1188" s="18"/>
      <c r="K1188" s="19"/>
      <c r="L1188" s="18"/>
      <c r="M1188" s="19"/>
      <c r="N1188" s="18"/>
      <c r="O1188" s="19"/>
      <c r="P1188" s="12"/>
      <c r="Q1188" s="12"/>
      <c r="R1188" s="15"/>
      <c r="S1188" s="12"/>
      <c r="T1188" s="12"/>
      <c r="U1188" s="12"/>
      <c r="V1188" s="12"/>
      <c r="W1188" s="12"/>
      <c r="X1188" s="12"/>
      <c r="Y1188" s="12"/>
      <c r="Z1188" s="12"/>
    </row>
    <row x14ac:dyDescent="0.25" r="1189" customHeight="1" ht="15.75">
      <c r="A1189" s="17"/>
      <c r="B1189" s="12"/>
      <c r="C1189" s="12"/>
      <c r="D1189" s="18"/>
      <c r="E1189" s="19"/>
      <c r="F1189" s="18"/>
      <c r="G1189" s="19"/>
      <c r="H1189" s="18"/>
      <c r="I1189" s="19"/>
      <c r="J1189" s="18"/>
      <c r="K1189" s="19"/>
      <c r="L1189" s="18"/>
      <c r="M1189" s="19"/>
      <c r="N1189" s="18"/>
      <c r="O1189" s="19"/>
      <c r="P1189" s="12"/>
      <c r="Q1189" s="12"/>
      <c r="R1189" s="15"/>
      <c r="S1189" s="12"/>
      <c r="T1189" s="12"/>
      <c r="U1189" s="12"/>
      <c r="V1189" s="12"/>
      <c r="W1189" s="12"/>
      <c r="X1189" s="12"/>
      <c r="Y1189" s="12"/>
      <c r="Z1189" s="12"/>
    </row>
    <row x14ac:dyDescent="0.25" r="1190" customHeight="1" ht="15.75">
      <c r="A1190" s="17"/>
      <c r="B1190" s="12"/>
      <c r="C1190" s="12"/>
      <c r="D1190" s="18"/>
      <c r="E1190" s="19"/>
      <c r="F1190" s="18"/>
      <c r="G1190" s="19"/>
      <c r="H1190" s="18"/>
      <c r="I1190" s="19"/>
      <c r="J1190" s="18"/>
      <c r="K1190" s="19"/>
      <c r="L1190" s="18"/>
      <c r="M1190" s="19"/>
      <c r="N1190" s="18"/>
      <c r="O1190" s="19"/>
      <c r="P1190" s="12"/>
      <c r="Q1190" s="12"/>
      <c r="R1190" s="15"/>
      <c r="S1190" s="12"/>
      <c r="T1190" s="12"/>
      <c r="U1190" s="12"/>
      <c r="V1190" s="12"/>
      <c r="W1190" s="12"/>
      <c r="X1190" s="12"/>
      <c r="Y1190" s="12"/>
      <c r="Z1190" s="12"/>
    </row>
    <row x14ac:dyDescent="0.25" r="1191" customHeight="1" ht="15.75">
      <c r="A1191" s="17"/>
      <c r="B1191" s="12"/>
      <c r="C1191" s="12"/>
      <c r="D1191" s="18"/>
      <c r="E1191" s="19"/>
      <c r="F1191" s="18"/>
      <c r="G1191" s="19"/>
      <c r="H1191" s="18"/>
      <c r="I1191" s="19"/>
      <c r="J1191" s="18"/>
      <c r="K1191" s="19"/>
      <c r="L1191" s="18"/>
      <c r="M1191" s="19"/>
      <c r="N1191" s="18"/>
      <c r="O1191" s="19"/>
      <c r="P1191" s="12"/>
      <c r="Q1191" s="12"/>
      <c r="R1191" s="15"/>
      <c r="S1191" s="12"/>
      <c r="T1191" s="12"/>
      <c r="U1191" s="12"/>
      <c r="V1191" s="12"/>
      <c r="W1191" s="12"/>
      <c r="X1191" s="12"/>
      <c r="Y1191" s="12"/>
      <c r="Z1191" s="12"/>
    </row>
    <row x14ac:dyDescent="0.25" r="1192" customHeight="1" ht="15.75">
      <c r="A1192" s="17"/>
      <c r="B1192" s="12"/>
      <c r="C1192" s="12"/>
      <c r="D1192" s="18"/>
      <c r="E1192" s="19"/>
      <c r="F1192" s="18"/>
      <c r="G1192" s="19"/>
      <c r="H1192" s="18"/>
      <c r="I1192" s="19"/>
      <c r="J1192" s="18"/>
      <c r="K1192" s="19"/>
      <c r="L1192" s="18"/>
      <c r="M1192" s="19"/>
      <c r="N1192" s="18"/>
      <c r="O1192" s="19"/>
      <c r="P1192" s="12"/>
      <c r="Q1192" s="12"/>
      <c r="R1192" s="15"/>
      <c r="S1192" s="12"/>
      <c r="T1192" s="12"/>
      <c r="U1192" s="12"/>
      <c r="V1192" s="12"/>
      <c r="W1192" s="12"/>
      <c r="X1192" s="12"/>
      <c r="Y1192" s="12"/>
      <c r="Z1192" s="12"/>
    </row>
    <row x14ac:dyDescent="0.25" r="1193" customHeight="1" ht="15.75">
      <c r="A1193" s="17"/>
      <c r="B1193" s="12"/>
      <c r="C1193" s="12"/>
      <c r="D1193" s="18"/>
      <c r="E1193" s="19"/>
      <c r="F1193" s="18"/>
      <c r="G1193" s="19"/>
      <c r="H1193" s="18"/>
      <c r="I1193" s="19"/>
      <c r="J1193" s="18"/>
      <c r="K1193" s="19"/>
      <c r="L1193" s="18"/>
      <c r="M1193" s="19"/>
      <c r="N1193" s="18"/>
      <c r="O1193" s="19"/>
      <c r="P1193" s="12"/>
      <c r="Q1193" s="12"/>
      <c r="R1193" s="15"/>
      <c r="S1193" s="12"/>
      <c r="T1193" s="12"/>
      <c r="U1193" s="12"/>
      <c r="V1193" s="12"/>
      <c r="W1193" s="12"/>
      <c r="X1193" s="12"/>
      <c r="Y1193" s="12"/>
      <c r="Z1193" s="12"/>
    </row>
    <row x14ac:dyDescent="0.25" r="1194" customHeight="1" ht="15.75">
      <c r="A1194" s="17"/>
      <c r="B1194" s="12"/>
      <c r="C1194" s="12"/>
      <c r="D1194" s="18"/>
      <c r="E1194" s="19"/>
      <c r="F1194" s="18"/>
      <c r="G1194" s="19"/>
      <c r="H1194" s="18"/>
      <c r="I1194" s="19"/>
      <c r="J1194" s="18"/>
      <c r="K1194" s="19"/>
      <c r="L1194" s="18"/>
      <c r="M1194" s="19"/>
      <c r="N1194" s="18"/>
      <c r="O1194" s="19"/>
      <c r="P1194" s="12"/>
      <c r="Q1194" s="12"/>
      <c r="R1194" s="15"/>
      <c r="S1194" s="12"/>
      <c r="T1194" s="12"/>
      <c r="U1194" s="12"/>
      <c r="V1194" s="12"/>
      <c r="W1194" s="12"/>
      <c r="X1194" s="12"/>
      <c r="Y1194" s="12"/>
      <c r="Z1194" s="12"/>
    </row>
    <row x14ac:dyDescent="0.25" r="1195" customHeight="1" ht="15.75">
      <c r="A1195" s="17"/>
      <c r="B1195" s="12"/>
      <c r="C1195" s="12"/>
      <c r="D1195" s="18"/>
      <c r="E1195" s="19"/>
      <c r="F1195" s="18"/>
      <c r="G1195" s="19"/>
      <c r="H1195" s="18"/>
      <c r="I1195" s="19"/>
      <c r="J1195" s="18"/>
      <c r="K1195" s="19"/>
      <c r="L1195" s="18"/>
      <c r="M1195" s="19"/>
      <c r="N1195" s="18"/>
      <c r="O1195" s="19"/>
      <c r="P1195" s="12"/>
      <c r="Q1195" s="12"/>
      <c r="R1195" s="15"/>
      <c r="S1195" s="12"/>
      <c r="T1195" s="12"/>
      <c r="U1195" s="12"/>
      <c r="V1195" s="12"/>
      <c r="W1195" s="12"/>
      <c r="X1195" s="12"/>
      <c r="Y1195" s="12"/>
      <c r="Z1195" s="12"/>
    </row>
    <row x14ac:dyDescent="0.25" r="1196" customHeight="1" ht="15.75">
      <c r="A1196" s="17"/>
      <c r="B1196" s="12"/>
      <c r="C1196" s="12"/>
      <c r="D1196" s="18"/>
      <c r="E1196" s="19"/>
      <c r="F1196" s="18"/>
      <c r="G1196" s="19"/>
      <c r="H1196" s="18"/>
      <c r="I1196" s="19"/>
      <c r="J1196" s="18"/>
      <c r="K1196" s="19"/>
      <c r="L1196" s="18"/>
      <c r="M1196" s="19"/>
      <c r="N1196" s="18"/>
      <c r="O1196" s="19"/>
      <c r="P1196" s="12"/>
      <c r="Q1196" s="12"/>
      <c r="R1196" s="15"/>
      <c r="S1196" s="12"/>
      <c r="T1196" s="12"/>
      <c r="U1196" s="12"/>
      <c r="V1196" s="12"/>
      <c r="W1196" s="12"/>
      <c r="X1196" s="12"/>
      <c r="Y1196" s="12"/>
      <c r="Z1196" s="12"/>
    </row>
    <row x14ac:dyDescent="0.25" r="1197" customHeight="1" ht="15.75">
      <c r="A1197" s="17"/>
      <c r="B1197" s="12"/>
      <c r="C1197" s="12"/>
      <c r="D1197" s="18"/>
      <c r="E1197" s="19"/>
      <c r="F1197" s="18"/>
      <c r="G1197" s="19"/>
      <c r="H1197" s="18"/>
      <c r="I1197" s="19"/>
      <c r="J1197" s="18"/>
      <c r="K1197" s="19"/>
      <c r="L1197" s="18"/>
      <c r="M1197" s="19"/>
      <c r="N1197" s="18"/>
      <c r="O1197" s="19"/>
      <c r="P1197" s="12"/>
      <c r="Q1197" s="12"/>
      <c r="R1197" s="15"/>
      <c r="S1197" s="12"/>
      <c r="T1197" s="12"/>
      <c r="U1197" s="12"/>
      <c r="V1197" s="12"/>
      <c r="W1197" s="12"/>
      <c r="X1197" s="12"/>
      <c r="Y1197" s="12"/>
      <c r="Z1197" s="12"/>
    </row>
    <row x14ac:dyDescent="0.25" r="1198" customHeight="1" ht="15.75">
      <c r="A1198" s="17"/>
      <c r="B1198" s="12"/>
      <c r="C1198" s="12"/>
      <c r="D1198" s="18"/>
      <c r="E1198" s="19"/>
      <c r="F1198" s="18"/>
      <c r="G1198" s="19"/>
      <c r="H1198" s="18"/>
      <c r="I1198" s="19"/>
      <c r="J1198" s="18"/>
      <c r="K1198" s="19"/>
      <c r="L1198" s="18"/>
      <c r="M1198" s="19"/>
      <c r="N1198" s="18"/>
      <c r="O1198" s="19"/>
      <c r="P1198" s="12"/>
      <c r="Q1198" s="12"/>
      <c r="R1198" s="15"/>
      <c r="S1198" s="12"/>
      <c r="T1198" s="12"/>
      <c r="U1198" s="12"/>
      <c r="V1198" s="12"/>
      <c r="W1198" s="12"/>
      <c r="X1198" s="12"/>
      <c r="Y1198" s="12"/>
      <c r="Z1198" s="12"/>
    </row>
    <row x14ac:dyDescent="0.25" r="1199" customHeight="1" ht="15.75">
      <c r="A1199" s="17"/>
      <c r="B1199" s="12"/>
      <c r="C1199" s="12"/>
      <c r="D1199" s="18"/>
      <c r="E1199" s="19"/>
      <c r="F1199" s="18"/>
      <c r="G1199" s="19"/>
      <c r="H1199" s="18"/>
      <c r="I1199" s="19"/>
      <c r="J1199" s="18"/>
      <c r="K1199" s="19"/>
      <c r="L1199" s="18"/>
      <c r="M1199" s="19"/>
      <c r="N1199" s="18"/>
      <c r="O1199" s="19"/>
      <c r="P1199" s="12"/>
      <c r="Q1199" s="12"/>
      <c r="R1199" s="15"/>
      <c r="S1199" s="12"/>
      <c r="T1199" s="12"/>
      <c r="U1199" s="12"/>
      <c r="V1199" s="12"/>
      <c r="W1199" s="12"/>
      <c r="X1199" s="12"/>
      <c r="Y1199" s="12"/>
      <c r="Z1199" s="12"/>
    </row>
    <row x14ac:dyDescent="0.25" r="1200" customHeight="1" ht="15.75">
      <c r="A1200" s="17"/>
      <c r="B1200" s="12"/>
      <c r="C1200" s="12"/>
      <c r="D1200" s="18"/>
      <c r="E1200" s="19"/>
      <c r="F1200" s="18"/>
      <c r="G1200" s="19"/>
      <c r="H1200" s="18"/>
      <c r="I1200" s="19"/>
      <c r="J1200" s="18"/>
      <c r="K1200" s="19"/>
      <c r="L1200" s="18"/>
      <c r="M1200" s="19"/>
      <c r="N1200" s="18"/>
      <c r="O1200" s="19"/>
      <c r="P1200" s="12"/>
      <c r="Q1200" s="12"/>
      <c r="R1200" s="15"/>
      <c r="S1200" s="12"/>
      <c r="T1200" s="12"/>
      <c r="U1200" s="12"/>
      <c r="V1200" s="12"/>
      <c r="W1200" s="12"/>
      <c r="X1200" s="12"/>
      <c r="Y1200" s="12"/>
      <c r="Z1200" s="12"/>
    </row>
    <row x14ac:dyDescent="0.25" r="1201" customHeight="1" ht="15.75">
      <c r="A1201" s="17"/>
      <c r="B1201" s="12"/>
      <c r="C1201" s="12"/>
      <c r="D1201" s="18"/>
      <c r="E1201" s="19"/>
      <c r="F1201" s="18"/>
      <c r="G1201" s="19"/>
      <c r="H1201" s="18"/>
      <c r="I1201" s="19"/>
      <c r="J1201" s="18"/>
      <c r="K1201" s="19"/>
      <c r="L1201" s="18"/>
      <c r="M1201" s="19"/>
      <c r="N1201" s="18"/>
      <c r="O1201" s="19"/>
      <c r="P1201" s="12"/>
      <c r="Q1201" s="12"/>
      <c r="R1201" s="15"/>
      <c r="S1201" s="12"/>
      <c r="T1201" s="12"/>
      <c r="U1201" s="12"/>
      <c r="V1201" s="12"/>
      <c r="W1201" s="12"/>
      <c r="X1201" s="12"/>
      <c r="Y1201" s="12"/>
      <c r="Z1201" s="12"/>
    </row>
    <row x14ac:dyDescent="0.25" r="1202" customHeight="1" ht="15.75">
      <c r="A1202" s="17"/>
      <c r="B1202" s="12"/>
      <c r="C1202" s="12"/>
      <c r="D1202" s="18"/>
      <c r="E1202" s="19"/>
      <c r="F1202" s="18"/>
      <c r="G1202" s="19"/>
      <c r="H1202" s="18"/>
      <c r="I1202" s="19"/>
      <c r="J1202" s="18"/>
      <c r="K1202" s="19"/>
      <c r="L1202" s="18"/>
      <c r="M1202" s="19"/>
      <c r="N1202" s="18"/>
      <c r="O1202" s="19"/>
      <c r="P1202" s="12"/>
      <c r="Q1202" s="12"/>
      <c r="R1202" s="15"/>
      <c r="S1202" s="12"/>
      <c r="T1202" s="12"/>
      <c r="U1202" s="12"/>
      <c r="V1202" s="12"/>
      <c r="W1202" s="12"/>
      <c r="X1202" s="12"/>
      <c r="Y1202" s="12"/>
      <c r="Z1202" s="12"/>
    </row>
    <row x14ac:dyDescent="0.25" r="1203" customHeight="1" ht="15.75">
      <c r="A1203" s="17"/>
      <c r="B1203" s="12"/>
      <c r="C1203" s="12"/>
      <c r="D1203" s="18"/>
      <c r="E1203" s="19"/>
      <c r="F1203" s="18"/>
      <c r="G1203" s="19"/>
      <c r="H1203" s="18"/>
      <c r="I1203" s="19"/>
      <c r="J1203" s="18"/>
      <c r="K1203" s="19"/>
      <c r="L1203" s="18"/>
      <c r="M1203" s="19"/>
      <c r="N1203" s="18"/>
      <c r="O1203" s="19"/>
      <c r="P1203" s="12"/>
      <c r="Q1203" s="12"/>
      <c r="R1203" s="15"/>
      <c r="S1203" s="12"/>
      <c r="T1203" s="12"/>
      <c r="U1203" s="12"/>
      <c r="V1203" s="12"/>
      <c r="W1203" s="12"/>
      <c r="X1203" s="12"/>
      <c r="Y1203" s="12"/>
      <c r="Z1203" s="12"/>
    </row>
    <row x14ac:dyDescent="0.25" r="1204" customHeight="1" ht="15.75">
      <c r="A1204" s="17"/>
      <c r="B1204" s="12"/>
      <c r="C1204" s="12"/>
      <c r="D1204" s="18"/>
      <c r="E1204" s="19"/>
      <c r="F1204" s="18"/>
      <c r="G1204" s="19"/>
      <c r="H1204" s="18"/>
      <c r="I1204" s="19"/>
      <c r="J1204" s="18"/>
      <c r="K1204" s="19"/>
      <c r="L1204" s="18"/>
      <c r="M1204" s="19"/>
      <c r="N1204" s="18"/>
      <c r="O1204" s="19"/>
      <c r="P1204" s="12"/>
      <c r="Q1204" s="12"/>
      <c r="R1204" s="15"/>
      <c r="S1204" s="12"/>
      <c r="T1204" s="12"/>
      <c r="U1204" s="12"/>
      <c r="V1204" s="12"/>
      <c r="W1204" s="12"/>
      <c r="X1204" s="12"/>
      <c r="Y1204" s="12"/>
      <c r="Z1204" s="12"/>
    </row>
    <row x14ac:dyDescent="0.25" r="1205" customHeight="1" ht="15.75">
      <c r="A1205" s="17"/>
      <c r="B1205" s="12"/>
      <c r="C1205" s="12"/>
      <c r="D1205" s="18"/>
      <c r="E1205" s="19"/>
      <c r="F1205" s="18"/>
      <c r="G1205" s="19"/>
      <c r="H1205" s="18"/>
      <c r="I1205" s="19"/>
      <c r="J1205" s="18"/>
      <c r="K1205" s="19"/>
      <c r="L1205" s="18"/>
      <c r="M1205" s="19"/>
      <c r="N1205" s="18"/>
      <c r="O1205" s="19"/>
      <c r="P1205" s="12"/>
      <c r="Q1205" s="12"/>
      <c r="R1205" s="15"/>
      <c r="S1205" s="12"/>
      <c r="T1205" s="12"/>
      <c r="U1205" s="12"/>
      <c r="V1205" s="12"/>
      <c r="W1205" s="12"/>
      <c r="X1205" s="12"/>
      <c r="Y1205" s="12"/>
      <c r="Z1205" s="12"/>
    </row>
    <row x14ac:dyDescent="0.25" r="1206" customHeight="1" ht="15.75">
      <c r="A1206" s="17"/>
      <c r="B1206" s="12"/>
      <c r="C1206" s="12"/>
      <c r="D1206" s="18"/>
      <c r="E1206" s="19"/>
      <c r="F1206" s="18"/>
      <c r="G1206" s="19"/>
      <c r="H1206" s="18"/>
      <c r="I1206" s="19"/>
      <c r="J1206" s="18"/>
      <c r="K1206" s="19"/>
      <c r="L1206" s="18"/>
      <c r="M1206" s="19"/>
      <c r="N1206" s="18"/>
      <c r="O1206" s="19"/>
      <c r="P1206" s="12"/>
      <c r="Q1206" s="12"/>
      <c r="R1206" s="15"/>
      <c r="S1206" s="12"/>
      <c r="T1206" s="12"/>
      <c r="U1206" s="12"/>
      <c r="V1206" s="12"/>
      <c r="W1206" s="12"/>
      <c r="X1206" s="12"/>
      <c r="Y1206" s="12"/>
      <c r="Z1206" s="12"/>
    </row>
    <row x14ac:dyDescent="0.25" r="1207" customHeight="1" ht="15.75">
      <c r="A1207" s="17"/>
      <c r="B1207" s="12"/>
      <c r="C1207" s="12"/>
      <c r="D1207" s="18"/>
      <c r="E1207" s="19"/>
      <c r="F1207" s="18"/>
      <c r="G1207" s="19"/>
      <c r="H1207" s="18"/>
      <c r="I1207" s="19"/>
      <c r="J1207" s="18"/>
      <c r="K1207" s="19"/>
      <c r="L1207" s="18"/>
      <c r="M1207" s="19"/>
      <c r="N1207" s="18"/>
      <c r="O1207" s="19"/>
      <c r="P1207" s="12"/>
      <c r="Q1207" s="12"/>
      <c r="R1207" s="15"/>
      <c r="S1207" s="12"/>
      <c r="T1207" s="12"/>
      <c r="U1207" s="12"/>
      <c r="V1207" s="12"/>
      <c r="W1207" s="12"/>
      <c r="X1207" s="12"/>
      <c r="Y1207" s="12"/>
      <c r="Z1207" s="12"/>
    </row>
    <row x14ac:dyDescent="0.25" r="1208" customHeight="1" ht="15.75">
      <c r="A1208" s="17"/>
      <c r="B1208" s="12"/>
      <c r="C1208" s="12"/>
      <c r="D1208" s="18"/>
      <c r="E1208" s="19"/>
      <c r="F1208" s="18"/>
      <c r="G1208" s="19"/>
      <c r="H1208" s="18"/>
      <c r="I1208" s="19"/>
      <c r="J1208" s="18"/>
      <c r="K1208" s="19"/>
      <c r="L1208" s="18"/>
      <c r="M1208" s="19"/>
      <c r="N1208" s="18"/>
      <c r="O1208" s="19"/>
      <c r="P1208" s="12"/>
      <c r="Q1208" s="12"/>
      <c r="R1208" s="15"/>
      <c r="S1208" s="12"/>
      <c r="T1208" s="12"/>
      <c r="U1208" s="12"/>
      <c r="V1208" s="12"/>
      <c r="W1208" s="12"/>
      <c r="X1208" s="12"/>
      <c r="Y1208" s="12"/>
      <c r="Z1208" s="12"/>
    </row>
    <row x14ac:dyDescent="0.25" r="1209" customHeight="1" ht="15.75">
      <c r="A1209" s="17"/>
      <c r="B1209" s="12"/>
      <c r="C1209" s="12"/>
      <c r="D1209" s="18"/>
      <c r="E1209" s="19"/>
      <c r="F1209" s="18"/>
      <c r="G1209" s="19"/>
      <c r="H1209" s="18"/>
      <c r="I1209" s="19"/>
      <c r="J1209" s="18"/>
      <c r="K1209" s="19"/>
      <c r="L1209" s="18"/>
      <c r="M1209" s="19"/>
      <c r="N1209" s="18"/>
      <c r="O1209" s="19"/>
      <c r="P1209" s="12"/>
      <c r="Q1209" s="12"/>
      <c r="R1209" s="15"/>
      <c r="S1209" s="12"/>
      <c r="T1209" s="12"/>
      <c r="U1209" s="12"/>
      <c r="V1209" s="12"/>
      <c r="W1209" s="12"/>
      <c r="X1209" s="12"/>
      <c r="Y1209" s="12"/>
      <c r="Z1209" s="12"/>
    </row>
    <row x14ac:dyDescent="0.25" r="1210" customHeight="1" ht="15.75">
      <c r="A1210" s="17"/>
      <c r="B1210" s="12"/>
      <c r="C1210" s="12"/>
      <c r="D1210" s="18"/>
      <c r="E1210" s="19"/>
      <c r="F1210" s="18"/>
      <c r="G1210" s="19"/>
      <c r="H1210" s="18"/>
      <c r="I1210" s="19"/>
      <c r="J1210" s="18"/>
      <c r="K1210" s="19"/>
      <c r="L1210" s="18"/>
      <c r="M1210" s="19"/>
      <c r="N1210" s="18"/>
      <c r="O1210" s="19"/>
      <c r="P1210" s="12"/>
      <c r="Q1210" s="12"/>
      <c r="R1210" s="15"/>
      <c r="S1210" s="12"/>
      <c r="T1210" s="12"/>
      <c r="U1210" s="12"/>
      <c r="V1210" s="12"/>
      <c r="W1210" s="12"/>
      <c r="X1210" s="12"/>
      <c r="Y1210" s="12"/>
      <c r="Z1210" s="12"/>
    </row>
    <row x14ac:dyDescent="0.25" r="1211" customHeight="1" ht="15.75">
      <c r="A1211" s="17"/>
      <c r="B1211" s="12"/>
      <c r="C1211" s="12"/>
      <c r="D1211" s="18"/>
      <c r="E1211" s="19"/>
      <c r="F1211" s="18"/>
      <c r="G1211" s="19"/>
      <c r="H1211" s="18"/>
      <c r="I1211" s="19"/>
      <c r="J1211" s="18"/>
      <c r="K1211" s="19"/>
      <c r="L1211" s="18"/>
      <c r="M1211" s="19"/>
      <c r="N1211" s="18"/>
      <c r="O1211" s="19"/>
      <c r="P1211" s="12"/>
      <c r="Q1211" s="12"/>
      <c r="R1211" s="15"/>
      <c r="S1211" s="12"/>
      <c r="T1211" s="12"/>
      <c r="U1211" s="12"/>
      <c r="V1211" s="12"/>
      <c r="W1211" s="12"/>
      <c r="X1211" s="12"/>
      <c r="Y1211" s="12"/>
      <c r="Z1211" s="12"/>
    </row>
    <row x14ac:dyDescent="0.25" r="1212" customHeight="1" ht="15.75">
      <c r="A1212" s="17"/>
      <c r="B1212" s="12"/>
      <c r="C1212" s="12"/>
      <c r="D1212" s="18"/>
      <c r="E1212" s="19"/>
      <c r="F1212" s="18"/>
      <c r="G1212" s="19"/>
      <c r="H1212" s="18"/>
      <c r="I1212" s="19"/>
      <c r="J1212" s="18"/>
      <c r="K1212" s="19"/>
      <c r="L1212" s="18"/>
      <c r="M1212" s="19"/>
      <c r="N1212" s="18"/>
      <c r="O1212" s="19"/>
      <c r="P1212" s="12"/>
      <c r="Q1212" s="12"/>
      <c r="R1212" s="15"/>
      <c r="S1212" s="12"/>
      <c r="T1212" s="12"/>
      <c r="U1212" s="12"/>
      <c r="V1212" s="12"/>
      <c r="W1212" s="12"/>
      <c r="X1212" s="12"/>
      <c r="Y1212" s="12"/>
      <c r="Z1212" s="12"/>
    </row>
    <row x14ac:dyDescent="0.25" r="1213" customHeight="1" ht="15.75">
      <c r="A1213" s="17"/>
      <c r="B1213" s="12"/>
      <c r="C1213" s="12"/>
      <c r="D1213" s="18"/>
      <c r="E1213" s="19"/>
      <c r="F1213" s="18"/>
      <c r="G1213" s="19"/>
      <c r="H1213" s="18"/>
      <c r="I1213" s="19"/>
      <c r="J1213" s="18"/>
      <c r="K1213" s="19"/>
      <c r="L1213" s="18"/>
      <c r="M1213" s="19"/>
      <c r="N1213" s="18"/>
      <c r="O1213" s="19"/>
      <c r="P1213" s="12"/>
      <c r="Q1213" s="12"/>
      <c r="R1213" s="15"/>
      <c r="S1213" s="12"/>
      <c r="T1213" s="12"/>
      <c r="U1213" s="12"/>
      <c r="V1213" s="12"/>
      <c r="W1213" s="12"/>
      <c r="X1213" s="12"/>
      <c r="Y1213" s="12"/>
      <c r="Z1213" s="12"/>
    </row>
    <row x14ac:dyDescent="0.25" r="1214" customHeight="1" ht="15.75">
      <c r="A1214" s="17"/>
      <c r="B1214" s="12"/>
      <c r="C1214" s="12"/>
      <c r="D1214" s="18"/>
      <c r="E1214" s="19"/>
      <c r="F1214" s="18"/>
      <c r="G1214" s="19"/>
      <c r="H1214" s="18"/>
      <c r="I1214" s="19"/>
      <c r="J1214" s="18"/>
      <c r="K1214" s="19"/>
      <c r="L1214" s="18"/>
      <c r="M1214" s="19"/>
      <c r="N1214" s="18"/>
      <c r="O1214" s="19"/>
      <c r="P1214" s="12"/>
      <c r="Q1214" s="12"/>
      <c r="R1214" s="15"/>
      <c r="S1214" s="12"/>
      <c r="T1214" s="12"/>
      <c r="U1214" s="12"/>
      <c r="V1214" s="12"/>
      <c r="W1214" s="12"/>
      <c r="X1214" s="12"/>
      <c r="Y1214" s="12"/>
      <c r="Z1214" s="12"/>
    </row>
    <row x14ac:dyDescent="0.25" r="1215" customHeight="1" ht="15.75">
      <c r="A1215" s="17"/>
      <c r="B1215" s="12"/>
      <c r="C1215" s="12"/>
      <c r="D1215" s="18"/>
      <c r="E1215" s="19"/>
      <c r="F1215" s="18"/>
      <c r="G1215" s="19"/>
      <c r="H1215" s="18"/>
      <c r="I1215" s="19"/>
      <c r="J1215" s="18"/>
      <c r="K1215" s="19"/>
      <c r="L1215" s="18"/>
      <c r="M1215" s="19"/>
      <c r="N1215" s="18"/>
      <c r="O1215" s="19"/>
      <c r="P1215" s="12"/>
      <c r="Q1215" s="12"/>
      <c r="R1215" s="15"/>
      <c r="S1215" s="12"/>
      <c r="T1215" s="12"/>
      <c r="U1215" s="12"/>
      <c r="V1215" s="12"/>
      <c r="W1215" s="12"/>
      <c r="X1215" s="12"/>
      <c r="Y1215" s="12"/>
      <c r="Z1215" s="12"/>
    </row>
    <row x14ac:dyDescent="0.25" r="1216" customHeight="1" ht="15.75">
      <c r="A1216" s="17"/>
      <c r="B1216" s="12"/>
      <c r="C1216" s="12"/>
      <c r="D1216" s="18"/>
      <c r="E1216" s="19"/>
      <c r="F1216" s="18"/>
      <c r="G1216" s="19"/>
      <c r="H1216" s="18"/>
      <c r="I1216" s="19"/>
      <c r="J1216" s="18"/>
      <c r="K1216" s="19"/>
      <c r="L1216" s="18"/>
      <c r="M1216" s="19"/>
      <c r="N1216" s="18"/>
      <c r="O1216" s="19"/>
      <c r="P1216" s="12"/>
      <c r="Q1216" s="12"/>
      <c r="R1216" s="15"/>
      <c r="S1216" s="12"/>
      <c r="T1216" s="12"/>
      <c r="U1216" s="12"/>
      <c r="V1216" s="12"/>
      <c r="W1216" s="12"/>
      <c r="X1216" s="12"/>
      <c r="Y1216" s="12"/>
      <c r="Z1216" s="12"/>
    </row>
    <row x14ac:dyDescent="0.25" r="1217" customHeight="1" ht="15.75">
      <c r="A1217" s="17"/>
      <c r="B1217" s="12"/>
      <c r="C1217" s="12"/>
      <c r="D1217" s="18"/>
      <c r="E1217" s="19"/>
      <c r="F1217" s="18"/>
      <c r="G1217" s="19"/>
      <c r="H1217" s="18"/>
      <c r="I1217" s="19"/>
      <c r="J1217" s="18"/>
      <c r="K1217" s="19"/>
      <c r="L1217" s="18"/>
      <c r="M1217" s="19"/>
      <c r="N1217" s="18"/>
      <c r="O1217" s="19"/>
      <c r="P1217" s="12"/>
      <c r="Q1217" s="12"/>
      <c r="R1217" s="15"/>
      <c r="S1217" s="12"/>
      <c r="T1217" s="12"/>
      <c r="U1217" s="12"/>
      <c r="V1217" s="12"/>
      <c r="W1217" s="12"/>
      <c r="X1217" s="12"/>
      <c r="Y1217" s="12"/>
      <c r="Z1217" s="12"/>
    </row>
    <row x14ac:dyDescent="0.25" r="1218" customHeight="1" ht="15.75">
      <c r="A1218" s="17"/>
      <c r="B1218" s="12"/>
      <c r="C1218" s="12"/>
      <c r="D1218" s="18"/>
      <c r="E1218" s="19"/>
      <c r="F1218" s="18"/>
      <c r="G1218" s="19"/>
      <c r="H1218" s="18"/>
      <c r="I1218" s="19"/>
      <c r="J1218" s="18"/>
      <c r="K1218" s="19"/>
      <c r="L1218" s="18"/>
      <c r="M1218" s="19"/>
      <c r="N1218" s="18"/>
      <c r="O1218" s="19"/>
      <c r="P1218" s="12"/>
      <c r="Q1218" s="12"/>
      <c r="R1218" s="15"/>
      <c r="S1218" s="12"/>
      <c r="T1218" s="12"/>
      <c r="U1218" s="12"/>
      <c r="V1218" s="12"/>
      <c r="W1218" s="12"/>
      <c r="X1218" s="12"/>
      <c r="Y1218" s="12"/>
      <c r="Z1218" s="12"/>
    </row>
    <row x14ac:dyDescent="0.25" r="1219" customHeight="1" ht="15.75">
      <c r="A1219" s="17"/>
      <c r="B1219" s="12"/>
      <c r="C1219" s="12"/>
      <c r="D1219" s="18"/>
      <c r="E1219" s="19"/>
      <c r="F1219" s="18"/>
      <c r="G1219" s="19"/>
      <c r="H1219" s="18"/>
      <c r="I1219" s="19"/>
      <c r="J1219" s="18"/>
      <c r="K1219" s="19"/>
      <c r="L1219" s="18"/>
      <c r="M1219" s="19"/>
      <c r="N1219" s="18"/>
      <c r="O1219" s="19"/>
      <c r="P1219" s="12"/>
      <c r="Q1219" s="12"/>
      <c r="R1219" s="15"/>
      <c r="S1219" s="12"/>
      <c r="T1219" s="12"/>
      <c r="U1219" s="12"/>
      <c r="V1219" s="12"/>
      <c r="W1219" s="12"/>
      <c r="X1219" s="12"/>
      <c r="Y1219" s="12"/>
      <c r="Z1219" s="12"/>
    </row>
    <row x14ac:dyDescent="0.25" r="1220" customHeight="1" ht="15.75">
      <c r="A1220" s="17"/>
      <c r="B1220" s="12"/>
      <c r="C1220" s="12"/>
      <c r="D1220" s="18"/>
      <c r="E1220" s="19"/>
      <c r="F1220" s="18"/>
      <c r="G1220" s="19"/>
      <c r="H1220" s="18"/>
      <c r="I1220" s="19"/>
      <c r="J1220" s="18"/>
      <c r="K1220" s="19"/>
      <c r="L1220" s="18"/>
      <c r="M1220" s="19"/>
      <c r="N1220" s="18"/>
      <c r="O1220" s="19"/>
      <c r="P1220" s="12"/>
      <c r="Q1220" s="12"/>
      <c r="R1220" s="15"/>
      <c r="S1220" s="12"/>
      <c r="T1220" s="12"/>
      <c r="U1220" s="12"/>
      <c r="V1220" s="12"/>
      <c r="W1220" s="12"/>
      <c r="X1220" s="12"/>
      <c r="Y1220" s="12"/>
      <c r="Z1220" s="12"/>
    </row>
    <row x14ac:dyDescent="0.25" r="1221" customHeight="1" ht="15.75">
      <c r="A1221" s="17"/>
      <c r="B1221" s="12"/>
      <c r="C1221" s="12"/>
      <c r="D1221" s="18"/>
      <c r="E1221" s="19"/>
      <c r="F1221" s="18"/>
      <c r="G1221" s="19"/>
      <c r="H1221" s="18"/>
      <c r="I1221" s="19"/>
      <c r="J1221" s="18"/>
      <c r="K1221" s="19"/>
      <c r="L1221" s="18"/>
      <c r="M1221" s="19"/>
      <c r="N1221" s="18"/>
      <c r="O1221" s="19"/>
      <c r="P1221" s="12"/>
      <c r="Q1221" s="12"/>
      <c r="R1221" s="15"/>
      <c r="S1221" s="12"/>
      <c r="T1221" s="12"/>
      <c r="U1221" s="12"/>
      <c r="V1221" s="12"/>
      <c r="W1221" s="12"/>
      <c r="X1221" s="12"/>
      <c r="Y1221" s="12"/>
      <c r="Z1221" s="12"/>
    </row>
    <row x14ac:dyDescent="0.25" r="1222" customHeight="1" ht="15.75">
      <c r="A1222" s="17"/>
      <c r="B1222" s="12"/>
      <c r="C1222" s="12"/>
      <c r="D1222" s="18"/>
      <c r="E1222" s="19"/>
      <c r="F1222" s="18"/>
      <c r="G1222" s="19"/>
      <c r="H1222" s="18"/>
      <c r="I1222" s="19"/>
      <c r="J1222" s="18"/>
      <c r="K1222" s="19"/>
      <c r="L1222" s="18"/>
      <c r="M1222" s="19"/>
      <c r="N1222" s="18"/>
      <c r="O1222" s="19"/>
      <c r="P1222" s="12"/>
      <c r="Q1222" s="12"/>
      <c r="R1222" s="15"/>
      <c r="S1222" s="12"/>
      <c r="T1222" s="12"/>
      <c r="U1222" s="12"/>
      <c r="V1222" s="12"/>
      <c r="W1222" s="12"/>
      <c r="X1222" s="12"/>
      <c r="Y1222" s="12"/>
      <c r="Z1222" s="12"/>
    </row>
    <row x14ac:dyDescent="0.25" r="1223" customHeight="1" ht="15.75">
      <c r="A1223" s="17"/>
      <c r="B1223" s="12"/>
      <c r="C1223" s="12"/>
      <c r="D1223" s="18"/>
      <c r="E1223" s="19"/>
      <c r="F1223" s="18"/>
      <c r="G1223" s="19"/>
      <c r="H1223" s="18"/>
      <c r="I1223" s="19"/>
      <c r="J1223" s="18"/>
      <c r="K1223" s="19"/>
      <c r="L1223" s="18"/>
      <c r="M1223" s="19"/>
      <c r="N1223" s="18"/>
      <c r="O1223" s="19"/>
      <c r="P1223" s="12"/>
      <c r="Q1223" s="12"/>
      <c r="R1223" s="15"/>
      <c r="S1223" s="12"/>
      <c r="T1223" s="12"/>
      <c r="U1223" s="12"/>
      <c r="V1223" s="12"/>
      <c r="W1223" s="12"/>
      <c r="X1223" s="12"/>
      <c r="Y1223" s="12"/>
      <c r="Z1223" s="12"/>
    </row>
    <row x14ac:dyDescent="0.25" r="1224" customHeight="1" ht="15.75">
      <c r="A1224" s="17"/>
      <c r="B1224" s="12"/>
      <c r="C1224" s="12"/>
      <c r="D1224" s="18"/>
      <c r="E1224" s="19"/>
      <c r="F1224" s="18"/>
      <c r="G1224" s="19"/>
      <c r="H1224" s="18"/>
      <c r="I1224" s="19"/>
      <c r="J1224" s="18"/>
      <c r="K1224" s="19"/>
      <c r="L1224" s="18"/>
      <c r="M1224" s="19"/>
      <c r="N1224" s="18"/>
      <c r="O1224" s="19"/>
      <c r="P1224" s="12"/>
      <c r="Q1224" s="12"/>
      <c r="R1224" s="15"/>
      <c r="S1224" s="12"/>
      <c r="T1224" s="12"/>
      <c r="U1224" s="12"/>
      <c r="V1224" s="12"/>
      <c r="W1224" s="12"/>
      <c r="X1224" s="12"/>
      <c r="Y1224" s="12"/>
      <c r="Z1224" s="12"/>
    </row>
    <row x14ac:dyDescent="0.25" r="1225" customHeight="1" ht="15.75">
      <c r="A1225" s="17"/>
      <c r="B1225" s="12"/>
      <c r="C1225" s="12"/>
      <c r="D1225" s="18"/>
      <c r="E1225" s="19"/>
      <c r="F1225" s="18"/>
      <c r="G1225" s="19"/>
      <c r="H1225" s="18"/>
      <c r="I1225" s="19"/>
      <c r="J1225" s="18"/>
      <c r="K1225" s="19"/>
      <c r="L1225" s="18"/>
      <c r="M1225" s="19"/>
      <c r="N1225" s="18"/>
      <c r="O1225" s="19"/>
      <c r="P1225" s="12"/>
      <c r="Q1225" s="12"/>
      <c r="R1225" s="15"/>
      <c r="S1225" s="12"/>
      <c r="T1225" s="12"/>
      <c r="U1225" s="12"/>
      <c r="V1225" s="12"/>
      <c r="W1225" s="12"/>
      <c r="X1225" s="12"/>
      <c r="Y1225" s="12"/>
      <c r="Z1225" s="12"/>
    </row>
    <row x14ac:dyDescent="0.25" r="1226" customHeight="1" ht="15.75">
      <c r="A1226" s="17"/>
      <c r="B1226" s="12"/>
      <c r="C1226" s="12"/>
      <c r="D1226" s="18"/>
      <c r="E1226" s="19"/>
      <c r="F1226" s="18"/>
      <c r="G1226" s="19"/>
      <c r="H1226" s="18"/>
      <c r="I1226" s="19"/>
      <c r="J1226" s="18"/>
      <c r="K1226" s="19"/>
      <c r="L1226" s="18"/>
      <c r="M1226" s="19"/>
      <c r="N1226" s="18"/>
      <c r="O1226" s="19"/>
      <c r="P1226" s="12"/>
      <c r="Q1226" s="12"/>
      <c r="R1226" s="15"/>
      <c r="S1226" s="12"/>
      <c r="T1226" s="12"/>
      <c r="U1226" s="12"/>
      <c r="V1226" s="12"/>
      <c r="W1226" s="12"/>
      <c r="X1226" s="12"/>
      <c r="Y1226" s="12"/>
      <c r="Z1226" s="12"/>
    </row>
    <row x14ac:dyDescent="0.25" r="1227" customHeight="1" ht="15.75">
      <c r="A1227" s="17"/>
      <c r="B1227" s="12"/>
      <c r="C1227" s="12"/>
      <c r="D1227" s="18"/>
      <c r="E1227" s="19"/>
      <c r="F1227" s="18"/>
      <c r="G1227" s="19"/>
      <c r="H1227" s="18"/>
      <c r="I1227" s="19"/>
      <c r="J1227" s="18"/>
      <c r="K1227" s="19"/>
      <c r="L1227" s="18"/>
      <c r="M1227" s="19"/>
      <c r="N1227" s="18"/>
      <c r="O1227" s="19"/>
      <c r="P1227" s="12"/>
      <c r="Q1227" s="12"/>
      <c r="R1227" s="15"/>
      <c r="S1227" s="12"/>
      <c r="T1227" s="12"/>
      <c r="U1227" s="12"/>
      <c r="V1227" s="12"/>
      <c r="W1227" s="12"/>
      <c r="X1227" s="12"/>
      <c r="Y1227" s="12"/>
      <c r="Z1227" s="12"/>
    </row>
    <row x14ac:dyDescent="0.25" r="1228" customHeight="1" ht="15.75">
      <c r="A1228" s="17"/>
      <c r="B1228" s="12"/>
      <c r="C1228" s="12"/>
      <c r="D1228" s="18"/>
      <c r="E1228" s="19"/>
      <c r="F1228" s="18"/>
      <c r="G1228" s="19"/>
      <c r="H1228" s="18"/>
      <c r="I1228" s="19"/>
      <c r="J1228" s="18"/>
      <c r="K1228" s="19"/>
      <c r="L1228" s="18"/>
      <c r="M1228" s="19"/>
      <c r="N1228" s="18"/>
      <c r="O1228" s="19"/>
      <c r="P1228" s="12"/>
      <c r="Q1228" s="12"/>
      <c r="R1228" s="15"/>
      <c r="S1228" s="12"/>
      <c r="T1228" s="12"/>
      <c r="U1228" s="12"/>
      <c r="V1228" s="12"/>
      <c r="W1228" s="12"/>
      <c r="X1228" s="12"/>
      <c r="Y1228" s="12"/>
      <c r="Z1228" s="12"/>
    </row>
    <row x14ac:dyDescent="0.25" r="1229" customHeight="1" ht="15.75">
      <c r="A1229" s="17"/>
      <c r="B1229" s="12"/>
      <c r="C1229" s="12"/>
      <c r="D1229" s="18"/>
      <c r="E1229" s="19"/>
      <c r="F1229" s="18"/>
      <c r="G1229" s="19"/>
      <c r="H1229" s="18"/>
      <c r="I1229" s="19"/>
      <c r="J1229" s="18"/>
      <c r="K1229" s="19"/>
      <c r="L1229" s="18"/>
      <c r="M1229" s="19"/>
      <c r="N1229" s="18"/>
      <c r="O1229" s="19"/>
      <c r="P1229" s="12"/>
      <c r="Q1229" s="12"/>
      <c r="R1229" s="15"/>
      <c r="S1229" s="12"/>
      <c r="T1229" s="12"/>
      <c r="U1229" s="12"/>
      <c r="V1229" s="12"/>
      <c r="W1229" s="12"/>
      <c r="X1229" s="12"/>
      <c r="Y1229" s="12"/>
      <c r="Z1229" s="12"/>
    </row>
    <row x14ac:dyDescent="0.25" r="1230" customHeight="1" ht="15.75">
      <c r="A1230" s="17"/>
      <c r="B1230" s="12"/>
      <c r="C1230" s="12"/>
      <c r="D1230" s="18"/>
      <c r="E1230" s="19"/>
      <c r="F1230" s="18"/>
      <c r="G1230" s="19"/>
      <c r="H1230" s="18"/>
      <c r="I1230" s="19"/>
      <c r="J1230" s="18"/>
      <c r="K1230" s="19"/>
      <c r="L1230" s="18"/>
      <c r="M1230" s="19"/>
      <c r="N1230" s="18"/>
      <c r="O1230" s="19"/>
      <c r="P1230" s="12"/>
      <c r="Q1230" s="12"/>
      <c r="R1230" s="15"/>
      <c r="S1230" s="12"/>
      <c r="T1230" s="12"/>
      <c r="U1230" s="12"/>
      <c r="V1230" s="12"/>
      <c r="W1230" s="12"/>
      <c r="X1230" s="12"/>
      <c r="Y1230" s="12"/>
      <c r="Z1230" s="12"/>
    </row>
    <row x14ac:dyDescent="0.25" r="1231" customHeight="1" ht="15.75">
      <c r="A1231" s="17"/>
      <c r="B1231" s="12"/>
      <c r="C1231" s="12"/>
      <c r="D1231" s="18"/>
      <c r="E1231" s="19"/>
      <c r="F1231" s="18"/>
      <c r="G1231" s="19"/>
      <c r="H1231" s="18"/>
      <c r="I1231" s="19"/>
      <c r="J1231" s="18"/>
      <c r="K1231" s="19"/>
      <c r="L1231" s="18"/>
      <c r="M1231" s="19"/>
      <c r="N1231" s="18"/>
      <c r="O1231" s="19"/>
      <c r="P1231" s="12"/>
      <c r="Q1231" s="12"/>
      <c r="R1231" s="15"/>
      <c r="S1231" s="12"/>
      <c r="T1231" s="12"/>
      <c r="U1231" s="12"/>
      <c r="V1231" s="12"/>
      <c r="W1231" s="12"/>
      <c r="X1231" s="12"/>
      <c r="Y1231" s="12"/>
      <c r="Z1231" s="12"/>
    </row>
    <row x14ac:dyDescent="0.25" r="1232" customHeight="1" ht="15.75">
      <c r="A1232" s="17"/>
      <c r="B1232" s="12"/>
      <c r="C1232" s="12"/>
      <c r="D1232" s="18"/>
      <c r="E1232" s="19"/>
      <c r="F1232" s="18"/>
      <c r="G1232" s="19"/>
      <c r="H1232" s="18"/>
      <c r="I1232" s="19"/>
      <c r="J1232" s="18"/>
      <c r="K1232" s="19"/>
      <c r="L1232" s="18"/>
      <c r="M1232" s="19"/>
      <c r="N1232" s="18"/>
      <c r="O1232" s="19"/>
      <c r="P1232" s="12"/>
      <c r="Q1232" s="12"/>
      <c r="R1232" s="15"/>
      <c r="S1232" s="12"/>
      <c r="T1232" s="12"/>
      <c r="U1232" s="12"/>
      <c r="V1232" s="12"/>
      <c r="W1232" s="12"/>
      <c r="X1232" s="12"/>
      <c r="Y1232" s="12"/>
      <c r="Z1232" s="12"/>
    </row>
    <row x14ac:dyDescent="0.25" r="1233" customHeight="1" ht="15.75">
      <c r="A1233" s="17"/>
      <c r="B1233" s="12"/>
      <c r="C1233" s="12"/>
      <c r="D1233" s="18"/>
      <c r="E1233" s="19"/>
      <c r="F1233" s="18"/>
      <c r="G1233" s="19"/>
      <c r="H1233" s="18"/>
      <c r="I1233" s="19"/>
      <c r="J1233" s="18"/>
      <c r="K1233" s="19"/>
      <c r="L1233" s="18"/>
      <c r="M1233" s="19"/>
      <c r="N1233" s="18"/>
      <c r="O1233" s="19"/>
      <c r="P1233" s="12"/>
      <c r="Q1233" s="12"/>
      <c r="R1233" s="15"/>
      <c r="S1233" s="12"/>
      <c r="T1233" s="12"/>
      <c r="U1233" s="12"/>
      <c r="V1233" s="12"/>
      <c r="W1233" s="12"/>
      <c r="X1233" s="12"/>
      <c r="Y1233" s="12"/>
      <c r="Z1233" s="12"/>
    </row>
    <row x14ac:dyDescent="0.25" r="1234" customHeight="1" ht="15.75">
      <c r="A1234" s="17"/>
      <c r="B1234" s="12"/>
      <c r="C1234" s="12"/>
      <c r="D1234" s="18"/>
      <c r="E1234" s="19"/>
      <c r="F1234" s="18"/>
      <c r="G1234" s="19"/>
      <c r="H1234" s="18"/>
      <c r="I1234" s="19"/>
      <c r="J1234" s="18"/>
      <c r="K1234" s="19"/>
      <c r="L1234" s="18"/>
      <c r="M1234" s="19"/>
      <c r="N1234" s="18"/>
      <c r="O1234" s="19"/>
      <c r="P1234" s="12"/>
      <c r="Q1234" s="12"/>
      <c r="R1234" s="15"/>
      <c r="S1234" s="12"/>
      <c r="T1234" s="12"/>
      <c r="U1234" s="12"/>
      <c r="V1234" s="12"/>
      <c r="W1234" s="12"/>
      <c r="X1234" s="12"/>
      <c r="Y1234" s="12"/>
      <c r="Z1234" s="12"/>
    </row>
    <row x14ac:dyDescent="0.25" r="1235" customHeight="1" ht="15.75">
      <c r="A1235" s="17"/>
      <c r="B1235" s="12"/>
      <c r="C1235" s="12"/>
      <c r="D1235" s="18"/>
      <c r="E1235" s="19"/>
      <c r="F1235" s="18"/>
      <c r="G1235" s="19"/>
      <c r="H1235" s="18"/>
      <c r="I1235" s="19"/>
      <c r="J1235" s="18"/>
      <c r="K1235" s="19"/>
      <c r="L1235" s="18"/>
      <c r="M1235" s="19"/>
      <c r="N1235" s="18"/>
      <c r="O1235" s="19"/>
      <c r="P1235" s="12"/>
      <c r="Q1235" s="12"/>
      <c r="R1235" s="15"/>
      <c r="S1235" s="12"/>
      <c r="T1235" s="12"/>
      <c r="U1235" s="12"/>
      <c r="V1235" s="12"/>
      <c r="W1235" s="12"/>
      <c r="X1235" s="12"/>
      <c r="Y1235" s="12"/>
      <c r="Z1235" s="12"/>
    </row>
    <row x14ac:dyDescent="0.25" r="1236" customHeight="1" ht="15.75">
      <c r="A1236" s="17"/>
      <c r="B1236" s="12"/>
      <c r="C1236" s="12"/>
      <c r="D1236" s="18"/>
      <c r="E1236" s="19"/>
      <c r="F1236" s="18"/>
      <c r="G1236" s="19"/>
      <c r="H1236" s="18"/>
      <c r="I1236" s="19"/>
      <c r="J1236" s="18"/>
      <c r="K1236" s="19"/>
      <c r="L1236" s="18"/>
      <c r="M1236" s="19"/>
      <c r="N1236" s="18"/>
      <c r="O1236" s="19"/>
      <c r="P1236" s="12"/>
      <c r="Q1236" s="12"/>
      <c r="R1236" s="15"/>
      <c r="S1236" s="12"/>
      <c r="T1236" s="12"/>
      <c r="U1236" s="12"/>
      <c r="V1236" s="12"/>
      <c r="W1236" s="12"/>
      <c r="X1236" s="12"/>
      <c r="Y1236" s="12"/>
      <c r="Z1236" s="12"/>
    </row>
    <row x14ac:dyDescent="0.25" r="1237" customHeight="1" ht="15.75">
      <c r="A1237" s="17"/>
      <c r="B1237" s="12"/>
      <c r="C1237" s="12"/>
      <c r="D1237" s="18"/>
      <c r="E1237" s="19"/>
      <c r="F1237" s="18"/>
      <c r="G1237" s="19"/>
      <c r="H1237" s="18"/>
      <c r="I1237" s="19"/>
      <c r="J1237" s="18"/>
      <c r="K1237" s="19"/>
      <c r="L1237" s="18"/>
      <c r="M1237" s="19"/>
      <c r="N1237" s="18"/>
      <c r="O1237" s="19"/>
      <c r="P1237" s="12"/>
      <c r="Q1237" s="12"/>
      <c r="R1237" s="15"/>
      <c r="S1237" s="12"/>
      <c r="T1237" s="12"/>
      <c r="U1237" s="12"/>
      <c r="V1237" s="12"/>
      <c r="W1237" s="12"/>
      <c r="X1237" s="12"/>
      <c r="Y1237" s="12"/>
      <c r="Z1237" s="12"/>
    </row>
    <row x14ac:dyDescent="0.25" r="1238" customHeight="1" ht="15.75">
      <c r="A1238" s="17"/>
      <c r="B1238" s="12"/>
      <c r="C1238" s="12"/>
      <c r="D1238" s="18"/>
      <c r="E1238" s="19"/>
      <c r="F1238" s="18"/>
      <c r="G1238" s="19"/>
      <c r="H1238" s="18"/>
      <c r="I1238" s="19"/>
      <c r="J1238" s="18"/>
      <c r="K1238" s="19"/>
      <c r="L1238" s="18"/>
      <c r="M1238" s="19"/>
      <c r="N1238" s="18"/>
      <c r="O1238" s="19"/>
      <c r="P1238" s="12"/>
      <c r="Q1238" s="12"/>
      <c r="R1238" s="15"/>
      <c r="S1238" s="12"/>
      <c r="T1238" s="12"/>
      <c r="U1238" s="12"/>
      <c r="V1238" s="12"/>
      <c r="W1238" s="12"/>
      <c r="X1238" s="12"/>
      <c r="Y1238" s="12"/>
      <c r="Z1238" s="12"/>
    </row>
    <row x14ac:dyDescent="0.25" r="1239" customHeight="1" ht="15.75">
      <c r="A1239" s="17"/>
      <c r="B1239" s="12"/>
      <c r="C1239" s="12"/>
      <c r="D1239" s="18"/>
      <c r="E1239" s="19"/>
      <c r="F1239" s="18"/>
      <c r="G1239" s="19"/>
      <c r="H1239" s="18"/>
      <c r="I1239" s="19"/>
      <c r="J1239" s="18"/>
      <c r="K1239" s="19"/>
      <c r="L1239" s="18"/>
      <c r="M1239" s="19"/>
      <c r="N1239" s="18"/>
      <c r="O1239" s="19"/>
      <c r="P1239" s="12"/>
      <c r="Q1239" s="12"/>
      <c r="R1239" s="15"/>
      <c r="S1239" s="12"/>
      <c r="T1239" s="12"/>
      <c r="U1239" s="12"/>
      <c r="V1239" s="12"/>
      <c r="W1239" s="12"/>
      <c r="X1239" s="12"/>
      <c r="Y1239" s="12"/>
      <c r="Z1239" s="12"/>
    </row>
    <row x14ac:dyDescent="0.25" r="1240" customHeight="1" ht="15.75">
      <c r="A1240" s="17"/>
      <c r="B1240" s="12"/>
      <c r="C1240" s="12"/>
      <c r="D1240" s="18"/>
      <c r="E1240" s="19"/>
      <c r="F1240" s="18"/>
      <c r="G1240" s="19"/>
      <c r="H1240" s="18"/>
      <c r="I1240" s="19"/>
      <c r="J1240" s="18"/>
      <c r="K1240" s="19"/>
      <c r="L1240" s="18"/>
      <c r="M1240" s="19"/>
      <c r="N1240" s="18"/>
      <c r="O1240" s="19"/>
      <c r="P1240" s="12"/>
      <c r="Q1240" s="12"/>
      <c r="R1240" s="15"/>
      <c r="S1240" s="12"/>
      <c r="T1240" s="12"/>
      <c r="U1240" s="12"/>
      <c r="V1240" s="12"/>
      <c r="W1240" s="12"/>
      <c r="X1240" s="12"/>
      <c r="Y1240" s="12"/>
      <c r="Z1240" s="12"/>
    </row>
    <row x14ac:dyDescent="0.25" r="1241" customHeight="1" ht="15.75">
      <c r="A1241" s="17"/>
      <c r="B1241" s="12"/>
      <c r="C1241" s="12"/>
      <c r="D1241" s="18"/>
      <c r="E1241" s="19"/>
      <c r="F1241" s="18"/>
      <c r="G1241" s="19"/>
      <c r="H1241" s="18"/>
      <c r="I1241" s="19"/>
      <c r="J1241" s="18"/>
      <c r="K1241" s="19"/>
      <c r="L1241" s="18"/>
      <c r="M1241" s="19"/>
      <c r="N1241" s="18"/>
      <c r="O1241" s="19"/>
      <c r="P1241" s="12"/>
      <c r="Q1241" s="12"/>
      <c r="R1241" s="15"/>
      <c r="S1241" s="12"/>
      <c r="T1241" s="12"/>
      <c r="U1241" s="12"/>
      <c r="V1241" s="12"/>
      <c r="W1241" s="12"/>
      <c r="X1241" s="12"/>
      <c r="Y1241" s="12"/>
      <c r="Z1241" s="12"/>
    </row>
    <row x14ac:dyDescent="0.25" r="1242" customHeight="1" ht="15.75">
      <c r="A1242" s="17"/>
      <c r="B1242" s="12"/>
      <c r="C1242" s="12"/>
      <c r="D1242" s="18"/>
      <c r="E1242" s="19"/>
      <c r="F1242" s="18"/>
      <c r="G1242" s="19"/>
      <c r="H1242" s="18"/>
      <c r="I1242" s="19"/>
      <c r="J1242" s="18"/>
      <c r="K1242" s="19"/>
      <c r="L1242" s="18"/>
      <c r="M1242" s="19"/>
      <c r="N1242" s="18"/>
      <c r="O1242" s="19"/>
      <c r="P1242" s="12"/>
      <c r="Q1242" s="12"/>
      <c r="R1242" s="15"/>
      <c r="S1242" s="12"/>
      <c r="T1242" s="12"/>
      <c r="U1242" s="12"/>
      <c r="V1242" s="12"/>
      <c r="W1242" s="12"/>
      <c r="X1242" s="12"/>
      <c r="Y1242" s="12"/>
      <c r="Z1242" s="12"/>
    </row>
    <row x14ac:dyDescent="0.25" r="1243" customHeight="1" ht="15.75">
      <c r="A1243" s="17"/>
      <c r="B1243" s="12"/>
      <c r="C1243" s="12"/>
      <c r="D1243" s="18"/>
      <c r="E1243" s="19"/>
      <c r="F1243" s="18"/>
      <c r="G1243" s="19"/>
      <c r="H1243" s="18"/>
      <c r="I1243" s="19"/>
      <c r="J1243" s="18"/>
      <c r="K1243" s="19"/>
      <c r="L1243" s="18"/>
      <c r="M1243" s="19"/>
      <c r="N1243" s="18"/>
      <c r="O1243" s="19"/>
      <c r="P1243" s="12"/>
      <c r="Q1243" s="12"/>
      <c r="R1243" s="15"/>
      <c r="S1243" s="12"/>
      <c r="T1243" s="12"/>
      <c r="U1243" s="12"/>
      <c r="V1243" s="12"/>
      <c r="W1243" s="12"/>
      <c r="X1243" s="12"/>
      <c r="Y1243" s="12"/>
      <c r="Z1243" s="12"/>
    </row>
    <row x14ac:dyDescent="0.25" r="1244" customHeight="1" ht="15.75">
      <c r="A1244" s="17"/>
      <c r="B1244" s="12"/>
      <c r="C1244" s="12"/>
      <c r="D1244" s="18"/>
      <c r="E1244" s="19"/>
      <c r="F1244" s="18"/>
      <c r="G1244" s="19"/>
      <c r="H1244" s="18"/>
      <c r="I1244" s="19"/>
      <c r="J1244" s="18"/>
      <c r="K1244" s="19"/>
      <c r="L1244" s="18"/>
      <c r="M1244" s="19"/>
      <c r="N1244" s="18"/>
      <c r="O1244" s="19"/>
      <c r="P1244" s="12"/>
      <c r="Q1244" s="12"/>
      <c r="R1244" s="15"/>
      <c r="S1244" s="12"/>
      <c r="T1244" s="12"/>
      <c r="U1244" s="12"/>
      <c r="V1244" s="12"/>
      <c r="W1244" s="12"/>
      <c r="X1244" s="12"/>
      <c r="Y1244" s="12"/>
      <c r="Z1244" s="12"/>
    </row>
    <row x14ac:dyDescent="0.25" r="1245" customHeight="1" ht="15.75">
      <c r="A1245" s="17"/>
      <c r="B1245" s="12"/>
      <c r="C1245" s="12"/>
      <c r="D1245" s="18"/>
      <c r="E1245" s="19"/>
      <c r="F1245" s="18"/>
      <c r="G1245" s="19"/>
      <c r="H1245" s="18"/>
      <c r="I1245" s="19"/>
      <c r="J1245" s="18"/>
      <c r="K1245" s="19"/>
      <c r="L1245" s="18"/>
      <c r="M1245" s="19"/>
      <c r="N1245" s="18"/>
      <c r="O1245" s="19"/>
      <c r="P1245" s="12"/>
      <c r="Q1245" s="12"/>
      <c r="R1245" s="15"/>
      <c r="S1245" s="12"/>
      <c r="T1245" s="12"/>
      <c r="U1245" s="12"/>
      <c r="V1245" s="12"/>
      <c r="W1245" s="12"/>
      <c r="X1245" s="12"/>
      <c r="Y1245" s="12"/>
      <c r="Z1245" s="12"/>
    </row>
    <row x14ac:dyDescent="0.25" r="1246" customHeight="1" ht="15.75">
      <c r="A1246" s="17"/>
      <c r="B1246" s="12"/>
      <c r="C1246" s="12"/>
      <c r="D1246" s="18"/>
      <c r="E1246" s="19"/>
      <c r="F1246" s="18"/>
      <c r="G1246" s="19"/>
      <c r="H1246" s="18"/>
      <c r="I1246" s="19"/>
      <c r="J1246" s="18"/>
      <c r="K1246" s="19"/>
      <c r="L1246" s="18"/>
      <c r="M1246" s="19"/>
      <c r="N1246" s="18"/>
      <c r="O1246" s="19"/>
      <c r="P1246" s="12"/>
      <c r="Q1246" s="12"/>
      <c r="R1246" s="15"/>
      <c r="S1246" s="12"/>
      <c r="T1246" s="12"/>
      <c r="U1246" s="12"/>
      <c r="V1246" s="12"/>
      <c r="W1246" s="12"/>
      <c r="X1246" s="12"/>
      <c r="Y1246" s="12"/>
      <c r="Z1246" s="12"/>
    </row>
    <row x14ac:dyDescent="0.25" r="1247" customHeight="1" ht="15.75">
      <c r="A1247" s="17"/>
      <c r="B1247" s="12"/>
      <c r="C1247" s="12"/>
      <c r="D1247" s="18"/>
      <c r="E1247" s="19"/>
      <c r="F1247" s="18"/>
      <c r="G1247" s="19"/>
      <c r="H1247" s="18"/>
      <c r="I1247" s="19"/>
      <c r="J1247" s="18"/>
      <c r="K1247" s="19"/>
      <c r="L1247" s="18"/>
      <c r="M1247" s="19"/>
      <c r="N1247" s="18"/>
      <c r="O1247" s="19"/>
      <c r="P1247" s="12"/>
      <c r="Q1247" s="12"/>
      <c r="R1247" s="15"/>
      <c r="S1247" s="12"/>
      <c r="T1247" s="12"/>
      <c r="U1247" s="12"/>
      <c r="V1247" s="12"/>
      <c r="W1247" s="12"/>
      <c r="X1247" s="12"/>
      <c r="Y1247" s="12"/>
      <c r="Z1247" s="12"/>
    </row>
    <row x14ac:dyDescent="0.25" r="1248" customHeight="1" ht="15.75">
      <c r="A1248" s="17"/>
      <c r="B1248" s="12"/>
      <c r="C1248" s="12"/>
      <c r="D1248" s="18"/>
      <c r="E1248" s="19"/>
      <c r="F1248" s="18"/>
      <c r="G1248" s="19"/>
      <c r="H1248" s="18"/>
      <c r="I1248" s="19"/>
      <c r="J1248" s="18"/>
      <c r="K1248" s="19"/>
      <c r="L1248" s="18"/>
      <c r="M1248" s="19"/>
      <c r="N1248" s="18"/>
      <c r="O1248" s="19"/>
      <c r="P1248" s="12"/>
      <c r="Q1248" s="12"/>
      <c r="R1248" s="15"/>
      <c r="S1248" s="12"/>
      <c r="T1248" s="12"/>
      <c r="U1248" s="12"/>
      <c r="V1248" s="12"/>
      <c r="W1248" s="12"/>
      <c r="X1248" s="12"/>
      <c r="Y1248" s="12"/>
      <c r="Z1248" s="12"/>
    </row>
    <row x14ac:dyDescent="0.25" r="1249" customHeight="1" ht="15.75">
      <c r="A1249" s="17"/>
      <c r="B1249" s="12"/>
      <c r="C1249" s="12"/>
      <c r="D1249" s="18"/>
      <c r="E1249" s="19"/>
      <c r="F1249" s="18"/>
      <c r="G1249" s="19"/>
      <c r="H1249" s="18"/>
      <c r="I1249" s="19"/>
      <c r="J1249" s="18"/>
      <c r="K1249" s="19"/>
      <c r="L1249" s="18"/>
      <c r="M1249" s="19"/>
      <c r="N1249" s="18"/>
      <c r="O1249" s="19"/>
      <c r="P1249" s="12"/>
      <c r="Q1249" s="12"/>
      <c r="R1249" s="15"/>
      <c r="S1249" s="12"/>
      <c r="T1249" s="12"/>
      <c r="U1249" s="12"/>
      <c r="V1249" s="12"/>
      <c r="W1249" s="12"/>
      <c r="X1249" s="12"/>
      <c r="Y1249" s="12"/>
      <c r="Z1249" s="12"/>
    </row>
    <row x14ac:dyDescent="0.25" r="1250" customHeight="1" ht="15.75">
      <c r="A1250" s="17"/>
      <c r="B1250" s="12"/>
      <c r="C1250" s="12"/>
      <c r="D1250" s="18"/>
      <c r="E1250" s="19"/>
      <c r="F1250" s="18"/>
      <c r="G1250" s="19"/>
      <c r="H1250" s="18"/>
      <c r="I1250" s="19"/>
      <c r="J1250" s="18"/>
      <c r="K1250" s="19"/>
      <c r="L1250" s="18"/>
      <c r="M1250" s="19"/>
      <c r="N1250" s="18"/>
      <c r="O1250" s="19"/>
      <c r="P1250" s="12"/>
      <c r="Q1250" s="12"/>
      <c r="R1250" s="15"/>
      <c r="S1250" s="12"/>
      <c r="T1250" s="12"/>
      <c r="U1250" s="12"/>
      <c r="V1250" s="12"/>
      <c r="W1250" s="12"/>
      <c r="X1250" s="12"/>
      <c r="Y1250" s="12"/>
      <c r="Z1250" s="12"/>
    </row>
    <row x14ac:dyDescent="0.25" r="1251" customHeight="1" ht="15.75">
      <c r="A1251" s="17"/>
      <c r="B1251" s="12"/>
      <c r="C1251" s="12"/>
      <c r="D1251" s="18"/>
      <c r="E1251" s="19"/>
      <c r="F1251" s="18"/>
      <c r="G1251" s="19"/>
      <c r="H1251" s="18"/>
      <c r="I1251" s="19"/>
      <c r="J1251" s="18"/>
      <c r="K1251" s="19"/>
      <c r="L1251" s="18"/>
      <c r="M1251" s="19"/>
      <c r="N1251" s="18"/>
      <c r="O1251" s="19"/>
      <c r="P1251" s="12"/>
      <c r="Q1251" s="12"/>
      <c r="R1251" s="15"/>
      <c r="S1251" s="12"/>
      <c r="T1251" s="12"/>
      <c r="U1251" s="12"/>
      <c r="V1251" s="12"/>
      <c r="W1251" s="12"/>
      <c r="X1251" s="12"/>
      <c r="Y1251" s="12"/>
      <c r="Z1251" s="12"/>
    </row>
    <row x14ac:dyDescent="0.25" r="1252" customHeight="1" ht="15.75">
      <c r="A1252" s="17"/>
      <c r="B1252" s="12"/>
      <c r="C1252" s="12"/>
      <c r="D1252" s="18"/>
      <c r="E1252" s="19"/>
      <c r="F1252" s="18"/>
      <c r="G1252" s="19"/>
      <c r="H1252" s="18"/>
      <c r="I1252" s="19"/>
      <c r="J1252" s="18"/>
      <c r="K1252" s="19"/>
      <c r="L1252" s="18"/>
      <c r="M1252" s="19"/>
      <c r="N1252" s="18"/>
      <c r="O1252" s="19"/>
      <c r="P1252" s="12"/>
      <c r="Q1252" s="12"/>
      <c r="R1252" s="15"/>
      <c r="S1252" s="12"/>
      <c r="T1252" s="12"/>
      <c r="U1252" s="12"/>
      <c r="V1252" s="12"/>
      <c r="W1252" s="12"/>
      <c r="X1252" s="12"/>
      <c r="Y1252" s="12"/>
      <c r="Z1252" s="12"/>
    </row>
    <row x14ac:dyDescent="0.25" r="1253" customHeight="1" ht="15.75">
      <c r="A1253" s="17"/>
      <c r="B1253" s="12"/>
      <c r="C1253" s="12"/>
      <c r="D1253" s="18"/>
      <c r="E1253" s="19"/>
      <c r="F1253" s="18"/>
      <c r="G1253" s="19"/>
      <c r="H1253" s="18"/>
      <c r="I1253" s="19"/>
      <c r="J1253" s="18"/>
      <c r="K1253" s="19"/>
      <c r="L1253" s="18"/>
      <c r="M1253" s="19"/>
      <c r="N1253" s="18"/>
      <c r="O1253" s="19"/>
      <c r="P1253" s="12"/>
      <c r="Q1253" s="12"/>
      <c r="R1253" s="15"/>
      <c r="S1253" s="12"/>
      <c r="T1253" s="12"/>
      <c r="U1253" s="12"/>
      <c r="V1253" s="12"/>
      <c r="W1253" s="12"/>
      <c r="X1253" s="12"/>
      <c r="Y1253" s="12"/>
      <c r="Z1253" s="12"/>
    </row>
    <row x14ac:dyDescent="0.25" r="1254" customHeight="1" ht="15.75">
      <c r="A1254" s="17"/>
      <c r="B1254" s="12"/>
      <c r="C1254" s="12"/>
      <c r="D1254" s="18"/>
      <c r="E1254" s="19"/>
      <c r="F1254" s="18"/>
      <c r="G1254" s="19"/>
      <c r="H1254" s="18"/>
      <c r="I1254" s="19"/>
      <c r="J1254" s="18"/>
      <c r="K1254" s="19"/>
      <c r="L1254" s="18"/>
      <c r="M1254" s="19"/>
      <c r="N1254" s="18"/>
      <c r="O1254" s="19"/>
      <c r="P1254" s="12"/>
      <c r="Q1254" s="12"/>
      <c r="R1254" s="15"/>
      <c r="S1254" s="12"/>
      <c r="T1254" s="12"/>
      <c r="U1254" s="12"/>
      <c r="V1254" s="12"/>
      <c r="W1254" s="12"/>
      <c r="X1254" s="12"/>
      <c r="Y1254" s="12"/>
      <c r="Z1254" s="12"/>
    </row>
    <row x14ac:dyDescent="0.25" r="1255" customHeight="1" ht="15.75">
      <c r="A1255" s="17"/>
      <c r="B1255" s="12"/>
      <c r="C1255" s="12"/>
      <c r="D1255" s="18"/>
      <c r="E1255" s="19"/>
      <c r="F1255" s="18"/>
      <c r="G1255" s="19"/>
      <c r="H1255" s="18"/>
      <c r="I1255" s="19"/>
      <c r="J1255" s="18"/>
      <c r="K1255" s="19"/>
      <c r="L1255" s="18"/>
      <c r="M1255" s="19"/>
      <c r="N1255" s="18"/>
      <c r="O1255" s="19"/>
      <c r="P1255" s="12"/>
      <c r="Q1255" s="12"/>
      <c r="R1255" s="15"/>
      <c r="S1255" s="12"/>
      <c r="T1255" s="12"/>
      <c r="U1255" s="12"/>
      <c r="V1255" s="12"/>
      <c r="W1255" s="12"/>
      <c r="X1255" s="12"/>
      <c r="Y1255" s="12"/>
      <c r="Z1255" s="12"/>
    </row>
    <row x14ac:dyDescent="0.25" r="1256" customHeight="1" ht="15.75">
      <c r="A1256" s="17"/>
      <c r="B1256" s="12"/>
      <c r="C1256" s="12"/>
      <c r="D1256" s="18"/>
      <c r="E1256" s="19"/>
      <c r="F1256" s="18"/>
      <c r="G1256" s="19"/>
      <c r="H1256" s="18"/>
      <c r="I1256" s="19"/>
      <c r="J1256" s="18"/>
      <c r="K1256" s="19"/>
      <c r="L1256" s="18"/>
      <c r="M1256" s="19"/>
      <c r="N1256" s="18"/>
      <c r="O1256" s="19"/>
      <c r="P1256" s="12"/>
      <c r="Q1256" s="12"/>
      <c r="R1256" s="15"/>
      <c r="S1256" s="12"/>
      <c r="T1256" s="12"/>
      <c r="U1256" s="12"/>
      <c r="V1256" s="12"/>
      <c r="W1256" s="12"/>
      <c r="X1256" s="12"/>
      <c r="Y1256" s="12"/>
      <c r="Z1256" s="12"/>
    </row>
    <row x14ac:dyDescent="0.25" r="1257" customHeight="1" ht="15.75">
      <c r="A1257" s="17"/>
      <c r="B1257" s="12"/>
      <c r="C1257" s="12"/>
      <c r="D1257" s="18"/>
      <c r="E1257" s="19"/>
      <c r="F1257" s="18"/>
      <c r="G1257" s="19"/>
      <c r="H1257" s="18"/>
      <c r="I1257" s="19"/>
      <c r="J1257" s="18"/>
      <c r="K1257" s="19"/>
      <c r="L1257" s="18"/>
      <c r="M1257" s="19"/>
      <c r="N1257" s="18"/>
      <c r="O1257" s="19"/>
      <c r="P1257" s="12"/>
      <c r="Q1257" s="12"/>
      <c r="R1257" s="15"/>
      <c r="S1257" s="12"/>
      <c r="T1257" s="12"/>
      <c r="U1257" s="12"/>
      <c r="V1257" s="12"/>
      <c r="W1257" s="12"/>
      <c r="X1257" s="12"/>
      <c r="Y1257" s="12"/>
      <c r="Z1257" s="12"/>
    </row>
    <row x14ac:dyDescent="0.25" r="1258" customHeight="1" ht="15.75">
      <c r="A1258" s="17"/>
      <c r="B1258" s="12"/>
      <c r="C1258" s="12"/>
      <c r="D1258" s="18"/>
      <c r="E1258" s="19"/>
      <c r="F1258" s="18"/>
      <c r="G1258" s="19"/>
      <c r="H1258" s="18"/>
      <c r="I1258" s="19"/>
      <c r="J1258" s="18"/>
      <c r="K1258" s="19"/>
      <c r="L1258" s="18"/>
      <c r="M1258" s="19"/>
      <c r="N1258" s="18"/>
      <c r="O1258" s="19"/>
      <c r="P1258" s="12"/>
      <c r="Q1258" s="12"/>
      <c r="R1258" s="15"/>
      <c r="S1258" s="12"/>
      <c r="T1258" s="12"/>
      <c r="U1258" s="12"/>
      <c r="V1258" s="12"/>
      <c r="W1258" s="12"/>
      <c r="X1258" s="12"/>
      <c r="Y1258" s="12"/>
      <c r="Z1258" s="12"/>
    </row>
    <row x14ac:dyDescent="0.25" r="1259" customHeight="1" ht="15.75">
      <c r="A1259" s="17"/>
      <c r="B1259" s="12"/>
      <c r="C1259" s="12"/>
      <c r="D1259" s="18"/>
      <c r="E1259" s="19"/>
      <c r="F1259" s="18"/>
      <c r="G1259" s="19"/>
      <c r="H1259" s="18"/>
      <c r="I1259" s="19"/>
      <c r="J1259" s="18"/>
      <c r="K1259" s="19"/>
      <c r="L1259" s="18"/>
      <c r="M1259" s="19"/>
      <c r="N1259" s="18"/>
      <c r="O1259" s="19"/>
      <c r="P1259" s="12"/>
      <c r="Q1259" s="12"/>
      <c r="R1259" s="15"/>
      <c r="S1259" s="12"/>
      <c r="T1259" s="12"/>
      <c r="U1259" s="12"/>
      <c r="V1259" s="12"/>
      <c r="W1259" s="12"/>
      <c r="X1259" s="12"/>
      <c r="Y1259" s="12"/>
      <c r="Z1259" s="12"/>
    </row>
    <row x14ac:dyDescent="0.25" r="1260" customHeight="1" ht="15.75">
      <c r="A1260" s="17"/>
      <c r="B1260" s="12"/>
      <c r="C1260" s="12"/>
      <c r="D1260" s="18"/>
      <c r="E1260" s="19"/>
      <c r="F1260" s="18"/>
      <c r="G1260" s="19"/>
      <c r="H1260" s="18"/>
      <c r="I1260" s="19"/>
      <c r="J1260" s="18"/>
      <c r="K1260" s="19"/>
      <c r="L1260" s="18"/>
      <c r="M1260" s="19"/>
      <c r="N1260" s="18"/>
      <c r="O1260" s="19"/>
      <c r="P1260" s="12"/>
      <c r="Q1260" s="12"/>
      <c r="R1260" s="15"/>
      <c r="S1260" s="12"/>
      <c r="T1260" s="12"/>
      <c r="U1260" s="12"/>
      <c r="V1260" s="12"/>
      <c r="W1260" s="12"/>
      <c r="X1260" s="12"/>
      <c r="Y1260" s="12"/>
      <c r="Z1260" s="12"/>
    </row>
    <row x14ac:dyDescent="0.25" r="1261" customHeight="1" ht="15.75">
      <c r="A1261" s="17"/>
      <c r="B1261" s="12"/>
      <c r="C1261" s="12"/>
      <c r="D1261" s="18"/>
      <c r="E1261" s="19"/>
      <c r="F1261" s="18"/>
      <c r="G1261" s="19"/>
      <c r="H1261" s="18"/>
      <c r="I1261" s="19"/>
      <c r="J1261" s="18"/>
      <c r="K1261" s="19"/>
      <c r="L1261" s="18"/>
      <c r="M1261" s="19"/>
      <c r="N1261" s="18"/>
      <c r="O1261" s="19"/>
      <c r="P1261" s="12"/>
      <c r="Q1261" s="12"/>
      <c r="R1261" s="15"/>
      <c r="S1261" s="12"/>
      <c r="T1261" s="12"/>
      <c r="U1261" s="12"/>
      <c r="V1261" s="12"/>
      <c r="W1261" s="12"/>
      <c r="X1261" s="12"/>
      <c r="Y1261" s="12"/>
      <c r="Z1261" s="12"/>
    </row>
    <row x14ac:dyDescent="0.25" r="1262" customHeight="1" ht="15.75">
      <c r="A1262" s="17"/>
      <c r="B1262" s="12"/>
      <c r="C1262" s="12"/>
      <c r="D1262" s="18"/>
      <c r="E1262" s="19"/>
      <c r="F1262" s="18"/>
      <c r="G1262" s="19"/>
      <c r="H1262" s="18"/>
      <c r="I1262" s="19"/>
      <c r="J1262" s="18"/>
      <c r="K1262" s="19"/>
      <c r="L1262" s="18"/>
      <c r="M1262" s="19"/>
      <c r="N1262" s="18"/>
      <c r="O1262" s="19"/>
      <c r="P1262" s="12"/>
      <c r="Q1262" s="12"/>
      <c r="R1262" s="15"/>
      <c r="S1262" s="12"/>
      <c r="T1262" s="12"/>
      <c r="U1262" s="12"/>
      <c r="V1262" s="12"/>
      <c r="W1262" s="12"/>
      <c r="X1262" s="12"/>
      <c r="Y1262" s="12"/>
      <c r="Z1262" s="12"/>
    </row>
    <row x14ac:dyDescent="0.25" r="1263" customHeight="1" ht="15.75">
      <c r="A1263" s="17"/>
      <c r="B1263" s="12"/>
      <c r="C1263" s="12"/>
      <c r="D1263" s="18"/>
      <c r="E1263" s="19"/>
      <c r="F1263" s="18"/>
      <c r="G1263" s="19"/>
      <c r="H1263" s="18"/>
      <c r="I1263" s="19"/>
      <c r="J1263" s="18"/>
      <c r="K1263" s="19"/>
      <c r="L1263" s="18"/>
      <c r="M1263" s="19"/>
      <c r="N1263" s="18"/>
      <c r="O1263" s="19"/>
      <c r="P1263" s="12"/>
      <c r="Q1263" s="12"/>
      <c r="R1263" s="15"/>
      <c r="S1263" s="12"/>
      <c r="T1263" s="12"/>
      <c r="U1263" s="12"/>
      <c r="V1263" s="12"/>
      <c r="W1263" s="12"/>
      <c r="X1263" s="12"/>
      <c r="Y1263" s="12"/>
      <c r="Z1263" s="12"/>
    </row>
    <row x14ac:dyDescent="0.25" r="1264" customHeight="1" ht="15.75">
      <c r="A1264" s="17"/>
      <c r="B1264" s="12"/>
      <c r="C1264" s="12"/>
      <c r="D1264" s="18"/>
      <c r="E1264" s="19"/>
      <c r="F1264" s="18"/>
      <c r="G1264" s="19"/>
      <c r="H1264" s="18"/>
      <c r="I1264" s="19"/>
      <c r="J1264" s="18"/>
      <c r="K1264" s="19"/>
      <c r="L1264" s="18"/>
      <c r="M1264" s="19"/>
      <c r="N1264" s="18"/>
      <c r="O1264" s="19"/>
      <c r="P1264" s="12"/>
      <c r="Q1264" s="12"/>
      <c r="R1264" s="15"/>
      <c r="S1264" s="12"/>
      <c r="T1264" s="12"/>
      <c r="U1264" s="12"/>
      <c r="V1264" s="12"/>
      <c r="W1264" s="12"/>
      <c r="X1264" s="12"/>
      <c r="Y1264" s="12"/>
      <c r="Z1264" s="12"/>
    </row>
    <row x14ac:dyDescent="0.25" r="1265" customHeight="1" ht="15.75">
      <c r="A1265" s="17"/>
      <c r="B1265" s="12"/>
      <c r="C1265" s="12"/>
      <c r="D1265" s="18"/>
      <c r="E1265" s="19"/>
      <c r="F1265" s="18"/>
      <c r="G1265" s="19"/>
      <c r="H1265" s="18"/>
      <c r="I1265" s="19"/>
      <c r="J1265" s="18"/>
      <c r="K1265" s="19"/>
      <c r="L1265" s="18"/>
      <c r="M1265" s="19"/>
      <c r="N1265" s="18"/>
      <c r="O1265" s="19"/>
      <c r="P1265" s="12"/>
      <c r="Q1265" s="12"/>
      <c r="R1265" s="15"/>
      <c r="S1265" s="12"/>
      <c r="T1265" s="12"/>
      <c r="U1265" s="12"/>
      <c r="V1265" s="12"/>
      <c r="W1265" s="12"/>
      <c r="X1265" s="12"/>
      <c r="Y1265" s="12"/>
      <c r="Z1265" s="12"/>
    </row>
    <row x14ac:dyDescent="0.25" r="1266" customHeight="1" ht="15.75">
      <c r="A1266" s="17"/>
      <c r="B1266" s="12"/>
      <c r="C1266" s="12"/>
      <c r="D1266" s="18"/>
      <c r="E1266" s="19"/>
      <c r="F1266" s="18"/>
      <c r="G1266" s="19"/>
      <c r="H1266" s="18"/>
      <c r="I1266" s="19"/>
      <c r="J1266" s="18"/>
      <c r="K1266" s="19"/>
      <c r="L1266" s="18"/>
      <c r="M1266" s="19"/>
      <c r="N1266" s="18"/>
      <c r="O1266" s="19"/>
      <c r="P1266" s="12"/>
      <c r="Q1266" s="12"/>
      <c r="R1266" s="15"/>
      <c r="S1266" s="12"/>
      <c r="T1266" s="12"/>
      <c r="U1266" s="12"/>
      <c r="V1266" s="12"/>
      <c r="W1266" s="12"/>
      <c r="X1266" s="12"/>
      <c r="Y1266" s="12"/>
      <c r="Z1266" s="12"/>
    </row>
    <row x14ac:dyDescent="0.25" r="1267" customHeight="1" ht="15.75">
      <c r="A1267" s="17"/>
      <c r="B1267" s="12"/>
      <c r="C1267" s="12"/>
      <c r="D1267" s="18"/>
      <c r="E1267" s="19"/>
      <c r="F1267" s="18"/>
      <c r="G1267" s="19"/>
      <c r="H1267" s="18"/>
      <c r="I1267" s="19"/>
      <c r="J1267" s="18"/>
      <c r="K1267" s="19"/>
      <c r="L1267" s="18"/>
      <c r="M1267" s="19"/>
      <c r="N1267" s="18"/>
      <c r="O1267" s="19"/>
      <c r="P1267" s="12"/>
      <c r="Q1267" s="12"/>
      <c r="R1267" s="15"/>
      <c r="S1267" s="12"/>
      <c r="T1267" s="12"/>
      <c r="U1267" s="12"/>
      <c r="V1267" s="12"/>
      <c r="W1267" s="12"/>
      <c r="X1267" s="12"/>
      <c r="Y1267" s="12"/>
      <c r="Z1267" s="12"/>
    </row>
    <row x14ac:dyDescent="0.25" r="1268" customHeight="1" ht="15.75">
      <c r="A1268" s="17"/>
      <c r="B1268" s="12"/>
      <c r="C1268" s="12"/>
      <c r="D1268" s="18"/>
      <c r="E1268" s="19"/>
      <c r="F1268" s="18"/>
      <c r="G1268" s="19"/>
      <c r="H1268" s="18"/>
      <c r="I1268" s="19"/>
      <c r="J1268" s="18"/>
      <c r="K1268" s="19"/>
      <c r="L1268" s="18"/>
      <c r="M1268" s="19"/>
      <c r="N1268" s="18"/>
      <c r="O1268" s="19"/>
      <c r="P1268" s="12"/>
      <c r="Q1268" s="12"/>
      <c r="R1268" s="15"/>
      <c r="S1268" s="12"/>
      <c r="T1268" s="12"/>
      <c r="U1268" s="12"/>
      <c r="V1268" s="12"/>
      <c r="W1268" s="12"/>
      <c r="X1268" s="12"/>
      <c r="Y1268" s="12"/>
      <c r="Z1268" s="12"/>
    </row>
    <row x14ac:dyDescent="0.25" r="1269" customHeight="1" ht="15.75">
      <c r="A1269" s="17"/>
      <c r="B1269" s="12"/>
      <c r="C1269" s="12"/>
      <c r="D1269" s="18"/>
      <c r="E1269" s="19"/>
      <c r="F1269" s="18"/>
      <c r="G1269" s="19"/>
      <c r="H1269" s="18"/>
      <c r="I1269" s="19"/>
      <c r="J1269" s="18"/>
      <c r="K1269" s="19"/>
      <c r="L1269" s="18"/>
      <c r="M1269" s="19"/>
      <c r="N1269" s="18"/>
      <c r="O1269" s="19"/>
      <c r="P1269" s="12"/>
      <c r="Q1269" s="12"/>
      <c r="R1269" s="15"/>
      <c r="S1269" s="12"/>
      <c r="T1269" s="12"/>
      <c r="U1269" s="12"/>
      <c r="V1269" s="12"/>
      <c r="W1269" s="12"/>
      <c r="X1269" s="12"/>
      <c r="Y1269" s="12"/>
      <c r="Z1269" s="12"/>
    </row>
    <row x14ac:dyDescent="0.25" r="1270" customHeight="1" ht="15.75">
      <c r="A1270" s="17"/>
      <c r="B1270" s="12"/>
      <c r="C1270" s="12"/>
      <c r="D1270" s="18"/>
      <c r="E1270" s="19"/>
      <c r="F1270" s="18"/>
      <c r="G1270" s="19"/>
      <c r="H1270" s="18"/>
      <c r="I1270" s="19"/>
      <c r="J1270" s="18"/>
      <c r="K1270" s="19"/>
      <c r="L1270" s="18"/>
      <c r="M1270" s="19"/>
      <c r="N1270" s="18"/>
      <c r="O1270" s="19"/>
      <c r="P1270" s="12"/>
      <c r="Q1270" s="12"/>
      <c r="R1270" s="15"/>
      <c r="S1270" s="12"/>
      <c r="T1270" s="12"/>
      <c r="U1270" s="12"/>
      <c r="V1270" s="12"/>
      <c r="W1270" s="12"/>
      <c r="X1270" s="12"/>
      <c r="Y1270" s="12"/>
      <c r="Z1270" s="12"/>
    </row>
    <row x14ac:dyDescent="0.25" r="1271" customHeight="1" ht="15.75">
      <c r="A1271" s="17"/>
      <c r="B1271" s="12"/>
      <c r="C1271" s="12"/>
      <c r="D1271" s="18"/>
      <c r="E1271" s="19"/>
      <c r="F1271" s="18"/>
      <c r="G1271" s="19"/>
      <c r="H1271" s="18"/>
      <c r="I1271" s="19"/>
      <c r="J1271" s="18"/>
      <c r="K1271" s="19"/>
      <c r="L1271" s="18"/>
      <c r="M1271" s="19"/>
      <c r="N1271" s="18"/>
      <c r="O1271" s="19"/>
      <c r="P1271" s="12"/>
      <c r="Q1271" s="12"/>
      <c r="R1271" s="15"/>
      <c r="S1271" s="12"/>
      <c r="T1271" s="12"/>
      <c r="U1271" s="12"/>
      <c r="V1271" s="12"/>
      <c r="W1271" s="12"/>
      <c r="X1271" s="12"/>
      <c r="Y1271" s="12"/>
      <c r="Z1271" s="12"/>
    </row>
    <row x14ac:dyDescent="0.25" r="1272" customHeight="1" ht="15.75">
      <c r="A1272" s="17"/>
      <c r="B1272" s="12"/>
      <c r="C1272" s="12"/>
      <c r="D1272" s="18"/>
      <c r="E1272" s="19"/>
      <c r="F1272" s="18"/>
      <c r="G1272" s="19"/>
      <c r="H1272" s="18"/>
      <c r="I1272" s="19"/>
      <c r="J1272" s="18"/>
      <c r="K1272" s="19"/>
      <c r="L1272" s="18"/>
      <c r="M1272" s="19"/>
      <c r="N1272" s="18"/>
      <c r="O1272" s="19"/>
      <c r="P1272" s="12"/>
      <c r="Q1272" s="12"/>
      <c r="R1272" s="15"/>
      <c r="S1272" s="12"/>
      <c r="T1272" s="12"/>
      <c r="U1272" s="12"/>
      <c r="V1272" s="12"/>
      <c r="W1272" s="12"/>
      <c r="X1272" s="12"/>
      <c r="Y1272" s="12"/>
      <c r="Z1272" s="12"/>
    </row>
    <row x14ac:dyDescent="0.25" r="1273" customHeight="1" ht="15.75">
      <c r="A1273" s="17"/>
      <c r="B1273" s="12"/>
      <c r="C1273" s="12"/>
      <c r="D1273" s="18"/>
      <c r="E1273" s="19"/>
      <c r="F1273" s="18"/>
      <c r="G1273" s="19"/>
      <c r="H1273" s="18"/>
      <c r="I1273" s="19"/>
      <c r="J1273" s="18"/>
      <c r="K1273" s="19"/>
      <c r="L1273" s="18"/>
      <c r="M1273" s="19"/>
      <c r="N1273" s="18"/>
      <c r="O1273" s="19"/>
      <c r="P1273" s="12"/>
      <c r="Q1273" s="12"/>
      <c r="R1273" s="15"/>
      <c r="S1273" s="12"/>
      <c r="T1273" s="12"/>
      <c r="U1273" s="12"/>
      <c r="V1273" s="12"/>
      <c r="W1273" s="12"/>
      <c r="X1273" s="12"/>
      <c r="Y1273" s="12"/>
      <c r="Z1273" s="12"/>
    </row>
    <row x14ac:dyDescent="0.25" r="1274" customHeight="1" ht="15.75">
      <c r="A1274" s="17"/>
      <c r="B1274" s="12"/>
      <c r="C1274" s="12"/>
      <c r="D1274" s="18"/>
      <c r="E1274" s="19"/>
      <c r="F1274" s="18"/>
      <c r="G1274" s="19"/>
      <c r="H1274" s="18"/>
      <c r="I1274" s="19"/>
      <c r="J1274" s="18"/>
      <c r="K1274" s="19"/>
      <c r="L1274" s="18"/>
      <c r="M1274" s="19"/>
      <c r="N1274" s="18"/>
      <c r="O1274" s="19"/>
      <c r="P1274" s="12"/>
      <c r="Q1274" s="12"/>
      <c r="R1274" s="15"/>
      <c r="S1274" s="12"/>
      <c r="T1274" s="12"/>
      <c r="U1274" s="12"/>
      <c r="V1274" s="12"/>
      <c r="W1274" s="12"/>
      <c r="X1274" s="12"/>
      <c r="Y1274" s="12"/>
      <c r="Z1274" s="12"/>
    </row>
    <row x14ac:dyDescent="0.25" r="1275" customHeight="1" ht="15.75">
      <c r="A1275" s="17"/>
      <c r="B1275" s="12"/>
      <c r="C1275" s="12"/>
      <c r="D1275" s="18"/>
      <c r="E1275" s="19"/>
      <c r="F1275" s="18"/>
      <c r="G1275" s="19"/>
      <c r="H1275" s="18"/>
      <c r="I1275" s="19"/>
      <c r="J1275" s="18"/>
      <c r="K1275" s="19"/>
      <c r="L1275" s="18"/>
      <c r="M1275" s="19"/>
      <c r="N1275" s="18"/>
      <c r="O1275" s="19"/>
      <c r="P1275" s="12"/>
      <c r="Q1275" s="12"/>
      <c r="R1275" s="15"/>
      <c r="S1275" s="12"/>
      <c r="T1275" s="12"/>
      <c r="U1275" s="12"/>
      <c r="V1275" s="12"/>
      <c r="W1275" s="12"/>
      <c r="X1275" s="12"/>
      <c r="Y1275" s="12"/>
      <c r="Z1275" s="12"/>
    </row>
    <row x14ac:dyDescent="0.25" r="1276" customHeight="1" ht="15.75">
      <c r="A1276" s="17"/>
      <c r="B1276" s="12"/>
      <c r="C1276" s="12"/>
      <c r="D1276" s="18"/>
      <c r="E1276" s="19"/>
      <c r="F1276" s="18"/>
      <c r="G1276" s="19"/>
      <c r="H1276" s="18"/>
      <c r="I1276" s="19"/>
      <c r="J1276" s="18"/>
      <c r="K1276" s="19"/>
      <c r="L1276" s="18"/>
      <c r="M1276" s="19"/>
      <c r="N1276" s="18"/>
      <c r="O1276" s="19"/>
      <c r="P1276" s="12"/>
      <c r="Q1276" s="12"/>
      <c r="R1276" s="15"/>
      <c r="S1276" s="12"/>
      <c r="T1276" s="12"/>
      <c r="U1276" s="12"/>
      <c r="V1276" s="12"/>
      <c r="W1276" s="12"/>
      <c r="X1276" s="12"/>
      <c r="Y1276" s="12"/>
      <c r="Z1276" s="12"/>
    </row>
    <row x14ac:dyDescent="0.25" r="1277" customHeight="1" ht="15.75">
      <c r="A1277" s="17"/>
      <c r="B1277" s="12"/>
      <c r="C1277" s="12"/>
      <c r="D1277" s="18"/>
      <c r="E1277" s="19"/>
      <c r="F1277" s="18"/>
      <c r="G1277" s="19"/>
      <c r="H1277" s="18"/>
      <c r="I1277" s="19"/>
      <c r="J1277" s="18"/>
      <c r="K1277" s="19"/>
      <c r="L1277" s="18"/>
      <c r="M1277" s="19"/>
      <c r="N1277" s="18"/>
      <c r="O1277" s="19"/>
      <c r="P1277" s="12"/>
      <c r="Q1277" s="12"/>
      <c r="R1277" s="15"/>
      <c r="S1277" s="12"/>
      <c r="T1277" s="12"/>
      <c r="U1277" s="12"/>
      <c r="V1277" s="12"/>
      <c r="W1277" s="12"/>
      <c r="X1277" s="12"/>
      <c r="Y1277" s="12"/>
      <c r="Z1277" s="12"/>
    </row>
    <row x14ac:dyDescent="0.25" r="1278" customHeight="1" ht="15.75">
      <c r="A1278" s="17"/>
      <c r="B1278" s="12"/>
      <c r="C1278" s="12"/>
      <c r="D1278" s="18"/>
      <c r="E1278" s="19"/>
      <c r="F1278" s="18"/>
      <c r="G1278" s="19"/>
      <c r="H1278" s="18"/>
      <c r="I1278" s="19"/>
      <c r="J1278" s="18"/>
      <c r="K1278" s="19"/>
      <c r="L1278" s="18"/>
      <c r="M1278" s="19"/>
      <c r="N1278" s="18"/>
      <c r="O1278" s="19"/>
      <c r="P1278" s="12"/>
      <c r="Q1278" s="12"/>
      <c r="R1278" s="15"/>
      <c r="S1278" s="12"/>
      <c r="T1278" s="12"/>
      <c r="U1278" s="12"/>
      <c r="V1278" s="12"/>
      <c r="W1278" s="12"/>
      <c r="X1278" s="12"/>
      <c r="Y1278" s="12"/>
      <c r="Z1278" s="12"/>
    </row>
    <row x14ac:dyDescent="0.25" r="1279" customHeight="1" ht="15.75">
      <c r="A1279" s="17"/>
      <c r="B1279" s="12"/>
      <c r="C1279" s="12"/>
      <c r="D1279" s="18"/>
      <c r="E1279" s="19"/>
      <c r="F1279" s="18"/>
      <c r="G1279" s="19"/>
      <c r="H1279" s="18"/>
      <c r="I1279" s="19"/>
      <c r="J1279" s="18"/>
      <c r="K1279" s="19"/>
      <c r="L1279" s="18"/>
      <c r="M1279" s="19"/>
      <c r="N1279" s="18"/>
      <c r="O1279" s="19"/>
      <c r="P1279" s="12"/>
      <c r="Q1279" s="12"/>
      <c r="R1279" s="15"/>
      <c r="S1279" s="12"/>
      <c r="T1279" s="12"/>
      <c r="U1279" s="12"/>
      <c r="V1279" s="12"/>
      <c r="W1279" s="12"/>
      <c r="X1279" s="12"/>
      <c r="Y1279" s="12"/>
      <c r="Z1279" s="12"/>
    </row>
    <row x14ac:dyDescent="0.25" r="1280" customHeight="1" ht="15.75">
      <c r="A1280" s="17"/>
      <c r="B1280" s="12"/>
      <c r="C1280" s="12"/>
      <c r="D1280" s="18"/>
      <c r="E1280" s="19"/>
      <c r="F1280" s="18"/>
      <c r="G1280" s="19"/>
      <c r="H1280" s="18"/>
      <c r="I1280" s="19"/>
      <c r="J1280" s="18"/>
      <c r="K1280" s="19"/>
      <c r="L1280" s="18"/>
      <c r="M1280" s="19"/>
      <c r="N1280" s="18"/>
      <c r="O1280" s="19"/>
      <c r="P1280" s="12"/>
      <c r="Q1280" s="12"/>
      <c r="R1280" s="15"/>
      <c r="S1280" s="12"/>
      <c r="T1280" s="12"/>
      <c r="U1280" s="12"/>
      <c r="V1280" s="12"/>
      <c r="W1280" s="12"/>
      <c r="X1280" s="12"/>
      <c r="Y1280" s="12"/>
      <c r="Z1280" s="12"/>
    </row>
    <row x14ac:dyDescent="0.25" r="1281" customHeight="1" ht="15.75">
      <c r="A1281" s="17"/>
      <c r="B1281" s="12"/>
      <c r="C1281" s="12"/>
      <c r="D1281" s="18"/>
      <c r="E1281" s="19"/>
      <c r="F1281" s="18"/>
      <c r="G1281" s="19"/>
      <c r="H1281" s="18"/>
      <c r="I1281" s="19"/>
      <c r="J1281" s="18"/>
      <c r="K1281" s="19"/>
      <c r="L1281" s="18"/>
      <c r="M1281" s="19"/>
      <c r="N1281" s="18"/>
      <c r="O1281" s="19"/>
      <c r="P1281" s="12"/>
      <c r="Q1281" s="12"/>
      <c r="R1281" s="15"/>
      <c r="S1281" s="12"/>
      <c r="T1281" s="12"/>
      <c r="U1281" s="12"/>
      <c r="V1281" s="12"/>
      <c r="W1281" s="12"/>
      <c r="X1281" s="12"/>
      <c r="Y1281" s="12"/>
      <c r="Z1281" s="12"/>
    </row>
    <row x14ac:dyDescent="0.25" r="1282" customHeight="1" ht="15.75">
      <c r="A1282" s="17"/>
      <c r="B1282" s="12"/>
      <c r="C1282" s="12"/>
      <c r="D1282" s="18"/>
      <c r="E1282" s="19"/>
      <c r="F1282" s="18"/>
      <c r="G1282" s="19"/>
      <c r="H1282" s="18"/>
      <c r="I1282" s="19"/>
      <c r="J1282" s="18"/>
      <c r="K1282" s="19"/>
      <c r="L1282" s="18"/>
      <c r="M1282" s="19"/>
      <c r="N1282" s="18"/>
      <c r="O1282" s="19"/>
      <c r="P1282" s="12"/>
      <c r="Q1282" s="12"/>
      <c r="R1282" s="15"/>
      <c r="S1282" s="12"/>
      <c r="T1282" s="12"/>
      <c r="U1282" s="12"/>
      <c r="V1282" s="12"/>
      <c r="W1282" s="12"/>
      <c r="X1282" s="12"/>
      <c r="Y1282" s="12"/>
      <c r="Z1282" s="12"/>
    </row>
    <row x14ac:dyDescent="0.25" r="1283" customHeight="1" ht="15.75">
      <c r="A1283" s="17"/>
      <c r="B1283" s="12"/>
      <c r="C1283" s="12"/>
      <c r="D1283" s="18"/>
      <c r="E1283" s="19"/>
      <c r="F1283" s="18"/>
      <c r="G1283" s="19"/>
      <c r="H1283" s="18"/>
      <c r="I1283" s="19"/>
      <c r="J1283" s="18"/>
      <c r="K1283" s="19"/>
      <c r="L1283" s="18"/>
      <c r="M1283" s="19"/>
      <c r="N1283" s="18"/>
      <c r="O1283" s="19"/>
      <c r="P1283" s="12"/>
      <c r="Q1283" s="12"/>
      <c r="R1283" s="15"/>
      <c r="S1283" s="12"/>
      <c r="T1283" s="12"/>
      <c r="U1283" s="12"/>
      <c r="V1283" s="12"/>
      <c r="W1283" s="12"/>
      <c r="X1283" s="12"/>
      <c r="Y1283" s="12"/>
      <c r="Z1283" s="12"/>
    </row>
    <row x14ac:dyDescent="0.25" r="1284" customHeight="1" ht="15.75">
      <c r="A1284" s="17"/>
      <c r="B1284" s="12"/>
      <c r="C1284" s="12"/>
      <c r="D1284" s="18"/>
      <c r="E1284" s="19"/>
      <c r="F1284" s="18"/>
      <c r="G1284" s="19"/>
      <c r="H1284" s="18"/>
      <c r="I1284" s="19"/>
      <c r="J1284" s="18"/>
      <c r="K1284" s="19"/>
      <c r="L1284" s="18"/>
      <c r="M1284" s="19"/>
      <c r="N1284" s="18"/>
      <c r="O1284" s="19"/>
      <c r="P1284" s="12"/>
      <c r="Q1284" s="12"/>
      <c r="R1284" s="15"/>
      <c r="S1284" s="12"/>
      <c r="T1284" s="12"/>
      <c r="U1284" s="12"/>
      <c r="V1284" s="12"/>
      <c r="W1284" s="12"/>
      <c r="X1284" s="12"/>
      <c r="Y1284" s="12"/>
      <c r="Z1284" s="12"/>
    </row>
    <row x14ac:dyDescent="0.25" r="1285" customHeight="1" ht="15.75">
      <c r="A1285" s="17"/>
      <c r="B1285" s="12"/>
      <c r="C1285" s="12"/>
      <c r="D1285" s="18"/>
      <c r="E1285" s="19"/>
      <c r="F1285" s="18"/>
      <c r="G1285" s="19"/>
      <c r="H1285" s="18"/>
      <c r="I1285" s="19"/>
      <c r="J1285" s="18"/>
      <c r="K1285" s="19"/>
      <c r="L1285" s="18"/>
      <c r="M1285" s="19"/>
      <c r="N1285" s="18"/>
      <c r="O1285" s="19"/>
      <c r="P1285" s="12"/>
      <c r="Q1285" s="12"/>
      <c r="R1285" s="15"/>
      <c r="S1285" s="12"/>
      <c r="T1285" s="12"/>
      <c r="U1285" s="12"/>
      <c r="V1285" s="12"/>
      <c r="W1285" s="12"/>
      <c r="X1285" s="12"/>
      <c r="Y1285" s="12"/>
      <c r="Z1285" s="12"/>
    </row>
    <row x14ac:dyDescent="0.25" r="1286" customHeight="1" ht="15.75">
      <c r="A1286" s="17"/>
      <c r="B1286" s="12"/>
      <c r="C1286" s="12"/>
      <c r="D1286" s="18"/>
      <c r="E1286" s="19"/>
      <c r="F1286" s="18"/>
      <c r="G1286" s="19"/>
      <c r="H1286" s="18"/>
      <c r="I1286" s="19"/>
      <c r="J1286" s="18"/>
      <c r="K1286" s="19"/>
      <c r="L1286" s="18"/>
      <c r="M1286" s="19"/>
      <c r="N1286" s="18"/>
      <c r="O1286" s="19"/>
      <c r="P1286" s="12"/>
      <c r="Q1286" s="12"/>
      <c r="R1286" s="15"/>
      <c r="S1286" s="12"/>
      <c r="T1286" s="12"/>
      <c r="U1286" s="12"/>
      <c r="V1286" s="12"/>
      <c r="W1286" s="12"/>
      <c r="X1286" s="12"/>
      <c r="Y1286" s="12"/>
      <c r="Z1286" s="12"/>
    </row>
    <row x14ac:dyDescent="0.25" r="1287" customHeight="1" ht="15.75">
      <c r="A1287" s="17"/>
      <c r="B1287" s="12"/>
      <c r="C1287" s="12"/>
      <c r="D1287" s="18"/>
      <c r="E1287" s="19"/>
      <c r="F1287" s="18"/>
      <c r="G1287" s="19"/>
      <c r="H1287" s="18"/>
      <c r="I1287" s="19"/>
      <c r="J1287" s="18"/>
      <c r="K1287" s="19"/>
      <c r="L1287" s="18"/>
      <c r="M1287" s="19"/>
      <c r="N1287" s="18"/>
      <c r="O1287" s="19"/>
      <c r="P1287" s="12"/>
      <c r="Q1287" s="12"/>
      <c r="R1287" s="15"/>
      <c r="S1287" s="12"/>
      <c r="T1287" s="12"/>
      <c r="U1287" s="12"/>
      <c r="V1287" s="12"/>
      <c r="W1287" s="12"/>
      <c r="X1287" s="12"/>
      <c r="Y1287" s="12"/>
      <c r="Z1287" s="12"/>
    </row>
    <row x14ac:dyDescent="0.25" r="1288" customHeight="1" ht="15.75">
      <c r="A1288" s="17"/>
      <c r="B1288" s="12"/>
      <c r="C1288" s="12"/>
      <c r="D1288" s="18"/>
      <c r="E1288" s="19"/>
      <c r="F1288" s="18"/>
      <c r="G1288" s="19"/>
      <c r="H1288" s="18"/>
      <c r="I1288" s="19"/>
      <c r="J1288" s="18"/>
      <c r="K1288" s="19"/>
      <c r="L1288" s="18"/>
      <c r="M1288" s="19"/>
      <c r="N1288" s="18"/>
      <c r="O1288" s="19"/>
      <c r="P1288" s="12"/>
      <c r="Q1288" s="12"/>
      <c r="R1288" s="15"/>
      <c r="S1288" s="12"/>
      <c r="T1288" s="12"/>
      <c r="U1288" s="12"/>
      <c r="V1288" s="12"/>
      <c r="W1288" s="12"/>
      <c r="X1288" s="12"/>
      <c r="Y1288" s="12"/>
      <c r="Z1288" s="12"/>
    </row>
    <row x14ac:dyDescent="0.25" r="1289" customHeight="1" ht="15.75">
      <c r="A1289" s="17"/>
      <c r="B1289" s="12"/>
      <c r="C1289" s="12"/>
      <c r="D1289" s="18"/>
      <c r="E1289" s="19"/>
      <c r="F1289" s="18"/>
      <c r="G1289" s="19"/>
      <c r="H1289" s="18"/>
      <c r="I1289" s="19"/>
      <c r="J1289" s="18"/>
      <c r="K1289" s="19"/>
      <c r="L1289" s="18"/>
      <c r="M1289" s="19"/>
      <c r="N1289" s="18"/>
      <c r="O1289" s="19"/>
      <c r="P1289" s="12"/>
      <c r="Q1289" s="12"/>
      <c r="R1289" s="15"/>
      <c r="S1289" s="12"/>
      <c r="T1289" s="12"/>
      <c r="U1289" s="12"/>
      <c r="V1289" s="12"/>
      <c r="W1289" s="12"/>
      <c r="X1289" s="12"/>
      <c r="Y1289" s="12"/>
      <c r="Z1289" s="12"/>
    </row>
    <row x14ac:dyDescent="0.25" r="1290" customHeight="1" ht="15.75">
      <c r="A1290" s="17"/>
      <c r="B1290" s="12"/>
      <c r="C1290" s="12"/>
      <c r="D1290" s="18"/>
      <c r="E1290" s="19"/>
      <c r="F1290" s="18"/>
      <c r="G1290" s="19"/>
      <c r="H1290" s="18"/>
      <c r="I1290" s="19"/>
      <c r="J1290" s="18"/>
      <c r="K1290" s="19"/>
      <c r="L1290" s="18"/>
      <c r="M1290" s="19"/>
      <c r="N1290" s="18"/>
      <c r="O1290" s="19"/>
      <c r="P1290" s="12"/>
      <c r="Q1290" s="12"/>
      <c r="R1290" s="15"/>
      <c r="S1290" s="12"/>
      <c r="T1290" s="12"/>
      <c r="U1290" s="12"/>
      <c r="V1290" s="12"/>
      <c r="W1290" s="12"/>
      <c r="X1290" s="12"/>
      <c r="Y1290" s="12"/>
      <c r="Z1290" s="12"/>
    </row>
    <row x14ac:dyDescent="0.25" r="1291" customHeight="1" ht="15.75">
      <c r="A1291" s="17"/>
      <c r="B1291" s="12"/>
      <c r="C1291" s="12"/>
      <c r="D1291" s="18"/>
      <c r="E1291" s="19"/>
      <c r="F1291" s="18"/>
      <c r="G1291" s="19"/>
      <c r="H1291" s="18"/>
      <c r="I1291" s="19"/>
      <c r="J1291" s="18"/>
      <c r="K1291" s="19"/>
      <c r="L1291" s="18"/>
      <c r="M1291" s="19"/>
      <c r="N1291" s="18"/>
      <c r="O1291" s="19"/>
      <c r="P1291" s="12"/>
      <c r="Q1291" s="12"/>
      <c r="R1291" s="15"/>
      <c r="S1291" s="12"/>
      <c r="T1291" s="12"/>
      <c r="U1291" s="12"/>
      <c r="V1291" s="12"/>
      <c r="W1291" s="12"/>
      <c r="X1291" s="12"/>
      <c r="Y1291" s="12"/>
      <c r="Z1291" s="12"/>
    </row>
    <row x14ac:dyDescent="0.25" r="1292" customHeight="1" ht="15.75">
      <c r="A1292" s="17"/>
      <c r="B1292" s="12"/>
      <c r="C1292" s="12"/>
      <c r="D1292" s="18"/>
      <c r="E1292" s="19"/>
      <c r="F1292" s="18"/>
      <c r="G1292" s="19"/>
      <c r="H1292" s="18"/>
      <c r="I1292" s="19"/>
      <c r="J1292" s="18"/>
      <c r="K1292" s="19"/>
      <c r="L1292" s="18"/>
      <c r="M1292" s="19"/>
      <c r="N1292" s="18"/>
      <c r="O1292" s="19"/>
      <c r="P1292" s="12"/>
      <c r="Q1292" s="12"/>
      <c r="R1292" s="15"/>
      <c r="S1292" s="12"/>
      <c r="T1292" s="12"/>
      <c r="U1292" s="12"/>
      <c r="V1292" s="12"/>
      <c r="W1292" s="12"/>
      <c r="X1292" s="12"/>
      <c r="Y1292" s="12"/>
      <c r="Z1292" s="12"/>
    </row>
    <row x14ac:dyDescent="0.25" r="1293" customHeight="1" ht="15.75">
      <c r="A1293" s="17"/>
      <c r="B1293" s="12"/>
      <c r="C1293" s="12"/>
      <c r="D1293" s="18"/>
      <c r="E1293" s="19"/>
      <c r="F1293" s="18"/>
      <c r="G1293" s="19"/>
      <c r="H1293" s="18"/>
      <c r="I1293" s="19"/>
      <c r="J1293" s="18"/>
      <c r="K1293" s="19"/>
      <c r="L1293" s="18"/>
      <c r="M1293" s="19"/>
      <c r="N1293" s="18"/>
      <c r="O1293" s="19"/>
      <c r="P1293" s="12"/>
      <c r="Q1293" s="12"/>
      <c r="R1293" s="15"/>
      <c r="S1293" s="12"/>
      <c r="T1293" s="12"/>
      <c r="U1293" s="12"/>
      <c r="V1293" s="12"/>
      <c r="W1293" s="12"/>
      <c r="X1293" s="12"/>
      <c r="Y1293" s="12"/>
      <c r="Z1293" s="12"/>
    </row>
    <row x14ac:dyDescent="0.25" r="1294" customHeight="1" ht="15.75">
      <c r="A1294" s="17"/>
      <c r="B1294" s="12"/>
      <c r="C1294" s="12"/>
      <c r="D1294" s="18"/>
      <c r="E1294" s="19"/>
      <c r="F1294" s="18"/>
      <c r="G1294" s="19"/>
      <c r="H1294" s="18"/>
      <c r="I1294" s="19"/>
      <c r="J1294" s="18"/>
      <c r="K1294" s="19"/>
      <c r="L1294" s="18"/>
      <c r="M1294" s="19"/>
      <c r="N1294" s="18"/>
      <c r="O1294" s="19"/>
      <c r="P1294" s="12"/>
      <c r="Q1294" s="12"/>
      <c r="R1294" s="15"/>
      <c r="S1294" s="12"/>
      <c r="T1294" s="12"/>
      <c r="U1294" s="12"/>
      <c r="V1294" s="12"/>
      <c r="W1294" s="12"/>
      <c r="X1294" s="12"/>
      <c r="Y1294" s="12"/>
      <c r="Z1294" s="12"/>
    </row>
    <row x14ac:dyDescent="0.25" r="1295" customHeight="1" ht="15.75">
      <c r="A1295" s="17"/>
      <c r="B1295" s="12"/>
      <c r="C1295" s="12"/>
      <c r="D1295" s="18"/>
      <c r="E1295" s="19"/>
      <c r="F1295" s="18"/>
      <c r="G1295" s="19"/>
      <c r="H1295" s="18"/>
      <c r="I1295" s="19"/>
      <c r="J1295" s="18"/>
      <c r="K1295" s="19"/>
      <c r="L1295" s="18"/>
      <c r="M1295" s="19"/>
      <c r="N1295" s="18"/>
      <c r="O1295" s="19"/>
      <c r="P1295" s="12"/>
      <c r="Q1295" s="12"/>
      <c r="R1295" s="15"/>
      <c r="S1295" s="12"/>
      <c r="T1295" s="12"/>
      <c r="U1295" s="12"/>
      <c r="V1295" s="12"/>
      <c r="W1295" s="12"/>
      <c r="X1295" s="12"/>
      <c r="Y1295" s="12"/>
      <c r="Z1295" s="12"/>
    </row>
    <row x14ac:dyDescent="0.25" r="1296" customHeight="1" ht="15.75">
      <c r="A1296" s="17"/>
      <c r="B1296" s="12"/>
      <c r="C1296" s="12"/>
      <c r="D1296" s="18"/>
      <c r="E1296" s="19"/>
      <c r="F1296" s="18"/>
      <c r="G1296" s="19"/>
      <c r="H1296" s="18"/>
      <c r="I1296" s="19"/>
      <c r="J1296" s="18"/>
      <c r="K1296" s="19"/>
      <c r="L1296" s="18"/>
      <c r="M1296" s="19"/>
      <c r="N1296" s="18"/>
      <c r="O1296" s="19"/>
      <c r="P1296" s="12"/>
      <c r="Q1296" s="12"/>
      <c r="R1296" s="15"/>
      <c r="S1296" s="12"/>
      <c r="T1296" s="12"/>
      <c r="U1296" s="12"/>
      <c r="V1296" s="12"/>
      <c r="W1296" s="12"/>
      <c r="X1296" s="12"/>
      <c r="Y1296" s="12"/>
      <c r="Z1296" s="12"/>
    </row>
    <row x14ac:dyDescent="0.25" r="1297" customHeight="1" ht="15.75">
      <c r="A1297" s="17"/>
      <c r="B1297" s="12"/>
      <c r="C1297" s="12"/>
      <c r="D1297" s="18"/>
      <c r="E1297" s="19"/>
      <c r="F1297" s="18"/>
      <c r="G1297" s="19"/>
      <c r="H1297" s="18"/>
      <c r="I1297" s="19"/>
      <c r="J1297" s="18"/>
      <c r="K1297" s="19"/>
      <c r="L1297" s="18"/>
      <c r="M1297" s="19"/>
      <c r="N1297" s="18"/>
      <c r="O1297" s="19"/>
      <c r="P1297" s="12"/>
      <c r="Q1297" s="12"/>
      <c r="R1297" s="15"/>
      <c r="S1297" s="12"/>
      <c r="T1297" s="12"/>
      <c r="U1297" s="12"/>
      <c r="V1297" s="12"/>
      <c r="W1297" s="12"/>
      <c r="X1297" s="12"/>
      <c r="Y1297" s="12"/>
      <c r="Z1297" s="12"/>
    </row>
    <row x14ac:dyDescent="0.25" r="1298" customHeight="1" ht="15.75">
      <c r="A1298" s="17"/>
      <c r="B1298" s="12"/>
      <c r="C1298" s="12"/>
      <c r="D1298" s="18"/>
      <c r="E1298" s="19"/>
      <c r="F1298" s="18"/>
      <c r="G1298" s="19"/>
      <c r="H1298" s="18"/>
      <c r="I1298" s="19"/>
      <c r="J1298" s="18"/>
      <c r="K1298" s="19"/>
      <c r="L1298" s="18"/>
      <c r="M1298" s="19"/>
      <c r="N1298" s="18"/>
      <c r="O1298" s="19"/>
      <c r="P1298" s="12"/>
      <c r="Q1298" s="12"/>
      <c r="R1298" s="15"/>
      <c r="S1298" s="12"/>
      <c r="T1298" s="12"/>
      <c r="U1298" s="12"/>
      <c r="V1298" s="12"/>
      <c r="W1298" s="12"/>
      <c r="X1298" s="12"/>
      <c r="Y1298" s="12"/>
      <c r="Z1298" s="12"/>
    </row>
    <row x14ac:dyDescent="0.25" r="1299" customHeight="1" ht="15.75">
      <c r="A1299" s="17"/>
      <c r="B1299" s="12"/>
      <c r="C1299" s="12"/>
      <c r="D1299" s="18"/>
      <c r="E1299" s="19"/>
      <c r="F1299" s="18"/>
      <c r="G1299" s="19"/>
      <c r="H1299" s="18"/>
      <c r="I1299" s="19"/>
      <c r="J1299" s="18"/>
      <c r="K1299" s="19"/>
      <c r="L1299" s="18"/>
      <c r="M1299" s="19"/>
      <c r="N1299" s="18"/>
      <c r="O1299" s="19"/>
      <c r="P1299" s="12"/>
      <c r="Q1299" s="12"/>
      <c r="R1299" s="15"/>
      <c r="S1299" s="12"/>
      <c r="T1299" s="12"/>
      <c r="U1299" s="12"/>
      <c r="V1299" s="12"/>
      <c r="W1299" s="12"/>
      <c r="X1299" s="12"/>
      <c r="Y1299" s="12"/>
      <c r="Z1299" s="12"/>
    </row>
    <row x14ac:dyDescent="0.25" r="1300" customHeight="1" ht="15.75">
      <c r="A1300" s="17"/>
      <c r="B1300" s="12"/>
      <c r="C1300" s="12"/>
      <c r="D1300" s="18"/>
      <c r="E1300" s="19"/>
      <c r="F1300" s="18"/>
      <c r="G1300" s="19"/>
      <c r="H1300" s="18"/>
      <c r="I1300" s="19"/>
      <c r="J1300" s="18"/>
      <c r="K1300" s="19"/>
      <c r="L1300" s="18"/>
      <c r="M1300" s="19"/>
      <c r="N1300" s="18"/>
      <c r="O1300" s="19"/>
      <c r="P1300" s="12"/>
      <c r="Q1300" s="12"/>
      <c r="R1300" s="15"/>
      <c r="S1300" s="12"/>
      <c r="T1300" s="12"/>
      <c r="U1300" s="12"/>
      <c r="V1300" s="12"/>
      <c r="W1300" s="12"/>
      <c r="X1300" s="12"/>
      <c r="Y1300" s="12"/>
      <c r="Z1300" s="12"/>
    </row>
    <row x14ac:dyDescent="0.25" r="1301" customHeight="1" ht="15.75">
      <c r="A1301" s="17"/>
      <c r="B1301" s="12"/>
      <c r="C1301" s="12"/>
      <c r="D1301" s="18"/>
      <c r="E1301" s="19"/>
      <c r="F1301" s="18"/>
      <c r="G1301" s="19"/>
      <c r="H1301" s="18"/>
      <c r="I1301" s="19"/>
      <c r="J1301" s="18"/>
      <c r="K1301" s="19"/>
      <c r="L1301" s="18"/>
      <c r="M1301" s="19"/>
      <c r="N1301" s="18"/>
      <c r="O1301" s="19"/>
      <c r="P1301" s="12"/>
      <c r="Q1301" s="12"/>
      <c r="R1301" s="15"/>
      <c r="S1301" s="12"/>
      <c r="T1301" s="12"/>
      <c r="U1301" s="12"/>
      <c r="V1301" s="12"/>
      <c r="W1301" s="12"/>
      <c r="X1301" s="12"/>
      <c r="Y1301" s="12"/>
      <c r="Z1301" s="12"/>
    </row>
    <row x14ac:dyDescent="0.25" r="1302" customHeight="1" ht="15.75">
      <c r="A1302" s="17"/>
      <c r="B1302" s="12"/>
      <c r="C1302" s="12"/>
      <c r="D1302" s="18"/>
      <c r="E1302" s="19"/>
      <c r="F1302" s="18"/>
      <c r="G1302" s="19"/>
      <c r="H1302" s="18"/>
      <c r="I1302" s="19"/>
      <c r="J1302" s="18"/>
      <c r="K1302" s="19"/>
      <c r="L1302" s="18"/>
      <c r="M1302" s="19"/>
      <c r="N1302" s="18"/>
      <c r="O1302" s="19"/>
      <c r="P1302" s="12"/>
      <c r="Q1302" s="12"/>
      <c r="R1302" s="15"/>
      <c r="S1302" s="12"/>
      <c r="T1302" s="12"/>
      <c r="U1302" s="12"/>
      <c r="V1302" s="12"/>
      <c r="W1302" s="12"/>
      <c r="X1302" s="12"/>
      <c r="Y1302" s="12"/>
      <c r="Z1302" s="12"/>
    </row>
    <row x14ac:dyDescent="0.25" r="1303" customHeight="1" ht="15.75">
      <c r="A1303" s="17"/>
      <c r="B1303" s="12"/>
      <c r="C1303" s="12"/>
      <c r="D1303" s="18"/>
      <c r="E1303" s="19"/>
      <c r="F1303" s="18"/>
      <c r="G1303" s="19"/>
      <c r="H1303" s="18"/>
      <c r="I1303" s="19"/>
      <c r="J1303" s="18"/>
      <c r="K1303" s="19"/>
      <c r="L1303" s="18"/>
      <c r="M1303" s="19"/>
      <c r="N1303" s="18"/>
      <c r="O1303" s="19"/>
      <c r="P1303" s="12"/>
      <c r="Q1303" s="12"/>
      <c r="R1303" s="15"/>
      <c r="S1303" s="12"/>
      <c r="T1303" s="12"/>
      <c r="U1303" s="12"/>
      <c r="V1303" s="12"/>
      <c r="W1303" s="12"/>
      <c r="X1303" s="12"/>
      <c r="Y1303" s="12"/>
      <c r="Z1303" s="12"/>
    </row>
    <row x14ac:dyDescent="0.25" r="1304" customHeight="1" ht="15.75">
      <c r="A1304" s="17"/>
      <c r="B1304" s="12"/>
      <c r="C1304" s="12"/>
      <c r="D1304" s="18"/>
      <c r="E1304" s="19"/>
      <c r="F1304" s="18"/>
      <c r="G1304" s="19"/>
      <c r="H1304" s="18"/>
      <c r="I1304" s="19"/>
      <c r="J1304" s="18"/>
      <c r="K1304" s="19"/>
      <c r="L1304" s="18"/>
      <c r="M1304" s="19"/>
      <c r="N1304" s="18"/>
      <c r="O1304" s="19"/>
      <c r="P1304" s="12"/>
      <c r="Q1304" s="12"/>
      <c r="R1304" s="15"/>
      <c r="S1304" s="12"/>
      <c r="T1304" s="12"/>
      <c r="U1304" s="12"/>
      <c r="V1304" s="12"/>
      <c r="W1304" s="12"/>
      <c r="X1304" s="12"/>
      <c r="Y1304" s="12"/>
      <c r="Z1304" s="12"/>
    </row>
    <row x14ac:dyDescent="0.25" r="1305" customHeight="1" ht="15.75">
      <c r="A1305" s="17"/>
      <c r="B1305" s="12"/>
      <c r="C1305" s="12"/>
      <c r="D1305" s="18"/>
      <c r="E1305" s="19"/>
      <c r="F1305" s="18"/>
      <c r="G1305" s="19"/>
      <c r="H1305" s="18"/>
      <c r="I1305" s="19"/>
      <c r="J1305" s="18"/>
      <c r="K1305" s="19"/>
      <c r="L1305" s="18"/>
      <c r="M1305" s="19"/>
      <c r="N1305" s="18"/>
      <c r="O1305" s="19"/>
      <c r="P1305" s="12"/>
      <c r="Q1305" s="12"/>
      <c r="R1305" s="15"/>
      <c r="S1305" s="12"/>
      <c r="T1305" s="12"/>
      <c r="U1305" s="12"/>
      <c r="V1305" s="12"/>
      <c r="W1305" s="12"/>
      <c r="X1305" s="12"/>
      <c r="Y1305" s="12"/>
      <c r="Z1305" s="12"/>
    </row>
    <row x14ac:dyDescent="0.25" r="1306" customHeight="1" ht="15.75">
      <c r="A1306" s="17"/>
      <c r="B1306" s="12"/>
      <c r="C1306" s="12"/>
      <c r="D1306" s="18"/>
      <c r="E1306" s="19"/>
      <c r="F1306" s="18"/>
      <c r="G1306" s="19"/>
      <c r="H1306" s="18"/>
      <c r="I1306" s="19"/>
      <c r="J1306" s="18"/>
      <c r="K1306" s="19"/>
      <c r="L1306" s="18"/>
      <c r="M1306" s="19"/>
      <c r="N1306" s="18"/>
      <c r="O1306" s="19"/>
      <c r="P1306" s="12"/>
      <c r="Q1306" s="12"/>
      <c r="R1306" s="15"/>
      <c r="S1306" s="12"/>
      <c r="T1306" s="12"/>
      <c r="U1306" s="12"/>
      <c r="V1306" s="12"/>
      <c r="W1306" s="12"/>
      <c r="X1306" s="12"/>
      <c r="Y1306" s="12"/>
      <c r="Z1306" s="12"/>
    </row>
    <row x14ac:dyDescent="0.25" r="1307" customHeight="1" ht="15.75">
      <c r="A1307" s="17"/>
      <c r="B1307" s="12"/>
      <c r="C1307" s="12"/>
      <c r="D1307" s="18"/>
      <c r="E1307" s="19"/>
      <c r="F1307" s="18"/>
      <c r="G1307" s="19"/>
      <c r="H1307" s="18"/>
      <c r="I1307" s="19"/>
      <c r="J1307" s="18"/>
      <c r="K1307" s="19"/>
      <c r="L1307" s="18"/>
      <c r="M1307" s="19"/>
      <c r="N1307" s="18"/>
      <c r="O1307" s="19"/>
      <c r="P1307" s="12"/>
      <c r="Q1307" s="12"/>
      <c r="R1307" s="15"/>
      <c r="S1307" s="12"/>
      <c r="T1307" s="12"/>
      <c r="U1307" s="12"/>
      <c r="V1307" s="12"/>
      <c r="W1307" s="12"/>
      <c r="X1307" s="12"/>
      <c r="Y1307" s="12"/>
      <c r="Z1307" s="12"/>
    </row>
    <row x14ac:dyDescent="0.25" r="1308" customHeight="1" ht="15.75">
      <c r="A1308" s="17"/>
      <c r="B1308" s="12"/>
      <c r="C1308" s="12"/>
      <c r="D1308" s="18"/>
      <c r="E1308" s="19"/>
      <c r="F1308" s="18"/>
      <c r="G1308" s="19"/>
      <c r="H1308" s="18"/>
      <c r="I1308" s="19"/>
      <c r="J1308" s="18"/>
      <c r="K1308" s="19"/>
      <c r="L1308" s="18"/>
      <c r="M1308" s="19"/>
      <c r="N1308" s="18"/>
      <c r="O1308" s="19"/>
      <c r="P1308" s="12"/>
      <c r="Q1308" s="12"/>
      <c r="R1308" s="15"/>
      <c r="S1308" s="12"/>
      <c r="T1308" s="12"/>
      <c r="U1308" s="12"/>
      <c r="V1308" s="12"/>
      <c r="W1308" s="12"/>
      <c r="X1308" s="12"/>
      <c r="Y1308" s="12"/>
      <c r="Z1308" s="12"/>
    </row>
    <row x14ac:dyDescent="0.25" r="1309" customHeight="1" ht="15.75">
      <c r="A1309" s="17"/>
      <c r="B1309" s="12"/>
      <c r="C1309" s="12"/>
      <c r="D1309" s="18"/>
      <c r="E1309" s="19"/>
      <c r="F1309" s="18"/>
      <c r="G1309" s="19"/>
      <c r="H1309" s="18"/>
      <c r="I1309" s="19"/>
      <c r="J1309" s="18"/>
      <c r="K1309" s="19"/>
      <c r="L1309" s="18"/>
      <c r="M1309" s="19"/>
      <c r="N1309" s="18"/>
      <c r="O1309" s="19"/>
      <c r="P1309" s="12"/>
      <c r="Q1309" s="12"/>
      <c r="R1309" s="15"/>
      <c r="S1309" s="12"/>
      <c r="T1309" s="12"/>
      <c r="U1309" s="12"/>
      <c r="V1309" s="12"/>
      <c r="W1309" s="12"/>
      <c r="X1309" s="12"/>
      <c r="Y1309" s="12"/>
      <c r="Z1309" s="12"/>
    </row>
    <row x14ac:dyDescent="0.25" r="1310" customHeight="1" ht="15.75">
      <c r="A1310" s="17"/>
      <c r="B1310" s="12"/>
      <c r="C1310" s="12"/>
      <c r="D1310" s="18"/>
      <c r="E1310" s="19"/>
      <c r="F1310" s="18"/>
      <c r="G1310" s="19"/>
      <c r="H1310" s="18"/>
      <c r="I1310" s="19"/>
      <c r="J1310" s="18"/>
      <c r="K1310" s="19"/>
      <c r="L1310" s="18"/>
      <c r="M1310" s="19"/>
      <c r="N1310" s="18"/>
      <c r="O1310" s="19"/>
      <c r="P1310" s="12"/>
      <c r="Q1310" s="12"/>
      <c r="R1310" s="15"/>
      <c r="S1310" s="12"/>
      <c r="T1310" s="12"/>
      <c r="U1310" s="12"/>
      <c r="V1310" s="12"/>
      <c r="W1310" s="12"/>
      <c r="X1310" s="12"/>
      <c r="Y1310" s="12"/>
      <c r="Z1310" s="12"/>
    </row>
    <row x14ac:dyDescent="0.25" r="1311" customHeight="1" ht="15.75">
      <c r="A1311" s="17"/>
      <c r="B1311" s="12"/>
      <c r="C1311" s="12"/>
      <c r="D1311" s="18"/>
      <c r="E1311" s="19"/>
      <c r="F1311" s="18"/>
      <c r="G1311" s="19"/>
      <c r="H1311" s="18"/>
      <c r="I1311" s="19"/>
      <c r="J1311" s="18"/>
      <c r="K1311" s="19"/>
      <c r="L1311" s="18"/>
      <c r="M1311" s="19"/>
      <c r="N1311" s="18"/>
      <c r="O1311" s="19"/>
      <c r="P1311" s="12"/>
      <c r="Q1311" s="12"/>
      <c r="R1311" s="15"/>
      <c r="S1311" s="12"/>
      <c r="T1311" s="12"/>
      <c r="U1311" s="12"/>
      <c r="V1311" s="12"/>
      <c r="W1311" s="12"/>
      <c r="X1311" s="12"/>
      <c r="Y1311" s="12"/>
      <c r="Z1311" s="12"/>
    </row>
    <row x14ac:dyDescent="0.25" r="1312" customHeight="1" ht="15.75">
      <c r="A1312" s="17"/>
      <c r="B1312" s="12"/>
      <c r="C1312" s="12"/>
      <c r="D1312" s="18"/>
      <c r="E1312" s="19"/>
      <c r="F1312" s="18"/>
      <c r="G1312" s="19"/>
      <c r="H1312" s="18"/>
      <c r="I1312" s="19"/>
      <c r="J1312" s="18"/>
      <c r="K1312" s="19"/>
      <c r="L1312" s="18"/>
      <c r="M1312" s="19"/>
      <c r="N1312" s="18"/>
      <c r="O1312" s="19"/>
      <c r="P1312" s="12"/>
      <c r="Q1312" s="12"/>
      <c r="R1312" s="15"/>
      <c r="S1312" s="12"/>
      <c r="T1312" s="12"/>
      <c r="U1312" s="12"/>
      <c r="V1312" s="12"/>
      <c r="W1312" s="12"/>
      <c r="X1312" s="12"/>
      <c r="Y1312" s="12"/>
      <c r="Z1312" s="12"/>
    </row>
    <row x14ac:dyDescent="0.25" r="1313" customHeight="1" ht="15.75">
      <c r="A1313" s="17"/>
      <c r="B1313" s="12"/>
      <c r="C1313" s="12"/>
      <c r="D1313" s="18"/>
      <c r="E1313" s="19"/>
      <c r="F1313" s="18"/>
      <c r="G1313" s="19"/>
      <c r="H1313" s="18"/>
      <c r="I1313" s="19"/>
      <c r="J1313" s="18"/>
      <c r="K1313" s="19"/>
      <c r="L1313" s="18"/>
      <c r="M1313" s="19"/>
      <c r="N1313" s="18"/>
      <c r="O1313" s="19"/>
      <c r="P1313" s="12"/>
      <c r="Q1313" s="12"/>
      <c r="R1313" s="15"/>
      <c r="S1313" s="12"/>
      <c r="T1313" s="12"/>
      <c r="U1313" s="12"/>
      <c r="V1313" s="12"/>
      <c r="W1313" s="12"/>
      <c r="X1313" s="12"/>
      <c r="Y1313" s="12"/>
      <c r="Z1313" s="12"/>
    </row>
    <row x14ac:dyDescent="0.25" r="1314" customHeight="1" ht="15.75">
      <c r="A1314" s="17"/>
      <c r="B1314" s="12"/>
      <c r="C1314" s="12"/>
      <c r="D1314" s="18"/>
      <c r="E1314" s="19"/>
      <c r="F1314" s="18"/>
      <c r="G1314" s="19"/>
      <c r="H1314" s="18"/>
      <c r="I1314" s="19"/>
      <c r="J1314" s="18"/>
      <c r="K1314" s="19"/>
      <c r="L1314" s="18"/>
      <c r="M1314" s="19"/>
      <c r="N1314" s="18"/>
      <c r="O1314" s="19"/>
      <c r="P1314" s="12"/>
      <c r="Q1314" s="12"/>
      <c r="R1314" s="15"/>
      <c r="S1314" s="12"/>
      <c r="T1314" s="12"/>
      <c r="U1314" s="12"/>
      <c r="V1314" s="12"/>
      <c r="W1314" s="12"/>
      <c r="X1314" s="12"/>
      <c r="Y1314" s="12"/>
      <c r="Z1314" s="12"/>
    </row>
    <row x14ac:dyDescent="0.25" r="1315" customHeight="1" ht="15.75">
      <c r="A1315" s="17"/>
      <c r="B1315" s="12"/>
      <c r="C1315" s="12"/>
      <c r="D1315" s="18"/>
      <c r="E1315" s="19"/>
      <c r="F1315" s="18"/>
      <c r="G1315" s="19"/>
      <c r="H1315" s="18"/>
      <c r="I1315" s="19"/>
      <c r="J1315" s="18"/>
      <c r="K1315" s="19"/>
      <c r="L1315" s="18"/>
      <c r="M1315" s="19"/>
      <c r="N1315" s="18"/>
      <c r="O1315" s="19"/>
      <c r="P1315" s="12"/>
      <c r="Q1315" s="12"/>
      <c r="R1315" s="15"/>
      <c r="S1315" s="12"/>
      <c r="T1315" s="12"/>
      <c r="U1315" s="12"/>
      <c r="V1315" s="12"/>
      <c r="W1315" s="12"/>
      <c r="X1315" s="12"/>
      <c r="Y1315" s="12"/>
      <c r="Z1315" s="12"/>
    </row>
    <row x14ac:dyDescent="0.25" r="1316" customHeight="1" ht="15.75">
      <c r="A1316" s="17"/>
      <c r="B1316" s="12"/>
      <c r="C1316" s="12"/>
      <c r="D1316" s="18"/>
      <c r="E1316" s="19"/>
      <c r="F1316" s="18"/>
      <c r="G1316" s="19"/>
      <c r="H1316" s="18"/>
      <c r="I1316" s="19"/>
      <c r="J1316" s="18"/>
      <c r="K1316" s="19"/>
      <c r="L1316" s="18"/>
      <c r="M1316" s="19"/>
      <c r="N1316" s="18"/>
      <c r="O1316" s="19"/>
      <c r="P1316" s="12"/>
      <c r="Q1316" s="12"/>
      <c r="R1316" s="15"/>
      <c r="S1316" s="12"/>
      <c r="T1316" s="12"/>
      <c r="U1316" s="12"/>
      <c r="V1316" s="12"/>
      <c r="W1316" s="12"/>
      <c r="X1316" s="12"/>
      <c r="Y1316" s="12"/>
      <c r="Z1316" s="12"/>
    </row>
    <row x14ac:dyDescent="0.25" r="1317" customHeight="1" ht="15.75">
      <c r="A1317" s="17"/>
      <c r="B1317" s="12"/>
      <c r="C1317" s="12"/>
      <c r="D1317" s="18"/>
      <c r="E1317" s="19"/>
      <c r="F1317" s="18"/>
      <c r="G1317" s="19"/>
      <c r="H1317" s="18"/>
      <c r="I1317" s="19"/>
      <c r="J1317" s="18"/>
      <c r="K1317" s="19"/>
      <c r="L1317" s="18"/>
      <c r="M1317" s="19"/>
      <c r="N1317" s="18"/>
      <c r="O1317" s="19"/>
      <c r="P1317" s="12"/>
      <c r="Q1317" s="12"/>
      <c r="R1317" s="15"/>
      <c r="S1317" s="12"/>
      <c r="T1317" s="12"/>
      <c r="U1317" s="12"/>
      <c r="V1317" s="12"/>
      <c r="W1317" s="12"/>
      <c r="X1317" s="12"/>
      <c r="Y1317" s="12"/>
      <c r="Z1317" s="12"/>
    </row>
    <row x14ac:dyDescent="0.25" r="1318" customHeight="1" ht="15.75">
      <c r="A1318" s="17"/>
      <c r="B1318" s="12"/>
      <c r="C1318" s="12"/>
      <c r="D1318" s="18"/>
      <c r="E1318" s="19"/>
      <c r="F1318" s="18"/>
      <c r="G1318" s="19"/>
      <c r="H1318" s="18"/>
      <c r="I1318" s="19"/>
      <c r="J1318" s="18"/>
      <c r="K1318" s="19"/>
      <c r="L1318" s="18"/>
      <c r="M1318" s="19"/>
      <c r="N1318" s="18"/>
      <c r="O1318" s="19"/>
      <c r="P1318" s="12"/>
      <c r="Q1318" s="12"/>
      <c r="R1318" s="15"/>
      <c r="S1318" s="12"/>
      <c r="T1318" s="12"/>
      <c r="U1318" s="12"/>
      <c r="V1318" s="12"/>
      <c r="W1318" s="12"/>
      <c r="X1318" s="12"/>
      <c r="Y1318" s="12"/>
      <c r="Z1318" s="12"/>
    </row>
    <row x14ac:dyDescent="0.25" r="1319" customHeight="1" ht="15.75">
      <c r="A1319" s="17"/>
      <c r="B1319" s="12"/>
      <c r="C1319" s="12"/>
      <c r="D1319" s="18"/>
      <c r="E1319" s="19"/>
      <c r="F1319" s="18"/>
      <c r="G1319" s="19"/>
      <c r="H1319" s="18"/>
      <c r="I1319" s="19"/>
      <c r="J1319" s="18"/>
      <c r="K1319" s="19"/>
      <c r="L1319" s="18"/>
      <c r="M1319" s="19"/>
      <c r="N1319" s="18"/>
      <c r="O1319" s="19"/>
      <c r="P1319" s="12"/>
      <c r="Q1319" s="12"/>
      <c r="R1319" s="15"/>
      <c r="S1319" s="12"/>
      <c r="T1319" s="12"/>
      <c r="U1319" s="12"/>
      <c r="V1319" s="12"/>
      <c r="W1319" s="12"/>
      <c r="X1319" s="12"/>
      <c r="Y1319" s="12"/>
      <c r="Z1319" s="12"/>
    </row>
    <row x14ac:dyDescent="0.25" r="1320" customHeight="1" ht="15.75">
      <c r="A1320" s="17"/>
      <c r="B1320" s="12"/>
      <c r="C1320" s="12"/>
      <c r="D1320" s="18"/>
      <c r="E1320" s="19"/>
      <c r="F1320" s="18"/>
      <c r="G1320" s="19"/>
      <c r="H1320" s="18"/>
      <c r="I1320" s="19"/>
      <c r="J1320" s="18"/>
      <c r="K1320" s="19"/>
      <c r="L1320" s="18"/>
      <c r="M1320" s="19"/>
      <c r="N1320" s="18"/>
      <c r="O1320" s="19"/>
      <c r="P1320" s="12"/>
      <c r="Q1320" s="12"/>
      <c r="R1320" s="15"/>
      <c r="S1320" s="12"/>
      <c r="T1320" s="12"/>
      <c r="U1320" s="12"/>
      <c r="V1320" s="12"/>
      <c r="W1320" s="12"/>
      <c r="X1320" s="12"/>
      <c r="Y1320" s="12"/>
      <c r="Z1320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Original</vt:lpstr>
      <vt:lpstr>Dados_Redação</vt:lpstr>
      <vt:lpstr>Dados_Objetivas</vt:lpstr>
      <vt:lpstr>Dados_Participação</vt:lpstr>
      <vt:lpstr>Dados_Acesso_Detalhado</vt:lpstr>
      <vt:lpstr>Original_Objetivas</vt:lpstr>
      <vt:lpstr>Original_Redação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2025-12-12T13:49:26.179Z</dcterms:created>
  <dcterms:modified xsi:type="dcterms:W3CDTF">2025-12-12T13:49:26.179Z</dcterms:modified>
</cp:coreProperties>
</file>